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A818DCA7-482E-485D-8C08-90BEBFBFD0D3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Resumo!$A$18:$O$1073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H4" i="8"/>
  <c r="D4" i="8"/>
  <c r="E4" i="8" s="1"/>
  <c r="I4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<sst xmlns="http://schemas.openxmlformats.org/spreadsheetml/2006/main" count="3046" uniqueCount="1192">
  <si>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</si>
  <si>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</si>
  <si>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</si>
  <si>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</si>
  <si>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</si>
  <si>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</si>
  <si>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</si>
  <si>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</si>
  <si>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</si>
  <si>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</si>
  <si>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</si>
  <si>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</si>
  <si>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</si>
  <si>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</si>
  <si>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</si>
  <si>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</si>
  <si>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</si>
  <si>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</si>
  <si>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</si>
  <si>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</si>
  <si>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</si>
  <si>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</si>
  <si>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</si>
  <si>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</si>
  <si>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</si>
  <si>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</si>
  <si>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</si>
  <si>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</si>
  <si>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</si>
  <si>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</si>
  <si>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</si>
  <si>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</si>
  <si>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</si>
  <si>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</si>
  <si>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</si>
  <si>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</si>
  <si>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</si>
  <si>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</si>
  <si>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</si>
  <si>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</si>
  <si>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</si>
  <si>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</si>
  <si>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</si>
  <si>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</si>
  <si>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</si>
  <si>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</si>
  <si>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</si>
  <si>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</si>
  <si>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</si>
  <si>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Google Brasil</t>
  </si>
  <si>
    <t>300x250 Default Web Ad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</si>
  <si>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</si>
  <si>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</si>
  <si>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</si>
  <si>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</si>
  <si>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</si>
  <si>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</si>
  <si>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</si>
  <si>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</si>
  <si>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</si>
  <si>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</si>
  <si>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</si>
  <si>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</si>
  <si>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</si>
  <si>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</si>
  <si>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</si>
  <si>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</si>
  <si>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</si>
  <si>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</si>
  <si>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aug19:970x250:globo.com:home-internas:as_abc_25__amplo:home-internas:zip-tag:awareness:alp_manutencao:cpm</t>
  </si>
  <si>
    <t>253755319</t>
  </si>
  <si>
    <t>449744874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</si>
  <si>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</si>
  <si>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</si>
  <si>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</si>
  <si>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</si>
  <si>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</si>
  <si>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</si>
  <si>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</si>
  <si>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</si>
  <si>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</si>
  <si>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</si>
  <si>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</si>
  <si>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</si>
  <si>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</si>
  <si>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</si>
  <si>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</si>
  <si>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</si>
  <si>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</si>
  <si>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</si>
  <si>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</si>
  <si>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oct19:1920x1080:globo.com:pegn:whitelist:abc_as_25-54_anos_segmentado:comeco-do-dia:awareness:alp_pegn:patrocinio</t>
  </si>
  <si>
    <t>257740687</t>
  </si>
  <si>
    <t>In-Stream Video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</si>
  <si>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</si>
  <si>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</si>
  <si>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</si>
  <si>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</si>
  <si>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</si>
  <si>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</si>
  <si>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</si>
  <si>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</si>
  <si>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</si>
  <si>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</si>
  <si>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</si>
  <si>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</si>
  <si>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</si>
  <si>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</si>
  <si>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</si>
  <si>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</si>
  <si>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</si>
  <si>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</si>
  <si>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</si>
  <si>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</si>
  <si>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</si>
  <si>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</si>
  <si>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</si>
  <si>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</si>
  <si>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</si>
  <si>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</si>
  <si>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</si>
  <si>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</si>
  <si>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</si>
  <si>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</si>
  <si>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</si>
  <si>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</si>
  <si>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</si>
  <si>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</si>
  <si>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</si>
  <si>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</si>
  <si>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</si>
  <si>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</si>
  <si>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</si>
  <si>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</si>
  <si>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</si>
  <si>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</si>
  <si>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970x250 Default Web Ad</t>
  </si>
  <si>
    <t>447698825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</si>
  <si>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</si>
  <si>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</si>
  <si>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</si>
  <si>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</si>
  <si>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</si>
  <si>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</si>
  <si>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</si>
  <si>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201907:almapbbdo:alp_pegn:display:engajamento:dcm:todos</t>
  </si>
  <si>
    <t>sep19:300x250:globo.com:pegn:whitelist:abc_as_25-54_anos_segmentado:flash:consideracao:alp_pegn:patrocinio</t>
  </si>
  <si>
    <t>254640367</t>
  </si>
  <si>
    <t>450679219</t>
  </si>
  <si>
    <t>sep19:300x250:globo.com:pegn:whitelist:abc_as_25-54_anos_segmentado:zip:consideracao:alp_pegn:patrocinio</t>
  </si>
  <si>
    <t>254758185</t>
  </si>
  <si>
    <t>450619277</t>
  </si>
  <si>
    <t>sep19:400x300:globo.com:pegn:whitelist:abc_as_25-54_anos__segmentado:zip:consideracao:alp_pegn:patrocinio</t>
  </si>
  <si>
    <t>254607778</t>
  </si>
  <si>
    <t>450673399</t>
  </si>
  <si>
    <t>almapbbdo:alp_bau:awareness:todos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</si>
  <si>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</si>
  <si>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</si>
  <si>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</si>
  <si>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</si>
  <si>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</si>
  <si>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</si>
  <si>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</si>
  <si>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</si>
  <si>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</si>
  <si>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</si>
  <si>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</si>
  <si>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</si>
  <si>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</si>
  <si>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</si>
  <si>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almapbbdo:alp_feira-do-empreendedor2019:display:awareness:todos</t>
  </si>
  <si>
    <t>Hands</t>
  </si>
  <si>
    <t>hands:marca:geo-empreendedores:display:cpm:300x120:marcello-push:cidp118.2.3:2</t>
  </si>
  <si>
    <t>257343337</t>
  </si>
  <si>
    <t>453185441</t>
  </si>
  <si>
    <t>hands:marca:geo-empreendedores:display:cpm:320x180:marcello-push:cidp118.2.4:2</t>
  </si>
  <si>
    <t>257343688</t>
  </si>
  <si>
    <t>453135744</t>
  </si>
  <si>
    <t>hands:marca:geo-empreendedores:display:cpm:320x200:marcello-push:cidp118.2.1:2</t>
  </si>
  <si>
    <t>257342488</t>
  </si>
  <si>
    <t>453135147</t>
  </si>
  <si>
    <t>hands:marca:geo-empreendedores:display:cpm:64x64:logo:cidp118.2.2:2</t>
  </si>
  <si>
    <t>257343334</t>
  </si>
  <si>
    <t>453184943</t>
  </si>
  <si>
    <t>In Loco Media</t>
  </si>
  <si>
    <t>inloco:marca:interesses-empreendedores:display:cpm:300x250:marcello-feira:cidp118.2.5:2</t>
  </si>
  <si>
    <t>257343454</t>
  </si>
  <si>
    <t>453185723</t>
  </si>
  <si>
    <t>inloco:marca:interesses-empreendedores:display:cpm:320x100:marcello-feira:cidp118.2.7:2</t>
  </si>
  <si>
    <t>257024450</t>
  </si>
  <si>
    <t>453185561</t>
  </si>
  <si>
    <t>inloco:marca:interesses-empreendedores:display:cpm:320x480:marcello-feira:cidp118.2.8:2</t>
  </si>
  <si>
    <t>257024459</t>
  </si>
  <si>
    <t>453185579</t>
  </si>
  <si>
    <t>inloco:marca:interesses-empreendedores:display:cpm:320x50:marcello-feira:cidp118.2.6:2</t>
  </si>
  <si>
    <t>257022617</t>
  </si>
  <si>
    <t>453135813</t>
  </si>
  <si>
    <t>almapbbdo:alp_lojas-cielo:display:awareness:todos</t>
  </si>
  <si>
    <t>hands:marca:spgeolocalizacaoasabc21inauguracao:display:cpm:arroba-300x250:awa_ins_lojas-cielo:cidp122.2.2:2</t>
  </si>
  <si>
    <t>258518887</t>
  </si>
  <si>
    <t>454297688</t>
  </si>
  <si>
    <t>Waze</t>
  </si>
  <si>
    <t>waze:marca:asabc21regiaoproximaaslojas:display:cpm:logo-152x112:awa_ins_lojas-cielo:cidp122.2.4:2</t>
  </si>
  <si>
    <t>258182507</t>
  </si>
  <si>
    <t>454296953</t>
  </si>
  <si>
    <t>almapbbdo:alp_nova-cielo-atualizado:display:awareness:todos</t>
  </si>
  <si>
    <t>adsmovil:marca:carreira:display:cpm:intertestial-320x480:fre_ins_nova-cielo-danilo_taxa-zero:cidp116.2.1432:2</t>
  </si>
  <si>
    <t>257233940</t>
  </si>
  <si>
    <t>453375542</t>
  </si>
  <si>
    <t>adsmovil:marca:carreira:display:cpm:intertestial-320x480:fre_ins_nova-cielo-marcello_taxa-zero:cidp116.2.1431:2</t>
  </si>
  <si>
    <t>257233943</t>
  </si>
  <si>
    <t>453375545</t>
  </si>
  <si>
    <t>adsmovil:marca:carreira:display:cpm:intertestial-320x480:fre_ins_nova-cielo-pedro_taxa-zero:cidp116.2.1429:2</t>
  </si>
  <si>
    <t>257233949</t>
  </si>
  <si>
    <t>453375551</t>
  </si>
  <si>
    <t>adsmovil:marca:carreira:display:cpm:intertestial-320x480:fre_ins_nova-cielo-rita_taxa-zero:cidp116.2.1430:2</t>
  </si>
  <si>
    <t>257233946</t>
  </si>
  <si>
    <t>453375548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</si>
  <si>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</si>
  <si>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</si>
  <si>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</si>
  <si>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</si>
  <si>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</si>
  <si>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</si>
  <si>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adsmovil:marca:carreira:display:cpm:richmedia-interstitial-320x480:aw_ins_nova-cielo-pedro:cidp116.2.284:2</t>
  </si>
  <si>
    <t>256564356</t>
  </si>
  <si>
    <t>452313935</t>
  </si>
  <si>
    <t>adsmovil:marca:carreira:display:cpm:richmedia-interstitial-320x480:aw_ins_nova-cielo-rita:cidp116.2.285:2</t>
  </si>
  <si>
    <t>256564353</t>
  </si>
  <si>
    <t>452313932</t>
  </si>
  <si>
    <t>adsmovil:marca:decisor:display:cpm:intertestial-320x480:fre_ins_nova-cielo-danilo_taxa-zero:cidp116.2.1437:2</t>
  </si>
  <si>
    <t>257233925</t>
  </si>
  <si>
    <t>453375527</t>
  </si>
  <si>
    <t>adsmovil:marca:decisor:display:cpm:intertestial-320x480:fre_ins_nova-cielo-marcello_taxa-zero:cidp116.2.1439:2</t>
  </si>
  <si>
    <t>257750595</t>
  </si>
  <si>
    <t>453464639</t>
  </si>
  <si>
    <t>adsmovil:marca:decisor:display:cpm:intertestial-320x480:fre_ins_nova-cielo-pedro_taxa-zero:cidp116.2.1437:2</t>
  </si>
  <si>
    <t>257637223</t>
  </si>
  <si>
    <t>453419439</t>
  </si>
  <si>
    <t>adsmovil:marca:decisor:display:cpm:intertestial-320x480:fre_ins_nova-cielo-rita_taxa-zero:cidp116.2.1438:2</t>
  </si>
  <si>
    <t>257638810</t>
  </si>
  <si>
    <t>453421032</t>
  </si>
  <si>
    <t>adsmovil:marca:decisor:display:cpm:richmedia-interstitial-320x480:aw_ins_nova-cielo-danilo:cidp116.2.299:2</t>
  </si>
  <si>
    <t>256564311</t>
  </si>
  <si>
    <t>452313890</t>
  </si>
  <si>
    <t>adsmovil:marca:decisor:display:cpm:richmedia-interstitial-320x480:aw_ins_nova-cielo-marcello:cidp116.2.298:2</t>
  </si>
  <si>
    <t>256564314</t>
  </si>
  <si>
    <t>452313893</t>
  </si>
  <si>
    <t>adsmovil:marca:decisor:display:cpm:richmedia-interstitial-320x480:aw_ins_nova-cielo-pedro:cidp116.2.296:2</t>
  </si>
  <si>
    <t>256564320</t>
  </si>
  <si>
    <t>452313899</t>
  </si>
  <si>
    <t>adsmovil:marca:decisor:display:cpm:richmedia-interstitial-320x480:aw_ins_nova-cielo-rita:cidp116.2.297:2</t>
  </si>
  <si>
    <t>256564317</t>
  </si>
  <si>
    <t>452313896</t>
  </si>
  <si>
    <t>adsmovil:marca:idenpedencia:display:cpm:intertestial-320x480:fre_ins_nova-cielo-danilo_taxa-zero:cidp116.2.1433:2</t>
  </si>
  <si>
    <t>257233937</t>
  </si>
  <si>
    <t>453375539</t>
  </si>
  <si>
    <t>adsmovil:marca:idenpedencia:display:cpm:intertestial-320x480:fre_ins_nova-cielo-marcello_taxa-zero:cidp116.2.1435:2</t>
  </si>
  <si>
    <t>257636359</t>
  </si>
  <si>
    <t>453464588</t>
  </si>
  <si>
    <t>adsmovil:marca:idenpedencia:display:cpm:intertestial-320x480:fre_ins_nova-cielo-pedro_taxa-zero:cidp116.2.1433:2</t>
  </si>
  <si>
    <t>257750586</t>
  </si>
  <si>
    <t>453506959</t>
  </si>
  <si>
    <t>adsmovil:marca:idenpedencia:display:cpm:intertestial-320x480:fre_ins_nova-cielo-rita_taxa-zero:cidp116.2.1434:2</t>
  </si>
  <si>
    <t>257635792</t>
  </si>
  <si>
    <t>453464024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</si>
  <si>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</si>
  <si>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</si>
  <si>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</si>
  <si>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</si>
  <si>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</si>
  <si>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</si>
  <si>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adsmovil:marca:indepedencia:display:cpm:richmedia-interstitial-320x480:aw_ins_nova-cielo-pedro:cidp116.2.290:2</t>
  </si>
  <si>
    <t>256564338</t>
  </si>
  <si>
    <t>452313917</t>
  </si>
  <si>
    <t>adsmovil:marca:indepedencia:display:cpm:richmedia-interstitial-320x480:aw_ins_nova-cielo-rita:cidp116.2.291:2</t>
  </si>
  <si>
    <t>256564335</t>
  </si>
  <si>
    <t>452313914</t>
  </si>
  <si>
    <t>adsmovil:marca:provedor:display:cpm:intertestial-320x480:fre_ins_nova-cielo-danilo_taxa-zero:cidp116.2.1428:2</t>
  </si>
  <si>
    <t>257233952</t>
  </si>
  <si>
    <t>453375554</t>
  </si>
  <si>
    <t>adsmovil:marca:provedor:display:cpm:intertestial-320x480:fre_ins_nova-cielo-marcello_taxa-zero:cidp116.2.1427:2</t>
  </si>
  <si>
    <t>257679291</t>
  </si>
  <si>
    <t>453375557</t>
  </si>
  <si>
    <t>adsmovil:marca:provedor:display:cpm:intertestial-320x480:fre_ins_nova-cielo-pedro_taxa-zero:cidp116.2.1425:2</t>
  </si>
  <si>
    <t>257679297</t>
  </si>
  <si>
    <t>453375563</t>
  </si>
  <si>
    <t>adsmovil:marca:provedor:display:cpm:intertestial-320x480:fre_ins_nova-cielo-rita_taxa-zero:cidp116.2.1426:2</t>
  </si>
  <si>
    <t>257679294</t>
  </si>
  <si>
    <t>453375560</t>
  </si>
  <si>
    <t>adsmovil:marca:provedor:display:cpm:richmedia-interstitial-320x480:aw_ins_nova-cielo-danilo:cidp116.2.281:2</t>
  </si>
  <si>
    <t>256564365</t>
  </si>
  <si>
    <t>452313944</t>
  </si>
  <si>
    <t>adsmovil:marca:provedor:display:cpm:richmedia-interstitial-320x480:aw_ins_nova-cielo-marcello:cidp116.2.280:2</t>
  </si>
  <si>
    <t>256564368</t>
  </si>
  <si>
    <t>452313947</t>
  </si>
  <si>
    <t>adsmovil:marca:provedor:display:cpm:richmedia-interstitial-320x480:aw_ins_nova-cielo-pedro:cidp116.2.278:2</t>
  </si>
  <si>
    <t>256564374</t>
  </si>
  <si>
    <t>452313953</t>
  </si>
  <si>
    <t>adsmovil:marca:provedor:display:cpm:richmedia-interstitial-320x480:aw_ins_nova-cielo-rita:cidp116.2.279:2</t>
  </si>
  <si>
    <t>256564371</t>
  </si>
  <si>
    <t>452313950</t>
  </si>
  <si>
    <t>dv_360:marca:affinity:display:cpm:large-mobile-banner-320x100:fre_ins_nova-cielo-danilo:cidp116.2.317:2</t>
  </si>
  <si>
    <t>256547838</t>
  </si>
  <si>
    <t>452302607</t>
  </si>
  <si>
    <t>dv_360:marca:affinity:display:cpm:large-mobile-banner-320x100:fre_ins_nova-cielo-marcello:cidp116.2.316:2</t>
  </si>
  <si>
    <t>256547841</t>
  </si>
  <si>
    <t>452302610</t>
  </si>
  <si>
    <t>dv_360:marca:affinity:display:cpm:large-mobile-banner-320x100:fre_ins_nova-cielo-pedro:cidp116.2.314:2</t>
  </si>
  <si>
    <t>256547844</t>
  </si>
  <si>
    <t>452302613</t>
  </si>
  <si>
    <t>dv_360:marca:affinity:display:cpm:large-mobile-banner-320x100:fre_ins_nova-cielo-rita:cidp116.2.315:2</t>
  </si>
  <si>
    <t>256483219</t>
  </si>
  <si>
    <t>452320974</t>
  </si>
  <si>
    <t>dv_360:marca:affinity:display:cpm:leaderboard-728x90:fre_ins_nova-cielo-danilo:cidp116.2.329:2</t>
  </si>
  <si>
    <t>256547820</t>
  </si>
  <si>
    <t>452302589</t>
  </si>
  <si>
    <t>dv_360:marca:affinity:display:cpm:leaderboard-728x90:fre_ins_nova-cielo-marcello:cidp116.2.328:2</t>
  </si>
  <si>
    <t>256547823</t>
  </si>
  <si>
    <t>452302592</t>
  </si>
  <si>
    <t>dv_360:marca:affinity:display:cpm:leaderboard-728x90:fre_ins_nova-cielo-pedro:cidp116.2.326:2</t>
  </si>
  <si>
    <t>256547826</t>
  </si>
  <si>
    <t>452302595</t>
  </si>
  <si>
    <t>dv_360:marca:affinity:display:cpm:leaderboard-728x90:fre_ins_nova-cielo-rita:cidp116.2.327:2</t>
  </si>
  <si>
    <t>256483213</t>
  </si>
  <si>
    <t>452320968</t>
  </si>
  <si>
    <t>dv_360:marca:affinity:display:cpm:mobile-leaderboard-320x50:fre_ins_nova-cielo-danilo:cidp116.2.323:2</t>
  </si>
  <si>
    <t>256547829</t>
  </si>
  <si>
    <t>452302598</t>
  </si>
  <si>
    <t>dv_360:marca:affinity:display:cpm:mobile-leaderboard-320x50:fre_ins_nova-cielo-marcello:cidp116.2.322:2</t>
  </si>
  <si>
    <t>256547832</t>
  </si>
  <si>
    <t>452302601</t>
  </si>
  <si>
    <t>dv_360:marca:affinity:display:cpm:mobile-leaderboard-320x50:fre_ins_nova-cielo-pedro:cidp116.2.320:2</t>
  </si>
  <si>
    <t>256547835</t>
  </si>
  <si>
    <t>452302604</t>
  </si>
  <si>
    <t>dv_360:marca:affinity:display:cpm:mobile-leaderboard-320x50:fre_ins_nova-cielo-rita:cidp116.2.321:2</t>
  </si>
  <si>
    <t>256483216</t>
  </si>
  <si>
    <t>452320971</t>
  </si>
  <si>
    <t>dv_360:marca:affinity:display:cpm:retangulo-medio-300x250:fre_ins_nova-cielo-danilo:cidp116.2.305:2</t>
  </si>
  <si>
    <t>256547856</t>
  </si>
  <si>
    <t>452302625</t>
  </si>
  <si>
    <t>dv_360:marca:affinity:display:cpm:retangulo-medio-300x250:fre_ins_nova-cielo-marcello:cidp116.2.304:2</t>
  </si>
  <si>
    <t>256547859</t>
  </si>
  <si>
    <t>452302628</t>
  </si>
  <si>
    <t>dv_360:marca:affinity:display:cpm:retangulo-medio-300x250:fre_ins_nova-cielo-pedro:cidp116.2.302:2</t>
  </si>
  <si>
    <t>256577613</t>
  </si>
  <si>
    <t>452275185</t>
  </si>
  <si>
    <t>dv_360:marca:affinity:display:cpm:retangulo-medio-300x250:fre_ins_nova-cielo-rita:cidp116.2.303:2</t>
  </si>
  <si>
    <t>256483228</t>
  </si>
  <si>
    <t>452320983</t>
  </si>
  <si>
    <t>dv_360:marca:affinity:display:cpm:skyscraper-300x600:fre_ins_nova-cielo-danilo:cidp116.2.311:2</t>
  </si>
  <si>
    <t>256547847</t>
  </si>
  <si>
    <t>452302616</t>
  </si>
  <si>
    <t>dv_360:marca:affinity:display:cpm:skyscraper-300x600:fre_ins_nova-cielo-marcello:cidp116.2.310:2</t>
  </si>
  <si>
    <t>256547850</t>
  </si>
  <si>
    <t>452302619</t>
  </si>
  <si>
    <t>dv_360:marca:affinity:display:cpm:skyscraper-300x600:fre_ins_nova-cielo-pedro:cidp116.2.308:2</t>
  </si>
  <si>
    <t>256547853</t>
  </si>
  <si>
    <t>452302622</t>
  </si>
  <si>
    <t>dv_360:marca:affinity:display:cpm:skyscraper-300x600:fre_ins_nova-cielo-rita:cidp116.2.309:2</t>
  </si>
  <si>
    <t>256483222</t>
  </si>
  <si>
    <t>452320977</t>
  </si>
  <si>
    <t>dv_360:marca:categories:display:cpm:large-mobile-banner-320x100:fre_ins_nova-cielo-danilo:cidp116.2.401:2</t>
  </si>
  <si>
    <t>256547748</t>
  </si>
  <si>
    <t>452302517</t>
  </si>
  <si>
    <t>dv_360:marca:categories:display:cpm:large-mobile-banner-320x100:fre_ins_nova-cielo-marcello:cidp116.2.400:2</t>
  </si>
  <si>
    <t>256547751</t>
  </si>
  <si>
    <t>452302520</t>
  </si>
  <si>
    <t>dv_360:marca:categories:display:cpm:large-mobile-banner-320x100:fre_ins_nova-cielo-pedro:cidp116.2.398:2</t>
  </si>
  <si>
    <t>256547754</t>
  </si>
  <si>
    <t>452302523</t>
  </si>
  <si>
    <t>dv_360:marca:categories:display:cpm:leaderboard-728x90:fre_ins_nova-cielo-danilo:cidp116.2.413:2</t>
  </si>
  <si>
    <t>256547730</t>
  </si>
  <si>
    <t>452302499</t>
  </si>
  <si>
    <t>dv_360:marca:categories:display:cpm:leaderboard-728x90:fre_ins_nova-cielo-marcello:cidp116.2.412:2</t>
  </si>
  <si>
    <t>256547733</t>
  </si>
  <si>
    <t>452302502</t>
  </si>
  <si>
    <t>dv_360:marca:categories:display:cpm:leaderboard-728x90:fre_ins_nova-cielo-pedro:cidp116.2.410:2</t>
  </si>
  <si>
    <t>256547736</t>
  </si>
  <si>
    <t>452302505</t>
  </si>
  <si>
    <t>dv_360:marca:categories:display:cpm:mobile-leaderboard-320x50:fre_ins_nova-cielo-danilo:cidp116.2.407:2</t>
  </si>
  <si>
    <t>256547739</t>
  </si>
  <si>
    <t>452302508</t>
  </si>
  <si>
    <t>dv_360:marca:categories:display:cpm:mobile-leaderboard-320x50:fre_ins_nova-cielo-marcello:cidp116.2.406:2</t>
  </si>
  <si>
    <t>256547742</t>
  </si>
  <si>
    <t>452302511</t>
  </si>
  <si>
    <t>dv_360:marca:categories:display:cpm:mobile-leaderboard-320x50:fre_ins_nova-cielo-pedro:cidp116.2.404:2</t>
  </si>
  <si>
    <t>256547745</t>
  </si>
  <si>
    <t>452302514</t>
  </si>
  <si>
    <t>dv_360:marca:categories:display:cpm:mobile-leaderboard-320x50:fre_ins_nova-cielo-rita:cidp116.2.405:2</t>
  </si>
  <si>
    <t>256483192</t>
  </si>
  <si>
    <t>452320947</t>
  </si>
  <si>
    <t>dv_360:marca:categories:display:cpm:retangulo-medio-300x250:fre_ins_nova-cielo-danilo:cidp116.2.389:2</t>
  </si>
  <si>
    <t>256547766</t>
  </si>
  <si>
    <t>452302535</t>
  </si>
  <si>
    <t>dv_360:marca:categories:display:cpm:retangulo-medio-300x250:fre_ins_nova-cielo-marcello:cidp116.2.388:2</t>
  </si>
  <si>
    <t>256547769</t>
  </si>
  <si>
    <t>452302538</t>
  </si>
  <si>
    <t>dv_360:marca:categories:display:cpm:retangulo-medio-300x250:fre_ins_nova-cielo-pedro:cidp116.2.386:2</t>
  </si>
  <si>
    <t>256547772</t>
  </si>
  <si>
    <t>452302541</t>
  </si>
  <si>
    <t>dv_360:marca:categories:display:cpm:retangulo-medio-300x250:fre_ins_nova-cielo-rita:cidp116.2.387:2</t>
  </si>
  <si>
    <t>256483195</t>
  </si>
  <si>
    <t>452320950</t>
  </si>
  <si>
    <t>dv_360:marca:categories:display:cpm:skyscraper-300x600:fre_ins_nova-cielo-danilo:cidp116.2.395:2</t>
  </si>
  <si>
    <t>256547757</t>
  </si>
  <si>
    <t>452302526</t>
  </si>
  <si>
    <t>dv_360:marca:categories:display:cpm:skyscraper-300x600:fre_ins_nova-cielo-marcello:cidp116.2.394:2</t>
  </si>
  <si>
    <t>256547760</t>
  </si>
  <si>
    <t>452302529</t>
  </si>
  <si>
    <t>dv_360:marca:categories:display:cpm:skyscraper-300x600:fre_ins_nova-cielo-pedro:cidp116.2.392:2</t>
  </si>
  <si>
    <t>256547763</t>
  </si>
  <si>
    <t>452302532</t>
  </si>
  <si>
    <t>dv_360:marca:keywords:display:cpm:large-mobile-banner-320x100:fre_ins_nova-cielo-danilo:cidp116.2.359:2</t>
  </si>
  <si>
    <t>256547793</t>
  </si>
  <si>
    <t>452302562</t>
  </si>
  <si>
    <t>dv_360:marca:keywords:display:cpm:large-mobile-banner-320x100:fre_ins_nova-cielo-marcello:cidp116.2.358:2</t>
  </si>
  <si>
    <t>256547796</t>
  </si>
  <si>
    <t>452302565</t>
  </si>
  <si>
    <t>dv_360:marca:keywords:display:cpm:large-mobile-banner-320x100:fre_ins_nova-cielo-pedro:cidp116.2.356:2</t>
  </si>
  <si>
    <t>256547799</t>
  </si>
  <si>
    <t>452302568</t>
  </si>
  <si>
    <t>dv_360:marca:keywords:display:cpm:large-mobile-banner-320x100:fre_ins_nova-cielo-rita:cidp116.2.357:2</t>
  </si>
  <si>
    <t>256483204</t>
  </si>
  <si>
    <t>452320959</t>
  </si>
  <si>
    <t>dv_360:marca:keywords:display:cpm:leaderboard-728x90:fre_ins_nova-cielo-danilo:cidp116.2.371:2</t>
  </si>
  <si>
    <t>256547775</t>
  </si>
  <si>
    <t>452302544</t>
  </si>
  <si>
    <t>dv_360:marca:keywords:display:cpm:leaderboard-728x90:fre_ins_nova-cielo-marcello:cidp116.2.370:2</t>
  </si>
  <si>
    <t>256547778</t>
  </si>
  <si>
    <t>452302547</t>
  </si>
  <si>
    <t>dv_360:marca:keywords:display:cpm:leaderboard-728x90:fre_ins_nova-cielo-pedro:cidp116.2.368:2</t>
  </si>
  <si>
    <t>256547781</t>
  </si>
  <si>
    <t>452302550</t>
  </si>
  <si>
    <t>dv_360:marca:keywords:display:cpm:leaderboard-728x90:fre_ins_nova-cielo-rita:cidp116.2.369:2</t>
  </si>
  <si>
    <t>256483198</t>
  </si>
  <si>
    <t>452320953</t>
  </si>
  <si>
    <t>dv_360:marca:keywords:display:cpm:mobile-leaderboard-320x50:fre_ins_nova-cielo-danilo:cidp116.2.365:2</t>
  </si>
  <si>
    <t>256547784</t>
  </si>
  <si>
    <t>452302553</t>
  </si>
  <si>
    <t>dv_360:marca:keywords:display:cpm:mobile-leaderboard-320x50:fre_ins_nova-cielo-marcello:cidp116.2.364:2</t>
  </si>
  <si>
    <t>256547787</t>
  </si>
  <si>
    <t>452302556</t>
  </si>
  <si>
    <t>dv_360:marca:keywords:display:cpm:mobile-leaderboard-320x50:fre_ins_nova-cielo-pedro:cidp116.2.362:2</t>
  </si>
  <si>
    <t>256547790</t>
  </si>
  <si>
    <t>452302559</t>
  </si>
  <si>
    <t>dv_360:marca:keywords:display:cpm:mobile-leaderboard-320x50:fre_ins_nova-cielo-rita:cidp116.2.363:2</t>
  </si>
  <si>
    <t>256483201</t>
  </si>
  <si>
    <t>452320956</t>
  </si>
  <si>
    <t>dv_360:marca:keywords:display:cpm:retangulo-medio-300x250:fre_ins_nova-cielo-danilo:cidp116.2.347:2</t>
  </si>
  <si>
    <t>256547811</t>
  </si>
  <si>
    <t>452302580</t>
  </si>
  <si>
    <t>dv_360:marca:keywords:display:cpm:retangulo-medio-300x250:fre_ins_nova-cielo-marcello:cidp116.2.346:2</t>
  </si>
  <si>
    <t>256547814</t>
  </si>
  <si>
    <t>452302583</t>
  </si>
  <si>
    <t>dv_360:marca:keywords:display:cpm:retangulo-medio-300x250:fre_ins_nova-cielo-pedro:cidp116.2.344:2</t>
  </si>
  <si>
    <t>256547817</t>
  </si>
  <si>
    <t>452302586</t>
  </si>
  <si>
    <t>dv_360:marca:keywords:display:cpm:retangulo-medio-300x250:fre_ins_nova-cielo-rita:cidp116.2.345:2</t>
  </si>
  <si>
    <t>256483210</t>
  </si>
  <si>
    <t>452320965</t>
  </si>
  <si>
    <t>dv_360:marca:keywords:display:cpm:skyscraper-300x600:fre_ins_nova-cielo-danilo:cidp116.2.353:2</t>
  </si>
  <si>
    <t>256547802</t>
  </si>
  <si>
    <t>452302571</t>
  </si>
  <si>
    <t>dv_360:marca:keywords:display:cpm:skyscraper-300x600:fre_ins_nova-cielo-marcello:cidp116.2.352:2</t>
  </si>
  <si>
    <t>256547805</t>
  </si>
  <si>
    <t>452302574</t>
  </si>
  <si>
    <t>dv_360:marca:keywords:display:cpm:skyscraper-300x600:fre_ins_nova-cielo-pedro:cidp116.2.350:2</t>
  </si>
  <si>
    <t>256547808</t>
  </si>
  <si>
    <t>452302577</t>
  </si>
  <si>
    <t>dv_360:marca:keywords:display:cpm:skyscraper-300x600:fre_ins_nova-cielo-rita:cidp116.2.351:2</t>
  </si>
  <si>
    <t>256483207</t>
  </si>
  <si>
    <t>452320962</t>
  </si>
  <si>
    <t>dv_360:marca:portais-verticais:display:cpm:large-mobile-banner-320x100:fre_ins_nova-cielo-danilo:cidp116.2.443:2</t>
  </si>
  <si>
    <t>256547703</t>
  </si>
  <si>
    <t>452302472</t>
  </si>
  <si>
    <t>dv_360:marca:portais-verticais:display:cpm:large-mobile-banner-320x100:fre_ins_nova-cielo-marcello:cidp116.2.442:2</t>
  </si>
  <si>
    <t>256547706</t>
  </si>
  <si>
    <t>452302475</t>
  </si>
  <si>
    <t>dv_360:marca:portais-verticais:display:cpm:large-mobile-banner-320x100:fre_ins_nova-cielo-pedro:cidp116.2.440:2</t>
  </si>
  <si>
    <t>256547709</t>
  </si>
  <si>
    <t>452302478</t>
  </si>
  <si>
    <t>dv_360:marca:portais-verticais:display:cpm:large-mobile-banner-320x100:fre_ins_nova-cielo-rita:cidp116.2.441:2</t>
  </si>
  <si>
    <t>256483183</t>
  </si>
  <si>
    <t>452320938</t>
  </si>
  <si>
    <t>dv_360:marca:portais-verticais:display:cpm:leaderboard-728x90:fre_ins_nova-cielo-danilo:cidp116.2.455:2</t>
  </si>
  <si>
    <t>256547685</t>
  </si>
  <si>
    <t>452302454</t>
  </si>
  <si>
    <t>dv_360:marca:portais-verticais:display:cpm:leaderboard-728x90:fre_ins_nova-cielo-marcello:cidp116.2.454:2</t>
  </si>
  <si>
    <t>256547688</t>
  </si>
  <si>
    <t>452302457</t>
  </si>
  <si>
    <t>dv_360:marca:portais-verticais:display:cpm:leaderboard-728x90:fre_ins_nova-cielo-pedro:cidp116.2.452:2</t>
  </si>
  <si>
    <t>256547691</t>
  </si>
  <si>
    <t>452302460</t>
  </si>
  <si>
    <t>dv_360:marca:portais-verticais:display:cpm:leaderboard-728x90:fre_ins_nova-cielo-rita:cidp116.2.453:2</t>
  </si>
  <si>
    <t>256483225</t>
  </si>
  <si>
    <t>452320980</t>
  </si>
  <si>
    <t>dv_360:marca:portais-verticais:display:cpm:mobile-leaderboard-320x50:fre_ins_nova-cielo-danilo:cidp116.2.449:2</t>
  </si>
  <si>
    <t>256547694</t>
  </si>
  <si>
    <t>452302463</t>
  </si>
  <si>
    <t>dv_360:marca:portais-verticais:display:cpm:mobile-leaderboard-320x50:fre_ins_nova-cielo-marcello:cidp116.2.448:2</t>
  </si>
  <si>
    <t>256547697</t>
  </si>
  <si>
    <t>452302466</t>
  </si>
  <si>
    <t>dv_360:marca:portais-verticais:display:cpm:mobile-leaderboard-320x50:fre_ins_nova-cielo-pedro:cidp116.2.446:2</t>
  </si>
  <si>
    <t>256547700</t>
  </si>
  <si>
    <t>452302469</t>
  </si>
  <si>
    <t>dv_360:marca:portais-verticais:display:cpm:mobile-leaderboard-320x50:fre_ins_nova-cielo-rita:cidp116.2.447:2</t>
  </si>
  <si>
    <t>256483180</t>
  </si>
  <si>
    <t>452320935</t>
  </si>
  <si>
    <t>dv_360:marca:portais-verticais:display:cpm:retangulo-medio-300x250:fre_ins_nova-cielo-danilo:cidp116.2.431:2</t>
  </si>
  <si>
    <t>256547721</t>
  </si>
  <si>
    <t>452302490</t>
  </si>
  <si>
    <t>dv_360:marca:portais-verticais:display:cpm:retangulo-medio-300x250:fre_ins_nova-cielo-marcello:cidp116.2.430:2</t>
  </si>
  <si>
    <t>256547724</t>
  </si>
  <si>
    <t>452302493</t>
  </si>
  <si>
    <t>dv_360:marca:portais-verticais:display:cpm:retangulo-medio-300x250:fre_ins_nova-cielo-pedro:cidp116.2.428:2</t>
  </si>
  <si>
    <t>256547727</t>
  </si>
  <si>
    <t>452302496</t>
  </si>
  <si>
    <t>dv_360:marca:portais-verticais:display:cpm:retangulo-medio-300x250:fre_ins_nova-cielo-rita:cidp116.2.429:2</t>
  </si>
  <si>
    <t>256483189</t>
  </si>
  <si>
    <t>452320944</t>
  </si>
  <si>
    <t>dv_360:marca:portais-verticais:display:cpm:skyscraper-300x600:fre_ins_nova-cielo-danilo:cidp116.2.437:2</t>
  </si>
  <si>
    <t>256547712</t>
  </si>
  <si>
    <t>452302481</t>
  </si>
  <si>
    <t>dv_360:marca:portais-verticais:display:cpm:skyscraper-300x600:fre_ins_nova-cielo-marcello:cidp116.2.436:2</t>
  </si>
  <si>
    <t>256547715</t>
  </si>
  <si>
    <t>452302484</t>
  </si>
  <si>
    <t>dv_360:marca:portais-verticais:display:cpm:skyscraper-300x600:fre_ins_nova-cielo-pedro:cidp116.2.434:2</t>
  </si>
  <si>
    <t>256547718</t>
  </si>
  <si>
    <t>452302487</t>
  </si>
  <si>
    <t>dv_360:marca:portais-verticais:display:cpm:skyscraper-300x600:fre_ins_nova-cielo-rita:cidp116.2.435:2</t>
  </si>
  <si>
    <t>256483186</t>
  </si>
  <si>
    <t>452320941</t>
  </si>
  <si>
    <t>Info Money</t>
  </si>
  <si>
    <t>info_money:marca:audiencia_do_portal:display:cpm:arroba-banner-300x250:aw_ins_flash-marcello_taxa-zero:cidp116.2.1397:2</t>
  </si>
  <si>
    <t>257218110</t>
  </si>
  <si>
    <t>452941208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</si>
  <si>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</si>
  <si>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</si>
  <si>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</si>
  <si>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</si>
  <si>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</si>
  <si>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</si>
  <si>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</si>
  <si>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</si>
  <si>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</si>
  <si>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</si>
  <si>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</si>
  <si>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</si>
  <si>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info_money:marca:audiencia_do_portal:display:cpm:arroba-banner-300x250:aw_ins_mob-pedro_taxa-zero:cidp116.2.1404:2</t>
  </si>
  <si>
    <t>257218089</t>
  </si>
  <si>
    <t>452917059</t>
  </si>
  <si>
    <t>info_money:marca:audiencia_do_portal:display:cpm:arroba-banner-300x250:aw_ins_zip-danilo_taxa-zero:cidp116.2.1399:2</t>
  </si>
  <si>
    <t>257218104</t>
  </si>
  <si>
    <t>453004627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</si>
  <si>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</si>
  <si>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</si>
  <si>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</si>
  <si>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</si>
  <si>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</si>
  <si>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</si>
  <si>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info_money:marca:audiencia_do_portal:display:cpm:billboard-970x250:aw_ins_minizip-rita_taxa-zero:cidp116.2.1416:2</t>
  </si>
  <si>
    <t>257654316</t>
  </si>
  <si>
    <t>453368741</t>
  </si>
  <si>
    <t>info_money:marca:audiencia_do_portal:display:cpm:billboard-970x250:aw_ins_mob-pedro_taxa-zero:cidp116.2.1555:2</t>
  </si>
  <si>
    <t>257347850</t>
  </si>
  <si>
    <t>453488870</t>
  </si>
  <si>
    <t>info_money:marca:audiencia_do_portal:display:cpm:billboard-970x250:aw_ins_zip-danilo_taxa-zero:cidp116.2.1417:2</t>
  </si>
  <si>
    <t>257654313</t>
  </si>
  <si>
    <t>453368744</t>
  </si>
  <si>
    <t>info_money:marca:audiencia_do_portal:display:cpm:halfpage-animado-300x600:aw_ins_flash-marcello_taxa-zero:cidp116.2.1419:2</t>
  </si>
  <si>
    <t>257654307</t>
  </si>
  <si>
    <t>453368750</t>
  </si>
  <si>
    <t>info_money:marca:audiencia_do_portal:display:cpm:halfpage-animado-300x600:aw_ins_minizip-rita_taxa-zer:cidp116.2.1420:2</t>
  </si>
  <si>
    <t>257654304</t>
  </si>
  <si>
    <t>453368753</t>
  </si>
  <si>
    <t>info_money:marca:audiencia_do_portal:display:cpm:halfpage-animado-300x600:aw_ins_mob-pedro_taxa-zero:cidp116.2.1418:2</t>
  </si>
  <si>
    <t>257654310</t>
  </si>
  <si>
    <t>453368747</t>
  </si>
  <si>
    <t>info_money:marca:audiencia_do_portal:display:cpm:halfpage-animado-300x600:aw_ins_zip-danilo_taxa-zero:cidp116.2.1421:2</t>
  </si>
  <si>
    <t>257654301</t>
  </si>
  <si>
    <t>453368756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</si>
  <si>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</si>
  <si>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</si>
  <si>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</si>
  <si>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</si>
  <si>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</si>
  <si>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</si>
  <si>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</si>
  <si>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</si>
  <si>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</si>
  <si>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</si>
  <si>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</si>
  <si>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</si>
  <si>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</si>
  <si>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</si>
  <si>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</si>
  <si>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info_money:marca:audiencia_do_portal:display:cpm:lightbox-640x480:aw_ins_minizip-rita_taxa-zero:cidp116.2.1423:2</t>
  </si>
  <si>
    <t>257654295</t>
  </si>
  <si>
    <t>453368762</t>
  </si>
  <si>
    <t>info_money:marca:audiencia_do_portal:display:cpm:lightbox-640x480:aw_ins_mob-pedro_taxa-zero:cidp116.2.1554:2</t>
  </si>
  <si>
    <t>257777796</t>
  </si>
  <si>
    <t>453487109</t>
  </si>
  <si>
    <t>info_money:marca:audiencia_do_portal:display:cpm:lightbox-640x480:aw_ins_zip-danilo_taxa-zero:cidp116.2.1424:2</t>
  </si>
  <si>
    <t>257654292</t>
  </si>
  <si>
    <t>453368765</t>
  </si>
  <si>
    <t>info_money:marca:audiencia_do_portal:display:cpm:testeira-1170x120:aw_ins_mob-pedro_taxa-zero:cidp116.2.1412:2</t>
  </si>
  <si>
    <t>257654328</t>
  </si>
  <si>
    <t>453368729</t>
  </si>
  <si>
    <t>info_money:marca:audiencia_do_portal:display:cpm:video-1920x1080:aw_ins_comeco-do-dia_taxa-zero:cidp116.2.1394:2</t>
  </si>
  <si>
    <t>257218119</t>
  </si>
  <si>
    <t>452941973</t>
  </si>
  <si>
    <t>info_money:marca:audiencia_do_portal:display:cpm:video-1920x1080:aw_ins_fim-do-dia_taxa-zero:cidp116.2.1395:2</t>
  </si>
  <si>
    <t>257218116</t>
  </si>
  <si>
    <t>452941142</t>
  </si>
  <si>
    <t>verizon:marca:carreira:display:cpc:large-image-1200x627:aw_ins_nova-cielo-danilo:cidp116.2.557:2</t>
  </si>
  <si>
    <t>256564221</t>
  </si>
  <si>
    <t>452371474</t>
  </si>
  <si>
    <t>verizon:marca:carreira:display:cpc:large-image-1200x627:aw_ins_nova-cielo-marcello:cidp116.2.556:2</t>
  </si>
  <si>
    <t>256564224</t>
  </si>
  <si>
    <t>452371480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</si>
  <si>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</si>
  <si>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</si>
  <si>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</si>
  <si>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</si>
  <si>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</si>
  <si>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</si>
  <si>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verizon:marca:decisor:display:cpc:large-image-1200x627:aw_ins_nova-cielo-danilo:cidp116.2.617:2</t>
  </si>
  <si>
    <t>256094807</t>
  </si>
  <si>
    <t>452371270</t>
  </si>
  <si>
    <t>verizon:marca:decisor:display:cpc:large-image-1200x627:aw_ins_nova-cielo-marcello:cidp116.2.616:2</t>
  </si>
  <si>
    <t>256094813</t>
  </si>
  <si>
    <t>452371273</t>
  </si>
  <si>
    <t>verizon:marca:decisor:display:cpc:large-image-1200x627:aw_ins_nova-cielo-pedro:cidp116.2.614:2</t>
  </si>
  <si>
    <t>256094831</t>
  </si>
  <si>
    <t>452371279</t>
  </si>
  <si>
    <t>verizon:marca:decisor:display:cpc:large-image-1200x627:aw_ins_nova-cielo-rita:cidp116.2.615:2</t>
  </si>
  <si>
    <t>256094822</t>
  </si>
  <si>
    <t>452371276</t>
  </si>
  <si>
    <t>verizon:marca:indepedencia:display:cpc:large-image-1200x627:aw_ins_nova-cielo-danilo:cidp116.2.587:2</t>
  </si>
  <si>
    <t>256094969</t>
  </si>
  <si>
    <t>452371342</t>
  </si>
  <si>
    <t>verizon:marca:indepedencia:display:cpc:large-image-1200x627:aw_ins_nova-cielo-marcello:cidp116.2.586:2</t>
  </si>
  <si>
    <t>256094972</t>
  </si>
  <si>
    <t>452371348</t>
  </si>
  <si>
    <t>verizon:marca:indepedencia:display:cpc:large-image-1200x627:aw_ins_nova-cielo-pedro:cidp116.2.584:2</t>
  </si>
  <si>
    <t>256564146</t>
  </si>
  <si>
    <t>452371360</t>
  </si>
  <si>
    <t>verizon:marca:indepedencia:display:cpc:large-image-1200x627:aw_ins_nova-cielo-rita:cidp116.2.585:2</t>
  </si>
  <si>
    <t>256094978</t>
  </si>
  <si>
    <t>452371354</t>
  </si>
  <si>
    <t>verizon:marca:provedor:display:cpc:large-image-1200x627:aw_ins_nova-cielo-danilo:cidp116.2.527:2</t>
  </si>
  <si>
    <t>256564293</t>
  </si>
  <si>
    <t>452313872</t>
  </si>
  <si>
    <t>verizon:marca:provedor:display:cpc:large-image-1200x627:aw_ins_nova-cielo-marcello:cidp116.2.526:2</t>
  </si>
  <si>
    <t>256564296</t>
  </si>
  <si>
    <t>452313875</t>
  </si>
  <si>
    <t>verizon:marca:provedor:display:cpc:large-image-1200x627:aw_ins_nova-cielo-pedro:cidp116.2.524:2</t>
  </si>
  <si>
    <t>256564302</t>
  </si>
  <si>
    <t>452313881</t>
  </si>
  <si>
    <t>verizon:marca:provedor:display:cpc:large-image-1200x627:aw_ins_nova-cielo-rita:cidp116.2.525:2</t>
  </si>
  <si>
    <t>256564299</t>
  </si>
  <si>
    <t>452313878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</si>
  <si>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</si>
  <si>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</si>
  <si>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</si>
  <si>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</si>
  <si>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adsmovil:marca:rmkt_device_id:display:cpc:standard-banner-300x250:seg_ins_flash-marcello_taxa-zero:cidp116.2.1361:2</t>
  </si>
  <si>
    <t>257225292</t>
  </si>
  <si>
    <t>452921127</t>
  </si>
  <si>
    <t>adsmovil:marca:rmkt_device_id:display:cpc:standard-banner-300x250:seg_ins_minizip-rita_taxa-zero:cidp116.2.1359:2</t>
  </si>
  <si>
    <t>257225304</t>
  </si>
  <si>
    <t>452921139</t>
  </si>
  <si>
    <t>adsmovil:marca:rmkt_device_id:display:cpc:standard-banner-300x250:seg_ins_mob-pedro_taxa-zero:cidp116.2.1358:2</t>
  </si>
  <si>
    <t>257225310</t>
  </si>
  <si>
    <t>452921145</t>
  </si>
  <si>
    <t>adsmovil:marca:rmkt_device_id:display:cpc:standard-banner-300x250:seg_ins_zip-danilo_taxa-zero:cidp116.2.1360:2</t>
  </si>
  <si>
    <t>257225298</t>
  </si>
  <si>
    <t>452921133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</si>
  <si>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</si>
  <si>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</si>
  <si>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</si>
  <si>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</si>
  <si>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</si>
  <si>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</si>
  <si>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</si>
  <si>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</si>
  <si>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</si>
  <si>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dv_360:flash:remarketing:display:cpm:large-mobile-banner-320x100:seg_ins_flash-marcello_taxa-zero:cidp116.2.1284:2</t>
  </si>
  <si>
    <t>257161716</t>
  </si>
  <si>
    <t>452849868</t>
  </si>
  <si>
    <t>dv_360:flash:remarketing:display:cpm:leaderboard-728x90:seg_ins_flash-marcello_taxa-zero:cidp116.2.1292:2</t>
  </si>
  <si>
    <t>257161743</t>
  </si>
  <si>
    <t>452943139</t>
  </si>
  <si>
    <t>dv_360:flash:remarketing:display:cpm:mobile-leaderboard-320x50:seg_ins_flash-marcello_taxa-zero:cidp116.2.1288:2</t>
  </si>
  <si>
    <t>257161704</t>
  </si>
  <si>
    <t>452849880</t>
  </si>
  <si>
    <t>dv_360:flash:remarketing:display:cpm:retangulo-medio-300x250:seg_ins_flash-marcello_taxa-zero:cidp116.2.1276:2</t>
  </si>
  <si>
    <t>257161746</t>
  </si>
  <si>
    <t>452943136</t>
  </si>
  <si>
    <t>dv_360:flash:remarketing:display:cpm:skyscraper-300x600:seg_ins_flash-marcello_taxa-zero:cidp116.2.1280:2</t>
  </si>
  <si>
    <t>257161728</t>
  </si>
  <si>
    <t>452943154</t>
  </si>
  <si>
    <t>dv_360:mobile:remarketing:display:cpm:large-mobile-banner-320x100:seg_ins_mob-pedro_taxa-zero:cidp116.2.1282:2</t>
  </si>
  <si>
    <t>257161722</t>
  </si>
  <si>
    <t>452943160</t>
  </si>
  <si>
    <t>dv_360:mobile:remarketing:display:cpm:leaderboard-728x90:seg_ins_mob-pedro_taxa-zero:cidp116.2.1290:2</t>
  </si>
  <si>
    <t>257161755</t>
  </si>
  <si>
    <t>452943127</t>
  </si>
  <si>
    <t>dv_360:mobile:remarketing:display:cpm:mobile-leaderboard-320x50:seg_ins_mob-pedro_taxa-zero:cidp116.2.1286:2</t>
  </si>
  <si>
    <t>257161710</t>
  </si>
  <si>
    <t>452849874</t>
  </si>
  <si>
    <t>dv_360:mobile:remarketing:display:cpm:retangulo-medio-300x250:seg_ins_mob-pedro_taxa-zero:cidp116.2.1274:2</t>
  </si>
  <si>
    <t>257161758</t>
  </si>
  <si>
    <t>452943124</t>
  </si>
  <si>
    <t>dv_360:mobile:remarketing:display:cpm:skyscraper-300x600:seg_ins_mob-pedro_taxa-zero:cidp116.2.1278:2</t>
  </si>
  <si>
    <t>257161734</t>
  </si>
  <si>
    <t>452943148</t>
  </si>
  <si>
    <t>dv_360:zip:remarketing:display:cpm:large-mobile-banner-320x100:seg_ins_zip-danilo:cidp116.2.654:2</t>
  </si>
  <si>
    <t>256799337</t>
  </si>
  <si>
    <t>452523620</t>
  </si>
  <si>
    <t>dv_360:zip:remarketing:display:cpm:leaderboard-728x90:seg_ins_zip-danilo:cidp116.2.656:2</t>
  </si>
  <si>
    <t>256661317</t>
  </si>
  <si>
    <t>452598967</t>
  </si>
  <si>
    <t>dv_360:zip:remarketing:display:cpm:mobile-leaderboard-320x50:seg_ins_zip-danilo:cidp116.2.655:2</t>
  </si>
  <si>
    <t>256661287</t>
  </si>
  <si>
    <t>452523635</t>
  </si>
  <si>
    <t>dv_360:zip:remarketing:display:cpm:mobile-leaderboard-320x50:seg_ins_zip-danilo_taxa-zero:cidp116.2.1289:2</t>
  </si>
  <si>
    <t>257161701</t>
  </si>
  <si>
    <t>320x50 Default Web Ad</t>
  </si>
  <si>
    <t>452543191</t>
  </si>
  <si>
    <t>dv_360:zip:remarketing:display:cpm:retangulo-medio-300x250:seg_ins_zip-danilo:cidp116.2.652:2</t>
  </si>
  <si>
    <t>256362617</t>
  </si>
  <si>
    <t>452468822</t>
  </si>
  <si>
    <t>452597866</t>
  </si>
  <si>
    <t>dv_360:zip:remarketing:display:cpm:skyscraper-300x600:seg_ins_zip-danilo:cidp116.2.653:2</t>
  </si>
  <si>
    <t>256660735</t>
  </si>
  <si>
    <t>452522441</t>
  </si>
  <si>
    <t>inloco:marca:usuarios_que_possuem_app_de_concorrentes_mob:display:cpm:interstitial-320x480:seg_ins_zip-danilo_taxa-zero:cidp116.2.1309:2</t>
  </si>
  <si>
    <t>257034823</t>
  </si>
  <si>
    <t>452887163</t>
  </si>
  <si>
    <t>inloco:marca:usuarios_que_possuem_app_de_concorrentes_mob:display:cpm:medium-rectangle-300x250:seg_ins_flash-marcello_taxa-zero:cidp116.2.1410:2</t>
  </si>
  <si>
    <t>257141488</t>
  </si>
  <si>
    <t>452989646</t>
  </si>
  <si>
    <t>inloco:marca:usuarios_que_possuem_app_de_concorrentes_mob:display:cpm:medium-rectangle-300x250:seg_ins_minizip-rita_taxa-zero:cidp116.2.1409:2</t>
  </si>
  <si>
    <t>257268969</t>
  </si>
  <si>
    <t>452958633</t>
  </si>
  <si>
    <t>inloco:marca:usuarios_que_possuem_app_de_concorrentes_mob:display:cpm:medium-rectangle-300x250:seg_ins_mob-pedro_taxa-zero:cidp116.2.1408:2</t>
  </si>
  <si>
    <t>257140954</t>
  </si>
  <si>
    <t>452989568</t>
  </si>
  <si>
    <t>inloco:marca:usuarios_que_possuem_app_de_concorrentes_mob:display:cpm:medium-rectangle-300x250:seg_ins_zip-danilo_taxa-zero:cidp116.2.1411:2</t>
  </si>
  <si>
    <t>257267739</t>
  </si>
  <si>
    <t>452960697</t>
  </si>
  <si>
    <t>inloco:marca:usuarios_que_possuem_app_de_concorrentes_mob:display:cpm:medium-rectangle-320x50:seg_ins_flash-marcello_taxa-zero:cidp116.2.1304:2</t>
  </si>
  <si>
    <t>257034838</t>
  </si>
  <si>
    <t>452887178</t>
  </si>
  <si>
    <t>inloco:marca:usuarios_que_possuem_app_de_concorrentes_mob:display:cpm:medium-rectangle-900x750:seg_ins_nova-cielo-danilo:cidp116.2.799:2</t>
  </si>
  <si>
    <t>256101245</t>
  </si>
  <si>
    <t>452314433</t>
  </si>
  <si>
    <t>inloco:marca:usuarios_que_possuem_app_de_concorrentes_mob:display:cpm:medium-rectangle-900x750:seg_ins_nova-cielo-marcello:cidp116.2.798:2</t>
  </si>
  <si>
    <t>256101248</t>
  </si>
  <si>
    <t>452314430</t>
  </si>
  <si>
    <t>inloco:marca:usuarios_que_possuem_app_de_concorrentes_mob:display:cpm:small-banner-960x150:seg_ins_nova-cielo-danilo:cidp116.2.793:2</t>
  </si>
  <si>
    <t>256101263</t>
  </si>
  <si>
    <t>452314415</t>
  </si>
  <si>
    <t>SeedTag</t>
  </si>
  <si>
    <t>seedtag:marca:lal_as_abc_25__pme_micro_empreendedor_e_autonomos:display:cpm:formato-especial:seg_ins_nova-cielo-1:cidp116.2.830:2</t>
  </si>
  <si>
    <t>256101188</t>
  </si>
  <si>
    <t>452314490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</si>
  <si>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</si>
  <si>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</si>
  <si>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</si>
  <si>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seedtag:marca:lal_as_abc_25__pme_micro_empreendedor_e_autonomos:display:cpm:formato-especial:seg_ins_nova-cielo-danilo:cidp116.2.835:2</t>
  </si>
  <si>
    <t>256418968</t>
  </si>
  <si>
    <t>452372032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</si>
  <si>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</si>
  <si>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</si>
  <si>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</si>
  <si>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</si>
  <si>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</si>
  <si>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</si>
  <si>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</si>
  <si>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</si>
  <si>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</si>
  <si>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seedtag:marca:lal_as_abc_25__pme_micro_empreendedor_e_autonomos:display:cpm:in-image-display:seg_ins_nova-cielo-1:cidp116.2.824:2</t>
  </si>
  <si>
    <t>256101206</t>
  </si>
  <si>
    <t>452314472</t>
  </si>
  <si>
    <t>seedtag:marca:lal_as_abc_25__pme_micro_empreendedor_e_autonomos:display:cpm:in-image-display:seg_ins_nova-cielo-2:cidp116.2.825:2</t>
  </si>
  <si>
    <t>256101203</t>
  </si>
  <si>
    <t>452314475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</si>
  <si>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</si>
  <si>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</si>
  <si>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</si>
  <si>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</si>
  <si>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</si>
  <si>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</si>
  <si>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</si>
  <si>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</si>
  <si>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</si>
  <si>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</si>
  <si>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</si>
  <si>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</si>
  <si>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</si>
  <si>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</si>
  <si>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</si>
  <si>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</si>
  <si>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</si>
  <si>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</si>
  <si>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</si>
  <si>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</si>
  <si>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</si>
  <si>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</si>
  <si>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</si>
  <si>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</si>
  <si>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</si>
  <si>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</si>
  <si>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</si>
  <si>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</si>
  <si>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</si>
  <si>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</si>
  <si>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</si>
  <si>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</si>
  <si>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</si>
  <si>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</si>
  <si>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</si>
  <si>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</si>
  <si>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</si>
  <si>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</si>
  <si>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</si>
  <si>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</si>
  <si>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</si>
  <si>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</si>
  <si>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</si>
  <si>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</si>
  <si>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</si>
  <si>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</si>
  <si>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</si>
  <si>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</si>
  <si>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</si>
  <si>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</si>
  <si>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</si>
  <si>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</si>
  <si>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</si>
  <si>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</si>
  <si>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</si>
  <si>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</si>
  <si>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</si>
  <si>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</si>
  <si>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</si>
  <si>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</si>
  <si>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</si>
  <si>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</si>
  <si>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</si>
  <si>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</si>
  <si>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</si>
  <si>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</si>
  <si>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</si>
  <si>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</si>
  <si>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</si>
  <si>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</si>
  <si>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</si>
  <si>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</si>
  <si>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</si>
  <si>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</si>
  <si>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</si>
  <si>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</si>
  <si>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</si>
  <si>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</si>
  <si>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</si>
  <si>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</si>
  <si>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</si>
  <si>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</si>
  <si>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</si>
  <si>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</si>
  <si>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</si>
  <si>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</si>
  <si>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</si>
  <si>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</si>
  <si>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</si>
  <si>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</si>
  <si>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</si>
  <si>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</si>
  <si>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</si>
  <si>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</si>
  <si>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</si>
  <si>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</si>
  <si>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</si>
  <si>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</si>
  <si>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</si>
  <si>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</si>
  <si>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</si>
  <si>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</si>
  <si>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</si>
  <si>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</si>
  <si>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</si>
  <si>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</si>
  <si>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</si>
  <si>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</si>
  <si>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</si>
  <si>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</si>
  <si>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</si>
  <si>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</si>
  <si>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</si>
  <si>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</si>
  <si>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</si>
  <si>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</si>
  <si>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</si>
  <si>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</si>
  <si>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</si>
  <si>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</si>
  <si>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</si>
  <si>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</si>
  <si>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</si>
  <si>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</si>
  <si>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</si>
  <si>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</si>
  <si>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</si>
  <si>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</si>
  <si>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</si>
  <si>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</si>
  <si>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</si>
  <si>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</si>
  <si>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</si>
  <si>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</si>
  <si>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</si>
  <si>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</si>
  <si>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</si>
  <si>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</si>
  <si>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</si>
  <si>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</si>
  <si>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</si>
  <si>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</si>
  <si>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</si>
  <si>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</si>
  <si>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</si>
  <si>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</si>
  <si>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</si>
  <si>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</si>
  <si>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</si>
  <si>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</si>
  <si>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</si>
  <si>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</si>
  <si>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</si>
  <si>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</si>
  <si>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</si>
  <si>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</si>
  <si>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</si>
  <si>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</si>
  <si>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</si>
  <si>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</si>
  <si>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</si>
  <si>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</si>
  <si>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</si>
  <si>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</si>
  <si>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</si>
  <si>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</si>
  <si>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</si>
  <si>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</si>
  <si>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</si>
  <si>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</si>
  <si>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</si>
  <si>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</si>
  <si>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</si>
  <si>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</si>
  <si>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</si>
  <si>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</si>
  <si>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</si>
  <si>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</si>
  <si>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</si>
  <si>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</si>
  <si>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</si>
  <si>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</si>
  <si>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</si>
  <si>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</si>
  <si>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</si>
  <si>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</si>
  <si>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</si>
  <si>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</si>
  <si>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</si>
  <si>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</si>
  <si>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</si>
  <si>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</si>
  <si>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afilio:marca:portais_de_noticias_e_financas:display:cpvisit:billboard-970x250:seg_ins_minizip-rita_taxa-zero:cidp116.2.1531:2</t>
  </si>
  <si>
    <t>257568976</t>
  </si>
  <si>
    <t>453388601</t>
  </si>
  <si>
    <t>afilio:marca:portais_de_noticias_e_financas:display:cpvisit:billboard-970x250:seg_ins_zip-danilo_taxa-zero:cidp116.2.1532:2</t>
  </si>
  <si>
    <t>257568973</t>
  </si>
  <si>
    <t>453388598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</si>
  <si>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</si>
  <si>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</si>
  <si>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</si>
  <si>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</si>
  <si>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</si>
  <si>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</si>
  <si>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</si>
  <si>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</si>
  <si>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</si>
  <si>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</si>
  <si>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</si>
  <si>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</si>
  <si>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afilio:mini_zip:carreira:display:cpvisit:arroba-300x250:seg_ins_minizip-rita:cidp116.2.693:2</t>
  </si>
  <si>
    <t>256655695</t>
  </si>
  <si>
    <t>452809929</t>
  </si>
  <si>
    <t>afilio:mini_zip:carreira:display:cpvisit:super-banner-728x90:seg_ins_minizip-rita:cidp116.2.697:2</t>
  </si>
  <si>
    <t>256655692</t>
  </si>
  <si>
    <t>452809932</t>
  </si>
  <si>
    <t>afilio:mini_zip:negocios:display:cpvisit:arroba-300x250:seg_ins_minizip-rita:cidp116.2.717:2</t>
  </si>
  <si>
    <t>256773261</t>
  </si>
  <si>
    <t>452810001</t>
  </si>
  <si>
    <t>almapbbdo:alp_nova-cielo-atualizado:native:awareness:todos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</si>
  <si>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</si>
  <si>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</si>
  <si>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</si>
  <si>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dv_360:marca:carreira:native:cpm:native-retangulo-1200x628:fre_ins_nova-cielo-marcello:cidp116.2.496:2</t>
  </si>
  <si>
    <t>256667493</t>
  </si>
  <si>
    <t>452479267</t>
  </si>
  <si>
    <t>dv_360:marca:carreira:native:cpm:native-retangulo-1200x628:fre_ins_nova-cielo-pedro:cidp116.2.494:2</t>
  </si>
  <si>
    <t>256667499</t>
  </si>
  <si>
    <t>452479273</t>
  </si>
  <si>
    <t>dv_360:marca:carreira:native:cpm:native-retangulo-1200x628:fre_ins_nova-cielo-rita:cidp116.2.495:2</t>
  </si>
  <si>
    <t>256667496</t>
  </si>
  <si>
    <t>452479270</t>
  </si>
  <si>
    <t>dv_360:marca:decisor:native:cpm:native-retangulo-1200x628:fre_ins_nova-cielo-danilo:cidp116.2.521:2</t>
  </si>
  <si>
    <t>256667442</t>
  </si>
  <si>
    <t>452371116</t>
  </si>
  <si>
    <t>dv_360:marca:decisor:native:cpm:native-retangulo-1200x628:fre_ins_nova-cielo-marcello:cidp116.2.520:2</t>
  </si>
  <si>
    <t>256667445</t>
  </si>
  <si>
    <t>452371119</t>
  </si>
  <si>
    <t>dv_360:marca:decisor:native:cpm:native-retangulo-1200x628:fre_ins_nova-cielo-pedro:cidp116.2.518:2</t>
  </si>
  <si>
    <t>256667451</t>
  </si>
  <si>
    <t>452479225</t>
  </si>
  <si>
    <t>dv_360:marca:decisor:native:cpm:native-retangulo-1200x628:fre_ins_nova-cielo-rita:cidp116.2.519:2</t>
  </si>
  <si>
    <t>256667448</t>
  </si>
  <si>
    <t>452479222</t>
  </si>
  <si>
    <t>dv_360:marca:indepedencia:native:cpm:native-retangulo-1200x628:fre_ins_nova-cielo-danilo:cidp116.2.509:2</t>
  </si>
  <si>
    <t>256667466</t>
  </si>
  <si>
    <t>452479240</t>
  </si>
  <si>
    <t>dv_360:marca:indepedencia:native:cpm:native-retangulo-1200x628:fre_ins_nova-cielo-marcello:cidp116.2.508:2</t>
  </si>
  <si>
    <t>256667469</t>
  </si>
  <si>
    <t>452479243</t>
  </si>
  <si>
    <t>dv_360:marca:indepedencia:native:cpm:native-retangulo-1200x628:fre_ins_nova-cielo-pedro:cidp116.2.506:2</t>
  </si>
  <si>
    <t>256667475</t>
  </si>
  <si>
    <t>452479249</t>
  </si>
  <si>
    <t>dv_360:marca:indepedencia:native:cpm:native-retangulo-1200x628:fre_ins_nova-cielo-rita:cidp116.2.507:2</t>
  </si>
  <si>
    <t>256667472</t>
  </si>
  <si>
    <t>452479246</t>
  </si>
  <si>
    <t>dv_360:marca:provedor:native:cpm:native-retangulo-1200x628:fre_ins_nova-cielo-danilo:cidp116.2.485:2</t>
  </si>
  <si>
    <t>256667514</t>
  </si>
  <si>
    <t>452479288</t>
  </si>
  <si>
    <t>dv_360:marca:provedor:native:cpm:native-retangulo-1200x628:fre_ins_nova-cielo-marcello:cidp116.2.484:2</t>
  </si>
  <si>
    <t>256667517</t>
  </si>
  <si>
    <t>452479291</t>
  </si>
  <si>
    <t>dv_360:marca:provedor:native:cpm:native-retangulo-1200x628:fre_ins_nova-cielo-pedro:cidp116.2.482:2</t>
  </si>
  <si>
    <t>256667523</t>
  </si>
  <si>
    <t>452479297</t>
  </si>
  <si>
    <t>dv_360:marca:provedor:native:cpm:native-retangulo-1200x628:fre_ins_nova-cielo-rita:cidp116.2.483:2</t>
  </si>
  <si>
    <t>256667520</t>
  </si>
  <si>
    <t>452479294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</si>
  <si>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</si>
  <si>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</si>
  <si>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</si>
  <si>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</si>
  <si>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</si>
  <si>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</si>
  <si>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</si>
  <si>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</si>
  <si>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</si>
  <si>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</si>
  <si>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</si>
  <si>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</si>
  <si>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verizon:marca:decisor:native:cpc:native-627x267:fre_ins_nova-cielo-danilo_taxa-zero:cidp116.2.1325:2</t>
  </si>
  <si>
    <t>257229879</t>
  </si>
  <si>
    <t>453005251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</si>
  <si>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</si>
  <si>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</si>
  <si>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</si>
  <si>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</si>
  <si>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</si>
  <si>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</si>
  <si>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verizon:marca:decisor:native:cpc:native-627x267:fre_ins_nova-cielo-rita_taxa-zero:cidp116.2.1323:2</t>
  </si>
  <si>
    <t>257229885</t>
  </si>
  <si>
    <t>453005257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</si>
  <si>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</si>
  <si>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</si>
  <si>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</si>
  <si>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verizon:marca:independencia:native:cpc:native-627x267:fre_ins_nova-cielo-marcello_taxa-zero:cidp116.2.1320:2</t>
  </si>
  <si>
    <t>257229894</t>
  </si>
  <si>
    <t>453005266</t>
  </si>
  <si>
    <t>verizon:marca:independencia:native:cpc:native-627x267:fre_ins_nova-cielo-pedro_taxa-zero:cidp116.2.1318:2</t>
  </si>
  <si>
    <t>257229900</t>
  </si>
  <si>
    <t>453005272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</si>
  <si>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</si>
  <si>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</si>
  <si>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</si>
  <si>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</si>
  <si>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</si>
  <si>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</si>
  <si>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</si>
  <si>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</si>
  <si>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</si>
  <si>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</si>
  <si>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</si>
  <si>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</si>
  <si>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</si>
  <si>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</si>
  <si>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</si>
  <si>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</si>
  <si>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</si>
  <si>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</si>
  <si>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</si>
  <si>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</si>
  <si>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</si>
  <si>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</si>
  <si>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</si>
  <si>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</si>
  <si>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</si>
  <si>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</si>
  <si>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</si>
  <si>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</si>
  <si>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</si>
  <si>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</si>
  <si>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</si>
  <si>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</si>
  <si>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</si>
  <si>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</si>
  <si>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</si>
  <si>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</si>
  <si>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</si>
  <si>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</si>
  <si>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</si>
  <si>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</si>
  <si>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</si>
  <si>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</si>
  <si>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</si>
  <si>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</si>
  <si>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adsmovil:marca:ampla:video:cpcv:video-instantplay-1920x1080:aw_ins_nova-cielo-2:cidp116.2.1269:2</t>
  </si>
  <si>
    <t>256604912</t>
  </si>
  <si>
    <t>452724999</t>
  </si>
  <si>
    <t>dv_360:marca:ampla:video:cpm:video-ad-360x480:fre_ins_nova-cielo-1:cidp116.2.468:2</t>
  </si>
  <si>
    <t>256450901</t>
  </si>
  <si>
    <t>452574531</t>
  </si>
  <si>
    <t>dv_360:marca:ampla:video:cpm:video-ad-360x480:fre_ins_nova-cielo-2:cidp116.2.469:2</t>
  </si>
  <si>
    <t>256900815</t>
  </si>
  <si>
    <t>452619536</t>
  </si>
  <si>
    <t>verizon:marca:ampla:video:cpcv:video-640x80:aw_ins_nova-cielo-1:cidp116.2.270:2</t>
  </si>
  <si>
    <t>256770591</t>
  </si>
  <si>
    <t>452569141</t>
  </si>
  <si>
    <t>almapbbdo:alp_oktoberfest:display:awareness:todos</t>
  </si>
  <si>
    <t>inloco:marca:geolocalizada_blumenau:display:cpm:interstitial-320x480:oktoberfest:cidp120.2.12:2</t>
  </si>
  <si>
    <t>258049444</t>
  </si>
  <si>
    <t>453895174</t>
  </si>
  <si>
    <t>inloco:marca:geolocalizada_blumenau:display:cpm:interstitial-480x320:oktoberfest:cidp120.2.13:2</t>
  </si>
  <si>
    <t>258049447</t>
  </si>
  <si>
    <t>453895219</t>
  </si>
  <si>
    <t>inloco:marca:geolocalizada_blumenau:display:cpm:medium-rectangle-300x250:oktoberfest:cidp120.2.11:2</t>
  </si>
  <si>
    <t>258048937</t>
  </si>
  <si>
    <t>453895135</t>
  </si>
  <si>
    <t>inloco:marca:geolocalizada_blumenau:display:cpm:small_-banner-320x100:oktoberfest:cidp120.2.14:2</t>
  </si>
  <si>
    <t>258150069</t>
  </si>
  <si>
    <t>453894847</t>
  </si>
  <si>
    <t>inloco:marca:geolocalizada_blumenau:display:cpm:small_-banner-320x50:oktoberfest:cidp120.2.10:2</t>
  </si>
  <si>
    <t>257720537</t>
  </si>
  <si>
    <t>453895102</t>
  </si>
  <si>
    <t>seedtag:marca:contextos_relacionados_a_oktoberfest:display:cpm:full_image_-_1000x550:oktoberfest:cidp120.2.9:2</t>
  </si>
  <si>
    <t>257891695</t>
  </si>
  <si>
    <t>453750355</t>
  </si>
  <si>
    <t>seedtag:marca:contextos_relacionados_a_oktoberfest:display:cpm:in-image_claim_-_150x150:oktoberfest:cidp120.2.1:2</t>
  </si>
  <si>
    <t>257561273</t>
  </si>
  <si>
    <t>453649515</t>
  </si>
  <si>
    <t>almapbbdo:alp_super-link:display:awareness:todos:campo_livre</t>
  </si>
  <si>
    <t>R7</t>
  </si>
  <si>
    <t>r7:marca:as_abc_25:native:cpm:640x360:super-link:cidp117.2.1:2</t>
  </si>
  <si>
    <t>255839423</t>
  </si>
  <si>
    <t>452130064</t>
  </si>
  <si>
    <t>Vivo - Ads</t>
  </si>
  <si>
    <t>vivo_ads:marca:as_abc_25:mms:cpm:300x250:super-link:cidp117.2.3:2</t>
  </si>
  <si>
    <t>256159234</t>
  </si>
  <si>
    <t>452031486</t>
  </si>
  <si>
    <t>vivo_ads:marca:as_abc_25:mms:cpm:300x50:super-link:cidp117.2.5:2</t>
  </si>
  <si>
    <t>256159501</t>
  </si>
  <si>
    <t>452084519</t>
  </si>
  <si>
    <t>vivo_ads:marca:as_abc_25:mms:cpm:320x50:super-link:cidp117.2.6:2</t>
  </si>
  <si>
    <t>256294404</t>
  </si>
  <si>
    <t>452085086</t>
  </si>
  <si>
    <t>vivo_ads:marca:as_abc_25:mms:cpm:920x250:super-link:cidp117.2.2:2</t>
  </si>
  <si>
    <t>255843104</t>
  </si>
  <si>
    <t>452031378</t>
  </si>
  <si>
    <t>almapbbdo:alp_super-link:video:awareness:todos</t>
  </si>
  <si>
    <t>Youtube Brasil</t>
  </si>
  <si>
    <t>youtube:marca:as_abc_25:video:cpm:video:super-link:cidp117.2.7:2</t>
  </si>
  <si>
    <t>256708961</t>
  </si>
  <si>
    <t>452836296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</si>
</sst>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4"/>
  <sheetViews>
    <sheetView showGridLines="0" tabSelected="1" workbookViewId="0">
      <selection activeCell="B1" sqref="B1:I9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7109375" customWidth="1"/>
    <col min="5" max="5" width="17.7109375" customWidth="1"/>
    <col min="6" max="6" width="3" customWidth="1"/>
    <col min="7" max="7" width="2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13" t="s">
        <v>25</v>
      </c>
      <c r="I2" s="13"/>
    </row>
    <row r="3" spans="1:9">
      <c r="B3" s="6" t="s">
        <v>17</v>
      </c>
      <c r="C3" s="6" t="s">
        <v>20</v>
      </c>
      <c r="D3" s="6" t="s">
        <v>18</v>
      </c>
      <c r="E3" s="6" t="s">
        <v>62</v>
      </c>
      <c r="F3" s="14" t="s">
        <v>27</v>
      </c>
      <c r="H3" s="12" t="s">
        <v>26</v>
      </c>
      <c r="I3" s="12" t="s">
        <v>27</v>
      </c>
    </row>
    <row r="4" spans="1:9">
      <c r="B4" s="7" t="s">
        <v>12</v>
      </c>
      <c r="C4" s="1">
        <v>0.1</v>
      </c>
      <c r="D4" s="1">
        <f>SUMIF(adtype_filtrada,$B4,impressoes_filtrada)</f>
        <v>49906834</v>
      </c>
      <c r="E4" s="8">
        <f>C4*D4/1000</f>
        <v>4990.6834000000008</v>
      </c>
      <c r="F4" s="15"/>
      <c r="H4" s="8">
        <f>SUM(total_adops_filtrada)</f>
        <v>18424.419000000005</v>
      </c>
      <c r="I4" s="8">
        <f>SUM(total_ferramenta_filtrada)</f>
        <v>4113.3522799999964</v>
      </c>
    </row>
    <row r="5" spans="1:9">
      <c r="B5" s="7" t="s">
        <v>11</v>
      </c>
      <c r="C5" s="1">
        <v>0.1</v>
      </c>
      <c r="D5" s="1">
        <f>SUMIF(adtype_filtrada,$B5,impressoes_filtrada)</f>
        <v>3</v>
      </c>
      <c r="E5" s="8">
        <f>C5*D5/1000</f>
        <v>3.0000000000000003E-4</v>
      </c>
      <c r="F5" s="15"/>
    </row>
    <row r="6" spans="1:9">
      <c r="B6" s="7" t="s">
        <v>10</v>
      </c>
      <c r="C6" s="1">
        <v>2.5000000000000001E-2</v>
      </c>
      <c r="D6" s="1">
        <f>SUMIF(adtype_filtrada,$B6,clicks_filtrada)</f>
        <v>531344</v>
      </c>
      <c r="E6" s="8">
        <f>C6*D6</f>
        <v>13283.6</v>
      </c>
      <c r="F6" s="15"/>
    </row>
    <row r="7" spans="1:9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9">
      <c r="B8" s="7" t="s">
        <v>23</v>
      </c>
      <c r="C8" s="1">
        <v>0.35</v>
      </c>
      <c r="D8" s="1">
        <f>SUMIF(adtype_filtrada,$B8,impressoes_filtrada)</f>
        <v>428958</v>
      </c>
      <c r="E8" s="8">
        <f>C8*D8/1000</f>
        <v>150.1353</v>
      </c>
      <c r="F8" s="15"/>
    </row>
    <row r="9" spans="1:9">
      <c r="B9" s="6" t="s">
        <v>19</v>
      </c>
      <c r="C9" s="6"/>
      <c r="D9" s="6"/>
      <c r="E9" s="9">
        <f>SUM(E4:E8)</f>
        <v>18424.419000000002</v>
      </c>
      <c r="F9" s="16"/>
    </row>
    <row r="13" spans="1:9">
      <c r="A13" s="3"/>
      <c r="B13" s="4" t="s">
        <v>0</v>
      </c>
      <c r="C13" s="4"/>
      <c r="D13" s="4"/>
    </row>
    <row r="14" spans="1:9">
      <c r="A14" s="3"/>
      <c r="B14" s="11"/>
      <c r="C14" s="4"/>
      <c r="D14" s="4"/>
    </row>
    <row r="15" spans="1:9" ht="6.75" customHeight="1">
      <c r="A15" s="3"/>
      <c r="B15" s="4"/>
      <c r="C15" s="4"/>
      <c r="D15" s="4"/>
    </row>
    <row r="18" spans="1:15" ht="7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103</v>
      </c>
      <c r="K19">
        <v>92</v>
      </c>
      <c r="L19" s="2">
        <v>3.5000000000000001E-3</v>
      </c>
      <c r="M19">
        <v>2.5000000000000001E-2</v>
      </c>
      <c r="N19" s="2">
        <v>0.32200000000000001</v>
      </c>
      <c r="O19" s="2">
        <v>2.3000000000000003</v>
      </c>
    </row>
    <row r="20" spans="1:15">
      <c r="B20" t="s">
        <v>90</v>
      </c>
      <c r="C20" t="s">
        <v>33</v>
      </c>
      <c r="D20" t="s">
        <v>91</v>
      </c>
      <c r="E20" t="s">
        <v>92</v>
      </c>
      <c r="F20" t="s">
        <v>23</v>
      </c>
      <c r="G20" t="s">
        <v>91</v>
      </c>
      <c r="H20" t="s">
        <v>94</v>
      </c>
      <c r="I20" t="s">
        <v>93</v>
      </c>
      <c r="J20">
        <v>32624</v>
      </c>
      <c r="K20">
        <v>533</v>
      </c>
      <c r="L20" s="2">
        <v>0.6</v>
      </c>
      <c r="M20">
        <v>0.35</v>
      </c>
      <c r="N20" s="2">
        <v>19.574399999999997</v>
      </c>
      <c r="O20" s="2">
        <v>11.4184</v>
      </c>
    </row>
    <row r="21" spans="1:15">
      <c r="B21" t="s">
        <v>90</v>
      </c>
      <c r="C21" t="s">
        <v>33</v>
      </c>
      <c r="D21" t="s">
        <v>95</v>
      </c>
      <c r="E21" t="s">
        <v>96</v>
      </c>
      <c r="F21" t="s">
        <v>23</v>
      </c>
      <c r="G21" t="s">
        <v>95</v>
      </c>
      <c r="H21" t="s">
        <v>97</v>
      </c>
      <c r="I21" t="s">
        <v>93</v>
      </c>
      <c r="J21">
        <v>21882</v>
      </c>
      <c r="K21">
        <v>415</v>
      </c>
      <c r="L21" s="2">
        <v>0.6</v>
      </c>
      <c r="M21">
        <v>0.35</v>
      </c>
      <c r="N21" s="2">
        <v>13.129199999999999</v>
      </c>
      <c r="O21" s="2">
        <v>7.6586999999999996</v>
      </c>
    </row>
    <row r="22" spans="1:15">
      <c r="B22" t="s">
        <v>90</v>
      </c>
      <c r="C22" t="s">
        <v>33</v>
      </c>
      <c r="D22" t="s">
        <v>98</v>
      </c>
      <c r="E22" t="s">
        <v>99</v>
      </c>
      <c r="F22" t="s">
        <v>12</v>
      </c>
      <c r="G22" t="s">
        <v>98</v>
      </c>
      <c r="H22" t="s">
        <v>100</v>
      </c>
      <c r="I22" t="s">
        <v>34</v>
      </c>
      <c r="J22">
        <v>34118</v>
      </c>
      <c r="K22">
        <v>58</v>
      </c>
      <c r="L22" s="2">
        <v>0.04</v>
      </c>
      <c r="M22">
        <v>0.1</v>
      </c>
      <c r="N22" s="2">
        <v>1.3647199999999999</v>
      </c>
      <c r="O22" s="2">
        <v>3.4118000000000004</v>
      </c>
    </row>
    <row r="23" spans="1:15">
      <c r="B23" t="s">
        <v>90</v>
      </c>
      <c r="C23" t="s">
        <v>33</v>
      </c>
      <c r="D23" t="s">
        <v>101</v>
      </c>
      <c r="E23" t="s">
        <v>102</v>
      </c>
      <c r="F23" t="s">
        <v>12</v>
      </c>
      <c r="G23" t="s">
        <v>101</v>
      </c>
      <c r="H23" t="s">
        <v>103</v>
      </c>
      <c r="I23" t="s">
        <v>34</v>
      </c>
      <c r="J23">
        <v>28423</v>
      </c>
      <c r="K23">
        <v>26</v>
      </c>
      <c r="L23" s="2">
        <v>0.04</v>
      </c>
      <c r="M23">
        <v>0.1</v>
      </c>
      <c r="N23" s="2">
        <v>1.1369200000000002</v>
      </c>
      <c r="O23" s="2">
        <v>2.8423000000000003</v>
      </c>
    </row>
    <row r="24" spans="1:15">
      <c r="B24" t="s">
        <v>90</v>
      </c>
      <c r="C24" t="s">
        <v>33</v>
      </c>
      <c r="D24" t="s">
        <v>104</v>
      </c>
      <c r="E24" t="s">
        <v>105</v>
      </c>
      <c r="F24" t="s">
        <v>12</v>
      </c>
      <c r="G24" t="s">
        <v>104</v>
      </c>
      <c r="H24" t="s">
        <v>106</v>
      </c>
      <c r="I24" t="s">
        <v>34</v>
      </c>
      <c r="J24">
        <v>43326</v>
      </c>
      <c r="K24">
        <v>62</v>
      </c>
      <c r="L24" s="2">
        <v>0.04</v>
      </c>
      <c r="M24">
        <v>0.1</v>
      </c>
      <c r="N24" s="2">
        <v>1.7330399999999999</v>
      </c>
      <c r="O24" s="2">
        <v>4.3326000000000002</v>
      </c>
    </row>
    <row r="25" spans="1:15">
      <c r="B25" t="s">
        <v>90</v>
      </c>
      <c r="C25" t="s">
        <v>33</v>
      </c>
      <c r="D25" t="s">
        <v>107</v>
      </c>
      <c r="E25" t="s">
        <v>108</v>
      </c>
      <c r="F25" t="s">
        <v>12</v>
      </c>
      <c r="G25" t="s">
        <v>107</v>
      </c>
      <c r="H25" t="s">
        <v>109</v>
      </c>
      <c r="I25" t="s">
        <v>34</v>
      </c>
      <c r="J25">
        <v>110516</v>
      </c>
      <c r="K25">
        <v>151</v>
      </c>
      <c r="L25" s="2">
        <v>0.04</v>
      </c>
      <c r="M25">
        <v>0.1</v>
      </c>
      <c r="N25" s="2">
        <v>4.4206400000000006</v>
      </c>
      <c r="O25" s="2">
        <v>11.051600000000001</v>
      </c>
    </row>
    <row r="26" spans="1:15">
      <c r="B26" t="s">
        <v>90</v>
      </c>
      <c r="C26" t="s">
        <v>33</v>
      </c>
      <c r="D26" t="s">
        <v>110</v>
      </c>
      <c r="E26" t="s">
        <v>111</v>
      </c>
      <c r="F26" t="s">
        <v>12</v>
      </c>
      <c r="G26" t="s">
        <v>110</v>
      </c>
      <c r="H26" t="s">
        <v>112</v>
      </c>
      <c r="I26" t="s">
        <v>34</v>
      </c>
      <c r="J26">
        <v>41669</v>
      </c>
      <c r="K26">
        <v>41</v>
      </c>
      <c r="L26" s="2">
        <v>0.04</v>
      </c>
      <c r="M26">
        <v>0.1</v>
      </c>
      <c r="N26" s="2">
        <v>1.66676</v>
      </c>
      <c r="O26" s="2">
        <v>4.1669000000000009</v>
      </c>
    </row>
    <row r="27" spans="1:15">
      <c r="B27" t="s">
        <v>90</v>
      </c>
      <c r="C27" t="s">
        <v>33</v>
      </c>
      <c r="D27" t="s">
        <v>113</v>
      </c>
      <c r="E27" t="s">
        <v>114</v>
      </c>
      <c r="F27" t="s">
        <v>12</v>
      </c>
      <c r="G27" t="s">
        <v>113</v>
      </c>
      <c r="H27" t="s">
        <v>115</v>
      </c>
      <c r="I27" t="s">
        <v>34</v>
      </c>
      <c r="J27">
        <v>31458</v>
      </c>
      <c r="K27">
        <v>50</v>
      </c>
      <c r="L27" s="2">
        <v>0.04</v>
      </c>
      <c r="M27">
        <v>0.1</v>
      </c>
      <c r="N27" s="2">
        <v>1.2583199999999999</v>
      </c>
      <c r="O27" s="2">
        <v>3.1458000000000004</v>
      </c>
    </row>
    <row r="28" spans="1:15">
      <c r="B28" t="s">
        <v>90</v>
      </c>
      <c r="C28" t="s">
        <v>33</v>
      </c>
      <c r="D28" t="s">
        <v>116</v>
      </c>
      <c r="E28" t="s">
        <v>117</v>
      </c>
      <c r="F28" t="s">
        <v>12</v>
      </c>
      <c r="G28" t="s">
        <v>116</v>
      </c>
      <c r="H28" t="s">
        <v>118</v>
      </c>
      <c r="I28" t="s">
        <v>34</v>
      </c>
      <c r="J28">
        <v>119291</v>
      </c>
      <c r="K28">
        <v>369</v>
      </c>
      <c r="L28" s="2">
        <v>0.04</v>
      </c>
      <c r="M28">
        <v>0.1</v>
      </c>
      <c r="N28" s="2">
        <v>4.7716400000000005</v>
      </c>
      <c r="O28" s="2">
        <v>11.9291</v>
      </c>
    </row>
    <row r="29" spans="1:15">
      <c r="B29" t="s">
        <v>90</v>
      </c>
      <c r="C29" t="s">
        <v>33</v>
      </c>
      <c r="D29" t="s">
        <v>119</v>
      </c>
      <c r="E29" t="s">
        <v>120</v>
      </c>
      <c r="F29" t="s">
        <v>12</v>
      </c>
      <c r="G29" t="s">
        <v>119</v>
      </c>
      <c r="H29" t="s">
        <v>121</v>
      </c>
      <c r="I29" t="s">
        <v>34</v>
      </c>
      <c r="J29">
        <v>117359</v>
      </c>
      <c r="K29">
        <v>160</v>
      </c>
      <c r="L29" s="2">
        <v>0.04</v>
      </c>
      <c r="M29">
        <v>0.1</v>
      </c>
      <c r="N29" s="2">
        <v>4.6943599999999996</v>
      </c>
      <c r="O29" s="2">
        <v>11.735900000000001</v>
      </c>
    </row>
    <row r="30" spans="1:15">
      <c r="B30" t="s">
        <v>90</v>
      </c>
      <c r="C30" t="s">
        <v>33</v>
      </c>
      <c r="D30" t="s">
        <v>122</v>
      </c>
      <c r="E30" t="s">
        <v>123</v>
      </c>
      <c r="F30" t="s">
        <v>12</v>
      </c>
      <c r="G30" t="s">
        <v>122</v>
      </c>
      <c r="H30" t="s">
        <v>124</v>
      </c>
      <c r="I30" t="s">
        <v>34</v>
      </c>
      <c r="J30">
        <v>1</v>
      </c>
      <c r="K30">
        <v>1</v>
      </c>
      <c r="L30" s="2">
        <v>0.04</v>
      </c>
      <c r="M30">
        <v>0.1</v>
      </c>
      <c r="N30" s="2">
        <v>4.0000000000000003E-5</v>
      </c>
      <c r="O30" s="2">
        <v>1E-4</v>
      </c>
    </row>
    <row r="31" spans="1:15">
      <c r="B31" t="s">
        <v>90</v>
      </c>
      <c r="C31" t="s">
        <v>33</v>
      </c>
      <c r="D31" t="s">
        <v>125</v>
      </c>
      <c r="E31" t="s">
        <v>126</v>
      </c>
      <c r="F31" t="s">
        <v>12</v>
      </c>
      <c r="G31" t="s">
        <v>125</v>
      </c>
      <c r="H31" t="s">
        <v>127</v>
      </c>
      <c r="I31" t="s">
        <v>34</v>
      </c>
      <c r="J31">
        <v>1</v>
      </c>
      <c r="K31">
        <v>1</v>
      </c>
      <c r="L31" s="2">
        <v>0.04</v>
      </c>
      <c r="M31">
        <v>0.1</v>
      </c>
      <c r="N31" s="2">
        <v>4.0000000000000003E-5</v>
      </c>
      <c r="O31" s="2">
        <v>1E-4</v>
      </c>
    </row>
    <row r="32" spans="1:15">
      <c r="B32" t="s">
        <v>90</v>
      </c>
      <c r="C32" t="s">
        <v>33</v>
      </c>
      <c r="D32" t="s">
        <v>128</v>
      </c>
      <c r="E32" t="s">
        <v>129</v>
      </c>
      <c r="F32" t="s">
        <v>12</v>
      </c>
      <c r="G32" t="s">
        <v>128</v>
      </c>
      <c r="H32" t="s">
        <v>130</v>
      </c>
      <c r="I32" t="s">
        <v>34</v>
      </c>
      <c r="J32">
        <v>3</v>
      </c>
      <c r="K32">
        <v>1</v>
      </c>
      <c r="L32" s="2">
        <v>0.04</v>
      </c>
      <c r="M32">
        <v>0.1</v>
      </c>
      <c r="N32" s="2">
        <v>1.1999999999999999E-4</v>
      </c>
      <c r="O32" s="2">
        <v>3.0000000000000003E-4</v>
      </c>
    </row>
    <row r="33" spans="2:15">
      <c r="B33" t="s">
        <v>90</v>
      </c>
      <c r="C33" t="s">
        <v>33</v>
      </c>
      <c r="D33" t="s">
        <v>131</v>
      </c>
      <c r="E33" t="s">
        <v>132</v>
      </c>
      <c r="F33" t="s">
        <v>12</v>
      </c>
      <c r="G33" t="s">
        <v>131</v>
      </c>
      <c r="H33" t="s">
        <v>133</v>
      </c>
      <c r="I33" t="s">
        <v>34</v>
      </c>
      <c r="J33">
        <v>97238</v>
      </c>
      <c r="K33">
        <v>22</v>
      </c>
      <c r="L33" s="2">
        <v>0.04</v>
      </c>
      <c r="M33">
        <v>0.1</v>
      </c>
      <c r="N33" s="2">
        <v>3.8895200000000001</v>
      </c>
      <c r="O33" s="2">
        <v>9.7238000000000007</v>
      </c>
    </row>
    <row r="34" spans="2:15">
      <c r="B34" t="s">
        <v>90</v>
      </c>
      <c r="C34" t="s">
        <v>33</v>
      </c>
      <c r="D34" t="s">
        <v>134</v>
      </c>
      <c r="E34" t="s">
        <v>135</v>
      </c>
      <c r="F34" t="s">
        <v>11</v>
      </c>
      <c r="G34" t="s">
        <v>136</v>
      </c>
      <c r="H34" t="s">
        <v>137</v>
      </c>
      <c r="I34" t="s">
        <v>34</v>
      </c>
      <c r="J34">
        <v>1</v>
      </c>
      <c r="K34">
        <v>0</v>
      </c>
      <c r="L34" s="2">
        <v>0.04</v>
      </c>
      <c r="M34">
        <v>0.1</v>
      </c>
      <c r="N34" s="2">
        <v>4.0000000000000003E-5</v>
      </c>
      <c r="O34" s="2">
        <v>1E-4</v>
      </c>
    </row>
    <row r="35" spans="2:15">
      <c r="B35" t="s">
        <v>90</v>
      </c>
      <c r="C35" t="s">
        <v>33</v>
      </c>
      <c r="D35" t="s">
        <v>134</v>
      </c>
      <c r="E35" t="s">
        <v>135</v>
      </c>
      <c r="F35" t="s">
        <v>12</v>
      </c>
      <c r="G35" t="s">
        <v>134</v>
      </c>
      <c r="H35" t="s">
        <v>138</v>
      </c>
      <c r="I35" t="s">
        <v>34</v>
      </c>
      <c r="J35">
        <v>330170</v>
      </c>
      <c r="K35">
        <v>71</v>
      </c>
      <c r="L35" s="2">
        <v>0.04</v>
      </c>
      <c r="M35">
        <v>0.1</v>
      </c>
      <c r="N35" s="2">
        <v>13.206800000000001</v>
      </c>
      <c r="O35" s="2">
        <v>33.017000000000003</v>
      </c>
    </row>
    <row r="36" spans="2:15">
      <c r="B36" t="s">
        <v>90</v>
      </c>
      <c r="C36" t="s">
        <v>33</v>
      </c>
      <c r="D36" t="s">
        <v>139</v>
      </c>
      <c r="E36" t="s">
        <v>140</v>
      </c>
      <c r="F36" t="s">
        <v>12</v>
      </c>
      <c r="G36" t="s">
        <v>139</v>
      </c>
      <c r="H36" t="s">
        <v>141</v>
      </c>
      <c r="I36" t="s">
        <v>34</v>
      </c>
      <c r="J36">
        <v>79685</v>
      </c>
      <c r="K36">
        <v>12</v>
      </c>
      <c r="L36" s="2">
        <v>0.04</v>
      </c>
      <c r="M36">
        <v>0.1</v>
      </c>
      <c r="N36" s="2">
        <v>3.1874000000000002</v>
      </c>
      <c r="O36" s="2">
        <v>7.9684999999999997</v>
      </c>
    </row>
    <row r="37" spans="2:15">
      <c r="B37" t="s">
        <v>90</v>
      </c>
      <c r="C37" t="s">
        <v>33</v>
      </c>
      <c r="D37" t="s">
        <v>142</v>
      </c>
      <c r="E37" t="s">
        <v>143</v>
      </c>
      <c r="F37" t="s">
        <v>12</v>
      </c>
      <c r="G37" t="s">
        <v>142</v>
      </c>
      <c r="H37" t="s">
        <v>144</v>
      </c>
      <c r="I37" t="s">
        <v>34</v>
      </c>
      <c r="J37">
        <v>81942</v>
      </c>
      <c r="K37">
        <v>19</v>
      </c>
      <c r="L37" s="2">
        <v>0.04</v>
      </c>
      <c r="M37">
        <v>0.1</v>
      </c>
      <c r="N37" s="2">
        <v>3.2776800000000001</v>
      </c>
      <c r="O37" s="2">
        <v>8.1942000000000004</v>
      </c>
    </row>
    <row r="38" spans="2:15">
      <c r="B38" t="s">
        <v>145</v>
      </c>
      <c r="C38" t="s">
        <v>33</v>
      </c>
      <c r="D38" t="s">
        <v>146</v>
      </c>
      <c r="E38" t="s">
        <v>147</v>
      </c>
      <c r="F38" t="s">
        <v>12</v>
      </c>
      <c r="G38" t="s">
        <v>146</v>
      </c>
      <c r="H38" t="s">
        <v>148</v>
      </c>
      <c r="I38" t="s">
        <v>34</v>
      </c>
      <c r="J38">
        <v>1</v>
      </c>
      <c r="K38">
        <v>0</v>
      </c>
      <c r="L38" s="2">
        <v>0.04</v>
      </c>
      <c r="M38">
        <v>0.1</v>
      </c>
      <c r="N38" s="2">
        <v>4.0000000000000003E-5</v>
      </c>
      <c r="O38" s="2">
        <v>1E-4</v>
      </c>
    </row>
    <row r="39" spans="2:15">
      <c r="B39" t="s">
        <v>145</v>
      </c>
      <c r="C39" t="s">
        <v>33</v>
      </c>
      <c r="D39" t="s">
        <v>149</v>
      </c>
      <c r="E39" t="s">
        <v>150</v>
      </c>
      <c r="F39" t="s">
        <v>12</v>
      </c>
      <c r="G39" t="s">
        <v>149</v>
      </c>
      <c r="H39" t="s">
        <v>151</v>
      </c>
      <c r="I39" t="s">
        <v>34</v>
      </c>
      <c r="J39">
        <v>2</v>
      </c>
      <c r="K39">
        <v>0</v>
      </c>
      <c r="L39" s="2">
        <v>0.04</v>
      </c>
      <c r="M39">
        <v>0.1</v>
      </c>
      <c r="N39" s="2">
        <v>8.0000000000000007E-5</v>
      </c>
      <c r="O39" s="2">
        <v>2.0000000000000001E-4</v>
      </c>
    </row>
    <row r="40" spans="2:15">
      <c r="B40" t="s">
        <v>145</v>
      </c>
      <c r="C40" t="s">
        <v>33</v>
      </c>
      <c r="D40" t="s">
        <v>152</v>
      </c>
      <c r="E40" t="s">
        <v>153</v>
      </c>
      <c r="F40" t="s">
        <v>10</v>
      </c>
      <c r="G40" t="s">
        <v>152</v>
      </c>
      <c r="H40" t="s">
        <v>154</v>
      </c>
      <c r="I40" t="s">
        <v>24</v>
      </c>
      <c r="J40">
        <v>4</v>
      </c>
      <c r="K40">
        <v>4</v>
      </c>
      <c r="L40" s="2">
        <v>3.5000000000000001E-3</v>
      </c>
      <c r="M40">
        <v>2.5000000000000001E-2</v>
      </c>
      <c r="N40" s="2">
        <v>1.4E-2</v>
      </c>
      <c r="O40" s="2">
        <v>0.1</v>
      </c>
    </row>
    <row r="41" spans="2:15">
      <c r="B41" t="s">
        <v>35</v>
      </c>
      <c r="C41" t="s">
        <v>36</v>
      </c>
      <c r="D41" t="s">
        <v>37</v>
      </c>
      <c r="E41" t="s">
        <v>38</v>
      </c>
      <c r="F41" t="s">
        <v>10</v>
      </c>
      <c r="G41" t="s">
        <v>37</v>
      </c>
      <c r="H41" t="s">
        <v>39</v>
      </c>
      <c r="I41" t="s">
        <v>24</v>
      </c>
      <c r="J41">
        <v>11</v>
      </c>
      <c r="K41">
        <v>9</v>
      </c>
      <c r="L41" s="2">
        <v>3.5000000000000001E-3</v>
      </c>
      <c r="M41">
        <v>2.5000000000000001E-2</v>
      </c>
      <c r="N41" s="2">
        <v>3.15E-2</v>
      </c>
      <c r="O41" s="2">
        <v>0.22500000000000001</v>
      </c>
    </row>
    <row r="42" spans="2:15">
      <c r="B42" t="s">
        <v>35</v>
      </c>
      <c r="C42" t="s">
        <v>36</v>
      </c>
      <c r="D42" t="s">
        <v>40</v>
      </c>
      <c r="E42" t="s">
        <v>41</v>
      </c>
      <c r="F42" t="s">
        <v>10</v>
      </c>
      <c r="G42" t="s">
        <v>40</v>
      </c>
      <c r="H42" t="s">
        <v>42</v>
      </c>
      <c r="I42" t="s">
        <v>24</v>
      </c>
      <c r="J42">
        <v>0</v>
      </c>
      <c r="K42">
        <v>1</v>
      </c>
      <c r="L42" s="2">
        <v>3.5000000000000001E-3</v>
      </c>
      <c r="M42">
        <v>2.5000000000000001E-2</v>
      </c>
      <c r="N42" s="2">
        <v>3.5000000000000001E-3</v>
      </c>
      <c r="O42" s="2">
        <v>2.5000000000000001E-2</v>
      </c>
    </row>
    <row r="43" spans="2:15">
      <c r="B43" t="s">
        <v>35</v>
      </c>
      <c r="C43" t="s">
        <v>36</v>
      </c>
      <c r="D43" t="s">
        <v>43</v>
      </c>
      <c r="E43" t="s">
        <v>44</v>
      </c>
      <c r="F43" t="s">
        <v>10</v>
      </c>
      <c r="G43" t="s">
        <v>43</v>
      </c>
      <c r="H43" t="s">
        <v>45</v>
      </c>
      <c r="I43" t="s">
        <v>24</v>
      </c>
      <c r="J43">
        <v>0</v>
      </c>
      <c r="K43">
        <v>258</v>
      </c>
      <c r="L43" s="2">
        <v>3.5000000000000001E-3</v>
      </c>
      <c r="M43">
        <v>2.5000000000000001E-2</v>
      </c>
      <c r="N43" s="2">
        <v>0.90300000000000002</v>
      </c>
      <c r="O43" s="2">
        <v>6.45</v>
      </c>
    </row>
    <row r="44" spans="2:15">
      <c r="B44" t="s">
        <v>35</v>
      </c>
      <c r="C44" t="s">
        <v>33</v>
      </c>
      <c r="D44" t="s">
        <v>63</v>
      </c>
      <c r="E44" t="s">
        <v>64</v>
      </c>
      <c r="F44" t="s">
        <v>10</v>
      </c>
      <c r="G44" t="s">
        <v>63</v>
      </c>
      <c r="H44" t="s">
        <v>65</v>
      </c>
      <c r="I44" t="s">
        <v>24</v>
      </c>
      <c r="J44">
        <v>0</v>
      </c>
      <c r="K44">
        <v>18</v>
      </c>
      <c r="L44" s="2">
        <v>3.5000000000000001E-3</v>
      </c>
      <c r="M44">
        <v>2.5000000000000001E-2</v>
      </c>
      <c r="N44" s="2">
        <v>6.3E-2</v>
      </c>
      <c r="O44" s="2">
        <v>0.45</v>
      </c>
    </row>
    <row r="45" spans="2:15">
      <c r="B45" t="s">
        <v>35</v>
      </c>
      <c r="C45" t="s">
        <v>33</v>
      </c>
      <c r="D45" t="s">
        <v>66</v>
      </c>
      <c r="E45" t="s">
        <v>67</v>
      </c>
      <c r="F45" t="s">
        <v>10</v>
      </c>
      <c r="G45" t="s">
        <v>66</v>
      </c>
      <c r="H45" t="s">
        <v>68</v>
      </c>
      <c r="I45" t="s">
        <v>24</v>
      </c>
      <c r="J45">
        <v>0</v>
      </c>
      <c r="K45">
        <v>18</v>
      </c>
      <c r="L45" s="2">
        <v>3.5000000000000001E-3</v>
      </c>
      <c r="M45">
        <v>2.5000000000000001E-2</v>
      </c>
      <c r="N45" s="2">
        <v>6.3E-2</v>
      </c>
      <c r="O45" s="2">
        <v>0.45</v>
      </c>
    </row>
    <row r="46" spans="2:15">
      <c r="B46" t="s">
        <v>35</v>
      </c>
      <c r="C46" t="s">
        <v>33</v>
      </c>
      <c r="D46" t="s">
        <v>69</v>
      </c>
      <c r="E46" t="s">
        <v>70</v>
      </c>
      <c r="F46" t="s">
        <v>12</v>
      </c>
      <c r="G46" t="s">
        <v>69</v>
      </c>
      <c r="H46" t="s">
        <v>71</v>
      </c>
      <c r="I46" t="s">
        <v>34</v>
      </c>
      <c r="J46">
        <v>2</v>
      </c>
      <c r="K46">
        <v>0</v>
      </c>
      <c r="L46" s="2">
        <v>0.04</v>
      </c>
      <c r="M46">
        <v>0.1</v>
      </c>
      <c r="N46" s="2">
        <v>8.0000000000000007E-5</v>
      </c>
      <c r="O46" s="2">
        <v>2.0000000000000001E-4</v>
      </c>
    </row>
    <row r="47" spans="2:15">
      <c r="B47" t="s">
        <v>35</v>
      </c>
      <c r="C47" t="s">
        <v>33</v>
      </c>
      <c r="D47" t="s">
        <v>46</v>
      </c>
      <c r="E47" t="s">
        <v>47</v>
      </c>
      <c r="F47" t="s">
        <v>10</v>
      </c>
      <c r="G47" t="s">
        <v>46</v>
      </c>
      <c r="H47" t="s">
        <v>48</v>
      </c>
      <c r="I47" t="s">
        <v>24</v>
      </c>
      <c r="J47">
        <v>14</v>
      </c>
      <c r="K47">
        <v>0</v>
      </c>
      <c r="L47" s="2">
        <v>3.5000000000000001E-3</v>
      </c>
      <c r="M47">
        <v>2.5000000000000001E-2</v>
      </c>
      <c r="N47" s="2">
        <v>0</v>
      </c>
      <c r="O47" s="2">
        <v>0</v>
      </c>
    </row>
    <row r="48" spans="2:15">
      <c r="B48" t="s">
        <v>35</v>
      </c>
      <c r="C48" t="s">
        <v>29</v>
      </c>
      <c r="D48" t="s">
        <v>72</v>
      </c>
      <c r="E48" t="s">
        <v>73</v>
      </c>
      <c r="F48" t="s">
        <v>10</v>
      </c>
      <c r="G48" t="s">
        <v>72</v>
      </c>
      <c r="H48" t="s">
        <v>74</v>
      </c>
      <c r="I48" t="s">
        <v>24</v>
      </c>
      <c r="J48">
        <v>20</v>
      </c>
      <c r="K48">
        <v>6</v>
      </c>
      <c r="L48" s="2">
        <v>3.5000000000000001E-3</v>
      </c>
      <c r="M48">
        <v>2.5000000000000001E-2</v>
      </c>
      <c r="N48" s="2">
        <v>2.1000000000000001E-2</v>
      </c>
      <c r="O48" s="2">
        <v>0.15000000000000002</v>
      </c>
    </row>
    <row r="49" spans="2:15">
      <c r="B49" t="s">
        <v>35</v>
      </c>
      <c r="C49" t="s">
        <v>29</v>
      </c>
      <c r="D49" t="s">
        <v>75</v>
      </c>
      <c r="E49" t="s">
        <v>76</v>
      </c>
      <c r="F49" t="s">
        <v>10</v>
      </c>
      <c r="G49" t="s">
        <v>75</v>
      </c>
      <c r="H49" t="s">
        <v>77</v>
      </c>
      <c r="I49" t="s">
        <v>24</v>
      </c>
      <c r="J49">
        <v>49</v>
      </c>
      <c r="K49">
        <v>6</v>
      </c>
      <c r="L49" s="2">
        <v>3.5000000000000001E-3</v>
      </c>
      <c r="M49">
        <v>2.5000000000000001E-2</v>
      </c>
      <c r="N49" s="2">
        <v>2.1000000000000001E-2</v>
      </c>
      <c r="O49" s="2">
        <v>0.15000000000000002</v>
      </c>
    </row>
    <row r="50" spans="2:15">
      <c r="B50" t="s">
        <v>35</v>
      </c>
      <c r="C50" t="s">
        <v>29</v>
      </c>
      <c r="D50" t="s">
        <v>78</v>
      </c>
      <c r="E50" t="s">
        <v>79</v>
      </c>
      <c r="F50" t="s">
        <v>10</v>
      </c>
      <c r="G50" t="s">
        <v>78</v>
      </c>
      <c r="H50" t="s">
        <v>80</v>
      </c>
      <c r="I50" t="s">
        <v>24</v>
      </c>
      <c r="J50">
        <v>37</v>
      </c>
      <c r="K50">
        <v>25</v>
      </c>
      <c r="L50" s="2">
        <v>3.5000000000000001E-3</v>
      </c>
      <c r="M50">
        <v>2.5000000000000001E-2</v>
      </c>
      <c r="N50" s="2">
        <v>8.7500000000000008E-2</v>
      </c>
      <c r="O50" s="2">
        <v>0.625</v>
      </c>
    </row>
    <row r="51" spans="2:15">
      <c r="B51" t="s">
        <v>35</v>
      </c>
      <c r="C51" t="s">
        <v>29</v>
      </c>
      <c r="D51" t="s">
        <v>81</v>
      </c>
      <c r="E51" t="s">
        <v>82</v>
      </c>
      <c r="F51" t="s">
        <v>10</v>
      </c>
      <c r="G51" t="s">
        <v>81</v>
      </c>
      <c r="H51" t="s">
        <v>83</v>
      </c>
      <c r="I51" t="s">
        <v>24</v>
      </c>
      <c r="J51">
        <v>2</v>
      </c>
      <c r="K51">
        <v>3</v>
      </c>
      <c r="L51" s="2">
        <v>3.5000000000000001E-3</v>
      </c>
      <c r="M51">
        <v>2.5000000000000001E-2</v>
      </c>
      <c r="N51" s="2">
        <v>1.0500000000000001E-2</v>
      </c>
      <c r="O51" s="2">
        <v>7.5000000000000011E-2</v>
      </c>
    </row>
    <row r="52" spans="2:15">
      <c r="B52" t="s">
        <v>35</v>
      </c>
      <c r="C52" t="s">
        <v>29</v>
      </c>
      <c r="D52" t="s">
        <v>84</v>
      </c>
      <c r="E52" t="s">
        <v>85</v>
      </c>
      <c r="F52" t="s">
        <v>10</v>
      </c>
      <c r="G52" t="s">
        <v>84</v>
      </c>
      <c r="H52" t="s">
        <v>86</v>
      </c>
      <c r="I52" t="s">
        <v>24</v>
      </c>
      <c r="J52">
        <v>17</v>
      </c>
      <c r="K52">
        <v>27</v>
      </c>
      <c r="L52" s="2">
        <v>3.5000000000000001E-3</v>
      </c>
      <c r="M52">
        <v>2.5000000000000001E-2</v>
      </c>
      <c r="N52" s="2">
        <v>9.4500000000000001E-2</v>
      </c>
      <c r="O52" s="2">
        <v>0.67500000000000004</v>
      </c>
    </row>
    <row r="53" spans="2:15">
      <c r="B53" t="s">
        <v>35</v>
      </c>
      <c r="C53" t="s">
        <v>29</v>
      </c>
      <c r="D53" t="s">
        <v>87</v>
      </c>
      <c r="E53" t="s">
        <v>88</v>
      </c>
      <c r="F53" t="s">
        <v>10</v>
      </c>
      <c r="G53" t="s">
        <v>87</v>
      </c>
      <c r="H53" t="s">
        <v>89</v>
      </c>
      <c r="I53" t="s">
        <v>24</v>
      </c>
      <c r="J53">
        <v>31</v>
      </c>
      <c r="K53">
        <v>20</v>
      </c>
      <c r="L53" s="2">
        <v>3.5000000000000001E-3</v>
      </c>
      <c r="M53">
        <v>2.5000000000000001E-2</v>
      </c>
      <c r="N53" s="2">
        <v>7.0000000000000007E-2</v>
      </c>
      <c r="O53" s="2">
        <v>0.5</v>
      </c>
    </row>
    <row r="54" spans="2:15">
      <c r="B54" t="s">
        <v>35</v>
      </c>
      <c r="C54" t="s">
        <v>51</v>
      </c>
      <c r="D54" t="s">
        <v>52</v>
      </c>
      <c r="E54" t="s">
        <v>53</v>
      </c>
      <c r="F54" t="s">
        <v>10</v>
      </c>
      <c r="G54" t="s">
        <v>52</v>
      </c>
      <c r="H54" t="s">
        <v>54</v>
      </c>
      <c r="I54" t="s">
        <v>24</v>
      </c>
      <c r="J54">
        <v>0</v>
      </c>
      <c r="K54">
        <v>1</v>
      </c>
      <c r="L54" s="2">
        <v>3.5000000000000001E-3</v>
      </c>
      <c r="M54">
        <v>2.5000000000000001E-2</v>
      </c>
      <c r="N54" s="2">
        <v>3.5000000000000001E-3</v>
      </c>
      <c r="O54" s="2">
        <v>2.5000000000000001E-2</v>
      </c>
    </row>
    <row r="55" spans="2:15">
      <c r="B55" t="s">
        <v>35</v>
      </c>
      <c r="C55" t="s">
        <v>51</v>
      </c>
      <c r="D55" t="s">
        <v>55</v>
      </c>
      <c r="E55" t="s">
        <v>56</v>
      </c>
      <c r="F55" t="s">
        <v>10</v>
      </c>
      <c r="G55" t="s">
        <v>55</v>
      </c>
      <c r="H55" t="s">
        <v>57</v>
      </c>
      <c r="I55" t="s">
        <v>24</v>
      </c>
      <c r="J55">
        <v>2</v>
      </c>
      <c r="K55">
        <v>0</v>
      </c>
      <c r="L55" s="2">
        <v>3.5000000000000001E-3</v>
      </c>
      <c r="M55">
        <v>2.5000000000000001E-2</v>
      </c>
      <c r="N55" s="2">
        <v>0</v>
      </c>
      <c r="O55" s="2">
        <v>0</v>
      </c>
    </row>
    <row r="56" spans="2:15">
      <c r="B56" t="s">
        <v>35</v>
      </c>
      <c r="C56" t="s">
        <v>58</v>
      </c>
      <c r="D56" t="s">
        <v>59</v>
      </c>
      <c r="E56" t="s">
        <v>60</v>
      </c>
      <c r="F56" t="s">
        <v>10</v>
      </c>
      <c r="G56" t="s">
        <v>59</v>
      </c>
      <c r="H56" t="s">
        <v>61</v>
      </c>
      <c r="I56" t="s">
        <v>24</v>
      </c>
      <c r="J56">
        <v>0</v>
      </c>
      <c r="K56">
        <v>1</v>
      </c>
      <c r="L56" s="2">
        <v>3.5000000000000001E-3</v>
      </c>
      <c r="M56">
        <v>2.5000000000000001E-2</v>
      </c>
      <c r="N56" s="2">
        <v>3.5000000000000001E-3</v>
      </c>
      <c r="O56" s="2">
        <v>2.5000000000000001E-2</v>
      </c>
    </row>
    <row r="57" spans="2:15">
      <c r="B57" t="s">
        <v>155</v>
      </c>
      <c r="C57" t="s">
        <v>29</v>
      </c>
      <c r="D57" t="s">
        <v>156</v>
      </c>
      <c r="E57" t="s">
        <v>157</v>
      </c>
      <c r="F57" t="s">
        <v>10</v>
      </c>
      <c r="G57" t="s">
        <v>156</v>
      </c>
      <c r="H57" t="s">
        <v>158</v>
      </c>
      <c r="I57" t="s">
        <v>24</v>
      </c>
      <c r="J57">
        <v>0</v>
      </c>
      <c r="K57">
        <v>162</v>
      </c>
      <c r="L57" s="2">
        <v>3.5000000000000001E-3</v>
      </c>
      <c r="M57">
        <v>2.5000000000000001E-2</v>
      </c>
      <c r="N57" s="2">
        <v>0.56700000000000006</v>
      </c>
      <c r="O57" s="2">
        <v>4.05</v>
      </c>
    </row>
    <row r="58" spans="2:15">
      <c r="B58" t="s">
        <v>155</v>
      </c>
      <c r="C58" t="s">
        <v>29</v>
      </c>
      <c r="D58" t="s">
        <v>159</v>
      </c>
      <c r="E58" t="s">
        <v>160</v>
      </c>
      <c r="F58" t="s">
        <v>10</v>
      </c>
      <c r="G58" t="s">
        <v>159</v>
      </c>
      <c r="H58" t="s">
        <v>161</v>
      </c>
      <c r="I58" t="s">
        <v>24</v>
      </c>
      <c r="J58">
        <v>0</v>
      </c>
      <c r="K58">
        <v>1011</v>
      </c>
      <c r="L58" s="2">
        <v>3.5000000000000001E-3</v>
      </c>
      <c r="M58">
        <v>2.5000000000000001E-2</v>
      </c>
      <c r="N58" s="2">
        <v>3.5385</v>
      </c>
      <c r="O58" s="2">
        <v>25.275000000000002</v>
      </c>
    </row>
    <row r="59" spans="2:15">
      <c r="B59" t="s">
        <v>155</v>
      </c>
      <c r="C59" t="s">
        <v>29</v>
      </c>
      <c r="D59" t="s">
        <v>162</v>
      </c>
      <c r="E59" t="s">
        <v>163</v>
      </c>
      <c r="F59" t="s">
        <v>10</v>
      </c>
      <c r="G59" t="s">
        <v>162</v>
      </c>
      <c r="H59" t="s">
        <v>164</v>
      </c>
      <c r="I59" t="s">
        <v>24</v>
      </c>
      <c r="J59">
        <v>0</v>
      </c>
      <c r="K59">
        <v>550</v>
      </c>
      <c r="L59" s="2">
        <v>3.5000000000000001E-3</v>
      </c>
      <c r="M59">
        <v>2.5000000000000001E-2</v>
      </c>
      <c r="N59" s="2">
        <v>1.925</v>
      </c>
      <c r="O59" s="2">
        <v>13.75</v>
      </c>
    </row>
    <row r="60" spans="2:15">
      <c r="B60" t="s">
        <v>165</v>
      </c>
      <c r="C60" t="s">
        <v>166</v>
      </c>
      <c r="D60" t="s">
        <v>165</v>
      </c>
      <c r="E60" t="s">
        <v>167</v>
      </c>
      <c r="F60" t="s">
        <v>10</v>
      </c>
      <c r="G60" t="s">
        <v>168</v>
      </c>
      <c r="H60" t="s">
        <v>169</v>
      </c>
      <c r="I60" t="s">
        <v>24</v>
      </c>
      <c r="J60">
        <v>1</v>
      </c>
      <c r="K60">
        <v>78</v>
      </c>
      <c r="L60" s="2">
        <v>3.5000000000000001E-3</v>
      </c>
      <c r="M60">
        <v>2.5000000000000001E-2</v>
      </c>
      <c r="N60" s="2">
        <v>0.27300000000000002</v>
      </c>
      <c r="O60" s="2">
        <v>1.9500000000000002</v>
      </c>
    </row>
    <row r="61" spans="2:15">
      <c r="B61" t="s">
        <v>170</v>
      </c>
      <c r="C61" t="s">
        <v>171</v>
      </c>
      <c r="D61" t="s">
        <v>172</v>
      </c>
      <c r="E61" t="s">
        <v>173</v>
      </c>
      <c r="F61" t="s">
        <v>10</v>
      </c>
      <c r="G61" t="s">
        <v>172</v>
      </c>
      <c r="H61" t="s">
        <v>174</v>
      </c>
      <c r="I61" t="s">
        <v>24</v>
      </c>
      <c r="J61">
        <v>0</v>
      </c>
      <c r="K61">
        <v>1247</v>
      </c>
      <c r="L61" s="2">
        <v>3.5000000000000001E-3</v>
      </c>
      <c r="M61">
        <v>2.5000000000000001E-2</v>
      </c>
      <c r="N61" s="2">
        <v>4.3645000000000005</v>
      </c>
      <c r="O61" s="2">
        <v>31.175000000000001</v>
      </c>
    </row>
    <row r="62" spans="2:15">
      <c r="B62" t="s">
        <v>170</v>
      </c>
      <c r="C62" t="s">
        <v>171</v>
      </c>
      <c r="D62" t="s">
        <v>175</v>
      </c>
      <c r="E62" t="s">
        <v>176</v>
      </c>
      <c r="F62" t="s">
        <v>10</v>
      </c>
      <c r="G62" t="s">
        <v>175</v>
      </c>
      <c r="H62" t="s">
        <v>177</v>
      </c>
      <c r="I62" t="s">
        <v>24</v>
      </c>
      <c r="J62">
        <v>0</v>
      </c>
      <c r="K62">
        <v>1</v>
      </c>
      <c r="L62" s="2">
        <v>3.5000000000000001E-3</v>
      </c>
      <c r="M62">
        <v>2.5000000000000001E-2</v>
      </c>
      <c r="N62" s="2">
        <v>3.5000000000000001E-3</v>
      </c>
      <c r="O62" s="2">
        <v>2.5000000000000001E-2</v>
      </c>
    </row>
    <row r="63" spans="2:15">
      <c r="B63" t="s">
        <v>170</v>
      </c>
      <c r="C63" t="s">
        <v>171</v>
      </c>
      <c r="D63" t="s">
        <v>178</v>
      </c>
      <c r="E63" t="s">
        <v>179</v>
      </c>
      <c r="F63" t="s">
        <v>10</v>
      </c>
      <c r="G63" t="s">
        <v>178</v>
      </c>
      <c r="H63" t="s">
        <v>180</v>
      </c>
      <c r="I63" t="s">
        <v>24</v>
      </c>
      <c r="J63">
        <v>0</v>
      </c>
      <c r="K63">
        <v>1</v>
      </c>
      <c r="L63" s="2">
        <v>3.5000000000000001E-3</v>
      </c>
      <c r="M63">
        <v>2.5000000000000001E-2</v>
      </c>
      <c r="N63" s="2">
        <v>3.5000000000000001E-3</v>
      </c>
      <c r="O63" s="2">
        <v>2.5000000000000001E-2</v>
      </c>
    </row>
    <row r="64" spans="2:15">
      <c r="B64" t="s">
        <v>170</v>
      </c>
      <c r="C64" t="s">
        <v>171</v>
      </c>
      <c r="D64" t="s">
        <v>181</v>
      </c>
      <c r="E64" t="s">
        <v>182</v>
      </c>
      <c r="F64" t="s">
        <v>10</v>
      </c>
      <c r="G64" t="s">
        <v>181</v>
      </c>
      <c r="H64" t="s">
        <v>183</v>
      </c>
      <c r="I64" t="s">
        <v>24</v>
      </c>
      <c r="J64">
        <v>0</v>
      </c>
      <c r="K64">
        <v>1</v>
      </c>
      <c r="L64" s="2">
        <v>3.5000000000000001E-3</v>
      </c>
      <c r="M64">
        <v>2.5000000000000001E-2</v>
      </c>
      <c r="N64" s="2">
        <v>3.5000000000000001E-3</v>
      </c>
      <c r="O64" s="2">
        <v>2.5000000000000001E-2</v>
      </c>
    </row>
    <row r="65" spans="2:15">
      <c r="B65" t="s">
        <v>170</v>
      </c>
      <c r="C65" t="s">
        <v>184</v>
      </c>
      <c r="D65" t="s">
        <v>185</v>
      </c>
      <c r="E65" t="s">
        <v>186</v>
      </c>
      <c r="F65" t="s">
        <v>10</v>
      </c>
      <c r="G65" t="s">
        <v>185</v>
      </c>
      <c r="H65" t="s">
        <v>187</v>
      </c>
      <c r="I65" t="s">
        <v>24</v>
      </c>
      <c r="J65">
        <v>149917</v>
      </c>
      <c r="K65">
        <v>84</v>
      </c>
      <c r="L65" s="2">
        <v>3.5000000000000001E-3</v>
      </c>
      <c r="M65">
        <v>2.5000000000000001E-2</v>
      </c>
      <c r="N65" s="2">
        <v>0.29399999999999998</v>
      </c>
      <c r="O65" s="2">
        <v>2.1</v>
      </c>
    </row>
    <row r="66" spans="2:15">
      <c r="B66" t="s">
        <v>170</v>
      </c>
      <c r="C66" t="s">
        <v>184</v>
      </c>
      <c r="D66" t="s">
        <v>188</v>
      </c>
      <c r="E66" t="s">
        <v>189</v>
      </c>
      <c r="F66" t="s">
        <v>10</v>
      </c>
      <c r="G66" t="s">
        <v>188</v>
      </c>
      <c r="H66" t="s">
        <v>190</v>
      </c>
      <c r="I66" t="s">
        <v>24</v>
      </c>
      <c r="J66">
        <v>649</v>
      </c>
      <c r="K66">
        <v>1</v>
      </c>
      <c r="L66" s="2">
        <v>3.5000000000000001E-3</v>
      </c>
      <c r="M66">
        <v>2.5000000000000001E-2</v>
      </c>
      <c r="N66" s="2">
        <v>3.5000000000000001E-3</v>
      </c>
      <c r="O66" s="2">
        <v>2.5000000000000001E-2</v>
      </c>
    </row>
    <row r="67" spans="2:15">
      <c r="B67" t="s">
        <v>170</v>
      </c>
      <c r="C67" t="s">
        <v>184</v>
      </c>
      <c r="D67" t="s">
        <v>191</v>
      </c>
      <c r="E67" t="s">
        <v>192</v>
      </c>
      <c r="F67" t="s">
        <v>10</v>
      </c>
      <c r="G67" t="s">
        <v>191</v>
      </c>
      <c r="H67" t="s">
        <v>193</v>
      </c>
      <c r="I67" t="s">
        <v>24</v>
      </c>
      <c r="J67">
        <v>245</v>
      </c>
      <c r="K67">
        <v>8</v>
      </c>
      <c r="L67" s="2">
        <v>3.5000000000000001E-3</v>
      </c>
      <c r="M67">
        <v>2.5000000000000001E-2</v>
      </c>
      <c r="N67" s="2">
        <v>2.8000000000000001E-2</v>
      </c>
      <c r="O67" s="2">
        <v>0.2</v>
      </c>
    </row>
    <row r="68" spans="2:15">
      <c r="B68" t="s">
        <v>170</v>
      </c>
      <c r="C68" t="s">
        <v>184</v>
      </c>
      <c r="D68" t="s">
        <v>194</v>
      </c>
      <c r="E68" t="s">
        <v>195</v>
      </c>
      <c r="F68" t="s">
        <v>10</v>
      </c>
      <c r="G68" t="s">
        <v>194</v>
      </c>
      <c r="H68" t="s">
        <v>196</v>
      </c>
      <c r="I68" t="s">
        <v>24</v>
      </c>
      <c r="J68">
        <v>212780</v>
      </c>
      <c r="K68">
        <v>918</v>
      </c>
      <c r="L68" s="2">
        <v>3.5000000000000001E-3</v>
      </c>
      <c r="M68">
        <v>2.5000000000000001E-2</v>
      </c>
      <c r="N68" s="2">
        <v>3.2130000000000001</v>
      </c>
      <c r="O68" s="2">
        <v>22.950000000000003</v>
      </c>
    </row>
    <row r="69" spans="2:15">
      <c r="B69" t="s">
        <v>197</v>
      </c>
      <c r="C69" t="s">
        <v>171</v>
      </c>
      <c r="D69" t="s">
        <v>198</v>
      </c>
      <c r="E69" t="s">
        <v>199</v>
      </c>
      <c r="F69" t="s">
        <v>10</v>
      </c>
      <c r="G69" t="s">
        <v>198</v>
      </c>
      <c r="H69" t="s">
        <v>200</v>
      </c>
      <c r="I69" t="s">
        <v>24</v>
      </c>
      <c r="J69">
        <v>57531</v>
      </c>
      <c r="K69">
        <v>342</v>
      </c>
      <c r="L69" s="2">
        <v>3.5000000000000001E-3</v>
      </c>
      <c r="M69">
        <v>2.5000000000000001E-2</v>
      </c>
      <c r="N69" s="2">
        <v>1.1970000000000001</v>
      </c>
      <c r="O69" s="2">
        <v>8.5500000000000007</v>
      </c>
    </row>
    <row r="70" spans="2:15">
      <c r="B70" t="s">
        <v>197</v>
      </c>
      <c r="C70" t="s">
        <v>201</v>
      </c>
      <c r="D70" t="s">
        <v>202</v>
      </c>
      <c r="E70" t="s">
        <v>203</v>
      </c>
      <c r="F70" t="s">
        <v>10</v>
      </c>
      <c r="G70" t="s">
        <v>202</v>
      </c>
      <c r="H70" t="s">
        <v>204</v>
      </c>
      <c r="I70" t="s">
        <v>24</v>
      </c>
      <c r="J70">
        <v>188298</v>
      </c>
      <c r="K70">
        <v>84</v>
      </c>
      <c r="L70" s="2">
        <v>3.5000000000000001E-3</v>
      </c>
      <c r="M70">
        <v>2.5000000000000001E-2</v>
      </c>
      <c r="N70" s="2">
        <v>0.29399999999999998</v>
      </c>
      <c r="O70" s="2">
        <v>2.1</v>
      </c>
    </row>
    <row r="71" spans="2:15">
      <c r="B71" t="s">
        <v>205</v>
      </c>
      <c r="C71" t="s">
        <v>36</v>
      </c>
      <c r="D71" t="s">
        <v>206</v>
      </c>
      <c r="E71" t="s">
        <v>207</v>
      </c>
      <c r="F71" t="s">
        <v>10</v>
      </c>
      <c r="G71" t="s">
        <v>206</v>
      </c>
      <c r="H71" t="s">
        <v>208</v>
      </c>
      <c r="I71" t="s">
        <v>24</v>
      </c>
      <c r="J71">
        <v>70859</v>
      </c>
      <c r="K71">
        <v>2955</v>
      </c>
      <c r="L71" s="2">
        <v>3.5000000000000001E-3</v>
      </c>
      <c r="M71">
        <v>2.5000000000000001E-2</v>
      </c>
      <c r="N71" s="2">
        <v>10.342499999999999</v>
      </c>
      <c r="O71" s="2">
        <v>73.875</v>
      </c>
    </row>
    <row r="72" spans="2:15">
      <c r="B72" t="s">
        <v>205</v>
      </c>
      <c r="C72" t="s">
        <v>36</v>
      </c>
      <c r="D72" t="s">
        <v>209</v>
      </c>
      <c r="E72" t="s">
        <v>210</v>
      </c>
      <c r="F72" t="s">
        <v>10</v>
      </c>
      <c r="G72" t="s">
        <v>209</v>
      </c>
      <c r="H72" t="s">
        <v>211</v>
      </c>
      <c r="I72" t="s">
        <v>24</v>
      </c>
      <c r="J72">
        <v>70231</v>
      </c>
      <c r="K72">
        <v>2892</v>
      </c>
      <c r="L72" s="2">
        <v>3.5000000000000001E-3</v>
      </c>
      <c r="M72">
        <v>2.5000000000000001E-2</v>
      </c>
      <c r="N72" s="2">
        <v>10.122</v>
      </c>
      <c r="O72" s="2">
        <v>72.3</v>
      </c>
    </row>
    <row r="73" spans="2:15">
      <c r="B73" t="s">
        <v>205</v>
      </c>
      <c r="C73" t="s">
        <v>36</v>
      </c>
      <c r="D73" t="s">
        <v>212</v>
      </c>
      <c r="E73" t="s">
        <v>213</v>
      </c>
      <c r="F73" t="s">
        <v>10</v>
      </c>
      <c r="G73" t="s">
        <v>212</v>
      </c>
      <c r="H73" t="s">
        <v>214</v>
      </c>
      <c r="I73" t="s">
        <v>24</v>
      </c>
      <c r="J73">
        <v>70316</v>
      </c>
      <c r="K73">
        <v>2747</v>
      </c>
      <c r="L73" s="2">
        <v>3.5000000000000001E-3</v>
      </c>
      <c r="M73">
        <v>2.5000000000000001E-2</v>
      </c>
      <c r="N73" s="2">
        <v>9.6144999999999996</v>
      </c>
      <c r="O73" s="2">
        <v>68.674999999999997</v>
      </c>
    </row>
    <row r="74" spans="2:15">
      <c r="B74" t="s">
        <v>205</v>
      </c>
      <c r="C74" t="s">
        <v>36</v>
      </c>
      <c r="D74" t="s">
        <v>215</v>
      </c>
      <c r="E74" t="s">
        <v>216</v>
      </c>
      <c r="F74" t="s">
        <v>10</v>
      </c>
      <c r="G74" t="s">
        <v>215</v>
      </c>
      <c r="H74" t="s">
        <v>217</v>
      </c>
      <c r="I74" t="s">
        <v>24</v>
      </c>
      <c r="J74">
        <v>70172</v>
      </c>
      <c r="K74">
        <v>2953</v>
      </c>
      <c r="L74" s="2">
        <v>3.5000000000000001E-3</v>
      </c>
      <c r="M74">
        <v>2.5000000000000001E-2</v>
      </c>
      <c r="N74" s="2">
        <v>10.3355</v>
      </c>
      <c r="O74" s="2">
        <v>73.825000000000003</v>
      </c>
    </row>
    <row r="75" spans="2:15">
      <c r="B75" t="s">
        <v>205</v>
      </c>
      <c r="C75" t="s">
        <v>36</v>
      </c>
      <c r="D75" t="s">
        <v>218</v>
      </c>
      <c r="E75" t="s">
        <v>219</v>
      </c>
      <c r="F75" t="s">
        <v>10</v>
      </c>
      <c r="G75" t="s">
        <v>218</v>
      </c>
      <c r="H75" t="s">
        <v>220</v>
      </c>
      <c r="I75" t="s">
        <v>24</v>
      </c>
      <c r="J75">
        <v>151073</v>
      </c>
      <c r="K75">
        <v>5484</v>
      </c>
      <c r="L75" s="2">
        <v>3.5000000000000001E-3</v>
      </c>
      <c r="M75">
        <v>2.5000000000000001E-2</v>
      </c>
      <c r="N75" s="2">
        <v>19.193999999999999</v>
      </c>
      <c r="O75" s="2">
        <v>137.1</v>
      </c>
    </row>
    <row r="76" spans="2:15">
      <c r="B76" t="s">
        <v>205</v>
      </c>
      <c r="C76" t="s">
        <v>36</v>
      </c>
      <c r="D76" t="s">
        <v>221</v>
      </c>
      <c r="E76" t="s">
        <v>222</v>
      </c>
      <c r="F76" t="s">
        <v>10</v>
      </c>
      <c r="G76" t="s">
        <v>221</v>
      </c>
      <c r="H76" t="s">
        <v>223</v>
      </c>
      <c r="I76" t="s">
        <v>24</v>
      </c>
      <c r="J76">
        <v>149543</v>
      </c>
      <c r="K76">
        <v>5636</v>
      </c>
      <c r="L76" s="2">
        <v>3.5000000000000001E-3</v>
      </c>
      <c r="M76">
        <v>2.5000000000000001E-2</v>
      </c>
      <c r="N76" s="2">
        <v>19.725999999999999</v>
      </c>
      <c r="O76" s="2">
        <v>140.9</v>
      </c>
    </row>
    <row r="77" spans="2:15">
      <c r="B77" t="s">
        <v>205</v>
      </c>
      <c r="C77" t="s">
        <v>36</v>
      </c>
      <c r="D77" t="s">
        <v>224</v>
      </c>
      <c r="E77" t="s">
        <v>225</v>
      </c>
      <c r="F77" t="s">
        <v>10</v>
      </c>
      <c r="G77" t="s">
        <v>224</v>
      </c>
      <c r="H77" t="s">
        <v>226</v>
      </c>
      <c r="I77" t="s">
        <v>24</v>
      </c>
      <c r="J77">
        <v>151865</v>
      </c>
      <c r="K77">
        <v>5797</v>
      </c>
      <c r="L77" s="2">
        <v>3.5000000000000001E-3</v>
      </c>
      <c r="M77">
        <v>2.5000000000000001E-2</v>
      </c>
      <c r="N77" s="2">
        <v>20.2895</v>
      </c>
      <c r="O77" s="2">
        <v>144.92500000000001</v>
      </c>
    </row>
    <row r="78" spans="2:15">
      <c r="B78" t="s">
        <v>205</v>
      </c>
      <c r="C78" t="s">
        <v>36</v>
      </c>
      <c r="D78" t="s">
        <v>227</v>
      </c>
      <c r="E78" t="s">
        <v>228</v>
      </c>
      <c r="F78" t="s">
        <v>10</v>
      </c>
      <c r="G78" t="s">
        <v>227</v>
      </c>
      <c r="H78" t="s">
        <v>229</v>
      </c>
      <c r="I78" t="s">
        <v>24</v>
      </c>
      <c r="J78">
        <v>150725</v>
      </c>
      <c r="K78">
        <v>5557</v>
      </c>
      <c r="L78" s="2">
        <v>3.5000000000000001E-3</v>
      </c>
      <c r="M78">
        <v>2.5000000000000001E-2</v>
      </c>
      <c r="N78" s="2">
        <v>19.4495</v>
      </c>
      <c r="O78" s="2">
        <v>138.92500000000001</v>
      </c>
    </row>
    <row r="79" spans="2:15">
      <c r="B79" t="s">
        <v>205</v>
      </c>
      <c r="C79" t="s">
        <v>36</v>
      </c>
      <c r="D79" t="s">
        <v>230</v>
      </c>
      <c r="E79" t="s">
        <v>231</v>
      </c>
      <c r="F79" t="s">
        <v>10</v>
      </c>
      <c r="G79" t="s">
        <v>230</v>
      </c>
      <c r="H79" t="s">
        <v>232</v>
      </c>
      <c r="I79" t="s">
        <v>24</v>
      </c>
      <c r="J79">
        <v>79485</v>
      </c>
      <c r="K79">
        <v>3685</v>
      </c>
      <c r="L79" s="2">
        <v>3.5000000000000001E-3</v>
      </c>
      <c r="M79">
        <v>2.5000000000000001E-2</v>
      </c>
      <c r="N79" s="2">
        <v>12.897500000000001</v>
      </c>
      <c r="O79" s="2">
        <v>92.125</v>
      </c>
    </row>
    <row r="80" spans="2:15">
      <c r="B80" t="s">
        <v>205</v>
      </c>
      <c r="C80" t="s">
        <v>36</v>
      </c>
      <c r="D80" t="s">
        <v>233</v>
      </c>
      <c r="E80" t="s">
        <v>234</v>
      </c>
      <c r="F80" t="s">
        <v>10</v>
      </c>
      <c r="G80" t="s">
        <v>233</v>
      </c>
      <c r="H80" t="s">
        <v>235</v>
      </c>
      <c r="I80" t="s">
        <v>24</v>
      </c>
      <c r="J80">
        <v>76448</v>
      </c>
      <c r="K80">
        <v>3414</v>
      </c>
      <c r="L80" s="2">
        <v>3.5000000000000001E-3</v>
      </c>
      <c r="M80">
        <v>2.5000000000000001E-2</v>
      </c>
      <c r="N80" s="2">
        <v>11.949</v>
      </c>
      <c r="O80" s="2">
        <v>85.350000000000009</v>
      </c>
    </row>
    <row r="81" spans="2:15">
      <c r="B81" t="s">
        <v>205</v>
      </c>
      <c r="C81" t="s">
        <v>36</v>
      </c>
      <c r="D81" t="s">
        <v>236</v>
      </c>
      <c r="E81" t="s">
        <v>237</v>
      </c>
      <c r="F81" t="s">
        <v>10</v>
      </c>
      <c r="G81" t="s">
        <v>236</v>
      </c>
      <c r="H81" t="s">
        <v>238</v>
      </c>
      <c r="I81" t="s">
        <v>24</v>
      </c>
      <c r="J81">
        <v>78064</v>
      </c>
      <c r="K81">
        <v>3508</v>
      </c>
      <c r="L81" s="2">
        <v>3.5000000000000001E-3</v>
      </c>
      <c r="M81">
        <v>2.5000000000000001E-2</v>
      </c>
      <c r="N81" s="2">
        <v>12.278</v>
      </c>
      <c r="O81" s="2">
        <v>87.7</v>
      </c>
    </row>
    <row r="82" spans="2:15">
      <c r="B82" t="s">
        <v>205</v>
      </c>
      <c r="C82" t="s">
        <v>36</v>
      </c>
      <c r="D82" t="s">
        <v>239</v>
      </c>
      <c r="E82" t="s">
        <v>240</v>
      </c>
      <c r="F82" t="s">
        <v>10</v>
      </c>
      <c r="G82" t="s">
        <v>239</v>
      </c>
      <c r="H82" t="s">
        <v>241</v>
      </c>
      <c r="I82" t="s">
        <v>24</v>
      </c>
      <c r="J82">
        <v>77327</v>
      </c>
      <c r="K82">
        <v>3456</v>
      </c>
      <c r="L82" s="2">
        <v>3.5000000000000001E-3</v>
      </c>
      <c r="M82">
        <v>2.5000000000000001E-2</v>
      </c>
      <c r="N82" s="2">
        <v>12.096</v>
      </c>
      <c r="O82" s="2">
        <v>86.4</v>
      </c>
    </row>
    <row r="83" spans="2:15">
      <c r="B83" t="s">
        <v>205</v>
      </c>
      <c r="C83" t="s">
        <v>36</v>
      </c>
      <c r="D83" t="s">
        <v>242</v>
      </c>
      <c r="E83" t="s">
        <v>243</v>
      </c>
      <c r="F83" t="s">
        <v>10</v>
      </c>
      <c r="G83" t="s">
        <v>242</v>
      </c>
      <c r="H83" t="s">
        <v>244</v>
      </c>
      <c r="I83" t="s">
        <v>24</v>
      </c>
      <c r="J83">
        <v>164170</v>
      </c>
      <c r="K83">
        <v>5479</v>
      </c>
      <c r="L83" s="2">
        <v>3.5000000000000001E-3</v>
      </c>
      <c r="M83">
        <v>2.5000000000000001E-2</v>
      </c>
      <c r="N83" s="2">
        <v>19.176500000000001</v>
      </c>
      <c r="O83" s="2">
        <v>136.97499999999999</v>
      </c>
    </row>
    <row r="84" spans="2:15">
      <c r="B84" t="s">
        <v>205</v>
      </c>
      <c r="C84" t="s">
        <v>36</v>
      </c>
      <c r="D84" t="s">
        <v>245</v>
      </c>
      <c r="E84" t="s">
        <v>246</v>
      </c>
      <c r="F84" t="s">
        <v>10</v>
      </c>
      <c r="G84" t="s">
        <v>245</v>
      </c>
      <c r="H84" t="s">
        <v>247</v>
      </c>
      <c r="I84" t="s">
        <v>24</v>
      </c>
      <c r="J84">
        <v>167689</v>
      </c>
      <c r="K84">
        <v>5687</v>
      </c>
      <c r="L84" s="2">
        <v>3.5000000000000001E-3</v>
      </c>
      <c r="M84">
        <v>2.5000000000000001E-2</v>
      </c>
      <c r="N84" s="2">
        <v>19.904499999999999</v>
      </c>
      <c r="O84" s="2">
        <v>142.17500000000001</v>
      </c>
    </row>
    <row r="85" spans="2:15">
      <c r="B85" t="s">
        <v>205</v>
      </c>
      <c r="C85" t="s">
        <v>36</v>
      </c>
      <c r="D85" t="s">
        <v>248</v>
      </c>
      <c r="E85" t="s">
        <v>249</v>
      </c>
      <c r="F85" t="s">
        <v>10</v>
      </c>
      <c r="G85" t="s">
        <v>248</v>
      </c>
      <c r="H85" t="s">
        <v>250</v>
      </c>
      <c r="I85" t="s">
        <v>24</v>
      </c>
      <c r="J85">
        <v>168572</v>
      </c>
      <c r="K85">
        <v>5695</v>
      </c>
      <c r="L85" s="2">
        <v>3.5000000000000001E-3</v>
      </c>
      <c r="M85">
        <v>2.5000000000000001E-2</v>
      </c>
      <c r="N85" s="2">
        <v>19.932500000000001</v>
      </c>
      <c r="O85" s="2">
        <v>142.375</v>
      </c>
    </row>
    <row r="86" spans="2:15">
      <c r="B86" t="s">
        <v>205</v>
      </c>
      <c r="C86" t="s">
        <v>36</v>
      </c>
      <c r="D86" t="s">
        <v>251</v>
      </c>
      <c r="E86" t="s">
        <v>252</v>
      </c>
      <c r="F86" t="s">
        <v>10</v>
      </c>
      <c r="G86" t="s">
        <v>251</v>
      </c>
      <c r="H86" t="s">
        <v>253</v>
      </c>
      <c r="I86" t="s">
        <v>24</v>
      </c>
      <c r="J86">
        <v>170583</v>
      </c>
      <c r="K86">
        <v>5839</v>
      </c>
      <c r="L86" s="2">
        <v>3.5000000000000001E-3</v>
      </c>
      <c r="M86">
        <v>2.5000000000000001E-2</v>
      </c>
      <c r="N86" s="2">
        <v>20.436499999999999</v>
      </c>
      <c r="O86" s="2">
        <v>145.97499999999999</v>
      </c>
    </row>
    <row r="87" spans="2:15">
      <c r="B87" t="s">
        <v>205</v>
      </c>
      <c r="C87" t="s">
        <v>36</v>
      </c>
      <c r="D87" t="s">
        <v>254</v>
      </c>
      <c r="E87" t="s">
        <v>255</v>
      </c>
      <c r="F87" t="s">
        <v>10</v>
      </c>
      <c r="G87" t="s">
        <v>254</v>
      </c>
      <c r="H87" t="s">
        <v>256</v>
      </c>
      <c r="I87" t="s">
        <v>24</v>
      </c>
      <c r="J87">
        <v>68593</v>
      </c>
      <c r="K87">
        <v>1609</v>
      </c>
      <c r="L87" s="2">
        <v>3.5000000000000001E-3</v>
      </c>
      <c r="M87">
        <v>2.5000000000000001E-2</v>
      </c>
      <c r="N87" s="2">
        <v>5.6315</v>
      </c>
      <c r="O87" s="2">
        <v>40.225000000000001</v>
      </c>
    </row>
    <row r="88" spans="2:15">
      <c r="B88" t="s">
        <v>205</v>
      </c>
      <c r="C88" t="s">
        <v>36</v>
      </c>
      <c r="D88" t="s">
        <v>257</v>
      </c>
      <c r="E88" t="s">
        <v>258</v>
      </c>
      <c r="F88" t="s">
        <v>10</v>
      </c>
      <c r="G88" t="s">
        <v>257</v>
      </c>
      <c r="H88" t="s">
        <v>259</v>
      </c>
      <c r="I88" t="s">
        <v>24</v>
      </c>
      <c r="J88">
        <v>69825</v>
      </c>
      <c r="K88">
        <v>1784</v>
      </c>
      <c r="L88" s="2">
        <v>3.5000000000000001E-3</v>
      </c>
      <c r="M88">
        <v>2.5000000000000001E-2</v>
      </c>
      <c r="N88" s="2">
        <v>6.2439999999999998</v>
      </c>
      <c r="O88" s="2">
        <v>44.6</v>
      </c>
    </row>
    <row r="89" spans="2:15">
      <c r="B89" t="s">
        <v>205</v>
      </c>
      <c r="C89" t="s">
        <v>36</v>
      </c>
      <c r="D89" t="s">
        <v>260</v>
      </c>
      <c r="E89" t="s">
        <v>261</v>
      </c>
      <c r="F89" t="s">
        <v>10</v>
      </c>
      <c r="G89" t="s">
        <v>260</v>
      </c>
      <c r="H89" t="s">
        <v>262</v>
      </c>
      <c r="I89" t="s">
        <v>24</v>
      </c>
      <c r="J89">
        <v>68040</v>
      </c>
      <c r="K89">
        <v>1763</v>
      </c>
      <c r="L89" s="2">
        <v>3.5000000000000001E-3</v>
      </c>
      <c r="M89">
        <v>2.5000000000000001E-2</v>
      </c>
      <c r="N89" s="2">
        <v>6.1705000000000005</v>
      </c>
      <c r="O89" s="2">
        <v>44.075000000000003</v>
      </c>
    </row>
    <row r="90" spans="2:15">
      <c r="B90" t="s">
        <v>205</v>
      </c>
      <c r="C90" t="s">
        <v>36</v>
      </c>
      <c r="D90" t="s">
        <v>263</v>
      </c>
      <c r="E90" t="s">
        <v>264</v>
      </c>
      <c r="F90" t="s">
        <v>10</v>
      </c>
      <c r="G90" t="s">
        <v>263</v>
      </c>
      <c r="H90" t="s">
        <v>265</v>
      </c>
      <c r="I90" t="s">
        <v>24</v>
      </c>
      <c r="J90">
        <v>67563</v>
      </c>
      <c r="K90">
        <v>1689</v>
      </c>
      <c r="L90" s="2">
        <v>3.5000000000000001E-3</v>
      </c>
      <c r="M90">
        <v>2.5000000000000001E-2</v>
      </c>
      <c r="N90" s="2">
        <v>5.9115000000000002</v>
      </c>
      <c r="O90" s="2">
        <v>42.225000000000001</v>
      </c>
    </row>
    <row r="91" spans="2:15">
      <c r="B91" t="s">
        <v>205</v>
      </c>
      <c r="C91" t="s">
        <v>36</v>
      </c>
      <c r="D91" t="s">
        <v>266</v>
      </c>
      <c r="E91" t="s">
        <v>267</v>
      </c>
      <c r="F91" t="s">
        <v>10</v>
      </c>
      <c r="G91" t="s">
        <v>266</v>
      </c>
      <c r="H91" t="s">
        <v>268</v>
      </c>
      <c r="I91" t="s">
        <v>24</v>
      </c>
      <c r="J91">
        <v>136674</v>
      </c>
      <c r="K91">
        <v>3984</v>
      </c>
      <c r="L91" s="2">
        <v>3.5000000000000001E-3</v>
      </c>
      <c r="M91">
        <v>2.5000000000000001E-2</v>
      </c>
      <c r="N91" s="2">
        <v>13.944000000000001</v>
      </c>
      <c r="O91" s="2">
        <v>99.600000000000009</v>
      </c>
    </row>
    <row r="92" spans="2:15">
      <c r="B92" t="s">
        <v>205</v>
      </c>
      <c r="C92" t="s">
        <v>36</v>
      </c>
      <c r="D92" t="s">
        <v>269</v>
      </c>
      <c r="E92" t="s">
        <v>270</v>
      </c>
      <c r="F92" t="s">
        <v>10</v>
      </c>
      <c r="G92" t="s">
        <v>269</v>
      </c>
      <c r="H92" t="s">
        <v>271</v>
      </c>
      <c r="I92" t="s">
        <v>24</v>
      </c>
      <c r="J92">
        <v>139457</v>
      </c>
      <c r="K92">
        <v>4123</v>
      </c>
      <c r="L92" s="2">
        <v>3.5000000000000001E-3</v>
      </c>
      <c r="M92">
        <v>2.5000000000000001E-2</v>
      </c>
      <c r="N92" s="2">
        <v>14.4305</v>
      </c>
      <c r="O92" s="2">
        <v>103.075</v>
      </c>
    </row>
    <row r="93" spans="2:15">
      <c r="B93" t="s">
        <v>205</v>
      </c>
      <c r="C93" t="s">
        <v>36</v>
      </c>
      <c r="D93" t="s">
        <v>272</v>
      </c>
      <c r="E93" t="s">
        <v>273</v>
      </c>
      <c r="F93" t="s">
        <v>10</v>
      </c>
      <c r="G93" t="s">
        <v>272</v>
      </c>
      <c r="H93" t="s">
        <v>274</v>
      </c>
      <c r="I93" t="s">
        <v>24</v>
      </c>
      <c r="J93">
        <v>148024</v>
      </c>
      <c r="K93">
        <v>4393</v>
      </c>
      <c r="L93" s="2">
        <v>3.5000000000000001E-3</v>
      </c>
      <c r="M93">
        <v>2.5000000000000001E-2</v>
      </c>
      <c r="N93" s="2">
        <v>15.375500000000001</v>
      </c>
      <c r="O93" s="2">
        <v>109.825</v>
      </c>
    </row>
    <row r="94" spans="2:15">
      <c r="B94" t="s">
        <v>205</v>
      </c>
      <c r="C94" t="s">
        <v>36</v>
      </c>
      <c r="D94" t="s">
        <v>275</v>
      </c>
      <c r="E94" t="s">
        <v>276</v>
      </c>
      <c r="F94" t="s">
        <v>10</v>
      </c>
      <c r="G94" t="s">
        <v>275</v>
      </c>
      <c r="H94" t="s">
        <v>277</v>
      </c>
      <c r="I94" t="s">
        <v>24</v>
      </c>
      <c r="J94">
        <v>140656</v>
      </c>
      <c r="K94">
        <v>4258</v>
      </c>
      <c r="L94" s="2">
        <v>3.5000000000000001E-3</v>
      </c>
      <c r="M94">
        <v>2.5000000000000001E-2</v>
      </c>
      <c r="N94" s="2">
        <v>14.903</v>
      </c>
      <c r="O94" s="2">
        <v>106.45</v>
      </c>
    </row>
    <row r="95" spans="2:15">
      <c r="B95" t="s">
        <v>205</v>
      </c>
      <c r="C95" t="s">
        <v>36</v>
      </c>
      <c r="D95" t="s">
        <v>278</v>
      </c>
      <c r="E95" t="s">
        <v>279</v>
      </c>
      <c r="F95" t="s">
        <v>10</v>
      </c>
      <c r="G95" t="s">
        <v>278</v>
      </c>
      <c r="H95" t="s">
        <v>280</v>
      </c>
      <c r="I95" t="s">
        <v>24</v>
      </c>
      <c r="J95">
        <v>104074</v>
      </c>
      <c r="K95">
        <v>2470</v>
      </c>
      <c r="L95" s="2">
        <v>3.5000000000000001E-3</v>
      </c>
      <c r="M95">
        <v>2.5000000000000001E-2</v>
      </c>
      <c r="N95" s="2">
        <v>8.6449999999999996</v>
      </c>
      <c r="O95" s="2">
        <v>61.75</v>
      </c>
    </row>
    <row r="96" spans="2:15">
      <c r="B96" t="s">
        <v>205</v>
      </c>
      <c r="C96" t="s">
        <v>36</v>
      </c>
      <c r="D96" t="s">
        <v>281</v>
      </c>
      <c r="E96" t="s">
        <v>282</v>
      </c>
      <c r="F96" t="s">
        <v>10</v>
      </c>
      <c r="G96" t="s">
        <v>281</v>
      </c>
      <c r="H96" t="s">
        <v>283</v>
      </c>
      <c r="I96" t="s">
        <v>24</v>
      </c>
      <c r="J96">
        <v>106453</v>
      </c>
      <c r="K96">
        <v>2542</v>
      </c>
      <c r="L96" s="2">
        <v>3.5000000000000001E-3</v>
      </c>
      <c r="M96">
        <v>2.5000000000000001E-2</v>
      </c>
      <c r="N96" s="2">
        <v>8.8970000000000002</v>
      </c>
      <c r="O96" s="2">
        <v>63.550000000000004</v>
      </c>
    </row>
    <row r="97" spans="2:15">
      <c r="B97" t="s">
        <v>205</v>
      </c>
      <c r="C97" t="s">
        <v>36</v>
      </c>
      <c r="D97" t="s">
        <v>284</v>
      </c>
      <c r="E97" t="s">
        <v>285</v>
      </c>
      <c r="F97" t="s">
        <v>10</v>
      </c>
      <c r="G97" t="s">
        <v>284</v>
      </c>
      <c r="H97" t="s">
        <v>286</v>
      </c>
      <c r="I97" t="s">
        <v>24</v>
      </c>
      <c r="J97">
        <v>103334</v>
      </c>
      <c r="K97">
        <v>2504</v>
      </c>
      <c r="L97" s="2">
        <v>3.5000000000000001E-3</v>
      </c>
      <c r="M97">
        <v>2.5000000000000001E-2</v>
      </c>
      <c r="N97" s="2">
        <v>8.7639999999999993</v>
      </c>
      <c r="O97" s="2">
        <v>62.6</v>
      </c>
    </row>
    <row r="98" spans="2:15">
      <c r="B98" t="s">
        <v>205</v>
      </c>
      <c r="C98" t="s">
        <v>36</v>
      </c>
      <c r="D98" t="s">
        <v>287</v>
      </c>
      <c r="E98" t="s">
        <v>288</v>
      </c>
      <c r="F98" t="s">
        <v>10</v>
      </c>
      <c r="G98" t="s">
        <v>287</v>
      </c>
      <c r="H98" t="s">
        <v>289</v>
      </c>
      <c r="I98" t="s">
        <v>24</v>
      </c>
      <c r="J98">
        <v>104919</v>
      </c>
      <c r="K98">
        <v>2495</v>
      </c>
      <c r="L98" s="2">
        <v>3.5000000000000001E-3</v>
      </c>
      <c r="M98">
        <v>2.5000000000000001E-2</v>
      </c>
      <c r="N98" s="2">
        <v>8.7324999999999999</v>
      </c>
      <c r="O98" s="2">
        <v>62.375</v>
      </c>
    </row>
    <row r="99" spans="2:15">
      <c r="B99" t="s">
        <v>205</v>
      </c>
      <c r="C99" t="s">
        <v>36</v>
      </c>
      <c r="D99" t="s">
        <v>290</v>
      </c>
      <c r="E99" t="s">
        <v>291</v>
      </c>
      <c r="F99" t="s">
        <v>10</v>
      </c>
      <c r="G99" t="s">
        <v>290</v>
      </c>
      <c r="H99" t="s">
        <v>292</v>
      </c>
      <c r="I99" t="s">
        <v>24</v>
      </c>
      <c r="J99">
        <v>239366</v>
      </c>
      <c r="K99">
        <v>5411</v>
      </c>
      <c r="L99" s="2">
        <v>3.5000000000000001E-3</v>
      </c>
      <c r="M99">
        <v>2.5000000000000001E-2</v>
      </c>
      <c r="N99" s="2">
        <v>18.938500000000001</v>
      </c>
      <c r="O99" s="2">
        <v>135.27500000000001</v>
      </c>
    </row>
    <row r="100" spans="2:15">
      <c r="B100" t="s">
        <v>205</v>
      </c>
      <c r="C100" t="s">
        <v>36</v>
      </c>
      <c r="D100" t="s">
        <v>293</v>
      </c>
      <c r="E100" t="s">
        <v>294</v>
      </c>
      <c r="F100" t="s">
        <v>10</v>
      </c>
      <c r="G100" t="s">
        <v>293</v>
      </c>
      <c r="H100" t="s">
        <v>295</v>
      </c>
      <c r="I100" t="s">
        <v>24</v>
      </c>
      <c r="J100">
        <v>231338</v>
      </c>
      <c r="K100">
        <v>5223</v>
      </c>
      <c r="L100" s="2">
        <v>3.5000000000000001E-3</v>
      </c>
      <c r="M100">
        <v>2.5000000000000001E-2</v>
      </c>
      <c r="N100" s="2">
        <v>18.2805</v>
      </c>
      <c r="O100" s="2">
        <v>130.57500000000002</v>
      </c>
    </row>
    <row r="101" spans="2:15">
      <c r="B101" t="s">
        <v>205</v>
      </c>
      <c r="C101" t="s">
        <v>36</v>
      </c>
      <c r="D101" t="s">
        <v>296</v>
      </c>
      <c r="E101" t="s">
        <v>297</v>
      </c>
      <c r="F101" t="s">
        <v>10</v>
      </c>
      <c r="G101" t="s">
        <v>296</v>
      </c>
      <c r="H101" t="s">
        <v>298</v>
      </c>
      <c r="I101" t="s">
        <v>24</v>
      </c>
      <c r="J101">
        <v>236009</v>
      </c>
      <c r="K101">
        <v>5287</v>
      </c>
      <c r="L101" s="2">
        <v>3.5000000000000001E-3</v>
      </c>
      <c r="M101">
        <v>2.5000000000000001E-2</v>
      </c>
      <c r="N101" s="2">
        <v>18.5045</v>
      </c>
      <c r="O101" s="2">
        <v>132.17500000000001</v>
      </c>
    </row>
    <row r="102" spans="2:15">
      <c r="B102" t="s">
        <v>205</v>
      </c>
      <c r="C102" t="s">
        <v>36</v>
      </c>
      <c r="D102" t="s">
        <v>299</v>
      </c>
      <c r="E102" t="s">
        <v>300</v>
      </c>
      <c r="F102" t="s">
        <v>10</v>
      </c>
      <c r="G102" t="s">
        <v>299</v>
      </c>
      <c r="H102" t="s">
        <v>301</v>
      </c>
      <c r="I102" t="s">
        <v>24</v>
      </c>
      <c r="J102">
        <v>240469</v>
      </c>
      <c r="K102">
        <v>5305</v>
      </c>
      <c r="L102" s="2">
        <v>3.5000000000000001E-3</v>
      </c>
      <c r="M102">
        <v>2.5000000000000001E-2</v>
      </c>
      <c r="N102" s="2">
        <v>18.567499999999999</v>
      </c>
      <c r="O102" s="2">
        <v>132.625</v>
      </c>
    </row>
    <row r="103" spans="2:15">
      <c r="B103" t="s">
        <v>205</v>
      </c>
      <c r="C103" t="s">
        <v>49</v>
      </c>
      <c r="D103" t="s">
        <v>302</v>
      </c>
      <c r="E103" t="s">
        <v>303</v>
      </c>
      <c r="F103" t="s">
        <v>12</v>
      </c>
      <c r="G103" t="s">
        <v>302</v>
      </c>
      <c r="H103" t="s">
        <v>304</v>
      </c>
      <c r="I103" t="s">
        <v>34</v>
      </c>
      <c r="J103">
        <v>340644</v>
      </c>
      <c r="K103">
        <v>870</v>
      </c>
      <c r="L103" s="2">
        <v>0.04</v>
      </c>
      <c r="M103">
        <v>0.1</v>
      </c>
      <c r="N103" s="2">
        <v>13.62576</v>
      </c>
      <c r="O103" s="2">
        <v>34.064399999999999</v>
      </c>
    </row>
    <row r="104" spans="2:15">
      <c r="B104" t="s">
        <v>205</v>
      </c>
      <c r="C104" t="s">
        <v>49</v>
      </c>
      <c r="D104" t="s">
        <v>305</v>
      </c>
      <c r="E104" t="s">
        <v>306</v>
      </c>
      <c r="F104" t="s">
        <v>12</v>
      </c>
      <c r="G104" t="s">
        <v>305</v>
      </c>
      <c r="H104" t="s">
        <v>307</v>
      </c>
      <c r="I104" t="s">
        <v>34</v>
      </c>
      <c r="J104">
        <v>49710</v>
      </c>
      <c r="K104">
        <v>103</v>
      </c>
      <c r="L104" s="2">
        <v>0.04</v>
      </c>
      <c r="M104">
        <v>0.1</v>
      </c>
      <c r="N104" s="2">
        <v>1.9884000000000002</v>
      </c>
      <c r="O104" s="2">
        <v>4.9710000000000001</v>
      </c>
    </row>
    <row r="105" spans="2:15">
      <c r="B105" t="s">
        <v>205</v>
      </c>
      <c r="C105" t="s">
        <v>49</v>
      </c>
      <c r="D105" t="s">
        <v>308</v>
      </c>
      <c r="E105" t="s">
        <v>309</v>
      </c>
      <c r="F105" t="s">
        <v>12</v>
      </c>
      <c r="G105" t="s">
        <v>308</v>
      </c>
      <c r="H105" t="s">
        <v>310</v>
      </c>
      <c r="I105" t="s">
        <v>34</v>
      </c>
      <c r="J105">
        <v>45480</v>
      </c>
      <c r="K105">
        <v>107</v>
      </c>
      <c r="L105" s="2">
        <v>0.04</v>
      </c>
      <c r="M105">
        <v>0.1</v>
      </c>
      <c r="N105" s="2">
        <v>1.8192000000000002</v>
      </c>
      <c r="O105" s="2">
        <v>4.548</v>
      </c>
    </row>
    <row r="106" spans="2:15">
      <c r="B106" t="s">
        <v>205</v>
      </c>
      <c r="C106" t="s">
        <v>49</v>
      </c>
      <c r="D106" t="s">
        <v>311</v>
      </c>
      <c r="E106" t="s">
        <v>312</v>
      </c>
      <c r="F106" t="s">
        <v>12</v>
      </c>
      <c r="G106" t="s">
        <v>311</v>
      </c>
      <c r="H106" t="s">
        <v>313</v>
      </c>
      <c r="I106" t="s">
        <v>34</v>
      </c>
      <c r="J106">
        <v>864335</v>
      </c>
      <c r="K106">
        <v>1883</v>
      </c>
      <c r="L106" s="2">
        <v>0.04</v>
      </c>
      <c r="M106">
        <v>0.1</v>
      </c>
      <c r="N106" s="2">
        <v>34.573399999999999</v>
      </c>
      <c r="O106" s="2">
        <v>86.433499999999995</v>
      </c>
    </row>
    <row r="107" spans="2:15">
      <c r="B107" t="s">
        <v>205</v>
      </c>
      <c r="C107" t="s">
        <v>49</v>
      </c>
      <c r="D107" t="s">
        <v>314</v>
      </c>
      <c r="E107" t="s">
        <v>315</v>
      </c>
      <c r="F107" t="s">
        <v>12</v>
      </c>
      <c r="G107" t="s">
        <v>314</v>
      </c>
      <c r="H107" t="s">
        <v>316</v>
      </c>
      <c r="I107" t="s">
        <v>34</v>
      </c>
      <c r="J107">
        <v>646429</v>
      </c>
      <c r="K107">
        <v>151</v>
      </c>
      <c r="L107" s="2">
        <v>0.04</v>
      </c>
      <c r="M107">
        <v>0.1</v>
      </c>
      <c r="N107" s="2">
        <v>25.85716</v>
      </c>
      <c r="O107" s="2">
        <v>64.642899999999997</v>
      </c>
    </row>
    <row r="108" spans="2:15">
      <c r="B108" t="s">
        <v>205</v>
      </c>
      <c r="C108" t="s">
        <v>49</v>
      </c>
      <c r="D108" t="s">
        <v>317</v>
      </c>
      <c r="E108" t="s">
        <v>318</v>
      </c>
      <c r="F108" t="s">
        <v>12</v>
      </c>
      <c r="G108" t="s">
        <v>317</v>
      </c>
      <c r="H108" t="s">
        <v>319</v>
      </c>
      <c r="I108" t="s">
        <v>34</v>
      </c>
      <c r="J108">
        <v>232201</v>
      </c>
      <c r="K108">
        <v>49</v>
      </c>
      <c r="L108" s="2">
        <v>0.04</v>
      </c>
      <c r="M108">
        <v>0.1</v>
      </c>
      <c r="N108" s="2">
        <v>9.2880400000000005</v>
      </c>
      <c r="O108" s="2">
        <v>23.220100000000002</v>
      </c>
    </row>
    <row r="109" spans="2:15">
      <c r="B109" t="s">
        <v>205</v>
      </c>
      <c r="C109" t="s">
        <v>49</v>
      </c>
      <c r="D109" t="s">
        <v>320</v>
      </c>
      <c r="E109" t="s">
        <v>321</v>
      </c>
      <c r="F109" t="s">
        <v>12</v>
      </c>
      <c r="G109" t="s">
        <v>320</v>
      </c>
      <c r="H109" t="s">
        <v>322</v>
      </c>
      <c r="I109" t="s">
        <v>34</v>
      </c>
      <c r="J109">
        <v>93499</v>
      </c>
      <c r="K109">
        <v>19</v>
      </c>
      <c r="L109" s="2">
        <v>0.04</v>
      </c>
      <c r="M109">
        <v>0.1</v>
      </c>
      <c r="N109" s="2">
        <v>3.73996</v>
      </c>
      <c r="O109" s="2">
        <v>9.3498999999999999</v>
      </c>
    </row>
    <row r="110" spans="2:15">
      <c r="B110" t="s">
        <v>205</v>
      </c>
      <c r="C110" t="s">
        <v>49</v>
      </c>
      <c r="D110" t="s">
        <v>323</v>
      </c>
      <c r="E110" t="s">
        <v>324</v>
      </c>
      <c r="F110" t="s">
        <v>12</v>
      </c>
      <c r="G110" t="s">
        <v>323</v>
      </c>
      <c r="H110" t="s">
        <v>325</v>
      </c>
      <c r="I110" t="s">
        <v>34</v>
      </c>
      <c r="J110">
        <v>3273873</v>
      </c>
      <c r="K110">
        <v>972</v>
      </c>
      <c r="L110" s="2">
        <v>0.04</v>
      </c>
      <c r="M110">
        <v>0.1</v>
      </c>
      <c r="N110" s="2">
        <v>130.95491999999999</v>
      </c>
      <c r="O110" s="2">
        <v>327.38730000000004</v>
      </c>
    </row>
    <row r="111" spans="2:15">
      <c r="B111" t="s">
        <v>205</v>
      </c>
      <c r="C111" t="s">
        <v>49</v>
      </c>
      <c r="D111" t="s">
        <v>326</v>
      </c>
      <c r="E111" t="s">
        <v>327</v>
      </c>
      <c r="F111" t="s">
        <v>12</v>
      </c>
      <c r="G111" t="s">
        <v>326</v>
      </c>
      <c r="H111" t="s">
        <v>328</v>
      </c>
      <c r="I111" t="s">
        <v>34</v>
      </c>
      <c r="J111">
        <v>187217</v>
      </c>
      <c r="K111">
        <v>771</v>
      </c>
      <c r="L111" s="2">
        <v>0.04</v>
      </c>
      <c r="M111">
        <v>0.1</v>
      </c>
      <c r="N111" s="2">
        <v>7.4886800000000004</v>
      </c>
      <c r="O111" s="2">
        <v>18.721700000000002</v>
      </c>
    </row>
    <row r="112" spans="2:15">
      <c r="B112" t="s">
        <v>205</v>
      </c>
      <c r="C112" t="s">
        <v>49</v>
      </c>
      <c r="D112" t="s">
        <v>329</v>
      </c>
      <c r="E112" t="s">
        <v>330</v>
      </c>
      <c r="F112" t="s">
        <v>12</v>
      </c>
      <c r="G112" t="s">
        <v>329</v>
      </c>
      <c r="H112" t="s">
        <v>331</v>
      </c>
      <c r="I112" t="s">
        <v>34</v>
      </c>
      <c r="J112">
        <v>219534</v>
      </c>
      <c r="K112">
        <v>1019</v>
      </c>
      <c r="L112" s="2">
        <v>0.04</v>
      </c>
      <c r="M112">
        <v>0.1</v>
      </c>
      <c r="N112" s="2">
        <v>8.7813600000000012</v>
      </c>
      <c r="O112" s="2">
        <v>21.953400000000002</v>
      </c>
    </row>
    <row r="113" spans="2:15">
      <c r="B113" t="s">
        <v>205</v>
      </c>
      <c r="C113" t="s">
        <v>49</v>
      </c>
      <c r="D113" t="s">
        <v>332</v>
      </c>
      <c r="E113" t="s">
        <v>333</v>
      </c>
      <c r="F113" t="s">
        <v>12</v>
      </c>
      <c r="G113" t="s">
        <v>332</v>
      </c>
      <c r="H113" t="s">
        <v>334</v>
      </c>
      <c r="I113" t="s">
        <v>34</v>
      </c>
      <c r="J113">
        <v>188405</v>
      </c>
      <c r="K113">
        <v>708</v>
      </c>
      <c r="L113" s="2">
        <v>0.04</v>
      </c>
      <c r="M113">
        <v>0.1</v>
      </c>
      <c r="N113" s="2">
        <v>7.5362</v>
      </c>
      <c r="O113" s="2">
        <v>18.840499999999999</v>
      </c>
    </row>
    <row r="114" spans="2:15">
      <c r="B114" t="s">
        <v>205</v>
      </c>
      <c r="C114" t="s">
        <v>49</v>
      </c>
      <c r="D114" t="s">
        <v>335</v>
      </c>
      <c r="E114" t="s">
        <v>336</v>
      </c>
      <c r="F114" t="s">
        <v>12</v>
      </c>
      <c r="G114" t="s">
        <v>335</v>
      </c>
      <c r="H114" t="s">
        <v>337</v>
      </c>
      <c r="I114" t="s">
        <v>34</v>
      </c>
      <c r="J114">
        <v>9825853</v>
      </c>
      <c r="K114">
        <v>40942</v>
      </c>
      <c r="L114" s="2">
        <v>0.04</v>
      </c>
      <c r="M114">
        <v>0.1</v>
      </c>
      <c r="N114" s="2">
        <v>393.03411999999997</v>
      </c>
      <c r="O114" s="2">
        <v>982.58530000000007</v>
      </c>
    </row>
    <row r="115" spans="2:15">
      <c r="B115" t="s">
        <v>205</v>
      </c>
      <c r="C115" t="s">
        <v>49</v>
      </c>
      <c r="D115" t="s">
        <v>338</v>
      </c>
      <c r="E115" t="s">
        <v>339</v>
      </c>
      <c r="F115" t="s">
        <v>12</v>
      </c>
      <c r="G115" t="s">
        <v>338</v>
      </c>
      <c r="H115" t="s">
        <v>340</v>
      </c>
      <c r="I115" t="s">
        <v>34</v>
      </c>
      <c r="J115">
        <v>376919</v>
      </c>
      <c r="K115">
        <v>633</v>
      </c>
      <c r="L115" s="2">
        <v>0.04</v>
      </c>
      <c r="M115">
        <v>0.1</v>
      </c>
      <c r="N115" s="2">
        <v>15.07676</v>
      </c>
      <c r="O115" s="2">
        <v>37.691900000000004</v>
      </c>
    </row>
    <row r="116" spans="2:15">
      <c r="B116" t="s">
        <v>205</v>
      </c>
      <c r="C116" t="s">
        <v>49</v>
      </c>
      <c r="D116" t="s">
        <v>341</v>
      </c>
      <c r="E116" t="s">
        <v>342</v>
      </c>
      <c r="F116" t="s">
        <v>12</v>
      </c>
      <c r="G116" t="s">
        <v>341</v>
      </c>
      <c r="H116" t="s">
        <v>343</v>
      </c>
      <c r="I116" t="s">
        <v>34</v>
      </c>
      <c r="J116">
        <v>262790</v>
      </c>
      <c r="K116">
        <v>552</v>
      </c>
      <c r="L116" s="2">
        <v>0.04</v>
      </c>
      <c r="M116">
        <v>0.1</v>
      </c>
      <c r="N116" s="2">
        <v>10.5116</v>
      </c>
      <c r="O116" s="2">
        <v>26.279</v>
      </c>
    </row>
    <row r="117" spans="2:15">
      <c r="B117" t="s">
        <v>205</v>
      </c>
      <c r="C117" t="s">
        <v>49</v>
      </c>
      <c r="D117" t="s">
        <v>344</v>
      </c>
      <c r="E117" t="s">
        <v>345</v>
      </c>
      <c r="F117" t="s">
        <v>12</v>
      </c>
      <c r="G117" t="s">
        <v>344</v>
      </c>
      <c r="H117" t="s">
        <v>346</v>
      </c>
      <c r="I117" t="s">
        <v>34</v>
      </c>
      <c r="J117">
        <v>259501</v>
      </c>
      <c r="K117">
        <v>499</v>
      </c>
      <c r="L117" s="2">
        <v>0.04</v>
      </c>
      <c r="M117">
        <v>0.1</v>
      </c>
      <c r="N117" s="2">
        <v>10.380040000000001</v>
      </c>
      <c r="O117" s="2">
        <v>25.950100000000003</v>
      </c>
    </row>
    <row r="118" spans="2:15">
      <c r="B118" t="s">
        <v>205</v>
      </c>
      <c r="C118" t="s">
        <v>49</v>
      </c>
      <c r="D118" t="s">
        <v>347</v>
      </c>
      <c r="E118" t="s">
        <v>348</v>
      </c>
      <c r="F118" t="s">
        <v>12</v>
      </c>
      <c r="G118" t="s">
        <v>347</v>
      </c>
      <c r="H118" t="s">
        <v>349</v>
      </c>
      <c r="I118" t="s">
        <v>34</v>
      </c>
      <c r="J118">
        <v>14063665</v>
      </c>
      <c r="K118">
        <v>30177</v>
      </c>
      <c r="L118" s="2">
        <v>0.04</v>
      </c>
      <c r="M118">
        <v>0.1</v>
      </c>
      <c r="N118" s="2">
        <v>562.54660000000001</v>
      </c>
      <c r="O118" s="2">
        <v>1406.3665000000001</v>
      </c>
    </row>
    <row r="119" spans="2:15">
      <c r="B119" t="s">
        <v>205</v>
      </c>
      <c r="C119" t="s">
        <v>49</v>
      </c>
      <c r="D119" t="s">
        <v>350</v>
      </c>
      <c r="E119" t="s">
        <v>351</v>
      </c>
      <c r="F119" t="s">
        <v>12</v>
      </c>
      <c r="G119" t="s">
        <v>350</v>
      </c>
      <c r="H119" t="s">
        <v>352</v>
      </c>
      <c r="I119" t="s">
        <v>34</v>
      </c>
      <c r="J119">
        <v>50884</v>
      </c>
      <c r="K119">
        <v>247</v>
      </c>
      <c r="L119" s="2">
        <v>0.04</v>
      </c>
      <c r="M119">
        <v>0.1</v>
      </c>
      <c r="N119" s="2">
        <v>2.0353600000000003</v>
      </c>
      <c r="O119" s="2">
        <v>5.0884000000000009</v>
      </c>
    </row>
    <row r="120" spans="2:15">
      <c r="B120" t="s">
        <v>205</v>
      </c>
      <c r="C120" t="s">
        <v>49</v>
      </c>
      <c r="D120" t="s">
        <v>353</v>
      </c>
      <c r="E120" t="s">
        <v>354</v>
      </c>
      <c r="F120" t="s">
        <v>12</v>
      </c>
      <c r="G120" t="s">
        <v>353</v>
      </c>
      <c r="H120" t="s">
        <v>355</v>
      </c>
      <c r="I120" t="s">
        <v>34</v>
      </c>
      <c r="J120">
        <v>2633854</v>
      </c>
      <c r="K120">
        <v>22706</v>
      </c>
      <c r="L120" s="2">
        <v>0.04</v>
      </c>
      <c r="M120">
        <v>0.1</v>
      </c>
      <c r="N120" s="2">
        <v>105.35416000000001</v>
      </c>
      <c r="O120" s="2">
        <v>263.3854</v>
      </c>
    </row>
    <row r="121" spans="2:15">
      <c r="B121" t="s">
        <v>205</v>
      </c>
      <c r="C121" t="s">
        <v>49</v>
      </c>
      <c r="D121" t="s">
        <v>356</v>
      </c>
      <c r="E121" t="s">
        <v>357</v>
      </c>
      <c r="F121" t="s">
        <v>12</v>
      </c>
      <c r="G121" t="s">
        <v>356</v>
      </c>
      <c r="H121" t="s">
        <v>358</v>
      </c>
      <c r="I121" t="s">
        <v>34</v>
      </c>
      <c r="J121">
        <v>265591</v>
      </c>
      <c r="K121">
        <v>1118</v>
      </c>
      <c r="L121" s="2">
        <v>0.04</v>
      </c>
      <c r="M121">
        <v>0.1</v>
      </c>
      <c r="N121" s="2">
        <v>10.62364</v>
      </c>
      <c r="O121" s="2">
        <v>26.559100000000001</v>
      </c>
    </row>
    <row r="122" spans="2:15">
      <c r="B122" t="s">
        <v>205</v>
      </c>
      <c r="C122" t="s">
        <v>49</v>
      </c>
      <c r="D122" t="s">
        <v>359</v>
      </c>
      <c r="E122" t="s">
        <v>360</v>
      </c>
      <c r="F122" t="s">
        <v>12</v>
      </c>
      <c r="G122" t="s">
        <v>359</v>
      </c>
      <c r="H122" t="s">
        <v>361</v>
      </c>
      <c r="I122" t="s">
        <v>34</v>
      </c>
      <c r="J122">
        <v>246027</v>
      </c>
      <c r="K122">
        <v>1182</v>
      </c>
      <c r="L122" s="2">
        <v>0.04</v>
      </c>
      <c r="M122">
        <v>0.1</v>
      </c>
      <c r="N122" s="2">
        <v>9.8410799999999998</v>
      </c>
      <c r="O122" s="2">
        <v>24.602700000000002</v>
      </c>
    </row>
    <row r="123" spans="2:15">
      <c r="B123" t="s">
        <v>205</v>
      </c>
      <c r="C123" t="s">
        <v>49</v>
      </c>
      <c r="D123" t="s">
        <v>362</v>
      </c>
      <c r="E123" t="s">
        <v>363</v>
      </c>
      <c r="F123" t="s">
        <v>12</v>
      </c>
      <c r="G123" t="s">
        <v>362</v>
      </c>
      <c r="H123" t="s">
        <v>364</v>
      </c>
      <c r="I123" t="s">
        <v>34</v>
      </c>
      <c r="J123">
        <v>5529</v>
      </c>
      <c r="K123">
        <v>10</v>
      </c>
      <c r="L123" s="2">
        <v>0.04</v>
      </c>
      <c r="M123">
        <v>0.1</v>
      </c>
      <c r="N123" s="2">
        <v>0.22116</v>
      </c>
      <c r="O123" s="2">
        <v>0.55289999999999995</v>
      </c>
    </row>
    <row r="124" spans="2:15">
      <c r="B124" t="s">
        <v>205</v>
      </c>
      <c r="C124" t="s">
        <v>49</v>
      </c>
      <c r="D124" t="s">
        <v>365</v>
      </c>
      <c r="E124" t="s">
        <v>366</v>
      </c>
      <c r="F124" t="s">
        <v>12</v>
      </c>
      <c r="G124" t="s">
        <v>365</v>
      </c>
      <c r="H124" t="s">
        <v>367</v>
      </c>
      <c r="I124" t="s">
        <v>34</v>
      </c>
      <c r="J124">
        <v>96439</v>
      </c>
      <c r="K124">
        <v>197</v>
      </c>
      <c r="L124" s="2">
        <v>0.04</v>
      </c>
      <c r="M124">
        <v>0.1</v>
      </c>
      <c r="N124" s="2">
        <v>3.8575599999999999</v>
      </c>
      <c r="O124" s="2">
        <v>9.6439000000000004</v>
      </c>
    </row>
    <row r="125" spans="2:15">
      <c r="B125" t="s">
        <v>205</v>
      </c>
      <c r="C125" t="s">
        <v>49</v>
      </c>
      <c r="D125" t="s">
        <v>368</v>
      </c>
      <c r="E125" t="s">
        <v>369</v>
      </c>
      <c r="F125" t="s">
        <v>12</v>
      </c>
      <c r="G125" t="s">
        <v>368</v>
      </c>
      <c r="H125" t="s">
        <v>370</v>
      </c>
      <c r="I125" t="s">
        <v>34</v>
      </c>
      <c r="J125">
        <v>29664</v>
      </c>
      <c r="K125">
        <v>78</v>
      </c>
      <c r="L125" s="2">
        <v>0.04</v>
      </c>
      <c r="M125">
        <v>0.1</v>
      </c>
      <c r="N125" s="2">
        <v>1.1865599999999998</v>
      </c>
      <c r="O125" s="2">
        <v>2.9664000000000001</v>
      </c>
    </row>
    <row r="126" spans="2:15">
      <c r="B126" t="s">
        <v>205</v>
      </c>
      <c r="C126" t="s">
        <v>49</v>
      </c>
      <c r="D126" t="s">
        <v>371</v>
      </c>
      <c r="E126" t="s">
        <v>372</v>
      </c>
      <c r="F126" t="s">
        <v>12</v>
      </c>
      <c r="G126" t="s">
        <v>371</v>
      </c>
      <c r="H126" t="s">
        <v>373</v>
      </c>
      <c r="I126" t="s">
        <v>34</v>
      </c>
      <c r="J126">
        <v>164917</v>
      </c>
      <c r="K126">
        <v>32</v>
      </c>
      <c r="L126" s="2">
        <v>0.04</v>
      </c>
      <c r="M126">
        <v>0.1</v>
      </c>
      <c r="N126" s="2">
        <v>6.5966800000000001</v>
      </c>
      <c r="O126" s="2">
        <v>16.491700000000002</v>
      </c>
    </row>
    <row r="127" spans="2:15">
      <c r="B127" t="s">
        <v>205</v>
      </c>
      <c r="C127" t="s">
        <v>49</v>
      </c>
      <c r="D127" t="s">
        <v>374</v>
      </c>
      <c r="E127" t="s">
        <v>375</v>
      </c>
      <c r="F127" t="s">
        <v>12</v>
      </c>
      <c r="G127" t="s">
        <v>374</v>
      </c>
      <c r="H127" t="s">
        <v>376</v>
      </c>
      <c r="I127" t="s">
        <v>34</v>
      </c>
      <c r="J127">
        <v>22866</v>
      </c>
      <c r="K127">
        <v>11</v>
      </c>
      <c r="L127" s="2">
        <v>0.04</v>
      </c>
      <c r="M127">
        <v>0.1</v>
      </c>
      <c r="N127" s="2">
        <v>0.91464000000000001</v>
      </c>
      <c r="O127" s="2">
        <v>2.2866</v>
      </c>
    </row>
    <row r="128" spans="2:15">
      <c r="B128" t="s">
        <v>205</v>
      </c>
      <c r="C128" t="s">
        <v>49</v>
      </c>
      <c r="D128" t="s">
        <v>377</v>
      </c>
      <c r="E128" t="s">
        <v>378</v>
      </c>
      <c r="F128" t="s">
        <v>12</v>
      </c>
      <c r="G128" t="s">
        <v>377</v>
      </c>
      <c r="H128" t="s">
        <v>379</v>
      </c>
      <c r="I128" t="s">
        <v>34</v>
      </c>
      <c r="J128">
        <v>18874</v>
      </c>
      <c r="K128">
        <v>6</v>
      </c>
      <c r="L128" s="2">
        <v>0.04</v>
      </c>
      <c r="M128">
        <v>0.1</v>
      </c>
      <c r="N128" s="2">
        <v>0.75496000000000008</v>
      </c>
      <c r="O128" s="2">
        <v>1.8874000000000002</v>
      </c>
    </row>
    <row r="129" spans="2:15">
      <c r="B129" t="s">
        <v>205</v>
      </c>
      <c r="C129" t="s">
        <v>49</v>
      </c>
      <c r="D129" t="s">
        <v>380</v>
      </c>
      <c r="E129" t="s">
        <v>381</v>
      </c>
      <c r="F129" t="s">
        <v>12</v>
      </c>
      <c r="G129" t="s">
        <v>380</v>
      </c>
      <c r="H129" t="s">
        <v>382</v>
      </c>
      <c r="I129" t="s">
        <v>34</v>
      </c>
      <c r="J129">
        <v>15386</v>
      </c>
      <c r="K129">
        <v>29</v>
      </c>
      <c r="L129" s="2">
        <v>0.04</v>
      </c>
      <c r="M129">
        <v>0.1</v>
      </c>
      <c r="N129" s="2">
        <v>0.6154400000000001</v>
      </c>
      <c r="O129" s="2">
        <v>1.5386000000000002</v>
      </c>
    </row>
    <row r="130" spans="2:15">
      <c r="B130" t="s">
        <v>205</v>
      </c>
      <c r="C130" t="s">
        <v>49</v>
      </c>
      <c r="D130" t="s">
        <v>383</v>
      </c>
      <c r="E130" t="s">
        <v>384</v>
      </c>
      <c r="F130" t="s">
        <v>12</v>
      </c>
      <c r="G130" t="s">
        <v>383</v>
      </c>
      <c r="H130" t="s">
        <v>385</v>
      </c>
      <c r="I130" t="s">
        <v>34</v>
      </c>
      <c r="J130">
        <v>214981</v>
      </c>
      <c r="K130">
        <v>291</v>
      </c>
      <c r="L130" s="2">
        <v>0.04</v>
      </c>
      <c r="M130">
        <v>0.1</v>
      </c>
      <c r="N130" s="2">
        <v>8.59924</v>
      </c>
      <c r="O130" s="2">
        <v>21.498100000000001</v>
      </c>
    </row>
    <row r="131" spans="2:15">
      <c r="B131" t="s">
        <v>205</v>
      </c>
      <c r="C131" t="s">
        <v>49</v>
      </c>
      <c r="D131" t="s">
        <v>386</v>
      </c>
      <c r="E131" t="s">
        <v>387</v>
      </c>
      <c r="F131" t="s">
        <v>12</v>
      </c>
      <c r="G131" t="s">
        <v>386</v>
      </c>
      <c r="H131" t="s">
        <v>388</v>
      </c>
      <c r="I131" t="s">
        <v>34</v>
      </c>
      <c r="J131">
        <v>142532</v>
      </c>
      <c r="K131">
        <v>205</v>
      </c>
      <c r="L131" s="2">
        <v>0.04</v>
      </c>
      <c r="M131">
        <v>0.1</v>
      </c>
      <c r="N131" s="2">
        <v>5.7012799999999997</v>
      </c>
      <c r="O131" s="2">
        <v>14.253200000000001</v>
      </c>
    </row>
    <row r="132" spans="2:15">
      <c r="B132" t="s">
        <v>205</v>
      </c>
      <c r="C132" t="s">
        <v>49</v>
      </c>
      <c r="D132" t="s">
        <v>389</v>
      </c>
      <c r="E132" t="s">
        <v>390</v>
      </c>
      <c r="F132" t="s">
        <v>12</v>
      </c>
      <c r="G132" t="s">
        <v>389</v>
      </c>
      <c r="H132" t="s">
        <v>391</v>
      </c>
      <c r="I132" t="s">
        <v>34</v>
      </c>
      <c r="J132">
        <v>34480</v>
      </c>
      <c r="K132">
        <v>48</v>
      </c>
      <c r="L132" s="2">
        <v>0.04</v>
      </c>
      <c r="M132">
        <v>0.1</v>
      </c>
      <c r="N132" s="2">
        <v>1.3792</v>
      </c>
      <c r="O132" s="2">
        <v>3.448</v>
      </c>
    </row>
    <row r="133" spans="2:15">
      <c r="B133" t="s">
        <v>205</v>
      </c>
      <c r="C133" t="s">
        <v>49</v>
      </c>
      <c r="D133" t="s">
        <v>392</v>
      </c>
      <c r="E133" t="s">
        <v>393</v>
      </c>
      <c r="F133" t="s">
        <v>12</v>
      </c>
      <c r="G133" t="s">
        <v>392</v>
      </c>
      <c r="H133" t="s">
        <v>394</v>
      </c>
      <c r="I133" t="s">
        <v>34</v>
      </c>
      <c r="J133">
        <v>35479</v>
      </c>
      <c r="K133">
        <v>34</v>
      </c>
      <c r="L133" s="2">
        <v>0.04</v>
      </c>
      <c r="M133">
        <v>0.1</v>
      </c>
      <c r="N133" s="2">
        <v>1.41916</v>
      </c>
      <c r="O133" s="2">
        <v>3.5479000000000003</v>
      </c>
    </row>
    <row r="134" spans="2:15">
      <c r="B134" t="s">
        <v>205</v>
      </c>
      <c r="C134" t="s">
        <v>49</v>
      </c>
      <c r="D134" t="s">
        <v>395</v>
      </c>
      <c r="E134" t="s">
        <v>396</v>
      </c>
      <c r="F134" t="s">
        <v>12</v>
      </c>
      <c r="G134" t="s">
        <v>395</v>
      </c>
      <c r="H134" t="s">
        <v>397</v>
      </c>
      <c r="I134" t="s">
        <v>34</v>
      </c>
      <c r="J134">
        <v>259284</v>
      </c>
      <c r="K134">
        <v>300</v>
      </c>
      <c r="L134" s="2">
        <v>0.04</v>
      </c>
      <c r="M134">
        <v>0.1</v>
      </c>
      <c r="N134" s="2">
        <v>10.371360000000001</v>
      </c>
      <c r="O134" s="2">
        <v>25.9284</v>
      </c>
    </row>
    <row r="135" spans="2:15">
      <c r="B135" t="s">
        <v>205</v>
      </c>
      <c r="C135" t="s">
        <v>49</v>
      </c>
      <c r="D135" t="s">
        <v>398</v>
      </c>
      <c r="E135" t="s">
        <v>399</v>
      </c>
      <c r="F135" t="s">
        <v>12</v>
      </c>
      <c r="G135" t="s">
        <v>398</v>
      </c>
      <c r="H135" t="s">
        <v>400</v>
      </c>
      <c r="I135" t="s">
        <v>34</v>
      </c>
      <c r="J135">
        <v>34780</v>
      </c>
      <c r="K135">
        <v>32</v>
      </c>
      <c r="L135" s="2">
        <v>0.04</v>
      </c>
      <c r="M135">
        <v>0.1</v>
      </c>
      <c r="N135" s="2">
        <v>1.3912</v>
      </c>
      <c r="O135" s="2">
        <v>3.4780000000000002</v>
      </c>
    </row>
    <row r="136" spans="2:15">
      <c r="B136" t="s">
        <v>205</v>
      </c>
      <c r="C136" t="s">
        <v>49</v>
      </c>
      <c r="D136" t="s">
        <v>401</v>
      </c>
      <c r="E136" t="s">
        <v>402</v>
      </c>
      <c r="F136" t="s">
        <v>12</v>
      </c>
      <c r="G136" t="s">
        <v>401</v>
      </c>
      <c r="H136" t="s">
        <v>403</v>
      </c>
      <c r="I136" t="s">
        <v>34</v>
      </c>
      <c r="J136">
        <v>1083138</v>
      </c>
      <c r="K136">
        <v>1250</v>
      </c>
      <c r="L136" s="2">
        <v>0.04</v>
      </c>
      <c r="M136">
        <v>0.1</v>
      </c>
      <c r="N136" s="2">
        <v>43.325520000000004</v>
      </c>
      <c r="O136" s="2">
        <v>108.3138</v>
      </c>
    </row>
    <row r="137" spans="2:15">
      <c r="B137" t="s">
        <v>205</v>
      </c>
      <c r="C137" t="s">
        <v>49</v>
      </c>
      <c r="D137" t="s">
        <v>404</v>
      </c>
      <c r="E137" t="s">
        <v>405</v>
      </c>
      <c r="F137" t="s">
        <v>12</v>
      </c>
      <c r="G137" t="s">
        <v>404</v>
      </c>
      <c r="H137" t="s">
        <v>406</v>
      </c>
      <c r="I137" t="s">
        <v>34</v>
      </c>
      <c r="J137">
        <v>7336</v>
      </c>
      <c r="K137">
        <v>5</v>
      </c>
      <c r="L137" s="2">
        <v>0.04</v>
      </c>
      <c r="M137">
        <v>0.1</v>
      </c>
      <c r="N137" s="2">
        <v>0.29343999999999998</v>
      </c>
      <c r="O137" s="2">
        <v>0.73360000000000003</v>
      </c>
    </row>
    <row r="138" spans="2:15">
      <c r="B138" t="s">
        <v>205</v>
      </c>
      <c r="C138" t="s">
        <v>49</v>
      </c>
      <c r="D138" t="s">
        <v>407</v>
      </c>
      <c r="E138" t="s">
        <v>408</v>
      </c>
      <c r="F138" t="s">
        <v>12</v>
      </c>
      <c r="G138" t="s">
        <v>407</v>
      </c>
      <c r="H138" t="s">
        <v>409</v>
      </c>
      <c r="I138" t="s">
        <v>34</v>
      </c>
      <c r="J138">
        <v>39539</v>
      </c>
      <c r="K138">
        <v>54</v>
      </c>
      <c r="L138" s="2">
        <v>0.04</v>
      </c>
      <c r="M138">
        <v>0.1</v>
      </c>
      <c r="N138" s="2">
        <v>1.5815599999999999</v>
      </c>
      <c r="O138" s="2">
        <v>3.9539</v>
      </c>
    </row>
    <row r="139" spans="2:15">
      <c r="B139" t="s">
        <v>205</v>
      </c>
      <c r="C139" t="s">
        <v>49</v>
      </c>
      <c r="D139" t="s">
        <v>410</v>
      </c>
      <c r="E139" t="s">
        <v>411</v>
      </c>
      <c r="F139" t="s">
        <v>12</v>
      </c>
      <c r="G139" t="s">
        <v>410</v>
      </c>
      <c r="H139" t="s">
        <v>412</v>
      </c>
      <c r="I139" t="s">
        <v>34</v>
      </c>
      <c r="J139">
        <v>121990</v>
      </c>
      <c r="K139">
        <v>173</v>
      </c>
      <c r="L139" s="2">
        <v>0.04</v>
      </c>
      <c r="M139">
        <v>0.1</v>
      </c>
      <c r="N139" s="2">
        <v>4.8795999999999999</v>
      </c>
      <c r="O139" s="2">
        <v>12.199</v>
      </c>
    </row>
    <row r="140" spans="2:15">
      <c r="B140" t="s">
        <v>205</v>
      </c>
      <c r="C140" t="s">
        <v>49</v>
      </c>
      <c r="D140" t="s">
        <v>413</v>
      </c>
      <c r="E140" t="s">
        <v>414</v>
      </c>
      <c r="F140" t="s">
        <v>12</v>
      </c>
      <c r="G140" t="s">
        <v>413</v>
      </c>
      <c r="H140" t="s">
        <v>415</v>
      </c>
      <c r="I140" t="s">
        <v>34</v>
      </c>
      <c r="J140">
        <v>939</v>
      </c>
      <c r="K140">
        <v>0</v>
      </c>
      <c r="L140" s="2">
        <v>0.04</v>
      </c>
      <c r="M140">
        <v>0.1</v>
      </c>
      <c r="N140" s="2">
        <v>3.7560000000000003E-2</v>
      </c>
      <c r="O140" s="2">
        <v>9.3900000000000011E-2</v>
      </c>
    </row>
    <row r="141" spans="2:15">
      <c r="B141" t="s">
        <v>205</v>
      </c>
      <c r="C141" t="s">
        <v>49</v>
      </c>
      <c r="D141" t="s">
        <v>416</v>
      </c>
      <c r="E141" t="s">
        <v>417</v>
      </c>
      <c r="F141" t="s">
        <v>12</v>
      </c>
      <c r="G141" t="s">
        <v>416</v>
      </c>
      <c r="H141" t="s">
        <v>418</v>
      </c>
      <c r="I141" t="s">
        <v>34</v>
      </c>
      <c r="J141">
        <v>2851</v>
      </c>
      <c r="K141">
        <v>3</v>
      </c>
      <c r="L141" s="2">
        <v>0.04</v>
      </c>
      <c r="M141">
        <v>0.1</v>
      </c>
      <c r="N141" s="2">
        <v>0.11404</v>
      </c>
      <c r="O141" s="2">
        <v>0.28510000000000002</v>
      </c>
    </row>
    <row r="142" spans="2:15">
      <c r="B142" t="s">
        <v>205</v>
      </c>
      <c r="C142" t="s">
        <v>49</v>
      </c>
      <c r="D142" t="s">
        <v>419</v>
      </c>
      <c r="E142" t="s">
        <v>420</v>
      </c>
      <c r="F142" t="s">
        <v>12</v>
      </c>
      <c r="G142" t="s">
        <v>419</v>
      </c>
      <c r="H142" t="s">
        <v>421</v>
      </c>
      <c r="I142" t="s">
        <v>34</v>
      </c>
      <c r="J142">
        <v>1303</v>
      </c>
      <c r="K142">
        <v>0</v>
      </c>
      <c r="L142" s="2">
        <v>0.04</v>
      </c>
      <c r="M142">
        <v>0.1</v>
      </c>
      <c r="N142" s="2">
        <v>5.2120000000000007E-2</v>
      </c>
      <c r="O142" s="2">
        <v>0.1303</v>
      </c>
    </row>
    <row r="143" spans="2:15">
      <c r="B143" t="s">
        <v>205</v>
      </c>
      <c r="C143" t="s">
        <v>49</v>
      </c>
      <c r="D143" t="s">
        <v>422</v>
      </c>
      <c r="E143" t="s">
        <v>423</v>
      </c>
      <c r="F143" t="s">
        <v>12</v>
      </c>
      <c r="G143" t="s">
        <v>422</v>
      </c>
      <c r="H143" t="s">
        <v>424</v>
      </c>
      <c r="I143" t="s">
        <v>34</v>
      </c>
      <c r="J143">
        <v>32267</v>
      </c>
      <c r="K143">
        <v>67</v>
      </c>
      <c r="L143" s="2">
        <v>0.04</v>
      </c>
      <c r="M143">
        <v>0.1</v>
      </c>
      <c r="N143" s="2">
        <v>1.29068</v>
      </c>
      <c r="O143" s="2">
        <v>3.2267000000000001</v>
      </c>
    </row>
    <row r="144" spans="2:15">
      <c r="B144" t="s">
        <v>205</v>
      </c>
      <c r="C144" t="s">
        <v>49</v>
      </c>
      <c r="D144" t="s">
        <v>425</v>
      </c>
      <c r="E144" t="s">
        <v>426</v>
      </c>
      <c r="F144" t="s">
        <v>12</v>
      </c>
      <c r="G144" t="s">
        <v>425</v>
      </c>
      <c r="H144" t="s">
        <v>427</v>
      </c>
      <c r="I144" t="s">
        <v>34</v>
      </c>
      <c r="J144">
        <v>10185</v>
      </c>
      <c r="K144">
        <v>1</v>
      </c>
      <c r="L144" s="2">
        <v>0.04</v>
      </c>
      <c r="M144">
        <v>0.1</v>
      </c>
      <c r="N144" s="2">
        <v>0.40740000000000004</v>
      </c>
      <c r="O144" s="2">
        <v>1.0185</v>
      </c>
    </row>
    <row r="145" spans="2:15">
      <c r="B145" t="s">
        <v>205</v>
      </c>
      <c r="C145" t="s">
        <v>49</v>
      </c>
      <c r="D145" t="s">
        <v>428</v>
      </c>
      <c r="E145" t="s">
        <v>429</v>
      </c>
      <c r="F145" t="s">
        <v>12</v>
      </c>
      <c r="G145" t="s">
        <v>428</v>
      </c>
      <c r="H145" t="s">
        <v>430</v>
      </c>
      <c r="I145" t="s">
        <v>34</v>
      </c>
      <c r="J145">
        <v>4000</v>
      </c>
      <c r="K145">
        <v>1</v>
      </c>
      <c r="L145" s="2">
        <v>0.04</v>
      </c>
      <c r="M145">
        <v>0.1</v>
      </c>
      <c r="N145" s="2">
        <v>0.16</v>
      </c>
      <c r="O145" s="2">
        <v>0.4</v>
      </c>
    </row>
    <row r="146" spans="2:15">
      <c r="B146" t="s">
        <v>205</v>
      </c>
      <c r="C146" t="s">
        <v>49</v>
      </c>
      <c r="D146" t="s">
        <v>431</v>
      </c>
      <c r="E146" t="s">
        <v>432</v>
      </c>
      <c r="F146" t="s">
        <v>12</v>
      </c>
      <c r="G146" t="s">
        <v>431</v>
      </c>
      <c r="H146" t="s">
        <v>433</v>
      </c>
      <c r="I146" t="s">
        <v>34</v>
      </c>
      <c r="J146">
        <v>50219</v>
      </c>
      <c r="K146">
        <v>8</v>
      </c>
      <c r="L146" s="2">
        <v>0.04</v>
      </c>
      <c r="M146">
        <v>0.1</v>
      </c>
      <c r="N146" s="2">
        <v>2.0087600000000001</v>
      </c>
      <c r="O146" s="2">
        <v>5.0219000000000005</v>
      </c>
    </row>
    <row r="147" spans="2:15">
      <c r="B147" t="s">
        <v>205</v>
      </c>
      <c r="C147" t="s">
        <v>49</v>
      </c>
      <c r="D147" t="s">
        <v>434</v>
      </c>
      <c r="E147" t="s">
        <v>435</v>
      </c>
      <c r="F147" t="s">
        <v>12</v>
      </c>
      <c r="G147" t="s">
        <v>434</v>
      </c>
      <c r="H147" t="s">
        <v>436</v>
      </c>
      <c r="I147" t="s">
        <v>34</v>
      </c>
      <c r="J147">
        <v>7407</v>
      </c>
      <c r="K147">
        <v>0</v>
      </c>
      <c r="L147" s="2">
        <v>0.04</v>
      </c>
      <c r="M147">
        <v>0.1</v>
      </c>
      <c r="N147" s="2">
        <v>0.29628000000000004</v>
      </c>
      <c r="O147" s="2">
        <v>0.74070000000000003</v>
      </c>
    </row>
    <row r="148" spans="2:15">
      <c r="B148" t="s">
        <v>205</v>
      </c>
      <c r="C148" t="s">
        <v>49</v>
      </c>
      <c r="D148" t="s">
        <v>437</v>
      </c>
      <c r="E148" t="s">
        <v>438</v>
      </c>
      <c r="F148" t="s">
        <v>12</v>
      </c>
      <c r="G148" t="s">
        <v>437</v>
      </c>
      <c r="H148" t="s">
        <v>439</v>
      </c>
      <c r="I148" t="s">
        <v>34</v>
      </c>
      <c r="J148">
        <v>34109</v>
      </c>
      <c r="K148">
        <v>57</v>
      </c>
      <c r="L148" s="2">
        <v>0.04</v>
      </c>
      <c r="M148">
        <v>0.1</v>
      </c>
      <c r="N148" s="2">
        <v>1.36436</v>
      </c>
      <c r="O148" s="2">
        <v>3.4109000000000003</v>
      </c>
    </row>
    <row r="149" spans="2:15">
      <c r="B149" t="s">
        <v>205</v>
      </c>
      <c r="C149" t="s">
        <v>49</v>
      </c>
      <c r="D149" t="s">
        <v>440</v>
      </c>
      <c r="E149" t="s">
        <v>441</v>
      </c>
      <c r="F149" t="s">
        <v>12</v>
      </c>
      <c r="G149" t="s">
        <v>440</v>
      </c>
      <c r="H149" t="s">
        <v>442</v>
      </c>
      <c r="I149" t="s">
        <v>34</v>
      </c>
      <c r="J149">
        <v>21288</v>
      </c>
      <c r="K149">
        <v>40</v>
      </c>
      <c r="L149" s="2">
        <v>0.04</v>
      </c>
      <c r="M149">
        <v>0.1</v>
      </c>
      <c r="N149" s="2">
        <v>0.85151999999999994</v>
      </c>
      <c r="O149" s="2">
        <v>2.1288</v>
      </c>
    </row>
    <row r="150" spans="2:15">
      <c r="B150" t="s">
        <v>205</v>
      </c>
      <c r="C150" t="s">
        <v>49</v>
      </c>
      <c r="D150" t="s">
        <v>443</v>
      </c>
      <c r="E150" t="s">
        <v>444</v>
      </c>
      <c r="F150" t="s">
        <v>12</v>
      </c>
      <c r="G150" t="s">
        <v>443</v>
      </c>
      <c r="H150" t="s">
        <v>445</v>
      </c>
      <c r="I150" t="s">
        <v>34</v>
      </c>
      <c r="J150">
        <v>24500</v>
      </c>
      <c r="K150">
        <v>32</v>
      </c>
      <c r="L150" s="2">
        <v>0.04</v>
      </c>
      <c r="M150">
        <v>0.1</v>
      </c>
      <c r="N150" s="2">
        <v>0.98</v>
      </c>
      <c r="O150" s="2">
        <v>2.4500000000000002</v>
      </c>
    </row>
    <row r="151" spans="2:15">
      <c r="B151" t="s">
        <v>205</v>
      </c>
      <c r="C151" t="s">
        <v>49</v>
      </c>
      <c r="D151" t="s">
        <v>446</v>
      </c>
      <c r="E151" t="s">
        <v>447</v>
      </c>
      <c r="F151" t="s">
        <v>12</v>
      </c>
      <c r="G151" t="s">
        <v>446</v>
      </c>
      <c r="H151" t="s">
        <v>448</v>
      </c>
      <c r="I151" t="s">
        <v>34</v>
      </c>
      <c r="J151">
        <v>3200</v>
      </c>
      <c r="K151">
        <v>5</v>
      </c>
      <c r="L151" s="2">
        <v>0.04</v>
      </c>
      <c r="M151">
        <v>0.1</v>
      </c>
      <c r="N151" s="2">
        <v>0.128</v>
      </c>
      <c r="O151" s="2">
        <v>0.32</v>
      </c>
    </row>
    <row r="152" spans="2:15">
      <c r="B152" t="s">
        <v>205</v>
      </c>
      <c r="C152" t="s">
        <v>49</v>
      </c>
      <c r="D152" t="s">
        <v>449</v>
      </c>
      <c r="E152" t="s">
        <v>450</v>
      </c>
      <c r="F152" t="s">
        <v>12</v>
      </c>
      <c r="G152" t="s">
        <v>449</v>
      </c>
      <c r="H152" t="s">
        <v>451</v>
      </c>
      <c r="I152" t="s">
        <v>34</v>
      </c>
      <c r="J152">
        <v>240162</v>
      </c>
      <c r="K152">
        <v>51</v>
      </c>
      <c r="L152" s="2">
        <v>0.04</v>
      </c>
      <c r="M152">
        <v>0.1</v>
      </c>
      <c r="N152" s="2">
        <v>9.6064799999999995</v>
      </c>
      <c r="O152" s="2">
        <v>24.016200000000001</v>
      </c>
    </row>
    <row r="153" spans="2:15">
      <c r="B153" t="s">
        <v>205</v>
      </c>
      <c r="C153" t="s">
        <v>49</v>
      </c>
      <c r="D153" t="s">
        <v>452</v>
      </c>
      <c r="E153" t="s">
        <v>453</v>
      </c>
      <c r="F153" t="s">
        <v>12</v>
      </c>
      <c r="G153" t="s">
        <v>452</v>
      </c>
      <c r="H153" t="s">
        <v>454</v>
      </c>
      <c r="I153" t="s">
        <v>34</v>
      </c>
      <c r="J153">
        <v>248604</v>
      </c>
      <c r="K153">
        <v>48</v>
      </c>
      <c r="L153" s="2">
        <v>0.04</v>
      </c>
      <c r="M153">
        <v>0.1</v>
      </c>
      <c r="N153" s="2">
        <v>9.9441600000000001</v>
      </c>
      <c r="O153" s="2">
        <v>24.860400000000002</v>
      </c>
    </row>
    <row r="154" spans="2:15">
      <c r="B154" t="s">
        <v>205</v>
      </c>
      <c r="C154" t="s">
        <v>49</v>
      </c>
      <c r="D154" t="s">
        <v>455</v>
      </c>
      <c r="E154" t="s">
        <v>456</v>
      </c>
      <c r="F154" t="s">
        <v>12</v>
      </c>
      <c r="G154" t="s">
        <v>455</v>
      </c>
      <c r="H154" t="s">
        <v>457</v>
      </c>
      <c r="I154" t="s">
        <v>34</v>
      </c>
      <c r="J154">
        <v>48637</v>
      </c>
      <c r="K154">
        <v>9</v>
      </c>
      <c r="L154" s="2">
        <v>0.04</v>
      </c>
      <c r="M154">
        <v>0.1</v>
      </c>
      <c r="N154" s="2">
        <v>1.9454800000000001</v>
      </c>
      <c r="O154" s="2">
        <v>4.8636999999999997</v>
      </c>
    </row>
    <row r="155" spans="2:15">
      <c r="B155" t="s">
        <v>205</v>
      </c>
      <c r="C155" t="s">
        <v>49</v>
      </c>
      <c r="D155" t="s">
        <v>458</v>
      </c>
      <c r="E155" t="s">
        <v>459</v>
      </c>
      <c r="F155" t="s">
        <v>12</v>
      </c>
      <c r="G155" t="s">
        <v>458</v>
      </c>
      <c r="H155" t="s">
        <v>460</v>
      </c>
      <c r="I155" t="s">
        <v>34</v>
      </c>
      <c r="J155">
        <v>20314</v>
      </c>
      <c r="K155">
        <v>6</v>
      </c>
      <c r="L155" s="2">
        <v>0.04</v>
      </c>
      <c r="M155">
        <v>0.1</v>
      </c>
      <c r="N155" s="2">
        <v>0.81256000000000006</v>
      </c>
      <c r="O155" s="2">
        <v>2.0314000000000001</v>
      </c>
    </row>
    <row r="156" spans="2:15">
      <c r="B156" t="s">
        <v>205</v>
      </c>
      <c r="C156" t="s">
        <v>49</v>
      </c>
      <c r="D156" t="s">
        <v>461</v>
      </c>
      <c r="E156" t="s">
        <v>462</v>
      </c>
      <c r="F156" t="s">
        <v>12</v>
      </c>
      <c r="G156" t="s">
        <v>461</v>
      </c>
      <c r="H156" t="s">
        <v>463</v>
      </c>
      <c r="I156" t="s">
        <v>34</v>
      </c>
      <c r="J156">
        <v>352</v>
      </c>
      <c r="K156">
        <v>1</v>
      </c>
      <c r="L156" s="2">
        <v>0.04</v>
      </c>
      <c r="M156">
        <v>0.1</v>
      </c>
      <c r="N156" s="2">
        <v>1.4080000000000001E-2</v>
      </c>
      <c r="O156" s="2">
        <v>3.5200000000000002E-2</v>
      </c>
    </row>
    <row r="157" spans="2:15">
      <c r="B157" t="s">
        <v>205</v>
      </c>
      <c r="C157" t="s">
        <v>49</v>
      </c>
      <c r="D157" t="s">
        <v>464</v>
      </c>
      <c r="E157" t="s">
        <v>465</v>
      </c>
      <c r="F157" t="s">
        <v>12</v>
      </c>
      <c r="G157" t="s">
        <v>464</v>
      </c>
      <c r="H157" t="s">
        <v>466</v>
      </c>
      <c r="I157" t="s">
        <v>34</v>
      </c>
      <c r="J157">
        <v>622</v>
      </c>
      <c r="K157">
        <v>1</v>
      </c>
      <c r="L157" s="2">
        <v>0.04</v>
      </c>
      <c r="M157">
        <v>0.1</v>
      </c>
      <c r="N157" s="2">
        <v>2.4879999999999999E-2</v>
      </c>
      <c r="O157" s="2">
        <v>6.2200000000000005E-2</v>
      </c>
    </row>
    <row r="158" spans="2:15">
      <c r="B158" t="s">
        <v>205</v>
      </c>
      <c r="C158" t="s">
        <v>49</v>
      </c>
      <c r="D158" t="s">
        <v>467</v>
      </c>
      <c r="E158" t="s">
        <v>468</v>
      </c>
      <c r="F158" t="s">
        <v>12</v>
      </c>
      <c r="G158" t="s">
        <v>467</v>
      </c>
      <c r="H158" t="s">
        <v>469</v>
      </c>
      <c r="I158" t="s">
        <v>34</v>
      </c>
      <c r="J158">
        <v>1963</v>
      </c>
      <c r="K158">
        <v>0</v>
      </c>
      <c r="L158" s="2">
        <v>0.04</v>
      </c>
      <c r="M158">
        <v>0.1</v>
      </c>
      <c r="N158" s="2">
        <v>7.8519999999999993E-2</v>
      </c>
      <c r="O158" s="2">
        <v>0.1963</v>
      </c>
    </row>
    <row r="159" spans="2:15">
      <c r="B159" t="s">
        <v>205</v>
      </c>
      <c r="C159" t="s">
        <v>49</v>
      </c>
      <c r="D159" t="s">
        <v>470</v>
      </c>
      <c r="E159" t="s">
        <v>471</v>
      </c>
      <c r="F159" t="s">
        <v>12</v>
      </c>
      <c r="G159" t="s">
        <v>470</v>
      </c>
      <c r="H159" t="s">
        <v>472</v>
      </c>
      <c r="I159" t="s">
        <v>34</v>
      </c>
      <c r="J159">
        <v>8857</v>
      </c>
      <c r="K159">
        <v>3</v>
      </c>
      <c r="L159" s="2">
        <v>0.04</v>
      </c>
      <c r="M159">
        <v>0.1</v>
      </c>
      <c r="N159" s="2">
        <v>0.35428000000000004</v>
      </c>
      <c r="O159" s="2">
        <v>0.88570000000000004</v>
      </c>
    </row>
    <row r="160" spans="2:15">
      <c r="B160" t="s">
        <v>205</v>
      </c>
      <c r="C160" t="s">
        <v>49</v>
      </c>
      <c r="D160" t="s">
        <v>473</v>
      </c>
      <c r="E160" t="s">
        <v>474</v>
      </c>
      <c r="F160" t="s">
        <v>12</v>
      </c>
      <c r="G160" t="s">
        <v>473</v>
      </c>
      <c r="H160" t="s">
        <v>475</v>
      </c>
      <c r="I160" t="s">
        <v>34</v>
      </c>
      <c r="J160">
        <v>7051</v>
      </c>
      <c r="K160">
        <v>20</v>
      </c>
      <c r="L160" s="2">
        <v>0.04</v>
      </c>
      <c r="M160">
        <v>0.1</v>
      </c>
      <c r="N160" s="2">
        <v>0.28204000000000001</v>
      </c>
      <c r="O160" s="2">
        <v>0.70510000000000006</v>
      </c>
    </row>
    <row r="161" spans="2:15">
      <c r="B161" t="s">
        <v>205</v>
      </c>
      <c r="C161" t="s">
        <v>49</v>
      </c>
      <c r="D161" t="s">
        <v>476</v>
      </c>
      <c r="E161" t="s">
        <v>477</v>
      </c>
      <c r="F161" t="s">
        <v>12</v>
      </c>
      <c r="G161" t="s">
        <v>476</v>
      </c>
      <c r="H161" t="s">
        <v>478</v>
      </c>
      <c r="I161" t="s">
        <v>34</v>
      </c>
      <c r="J161">
        <v>2120</v>
      </c>
      <c r="K161">
        <v>11</v>
      </c>
      <c r="L161" s="2">
        <v>0.04</v>
      </c>
      <c r="M161">
        <v>0.1</v>
      </c>
      <c r="N161" s="2">
        <v>8.48E-2</v>
      </c>
      <c r="O161" s="2">
        <v>0.21199999999999999</v>
      </c>
    </row>
    <row r="162" spans="2:15">
      <c r="B162" t="s">
        <v>205</v>
      </c>
      <c r="C162" t="s">
        <v>49</v>
      </c>
      <c r="D162" t="s">
        <v>479</v>
      </c>
      <c r="E162" t="s">
        <v>480</v>
      </c>
      <c r="F162" t="s">
        <v>12</v>
      </c>
      <c r="G162" t="s">
        <v>479</v>
      </c>
      <c r="H162" t="s">
        <v>481</v>
      </c>
      <c r="I162" t="s">
        <v>34</v>
      </c>
      <c r="J162">
        <v>2628</v>
      </c>
      <c r="K162">
        <v>10</v>
      </c>
      <c r="L162" s="2">
        <v>0.04</v>
      </c>
      <c r="M162">
        <v>0.1</v>
      </c>
      <c r="N162" s="2">
        <v>0.10512000000000001</v>
      </c>
      <c r="O162" s="2">
        <v>0.26280000000000003</v>
      </c>
    </row>
    <row r="163" spans="2:15">
      <c r="B163" t="s">
        <v>205</v>
      </c>
      <c r="C163" t="s">
        <v>49</v>
      </c>
      <c r="D163" t="s">
        <v>482</v>
      </c>
      <c r="E163" t="s">
        <v>483</v>
      </c>
      <c r="F163" t="s">
        <v>12</v>
      </c>
      <c r="G163" t="s">
        <v>482</v>
      </c>
      <c r="H163" t="s">
        <v>484</v>
      </c>
      <c r="I163" t="s">
        <v>34</v>
      </c>
      <c r="J163">
        <v>2230</v>
      </c>
      <c r="K163">
        <v>5</v>
      </c>
      <c r="L163" s="2">
        <v>0.04</v>
      </c>
      <c r="M163">
        <v>0.1</v>
      </c>
      <c r="N163" s="2">
        <v>8.9200000000000002E-2</v>
      </c>
      <c r="O163" s="2">
        <v>0.223</v>
      </c>
    </row>
    <row r="164" spans="2:15">
      <c r="B164" t="s">
        <v>205</v>
      </c>
      <c r="C164" t="s">
        <v>49</v>
      </c>
      <c r="D164" t="s">
        <v>485</v>
      </c>
      <c r="E164" t="s">
        <v>486</v>
      </c>
      <c r="F164" t="s">
        <v>12</v>
      </c>
      <c r="G164" t="s">
        <v>485</v>
      </c>
      <c r="H164" t="s">
        <v>487</v>
      </c>
      <c r="I164" t="s">
        <v>34</v>
      </c>
      <c r="J164">
        <v>26720</v>
      </c>
      <c r="K164">
        <v>3</v>
      </c>
      <c r="L164" s="2">
        <v>0.04</v>
      </c>
      <c r="M164">
        <v>0.1</v>
      </c>
      <c r="N164" s="2">
        <v>1.0688</v>
      </c>
      <c r="O164" s="2">
        <v>2.6720000000000002</v>
      </c>
    </row>
    <row r="165" spans="2:15">
      <c r="B165" t="s">
        <v>205</v>
      </c>
      <c r="C165" t="s">
        <v>49</v>
      </c>
      <c r="D165" t="s">
        <v>488</v>
      </c>
      <c r="E165" t="s">
        <v>489</v>
      </c>
      <c r="F165" t="s">
        <v>12</v>
      </c>
      <c r="G165" t="s">
        <v>488</v>
      </c>
      <c r="H165" t="s">
        <v>490</v>
      </c>
      <c r="I165" t="s">
        <v>34</v>
      </c>
      <c r="J165">
        <v>27160</v>
      </c>
      <c r="K165">
        <v>2</v>
      </c>
      <c r="L165" s="2">
        <v>0.04</v>
      </c>
      <c r="M165">
        <v>0.1</v>
      </c>
      <c r="N165" s="2">
        <v>1.0864</v>
      </c>
      <c r="O165" s="2">
        <v>2.7160000000000002</v>
      </c>
    </row>
    <row r="166" spans="2:15">
      <c r="B166" t="s">
        <v>205</v>
      </c>
      <c r="C166" t="s">
        <v>49</v>
      </c>
      <c r="D166" t="s">
        <v>491</v>
      </c>
      <c r="E166" t="s">
        <v>492</v>
      </c>
      <c r="F166" t="s">
        <v>12</v>
      </c>
      <c r="G166" t="s">
        <v>491</v>
      </c>
      <c r="H166" t="s">
        <v>493</v>
      </c>
      <c r="I166" t="s">
        <v>34</v>
      </c>
      <c r="J166">
        <v>9089</v>
      </c>
      <c r="K166">
        <v>0</v>
      </c>
      <c r="L166" s="2">
        <v>0.04</v>
      </c>
      <c r="M166">
        <v>0.1</v>
      </c>
      <c r="N166" s="2">
        <v>0.36355999999999999</v>
      </c>
      <c r="O166" s="2">
        <v>0.90890000000000004</v>
      </c>
    </row>
    <row r="167" spans="2:15">
      <c r="B167" t="s">
        <v>205</v>
      </c>
      <c r="C167" t="s">
        <v>49</v>
      </c>
      <c r="D167" t="s">
        <v>494</v>
      </c>
      <c r="E167" t="s">
        <v>495</v>
      </c>
      <c r="F167" t="s">
        <v>12</v>
      </c>
      <c r="G167" t="s">
        <v>494</v>
      </c>
      <c r="H167" t="s">
        <v>496</v>
      </c>
      <c r="I167" t="s">
        <v>34</v>
      </c>
      <c r="J167">
        <v>26187</v>
      </c>
      <c r="K167">
        <v>0</v>
      </c>
      <c r="L167" s="2">
        <v>0.04</v>
      </c>
      <c r="M167">
        <v>0.1</v>
      </c>
      <c r="N167" s="2">
        <v>1.04748</v>
      </c>
      <c r="O167" s="2">
        <v>2.6187000000000005</v>
      </c>
    </row>
    <row r="168" spans="2:15">
      <c r="B168" t="s">
        <v>205</v>
      </c>
      <c r="C168" t="s">
        <v>49</v>
      </c>
      <c r="D168" t="s">
        <v>497</v>
      </c>
      <c r="E168" t="s">
        <v>498</v>
      </c>
      <c r="F168" t="s">
        <v>12</v>
      </c>
      <c r="G168" t="s">
        <v>497</v>
      </c>
      <c r="H168" t="s">
        <v>499</v>
      </c>
      <c r="I168" t="s">
        <v>34</v>
      </c>
      <c r="J168">
        <v>3258</v>
      </c>
      <c r="K168">
        <v>5</v>
      </c>
      <c r="L168" s="2">
        <v>0.04</v>
      </c>
      <c r="M168">
        <v>0.1</v>
      </c>
      <c r="N168" s="2">
        <v>0.13031999999999999</v>
      </c>
      <c r="O168" s="2">
        <v>0.32580000000000003</v>
      </c>
    </row>
    <row r="169" spans="2:15">
      <c r="B169" t="s">
        <v>205</v>
      </c>
      <c r="C169" t="s">
        <v>49</v>
      </c>
      <c r="D169" t="s">
        <v>500</v>
      </c>
      <c r="E169" t="s">
        <v>501</v>
      </c>
      <c r="F169" t="s">
        <v>12</v>
      </c>
      <c r="G169" t="s">
        <v>500</v>
      </c>
      <c r="H169" t="s">
        <v>502</v>
      </c>
      <c r="I169" t="s">
        <v>34</v>
      </c>
      <c r="J169">
        <v>18631</v>
      </c>
      <c r="K169">
        <v>15</v>
      </c>
      <c r="L169" s="2">
        <v>0.04</v>
      </c>
      <c r="M169">
        <v>0.1</v>
      </c>
      <c r="N169" s="2">
        <v>0.74524000000000001</v>
      </c>
      <c r="O169" s="2">
        <v>1.8631000000000002</v>
      </c>
    </row>
    <row r="170" spans="2:15">
      <c r="B170" t="s">
        <v>205</v>
      </c>
      <c r="C170" t="s">
        <v>49</v>
      </c>
      <c r="D170" t="s">
        <v>503</v>
      </c>
      <c r="E170" t="s">
        <v>504</v>
      </c>
      <c r="F170" t="s">
        <v>12</v>
      </c>
      <c r="G170" t="s">
        <v>503</v>
      </c>
      <c r="H170" t="s">
        <v>505</v>
      </c>
      <c r="I170" t="s">
        <v>34</v>
      </c>
      <c r="J170">
        <v>7921</v>
      </c>
      <c r="K170">
        <v>8</v>
      </c>
      <c r="L170" s="2">
        <v>0.04</v>
      </c>
      <c r="M170">
        <v>0.1</v>
      </c>
      <c r="N170" s="2">
        <v>0.31684000000000001</v>
      </c>
      <c r="O170" s="2">
        <v>0.79210000000000003</v>
      </c>
    </row>
    <row r="171" spans="2:15">
      <c r="B171" t="s">
        <v>205</v>
      </c>
      <c r="C171" t="s">
        <v>49</v>
      </c>
      <c r="D171" t="s">
        <v>506</v>
      </c>
      <c r="E171" t="s">
        <v>507</v>
      </c>
      <c r="F171" t="s">
        <v>12</v>
      </c>
      <c r="G171" t="s">
        <v>506</v>
      </c>
      <c r="H171" t="s">
        <v>508</v>
      </c>
      <c r="I171" t="s">
        <v>34</v>
      </c>
      <c r="J171">
        <v>20330</v>
      </c>
      <c r="K171">
        <v>15</v>
      </c>
      <c r="L171" s="2">
        <v>0.04</v>
      </c>
      <c r="M171">
        <v>0.1</v>
      </c>
      <c r="N171" s="2">
        <v>0.81320000000000003</v>
      </c>
      <c r="O171" s="2">
        <v>2.0329999999999999</v>
      </c>
    </row>
    <row r="172" spans="2:15">
      <c r="B172" t="s">
        <v>205</v>
      </c>
      <c r="C172" t="s">
        <v>49</v>
      </c>
      <c r="D172" t="s">
        <v>509</v>
      </c>
      <c r="E172" t="s">
        <v>510</v>
      </c>
      <c r="F172" t="s">
        <v>12</v>
      </c>
      <c r="G172" t="s">
        <v>509</v>
      </c>
      <c r="H172" t="s">
        <v>511</v>
      </c>
      <c r="I172" t="s">
        <v>34</v>
      </c>
      <c r="J172">
        <v>42103</v>
      </c>
      <c r="K172">
        <v>31</v>
      </c>
      <c r="L172" s="2">
        <v>0.04</v>
      </c>
      <c r="M172">
        <v>0.1</v>
      </c>
      <c r="N172" s="2">
        <v>1.6841200000000001</v>
      </c>
      <c r="O172" s="2">
        <v>4.2103000000000002</v>
      </c>
    </row>
    <row r="173" spans="2:15">
      <c r="B173" t="s">
        <v>205</v>
      </c>
      <c r="C173" t="s">
        <v>49</v>
      </c>
      <c r="D173" t="s">
        <v>512</v>
      </c>
      <c r="E173" t="s">
        <v>513</v>
      </c>
      <c r="F173" t="s">
        <v>12</v>
      </c>
      <c r="G173" t="s">
        <v>512</v>
      </c>
      <c r="H173" t="s">
        <v>514</v>
      </c>
      <c r="I173" t="s">
        <v>34</v>
      </c>
      <c r="J173">
        <v>34761</v>
      </c>
      <c r="K173">
        <v>14</v>
      </c>
      <c r="L173" s="2">
        <v>0.04</v>
      </c>
      <c r="M173">
        <v>0.1</v>
      </c>
      <c r="N173" s="2">
        <v>1.3904400000000001</v>
      </c>
      <c r="O173" s="2">
        <v>3.4761000000000002</v>
      </c>
    </row>
    <row r="174" spans="2:15">
      <c r="B174" t="s">
        <v>205</v>
      </c>
      <c r="C174" t="s">
        <v>49</v>
      </c>
      <c r="D174" t="s">
        <v>515</v>
      </c>
      <c r="E174" t="s">
        <v>516</v>
      </c>
      <c r="F174" t="s">
        <v>12</v>
      </c>
      <c r="G174" t="s">
        <v>515</v>
      </c>
      <c r="H174" t="s">
        <v>517</v>
      </c>
      <c r="I174" t="s">
        <v>34</v>
      </c>
      <c r="J174">
        <v>17402</v>
      </c>
      <c r="K174">
        <v>15</v>
      </c>
      <c r="L174" s="2">
        <v>0.04</v>
      </c>
      <c r="M174">
        <v>0.1</v>
      </c>
      <c r="N174" s="2">
        <v>0.69608000000000003</v>
      </c>
      <c r="O174" s="2">
        <v>1.7402</v>
      </c>
    </row>
    <row r="175" spans="2:15">
      <c r="B175" t="s">
        <v>205</v>
      </c>
      <c r="C175" t="s">
        <v>49</v>
      </c>
      <c r="D175" t="s">
        <v>518</v>
      </c>
      <c r="E175" t="s">
        <v>519</v>
      </c>
      <c r="F175" t="s">
        <v>12</v>
      </c>
      <c r="G175" t="s">
        <v>518</v>
      </c>
      <c r="H175" t="s">
        <v>520</v>
      </c>
      <c r="I175" t="s">
        <v>34</v>
      </c>
      <c r="J175">
        <v>81441</v>
      </c>
      <c r="K175">
        <v>53</v>
      </c>
      <c r="L175" s="2">
        <v>0.04</v>
      </c>
      <c r="M175">
        <v>0.1</v>
      </c>
      <c r="N175" s="2">
        <v>3.2576399999999999</v>
      </c>
      <c r="O175" s="2">
        <v>8.1440999999999999</v>
      </c>
    </row>
    <row r="176" spans="2:15">
      <c r="B176" t="s">
        <v>205</v>
      </c>
      <c r="C176" t="s">
        <v>49</v>
      </c>
      <c r="D176" t="s">
        <v>521</v>
      </c>
      <c r="E176" t="s">
        <v>522</v>
      </c>
      <c r="F176" t="s">
        <v>12</v>
      </c>
      <c r="G176" t="s">
        <v>521</v>
      </c>
      <c r="H176" t="s">
        <v>523</v>
      </c>
      <c r="I176" t="s">
        <v>34</v>
      </c>
      <c r="J176">
        <v>5520</v>
      </c>
      <c r="K176">
        <v>5</v>
      </c>
      <c r="L176" s="2">
        <v>0.04</v>
      </c>
      <c r="M176">
        <v>0.1</v>
      </c>
      <c r="N176" s="2">
        <v>0.22080000000000002</v>
      </c>
      <c r="O176" s="2">
        <v>0.55200000000000005</v>
      </c>
    </row>
    <row r="177" spans="2:15">
      <c r="B177" t="s">
        <v>205</v>
      </c>
      <c r="C177" t="s">
        <v>49</v>
      </c>
      <c r="D177" t="s">
        <v>524</v>
      </c>
      <c r="E177" t="s">
        <v>525</v>
      </c>
      <c r="F177" t="s">
        <v>12</v>
      </c>
      <c r="G177" t="s">
        <v>524</v>
      </c>
      <c r="H177" t="s">
        <v>526</v>
      </c>
      <c r="I177" t="s">
        <v>34</v>
      </c>
      <c r="J177">
        <v>26422</v>
      </c>
      <c r="K177">
        <v>18</v>
      </c>
      <c r="L177" s="2">
        <v>0.04</v>
      </c>
      <c r="M177">
        <v>0.1</v>
      </c>
      <c r="N177" s="2">
        <v>1.05688</v>
      </c>
      <c r="O177" s="2">
        <v>2.6422000000000003</v>
      </c>
    </row>
    <row r="178" spans="2:15">
      <c r="B178" t="s">
        <v>205</v>
      </c>
      <c r="C178" t="s">
        <v>49</v>
      </c>
      <c r="D178" t="s">
        <v>527</v>
      </c>
      <c r="E178" t="s">
        <v>528</v>
      </c>
      <c r="F178" t="s">
        <v>12</v>
      </c>
      <c r="G178" t="s">
        <v>527</v>
      </c>
      <c r="H178" t="s">
        <v>529</v>
      </c>
      <c r="I178" t="s">
        <v>34</v>
      </c>
      <c r="J178">
        <v>10002</v>
      </c>
      <c r="K178">
        <v>7</v>
      </c>
      <c r="L178" s="2">
        <v>0.04</v>
      </c>
      <c r="M178">
        <v>0.1</v>
      </c>
      <c r="N178" s="2">
        <v>0.40007999999999999</v>
      </c>
      <c r="O178" s="2">
        <v>1.0002</v>
      </c>
    </row>
    <row r="179" spans="2:15">
      <c r="B179" t="s">
        <v>205</v>
      </c>
      <c r="C179" t="s">
        <v>49</v>
      </c>
      <c r="D179" t="s">
        <v>530</v>
      </c>
      <c r="E179" t="s">
        <v>531</v>
      </c>
      <c r="F179" t="s">
        <v>12</v>
      </c>
      <c r="G179" t="s">
        <v>530</v>
      </c>
      <c r="H179" t="s">
        <v>532</v>
      </c>
      <c r="I179" t="s">
        <v>34</v>
      </c>
      <c r="J179">
        <v>14150</v>
      </c>
      <c r="K179">
        <v>4</v>
      </c>
      <c r="L179" s="2">
        <v>0.04</v>
      </c>
      <c r="M179">
        <v>0.1</v>
      </c>
      <c r="N179" s="2">
        <v>0.56599999999999995</v>
      </c>
      <c r="O179" s="2">
        <v>1.415</v>
      </c>
    </row>
    <row r="180" spans="2:15">
      <c r="B180" t="s">
        <v>205</v>
      </c>
      <c r="C180" t="s">
        <v>533</v>
      </c>
      <c r="D180" t="s">
        <v>534</v>
      </c>
      <c r="E180" t="s">
        <v>535</v>
      </c>
      <c r="F180" t="s">
        <v>10</v>
      </c>
      <c r="G180" t="s">
        <v>534</v>
      </c>
      <c r="H180" t="s">
        <v>536</v>
      </c>
      <c r="I180" t="s">
        <v>24</v>
      </c>
      <c r="J180">
        <v>161572</v>
      </c>
      <c r="K180">
        <v>95</v>
      </c>
      <c r="L180" s="2">
        <v>3.5000000000000001E-3</v>
      </c>
      <c r="M180">
        <v>2.5000000000000001E-2</v>
      </c>
      <c r="N180" s="2">
        <v>0.33250000000000002</v>
      </c>
      <c r="O180" s="2">
        <v>2.375</v>
      </c>
    </row>
    <row r="181" spans="2:15">
      <c r="B181" t="s">
        <v>205</v>
      </c>
      <c r="C181" t="s">
        <v>533</v>
      </c>
      <c r="D181" t="s">
        <v>537</v>
      </c>
      <c r="E181" t="s">
        <v>538</v>
      </c>
      <c r="F181" t="s">
        <v>10</v>
      </c>
      <c r="G181" t="s">
        <v>537</v>
      </c>
      <c r="H181" t="s">
        <v>539</v>
      </c>
      <c r="I181" t="s">
        <v>24</v>
      </c>
      <c r="J181">
        <v>525278</v>
      </c>
      <c r="K181">
        <v>300</v>
      </c>
      <c r="L181" s="2">
        <v>3.5000000000000001E-3</v>
      </c>
      <c r="M181">
        <v>2.5000000000000001E-2</v>
      </c>
      <c r="N181" s="2">
        <v>1.05</v>
      </c>
      <c r="O181" s="2">
        <v>7.5</v>
      </c>
    </row>
    <row r="182" spans="2:15">
      <c r="B182" t="s">
        <v>205</v>
      </c>
      <c r="C182" t="s">
        <v>533</v>
      </c>
      <c r="D182" t="s">
        <v>540</v>
      </c>
      <c r="E182" t="s">
        <v>541</v>
      </c>
      <c r="F182" t="s">
        <v>10</v>
      </c>
      <c r="G182" t="s">
        <v>540</v>
      </c>
      <c r="H182" t="s">
        <v>542</v>
      </c>
      <c r="I182" t="s">
        <v>24</v>
      </c>
      <c r="J182">
        <v>448159</v>
      </c>
      <c r="K182">
        <v>589</v>
      </c>
      <c r="L182" s="2">
        <v>3.5000000000000001E-3</v>
      </c>
      <c r="M182">
        <v>2.5000000000000001E-2</v>
      </c>
      <c r="N182" s="2">
        <v>2.0615000000000001</v>
      </c>
      <c r="O182" s="2">
        <v>14.725000000000001</v>
      </c>
    </row>
    <row r="183" spans="2:15">
      <c r="B183" t="s">
        <v>205</v>
      </c>
      <c r="C183" t="s">
        <v>533</v>
      </c>
      <c r="D183" t="s">
        <v>543</v>
      </c>
      <c r="E183" t="s">
        <v>544</v>
      </c>
      <c r="F183" t="s">
        <v>10</v>
      </c>
      <c r="G183" t="s">
        <v>543</v>
      </c>
      <c r="H183" t="s">
        <v>545</v>
      </c>
      <c r="I183" t="s">
        <v>24</v>
      </c>
      <c r="J183">
        <v>271955</v>
      </c>
      <c r="K183">
        <v>158</v>
      </c>
      <c r="L183" s="2">
        <v>3.5000000000000001E-3</v>
      </c>
      <c r="M183">
        <v>2.5000000000000001E-2</v>
      </c>
      <c r="N183" s="2">
        <v>0.55300000000000005</v>
      </c>
      <c r="O183" s="2">
        <v>3.95</v>
      </c>
    </row>
    <row r="184" spans="2:15">
      <c r="B184" t="s">
        <v>205</v>
      </c>
      <c r="C184" t="s">
        <v>533</v>
      </c>
      <c r="D184" t="s">
        <v>546</v>
      </c>
      <c r="E184" t="s">
        <v>547</v>
      </c>
      <c r="F184" t="s">
        <v>10</v>
      </c>
      <c r="G184" t="s">
        <v>546</v>
      </c>
      <c r="H184" t="s">
        <v>548</v>
      </c>
      <c r="I184" t="s">
        <v>24</v>
      </c>
      <c r="J184">
        <v>342902</v>
      </c>
      <c r="K184">
        <v>269</v>
      </c>
      <c r="L184" s="2">
        <v>3.5000000000000001E-3</v>
      </c>
      <c r="M184">
        <v>2.5000000000000001E-2</v>
      </c>
      <c r="N184" s="2">
        <v>0.9415</v>
      </c>
      <c r="O184" s="2">
        <v>6.7250000000000005</v>
      </c>
    </row>
    <row r="185" spans="2:15">
      <c r="B185" t="s">
        <v>205</v>
      </c>
      <c r="C185" t="s">
        <v>533</v>
      </c>
      <c r="D185" t="s">
        <v>549</v>
      </c>
      <c r="E185" t="s">
        <v>550</v>
      </c>
      <c r="F185" t="s">
        <v>10</v>
      </c>
      <c r="G185" t="s">
        <v>549</v>
      </c>
      <c r="H185" t="s">
        <v>551</v>
      </c>
      <c r="I185" t="s">
        <v>24</v>
      </c>
      <c r="J185">
        <v>315076</v>
      </c>
      <c r="K185">
        <v>427</v>
      </c>
      <c r="L185" s="2">
        <v>3.5000000000000001E-3</v>
      </c>
      <c r="M185">
        <v>2.5000000000000001E-2</v>
      </c>
      <c r="N185" s="2">
        <v>1.4944999999999999</v>
      </c>
      <c r="O185" s="2">
        <v>10.675000000000001</v>
      </c>
    </row>
    <row r="186" spans="2:15">
      <c r="B186" t="s">
        <v>205</v>
      </c>
      <c r="C186" t="s">
        <v>533</v>
      </c>
      <c r="D186" t="s">
        <v>552</v>
      </c>
      <c r="E186" t="s">
        <v>553</v>
      </c>
      <c r="F186" t="s">
        <v>10</v>
      </c>
      <c r="G186" t="s">
        <v>552</v>
      </c>
      <c r="H186" t="s">
        <v>554</v>
      </c>
      <c r="I186" t="s">
        <v>24</v>
      </c>
      <c r="J186">
        <v>841530</v>
      </c>
      <c r="K186">
        <v>214</v>
      </c>
      <c r="L186" s="2">
        <v>3.5000000000000001E-3</v>
      </c>
      <c r="M186">
        <v>2.5000000000000001E-2</v>
      </c>
      <c r="N186" s="2">
        <v>0.749</v>
      </c>
      <c r="O186" s="2">
        <v>5.3500000000000005</v>
      </c>
    </row>
    <row r="187" spans="2:15">
      <c r="B187" t="s">
        <v>205</v>
      </c>
      <c r="C187" t="s">
        <v>533</v>
      </c>
      <c r="D187" t="s">
        <v>555</v>
      </c>
      <c r="E187" t="s">
        <v>556</v>
      </c>
      <c r="F187" t="s">
        <v>10</v>
      </c>
      <c r="G187" t="s">
        <v>555</v>
      </c>
      <c r="H187" t="s">
        <v>557</v>
      </c>
      <c r="I187" t="s">
        <v>24</v>
      </c>
      <c r="J187">
        <v>409096</v>
      </c>
      <c r="K187">
        <v>248</v>
      </c>
      <c r="L187" s="2">
        <v>3.5000000000000001E-3</v>
      </c>
      <c r="M187">
        <v>2.5000000000000001E-2</v>
      </c>
      <c r="N187" s="2">
        <v>0.86799999999999999</v>
      </c>
      <c r="O187" s="2">
        <v>6.2</v>
      </c>
    </row>
    <row r="188" spans="2:15">
      <c r="B188" t="s">
        <v>205</v>
      </c>
      <c r="C188" t="s">
        <v>533</v>
      </c>
      <c r="D188" t="s">
        <v>558</v>
      </c>
      <c r="E188" t="s">
        <v>559</v>
      </c>
      <c r="F188" t="s">
        <v>10</v>
      </c>
      <c r="G188" t="s">
        <v>558</v>
      </c>
      <c r="H188" t="s">
        <v>560</v>
      </c>
      <c r="I188" t="s">
        <v>24</v>
      </c>
      <c r="J188">
        <v>810604</v>
      </c>
      <c r="K188">
        <v>437</v>
      </c>
      <c r="L188" s="2">
        <v>3.5000000000000001E-3</v>
      </c>
      <c r="M188">
        <v>2.5000000000000001E-2</v>
      </c>
      <c r="N188" s="2">
        <v>1.5295000000000001</v>
      </c>
      <c r="O188" s="2">
        <v>10.925000000000001</v>
      </c>
    </row>
    <row r="189" spans="2:15">
      <c r="B189" t="s">
        <v>205</v>
      </c>
      <c r="C189" t="s">
        <v>533</v>
      </c>
      <c r="D189" t="s">
        <v>561</v>
      </c>
      <c r="E189" t="s">
        <v>562</v>
      </c>
      <c r="F189" t="s">
        <v>10</v>
      </c>
      <c r="G189" t="s">
        <v>561</v>
      </c>
      <c r="H189" t="s">
        <v>563</v>
      </c>
      <c r="I189" t="s">
        <v>24</v>
      </c>
      <c r="J189">
        <v>633381</v>
      </c>
      <c r="K189">
        <v>305</v>
      </c>
      <c r="L189" s="2">
        <v>3.5000000000000001E-3</v>
      </c>
      <c r="M189">
        <v>2.5000000000000001E-2</v>
      </c>
      <c r="N189" s="2">
        <v>1.0675000000000001</v>
      </c>
      <c r="O189" s="2">
        <v>7.625</v>
      </c>
    </row>
    <row r="190" spans="2:15">
      <c r="B190" t="s">
        <v>205</v>
      </c>
      <c r="C190" t="s">
        <v>533</v>
      </c>
      <c r="D190" t="s">
        <v>564</v>
      </c>
      <c r="E190" t="s">
        <v>565</v>
      </c>
      <c r="F190" t="s">
        <v>10</v>
      </c>
      <c r="G190" t="s">
        <v>564</v>
      </c>
      <c r="H190" t="s">
        <v>566</v>
      </c>
      <c r="I190" t="s">
        <v>24</v>
      </c>
      <c r="J190">
        <v>620070</v>
      </c>
      <c r="K190">
        <v>274</v>
      </c>
      <c r="L190" s="2">
        <v>3.5000000000000001E-3</v>
      </c>
      <c r="M190">
        <v>2.5000000000000001E-2</v>
      </c>
      <c r="N190" s="2">
        <v>0.95900000000000007</v>
      </c>
      <c r="O190" s="2">
        <v>6.8500000000000005</v>
      </c>
    </row>
    <row r="191" spans="2:15">
      <c r="B191" t="s">
        <v>205</v>
      </c>
      <c r="C191" t="s">
        <v>533</v>
      </c>
      <c r="D191" t="s">
        <v>567</v>
      </c>
      <c r="E191" t="s">
        <v>568</v>
      </c>
      <c r="F191" t="s">
        <v>10</v>
      </c>
      <c r="G191" t="s">
        <v>567</v>
      </c>
      <c r="H191" t="s">
        <v>569</v>
      </c>
      <c r="I191" t="s">
        <v>24</v>
      </c>
      <c r="J191">
        <v>642227</v>
      </c>
      <c r="K191">
        <v>306</v>
      </c>
      <c r="L191" s="2">
        <v>3.5000000000000001E-3</v>
      </c>
      <c r="M191">
        <v>2.5000000000000001E-2</v>
      </c>
      <c r="N191" s="2">
        <v>1.071</v>
      </c>
      <c r="O191" s="2">
        <v>7.65</v>
      </c>
    </row>
    <row r="192" spans="2:15">
      <c r="B192" t="s">
        <v>205</v>
      </c>
      <c r="C192" t="s">
        <v>533</v>
      </c>
      <c r="D192" t="s">
        <v>570</v>
      </c>
      <c r="E192" t="s">
        <v>571</v>
      </c>
      <c r="F192" t="s">
        <v>10</v>
      </c>
      <c r="G192" t="s">
        <v>570</v>
      </c>
      <c r="H192" t="s">
        <v>572</v>
      </c>
      <c r="I192" t="s">
        <v>24</v>
      </c>
      <c r="J192">
        <v>531904</v>
      </c>
      <c r="K192">
        <v>242</v>
      </c>
      <c r="L192" s="2">
        <v>3.5000000000000001E-3</v>
      </c>
      <c r="M192">
        <v>2.5000000000000001E-2</v>
      </c>
      <c r="N192" s="2">
        <v>0.84699999999999998</v>
      </c>
      <c r="O192" s="2">
        <v>6.0500000000000007</v>
      </c>
    </row>
    <row r="193" spans="2:15">
      <c r="B193" t="s">
        <v>205</v>
      </c>
      <c r="C193" t="s">
        <v>533</v>
      </c>
      <c r="D193" t="s">
        <v>573</v>
      </c>
      <c r="E193" t="s">
        <v>574</v>
      </c>
      <c r="F193" t="s">
        <v>10</v>
      </c>
      <c r="G193" t="s">
        <v>573</v>
      </c>
      <c r="H193" t="s">
        <v>575</v>
      </c>
      <c r="I193" t="s">
        <v>24</v>
      </c>
      <c r="J193">
        <v>531795</v>
      </c>
      <c r="K193">
        <v>233</v>
      </c>
      <c r="L193" s="2">
        <v>3.5000000000000001E-3</v>
      </c>
      <c r="M193">
        <v>2.5000000000000001E-2</v>
      </c>
      <c r="N193" s="2">
        <v>0.8155</v>
      </c>
      <c r="O193" s="2">
        <v>5.8250000000000002</v>
      </c>
    </row>
    <row r="194" spans="2:15">
      <c r="B194" t="s">
        <v>205</v>
      </c>
      <c r="C194" t="s">
        <v>533</v>
      </c>
      <c r="D194" t="s">
        <v>576</v>
      </c>
      <c r="E194" t="s">
        <v>577</v>
      </c>
      <c r="F194" t="s">
        <v>10</v>
      </c>
      <c r="G194" t="s">
        <v>576</v>
      </c>
      <c r="H194" t="s">
        <v>578</v>
      </c>
      <c r="I194" t="s">
        <v>24</v>
      </c>
      <c r="J194">
        <v>532051</v>
      </c>
      <c r="K194">
        <v>272</v>
      </c>
      <c r="L194" s="2">
        <v>3.5000000000000001E-3</v>
      </c>
      <c r="M194">
        <v>2.5000000000000001E-2</v>
      </c>
      <c r="N194" s="2">
        <v>0.95200000000000007</v>
      </c>
      <c r="O194" s="2">
        <v>6.8000000000000007</v>
      </c>
    </row>
    <row r="195" spans="2:15">
      <c r="B195" t="s">
        <v>205</v>
      </c>
      <c r="C195" t="s">
        <v>533</v>
      </c>
      <c r="D195" t="s">
        <v>579</v>
      </c>
      <c r="E195" t="s">
        <v>580</v>
      </c>
      <c r="F195" t="s">
        <v>10</v>
      </c>
      <c r="G195" t="s">
        <v>579</v>
      </c>
      <c r="H195" t="s">
        <v>581</v>
      </c>
      <c r="I195" t="s">
        <v>24</v>
      </c>
      <c r="J195">
        <v>534123</v>
      </c>
      <c r="K195">
        <v>260</v>
      </c>
      <c r="L195" s="2">
        <v>3.5000000000000001E-3</v>
      </c>
      <c r="M195">
        <v>2.5000000000000001E-2</v>
      </c>
      <c r="N195" s="2">
        <v>0.91</v>
      </c>
      <c r="O195" s="2">
        <v>6.5</v>
      </c>
    </row>
    <row r="196" spans="2:15">
      <c r="B196" t="s">
        <v>205</v>
      </c>
      <c r="C196" t="s">
        <v>533</v>
      </c>
      <c r="D196" t="s">
        <v>582</v>
      </c>
      <c r="E196" t="s">
        <v>583</v>
      </c>
      <c r="F196" t="s">
        <v>10</v>
      </c>
      <c r="G196" t="s">
        <v>582</v>
      </c>
      <c r="H196" t="s">
        <v>584</v>
      </c>
      <c r="I196" t="s">
        <v>24</v>
      </c>
      <c r="J196">
        <v>852256</v>
      </c>
      <c r="K196">
        <v>1706</v>
      </c>
      <c r="L196" s="2">
        <v>3.5000000000000001E-3</v>
      </c>
      <c r="M196">
        <v>2.5000000000000001E-2</v>
      </c>
      <c r="N196" s="2">
        <v>5.9710000000000001</v>
      </c>
      <c r="O196" s="2">
        <v>42.650000000000006</v>
      </c>
    </row>
    <row r="197" spans="2:15">
      <c r="B197" t="s">
        <v>205</v>
      </c>
      <c r="C197" t="s">
        <v>533</v>
      </c>
      <c r="D197" t="s">
        <v>585</v>
      </c>
      <c r="E197" t="s">
        <v>586</v>
      </c>
      <c r="F197" t="s">
        <v>10</v>
      </c>
      <c r="G197" t="s">
        <v>585</v>
      </c>
      <c r="H197" t="s">
        <v>587</v>
      </c>
      <c r="I197" t="s">
        <v>24</v>
      </c>
      <c r="J197">
        <v>1772588</v>
      </c>
      <c r="K197">
        <v>3914</v>
      </c>
      <c r="L197" s="2">
        <v>3.5000000000000001E-3</v>
      </c>
      <c r="M197">
        <v>2.5000000000000001E-2</v>
      </c>
      <c r="N197" s="2">
        <v>13.699</v>
      </c>
      <c r="O197" s="2">
        <v>97.850000000000009</v>
      </c>
    </row>
    <row r="198" spans="2:15">
      <c r="B198" t="s">
        <v>205</v>
      </c>
      <c r="C198" t="s">
        <v>533</v>
      </c>
      <c r="D198" t="s">
        <v>588</v>
      </c>
      <c r="E198" t="s">
        <v>589</v>
      </c>
      <c r="F198" t="s">
        <v>10</v>
      </c>
      <c r="G198" t="s">
        <v>588</v>
      </c>
      <c r="H198" t="s">
        <v>590</v>
      </c>
      <c r="I198" t="s">
        <v>24</v>
      </c>
      <c r="J198">
        <v>692561</v>
      </c>
      <c r="K198">
        <v>1423</v>
      </c>
      <c r="L198" s="2">
        <v>3.5000000000000001E-3</v>
      </c>
      <c r="M198">
        <v>2.5000000000000001E-2</v>
      </c>
      <c r="N198" s="2">
        <v>4.9805000000000001</v>
      </c>
      <c r="O198" s="2">
        <v>35.575000000000003</v>
      </c>
    </row>
    <row r="199" spans="2:15">
      <c r="B199" t="s">
        <v>205</v>
      </c>
      <c r="C199" t="s">
        <v>533</v>
      </c>
      <c r="D199" t="s">
        <v>591</v>
      </c>
      <c r="E199" t="s">
        <v>592</v>
      </c>
      <c r="F199" t="s">
        <v>10</v>
      </c>
      <c r="G199" t="s">
        <v>591</v>
      </c>
      <c r="H199" t="s">
        <v>593</v>
      </c>
      <c r="I199" t="s">
        <v>24</v>
      </c>
      <c r="J199">
        <v>861333</v>
      </c>
      <c r="K199">
        <v>2034</v>
      </c>
      <c r="L199" s="2">
        <v>3.5000000000000001E-3</v>
      </c>
      <c r="M199">
        <v>2.5000000000000001E-2</v>
      </c>
      <c r="N199" s="2">
        <v>7.1189999999999998</v>
      </c>
      <c r="O199" s="2">
        <v>50.85</v>
      </c>
    </row>
    <row r="200" spans="2:15">
      <c r="B200" t="s">
        <v>205</v>
      </c>
      <c r="C200" t="s">
        <v>533</v>
      </c>
      <c r="D200" t="s">
        <v>594</v>
      </c>
      <c r="E200" t="s">
        <v>595</v>
      </c>
      <c r="F200" t="s">
        <v>10</v>
      </c>
      <c r="G200" t="s">
        <v>594</v>
      </c>
      <c r="H200" t="s">
        <v>596</v>
      </c>
      <c r="I200" t="s">
        <v>24</v>
      </c>
      <c r="J200">
        <v>40482</v>
      </c>
      <c r="K200">
        <v>138</v>
      </c>
      <c r="L200" s="2">
        <v>3.5000000000000001E-3</v>
      </c>
      <c r="M200">
        <v>2.5000000000000001E-2</v>
      </c>
      <c r="N200" s="2">
        <v>0.48299999999999998</v>
      </c>
      <c r="O200" s="2">
        <v>3.45</v>
      </c>
    </row>
    <row r="201" spans="2:15">
      <c r="B201" t="s">
        <v>205</v>
      </c>
      <c r="C201" t="s">
        <v>533</v>
      </c>
      <c r="D201" t="s">
        <v>597</v>
      </c>
      <c r="E201" t="s">
        <v>598</v>
      </c>
      <c r="F201" t="s">
        <v>10</v>
      </c>
      <c r="G201" t="s">
        <v>597</v>
      </c>
      <c r="H201" t="s">
        <v>599</v>
      </c>
      <c r="I201" t="s">
        <v>24</v>
      </c>
      <c r="J201">
        <v>40637</v>
      </c>
      <c r="K201">
        <v>143</v>
      </c>
      <c r="L201" s="2">
        <v>3.5000000000000001E-3</v>
      </c>
      <c r="M201">
        <v>2.5000000000000001E-2</v>
      </c>
      <c r="N201" s="2">
        <v>0.50050000000000006</v>
      </c>
      <c r="O201" s="2">
        <v>3.5750000000000002</v>
      </c>
    </row>
    <row r="202" spans="2:15">
      <c r="B202" t="s">
        <v>205</v>
      </c>
      <c r="C202" t="s">
        <v>533</v>
      </c>
      <c r="D202" t="s">
        <v>600</v>
      </c>
      <c r="E202" t="s">
        <v>601</v>
      </c>
      <c r="F202" t="s">
        <v>10</v>
      </c>
      <c r="G202" t="s">
        <v>600</v>
      </c>
      <c r="H202" t="s">
        <v>602</v>
      </c>
      <c r="I202" t="s">
        <v>24</v>
      </c>
      <c r="J202">
        <v>4100</v>
      </c>
      <c r="K202">
        <v>21</v>
      </c>
      <c r="L202" s="2">
        <v>3.5000000000000001E-3</v>
      </c>
      <c r="M202">
        <v>2.5000000000000001E-2</v>
      </c>
      <c r="N202" s="2">
        <v>7.3499999999999996E-2</v>
      </c>
      <c r="O202" s="2">
        <v>0.52500000000000002</v>
      </c>
    </row>
    <row r="203" spans="2:15">
      <c r="B203" t="s">
        <v>205</v>
      </c>
      <c r="C203" t="s">
        <v>533</v>
      </c>
      <c r="D203" t="s">
        <v>603</v>
      </c>
      <c r="E203" t="s">
        <v>604</v>
      </c>
      <c r="F203" t="s">
        <v>10</v>
      </c>
      <c r="G203" t="s">
        <v>603</v>
      </c>
      <c r="H203" t="s">
        <v>605</v>
      </c>
      <c r="I203" t="s">
        <v>24</v>
      </c>
      <c r="J203">
        <v>44937</v>
      </c>
      <c r="K203">
        <v>136</v>
      </c>
      <c r="L203" s="2">
        <v>3.5000000000000001E-3</v>
      </c>
      <c r="M203">
        <v>2.5000000000000001E-2</v>
      </c>
      <c r="N203" s="2">
        <v>0.47600000000000003</v>
      </c>
      <c r="O203" s="2">
        <v>3.4000000000000004</v>
      </c>
    </row>
    <row r="204" spans="2:15">
      <c r="B204" t="s">
        <v>205</v>
      </c>
      <c r="C204" t="s">
        <v>533</v>
      </c>
      <c r="D204" t="s">
        <v>606</v>
      </c>
      <c r="E204" t="s">
        <v>607</v>
      </c>
      <c r="F204" t="s">
        <v>10</v>
      </c>
      <c r="G204" t="s">
        <v>606</v>
      </c>
      <c r="H204" t="s">
        <v>608</v>
      </c>
      <c r="I204" t="s">
        <v>24</v>
      </c>
      <c r="J204">
        <v>0</v>
      </c>
      <c r="K204">
        <v>1</v>
      </c>
      <c r="L204" s="2">
        <v>3.5000000000000001E-3</v>
      </c>
      <c r="M204">
        <v>2.5000000000000001E-2</v>
      </c>
      <c r="N204" s="2">
        <v>3.5000000000000001E-3</v>
      </c>
      <c r="O204" s="2">
        <v>2.5000000000000001E-2</v>
      </c>
    </row>
    <row r="205" spans="2:15">
      <c r="B205" t="s">
        <v>205</v>
      </c>
      <c r="C205" t="s">
        <v>533</v>
      </c>
      <c r="D205" t="s">
        <v>609</v>
      </c>
      <c r="E205" t="s">
        <v>610</v>
      </c>
      <c r="F205" t="s">
        <v>10</v>
      </c>
      <c r="G205" t="s">
        <v>609</v>
      </c>
      <c r="H205" t="s">
        <v>611</v>
      </c>
      <c r="I205" t="s">
        <v>24</v>
      </c>
      <c r="J205">
        <v>618908</v>
      </c>
      <c r="K205">
        <v>559</v>
      </c>
      <c r="L205" s="2">
        <v>3.5000000000000001E-3</v>
      </c>
      <c r="M205">
        <v>2.5000000000000001E-2</v>
      </c>
      <c r="N205" s="2">
        <v>1.9565000000000001</v>
      </c>
      <c r="O205" s="2">
        <v>13.975000000000001</v>
      </c>
    </row>
    <row r="206" spans="2:15">
      <c r="B206" t="s">
        <v>205</v>
      </c>
      <c r="C206" t="s">
        <v>533</v>
      </c>
      <c r="D206" t="s">
        <v>612</v>
      </c>
      <c r="E206" t="s">
        <v>613</v>
      </c>
      <c r="F206" t="s">
        <v>10</v>
      </c>
      <c r="G206" t="s">
        <v>612</v>
      </c>
      <c r="H206" t="s">
        <v>614</v>
      </c>
      <c r="I206" t="s">
        <v>24</v>
      </c>
      <c r="J206">
        <v>448060</v>
      </c>
      <c r="K206">
        <v>895</v>
      </c>
      <c r="L206" s="2">
        <v>3.5000000000000001E-3</v>
      </c>
      <c r="M206">
        <v>2.5000000000000001E-2</v>
      </c>
      <c r="N206" s="2">
        <v>3.1325000000000003</v>
      </c>
      <c r="O206" s="2">
        <v>22.375</v>
      </c>
    </row>
    <row r="207" spans="2:15">
      <c r="B207" t="s">
        <v>205</v>
      </c>
      <c r="C207" t="s">
        <v>29</v>
      </c>
      <c r="D207" t="s">
        <v>615</v>
      </c>
      <c r="E207" t="s">
        <v>616</v>
      </c>
      <c r="F207" t="s">
        <v>10</v>
      </c>
      <c r="G207" t="s">
        <v>615</v>
      </c>
      <c r="H207" t="s">
        <v>617</v>
      </c>
      <c r="I207" t="s">
        <v>24</v>
      </c>
      <c r="J207">
        <v>8</v>
      </c>
      <c r="K207">
        <v>0</v>
      </c>
      <c r="L207" s="2">
        <v>3.5000000000000001E-3</v>
      </c>
      <c r="M207">
        <v>2.5000000000000001E-2</v>
      </c>
      <c r="N207" s="2">
        <v>0</v>
      </c>
      <c r="O207" s="2">
        <v>0</v>
      </c>
    </row>
    <row r="208" spans="2:15">
      <c r="B208" t="s">
        <v>205</v>
      </c>
      <c r="C208" t="s">
        <v>29</v>
      </c>
      <c r="D208" t="s">
        <v>618</v>
      </c>
      <c r="E208" t="s">
        <v>619</v>
      </c>
      <c r="F208" t="s">
        <v>10</v>
      </c>
      <c r="G208" t="s">
        <v>618</v>
      </c>
      <c r="H208" t="s">
        <v>620</v>
      </c>
      <c r="I208" t="s">
        <v>24</v>
      </c>
      <c r="J208">
        <v>106</v>
      </c>
      <c r="K208">
        <v>8</v>
      </c>
      <c r="L208" s="2">
        <v>3.5000000000000001E-3</v>
      </c>
      <c r="M208">
        <v>2.5000000000000001E-2</v>
      </c>
      <c r="N208" s="2">
        <v>2.8000000000000001E-2</v>
      </c>
      <c r="O208" s="2">
        <v>0.2</v>
      </c>
    </row>
    <row r="209" spans="2:15">
      <c r="B209" t="s">
        <v>205</v>
      </c>
      <c r="C209" t="s">
        <v>29</v>
      </c>
      <c r="D209" t="s">
        <v>621</v>
      </c>
      <c r="E209" t="s">
        <v>622</v>
      </c>
      <c r="F209" t="s">
        <v>10</v>
      </c>
      <c r="G209" t="s">
        <v>621</v>
      </c>
      <c r="H209" t="s">
        <v>623</v>
      </c>
      <c r="I209" t="s">
        <v>24</v>
      </c>
      <c r="J209">
        <v>667</v>
      </c>
      <c r="K209">
        <v>183</v>
      </c>
      <c r="L209" s="2">
        <v>3.5000000000000001E-3</v>
      </c>
      <c r="M209">
        <v>2.5000000000000001E-2</v>
      </c>
      <c r="N209" s="2">
        <v>0.64049999999999996</v>
      </c>
      <c r="O209" s="2">
        <v>4.5750000000000002</v>
      </c>
    </row>
    <row r="210" spans="2:15">
      <c r="B210" t="s">
        <v>205</v>
      </c>
      <c r="C210" t="s">
        <v>29</v>
      </c>
      <c r="D210" t="s">
        <v>624</v>
      </c>
      <c r="E210" t="s">
        <v>625</v>
      </c>
      <c r="F210" t="s">
        <v>10</v>
      </c>
      <c r="G210" t="s">
        <v>624</v>
      </c>
      <c r="H210" t="s">
        <v>626</v>
      </c>
      <c r="I210" t="s">
        <v>24</v>
      </c>
      <c r="J210">
        <v>452</v>
      </c>
      <c r="K210">
        <v>6</v>
      </c>
      <c r="L210" s="2">
        <v>3.5000000000000001E-3</v>
      </c>
      <c r="M210">
        <v>2.5000000000000001E-2</v>
      </c>
      <c r="N210" s="2">
        <v>2.1000000000000001E-2</v>
      </c>
      <c r="O210" s="2">
        <v>0.15000000000000002</v>
      </c>
    </row>
    <row r="211" spans="2:15">
      <c r="B211" t="s">
        <v>205</v>
      </c>
      <c r="C211" t="s">
        <v>29</v>
      </c>
      <c r="D211" t="s">
        <v>627</v>
      </c>
      <c r="E211" t="s">
        <v>628</v>
      </c>
      <c r="F211" t="s">
        <v>10</v>
      </c>
      <c r="G211" t="s">
        <v>627</v>
      </c>
      <c r="H211" t="s">
        <v>629</v>
      </c>
      <c r="I211" t="s">
        <v>24</v>
      </c>
      <c r="J211">
        <v>61</v>
      </c>
      <c r="K211">
        <v>1</v>
      </c>
      <c r="L211" s="2">
        <v>3.5000000000000001E-3</v>
      </c>
      <c r="M211">
        <v>2.5000000000000001E-2</v>
      </c>
      <c r="N211" s="2">
        <v>3.5000000000000001E-3</v>
      </c>
      <c r="O211" s="2">
        <v>2.5000000000000001E-2</v>
      </c>
    </row>
    <row r="212" spans="2:15">
      <c r="B212" t="s">
        <v>205</v>
      </c>
      <c r="C212" t="s">
        <v>29</v>
      </c>
      <c r="D212" t="s">
        <v>630</v>
      </c>
      <c r="E212" t="s">
        <v>631</v>
      </c>
      <c r="F212" t="s">
        <v>10</v>
      </c>
      <c r="G212" t="s">
        <v>630</v>
      </c>
      <c r="H212" t="s">
        <v>632</v>
      </c>
      <c r="I212" t="s">
        <v>24</v>
      </c>
      <c r="J212">
        <v>198</v>
      </c>
      <c r="K212">
        <v>4</v>
      </c>
      <c r="L212" s="2">
        <v>3.5000000000000001E-3</v>
      </c>
      <c r="M212">
        <v>2.5000000000000001E-2</v>
      </c>
      <c r="N212" s="2">
        <v>1.4E-2</v>
      </c>
      <c r="O212" s="2">
        <v>0.1</v>
      </c>
    </row>
    <row r="213" spans="2:15">
      <c r="B213" t="s">
        <v>205</v>
      </c>
      <c r="C213" t="s">
        <v>29</v>
      </c>
      <c r="D213" t="s">
        <v>633</v>
      </c>
      <c r="E213" t="s">
        <v>634</v>
      </c>
      <c r="F213" t="s">
        <v>10</v>
      </c>
      <c r="G213" t="s">
        <v>633</v>
      </c>
      <c r="H213" t="s">
        <v>635</v>
      </c>
      <c r="I213" t="s">
        <v>24</v>
      </c>
      <c r="J213">
        <v>1222</v>
      </c>
      <c r="K213">
        <v>105</v>
      </c>
      <c r="L213" s="2">
        <v>3.5000000000000001E-3</v>
      </c>
      <c r="M213">
        <v>2.5000000000000001E-2</v>
      </c>
      <c r="N213" s="2">
        <v>0.36749999999999999</v>
      </c>
      <c r="O213" s="2">
        <v>2.625</v>
      </c>
    </row>
    <row r="214" spans="2:15">
      <c r="B214" t="s">
        <v>205</v>
      </c>
      <c r="C214" t="s">
        <v>29</v>
      </c>
      <c r="D214" t="s">
        <v>636</v>
      </c>
      <c r="E214" t="s">
        <v>637</v>
      </c>
      <c r="F214" t="s">
        <v>10</v>
      </c>
      <c r="G214" t="s">
        <v>636</v>
      </c>
      <c r="H214" t="s">
        <v>638</v>
      </c>
      <c r="I214" t="s">
        <v>24</v>
      </c>
      <c r="J214">
        <v>440</v>
      </c>
      <c r="K214">
        <v>8</v>
      </c>
      <c r="L214" s="2">
        <v>3.5000000000000001E-3</v>
      </c>
      <c r="M214">
        <v>2.5000000000000001E-2</v>
      </c>
      <c r="N214" s="2">
        <v>2.8000000000000001E-2</v>
      </c>
      <c r="O214" s="2">
        <v>0.2</v>
      </c>
    </row>
    <row r="215" spans="2:15">
      <c r="B215" t="s">
        <v>205</v>
      </c>
      <c r="C215" t="s">
        <v>29</v>
      </c>
      <c r="D215" t="s">
        <v>639</v>
      </c>
      <c r="E215" t="s">
        <v>640</v>
      </c>
      <c r="F215" t="s">
        <v>10</v>
      </c>
      <c r="G215" t="s">
        <v>639</v>
      </c>
      <c r="H215" t="s">
        <v>641</v>
      </c>
      <c r="I215" t="s">
        <v>24</v>
      </c>
      <c r="J215">
        <v>124</v>
      </c>
      <c r="K215">
        <v>0</v>
      </c>
      <c r="L215" s="2">
        <v>3.5000000000000001E-3</v>
      </c>
      <c r="M215">
        <v>2.5000000000000001E-2</v>
      </c>
      <c r="N215" s="2">
        <v>0</v>
      </c>
      <c r="O215" s="2">
        <v>0</v>
      </c>
    </row>
    <row r="216" spans="2:15">
      <c r="B216" t="s">
        <v>205</v>
      </c>
      <c r="C216" t="s">
        <v>29</v>
      </c>
      <c r="D216" t="s">
        <v>642</v>
      </c>
      <c r="E216" t="s">
        <v>643</v>
      </c>
      <c r="F216" t="s">
        <v>10</v>
      </c>
      <c r="G216" t="s">
        <v>642</v>
      </c>
      <c r="H216" t="s">
        <v>644</v>
      </c>
      <c r="I216" t="s">
        <v>24</v>
      </c>
      <c r="J216">
        <v>240</v>
      </c>
      <c r="K216">
        <v>17</v>
      </c>
      <c r="L216" s="2">
        <v>3.5000000000000001E-3</v>
      </c>
      <c r="M216">
        <v>2.5000000000000001E-2</v>
      </c>
      <c r="N216" s="2">
        <v>5.9500000000000004E-2</v>
      </c>
      <c r="O216" s="2">
        <v>0.42500000000000004</v>
      </c>
    </row>
    <row r="217" spans="2:15">
      <c r="B217" t="s">
        <v>205</v>
      </c>
      <c r="C217" t="s">
        <v>29</v>
      </c>
      <c r="D217" t="s">
        <v>645</v>
      </c>
      <c r="E217" t="s">
        <v>646</v>
      </c>
      <c r="F217" t="s">
        <v>10</v>
      </c>
      <c r="G217" t="s">
        <v>645</v>
      </c>
      <c r="H217" t="s">
        <v>647</v>
      </c>
      <c r="I217" t="s">
        <v>24</v>
      </c>
      <c r="J217">
        <v>125</v>
      </c>
      <c r="K217">
        <v>16</v>
      </c>
      <c r="L217" s="2">
        <v>3.5000000000000001E-3</v>
      </c>
      <c r="M217">
        <v>2.5000000000000001E-2</v>
      </c>
      <c r="N217" s="2">
        <v>5.6000000000000001E-2</v>
      </c>
      <c r="O217" s="2">
        <v>0.4</v>
      </c>
    </row>
    <row r="218" spans="2:15">
      <c r="B218" t="s">
        <v>205</v>
      </c>
      <c r="C218" t="s">
        <v>29</v>
      </c>
      <c r="D218" t="s">
        <v>648</v>
      </c>
      <c r="E218" t="s">
        <v>649</v>
      </c>
      <c r="F218" t="s">
        <v>10</v>
      </c>
      <c r="G218" t="s">
        <v>648</v>
      </c>
      <c r="H218" t="s">
        <v>650</v>
      </c>
      <c r="I218" t="s">
        <v>24</v>
      </c>
      <c r="J218">
        <v>918</v>
      </c>
      <c r="K218">
        <v>48</v>
      </c>
      <c r="L218" s="2">
        <v>3.5000000000000001E-3</v>
      </c>
      <c r="M218">
        <v>2.5000000000000001E-2</v>
      </c>
      <c r="N218" s="2">
        <v>0.16800000000000001</v>
      </c>
      <c r="O218" s="2">
        <v>1.2000000000000002</v>
      </c>
    </row>
    <row r="219" spans="2:15">
      <c r="B219" t="s">
        <v>205</v>
      </c>
      <c r="C219" t="s">
        <v>29</v>
      </c>
      <c r="D219" t="s">
        <v>651</v>
      </c>
      <c r="E219" t="s">
        <v>652</v>
      </c>
      <c r="F219" t="s">
        <v>10</v>
      </c>
      <c r="G219" t="s">
        <v>651</v>
      </c>
      <c r="H219" t="s">
        <v>653</v>
      </c>
      <c r="I219" t="s">
        <v>24</v>
      </c>
      <c r="J219">
        <v>386</v>
      </c>
      <c r="K219">
        <v>2</v>
      </c>
      <c r="L219" s="2">
        <v>3.5000000000000001E-3</v>
      </c>
      <c r="M219">
        <v>2.5000000000000001E-2</v>
      </c>
      <c r="N219" s="2">
        <v>7.0000000000000001E-3</v>
      </c>
      <c r="O219" s="2">
        <v>0.05</v>
      </c>
    </row>
    <row r="220" spans="2:15">
      <c r="B220" t="s">
        <v>205</v>
      </c>
      <c r="C220" t="s">
        <v>29</v>
      </c>
      <c r="D220" t="s">
        <v>654</v>
      </c>
      <c r="E220" t="s">
        <v>655</v>
      </c>
      <c r="F220" t="s">
        <v>10</v>
      </c>
      <c r="G220" t="s">
        <v>654</v>
      </c>
      <c r="H220" t="s">
        <v>656</v>
      </c>
      <c r="I220" t="s">
        <v>24</v>
      </c>
      <c r="J220">
        <v>308</v>
      </c>
      <c r="K220">
        <v>5</v>
      </c>
      <c r="L220" s="2">
        <v>3.5000000000000001E-3</v>
      </c>
      <c r="M220">
        <v>2.5000000000000001E-2</v>
      </c>
      <c r="N220" s="2">
        <v>1.7500000000000002E-2</v>
      </c>
      <c r="O220" s="2">
        <v>0.125</v>
      </c>
    </row>
    <row r="221" spans="2:15">
      <c r="B221" t="s">
        <v>205</v>
      </c>
      <c r="C221" t="s">
        <v>29</v>
      </c>
      <c r="D221" t="s">
        <v>657</v>
      </c>
      <c r="E221" t="s">
        <v>658</v>
      </c>
      <c r="F221" t="s">
        <v>10</v>
      </c>
      <c r="G221" t="s">
        <v>657</v>
      </c>
      <c r="H221" t="s">
        <v>659</v>
      </c>
      <c r="I221" t="s">
        <v>24</v>
      </c>
      <c r="J221">
        <v>514</v>
      </c>
      <c r="K221">
        <v>88</v>
      </c>
      <c r="L221" s="2">
        <v>3.5000000000000001E-3</v>
      </c>
      <c r="M221">
        <v>2.5000000000000001E-2</v>
      </c>
      <c r="N221" s="2">
        <v>0.308</v>
      </c>
      <c r="O221" s="2">
        <v>2.2000000000000002</v>
      </c>
    </row>
    <row r="222" spans="2:15">
      <c r="B222" t="s">
        <v>205</v>
      </c>
      <c r="C222" t="s">
        <v>29</v>
      </c>
      <c r="D222" t="s">
        <v>660</v>
      </c>
      <c r="E222" t="s">
        <v>661</v>
      </c>
      <c r="F222" t="s">
        <v>10</v>
      </c>
      <c r="G222" t="s">
        <v>660</v>
      </c>
      <c r="H222" t="s">
        <v>662</v>
      </c>
      <c r="I222" t="s">
        <v>24</v>
      </c>
      <c r="J222">
        <v>86</v>
      </c>
      <c r="K222">
        <v>5</v>
      </c>
      <c r="L222" s="2">
        <v>3.5000000000000001E-3</v>
      </c>
      <c r="M222">
        <v>2.5000000000000001E-2</v>
      </c>
      <c r="N222" s="2">
        <v>1.7500000000000002E-2</v>
      </c>
      <c r="O222" s="2">
        <v>0.125</v>
      </c>
    </row>
    <row r="223" spans="2:15">
      <c r="B223" t="s">
        <v>663</v>
      </c>
      <c r="C223" t="s">
        <v>36</v>
      </c>
      <c r="D223" t="s">
        <v>664</v>
      </c>
      <c r="E223" t="s">
        <v>665</v>
      </c>
      <c r="F223" t="s">
        <v>10</v>
      </c>
      <c r="G223" t="s">
        <v>664</v>
      </c>
      <c r="H223" t="s">
        <v>666</v>
      </c>
      <c r="I223" t="s">
        <v>24</v>
      </c>
      <c r="J223">
        <v>1475</v>
      </c>
      <c r="K223">
        <v>336</v>
      </c>
      <c r="L223" s="2">
        <v>3.5000000000000001E-3</v>
      </c>
      <c r="M223">
        <v>2.5000000000000001E-2</v>
      </c>
      <c r="N223" s="2">
        <v>1.1759999999999999</v>
      </c>
      <c r="O223" s="2">
        <v>8.4</v>
      </c>
    </row>
    <row r="224" spans="2:15">
      <c r="B224" t="s">
        <v>663</v>
      </c>
      <c r="C224" t="s">
        <v>36</v>
      </c>
      <c r="D224" t="s">
        <v>667</v>
      </c>
      <c r="E224" t="s">
        <v>668</v>
      </c>
      <c r="F224" t="s">
        <v>10</v>
      </c>
      <c r="G224" t="s">
        <v>667</v>
      </c>
      <c r="H224" t="s">
        <v>669</v>
      </c>
      <c r="I224" t="s">
        <v>24</v>
      </c>
      <c r="J224">
        <v>407761</v>
      </c>
      <c r="K224">
        <v>19130</v>
      </c>
      <c r="L224" s="2">
        <v>3.5000000000000001E-3</v>
      </c>
      <c r="M224">
        <v>2.5000000000000001E-2</v>
      </c>
      <c r="N224" s="2">
        <v>66.954999999999998</v>
      </c>
      <c r="O224" s="2">
        <v>478.25</v>
      </c>
    </row>
    <row r="225" spans="2:15">
      <c r="B225" t="s">
        <v>663</v>
      </c>
      <c r="C225" t="s">
        <v>36</v>
      </c>
      <c r="D225" t="s">
        <v>670</v>
      </c>
      <c r="E225" t="s">
        <v>671</v>
      </c>
      <c r="F225" t="s">
        <v>10</v>
      </c>
      <c r="G225" t="s">
        <v>670</v>
      </c>
      <c r="H225" t="s">
        <v>672</v>
      </c>
      <c r="I225" t="s">
        <v>24</v>
      </c>
      <c r="J225">
        <v>364183</v>
      </c>
      <c r="K225">
        <v>17005</v>
      </c>
      <c r="L225" s="2">
        <v>3.5000000000000001E-3</v>
      </c>
      <c r="M225">
        <v>2.5000000000000001E-2</v>
      </c>
      <c r="N225" s="2">
        <v>59.517499999999998</v>
      </c>
      <c r="O225" s="2">
        <v>425.125</v>
      </c>
    </row>
    <row r="226" spans="2:15">
      <c r="B226" t="s">
        <v>663</v>
      </c>
      <c r="C226" t="s">
        <v>36</v>
      </c>
      <c r="D226" t="s">
        <v>673</v>
      </c>
      <c r="E226" t="s">
        <v>674</v>
      </c>
      <c r="F226" t="s">
        <v>10</v>
      </c>
      <c r="G226" t="s">
        <v>673</v>
      </c>
      <c r="H226" t="s">
        <v>675</v>
      </c>
      <c r="I226" t="s">
        <v>24</v>
      </c>
      <c r="J226">
        <v>480168</v>
      </c>
      <c r="K226">
        <v>19327</v>
      </c>
      <c r="L226" s="2">
        <v>3.5000000000000001E-3</v>
      </c>
      <c r="M226">
        <v>2.5000000000000001E-2</v>
      </c>
      <c r="N226" s="2">
        <v>67.644500000000008</v>
      </c>
      <c r="O226" s="2">
        <v>483.17500000000001</v>
      </c>
    </row>
    <row r="227" spans="2:15">
      <c r="B227" t="s">
        <v>663</v>
      </c>
      <c r="C227" t="s">
        <v>36</v>
      </c>
      <c r="D227" t="s">
        <v>676</v>
      </c>
      <c r="E227" t="s">
        <v>677</v>
      </c>
      <c r="F227" t="s">
        <v>10</v>
      </c>
      <c r="G227" t="s">
        <v>676</v>
      </c>
      <c r="H227" t="s">
        <v>678</v>
      </c>
      <c r="I227" t="s">
        <v>24</v>
      </c>
      <c r="J227">
        <v>276032</v>
      </c>
      <c r="K227">
        <v>15152</v>
      </c>
      <c r="L227" s="2">
        <v>3.5000000000000001E-3</v>
      </c>
      <c r="M227">
        <v>2.5000000000000001E-2</v>
      </c>
      <c r="N227" s="2">
        <v>53.032000000000004</v>
      </c>
      <c r="O227" s="2">
        <v>378.8</v>
      </c>
    </row>
    <row r="228" spans="2:15">
      <c r="B228" t="s">
        <v>663</v>
      </c>
      <c r="C228" t="s">
        <v>36</v>
      </c>
      <c r="D228" t="s">
        <v>679</v>
      </c>
      <c r="E228" t="s">
        <v>680</v>
      </c>
      <c r="F228" t="s">
        <v>10</v>
      </c>
      <c r="G228" t="s">
        <v>679</v>
      </c>
      <c r="H228" t="s">
        <v>681</v>
      </c>
      <c r="I228" t="s">
        <v>24</v>
      </c>
      <c r="J228">
        <v>413</v>
      </c>
      <c r="K228">
        <v>178</v>
      </c>
      <c r="L228" s="2">
        <v>3.5000000000000001E-3</v>
      </c>
      <c r="M228">
        <v>2.5000000000000001E-2</v>
      </c>
      <c r="N228" s="2">
        <v>0.623</v>
      </c>
      <c r="O228" s="2">
        <v>4.45</v>
      </c>
    </row>
    <row r="229" spans="2:15">
      <c r="B229" t="s">
        <v>663</v>
      </c>
      <c r="C229" t="s">
        <v>36</v>
      </c>
      <c r="D229" t="s">
        <v>682</v>
      </c>
      <c r="E229" t="s">
        <v>683</v>
      </c>
      <c r="F229" t="s">
        <v>10</v>
      </c>
      <c r="G229" t="s">
        <v>682</v>
      </c>
      <c r="H229" t="s">
        <v>684</v>
      </c>
      <c r="I229" t="s">
        <v>24</v>
      </c>
      <c r="J229">
        <v>244</v>
      </c>
      <c r="K229">
        <v>128</v>
      </c>
      <c r="L229" s="2">
        <v>3.5000000000000001E-3</v>
      </c>
      <c r="M229">
        <v>2.5000000000000001E-2</v>
      </c>
      <c r="N229" s="2">
        <v>0.44800000000000001</v>
      </c>
      <c r="O229" s="2">
        <v>3.2</v>
      </c>
    </row>
    <row r="230" spans="2:15">
      <c r="B230" t="s">
        <v>663</v>
      </c>
      <c r="C230" t="s">
        <v>36</v>
      </c>
      <c r="D230" t="s">
        <v>685</v>
      </c>
      <c r="E230" t="s">
        <v>686</v>
      </c>
      <c r="F230" t="s">
        <v>10</v>
      </c>
      <c r="G230" t="s">
        <v>685</v>
      </c>
      <c r="H230" t="s">
        <v>687</v>
      </c>
      <c r="I230" t="s">
        <v>24</v>
      </c>
      <c r="J230">
        <v>1458</v>
      </c>
      <c r="K230">
        <v>76</v>
      </c>
      <c r="L230" s="2">
        <v>3.5000000000000001E-3</v>
      </c>
      <c r="M230">
        <v>2.5000000000000001E-2</v>
      </c>
      <c r="N230" s="2">
        <v>0.26600000000000001</v>
      </c>
      <c r="O230" s="2">
        <v>1.9000000000000001</v>
      </c>
    </row>
    <row r="231" spans="2:15">
      <c r="B231" t="s">
        <v>663</v>
      </c>
      <c r="C231" t="s">
        <v>49</v>
      </c>
      <c r="D231" t="s">
        <v>688</v>
      </c>
      <c r="E231" t="s">
        <v>689</v>
      </c>
      <c r="F231" t="s">
        <v>12</v>
      </c>
      <c r="G231" t="s">
        <v>688</v>
      </c>
      <c r="H231" t="s">
        <v>690</v>
      </c>
      <c r="I231" t="s">
        <v>34</v>
      </c>
      <c r="J231">
        <v>41683</v>
      </c>
      <c r="K231">
        <v>183</v>
      </c>
      <c r="L231" s="2">
        <v>0.04</v>
      </c>
      <c r="M231">
        <v>0.1</v>
      </c>
      <c r="N231" s="2">
        <v>1.6673199999999999</v>
      </c>
      <c r="O231" s="2">
        <v>4.1683000000000003</v>
      </c>
    </row>
    <row r="232" spans="2:15">
      <c r="B232" t="s">
        <v>663</v>
      </c>
      <c r="C232" t="s">
        <v>49</v>
      </c>
      <c r="D232" t="s">
        <v>691</v>
      </c>
      <c r="E232" t="s">
        <v>692</v>
      </c>
      <c r="F232" t="s">
        <v>12</v>
      </c>
      <c r="G232" t="s">
        <v>691</v>
      </c>
      <c r="H232" t="s">
        <v>693</v>
      </c>
      <c r="I232" t="s">
        <v>34</v>
      </c>
      <c r="J232">
        <v>12509</v>
      </c>
      <c r="K232">
        <v>21</v>
      </c>
      <c r="L232" s="2">
        <v>0.04</v>
      </c>
      <c r="M232">
        <v>0.1</v>
      </c>
      <c r="N232" s="2">
        <v>0.50036000000000003</v>
      </c>
      <c r="O232" s="2">
        <v>1.2509000000000001</v>
      </c>
    </row>
    <row r="233" spans="2:15">
      <c r="B233" t="s">
        <v>663</v>
      </c>
      <c r="C233" t="s">
        <v>49</v>
      </c>
      <c r="D233" t="s">
        <v>694</v>
      </c>
      <c r="E233" t="s">
        <v>695</v>
      </c>
      <c r="F233" t="s">
        <v>12</v>
      </c>
      <c r="G233" t="s">
        <v>694</v>
      </c>
      <c r="H233" t="s">
        <v>696</v>
      </c>
      <c r="I233" t="s">
        <v>34</v>
      </c>
      <c r="J233">
        <v>303057</v>
      </c>
      <c r="K233">
        <v>3079</v>
      </c>
      <c r="L233" s="2">
        <v>0.04</v>
      </c>
      <c r="M233">
        <v>0.1</v>
      </c>
      <c r="N233" s="2">
        <v>12.12228</v>
      </c>
      <c r="O233" s="2">
        <v>30.305700000000002</v>
      </c>
    </row>
    <row r="234" spans="2:15">
      <c r="B234" t="s">
        <v>663</v>
      </c>
      <c r="C234" t="s">
        <v>49</v>
      </c>
      <c r="D234" t="s">
        <v>697</v>
      </c>
      <c r="E234" t="s">
        <v>698</v>
      </c>
      <c r="F234" t="s">
        <v>12</v>
      </c>
      <c r="G234" t="s">
        <v>697</v>
      </c>
      <c r="H234" t="s">
        <v>699</v>
      </c>
      <c r="I234" t="s">
        <v>34</v>
      </c>
      <c r="J234">
        <v>211009</v>
      </c>
      <c r="K234">
        <v>1744</v>
      </c>
      <c r="L234" s="2">
        <v>0.04</v>
      </c>
      <c r="M234">
        <v>0.1</v>
      </c>
      <c r="N234" s="2">
        <v>8.4403600000000001</v>
      </c>
      <c r="O234" s="2">
        <v>21.100900000000003</v>
      </c>
    </row>
    <row r="235" spans="2:15">
      <c r="B235" t="s">
        <v>663</v>
      </c>
      <c r="C235" t="s">
        <v>49</v>
      </c>
      <c r="D235" t="s">
        <v>700</v>
      </c>
      <c r="E235" t="s">
        <v>701</v>
      </c>
      <c r="F235" t="s">
        <v>12</v>
      </c>
      <c r="G235" t="s">
        <v>700</v>
      </c>
      <c r="H235" t="s">
        <v>702</v>
      </c>
      <c r="I235" t="s">
        <v>34</v>
      </c>
      <c r="J235">
        <v>110822</v>
      </c>
      <c r="K235">
        <v>4161</v>
      </c>
      <c r="L235" s="2">
        <v>0.04</v>
      </c>
      <c r="M235">
        <v>0.1</v>
      </c>
      <c r="N235" s="2">
        <v>4.4328799999999999</v>
      </c>
      <c r="O235" s="2">
        <v>11.0822</v>
      </c>
    </row>
    <row r="236" spans="2:15">
      <c r="B236" t="s">
        <v>663</v>
      </c>
      <c r="C236" t="s">
        <v>49</v>
      </c>
      <c r="D236" t="s">
        <v>703</v>
      </c>
      <c r="E236" t="s">
        <v>704</v>
      </c>
      <c r="F236" t="s">
        <v>12</v>
      </c>
      <c r="G236" t="s">
        <v>703</v>
      </c>
      <c r="H236" t="s">
        <v>705</v>
      </c>
      <c r="I236" t="s">
        <v>34</v>
      </c>
      <c r="J236">
        <v>67118</v>
      </c>
      <c r="K236">
        <v>266</v>
      </c>
      <c r="L236" s="2">
        <v>0.04</v>
      </c>
      <c r="M236">
        <v>0.1</v>
      </c>
      <c r="N236" s="2">
        <v>2.6847200000000004</v>
      </c>
      <c r="O236" s="2">
        <v>6.7118000000000002</v>
      </c>
    </row>
    <row r="237" spans="2:15">
      <c r="B237" t="s">
        <v>663</v>
      </c>
      <c r="C237" t="s">
        <v>49</v>
      </c>
      <c r="D237" t="s">
        <v>706</v>
      </c>
      <c r="E237" t="s">
        <v>707</v>
      </c>
      <c r="F237" t="s">
        <v>12</v>
      </c>
      <c r="G237" t="s">
        <v>706</v>
      </c>
      <c r="H237" t="s">
        <v>708</v>
      </c>
      <c r="I237" t="s">
        <v>34</v>
      </c>
      <c r="J237">
        <v>32269</v>
      </c>
      <c r="K237">
        <v>96</v>
      </c>
      <c r="L237" s="2">
        <v>0.04</v>
      </c>
      <c r="M237">
        <v>0.1</v>
      </c>
      <c r="N237" s="2">
        <v>1.2907599999999999</v>
      </c>
      <c r="O237" s="2">
        <v>3.2269000000000001</v>
      </c>
    </row>
    <row r="238" spans="2:15">
      <c r="B238" t="s">
        <v>663</v>
      </c>
      <c r="C238" t="s">
        <v>49</v>
      </c>
      <c r="D238" t="s">
        <v>709</v>
      </c>
      <c r="E238" t="s">
        <v>710</v>
      </c>
      <c r="F238" t="s">
        <v>12</v>
      </c>
      <c r="G238" t="s">
        <v>709</v>
      </c>
      <c r="H238" t="s">
        <v>711</v>
      </c>
      <c r="I238" t="s">
        <v>34</v>
      </c>
      <c r="J238">
        <v>602441</v>
      </c>
      <c r="K238">
        <v>5898</v>
      </c>
      <c r="L238" s="2">
        <v>0.04</v>
      </c>
      <c r="M238">
        <v>0.1</v>
      </c>
      <c r="N238" s="2">
        <v>24.097639999999998</v>
      </c>
      <c r="O238" s="2">
        <v>60.244100000000003</v>
      </c>
    </row>
    <row r="239" spans="2:15">
      <c r="B239" t="s">
        <v>663</v>
      </c>
      <c r="C239" t="s">
        <v>49</v>
      </c>
      <c r="D239" t="s">
        <v>712</v>
      </c>
      <c r="E239" t="s">
        <v>713</v>
      </c>
      <c r="F239" t="s">
        <v>12</v>
      </c>
      <c r="G239" t="s">
        <v>712</v>
      </c>
      <c r="H239" t="s">
        <v>714</v>
      </c>
      <c r="I239" t="s">
        <v>34</v>
      </c>
      <c r="J239">
        <v>301374</v>
      </c>
      <c r="K239">
        <v>3011</v>
      </c>
      <c r="L239" s="2">
        <v>0.04</v>
      </c>
      <c r="M239">
        <v>0.1</v>
      </c>
      <c r="N239" s="2">
        <v>12.054960000000001</v>
      </c>
      <c r="O239" s="2">
        <v>30.137400000000003</v>
      </c>
    </row>
    <row r="240" spans="2:15">
      <c r="B240" t="s">
        <v>663</v>
      </c>
      <c r="C240" t="s">
        <v>49</v>
      </c>
      <c r="D240" t="s">
        <v>715</v>
      </c>
      <c r="E240" t="s">
        <v>716</v>
      </c>
      <c r="F240" t="s">
        <v>12</v>
      </c>
      <c r="G240" t="s">
        <v>715</v>
      </c>
      <c r="H240" t="s">
        <v>717</v>
      </c>
      <c r="I240" t="s">
        <v>34</v>
      </c>
      <c r="J240">
        <v>74916</v>
      </c>
      <c r="K240">
        <v>2561</v>
      </c>
      <c r="L240" s="2">
        <v>0.04</v>
      </c>
      <c r="M240">
        <v>0.1</v>
      </c>
      <c r="N240" s="2">
        <v>2.9966399999999997</v>
      </c>
      <c r="O240" s="2">
        <v>7.4916</v>
      </c>
    </row>
    <row r="241" spans="2:15">
      <c r="B241" t="s">
        <v>663</v>
      </c>
      <c r="C241" t="s">
        <v>49</v>
      </c>
      <c r="D241" t="s">
        <v>718</v>
      </c>
      <c r="E241" t="s">
        <v>719</v>
      </c>
      <c r="F241" t="s">
        <v>12</v>
      </c>
      <c r="G241" t="s">
        <v>718</v>
      </c>
      <c r="H241" t="s">
        <v>720</v>
      </c>
      <c r="I241" t="s">
        <v>34</v>
      </c>
      <c r="J241">
        <v>521284</v>
      </c>
      <c r="K241">
        <v>2722</v>
      </c>
      <c r="L241" s="2">
        <v>0.04</v>
      </c>
      <c r="M241">
        <v>0.1</v>
      </c>
      <c r="N241" s="2">
        <v>20.85136</v>
      </c>
      <c r="O241" s="2">
        <v>52.128399999999999</v>
      </c>
    </row>
    <row r="242" spans="2:15">
      <c r="B242" t="s">
        <v>663</v>
      </c>
      <c r="C242" t="s">
        <v>49</v>
      </c>
      <c r="D242" t="s">
        <v>721</v>
      </c>
      <c r="E242" t="s">
        <v>722</v>
      </c>
      <c r="F242" t="s">
        <v>12</v>
      </c>
      <c r="G242" t="s">
        <v>721</v>
      </c>
      <c r="H242" t="s">
        <v>723</v>
      </c>
      <c r="I242" t="s">
        <v>34</v>
      </c>
      <c r="J242">
        <v>111740</v>
      </c>
      <c r="K242">
        <v>239</v>
      </c>
      <c r="L242" s="2">
        <v>0.04</v>
      </c>
      <c r="M242">
        <v>0.1</v>
      </c>
      <c r="N242" s="2">
        <v>4.4696000000000007</v>
      </c>
      <c r="O242" s="2">
        <v>11.173999999999999</v>
      </c>
    </row>
    <row r="243" spans="2:15">
      <c r="B243" t="s">
        <v>663</v>
      </c>
      <c r="C243" t="s">
        <v>49</v>
      </c>
      <c r="D243" t="s">
        <v>724</v>
      </c>
      <c r="E243" t="s">
        <v>725</v>
      </c>
      <c r="F243" t="s">
        <v>12</v>
      </c>
      <c r="G243" t="s">
        <v>724</v>
      </c>
      <c r="H243" t="s">
        <v>726</v>
      </c>
      <c r="I243" t="s">
        <v>34</v>
      </c>
      <c r="J243">
        <v>4645005</v>
      </c>
      <c r="K243">
        <v>51702</v>
      </c>
      <c r="L243" s="2">
        <v>0.04</v>
      </c>
      <c r="M243">
        <v>0.1</v>
      </c>
      <c r="N243" s="2">
        <v>185.80020000000002</v>
      </c>
      <c r="O243" s="2">
        <v>464.50049999999999</v>
      </c>
    </row>
    <row r="244" spans="2:15">
      <c r="B244" t="s">
        <v>663</v>
      </c>
      <c r="C244" t="s">
        <v>49</v>
      </c>
      <c r="D244" t="s">
        <v>727</v>
      </c>
      <c r="E244" t="s">
        <v>728</v>
      </c>
      <c r="F244" t="s">
        <v>11</v>
      </c>
      <c r="G244" t="s">
        <v>729</v>
      </c>
      <c r="H244" t="s">
        <v>730</v>
      </c>
      <c r="I244" t="s">
        <v>34</v>
      </c>
      <c r="J244">
        <v>1</v>
      </c>
      <c r="K244">
        <v>1</v>
      </c>
      <c r="L244" s="2">
        <v>0.04</v>
      </c>
      <c r="M244">
        <v>0.1</v>
      </c>
      <c r="N244" s="2">
        <v>4.0000000000000003E-5</v>
      </c>
      <c r="O244" s="2">
        <v>1E-4</v>
      </c>
    </row>
    <row r="245" spans="2:15">
      <c r="B245" t="s">
        <v>663</v>
      </c>
      <c r="C245" t="s">
        <v>49</v>
      </c>
      <c r="D245" t="s">
        <v>731</v>
      </c>
      <c r="E245" t="s">
        <v>732</v>
      </c>
      <c r="F245" t="s">
        <v>11</v>
      </c>
      <c r="G245" t="s">
        <v>50</v>
      </c>
      <c r="H245" t="s">
        <v>733</v>
      </c>
      <c r="I245" t="s">
        <v>34</v>
      </c>
      <c r="J245">
        <v>1</v>
      </c>
      <c r="K245">
        <v>0</v>
      </c>
      <c r="L245" s="2">
        <v>0.04</v>
      </c>
      <c r="M245">
        <v>0.1</v>
      </c>
      <c r="N245" s="2">
        <v>4.0000000000000003E-5</v>
      </c>
      <c r="O245" s="2">
        <v>1E-4</v>
      </c>
    </row>
    <row r="246" spans="2:15">
      <c r="B246" t="s">
        <v>663</v>
      </c>
      <c r="C246" t="s">
        <v>49</v>
      </c>
      <c r="D246" t="s">
        <v>731</v>
      </c>
      <c r="E246" t="s">
        <v>732</v>
      </c>
      <c r="F246" t="s">
        <v>12</v>
      </c>
      <c r="G246" t="s">
        <v>731</v>
      </c>
      <c r="H246" t="s">
        <v>734</v>
      </c>
      <c r="I246" t="s">
        <v>34</v>
      </c>
      <c r="J246">
        <v>2701187</v>
      </c>
      <c r="K246">
        <v>29918</v>
      </c>
      <c r="L246" s="2">
        <v>0.04</v>
      </c>
      <c r="M246">
        <v>0.1</v>
      </c>
      <c r="N246" s="2">
        <v>108.04747999999999</v>
      </c>
      <c r="O246" s="2">
        <v>270.11869999999999</v>
      </c>
    </row>
    <row r="247" spans="2:15">
      <c r="B247" t="s">
        <v>663</v>
      </c>
      <c r="C247" t="s">
        <v>49</v>
      </c>
      <c r="D247" t="s">
        <v>735</v>
      </c>
      <c r="E247" t="s">
        <v>736</v>
      </c>
      <c r="F247" t="s">
        <v>12</v>
      </c>
      <c r="G247" t="s">
        <v>735</v>
      </c>
      <c r="H247" t="s">
        <v>737</v>
      </c>
      <c r="I247" t="s">
        <v>34</v>
      </c>
      <c r="J247">
        <v>1454685</v>
      </c>
      <c r="K247">
        <v>60255</v>
      </c>
      <c r="L247" s="2">
        <v>0.04</v>
      </c>
      <c r="M247">
        <v>0.1</v>
      </c>
      <c r="N247" s="2">
        <v>58.187400000000004</v>
      </c>
      <c r="O247" s="2">
        <v>145.46850000000001</v>
      </c>
    </row>
    <row r="248" spans="2:15">
      <c r="B248" t="s">
        <v>663</v>
      </c>
      <c r="C248" t="s">
        <v>184</v>
      </c>
      <c r="D248" t="s">
        <v>738</v>
      </c>
      <c r="E248" t="s">
        <v>739</v>
      </c>
      <c r="F248" t="s">
        <v>10</v>
      </c>
      <c r="G248" t="s">
        <v>738</v>
      </c>
      <c r="H248" t="s">
        <v>740</v>
      </c>
      <c r="I248" t="s">
        <v>24</v>
      </c>
      <c r="J248">
        <v>0</v>
      </c>
      <c r="K248">
        <v>1</v>
      </c>
      <c r="L248" s="2">
        <v>3.5000000000000001E-3</v>
      </c>
      <c r="M248">
        <v>2.5000000000000001E-2</v>
      </c>
      <c r="N248" s="2">
        <v>3.5000000000000001E-3</v>
      </c>
      <c r="O248" s="2">
        <v>2.5000000000000001E-2</v>
      </c>
    </row>
    <row r="249" spans="2:15">
      <c r="B249" t="s">
        <v>663</v>
      </c>
      <c r="C249" t="s">
        <v>184</v>
      </c>
      <c r="D249" t="s">
        <v>741</v>
      </c>
      <c r="E249" t="s">
        <v>742</v>
      </c>
      <c r="F249" t="s">
        <v>10</v>
      </c>
      <c r="G249" t="s">
        <v>741</v>
      </c>
      <c r="H249" t="s">
        <v>743</v>
      </c>
      <c r="I249" t="s">
        <v>24</v>
      </c>
      <c r="J249">
        <v>149534</v>
      </c>
      <c r="K249">
        <v>0</v>
      </c>
      <c r="L249" s="2">
        <v>3.5000000000000001E-3</v>
      </c>
      <c r="M249">
        <v>2.5000000000000001E-2</v>
      </c>
      <c r="N249" s="2">
        <v>0</v>
      </c>
      <c r="O249" s="2">
        <v>0</v>
      </c>
    </row>
    <row r="250" spans="2:15">
      <c r="B250" t="s">
        <v>663</v>
      </c>
      <c r="C250" t="s">
        <v>184</v>
      </c>
      <c r="D250" t="s">
        <v>744</v>
      </c>
      <c r="E250" t="s">
        <v>745</v>
      </c>
      <c r="F250" t="s">
        <v>10</v>
      </c>
      <c r="G250" t="s">
        <v>744</v>
      </c>
      <c r="H250" t="s">
        <v>746</v>
      </c>
      <c r="I250" t="s">
        <v>24</v>
      </c>
      <c r="J250">
        <v>240942</v>
      </c>
      <c r="K250">
        <v>0</v>
      </c>
      <c r="L250" s="2">
        <v>3.5000000000000001E-3</v>
      </c>
      <c r="M250">
        <v>2.5000000000000001E-2</v>
      </c>
      <c r="N250" s="2">
        <v>0</v>
      </c>
      <c r="O250" s="2">
        <v>0</v>
      </c>
    </row>
    <row r="251" spans="2:15">
      <c r="B251" t="s">
        <v>663</v>
      </c>
      <c r="C251" t="s">
        <v>184</v>
      </c>
      <c r="D251" t="s">
        <v>747</v>
      </c>
      <c r="E251" t="s">
        <v>748</v>
      </c>
      <c r="F251" t="s">
        <v>10</v>
      </c>
      <c r="G251" t="s">
        <v>747</v>
      </c>
      <c r="H251" t="s">
        <v>749</v>
      </c>
      <c r="I251" t="s">
        <v>24</v>
      </c>
      <c r="J251">
        <v>271662</v>
      </c>
      <c r="K251">
        <v>1</v>
      </c>
      <c r="L251" s="2">
        <v>3.5000000000000001E-3</v>
      </c>
      <c r="M251">
        <v>2.5000000000000001E-2</v>
      </c>
      <c r="N251" s="2">
        <v>3.5000000000000001E-3</v>
      </c>
      <c r="O251" s="2">
        <v>2.5000000000000001E-2</v>
      </c>
    </row>
    <row r="252" spans="2:15">
      <c r="B252" t="s">
        <v>663</v>
      </c>
      <c r="C252" t="s">
        <v>184</v>
      </c>
      <c r="D252" t="s">
        <v>750</v>
      </c>
      <c r="E252" t="s">
        <v>751</v>
      </c>
      <c r="F252" t="s">
        <v>10</v>
      </c>
      <c r="G252" t="s">
        <v>750</v>
      </c>
      <c r="H252" t="s">
        <v>752</v>
      </c>
      <c r="I252" t="s">
        <v>24</v>
      </c>
      <c r="J252">
        <v>304515</v>
      </c>
      <c r="K252">
        <v>0</v>
      </c>
      <c r="L252" s="2">
        <v>3.5000000000000001E-3</v>
      </c>
      <c r="M252">
        <v>2.5000000000000001E-2</v>
      </c>
      <c r="N252" s="2">
        <v>0</v>
      </c>
      <c r="O252" s="2">
        <v>0</v>
      </c>
    </row>
    <row r="253" spans="2:15">
      <c r="B253" t="s">
        <v>663</v>
      </c>
      <c r="C253" t="s">
        <v>184</v>
      </c>
      <c r="D253" t="s">
        <v>753</v>
      </c>
      <c r="E253" t="s">
        <v>754</v>
      </c>
      <c r="F253" t="s">
        <v>10</v>
      </c>
      <c r="G253" t="s">
        <v>753</v>
      </c>
      <c r="H253" t="s">
        <v>755</v>
      </c>
      <c r="I253" t="s">
        <v>24</v>
      </c>
      <c r="J253">
        <v>160756</v>
      </c>
      <c r="K253">
        <v>555</v>
      </c>
      <c r="L253" s="2">
        <v>3.5000000000000001E-3</v>
      </c>
      <c r="M253">
        <v>2.5000000000000001E-2</v>
      </c>
      <c r="N253" s="2">
        <v>1.9425000000000001</v>
      </c>
      <c r="O253" s="2">
        <v>13.875</v>
      </c>
    </row>
    <row r="254" spans="2:15">
      <c r="B254" t="s">
        <v>663</v>
      </c>
      <c r="C254" t="s">
        <v>184</v>
      </c>
      <c r="D254" t="s">
        <v>756</v>
      </c>
      <c r="E254" t="s">
        <v>757</v>
      </c>
      <c r="F254" t="s">
        <v>10</v>
      </c>
      <c r="G254" t="s">
        <v>756</v>
      </c>
      <c r="H254" t="s">
        <v>758</v>
      </c>
      <c r="I254" t="s">
        <v>24</v>
      </c>
      <c r="J254">
        <v>13763</v>
      </c>
      <c r="K254">
        <v>283</v>
      </c>
      <c r="L254" s="2">
        <v>3.5000000000000001E-3</v>
      </c>
      <c r="M254">
        <v>2.5000000000000001E-2</v>
      </c>
      <c r="N254" s="2">
        <v>0.99050000000000005</v>
      </c>
      <c r="O254" s="2">
        <v>7.0750000000000002</v>
      </c>
    </row>
    <row r="255" spans="2:15">
      <c r="B255" t="s">
        <v>663</v>
      </c>
      <c r="C255" t="s">
        <v>184</v>
      </c>
      <c r="D255" t="s">
        <v>759</v>
      </c>
      <c r="E255" t="s">
        <v>760</v>
      </c>
      <c r="F255" t="s">
        <v>10</v>
      </c>
      <c r="G255" t="s">
        <v>759</v>
      </c>
      <c r="H255" t="s">
        <v>761</v>
      </c>
      <c r="I255" t="s">
        <v>24</v>
      </c>
      <c r="J255">
        <v>26606</v>
      </c>
      <c r="K255">
        <v>56</v>
      </c>
      <c r="L255" s="2">
        <v>3.5000000000000001E-3</v>
      </c>
      <c r="M255">
        <v>2.5000000000000001E-2</v>
      </c>
      <c r="N255" s="2">
        <v>0.19600000000000001</v>
      </c>
      <c r="O255" s="2">
        <v>1.4000000000000001</v>
      </c>
    </row>
    <row r="256" spans="2:15">
      <c r="B256" t="s">
        <v>663</v>
      </c>
      <c r="C256" t="s">
        <v>184</v>
      </c>
      <c r="D256" t="s">
        <v>762</v>
      </c>
      <c r="E256" t="s">
        <v>763</v>
      </c>
      <c r="F256" t="s">
        <v>10</v>
      </c>
      <c r="G256" t="s">
        <v>762</v>
      </c>
      <c r="H256" t="s">
        <v>764</v>
      </c>
      <c r="I256" t="s">
        <v>24</v>
      </c>
      <c r="J256">
        <v>503269</v>
      </c>
      <c r="K256">
        <v>2172</v>
      </c>
      <c r="L256" s="2">
        <v>3.5000000000000001E-3</v>
      </c>
      <c r="M256">
        <v>2.5000000000000001E-2</v>
      </c>
      <c r="N256" s="2">
        <v>7.6020000000000003</v>
      </c>
      <c r="O256" s="2">
        <v>54.300000000000004</v>
      </c>
    </row>
    <row r="257" spans="2:15">
      <c r="B257" t="s">
        <v>663</v>
      </c>
      <c r="C257" t="s">
        <v>765</v>
      </c>
      <c r="D257" t="s">
        <v>766</v>
      </c>
      <c r="E257" t="s">
        <v>767</v>
      </c>
      <c r="F257" t="s">
        <v>10</v>
      </c>
      <c r="G257" t="s">
        <v>766</v>
      </c>
      <c r="H257" t="s">
        <v>768</v>
      </c>
      <c r="I257" t="s">
        <v>24</v>
      </c>
      <c r="J257">
        <v>101475</v>
      </c>
      <c r="K257">
        <v>644</v>
      </c>
      <c r="L257" s="2">
        <v>3.5000000000000001E-3</v>
      </c>
      <c r="M257">
        <v>2.5000000000000001E-2</v>
      </c>
      <c r="N257" s="2">
        <v>2.254</v>
      </c>
      <c r="O257" s="2">
        <v>16.100000000000001</v>
      </c>
    </row>
    <row r="258" spans="2:15">
      <c r="B258" t="s">
        <v>663</v>
      </c>
      <c r="C258" t="s">
        <v>765</v>
      </c>
      <c r="D258" t="s">
        <v>769</v>
      </c>
      <c r="E258" t="s">
        <v>770</v>
      </c>
      <c r="F258" t="s">
        <v>10</v>
      </c>
      <c r="G258" t="s">
        <v>769</v>
      </c>
      <c r="H258" t="s">
        <v>771</v>
      </c>
      <c r="I258" t="s">
        <v>24</v>
      </c>
      <c r="J258">
        <v>401282</v>
      </c>
      <c r="K258">
        <v>7142</v>
      </c>
      <c r="L258" s="2">
        <v>3.5000000000000001E-3</v>
      </c>
      <c r="M258">
        <v>2.5000000000000001E-2</v>
      </c>
      <c r="N258" s="2">
        <v>24.997</v>
      </c>
      <c r="O258" s="2">
        <v>178.55</v>
      </c>
    </row>
    <row r="259" spans="2:15">
      <c r="B259" t="s">
        <v>663</v>
      </c>
      <c r="C259" t="s">
        <v>765</v>
      </c>
      <c r="D259" t="s">
        <v>772</v>
      </c>
      <c r="E259" t="s">
        <v>773</v>
      </c>
      <c r="F259" t="s">
        <v>10</v>
      </c>
      <c r="G259" t="s">
        <v>772</v>
      </c>
      <c r="H259" t="s">
        <v>774</v>
      </c>
      <c r="I259" t="s">
        <v>24</v>
      </c>
      <c r="J259">
        <v>393269</v>
      </c>
      <c r="K259">
        <v>2861</v>
      </c>
      <c r="L259" s="2">
        <v>3.5000000000000001E-3</v>
      </c>
      <c r="M259">
        <v>2.5000000000000001E-2</v>
      </c>
      <c r="N259" s="2">
        <v>10.013500000000001</v>
      </c>
      <c r="O259" s="2">
        <v>71.525000000000006</v>
      </c>
    </row>
    <row r="260" spans="2:15">
      <c r="B260" t="s">
        <v>663</v>
      </c>
      <c r="C260" t="s">
        <v>765</v>
      </c>
      <c r="D260" t="s">
        <v>775</v>
      </c>
      <c r="E260" t="s">
        <v>776</v>
      </c>
      <c r="F260" t="s">
        <v>10</v>
      </c>
      <c r="G260" t="s">
        <v>775</v>
      </c>
      <c r="H260" t="s">
        <v>777</v>
      </c>
      <c r="I260" t="s">
        <v>24</v>
      </c>
      <c r="J260">
        <v>291846</v>
      </c>
      <c r="K260">
        <v>5042</v>
      </c>
      <c r="L260" s="2">
        <v>3.5000000000000001E-3</v>
      </c>
      <c r="M260">
        <v>2.5000000000000001E-2</v>
      </c>
      <c r="N260" s="2">
        <v>17.647000000000002</v>
      </c>
      <c r="O260" s="2">
        <v>126.05000000000001</v>
      </c>
    </row>
    <row r="261" spans="2:15">
      <c r="B261" t="s">
        <v>663</v>
      </c>
      <c r="C261" t="s">
        <v>765</v>
      </c>
      <c r="D261" t="s">
        <v>778</v>
      </c>
      <c r="E261" t="s">
        <v>779</v>
      </c>
      <c r="F261" t="s">
        <v>10</v>
      </c>
      <c r="G261" t="s">
        <v>778</v>
      </c>
      <c r="H261" t="s">
        <v>780</v>
      </c>
      <c r="I261" t="s">
        <v>24</v>
      </c>
      <c r="J261">
        <v>457478</v>
      </c>
      <c r="K261">
        <v>7758</v>
      </c>
      <c r="L261" s="2">
        <v>3.5000000000000001E-3</v>
      </c>
      <c r="M261">
        <v>2.5000000000000001E-2</v>
      </c>
      <c r="N261" s="2">
        <v>27.153000000000002</v>
      </c>
      <c r="O261" s="2">
        <v>193.95000000000002</v>
      </c>
    </row>
    <row r="262" spans="2:15">
      <c r="B262" t="s">
        <v>663</v>
      </c>
      <c r="C262" t="s">
        <v>765</v>
      </c>
      <c r="D262" t="s">
        <v>781</v>
      </c>
      <c r="E262" t="s">
        <v>782</v>
      </c>
      <c r="F262" t="s">
        <v>10</v>
      </c>
      <c r="G262" t="s">
        <v>781</v>
      </c>
      <c r="H262" t="s">
        <v>783</v>
      </c>
      <c r="I262" t="s">
        <v>24</v>
      </c>
      <c r="J262">
        <v>289648</v>
      </c>
      <c r="K262">
        <v>5054</v>
      </c>
      <c r="L262" s="2">
        <v>3.5000000000000001E-3</v>
      </c>
      <c r="M262">
        <v>2.5000000000000001E-2</v>
      </c>
      <c r="N262" s="2">
        <v>17.689</v>
      </c>
      <c r="O262" s="2">
        <v>126.35000000000001</v>
      </c>
    </row>
    <row r="263" spans="2:15">
      <c r="B263" t="s">
        <v>663</v>
      </c>
      <c r="C263" t="s">
        <v>765</v>
      </c>
      <c r="D263" t="s">
        <v>784</v>
      </c>
      <c r="E263" t="s">
        <v>785</v>
      </c>
      <c r="F263" t="s">
        <v>10</v>
      </c>
      <c r="G263" t="s">
        <v>784</v>
      </c>
      <c r="H263" t="s">
        <v>786</v>
      </c>
      <c r="I263" t="s">
        <v>24</v>
      </c>
      <c r="J263">
        <v>6214</v>
      </c>
      <c r="K263">
        <v>30</v>
      </c>
      <c r="L263" s="2">
        <v>3.5000000000000001E-3</v>
      </c>
      <c r="M263">
        <v>2.5000000000000001E-2</v>
      </c>
      <c r="N263" s="2">
        <v>0.105</v>
      </c>
      <c r="O263" s="2">
        <v>0.75</v>
      </c>
    </row>
    <row r="264" spans="2:15">
      <c r="B264" t="s">
        <v>663</v>
      </c>
      <c r="C264" t="s">
        <v>765</v>
      </c>
      <c r="D264" t="s">
        <v>787</v>
      </c>
      <c r="E264" t="s">
        <v>788</v>
      </c>
      <c r="F264" t="s">
        <v>10</v>
      </c>
      <c r="G264" t="s">
        <v>787</v>
      </c>
      <c r="H264" t="s">
        <v>789</v>
      </c>
      <c r="I264" t="s">
        <v>24</v>
      </c>
      <c r="J264">
        <v>66155</v>
      </c>
      <c r="K264">
        <v>437</v>
      </c>
      <c r="L264" s="2">
        <v>3.5000000000000001E-3</v>
      </c>
      <c r="M264">
        <v>2.5000000000000001E-2</v>
      </c>
      <c r="N264" s="2">
        <v>1.5295000000000001</v>
      </c>
      <c r="O264" s="2">
        <v>10.925000000000001</v>
      </c>
    </row>
    <row r="265" spans="2:15">
      <c r="B265" t="s">
        <v>663</v>
      </c>
      <c r="C265" t="s">
        <v>765</v>
      </c>
      <c r="D265" t="s">
        <v>790</v>
      </c>
      <c r="E265" t="s">
        <v>791</v>
      </c>
      <c r="F265" t="s">
        <v>10</v>
      </c>
      <c r="G265" t="s">
        <v>790</v>
      </c>
      <c r="H265" t="s">
        <v>792</v>
      </c>
      <c r="I265" t="s">
        <v>24</v>
      </c>
      <c r="J265">
        <v>910031</v>
      </c>
      <c r="K265">
        <v>3847</v>
      </c>
      <c r="L265" s="2">
        <v>3.5000000000000001E-3</v>
      </c>
      <c r="M265">
        <v>2.5000000000000001E-2</v>
      </c>
      <c r="N265" s="2">
        <v>13.464500000000001</v>
      </c>
      <c r="O265" s="2">
        <v>96.175000000000011</v>
      </c>
    </row>
    <row r="266" spans="2:15">
      <c r="B266" t="s">
        <v>663</v>
      </c>
      <c r="C266" t="s">
        <v>765</v>
      </c>
      <c r="D266" t="s">
        <v>793</v>
      </c>
      <c r="E266" t="s">
        <v>794</v>
      </c>
      <c r="F266" t="s">
        <v>10</v>
      </c>
      <c r="G266" t="s">
        <v>793</v>
      </c>
      <c r="H266" t="s">
        <v>795</v>
      </c>
      <c r="I266" t="s">
        <v>24</v>
      </c>
      <c r="J266">
        <v>1066423</v>
      </c>
      <c r="K266">
        <v>4702</v>
      </c>
      <c r="L266" s="2">
        <v>3.5000000000000001E-3</v>
      </c>
      <c r="M266">
        <v>2.5000000000000001E-2</v>
      </c>
      <c r="N266" s="2">
        <v>16.457000000000001</v>
      </c>
      <c r="O266" s="2">
        <v>117.55000000000001</v>
      </c>
    </row>
    <row r="267" spans="2:15">
      <c r="B267" t="s">
        <v>663</v>
      </c>
      <c r="C267" t="s">
        <v>765</v>
      </c>
      <c r="D267" t="s">
        <v>796</v>
      </c>
      <c r="E267" t="s">
        <v>797</v>
      </c>
      <c r="F267" t="s">
        <v>10</v>
      </c>
      <c r="G267" t="s">
        <v>796</v>
      </c>
      <c r="H267" t="s">
        <v>798</v>
      </c>
      <c r="I267" t="s">
        <v>24</v>
      </c>
      <c r="J267">
        <v>1183980</v>
      </c>
      <c r="K267">
        <v>4973</v>
      </c>
      <c r="L267" s="2">
        <v>3.5000000000000001E-3</v>
      </c>
      <c r="M267">
        <v>2.5000000000000001E-2</v>
      </c>
      <c r="N267" s="2">
        <v>17.4055</v>
      </c>
      <c r="O267" s="2">
        <v>124.325</v>
      </c>
    </row>
    <row r="268" spans="2:15">
      <c r="B268" t="s">
        <v>663</v>
      </c>
      <c r="C268" t="s">
        <v>765</v>
      </c>
      <c r="D268" t="s">
        <v>799</v>
      </c>
      <c r="E268" t="s">
        <v>800</v>
      </c>
      <c r="F268" t="s">
        <v>10</v>
      </c>
      <c r="G268" t="s">
        <v>799</v>
      </c>
      <c r="H268" t="s">
        <v>801</v>
      </c>
      <c r="I268" t="s">
        <v>24</v>
      </c>
      <c r="J268">
        <v>779567</v>
      </c>
      <c r="K268">
        <v>3273</v>
      </c>
      <c r="L268" s="2">
        <v>3.5000000000000001E-3</v>
      </c>
      <c r="M268">
        <v>2.5000000000000001E-2</v>
      </c>
      <c r="N268" s="2">
        <v>11.455500000000001</v>
      </c>
      <c r="O268" s="2">
        <v>81.825000000000003</v>
      </c>
    </row>
    <row r="269" spans="2:15">
      <c r="B269" t="s">
        <v>663</v>
      </c>
      <c r="C269" t="s">
        <v>58</v>
      </c>
      <c r="D269" t="s">
        <v>802</v>
      </c>
      <c r="E269" t="s">
        <v>803</v>
      </c>
      <c r="F269" t="s">
        <v>10</v>
      </c>
      <c r="G269" t="s">
        <v>802</v>
      </c>
      <c r="H269" t="s">
        <v>804</v>
      </c>
      <c r="I269" t="s">
        <v>24</v>
      </c>
      <c r="J269">
        <v>138</v>
      </c>
      <c r="K269">
        <v>1</v>
      </c>
      <c r="L269" s="2">
        <v>3.5000000000000001E-3</v>
      </c>
      <c r="M269">
        <v>2.5000000000000001E-2</v>
      </c>
      <c r="N269" s="2">
        <v>3.5000000000000001E-3</v>
      </c>
      <c r="O269" s="2">
        <v>2.5000000000000001E-2</v>
      </c>
    </row>
    <row r="270" spans="2:15">
      <c r="B270" t="s">
        <v>663</v>
      </c>
      <c r="C270" t="s">
        <v>58</v>
      </c>
      <c r="D270" t="s">
        <v>805</v>
      </c>
      <c r="E270" t="s">
        <v>806</v>
      </c>
      <c r="F270" t="s">
        <v>10</v>
      </c>
      <c r="G270" t="s">
        <v>805</v>
      </c>
      <c r="H270" t="s">
        <v>807</v>
      </c>
      <c r="I270" t="s">
        <v>24</v>
      </c>
      <c r="J270">
        <v>201</v>
      </c>
      <c r="K270">
        <v>3</v>
      </c>
      <c r="L270" s="2">
        <v>3.5000000000000001E-3</v>
      </c>
      <c r="M270">
        <v>2.5000000000000001E-2</v>
      </c>
      <c r="N270" s="2">
        <v>1.0500000000000001E-2</v>
      </c>
      <c r="O270" s="2">
        <v>7.5000000000000011E-2</v>
      </c>
    </row>
    <row r="271" spans="2:15">
      <c r="B271" t="s">
        <v>663</v>
      </c>
      <c r="C271" t="s">
        <v>58</v>
      </c>
      <c r="D271" t="s">
        <v>808</v>
      </c>
      <c r="E271" t="s">
        <v>809</v>
      </c>
      <c r="F271" t="s">
        <v>10</v>
      </c>
      <c r="G271" t="s">
        <v>808</v>
      </c>
      <c r="H271" t="s">
        <v>810</v>
      </c>
      <c r="I271" t="s">
        <v>24</v>
      </c>
      <c r="J271">
        <v>37</v>
      </c>
      <c r="K271">
        <v>1</v>
      </c>
      <c r="L271" s="2">
        <v>3.5000000000000001E-3</v>
      </c>
      <c r="M271">
        <v>2.5000000000000001E-2</v>
      </c>
      <c r="N271" s="2">
        <v>3.5000000000000001E-3</v>
      </c>
      <c r="O271" s="2">
        <v>2.5000000000000001E-2</v>
      </c>
    </row>
    <row r="272" spans="2:15">
      <c r="B272" t="s">
        <v>663</v>
      </c>
      <c r="C272" t="s">
        <v>58</v>
      </c>
      <c r="D272" t="s">
        <v>811</v>
      </c>
      <c r="E272" t="s">
        <v>812</v>
      </c>
      <c r="F272" t="s">
        <v>10</v>
      </c>
      <c r="G272" t="s">
        <v>811</v>
      </c>
      <c r="H272" t="s">
        <v>813</v>
      </c>
      <c r="I272" t="s">
        <v>24</v>
      </c>
      <c r="J272">
        <v>208</v>
      </c>
      <c r="K272">
        <v>1</v>
      </c>
      <c r="L272" s="2">
        <v>3.5000000000000001E-3</v>
      </c>
      <c r="M272">
        <v>2.5000000000000001E-2</v>
      </c>
      <c r="N272" s="2">
        <v>3.5000000000000001E-3</v>
      </c>
      <c r="O272" s="2">
        <v>2.5000000000000001E-2</v>
      </c>
    </row>
    <row r="273" spans="2:15">
      <c r="B273" t="s">
        <v>663</v>
      </c>
      <c r="C273" t="s">
        <v>58</v>
      </c>
      <c r="D273" t="s">
        <v>814</v>
      </c>
      <c r="E273" t="s">
        <v>815</v>
      </c>
      <c r="F273" t="s">
        <v>10</v>
      </c>
      <c r="G273" t="s">
        <v>814</v>
      </c>
      <c r="H273" t="s">
        <v>816</v>
      </c>
      <c r="I273" t="s">
        <v>24</v>
      </c>
      <c r="J273">
        <v>153011</v>
      </c>
      <c r="K273">
        <v>40</v>
      </c>
      <c r="L273" s="2">
        <v>3.5000000000000001E-3</v>
      </c>
      <c r="M273">
        <v>2.5000000000000001E-2</v>
      </c>
      <c r="N273" s="2">
        <v>0.14000000000000001</v>
      </c>
      <c r="O273" s="2">
        <v>1</v>
      </c>
    </row>
    <row r="274" spans="2:15">
      <c r="B274" t="s">
        <v>663</v>
      </c>
      <c r="C274" t="s">
        <v>58</v>
      </c>
      <c r="D274" t="s">
        <v>817</v>
      </c>
      <c r="E274" t="s">
        <v>818</v>
      </c>
      <c r="F274" t="s">
        <v>10</v>
      </c>
      <c r="G274" t="s">
        <v>817</v>
      </c>
      <c r="H274" t="s">
        <v>819</v>
      </c>
      <c r="I274" t="s">
        <v>24</v>
      </c>
      <c r="J274">
        <v>203471</v>
      </c>
      <c r="K274">
        <v>83</v>
      </c>
      <c r="L274" s="2">
        <v>3.5000000000000001E-3</v>
      </c>
      <c r="M274">
        <v>2.5000000000000001E-2</v>
      </c>
      <c r="N274" s="2">
        <v>0.29049999999999998</v>
      </c>
      <c r="O274" s="2">
        <v>2.0750000000000002</v>
      </c>
    </row>
    <row r="275" spans="2:15">
      <c r="B275" t="s">
        <v>663</v>
      </c>
      <c r="C275" t="s">
        <v>58</v>
      </c>
      <c r="D275" t="s">
        <v>820</v>
      </c>
      <c r="E275" t="s">
        <v>821</v>
      </c>
      <c r="F275" t="s">
        <v>10</v>
      </c>
      <c r="G275" t="s">
        <v>820</v>
      </c>
      <c r="H275" t="s">
        <v>822</v>
      </c>
      <c r="I275" t="s">
        <v>24</v>
      </c>
      <c r="J275">
        <v>119083</v>
      </c>
      <c r="K275">
        <v>53</v>
      </c>
      <c r="L275" s="2">
        <v>3.5000000000000001E-3</v>
      </c>
      <c r="M275">
        <v>2.5000000000000001E-2</v>
      </c>
      <c r="N275" s="2">
        <v>0.1855</v>
      </c>
      <c r="O275" s="2">
        <v>1.3250000000000002</v>
      </c>
    </row>
    <row r="276" spans="2:15">
      <c r="B276" t="s">
        <v>663</v>
      </c>
      <c r="C276" t="s">
        <v>58</v>
      </c>
      <c r="D276" t="s">
        <v>823</v>
      </c>
      <c r="E276" t="s">
        <v>824</v>
      </c>
      <c r="F276" t="s">
        <v>10</v>
      </c>
      <c r="G276" t="s">
        <v>823</v>
      </c>
      <c r="H276" t="s">
        <v>825</v>
      </c>
      <c r="I276" t="s">
        <v>24</v>
      </c>
      <c r="J276">
        <v>149994</v>
      </c>
      <c r="K276">
        <v>79</v>
      </c>
      <c r="L276" s="2">
        <v>3.5000000000000001E-3</v>
      </c>
      <c r="M276">
        <v>2.5000000000000001E-2</v>
      </c>
      <c r="N276" s="2">
        <v>0.27650000000000002</v>
      </c>
      <c r="O276" s="2">
        <v>1.9750000000000001</v>
      </c>
    </row>
    <row r="277" spans="2:15">
      <c r="B277" t="s">
        <v>663</v>
      </c>
      <c r="C277" t="s">
        <v>58</v>
      </c>
      <c r="D277" t="s">
        <v>826</v>
      </c>
      <c r="E277" t="s">
        <v>827</v>
      </c>
      <c r="F277" t="s">
        <v>10</v>
      </c>
      <c r="G277" t="s">
        <v>826</v>
      </c>
      <c r="H277" t="s">
        <v>828</v>
      </c>
      <c r="I277" t="s">
        <v>24</v>
      </c>
      <c r="J277">
        <v>399037</v>
      </c>
      <c r="K277">
        <v>17200</v>
      </c>
      <c r="L277" s="2">
        <v>3.5000000000000001E-3</v>
      </c>
      <c r="M277">
        <v>2.5000000000000001E-2</v>
      </c>
      <c r="N277" s="2">
        <v>60.2</v>
      </c>
      <c r="O277" s="2">
        <v>430</v>
      </c>
    </row>
    <row r="278" spans="2:15">
      <c r="B278" t="s">
        <v>663</v>
      </c>
      <c r="C278" t="s">
        <v>58</v>
      </c>
      <c r="D278" t="s">
        <v>829</v>
      </c>
      <c r="E278" t="s">
        <v>830</v>
      </c>
      <c r="F278" t="s">
        <v>10</v>
      </c>
      <c r="G278" t="s">
        <v>829</v>
      </c>
      <c r="H278" t="s">
        <v>831</v>
      </c>
      <c r="I278" t="s">
        <v>24</v>
      </c>
      <c r="J278">
        <v>904177</v>
      </c>
      <c r="K278">
        <v>883</v>
      </c>
      <c r="L278" s="2">
        <v>3.5000000000000001E-3</v>
      </c>
      <c r="M278">
        <v>2.5000000000000001E-2</v>
      </c>
      <c r="N278" s="2">
        <v>3.0905</v>
      </c>
      <c r="O278" s="2">
        <v>22.075000000000003</v>
      </c>
    </row>
    <row r="279" spans="2:15">
      <c r="B279" t="s">
        <v>663</v>
      </c>
      <c r="C279" t="s">
        <v>58</v>
      </c>
      <c r="D279" t="s">
        <v>832</v>
      </c>
      <c r="E279" t="s">
        <v>833</v>
      </c>
      <c r="F279" t="s">
        <v>10</v>
      </c>
      <c r="G279" t="s">
        <v>832</v>
      </c>
      <c r="H279" t="s">
        <v>834</v>
      </c>
      <c r="I279" t="s">
        <v>24</v>
      </c>
      <c r="J279">
        <v>546625</v>
      </c>
      <c r="K279">
        <v>465</v>
      </c>
      <c r="L279" s="2">
        <v>3.5000000000000001E-3</v>
      </c>
      <c r="M279">
        <v>2.5000000000000001E-2</v>
      </c>
      <c r="N279" s="2">
        <v>1.6274999999999999</v>
      </c>
      <c r="O279" s="2">
        <v>11.625</v>
      </c>
    </row>
    <row r="280" spans="2:15">
      <c r="B280" t="s">
        <v>663</v>
      </c>
      <c r="C280" t="s">
        <v>58</v>
      </c>
      <c r="D280" t="s">
        <v>835</v>
      </c>
      <c r="E280" t="s">
        <v>836</v>
      </c>
      <c r="F280" t="s">
        <v>10</v>
      </c>
      <c r="G280" t="s">
        <v>835</v>
      </c>
      <c r="H280" t="s">
        <v>837</v>
      </c>
      <c r="I280" t="s">
        <v>24</v>
      </c>
      <c r="J280">
        <v>775238</v>
      </c>
      <c r="K280">
        <v>797</v>
      </c>
      <c r="L280" s="2">
        <v>3.5000000000000001E-3</v>
      </c>
      <c r="M280">
        <v>2.5000000000000001E-2</v>
      </c>
      <c r="N280" s="2">
        <v>2.7894999999999999</v>
      </c>
      <c r="O280" s="2">
        <v>19.925000000000001</v>
      </c>
    </row>
    <row r="281" spans="2:15">
      <c r="B281" t="s">
        <v>663</v>
      </c>
      <c r="C281" t="s">
        <v>58</v>
      </c>
      <c r="D281" t="s">
        <v>838</v>
      </c>
      <c r="E281" t="s">
        <v>839</v>
      </c>
      <c r="F281" t="s">
        <v>10</v>
      </c>
      <c r="G281" t="s">
        <v>838</v>
      </c>
      <c r="H281" t="s">
        <v>840</v>
      </c>
      <c r="I281" t="s">
        <v>24</v>
      </c>
      <c r="J281">
        <v>663795</v>
      </c>
      <c r="K281">
        <v>284</v>
      </c>
      <c r="L281" s="2">
        <v>3.5000000000000001E-3</v>
      </c>
      <c r="M281">
        <v>2.5000000000000001E-2</v>
      </c>
      <c r="N281" s="2">
        <v>0.99399999999999999</v>
      </c>
      <c r="O281" s="2">
        <v>7.1000000000000005</v>
      </c>
    </row>
    <row r="282" spans="2:15">
      <c r="B282" t="s">
        <v>663</v>
      </c>
      <c r="C282" t="s">
        <v>58</v>
      </c>
      <c r="D282" t="s">
        <v>841</v>
      </c>
      <c r="E282" t="s">
        <v>842</v>
      </c>
      <c r="F282" t="s">
        <v>10</v>
      </c>
      <c r="G282" t="s">
        <v>841</v>
      </c>
      <c r="H282" t="s">
        <v>843</v>
      </c>
      <c r="I282" t="s">
        <v>24</v>
      </c>
      <c r="J282">
        <v>1431412</v>
      </c>
      <c r="K282">
        <v>549</v>
      </c>
      <c r="L282" s="2">
        <v>3.5000000000000001E-3</v>
      </c>
      <c r="M282">
        <v>2.5000000000000001E-2</v>
      </c>
      <c r="N282" s="2">
        <v>1.9215</v>
      </c>
      <c r="O282" s="2">
        <v>13.725000000000001</v>
      </c>
    </row>
    <row r="283" spans="2:15">
      <c r="B283" t="s">
        <v>663</v>
      </c>
      <c r="C283" t="s">
        <v>58</v>
      </c>
      <c r="D283" t="s">
        <v>844</v>
      </c>
      <c r="E283" t="s">
        <v>845</v>
      </c>
      <c r="F283" t="s">
        <v>10</v>
      </c>
      <c r="G283" t="s">
        <v>844</v>
      </c>
      <c r="H283" t="s">
        <v>846</v>
      </c>
      <c r="I283" t="s">
        <v>24</v>
      </c>
      <c r="J283">
        <v>4247499</v>
      </c>
      <c r="K283">
        <v>1120</v>
      </c>
      <c r="L283" s="2">
        <v>3.5000000000000001E-3</v>
      </c>
      <c r="M283">
        <v>2.5000000000000001E-2</v>
      </c>
      <c r="N283" s="2">
        <v>3.92</v>
      </c>
      <c r="O283" s="2">
        <v>28</v>
      </c>
    </row>
    <row r="284" spans="2:15">
      <c r="B284" t="s">
        <v>663</v>
      </c>
      <c r="C284" t="s">
        <v>58</v>
      </c>
      <c r="D284" t="s">
        <v>847</v>
      </c>
      <c r="E284" t="s">
        <v>848</v>
      </c>
      <c r="F284" t="s">
        <v>10</v>
      </c>
      <c r="G284" t="s">
        <v>847</v>
      </c>
      <c r="H284" t="s">
        <v>849</v>
      </c>
      <c r="I284" t="s">
        <v>24</v>
      </c>
      <c r="J284">
        <v>2366525</v>
      </c>
      <c r="K284">
        <v>623</v>
      </c>
      <c r="L284" s="2">
        <v>3.5000000000000001E-3</v>
      </c>
      <c r="M284">
        <v>2.5000000000000001E-2</v>
      </c>
      <c r="N284" s="2">
        <v>2.1804999999999999</v>
      </c>
      <c r="O284" s="2">
        <v>15.575000000000001</v>
      </c>
    </row>
    <row r="285" spans="2:15">
      <c r="B285" t="s">
        <v>663</v>
      </c>
      <c r="C285" t="s">
        <v>58</v>
      </c>
      <c r="D285" t="s">
        <v>850</v>
      </c>
      <c r="E285" t="s">
        <v>851</v>
      </c>
      <c r="F285" t="s">
        <v>10</v>
      </c>
      <c r="G285" t="s">
        <v>850</v>
      </c>
      <c r="H285" t="s">
        <v>852</v>
      </c>
      <c r="I285" t="s">
        <v>24</v>
      </c>
      <c r="J285">
        <v>994</v>
      </c>
      <c r="K285">
        <v>1</v>
      </c>
      <c r="L285" s="2">
        <v>3.5000000000000001E-3</v>
      </c>
      <c r="M285">
        <v>2.5000000000000001E-2</v>
      </c>
      <c r="N285" s="2">
        <v>3.5000000000000001E-3</v>
      </c>
      <c r="O285" s="2">
        <v>2.5000000000000001E-2</v>
      </c>
    </row>
    <row r="286" spans="2:15">
      <c r="B286" t="s">
        <v>663</v>
      </c>
      <c r="C286" t="s">
        <v>58</v>
      </c>
      <c r="D286" t="s">
        <v>853</v>
      </c>
      <c r="E286" t="s">
        <v>854</v>
      </c>
      <c r="F286" t="s">
        <v>10</v>
      </c>
      <c r="G286" t="s">
        <v>853</v>
      </c>
      <c r="H286" t="s">
        <v>855</v>
      </c>
      <c r="I286" t="s">
        <v>24</v>
      </c>
      <c r="J286">
        <v>41</v>
      </c>
      <c r="K286">
        <v>2</v>
      </c>
      <c r="L286" s="2">
        <v>3.5000000000000001E-3</v>
      </c>
      <c r="M286">
        <v>2.5000000000000001E-2</v>
      </c>
      <c r="N286" s="2">
        <v>7.0000000000000001E-3</v>
      </c>
      <c r="O286" s="2">
        <v>0.05</v>
      </c>
    </row>
    <row r="287" spans="2:15">
      <c r="B287" t="s">
        <v>663</v>
      </c>
      <c r="C287" t="s">
        <v>58</v>
      </c>
      <c r="D287" t="s">
        <v>856</v>
      </c>
      <c r="E287" t="s">
        <v>857</v>
      </c>
      <c r="F287" t="s">
        <v>10</v>
      </c>
      <c r="G287" t="s">
        <v>856</v>
      </c>
      <c r="H287" t="s">
        <v>858</v>
      </c>
      <c r="I287" t="s">
        <v>24</v>
      </c>
      <c r="J287">
        <v>244</v>
      </c>
      <c r="K287">
        <v>2</v>
      </c>
      <c r="L287" s="2">
        <v>3.5000000000000001E-3</v>
      </c>
      <c r="M287">
        <v>2.5000000000000001E-2</v>
      </c>
      <c r="N287" s="2">
        <v>7.0000000000000001E-3</v>
      </c>
      <c r="O287" s="2">
        <v>0.05</v>
      </c>
    </row>
    <row r="288" spans="2:15">
      <c r="B288" t="s">
        <v>663</v>
      </c>
      <c r="C288" t="s">
        <v>58</v>
      </c>
      <c r="D288" t="s">
        <v>859</v>
      </c>
      <c r="E288" t="s">
        <v>860</v>
      </c>
      <c r="F288" t="s">
        <v>10</v>
      </c>
      <c r="G288" t="s">
        <v>859</v>
      </c>
      <c r="H288" t="s">
        <v>861</v>
      </c>
      <c r="I288" t="s">
        <v>24</v>
      </c>
      <c r="J288">
        <v>90</v>
      </c>
      <c r="K288">
        <v>2</v>
      </c>
      <c r="L288" s="2">
        <v>3.5000000000000001E-3</v>
      </c>
      <c r="M288">
        <v>2.5000000000000001E-2</v>
      </c>
      <c r="N288" s="2">
        <v>7.0000000000000001E-3</v>
      </c>
      <c r="O288" s="2">
        <v>0.05</v>
      </c>
    </row>
    <row r="289" spans="2:15">
      <c r="B289" t="s">
        <v>663</v>
      </c>
      <c r="C289" t="s">
        <v>58</v>
      </c>
      <c r="D289" t="s">
        <v>862</v>
      </c>
      <c r="E289" t="s">
        <v>863</v>
      </c>
      <c r="F289" t="s">
        <v>10</v>
      </c>
      <c r="G289" t="s">
        <v>862</v>
      </c>
      <c r="H289" t="s">
        <v>864</v>
      </c>
      <c r="I289" t="s">
        <v>24</v>
      </c>
      <c r="J289">
        <v>204485</v>
      </c>
      <c r="K289">
        <v>0</v>
      </c>
      <c r="L289" s="2">
        <v>3.5000000000000001E-3</v>
      </c>
      <c r="M289">
        <v>2.5000000000000001E-2</v>
      </c>
      <c r="N289" s="2">
        <v>0</v>
      </c>
      <c r="O289" s="2">
        <v>0</v>
      </c>
    </row>
    <row r="290" spans="2:15">
      <c r="B290" t="s">
        <v>663</v>
      </c>
      <c r="C290" t="s">
        <v>58</v>
      </c>
      <c r="D290" t="s">
        <v>865</v>
      </c>
      <c r="E290" t="s">
        <v>866</v>
      </c>
      <c r="F290" t="s">
        <v>10</v>
      </c>
      <c r="G290" t="s">
        <v>865</v>
      </c>
      <c r="H290" t="s">
        <v>867</v>
      </c>
      <c r="I290" t="s">
        <v>24</v>
      </c>
      <c r="J290">
        <v>176502</v>
      </c>
      <c r="K290">
        <v>0</v>
      </c>
      <c r="L290" s="2">
        <v>3.5000000000000001E-3</v>
      </c>
      <c r="M290">
        <v>2.5000000000000001E-2</v>
      </c>
      <c r="N290" s="2">
        <v>0</v>
      </c>
      <c r="O290" s="2">
        <v>0</v>
      </c>
    </row>
    <row r="291" spans="2:15">
      <c r="B291" t="s">
        <v>663</v>
      </c>
      <c r="C291" t="s">
        <v>58</v>
      </c>
      <c r="D291" t="s">
        <v>868</v>
      </c>
      <c r="E291" t="s">
        <v>869</v>
      </c>
      <c r="F291" t="s">
        <v>10</v>
      </c>
      <c r="G291" t="s">
        <v>868</v>
      </c>
      <c r="H291" t="s">
        <v>870</v>
      </c>
      <c r="I291" t="s">
        <v>24</v>
      </c>
      <c r="J291">
        <v>180569</v>
      </c>
      <c r="K291">
        <v>0</v>
      </c>
      <c r="L291" s="2">
        <v>3.5000000000000001E-3</v>
      </c>
      <c r="M291">
        <v>2.5000000000000001E-2</v>
      </c>
      <c r="N291" s="2">
        <v>0</v>
      </c>
      <c r="O291" s="2">
        <v>0</v>
      </c>
    </row>
    <row r="292" spans="2:15">
      <c r="B292" t="s">
        <v>663</v>
      </c>
      <c r="C292" t="s">
        <v>58</v>
      </c>
      <c r="D292" t="s">
        <v>871</v>
      </c>
      <c r="E292" t="s">
        <v>872</v>
      </c>
      <c r="F292" t="s">
        <v>10</v>
      </c>
      <c r="G292" t="s">
        <v>871</v>
      </c>
      <c r="H292" t="s">
        <v>873</v>
      </c>
      <c r="I292" t="s">
        <v>24</v>
      </c>
      <c r="J292">
        <v>195120</v>
      </c>
      <c r="K292">
        <v>0</v>
      </c>
      <c r="L292" s="2">
        <v>3.5000000000000001E-3</v>
      </c>
      <c r="M292">
        <v>2.5000000000000001E-2</v>
      </c>
      <c r="N292" s="2">
        <v>0</v>
      </c>
      <c r="O292" s="2">
        <v>0</v>
      </c>
    </row>
    <row r="293" spans="2:15">
      <c r="B293" t="s">
        <v>663</v>
      </c>
      <c r="C293" t="s">
        <v>58</v>
      </c>
      <c r="D293" t="s">
        <v>874</v>
      </c>
      <c r="E293" t="s">
        <v>875</v>
      </c>
      <c r="F293" t="s">
        <v>10</v>
      </c>
      <c r="G293" t="s">
        <v>874</v>
      </c>
      <c r="H293" t="s">
        <v>876</v>
      </c>
      <c r="I293" t="s">
        <v>24</v>
      </c>
      <c r="J293">
        <v>1662296</v>
      </c>
      <c r="K293">
        <v>2326</v>
      </c>
      <c r="L293" s="2">
        <v>3.5000000000000001E-3</v>
      </c>
      <c r="M293">
        <v>2.5000000000000001E-2</v>
      </c>
      <c r="N293" s="2">
        <v>8.141</v>
      </c>
      <c r="O293" s="2">
        <v>58.150000000000006</v>
      </c>
    </row>
    <row r="294" spans="2:15">
      <c r="B294" t="s">
        <v>663</v>
      </c>
      <c r="C294" t="s">
        <v>58</v>
      </c>
      <c r="D294" t="s">
        <v>877</v>
      </c>
      <c r="E294" t="s">
        <v>878</v>
      </c>
      <c r="F294" t="s">
        <v>10</v>
      </c>
      <c r="G294" t="s">
        <v>877</v>
      </c>
      <c r="H294" t="s">
        <v>879</v>
      </c>
      <c r="I294" t="s">
        <v>24</v>
      </c>
      <c r="J294">
        <v>971768</v>
      </c>
      <c r="K294">
        <v>975</v>
      </c>
      <c r="L294" s="2">
        <v>3.5000000000000001E-3</v>
      </c>
      <c r="M294">
        <v>2.5000000000000001E-2</v>
      </c>
      <c r="N294" s="2">
        <v>3.4125000000000001</v>
      </c>
      <c r="O294" s="2">
        <v>24.375</v>
      </c>
    </row>
    <row r="295" spans="2:15">
      <c r="B295" t="s">
        <v>663</v>
      </c>
      <c r="C295" t="s">
        <v>58</v>
      </c>
      <c r="D295" t="s">
        <v>880</v>
      </c>
      <c r="E295" t="s">
        <v>881</v>
      </c>
      <c r="F295" t="s">
        <v>10</v>
      </c>
      <c r="G295" t="s">
        <v>880</v>
      </c>
      <c r="H295" t="s">
        <v>882</v>
      </c>
      <c r="I295" t="s">
        <v>24</v>
      </c>
      <c r="J295">
        <v>1208346</v>
      </c>
      <c r="K295">
        <v>1912</v>
      </c>
      <c r="L295" s="2">
        <v>3.5000000000000001E-3</v>
      </c>
      <c r="M295">
        <v>2.5000000000000001E-2</v>
      </c>
      <c r="N295" s="2">
        <v>6.6920000000000002</v>
      </c>
      <c r="O295" s="2">
        <v>47.800000000000004</v>
      </c>
    </row>
    <row r="296" spans="2:15">
      <c r="B296" t="s">
        <v>663</v>
      </c>
      <c r="C296" t="s">
        <v>58</v>
      </c>
      <c r="D296" t="s">
        <v>883</v>
      </c>
      <c r="E296" t="s">
        <v>884</v>
      </c>
      <c r="F296" t="s">
        <v>10</v>
      </c>
      <c r="G296" t="s">
        <v>883</v>
      </c>
      <c r="H296" t="s">
        <v>885</v>
      </c>
      <c r="I296" t="s">
        <v>24</v>
      </c>
      <c r="J296">
        <v>994204</v>
      </c>
      <c r="K296">
        <v>1069</v>
      </c>
      <c r="L296" s="2">
        <v>3.5000000000000001E-3</v>
      </c>
      <c r="M296">
        <v>2.5000000000000001E-2</v>
      </c>
      <c r="N296" s="2">
        <v>3.7415000000000003</v>
      </c>
      <c r="O296" s="2">
        <v>26.725000000000001</v>
      </c>
    </row>
    <row r="297" spans="2:15">
      <c r="B297" t="s">
        <v>663</v>
      </c>
      <c r="C297" t="s">
        <v>58</v>
      </c>
      <c r="D297" t="s">
        <v>886</v>
      </c>
      <c r="E297" t="s">
        <v>887</v>
      </c>
      <c r="F297" t="s">
        <v>10</v>
      </c>
      <c r="G297" t="s">
        <v>886</v>
      </c>
      <c r="H297" t="s">
        <v>888</v>
      </c>
      <c r="I297" t="s">
        <v>24</v>
      </c>
      <c r="J297">
        <v>877097</v>
      </c>
      <c r="K297">
        <v>384</v>
      </c>
      <c r="L297" s="2">
        <v>3.5000000000000001E-3</v>
      </c>
      <c r="M297">
        <v>2.5000000000000001E-2</v>
      </c>
      <c r="N297" s="2">
        <v>1.3440000000000001</v>
      </c>
      <c r="O297" s="2">
        <v>9.6000000000000014</v>
      </c>
    </row>
    <row r="298" spans="2:15">
      <c r="B298" t="s">
        <v>663</v>
      </c>
      <c r="C298" t="s">
        <v>58</v>
      </c>
      <c r="D298" t="s">
        <v>889</v>
      </c>
      <c r="E298" t="s">
        <v>890</v>
      </c>
      <c r="F298" t="s">
        <v>10</v>
      </c>
      <c r="G298" t="s">
        <v>889</v>
      </c>
      <c r="H298" t="s">
        <v>891</v>
      </c>
      <c r="I298" t="s">
        <v>24</v>
      </c>
      <c r="J298">
        <v>2284547</v>
      </c>
      <c r="K298">
        <v>637</v>
      </c>
      <c r="L298" s="2">
        <v>3.5000000000000001E-3</v>
      </c>
      <c r="M298">
        <v>2.5000000000000001E-2</v>
      </c>
      <c r="N298" s="2">
        <v>2.2295000000000003</v>
      </c>
      <c r="O298" s="2">
        <v>15.925000000000001</v>
      </c>
    </row>
    <row r="299" spans="2:15">
      <c r="B299" t="s">
        <v>663</v>
      </c>
      <c r="C299" t="s">
        <v>58</v>
      </c>
      <c r="D299" t="s">
        <v>892</v>
      </c>
      <c r="E299" t="s">
        <v>893</v>
      </c>
      <c r="F299" t="s">
        <v>10</v>
      </c>
      <c r="G299" t="s">
        <v>892</v>
      </c>
      <c r="H299" t="s">
        <v>894</v>
      </c>
      <c r="I299" t="s">
        <v>24</v>
      </c>
      <c r="J299">
        <v>1044998</v>
      </c>
      <c r="K299">
        <v>453</v>
      </c>
      <c r="L299" s="2">
        <v>3.5000000000000001E-3</v>
      </c>
      <c r="M299">
        <v>2.5000000000000001E-2</v>
      </c>
      <c r="N299" s="2">
        <v>1.5855000000000001</v>
      </c>
      <c r="O299" s="2">
        <v>11.325000000000001</v>
      </c>
    </row>
    <row r="300" spans="2:15">
      <c r="B300" t="s">
        <v>663</v>
      </c>
      <c r="C300" t="s">
        <v>58</v>
      </c>
      <c r="D300" t="s">
        <v>895</v>
      </c>
      <c r="E300" t="s">
        <v>896</v>
      </c>
      <c r="F300" t="s">
        <v>10</v>
      </c>
      <c r="G300" t="s">
        <v>895</v>
      </c>
      <c r="H300" t="s">
        <v>897</v>
      </c>
      <c r="I300" t="s">
        <v>24</v>
      </c>
      <c r="J300">
        <v>3098206</v>
      </c>
      <c r="K300">
        <v>818</v>
      </c>
      <c r="L300" s="2">
        <v>3.5000000000000001E-3</v>
      </c>
      <c r="M300">
        <v>2.5000000000000001E-2</v>
      </c>
      <c r="N300" s="2">
        <v>2.863</v>
      </c>
      <c r="O300" s="2">
        <v>20.450000000000003</v>
      </c>
    </row>
    <row r="301" spans="2:15">
      <c r="B301" t="s">
        <v>663</v>
      </c>
      <c r="C301" t="s">
        <v>58</v>
      </c>
      <c r="D301" t="s">
        <v>898</v>
      </c>
      <c r="E301" t="s">
        <v>899</v>
      </c>
      <c r="F301" t="s">
        <v>10</v>
      </c>
      <c r="G301" t="s">
        <v>898</v>
      </c>
      <c r="H301" t="s">
        <v>900</v>
      </c>
      <c r="I301" t="s">
        <v>24</v>
      </c>
      <c r="J301">
        <v>288</v>
      </c>
      <c r="K301">
        <v>1</v>
      </c>
      <c r="L301" s="2">
        <v>3.5000000000000001E-3</v>
      </c>
      <c r="M301">
        <v>2.5000000000000001E-2</v>
      </c>
      <c r="N301" s="2">
        <v>3.5000000000000001E-3</v>
      </c>
      <c r="O301" s="2">
        <v>2.5000000000000001E-2</v>
      </c>
    </row>
    <row r="302" spans="2:15">
      <c r="B302" t="s">
        <v>663</v>
      </c>
      <c r="C302" t="s">
        <v>58</v>
      </c>
      <c r="D302" t="s">
        <v>901</v>
      </c>
      <c r="E302" t="s">
        <v>902</v>
      </c>
      <c r="F302" t="s">
        <v>10</v>
      </c>
      <c r="G302" t="s">
        <v>901</v>
      </c>
      <c r="H302" t="s">
        <v>903</v>
      </c>
      <c r="I302" t="s">
        <v>24</v>
      </c>
      <c r="J302">
        <v>105</v>
      </c>
      <c r="K302">
        <v>2</v>
      </c>
      <c r="L302" s="2">
        <v>3.5000000000000001E-3</v>
      </c>
      <c r="M302">
        <v>2.5000000000000001E-2</v>
      </c>
      <c r="N302" s="2">
        <v>7.0000000000000001E-3</v>
      </c>
      <c r="O302" s="2">
        <v>0.05</v>
      </c>
    </row>
    <row r="303" spans="2:15">
      <c r="B303" t="s">
        <v>663</v>
      </c>
      <c r="C303" t="s">
        <v>58</v>
      </c>
      <c r="D303" t="s">
        <v>904</v>
      </c>
      <c r="E303" t="s">
        <v>905</v>
      </c>
      <c r="F303" t="s">
        <v>10</v>
      </c>
      <c r="G303" t="s">
        <v>904</v>
      </c>
      <c r="H303" t="s">
        <v>906</v>
      </c>
      <c r="I303" t="s">
        <v>24</v>
      </c>
      <c r="J303">
        <v>2748</v>
      </c>
      <c r="K303">
        <v>2</v>
      </c>
      <c r="L303" s="2">
        <v>3.5000000000000001E-3</v>
      </c>
      <c r="M303">
        <v>2.5000000000000001E-2</v>
      </c>
      <c r="N303" s="2">
        <v>7.0000000000000001E-3</v>
      </c>
      <c r="O303" s="2">
        <v>0.05</v>
      </c>
    </row>
    <row r="304" spans="2:15">
      <c r="B304" t="s">
        <v>663</v>
      </c>
      <c r="C304" t="s">
        <v>58</v>
      </c>
      <c r="D304" t="s">
        <v>907</v>
      </c>
      <c r="E304" t="s">
        <v>908</v>
      </c>
      <c r="F304" t="s">
        <v>10</v>
      </c>
      <c r="G304" t="s">
        <v>907</v>
      </c>
      <c r="H304" t="s">
        <v>909</v>
      </c>
      <c r="I304" t="s">
        <v>24</v>
      </c>
      <c r="J304">
        <v>824</v>
      </c>
      <c r="K304">
        <v>1</v>
      </c>
      <c r="L304" s="2">
        <v>3.5000000000000001E-3</v>
      </c>
      <c r="M304">
        <v>2.5000000000000001E-2</v>
      </c>
      <c r="N304" s="2">
        <v>3.5000000000000001E-3</v>
      </c>
      <c r="O304" s="2">
        <v>2.5000000000000001E-2</v>
      </c>
    </row>
    <row r="305" spans="2:15">
      <c r="B305" t="s">
        <v>663</v>
      </c>
      <c r="C305" t="s">
        <v>58</v>
      </c>
      <c r="D305" t="s">
        <v>910</v>
      </c>
      <c r="E305" t="s">
        <v>911</v>
      </c>
      <c r="F305" t="s">
        <v>10</v>
      </c>
      <c r="G305" t="s">
        <v>910</v>
      </c>
      <c r="H305" t="s">
        <v>912</v>
      </c>
      <c r="I305" t="s">
        <v>24</v>
      </c>
      <c r="J305">
        <v>295004</v>
      </c>
      <c r="K305">
        <v>126</v>
      </c>
      <c r="L305" s="2">
        <v>3.5000000000000001E-3</v>
      </c>
      <c r="M305">
        <v>2.5000000000000001E-2</v>
      </c>
      <c r="N305" s="2">
        <v>0.441</v>
      </c>
      <c r="O305" s="2">
        <v>3.1500000000000004</v>
      </c>
    </row>
    <row r="306" spans="2:15">
      <c r="B306" t="s">
        <v>663</v>
      </c>
      <c r="C306" t="s">
        <v>58</v>
      </c>
      <c r="D306" t="s">
        <v>913</v>
      </c>
      <c r="E306" t="s">
        <v>914</v>
      </c>
      <c r="F306" t="s">
        <v>10</v>
      </c>
      <c r="G306" t="s">
        <v>913</v>
      </c>
      <c r="H306" t="s">
        <v>915</v>
      </c>
      <c r="I306" t="s">
        <v>24</v>
      </c>
      <c r="J306">
        <v>186104</v>
      </c>
      <c r="K306">
        <v>100</v>
      </c>
      <c r="L306" s="2">
        <v>3.5000000000000001E-3</v>
      </c>
      <c r="M306">
        <v>2.5000000000000001E-2</v>
      </c>
      <c r="N306" s="2">
        <v>0.35000000000000003</v>
      </c>
      <c r="O306" s="2">
        <v>2.5</v>
      </c>
    </row>
    <row r="307" spans="2:15">
      <c r="B307" t="s">
        <v>663</v>
      </c>
      <c r="C307" t="s">
        <v>58</v>
      </c>
      <c r="D307" t="s">
        <v>916</v>
      </c>
      <c r="E307" t="s">
        <v>917</v>
      </c>
      <c r="F307" t="s">
        <v>10</v>
      </c>
      <c r="G307" t="s">
        <v>916</v>
      </c>
      <c r="H307" t="s">
        <v>918</v>
      </c>
      <c r="I307" t="s">
        <v>24</v>
      </c>
      <c r="J307">
        <v>276418</v>
      </c>
      <c r="K307">
        <v>120</v>
      </c>
      <c r="L307" s="2">
        <v>3.5000000000000001E-3</v>
      </c>
      <c r="M307">
        <v>2.5000000000000001E-2</v>
      </c>
      <c r="N307" s="2">
        <v>0.42</v>
      </c>
      <c r="O307" s="2">
        <v>3</v>
      </c>
    </row>
    <row r="308" spans="2:15">
      <c r="B308" t="s">
        <v>663</v>
      </c>
      <c r="C308" t="s">
        <v>58</v>
      </c>
      <c r="D308" t="s">
        <v>919</v>
      </c>
      <c r="E308" t="s">
        <v>920</v>
      </c>
      <c r="F308" t="s">
        <v>10</v>
      </c>
      <c r="G308" t="s">
        <v>919</v>
      </c>
      <c r="H308" t="s">
        <v>921</v>
      </c>
      <c r="I308" t="s">
        <v>24</v>
      </c>
      <c r="J308">
        <v>219283</v>
      </c>
      <c r="K308">
        <v>91</v>
      </c>
      <c r="L308" s="2">
        <v>3.5000000000000001E-3</v>
      </c>
      <c r="M308">
        <v>2.5000000000000001E-2</v>
      </c>
      <c r="N308" s="2">
        <v>0.31850000000000001</v>
      </c>
      <c r="O308" s="2">
        <v>2.2749999999999999</v>
      </c>
    </row>
    <row r="309" spans="2:15">
      <c r="B309" t="s">
        <v>663</v>
      </c>
      <c r="C309" t="s">
        <v>58</v>
      </c>
      <c r="D309" t="s">
        <v>922</v>
      </c>
      <c r="E309" t="s">
        <v>923</v>
      </c>
      <c r="F309" t="s">
        <v>10</v>
      </c>
      <c r="G309" t="s">
        <v>922</v>
      </c>
      <c r="H309" t="s">
        <v>924</v>
      </c>
      <c r="I309" t="s">
        <v>24</v>
      </c>
      <c r="J309">
        <v>1498581</v>
      </c>
      <c r="K309">
        <v>1899</v>
      </c>
      <c r="L309" s="2">
        <v>3.5000000000000001E-3</v>
      </c>
      <c r="M309">
        <v>2.5000000000000001E-2</v>
      </c>
      <c r="N309" s="2">
        <v>6.6465000000000005</v>
      </c>
      <c r="O309" s="2">
        <v>47.475000000000001</v>
      </c>
    </row>
    <row r="310" spans="2:15">
      <c r="B310" t="s">
        <v>663</v>
      </c>
      <c r="C310" t="s">
        <v>58</v>
      </c>
      <c r="D310" t="s">
        <v>925</v>
      </c>
      <c r="E310" t="s">
        <v>926</v>
      </c>
      <c r="F310" t="s">
        <v>10</v>
      </c>
      <c r="G310" t="s">
        <v>925</v>
      </c>
      <c r="H310" t="s">
        <v>927</v>
      </c>
      <c r="I310" t="s">
        <v>24</v>
      </c>
      <c r="J310">
        <v>1023884</v>
      </c>
      <c r="K310">
        <v>955</v>
      </c>
      <c r="L310" s="2">
        <v>3.5000000000000001E-3</v>
      </c>
      <c r="M310">
        <v>2.5000000000000001E-2</v>
      </c>
      <c r="N310" s="2">
        <v>3.3425000000000002</v>
      </c>
      <c r="O310" s="2">
        <v>23.875</v>
      </c>
    </row>
    <row r="311" spans="2:15">
      <c r="B311" t="s">
        <v>663</v>
      </c>
      <c r="C311" t="s">
        <v>58</v>
      </c>
      <c r="D311" t="s">
        <v>928</v>
      </c>
      <c r="E311" t="s">
        <v>929</v>
      </c>
      <c r="F311" t="s">
        <v>10</v>
      </c>
      <c r="G311" t="s">
        <v>928</v>
      </c>
      <c r="H311" t="s">
        <v>930</v>
      </c>
      <c r="I311" t="s">
        <v>24</v>
      </c>
      <c r="J311">
        <v>1118126</v>
      </c>
      <c r="K311">
        <v>1377</v>
      </c>
      <c r="L311" s="2">
        <v>3.5000000000000001E-3</v>
      </c>
      <c r="M311">
        <v>2.5000000000000001E-2</v>
      </c>
      <c r="N311" s="2">
        <v>4.8194999999999997</v>
      </c>
      <c r="O311" s="2">
        <v>34.425000000000004</v>
      </c>
    </row>
    <row r="312" spans="2:15">
      <c r="B312" t="s">
        <v>663</v>
      </c>
      <c r="C312" t="s">
        <v>58</v>
      </c>
      <c r="D312" t="s">
        <v>931</v>
      </c>
      <c r="E312" t="s">
        <v>932</v>
      </c>
      <c r="F312" t="s">
        <v>10</v>
      </c>
      <c r="G312" t="s">
        <v>931</v>
      </c>
      <c r="H312" t="s">
        <v>933</v>
      </c>
      <c r="I312" t="s">
        <v>24</v>
      </c>
      <c r="J312">
        <v>1064941</v>
      </c>
      <c r="K312">
        <v>6620</v>
      </c>
      <c r="L312" s="2">
        <v>3.5000000000000001E-3</v>
      </c>
      <c r="M312">
        <v>2.5000000000000001E-2</v>
      </c>
      <c r="N312" s="2">
        <v>23.17</v>
      </c>
      <c r="O312" s="2">
        <v>165.5</v>
      </c>
    </row>
    <row r="313" spans="2:15">
      <c r="B313" t="s">
        <v>663</v>
      </c>
      <c r="C313" t="s">
        <v>58</v>
      </c>
      <c r="D313" t="s">
        <v>934</v>
      </c>
      <c r="E313" t="s">
        <v>935</v>
      </c>
      <c r="F313" t="s">
        <v>10</v>
      </c>
      <c r="G313" t="s">
        <v>934</v>
      </c>
      <c r="H313" t="s">
        <v>936</v>
      </c>
      <c r="I313" t="s">
        <v>24</v>
      </c>
      <c r="J313">
        <v>782909</v>
      </c>
      <c r="K313">
        <v>345</v>
      </c>
      <c r="L313" s="2">
        <v>3.5000000000000001E-3</v>
      </c>
      <c r="M313">
        <v>2.5000000000000001E-2</v>
      </c>
      <c r="N313" s="2">
        <v>1.2075</v>
      </c>
      <c r="O313" s="2">
        <v>8.625</v>
      </c>
    </row>
    <row r="314" spans="2:15">
      <c r="B314" t="s">
        <v>663</v>
      </c>
      <c r="C314" t="s">
        <v>58</v>
      </c>
      <c r="D314" t="s">
        <v>937</v>
      </c>
      <c r="E314" t="s">
        <v>938</v>
      </c>
      <c r="F314" t="s">
        <v>10</v>
      </c>
      <c r="G314" t="s">
        <v>937</v>
      </c>
      <c r="H314" t="s">
        <v>939</v>
      </c>
      <c r="I314" t="s">
        <v>24</v>
      </c>
      <c r="J314">
        <v>2031368</v>
      </c>
      <c r="K314">
        <v>596</v>
      </c>
      <c r="L314" s="2">
        <v>3.5000000000000001E-3</v>
      </c>
      <c r="M314">
        <v>2.5000000000000001E-2</v>
      </c>
      <c r="N314" s="2">
        <v>2.0859999999999999</v>
      </c>
      <c r="O314" s="2">
        <v>14.9</v>
      </c>
    </row>
    <row r="315" spans="2:15">
      <c r="B315" t="s">
        <v>663</v>
      </c>
      <c r="C315" t="s">
        <v>58</v>
      </c>
      <c r="D315" t="s">
        <v>940</v>
      </c>
      <c r="E315" t="s">
        <v>941</v>
      </c>
      <c r="F315" t="s">
        <v>10</v>
      </c>
      <c r="G315" t="s">
        <v>940</v>
      </c>
      <c r="H315" t="s">
        <v>942</v>
      </c>
      <c r="I315" t="s">
        <v>24</v>
      </c>
      <c r="J315">
        <v>1505203</v>
      </c>
      <c r="K315">
        <v>555</v>
      </c>
      <c r="L315" s="2">
        <v>3.5000000000000001E-3</v>
      </c>
      <c r="M315">
        <v>2.5000000000000001E-2</v>
      </c>
      <c r="N315" s="2">
        <v>1.9425000000000001</v>
      </c>
      <c r="O315" s="2">
        <v>13.875</v>
      </c>
    </row>
    <row r="316" spans="2:15">
      <c r="B316" t="s">
        <v>663</v>
      </c>
      <c r="C316" t="s">
        <v>58</v>
      </c>
      <c r="D316" t="s">
        <v>943</v>
      </c>
      <c r="E316" t="s">
        <v>944</v>
      </c>
      <c r="F316" t="s">
        <v>10</v>
      </c>
      <c r="G316" t="s">
        <v>943</v>
      </c>
      <c r="H316" t="s">
        <v>945</v>
      </c>
      <c r="I316" t="s">
        <v>24</v>
      </c>
      <c r="J316">
        <v>782103</v>
      </c>
      <c r="K316">
        <v>349</v>
      </c>
      <c r="L316" s="2">
        <v>3.5000000000000001E-3</v>
      </c>
      <c r="M316">
        <v>2.5000000000000001E-2</v>
      </c>
      <c r="N316" s="2">
        <v>1.2215</v>
      </c>
      <c r="O316" s="2">
        <v>8.7249999999999996</v>
      </c>
    </row>
    <row r="317" spans="2:15">
      <c r="B317" t="s">
        <v>663</v>
      </c>
      <c r="C317" t="s">
        <v>58</v>
      </c>
      <c r="D317" t="s">
        <v>946</v>
      </c>
      <c r="E317" t="s">
        <v>947</v>
      </c>
      <c r="F317" t="s">
        <v>10</v>
      </c>
      <c r="G317" t="s">
        <v>946</v>
      </c>
      <c r="H317" t="s">
        <v>948</v>
      </c>
      <c r="I317" t="s">
        <v>24</v>
      </c>
      <c r="J317">
        <v>92</v>
      </c>
      <c r="K317">
        <v>1</v>
      </c>
      <c r="L317" s="2">
        <v>3.5000000000000001E-3</v>
      </c>
      <c r="M317">
        <v>2.5000000000000001E-2</v>
      </c>
      <c r="N317" s="2">
        <v>3.5000000000000001E-3</v>
      </c>
      <c r="O317" s="2">
        <v>2.5000000000000001E-2</v>
      </c>
    </row>
    <row r="318" spans="2:15">
      <c r="B318" t="s">
        <v>663</v>
      </c>
      <c r="C318" t="s">
        <v>58</v>
      </c>
      <c r="D318" t="s">
        <v>949</v>
      </c>
      <c r="E318" t="s">
        <v>950</v>
      </c>
      <c r="F318" t="s">
        <v>10</v>
      </c>
      <c r="G318" t="s">
        <v>949</v>
      </c>
      <c r="H318" t="s">
        <v>951</v>
      </c>
      <c r="I318" t="s">
        <v>24</v>
      </c>
      <c r="J318">
        <v>227</v>
      </c>
      <c r="K318">
        <v>2</v>
      </c>
      <c r="L318" s="2">
        <v>3.5000000000000001E-3</v>
      </c>
      <c r="M318">
        <v>2.5000000000000001E-2</v>
      </c>
      <c r="N318" s="2">
        <v>7.0000000000000001E-3</v>
      </c>
      <c r="O318" s="2">
        <v>0.05</v>
      </c>
    </row>
    <row r="319" spans="2:15">
      <c r="B319" t="s">
        <v>663</v>
      </c>
      <c r="C319" t="s">
        <v>58</v>
      </c>
      <c r="D319" t="s">
        <v>952</v>
      </c>
      <c r="E319" t="s">
        <v>953</v>
      </c>
      <c r="F319" t="s">
        <v>10</v>
      </c>
      <c r="G319" t="s">
        <v>952</v>
      </c>
      <c r="H319" t="s">
        <v>954</v>
      </c>
      <c r="I319" t="s">
        <v>24</v>
      </c>
      <c r="J319">
        <v>52</v>
      </c>
      <c r="K319">
        <v>3</v>
      </c>
      <c r="L319" s="2">
        <v>3.5000000000000001E-3</v>
      </c>
      <c r="M319">
        <v>2.5000000000000001E-2</v>
      </c>
      <c r="N319" s="2">
        <v>1.0500000000000001E-2</v>
      </c>
      <c r="O319" s="2">
        <v>7.5000000000000011E-2</v>
      </c>
    </row>
    <row r="320" spans="2:15">
      <c r="B320" t="s">
        <v>663</v>
      </c>
      <c r="C320" t="s">
        <v>58</v>
      </c>
      <c r="D320" t="s">
        <v>955</v>
      </c>
      <c r="E320" t="s">
        <v>956</v>
      </c>
      <c r="F320" t="s">
        <v>10</v>
      </c>
      <c r="G320" t="s">
        <v>955</v>
      </c>
      <c r="H320" t="s">
        <v>957</v>
      </c>
      <c r="I320" t="s">
        <v>24</v>
      </c>
      <c r="J320">
        <v>1124</v>
      </c>
      <c r="K320">
        <v>1</v>
      </c>
      <c r="L320" s="2">
        <v>3.5000000000000001E-3</v>
      </c>
      <c r="M320">
        <v>2.5000000000000001E-2</v>
      </c>
      <c r="N320" s="2">
        <v>3.5000000000000001E-3</v>
      </c>
      <c r="O320" s="2">
        <v>2.5000000000000001E-2</v>
      </c>
    </row>
    <row r="321" spans="2:15">
      <c r="B321" t="s">
        <v>663</v>
      </c>
      <c r="C321" t="s">
        <v>58</v>
      </c>
      <c r="D321" t="s">
        <v>958</v>
      </c>
      <c r="E321" t="s">
        <v>959</v>
      </c>
      <c r="F321" t="s">
        <v>10</v>
      </c>
      <c r="G321" t="s">
        <v>958</v>
      </c>
      <c r="H321" t="s">
        <v>960</v>
      </c>
      <c r="I321" t="s">
        <v>24</v>
      </c>
      <c r="J321">
        <v>190043</v>
      </c>
      <c r="K321">
        <v>127</v>
      </c>
      <c r="L321" s="2">
        <v>3.5000000000000001E-3</v>
      </c>
      <c r="M321">
        <v>2.5000000000000001E-2</v>
      </c>
      <c r="N321" s="2">
        <v>0.44450000000000001</v>
      </c>
      <c r="O321" s="2">
        <v>3.1750000000000003</v>
      </c>
    </row>
    <row r="322" spans="2:15">
      <c r="B322" t="s">
        <v>663</v>
      </c>
      <c r="C322" t="s">
        <v>58</v>
      </c>
      <c r="D322" t="s">
        <v>961</v>
      </c>
      <c r="E322" t="s">
        <v>962</v>
      </c>
      <c r="F322" t="s">
        <v>10</v>
      </c>
      <c r="G322" t="s">
        <v>961</v>
      </c>
      <c r="H322" t="s">
        <v>963</v>
      </c>
      <c r="I322" t="s">
        <v>24</v>
      </c>
      <c r="J322">
        <v>195069</v>
      </c>
      <c r="K322">
        <v>217</v>
      </c>
      <c r="L322" s="2">
        <v>3.5000000000000001E-3</v>
      </c>
      <c r="M322">
        <v>2.5000000000000001E-2</v>
      </c>
      <c r="N322" s="2">
        <v>0.75950000000000006</v>
      </c>
      <c r="O322" s="2">
        <v>5.4250000000000007</v>
      </c>
    </row>
    <row r="323" spans="2:15">
      <c r="B323" t="s">
        <v>663</v>
      </c>
      <c r="C323" t="s">
        <v>58</v>
      </c>
      <c r="D323" t="s">
        <v>964</v>
      </c>
      <c r="E323" t="s">
        <v>965</v>
      </c>
      <c r="F323" t="s">
        <v>10</v>
      </c>
      <c r="G323" t="s">
        <v>964</v>
      </c>
      <c r="H323" t="s">
        <v>966</v>
      </c>
      <c r="I323" t="s">
        <v>24</v>
      </c>
      <c r="J323">
        <v>233384</v>
      </c>
      <c r="K323">
        <v>206</v>
      </c>
      <c r="L323" s="2">
        <v>3.5000000000000001E-3</v>
      </c>
      <c r="M323">
        <v>2.5000000000000001E-2</v>
      </c>
      <c r="N323" s="2">
        <v>0.72099999999999997</v>
      </c>
      <c r="O323" s="2">
        <v>5.15</v>
      </c>
    </row>
    <row r="324" spans="2:15">
      <c r="B324" t="s">
        <v>663</v>
      </c>
      <c r="C324" t="s">
        <v>58</v>
      </c>
      <c r="D324" t="s">
        <v>967</v>
      </c>
      <c r="E324" t="s">
        <v>968</v>
      </c>
      <c r="F324" t="s">
        <v>10</v>
      </c>
      <c r="G324" t="s">
        <v>967</v>
      </c>
      <c r="H324" t="s">
        <v>969</v>
      </c>
      <c r="I324" t="s">
        <v>24</v>
      </c>
      <c r="J324">
        <v>266856</v>
      </c>
      <c r="K324">
        <v>168</v>
      </c>
      <c r="L324" s="2">
        <v>3.5000000000000001E-3</v>
      </c>
      <c r="M324">
        <v>2.5000000000000001E-2</v>
      </c>
      <c r="N324" s="2">
        <v>0.58799999999999997</v>
      </c>
      <c r="O324" s="2">
        <v>4.2</v>
      </c>
    </row>
    <row r="325" spans="2:15">
      <c r="B325" t="s">
        <v>663</v>
      </c>
      <c r="C325" t="s">
        <v>58</v>
      </c>
      <c r="D325" t="s">
        <v>970</v>
      </c>
      <c r="E325" t="s">
        <v>971</v>
      </c>
      <c r="F325" t="s">
        <v>10</v>
      </c>
      <c r="G325" t="s">
        <v>970</v>
      </c>
      <c r="H325" t="s">
        <v>972</v>
      </c>
      <c r="I325" t="s">
        <v>24</v>
      </c>
      <c r="J325">
        <v>1350949</v>
      </c>
      <c r="K325">
        <v>1399</v>
      </c>
      <c r="L325" s="2">
        <v>3.5000000000000001E-3</v>
      </c>
      <c r="M325">
        <v>2.5000000000000001E-2</v>
      </c>
      <c r="N325" s="2">
        <v>4.8965000000000005</v>
      </c>
      <c r="O325" s="2">
        <v>34.975000000000001</v>
      </c>
    </row>
    <row r="326" spans="2:15">
      <c r="B326" t="s">
        <v>663</v>
      </c>
      <c r="C326" t="s">
        <v>58</v>
      </c>
      <c r="D326" t="s">
        <v>973</v>
      </c>
      <c r="E326" t="s">
        <v>974</v>
      </c>
      <c r="F326" t="s">
        <v>10</v>
      </c>
      <c r="G326" t="s">
        <v>973</v>
      </c>
      <c r="H326" t="s">
        <v>975</v>
      </c>
      <c r="I326" t="s">
        <v>24</v>
      </c>
      <c r="J326">
        <v>452122</v>
      </c>
      <c r="K326">
        <v>481</v>
      </c>
      <c r="L326" s="2">
        <v>3.5000000000000001E-3</v>
      </c>
      <c r="M326">
        <v>2.5000000000000001E-2</v>
      </c>
      <c r="N326" s="2">
        <v>1.6835</v>
      </c>
      <c r="O326" s="2">
        <v>12.025</v>
      </c>
    </row>
    <row r="327" spans="2:15">
      <c r="B327" t="s">
        <v>663</v>
      </c>
      <c r="C327" t="s">
        <v>58</v>
      </c>
      <c r="D327" t="s">
        <v>976</v>
      </c>
      <c r="E327" t="s">
        <v>977</v>
      </c>
      <c r="F327" t="s">
        <v>10</v>
      </c>
      <c r="G327" t="s">
        <v>976</v>
      </c>
      <c r="H327" t="s">
        <v>978</v>
      </c>
      <c r="I327" t="s">
        <v>24</v>
      </c>
      <c r="J327">
        <v>1026906</v>
      </c>
      <c r="K327">
        <v>1264</v>
      </c>
      <c r="L327" s="2">
        <v>3.5000000000000001E-3</v>
      </c>
      <c r="M327">
        <v>2.5000000000000001E-2</v>
      </c>
      <c r="N327" s="2">
        <v>4.4240000000000004</v>
      </c>
      <c r="O327" s="2">
        <v>31.6</v>
      </c>
    </row>
    <row r="328" spans="2:15">
      <c r="B328" t="s">
        <v>663</v>
      </c>
      <c r="C328" t="s">
        <v>58</v>
      </c>
      <c r="D328" t="s">
        <v>979</v>
      </c>
      <c r="E328" t="s">
        <v>980</v>
      </c>
      <c r="F328" t="s">
        <v>10</v>
      </c>
      <c r="G328" t="s">
        <v>979</v>
      </c>
      <c r="H328" t="s">
        <v>981</v>
      </c>
      <c r="I328" t="s">
        <v>24</v>
      </c>
      <c r="J328">
        <v>883275</v>
      </c>
      <c r="K328">
        <v>1054</v>
      </c>
      <c r="L328" s="2">
        <v>3.5000000000000001E-3</v>
      </c>
      <c r="M328">
        <v>2.5000000000000001E-2</v>
      </c>
      <c r="N328" s="2">
        <v>3.6890000000000001</v>
      </c>
      <c r="O328" s="2">
        <v>26.35</v>
      </c>
    </row>
    <row r="329" spans="2:15">
      <c r="B329" t="s">
        <v>663</v>
      </c>
      <c r="C329" t="s">
        <v>58</v>
      </c>
      <c r="D329" t="s">
        <v>982</v>
      </c>
      <c r="E329" t="s">
        <v>983</v>
      </c>
      <c r="F329" t="s">
        <v>10</v>
      </c>
      <c r="G329" t="s">
        <v>982</v>
      </c>
      <c r="H329" t="s">
        <v>984</v>
      </c>
      <c r="I329" t="s">
        <v>24</v>
      </c>
      <c r="J329">
        <v>3</v>
      </c>
      <c r="K329">
        <v>0</v>
      </c>
      <c r="L329" s="2">
        <v>3.5000000000000001E-3</v>
      </c>
      <c r="M329">
        <v>2.5000000000000001E-2</v>
      </c>
      <c r="N329" s="2">
        <v>0</v>
      </c>
      <c r="O329" s="2">
        <v>0</v>
      </c>
    </row>
    <row r="330" spans="2:15">
      <c r="B330" t="s">
        <v>663</v>
      </c>
      <c r="C330" t="s">
        <v>58</v>
      </c>
      <c r="D330" t="s">
        <v>985</v>
      </c>
      <c r="E330" t="s">
        <v>986</v>
      </c>
      <c r="F330" t="s">
        <v>10</v>
      </c>
      <c r="G330" t="s">
        <v>985</v>
      </c>
      <c r="H330" t="s">
        <v>987</v>
      </c>
      <c r="I330" t="s">
        <v>24</v>
      </c>
      <c r="J330">
        <v>0</v>
      </c>
      <c r="K330">
        <v>2</v>
      </c>
      <c r="L330" s="2">
        <v>3.5000000000000001E-3</v>
      </c>
      <c r="M330">
        <v>2.5000000000000001E-2</v>
      </c>
      <c r="N330" s="2">
        <v>7.0000000000000001E-3</v>
      </c>
      <c r="O330" s="2">
        <v>0.05</v>
      </c>
    </row>
    <row r="331" spans="2:15">
      <c r="B331" t="s">
        <v>663</v>
      </c>
      <c r="C331" t="s">
        <v>58</v>
      </c>
      <c r="D331" t="s">
        <v>988</v>
      </c>
      <c r="E331" t="s">
        <v>989</v>
      </c>
      <c r="F331" t="s">
        <v>10</v>
      </c>
      <c r="G331" t="s">
        <v>988</v>
      </c>
      <c r="H331" t="s">
        <v>990</v>
      </c>
      <c r="I331" t="s">
        <v>24</v>
      </c>
      <c r="J331">
        <v>1421333</v>
      </c>
      <c r="K331">
        <v>474</v>
      </c>
      <c r="L331" s="2">
        <v>3.5000000000000001E-3</v>
      </c>
      <c r="M331">
        <v>2.5000000000000001E-2</v>
      </c>
      <c r="N331" s="2">
        <v>1.659</v>
      </c>
      <c r="O331" s="2">
        <v>11.850000000000001</v>
      </c>
    </row>
    <row r="332" spans="2:15">
      <c r="B332" t="s">
        <v>663</v>
      </c>
      <c r="C332" t="s">
        <v>58</v>
      </c>
      <c r="D332" t="s">
        <v>991</v>
      </c>
      <c r="E332" t="s">
        <v>992</v>
      </c>
      <c r="F332" t="s">
        <v>10</v>
      </c>
      <c r="G332" t="s">
        <v>991</v>
      </c>
      <c r="H332" t="s">
        <v>993</v>
      </c>
      <c r="I332" t="s">
        <v>24</v>
      </c>
      <c r="J332">
        <v>2646956</v>
      </c>
      <c r="K332">
        <v>824</v>
      </c>
      <c r="L332" s="2">
        <v>3.5000000000000001E-3</v>
      </c>
      <c r="M332">
        <v>2.5000000000000001E-2</v>
      </c>
      <c r="N332" s="2">
        <v>2.8839999999999999</v>
      </c>
      <c r="O332" s="2">
        <v>20.6</v>
      </c>
    </row>
    <row r="333" spans="2:15">
      <c r="B333" t="s">
        <v>663</v>
      </c>
      <c r="C333" t="s">
        <v>58</v>
      </c>
      <c r="D333" t="s">
        <v>994</v>
      </c>
      <c r="E333" t="s">
        <v>995</v>
      </c>
      <c r="F333" t="s">
        <v>10</v>
      </c>
      <c r="G333" t="s">
        <v>994</v>
      </c>
      <c r="H333" t="s">
        <v>996</v>
      </c>
      <c r="I333" t="s">
        <v>24</v>
      </c>
      <c r="J333">
        <v>2513612</v>
      </c>
      <c r="K333">
        <v>664</v>
      </c>
      <c r="L333" s="2">
        <v>3.5000000000000001E-3</v>
      </c>
      <c r="M333">
        <v>2.5000000000000001E-2</v>
      </c>
      <c r="N333" s="2">
        <v>2.3239999999999998</v>
      </c>
      <c r="O333" s="2">
        <v>16.600000000000001</v>
      </c>
    </row>
    <row r="334" spans="2:15">
      <c r="B334" t="s">
        <v>663</v>
      </c>
      <c r="C334" t="s">
        <v>58</v>
      </c>
      <c r="D334" t="s">
        <v>997</v>
      </c>
      <c r="E334" t="s">
        <v>998</v>
      </c>
      <c r="F334" t="s">
        <v>10</v>
      </c>
      <c r="G334" t="s">
        <v>997</v>
      </c>
      <c r="H334" t="s">
        <v>999</v>
      </c>
      <c r="I334" t="s">
        <v>24</v>
      </c>
      <c r="J334">
        <v>1040494</v>
      </c>
      <c r="K334">
        <v>493</v>
      </c>
      <c r="L334" s="2">
        <v>3.5000000000000001E-3</v>
      </c>
      <c r="M334">
        <v>2.5000000000000001E-2</v>
      </c>
      <c r="N334" s="2">
        <v>1.7255</v>
      </c>
      <c r="O334" s="2">
        <v>12.325000000000001</v>
      </c>
    </row>
    <row r="335" spans="2:15">
      <c r="B335" t="s">
        <v>663</v>
      </c>
      <c r="C335" t="s">
        <v>58</v>
      </c>
      <c r="D335" t="s">
        <v>1000</v>
      </c>
      <c r="E335" t="s">
        <v>1001</v>
      </c>
      <c r="F335" t="s">
        <v>10</v>
      </c>
      <c r="G335" t="s">
        <v>1000</v>
      </c>
      <c r="H335" t="s">
        <v>1002</v>
      </c>
      <c r="I335" t="s">
        <v>24</v>
      </c>
      <c r="J335">
        <v>0</v>
      </c>
      <c r="K335">
        <v>1</v>
      </c>
      <c r="L335" s="2">
        <v>3.5000000000000001E-3</v>
      </c>
      <c r="M335">
        <v>2.5000000000000001E-2</v>
      </c>
      <c r="N335" s="2">
        <v>3.5000000000000001E-3</v>
      </c>
      <c r="O335" s="2">
        <v>2.5000000000000001E-2</v>
      </c>
    </row>
    <row r="336" spans="2:15">
      <c r="B336" t="s">
        <v>663</v>
      </c>
      <c r="C336" t="s">
        <v>58</v>
      </c>
      <c r="D336" t="s">
        <v>1003</v>
      </c>
      <c r="E336" t="s">
        <v>1004</v>
      </c>
      <c r="F336" t="s">
        <v>10</v>
      </c>
      <c r="G336" t="s">
        <v>1003</v>
      </c>
      <c r="H336" t="s">
        <v>1005</v>
      </c>
      <c r="I336" t="s">
        <v>24</v>
      </c>
      <c r="J336">
        <v>1</v>
      </c>
      <c r="K336">
        <v>3</v>
      </c>
      <c r="L336" s="2">
        <v>3.5000000000000001E-3</v>
      </c>
      <c r="M336">
        <v>2.5000000000000001E-2</v>
      </c>
      <c r="N336" s="2">
        <v>1.0500000000000001E-2</v>
      </c>
      <c r="O336" s="2">
        <v>7.5000000000000011E-2</v>
      </c>
    </row>
    <row r="337" spans="2:15">
      <c r="B337" t="s">
        <v>663</v>
      </c>
      <c r="C337" t="s">
        <v>58</v>
      </c>
      <c r="D337" t="s">
        <v>1006</v>
      </c>
      <c r="E337" t="s">
        <v>1007</v>
      </c>
      <c r="F337" t="s">
        <v>10</v>
      </c>
      <c r="G337" t="s">
        <v>1006</v>
      </c>
      <c r="H337" t="s">
        <v>1008</v>
      </c>
      <c r="I337" t="s">
        <v>24</v>
      </c>
      <c r="J337">
        <v>0</v>
      </c>
      <c r="K337">
        <v>1</v>
      </c>
      <c r="L337" s="2">
        <v>3.5000000000000001E-3</v>
      </c>
      <c r="M337">
        <v>2.5000000000000001E-2</v>
      </c>
      <c r="N337" s="2">
        <v>3.5000000000000001E-3</v>
      </c>
      <c r="O337" s="2">
        <v>2.5000000000000001E-2</v>
      </c>
    </row>
    <row r="338" spans="2:15">
      <c r="B338" t="s">
        <v>1009</v>
      </c>
      <c r="C338" t="s">
        <v>49</v>
      </c>
      <c r="D338" t="s">
        <v>1010</v>
      </c>
      <c r="E338" t="s">
        <v>1011</v>
      </c>
      <c r="F338" t="s">
        <v>10</v>
      </c>
      <c r="G338" t="s">
        <v>1010</v>
      </c>
      <c r="H338" t="s">
        <v>1012</v>
      </c>
      <c r="I338" t="s">
        <v>24</v>
      </c>
      <c r="J338">
        <v>255215</v>
      </c>
      <c r="K338">
        <v>1740</v>
      </c>
      <c r="L338" s="2">
        <v>3.5000000000000001E-3</v>
      </c>
      <c r="M338">
        <v>2.5000000000000001E-2</v>
      </c>
      <c r="N338" s="2">
        <v>6.09</v>
      </c>
      <c r="O338" s="2">
        <v>43.5</v>
      </c>
    </row>
    <row r="339" spans="2:15">
      <c r="B339" t="s">
        <v>1009</v>
      </c>
      <c r="C339" t="s">
        <v>49</v>
      </c>
      <c r="D339" t="s">
        <v>1013</v>
      </c>
      <c r="E339" t="s">
        <v>1014</v>
      </c>
      <c r="F339" t="s">
        <v>10</v>
      </c>
      <c r="G339" t="s">
        <v>1013</v>
      </c>
      <c r="H339" t="s">
        <v>1015</v>
      </c>
      <c r="I339" t="s">
        <v>24</v>
      </c>
      <c r="J339">
        <v>5690462</v>
      </c>
      <c r="K339">
        <v>84821</v>
      </c>
      <c r="L339" s="2">
        <v>3.5000000000000001E-3</v>
      </c>
      <c r="M339">
        <v>2.5000000000000001E-2</v>
      </c>
      <c r="N339" s="2">
        <v>296.87349999999998</v>
      </c>
      <c r="O339" s="2">
        <v>2120.5250000000001</v>
      </c>
    </row>
    <row r="340" spans="2:15">
      <c r="B340" t="s">
        <v>1009</v>
      </c>
      <c r="C340" t="s">
        <v>49</v>
      </c>
      <c r="D340" t="s">
        <v>1016</v>
      </c>
      <c r="E340" t="s">
        <v>1017</v>
      </c>
      <c r="F340" t="s">
        <v>10</v>
      </c>
      <c r="G340" t="s">
        <v>1016</v>
      </c>
      <c r="H340" t="s">
        <v>1018</v>
      </c>
      <c r="I340" t="s">
        <v>24</v>
      </c>
      <c r="J340">
        <v>231273</v>
      </c>
      <c r="K340">
        <v>1227</v>
      </c>
      <c r="L340" s="2">
        <v>3.5000000000000001E-3</v>
      </c>
      <c r="M340">
        <v>2.5000000000000001E-2</v>
      </c>
      <c r="N340" s="2">
        <v>4.2945000000000002</v>
      </c>
      <c r="O340" s="2">
        <v>30.675000000000001</v>
      </c>
    </row>
    <row r="341" spans="2:15">
      <c r="B341" t="s">
        <v>1009</v>
      </c>
      <c r="C341" t="s">
        <v>49</v>
      </c>
      <c r="D341" t="s">
        <v>1019</v>
      </c>
      <c r="E341" t="s">
        <v>1020</v>
      </c>
      <c r="F341" t="s">
        <v>10</v>
      </c>
      <c r="G341" t="s">
        <v>1019</v>
      </c>
      <c r="H341" t="s">
        <v>1021</v>
      </c>
      <c r="I341" t="s">
        <v>24</v>
      </c>
      <c r="J341">
        <v>149662</v>
      </c>
      <c r="K341">
        <v>974</v>
      </c>
      <c r="L341" s="2">
        <v>3.5000000000000001E-3</v>
      </c>
      <c r="M341">
        <v>2.5000000000000001E-2</v>
      </c>
      <c r="N341" s="2">
        <v>3.4090000000000003</v>
      </c>
      <c r="O341" s="2">
        <v>24.35</v>
      </c>
    </row>
    <row r="342" spans="2:15">
      <c r="B342" t="s">
        <v>1009</v>
      </c>
      <c r="C342" t="s">
        <v>49</v>
      </c>
      <c r="D342" t="s">
        <v>1022</v>
      </c>
      <c r="E342" t="s">
        <v>1023</v>
      </c>
      <c r="F342" t="s">
        <v>10</v>
      </c>
      <c r="G342" t="s">
        <v>1022</v>
      </c>
      <c r="H342" t="s">
        <v>1024</v>
      </c>
      <c r="I342" t="s">
        <v>24</v>
      </c>
      <c r="J342">
        <v>176528</v>
      </c>
      <c r="K342">
        <v>576</v>
      </c>
      <c r="L342" s="2">
        <v>3.5000000000000001E-3</v>
      </c>
      <c r="M342">
        <v>2.5000000000000001E-2</v>
      </c>
      <c r="N342" s="2">
        <v>2.016</v>
      </c>
      <c r="O342" s="2">
        <v>14.4</v>
      </c>
    </row>
    <row r="343" spans="2:15">
      <c r="B343" t="s">
        <v>1009</v>
      </c>
      <c r="C343" t="s">
        <v>49</v>
      </c>
      <c r="D343" t="s">
        <v>1025</v>
      </c>
      <c r="E343" t="s">
        <v>1026</v>
      </c>
      <c r="F343" t="s">
        <v>10</v>
      </c>
      <c r="G343" t="s">
        <v>1025</v>
      </c>
      <c r="H343" t="s">
        <v>1027</v>
      </c>
      <c r="I343" t="s">
        <v>24</v>
      </c>
      <c r="J343">
        <v>300955</v>
      </c>
      <c r="K343">
        <v>1792</v>
      </c>
      <c r="L343" s="2">
        <v>3.5000000000000001E-3</v>
      </c>
      <c r="M343">
        <v>2.5000000000000001E-2</v>
      </c>
      <c r="N343" s="2">
        <v>6.2720000000000002</v>
      </c>
      <c r="O343" s="2">
        <v>44.800000000000004</v>
      </c>
    </row>
    <row r="344" spans="2:15">
      <c r="B344" t="s">
        <v>1009</v>
      </c>
      <c r="C344" t="s">
        <v>49</v>
      </c>
      <c r="D344" t="s">
        <v>1028</v>
      </c>
      <c r="E344" t="s">
        <v>1029</v>
      </c>
      <c r="F344" t="s">
        <v>10</v>
      </c>
      <c r="G344" t="s">
        <v>1028</v>
      </c>
      <c r="H344" t="s">
        <v>1030</v>
      </c>
      <c r="I344" t="s">
        <v>24</v>
      </c>
      <c r="J344">
        <v>124002</v>
      </c>
      <c r="K344">
        <v>333</v>
      </c>
      <c r="L344" s="2">
        <v>3.5000000000000001E-3</v>
      </c>
      <c r="M344">
        <v>2.5000000000000001E-2</v>
      </c>
      <c r="N344" s="2">
        <v>1.1655</v>
      </c>
      <c r="O344" s="2">
        <v>8.3250000000000011</v>
      </c>
    </row>
    <row r="345" spans="2:15">
      <c r="B345" t="s">
        <v>1009</v>
      </c>
      <c r="C345" t="s">
        <v>49</v>
      </c>
      <c r="D345" t="s">
        <v>1031</v>
      </c>
      <c r="E345" t="s">
        <v>1032</v>
      </c>
      <c r="F345" t="s">
        <v>10</v>
      </c>
      <c r="G345" t="s">
        <v>1031</v>
      </c>
      <c r="H345" t="s">
        <v>1033</v>
      </c>
      <c r="I345" t="s">
        <v>24</v>
      </c>
      <c r="J345">
        <v>100617</v>
      </c>
      <c r="K345">
        <v>274</v>
      </c>
      <c r="L345" s="2">
        <v>3.5000000000000001E-3</v>
      </c>
      <c r="M345">
        <v>2.5000000000000001E-2</v>
      </c>
      <c r="N345" s="2">
        <v>0.95900000000000007</v>
      </c>
      <c r="O345" s="2">
        <v>6.8500000000000005</v>
      </c>
    </row>
    <row r="346" spans="2:15">
      <c r="B346" t="s">
        <v>1009</v>
      </c>
      <c r="C346" t="s">
        <v>49</v>
      </c>
      <c r="D346" t="s">
        <v>1034</v>
      </c>
      <c r="E346" t="s">
        <v>1035</v>
      </c>
      <c r="F346" t="s">
        <v>10</v>
      </c>
      <c r="G346" t="s">
        <v>1034</v>
      </c>
      <c r="H346" t="s">
        <v>1036</v>
      </c>
      <c r="I346" t="s">
        <v>24</v>
      </c>
      <c r="J346">
        <v>68</v>
      </c>
      <c r="K346">
        <v>1</v>
      </c>
      <c r="L346" s="2">
        <v>3.5000000000000001E-3</v>
      </c>
      <c r="M346">
        <v>2.5000000000000001E-2</v>
      </c>
      <c r="N346" s="2">
        <v>3.5000000000000001E-3</v>
      </c>
      <c r="O346" s="2">
        <v>2.5000000000000001E-2</v>
      </c>
    </row>
    <row r="347" spans="2:15">
      <c r="B347" t="s">
        <v>1009</v>
      </c>
      <c r="C347" t="s">
        <v>49</v>
      </c>
      <c r="D347" t="s">
        <v>1037</v>
      </c>
      <c r="E347" t="s">
        <v>1038</v>
      </c>
      <c r="F347" t="s">
        <v>10</v>
      </c>
      <c r="G347" t="s">
        <v>1037</v>
      </c>
      <c r="H347" t="s">
        <v>1039</v>
      </c>
      <c r="I347" t="s">
        <v>24</v>
      </c>
      <c r="J347">
        <v>82</v>
      </c>
      <c r="K347">
        <v>2</v>
      </c>
      <c r="L347" s="2">
        <v>3.5000000000000001E-3</v>
      </c>
      <c r="M347">
        <v>2.5000000000000001E-2</v>
      </c>
      <c r="N347" s="2">
        <v>7.0000000000000001E-3</v>
      </c>
      <c r="O347" s="2">
        <v>0.05</v>
      </c>
    </row>
    <row r="348" spans="2:15">
      <c r="B348" t="s">
        <v>1009</v>
      </c>
      <c r="C348" t="s">
        <v>49</v>
      </c>
      <c r="D348" t="s">
        <v>1040</v>
      </c>
      <c r="E348" t="s">
        <v>1041</v>
      </c>
      <c r="F348" t="s">
        <v>10</v>
      </c>
      <c r="G348" t="s">
        <v>1040</v>
      </c>
      <c r="H348" t="s">
        <v>1042</v>
      </c>
      <c r="I348" t="s">
        <v>24</v>
      </c>
      <c r="J348">
        <v>88</v>
      </c>
      <c r="K348">
        <v>3</v>
      </c>
      <c r="L348" s="2">
        <v>3.5000000000000001E-3</v>
      </c>
      <c r="M348">
        <v>2.5000000000000001E-2</v>
      </c>
      <c r="N348" s="2">
        <v>1.0500000000000001E-2</v>
      </c>
      <c r="O348" s="2">
        <v>7.5000000000000011E-2</v>
      </c>
    </row>
    <row r="349" spans="2:15">
      <c r="B349" t="s">
        <v>1009</v>
      </c>
      <c r="C349" t="s">
        <v>49</v>
      </c>
      <c r="D349" t="s">
        <v>1043</v>
      </c>
      <c r="E349" t="s">
        <v>1044</v>
      </c>
      <c r="F349" t="s">
        <v>10</v>
      </c>
      <c r="G349" t="s">
        <v>1043</v>
      </c>
      <c r="H349" t="s">
        <v>1045</v>
      </c>
      <c r="I349" t="s">
        <v>24</v>
      </c>
      <c r="J349">
        <v>157</v>
      </c>
      <c r="K349">
        <v>5</v>
      </c>
      <c r="L349" s="2">
        <v>3.5000000000000001E-3</v>
      </c>
      <c r="M349">
        <v>2.5000000000000001E-2</v>
      </c>
      <c r="N349" s="2">
        <v>1.7500000000000002E-2</v>
      </c>
      <c r="O349" s="2">
        <v>0.125</v>
      </c>
    </row>
    <row r="350" spans="2:15">
      <c r="B350" t="s">
        <v>1009</v>
      </c>
      <c r="C350" t="s">
        <v>49</v>
      </c>
      <c r="D350" t="s">
        <v>1046</v>
      </c>
      <c r="E350" t="s">
        <v>1047</v>
      </c>
      <c r="F350" t="s">
        <v>10</v>
      </c>
      <c r="G350" t="s">
        <v>1046</v>
      </c>
      <c r="H350" t="s">
        <v>1048</v>
      </c>
      <c r="I350" t="s">
        <v>24</v>
      </c>
      <c r="J350">
        <v>50847</v>
      </c>
      <c r="K350">
        <v>703</v>
      </c>
      <c r="L350" s="2">
        <v>3.5000000000000001E-3</v>
      </c>
      <c r="M350">
        <v>2.5000000000000001E-2</v>
      </c>
      <c r="N350" s="2">
        <v>2.4605000000000001</v>
      </c>
      <c r="O350" s="2">
        <v>17.574999999999999</v>
      </c>
    </row>
    <row r="351" spans="2:15">
      <c r="B351" t="s">
        <v>1009</v>
      </c>
      <c r="C351" t="s">
        <v>49</v>
      </c>
      <c r="D351" t="s">
        <v>1049</v>
      </c>
      <c r="E351" t="s">
        <v>1050</v>
      </c>
      <c r="F351" t="s">
        <v>10</v>
      </c>
      <c r="G351" t="s">
        <v>1049</v>
      </c>
      <c r="H351" t="s">
        <v>1051</v>
      </c>
      <c r="I351" t="s">
        <v>24</v>
      </c>
      <c r="J351">
        <v>101203</v>
      </c>
      <c r="K351">
        <v>549</v>
      </c>
      <c r="L351" s="2">
        <v>3.5000000000000001E-3</v>
      </c>
      <c r="M351">
        <v>2.5000000000000001E-2</v>
      </c>
      <c r="N351" s="2">
        <v>1.9215</v>
      </c>
      <c r="O351" s="2">
        <v>13.725000000000001</v>
      </c>
    </row>
    <row r="352" spans="2:15">
      <c r="B352" t="s">
        <v>1009</v>
      </c>
      <c r="C352" t="s">
        <v>49</v>
      </c>
      <c r="D352" t="s">
        <v>1052</v>
      </c>
      <c r="E352" t="s">
        <v>1053</v>
      </c>
      <c r="F352" t="s">
        <v>10</v>
      </c>
      <c r="G352" t="s">
        <v>1052</v>
      </c>
      <c r="H352" t="s">
        <v>1054</v>
      </c>
      <c r="I352" t="s">
        <v>24</v>
      </c>
      <c r="J352">
        <v>45244</v>
      </c>
      <c r="K352">
        <v>228</v>
      </c>
      <c r="L352" s="2">
        <v>3.5000000000000001E-3</v>
      </c>
      <c r="M352">
        <v>2.5000000000000001E-2</v>
      </c>
      <c r="N352" s="2">
        <v>0.79800000000000004</v>
      </c>
      <c r="O352" s="2">
        <v>5.7</v>
      </c>
    </row>
    <row r="353" spans="2:15">
      <c r="B353" t="s">
        <v>1009</v>
      </c>
      <c r="C353" t="s">
        <v>49</v>
      </c>
      <c r="D353" t="s">
        <v>1055</v>
      </c>
      <c r="E353" t="s">
        <v>1056</v>
      </c>
      <c r="F353" t="s">
        <v>10</v>
      </c>
      <c r="G353" t="s">
        <v>1055</v>
      </c>
      <c r="H353" t="s">
        <v>1057</v>
      </c>
      <c r="I353" t="s">
        <v>24</v>
      </c>
      <c r="J353">
        <v>66286</v>
      </c>
      <c r="K353">
        <v>805</v>
      </c>
      <c r="L353" s="2">
        <v>3.5000000000000001E-3</v>
      </c>
      <c r="M353">
        <v>2.5000000000000001E-2</v>
      </c>
      <c r="N353" s="2">
        <v>2.8174999999999999</v>
      </c>
      <c r="O353" s="2">
        <v>20.125</v>
      </c>
    </row>
    <row r="354" spans="2:15">
      <c r="B354" t="s">
        <v>1009</v>
      </c>
      <c r="C354" t="s">
        <v>29</v>
      </c>
      <c r="D354" t="s">
        <v>1058</v>
      </c>
      <c r="E354" t="s">
        <v>1059</v>
      </c>
      <c r="F354" t="s">
        <v>10</v>
      </c>
      <c r="G354" t="s">
        <v>1058</v>
      </c>
      <c r="H354" t="s">
        <v>1060</v>
      </c>
      <c r="I354" t="s">
        <v>24</v>
      </c>
      <c r="J354">
        <v>183517</v>
      </c>
      <c r="K354">
        <v>1200</v>
      </c>
      <c r="L354" s="2">
        <v>3.5000000000000001E-3</v>
      </c>
      <c r="M354">
        <v>2.5000000000000001E-2</v>
      </c>
      <c r="N354" s="2">
        <v>4.2</v>
      </c>
      <c r="O354" s="2">
        <v>30</v>
      </c>
    </row>
    <row r="355" spans="2:15">
      <c r="B355" t="s">
        <v>1009</v>
      </c>
      <c r="C355" t="s">
        <v>29</v>
      </c>
      <c r="D355" t="s">
        <v>1061</v>
      </c>
      <c r="E355" t="s">
        <v>1062</v>
      </c>
      <c r="F355" t="s">
        <v>10</v>
      </c>
      <c r="G355" t="s">
        <v>1061</v>
      </c>
      <c r="H355" t="s">
        <v>1063</v>
      </c>
      <c r="I355" t="s">
        <v>24</v>
      </c>
      <c r="J355">
        <v>346784</v>
      </c>
      <c r="K355">
        <v>1200</v>
      </c>
      <c r="L355" s="2">
        <v>3.5000000000000001E-3</v>
      </c>
      <c r="M355">
        <v>2.5000000000000001E-2</v>
      </c>
      <c r="N355" s="2">
        <v>4.2</v>
      </c>
      <c r="O355" s="2">
        <v>30</v>
      </c>
    </row>
    <row r="356" spans="2:15">
      <c r="B356" t="s">
        <v>1009</v>
      </c>
      <c r="C356" t="s">
        <v>29</v>
      </c>
      <c r="D356" t="s">
        <v>1064</v>
      </c>
      <c r="E356" t="s">
        <v>1065</v>
      </c>
      <c r="F356" t="s">
        <v>10</v>
      </c>
      <c r="G356" t="s">
        <v>1064</v>
      </c>
      <c r="H356" t="s">
        <v>1066</v>
      </c>
      <c r="I356" t="s">
        <v>24</v>
      </c>
      <c r="J356">
        <v>71004</v>
      </c>
      <c r="K356">
        <v>576</v>
      </c>
      <c r="L356" s="2">
        <v>3.5000000000000001E-3</v>
      </c>
      <c r="M356">
        <v>2.5000000000000001E-2</v>
      </c>
      <c r="N356" s="2">
        <v>2.016</v>
      </c>
      <c r="O356" s="2">
        <v>14.4</v>
      </c>
    </row>
    <row r="357" spans="2:15">
      <c r="B357" t="s">
        <v>1009</v>
      </c>
      <c r="C357" t="s">
        <v>29</v>
      </c>
      <c r="D357" t="s">
        <v>1067</v>
      </c>
      <c r="E357" t="s">
        <v>1068</v>
      </c>
      <c r="F357" t="s">
        <v>10</v>
      </c>
      <c r="G357" t="s">
        <v>1067</v>
      </c>
      <c r="H357" t="s">
        <v>1069</v>
      </c>
      <c r="I357" t="s">
        <v>24</v>
      </c>
      <c r="J357">
        <v>2960516</v>
      </c>
      <c r="K357">
        <v>8217</v>
      </c>
      <c r="L357" s="2">
        <v>3.5000000000000001E-3</v>
      </c>
      <c r="M357">
        <v>2.5000000000000001E-2</v>
      </c>
      <c r="N357" s="2">
        <v>28.759499999999999</v>
      </c>
      <c r="O357" s="2">
        <v>205.42500000000001</v>
      </c>
    </row>
    <row r="358" spans="2:15">
      <c r="B358" t="s">
        <v>1009</v>
      </c>
      <c r="C358" t="s">
        <v>29</v>
      </c>
      <c r="D358" t="s">
        <v>1070</v>
      </c>
      <c r="E358" t="s">
        <v>1071</v>
      </c>
      <c r="F358" t="s">
        <v>10</v>
      </c>
      <c r="G358" t="s">
        <v>1070</v>
      </c>
      <c r="H358" t="s">
        <v>1072</v>
      </c>
      <c r="I358" t="s">
        <v>24</v>
      </c>
      <c r="J358">
        <v>48729</v>
      </c>
      <c r="K358">
        <v>488</v>
      </c>
      <c r="L358" s="2">
        <v>3.5000000000000001E-3</v>
      </c>
      <c r="M358">
        <v>2.5000000000000001E-2</v>
      </c>
      <c r="N358" s="2">
        <v>1.708</v>
      </c>
      <c r="O358" s="2">
        <v>12.200000000000001</v>
      </c>
    </row>
    <row r="359" spans="2:15">
      <c r="B359" t="s">
        <v>1009</v>
      </c>
      <c r="C359" t="s">
        <v>29</v>
      </c>
      <c r="D359" t="s">
        <v>1073</v>
      </c>
      <c r="E359" t="s">
        <v>1074</v>
      </c>
      <c r="F359" t="s">
        <v>10</v>
      </c>
      <c r="G359" t="s">
        <v>1073</v>
      </c>
      <c r="H359" t="s">
        <v>1075</v>
      </c>
      <c r="I359" t="s">
        <v>24</v>
      </c>
      <c r="J359">
        <v>848440</v>
      </c>
      <c r="K359">
        <v>5528</v>
      </c>
      <c r="L359" s="2">
        <v>3.5000000000000001E-3</v>
      </c>
      <c r="M359">
        <v>2.5000000000000001E-2</v>
      </c>
      <c r="N359" s="2">
        <v>19.347999999999999</v>
      </c>
      <c r="O359" s="2">
        <v>138.20000000000002</v>
      </c>
    </row>
    <row r="360" spans="2:15">
      <c r="B360" t="s">
        <v>1009</v>
      </c>
      <c r="C360" t="s">
        <v>29</v>
      </c>
      <c r="D360" t="s">
        <v>1076</v>
      </c>
      <c r="E360" t="s">
        <v>1077</v>
      </c>
      <c r="F360" t="s">
        <v>10</v>
      </c>
      <c r="G360" t="s">
        <v>1076</v>
      </c>
      <c r="H360" t="s">
        <v>1078</v>
      </c>
      <c r="I360" t="s">
        <v>24</v>
      </c>
      <c r="J360">
        <v>95236</v>
      </c>
      <c r="K360">
        <v>4094</v>
      </c>
      <c r="L360" s="2">
        <v>3.5000000000000001E-3</v>
      </c>
      <c r="M360">
        <v>2.5000000000000001E-2</v>
      </c>
      <c r="N360" s="2">
        <v>14.329000000000001</v>
      </c>
      <c r="O360" s="2">
        <v>102.35000000000001</v>
      </c>
    </row>
    <row r="361" spans="2:15">
      <c r="B361" t="s">
        <v>1009</v>
      </c>
      <c r="C361" t="s">
        <v>29</v>
      </c>
      <c r="D361" t="s">
        <v>1079</v>
      </c>
      <c r="E361" t="s">
        <v>1080</v>
      </c>
      <c r="F361" t="s">
        <v>10</v>
      </c>
      <c r="G361" t="s">
        <v>1079</v>
      </c>
      <c r="H361" t="s">
        <v>1081</v>
      </c>
      <c r="I361" t="s">
        <v>24</v>
      </c>
      <c r="J361">
        <v>1490696</v>
      </c>
      <c r="K361">
        <v>2465</v>
      </c>
      <c r="L361" s="2">
        <v>3.5000000000000001E-3</v>
      </c>
      <c r="M361">
        <v>2.5000000000000001E-2</v>
      </c>
      <c r="N361" s="2">
        <v>8.6274999999999995</v>
      </c>
      <c r="O361" s="2">
        <v>61.625</v>
      </c>
    </row>
    <row r="362" spans="2:15">
      <c r="B362" t="s">
        <v>1009</v>
      </c>
      <c r="C362" t="s">
        <v>29</v>
      </c>
      <c r="D362" t="s">
        <v>1082</v>
      </c>
      <c r="E362" t="s">
        <v>1083</v>
      </c>
      <c r="F362" t="s">
        <v>10</v>
      </c>
      <c r="G362" t="s">
        <v>1082</v>
      </c>
      <c r="H362" t="s">
        <v>1084</v>
      </c>
      <c r="I362" t="s">
        <v>24</v>
      </c>
      <c r="J362">
        <v>1437948</v>
      </c>
      <c r="K362">
        <v>4368</v>
      </c>
      <c r="L362" s="2">
        <v>3.5000000000000001E-3</v>
      </c>
      <c r="M362">
        <v>2.5000000000000001E-2</v>
      </c>
      <c r="N362" s="2">
        <v>15.288</v>
      </c>
      <c r="O362" s="2">
        <v>109.2</v>
      </c>
    </row>
    <row r="363" spans="2:15">
      <c r="B363" t="s">
        <v>1009</v>
      </c>
      <c r="C363" t="s">
        <v>29</v>
      </c>
      <c r="D363" t="s">
        <v>1085</v>
      </c>
      <c r="E363" t="s">
        <v>1086</v>
      </c>
      <c r="F363" t="s">
        <v>10</v>
      </c>
      <c r="G363" t="s">
        <v>1085</v>
      </c>
      <c r="H363" t="s">
        <v>1087</v>
      </c>
      <c r="I363" t="s">
        <v>24</v>
      </c>
      <c r="J363">
        <v>36321</v>
      </c>
      <c r="K363">
        <v>103</v>
      </c>
      <c r="L363" s="2">
        <v>3.5000000000000001E-3</v>
      </c>
      <c r="M363">
        <v>2.5000000000000001E-2</v>
      </c>
      <c r="N363" s="2">
        <v>0.36049999999999999</v>
      </c>
      <c r="O363" s="2">
        <v>2.5750000000000002</v>
      </c>
    </row>
    <row r="364" spans="2:15">
      <c r="B364" t="s">
        <v>1009</v>
      </c>
      <c r="C364" t="s">
        <v>29</v>
      </c>
      <c r="D364" t="s">
        <v>1088</v>
      </c>
      <c r="E364" t="s">
        <v>1089</v>
      </c>
      <c r="F364" t="s">
        <v>10</v>
      </c>
      <c r="G364" t="s">
        <v>1088</v>
      </c>
      <c r="H364" t="s">
        <v>1090</v>
      </c>
      <c r="I364" t="s">
        <v>24</v>
      </c>
      <c r="J364">
        <v>98818</v>
      </c>
      <c r="K364">
        <v>1008</v>
      </c>
      <c r="L364" s="2">
        <v>3.5000000000000001E-3</v>
      </c>
      <c r="M364">
        <v>2.5000000000000001E-2</v>
      </c>
      <c r="N364" s="2">
        <v>3.528</v>
      </c>
      <c r="O364" s="2">
        <v>25.200000000000003</v>
      </c>
    </row>
    <row r="365" spans="2:15">
      <c r="B365" t="s">
        <v>1009</v>
      </c>
      <c r="C365" t="s">
        <v>29</v>
      </c>
      <c r="D365" t="s">
        <v>1091</v>
      </c>
      <c r="E365" t="s">
        <v>1092</v>
      </c>
      <c r="F365" t="s">
        <v>10</v>
      </c>
      <c r="G365" t="s">
        <v>1091</v>
      </c>
      <c r="H365" t="s">
        <v>1093</v>
      </c>
      <c r="I365" t="s">
        <v>24</v>
      </c>
      <c r="J365">
        <v>734016</v>
      </c>
      <c r="K365">
        <v>11626</v>
      </c>
      <c r="L365" s="2">
        <v>3.5000000000000001E-3</v>
      </c>
      <c r="M365">
        <v>2.5000000000000001E-2</v>
      </c>
      <c r="N365" s="2">
        <v>40.691000000000003</v>
      </c>
      <c r="O365" s="2">
        <v>290.65000000000003</v>
      </c>
    </row>
    <row r="366" spans="2:15">
      <c r="B366" t="s">
        <v>1009</v>
      </c>
      <c r="C366" t="s">
        <v>29</v>
      </c>
      <c r="D366" t="s">
        <v>1094</v>
      </c>
      <c r="E366" t="s">
        <v>1095</v>
      </c>
      <c r="F366" t="s">
        <v>10</v>
      </c>
      <c r="G366" t="s">
        <v>1094</v>
      </c>
      <c r="H366" t="s">
        <v>1096</v>
      </c>
      <c r="I366" t="s">
        <v>24</v>
      </c>
      <c r="J366">
        <v>2078932</v>
      </c>
      <c r="K366">
        <v>5141</v>
      </c>
      <c r="L366" s="2">
        <v>3.5000000000000001E-3</v>
      </c>
      <c r="M366">
        <v>2.5000000000000001E-2</v>
      </c>
      <c r="N366" s="2">
        <v>17.993500000000001</v>
      </c>
      <c r="O366" s="2">
        <v>128.52500000000001</v>
      </c>
    </row>
    <row r="367" spans="2:15">
      <c r="B367" t="s">
        <v>1009</v>
      </c>
      <c r="C367" t="s">
        <v>29</v>
      </c>
      <c r="D367" t="s">
        <v>1097</v>
      </c>
      <c r="E367" t="s">
        <v>1098</v>
      </c>
      <c r="F367" t="s">
        <v>10</v>
      </c>
      <c r="G367" t="s">
        <v>1097</v>
      </c>
      <c r="H367" t="s">
        <v>1099</v>
      </c>
      <c r="I367" t="s">
        <v>24</v>
      </c>
      <c r="J367">
        <v>154961</v>
      </c>
      <c r="K367">
        <v>1283</v>
      </c>
      <c r="L367" s="2">
        <v>3.5000000000000001E-3</v>
      </c>
      <c r="M367">
        <v>2.5000000000000001E-2</v>
      </c>
      <c r="N367" s="2">
        <v>4.4904999999999999</v>
      </c>
      <c r="O367" s="2">
        <v>32.075000000000003</v>
      </c>
    </row>
    <row r="368" spans="2:15">
      <c r="B368" t="s">
        <v>1009</v>
      </c>
      <c r="C368" t="s">
        <v>29</v>
      </c>
      <c r="D368" t="s">
        <v>1100</v>
      </c>
      <c r="E368" t="s">
        <v>1101</v>
      </c>
      <c r="F368" t="s">
        <v>10</v>
      </c>
      <c r="G368" t="s">
        <v>1100</v>
      </c>
      <c r="H368" t="s">
        <v>1102</v>
      </c>
      <c r="I368" t="s">
        <v>24</v>
      </c>
      <c r="J368">
        <v>498162</v>
      </c>
      <c r="K368">
        <v>1426</v>
      </c>
      <c r="L368" s="2">
        <v>3.5000000000000001E-3</v>
      </c>
      <c r="M368">
        <v>2.5000000000000001E-2</v>
      </c>
      <c r="N368" s="2">
        <v>4.9910000000000005</v>
      </c>
      <c r="O368" s="2">
        <v>35.65</v>
      </c>
    </row>
    <row r="369" spans="2:15">
      <c r="B369" t="s">
        <v>1009</v>
      </c>
      <c r="C369" t="s">
        <v>29</v>
      </c>
      <c r="D369" t="s">
        <v>1103</v>
      </c>
      <c r="E369" t="s">
        <v>1104</v>
      </c>
      <c r="F369" t="s">
        <v>10</v>
      </c>
      <c r="G369" t="s">
        <v>1103</v>
      </c>
      <c r="H369" t="s">
        <v>1105</v>
      </c>
      <c r="I369" t="s">
        <v>24</v>
      </c>
      <c r="J369">
        <v>423910</v>
      </c>
      <c r="K369">
        <v>2271</v>
      </c>
      <c r="L369" s="2">
        <v>3.5000000000000001E-3</v>
      </c>
      <c r="M369">
        <v>2.5000000000000001E-2</v>
      </c>
      <c r="N369" s="2">
        <v>7.9485000000000001</v>
      </c>
      <c r="O369" s="2">
        <v>56.775000000000006</v>
      </c>
    </row>
    <row r="370" spans="2:15">
      <c r="B370" t="s">
        <v>1106</v>
      </c>
      <c r="C370" t="s">
        <v>29</v>
      </c>
      <c r="D370" t="s">
        <v>1107</v>
      </c>
      <c r="E370" t="s">
        <v>1108</v>
      </c>
      <c r="F370" t="s">
        <v>10</v>
      </c>
      <c r="G370" t="s">
        <v>1107</v>
      </c>
      <c r="H370" t="s">
        <v>1109</v>
      </c>
      <c r="I370" t="s">
        <v>24</v>
      </c>
      <c r="J370">
        <v>224</v>
      </c>
      <c r="K370">
        <v>9</v>
      </c>
      <c r="L370" s="2">
        <v>3.5000000000000001E-3</v>
      </c>
      <c r="M370">
        <v>2.5000000000000001E-2</v>
      </c>
      <c r="N370" s="2">
        <v>3.15E-2</v>
      </c>
      <c r="O370" s="2">
        <v>0.22500000000000001</v>
      </c>
    </row>
    <row r="371" spans="2:15">
      <c r="B371" t="s">
        <v>1106</v>
      </c>
      <c r="C371" t="s">
        <v>29</v>
      </c>
      <c r="D371" t="s">
        <v>1110</v>
      </c>
      <c r="E371" t="s">
        <v>1111</v>
      </c>
      <c r="F371" t="s">
        <v>10</v>
      </c>
      <c r="G371" t="s">
        <v>1110</v>
      </c>
      <c r="H371" t="s">
        <v>1112</v>
      </c>
      <c r="I371" t="s">
        <v>24</v>
      </c>
      <c r="J371">
        <v>3594131</v>
      </c>
      <c r="K371">
        <v>15789</v>
      </c>
      <c r="L371" s="2">
        <v>3.5000000000000001E-3</v>
      </c>
      <c r="M371">
        <v>2.5000000000000001E-2</v>
      </c>
      <c r="N371" s="2">
        <v>55.261499999999998</v>
      </c>
      <c r="O371" s="2">
        <v>394.72500000000002</v>
      </c>
    </row>
    <row r="372" spans="2:15">
      <c r="B372" t="s">
        <v>1106</v>
      </c>
      <c r="C372" t="s">
        <v>29</v>
      </c>
      <c r="D372" t="s">
        <v>1113</v>
      </c>
      <c r="E372" t="s">
        <v>1114</v>
      </c>
      <c r="F372" t="s">
        <v>10</v>
      </c>
      <c r="G372" t="s">
        <v>1113</v>
      </c>
      <c r="H372" t="s">
        <v>1115</v>
      </c>
      <c r="I372" t="s">
        <v>24</v>
      </c>
      <c r="J372">
        <v>8495357</v>
      </c>
      <c r="K372">
        <v>20176</v>
      </c>
      <c r="L372" s="2">
        <v>3.5000000000000001E-3</v>
      </c>
      <c r="M372">
        <v>2.5000000000000001E-2</v>
      </c>
      <c r="N372" s="2">
        <v>70.616</v>
      </c>
      <c r="O372" s="2">
        <v>504.40000000000003</v>
      </c>
    </row>
    <row r="373" spans="2:15">
      <c r="B373" t="s">
        <v>1106</v>
      </c>
      <c r="C373" t="s">
        <v>29</v>
      </c>
      <c r="D373" t="s">
        <v>1116</v>
      </c>
      <c r="E373" t="s">
        <v>1117</v>
      </c>
      <c r="F373" t="s">
        <v>10</v>
      </c>
      <c r="G373" t="s">
        <v>1116</v>
      </c>
      <c r="H373" t="s">
        <v>1118</v>
      </c>
      <c r="I373" t="s">
        <v>24</v>
      </c>
      <c r="J373">
        <v>1472460</v>
      </c>
      <c r="K373">
        <v>3788</v>
      </c>
      <c r="L373" s="2">
        <v>3.5000000000000001E-3</v>
      </c>
      <c r="M373">
        <v>2.5000000000000001E-2</v>
      </c>
      <c r="N373" s="2">
        <v>13.258000000000001</v>
      </c>
      <c r="O373" s="2">
        <v>94.7</v>
      </c>
    </row>
    <row r="374" spans="2:15">
      <c r="B374" t="s">
        <v>1106</v>
      </c>
      <c r="C374" t="s">
        <v>29</v>
      </c>
      <c r="D374" t="s">
        <v>1119</v>
      </c>
      <c r="E374" t="s">
        <v>1120</v>
      </c>
      <c r="F374" t="s">
        <v>10</v>
      </c>
      <c r="G374" t="s">
        <v>1119</v>
      </c>
      <c r="H374" t="s">
        <v>1121</v>
      </c>
      <c r="I374" t="s">
        <v>24</v>
      </c>
      <c r="J374">
        <v>2263541</v>
      </c>
      <c r="K374">
        <v>15562</v>
      </c>
      <c r="L374" s="2">
        <v>3.5000000000000001E-3</v>
      </c>
      <c r="M374">
        <v>2.5000000000000001E-2</v>
      </c>
      <c r="N374" s="2">
        <v>54.466999999999999</v>
      </c>
      <c r="O374" s="2">
        <v>389.05</v>
      </c>
    </row>
    <row r="375" spans="2:15">
      <c r="B375" t="s">
        <v>1106</v>
      </c>
      <c r="C375" t="s">
        <v>29</v>
      </c>
      <c r="D375" t="s">
        <v>1122</v>
      </c>
      <c r="E375" t="s">
        <v>1123</v>
      </c>
      <c r="F375" t="s">
        <v>10</v>
      </c>
      <c r="G375" t="s">
        <v>1122</v>
      </c>
      <c r="H375" t="s">
        <v>1124</v>
      </c>
      <c r="I375" t="s">
        <v>24</v>
      </c>
      <c r="J375">
        <v>136</v>
      </c>
      <c r="K375">
        <v>15</v>
      </c>
      <c r="L375" s="2">
        <v>3.5000000000000001E-3</v>
      </c>
      <c r="M375">
        <v>2.5000000000000001E-2</v>
      </c>
      <c r="N375" s="2">
        <v>5.2499999999999998E-2</v>
      </c>
      <c r="O375" s="2">
        <v>0.375</v>
      </c>
    </row>
    <row r="376" spans="2:15">
      <c r="B376" t="s">
        <v>1106</v>
      </c>
      <c r="C376" t="s">
        <v>29</v>
      </c>
      <c r="D376" t="s">
        <v>1125</v>
      </c>
      <c r="E376" t="s">
        <v>1126</v>
      </c>
      <c r="F376" t="s">
        <v>10</v>
      </c>
      <c r="G376" t="s">
        <v>1125</v>
      </c>
      <c r="H376" t="s">
        <v>1127</v>
      </c>
      <c r="I376" t="s">
        <v>24</v>
      </c>
      <c r="J376">
        <v>50</v>
      </c>
      <c r="K376">
        <v>6</v>
      </c>
      <c r="L376" s="2">
        <v>3.5000000000000001E-3</v>
      </c>
      <c r="M376">
        <v>2.5000000000000001E-2</v>
      </c>
      <c r="N376" s="2">
        <v>2.1000000000000001E-2</v>
      </c>
      <c r="O376" s="2">
        <v>0.15000000000000002</v>
      </c>
    </row>
    <row r="377" spans="2:15">
      <c r="B377" t="s">
        <v>1106</v>
      </c>
      <c r="C377" t="s">
        <v>29</v>
      </c>
      <c r="D377" t="s">
        <v>1128</v>
      </c>
      <c r="E377" t="s">
        <v>1129</v>
      </c>
      <c r="F377" t="s">
        <v>10</v>
      </c>
      <c r="G377" t="s">
        <v>1128</v>
      </c>
      <c r="H377" t="s">
        <v>1130</v>
      </c>
      <c r="I377" t="s">
        <v>24</v>
      </c>
      <c r="J377">
        <v>116</v>
      </c>
      <c r="K377">
        <v>24</v>
      </c>
      <c r="L377" s="2">
        <v>3.5000000000000001E-3</v>
      </c>
      <c r="M377">
        <v>2.5000000000000001E-2</v>
      </c>
      <c r="N377" s="2">
        <v>8.4000000000000005E-2</v>
      </c>
      <c r="O377" s="2">
        <v>0.60000000000000009</v>
      </c>
    </row>
    <row r="378" spans="2:15">
      <c r="B378" t="s">
        <v>1131</v>
      </c>
      <c r="C378" t="s">
        <v>36</v>
      </c>
      <c r="D378" t="s">
        <v>1132</v>
      </c>
      <c r="E378" t="s">
        <v>1133</v>
      </c>
      <c r="F378" t="s">
        <v>10</v>
      </c>
      <c r="G378" t="s">
        <v>1132</v>
      </c>
      <c r="H378" t="s">
        <v>1134</v>
      </c>
      <c r="I378" t="s">
        <v>24</v>
      </c>
      <c r="J378">
        <v>223449</v>
      </c>
      <c r="K378">
        <v>1976</v>
      </c>
      <c r="L378" s="2">
        <v>3.5000000000000001E-3</v>
      </c>
      <c r="M378">
        <v>2.5000000000000001E-2</v>
      </c>
      <c r="N378" s="2">
        <v>6.9160000000000004</v>
      </c>
      <c r="O378" s="2">
        <v>49.400000000000006</v>
      </c>
    </row>
    <row r="379" spans="2:15">
      <c r="B379" t="s">
        <v>1131</v>
      </c>
      <c r="C379" t="s">
        <v>36</v>
      </c>
      <c r="D379" t="s">
        <v>1135</v>
      </c>
      <c r="E379" t="s">
        <v>1136</v>
      </c>
      <c r="F379" t="s">
        <v>10</v>
      </c>
      <c r="G379" t="s">
        <v>1135</v>
      </c>
      <c r="H379" t="s">
        <v>1137</v>
      </c>
      <c r="I379" t="s">
        <v>24</v>
      </c>
      <c r="J379">
        <v>218844</v>
      </c>
      <c r="K379">
        <v>1873</v>
      </c>
      <c r="L379" s="2">
        <v>3.5000000000000001E-3</v>
      </c>
      <c r="M379">
        <v>2.5000000000000001E-2</v>
      </c>
      <c r="N379" s="2">
        <v>6.5555000000000003</v>
      </c>
      <c r="O379" s="2">
        <v>46.825000000000003</v>
      </c>
    </row>
    <row r="380" spans="2:15">
      <c r="B380" t="s">
        <v>1131</v>
      </c>
      <c r="C380" t="s">
        <v>49</v>
      </c>
      <c r="D380" t="s">
        <v>1138</v>
      </c>
      <c r="E380" t="s">
        <v>1139</v>
      </c>
      <c r="F380" t="s">
        <v>23</v>
      </c>
      <c r="G380" t="s">
        <v>1138</v>
      </c>
      <c r="H380" t="s">
        <v>1140</v>
      </c>
      <c r="I380" t="s">
        <v>93</v>
      </c>
      <c r="J380">
        <v>188960</v>
      </c>
      <c r="K380">
        <v>1730</v>
      </c>
      <c r="L380" s="2">
        <v>0.6</v>
      </c>
      <c r="M380">
        <v>0.35</v>
      </c>
      <c r="N380" s="2">
        <v>113.376</v>
      </c>
      <c r="O380" s="2">
        <v>66.135999999999996</v>
      </c>
    </row>
    <row r="381" spans="2:15">
      <c r="B381" t="s">
        <v>1131</v>
      </c>
      <c r="C381" t="s">
        <v>49</v>
      </c>
      <c r="D381" t="s">
        <v>1141</v>
      </c>
      <c r="E381" t="s">
        <v>1142</v>
      </c>
      <c r="F381" t="s">
        <v>23</v>
      </c>
      <c r="G381" t="s">
        <v>1141</v>
      </c>
      <c r="H381" t="s">
        <v>1143</v>
      </c>
      <c r="I381" t="s">
        <v>93</v>
      </c>
      <c r="J381">
        <v>185492</v>
      </c>
      <c r="K381">
        <v>1790</v>
      </c>
      <c r="L381" s="2">
        <v>0.6</v>
      </c>
      <c r="M381">
        <v>0.35</v>
      </c>
      <c r="N381" s="2">
        <v>111.29519999999999</v>
      </c>
      <c r="O381" s="2">
        <v>64.922200000000004</v>
      </c>
    </row>
    <row r="382" spans="2:15">
      <c r="B382" t="s">
        <v>1131</v>
      </c>
      <c r="C382" t="s">
        <v>29</v>
      </c>
      <c r="D382" t="s">
        <v>1144</v>
      </c>
      <c r="E382" t="s">
        <v>1145</v>
      </c>
      <c r="F382" t="s">
        <v>10</v>
      </c>
      <c r="G382" t="s">
        <v>1144</v>
      </c>
      <c r="H382" t="s">
        <v>1146</v>
      </c>
      <c r="I382" t="s">
        <v>24</v>
      </c>
      <c r="J382">
        <v>1784416</v>
      </c>
      <c r="K382">
        <v>5198</v>
      </c>
      <c r="L382" s="2">
        <v>3.5000000000000001E-3</v>
      </c>
      <c r="M382">
        <v>2.5000000000000001E-2</v>
      </c>
      <c r="N382" s="2">
        <v>18.193000000000001</v>
      </c>
      <c r="O382" s="2">
        <v>129.95000000000002</v>
      </c>
    </row>
    <row r="383" spans="2:15">
      <c r="B383" t="s">
        <v>1147</v>
      </c>
      <c r="C383" t="s">
        <v>184</v>
      </c>
      <c r="D383" t="s">
        <v>1148</v>
      </c>
      <c r="E383" t="s">
        <v>1149</v>
      </c>
      <c r="F383" t="s">
        <v>10</v>
      </c>
      <c r="G383" t="s">
        <v>1148</v>
      </c>
      <c r="H383" t="s">
        <v>1150</v>
      </c>
      <c r="I383" t="s">
        <v>24</v>
      </c>
      <c r="J383">
        <v>8598</v>
      </c>
      <c r="K383">
        <v>32</v>
      </c>
      <c r="L383" s="2">
        <v>3.5000000000000001E-3</v>
      </c>
      <c r="M383">
        <v>2.5000000000000001E-2</v>
      </c>
      <c r="N383" s="2">
        <v>0.112</v>
      </c>
      <c r="O383" s="2">
        <v>0.8</v>
      </c>
    </row>
    <row r="384" spans="2:15">
      <c r="B384" t="s">
        <v>1147</v>
      </c>
      <c r="C384" t="s">
        <v>184</v>
      </c>
      <c r="D384" t="s">
        <v>1151</v>
      </c>
      <c r="E384" t="s">
        <v>1152</v>
      </c>
      <c r="F384" t="s">
        <v>10</v>
      </c>
      <c r="G384" t="s">
        <v>1151</v>
      </c>
      <c r="H384" t="s">
        <v>1153</v>
      </c>
      <c r="I384" t="s">
        <v>24</v>
      </c>
      <c r="J384">
        <v>3139</v>
      </c>
      <c r="K384">
        <v>21</v>
      </c>
      <c r="L384" s="2">
        <v>3.5000000000000001E-3</v>
      </c>
      <c r="M384">
        <v>2.5000000000000001E-2</v>
      </c>
      <c r="N384" s="2">
        <v>7.3499999999999996E-2</v>
      </c>
      <c r="O384" s="2">
        <v>0.52500000000000002</v>
      </c>
    </row>
    <row r="385" spans="2:15">
      <c r="B385" t="s">
        <v>1147</v>
      </c>
      <c r="C385" t="s">
        <v>184</v>
      </c>
      <c r="D385" t="s">
        <v>1154</v>
      </c>
      <c r="E385" t="s">
        <v>1155</v>
      </c>
      <c r="F385" t="s">
        <v>10</v>
      </c>
      <c r="G385" t="s">
        <v>1154</v>
      </c>
      <c r="H385" t="s">
        <v>1156</v>
      </c>
      <c r="I385" t="s">
        <v>24</v>
      </c>
      <c r="J385">
        <v>204507</v>
      </c>
      <c r="K385">
        <v>210</v>
      </c>
      <c r="L385" s="2">
        <v>3.5000000000000001E-3</v>
      </c>
      <c r="M385">
        <v>2.5000000000000001E-2</v>
      </c>
      <c r="N385" s="2">
        <v>0.73499999999999999</v>
      </c>
      <c r="O385" s="2">
        <v>5.25</v>
      </c>
    </row>
    <row r="386" spans="2:15">
      <c r="B386" t="s">
        <v>1147</v>
      </c>
      <c r="C386" t="s">
        <v>184</v>
      </c>
      <c r="D386" t="s">
        <v>1157</v>
      </c>
      <c r="E386" t="s">
        <v>1158</v>
      </c>
      <c r="F386" t="s">
        <v>10</v>
      </c>
      <c r="G386" t="s">
        <v>1157</v>
      </c>
      <c r="H386" t="s">
        <v>1159</v>
      </c>
      <c r="I386" t="s">
        <v>24</v>
      </c>
      <c r="J386">
        <v>4484</v>
      </c>
      <c r="K386">
        <v>6</v>
      </c>
      <c r="L386" s="2">
        <v>3.5000000000000001E-3</v>
      </c>
      <c r="M386">
        <v>2.5000000000000001E-2</v>
      </c>
      <c r="N386" s="2">
        <v>2.1000000000000001E-2</v>
      </c>
      <c r="O386" s="2">
        <v>0.15000000000000002</v>
      </c>
    </row>
    <row r="387" spans="2:15">
      <c r="B387" t="s">
        <v>1147</v>
      </c>
      <c r="C387" t="s">
        <v>184</v>
      </c>
      <c r="D387" t="s">
        <v>1160</v>
      </c>
      <c r="E387" t="s">
        <v>1161</v>
      </c>
      <c r="F387" t="s">
        <v>10</v>
      </c>
      <c r="G387" t="s">
        <v>1160</v>
      </c>
      <c r="H387" t="s">
        <v>1162</v>
      </c>
      <c r="I387" t="s">
        <v>24</v>
      </c>
      <c r="J387">
        <v>496803</v>
      </c>
      <c r="K387">
        <v>1619</v>
      </c>
      <c r="L387" s="2">
        <v>3.5000000000000001E-3</v>
      </c>
      <c r="M387">
        <v>2.5000000000000001E-2</v>
      </c>
      <c r="N387" s="2">
        <v>5.6665000000000001</v>
      </c>
      <c r="O387" s="2">
        <v>40.475000000000001</v>
      </c>
    </row>
    <row r="388" spans="2:15">
      <c r="B388" t="s">
        <v>1147</v>
      </c>
      <c r="C388" t="s">
        <v>765</v>
      </c>
      <c r="D388" t="s">
        <v>1163</v>
      </c>
      <c r="E388" t="s">
        <v>1164</v>
      </c>
      <c r="F388" t="s">
        <v>10</v>
      </c>
      <c r="G388" t="s">
        <v>1163</v>
      </c>
      <c r="H388" t="s">
        <v>1165</v>
      </c>
      <c r="I388" t="s">
        <v>24</v>
      </c>
      <c r="J388">
        <v>153978</v>
      </c>
      <c r="K388">
        <v>1257</v>
      </c>
      <c r="L388" s="2">
        <v>3.5000000000000001E-3</v>
      </c>
      <c r="M388">
        <v>2.5000000000000001E-2</v>
      </c>
      <c r="N388" s="2">
        <v>4.3994999999999997</v>
      </c>
      <c r="O388" s="2">
        <v>31.425000000000001</v>
      </c>
    </row>
    <row r="389" spans="2:15">
      <c r="B389" t="s">
        <v>1147</v>
      </c>
      <c r="C389" t="s">
        <v>765</v>
      </c>
      <c r="D389" t="s">
        <v>1166</v>
      </c>
      <c r="E389" t="s">
        <v>1167</v>
      </c>
      <c r="F389" t="s">
        <v>10</v>
      </c>
      <c r="G389" t="s">
        <v>1166</v>
      </c>
      <c r="H389" t="s">
        <v>1168</v>
      </c>
      <c r="I389" t="s">
        <v>24</v>
      </c>
      <c r="J389">
        <v>122705</v>
      </c>
      <c r="K389">
        <v>535</v>
      </c>
      <c r="L389" s="2">
        <v>3.5000000000000001E-3</v>
      </c>
      <c r="M389">
        <v>2.5000000000000001E-2</v>
      </c>
      <c r="N389" s="2">
        <v>1.8725000000000001</v>
      </c>
      <c r="O389" s="2">
        <v>13.375</v>
      </c>
    </row>
    <row r="390" spans="2:15">
      <c r="B390" t="s">
        <v>1169</v>
      </c>
      <c r="C390" t="s">
        <v>1170</v>
      </c>
      <c r="D390" t="s">
        <v>1171</v>
      </c>
      <c r="E390" t="s">
        <v>1172</v>
      </c>
      <c r="F390" t="s">
        <v>10</v>
      </c>
      <c r="G390" t="s">
        <v>1171</v>
      </c>
      <c r="H390" t="s">
        <v>1173</v>
      </c>
      <c r="I390" t="s">
        <v>24</v>
      </c>
      <c r="J390">
        <v>224</v>
      </c>
      <c r="K390">
        <v>0</v>
      </c>
      <c r="L390" s="2">
        <v>3.5000000000000001E-3</v>
      </c>
      <c r="M390">
        <v>2.5000000000000001E-2</v>
      </c>
      <c r="N390" s="2">
        <v>0</v>
      </c>
      <c r="O390" s="2">
        <v>0</v>
      </c>
    </row>
    <row r="391" spans="2:15">
      <c r="B391" t="s">
        <v>1169</v>
      </c>
      <c r="C391" t="s">
        <v>1174</v>
      </c>
      <c r="D391" t="s">
        <v>1175</v>
      </c>
      <c r="E391" t="s">
        <v>1176</v>
      </c>
      <c r="F391" t="s">
        <v>10</v>
      </c>
      <c r="G391" t="s">
        <v>1175</v>
      </c>
      <c r="H391" t="s">
        <v>1177</v>
      </c>
      <c r="I391" t="s">
        <v>24</v>
      </c>
      <c r="J391">
        <v>2181</v>
      </c>
      <c r="K391">
        <v>51</v>
      </c>
      <c r="L391" s="2">
        <v>3.5000000000000001E-3</v>
      </c>
      <c r="M391">
        <v>2.5000000000000001E-2</v>
      </c>
      <c r="N391" s="2">
        <v>0.17849999999999999</v>
      </c>
      <c r="O391" s="2">
        <v>1.2750000000000001</v>
      </c>
    </row>
    <row r="392" spans="2:15">
      <c r="B392" t="s">
        <v>1169</v>
      </c>
      <c r="C392" t="s">
        <v>1174</v>
      </c>
      <c r="D392" t="s">
        <v>1178</v>
      </c>
      <c r="E392" t="s">
        <v>1179</v>
      </c>
      <c r="F392" t="s">
        <v>10</v>
      </c>
      <c r="G392" t="s">
        <v>1178</v>
      </c>
      <c r="H392" t="s">
        <v>1180</v>
      </c>
      <c r="I392" t="s">
        <v>24</v>
      </c>
      <c r="J392">
        <v>34</v>
      </c>
      <c r="K392">
        <v>1</v>
      </c>
      <c r="L392" s="2">
        <v>3.5000000000000001E-3</v>
      </c>
      <c r="M392">
        <v>2.5000000000000001E-2</v>
      </c>
      <c r="N392" s="2">
        <v>3.5000000000000001E-3</v>
      </c>
      <c r="O392" s="2">
        <v>2.5000000000000001E-2</v>
      </c>
    </row>
    <row r="393" spans="2:15">
      <c r="B393" t="s">
        <v>1169</v>
      </c>
      <c r="C393" t="s">
        <v>1174</v>
      </c>
      <c r="D393" t="s">
        <v>1181</v>
      </c>
      <c r="E393" t="s">
        <v>1182</v>
      </c>
      <c r="F393" t="s">
        <v>10</v>
      </c>
      <c r="G393" t="s">
        <v>1181</v>
      </c>
      <c r="H393" t="s">
        <v>1183</v>
      </c>
      <c r="I393" t="s">
        <v>24</v>
      </c>
      <c r="J393">
        <v>89</v>
      </c>
      <c r="K393">
        <v>1</v>
      </c>
      <c r="L393" s="2">
        <v>3.5000000000000001E-3</v>
      </c>
      <c r="M393">
        <v>2.5000000000000001E-2</v>
      </c>
      <c r="N393" s="2">
        <v>3.5000000000000001E-3</v>
      </c>
      <c r="O393" s="2">
        <v>2.5000000000000001E-2</v>
      </c>
    </row>
    <row r="394" spans="2:15">
      <c r="B394" t="s">
        <v>1169</v>
      </c>
      <c r="C394" t="s">
        <v>1174</v>
      </c>
      <c r="D394" t="s">
        <v>1184</v>
      </c>
      <c r="E394" t="s">
        <v>1185</v>
      </c>
      <c r="F394" t="s">
        <v>10</v>
      </c>
      <c r="G394" t="s">
        <v>1184</v>
      </c>
      <c r="H394" t="s">
        <v>1186</v>
      </c>
      <c r="I394" t="s">
        <v>24</v>
      </c>
      <c r="J394">
        <v>2355</v>
      </c>
      <c r="K394">
        <v>21</v>
      </c>
      <c r="L394" s="2">
        <v>3.5000000000000001E-3</v>
      </c>
      <c r="M394">
        <v>2.5000000000000001E-2</v>
      </c>
      <c r="N394" s="2">
        <v>7.3499999999999996E-2</v>
      </c>
      <c r="O394" s="2">
        <v>0.52500000000000002</v>
      </c>
    </row>
    <row r="395" spans="2:15">
      <c r="B395" t="s">
        <v>1187</v>
      </c>
      <c r="C395" t="s">
        <v>1188</v>
      </c>
      <c r="D395" t="s">
        <v>1189</v>
      </c>
      <c r="E395" t="s">
        <v>1190</v>
      </c>
      <c r="F395" t="s">
        <v>10</v>
      </c>
      <c r="G395" t="s">
        <v>1189</v>
      </c>
      <c r="H395" t="s">
        <v>1191</v>
      </c>
      <c r="I395" t="s">
        <v>24</v>
      </c>
      <c r="J395">
        <v>0</v>
      </c>
      <c r="K395">
        <v>1</v>
      </c>
      <c r="L395" s="2">
        <v>3.5000000000000001E-3</v>
      </c>
      <c r="M395">
        <v>2.5000000000000001E-2</v>
      </c>
      <c r="N395" s="2">
        <v>3.5000000000000001E-3</v>
      </c>
      <c r="O395" s="2">
        <v>2.5000000000000001E-2</v>
      </c>
    </row>
    <row r="396" spans="2:15">
      <c r="L396" s="2"/>
      <c r="N396" s="2"/>
      <c r="O396" s="2"/>
    </row>
    <row r="397" spans="2:15">
      <c r="L397" s="2"/>
      <c r="N397" s="2"/>
      <c r="O397" s="2"/>
    </row>
    <row r="398" spans="2:15">
      <c r="L398" s="2"/>
      <c r="N398" s="2"/>
      <c r="O398" s="2"/>
    </row>
    <row r="399" spans="2:15">
      <c r="L399" s="2"/>
      <c r="N399" s="2"/>
      <c r="O399" s="2"/>
    </row>
    <row r="400" spans="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  <row r="10622" spans="12:15">
      <c r="L10622" s="2"/>
      <c r="N10622" s="2"/>
      <c r="O10622" s="2"/>
    </row>
    <row r="10623" spans="12:15">
      <c r="L10623" s="2"/>
      <c r="N10623" s="2"/>
      <c r="O10623" s="2"/>
    </row>
    <row r="10624" spans="12:15">
      <c r="L10624" s="2"/>
      <c r="N10624" s="2"/>
      <c r="O10624" s="2"/>
    </row>
  </sheetData>
  <autoFilter ref="A18:P1073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2019-10-25T19:10:50Z</dcterms:modified>
</cp:coreProperties>
</file>