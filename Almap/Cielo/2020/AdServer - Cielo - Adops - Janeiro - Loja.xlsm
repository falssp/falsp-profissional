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51FBD5A5-DA39-4D6F-8A8D-392BCD935B5D}" xr6:coauthVersionLast="44" xr6:coauthVersionMax="44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Resumo!$A$18:$O$1065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<sst xmlns="http://schemas.openxmlformats.org/spreadsheetml/2006/main" count="183" uniqueCount="93">
  <si>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</si>
  <si>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</si>
  <si>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</si>
  <si>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</si>
  <si>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</si>
  <si>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</si>
  <si>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</si>
  <si>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</si>
  <si>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</si>
  <si>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</si>
  <si>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</si>
  <si>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</si>
  <si>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</si>
  <si>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</si>
  <si>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</si>
  <si>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</si>
  <si>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</si>
  <si>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</si>
  <si>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</si>
  <si>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</si>
  <si>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</si>
  <si>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</si>
  <si>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</si>
  <si>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</si>
  <si>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</si>
  <si>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</si>
  <si>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</si>
  <si>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</si>
  <si>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Display</t>
  </si>
  <si>
    <t>Google Brasil</t>
  </si>
  <si>
    <t>Receita Almap</t>
  </si>
  <si>
    <t>Hands</t>
  </si>
  <si>
    <t>In Loco Media</t>
  </si>
  <si>
    <t>almapbbdo:alp_lojas-cielo:display:awareness:todos</t>
  </si>
  <si>
    <t>hands:marca:spgeolocalizacaoasabc21inauguracao:display:cpm:arroba-300x250:awa_ins_lojas-cielo:cidp122.2.2:2</t>
  </si>
  <si>
    <t>258518887</t>
  </si>
  <si>
    <t>454297688</t>
  </si>
  <si>
    <t>hands:marca:spgeolocalizacaoasabc21inauguracao:display:cpm:top-250x50:awa_ins_lojas-cielo:cidp122.2.1:2</t>
  </si>
  <si>
    <t>258182495</t>
  </si>
  <si>
    <t>454297676</t>
  </si>
  <si>
    <t>dv_360:marca:as_abc_21__empreendedores:display:cpm:large-mobile-banner-320x100:awa_ins_lojas-cielo:cidp122.2.29:2</t>
  </si>
  <si>
    <t>264237093</t>
  </si>
  <si>
    <t>459151932</t>
  </si>
  <si>
    <t>dv_360:marca:as_abc_21__empreendedores:display:cpm:leaderboard-728x90:awa_ins_lojas-cielo:cidp122.2.31:2</t>
  </si>
  <si>
    <t>264237087</t>
  </si>
  <si>
    <t>459153417</t>
  </si>
  <si>
    <t>dv_360:marca:as_abc_21__empreendedores:display:cpm:mobile-leaderboard-320x50:awa_ins_lojas-cielo:cidp122.2.30:2</t>
  </si>
  <si>
    <t>264237090</t>
  </si>
  <si>
    <t>459285874</t>
  </si>
  <si>
    <t>dv_360:marca:as_abc_21__empreendedores:display:cpm:retangulo-medio-300x250:awa_ins_lojas-cielo:cidp122.2.27:2</t>
  </si>
  <si>
    <t>264233898</t>
  </si>
  <si>
    <t>459285658</t>
  </si>
  <si>
    <t>dv_360:marca:as_abc_21__empreendedores:display:cpm:skyscraper-300x600:awa_ins_lojas-cielo:cidp122.2.28:2</t>
  </si>
  <si>
    <t>264237096</t>
  </si>
  <si>
    <t>459153387</t>
  </si>
  <si>
    <t>hands:marca:as_abc_21__geo_behavior__web_behavior:display:cpm:arroba-300x250:awa_ins_lojas-cielo:cidp122.2.38:2</t>
  </si>
  <si>
    <t>264262194</t>
  </si>
  <si>
    <t>459170333</t>
  </si>
  <si>
    <t>hands:marca:as_abc_21__geo_behavior__web_behavior:display:cpm:interstitial-320x480:awa_ins_lojas-cielo:cidp122.2.39:2</t>
  </si>
  <si>
    <t>264210370</t>
  </si>
  <si>
    <t>459170336</t>
  </si>
  <si>
    <t>hands:marca:as_abc_21__geo_behavior__web_behavior:display:cpm:top-250x50:awa_ins_lojas-cielo:cidp122.2.37:2</t>
  </si>
  <si>
    <t>264210277</t>
  </si>
  <si>
    <t>459152394</t>
  </si>
  <si>
    <t>inloco:marca:as_abc_21___regiao_proxima_as_lojas__40_km:display:cpm:mediumrectangle-900x150:awa_ins_lojas-cielo:cidp122.2.33:2</t>
  </si>
  <si>
    <t>264237084</t>
  </si>
  <si>
    <t>459170330</t>
  </si>
  <si>
    <t>inloco:marca:as_abc_21___regiao_proxima_as_lojas__40_km:display:cpm:native-1200x627:awa_ins_lojas-cielo:cidp122.2.34:2</t>
  </si>
  <si>
    <t>264237081</t>
  </si>
  <si>
    <t>459170327</t>
  </si>
  <si>
    <t>inloco:marca:as_abc_21___regiao_proxima_as_lojas__40_km:display:cpm:smallbanner-960x150:awa_ins_lojas-cielo:cidp122.2.32:2</t>
  </si>
  <si>
    <t>262861817</t>
  </si>
  <si>
    <t>458647663</t>
  </si>
  <si>
    <t>inloco:marca:as_abc_21__retargeting__concorrentes:display:cpm:interstital-960x1440:awa_ins_lojas-cielo:cidp122.2.36:2</t>
  </si>
  <si>
    <t>264237075</t>
  </si>
  <si>
    <t>459170321</t>
  </si>
  <si>
    <t>Waze</t>
  </si>
  <si>
    <t>waze:marca:as_abc_21___localizado_em_cada_loja__40_km:display:cpm:banner-608:awa_ins_lojas-cielo:cidp122.2.25:2</t>
  </si>
  <si>
    <t>263250180</t>
  </si>
  <si>
    <t>458640646</t>
  </si>
  <si>
    <t>inloco:marca:as_abc_21___regiao_proxima_as_lojas__40_km:display:cpm:interstital-960x1440:awa_ins_lojas-cielo:cidp122.2.44:2</t>
  </si>
  <si>
    <t>264979412</t>
  </si>
  <si>
    <t>460153464</t>
  </si>
  <si>
    <t>inloco:marca:as_abc_21__retargeting__concorrentes:display:cpm:mediumrectangle-900x150:awa_ins_lojas-cielo:cidp122.2.41:2</t>
  </si>
  <si>
    <t>264979421</t>
  </si>
  <si>
    <t>460153455</t>
  </si>
  <si>
    <t>inloco:marca:as_abc_21__retargeting__concorrentes:display:cpm:native-1200x627:awa_ins_lojas-cielo:cidp122.2.42:2</t>
  </si>
  <si>
    <t>264979418</t>
  </si>
  <si>
    <t>460153458</t>
  </si>
  <si>
    <t>inloco:marca:as_abc_21__retargeting__concorrentes:display:cpm:smallbanner-960x150:awa_ins_lojas-cielo:cidp122.2.40:2</t>
  </si>
  <si>
    <t>264979424</t>
  </si>
  <si>
    <t>460153452</t>
  </si>
  <si>
    <t>almapbbdo:alp_lojas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</si>
</sst>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16"/>
  <sheetViews>
    <sheetView showGridLines="0" tabSelected="1" workbookViewId="0">
      <selection activeCell="C12" sqref="C12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30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18443334</v>
      </c>
      <c r="E4" s="8">
        <f>C4*D4/1000</f>
        <v>1844.3334000000002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  <c r="G5" s="8">
        <f>SUM(total_adops_filtrada)</f>
        <v>2095.1833999999999</v>
      </c>
      <c r="H5" s="8">
        <f>SUM(total_ferramenta_filtrada)</f>
        <v>772.85235999999998</v>
      </c>
    </row>
    <row r="6" spans="1:8">
      <c r="B6" s="7" t="s">
        <v>10</v>
      </c>
      <c r="C6" s="1">
        <v>2.5000000000000001E-2</v>
      </c>
      <c r="D6" s="1">
        <f>SUMIF(adtype_filtrada,$B6,clicks_filtrada)</f>
        <v>10034</v>
      </c>
      <c r="E6" s="8">
        <f>C6*D6</f>
        <v>250.85000000000002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0</v>
      </c>
      <c r="E8" s="8">
        <f>C8*D8/1000</f>
        <v>0</v>
      </c>
      <c r="F8" s="15"/>
    </row>
    <row r="9" spans="1:8">
      <c r="B9" s="6" t="s">
        <v>19</v>
      </c>
      <c r="C9" s="6"/>
      <c r="D9" s="6"/>
      <c r="E9" s="9">
        <f>SUM(E4:E8)</f>
        <v>2095.1834000000003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 t="s">
        <v>92</v>
      </c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33</v>
      </c>
      <c r="C19" t="s">
        <v>29</v>
      </c>
      <c r="D19" t="s">
        <v>40</v>
      </c>
      <c r="E19" t="s">
        <v>41</v>
      </c>
      <c r="F19" t="s">
        <v>12</v>
      </c>
      <c r="G19" t="s">
        <v>40</v>
      </c>
      <c r="H19" t="s">
        <v>42</v>
      </c>
      <c r="I19" t="s">
        <v>28</v>
      </c>
      <c r="J19">
        <v>1117535</v>
      </c>
      <c r="K19">
        <v>5520</v>
      </c>
      <c r="L19" s="2">
        <v>0.04</v>
      </c>
      <c r="M19">
        <v>0.1</v>
      </c>
      <c r="N19" s="2">
        <v>44.7014</v>
      </c>
      <c r="O19" s="2">
        <v>111.7535</v>
      </c>
    </row>
    <row r="20" spans="1:15">
      <c r="B20" t="s">
        <v>33</v>
      </c>
      <c r="C20" t="s">
        <v>29</v>
      </c>
      <c r="D20" t="s">
        <v>43</v>
      </c>
      <c r="E20" t="s">
        <v>44</v>
      </c>
      <c r="F20" t="s">
        <v>12</v>
      </c>
      <c r="G20" t="s">
        <v>43</v>
      </c>
      <c r="H20" t="s">
        <v>45</v>
      </c>
      <c r="I20" t="s">
        <v>28</v>
      </c>
      <c r="J20">
        <v>802127</v>
      </c>
      <c r="K20">
        <v>1024</v>
      </c>
      <c r="L20" s="2">
        <v>0.04</v>
      </c>
      <c r="M20">
        <v>0.1</v>
      </c>
      <c r="N20" s="2">
        <v>32.085080000000005</v>
      </c>
      <c r="O20" s="2">
        <v>80.212700000000012</v>
      </c>
    </row>
    <row r="21" spans="1:15">
      <c r="B21" t="s">
        <v>33</v>
      </c>
      <c r="C21" t="s">
        <v>29</v>
      </c>
      <c r="D21" t="s">
        <v>46</v>
      </c>
      <c r="E21" t="s">
        <v>47</v>
      </c>
      <c r="F21" t="s">
        <v>12</v>
      </c>
      <c r="G21" t="s">
        <v>46</v>
      </c>
      <c r="H21" t="s">
        <v>48</v>
      </c>
      <c r="I21" t="s">
        <v>28</v>
      </c>
      <c r="J21">
        <v>7779684</v>
      </c>
      <c r="K21">
        <v>46325</v>
      </c>
      <c r="L21" s="2">
        <v>0.04</v>
      </c>
      <c r="M21">
        <v>0.1</v>
      </c>
      <c r="N21" s="2">
        <v>311.18736000000001</v>
      </c>
      <c r="O21" s="2">
        <v>777.96839999999997</v>
      </c>
    </row>
    <row r="22" spans="1:15">
      <c r="B22" t="s">
        <v>33</v>
      </c>
      <c r="C22" t="s">
        <v>29</v>
      </c>
      <c r="D22" t="s">
        <v>49</v>
      </c>
      <c r="E22" t="s">
        <v>50</v>
      </c>
      <c r="F22" t="s">
        <v>12</v>
      </c>
      <c r="G22" t="s">
        <v>49</v>
      </c>
      <c r="H22" t="s">
        <v>51</v>
      </c>
      <c r="I22" t="s">
        <v>28</v>
      </c>
      <c r="J22">
        <v>2494025</v>
      </c>
      <c r="K22">
        <v>18132</v>
      </c>
      <c r="L22" s="2">
        <v>0.04</v>
      </c>
      <c r="M22">
        <v>0.1</v>
      </c>
      <c r="N22" s="2">
        <v>99.760999999999996</v>
      </c>
      <c r="O22" s="2">
        <v>249.4025</v>
      </c>
    </row>
    <row r="23" spans="1:15">
      <c r="B23" t="s">
        <v>33</v>
      </c>
      <c r="C23" t="s">
        <v>29</v>
      </c>
      <c r="D23" t="s">
        <v>52</v>
      </c>
      <c r="E23" t="s">
        <v>53</v>
      </c>
      <c r="F23" t="s">
        <v>12</v>
      </c>
      <c r="G23" t="s">
        <v>52</v>
      </c>
      <c r="H23" t="s">
        <v>54</v>
      </c>
      <c r="I23" t="s">
        <v>28</v>
      </c>
      <c r="J23">
        <v>1439618</v>
      </c>
      <c r="K23">
        <v>47239</v>
      </c>
      <c r="L23" s="2">
        <v>0.04</v>
      </c>
      <c r="M23">
        <v>0.1</v>
      </c>
      <c r="N23" s="2">
        <v>57.584720000000004</v>
      </c>
      <c r="O23" s="2">
        <v>143.96180000000001</v>
      </c>
    </row>
    <row r="24" spans="1:15">
      <c r="B24" t="s">
        <v>33</v>
      </c>
      <c r="C24" t="s">
        <v>31</v>
      </c>
      <c r="D24" t="s">
        <v>55</v>
      </c>
      <c r="E24" t="s">
        <v>56</v>
      </c>
      <c r="F24" t="s">
        <v>12</v>
      </c>
      <c r="G24" t="s">
        <v>55</v>
      </c>
      <c r="H24" t="s">
        <v>57</v>
      </c>
      <c r="I24" t="s">
        <v>24</v>
      </c>
      <c r="J24">
        <v>104368</v>
      </c>
      <c r="K24">
        <v>1120</v>
      </c>
      <c r="L24" s="2">
        <v>0.04</v>
      </c>
      <c r="M24">
        <v>0.1</v>
      </c>
      <c r="N24" s="2">
        <v>4.1747200000000007</v>
      </c>
      <c r="O24" s="2">
        <v>10.436800000000002</v>
      </c>
    </row>
    <row r="25" spans="1:15">
      <c r="B25" t="s">
        <v>33</v>
      </c>
      <c r="C25" t="s">
        <v>31</v>
      </c>
      <c r="D25" t="s">
        <v>58</v>
      </c>
      <c r="E25" t="s">
        <v>59</v>
      </c>
      <c r="F25" t="s">
        <v>12</v>
      </c>
      <c r="G25" t="s">
        <v>58</v>
      </c>
      <c r="H25" t="s">
        <v>60</v>
      </c>
      <c r="I25" t="s">
        <v>24</v>
      </c>
      <c r="J25">
        <v>982114</v>
      </c>
      <c r="K25">
        <v>33604</v>
      </c>
      <c r="L25" s="2">
        <v>0.04</v>
      </c>
      <c r="M25">
        <v>0.1</v>
      </c>
      <c r="N25" s="2">
        <v>39.284559999999999</v>
      </c>
      <c r="O25" s="2">
        <v>98.211400000000012</v>
      </c>
    </row>
    <row r="26" spans="1:15">
      <c r="B26" t="s">
        <v>33</v>
      </c>
      <c r="C26" t="s">
        <v>31</v>
      </c>
      <c r="D26" t="s">
        <v>61</v>
      </c>
      <c r="E26" t="s">
        <v>62</v>
      </c>
      <c r="F26" t="s">
        <v>12</v>
      </c>
      <c r="G26" t="s">
        <v>61</v>
      </c>
      <c r="H26" t="s">
        <v>63</v>
      </c>
      <c r="I26" t="s">
        <v>24</v>
      </c>
      <c r="J26">
        <v>525764</v>
      </c>
      <c r="K26">
        <v>3291</v>
      </c>
      <c r="L26" s="2">
        <v>0.04</v>
      </c>
      <c r="M26">
        <v>0.1</v>
      </c>
      <c r="N26" s="2">
        <v>21.030560000000001</v>
      </c>
      <c r="O26" s="2">
        <v>52.5764</v>
      </c>
    </row>
    <row r="27" spans="1:15">
      <c r="B27" t="s">
        <v>33</v>
      </c>
      <c r="C27" t="s">
        <v>31</v>
      </c>
      <c r="D27" t="s">
        <v>34</v>
      </c>
      <c r="E27" t="s">
        <v>35</v>
      </c>
      <c r="F27" t="s">
        <v>12</v>
      </c>
      <c r="G27" t="s">
        <v>34</v>
      </c>
      <c r="H27" t="s">
        <v>36</v>
      </c>
      <c r="I27" t="s">
        <v>24</v>
      </c>
      <c r="J27">
        <v>1</v>
      </c>
      <c r="K27">
        <v>0</v>
      </c>
      <c r="L27" s="2">
        <v>0.04</v>
      </c>
      <c r="M27">
        <v>0.1</v>
      </c>
      <c r="N27" s="2">
        <v>4.0000000000000003E-5</v>
      </c>
      <c r="O27" s="2">
        <v>1E-4</v>
      </c>
    </row>
    <row r="28" spans="1:15">
      <c r="B28" t="s">
        <v>33</v>
      </c>
      <c r="C28" t="s">
        <v>31</v>
      </c>
      <c r="D28" t="s">
        <v>37</v>
      </c>
      <c r="E28" t="s">
        <v>38</v>
      </c>
      <c r="F28" t="s">
        <v>12</v>
      </c>
      <c r="G28" t="s">
        <v>37</v>
      </c>
      <c r="H28" t="s">
        <v>39</v>
      </c>
      <c r="I28" t="s">
        <v>24</v>
      </c>
      <c r="J28">
        <v>2</v>
      </c>
      <c r="K28">
        <v>0</v>
      </c>
      <c r="L28" s="2">
        <v>0.04</v>
      </c>
      <c r="M28">
        <v>0.1</v>
      </c>
      <c r="N28" s="2">
        <v>8.0000000000000007E-5</v>
      </c>
      <c r="O28" s="2">
        <v>2.0000000000000001E-4</v>
      </c>
    </row>
    <row r="29" spans="1:15">
      <c r="B29" t="s">
        <v>33</v>
      </c>
      <c r="C29" t="s">
        <v>32</v>
      </c>
      <c r="D29" t="s">
        <v>80</v>
      </c>
      <c r="E29" t="s">
        <v>81</v>
      </c>
      <c r="F29" t="s">
        <v>10</v>
      </c>
      <c r="G29" t="s">
        <v>80</v>
      </c>
      <c r="H29" t="s">
        <v>82</v>
      </c>
      <c r="I29" t="s">
        <v>24</v>
      </c>
      <c r="J29">
        <v>0</v>
      </c>
      <c r="K29">
        <v>2365</v>
      </c>
      <c r="L29" s="2">
        <v>3.5000000000000001E-3</v>
      </c>
      <c r="M29">
        <v>2.5000000000000001E-2</v>
      </c>
      <c r="N29" s="2">
        <v>8.2774999999999999</v>
      </c>
      <c r="O29" s="2">
        <v>59.125</v>
      </c>
    </row>
    <row r="30" spans="1:15">
      <c r="B30" t="s">
        <v>33</v>
      </c>
      <c r="C30" t="s">
        <v>32</v>
      </c>
      <c r="D30" t="s">
        <v>64</v>
      </c>
      <c r="E30" t="s">
        <v>65</v>
      </c>
      <c r="F30" t="s">
        <v>12</v>
      </c>
      <c r="G30" t="s">
        <v>64</v>
      </c>
      <c r="H30" t="s">
        <v>66</v>
      </c>
      <c r="I30" t="s">
        <v>24</v>
      </c>
      <c r="J30">
        <v>970625</v>
      </c>
      <c r="K30">
        <v>67</v>
      </c>
      <c r="L30" s="2">
        <v>0.04</v>
      </c>
      <c r="M30">
        <v>0.1</v>
      </c>
      <c r="N30" s="2">
        <v>38.825000000000003</v>
      </c>
      <c r="O30" s="2">
        <v>97.0625</v>
      </c>
    </row>
    <row r="31" spans="1:15">
      <c r="B31" t="s">
        <v>33</v>
      </c>
      <c r="C31" t="s">
        <v>32</v>
      </c>
      <c r="D31" t="s">
        <v>67</v>
      </c>
      <c r="E31" t="s">
        <v>68</v>
      </c>
      <c r="F31" t="s">
        <v>10</v>
      </c>
      <c r="G31" t="s">
        <v>67</v>
      </c>
      <c r="H31" t="s">
        <v>69</v>
      </c>
      <c r="I31" t="s">
        <v>24</v>
      </c>
      <c r="J31">
        <v>0</v>
      </c>
      <c r="K31">
        <v>1131</v>
      </c>
      <c r="L31" s="2">
        <v>3.5000000000000001E-3</v>
      </c>
      <c r="M31">
        <v>2.5000000000000001E-2</v>
      </c>
      <c r="N31" s="2">
        <v>3.9584999999999999</v>
      </c>
      <c r="O31" s="2">
        <v>28.275000000000002</v>
      </c>
    </row>
    <row r="32" spans="1:15">
      <c r="B32" t="s">
        <v>33</v>
      </c>
      <c r="C32" t="s">
        <v>32</v>
      </c>
      <c r="D32" t="s">
        <v>70</v>
      </c>
      <c r="E32" t="s">
        <v>71</v>
      </c>
      <c r="F32" t="s">
        <v>12</v>
      </c>
      <c r="G32" t="s">
        <v>70</v>
      </c>
      <c r="H32" t="s">
        <v>72</v>
      </c>
      <c r="I32" t="s">
        <v>24</v>
      </c>
      <c r="J32">
        <v>374002</v>
      </c>
      <c r="K32">
        <v>112</v>
      </c>
      <c r="L32" s="2">
        <v>0.04</v>
      </c>
      <c r="M32">
        <v>0.1</v>
      </c>
      <c r="N32" s="2">
        <v>14.96008</v>
      </c>
      <c r="O32" s="2">
        <v>37.400200000000005</v>
      </c>
    </row>
    <row r="33" spans="2:15">
      <c r="B33" t="s">
        <v>33</v>
      </c>
      <c r="C33" t="s">
        <v>32</v>
      </c>
      <c r="D33" t="s">
        <v>73</v>
      </c>
      <c r="E33" t="s">
        <v>74</v>
      </c>
      <c r="F33" t="s">
        <v>12</v>
      </c>
      <c r="G33" t="s">
        <v>73</v>
      </c>
      <c r="H33" t="s">
        <v>75</v>
      </c>
      <c r="I33" t="s">
        <v>24</v>
      </c>
      <c r="J33">
        <v>237010</v>
      </c>
      <c r="K33">
        <v>323</v>
      </c>
      <c r="L33" s="2">
        <v>0.04</v>
      </c>
      <c r="M33">
        <v>0.1</v>
      </c>
      <c r="N33" s="2">
        <v>9.4803999999999995</v>
      </c>
      <c r="O33" s="2">
        <v>23.701000000000001</v>
      </c>
    </row>
    <row r="34" spans="2:15">
      <c r="B34" t="s">
        <v>33</v>
      </c>
      <c r="C34" t="s">
        <v>32</v>
      </c>
      <c r="D34" t="s">
        <v>83</v>
      </c>
      <c r="E34" t="s">
        <v>84</v>
      </c>
      <c r="F34" t="s">
        <v>10</v>
      </c>
      <c r="G34" t="s">
        <v>83</v>
      </c>
      <c r="H34" t="s">
        <v>85</v>
      </c>
      <c r="I34" t="s">
        <v>24</v>
      </c>
      <c r="J34">
        <v>0</v>
      </c>
      <c r="K34">
        <v>1143</v>
      </c>
      <c r="L34" s="2">
        <v>3.5000000000000001E-3</v>
      </c>
      <c r="M34">
        <v>2.5000000000000001E-2</v>
      </c>
      <c r="N34" s="2">
        <v>4.0004999999999997</v>
      </c>
      <c r="O34" s="2">
        <v>28.575000000000003</v>
      </c>
    </row>
    <row r="35" spans="2:15">
      <c r="B35" t="s">
        <v>33</v>
      </c>
      <c r="C35" t="s">
        <v>32</v>
      </c>
      <c r="D35" t="s">
        <v>86</v>
      </c>
      <c r="E35" t="s">
        <v>87</v>
      </c>
      <c r="F35" t="s">
        <v>10</v>
      </c>
      <c r="G35" t="s">
        <v>86</v>
      </c>
      <c r="H35" t="s">
        <v>88</v>
      </c>
      <c r="I35" t="s">
        <v>24</v>
      </c>
      <c r="J35">
        <v>0</v>
      </c>
      <c r="K35">
        <v>4432</v>
      </c>
      <c r="L35" s="2">
        <v>3.5000000000000001E-3</v>
      </c>
      <c r="M35">
        <v>2.5000000000000001E-2</v>
      </c>
      <c r="N35" s="2">
        <v>15.512</v>
      </c>
      <c r="O35" s="2">
        <v>110.80000000000001</v>
      </c>
    </row>
    <row r="36" spans="2:15">
      <c r="B36" t="s">
        <v>33</v>
      </c>
      <c r="C36" t="s">
        <v>32</v>
      </c>
      <c r="D36" t="s">
        <v>89</v>
      </c>
      <c r="E36" t="s">
        <v>90</v>
      </c>
      <c r="F36" t="s">
        <v>10</v>
      </c>
      <c r="G36" t="s">
        <v>89</v>
      </c>
      <c r="H36" t="s">
        <v>91</v>
      </c>
      <c r="I36" t="s">
        <v>24</v>
      </c>
      <c r="J36">
        <v>0</v>
      </c>
      <c r="K36">
        <v>963</v>
      </c>
      <c r="L36" s="2">
        <v>3.5000000000000001E-3</v>
      </c>
      <c r="M36">
        <v>2.5000000000000001E-2</v>
      </c>
      <c r="N36" s="2">
        <v>3.3705000000000003</v>
      </c>
      <c r="O36" s="2">
        <v>24.075000000000003</v>
      </c>
    </row>
    <row r="37" spans="2:15">
      <c r="B37" t="s">
        <v>33</v>
      </c>
      <c r="C37" t="s">
        <v>76</v>
      </c>
      <c r="D37" t="s">
        <v>77</v>
      </c>
      <c r="E37" t="s">
        <v>78</v>
      </c>
      <c r="F37" t="s">
        <v>12</v>
      </c>
      <c r="G37" t="s">
        <v>77</v>
      </c>
      <c r="H37" t="s">
        <v>79</v>
      </c>
      <c r="I37" t="s">
        <v>24</v>
      </c>
      <c r="J37">
        <v>1616459</v>
      </c>
      <c r="K37">
        <v>417</v>
      </c>
      <c r="L37" s="2">
        <v>0.04</v>
      </c>
      <c r="M37">
        <v>0.1</v>
      </c>
      <c r="N37" s="2">
        <v>64.658360000000002</v>
      </c>
      <c r="O37" s="2">
        <v>161.64590000000001</v>
      </c>
    </row>
    <row r="38" spans="2:15">
      <c r="L38" s="2"/>
      <c r="N38" s="2"/>
      <c r="O38" s="2"/>
    </row>
    <row r="39" spans="2:15">
      <c r="L39" s="2"/>
      <c r="N39" s="2"/>
      <c r="O39" s="2"/>
    </row>
    <row r="40" spans="2:15">
      <c r="L40" s="2"/>
      <c r="N40" s="2"/>
      <c r="O40" s="2"/>
    </row>
    <row r="41" spans="2:15">
      <c r="L41" s="2"/>
      <c r="N41" s="2"/>
      <c r="O41" s="2"/>
    </row>
    <row r="42" spans="2:15">
      <c r="L42" s="2"/>
      <c r="N42" s="2"/>
      <c r="O42" s="2"/>
    </row>
    <row r="43" spans="2:15">
      <c r="L43" s="2"/>
      <c r="N43" s="2"/>
      <c r="O43" s="2"/>
    </row>
    <row r="44" spans="2:15">
      <c r="L44" s="2"/>
      <c r="N44" s="2"/>
      <c r="O44" s="2"/>
    </row>
    <row r="45" spans="2:15">
      <c r="L45" s="2"/>
      <c r="N45" s="2"/>
      <c r="O45" s="2"/>
    </row>
    <row r="46" spans="2:15">
      <c r="L46" s="2"/>
      <c r="N46" s="2"/>
      <c r="O46" s="2"/>
    </row>
    <row r="47" spans="2:15">
      <c r="L47" s="2"/>
      <c r="N47" s="2"/>
      <c r="O47" s="2"/>
    </row>
    <row r="48" spans="2:15">
      <c r="L48" s="2"/>
      <c r="N48" s="2"/>
      <c r="O48" s="2"/>
    </row>
    <row r="49" spans="12:15">
      <c r="L49" s="2"/>
      <c r="N49" s="2"/>
      <c r="O49" s="2"/>
    </row>
    <row r="50" spans="12:15">
      <c r="L50" s="2"/>
      <c r="N50" s="2"/>
      <c r="O50" s="2"/>
    </row>
    <row r="51" spans="12:15">
      <c r="L51" s="2"/>
      <c r="N51" s="2"/>
      <c r="O51" s="2"/>
    </row>
    <row r="52" spans="12:15">
      <c r="L52" s="2"/>
      <c r="N52" s="2"/>
      <c r="O52" s="2"/>
    </row>
    <row r="53" spans="12:15">
      <c r="L53" s="2"/>
      <c r="N53" s="2"/>
      <c r="O53" s="2"/>
    </row>
    <row r="54" spans="12:15">
      <c r="L54" s="2"/>
      <c r="N54" s="2"/>
      <c r="O54" s="2"/>
    </row>
    <row r="55" spans="12:15">
      <c r="L55" s="2"/>
      <c r="N55" s="2"/>
      <c r="O55" s="2"/>
    </row>
    <row r="56" spans="12:15">
      <c r="L56" s="2"/>
      <c r="N56" s="2"/>
      <c r="O56" s="2"/>
    </row>
    <row r="57" spans="12:15">
      <c r="L57" s="2"/>
      <c r="N57" s="2"/>
      <c r="O57" s="2"/>
    </row>
    <row r="58" spans="12:15">
      <c r="L58" s="2"/>
      <c r="N58" s="2"/>
      <c r="O58" s="2"/>
    </row>
    <row r="59" spans="12:15">
      <c r="L59" s="2"/>
      <c r="N59" s="2"/>
      <c r="O59" s="2"/>
    </row>
    <row r="60" spans="12:15">
      <c r="L60" s="2"/>
      <c r="N60" s="2"/>
      <c r="O60" s="2"/>
    </row>
    <row r="61" spans="12:15">
      <c r="L61" s="2"/>
      <c r="N61" s="2"/>
      <c r="O61" s="2"/>
    </row>
    <row r="62" spans="12:15">
      <c r="L62" s="2"/>
      <c r="N62" s="2"/>
      <c r="O62" s="2"/>
    </row>
    <row r="63" spans="12:15">
      <c r="L63" s="2"/>
      <c r="N63" s="2"/>
      <c r="O63" s="2"/>
    </row>
    <row r="64" spans="12:15">
      <c r="L64" s="2"/>
      <c r="N64" s="2"/>
      <c r="O64" s="2"/>
    </row>
    <row r="65" spans="12:15">
      <c r="L65" s="2"/>
      <c r="N65" s="2"/>
      <c r="O65" s="2"/>
    </row>
    <row r="66" spans="12:15">
      <c r="L66" s="2"/>
      <c r="N66" s="2"/>
      <c r="O66" s="2"/>
    </row>
    <row r="67" spans="12:15">
      <c r="L67" s="2"/>
      <c r="N67" s="2"/>
      <c r="O67" s="2"/>
    </row>
    <row r="68" spans="12:15">
      <c r="L68" s="2"/>
      <c r="N68" s="2"/>
      <c r="O68" s="2"/>
    </row>
    <row r="69" spans="12:15">
      <c r="L69" s="2"/>
      <c r="N69" s="2"/>
      <c r="O69" s="2"/>
    </row>
    <row r="70" spans="12:15">
      <c r="L70" s="2"/>
      <c r="N70" s="2"/>
      <c r="O70" s="2"/>
    </row>
    <row r="71" spans="12:15">
      <c r="L71" s="2"/>
      <c r="N71" s="2"/>
      <c r="O71" s="2"/>
    </row>
    <row r="72" spans="12:15">
      <c r="L72" s="2"/>
      <c r="N72" s="2"/>
      <c r="O72" s="2"/>
    </row>
    <row r="73" spans="12:15">
      <c r="L73" s="2"/>
      <c r="N73" s="2"/>
      <c r="O73" s="2"/>
    </row>
    <row r="74" spans="12:15">
      <c r="L74" s="2"/>
      <c r="N74" s="2"/>
      <c r="O74" s="2"/>
    </row>
    <row r="75" spans="12:15">
      <c r="L75" s="2"/>
      <c r="N75" s="2"/>
      <c r="O75" s="2"/>
    </row>
    <row r="76" spans="12:15">
      <c r="L76" s="2"/>
      <c r="N76" s="2"/>
      <c r="O76" s="2"/>
    </row>
    <row r="77" spans="12:15">
      <c r="L77" s="2"/>
      <c r="N77" s="2"/>
      <c r="O77" s="2"/>
    </row>
    <row r="78" spans="12:15">
      <c r="L78" s="2"/>
      <c r="N78" s="2"/>
      <c r="O78" s="2"/>
    </row>
    <row r="79" spans="12:15">
      <c r="L79" s="2"/>
      <c r="N79" s="2"/>
      <c r="O79" s="2"/>
    </row>
    <row r="80" spans="12:15">
      <c r="L80" s="2"/>
      <c r="N80" s="2"/>
      <c r="O80" s="2"/>
    </row>
    <row r="81" spans="12:15">
      <c r="L81" s="2"/>
      <c r="N81" s="2"/>
      <c r="O81" s="2"/>
    </row>
    <row r="82" spans="12:15">
      <c r="L82" s="2"/>
      <c r="N82" s="2"/>
      <c r="O82" s="2"/>
    </row>
    <row r="83" spans="12:15">
      <c r="L83" s="2"/>
      <c r="N83" s="2"/>
      <c r="O83" s="2"/>
    </row>
    <row r="84" spans="12:15">
      <c r="L84" s="2"/>
      <c r="N84" s="2"/>
      <c r="O84" s="2"/>
    </row>
    <row r="85" spans="12:15">
      <c r="L85" s="2"/>
      <c r="N85" s="2"/>
      <c r="O85" s="2"/>
    </row>
    <row r="86" spans="12:15">
      <c r="L86" s="2"/>
      <c r="N86" s="2"/>
      <c r="O86" s="2"/>
    </row>
    <row r="87" spans="12:15">
      <c r="L87" s="2"/>
      <c r="N87" s="2"/>
      <c r="O87" s="2"/>
    </row>
    <row r="88" spans="12:15">
      <c r="L88" s="2"/>
      <c r="N88" s="2"/>
      <c r="O88" s="2"/>
    </row>
    <row r="89" spans="12:15">
      <c r="L89" s="2"/>
      <c r="N89" s="2"/>
      <c r="O89" s="2"/>
    </row>
    <row r="90" spans="12:15">
      <c r="L90" s="2"/>
      <c r="N90" s="2"/>
      <c r="O90" s="2"/>
    </row>
    <row r="91" spans="12:15">
      <c r="L91" s="2"/>
      <c r="N91" s="2"/>
      <c r="O91" s="2"/>
    </row>
    <row r="92" spans="12:15">
      <c r="L92" s="2"/>
      <c r="N92" s="2"/>
      <c r="O92" s="2"/>
    </row>
    <row r="93" spans="12:15">
      <c r="L93" s="2"/>
      <c r="N93" s="2"/>
      <c r="O93" s="2"/>
    </row>
    <row r="94" spans="12:15">
      <c r="L94" s="2"/>
      <c r="N94" s="2"/>
      <c r="O94" s="2"/>
    </row>
    <row r="95" spans="12:15">
      <c r="L95" s="2"/>
      <c r="N95" s="2"/>
      <c r="O95" s="2"/>
    </row>
    <row r="96" spans="12:15">
      <c r="L96" s="2"/>
      <c r="N96" s="2"/>
      <c r="O96" s="2"/>
    </row>
    <row r="97" spans="12:15">
      <c r="L97" s="2"/>
      <c r="N97" s="2"/>
      <c r="O97" s="2"/>
    </row>
    <row r="98" spans="12:15">
      <c r="L98" s="2"/>
      <c r="N98" s="2"/>
      <c r="O98" s="2"/>
    </row>
    <row r="99" spans="12:15">
      <c r="L99" s="2"/>
      <c r="N99" s="2"/>
      <c r="O99" s="2"/>
    </row>
    <row r="100" spans="12:15">
      <c r="L100" s="2"/>
      <c r="N100" s="2"/>
      <c r="O100" s="2"/>
    </row>
    <row r="101" spans="12:15">
      <c r="L101" s="2"/>
      <c r="N101" s="2"/>
      <c r="O101" s="2"/>
    </row>
    <row r="102" spans="12:15">
      <c r="L102" s="2"/>
      <c r="N102" s="2"/>
      <c r="O102" s="2"/>
    </row>
    <row r="103" spans="12:15">
      <c r="L103" s="2"/>
      <c r="N103" s="2"/>
      <c r="O103" s="2"/>
    </row>
    <row r="104" spans="12:15">
      <c r="L104" s="2"/>
      <c r="N104" s="2"/>
      <c r="O104" s="2"/>
    </row>
    <row r="105" spans="12:15">
      <c r="L105" s="2"/>
      <c r="N105" s="2"/>
      <c r="O105" s="2"/>
    </row>
    <row r="106" spans="12:15">
      <c r="L106" s="2"/>
      <c r="N106" s="2"/>
      <c r="O106" s="2"/>
    </row>
    <row r="107" spans="12:15">
      <c r="L107" s="2"/>
      <c r="N107" s="2"/>
      <c r="O107" s="2"/>
    </row>
    <row r="108" spans="12:15">
      <c r="L108" s="2"/>
      <c r="N108" s="2"/>
      <c r="O108" s="2"/>
    </row>
    <row r="109" spans="12:15">
      <c r="L109" s="2"/>
      <c r="N109" s="2"/>
      <c r="O109" s="2"/>
    </row>
    <row r="110" spans="12:15">
      <c r="L110" s="2"/>
      <c r="N110" s="2"/>
      <c r="O110" s="2"/>
    </row>
    <row r="111" spans="12:15">
      <c r="L111" s="2"/>
      <c r="N111" s="2"/>
      <c r="O111" s="2"/>
    </row>
    <row r="112" spans="12:15">
      <c r="L112" s="2"/>
      <c r="N112" s="2"/>
      <c r="O112" s="2"/>
    </row>
    <row r="113" spans="12:15">
      <c r="L113" s="2"/>
      <c r="N113" s="2"/>
      <c r="O113" s="2"/>
    </row>
    <row r="114" spans="12:15">
      <c r="L114" s="2"/>
      <c r="N114" s="2"/>
      <c r="O114" s="2"/>
    </row>
    <row r="115" spans="12:15">
      <c r="L115" s="2"/>
      <c r="N115" s="2"/>
      <c r="O115" s="2"/>
    </row>
    <row r="116" spans="12:15">
      <c r="L116" s="2"/>
      <c r="N116" s="2"/>
      <c r="O116" s="2"/>
    </row>
    <row r="117" spans="12:15">
      <c r="L117" s="2"/>
      <c r="N117" s="2"/>
      <c r="O117" s="2"/>
    </row>
    <row r="118" spans="12:15">
      <c r="L118" s="2"/>
      <c r="N118" s="2"/>
      <c r="O118" s="2"/>
    </row>
    <row r="119" spans="12:15">
      <c r="L119" s="2"/>
      <c r="N119" s="2"/>
      <c r="O119" s="2"/>
    </row>
    <row r="120" spans="12:15">
      <c r="L120" s="2"/>
      <c r="N120" s="2"/>
      <c r="O120" s="2"/>
    </row>
    <row r="121" spans="12:15">
      <c r="L121" s="2"/>
      <c r="N121" s="2"/>
      <c r="O121" s="2"/>
    </row>
    <row r="122" spans="12:15">
      <c r="L122" s="2"/>
      <c r="N122" s="2"/>
      <c r="O122" s="2"/>
    </row>
    <row r="123" spans="12:15">
      <c r="L123" s="2"/>
      <c r="N123" s="2"/>
      <c r="O123" s="2"/>
    </row>
    <row r="124" spans="12:15">
      <c r="L124" s="2"/>
      <c r="N124" s="2"/>
      <c r="O124" s="2"/>
    </row>
    <row r="125" spans="12:15">
      <c r="L125" s="2"/>
      <c r="N125" s="2"/>
      <c r="O125" s="2"/>
    </row>
    <row r="126" spans="12:15">
      <c r="L126" s="2"/>
      <c r="N126" s="2"/>
      <c r="O126" s="2"/>
    </row>
    <row r="127" spans="12:15">
      <c r="L127" s="2"/>
      <c r="N127" s="2"/>
      <c r="O127" s="2"/>
    </row>
    <row r="128" spans="12:15">
      <c r="L128" s="2"/>
      <c r="N128" s="2"/>
      <c r="O128" s="2"/>
    </row>
    <row r="129" spans="12:15">
      <c r="L129" s="2"/>
      <c r="N129" s="2"/>
      <c r="O129" s="2"/>
    </row>
    <row r="130" spans="12:15">
      <c r="L130" s="2"/>
      <c r="N130" s="2"/>
      <c r="O130" s="2"/>
    </row>
    <row r="131" spans="12:15">
      <c r="L131" s="2"/>
      <c r="N131" s="2"/>
      <c r="O131" s="2"/>
    </row>
    <row r="132" spans="12:15">
      <c r="L132" s="2"/>
      <c r="N132" s="2"/>
      <c r="O132" s="2"/>
    </row>
    <row r="133" spans="12:15">
      <c r="L133" s="2"/>
      <c r="N133" s="2"/>
      <c r="O133" s="2"/>
    </row>
    <row r="134" spans="12:15">
      <c r="L134" s="2"/>
      <c r="N134" s="2"/>
      <c r="O134" s="2"/>
    </row>
    <row r="135" spans="12:15">
      <c r="L135" s="2"/>
      <c r="N135" s="2"/>
      <c r="O135" s="2"/>
    </row>
    <row r="136" spans="12:15">
      <c r="L136" s="2"/>
      <c r="N136" s="2"/>
      <c r="O136" s="2"/>
    </row>
    <row r="137" spans="12:15">
      <c r="L137" s="2"/>
      <c r="N137" s="2"/>
      <c r="O137" s="2"/>
    </row>
    <row r="138" spans="12:15">
      <c r="L138" s="2"/>
      <c r="N138" s="2"/>
      <c r="O138" s="2"/>
    </row>
    <row r="139" spans="12:15">
      <c r="L139" s="2"/>
      <c r="N139" s="2"/>
      <c r="O139" s="2"/>
    </row>
    <row r="140" spans="12:15">
      <c r="L140" s="2"/>
      <c r="N140" s="2"/>
      <c r="O140" s="2"/>
    </row>
    <row r="141" spans="12:15">
      <c r="L141" s="2"/>
      <c r="N141" s="2"/>
      <c r="O141" s="2"/>
    </row>
    <row r="142" spans="12:15">
      <c r="L142" s="2"/>
      <c r="N142" s="2"/>
      <c r="O142" s="2"/>
    </row>
    <row r="143" spans="12:15">
      <c r="L143" s="2"/>
      <c r="N143" s="2"/>
      <c r="O143" s="2"/>
    </row>
    <row r="144" spans="12:15">
      <c r="L144" s="2"/>
      <c r="N144" s="2"/>
      <c r="O144" s="2"/>
    </row>
    <row r="145" spans="12:15">
      <c r="L145" s="2"/>
      <c r="N145" s="2"/>
      <c r="O145" s="2"/>
    </row>
    <row r="146" spans="12:15">
      <c r="L146" s="2"/>
      <c r="N146" s="2"/>
      <c r="O146" s="2"/>
    </row>
    <row r="147" spans="12:15">
      <c r="L147" s="2"/>
      <c r="N147" s="2"/>
      <c r="O147" s="2"/>
    </row>
    <row r="148" spans="12:15">
      <c r="L148" s="2"/>
      <c r="N148" s="2"/>
      <c r="O148" s="2"/>
    </row>
    <row r="149" spans="12:15">
      <c r="L149" s="2"/>
      <c r="N149" s="2"/>
      <c r="O149" s="2"/>
    </row>
    <row r="150" spans="12:15">
      <c r="L150" s="2"/>
      <c r="N150" s="2"/>
      <c r="O150" s="2"/>
    </row>
    <row r="151" spans="12:15">
      <c r="L151" s="2"/>
      <c r="N151" s="2"/>
      <c r="O151" s="2"/>
    </row>
    <row r="152" spans="12:15">
      <c r="L152" s="2"/>
      <c r="N152" s="2"/>
      <c r="O152" s="2"/>
    </row>
    <row r="153" spans="12:15">
      <c r="L153" s="2"/>
      <c r="N153" s="2"/>
      <c r="O153" s="2"/>
    </row>
    <row r="154" spans="12:15">
      <c r="L154" s="2"/>
      <c r="N154" s="2"/>
      <c r="O154" s="2"/>
    </row>
    <row r="155" spans="12:15">
      <c r="L155" s="2"/>
      <c r="N155" s="2"/>
      <c r="O155" s="2"/>
    </row>
    <row r="156" spans="12:15">
      <c r="L156" s="2"/>
      <c r="N156" s="2"/>
      <c r="O156" s="2"/>
    </row>
    <row r="157" spans="12:15">
      <c r="L157" s="2"/>
      <c r="N157" s="2"/>
      <c r="O157" s="2"/>
    </row>
    <row r="158" spans="12:15">
      <c r="L158" s="2"/>
      <c r="N158" s="2"/>
      <c r="O158" s="2"/>
    </row>
    <row r="159" spans="12:15">
      <c r="L159" s="2"/>
      <c r="N159" s="2"/>
      <c r="O159" s="2"/>
    </row>
    <row r="160" spans="12:15">
      <c r="L160" s="2"/>
      <c r="N160" s="2"/>
      <c r="O160" s="2"/>
    </row>
    <row r="161" spans="12:15">
      <c r="L161" s="2"/>
      <c r="N161" s="2"/>
      <c r="O161" s="2"/>
    </row>
    <row r="162" spans="12:15">
      <c r="L162" s="2"/>
      <c r="N162" s="2"/>
      <c r="O162" s="2"/>
    </row>
    <row r="163" spans="12:15">
      <c r="L163" s="2"/>
      <c r="N163" s="2"/>
      <c r="O163" s="2"/>
    </row>
    <row r="164" spans="12:15">
      <c r="L164" s="2"/>
      <c r="N164" s="2"/>
      <c r="O164" s="2"/>
    </row>
    <row r="165" spans="12:15">
      <c r="L165" s="2"/>
      <c r="N165" s="2"/>
      <c r="O165" s="2"/>
    </row>
    <row r="166" spans="12:15">
      <c r="L166" s="2"/>
      <c r="N166" s="2"/>
      <c r="O166" s="2"/>
    </row>
    <row r="167" spans="12:15">
      <c r="L167" s="2"/>
      <c r="N167" s="2"/>
      <c r="O167" s="2"/>
    </row>
    <row r="168" spans="12:15">
      <c r="L168" s="2"/>
      <c r="N168" s="2"/>
      <c r="O168" s="2"/>
    </row>
    <row r="169" spans="12:15">
      <c r="L169" s="2"/>
      <c r="N169" s="2"/>
      <c r="O169" s="2"/>
    </row>
    <row r="170" spans="12:15">
      <c r="L170" s="2"/>
      <c r="N170" s="2"/>
      <c r="O170" s="2"/>
    </row>
    <row r="171" spans="12:15">
      <c r="L171" s="2"/>
      <c r="N171" s="2"/>
      <c r="O171" s="2"/>
    </row>
    <row r="172" spans="12:15">
      <c r="L172" s="2"/>
      <c r="N172" s="2"/>
      <c r="O172" s="2"/>
    </row>
    <row r="173" spans="12:15">
      <c r="L173" s="2"/>
      <c r="N173" s="2"/>
      <c r="O173" s="2"/>
    </row>
    <row r="174" spans="12:15">
      <c r="L174" s="2"/>
      <c r="N174" s="2"/>
      <c r="O174" s="2"/>
    </row>
    <row r="175" spans="12:15">
      <c r="L175" s="2"/>
      <c r="N175" s="2"/>
      <c r="O175" s="2"/>
    </row>
    <row r="176" spans="1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</sheetData>
  <autoFilter ref="A18:P1065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2020-02-06T17:26:08Z</dcterms:modified>
</cp:coreProperties>
</file>