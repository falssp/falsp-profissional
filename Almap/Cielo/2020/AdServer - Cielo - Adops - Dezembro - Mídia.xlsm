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B025217E-9F7B-4B45-9893-3D0ABE45456D}" xr6:coauthVersionLast="41" xr6:coauthVersionMax="41" xr10:uidLastSave="{00000000-0000-0000-0000-000000000000}"/>
  <bookViews>
    <workbookView xWindow="-24120" yWindow="-1050" windowWidth="24240" windowHeight="13140" tabRatio="702" xr2:uid="{00000000-000D-0000-FFFF-FFFF00000000}"/>
  </bookViews>
  <sheets>
    <sheet name="Resumo" sheetId="8" r:id="rId1"/>
  </sheets>
  <definedNames>
    <definedName name="_xlnm._FilterDatabase" localSheetId="0" hidden="1">Resumo!$A$18:$O$1070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<sst xmlns="http://schemas.openxmlformats.org/spreadsheetml/2006/main" count="2246" uniqueCount="891">
  <si>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</si>
  <si>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</si>
  <si>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</si>
  <si>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</si>
  <si>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</si>
  <si>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</si>
  <si>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</si>
  <si>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</si>
  <si>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</si>
  <si>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</si>
  <si>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</si>
  <si>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</si>
  <si>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</si>
  <si>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</si>
  <si>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</si>
  <si>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</si>
  <si>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</si>
  <si>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</si>
  <si>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</si>
  <si>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</si>
  <si>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</si>
  <si>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</si>
  <si>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</si>
  <si>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</si>
  <si>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</si>
  <si>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</si>
  <si>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</si>
  <si>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</si>
  <si>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</si>
  <si>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</si>
  <si>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</si>
  <si>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</si>
  <si>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</si>
  <si>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</si>
  <si>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</si>
  <si>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</si>
  <si>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</si>
  <si>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</si>
  <si>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</si>
  <si>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</si>
  <si>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</si>
  <si>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</si>
  <si>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</si>
  <si>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Google Brasil</t>
  </si>
  <si>
    <t>Taboola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</si>
  <si>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</si>
  <si>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</si>
  <si>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</si>
  <si>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</si>
  <si>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</si>
  <si>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</si>
  <si>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</si>
  <si>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</si>
  <si>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</si>
  <si>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</si>
  <si>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</si>
  <si>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</si>
  <si>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</si>
  <si>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</si>
  <si>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</si>
  <si>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</si>
  <si>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</si>
  <si>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</si>
  <si>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</si>
  <si>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</si>
  <si>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</si>
  <si>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</si>
  <si>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</si>
  <si>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</si>
  <si>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</si>
  <si>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</si>
  <si>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</si>
  <si>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</si>
  <si>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</si>
  <si>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</si>
  <si>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</si>
  <si>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</si>
  <si>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</si>
  <si>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</si>
  <si>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</si>
  <si>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</si>
  <si>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</si>
  <si>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</si>
  <si>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</si>
  <si>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</si>
  <si>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</si>
  <si>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</si>
  <si>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</si>
  <si>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</si>
  <si>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</si>
  <si>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</si>
  <si>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</si>
  <si>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</si>
  <si>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</si>
  <si>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</si>
  <si>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</si>
  <si>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</si>
  <si>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</si>
  <si>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</si>
  <si>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</si>
  <si>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</si>
  <si>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</si>
  <si>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</si>
  <si>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</si>
  <si>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</si>
  <si>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</si>
  <si>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</si>
  <si>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adsmovil:marca:indepedencia:display:cpm:richmedia-interstitial-320x480:aw_ins_nova-cielo-rita:cidp116.2.291:2</t>
  </si>
  <si>
    <t>256564335</t>
  </si>
  <si>
    <t>452313914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</si>
  <si>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</si>
  <si>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</si>
  <si>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</si>
  <si>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</si>
  <si>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</si>
  <si>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</si>
  <si>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verizon:marca:decisor:display:cpc:large-image-1200x627:aw_ins_nova-cielo-marcello:cidp116.2.616:2</t>
  </si>
  <si>
    <t>256094813</t>
  </si>
  <si>
    <t>452371273</t>
  </si>
  <si>
    <t>verizon:marca:indepedencia:display:cpc:large-image-1200x627:aw_ins_nova-cielo-marcello:cidp116.2.586:2</t>
  </si>
  <si>
    <t>256094972</t>
  </si>
  <si>
    <t>452371348</t>
  </si>
  <si>
    <t>verizon:marca:provedor:display:cpc:large-image-1200x627:aw_ins_nova-cielo-pedro:cidp116.2.524:2</t>
  </si>
  <si>
    <t>256564302</t>
  </si>
  <si>
    <t>452313881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</si>
  <si>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</si>
  <si>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</si>
  <si>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</si>
  <si>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</si>
  <si>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</si>
  <si>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</si>
  <si>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</si>
  <si>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</si>
  <si>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</si>
  <si>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</si>
  <si>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</si>
  <si>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</si>
  <si>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</si>
  <si>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</si>
  <si>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</si>
  <si>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</si>
  <si>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</si>
  <si>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</si>
  <si>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</si>
  <si>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</si>
  <si>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</si>
  <si>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</si>
  <si>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</si>
  <si>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</si>
  <si>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</si>
  <si>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</si>
  <si>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</si>
  <si>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</si>
  <si>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</si>
  <si>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</si>
  <si>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</si>
  <si>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</si>
  <si>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</si>
  <si>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</si>
  <si>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</si>
  <si>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</si>
  <si>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</si>
  <si>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</si>
  <si>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</si>
  <si>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</si>
  <si>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</si>
  <si>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</si>
  <si>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</si>
  <si>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</si>
  <si>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</si>
  <si>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</si>
  <si>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</si>
  <si>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</si>
  <si>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</si>
  <si>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</si>
  <si>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</si>
  <si>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</si>
  <si>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</si>
  <si>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</si>
  <si>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</si>
  <si>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</si>
  <si>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</si>
  <si>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</si>
  <si>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</si>
  <si>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</si>
  <si>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</si>
  <si>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</si>
  <si>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</si>
  <si>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</si>
  <si>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</si>
  <si>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</si>
  <si>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</si>
  <si>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</si>
  <si>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</si>
  <si>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</si>
  <si>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</si>
  <si>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</si>
  <si>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</si>
  <si>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</si>
  <si>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</si>
  <si>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</si>
  <si>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</si>
  <si>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</si>
  <si>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</si>
  <si>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</si>
  <si>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</si>
  <si>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</si>
  <si>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Hands</t>
  </si>
  <si>
    <t>In Loco Media</t>
  </si>
  <si>
    <t>almapbbdo:alp_lojas-cielo:display:awareness:todos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</si>
  <si>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</si>
  <si>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</si>
  <si>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</si>
  <si>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hands:marca:spgeolocalizacaoasabc21inauguracao:display:cpm:top-250x50:awa_ins_lojas-cielo:cidp122.2.1:2</t>
  </si>
  <si>
    <t>258182495</t>
  </si>
  <si>
    <t>454297676</t>
  </si>
  <si>
    <t>adsmovil:marca:carreira:display:cpm:intertestial-320x480:fre_ins_nova-cielo-pedro_taxa-zero:cidp116.2.1429:2</t>
  </si>
  <si>
    <t>257233949</t>
  </si>
  <si>
    <t>453375551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</si>
  <si>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</si>
  <si>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</si>
  <si>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</si>
  <si>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</si>
  <si>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</si>
  <si>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</si>
  <si>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</si>
  <si>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</si>
  <si>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</si>
  <si>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</si>
  <si>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</si>
  <si>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</si>
  <si>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</si>
  <si>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</si>
  <si>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</si>
  <si>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</si>
  <si>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</si>
  <si>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</si>
  <si>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</si>
  <si>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</si>
  <si>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</si>
  <si>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</si>
  <si>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</si>
  <si>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</si>
  <si>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</si>
  <si>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</si>
  <si>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</si>
  <si>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</si>
  <si>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</si>
  <si>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</si>
  <si>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</si>
  <si>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</si>
  <si>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</si>
  <si>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</si>
  <si>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</si>
  <si>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</si>
  <si>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</si>
  <si>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adsmovil:marca:rmkt_device_id:display:cpc:standard-banner-300x250:seg_ins_flash-marcello_taxa-zero:cidp116.2.1361:2</t>
  </si>
  <si>
    <t>257225292</t>
  </si>
  <si>
    <t>452921127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</si>
  <si>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</si>
  <si>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</si>
  <si>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</si>
  <si>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</si>
  <si>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</si>
  <si>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</si>
  <si>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</si>
  <si>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</si>
  <si>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</si>
  <si>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</si>
  <si>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</si>
  <si>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</si>
  <si>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</si>
  <si>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</si>
  <si>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</si>
  <si>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</si>
  <si>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</si>
  <si>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</si>
  <si>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</si>
  <si>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</si>
  <si>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</si>
  <si>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</si>
  <si>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</si>
  <si>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</si>
  <si>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</si>
  <si>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</si>
  <si>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</si>
  <si>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</si>
  <si>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</si>
  <si>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</si>
  <si>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</si>
  <si>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</si>
  <si>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</si>
  <si>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</si>
  <si>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</si>
  <si>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</si>
  <si>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</si>
  <si>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</si>
  <si>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</si>
  <si>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</si>
  <si>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</si>
  <si>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</si>
  <si>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</si>
  <si>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</si>
  <si>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</si>
  <si>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</si>
  <si>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</si>
  <si>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</si>
  <si>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</si>
  <si>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</si>
  <si>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</si>
  <si>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</si>
  <si>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</si>
  <si>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</si>
  <si>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</si>
  <si>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</si>
  <si>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</si>
  <si>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</si>
  <si>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</si>
  <si>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</si>
  <si>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</si>
  <si>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</si>
  <si>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</si>
  <si>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</si>
  <si>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</si>
  <si>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</si>
  <si>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</si>
  <si>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</si>
  <si>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</si>
  <si>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</si>
  <si>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</si>
  <si>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</si>
  <si>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</si>
  <si>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</si>
  <si>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</si>
  <si>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</si>
  <si>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</si>
  <si>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</si>
  <si>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</si>
  <si>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</si>
  <si>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</si>
  <si>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</si>
  <si>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</si>
  <si>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</si>
  <si>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</si>
  <si>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</si>
  <si>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</si>
  <si>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</si>
  <si>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</si>
  <si>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</si>
  <si>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</si>
  <si>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</si>
  <si>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</si>
  <si>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</si>
  <si>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</si>
  <si>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</si>
  <si>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</si>
  <si>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</si>
  <si>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</si>
  <si>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</si>
  <si>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</si>
  <si>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</si>
  <si>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</si>
  <si>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</si>
  <si>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</si>
  <si>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</si>
  <si>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</si>
  <si>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</si>
  <si>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</si>
  <si>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</si>
  <si>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</si>
  <si>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</si>
  <si>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</si>
  <si>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</si>
  <si>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</si>
  <si>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</si>
  <si>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</si>
  <si>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</si>
  <si>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</si>
  <si>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</si>
  <si>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</si>
  <si>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</si>
  <si>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</si>
  <si>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</si>
  <si>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</si>
  <si>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</si>
  <si>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</si>
  <si>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</si>
  <si>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</si>
  <si>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</si>
  <si>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</si>
  <si>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</si>
  <si>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</si>
  <si>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</si>
  <si>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</si>
  <si>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</si>
  <si>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</si>
  <si>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</si>
  <si>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</si>
  <si>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</si>
  <si>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</si>
  <si>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</si>
  <si>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</si>
  <si>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</si>
  <si>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</si>
  <si>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</si>
  <si>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</si>
  <si>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</si>
  <si>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</si>
  <si>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</si>
  <si>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</si>
  <si>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</si>
  <si>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</si>
  <si>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</si>
  <si>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</si>
  <si>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</si>
  <si>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</si>
  <si>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</si>
  <si>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</si>
  <si>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</si>
  <si>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</si>
  <si>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</si>
  <si>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</si>
  <si>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</si>
  <si>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</si>
  <si>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</si>
  <si>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</si>
  <si>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</si>
  <si>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</si>
  <si>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</si>
  <si>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</si>
  <si>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</si>
  <si>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</si>
  <si>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</si>
  <si>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</si>
  <si>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</si>
  <si>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</si>
  <si>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</si>
  <si>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</si>
  <si>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</si>
  <si>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</si>
  <si>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</si>
  <si>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</si>
  <si>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</si>
  <si>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</si>
  <si>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</si>
  <si>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</si>
  <si>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</si>
  <si>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</si>
  <si>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</si>
  <si>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</si>
  <si>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</si>
  <si>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</si>
  <si>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</si>
  <si>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</si>
  <si>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</si>
  <si>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</si>
  <si>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</si>
  <si>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</si>
  <si>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</si>
  <si>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</si>
  <si>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</si>
  <si>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</si>
  <si>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</si>
  <si>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</si>
  <si>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</si>
  <si>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</si>
  <si>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</si>
  <si>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</si>
  <si>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</si>
  <si>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</si>
  <si>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</si>
  <si>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</si>
  <si>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</si>
  <si>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</si>
  <si>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</si>
  <si>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</si>
  <si>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</si>
  <si>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</si>
  <si>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</si>
  <si>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</si>
  <si>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</si>
  <si>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</si>
  <si>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dv_360:marca:carreira:native:cpm:native-retangulo-1200x628:fre_ins_nova-cielo-rita:cidp116.2.495:2</t>
  </si>
  <si>
    <t>256667496</t>
  </si>
  <si>
    <t>452479270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</si>
  <si>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</si>
  <si>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</si>
  <si>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</si>
  <si>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</si>
  <si>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</si>
  <si>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</si>
  <si>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</si>
  <si>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</si>
  <si>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</si>
  <si>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</si>
  <si>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</si>
  <si>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</si>
  <si>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</si>
  <si>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</si>
  <si>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</si>
  <si>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</si>
  <si>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</si>
  <si>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</si>
  <si>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</si>
  <si>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</si>
  <si>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</si>
  <si>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</si>
  <si>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</si>
  <si>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</si>
  <si>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</si>
  <si>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</si>
  <si>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</si>
  <si>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</si>
  <si>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</si>
  <si>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</si>
  <si>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</si>
  <si>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</si>
  <si>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</si>
  <si>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</si>
  <si>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</si>
  <si>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</si>
  <si>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</si>
  <si>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</si>
  <si>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</si>
  <si>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</si>
  <si>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</si>
  <si>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</si>
  <si>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</si>
  <si>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</si>
  <si>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</si>
  <si>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</si>
  <si>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</si>
  <si>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</si>
  <si>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</si>
  <si>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</si>
  <si>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</si>
  <si>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nov19:400x300:globo.com:pegn:whitelist:abc_as_25-54_anos_segmentado:novacielo-danilo:consideracao:alp_pegn:patrocinio</t>
  </si>
  <si>
    <t>260210250</t>
  </si>
  <si>
    <t>455758629</t>
  </si>
  <si>
    <t>nov19:400x300:globo.com:pegn:whitelist:abc_as_25-54_anos_segmentado:novacielo-marcello:consideracao:alp_pegn:patrocinio</t>
  </si>
  <si>
    <t>260209830</t>
  </si>
  <si>
    <t>455878747</t>
  </si>
  <si>
    <t>nov19:400x300:globo.com:pegn:whitelist:abc_as_25-54_anos_segmentado:novacielo-pedro:consideracao:alp_pegn:patrocinio</t>
  </si>
  <si>
    <t>259812476</t>
  </si>
  <si>
    <t>455878711</t>
  </si>
  <si>
    <t>nov19:400x300:globo.com:pegn:whitelist:abc_as_25-54_anos_segmentado:novacielo-rita:consideracao:alp_pegn:patrocinio</t>
  </si>
  <si>
    <t>259812212</t>
  </si>
  <si>
    <t>455760276</t>
  </si>
  <si>
    <t>nov19:970x150:globo.com:pegn:whitelist:abc_as_25-54_anos_segmentado:novacielo-danilo:consideracao:alp_pegn:patrocinio</t>
  </si>
  <si>
    <t>259812272</t>
  </si>
  <si>
    <t>455876839</t>
  </si>
  <si>
    <t>nov19:970x150:globo.com:pegn:whitelist:abc_as_25-54_anos_segmentado:novacielo-marcello:consideracao:alp_pegn:patrocinio</t>
  </si>
  <si>
    <t>259812020</t>
  </si>
  <si>
    <t>455876806</t>
  </si>
  <si>
    <t>nov19:970x150:globo.com:pegn:whitelist:abc_as_25-54_anos_segmentado:novacielo-pedro:consideracao:alp_pegn:patrocinio</t>
  </si>
  <si>
    <t>259809527</t>
  </si>
  <si>
    <t>455878549</t>
  </si>
  <si>
    <t>nov19:970x150:globo.com:pegn:whitelist:abc_as_25-54_anos_segmentado:novacielo-rita:consideracao:alp_pegn:patrocinio</t>
  </si>
  <si>
    <t>260208411</t>
  </si>
  <si>
    <t>455775755</t>
  </si>
  <si>
    <t>oct19:300x600:globo.com:pegn:whitelist:abc_as_25-54_anos_segmentado:novacielo-marcello:awareness:alp_pegn:patrocinio</t>
  </si>
  <si>
    <t>257740489</t>
  </si>
  <si>
    <t>453566675</t>
  </si>
  <si>
    <t>oct19:300x600:globo.com:pegn:whitelist:abc_as_25-54_anos_segmentado:novacielo-rita:awareness:alp_pegn:patrocinio</t>
  </si>
  <si>
    <t>257415800</t>
  </si>
  <si>
    <t>453595984</t>
  </si>
  <si>
    <t>oct19:300x600:globo.com:pegn:whitelist:abc_as_25-54_anos_segmentado:novacielo-taxazero-danilo:consideracao:alp_pegn:patrocinio</t>
  </si>
  <si>
    <t>257750806</t>
  </si>
  <si>
    <t>453599365</t>
  </si>
  <si>
    <t>oct19:300x600:globo.com:pegn:whitelist:abc_as_25-54_anos_segmentado:novacielo-taxazero-marcello:consideracao:alp_pegn:patrocinio</t>
  </si>
  <si>
    <t>257419247</t>
  </si>
  <si>
    <t>453511845</t>
  </si>
  <si>
    <t>oct19:300x600:globo.com:pegn:whitelist:abc_as_25-54_anos_segmentado:novacielo-taxazero-pedro:consideracao:alp_pegn:patrocinio</t>
  </si>
  <si>
    <t>257420213</t>
  </si>
  <si>
    <t>453569843</t>
  </si>
  <si>
    <t>almapbbdo:alp_black-friday-gc:display:awareness:todos</t>
  </si>
  <si>
    <t>inloco:marca:geolocaliza:display:cpm:interstitial-960x1440:awa_ins_grandes-contas-123milhas:cidp124.2.39:2</t>
  </si>
  <si>
    <t>261608045</t>
  </si>
  <si>
    <t>457588042</t>
  </si>
  <si>
    <t>inloco:marca:geolocaliza:display:cpm:interstitial-960x1440:awa_ins_grandes-contas-gol:cidp124.2.47:2</t>
  </si>
  <si>
    <t>261608042</t>
  </si>
  <si>
    <t>457588039</t>
  </si>
  <si>
    <t>inloco:marca:geolocaliza:display:cpm:interstitial-960x1440:awa_ins_grandes-contas-iplace:cidp124.2.35:2</t>
  </si>
  <si>
    <t>261405743</t>
  </si>
  <si>
    <t>457410478</t>
  </si>
  <si>
    <t>inloco:marca:geolocaliza:display:cpm:interstitial-960x1440:awa_ins_grandes-contas-kalunga:cidp124.2.11:2</t>
  </si>
  <si>
    <t>261629722</t>
  </si>
  <si>
    <t>457222830</t>
  </si>
  <si>
    <t>inloco:marca:geolocaliza:display:cpm:interstitial-960x1440:awa_ins_grandes-contas-maxmilhas:cidp124.2.43:2</t>
  </si>
  <si>
    <t>261608027</t>
  </si>
  <si>
    <t>457588024</t>
  </si>
  <si>
    <t>inloco:marca:geolocaliza:display:cpm:interstitial-960x1440:awa_ins_grandes-contas-paguemenos:cidp124.2.15:2</t>
  </si>
  <si>
    <t>261626785</t>
  </si>
  <si>
    <t>457209983</t>
  </si>
  <si>
    <t>inloco:marca:geolocaliza:display:cpm:interstitial-960x1440:awa_ins_grandes-contas-wirecard:cidp124.2.31:2</t>
  </si>
  <si>
    <t>261405704</t>
  </si>
  <si>
    <t>457410439</t>
  </si>
  <si>
    <t>inloco:marca:geolocaliza:display:cpm:mediumrectangle-900x750:awa_ins_grandes-contas-123milhas:cidp124.2.38:2</t>
  </si>
  <si>
    <t>261608051</t>
  </si>
  <si>
    <t>457588048</t>
  </si>
  <si>
    <t>inloco:marca:geolocaliza:display:cpm:mediumrectangle-900x750:awa_ins_grandes-contas-gol:cidp124.2.46:2</t>
  </si>
  <si>
    <t>261608048</t>
  </si>
  <si>
    <t>457588045</t>
  </si>
  <si>
    <t>inloco:marca:geolocaliza:display:cpm:mediumrectangle-900x750:awa_ins_grandes-contas-iplace:cidp124.2.34:2</t>
  </si>
  <si>
    <t>261405749</t>
  </si>
  <si>
    <t>457410484</t>
  </si>
  <si>
    <t>inloco:marca:geolocaliza:display:cpm:mediumrectangle-900x750:awa_ins_grandes-contas-kalunga:cidp124.2.10:2</t>
  </si>
  <si>
    <t>261714375</t>
  </si>
  <si>
    <t>457219869</t>
  </si>
  <si>
    <t>inloco:marca:geolocaliza:display:cpm:mediumrectangle-900x750:awa_ins_grandes-contas-maxmilhas:cidp124.2.42:2</t>
  </si>
  <si>
    <t>261608030</t>
  </si>
  <si>
    <t>457588027</t>
  </si>
  <si>
    <t>inloco:marca:geolocaliza:display:cpm:mediumrectangle-900x750:awa_ins_grandes-contas-paguemenos:cidp124.2.14:2</t>
  </si>
  <si>
    <t>261615496</t>
  </si>
  <si>
    <t>457209704</t>
  </si>
  <si>
    <t>inloco:marca:geolocaliza:display:cpm:mediumrectangle-900x750:awa_ins_grandes-contas-wirecard:cidp124.2.30:2</t>
  </si>
  <si>
    <t>261405707</t>
  </si>
  <si>
    <t>457410442</t>
  </si>
  <si>
    <t>inloco:marca:geolocaliza:display:cpm:native-1200x627:awa_ins_grandes-contas-123milhas:cidp124.2.40:2</t>
  </si>
  <si>
    <t>261608039</t>
  </si>
  <si>
    <t>457588036</t>
  </si>
  <si>
    <t>inloco:marca:geolocaliza:display:cpm:native-1200x627:awa_ins_grandes-contas-gol:cidp124.2.48:2</t>
  </si>
  <si>
    <t>261608036</t>
  </si>
  <si>
    <t>457588033</t>
  </si>
  <si>
    <t>inloco:marca:geolocaliza:display:cpm:native-1200x627:awa_ins_grandes-contas-iplace:cidp124.2.36:2</t>
  </si>
  <si>
    <t>261405737</t>
  </si>
  <si>
    <t>457410472</t>
  </si>
  <si>
    <t>inloco:marca:geolocaliza:display:cpm:native-1200x627:awa_ins_grandes-contas-kalunga:cidp124.2.12:2</t>
  </si>
  <si>
    <t>261710301</t>
  </si>
  <si>
    <t>457209686</t>
  </si>
  <si>
    <t>inloco:marca:geolocaliza:display:cpm:native-1200x627:awa_ins_grandes-contas-maxmilhas:cidp124.2.44:2</t>
  </si>
  <si>
    <t>261608024</t>
  </si>
  <si>
    <t>457588021</t>
  </si>
  <si>
    <t>inloco:marca:geolocaliza:display:cpm:native-1200x627:awa_ins_grandes-contas-paguemenos:cidp124.2.16:2</t>
  </si>
  <si>
    <t>261714396</t>
  </si>
  <si>
    <t>457222845</t>
  </si>
  <si>
    <t>inloco:marca:geolocaliza:display:cpm:native-1200x627:awa_ins_grandes-contas-wirecard:cidp124.2.32:2</t>
  </si>
  <si>
    <t>261405701</t>
  </si>
  <si>
    <t>457410436</t>
  </si>
  <si>
    <t>inloco:marca:geolocaliza:display:cpm:smallbanner-960x150:awa_ins_grandes-contas-123milhas:cidp124.2.37:2</t>
  </si>
  <si>
    <t>261608057</t>
  </si>
  <si>
    <t>457588054</t>
  </si>
  <si>
    <t>inloco:marca:geolocaliza:display:cpm:smallbanner-960x150:awa_ins_grandes-contas-gol:cidp124.2.45:2</t>
  </si>
  <si>
    <t>261608054</t>
  </si>
  <si>
    <t>457588051</t>
  </si>
  <si>
    <t>inloco:marca:geolocaliza:display:cpm:smallbanner-960x150:awa_ins_grandes-contas-iplace:cidp124.2.33:2</t>
  </si>
  <si>
    <t>261405755</t>
  </si>
  <si>
    <t>457410490</t>
  </si>
  <si>
    <t>inloco:marca:geolocaliza:display:cpm:smallbanner-960x150:awa_ins_grandes-contas-kalunga:cidp124.2.9:2</t>
  </si>
  <si>
    <t>261626755</t>
  </si>
  <si>
    <t>457222824</t>
  </si>
  <si>
    <t>inloco:marca:geolocaliza:display:cpm:smallbanner-960x150:awa_ins_grandes-contas-maxmilhas:cidp124.2.41:2</t>
  </si>
  <si>
    <t>261608033</t>
  </si>
  <si>
    <t>457588030</t>
  </si>
  <si>
    <t>inloco:marca:geolocaliza:display:cpm:smallbanner-960x150:awa_ins_grandes-contas-paguemenos:cidp124.2.13:2</t>
  </si>
  <si>
    <t>261315665</t>
  </si>
  <si>
    <t>457217061</t>
  </si>
  <si>
    <t>inloco:marca:geolocaliza:display:cpm:smallbanner-960x150:awa_ins_grandes-contas-wirecard:cidp124.2.29:2</t>
  </si>
  <si>
    <t>261405710</t>
  </si>
  <si>
    <t>457410445</t>
  </si>
  <si>
    <t>BR OLX</t>
  </si>
  <si>
    <t>olx:marca:audiencia_do_portal:display:patrocinio:native-app-600x600:aw_pre-blackfriday:cidp116.2.1559:2</t>
  </si>
  <si>
    <t>259758824</t>
  </si>
  <si>
    <t>455724356</t>
  </si>
  <si>
    <t>olx:marca:audiencia_do_portal:display:patrocinio:retangulo-medio-300x250:aw_pre-blackfriday:cidp116.2.1562:2</t>
  </si>
  <si>
    <t>259808273</t>
  </si>
  <si>
    <t>455756763</t>
  </si>
  <si>
    <t>OPL Digital</t>
  </si>
  <si>
    <t>opl:marca:campinascircuitocielotransportespublicosepequenoscentroscomerciais:display:cpc:banner-push-320x50:black-friday_minizip:cidp116.2.1588:2</t>
  </si>
  <si>
    <t>261834612</t>
  </si>
  <si>
    <t>457322018</t>
  </si>
  <si>
    <t>opl:marca:campinascircuitocielotransportespublicosepequenoscentroscomerciais:display:cpc:text-push-72x72:black-friday_minizip:cidp116.2.1585:2</t>
  </si>
  <si>
    <t>261758932</t>
  </si>
  <si>
    <t>457324491</t>
  </si>
  <si>
    <t>opl:marca:campinascircuitocielotransportespublicosepequenoscentroscomerciais:display:cpc:text-push-72x72:black-friday_zip:cidp116.2.1586:2</t>
  </si>
  <si>
    <t>261834618</t>
  </si>
  <si>
    <t>457322024</t>
  </si>
  <si>
    <t>opl:marca:campinascircuitocielotransportespublicosepequenoscentroscomerciais:display:cpm:banner-ads-320x50:black-friday_flash:cidp116.2.1596:2</t>
  </si>
  <si>
    <t>261430121</t>
  </si>
  <si>
    <t>457321994</t>
  </si>
  <si>
    <t>opl:marca:campinascircuitocielotransportespublicosepequenoscentroscomerciais:display:cpm:banner-ads-320x50:black-friday_minizip:cidp116.2.1594:2</t>
  </si>
  <si>
    <t>261430127</t>
  </si>
  <si>
    <t>457322000</t>
  </si>
  <si>
    <t>opl:marca:campinascircuitocielotransportespublicosepequenoscentroscomerciais:display:cpm:banner-ads-320x50:black-friday_zip:cidp116.2.1595:2</t>
  </si>
  <si>
    <t>261430124</t>
  </si>
  <si>
    <t>457321997</t>
  </si>
  <si>
    <t>opl:marca:campinascircuitocielotransportespublicosepequenoscentroscomerciais:display:cpm:banner-arroba-300x250:black-friday_flash:cidp116.2.1599:2</t>
  </si>
  <si>
    <t>261430112</t>
  </si>
  <si>
    <t>457321985</t>
  </si>
  <si>
    <t>opl:marca:campinascircuitocielotransportespublicosepequenoscentroscomerciais:display:cpm:banner-arroba-300x250:black-friday_minizip:cidp116.2.1597:2</t>
  </si>
  <si>
    <t>261430118</t>
  </si>
  <si>
    <t>457321991</t>
  </si>
  <si>
    <t>opl:marca:campinascircuitocielotransportespublicosepequenoscentroscomerciais:display:cpm:banner-arroba-300x250:black-friday_zip:cidp116.2.1598:2</t>
  </si>
  <si>
    <t>261430115</t>
  </si>
  <si>
    <t>457321988</t>
  </si>
  <si>
    <t>almapbbdo:alp_nova-cielo-atualizado:display:performance:todos</t>
  </si>
  <si>
    <t>olx:marca:audiencia_do_portal:display:patrocinio:billboard-970x250:black-friday_minizip:cidp116.2.1580:2</t>
  </si>
  <si>
    <t>260673303</t>
  </si>
  <si>
    <t>456194121</t>
  </si>
  <si>
    <t>olx:marca:audiencia_do_portal:display:patrocinio:halfpag-300x600:black-friday_flash:cidp116.2.1576:2</t>
  </si>
  <si>
    <t>260671179</t>
  </si>
  <si>
    <t>456189669</t>
  </si>
  <si>
    <t>olx:marca:audiencia_do_portal:display:patrocinio:leaderboard-728x90:black-friday_zip:cidp116.2.1578:2</t>
  </si>
  <si>
    <t>260676804</t>
  </si>
  <si>
    <t>456221453</t>
  </si>
  <si>
    <t>olx:marca:audiencia_do_portal:display:patrocinio:nativeapp-600x600:black-friday_flash:cidp116.2.1567:2</t>
  </si>
  <si>
    <t>260452978</t>
  </si>
  <si>
    <t>456120830</t>
  </si>
  <si>
    <t>olx:marca:audiencia_do_portal:display:patrocinio:nativeapp-600x600:black-friday_zip:cidp116.2.1566:2</t>
  </si>
  <si>
    <t>260159291</t>
  </si>
  <si>
    <t>456121661</t>
  </si>
  <si>
    <t>olx:marca:audiencia_do_portal:display:patrocinio:nativeweb-448x336:black-friday_flash:cidp116.2.1570:2</t>
  </si>
  <si>
    <t>260473339</t>
  </si>
  <si>
    <t>456233287</t>
  </si>
  <si>
    <t>olx:marca:audiencia_do_portal:display:patrocinio:nativeweb-448x336:black-friday_minizip:cidp116.2.1568:2</t>
  </si>
  <si>
    <t>260462719</t>
  </si>
  <si>
    <t>456094512</t>
  </si>
  <si>
    <t>olx:marca:audiencia_do_portal:display:patrocinio:nativeweb-448x336:black-friday_zip:cidp116.2.1569:2</t>
  </si>
  <si>
    <t>260473048</t>
  </si>
  <si>
    <t>456233284</t>
  </si>
  <si>
    <t>olx:marca:audiencia_do_portal:display:patrocinio:retangulomedio-300x250:black-friday_flash:cidp116.2.1573:2</t>
  </si>
  <si>
    <t>260671626</t>
  </si>
  <si>
    <t>456221213</t>
  </si>
  <si>
    <t>olx:marca:audiencia_do_portal:display:patrocinio:retangulomedio-300x250:black-friday_minizip:cidp116.2.1571:2</t>
  </si>
  <si>
    <t>260669700</t>
  </si>
  <si>
    <t>456189357</t>
  </si>
  <si>
    <t>almapbbdo:alp_nova-cielo-atualizado:display:performance:todos:diaria</t>
  </si>
  <si>
    <t>olx:marca:audiencia_do_portal:display:patrocinio:retangulomedio-300x250:black-friday_zip:cidp116.2.1583:2</t>
  </si>
  <si>
    <t>261513058</t>
  </si>
  <si>
    <t>457222354</t>
  </si>
  <si>
    <t>aug19:300x250:globo.com:home-internas:as_abc_25__amplo:home-internas:flah:awareness:alp_manutencao:cpm</t>
  </si>
  <si>
    <t>253491642</t>
  </si>
  <si>
    <t>449504593</t>
  </si>
  <si>
    <t>dv_360:marca:as_abc_21__empreendedores:display:cpm:large-mobile-banner-320x100:awa_ins_lojas-cielo:cidp122.2.29:2</t>
  </si>
  <si>
    <t>264237093</t>
  </si>
  <si>
    <t>459151932</t>
  </si>
  <si>
    <t>dv_360:marca:as_abc_21__empreendedores:display:cpm:leaderboard-728x90:awa_ins_lojas-cielo:cidp122.2.31:2</t>
  </si>
  <si>
    <t>264237087</t>
  </si>
  <si>
    <t>459153417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</si>
  <si>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</si>
  <si>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</si>
  <si>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</si>
  <si>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</si>
  <si>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</si>
  <si>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</si>
  <si>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</si>
  <si>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</si>
  <si>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</si>
  <si>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hands:marca:as_abc_21__geo_behavior__web_behavior:display:cpm:arroba-300x250:awa_ins_lojas-cielo:cidp122.2.38:2</t>
  </si>
  <si>
    <t>264262194</t>
  </si>
  <si>
    <t>459170333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</si>
  <si>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</si>
  <si>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</si>
  <si>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</si>
  <si>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</si>
  <si>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</si>
  <si>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</si>
  <si>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inloco:marca:as_abc_21___regiao_proxima_as_lojas__40_km:display:cpm:large-mobile-banner-320x100:awa_ins_lojas-cielo:cidp122.2.13:2</t>
  </si>
  <si>
    <t>263250174</t>
  </si>
  <si>
    <t>458640640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</si>
  <si>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</si>
  <si>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</si>
  <si>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</si>
  <si>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inloco:marca:as_abc_21___regiao_proxima_as_lojas__40_km:display:cpm:native-1200x627:awa_ins_lojas-cielo:cidp122.2.34:2</t>
  </si>
  <si>
    <t>264237081</t>
  </si>
  <si>
    <t>459170327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</si>
  <si>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</si>
  <si>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</si>
  <si>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</si>
  <si>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</si>
  <si>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</si>
  <si>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</si>
  <si>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inloco:marca:as_abc_21__retargeting__concorrentes:display:cpm:native-432x432:awa_ins_lojas-cielo:cidp122.2.35:2</t>
  </si>
  <si>
    <t>264237078</t>
  </si>
  <si>
    <t>459170324</t>
  </si>
  <si>
    <t>Waze</t>
  </si>
  <si>
    <t>waze:marca:as_abc_21___localizado_em_cada_loja__40_km:display:cpm:banner-608:awa_ins_lojas-cielo:cidp122.2.25:2</t>
  </si>
  <si>
    <t>263250180</t>
  </si>
  <si>
    <t>458640646</t>
  </si>
  <si>
    <t>waze:marca:as_abc_21___localizado_em_cada_loja__40_km:display:cpm:logo-152x112:awa_ins_lojas-cielo:cidp122.2.23:2</t>
  </si>
  <si>
    <t>263250186</t>
  </si>
  <si>
    <t>458640652</t>
  </si>
  <si>
    <t>info_money:marca:audiencia_do_portal:display:cpm:lightbox-640x480:aw_ins_zip-danilo_taxa-zero:cidp116.2.1424:2</t>
  </si>
  <si>
    <t>257654292</t>
  </si>
  <si>
    <t>453368765</t>
  </si>
  <si>
    <t>opl:marca:campinascircuitocielotransportespublicosepequenoscentroscomerciais:display:cpc:banner-push-320x50:black-friday_flash:cidp116.2.1590:2</t>
  </si>
  <si>
    <t>261834606</t>
  </si>
  <si>
    <t>457322012</t>
  </si>
  <si>
    <t>opl:marca:campinascircuitocielotransportespublicosepequenoscentroscomerciais:display:cpc:banner-push-320x50:black-friday_zip:cidp116.2.1589:2</t>
  </si>
  <si>
    <t>261834609</t>
  </si>
  <si>
    <t>457322015</t>
  </si>
  <si>
    <t>opl:marca:campinascircuitocielotransportespublicosepequenoscentroscomerciais:display:cpc:banner-push-320x50:fre_ins_nova-cielo_danilo-zip:cidp116.2.1608:2</t>
  </si>
  <si>
    <t>262004332</t>
  </si>
  <si>
    <t>457561767</t>
  </si>
  <si>
    <t>opl:marca:campinascircuitocielotransportespublicosepequenoscentroscomerciais:display:cpc:banner-push-320x50:fre_ins_nova-cielo_flash-marcello:cidp116.2.1607:2</t>
  </si>
  <si>
    <t>262004335</t>
  </si>
  <si>
    <t>457561770</t>
  </si>
  <si>
    <t>opl:marca:campinascircuitocielotransportespublicosepequenoscentroscomerciais:display:cpc:banner-push-320x50:fre_ins_nova-cielo_mob-pedro:cidp116.2.1622:2</t>
  </si>
  <si>
    <t>262004317</t>
  </si>
  <si>
    <t>457561752</t>
  </si>
  <si>
    <t>opl:marca:campinascircuitocielotransportespublicosepequenoscentroscomerciais:display:cpc:banner-push-320x50:fre_ins_nova-cielo_rita-minizip:cidp116.2.1606:2</t>
  </si>
  <si>
    <t>262004338</t>
  </si>
  <si>
    <t>457561773</t>
  </si>
  <si>
    <t>opl:marca:campinascircuitocielotransportespublicosepequenoscentroscomerciais:display:cpc:big-picture-96x96:fre_ins_nova-cielo_danilo-zip:cidp116.2.1611:2</t>
  </si>
  <si>
    <t>262004323</t>
  </si>
  <si>
    <t>457561758</t>
  </si>
  <si>
    <t>opl:marca:campinascircuitocielotransportespublicosepequenoscentroscomerciais:display:cpc:big-picture-96x96:fre_ins_nova-cielo_flash-marcello:cidp116.2.1610:2</t>
  </si>
  <si>
    <t>262004326</t>
  </si>
  <si>
    <t>457561761</t>
  </si>
  <si>
    <t>opl:marca:campinascircuitocielotransportespublicosepequenoscentroscomerciais:display:cpc:big-picture-96x96:fre_ins_nova-cielo_mob-pedro:cidp116.2.1623:2</t>
  </si>
  <si>
    <t>262004314</t>
  </si>
  <si>
    <t>457561749</t>
  </si>
  <si>
    <t>opl:marca:campinascircuitocielotransportespublicosepequenoscentroscomerciais:display:cpc:big-picture-96x96:fre_ins_nova-cielo_rita-minizip:cidp116.2.1609:2</t>
  </si>
  <si>
    <t>262004329</t>
  </si>
  <si>
    <t>457561764</t>
  </si>
  <si>
    <t>opl:marca:campinascircuitocielotransportespublicosepequenoscentroscomerciais:display:cpc:text-push-72x72:black-friday_flash:cidp116.2.1587:2</t>
  </si>
  <si>
    <t>261834615</t>
  </si>
  <si>
    <t>457322021</t>
  </si>
  <si>
    <t>opl:marca:campinascircuitocielotransportespublicosepequenoscentroscomerciais:display:cpc:text-push-72x72:fre_ins_nova-cielo_danilo-zip:cidp116.2.1605:2</t>
  </si>
  <si>
    <t>262004341</t>
  </si>
  <si>
    <t>457561776</t>
  </si>
  <si>
    <t>opl:marca:campinascircuitocielotransportespublicosepequenoscentroscomerciais:display:cpc:text-push-72x72:fre_ins_nova-cielo_flash-marcello:cidp116.2.1604:2</t>
  </si>
  <si>
    <t>262004344</t>
  </si>
  <si>
    <t>457561779</t>
  </si>
  <si>
    <t>opl:marca:campinascircuitocielotransportespublicosepequenoscentroscomerciais:display:cpc:text-push-72x72:fre_ins_nova-cielo_mob-pedro:cidp116.2.1621:2</t>
  </si>
  <si>
    <t>262004320</t>
  </si>
  <si>
    <t>457561755</t>
  </si>
  <si>
    <t>opl:marca:campinascircuitocielotransportespublicosepequenoscentroscomerciais:display:cpc:text-push-72x72:fre_ins_nova-cielo_rita-minizip:cidp116.2.1603:2</t>
  </si>
  <si>
    <t>262004347</t>
  </si>
  <si>
    <t>457561782</t>
  </si>
  <si>
    <t>opl:marca:campinascircuitocielotransportespublicosepequenoscentroscomerciais:display:cpm:banner-ads-320x50:fre_ins_nova-cielo_danilo-zip:cidp116.2.1614:2</t>
  </si>
  <si>
    <t>262004377</t>
  </si>
  <si>
    <t>457561812</t>
  </si>
  <si>
    <t>opl:marca:campinascircuitocielotransportespublicosepequenoscentroscomerciais:display:cpm:banner-ads-320x50:fre_ins_nova-cielo_flash-marcello:cidp116.2.1613:2</t>
  </si>
  <si>
    <t>262004380</t>
  </si>
  <si>
    <t>457561815</t>
  </si>
  <si>
    <t>opl:marca:campinascircuitocielotransportespublicosepequenoscentroscomerciais:display:cpm:banner-ads-320x50:fre_ins_nova-cielo_mob-pedro:cidp116.2.1624:2</t>
  </si>
  <si>
    <t>262004356</t>
  </si>
  <si>
    <t>457561791</t>
  </si>
  <si>
    <t>opl:marca:campinascircuitocielotransportespublicosepequenoscentroscomerciais:display:cpm:banner-ads-320x50:fre_ins_nova-cielo_rita-minizip:cidp116.2.1612:2</t>
  </si>
  <si>
    <t>262004383</t>
  </si>
  <si>
    <t>457561818</t>
  </si>
  <si>
    <t>opl:marca:campinascircuitocielotransportespublicosepequenoscentroscomerciais:display:cpm:banner-arroba-300x250:fre_ins_nova-cielo_danilo-zip:cidp116.2.1617:2</t>
  </si>
  <si>
    <t>262004368</t>
  </si>
  <si>
    <t>457561803</t>
  </si>
  <si>
    <t>opl:marca:campinascircuitocielotransportespublicosepequenoscentroscomerciais:display:cpm:banner-arroba-300x250:fre_ins_nova-cielo_flash-marcello:cidp116.2.1616:2</t>
  </si>
  <si>
    <t>262004371</t>
  </si>
  <si>
    <t>457561806</t>
  </si>
  <si>
    <t>opl:marca:campinascircuitocielotransportespublicosepequenoscentroscomerciais:display:cpm:banner-arroba-300x250:fre_ins_nova-cielo_mob-pedro:cidp116.2.1625:2</t>
  </si>
  <si>
    <t>262004353</t>
  </si>
  <si>
    <t>457561788</t>
  </si>
  <si>
    <t>opl:marca:campinascircuitocielotransportespublicosepequenoscentroscomerciais:display:cpm:banner-arroba-300x250:fre_ins_nova-cielo_rita-minizip:cidp116.2.1615:2</t>
  </si>
  <si>
    <t>262004374</t>
  </si>
  <si>
    <t>457561809</t>
  </si>
  <si>
    <t>opl:marca:campinascircuitocielotransportespublicosepequenoscentroscomerciais:display:cpm:big-picture-400x250:fre_ins_nova-cielo_rita-minizip:cidp116.2.1618:2</t>
  </si>
  <si>
    <t>262004365</t>
  </si>
  <si>
    <t>457561800</t>
  </si>
  <si>
    <t>verizon:marca:provedor:display:cpc:large-image-1200x627:aw_ins_nova-cielo-rita:cidp116.2.525:2</t>
  </si>
  <si>
    <t>256564299</t>
  </si>
  <si>
    <t>452313878</t>
  </si>
  <si>
    <t>almapbbdo:alp_social:display:awareness:todos</t>
  </si>
  <si>
    <t>taboola:marca:ampla:display:cpm:1000x600:5-dicas-dinheiro-natal:cidp119.2.8:2</t>
  </si>
  <si>
    <t>263219550</t>
  </si>
  <si>
    <t>458623513</t>
  </si>
  <si>
    <t>taboola:marca:ampla:display:cpm:1000x600:5-motivos-empreender-internet:cidp119.2.1:2</t>
  </si>
  <si>
    <t>262817504</t>
  </si>
  <si>
    <t>458609041</t>
  </si>
  <si>
    <t>taboola:marca:ampla:display:cpm:1000x600:como-a-arezzo:cidp119.2.2:2</t>
  </si>
  <si>
    <t>263219571</t>
  </si>
  <si>
    <t>458623534</t>
  </si>
  <si>
    <t>taboola:marca:ampla:display:cpm:1000x600:como-aceitar-vale:cidp119.2.5:2</t>
  </si>
  <si>
    <t>263219559</t>
  </si>
  <si>
    <t>458623522</t>
  </si>
  <si>
    <t>taboola:marca:ampla:display:cpm:1000x600:como-criar-um-instagram:cidp119.2.7:2</t>
  </si>
  <si>
    <t>263219553</t>
  </si>
  <si>
    <t>458623516</t>
  </si>
  <si>
    <t>taboola:marca:ampla:display:cpm:1000x600:como-declarar-imposto:cidp119.2.4:2</t>
  </si>
  <si>
    <t>263219562</t>
  </si>
  <si>
    <t>458623525</t>
  </si>
  <si>
    <t>taboola:marca:ampla:display:cpm:1000x600:como-montar-negocio:cidp119.2.10:2</t>
  </si>
  <si>
    <t>263219568</t>
  </si>
  <si>
    <t>458623531</t>
  </si>
  <si>
    <t>taboola:marca:ampla:display:cpm:1000x600:como-profissionalizar:cidp119.2.3:2</t>
  </si>
  <si>
    <t>263219565</t>
  </si>
  <si>
    <t>458623528</t>
  </si>
  <si>
    <t>taboola:marca:ampla:display:cpm:1000x600:como-revender-semi-joias:cidp119.2.6:2</t>
  </si>
  <si>
    <t>263219556</t>
  </si>
  <si>
    <t>458623519</t>
  </si>
  <si>
    <t>taboola:marca:ampla:display:cpm:1000x600:passo-a-passo-pra-revender:cidp119.2.9:2</t>
  </si>
  <si>
    <t>263219547</t>
  </si>
  <si>
    <t>458495337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</si>
</sst>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1"/>
  <sheetViews>
    <sheetView showGridLines="0" tabSelected="1" workbookViewId="0">
      <selection activeCell="B3" sqref="B3:H9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49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12428500</v>
      </c>
      <c r="E4" s="8">
        <f>C4*D4/1000</f>
        <v>1242.8499999999999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3795.4575500000019</v>
      </c>
      <c r="H5" s="8">
        <f>SUM(total_ferramenta_filtrada)</f>
        <v>896.1568000000002</v>
      </c>
    </row>
    <row r="6" spans="1:8">
      <c r="B6" s="7" t="s">
        <v>10</v>
      </c>
      <c r="C6" s="1">
        <v>2.5000000000000001E-2</v>
      </c>
      <c r="D6" s="1">
        <f>SUMIF(adtype_filtrada,$B6,clicks_filtrada)</f>
        <v>101046</v>
      </c>
      <c r="E6" s="8">
        <f>C6*D6</f>
        <v>2526.15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75593</v>
      </c>
      <c r="E8" s="8">
        <f>C8*D8/1000</f>
        <v>26.457549999999998</v>
      </c>
      <c r="F8" s="15"/>
    </row>
    <row r="9" spans="1:8">
      <c r="B9" s="6" t="s">
        <v>19</v>
      </c>
      <c r="C9" s="6"/>
      <c r="D9" s="6"/>
      <c r="E9" s="9">
        <f>SUM(E4:E8)</f>
        <v>3795.4575500000001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25</v>
      </c>
      <c r="K19">
        <v>39</v>
      </c>
      <c r="L19" s="2">
        <v>3.5000000000000001E-3</v>
      </c>
      <c r="M19">
        <v>2.5000000000000001E-2</v>
      </c>
      <c r="N19" s="2">
        <v>0.13650000000000001</v>
      </c>
      <c r="O19" s="2">
        <v>0.97500000000000009</v>
      </c>
    </row>
    <row r="20" spans="1:15">
      <c r="B20" t="s">
        <v>74</v>
      </c>
      <c r="C20" t="s">
        <v>33</v>
      </c>
      <c r="D20" t="s">
        <v>536</v>
      </c>
      <c r="E20" t="s">
        <v>537</v>
      </c>
      <c r="F20" t="s">
        <v>10</v>
      </c>
      <c r="G20" t="s">
        <v>536</v>
      </c>
      <c r="H20" t="s">
        <v>538</v>
      </c>
      <c r="I20" t="s">
        <v>24</v>
      </c>
      <c r="J20">
        <v>11511</v>
      </c>
      <c r="K20">
        <v>121</v>
      </c>
      <c r="L20" s="2">
        <v>3.5000000000000001E-3</v>
      </c>
      <c r="M20">
        <v>2.5000000000000001E-2</v>
      </c>
      <c r="N20" s="2">
        <v>0.42349999999999999</v>
      </c>
      <c r="O20" s="2">
        <v>3.0250000000000004</v>
      </c>
    </row>
    <row r="21" spans="1:15">
      <c r="B21" t="s">
        <v>74</v>
      </c>
      <c r="C21" t="s">
        <v>33</v>
      </c>
      <c r="D21" t="s">
        <v>539</v>
      </c>
      <c r="E21" t="s">
        <v>540</v>
      </c>
      <c r="F21" t="s">
        <v>10</v>
      </c>
      <c r="G21" t="s">
        <v>539</v>
      </c>
      <c r="H21" t="s">
        <v>541</v>
      </c>
      <c r="I21" t="s">
        <v>24</v>
      </c>
      <c r="J21">
        <v>1016797</v>
      </c>
      <c r="K21">
        <v>1336</v>
      </c>
      <c r="L21" s="2">
        <v>3.5000000000000001E-3</v>
      </c>
      <c r="M21">
        <v>2.5000000000000001E-2</v>
      </c>
      <c r="N21" s="2">
        <v>4.6760000000000002</v>
      </c>
      <c r="O21" s="2">
        <v>33.4</v>
      </c>
    </row>
    <row r="22" spans="1:15">
      <c r="B22" t="s">
        <v>74</v>
      </c>
      <c r="C22" t="s">
        <v>33</v>
      </c>
      <c r="D22" t="s">
        <v>542</v>
      </c>
      <c r="E22" t="s">
        <v>543</v>
      </c>
      <c r="F22" t="s">
        <v>10</v>
      </c>
      <c r="G22" t="s">
        <v>542</v>
      </c>
      <c r="H22" t="s">
        <v>544</v>
      </c>
      <c r="I22" t="s">
        <v>24</v>
      </c>
      <c r="J22">
        <v>198422</v>
      </c>
      <c r="K22">
        <v>462</v>
      </c>
      <c r="L22" s="2">
        <v>3.5000000000000001E-3</v>
      </c>
      <c r="M22">
        <v>2.5000000000000001E-2</v>
      </c>
      <c r="N22" s="2">
        <v>1.617</v>
      </c>
      <c r="O22" s="2">
        <v>11.55</v>
      </c>
    </row>
    <row r="23" spans="1:15">
      <c r="B23" t="s">
        <v>74</v>
      </c>
      <c r="C23" t="s">
        <v>33</v>
      </c>
      <c r="D23" t="s">
        <v>545</v>
      </c>
      <c r="E23" t="s">
        <v>546</v>
      </c>
      <c r="F23" t="s">
        <v>10</v>
      </c>
      <c r="G23" t="s">
        <v>545</v>
      </c>
      <c r="H23" t="s">
        <v>547</v>
      </c>
      <c r="I23" t="s">
        <v>24</v>
      </c>
      <c r="J23">
        <v>128493</v>
      </c>
      <c r="K23">
        <v>203</v>
      </c>
      <c r="L23" s="2">
        <v>3.5000000000000001E-3</v>
      </c>
      <c r="M23">
        <v>2.5000000000000001E-2</v>
      </c>
      <c r="N23" s="2">
        <v>0.71050000000000002</v>
      </c>
      <c r="O23" s="2">
        <v>5.0750000000000002</v>
      </c>
    </row>
    <row r="24" spans="1:15">
      <c r="B24" t="s">
        <v>74</v>
      </c>
      <c r="C24" t="s">
        <v>33</v>
      </c>
      <c r="D24" t="s">
        <v>548</v>
      </c>
      <c r="E24" t="s">
        <v>549</v>
      </c>
      <c r="F24" t="s">
        <v>12</v>
      </c>
      <c r="G24" t="s">
        <v>548</v>
      </c>
      <c r="H24" t="s">
        <v>550</v>
      </c>
      <c r="I24" t="s">
        <v>34</v>
      </c>
      <c r="J24">
        <v>10583</v>
      </c>
      <c r="K24">
        <v>0</v>
      </c>
      <c r="L24" s="2">
        <v>0.04</v>
      </c>
      <c r="M24">
        <v>0.1</v>
      </c>
      <c r="N24" s="2">
        <v>0.42331999999999997</v>
      </c>
      <c r="O24" s="2">
        <v>1.0583</v>
      </c>
    </row>
    <row r="25" spans="1:15">
      <c r="B25" t="s">
        <v>74</v>
      </c>
      <c r="C25" t="s">
        <v>33</v>
      </c>
      <c r="D25" t="s">
        <v>551</v>
      </c>
      <c r="E25" t="s">
        <v>552</v>
      </c>
      <c r="F25" t="s">
        <v>12</v>
      </c>
      <c r="G25" t="s">
        <v>551</v>
      </c>
      <c r="H25" t="s">
        <v>553</v>
      </c>
      <c r="I25" t="s">
        <v>34</v>
      </c>
      <c r="J25">
        <v>10307</v>
      </c>
      <c r="K25">
        <v>2</v>
      </c>
      <c r="L25" s="2">
        <v>0.04</v>
      </c>
      <c r="M25">
        <v>0.1</v>
      </c>
      <c r="N25" s="2">
        <v>0.41228000000000004</v>
      </c>
      <c r="O25" s="2">
        <v>1.0306999999999999</v>
      </c>
    </row>
    <row r="26" spans="1:15">
      <c r="B26" t="s">
        <v>74</v>
      </c>
      <c r="C26" t="s">
        <v>33</v>
      </c>
      <c r="D26" t="s">
        <v>554</v>
      </c>
      <c r="E26" t="s">
        <v>555</v>
      </c>
      <c r="F26" t="s">
        <v>12</v>
      </c>
      <c r="G26" t="s">
        <v>554</v>
      </c>
      <c r="H26" t="s">
        <v>556</v>
      </c>
      <c r="I26" t="s">
        <v>34</v>
      </c>
      <c r="J26">
        <v>10502</v>
      </c>
      <c r="K26">
        <v>6</v>
      </c>
      <c r="L26" s="2">
        <v>0.04</v>
      </c>
      <c r="M26">
        <v>0.1</v>
      </c>
      <c r="N26" s="2">
        <v>0.42008000000000001</v>
      </c>
      <c r="O26" s="2">
        <v>1.0502</v>
      </c>
    </row>
    <row r="27" spans="1:15">
      <c r="B27" t="s">
        <v>74</v>
      </c>
      <c r="C27" t="s">
        <v>33</v>
      </c>
      <c r="D27" t="s">
        <v>557</v>
      </c>
      <c r="E27" t="s">
        <v>558</v>
      </c>
      <c r="F27" t="s">
        <v>12</v>
      </c>
      <c r="G27" t="s">
        <v>557</v>
      </c>
      <c r="H27" t="s">
        <v>559</v>
      </c>
      <c r="I27" t="s">
        <v>34</v>
      </c>
      <c r="J27">
        <v>10422</v>
      </c>
      <c r="K27">
        <v>4</v>
      </c>
      <c r="L27" s="2">
        <v>0.04</v>
      </c>
      <c r="M27">
        <v>0.1</v>
      </c>
      <c r="N27" s="2">
        <v>0.41687999999999997</v>
      </c>
      <c r="O27" s="2">
        <v>1.0422</v>
      </c>
    </row>
    <row r="28" spans="1:15">
      <c r="B28" t="s">
        <v>74</v>
      </c>
      <c r="C28" t="s">
        <v>33</v>
      </c>
      <c r="D28" t="s">
        <v>156</v>
      </c>
      <c r="E28" t="s">
        <v>157</v>
      </c>
      <c r="F28" t="s">
        <v>23</v>
      </c>
      <c r="G28" t="s">
        <v>156</v>
      </c>
      <c r="H28" t="s">
        <v>158</v>
      </c>
      <c r="I28" t="s">
        <v>76</v>
      </c>
      <c r="J28">
        <v>35117</v>
      </c>
      <c r="K28">
        <v>699</v>
      </c>
      <c r="L28" s="2">
        <v>0.6</v>
      </c>
      <c r="M28">
        <v>0.35</v>
      </c>
      <c r="N28" s="2">
        <v>21.0702</v>
      </c>
      <c r="O28" s="2">
        <v>12.290949999999999</v>
      </c>
    </row>
    <row r="29" spans="1:15">
      <c r="B29" t="s">
        <v>74</v>
      </c>
      <c r="C29" t="s">
        <v>33</v>
      </c>
      <c r="D29" t="s">
        <v>159</v>
      </c>
      <c r="E29" t="s">
        <v>160</v>
      </c>
      <c r="F29" t="s">
        <v>23</v>
      </c>
      <c r="G29" t="s">
        <v>159</v>
      </c>
      <c r="H29" t="s">
        <v>161</v>
      </c>
      <c r="I29" t="s">
        <v>76</v>
      </c>
      <c r="J29">
        <v>40476</v>
      </c>
      <c r="K29">
        <v>750</v>
      </c>
      <c r="L29" s="2">
        <v>0.6</v>
      </c>
      <c r="M29">
        <v>0.35</v>
      </c>
      <c r="N29" s="2">
        <v>24.285599999999999</v>
      </c>
      <c r="O29" s="2">
        <v>14.166599999999999</v>
      </c>
    </row>
    <row r="30" spans="1:15">
      <c r="B30" t="s">
        <v>74</v>
      </c>
      <c r="C30" t="s">
        <v>33</v>
      </c>
      <c r="D30" t="s">
        <v>162</v>
      </c>
      <c r="E30" t="s">
        <v>163</v>
      </c>
      <c r="F30" t="s">
        <v>12</v>
      </c>
      <c r="G30" t="s">
        <v>162</v>
      </c>
      <c r="H30" t="s">
        <v>164</v>
      </c>
      <c r="I30" t="s">
        <v>34</v>
      </c>
      <c r="J30">
        <v>26088</v>
      </c>
      <c r="K30">
        <v>43</v>
      </c>
      <c r="L30" s="2">
        <v>0.04</v>
      </c>
      <c r="M30">
        <v>0.1</v>
      </c>
      <c r="N30" s="2">
        <v>1.04352</v>
      </c>
      <c r="O30" s="2">
        <v>2.6088</v>
      </c>
    </row>
    <row r="31" spans="1:15">
      <c r="B31" t="s">
        <v>74</v>
      </c>
      <c r="C31" t="s">
        <v>33</v>
      </c>
      <c r="D31" t="s">
        <v>165</v>
      </c>
      <c r="E31" t="s">
        <v>166</v>
      </c>
      <c r="F31" t="s">
        <v>12</v>
      </c>
      <c r="G31" t="s">
        <v>165</v>
      </c>
      <c r="H31" t="s">
        <v>167</v>
      </c>
      <c r="I31" t="s">
        <v>34</v>
      </c>
      <c r="J31">
        <v>41938</v>
      </c>
      <c r="K31">
        <v>132</v>
      </c>
      <c r="L31" s="2">
        <v>0.04</v>
      </c>
      <c r="M31">
        <v>0.1</v>
      </c>
      <c r="N31" s="2">
        <v>1.6775199999999999</v>
      </c>
      <c r="O31" s="2">
        <v>4.1938000000000004</v>
      </c>
    </row>
    <row r="32" spans="1:15">
      <c r="B32" t="s">
        <v>74</v>
      </c>
      <c r="C32" t="s">
        <v>33</v>
      </c>
      <c r="D32" t="s">
        <v>168</v>
      </c>
      <c r="E32" t="s">
        <v>169</v>
      </c>
      <c r="F32" t="s">
        <v>12</v>
      </c>
      <c r="G32" t="s">
        <v>168</v>
      </c>
      <c r="H32" t="s">
        <v>170</v>
      </c>
      <c r="I32" t="s">
        <v>34</v>
      </c>
      <c r="J32">
        <v>10033</v>
      </c>
      <c r="K32">
        <v>16</v>
      </c>
      <c r="L32" s="2">
        <v>0.04</v>
      </c>
      <c r="M32">
        <v>0.1</v>
      </c>
      <c r="N32" s="2">
        <v>0.40132000000000001</v>
      </c>
      <c r="O32" s="2">
        <v>1.0033000000000001</v>
      </c>
    </row>
    <row r="33" spans="2:15">
      <c r="B33" t="s">
        <v>74</v>
      </c>
      <c r="C33" t="s">
        <v>33</v>
      </c>
      <c r="D33" t="s">
        <v>171</v>
      </c>
      <c r="E33" t="s">
        <v>172</v>
      </c>
      <c r="F33" t="s">
        <v>12</v>
      </c>
      <c r="G33" t="s">
        <v>171</v>
      </c>
      <c r="H33" t="s">
        <v>173</v>
      </c>
      <c r="I33" t="s">
        <v>34</v>
      </c>
      <c r="J33">
        <v>122351</v>
      </c>
      <c r="K33">
        <v>172</v>
      </c>
      <c r="L33" s="2">
        <v>0.04</v>
      </c>
      <c r="M33">
        <v>0.1</v>
      </c>
      <c r="N33" s="2">
        <v>4.8940400000000004</v>
      </c>
      <c r="O33" s="2">
        <v>12.235100000000001</v>
      </c>
    </row>
    <row r="34" spans="2:15">
      <c r="B34" t="s">
        <v>74</v>
      </c>
      <c r="C34" t="s">
        <v>33</v>
      </c>
      <c r="D34" t="s">
        <v>174</v>
      </c>
      <c r="E34" t="s">
        <v>175</v>
      </c>
      <c r="F34" t="s">
        <v>12</v>
      </c>
      <c r="G34" t="s">
        <v>174</v>
      </c>
      <c r="H34" t="s">
        <v>176</v>
      </c>
      <c r="I34" t="s">
        <v>34</v>
      </c>
      <c r="J34">
        <v>22658</v>
      </c>
      <c r="K34">
        <v>67</v>
      </c>
      <c r="L34" s="2">
        <v>0.04</v>
      </c>
      <c r="M34">
        <v>0.1</v>
      </c>
      <c r="N34" s="2">
        <v>0.90632000000000001</v>
      </c>
      <c r="O34" s="2">
        <v>2.2658</v>
      </c>
    </row>
    <row r="35" spans="2:15">
      <c r="B35" t="s">
        <v>74</v>
      </c>
      <c r="C35" t="s">
        <v>33</v>
      </c>
      <c r="D35" t="s">
        <v>177</v>
      </c>
      <c r="E35" t="s">
        <v>178</v>
      </c>
      <c r="F35" t="s">
        <v>12</v>
      </c>
      <c r="G35" t="s">
        <v>177</v>
      </c>
      <c r="H35" t="s">
        <v>179</v>
      </c>
      <c r="I35" t="s">
        <v>34</v>
      </c>
      <c r="J35">
        <v>44982</v>
      </c>
      <c r="K35">
        <v>167</v>
      </c>
      <c r="L35" s="2">
        <v>0.04</v>
      </c>
      <c r="M35">
        <v>0.1</v>
      </c>
      <c r="N35" s="2">
        <v>1.79928</v>
      </c>
      <c r="O35" s="2">
        <v>4.4981999999999998</v>
      </c>
    </row>
    <row r="36" spans="2:15">
      <c r="B36" t="s">
        <v>74</v>
      </c>
      <c r="C36" t="s">
        <v>33</v>
      </c>
      <c r="D36" t="s">
        <v>180</v>
      </c>
      <c r="E36" t="s">
        <v>181</v>
      </c>
      <c r="F36" t="s">
        <v>12</v>
      </c>
      <c r="G36" t="s">
        <v>180</v>
      </c>
      <c r="H36" t="s">
        <v>182</v>
      </c>
      <c r="I36" t="s">
        <v>34</v>
      </c>
      <c r="J36">
        <v>9698</v>
      </c>
      <c r="K36">
        <v>20</v>
      </c>
      <c r="L36" s="2">
        <v>0.04</v>
      </c>
      <c r="M36">
        <v>0.1</v>
      </c>
      <c r="N36" s="2">
        <v>0.38792000000000004</v>
      </c>
      <c r="O36" s="2">
        <v>0.96980000000000011</v>
      </c>
    </row>
    <row r="37" spans="2:15">
      <c r="B37" t="s">
        <v>74</v>
      </c>
      <c r="C37" t="s">
        <v>33</v>
      </c>
      <c r="D37" t="s">
        <v>183</v>
      </c>
      <c r="E37" t="s">
        <v>184</v>
      </c>
      <c r="F37" t="s">
        <v>12</v>
      </c>
      <c r="G37" t="s">
        <v>183</v>
      </c>
      <c r="H37" t="s">
        <v>185</v>
      </c>
      <c r="I37" t="s">
        <v>34</v>
      </c>
      <c r="J37">
        <v>22902</v>
      </c>
      <c r="K37">
        <v>57</v>
      </c>
      <c r="L37" s="2">
        <v>0.04</v>
      </c>
      <c r="M37">
        <v>0.1</v>
      </c>
      <c r="N37" s="2">
        <v>0.91608000000000001</v>
      </c>
      <c r="O37" s="2">
        <v>2.2902000000000005</v>
      </c>
    </row>
    <row r="38" spans="2:15">
      <c r="B38" t="s">
        <v>74</v>
      </c>
      <c r="C38" t="s">
        <v>33</v>
      </c>
      <c r="D38" t="s">
        <v>186</v>
      </c>
      <c r="E38" t="s">
        <v>187</v>
      </c>
      <c r="F38" t="s">
        <v>12</v>
      </c>
      <c r="G38" t="s">
        <v>186</v>
      </c>
      <c r="H38" t="s">
        <v>188</v>
      </c>
      <c r="I38" t="s">
        <v>34</v>
      </c>
      <c r="J38">
        <v>1357</v>
      </c>
      <c r="K38">
        <v>0</v>
      </c>
      <c r="L38" s="2">
        <v>0.04</v>
      </c>
      <c r="M38">
        <v>0.1</v>
      </c>
      <c r="N38" s="2">
        <v>5.4280000000000002E-2</v>
      </c>
      <c r="O38" s="2">
        <v>0.13570000000000002</v>
      </c>
    </row>
    <row r="39" spans="2:15">
      <c r="B39" t="s">
        <v>74</v>
      </c>
      <c r="C39" t="s">
        <v>33</v>
      </c>
      <c r="D39" t="s">
        <v>560</v>
      </c>
      <c r="E39" t="s">
        <v>561</v>
      </c>
      <c r="F39" t="s">
        <v>12</v>
      </c>
      <c r="G39" t="s">
        <v>560</v>
      </c>
      <c r="H39" t="s">
        <v>562</v>
      </c>
      <c r="I39" t="s">
        <v>34</v>
      </c>
      <c r="J39">
        <v>1312</v>
      </c>
      <c r="K39">
        <v>0</v>
      </c>
      <c r="L39" s="2">
        <v>0.04</v>
      </c>
      <c r="M39">
        <v>0.1</v>
      </c>
      <c r="N39" s="2">
        <v>5.2480000000000006E-2</v>
      </c>
      <c r="O39" s="2">
        <v>0.13120000000000001</v>
      </c>
    </row>
    <row r="40" spans="2:15">
      <c r="B40" t="s">
        <v>74</v>
      </c>
      <c r="C40" t="s">
        <v>33</v>
      </c>
      <c r="D40" t="s">
        <v>189</v>
      </c>
      <c r="E40" t="s">
        <v>190</v>
      </c>
      <c r="F40" t="s">
        <v>12</v>
      </c>
      <c r="G40" t="s">
        <v>189</v>
      </c>
      <c r="H40" t="s">
        <v>191</v>
      </c>
      <c r="I40" t="s">
        <v>34</v>
      </c>
      <c r="J40">
        <v>1420</v>
      </c>
      <c r="K40">
        <v>0</v>
      </c>
      <c r="L40" s="2">
        <v>0.04</v>
      </c>
      <c r="M40">
        <v>0.1</v>
      </c>
      <c r="N40" s="2">
        <v>5.6800000000000003E-2</v>
      </c>
      <c r="O40" s="2">
        <v>0.14199999999999999</v>
      </c>
    </row>
    <row r="41" spans="2:15">
      <c r="B41" t="s">
        <v>74</v>
      </c>
      <c r="C41" t="s">
        <v>33</v>
      </c>
      <c r="D41" t="s">
        <v>563</v>
      </c>
      <c r="E41" t="s">
        <v>564</v>
      </c>
      <c r="F41" t="s">
        <v>12</v>
      </c>
      <c r="G41" t="s">
        <v>563</v>
      </c>
      <c r="H41" t="s">
        <v>565</v>
      </c>
      <c r="I41" t="s">
        <v>34</v>
      </c>
      <c r="J41">
        <v>1339</v>
      </c>
      <c r="K41">
        <v>1</v>
      </c>
      <c r="L41" s="2">
        <v>0.04</v>
      </c>
      <c r="M41">
        <v>0.1</v>
      </c>
      <c r="N41" s="2">
        <v>5.3560000000000003E-2</v>
      </c>
      <c r="O41" s="2">
        <v>0.13390000000000002</v>
      </c>
    </row>
    <row r="42" spans="2:15">
      <c r="B42" t="s">
        <v>74</v>
      </c>
      <c r="C42" t="s">
        <v>33</v>
      </c>
      <c r="D42" t="s">
        <v>566</v>
      </c>
      <c r="E42" t="s">
        <v>567</v>
      </c>
      <c r="F42" t="s">
        <v>12</v>
      </c>
      <c r="G42" t="s">
        <v>566</v>
      </c>
      <c r="H42" t="s">
        <v>568</v>
      </c>
      <c r="I42" t="s">
        <v>34</v>
      </c>
      <c r="J42">
        <v>1330</v>
      </c>
      <c r="K42">
        <v>0</v>
      </c>
      <c r="L42" s="2">
        <v>0.04</v>
      </c>
      <c r="M42">
        <v>0.1</v>
      </c>
      <c r="N42" s="2">
        <v>5.3200000000000004E-2</v>
      </c>
      <c r="O42" s="2">
        <v>0.13300000000000001</v>
      </c>
    </row>
    <row r="43" spans="2:15">
      <c r="B43" t="s">
        <v>74</v>
      </c>
      <c r="C43" t="s">
        <v>33</v>
      </c>
      <c r="D43" t="s">
        <v>569</v>
      </c>
      <c r="E43" t="s">
        <v>570</v>
      </c>
      <c r="F43" t="s">
        <v>12</v>
      </c>
      <c r="G43" t="s">
        <v>569</v>
      </c>
      <c r="H43" t="s">
        <v>571</v>
      </c>
      <c r="I43" t="s">
        <v>34</v>
      </c>
      <c r="J43">
        <v>1605</v>
      </c>
      <c r="K43">
        <v>1</v>
      </c>
      <c r="L43" s="2">
        <v>0.04</v>
      </c>
      <c r="M43">
        <v>0.1</v>
      </c>
      <c r="N43" s="2">
        <v>6.4200000000000007E-2</v>
      </c>
      <c r="O43" s="2">
        <v>0.1605</v>
      </c>
    </row>
    <row r="44" spans="2:15">
      <c r="B44" t="s">
        <v>74</v>
      </c>
      <c r="C44" t="s">
        <v>33</v>
      </c>
      <c r="D44" t="s">
        <v>572</v>
      </c>
      <c r="E44" t="s">
        <v>573</v>
      </c>
      <c r="F44" t="s">
        <v>12</v>
      </c>
      <c r="G44" t="s">
        <v>572</v>
      </c>
      <c r="H44" t="s">
        <v>574</v>
      </c>
      <c r="I44" t="s">
        <v>34</v>
      </c>
      <c r="J44">
        <v>1348</v>
      </c>
      <c r="K44">
        <v>0</v>
      </c>
      <c r="L44" s="2">
        <v>0.04</v>
      </c>
      <c r="M44">
        <v>0.1</v>
      </c>
      <c r="N44" s="2">
        <v>5.3920000000000003E-2</v>
      </c>
      <c r="O44" s="2">
        <v>0.1348</v>
      </c>
    </row>
    <row r="45" spans="2:15">
      <c r="B45" t="s">
        <v>74</v>
      </c>
      <c r="C45" t="s">
        <v>33</v>
      </c>
      <c r="D45" t="s">
        <v>192</v>
      </c>
      <c r="E45" t="s">
        <v>193</v>
      </c>
      <c r="F45" t="s">
        <v>12</v>
      </c>
      <c r="G45" t="s">
        <v>192</v>
      </c>
      <c r="H45" t="s">
        <v>194</v>
      </c>
      <c r="I45" t="s">
        <v>34</v>
      </c>
      <c r="J45">
        <v>1247</v>
      </c>
      <c r="K45">
        <v>0</v>
      </c>
      <c r="L45" s="2">
        <v>0.04</v>
      </c>
      <c r="M45">
        <v>0.1</v>
      </c>
      <c r="N45" s="2">
        <v>4.9880000000000001E-2</v>
      </c>
      <c r="O45" s="2">
        <v>0.12470000000000001</v>
      </c>
    </row>
    <row r="46" spans="2:15">
      <c r="B46" t="s">
        <v>74</v>
      </c>
      <c r="C46" t="s">
        <v>33</v>
      </c>
      <c r="D46" t="s">
        <v>195</v>
      </c>
      <c r="E46" t="s">
        <v>196</v>
      </c>
      <c r="F46" t="s">
        <v>12</v>
      </c>
      <c r="G46" t="s">
        <v>195</v>
      </c>
      <c r="H46" t="s">
        <v>197</v>
      </c>
      <c r="I46" t="s">
        <v>34</v>
      </c>
      <c r="J46">
        <v>15704</v>
      </c>
      <c r="K46">
        <v>6</v>
      </c>
      <c r="L46" s="2">
        <v>0.04</v>
      </c>
      <c r="M46">
        <v>0.1</v>
      </c>
      <c r="N46" s="2">
        <v>0.62815999999999994</v>
      </c>
      <c r="O46" s="2">
        <v>1.5704</v>
      </c>
    </row>
    <row r="47" spans="2:15">
      <c r="B47" t="s">
        <v>74</v>
      </c>
      <c r="C47" t="s">
        <v>33</v>
      </c>
      <c r="D47" t="s">
        <v>198</v>
      </c>
      <c r="E47" t="s">
        <v>199</v>
      </c>
      <c r="F47" t="s">
        <v>12</v>
      </c>
      <c r="G47" t="s">
        <v>198</v>
      </c>
      <c r="H47" t="s">
        <v>200</v>
      </c>
      <c r="I47" t="s">
        <v>34</v>
      </c>
      <c r="J47">
        <v>16439</v>
      </c>
      <c r="K47">
        <v>19</v>
      </c>
      <c r="L47" s="2">
        <v>0.04</v>
      </c>
      <c r="M47">
        <v>0.1</v>
      </c>
      <c r="N47" s="2">
        <v>0.65756000000000003</v>
      </c>
      <c r="O47" s="2">
        <v>1.6439000000000001</v>
      </c>
    </row>
    <row r="48" spans="2:15">
      <c r="B48" t="s">
        <v>74</v>
      </c>
      <c r="C48" t="s">
        <v>33</v>
      </c>
      <c r="D48" t="s">
        <v>201</v>
      </c>
      <c r="E48" t="s">
        <v>202</v>
      </c>
      <c r="F48" t="s">
        <v>12</v>
      </c>
      <c r="G48" t="s">
        <v>201</v>
      </c>
      <c r="H48" t="s">
        <v>203</v>
      </c>
      <c r="I48" t="s">
        <v>34</v>
      </c>
      <c r="J48">
        <v>171039</v>
      </c>
      <c r="K48">
        <v>43</v>
      </c>
      <c r="L48" s="2">
        <v>0.04</v>
      </c>
      <c r="M48">
        <v>0.1</v>
      </c>
      <c r="N48" s="2">
        <v>6.8415600000000003</v>
      </c>
      <c r="O48" s="2">
        <v>17.103900000000003</v>
      </c>
    </row>
    <row r="49" spans="2:15">
      <c r="B49" t="s">
        <v>74</v>
      </c>
      <c r="C49" t="s">
        <v>33</v>
      </c>
      <c r="D49" t="s">
        <v>204</v>
      </c>
      <c r="E49" t="s">
        <v>205</v>
      </c>
      <c r="F49" t="s">
        <v>12</v>
      </c>
      <c r="G49" t="s">
        <v>204</v>
      </c>
      <c r="H49" t="s">
        <v>206</v>
      </c>
      <c r="I49" t="s">
        <v>34</v>
      </c>
      <c r="J49">
        <v>10426</v>
      </c>
      <c r="K49">
        <v>1</v>
      </c>
      <c r="L49" s="2">
        <v>0.04</v>
      </c>
      <c r="M49">
        <v>0.1</v>
      </c>
      <c r="N49" s="2">
        <v>0.41704000000000002</v>
      </c>
      <c r="O49" s="2">
        <v>1.0426000000000002</v>
      </c>
    </row>
    <row r="50" spans="2:15">
      <c r="B50" t="s">
        <v>35</v>
      </c>
      <c r="C50" t="s">
        <v>36</v>
      </c>
      <c r="D50" t="s">
        <v>37</v>
      </c>
      <c r="E50" t="s">
        <v>38</v>
      </c>
      <c r="F50" t="s">
        <v>10</v>
      </c>
      <c r="G50" t="s">
        <v>37</v>
      </c>
      <c r="H50" t="s">
        <v>39</v>
      </c>
      <c r="I50" t="s">
        <v>24</v>
      </c>
      <c r="J50">
        <v>0</v>
      </c>
      <c r="K50">
        <v>4</v>
      </c>
      <c r="L50" s="2">
        <v>3.5000000000000001E-3</v>
      </c>
      <c r="M50">
        <v>2.5000000000000001E-2</v>
      </c>
      <c r="N50" s="2">
        <v>1.4E-2</v>
      </c>
      <c r="O50" s="2">
        <v>0.1</v>
      </c>
    </row>
    <row r="51" spans="2:15">
      <c r="B51" t="s">
        <v>35</v>
      </c>
      <c r="C51" t="s">
        <v>36</v>
      </c>
      <c r="D51" t="s">
        <v>40</v>
      </c>
      <c r="E51" t="s">
        <v>41</v>
      </c>
      <c r="F51" t="s">
        <v>10</v>
      </c>
      <c r="G51" t="s">
        <v>40</v>
      </c>
      <c r="H51" t="s">
        <v>42</v>
      </c>
      <c r="I51" t="s">
        <v>24</v>
      </c>
      <c r="J51">
        <v>0</v>
      </c>
      <c r="K51">
        <v>12</v>
      </c>
      <c r="L51" s="2">
        <v>3.5000000000000001E-3</v>
      </c>
      <c r="M51">
        <v>2.5000000000000001E-2</v>
      </c>
      <c r="N51" s="2">
        <v>4.2000000000000003E-2</v>
      </c>
      <c r="O51" s="2">
        <v>0.30000000000000004</v>
      </c>
    </row>
    <row r="52" spans="2:15">
      <c r="B52" t="s">
        <v>35</v>
      </c>
      <c r="C52" t="s">
        <v>33</v>
      </c>
      <c r="D52" t="s">
        <v>730</v>
      </c>
      <c r="E52" t="s">
        <v>731</v>
      </c>
      <c r="F52" t="s">
        <v>10</v>
      </c>
      <c r="G52" t="s">
        <v>730</v>
      </c>
      <c r="H52" t="s">
        <v>732</v>
      </c>
      <c r="I52" t="s">
        <v>24</v>
      </c>
      <c r="J52">
        <v>1</v>
      </c>
      <c r="K52">
        <v>0</v>
      </c>
      <c r="L52" s="2">
        <v>3.5000000000000001E-3</v>
      </c>
      <c r="M52">
        <v>2.5000000000000001E-2</v>
      </c>
      <c r="N52" s="2">
        <v>0</v>
      </c>
      <c r="O52" s="2">
        <v>0</v>
      </c>
    </row>
    <row r="53" spans="2:15">
      <c r="B53" t="s">
        <v>35</v>
      </c>
      <c r="C53" t="s">
        <v>33</v>
      </c>
      <c r="D53" t="s">
        <v>50</v>
      </c>
      <c r="E53" t="s">
        <v>51</v>
      </c>
      <c r="F53" t="s">
        <v>10</v>
      </c>
      <c r="G53" t="s">
        <v>50</v>
      </c>
      <c r="H53" t="s">
        <v>52</v>
      </c>
      <c r="I53" t="s">
        <v>24</v>
      </c>
      <c r="J53">
        <v>0</v>
      </c>
      <c r="K53">
        <v>18</v>
      </c>
      <c r="L53" s="2">
        <v>3.5000000000000001E-3</v>
      </c>
      <c r="M53">
        <v>2.5000000000000001E-2</v>
      </c>
      <c r="N53" s="2">
        <v>6.3E-2</v>
      </c>
      <c r="O53" s="2">
        <v>0.45</v>
      </c>
    </row>
    <row r="54" spans="2:15">
      <c r="B54" t="s">
        <v>35</v>
      </c>
      <c r="C54" t="s">
        <v>33</v>
      </c>
      <c r="D54" t="s">
        <v>53</v>
      </c>
      <c r="E54" t="s">
        <v>54</v>
      </c>
      <c r="F54" t="s">
        <v>10</v>
      </c>
      <c r="G54" t="s">
        <v>53</v>
      </c>
      <c r="H54" t="s">
        <v>55</v>
      </c>
      <c r="I54" t="s">
        <v>24</v>
      </c>
      <c r="J54">
        <v>0</v>
      </c>
      <c r="K54">
        <v>18</v>
      </c>
      <c r="L54" s="2">
        <v>3.5000000000000001E-3</v>
      </c>
      <c r="M54">
        <v>2.5000000000000001E-2</v>
      </c>
      <c r="N54" s="2">
        <v>6.3E-2</v>
      </c>
      <c r="O54" s="2">
        <v>0.45</v>
      </c>
    </row>
    <row r="55" spans="2:15">
      <c r="B55" t="s">
        <v>35</v>
      </c>
      <c r="C55" t="s">
        <v>29</v>
      </c>
      <c r="D55" t="s">
        <v>56</v>
      </c>
      <c r="E55" t="s">
        <v>57</v>
      </c>
      <c r="F55" t="s">
        <v>10</v>
      </c>
      <c r="G55" t="s">
        <v>56</v>
      </c>
      <c r="H55" t="s">
        <v>58</v>
      </c>
      <c r="I55" t="s">
        <v>24</v>
      </c>
      <c r="J55">
        <v>2</v>
      </c>
      <c r="K55">
        <v>9</v>
      </c>
      <c r="L55" s="2">
        <v>3.5000000000000001E-3</v>
      </c>
      <c r="M55">
        <v>2.5000000000000001E-2</v>
      </c>
      <c r="N55" s="2">
        <v>3.15E-2</v>
      </c>
      <c r="O55" s="2">
        <v>0.22500000000000001</v>
      </c>
    </row>
    <row r="56" spans="2:15">
      <c r="B56" t="s">
        <v>35</v>
      </c>
      <c r="C56" t="s">
        <v>29</v>
      </c>
      <c r="D56" t="s">
        <v>59</v>
      </c>
      <c r="E56" t="s">
        <v>60</v>
      </c>
      <c r="F56" t="s">
        <v>10</v>
      </c>
      <c r="G56" t="s">
        <v>59</v>
      </c>
      <c r="H56" t="s">
        <v>61</v>
      </c>
      <c r="I56" t="s">
        <v>24</v>
      </c>
      <c r="J56">
        <v>5</v>
      </c>
      <c r="K56">
        <v>0</v>
      </c>
      <c r="L56" s="2">
        <v>3.5000000000000001E-3</v>
      </c>
      <c r="M56">
        <v>2.5000000000000001E-2</v>
      </c>
      <c r="N56" s="2">
        <v>0</v>
      </c>
      <c r="O56" s="2">
        <v>0</v>
      </c>
    </row>
    <row r="57" spans="2:15">
      <c r="B57" t="s">
        <v>35</v>
      </c>
      <c r="C57" t="s">
        <v>29</v>
      </c>
      <c r="D57" t="s">
        <v>62</v>
      </c>
      <c r="E57" t="s">
        <v>63</v>
      </c>
      <c r="F57" t="s">
        <v>10</v>
      </c>
      <c r="G57" t="s">
        <v>62</v>
      </c>
      <c r="H57" t="s">
        <v>64</v>
      </c>
      <c r="I57" t="s">
        <v>24</v>
      </c>
      <c r="J57">
        <v>3</v>
      </c>
      <c r="K57">
        <v>5</v>
      </c>
      <c r="L57" s="2">
        <v>3.5000000000000001E-3</v>
      </c>
      <c r="M57">
        <v>2.5000000000000001E-2</v>
      </c>
      <c r="N57" s="2">
        <v>1.7500000000000002E-2</v>
      </c>
      <c r="O57" s="2">
        <v>0.125</v>
      </c>
    </row>
    <row r="58" spans="2:15">
      <c r="B58" t="s">
        <v>35</v>
      </c>
      <c r="C58" t="s">
        <v>29</v>
      </c>
      <c r="D58" t="s">
        <v>65</v>
      </c>
      <c r="E58" t="s">
        <v>66</v>
      </c>
      <c r="F58" t="s">
        <v>10</v>
      </c>
      <c r="G58" t="s">
        <v>65</v>
      </c>
      <c r="H58" t="s">
        <v>67</v>
      </c>
      <c r="I58" t="s">
        <v>24</v>
      </c>
      <c r="J58">
        <v>1</v>
      </c>
      <c r="K58">
        <v>0</v>
      </c>
      <c r="L58" s="2">
        <v>3.5000000000000001E-3</v>
      </c>
      <c r="M58">
        <v>2.5000000000000001E-2</v>
      </c>
      <c r="N58" s="2">
        <v>0</v>
      </c>
      <c r="O58" s="2">
        <v>0</v>
      </c>
    </row>
    <row r="59" spans="2:15">
      <c r="B59" t="s">
        <v>35</v>
      </c>
      <c r="C59" t="s">
        <v>29</v>
      </c>
      <c r="D59" t="s">
        <v>68</v>
      </c>
      <c r="E59" t="s">
        <v>69</v>
      </c>
      <c r="F59" t="s">
        <v>10</v>
      </c>
      <c r="G59" t="s">
        <v>68</v>
      </c>
      <c r="H59" t="s">
        <v>70</v>
      </c>
      <c r="I59" t="s">
        <v>24</v>
      </c>
      <c r="J59">
        <v>1</v>
      </c>
      <c r="K59">
        <v>17</v>
      </c>
      <c r="L59" s="2">
        <v>3.5000000000000001E-3</v>
      </c>
      <c r="M59">
        <v>2.5000000000000001E-2</v>
      </c>
      <c r="N59" s="2">
        <v>5.9500000000000004E-2</v>
      </c>
      <c r="O59" s="2">
        <v>0.42500000000000004</v>
      </c>
    </row>
    <row r="60" spans="2:15">
      <c r="B60" t="s">
        <v>35</v>
      </c>
      <c r="C60" t="s">
        <v>29</v>
      </c>
      <c r="D60" t="s">
        <v>71</v>
      </c>
      <c r="E60" t="s">
        <v>72</v>
      </c>
      <c r="F60" t="s">
        <v>10</v>
      </c>
      <c r="G60" t="s">
        <v>71</v>
      </c>
      <c r="H60" t="s">
        <v>73</v>
      </c>
      <c r="I60" t="s">
        <v>24</v>
      </c>
      <c r="J60">
        <v>3</v>
      </c>
      <c r="K60">
        <v>4</v>
      </c>
      <c r="L60" s="2">
        <v>3.5000000000000001E-3</v>
      </c>
      <c r="M60">
        <v>2.5000000000000001E-2</v>
      </c>
      <c r="N60" s="2">
        <v>1.4E-2</v>
      </c>
      <c r="O60" s="2">
        <v>0.1</v>
      </c>
    </row>
    <row r="61" spans="2:15">
      <c r="B61" t="s">
        <v>35</v>
      </c>
      <c r="C61" t="s">
        <v>44</v>
      </c>
      <c r="D61" t="s">
        <v>45</v>
      </c>
      <c r="E61" t="s">
        <v>46</v>
      </c>
      <c r="F61" t="s">
        <v>10</v>
      </c>
      <c r="G61" t="s">
        <v>45</v>
      </c>
      <c r="H61" t="s">
        <v>47</v>
      </c>
      <c r="I61" t="s">
        <v>24</v>
      </c>
      <c r="J61">
        <v>0</v>
      </c>
      <c r="K61">
        <v>4</v>
      </c>
      <c r="L61" s="2">
        <v>3.5000000000000001E-3</v>
      </c>
      <c r="M61">
        <v>2.5000000000000001E-2</v>
      </c>
      <c r="N61" s="2">
        <v>1.4E-2</v>
      </c>
      <c r="O61" s="2">
        <v>0.1</v>
      </c>
    </row>
    <row r="62" spans="2:15">
      <c r="B62" t="s">
        <v>75</v>
      </c>
      <c r="C62" t="s">
        <v>29</v>
      </c>
      <c r="D62" t="s">
        <v>77</v>
      </c>
      <c r="E62" t="s">
        <v>78</v>
      </c>
      <c r="F62" t="s">
        <v>10</v>
      </c>
      <c r="G62" t="s">
        <v>77</v>
      </c>
      <c r="H62" t="s">
        <v>79</v>
      </c>
      <c r="I62" t="s">
        <v>24</v>
      </c>
      <c r="J62">
        <v>0</v>
      </c>
      <c r="K62">
        <v>9</v>
      </c>
      <c r="L62" s="2">
        <v>3.5000000000000001E-3</v>
      </c>
      <c r="M62">
        <v>2.5000000000000001E-2</v>
      </c>
      <c r="N62" s="2">
        <v>3.15E-2</v>
      </c>
      <c r="O62" s="2">
        <v>0.22500000000000001</v>
      </c>
    </row>
    <row r="63" spans="2:15">
      <c r="B63" t="s">
        <v>75</v>
      </c>
      <c r="C63" t="s">
        <v>29</v>
      </c>
      <c r="D63" t="s">
        <v>80</v>
      </c>
      <c r="E63" t="s">
        <v>81</v>
      </c>
      <c r="F63" t="s">
        <v>10</v>
      </c>
      <c r="G63" t="s">
        <v>80</v>
      </c>
      <c r="H63" t="s">
        <v>82</v>
      </c>
      <c r="I63" t="s">
        <v>24</v>
      </c>
      <c r="J63">
        <v>0</v>
      </c>
      <c r="K63">
        <v>4</v>
      </c>
      <c r="L63" s="2">
        <v>3.5000000000000001E-3</v>
      </c>
      <c r="M63">
        <v>2.5000000000000001E-2</v>
      </c>
      <c r="N63" s="2">
        <v>1.4E-2</v>
      </c>
      <c r="O63" s="2">
        <v>0.1</v>
      </c>
    </row>
    <row r="64" spans="2:15">
      <c r="B64" t="s">
        <v>75</v>
      </c>
      <c r="C64" t="s">
        <v>29</v>
      </c>
      <c r="D64" t="s">
        <v>83</v>
      </c>
      <c r="E64" t="s">
        <v>84</v>
      </c>
      <c r="F64" t="s">
        <v>10</v>
      </c>
      <c r="G64" t="s">
        <v>83</v>
      </c>
      <c r="H64" t="s">
        <v>85</v>
      </c>
      <c r="I64" t="s">
        <v>24</v>
      </c>
      <c r="J64">
        <v>0</v>
      </c>
      <c r="K64">
        <v>5</v>
      </c>
      <c r="L64" s="2">
        <v>3.5000000000000001E-3</v>
      </c>
      <c r="M64">
        <v>2.5000000000000001E-2</v>
      </c>
      <c r="N64" s="2">
        <v>1.7500000000000002E-2</v>
      </c>
      <c r="O64" s="2">
        <v>0.125</v>
      </c>
    </row>
    <row r="65" spans="2:15">
      <c r="B65" t="s">
        <v>86</v>
      </c>
      <c r="C65" t="s">
        <v>87</v>
      </c>
      <c r="D65" t="s">
        <v>86</v>
      </c>
      <c r="E65" t="s">
        <v>88</v>
      </c>
      <c r="F65" t="s">
        <v>10</v>
      </c>
      <c r="G65" t="s">
        <v>89</v>
      </c>
      <c r="H65" t="s">
        <v>90</v>
      </c>
      <c r="I65" t="s">
        <v>24</v>
      </c>
      <c r="J65">
        <v>0</v>
      </c>
      <c r="K65">
        <v>5</v>
      </c>
      <c r="L65" s="2">
        <v>3.5000000000000001E-3</v>
      </c>
      <c r="M65">
        <v>2.5000000000000001E-2</v>
      </c>
      <c r="N65" s="2">
        <v>1.7500000000000002E-2</v>
      </c>
      <c r="O65" s="2">
        <v>0.125</v>
      </c>
    </row>
    <row r="66" spans="2:15">
      <c r="B66" t="s">
        <v>575</v>
      </c>
      <c r="C66" t="s">
        <v>208</v>
      </c>
      <c r="D66" t="s">
        <v>576</v>
      </c>
      <c r="E66" t="s">
        <v>577</v>
      </c>
      <c r="F66" t="s">
        <v>10</v>
      </c>
      <c r="G66" t="s">
        <v>576</v>
      </c>
      <c r="H66" t="s">
        <v>578</v>
      </c>
      <c r="I66" t="s">
        <v>24</v>
      </c>
      <c r="J66">
        <v>1492</v>
      </c>
      <c r="K66">
        <v>17</v>
      </c>
      <c r="L66" s="2">
        <v>3.5000000000000001E-3</v>
      </c>
      <c r="M66">
        <v>2.5000000000000001E-2</v>
      </c>
      <c r="N66" s="2">
        <v>5.9500000000000004E-2</v>
      </c>
      <c r="O66" s="2">
        <v>0.42500000000000004</v>
      </c>
    </row>
    <row r="67" spans="2:15">
      <c r="B67" t="s">
        <v>575</v>
      </c>
      <c r="C67" t="s">
        <v>208</v>
      </c>
      <c r="D67" t="s">
        <v>579</v>
      </c>
      <c r="E67" t="s">
        <v>580</v>
      </c>
      <c r="F67" t="s">
        <v>10</v>
      </c>
      <c r="G67" t="s">
        <v>579</v>
      </c>
      <c r="H67" t="s">
        <v>581</v>
      </c>
      <c r="I67" t="s">
        <v>24</v>
      </c>
      <c r="J67">
        <v>1437</v>
      </c>
      <c r="K67">
        <v>11</v>
      </c>
      <c r="L67" s="2">
        <v>3.5000000000000001E-3</v>
      </c>
      <c r="M67">
        <v>2.5000000000000001E-2</v>
      </c>
      <c r="N67" s="2">
        <v>3.85E-2</v>
      </c>
      <c r="O67" s="2">
        <v>0.27500000000000002</v>
      </c>
    </row>
    <row r="68" spans="2:15">
      <c r="B68" t="s">
        <v>575</v>
      </c>
      <c r="C68" t="s">
        <v>208</v>
      </c>
      <c r="D68" t="s">
        <v>582</v>
      </c>
      <c r="E68" t="s">
        <v>583</v>
      </c>
      <c r="F68" t="s">
        <v>10</v>
      </c>
      <c r="G68" t="s">
        <v>582</v>
      </c>
      <c r="H68" t="s">
        <v>584</v>
      </c>
      <c r="I68" t="s">
        <v>24</v>
      </c>
      <c r="J68">
        <v>1449</v>
      </c>
      <c r="K68">
        <v>18</v>
      </c>
      <c r="L68" s="2">
        <v>3.5000000000000001E-3</v>
      </c>
      <c r="M68">
        <v>2.5000000000000001E-2</v>
      </c>
      <c r="N68" s="2">
        <v>6.3E-2</v>
      </c>
      <c r="O68" s="2">
        <v>0.45</v>
      </c>
    </row>
    <row r="69" spans="2:15">
      <c r="B69" t="s">
        <v>575</v>
      </c>
      <c r="C69" t="s">
        <v>208</v>
      </c>
      <c r="D69" t="s">
        <v>585</v>
      </c>
      <c r="E69" t="s">
        <v>586</v>
      </c>
      <c r="F69" t="s">
        <v>10</v>
      </c>
      <c r="G69" t="s">
        <v>585</v>
      </c>
      <c r="H69" t="s">
        <v>587</v>
      </c>
      <c r="I69" t="s">
        <v>24</v>
      </c>
      <c r="J69">
        <v>1449</v>
      </c>
      <c r="K69">
        <v>7</v>
      </c>
      <c r="L69" s="2">
        <v>3.5000000000000001E-3</v>
      </c>
      <c r="M69">
        <v>2.5000000000000001E-2</v>
      </c>
      <c r="N69" s="2">
        <v>2.4500000000000001E-2</v>
      </c>
      <c r="O69" s="2">
        <v>0.17500000000000002</v>
      </c>
    </row>
    <row r="70" spans="2:15">
      <c r="B70" t="s">
        <v>575</v>
      </c>
      <c r="C70" t="s">
        <v>208</v>
      </c>
      <c r="D70" t="s">
        <v>588</v>
      </c>
      <c r="E70" t="s">
        <v>589</v>
      </c>
      <c r="F70" t="s">
        <v>10</v>
      </c>
      <c r="G70" t="s">
        <v>588</v>
      </c>
      <c r="H70" t="s">
        <v>590</v>
      </c>
      <c r="I70" t="s">
        <v>24</v>
      </c>
      <c r="J70">
        <v>1486</v>
      </c>
      <c r="K70">
        <v>7</v>
      </c>
      <c r="L70" s="2">
        <v>3.5000000000000001E-3</v>
      </c>
      <c r="M70">
        <v>2.5000000000000001E-2</v>
      </c>
      <c r="N70" s="2">
        <v>2.4500000000000001E-2</v>
      </c>
      <c r="O70" s="2">
        <v>0.17500000000000002</v>
      </c>
    </row>
    <row r="71" spans="2:15">
      <c r="B71" t="s">
        <v>575</v>
      </c>
      <c r="C71" t="s">
        <v>208</v>
      </c>
      <c r="D71" t="s">
        <v>591</v>
      </c>
      <c r="E71" t="s">
        <v>592</v>
      </c>
      <c r="F71" t="s">
        <v>10</v>
      </c>
      <c r="G71" t="s">
        <v>591</v>
      </c>
      <c r="H71" t="s">
        <v>593</v>
      </c>
      <c r="I71" t="s">
        <v>24</v>
      </c>
      <c r="J71">
        <v>1408</v>
      </c>
      <c r="K71">
        <v>11</v>
      </c>
      <c r="L71" s="2">
        <v>3.5000000000000001E-3</v>
      </c>
      <c r="M71">
        <v>2.5000000000000001E-2</v>
      </c>
      <c r="N71" s="2">
        <v>3.85E-2</v>
      </c>
      <c r="O71" s="2">
        <v>0.27500000000000002</v>
      </c>
    </row>
    <row r="72" spans="2:15">
      <c r="B72" t="s">
        <v>575</v>
      </c>
      <c r="C72" t="s">
        <v>208</v>
      </c>
      <c r="D72" t="s">
        <v>594</v>
      </c>
      <c r="E72" t="s">
        <v>595</v>
      </c>
      <c r="F72" t="s">
        <v>10</v>
      </c>
      <c r="G72" t="s">
        <v>594</v>
      </c>
      <c r="H72" t="s">
        <v>596</v>
      </c>
      <c r="I72" t="s">
        <v>24</v>
      </c>
      <c r="J72">
        <v>1482</v>
      </c>
      <c r="K72">
        <v>6</v>
      </c>
      <c r="L72" s="2">
        <v>3.5000000000000001E-3</v>
      </c>
      <c r="M72">
        <v>2.5000000000000001E-2</v>
      </c>
      <c r="N72" s="2">
        <v>2.1000000000000001E-2</v>
      </c>
      <c r="O72" s="2">
        <v>0.15000000000000002</v>
      </c>
    </row>
    <row r="73" spans="2:15">
      <c r="B73" t="s">
        <v>575</v>
      </c>
      <c r="C73" t="s">
        <v>208</v>
      </c>
      <c r="D73" t="s">
        <v>597</v>
      </c>
      <c r="E73" t="s">
        <v>598</v>
      </c>
      <c r="F73" t="s">
        <v>10</v>
      </c>
      <c r="G73" t="s">
        <v>597</v>
      </c>
      <c r="H73" t="s">
        <v>599</v>
      </c>
      <c r="I73" t="s">
        <v>24</v>
      </c>
      <c r="J73">
        <v>1676</v>
      </c>
      <c r="K73">
        <v>1</v>
      </c>
      <c r="L73" s="2">
        <v>3.5000000000000001E-3</v>
      </c>
      <c r="M73">
        <v>2.5000000000000001E-2</v>
      </c>
      <c r="N73" s="2">
        <v>3.5000000000000001E-3</v>
      </c>
      <c r="O73" s="2">
        <v>2.5000000000000001E-2</v>
      </c>
    </row>
    <row r="74" spans="2:15">
      <c r="B74" t="s">
        <v>575</v>
      </c>
      <c r="C74" t="s">
        <v>208</v>
      </c>
      <c r="D74" t="s">
        <v>600</v>
      </c>
      <c r="E74" t="s">
        <v>601</v>
      </c>
      <c r="F74" t="s">
        <v>10</v>
      </c>
      <c r="G74" t="s">
        <v>600</v>
      </c>
      <c r="H74" t="s">
        <v>602</v>
      </c>
      <c r="I74" t="s">
        <v>24</v>
      </c>
      <c r="J74">
        <v>1750</v>
      </c>
      <c r="K74">
        <v>0</v>
      </c>
      <c r="L74" s="2">
        <v>3.5000000000000001E-3</v>
      </c>
      <c r="M74">
        <v>2.5000000000000001E-2</v>
      </c>
      <c r="N74" s="2">
        <v>0</v>
      </c>
      <c r="O74" s="2">
        <v>0</v>
      </c>
    </row>
    <row r="75" spans="2:15">
      <c r="B75" t="s">
        <v>575</v>
      </c>
      <c r="C75" t="s">
        <v>208</v>
      </c>
      <c r="D75" t="s">
        <v>603</v>
      </c>
      <c r="E75" t="s">
        <v>604</v>
      </c>
      <c r="F75" t="s">
        <v>10</v>
      </c>
      <c r="G75" t="s">
        <v>603</v>
      </c>
      <c r="H75" t="s">
        <v>605</v>
      </c>
      <c r="I75" t="s">
        <v>24</v>
      </c>
      <c r="J75">
        <v>1775</v>
      </c>
      <c r="K75">
        <v>1</v>
      </c>
      <c r="L75" s="2">
        <v>3.5000000000000001E-3</v>
      </c>
      <c r="M75">
        <v>2.5000000000000001E-2</v>
      </c>
      <c r="N75" s="2">
        <v>3.5000000000000001E-3</v>
      </c>
      <c r="O75" s="2">
        <v>2.5000000000000001E-2</v>
      </c>
    </row>
    <row r="76" spans="2:15">
      <c r="B76" t="s">
        <v>575</v>
      </c>
      <c r="C76" t="s">
        <v>208</v>
      </c>
      <c r="D76" t="s">
        <v>606</v>
      </c>
      <c r="E76" t="s">
        <v>607</v>
      </c>
      <c r="F76" t="s">
        <v>10</v>
      </c>
      <c r="G76" t="s">
        <v>606</v>
      </c>
      <c r="H76" t="s">
        <v>608</v>
      </c>
      <c r="I76" t="s">
        <v>24</v>
      </c>
      <c r="J76">
        <v>1686</v>
      </c>
      <c r="K76">
        <v>1</v>
      </c>
      <c r="L76" s="2">
        <v>3.5000000000000001E-3</v>
      </c>
      <c r="M76">
        <v>2.5000000000000001E-2</v>
      </c>
      <c r="N76" s="2">
        <v>3.5000000000000001E-3</v>
      </c>
      <c r="O76" s="2">
        <v>2.5000000000000001E-2</v>
      </c>
    </row>
    <row r="77" spans="2:15">
      <c r="B77" t="s">
        <v>575</v>
      </c>
      <c r="C77" t="s">
        <v>208</v>
      </c>
      <c r="D77" t="s">
        <v>609</v>
      </c>
      <c r="E77" t="s">
        <v>610</v>
      </c>
      <c r="F77" t="s">
        <v>10</v>
      </c>
      <c r="G77" t="s">
        <v>609</v>
      </c>
      <c r="H77" t="s">
        <v>611</v>
      </c>
      <c r="I77" t="s">
        <v>24</v>
      </c>
      <c r="J77">
        <v>1716</v>
      </c>
      <c r="K77">
        <v>1</v>
      </c>
      <c r="L77" s="2">
        <v>3.5000000000000001E-3</v>
      </c>
      <c r="M77">
        <v>2.5000000000000001E-2</v>
      </c>
      <c r="N77" s="2">
        <v>3.5000000000000001E-3</v>
      </c>
      <c r="O77" s="2">
        <v>2.5000000000000001E-2</v>
      </c>
    </row>
    <row r="78" spans="2:15">
      <c r="B78" t="s">
        <v>575</v>
      </c>
      <c r="C78" t="s">
        <v>208</v>
      </c>
      <c r="D78" t="s">
        <v>612</v>
      </c>
      <c r="E78" t="s">
        <v>613</v>
      </c>
      <c r="F78" t="s">
        <v>10</v>
      </c>
      <c r="G78" t="s">
        <v>612</v>
      </c>
      <c r="H78" t="s">
        <v>614</v>
      </c>
      <c r="I78" t="s">
        <v>24</v>
      </c>
      <c r="J78">
        <v>1709</v>
      </c>
      <c r="K78">
        <v>1</v>
      </c>
      <c r="L78" s="2">
        <v>3.5000000000000001E-3</v>
      </c>
      <c r="M78">
        <v>2.5000000000000001E-2</v>
      </c>
      <c r="N78" s="2">
        <v>3.5000000000000001E-3</v>
      </c>
      <c r="O78" s="2">
        <v>2.5000000000000001E-2</v>
      </c>
    </row>
    <row r="79" spans="2:15">
      <c r="B79" t="s">
        <v>575</v>
      </c>
      <c r="C79" t="s">
        <v>208</v>
      </c>
      <c r="D79" t="s">
        <v>615</v>
      </c>
      <c r="E79" t="s">
        <v>616</v>
      </c>
      <c r="F79" t="s">
        <v>10</v>
      </c>
      <c r="G79" t="s">
        <v>615</v>
      </c>
      <c r="H79" t="s">
        <v>617</v>
      </c>
      <c r="I79" t="s">
        <v>24</v>
      </c>
      <c r="J79">
        <v>1695</v>
      </c>
      <c r="K79">
        <v>0</v>
      </c>
      <c r="L79" s="2">
        <v>3.5000000000000001E-3</v>
      </c>
      <c r="M79">
        <v>2.5000000000000001E-2</v>
      </c>
      <c r="N79" s="2">
        <v>0</v>
      </c>
      <c r="O79" s="2">
        <v>0</v>
      </c>
    </row>
    <row r="80" spans="2:15">
      <c r="B80" t="s">
        <v>575</v>
      </c>
      <c r="C80" t="s">
        <v>208</v>
      </c>
      <c r="D80" t="s">
        <v>618</v>
      </c>
      <c r="E80" t="s">
        <v>619</v>
      </c>
      <c r="F80" t="s">
        <v>10</v>
      </c>
      <c r="G80" t="s">
        <v>618</v>
      </c>
      <c r="H80" t="s">
        <v>620</v>
      </c>
      <c r="I80" t="s">
        <v>24</v>
      </c>
      <c r="J80">
        <v>0</v>
      </c>
      <c r="K80">
        <v>42</v>
      </c>
      <c r="L80" s="2">
        <v>3.5000000000000001E-3</v>
      </c>
      <c r="M80">
        <v>2.5000000000000001E-2</v>
      </c>
      <c r="N80" s="2">
        <v>0.14699999999999999</v>
      </c>
      <c r="O80" s="2">
        <v>1.05</v>
      </c>
    </row>
    <row r="81" spans="2:15">
      <c r="B81" t="s">
        <v>575</v>
      </c>
      <c r="C81" t="s">
        <v>208</v>
      </c>
      <c r="D81" t="s">
        <v>621</v>
      </c>
      <c r="E81" t="s">
        <v>622</v>
      </c>
      <c r="F81" t="s">
        <v>10</v>
      </c>
      <c r="G81" t="s">
        <v>621</v>
      </c>
      <c r="H81" t="s">
        <v>623</v>
      </c>
      <c r="I81" t="s">
        <v>24</v>
      </c>
      <c r="J81">
        <v>0</v>
      </c>
      <c r="K81">
        <v>29</v>
      </c>
      <c r="L81" s="2">
        <v>3.5000000000000001E-3</v>
      </c>
      <c r="M81">
        <v>2.5000000000000001E-2</v>
      </c>
      <c r="N81" s="2">
        <v>0.10150000000000001</v>
      </c>
      <c r="O81" s="2">
        <v>0.72500000000000009</v>
      </c>
    </row>
    <row r="82" spans="2:15">
      <c r="B82" t="s">
        <v>575</v>
      </c>
      <c r="C82" t="s">
        <v>208</v>
      </c>
      <c r="D82" t="s">
        <v>624</v>
      </c>
      <c r="E82" t="s">
        <v>625</v>
      </c>
      <c r="F82" t="s">
        <v>10</v>
      </c>
      <c r="G82" t="s">
        <v>624</v>
      </c>
      <c r="H82" t="s">
        <v>626</v>
      </c>
      <c r="I82" t="s">
        <v>24</v>
      </c>
      <c r="J82">
        <v>0</v>
      </c>
      <c r="K82">
        <v>38</v>
      </c>
      <c r="L82" s="2">
        <v>3.5000000000000001E-3</v>
      </c>
      <c r="M82">
        <v>2.5000000000000001E-2</v>
      </c>
      <c r="N82" s="2">
        <v>0.13300000000000001</v>
      </c>
      <c r="O82" s="2">
        <v>0.95000000000000007</v>
      </c>
    </row>
    <row r="83" spans="2:15">
      <c r="B83" t="s">
        <v>575</v>
      </c>
      <c r="C83" t="s">
        <v>208</v>
      </c>
      <c r="D83" t="s">
        <v>627</v>
      </c>
      <c r="E83" t="s">
        <v>628</v>
      </c>
      <c r="F83" t="s">
        <v>10</v>
      </c>
      <c r="G83" t="s">
        <v>627</v>
      </c>
      <c r="H83" t="s">
        <v>629</v>
      </c>
      <c r="I83" t="s">
        <v>24</v>
      </c>
      <c r="J83">
        <v>0</v>
      </c>
      <c r="K83">
        <v>30</v>
      </c>
      <c r="L83" s="2">
        <v>3.5000000000000001E-3</v>
      </c>
      <c r="M83">
        <v>2.5000000000000001E-2</v>
      </c>
      <c r="N83" s="2">
        <v>0.105</v>
      </c>
      <c r="O83" s="2">
        <v>0.75</v>
      </c>
    </row>
    <row r="84" spans="2:15">
      <c r="B84" t="s">
        <v>575</v>
      </c>
      <c r="C84" t="s">
        <v>208</v>
      </c>
      <c r="D84" t="s">
        <v>630</v>
      </c>
      <c r="E84" t="s">
        <v>631</v>
      </c>
      <c r="F84" t="s">
        <v>10</v>
      </c>
      <c r="G84" t="s">
        <v>630</v>
      </c>
      <c r="H84" t="s">
        <v>632</v>
      </c>
      <c r="I84" t="s">
        <v>24</v>
      </c>
      <c r="J84">
        <v>0</v>
      </c>
      <c r="K84">
        <v>37</v>
      </c>
      <c r="L84" s="2">
        <v>3.5000000000000001E-3</v>
      </c>
      <c r="M84">
        <v>2.5000000000000001E-2</v>
      </c>
      <c r="N84" s="2">
        <v>0.1295</v>
      </c>
      <c r="O84" s="2">
        <v>0.92500000000000004</v>
      </c>
    </row>
    <row r="85" spans="2:15">
      <c r="B85" t="s">
        <v>575</v>
      </c>
      <c r="C85" t="s">
        <v>208</v>
      </c>
      <c r="D85" t="s">
        <v>633</v>
      </c>
      <c r="E85" t="s">
        <v>634</v>
      </c>
      <c r="F85" t="s">
        <v>10</v>
      </c>
      <c r="G85" t="s">
        <v>633</v>
      </c>
      <c r="H85" t="s">
        <v>635</v>
      </c>
      <c r="I85" t="s">
        <v>24</v>
      </c>
      <c r="J85">
        <v>0</v>
      </c>
      <c r="K85">
        <v>48</v>
      </c>
      <c r="L85" s="2">
        <v>3.5000000000000001E-3</v>
      </c>
      <c r="M85">
        <v>2.5000000000000001E-2</v>
      </c>
      <c r="N85" s="2">
        <v>0.16800000000000001</v>
      </c>
      <c r="O85" s="2">
        <v>1.2000000000000002</v>
      </c>
    </row>
    <row r="86" spans="2:15">
      <c r="B86" t="s">
        <v>575</v>
      </c>
      <c r="C86" t="s">
        <v>208</v>
      </c>
      <c r="D86" t="s">
        <v>636</v>
      </c>
      <c r="E86" t="s">
        <v>637</v>
      </c>
      <c r="F86" t="s">
        <v>10</v>
      </c>
      <c r="G86" t="s">
        <v>636</v>
      </c>
      <c r="H86" t="s">
        <v>638</v>
      </c>
      <c r="I86" t="s">
        <v>24</v>
      </c>
      <c r="J86">
        <v>0</v>
      </c>
      <c r="K86">
        <v>40</v>
      </c>
      <c r="L86" s="2">
        <v>3.5000000000000001E-3</v>
      </c>
      <c r="M86">
        <v>2.5000000000000001E-2</v>
      </c>
      <c r="N86" s="2">
        <v>0.14000000000000001</v>
      </c>
      <c r="O86" s="2">
        <v>1</v>
      </c>
    </row>
    <row r="87" spans="2:15">
      <c r="B87" t="s">
        <v>575</v>
      </c>
      <c r="C87" t="s">
        <v>208</v>
      </c>
      <c r="D87" t="s">
        <v>639</v>
      </c>
      <c r="E87" t="s">
        <v>640</v>
      </c>
      <c r="F87" t="s">
        <v>10</v>
      </c>
      <c r="G87" t="s">
        <v>639</v>
      </c>
      <c r="H87" t="s">
        <v>641</v>
      </c>
      <c r="I87" t="s">
        <v>24</v>
      </c>
      <c r="J87">
        <v>1074</v>
      </c>
      <c r="K87">
        <v>5</v>
      </c>
      <c r="L87" s="2">
        <v>3.5000000000000001E-3</v>
      </c>
      <c r="M87">
        <v>2.5000000000000001E-2</v>
      </c>
      <c r="N87" s="2">
        <v>1.7500000000000002E-2</v>
      </c>
      <c r="O87" s="2">
        <v>0.125</v>
      </c>
    </row>
    <row r="88" spans="2:15">
      <c r="B88" t="s">
        <v>575</v>
      </c>
      <c r="C88" t="s">
        <v>208</v>
      </c>
      <c r="D88" t="s">
        <v>642</v>
      </c>
      <c r="E88" t="s">
        <v>643</v>
      </c>
      <c r="F88" t="s">
        <v>10</v>
      </c>
      <c r="G88" t="s">
        <v>642</v>
      </c>
      <c r="H88" t="s">
        <v>644</v>
      </c>
      <c r="I88" t="s">
        <v>24</v>
      </c>
      <c r="J88">
        <v>1101</v>
      </c>
      <c r="K88">
        <v>12</v>
      </c>
      <c r="L88" s="2">
        <v>3.5000000000000001E-3</v>
      </c>
      <c r="M88">
        <v>2.5000000000000001E-2</v>
      </c>
      <c r="N88" s="2">
        <v>4.2000000000000003E-2</v>
      </c>
      <c r="O88" s="2">
        <v>0.30000000000000004</v>
      </c>
    </row>
    <row r="89" spans="2:15">
      <c r="B89" t="s">
        <v>575</v>
      </c>
      <c r="C89" t="s">
        <v>208</v>
      </c>
      <c r="D89" t="s">
        <v>645</v>
      </c>
      <c r="E89" t="s">
        <v>646</v>
      </c>
      <c r="F89" t="s">
        <v>10</v>
      </c>
      <c r="G89" t="s">
        <v>645</v>
      </c>
      <c r="H89" t="s">
        <v>647</v>
      </c>
      <c r="I89" t="s">
        <v>24</v>
      </c>
      <c r="J89">
        <v>1055</v>
      </c>
      <c r="K89">
        <v>4</v>
      </c>
      <c r="L89" s="2">
        <v>3.5000000000000001E-3</v>
      </c>
      <c r="M89">
        <v>2.5000000000000001E-2</v>
      </c>
      <c r="N89" s="2">
        <v>1.4E-2</v>
      </c>
      <c r="O89" s="2">
        <v>0.1</v>
      </c>
    </row>
    <row r="90" spans="2:15">
      <c r="B90" t="s">
        <v>575</v>
      </c>
      <c r="C90" t="s">
        <v>208</v>
      </c>
      <c r="D90" t="s">
        <v>648</v>
      </c>
      <c r="E90" t="s">
        <v>649</v>
      </c>
      <c r="F90" t="s">
        <v>10</v>
      </c>
      <c r="G90" t="s">
        <v>648</v>
      </c>
      <c r="H90" t="s">
        <v>650</v>
      </c>
      <c r="I90" t="s">
        <v>24</v>
      </c>
      <c r="J90">
        <v>1058</v>
      </c>
      <c r="K90">
        <v>4</v>
      </c>
      <c r="L90" s="2">
        <v>3.5000000000000001E-3</v>
      </c>
      <c r="M90">
        <v>2.5000000000000001E-2</v>
      </c>
      <c r="N90" s="2">
        <v>1.4E-2</v>
      </c>
      <c r="O90" s="2">
        <v>0.1</v>
      </c>
    </row>
    <row r="91" spans="2:15">
      <c r="B91" t="s">
        <v>575</v>
      </c>
      <c r="C91" t="s">
        <v>208</v>
      </c>
      <c r="D91" t="s">
        <v>651</v>
      </c>
      <c r="E91" t="s">
        <v>652</v>
      </c>
      <c r="F91" t="s">
        <v>10</v>
      </c>
      <c r="G91" t="s">
        <v>651</v>
      </c>
      <c r="H91" t="s">
        <v>653</v>
      </c>
      <c r="I91" t="s">
        <v>24</v>
      </c>
      <c r="J91">
        <v>1098</v>
      </c>
      <c r="K91">
        <v>7</v>
      </c>
      <c r="L91" s="2">
        <v>3.5000000000000001E-3</v>
      </c>
      <c r="M91">
        <v>2.5000000000000001E-2</v>
      </c>
      <c r="N91" s="2">
        <v>2.4500000000000001E-2</v>
      </c>
      <c r="O91" s="2">
        <v>0.17500000000000002</v>
      </c>
    </row>
    <row r="92" spans="2:15">
      <c r="B92" t="s">
        <v>575</v>
      </c>
      <c r="C92" t="s">
        <v>208</v>
      </c>
      <c r="D92" t="s">
        <v>654</v>
      </c>
      <c r="E92" t="s">
        <v>655</v>
      </c>
      <c r="F92" t="s">
        <v>10</v>
      </c>
      <c r="G92" t="s">
        <v>654</v>
      </c>
      <c r="H92" t="s">
        <v>656</v>
      </c>
      <c r="I92" t="s">
        <v>24</v>
      </c>
      <c r="J92">
        <v>1120</v>
      </c>
      <c r="K92">
        <v>8</v>
      </c>
      <c r="L92" s="2">
        <v>3.5000000000000001E-3</v>
      </c>
      <c r="M92">
        <v>2.5000000000000001E-2</v>
      </c>
      <c r="N92" s="2">
        <v>2.8000000000000001E-2</v>
      </c>
      <c r="O92" s="2">
        <v>0.2</v>
      </c>
    </row>
    <row r="93" spans="2:15">
      <c r="B93" t="s">
        <v>575</v>
      </c>
      <c r="C93" t="s">
        <v>208</v>
      </c>
      <c r="D93" t="s">
        <v>657</v>
      </c>
      <c r="E93" t="s">
        <v>658</v>
      </c>
      <c r="F93" t="s">
        <v>10</v>
      </c>
      <c r="G93" t="s">
        <v>657</v>
      </c>
      <c r="H93" t="s">
        <v>659</v>
      </c>
      <c r="I93" t="s">
        <v>24</v>
      </c>
      <c r="J93">
        <v>1033</v>
      </c>
      <c r="K93">
        <v>6</v>
      </c>
      <c r="L93" s="2">
        <v>3.5000000000000001E-3</v>
      </c>
      <c r="M93">
        <v>2.5000000000000001E-2</v>
      </c>
      <c r="N93" s="2">
        <v>2.1000000000000001E-2</v>
      </c>
      <c r="O93" s="2">
        <v>0.15000000000000002</v>
      </c>
    </row>
    <row r="94" spans="2:15">
      <c r="B94" t="s">
        <v>209</v>
      </c>
      <c r="C94" t="s">
        <v>43</v>
      </c>
      <c r="D94" t="s">
        <v>733</v>
      </c>
      <c r="E94" t="s">
        <v>734</v>
      </c>
      <c r="F94" t="s">
        <v>12</v>
      </c>
      <c r="G94" t="s">
        <v>733</v>
      </c>
      <c r="H94" t="s">
        <v>735</v>
      </c>
      <c r="I94" t="s">
        <v>34</v>
      </c>
      <c r="J94">
        <v>786504</v>
      </c>
      <c r="K94">
        <v>2351</v>
      </c>
      <c r="L94" s="2">
        <v>0.04</v>
      </c>
      <c r="M94">
        <v>0.1</v>
      </c>
      <c r="N94" s="2">
        <v>31.460159999999998</v>
      </c>
      <c r="O94" s="2">
        <v>78.650400000000005</v>
      </c>
    </row>
    <row r="95" spans="2:15">
      <c r="B95" t="s">
        <v>209</v>
      </c>
      <c r="C95" t="s">
        <v>43</v>
      </c>
      <c r="D95" t="s">
        <v>736</v>
      </c>
      <c r="E95" t="s">
        <v>737</v>
      </c>
      <c r="F95" t="s">
        <v>12</v>
      </c>
      <c r="G95" t="s">
        <v>736</v>
      </c>
      <c r="H95" t="s">
        <v>738</v>
      </c>
      <c r="I95" t="s">
        <v>34</v>
      </c>
      <c r="J95">
        <v>918500</v>
      </c>
      <c r="K95">
        <v>1116</v>
      </c>
      <c r="L95" s="2">
        <v>0.04</v>
      </c>
      <c r="M95">
        <v>0.1</v>
      </c>
      <c r="N95" s="2">
        <v>36.74</v>
      </c>
      <c r="O95" s="2">
        <v>91.85</v>
      </c>
    </row>
    <row r="96" spans="2:15">
      <c r="B96" t="s">
        <v>209</v>
      </c>
      <c r="C96" t="s">
        <v>43</v>
      </c>
      <c r="D96" t="s">
        <v>739</v>
      </c>
      <c r="E96" t="s">
        <v>740</v>
      </c>
      <c r="F96" t="s">
        <v>12</v>
      </c>
      <c r="G96" t="s">
        <v>739</v>
      </c>
      <c r="H96" t="s">
        <v>741</v>
      </c>
      <c r="I96" t="s">
        <v>34</v>
      </c>
      <c r="J96">
        <v>6569328</v>
      </c>
      <c r="K96">
        <v>25693</v>
      </c>
      <c r="L96" s="2">
        <v>0.04</v>
      </c>
      <c r="M96">
        <v>0.1</v>
      </c>
      <c r="N96" s="2">
        <v>262.77312000000001</v>
      </c>
      <c r="O96" s="2">
        <v>656.93280000000004</v>
      </c>
    </row>
    <row r="97" spans="2:15">
      <c r="B97" t="s">
        <v>209</v>
      </c>
      <c r="C97" t="s">
        <v>43</v>
      </c>
      <c r="D97" t="s">
        <v>742</v>
      </c>
      <c r="E97" t="s">
        <v>743</v>
      </c>
      <c r="F97" t="s">
        <v>12</v>
      </c>
      <c r="G97" t="s">
        <v>742</v>
      </c>
      <c r="H97" t="s">
        <v>744</v>
      </c>
      <c r="I97" t="s">
        <v>34</v>
      </c>
      <c r="J97">
        <v>2950615</v>
      </c>
      <c r="K97">
        <v>6459</v>
      </c>
      <c r="L97" s="2">
        <v>0.04</v>
      </c>
      <c r="M97">
        <v>0.1</v>
      </c>
      <c r="N97" s="2">
        <v>118.02460000000001</v>
      </c>
      <c r="O97" s="2">
        <v>295.06150000000002</v>
      </c>
    </row>
    <row r="98" spans="2:15">
      <c r="B98" t="s">
        <v>209</v>
      </c>
      <c r="C98" t="s">
        <v>43</v>
      </c>
      <c r="D98" t="s">
        <v>745</v>
      </c>
      <c r="E98" t="s">
        <v>746</v>
      </c>
      <c r="F98" t="s">
        <v>12</v>
      </c>
      <c r="G98" t="s">
        <v>745</v>
      </c>
      <c r="H98" t="s">
        <v>747</v>
      </c>
      <c r="I98" t="s">
        <v>34</v>
      </c>
      <c r="J98">
        <v>636516</v>
      </c>
      <c r="K98">
        <v>3048</v>
      </c>
      <c r="L98" s="2">
        <v>0.04</v>
      </c>
      <c r="M98">
        <v>0.1</v>
      </c>
      <c r="N98" s="2">
        <v>25.460639999999998</v>
      </c>
      <c r="O98" s="2">
        <v>63.651600000000009</v>
      </c>
    </row>
    <row r="99" spans="2:15">
      <c r="B99" t="s">
        <v>209</v>
      </c>
      <c r="C99" t="s">
        <v>207</v>
      </c>
      <c r="D99" t="s">
        <v>748</v>
      </c>
      <c r="E99" t="s">
        <v>749</v>
      </c>
      <c r="F99" t="s">
        <v>10</v>
      </c>
      <c r="G99" t="s">
        <v>748</v>
      </c>
      <c r="H99" t="s">
        <v>750</v>
      </c>
      <c r="I99" t="s">
        <v>24</v>
      </c>
      <c r="J99">
        <v>0</v>
      </c>
      <c r="K99">
        <v>1</v>
      </c>
      <c r="L99" s="2">
        <v>3.5000000000000001E-3</v>
      </c>
      <c r="M99">
        <v>2.5000000000000001E-2</v>
      </c>
      <c r="N99" s="2">
        <v>3.5000000000000001E-3</v>
      </c>
      <c r="O99" s="2">
        <v>2.5000000000000001E-2</v>
      </c>
    </row>
    <row r="100" spans="2:15">
      <c r="B100" t="s">
        <v>209</v>
      </c>
      <c r="C100" t="s">
        <v>207</v>
      </c>
      <c r="D100" t="s">
        <v>751</v>
      </c>
      <c r="E100" t="s">
        <v>752</v>
      </c>
      <c r="F100" t="s">
        <v>10</v>
      </c>
      <c r="G100" t="s">
        <v>751</v>
      </c>
      <c r="H100" t="s">
        <v>753</v>
      </c>
      <c r="I100" t="s">
        <v>24</v>
      </c>
      <c r="J100">
        <v>0</v>
      </c>
      <c r="K100">
        <v>1</v>
      </c>
      <c r="L100" s="2">
        <v>3.5000000000000001E-3</v>
      </c>
      <c r="M100">
        <v>2.5000000000000001E-2</v>
      </c>
      <c r="N100" s="2">
        <v>3.5000000000000001E-3</v>
      </c>
      <c r="O100" s="2">
        <v>2.5000000000000001E-2</v>
      </c>
    </row>
    <row r="101" spans="2:15">
      <c r="B101" t="s">
        <v>209</v>
      </c>
      <c r="C101" t="s">
        <v>207</v>
      </c>
      <c r="D101" t="s">
        <v>754</v>
      </c>
      <c r="E101" t="s">
        <v>755</v>
      </c>
      <c r="F101" t="s">
        <v>10</v>
      </c>
      <c r="G101" t="s">
        <v>754</v>
      </c>
      <c r="H101" t="s">
        <v>756</v>
      </c>
      <c r="I101" t="s">
        <v>24</v>
      </c>
      <c r="J101">
        <v>0</v>
      </c>
      <c r="K101">
        <v>1</v>
      </c>
      <c r="L101" s="2">
        <v>3.5000000000000001E-3</v>
      </c>
      <c r="M101">
        <v>2.5000000000000001E-2</v>
      </c>
      <c r="N101" s="2">
        <v>3.5000000000000001E-3</v>
      </c>
      <c r="O101" s="2">
        <v>2.5000000000000001E-2</v>
      </c>
    </row>
    <row r="102" spans="2:15">
      <c r="B102" t="s">
        <v>209</v>
      </c>
      <c r="C102" t="s">
        <v>207</v>
      </c>
      <c r="D102" t="s">
        <v>210</v>
      </c>
      <c r="E102" t="s">
        <v>211</v>
      </c>
      <c r="F102" t="s">
        <v>10</v>
      </c>
      <c r="G102" t="s">
        <v>210</v>
      </c>
      <c r="H102" t="s">
        <v>212</v>
      </c>
      <c r="I102" t="s">
        <v>24</v>
      </c>
      <c r="J102">
        <v>2</v>
      </c>
      <c r="K102">
        <v>0</v>
      </c>
      <c r="L102" s="2">
        <v>3.5000000000000001E-3</v>
      </c>
      <c r="M102">
        <v>2.5000000000000001E-2</v>
      </c>
      <c r="N102" s="2">
        <v>0</v>
      </c>
      <c r="O102" s="2">
        <v>0</v>
      </c>
    </row>
    <row r="103" spans="2:15">
      <c r="B103" t="s">
        <v>209</v>
      </c>
      <c r="C103" t="s">
        <v>207</v>
      </c>
      <c r="D103" t="s">
        <v>213</v>
      </c>
      <c r="E103" t="s">
        <v>214</v>
      </c>
      <c r="F103" t="s">
        <v>10</v>
      </c>
      <c r="G103" t="s">
        <v>213</v>
      </c>
      <c r="H103" t="s">
        <v>215</v>
      </c>
      <c r="I103" t="s">
        <v>24</v>
      </c>
      <c r="J103">
        <v>11</v>
      </c>
      <c r="K103">
        <v>3</v>
      </c>
      <c r="L103" s="2">
        <v>3.5000000000000001E-3</v>
      </c>
      <c r="M103">
        <v>2.5000000000000001E-2</v>
      </c>
      <c r="N103" s="2">
        <v>1.0500000000000001E-2</v>
      </c>
      <c r="O103" s="2">
        <v>7.5000000000000011E-2</v>
      </c>
    </row>
    <row r="104" spans="2:15">
      <c r="B104" t="s">
        <v>209</v>
      </c>
      <c r="C104" t="s">
        <v>208</v>
      </c>
      <c r="D104" t="s">
        <v>757</v>
      </c>
      <c r="E104" t="s">
        <v>758</v>
      </c>
      <c r="F104" t="s">
        <v>10</v>
      </c>
      <c r="G104" t="s">
        <v>757</v>
      </c>
      <c r="H104" t="s">
        <v>759</v>
      </c>
      <c r="I104" t="s">
        <v>24</v>
      </c>
      <c r="J104">
        <v>0</v>
      </c>
      <c r="K104">
        <v>1</v>
      </c>
      <c r="L104" s="2">
        <v>3.5000000000000001E-3</v>
      </c>
      <c r="M104">
        <v>2.5000000000000001E-2</v>
      </c>
      <c r="N104" s="2">
        <v>3.5000000000000001E-3</v>
      </c>
      <c r="O104" s="2">
        <v>2.5000000000000001E-2</v>
      </c>
    </row>
    <row r="105" spans="2:15">
      <c r="B105" t="s">
        <v>209</v>
      </c>
      <c r="C105" t="s">
        <v>208</v>
      </c>
      <c r="D105" t="s">
        <v>760</v>
      </c>
      <c r="E105" t="s">
        <v>761</v>
      </c>
      <c r="F105" t="s">
        <v>10</v>
      </c>
      <c r="G105" t="s">
        <v>760</v>
      </c>
      <c r="H105" t="s">
        <v>762</v>
      </c>
      <c r="I105" t="s">
        <v>24</v>
      </c>
      <c r="J105">
        <v>48980</v>
      </c>
      <c r="K105">
        <v>84</v>
      </c>
      <c r="L105" s="2">
        <v>3.5000000000000001E-3</v>
      </c>
      <c r="M105">
        <v>2.5000000000000001E-2</v>
      </c>
      <c r="N105" s="2">
        <v>0.29399999999999998</v>
      </c>
      <c r="O105" s="2">
        <v>2.1</v>
      </c>
    </row>
    <row r="106" spans="2:15">
      <c r="B106" t="s">
        <v>209</v>
      </c>
      <c r="C106" t="s">
        <v>208</v>
      </c>
      <c r="D106" t="s">
        <v>763</v>
      </c>
      <c r="E106" t="s">
        <v>764</v>
      </c>
      <c r="F106" t="s">
        <v>10</v>
      </c>
      <c r="G106" t="s">
        <v>763</v>
      </c>
      <c r="H106" t="s">
        <v>765</v>
      </c>
      <c r="I106" t="s">
        <v>24</v>
      </c>
      <c r="J106">
        <v>0</v>
      </c>
      <c r="K106">
        <v>1516</v>
      </c>
      <c r="L106" s="2">
        <v>3.5000000000000001E-3</v>
      </c>
      <c r="M106">
        <v>2.5000000000000001E-2</v>
      </c>
      <c r="N106" s="2">
        <v>5.306</v>
      </c>
      <c r="O106" s="2">
        <v>37.9</v>
      </c>
    </row>
    <row r="107" spans="2:15">
      <c r="B107" t="s">
        <v>209</v>
      </c>
      <c r="C107" t="s">
        <v>208</v>
      </c>
      <c r="D107" t="s">
        <v>766</v>
      </c>
      <c r="E107" t="s">
        <v>767</v>
      </c>
      <c r="F107" t="s">
        <v>10</v>
      </c>
      <c r="G107" t="s">
        <v>766</v>
      </c>
      <c r="H107" t="s">
        <v>768</v>
      </c>
      <c r="I107" t="s">
        <v>24</v>
      </c>
      <c r="J107">
        <v>59832</v>
      </c>
      <c r="K107">
        <v>164</v>
      </c>
      <c r="L107" s="2">
        <v>3.5000000000000001E-3</v>
      </c>
      <c r="M107">
        <v>2.5000000000000001E-2</v>
      </c>
      <c r="N107" s="2">
        <v>0.57400000000000007</v>
      </c>
      <c r="O107" s="2">
        <v>4.1000000000000005</v>
      </c>
    </row>
    <row r="108" spans="2:15">
      <c r="B108" t="s">
        <v>209</v>
      </c>
      <c r="C108" t="s">
        <v>208</v>
      </c>
      <c r="D108" t="s">
        <v>769</v>
      </c>
      <c r="E108" t="s">
        <v>770</v>
      </c>
      <c r="F108" t="s">
        <v>10</v>
      </c>
      <c r="G108" t="s">
        <v>769</v>
      </c>
      <c r="H108" t="s">
        <v>771</v>
      </c>
      <c r="I108" t="s">
        <v>24</v>
      </c>
      <c r="J108">
        <v>65308</v>
      </c>
      <c r="K108">
        <v>533</v>
      </c>
      <c r="L108" s="2">
        <v>3.5000000000000001E-3</v>
      </c>
      <c r="M108">
        <v>2.5000000000000001E-2</v>
      </c>
      <c r="N108" s="2">
        <v>1.8654999999999999</v>
      </c>
      <c r="O108" s="2">
        <v>13.325000000000001</v>
      </c>
    </row>
    <row r="109" spans="2:15">
      <c r="B109" t="s">
        <v>209</v>
      </c>
      <c r="C109" t="s">
        <v>208</v>
      </c>
      <c r="D109" t="s">
        <v>772</v>
      </c>
      <c r="E109" t="s">
        <v>773</v>
      </c>
      <c r="F109" t="s">
        <v>10</v>
      </c>
      <c r="G109" t="s">
        <v>772</v>
      </c>
      <c r="H109" t="s">
        <v>774</v>
      </c>
      <c r="I109" t="s">
        <v>24</v>
      </c>
      <c r="J109">
        <v>0</v>
      </c>
      <c r="K109">
        <v>1</v>
      </c>
      <c r="L109" s="2">
        <v>3.5000000000000001E-3</v>
      </c>
      <c r="M109">
        <v>2.5000000000000001E-2</v>
      </c>
      <c r="N109" s="2">
        <v>3.5000000000000001E-3</v>
      </c>
      <c r="O109" s="2">
        <v>2.5000000000000001E-2</v>
      </c>
    </row>
    <row r="110" spans="2:15">
      <c r="B110" t="s">
        <v>209</v>
      </c>
      <c r="C110" t="s">
        <v>775</v>
      </c>
      <c r="D110" t="s">
        <v>776</v>
      </c>
      <c r="E110" t="s">
        <v>777</v>
      </c>
      <c r="F110" t="s">
        <v>10</v>
      </c>
      <c r="G110" t="s">
        <v>776</v>
      </c>
      <c r="H110" t="s">
        <v>778</v>
      </c>
      <c r="I110" t="s">
        <v>24</v>
      </c>
      <c r="J110">
        <v>2598126</v>
      </c>
      <c r="K110">
        <v>1116</v>
      </c>
      <c r="L110" s="2">
        <v>3.5000000000000001E-3</v>
      </c>
      <c r="M110">
        <v>2.5000000000000001E-2</v>
      </c>
      <c r="N110" s="2">
        <v>3.9060000000000001</v>
      </c>
      <c r="O110" s="2">
        <v>27.900000000000002</v>
      </c>
    </row>
    <row r="111" spans="2:15">
      <c r="B111" t="s">
        <v>209</v>
      </c>
      <c r="C111" t="s">
        <v>775</v>
      </c>
      <c r="D111" t="s">
        <v>779</v>
      </c>
      <c r="E111" t="s">
        <v>780</v>
      </c>
      <c r="F111" t="s">
        <v>10</v>
      </c>
      <c r="G111" t="s">
        <v>779</v>
      </c>
      <c r="H111" t="s">
        <v>781</v>
      </c>
      <c r="I111" t="s">
        <v>24</v>
      </c>
      <c r="J111">
        <v>0</v>
      </c>
      <c r="K111">
        <v>1</v>
      </c>
      <c r="L111" s="2">
        <v>3.5000000000000001E-3</v>
      </c>
      <c r="M111">
        <v>2.5000000000000001E-2</v>
      </c>
      <c r="N111" s="2">
        <v>3.5000000000000001E-3</v>
      </c>
      <c r="O111" s="2">
        <v>2.5000000000000001E-2</v>
      </c>
    </row>
    <row r="112" spans="2:15">
      <c r="B112" t="s">
        <v>91</v>
      </c>
      <c r="C112" t="s">
        <v>36</v>
      </c>
      <c r="D112" t="s">
        <v>216</v>
      </c>
      <c r="E112" t="s">
        <v>217</v>
      </c>
      <c r="F112" t="s">
        <v>10</v>
      </c>
      <c r="G112" t="s">
        <v>216</v>
      </c>
      <c r="H112" t="s">
        <v>218</v>
      </c>
      <c r="I112" t="s">
        <v>24</v>
      </c>
      <c r="J112">
        <v>0</v>
      </c>
      <c r="K112">
        <v>1</v>
      </c>
      <c r="L112" s="2">
        <v>3.5000000000000001E-3</v>
      </c>
      <c r="M112">
        <v>2.5000000000000001E-2</v>
      </c>
      <c r="N112" s="2">
        <v>3.5000000000000001E-3</v>
      </c>
      <c r="O112" s="2">
        <v>2.5000000000000001E-2</v>
      </c>
    </row>
    <row r="113" spans="2:15">
      <c r="B113" t="s">
        <v>91</v>
      </c>
      <c r="C113" t="s">
        <v>36</v>
      </c>
      <c r="D113" t="s">
        <v>92</v>
      </c>
      <c r="E113" t="s">
        <v>93</v>
      </c>
      <c r="F113" t="s">
        <v>10</v>
      </c>
      <c r="G113" t="s">
        <v>92</v>
      </c>
      <c r="H113" t="s">
        <v>94</v>
      </c>
      <c r="I113" t="s">
        <v>24</v>
      </c>
      <c r="J113">
        <v>0</v>
      </c>
      <c r="K113">
        <v>1</v>
      </c>
      <c r="L113" s="2">
        <v>3.5000000000000001E-3</v>
      </c>
      <c r="M113">
        <v>2.5000000000000001E-2</v>
      </c>
      <c r="N113" s="2">
        <v>3.5000000000000001E-3</v>
      </c>
      <c r="O113" s="2">
        <v>2.5000000000000001E-2</v>
      </c>
    </row>
    <row r="114" spans="2:15">
      <c r="B114" t="s">
        <v>91</v>
      </c>
      <c r="C114" t="s">
        <v>36</v>
      </c>
      <c r="D114" t="s">
        <v>95</v>
      </c>
      <c r="E114" t="s">
        <v>96</v>
      </c>
      <c r="F114" t="s">
        <v>10</v>
      </c>
      <c r="G114" t="s">
        <v>95</v>
      </c>
      <c r="H114" t="s">
        <v>97</v>
      </c>
      <c r="I114" t="s">
        <v>24</v>
      </c>
      <c r="J114">
        <v>0</v>
      </c>
      <c r="K114">
        <v>1</v>
      </c>
      <c r="L114" s="2">
        <v>3.5000000000000001E-3</v>
      </c>
      <c r="M114">
        <v>2.5000000000000001E-2</v>
      </c>
      <c r="N114" s="2">
        <v>3.5000000000000001E-3</v>
      </c>
      <c r="O114" s="2">
        <v>2.5000000000000001E-2</v>
      </c>
    </row>
    <row r="115" spans="2:15">
      <c r="B115" t="s">
        <v>91</v>
      </c>
      <c r="C115" t="s">
        <v>36</v>
      </c>
      <c r="D115" t="s">
        <v>98</v>
      </c>
      <c r="E115" t="s">
        <v>99</v>
      </c>
      <c r="F115" t="s">
        <v>10</v>
      </c>
      <c r="G115" t="s">
        <v>98</v>
      </c>
      <c r="H115" t="s">
        <v>100</v>
      </c>
      <c r="I115" t="s">
        <v>24</v>
      </c>
      <c r="J115">
        <v>0</v>
      </c>
      <c r="K115">
        <v>3</v>
      </c>
      <c r="L115" s="2">
        <v>3.5000000000000001E-3</v>
      </c>
      <c r="M115">
        <v>2.5000000000000001E-2</v>
      </c>
      <c r="N115" s="2">
        <v>1.0500000000000001E-2</v>
      </c>
      <c r="O115" s="2">
        <v>7.5000000000000011E-2</v>
      </c>
    </row>
    <row r="116" spans="2:15">
      <c r="B116" t="s">
        <v>91</v>
      </c>
      <c r="C116" t="s">
        <v>36</v>
      </c>
      <c r="D116" t="s">
        <v>101</v>
      </c>
      <c r="E116" t="s">
        <v>102</v>
      </c>
      <c r="F116" t="s">
        <v>10</v>
      </c>
      <c r="G116" t="s">
        <v>101</v>
      </c>
      <c r="H116" t="s">
        <v>103</v>
      </c>
      <c r="I116" t="s">
        <v>24</v>
      </c>
      <c r="J116">
        <v>46</v>
      </c>
      <c r="K116">
        <v>0</v>
      </c>
      <c r="L116" s="2">
        <v>3.5000000000000001E-3</v>
      </c>
      <c r="M116">
        <v>2.5000000000000001E-2</v>
      </c>
      <c r="N116" s="2">
        <v>0</v>
      </c>
      <c r="O116" s="2">
        <v>0</v>
      </c>
    </row>
    <row r="117" spans="2:15">
      <c r="B117" t="s">
        <v>91</v>
      </c>
      <c r="C117" t="s">
        <v>36</v>
      </c>
      <c r="D117" t="s">
        <v>104</v>
      </c>
      <c r="E117" t="s">
        <v>105</v>
      </c>
      <c r="F117" t="s">
        <v>10</v>
      </c>
      <c r="G117" t="s">
        <v>104</v>
      </c>
      <c r="H117" t="s">
        <v>106</v>
      </c>
      <c r="I117" t="s">
        <v>24</v>
      </c>
      <c r="J117">
        <v>2</v>
      </c>
      <c r="K117">
        <v>0</v>
      </c>
      <c r="L117" s="2">
        <v>3.5000000000000001E-3</v>
      </c>
      <c r="M117">
        <v>2.5000000000000001E-2</v>
      </c>
      <c r="N117" s="2">
        <v>0</v>
      </c>
      <c r="O117" s="2">
        <v>0</v>
      </c>
    </row>
    <row r="118" spans="2:15">
      <c r="B118" t="s">
        <v>91</v>
      </c>
      <c r="C118" t="s">
        <v>36</v>
      </c>
      <c r="D118" t="s">
        <v>107</v>
      </c>
      <c r="E118" t="s">
        <v>108</v>
      </c>
      <c r="F118" t="s">
        <v>10</v>
      </c>
      <c r="G118" t="s">
        <v>107</v>
      </c>
      <c r="H118" t="s">
        <v>109</v>
      </c>
      <c r="I118" t="s">
        <v>24</v>
      </c>
      <c r="J118">
        <v>0</v>
      </c>
      <c r="K118">
        <v>1</v>
      </c>
      <c r="L118" s="2">
        <v>3.5000000000000001E-3</v>
      </c>
      <c r="M118">
        <v>2.5000000000000001E-2</v>
      </c>
      <c r="N118" s="2">
        <v>3.5000000000000001E-3</v>
      </c>
      <c r="O118" s="2">
        <v>2.5000000000000001E-2</v>
      </c>
    </row>
    <row r="119" spans="2:15">
      <c r="B119" t="s">
        <v>91</v>
      </c>
      <c r="C119" t="s">
        <v>660</v>
      </c>
      <c r="D119" t="s">
        <v>661</v>
      </c>
      <c r="E119" t="s">
        <v>662</v>
      </c>
      <c r="F119" t="s">
        <v>10</v>
      </c>
      <c r="G119" t="s">
        <v>661</v>
      </c>
      <c r="H119" t="s">
        <v>663</v>
      </c>
      <c r="I119" t="s">
        <v>24</v>
      </c>
      <c r="J119">
        <v>0</v>
      </c>
      <c r="K119">
        <v>7</v>
      </c>
      <c r="L119" s="2">
        <v>3.5000000000000001E-3</v>
      </c>
      <c r="M119">
        <v>2.5000000000000001E-2</v>
      </c>
      <c r="N119" s="2">
        <v>2.4500000000000001E-2</v>
      </c>
      <c r="O119" s="2">
        <v>0.17500000000000002</v>
      </c>
    </row>
    <row r="120" spans="2:15">
      <c r="B120" t="s">
        <v>91</v>
      </c>
      <c r="C120" t="s">
        <v>660</v>
      </c>
      <c r="D120" t="s">
        <v>664</v>
      </c>
      <c r="E120" t="s">
        <v>665</v>
      </c>
      <c r="F120" t="s">
        <v>10</v>
      </c>
      <c r="G120" t="s">
        <v>664</v>
      </c>
      <c r="H120" t="s">
        <v>666</v>
      </c>
      <c r="I120" t="s">
        <v>24</v>
      </c>
      <c r="J120">
        <v>0</v>
      </c>
      <c r="K120">
        <v>5</v>
      </c>
      <c r="L120" s="2">
        <v>3.5000000000000001E-3</v>
      </c>
      <c r="M120">
        <v>2.5000000000000001E-2</v>
      </c>
      <c r="N120" s="2">
        <v>1.7500000000000002E-2</v>
      </c>
      <c r="O120" s="2">
        <v>0.125</v>
      </c>
    </row>
    <row r="121" spans="2:15">
      <c r="B121" t="s">
        <v>91</v>
      </c>
      <c r="C121" t="s">
        <v>43</v>
      </c>
      <c r="D121" t="s">
        <v>219</v>
      </c>
      <c r="E121" t="s">
        <v>220</v>
      </c>
      <c r="F121" t="s">
        <v>10</v>
      </c>
      <c r="G121" t="s">
        <v>219</v>
      </c>
      <c r="H121" t="s">
        <v>221</v>
      </c>
      <c r="I121" t="s">
        <v>24</v>
      </c>
      <c r="J121">
        <v>1991299</v>
      </c>
      <c r="K121">
        <v>2671</v>
      </c>
      <c r="L121" s="2">
        <v>3.5000000000000001E-3</v>
      </c>
      <c r="M121">
        <v>2.5000000000000001E-2</v>
      </c>
      <c r="N121" s="2">
        <v>9.3484999999999996</v>
      </c>
      <c r="O121" s="2">
        <v>66.775000000000006</v>
      </c>
    </row>
    <row r="122" spans="2:15">
      <c r="B122" t="s">
        <v>91</v>
      </c>
      <c r="C122" t="s">
        <v>222</v>
      </c>
      <c r="D122" t="s">
        <v>223</v>
      </c>
      <c r="E122" t="s">
        <v>224</v>
      </c>
      <c r="F122" t="s">
        <v>10</v>
      </c>
      <c r="G122" t="s">
        <v>223</v>
      </c>
      <c r="H122" t="s">
        <v>225</v>
      </c>
      <c r="I122" t="s">
        <v>24</v>
      </c>
      <c r="J122">
        <v>59</v>
      </c>
      <c r="K122">
        <v>0</v>
      </c>
      <c r="L122" s="2">
        <v>3.5000000000000001E-3</v>
      </c>
      <c r="M122">
        <v>2.5000000000000001E-2</v>
      </c>
      <c r="N122" s="2">
        <v>0</v>
      </c>
      <c r="O122" s="2">
        <v>0</v>
      </c>
    </row>
    <row r="123" spans="2:15">
      <c r="B123" t="s">
        <v>91</v>
      </c>
      <c r="C123" t="s">
        <v>222</v>
      </c>
      <c r="D123" t="s">
        <v>226</v>
      </c>
      <c r="E123" t="s">
        <v>227</v>
      </c>
      <c r="F123" t="s">
        <v>10</v>
      </c>
      <c r="G123" t="s">
        <v>226</v>
      </c>
      <c r="H123" t="s">
        <v>228</v>
      </c>
      <c r="I123" t="s">
        <v>24</v>
      </c>
      <c r="J123">
        <v>8</v>
      </c>
      <c r="K123">
        <v>0</v>
      </c>
      <c r="L123" s="2">
        <v>3.5000000000000001E-3</v>
      </c>
      <c r="M123">
        <v>2.5000000000000001E-2</v>
      </c>
      <c r="N123" s="2">
        <v>0</v>
      </c>
      <c r="O123" s="2">
        <v>0</v>
      </c>
    </row>
    <row r="124" spans="2:15">
      <c r="B124" t="s">
        <v>91</v>
      </c>
      <c r="C124" t="s">
        <v>222</v>
      </c>
      <c r="D124" t="s">
        <v>229</v>
      </c>
      <c r="E124" t="s">
        <v>230</v>
      </c>
      <c r="F124" t="s">
        <v>10</v>
      </c>
      <c r="G124" t="s">
        <v>229</v>
      </c>
      <c r="H124" t="s">
        <v>231</v>
      </c>
      <c r="I124" t="s">
        <v>24</v>
      </c>
      <c r="J124">
        <v>2</v>
      </c>
      <c r="K124">
        <v>0</v>
      </c>
      <c r="L124" s="2">
        <v>3.5000000000000001E-3</v>
      </c>
      <c r="M124">
        <v>2.5000000000000001E-2</v>
      </c>
      <c r="N124" s="2">
        <v>0</v>
      </c>
      <c r="O124" s="2">
        <v>0</v>
      </c>
    </row>
    <row r="125" spans="2:15">
      <c r="B125" t="s">
        <v>91</v>
      </c>
      <c r="C125" t="s">
        <v>222</v>
      </c>
      <c r="D125" t="s">
        <v>232</v>
      </c>
      <c r="E125" t="s">
        <v>233</v>
      </c>
      <c r="F125" t="s">
        <v>10</v>
      </c>
      <c r="G125" t="s">
        <v>232</v>
      </c>
      <c r="H125" t="s">
        <v>234</v>
      </c>
      <c r="I125" t="s">
        <v>24</v>
      </c>
      <c r="J125">
        <v>5</v>
      </c>
      <c r="K125">
        <v>0</v>
      </c>
      <c r="L125" s="2">
        <v>3.5000000000000001E-3</v>
      </c>
      <c r="M125">
        <v>2.5000000000000001E-2</v>
      </c>
      <c r="N125" s="2">
        <v>0</v>
      </c>
      <c r="O125" s="2">
        <v>0</v>
      </c>
    </row>
    <row r="126" spans="2:15">
      <c r="B126" t="s">
        <v>91</v>
      </c>
      <c r="C126" t="s">
        <v>222</v>
      </c>
      <c r="D126" t="s">
        <v>235</v>
      </c>
      <c r="E126" t="s">
        <v>236</v>
      </c>
      <c r="F126" t="s">
        <v>10</v>
      </c>
      <c r="G126" t="s">
        <v>235</v>
      </c>
      <c r="H126" t="s">
        <v>237</v>
      </c>
      <c r="I126" t="s">
        <v>24</v>
      </c>
      <c r="J126">
        <v>34</v>
      </c>
      <c r="K126">
        <v>0</v>
      </c>
      <c r="L126" s="2">
        <v>3.5000000000000001E-3</v>
      </c>
      <c r="M126">
        <v>2.5000000000000001E-2</v>
      </c>
      <c r="N126" s="2">
        <v>0</v>
      </c>
      <c r="O126" s="2">
        <v>0</v>
      </c>
    </row>
    <row r="127" spans="2:15">
      <c r="B127" t="s">
        <v>91</v>
      </c>
      <c r="C127" t="s">
        <v>222</v>
      </c>
      <c r="D127" t="s">
        <v>238</v>
      </c>
      <c r="E127" t="s">
        <v>239</v>
      </c>
      <c r="F127" t="s">
        <v>10</v>
      </c>
      <c r="G127" t="s">
        <v>238</v>
      </c>
      <c r="H127" t="s">
        <v>240</v>
      </c>
      <c r="I127" t="s">
        <v>24</v>
      </c>
      <c r="J127">
        <v>22</v>
      </c>
      <c r="K127">
        <v>0</v>
      </c>
      <c r="L127" s="2">
        <v>3.5000000000000001E-3</v>
      </c>
      <c r="M127">
        <v>2.5000000000000001E-2</v>
      </c>
      <c r="N127" s="2">
        <v>0</v>
      </c>
      <c r="O127" s="2">
        <v>0</v>
      </c>
    </row>
    <row r="128" spans="2:15">
      <c r="B128" t="s">
        <v>91</v>
      </c>
      <c r="C128" t="s">
        <v>222</v>
      </c>
      <c r="D128" t="s">
        <v>241</v>
      </c>
      <c r="E128" t="s">
        <v>242</v>
      </c>
      <c r="F128" t="s">
        <v>10</v>
      </c>
      <c r="G128" t="s">
        <v>241</v>
      </c>
      <c r="H128" t="s">
        <v>243</v>
      </c>
      <c r="I128" t="s">
        <v>24</v>
      </c>
      <c r="J128">
        <v>2</v>
      </c>
      <c r="K128">
        <v>4</v>
      </c>
      <c r="L128" s="2">
        <v>3.5000000000000001E-3</v>
      </c>
      <c r="M128">
        <v>2.5000000000000001E-2</v>
      </c>
      <c r="N128" s="2">
        <v>1.4E-2</v>
      </c>
      <c r="O128" s="2">
        <v>0.1</v>
      </c>
    </row>
    <row r="129" spans="2:15">
      <c r="B129" t="s">
        <v>91</v>
      </c>
      <c r="C129" t="s">
        <v>222</v>
      </c>
      <c r="D129" t="s">
        <v>244</v>
      </c>
      <c r="E129" t="s">
        <v>245</v>
      </c>
      <c r="F129" t="s">
        <v>10</v>
      </c>
      <c r="G129" t="s">
        <v>244</v>
      </c>
      <c r="H129" t="s">
        <v>246</v>
      </c>
      <c r="I129" t="s">
        <v>24</v>
      </c>
      <c r="J129">
        <v>0</v>
      </c>
      <c r="K129">
        <v>1</v>
      </c>
      <c r="L129" s="2">
        <v>3.5000000000000001E-3</v>
      </c>
      <c r="M129">
        <v>2.5000000000000001E-2</v>
      </c>
      <c r="N129" s="2">
        <v>3.5000000000000001E-3</v>
      </c>
      <c r="O129" s="2">
        <v>2.5000000000000001E-2</v>
      </c>
    </row>
    <row r="130" spans="2:15">
      <c r="B130" t="s">
        <v>91</v>
      </c>
      <c r="C130" t="s">
        <v>222</v>
      </c>
      <c r="D130" t="s">
        <v>247</v>
      </c>
      <c r="E130" t="s">
        <v>248</v>
      </c>
      <c r="F130" t="s">
        <v>10</v>
      </c>
      <c r="G130" t="s">
        <v>247</v>
      </c>
      <c r="H130" t="s">
        <v>249</v>
      </c>
      <c r="I130" t="s">
        <v>24</v>
      </c>
      <c r="J130">
        <v>4</v>
      </c>
      <c r="K130">
        <v>0</v>
      </c>
      <c r="L130" s="2">
        <v>3.5000000000000001E-3</v>
      </c>
      <c r="M130">
        <v>2.5000000000000001E-2</v>
      </c>
      <c r="N130" s="2">
        <v>0</v>
      </c>
      <c r="O130" s="2">
        <v>0</v>
      </c>
    </row>
    <row r="131" spans="2:15">
      <c r="B131" t="s">
        <v>91</v>
      </c>
      <c r="C131" t="s">
        <v>222</v>
      </c>
      <c r="D131" t="s">
        <v>250</v>
      </c>
      <c r="E131" t="s">
        <v>251</v>
      </c>
      <c r="F131" t="s">
        <v>10</v>
      </c>
      <c r="G131" t="s">
        <v>250</v>
      </c>
      <c r="H131" t="s">
        <v>252</v>
      </c>
      <c r="I131" t="s">
        <v>24</v>
      </c>
      <c r="J131">
        <v>2</v>
      </c>
      <c r="K131">
        <v>0</v>
      </c>
      <c r="L131" s="2">
        <v>3.5000000000000001E-3</v>
      </c>
      <c r="M131">
        <v>2.5000000000000001E-2</v>
      </c>
      <c r="N131" s="2">
        <v>0</v>
      </c>
      <c r="O131" s="2">
        <v>0</v>
      </c>
    </row>
    <row r="132" spans="2:15">
      <c r="B132" t="s">
        <v>91</v>
      </c>
      <c r="C132" t="s">
        <v>222</v>
      </c>
      <c r="D132" t="s">
        <v>253</v>
      </c>
      <c r="E132" t="s">
        <v>254</v>
      </c>
      <c r="F132" t="s">
        <v>10</v>
      </c>
      <c r="G132" t="s">
        <v>253</v>
      </c>
      <c r="H132" t="s">
        <v>255</v>
      </c>
      <c r="I132" t="s">
        <v>24</v>
      </c>
      <c r="J132">
        <v>317702</v>
      </c>
      <c r="K132">
        <v>0</v>
      </c>
      <c r="L132" s="2">
        <v>3.5000000000000001E-3</v>
      </c>
      <c r="M132">
        <v>2.5000000000000001E-2</v>
      </c>
      <c r="N132" s="2">
        <v>0</v>
      </c>
      <c r="O132" s="2">
        <v>0</v>
      </c>
    </row>
    <row r="133" spans="2:15">
      <c r="B133" t="s">
        <v>91</v>
      </c>
      <c r="C133" t="s">
        <v>222</v>
      </c>
      <c r="D133" t="s">
        <v>782</v>
      </c>
      <c r="E133" t="s">
        <v>783</v>
      </c>
      <c r="F133" t="s">
        <v>10</v>
      </c>
      <c r="G133" t="s">
        <v>782</v>
      </c>
      <c r="H133" t="s">
        <v>784</v>
      </c>
      <c r="I133" t="s">
        <v>24</v>
      </c>
      <c r="J133">
        <v>1</v>
      </c>
      <c r="K133">
        <v>0</v>
      </c>
      <c r="L133" s="2">
        <v>3.5000000000000001E-3</v>
      </c>
      <c r="M133">
        <v>2.5000000000000001E-2</v>
      </c>
      <c r="N133" s="2">
        <v>0</v>
      </c>
      <c r="O133" s="2">
        <v>0</v>
      </c>
    </row>
    <row r="134" spans="2:15">
      <c r="B134" t="s">
        <v>91</v>
      </c>
      <c r="C134" t="s">
        <v>667</v>
      </c>
      <c r="D134" t="s">
        <v>785</v>
      </c>
      <c r="E134" t="s">
        <v>786</v>
      </c>
      <c r="F134" t="s">
        <v>10</v>
      </c>
      <c r="G134" t="s">
        <v>785</v>
      </c>
      <c r="H134" t="s">
        <v>787</v>
      </c>
      <c r="I134" t="s">
        <v>24</v>
      </c>
      <c r="J134">
        <v>15590</v>
      </c>
      <c r="K134">
        <v>535</v>
      </c>
      <c r="L134" s="2">
        <v>3.5000000000000001E-3</v>
      </c>
      <c r="M134">
        <v>2.5000000000000001E-2</v>
      </c>
      <c r="N134" s="2">
        <v>1.8725000000000001</v>
      </c>
      <c r="O134" s="2">
        <v>13.375</v>
      </c>
    </row>
    <row r="135" spans="2:15">
      <c r="B135" t="s">
        <v>91</v>
      </c>
      <c r="C135" t="s">
        <v>667</v>
      </c>
      <c r="D135" t="s">
        <v>668</v>
      </c>
      <c r="E135" t="s">
        <v>669</v>
      </c>
      <c r="F135" t="s">
        <v>10</v>
      </c>
      <c r="G135" t="s">
        <v>668</v>
      </c>
      <c r="H135" t="s">
        <v>670</v>
      </c>
      <c r="I135" t="s">
        <v>24</v>
      </c>
      <c r="J135">
        <v>15462</v>
      </c>
      <c r="K135">
        <v>520</v>
      </c>
      <c r="L135" s="2">
        <v>3.5000000000000001E-3</v>
      </c>
      <c r="M135">
        <v>2.5000000000000001E-2</v>
      </c>
      <c r="N135" s="2">
        <v>1.82</v>
      </c>
      <c r="O135" s="2">
        <v>13</v>
      </c>
    </row>
    <row r="136" spans="2:15">
      <c r="B136" t="s">
        <v>91</v>
      </c>
      <c r="C136" t="s">
        <v>667</v>
      </c>
      <c r="D136" t="s">
        <v>788</v>
      </c>
      <c r="E136" t="s">
        <v>789</v>
      </c>
      <c r="F136" t="s">
        <v>10</v>
      </c>
      <c r="G136" t="s">
        <v>788</v>
      </c>
      <c r="H136" t="s">
        <v>790</v>
      </c>
      <c r="I136" t="s">
        <v>24</v>
      </c>
      <c r="J136">
        <v>15693</v>
      </c>
      <c r="K136">
        <v>533</v>
      </c>
      <c r="L136" s="2">
        <v>3.5000000000000001E-3</v>
      </c>
      <c r="M136">
        <v>2.5000000000000001E-2</v>
      </c>
      <c r="N136" s="2">
        <v>1.8654999999999999</v>
      </c>
      <c r="O136" s="2">
        <v>13.325000000000001</v>
      </c>
    </row>
    <row r="137" spans="2:15">
      <c r="B137" t="s">
        <v>91</v>
      </c>
      <c r="C137" t="s">
        <v>667</v>
      </c>
      <c r="D137" t="s">
        <v>791</v>
      </c>
      <c r="E137" t="s">
        <v>792</v>
      </c>
      <c r="F137" t="s">
        <v>10</v>
      </c>
      <c r="G137" t="s">
        <v>791</v>
      </c>
      <c r="H137" t="s">
        <v>793</v>
      </c>
      <c r="I137" t="s">
        <v>24</v>
      </c>
      <c r="J137">
        <v>12530</v>
      </c>
      <c r="K137">
        <v>564</v>
      </c>
      <c r="L137" s="2">
        <v>3.5000000000000001E-3</v>
      </c>
      <c r="M137">
        <v>2.5000000000000001E-2</v>
      </c>
      <c r="N137" s="2">
        <v>1.974</v>
      </c>
      <c r="O137" s="2">
        <v>14.100000000000001</v>
      </c>
    </row>
    <row r="138" spans="2:15">
      <c r="B138" t="s">
        <v>91</v>
      </c>
      <c r="C138" t="s">
        <v>667</v>
      </c>
      <c r="D138" t="s">
        <v>794</v>
      </c>
      <c r="E138" t="s">
        <v>795</v>
      </c>
      <c r="F138" t="s">
        <v>10</v>
      </c>
      <c r="G138" t="s">
        <v>794</v>
      </c>
      <c r="H138" t="s">
        <v>796</v>
      </c>
      <c r="I138" t="s">
        <v>24</v>
      </c>
      <c r="J138">
        <v>12010</v>
      </c>
      <c r="K138">
        <v>574</v>
      </c>
      <c r="L138" s="2">
        <v>3.5000000000000001E-3</v>
      </c>
      <c r="M138">
        <v>2.5000000000000001E-2</v>
      </c>
      <c r="N138" s="2">
        <v>2.0089999999999999</v>
      </c>
      <c r="O138" s="2">
        <v>14.350000000000001</v>
      </c>
    </row>
    <row r="139" spans="2:15">
      <c r="B139" t="s">
        <v>91</v>
      </c>
      <c r="C139" t="s">
        <v>667</v>
      </c>
      <c r="D139" t="s">
        <v>797</v>
      </c>
      <c r="E139" t="s">
        <v>798</v>
      </c>
      <c r="F139" t="s">
        <v>10</v>
      </c>
      <c r="G139" t="s">
        <v>797</v>
      </c>
      <c r="H139" t="s">
        <v>799</v>
      </c>
      <c r="I139" t="s">
        <v>24</v>
      </c>
      <c r="J139">
        <v>12101</v>
      </c>
      <c r="K139">
        <v>590</v>
      </c>
      <c r="L139" s="2">
        <v>3.5000000000000001E-3</v>
      </c>
      <c r="M139">
        <v>2.5000000000000001E-2</v>
      </c>
      <c r="N139" s="2">
        <v>2.0649999999999999</v>
      </c>
      <c r="O139" s="2">
        <v>14.75</v>
      </c>
    </row>
    <row r="140" spans="2:15">
      <c r="B140" t="s">
        <v>91</v>
      </c>
      <c r="C140" t="s">
        <v>667</v>
      </c>
      <c r="D140" t="s">
        <v>800</v>
      </c>
      <c r="E140" t="s">
        <v>801</v>
      </c>
      <c r="F140" t="s">
        <v>10</v>
      </c>
      <c r="G140" t="s">
        <v>800</v>
      </c>
      <c r="H140" t="s">
        <v>802</v>
      </c>
      <c r="I140" t="s">
        <v>24</v>
      </c>
      <c r="J140">
        <v>8348</v>
      </c>
      <c r="K140">
        <v>371</v>
      </c>
      <c r="L140" s="2">
        <v>3.5000000000000001E-3</v>
      </c>
      <c r="M140">
        <v>2.5000000000000001E-2</v>
      </c>
      <c r="N140" s="2">
        <v>1.2985</v>
      </c>
      <c r="O140" s="2">
        <v>9.2750000000000004</v>
      </c>
    </row>
    <row r="141" spans="2:15">
      <c r="B141" t="s">
        <v>91</v>
      </c>
      <c r="C141" t="s">
        <v>667</v>
      </c>
      <c r="D141" t="s">
        <v>803</v>
      </c>
      <c r="E141" t="s">
        <v>804</v>
      </c>
      <c r="F141" t="s">
        <v>10</v>
      </c>
      <c r="G141" t="s">
        <v>803</v>
      </c>
      <c r="H141" t="s">
        <v>805</v>
      </c>
      <c r="I141" t="s">
        <v>24</v>
      </c>
      <c r="J141">
        <v>10874</v>
      </c>
      <c r="K141">
        <v>513</v>
      </c>
      <c r="L141" s="2">
        <v>3.5000000000000001E-3</v>
      </c>
      <c r="M141">
        <v>2.5000000000000001E-2</v>
      </c>
      <c r="N141" s="2">
        <v>1.7955000000000001</v>
      </c>
      <c r="O141" s="2">
        <v>12.825000000000001</v>
      </c>
    </row>
    <row r="142" spans="2:15">
      <c r="B142" t="s">
        <v>91</v>
      </c>
      <c r="C142" t="s">
        <v>667</v>
      </c>
      <c r="D142" t="s">
        <v>806</v>
      </c>
      <c r="E142" t="s">
        <v>807</v>
      </c>
      <c r="F142" t="s">
        <v>10</v>
      </c>
      <c r="G142" t="s">
        <v>806</v>
      </c>
      <c r="H142" t="s">
        <v>808</v>
      </c>
      <c r="I142" t="s">
        <v>24</v>
      </c>
      <c r="J142">
        <v>11162</v>
      </c>
      <c r="K142">
        <v>503</v>
      </c>
      <c r="L142" s="2">
        <v>3.5000000000000001E-3</v>
      </c>
      <c r="M142">
        <v>2.5000000000000001E-2</v>
      </c>
      <c r="N142" s="2">
        <v>1.7605</v>
      </c>
      <c r="O142" s="2">
        <v>12.575000000000001</v>
      </c>
    </row>
    <row r="143" spans="2:15">
      <c r="B143" t="s">
        <v>91</v>
      </c>
      <c r="C143" t="s">
        <v>667</v>
      </c>
      <c r="D143" t="s">
        <v>809</v>
      </c>
      <c r="E143" t="s">
        <v>810</v>
      </c>
      <c r="F143" t="s">
        <v>10</v>
      </c>
      <c r="G143" t="s">
        <v>809</v>
      </c>
      <c r="H143" t="s">
        <v>811</v>
      </c>
      <c r="I143" t="s">
        <v>24</v>
      </c>
      <c r="J143">
        <v>11128</v>
      </c>
      <c r="K143">
        <v>545</v>
      </c>
      <c r="L143" s="2">
        <v>3.5000000000000001E-3</v>
      </c>
      <c r="M143">
        <v>2.5000000000000001E-2</v>
      </c>
      <c r="N143" s="2">
        <v>1.9075</v>
      </c>
      <c r="O143" s="2">
        <v>13.625</v>
      </c>
    </row>
    <row r="144" spans="2:15">
      <c r="B144" t="s">
        <v>91</v>
      </c>
      <c r="C144" t="s">
        <v>667</v>
      </c>
      <c r="D144" t="s">
        <v>812</v>
      </c>
      <c r="E144" t="s">
        <v>813</v>
      </c>
      <c r="F144" t="s">
        <v>10</v>
      </c>
      <c r="G144" t="s">
        <v>812</v>
      </c>
      <c r="H144" t="s">
        <v>814</v>
      </c>
      <c r="I144" t="s">
        <v>24</v>
      </c>
      <c r="J144">
        <v>11526</v>
      </c>
      <c r="K144">
        <v>473</v>
      </c>
      <c r="L144" s="2">
        <v>3.5000000000000001E-3</v>
      </c>
      <c r="M144">
        <v>2.5000000000000001E-2</v>
      </c>
      <c r="N144" s="2">
        <v>1.6555</v>
      </c>
      <c r="O144" s="2">
        <v>11.825000000000001</v>
      </c>
    </row>
    <row r="145" spans="2:15">
      <c r="B145" t="s">
        <v>91</v>
      </c>
      <c r="C145" t="s">
        <v>667</v>
      </c>
      <c r="D145" t="s">
        <v>815</v>
      </c>
      <c r="E145" t="s">
        <v>816</v>
      </c>
      <c r="F145" t="s">
        <v>10</v>
      </c>
      <c r="G145" t="s">
        <v>815</v>
      </c>
      <c r="H145" t="s">
        <v>817</v>
      </c>
      <c r="I145" t="s">
        <v>24</v>
      </c>
      <c r="J145">
        <v>15549</v>
      </c>
      <c r="K145">
        <v>485</v>
      </c>
      <c r="L145" s="2">
        <v>3.5000000000000001E-3</v>
      </c>
      <c r="M145">
        <v>2.5000000000000001E-2</v>
      </c>
      <c r="N145" s="2">
        <v>1.6975</v>
      </c>
      <c r="O145" s="2">
        <v>12.125</v>
      </c>
    </row>
    <row r="146" spans="2:15">
      <c r="B146" t="s">
        <v>91</v>
      </c>
      <c r="C146" t="s">
        <v>667</v>
      </c>
      <c r="D146" t="s">
        <v>671</v>
      </c>
      <c r="E146" t="s">
        <v>672</v>
      </c>
      <c r="F146" t="s">
        <v>10</v>
      </c>
      <c r="G146" t="s">
        <v>671</v>
      </c>
      <c r="H146" t="s">
        <v>673</v>
      </c>
      <c r="I146" t="s">
        <v>24</v>
      </c>
      <c r="J146">
        <v>15365</v>
      </c>
      <c r="K146">
        <v>534</v>
      </c>
      <c r="L146" s="2">
        <v>3.5000000000000001E-3</v>
      </c>
      <c r="M146">
        <v>2.5000000000000001E-2</v>
      </c>
      <c r="N146" s="2">
        <v>1.869</v>
      </c>
      <c r="O146" s="2">
        <v>13.350000000000001</v>
      </c>
    </row>
    <row r="147" spans="2:15">
      <c r="B147" t="s">
        <v>91</v>
      </c>
      <c r="C147" t="s">
        <v>667</v>
      </c>
      <c r="D147" t="s">
        <v>674</v>
      </c>
      <c r="E147" t="s">
        <v>675</v>
      </c>
      <c r="F147" t="s">
        <v>10</v>
      </c>
      <c r="G147" t="s">
        <v>674</v>
      </c>
      <c r="H147" t="s">
        <v>676</v>
      </c>
      <c r="I147" t="s">
        <v>24</v>
      </c>
      <c r="J147">
        <v>14331</v>
      </c>
      <c r="K147">
        <v>519</v>
      </c>
      <c r="L147" s="2">
        <v>3.5000000000000001E-3</v>
      </c>
      <c r="M147">
        <v>2.5000000000000001E-2</v>
      </c>
      <c r="N147" s="2">
        <v>1.8165</v>
      </c>
      <c r="O147" s="2">
        <v>12.975000000000001</v>
      </c>
    </row>
    <row r="148" spans="2:15">
      <c r="B148" t="s">
        <v>91</v>
      </c>
      <c r="C148" t="s">
        <v>667</v>
      </c>
      <c r="D148" t="s">
        <v>818</v>
      </c>
      <c r="E148" t="s">
        <v>819</v>
      </c>
      <c r="F148" t="s">
        <v>10</v>
      </c>
      <c r="G148" t="s">
        <v>818</v>
      </c>
      <c r="H148" t="s">
        <v>820</v>
      </c>
      <c r="I148" t="s">
        <v>24</v>
      </c>
      <c r="J148">
        <v>12564</v>
      </c>
      <c r="K148">
        <v>575</v>
      </c>
      <c r="L148" s="2">
        <v>3.5000000000000001E-3</v>
      </c>
      <c r="M148">
        <v>2.5000000000000001E-2</v>
      </c>
      <c r="N148" s="2">
        <v>2.0125000000000002</v>
      </c>
      <c r="O148" s="2">
        <v>14.375</v>
      </c>
    </row>
    <row r="149" spans="2:15">
      <c r="B149" t="s">
        <v>91</v>
      </c>
      <c r="C149" t="s">
        <v>667</v>
      </c>
      <c r="D149" t="s">
        <v>821</v>
      </c>
      <c r="E149" t="s">
        <v>822</v>
      </c>
      <c r="F149" t="s">
        <v>10</v>
      </c>
      <c r="G149" t="s">
        <v>821</v>
      </c>
      <c r="H149" t="s">
        <v>823</v>
      </c>
      <c r="I149" t="s">
        <v>24</v>
      </c>
      <c r="J149">
        <v>12677</v>
      </c>
      <c r="K149">
        <v>595</v>
      </c>
      <c r="L149" s="2">
        <v>3.5000000000000001E-3</v>
      </c>
      <c r="M149">
        <v>2.5000000000000001E-2</v>
      </c>
      <c r="N149" s="2">
        <v>2.0825</v>
      </c>
      <c r="O149" s="2">
        <v>14.875</v>
      </c>
    </row>
    <row r="150" spans="2:15">
      <c r="B150" t="s">
        <v>91</v>
      </c>
      <c r="C150" t="s">
        <v>667</v>
      </c>
      <c r="D150" t="s">
        <v>824</v>
      </c>
      <c r="E150" t="s">
        <v>825</v>
      </c>
      <c r="F150" t="s">
        <v>10</v>
      </c>
      <c r="G150" t="s">
        <v>824</v>
      </c>
      <c r="H150" t="s">
        <v>826</v>
      </c>
      <c r="I150" t="s">
        <v>24</v>
      </c>
      <c r="J150">
        <v>12449</v>
      </c>
      <c r="K150">
        <v>530</v>
      </c>
      <c r="L150" s="2">
        <v>3.5000000000000001E-3</v>
      </c>
      <c r="M150">
        <v>2.5000000000000001E-2</v>
      </c>
      <c r="N150" s="2">
        <v>1.855</v>
      </c>
      <c r="O150" s="2">
        <v>13.25</v>
      </c>
    </row>
    <row r="151" spans="2:15">
      <c r="B151" t="s">
        <v>91</v>
      </c>
      <c r="C151" t="s">
        <v>667</v>
      </c>
      <c r="D151" t="s">
        <v>827</v>
      </c>
      <c r="E151" t="s">
        <v>828</v>
      </c>
      <c r="F151" t="s">
        <v>10</v>
      </c>
      <c r="G151" t="s">
        <v>827</v>
      </c>
      <c r="H151" t="s">
        <v>829</v>
      </c>
      <c r="I151" t="s">
        <v>24</v>
      </c>
      <c r="J151">
        <v>12052</v>
      </c>
      <c r="K151">
        <v>524</v>
      </c>
      <c r="L151" s="2">
        <v>3.5000000000000001E-3</v>
      </c>
      <c r="M151">
        <v>2.5000000000000001E-2</v>
      </c>
      <c r="N151" s="2">
        <v>1.8340000000000001</v>
      </c>
      <c r="O151" s="2">
        <v>13.100000000000001</v>
      </c>
    </row>
    <row r="152" spans="2:15">
      <c r="B152" t="s">
        <v>91</v>
      </c>
      <c r="C152" t="s">
        <v>667</v>
      </c>
      <c r="D152" t="s">
        <v>677</v>
      </c>
      <c r="E152" t="s">
        <v>678</v>
      </c>
      <c r="F152" t="s">
        <v>10</v>
      </c>
      <c r="G152" t="s">
        <v>677</v>
      </c>
      <c r="H152" t="s">
        <v>679</v>
      </c>
      <c r="I152" t="s">
        <v>24</v>
      </c>
      <c r="J152">
        <v>82856</v>
      </c>
      <c r="K152">
        <v>298</v>
      </c>
      <c r="L152" s="2">
        <v>3.5000000000000001E-3</v>
      </c>
      <c r="M152">
        <v>2.5000000000000001E-2</v>
      </c>
      <c r="N152" s="2">
        <v>1.0429999999999999</v>
      </c>
      <c r="O152" s="2">
        <v>7.45</v>
      </c>
    </row>
    <row r="153" spans="2:15">
      <c r="B153" t="s">
        <v>91</v>
      </c>
      <c r="C153" t="s">
        <v>667</v>
      </c>
      <c r="D153" t="s">
        <v>680</v>
      </c>
      <c r="E153" t="s">
        <v>681</v>
      </c>
      <c r="F153" t="s">
        <v>10</v>
      </c>
      <c r="G153" t="s">
        <v>680</v>
      </c>
      <c r="H153" t="s">
        <v>682</v>
      </c>
      <c r="I153" t="s">
        <v>24</v>
      </c>
      <c r="J153">
        <v>83226</v>
      </c>
      <c r="K153">
        <v>291</v>
      </c>
      <c r="L153" s="2">
        <v>3.5000000000000001E-3</v>
      </c>
      <c r="M153">
        <v>2.5000000000000001E-2</v>
      </c>
      <c r="N153" s="2">
        <v>1.0185</v>
      </c>
      <c r="O153" s="2">
        <v>7.2750000000000004</v>
      </c>
    </row>
    <row r="154" spans="2:15">
      <c r="B154" t="s">
        <v>91</v>
      </c>
      <c r="C154" t="s">
        <v>667</v>
      </c>
      <c r="D154" t="s">
        <v>683</v>
      </c>
      <c r="E154" t="s">
        <v>684</v>
      </c>
      <c r="F154" t="s">
        <v>10</v>
      </c>
      <c r="G154" t="s">
        <v>683</v>
      </c>
      <c r="H154" t="s">
        <v>685</v>
      </c>
      <c r="I154" t="s">
        <v>24</v>
      </c>
      <c r="J154">
        <v>82859</v>
      </c>
      <c r="K154">
        <v>298</v>
      </c>
      <c r="L154" s="2">
        <v>3.5000000000000001E-3</v>
      </c>
      <c r="M154">
        <v>2.5000000000000001E-2</v>
      </c>
      <c r="N154" s="2">
        <v>1.0429999999999999</v>
      </c>
      <c r="O154" s="2">
        <v>7.45</v>
      </c>
    </row>
    <row r="155" spans="2:15">
      <c r="B155" t="s">
        <v>91</v>
      </c>
      <c r="C155" t="s">
        <v>667</v>
      </c>
      <c r="D155" t="s">
        <v>830</v>
      </c>
      <c r="E155" t="s">
        <v>831</v>
      </c>
      <c r="F155" t="s">
        <v>10</v>
      </c>
      <c r="G155" t="s">
        <v>830</v>
      </c>
      <c r="H155" t="s">
        <v>832</v>
      </c>
      <c r="I155" t="s">
        <v>24</v>
      </c>
      <c r="J155">
        <v>108082</v>
      </c>
      <c r="K155">
        <v>522</v>
      </c>
      <c r="L155" s="2">
        <v>3.5000000000000001E-3</v>
      </c>
      <c r="M155">
        <v>2.5000000000000001E-2</v>
      </c>
      <c r="N155" s="2">
        <v>1.827</v>
      </c>
      <c r="O155" s="2">
        <v>13.05</v>
      </c>
    </row>
    <row r="156" spans="2:15">
      <c r="B156" t="s">
        <v>91</v>
      </c>
      <c r="C156" t="s">
        <v>667</v>
      </c>
      <c r="D156" t="s">
        <v>833</v>
      </c>
      <c r="E156" t="s">
        <v>834</v>
      </c>
      <c r="F156" t="s">
        <v>10</v>
      </c>
      <c r="G156" t="s">
        <v>833</v>
      </c>
      <c r="H156" t="s">
        <v>835</v>
      </c>
      <c r="I156" t="s">
        <v>24</v>
      </c>
      <c r="J156">
        <v>107503</v>
      </c>
      <c r="K156">
        <v>506</v>
      </c>
      <c r="L156" s="2">
        <v>3.5000000000000001E-3</v>
      </c>
      <c r="M156">
        <v>2.5000000000000001E-2</v>
      </c>
      <c r="N156" s="2">
        <v>1.7710000000000001</v>
      </c>
      <c r="O156" s="2">
        <v>12.65</v>
      </c>
    </row>
    <row r="157" spans="2:15">
      <c r="B157" t="s">
        <v>91</v>
      </c>
      <c r="C157" t="s">
        <v>667</v>
      </c>
      <c r="D157" t="s">
        <v>836</v>
      </c>
      <c r="E157" t="s">
        <v>837</v>
      </c>
      <c r="F157" t="s">
        <v>10</v>
      </c>
      <c r="G157" t="s">
        <v>836</v>
      </c>
      <c r="H157" t="s">
        <v>838</v>
      </c>
      <c r="I157" t="s">
        <v>24</v>
      </c>
      <c r="J157">
        <v>105823</v>
      </c>
      <c r="K157">
        <v>513</v>
      </c>
      <c r="L157" s="2">
        <v>3.5000000000000001E-3</v>
      </c>
      <c r="M157">
        <v>2.5000000000000001E-2</v>
      </c>
      <c r="N157" s="2">
        <v>1.7955000000000001</v>
      </c>
      <c r="O157" s="2">
        <v>12.825000000000001</v>
      </c>
    </row>
    <row r="158" spans="2:15">
      <c r="B158" t="s">
        <v>91</v>
      </c>
      <c r="C158" t="s">
        <v>667</v>
      </c>
      <c r="D158" t="s">
        <v>839</v>
      </c>
      <c r="E158" t="s">
        <v>840</v>
      </c>
      <c r="F158" t="s">
        <v>10</v>
      </c>
      <c r="G158" t="s">
        <v>839</v>
      </c>
      <c r="H158" t="s">
        <v>841</v>
      </c>
      <c r="I158" t="s">
        <v>24</v>
      </c>
      <c r="J158">
        <v>107895</v>
      </c>
      <c r="K158">
        <v>513</v>
      </c>
      <c r="L158" s="2">
        <v>3.5000000000000001E-3</v>
      </c>
      <c r="M158">
        <v>2.5000000000000001E-2</v>
      </c>
      <c r="N158" s="2">
        <v>1.7955000000000001</v>
      </c>
      <c r="O158" s="2">
        <v>12.825000000000001</v>
      </c>
    </row>
    <row r="159" spans="2:15">
      <c r="B159" t="s">
        <v>91</v>
      </c>
      <c r="C159" t="s">
        <v>667</v>
      </c>
      <c r="D159" t="s">
        <v>686</v>
      </c>
      <c r="E159" t="s">
        <v>687</v>
      </c>
      <c r="F159" t="s">
        <v>10</v>
      </c>
      <c r="G159" t="s">
        <v>686</v>
      </c>
      <c r="H159" t="s">
        <v>688</v>
      </c>
      <c r="I159" t="s">
        <v>24</v>
      </c>
      <c r="J159">
        <v>19620</v>
      </c>
      <c r="K159">
        <v>73</v>
      </c>
      <c r="L159" s="2">
        <v>3.5000000000000001E-3</v>
      </c>
      <c r="M159">
        <v>2.5000000000000001E-2</v>
      </c>
      <c r="N159" s="2">
        <v>0.2555</v>
      </c>
      <c r="O159" s="2">
        <v>1.8250000000000002</v>
      </c>
    </row>
    <row r="160" spans="2:15">
      <c r="B160" t="s">
        <v>91</v>
      </c>
      <c r="C160" t="s">
        <v>667</v>
      </c>
      <c r="D160" t="s">
        <v>689</v>
      </c>
      <c r="E160" t="s">
        <v>690</v>
      </c>
      <c r="F160" t="s">
        <v>10</v>
      </c>
      <c r="G160" t="s">
        <v>689</v>
      </c>
      <c r="H160" t="s">
        <v>691</v>
      </c>
      <c r="I160" t="s">
        <v>24</v>
      </c>
      <c r="J160">
        <v>19500</v>
      </c>
      <c r="K160">
        <v>51</v>
      </c>
      <c r="L160" s="2">
        <v>3.5000000000000001E-3</v>
      </c>
      <c r="M160">
        <v>2.5000000000000001E-2</v>
      </c>
      <c r="N160" s="2">
        <v>0.17849999999999999</v>
      </c>
      <c r="O160" s="2">
        <v>1.2750000000000001</v>
      </c>
    </row>
    <row r="161" spans="2:15">
      <c r="B161" t="s">
        <v>91</v>
      </c>
      <c r="C161" t="s">
        <v>667</v>
      </c>
      <c r="D161" t="s">
        <v>692</v>
      </c>
      <c r="E161" t="s">
        <v>693</v>
      </c>
      <c r="F161" t="s">
        <v>10</v>
      </c>
      <c r="G161" t="s">
        <v>692</v>
      </c>
      <c r="H161" t="s">
        <v>694</v>
      </c>
      <c r="I161" t="s">
        <v>24</v>
      </c>
      <c r="J161">
        <v>19680</v>
      </c>
      <c r="K161">
        <v>42</v>
      </c>
      <c r="L161" s="2">
        <v>3.5000000000000001E-3</v>
      </c>
      <c r="M161">
        <v>2.5000000000000001E-2</v>
      </c>
      <c r="N161" s="2">
        <v>0.14699999999999999</v>
      </c>
      <c r="O161" s="2">
        <v>1.05</v>
      </c>
    </row>
    <row r="162" spans="2:15">
      <c r="B162" t="s">
        <v>91</v>
      </c>
      <c r="C162" t="s">
        <v>667</v>
      </c>
      <c r="D162" t="s">
        <v>842</v>
      </c>
      <c r="E162" t="s">
        <v>843</v>
      </c>
      <c r="F162" t="s">
        <v>10</v>
      </c>
      <c r="G162" t="s">
        <v>842</v>
      </c>
      <c r="H162" t="s">
        <v>844</v>
      </c>
      <c r="I162" t="s">
        <v>24</v>
      </c>
      <c r="J162">
        <v>15929</v>
      </c>
      <c r="K162">
        <v>71</v>
      </c>
      <c r="L162" s="2">
        <v>3.5000000000000001E-3</v>
      </c>
      <c r="M162">
        <v>2.5000000000000001E-2</v>
      </c>
      <c r="N162" s="2">
        <v>0.2485</v>
      </c>
      <c r="O162" s="2">
        <v>1.7750000000000001</v>
      </c>
    </row>
    <row r="163" spans="2:15">
      <c r="B163" t="s">
        <v>91</v>
      </c>
      <c r="C163" t="s">
        <v>667</v>
      </c>
      <c r="D163" t="s">
        <v>845</v>
      </c>
      <c r="E163" t="s">
        <v>846</v>
      </c>
      <c r="F163" t="s">
        <v>10</v>
      </c>
      <c r="G163" t="s">
        <v>845</v>
      </c>
      <c r="H163" t="s">
        <v>847</v>
      </c>
      <c r="I163" t="s">
        <v>24</v>
      </c>
      <c r="J163">
        <v>16464</v>
      </c>
      <c r="K163">
        <v>77</v>
      </c>
      <c r="L163" s="2">
        <v>3.5000000000000001E-3</v>
      </c>
      <c r="M163">
        <v>2.5000000000000001E-2</v>
      </c>
      <c r="N163" s="2">
        <v>0.26950000000000002</v>
      </c>
      <c r="O163" s="2">
        <v>1.925</v>
      </c>
    </row>
    <row r="164" spans="2:15">
      <c r="B164" t="s">
        <v>91</v>
      </c>
      <c r="C164" t="s">
        <v>667</v>
      </c>
      <c r="D164" t="s">
        <v>848</v>
      </c>
      <c r="E164" t="s">
        <v>849</v>
      </c>
      <c r="F164" t="s">
        <v>10</v>
      </c>
      <c r="G164" t="s">
        <v>848</v>
      </c>
      <c r="H164" t="s">
        <v>850</v>
      </c>
      <c r="I164" t="s">
        <v>24</v>
      </c>
      <c r="J164">
        <v>16317</v>
      </c>
      <c r="K164">
        <v>90</v>
      </c>
      <c r="L164" s="2">
        <v>3.5000000000000001E-3</v>
      </c>
      <c r="M164">
        <v>2.5000000000000001E-2</v>
      </c>
      <c r="N164" s="2">
        <v>0.315</v>
      </c>
      <c r="O164" s="2">
        <v>2.25</v>
      </c>
    </row>
    <row r="165" spans="2:15">
      <c r="B165" t="s">
        <v>91</v>
      </c>
      <c r="C165" t="s">
        <v>667</v>
      </c>
      <c r="D165" t="s">
        <v>851</v>
      </c>
      <c r="E165" t="s">
        <v>852</v>
      </c>
      <c r="F165" t="s">
        <v>10</v>
      </c>
      <c r="G165" t="s">
        <v>851</v>
      </c>
      <c r="H165" t="s">
        <v>853</v>
      </c>
      <c r="I165" t="s">
        <v>24</v>
      </c>
      <c r="J165">
        <v>15707</v>
      </c>
      <c r="K165">
        <v>80</v>
      </c>
      <c r="L165" s="2">
        <v>3.5000000000000001E-3</v>
      </c>
      <c r="M165">
        <v>2.5000000000000001E-2</v>
      </c>
      <c r="N165" s="2">
        <v>0.28000000000000003</v>
      </c>
      <c r="O165" s="2">
        <v>2</v>
      </c>
    </row>
    <row r="166" spans="2:15">
      <c r="B166" t="s">
        <v>91</v>
      </c>
      <c r="C166" t="s">
        <v>667</v>
      </c>
      <c r="D166" t="s">
        <v>854</v>
      </c>
      <c r="E166" t="s">
        <v>855</v>
      </c>
      <c r="F166" t="s">
        <v>10</v>
      </c>
      <c r="G166" t="s">
        <v>854</v>
      </c>
      <c r="H166" t="s">
        <v>856</v>
      </c>
      <c r="I166" t="s">
        <v>24</v>
      </c>
      <c r="J166">
        <v>0</v>
      </c>
      <c r="K166">
        <v>1</v>
      </c>
      <c r="L166" s="2">
        <v>3.5000000000000001E-3</v>
      </c>
      <c r="M166">
        <v>2.5000000000000001E-2</v>
      </c>
      <c r="N166" s="2">
        <v>3.5000000000000001E-3</v>
      </c>
      <c r="O166" s="2">
        <v>2.5000000000000001E-2</v>
      </c>
    </row>
    <row r="167" spans="2:15">
      <c r="B167" t="s">
        <v>91</v>
      </c>
      <c r="C167" t="s">
        <v>29</v>
      </c>
      <c r="D167" t="s">
        <v>110</v>
      </c>
      <c r="E167" t="s">
        <v>111</v>
      </c>
      <c r="F167" t="s">
        <v>10</v>
      </c>
      <c r="G167" t="s">
        <v>110</v>
      </c>
      <c r="H167" t="s">
        <v>112</v>
      </c>
      <c r="I167" t="s">
        <v>24</v>
      </c>
      <c r="J167">
        <v>1</v>
      </c>
      <c r="K167">
        <v>0</v>
      </c>
      <c r="L167" s="2">
        <v>3.5000000000000001E-3</v>
      </c>
      <c r="M167">
        <v>2.5000000000000001E-2</v>
      </c>
      <c r="N167" s="2">
        <v>0</v>
      </c>
      <c r="O167" s="2">
        <v>0</v>
      </c>
    </row>
    <row r="168" spans="2:15">
      <c r="B168" t="s">
        <v>91</v>
      </c>
      <c r="C168" t="s">
        <v>29</v>
      </c>
      <c r="D168" t="s">
        <v>113</v>
      </c>
      <c r="E168" t="s">
        <v>114</v>
      </c>
      <c r="F168" t="s">
        <v>10</v>
      </c>
      <c r="G168" t="s">
        <v>113</v>
      </c>
      <c r="H168" t="s">
        <v>115</v>
      </c>
      <c r="I168" t="s">
        <v>24</v>
      </c>
      <c r="J168">
        <v>1</v>
      </c>
      <c r="K168">
        <v>0</v>
      </c>
      <c r="L168" s="2">
        <v>3.5000000000000001E-3</v>
      </c>
      <c r="M168">
        <v>2.5000000000000001E-2</v>
      </c>
      <c r="N168" s="2">
        <v>0</v>
      </c>
      <c r="O168" s="2">
        <v>0</v>
      </c>
    </row>
    <row r="169" spans="2:15">
      <c r="B169" t="s">
        <v>91</v>
      </c>
      <c r="C169" t="s">
        <v>29</v>
      </c>
      <c r="D169" t="s">
        <v>116</v>
      </c>
      <c r="E169" t="s">
        <v>117</v>
      </c>
      <c r="F169" t="s">
        <v>10</v>
      </c>
      <c r="G169" t="s">
        <v>116</v>
      </c>
      <c r="H169" t="s">
        <v>118</v>
      </c>
      <c r="I169" t="s">
        <v>24</v>
      </c>
      <c r="J169">
        <v>1</v>
      </c>
      <c r="K169">
        <v>0</v>
      </c>
      <c r="L169" s="2">
        <v>3.5000000000000001E-3</v>
      </c>
      <c r="M169">
        <v>2.5000000000000001E-2</v>
      </c>
      <c r="N169" s="2">
        <v>0</v>
      </c>
      <c r="O169" s="2">
        <v>0</v>
      </c>
    </row>
    <row r="170" spans="2:15">
      <c r="B170" t="s">
        <v>91</v>
      </c>
      <c r="C170" t="s">
        <v>29</v>
      </c>
      <c r="D170" t="s">
        <v>119</v>
      </c>
      <c r="E170" t="s">
        <v>120</v>
      </c>
      <c r="F170" t="s">
        <v>10</v>
      </c>
      <c r="G170" t="s">
        <v>119</v>
      </c>
      <c r="H170" t="s">
        <v>121</v>
      </c>
      <c r="I170" t="s">
        <v>24</v>
      </c>
      <c r="J170">
        <v>1</v>
      </c>
      <c r="K170">
        <v>0</v>
      </c>
      <c r="L170" s="2">
        <v>3.5000000000000001E-3</v>
      </c>
      <c r="M170">
        <v>2.5000000000000001E-2</v>
      </c>
      <c r="N170" s="2">
        <v>0</v>
      </c>
      <c r="O170" s="2">
        <v>0</v>
      </c>
    </row>
    <row r="171" spans="2:15">
      <c r="B171" t="s">
        <v>91</v>
      </c>
      <c r="C171" t="s">
        <v>29</v>
      </c>
      <c r="D171" t="s">
        <v>122</v>
      </c>
      <c r="E171" t="s">
        <v>123</v>
      </c>
      <c r="F171" t="s">
        <v>10</v>
      </c>
      <c r="G171" t="s">
        <v>122</v>
      </c>
      <c r="H171" t="s">
        <v>124</v>
      </c>
      <c r="I171" t="s">
        <v>24</v>
      </c>
      <c r="J171">
        <v>1</v>
      </c>
      <c r="K171">
        <v>0</v>
      </c>
      <c r="L171" s="2">
        <v>3.5000000000000001E-3</v>
      </c>
      <c r="M171">
        <v>2.5000000000000001E-2</v>
      </c>
      <c r="N171" s="2">
        <v>0</v>
      </c>
      <c r="O171" s="2">
        <v>0</v>
      </c>
    </row>
    <row r="172" spans="2:15">
      <c r="B172" t="s">
        <v>91</v>
      </c>
      <c r="C172" t="s">
        <v>29</v>
      </c>
      <c r="D172" t="s">
        <v>857</v>
      </c>
      <c r="E172" t="s">
        <v>858</v>
      </c>
      <c r="F172" t="s">
        <v>10</v>
      </c>
      <c r="G172" t="s">
        <v>857</v>
      </c>
      <c r="H172" t="s">
        <v>859</v>
      </c>
      <c r="I172" t="s">
        <v>24</v>
      </c>
      <c r="J172">
        <v>0</v>
      </c>
      <c r="K172">
        <v>1</v>
      </c>
      <c r="L172" s="2">
        <v>3.5000000000000001E-3</v>
      </c>
      <c r="M172">
        <v>2.5000000000000001E-2</v>
      </c>
      <c r="N172" s="2">
        <v>3.5000000000000001E-3</v>
      </c>
      <c r="O172" s="2">
        <v>2.5000000000000001E-2</v>
      </c>
    </row>
    <row r="173" spans="2:15">
      <c r="B173" t="s">
        <v>125</v>
      </c>
      <c r="C173" t="s">
        <v>36</v>
      </c>
      <c r="D173" t="s">
        <v>126</v>
      </c>
      <c r="E173" t="s">
        <v>127</v>
      </c>
      <c r="F173" t="s">
        <v>10</v>
      </c>
      <c r="G173" t="s">
        <v>126</v>
      </c>
      <c r="H173" t="s">
        <v>128</v>
      </c>
      <c r="I173" t="s">
        <v>24</v>
      </c>
      <c r="J173">
        <v>8</v>
      </c>
      <c r="K173">
        <v>0</v>
      </c>
      <c r="L173" s="2">
        <v>3.5000000000000001E-3</v>
      </c>
      <c r="M173">
        <v>2.5000000000000001E-2</v>
      </c>
      <c r="N173" s="2">
        <v>0</v>
      </c>
      <c r="O173" s="2">
        <v>0</v>
      </c>
    </row>
    <row r="174" spans="2:15">
      <c r="B174" t="s">
        <v>125</v>
      </c>
      <c r="C174" t="s">
        <v>36</v>
      </c>
      <c r="D174" t="s">
        <v>256</v>
      </c>
      <c r="E174" t="s">
        <v>257</v>
      </c>
      <c r="F174" t="s">
        <v>10</v>
      </c>
      <c r="G174" t="s">
        <v>256</v>
      </c>
      <c r="H174" t="s">
        <v>258</v>
      </c>
      <c r="I174" t="s">
        <v>24</v>
      </c>
      <c r="J174">
        <v>0</v>
      </c>
      <c r="K174">
        <v>1</v>
      </c>
      <c r="L174" s="2">
        <v>3.5000000000000001E-3</v>
      </c>
      <c r="M174">
        <v>2.5000000000000001E-2</v>
      </c>
      <c r="N174" s="2">
        <v>3.5000000000000001E-3</v>
      </c>
      <c r="O174" s="2">
        <v>2.5000000000000001E-2</v>
      </c>
    </row>
    <row r="175" spans="2:15">
      <c r="B175" t="s">
        <v>125</v>
      </c>
      <c r="C175" t="s">
        <v>36</v>
      </c>
      <c r="D175" t="s">
        <v>129</v>
      </c>
      <c r="E175" t="s">
        <v>130</v>
      </c>
      <c r="F175" t="s">
        <v>10</v>
      </c>
      <c r="G175" t="s">
        <v>129</v>
      </c>
      <c r="H175" t="s">
        <v>131</v>
      </c>
      <c r="I175" t="s">
        <v>24</v>
      </c>
      <c r="J175">
        <v>11</v>
      </c>
      <c r="K175">
        <v>0</v>
      </c>
      <c r="L175" s="2">
        <v>3.5000000000000001E-3</v>
      </c>
      <c r="M175">
        <v>2.5000000000000001E-2</v>
      </c>
      <c r="N175" s="2">
        <v>0</v>
      </c>
      <c r="O175" s="2">
        <v>0</v>
      </c>
    </row>
    <row r="176" spans="2:15">
      <c r="B176" t="s">
        <v>125</v>
      </c>
      <c r="C176" t="s">
        <v>36</v>
      </c>
      <c r="D176" t="s">
        <v>132</v>
      </c>
      <c r="E176" t="s">
        <v>133</v>
      </c>
      <c r="F176" t="s">
        <v>10</v>
      </c>
      <c r="G176" t="s">
        <v>132</v>
      </c>
      <c r="H176" t="s">
        <v>134</v>
      </c>
      <c r="I176" t="s">
        <v>24</v>
      </c>
      <c r="J176">
        <v>10</v>
      </c>
      <c r="K176">
        <v>4</v>
      </c>
      <c r="L176" s="2">
        <v>3.5000000000000001E-3</v>
      </c>
      <c r="M176">
        <v>2.5000000000000001E-2</v>
      </c>
      <c r="N176" s="2">
        <v>1.4E-2</v>
      </c>
      <c r="O176" s="2">
        <v>0.1</v>
      </c>
    </row>
    <row r="177" spans="2:15">
      <c r="B177" t="s">
        <v>125</v>
      </c>
      <c r="C177" t="s">
        <v>36</v>
      </c>
      <c r="D177" t="s">
        <v>135</v>
      </c>
      <c r="E177" t="s">
        <v>136</v>
      </c>
      <c r="F177" t="s">
        <v>10</v>
      </c>
      <c r="G177" t="s">
        <v>135</v>
      </c>
      <c r="H177" t="s">
        <v>137</v>
      </c>
      <c r="I177" t="s">
        <v>24</v>
      </c>
      <c r="J177">
        <v>29</v>
      </c>
      <c r="K177">
        <v>0</v>
      </c>
      <c r="L177" s="2">
        <v>3.5000000000000001E-3</v>
      </c>
      <c r="M177">
        <v>2.5000000000000001E-2</v>
      </c>
      <c r="N177" s="2">
        <v>0</v>
      </c>
      <c r="O177" s="2">
        <v>0</v>
      </c>
    </row>
    <row r="178" spans="2:15">
      <c r="B178" t="s">
        <v>125</v>
      </c>
      <c r="C178" t="s">
        <v>208</v>
      </c>
      <c r="D178" t="s">
        <v>259</v>
      </c>
      <c r="E178" t="s">
        <v>260</v>
      </c>
      <c r="F178" t="s">
        <v>10</v>
      </c>
      <c r="G178" t="s">
        <v>259</v>
      </c>
      <c r="H178" t="s">
        <v>261</v>
      </c>
      <c r="I178" t="s">
        <v>24</v>
      </c>
      <c r="J178">
        <v>0</v>
      </c>
      <c r="K178">
        <v>2</v>
      </c>
      <c r="L178" s="2">
        <v>3.5000000000000001E-3</v>
      </c>
      <c r="M178">
        <v>2.5000000000000001E-2</v>
      </c>
      <c r="N178" s="2">
        <v>7.0000000000000001E-3</v>
      </c>
      <c r="O178" s="2">
        <v>0.05</v>
      </c>
    </row>
    <row r="179" spans="2:15">
      <c r="B179" t="s">
        <v>125</v>
      </c>
      <c r="C179" t="s">
        <v>262</v>
      </c>
      <c r="D179" t="s">
        <v>263</v>
      </c>
      <c r="E179" t="s">
        <v>264</v>
      </c>
      <c r="F179" t="s">
        <v>10</v>
      </c>
      <c r="G179" t="s">
        <v>263</v>
      </c>
      <c r="H179" t="s">
        <v>265</v>
      </c>
      <c r="I179" t="s">
        <v>24</v>
      </c>
      <c r="J179">
        <v>670471</v>
      </c>
      <c r="K179">
        <v>8510</v>
      </c>
      <c r="L179" s="2">
        <v>3.5000000000000001E-3</v>
      </c>
      <c r="M179">
        <v>2.5000000000000001E-2</v>
      </c>
      <c r="N179" s="2">
        <v>29.785</v>
      </c>
      <c r="O179" s="2">
        <v>212.75</v>
      </c>
    </row>
    <row r="180" spans="2:15">
      <c r="B180" t="s">
        <v>125</v>
      </c>
      <c r="C180" t="s">
        <v>262</v>
      </c>
      <c r="D180" t="s">
        <v>266</v>
      </c>
      <c r="E180" t="s">
        <v>267</v>
      </c>
      <c r="F180" t="s">
        <v>10</v>
      </c>
      <c r="G180" t="s">
        <v>266</v>
      </c>
      <c r="H180" t="s">
        <v>268</v>
      </c>
      <c r="I180" t="s">
        <v>24</v>
      </c>
      <c r="J180">
        <v>669257</v>
      </c>
      <c r="K180">
        <v>8499</v>
      </c>
      <c r="L180" s="2">
        <v>3.5000000000000001E-3</v>
      </c>
      <c r="M180">
        <v>2.5000000000000001E-2</v>
      </c>
      <c r="N180" s="2">
        <v>29.746500000000001</v>
      </c>
      <c r="O180" s="2">
        <v>212.47500000000002</v>
      </c>
    </row>
    <row r="181" spans="2:15">
      <c r="B181" t="s">
        <v>125</v>
      </c>
      <c r="C181" t="s">
        <v>262</v>
      </c>
      <c r="D181" t="s">
        <v>269</v>
      </c>
      <c r="E181" t="s">
        <v>270</v>
      </c>
      <c r="F181" t="s">
        <v>10</v>
      </c>
      <c r="G181" t="s">
        <v>269</v>
      </c>
      <c r="H181" t="s">
        <v>271</v>
      </c>
      <c r="I181" t="s">
        <v>24</v>
      </c>
      <c r="J181">
        <v>668263</v>
      </c>
      <c r="K181">
        <v>8321</v>
      </c>
      <c r="L181" s="2">
        <v>3.5000000000000001E-3</v>
      </c>
      <c r="M181">
        <v>2.5000000000000001E-2</v>
      </c>
      <c r="N181" s="2">
        <v>29.1235</v>
      </c>
      <c r="O181" s="2">
        <v>208.02500000000001</v>
      </c>
    </row>
    <row r="182" spans="2:15">
      <c r="B182" t="s">
        <v>125</v>
      </c>
      <c r="C182" t="s">
        <v>262</v>
      </c>
      <c r="D182" t="s">
        <v>272</v>
      </c>
      <c r="E182" t="s">
        <v>273</v>
      </c>
      <c r="F182" t="s">
        <v>10</v>
      </c>
      <c r="G182" t="s">
        <v>272</v>
      </c>
      <c r="H182" t="s">
        <v>274</v>
      </c>
      <c r="I182" t="s">
        <v>24</v>
      </c>
      <c r="J182">
        <v>17</v>
      </c>
      <c r="K182">
        <v>0</v>
      </c>
      <c r="L182" s="2">
        <v>3.5000000000000001E-3</v>
      </c>
      <c r="M182">
        <v>2.5000000000000001E-2</v>
      </c>
      <c r="N182" s="2">
        <v>0</v>
      </c>
      <c r="O182" s="2">
        <v>0</v>
      </c>
    </row>
    <row r="183" spans="2:15">
      <c r="B183" t="s">
        <v>125</v>
      </c>
      <c r="C183" t="s">
        <v>262</v>
      </c>
      <c r="D183" t="s">
        <v>275</v>
      </c>
      <c r="E183" t="s">
        <v>276</v>
      </c>
      <c r="F183" t="s">
        <v>10</v>
      </c>
      <c r="G183" t="s">
        <v>275</v>
      </c>
      <c r="H183" t="s">
        <v>277</v>
      </c>
      <c r="I183" t="s">
        <v>24</v>
      </c>
      <c r="J183">
        <v>842279</v>
      </c>
      <c r="K183">
        <v>3497</v>
      </c>
      <c r="L183" s="2">
        <v>3.5000000000000001E-3</v>
      </c>
      <c r="M183">
        <v>2.5000000000000001E-2</v>
      </c>
      <c r="N183" s="2">
        <v>12.2395</v>
      </c>
      <c r="O183" s="2">
        <v>87.425000000000011</v>
      </c>
    </row>
    <row r="184" spans="2:15">
      <c r="B184" t="s">
        <v>125</v>
      </c>
      <c r="C184" t="s">
        <v>262</v>
      </c>
      <c r="D184" t="s">
        <v>278</v>
      </c>
      <c r="E184" t="s">
        <v>279</v>
      </c>
      <c r="F184" t="s">
        <v>10</v>
      </c>
      <c r="G184" t="s">
        <v>278</v>
      </c>
      <c r="H184" t="s">
        <v>280</v>
      </c>
      <c r="I184" t="s">
        <v>24</v>
      </c>
      <c r="J184">
        <v>842618</v>
      </c>
      <c r="K184">
        <v>3543</v>
      </c>
      <c r="L184" s="2">
        <v>3.5000000000000001E-3</v>
      </c>
      <c r="M184">
        <v>2.5000000000000001E-2</v>
      </c>
      <c r="N184" s="2">
        <v>12.400500000000001</v>
      </c>
      <c r="O184" s="2">
        <v>88.575000000000003</v>
      </c>
    </row>
    <row r="185" spans="2:15">
      <c r="B185" t="s">
        <v>125</v>
      </c>
      <c r="C185" t="s">
        <v>262</v>
      </c>
      <c r="D185" t="s">
        <v>281</v>
      </c>
      <c r="E185" t="s">
        <v>282</v>
      </c>
      <c r="F185" t="s">
        <v>10</v>
      </c>
      <c r="G185" t="s">
        <v>281</v>
      </c>
      <c r="H185" t="s">
        <v>283</v>
      </c>
      <c r="I185" t="s">
        <v>24</v>
      </c>
      <c r="J185">
        <v>841067</v>
      </c>
      <c r="K185">
        <v>3785</v>
      </c>
      <c r="L185" s="2">
        <v>3.5000000000000001E-3</v>
      </c>
      <c r="M185">
        <v>2.5000000000000001E-2</v>
      </c>
      <c r="N185" s="2">
        <v>13.2475</v>
      </c>
      <c r="O185" s="2">
        <v>94.625</v>
      </c>
    </row>
    <row r="186" spans="2:15">
      <c r="B186" t="s">
        <v>125</v>
      </c>
      <c r="C186" t="s">
        <v>262</v>
      </c>
      <c r="D186" t="s">
        <v>284</v>
      </c>
      <c r="E186" t="s">
        <v>285</v>
      </c>
      <c r="F186" t="s">
        <v>10</v>
      </c>
      <c r="G186" t="s">
        <v>284</v>
      </c>
      <c r="H186" t="s">
        <v>286</v>
      </c>
      <c r="I186" t="s">
        <v>24</v>
      </c>
      <c r="J186">
        <v>18</v>
      </c>
      <c r="K186">
        <v>0</v>
      </c>
      <c r="L186" s="2">
        <v>3.5000000000000001E-3</v>
      </c>
      <c r="M186">
        <v>2.5000000000000001E-2</v>
      </c>
      <c r="N186" s="2">
        <v>0</v>
      </c>
      <c r="O186" s="2">
        <v>0</v>
      </c>
    </row>
    <row r="187" spans="2:15">
      <c r="B187" t="s">
        <v>125</v>
      </c>
      <c r="C187" t="s">
        <v>48</v>
      </c>
      <c r="D187" t="s">
        <v>287</v>
      </c>
      <c r="E187" t="s">
        <v>288</v>
      </c>
      <c r="F187" t="s">
        <v>10</v>
      </c>
      <c r="G187" t="s">
        <v>287</v>
      </c>
      <c r="H187" t="s">
        <v>289</v>
      </c>
      <c r="I187" t="s">
        <v>24</v>
      </c>
      <c r="J187">
        <v>6</v>
      </c>
      <c r="K187">
        <v>0</v>
      </c>
      <c r="L187" s="2">
        <v>3.5000000000000001E-3</v>
      </c>
      <c r="M187">
        <v>2.5000000000000001E-2</v>
      </c>
      <c r="N187" s="2">
        <v>0</v>
      </c>
      <c r="O187" s="2">
        <v>0</v>
      </c>
    </row>
    <row r="188" spans="2:15">
      <c r="B188" t="s">
        <v>125</v>
      </c>
      <c r="C188" t="s">
        <v>48</v>
      </c>
      <c r="D188" t="s">
        <v>290</v>
      </c>
      <c r="E188" t="s">
        <v>291</v>
      </c>
      <c r="F188" t="s">
        <v>10</v>
      </c>
      <c r="G188" t="s">
        <v>290</v>
      </c>
      <c r="H188" t="s">
        <v>292</v>
      </c>
      <c r="I188" t="s">
        <v>24</v>
      </c>
      <c r="J188">
        <v>1</v>
      </c>
      <c r="K188">
        <v>0</v>
      </c>
      <c r="L188" s="2">
        <v>3.5000000000000001E-3</v>
      </c>
      <c r="M188">
        <v>2.5000000000000001E-2</v>
      </c>
      <c r="N188" s="2">
        <v>0</v>
      </c>
      <c r="O188" s="2">
        <v>0</v>
      </c>
    </row>
    <row r="189" spans="2:15">
      <c r="B189" t="s">
        <v>125</v>
      </c>
      <c r="C189" t="s">
        <v>48</v>
      </c>
      <c r="D189" t="s">
        <v>293</v>
      </c>
      <c r="E189" t="s">
        <v>294</v>
      </c>
      <c r="F189" t="s">
        <v>10</v>
      </c>
      <c r="G189" t="s">
        <v>293</v>
      </c>
      <c r="H189" t="s">
        <v>295</v>
      </c>
      <c r="I189" t="s">
        <v>24</v>
      </c>
      <c r="J189">
        <v>1</v>
      </c>
      <c r="K189">
        <v>0</v>
      </c>
      <c r="L189" s="2">
        <v>3.5000000000000001E-3</v>
      </c>
      <c r="M189">
        <v>2.5000000000000001E-2</v>
      </c>
      <c r="N189" s="2">
        <v>0</v>
      </c>
      <c r="O189" s="2">
        <v>0</v>
      </c>
    </row>
    <row r="190" spans="2:15">
      <c r="B190" t="s">
        <v>125</v>
      </c>
      <c r="C190" t="s">
        <v>48</v>
      </c>
      <c r="D190" t="s">
        <v>296</v>
      </c>
      <c r="E190" t="s">
        <v>297</v>
      </c>
      <c r="F190" t="s">
        <v>10</v>
      </c>
      <c r="G190" t="s">
        <v>296</v>
      </c>
      <c r="H190" t="s">
        <v>298</v>
      </c>
      <c r="I190" t="s">
        <v>24</v>
      </c>
      <c r="J190">
        <v>3</v>
      </c>
      <c r="K190">
        <v>0</v>
      </c>
      <c r="L190" s="2">
        <v>3.5000000000000001E-3</v>
      </c>
      <c r="M190">
        <v>2.5000000000000001E-2</v>
      </c>
      <c r="N190" s="2">
        <v>0</v>
      </c>
      <c r="O190" s="2">
        <v>0</v>
      </c>
    </row>
    <row r="191" spans="2:15">
      <c r="B191" t="s">
        <v>125</v>
      </c>
      <c r="C191" t="s">
        <v>48</v>
      </c>
      <c r="D191" t="s">
        <v>299</v>
      </c>
      <c r="E191" t="s">
        <v>300</v>
      </c>
      <c r="F191" t="s">
        <v>10</v>
      </c>
      <c r="G191" t="s">
        <v>299</v>
      </c>
      <c r="H191" t="s">
        <v>301</v>
      </c>
      <c r="I191" t="s">
        <v>24</v>
      </c>
      <c r="J191">
        <v>6</v>
      </c>
      <c r="K191">
        <v>0</v>
      </c>
      <c r="L191" s="2">
        <v>3.5000000000000001E-3</v>
      </c>
      <c r="M191">
        <v>2.5000000000000001E-2</v>
      </c>
      <c r="N191" s="2">
        <v>0</v>
      </c>
      <c r="O191" s="2">
        <v>0</v>
      </c>
    </row>
    <row r="192" spans="2:15">
      <c r="B192" t="s">
        <v>125</v>
      </c>
      <c r="C192" t="s">
        <v>48</v>
      </c>
      <c r="D192" t="s">
        <v>302</v>
      </c>
      <c r="E192" t="s">
        <v>303</v>
      </c>
      <c r="F192" t="s">
        <v>10</v>
      </c>
      <c r="G192" t="s">
        <v>302</v>
      </c>
      <c r="H192" t="s">
        <v>304</v>
      </c>
      <c r="I192" t="s">
        <v>24</v>
      </c>
      <c r="J192">
        <v>2</v>
      </c>
      <c r="K192">
        <v>0</v>
      </c>
      <c r="L192" s="2">
        <v>3.5000000000000001E-3</v>
      </c>
      <c r="M192">
        <v>2.5000000000000001E-2</v>
      </c>
      <c r="N192" s="2">
        <v>0</v>
      </c>
      <c r="O192" s="2">
        <v>0</v>
      </c>
    </row>
    <row r="193" spans="2:15">
      <c r="B193" t="s">
        <v>125</v>
      </c>
      <c r="C193" t="s">
        <v>48</v>
      </c>
      <c r="D193" t="s">
        <v>305</v>
      </c>
      <c r="E193" t="s">
        <v>306</v>
      </c>
      <c r="F193" t="s">
        <v>10</v>
      </c>
      <c r="G193" t="s">
        <v>305</v>
      </c>
      <c r="H193" t="s">
        <v>307</v>
      </c>
      <c r="I193" t="s">
        <v>24</v>
      </c>
      <c r="J193">
        <v>1</v>
      </c>
      <c r="K193">
        <v>0</v>
      </c>
      <c r="L193" s="2">
        <v>3.5000000000000001E-3</v>
      </c>
      <c r="M193">
        <v>2.5000000000000001E-2</v>
      </c>
      <c r="N193" s="2">
        <v>0</v>
      </c>
      <c r="O193" s="2">
        <v>0</v>
      </c>
    </row>
    <row r="194" spans="2:15">
      <c r="B194" t="s">
        <v>125</v>
      </c>
      <c r="C194" t="s">
        <v>48</v>
      </c>
      <c r="D194" t="s">
        <v>308</v>
      </c>
      <c r="E194" t="s">
        <v>309</v>
      </c>
      <c r="F194" t="s">
        <v>10</v>
      </c>
      <c r="G194" t="s">
        <v>308</v>
      </c>
      <c r="H194" t="s">
        <v>310</v>
      </c>
      <c r="I194" t="s">
        <v>24</v>
      </c>
      <c r="J194">
        <v>1</v>
      </c>
      <c r="K194">
        <v>0</v>
      </c>
      <c r="L194" s="2">
        <v>3.5000000000000001E-3</v>
      </c>
      <c r="M194">
        <v>2.5000000000000001E-2</v>
      </c>
      <c r="N194" s="2">
        <v>0</v>
      </c>
      <c r="O194" s="2">
        <v>0</v>
      </c>
    </row>
    <row r="195" spans="2:15">
      <c r="B195" t="s">
        <v>125</v>
      </c>
      <c r="C195" t="s">
        <v>48</v>
      </c>
      <c r="D195" t="s">
        <v>311</v>
      </c>
      <c r="E195" t="s">
        <v>312</v>
      </c>
      <c r="F195" t="s">
        <v>10</v>
      </c>
      <c r="G195" t="s">
        <v>311</v>
      </c>
      <c r="H195" t="s">
        <v>313</v>
      </c>
      <c r="I195" t="s">
        <v>24</v>
      </c>
      <c r="J195">
        <v>25</v>
      </c>
      <c r="K195">
        <v>0</v>
      </c>
      <c r="L195" s="2">
        <v>3.5000000000000001E-3</v>
      </c>
      <c r="M195">
        <v>2.5000000000000001E-2</v>
      </c>
      <c r="N195" s="2">
        <v>0</v>
      </c>
      <c r="O195" s="2">
        <v>0</v>
      </c>
    </row>
    <row r="196" spans="2:15">
      <c r="B196" t="s">
        <v>125</v>
      </c>
      <c r="C196" t="s">
        <v>48</v>
      </c>
      <c r="D196" t="s">
        <v>314</v>
      </c>
      <c r="E196" t="s">
        <v>315</v>
      </c>
      <c r="F196" t="s">
        <v>10</v>
      </c>
      <c r="G196" t="s">
        <v>314</v>
      </c>
      <c r="H196" t="s">
        <v>316</v>
      </c>
      <c r="I196" t="s">
        <v>24</v>
      </c>
      <c r="J196">
        <v>2</v>
      </c>
      <c r="K196">
        <v>0</v>
      </c>
      <c r="L196" s="2">
        <v>3.5000000000000001E-3</v>
      </c>
      <c r="M196">
        <v>2.5000000000000001E-2</v>
      </c>
      <c r="N196" s="2">
        <v>0</v>
      </c>
      <c r="O196" s="2">
        <v>0</v>
      </c>
    </row>
    <row r="197" spans="2:15">
      <c r="B197" t="s">
        <v>125</v>
      </c>
      <c r="C197" t="s">
        <v>48</v>
      </c>
      <c r="D197" t="s">
        <v>317</v>
      </c>
      <c r="E197" t="s">
        <v>318</v>
      </c>
      <c r="F197" t="s">
        <v>10</v>
      </c>
      <c r="G197" t="s">
        <v>317</v>
      </c>
      <c r="H197" t="s">
        <v>319</v>
      </c>
      <c r="I197" t="s">
        <v>24</v>
      </c>
      <c r="J197">
        <v>2</v>
      </c>
      <c r="K197">
        <v>0</v>
      </c>
      <c r="L197" s="2">
        <v>3.5000000000000001E-3</v>
      </c>
      <c r="M197">
        <v>2.5000000000000001E-2</v>
      </c>
      <c r="N197" s="2">
        <v>0</v>
      </c>
      <c r="O197" s="2">
        <v>0</v>
      </c>
    </row>
    <row r="198" spans="2:15">
      <c r="B198" t="s">
        <v>125</v>
      </c>
      <c r="C198" t="s">
        <v>48</v>
      </c>
      <c r="D198" t="s">
        <v>320</v>
      </c>
      <c r="E198" t="s">
        <v>321</v>
      </c>
      <c r="F198" t="s">
        <v>10</v>
      </c>
      <c r="G198" t="s">
        <v>320</v>
      </c>
      <c r="H198" t="s">
        <v>322</v>
      </c>
      <c r="I198" t="s">
        <v>24</v>
      </c>
      <c r="J198">
        <v>2</v>
      </c>
      <c r="K198">
        <v>0</v>
      </c>
      <c r="L198" s="2">
        <v>3.5000000000000001E-3</v>
      </c>
      <c r="M198">
        <v>2.5000000000000001E-2</v>
      </c>
      <c r="N198" s="2">
        <v>0</v>
      </c>
      <c r="O198" s="2">
        <v>0</v>
      </c>
    </row>
    <row r="199" spans="2:15">
      <c r="B199" t="s">
        <v>125</v>
      </c>
      <c r="C199" t="s">
        <v>48</v>
      </c>
      <c r="D199" t="s">
        <v>323</v>
      </c>
      <c r="E199" t="s">
        <v>324</v>
      </c>
      <c r="F199" t="s">
        <v>10</v>
      </c>
      <c r="G199" t="s">
        <v>323</v>
      </c>
      <c r="H199" t="s">
        <v>325</v>
      </c>
      <c r="I199" t="s">
        <v>24</v>
      </c>
      <c r="J199">
        <v>7</v>
      </c>
      <c r="K199">
        <v>0</v>
      </c>
      <c r="L199" s="2">
        <v>3.5000000000000001E-3</v>
      </c>
      <c r="M199">
        <v>2.5000000000000001E-2</v>
      </c>
      <c r="N199" s="2">
        <v>0</v>
      </c>
      <c r="O199" s="2">
        <v>0</v>
      </c>
    </row>
    <row r="200" spans="2:15">
      <c r="B200" t="s">
        <v>125</v>
      </c>
      <c r="C200" t="s">
        <v>48</v>
      </c>
      <c r="D200" t="s">
        <v>326</v>
      </c>
      <c r="E200" t="s">
        <v>327</v>
      </c>
      <c r="F200" t="s">
        <v>10</v>
      </c>
      <c r="G200" t="s">
        <v>326</v>
      </c>
      <c r="H200" t="s">
        <v>328</v>
      </c>
      <c r="I200" t="s">
        <v>24</v>
      </c>
      <c r="J200">
        <v>2</v>
      </c>
      <c r="K200">
        <v>0</v>
      </c>
      <c r="L200" s="2">
        <v>3.5000000000000001E-3</v>
      </c>
      <c r="M200">
        <v>2.5000000000000001E-2</v>
      </c>
      <c r="N200" s="2">
        <v>0</v>
      </c>
      <c r="O200" s="2">
        <v>0</v>
      </c>
    </row>
    <row r="201" spans="2:15">
      <c r="B201" t="s">
        <v>125</v>
      </c>
      <c r="C201" t="s">
        <v>48</v>
      </c>
      <c r="D201" t="s">
        <v>329</v>
      </c>
      <c r="E201" t="s">
        <v>330</v>
      </c>
      <c r="F201" t="s">
        <v>10</v>
      </c>
      <c r="G201" t="s">
        <v>329</v>
      </c>
      <c r="H201" t="s">
        <v>331</v>
      </c>
      <c r="I201" t="s">
        <v>24</v>
      </c>
      <c r="J201">
        <v>2</v>
      </c>
      <c r="K201">
        <v>0</v>
      </c>
      <c r="L201" s="2">
        <v>3.5000000000000001E-3</v>
      </c>
      <c r="M201">
        <v>2.5000000000000001E-2</v>
      </c>
      <c r="N201" s="2">
        <v>0</v>
      </c>
      <c r="O201" s="2">
        <v>0</v>
      </c>
    </row>
    <row r="202" spans="2:15">
      <c r="B202" t="s">
        <v>125</v>
      </c>
      <c r="C202" t="s">
        <v>48</v>
      </c>
      <c r="D202" t="s">
        <v>332</v>
      </c>
      <c r="E202" t="s">
        <v>333</v>
      </c>
      <c r="F202" t="s">
        <v>10</v>
      </c>
      <c r="G202" t="s">
        <v>332</v>
      </c>
      <c r="H202" t="s">
        <v>334</v>
      </c>
      <c r="I202" t="s">
        <v>24</v>
      </c>
      <c r="J202">
        <v>3</v>
      </c>
      <c r="K202">
        <v>0</v>
      </c>
      <c r="L202" s="2">
        <v>3.5000000000000001E-3</v>
      </c>
      <c r="M202">
        <v>2.5000000000000001E-2</v>
      </c>
      <c r="N202" s="2">
        <v>0</v>
      </c>
      <c r="O202" s="2">
        <v>0</v>
      </c>
    </row>
    <row r="203" spans="2:15">
      <c r="B203" t="s">
        <v>125</v>
      </c>
      <c r="C203" t="s">
        <v>48</v>
      </c>
      <c r="D203" t="s">
        <v>335</v>
      </c>
      <c r="E203" t="s">
        <v>336</v>
      </c>
      <c r="F203" t="s">
        <v>10</v>
      </c>
      <c r="G203" t="s">
        <v>335</v>
      </c>
      <c r="H203" t="s">
        <v>337</v>
      </c>
      <c r="I203" t="s">
        <v>24</v>
      </c>
      <c r="J203">
        <v>1</v>
      </c>
      <c r="K203">
        <v>0</v>
      </c>
      <c r="L203" s="2">
        <v>3.5000000000000001E-3</v>
      </c>
      <c r="M203">
        <v>2.5000000000000001E-2</v>
      </c>
      <c r="N203" s="2">
        <v>0</v>
      </c>
      <c r="O203" s="2">
        <v>0</v>
      </c>
    </row>
    <row r="204" spans="2:15">
      <c r="B204" t="s">
        <v>125</v>
      </c>
      <c r="C204" t="s">
        <v>48</v>
      </c>
      <c r="D204" t="s">
        <v>338</v>
      </c>
      <c r="E204" t="s">
        <v>339</v>
      </c>
      <c r="F204" t="s">
        <v>10</v>
      </c>
      <c r="G204" t="s">
        <v>338</v>
      </c>
      <c r="H204" t="s">
        <v>340</v>
      </c>
      <c r="I204" t="s">
        <v>24</v>
      </c>
      <c r="J204">
        <v>1</v>
      </c>
      <c r="K204">
        <v>0</v>
      </c>
      <c r="L204" s="2">
        <v>3.5000000000000001E-3</v>
      </c>
      <c r="M204">
        <v>2.5000000000000001E-2</v>
      </c>
      <c r="N204" s="2">
        <v>0</v>
      </c>
      <c r="O204" s="2">
        <v>0</v>
      </c>
    </row>
    <row r="205" spans="2:15">
      <c r="B205" t="s">
        <v>125</v>
      </c>
      <c r="C205" t="s">
        <v>48</v>
      </c>
      <c r="D205" t="s">
        <v>341</v>
      </c>
      <c r="E205" t="s">
        <v>342</v>
      </c>
      <c r="F205" t="s">
        <v>10</v>
      </c>
      <c r="G205" t="s">
        <v>341</v>
      </c>
      <c r="H205" t="s">
        <v>343</v>
      </c>
      <c r="I205" t="s">
        <v>24</v>
      </c>
      <c r="J205">
        <v>1</v>
      </c>
      <c r="K205">
        <v>0</v>
      </c>
      <c r="L205" s="2">
        <v>3.5000000000000001E-3</v>
      </c>
      <c r="M205">
        <v>2.5000000000000001E-2</v>
      </c>
      <c r="N205" s="2">
        <v>0</v>
      </c>
      <c r="O205" s="2">
        <v>0</v>
      </c>
    </row>
    <row r="206" spans="2:15">
      <c r="B206" t="s">
        <v>125</v>
      </c>
      <c r="C206" t="s">
        <v>48</v>
      </c>
      <c r="D206" t="s">
        <v>344</v>
      </c>
      <c r="E206" t="s">
        <v>345</v>
      </c>
      <c r="F206" t="s">
        <v>10</v>
      </c>
      <c r="G206" t="s">
        <v>344</v>
      </c>
      <c r="H206" t="s">
        <v>346</v>
      </c>
      <c r="I206" t="s">
        <v>24</v>
      </c>
      <c r="J206">
        <v>1</v>
      </c>
      <c r="K206">
        <v>0</v>
      </c>
      <c r="L206" s="2">
        <v>3.5000000000000001E-3</v>
      </c>
      <c r="M206">
        <v>2.5000000000000001E-2</v>
      </c>
      <c r="N206" s="2">
        <v>0</v>
      </c>
      <c r="O206" s="2">
        <v>0</v>
      </c>
    </row>
    <row r="207" spans="2:15">
      <c r="B207" t="s">
        <v>125</v>
      </c>
      <c r="C207" t="s">
        <v>48</v>
      </c>
      <c r="D207" t="s">
        <v>347</v>
      </c>
      <c r="E207" t="s">
        <v>348</v>
      </c>
      <c r="F207" t="s">
        <v>10</v>
      </c>
      <c r="G207" t="s">
        <v>347</v>
      </c>
      <c r="H207" t="s">
        <v>349</v>
      </c>
      <c r="I207" t="s">
        <v>24</v>
      </c>
      <c r="J207">
        <v>2</v>
      </c>
      <c r="K207">
        <v>0</v>
      </c>
      <c r="L207" s="2">
        <v>3.5000000000000001E-3</v>
      </c>
      <c r="M207">
        <v>2.5000000000000001E-2</v>
      </c>
      <c r="N207" s="2">
        <v>0</v>
      </c>
      <c r="O207" s="2">
        <v>0</v>
      </c>
    </row>
    <row r="208" spans="2:15">
      <c r="B208" t="s">
        <v>125</v>
      </c>
      <c r="C208" t="s">
        <v>48</v>
      </c>
      <c r="D208" t="s">
        <v>350</v>
      </c>
      <c r="E208" t="s">
        <v>351</v>
      </c>
      <c r="F208" t="s">
        <v>10</v>
      </c>
      <c r="G208" t="s">
        <v>350</v>
      </c>
      <c r="H208" t="s">
        <v>352</v>
      </c>
      <c r="I208" t="s">
        <v>24</v>
      </c>
      <c r="J208">
        <v>6</v>
      </c>
      <c r="K208">
        <v>0</v>
      </c>
      <c r="L208" s="2">
        <v>3.5000000000000001E-3</v>
      </c>
      <c r="M208">
        <v>2.5000000000000001E-2</v>
      </c>
      <c r="N208" s="2">
        <v>0</v>
      </c>
      <c r="O208" s="2">
        <v>0</v>
      </c>
    </row>
    <row r="209" spans="2:15">
      <c r="B209" t="s">
        <v>125</v>
      </c>
      <c r="C209" t="s">
        <v>48</v>
      </c>
      <c r="D209" t="s">
        <v>353</v>
      </c>
      <c r="E209" t="s">
        <v>354</v>
      </c>
      <c r="F209" t="s">
        <v>10</v>
      </c>
      <c r="G209" t="s">
        <v>353</v>
      </c>
      <c r="H209" t="s">
        <v>355</v>
      </c>
      <c r="I209" t="s">
        <v>24</v>
      </c>
      <c r="J209">
        <v>2</v>
      </c>
      <c r="K209">
        <v>0</v>
      </c>
      <c r="L209" s="2">
        <v>3.5000000000000001E-3</v>
      </c>
      <c r="M209">
        <v>2.5000000000000001E-2</v>
      </c>
      <c r="N209" s="2">
        <v>0</v>
      </c>
      <c r="O209" s="2">
        <v>0</v>
      </c>
    </row>
    <row r="210" spans="2:15">
      <c r="B210" t="s">
        <v>125</v>
      </c>
      <c r="C210" t="s">
        <v>48</v>
      </c>
      <c r="D210" t="s">
        <v>356</v>
      </c>
      <c r="E210" t="s">
        <v>357</v>
      </c>
      <c r="F210" t="s">
        <v>10</v>
      </c>
      <c r="G210" t="s">
        <v>356</v>
      </c>
      <c r="H210" t="s">
        <v>358</v>
      </c>
      <c r="I210" t="s">
        <v>24</v>
      </c>
      <c r="J210">
        <v>4</v>
      </c>
      <c r="K210">
        <v>0</v>
      </c>
      <c r="L210" s="2">
        <v>3.5000000000000001E-3</v>
      </c>
      <c r="M210">
        <v>2.5000000000000001E-2</v>
      </c>
      <c r="N210" s="2">
        <v>0</v>
      </c>
      <c r="O210" s="2">
        <v>0</v>
      </c>
    </row>
    <row r="211" spans="2:15">
      <c r="B211" t="s">
        <v>125</v>
      </c>
      <c r="C211" t="s">
        <v>48</v>
      </c>
      <c r="D211" t="s">
        <v>359</v>
      </c>
      <c r="E211" t="s">
        <v>360</v>
      </c>
      <c r="F211" t="s">
        <v>10</v>
      </c>
      <c r="G211" t="s">
        <v>359</v>
      </c>
      <c r="H211" t="s">
        <v>361</v>
      </c>
      <c r="I211" t="s">
        <v>24</v>
      </c>
      <c r="J211">
        <v>9</v>
      </c>
      <c r="K211">
        <v>0</v>
      </c>
      <c r="L211" s="2">
        <v>3.5000000000000001E-3</v>
      </c>
      <c r="M211">
        <v>2.5000000000000001E-2</v>
      </c>
      <c r="N211" s="2">
        <v>0</v>
      </c>
      <c r="O211" s="2">
        <v>0</v>
      </c>
    </row>
    <row r="212" spans="2:15">
      <c r="B212" t="s">
        <v>125</v>
      </c>
      <c r="C212" t="s">
        <v>48</v>
      </c>
      <c r="D212" t="s">
        <v>362</v>
      </c>
      <c r="E212" t="s">
        <v>363</v>
      </c>
      <c r="F212" t="s">
        <v>10</v>
      </c>
      <c r="G212" t="s">
        <v>362</v>
      </c>
      <c r="H212" t="s">
        <v>364</v>
      </c>
      <c r="I212" t="s">
        <v>24</v>
      </c>
      <c r="J212">
        <v>1</v>
      </c>
      <c r="K212">
        <v>0</v>
      </c>
      <c r="L212" s="2">
        <v>3.5000000000000001E-3</v>
      </c>
      <c r="M212">
        <v>2.5000000000000001E-2</v>
      </c>
      <c r="N212" s="2">
        <v>0</v>
      </c>
      <c r="O212" s="2">
        <v>0</v>
      </c>
    </row>
    <row r="213" spans="2:15">
      <c r="B213" t="s">
        <v>125</v>
      </c>
      <c r="C213" t="s">
        <v>48</v>
      </c>
      <c r="D213" t="s">
        <v>365</v>
      </c>
      <c r="E213" t="s">
        <v>366</v>
      </c>
      <c r="F213" t="s">
        <v>10</v>
      </c>
      <c r="G213" t="s">
        <v>365</v>
      </c>
      <c r="H213" t="s">
        <v>367</v>
      </c>
      <c r="I213" t="s">
        <v>24</v>
      </c>
      <c r="J213">
        <v>2</v>
      </c>
      <c r="K213">
        <v>0</v>
      </c>
      <c r="L213" s="2">
        <v>3.5000000000000001E-3</v>
      </c>
      <c r="M213">
        <v>2.5000000000000001E-2</v>
      </c>
      <c r="N213" s="2">
        <v>0</v>
      </c>
      <c r="O213" s="2">
        <v>0</v>
      </c>
    </row>
    <row r="214" spans="2:15">
      <c r="B214" t="s">
        <v>125</v>
      </c>
      <c r="C214" t="s">
        <v>48</v>
      </c>
      <c r="D214" t="s">
        <v>368</v>
      </c>
      <c r="E214" t="s">
        <v>369</v>
      </c>
      <c r="F214" t="s">
        <v>10</v>
      </c>
      <c r="G214" t="s">
        <v>368</v>
      </c>
      <c r="H214" t="s">
        <v>370</v>
      </c>
      <c r="I214" t="s">
        <v>24</v>
      </c>
      <c r="J214">
        <v>1</v>
      </c>
      <c r="K214">
        <v>0</v>
      </c>
      <c r="L214" s="2">
        <v>3.5000000000000001E-3</v>
      </c>
      <c r="M214">
        <v>2.5000000000000001E-2</v>
      </c>
      <c r="N214" s="2">
        <v>0</v>
      </c>
      <c r="O214" s="2">
        <v>0</v>
      </c>
    </row>
    <row r="215" spans="2:15">
      <c r="B215" t="s">
        <v>125</v>
      </c>
      <c r="C215" t="s">
        <v>48</v>
      </c>
      <c r="D215" t="s">
        <v>371</v>
      </c>
      <c r="E215" t="s">
        <v>372</v>
      </c>
      <c r="F215" t="s">
        <v>10</v>
      </c>
      <c r="G215" t="s">
        <v>371</v>
      </c>
      <c r="H215" t="s">
        <v>373</v>
      </c>
      <c r="I215" t="s">
        <v>24</v>
      </c>
      <c r="J215">
        <v>2</v>
      </c>
      <c r="K215">
        <v>0</v>
      </c>
      <c r="L215" s="2">
        <v>3.5000000000000001E-3</v>
      </c>
      <c r="M215">
        <v>2.5000000000000001E-2</v>
      </c>
      <c r="N215" s="2">
        <v>0</v>
      </c>
      <c r="O215" s="2">
        <v>0</v>
      </c>
    </row>
    <row r="216" spans="2:15">
      <c r="B216" t="s">
        <v>125</v>
      </c>
      <c r="C216" t="s">
        <v>48</v>
      </c>
      <c r="D216" t="s">
        <v>374</v>
      </c>
      <c r="E216" t="s">
        <v>375</v>
      </c>
      <c r="F216" t="s">
        <v>10</v>
      </c>
      <c r="G216" t="s">
        <v>374</v>
      </c>
      <c r="H216" t="s">
        <v>376</v>
      </c>
      <c r="I216" t="s">
        <v>24</v>
      </c>
      <c r="J216">
        <v>1</v>
      </c>
      <c r="K216">
        <v>0</v>
      </c>
      <c r="L216" s="2">
        <v>3.5000000000000001E-3</v>
      </c>
      <c r="M216">
        <v>2.5000000000000001E-2</v>
      </c>
      <c r="N216" s="2">
        <v>0</v>
      </c>
      <c r="O216" s="2">
        <v>0</v>
      </c>
    </row>
    <row r="217" spans="2:15">
      <c r="B217" t="s">
        <v>125</v>
      </c>
      <c r="C217" t="s">
        <v>48</v>
      </c>
      <c r="D217" t="s">
        <v>377</v>
      </c>
      <c r="E217" t="s">
        <v>378</v>
      </c>
      <c r="F217" t="s">
        <v>10</v>
      </c>
      <c r="G217" t="s">
        <v>377</v>
      </c>
      <c r="H217" t="s">
        <v>379</v>
      </c>
      <c r="I217" t="s">
        <v>24</v>
      </c>
      <c r="J217">
        <v>2</v>
      </c>
      <c r="K217">
        <v>0</v>
      </c>
      <c r="L217" s="2">
        <v>3.5000000000000001E-3</v>
      </c>
      <c r="M217">
        <v>2.5000000000000001E-2</v>
      </c>
      <c r="N217" s="2">
        <v>0</v>
      </c>
      <c r="O217" s="2">
        <v>0</v>
      </c>
    </row>
    <row r="218" spans="2:15">
      <c r="B218" t="s">
        <v>125</v>
      </c>
      <c r="C218" t="s">
        <v>48</v>
      </c>
      <c r="D218" t="s">
        <v>380</v>
      </c>
      <c r="E218" t="s">
        <v>381</v>
      </c>
      <c r="F218" t="s">
        <v>10</v>
      </c>
      <c r="G218" t="s">
        <v>380</v>
      </c>
      <c r="H218" t="s">
        <v>382</v>
      </c>
      <c r="I218" t="s">
        <v>24</v>
      </c>
      <c r="J218">
        <v>2</v>
      </c>
      <c r="K218">
        <v>0</v>
      </c>
      <c r="L218" s="2">
        <v>3.5000000000000001E-3</v>
      </c>
      <c r="M218">
        <v>2.5000000000000001E-2</v>
      </c>
      <c r="N218" s="2">
        <v>0</v>
      </c>
      <c r="O218" s="2">
        <v>0</v>
      </c>
    </row>
    <row r="219" spans="2:15">
      <c r="B219" t="s">
        <v>125</v>
      </c>
      <c r="C219" t="s">
        <v>48</v>
      </c>
      <c r="D219" t="s">
        <v>383</v>
      </c>
      <c r="E219" t="s">
        <v>384</v>
      </c>
      <c r="F219" t="s">
        <v>10</v>
      </c>
      <c r="G219" t="s">
        <v>383</v>
      </c>
      <c r="H219" t="s">
        <v>385</v>
      </c>
      <c r="I219" t="s">
        <v>24</v>
      </c>
      <c r="J219">
        <v>8</v>
      </c>
      <c r="K219">
        <v>0</v>
      </c>
      <c r="L219" s="2">
        <v>3.5000000000000001E-3</v>
      </c>
      <c r="M219">
        <v>2.5000000000000001E-2</v>
      </c>
      <c r="N219" s="2">
        <v>0</v>
      </c>
      <c r="O219" s="2">
        <v>0</v>
      </c>
    </row>
    <row r="220" spans="2:15">
      <c r="B220" t="s">
        <v>125</v>
      </c>
      <c r="C220" t="s">
        <v>48</v>
      </c>
      <c r="D220" t="s">
        <v>386</v>
      </c>
      <c r="E220" t="s">
        <v>387</v>
      </c>
      <c r="F220" t="s">
        <v>10</v>
      </c>
      <c r="G220" t="s">
        <v>386</v>
      </c>
      <c r="H220" t="s">
        <v>388</v>
      </c>
      <c r="I220" t="s">
        <v>24</v>
      </c>
      <c r="J220">
        <v>1</v>
      </c>
      <c r="K220">
        <v>0</v>
      </c>
      <c r="L220" s="2">
        <v>3.5000000000000001E-3</v>
      </c>
      <c r="M220">
        <v>2.5000000000000001E-2</v>
      </c>
      <c r="N220" s="2">
        <v>0</v>
      </c>
      <c r="O220" s="2">
        <v>0</v>
      </c>
    </row>
    <row r="221" spans="2:15">
      <c r="B221" t="s">
        <v>125</v>
      </c>
      <c r="C221" t="s">
        <v>48</v>
      </c>
      <c r="D221" t="s">
        <v>389</v>
      </c>
      <c r="E221" t="s">
        <v>390</v>
      </c>
      <c r="F221" t="s">
        <v>10</v>
      </c>
      <c r="G221" t="s">
        <v>389</v>
      </c>
      <c r="H221" t="s">
        <v>391</v>
      </c>
      <c r="I221" t="s">
        <v>24</v>
      </c>
      <c r="J221">
        <v>1</v>
      </c>
      <c r="K221">
        <v>0</v>
      </c>
      <c r="L221" s="2">
        <v>3.5000000000000001E-3</v>
      </c>
      <c r="M221">
        <v>2.5000000000000001E-2</v>
      </c>
      <c r="N221" s="2">
        <v>0</v>
      </c>
      <c r="O221" s="2">
        <v>0</v>
      </c>
    </row>
    <row r="222" spans="2:15">
      <c r="B222" t="s">
        <v>125</v>
      </c>
      <c r="C222" t="s">
        <v>48</v>
      </c>
      <c r="D222" t="s">
        <v>392</v>
      </c>
      <c r="E222" t="s">
        <v>393</v>
      </c>
      <c r="F222" t="s">
        <v>10</v>
      </c>
      <c r="G222" t="s">
        <v>392</v>
      </c>
      <c r="H222" t="s">
        <v>394</v>
      </c>
      <c r="I222" t="s">
        <v>24</v>
      </c>
      <c r="J222">
        <v>1</v>
      </c>
      <c r="K222">
        <v>0</v>
      </c>
      <c r="L222" s="2">
        <v>3.5000000000000001E-3</v>
      </c>
      <c r="M222">
        <v>2.5000000000000001E-2</v>
      </c>
      <c r="N222" s="2">
        <v>0</v>
      </c>
      <c r="O222" s="2">
        <v>0</v>
      </c>
    </row>
    <row r="223" spans="2:15">
      <c r="B223" t="s">
        <v>125</v>
      </c>
      <c r="C223" t="s">
        <v>48</v>
      </c>
      <c r="D223" t="s">
        <v>395</v>
      </c>
      <c r="E223" t="s">
        <v>396</v>
      </c>
      <c r="F223" t="s">
        <v>10</v>
      </c>
      <c r="G223" t="s">
        <v>395</v>
      </c>
      <c r="H223" t="s">
        <v>397</v>
      </c>
      <c r="I223" t="s">
        <v>24</v>
      </c>
      <c r="J223">
        <v>16</v>
      </c>
      <c r="K223">
        <v>0</v>
      </c>
      <c r="L223" s="2">
        <v>3.5000000000000001E-3</v>
      </c>
      <c r="M223">
        <v>2.5000000000000001E-2</v>
      </c>
      <c r="N223" s="2">
        <v>0</v>
      </c>
      <c r="O223" s="2">
        <v>0</v>
      </c>
    </row>
    <row r="224" spans="2:15">
      <c r="B224" t="s">
        <v>125</v>
      </c>
      <c r="C224" t="s">
        <v>48</v>
      </c>
      <c r="D224" t="s">
        <v>398</v>
      </c>
      <c r="E224" t="s">
        <v>399</v>
      </c>
      <c r="F224" t="s">
        <v>10</v>
      </c>
      <c r="G224" t="s">
        <v>398</v>
      </c>
      <c r="H224" t="s">
        <v>400</v>
      </c>
      <c r="I224" t="s">
        <v>24</v>
      </c>
      <c r="J224">
        <v>1</v>
      </c>
      <c r="K224">
        <v>0</v>
      </c>
      <c r="L224" s="2">
        <v>3.5000000000000001E-3</v>
      </c>
      <c r="M224">
        <v>2.5000000000000001E-2</v>
      </c>
      <c r="N224" s="2">
        <v>0</v>
      </c>
      <c r="O224" s="2">
        <v>0</v>
      </c>
    </row>
    <row r="225" spans="2:15">
      <c r="B225" t="s">
        <v>125</v>
      </c>
      <c r="C225" t="s">
        <v>48</v>
      </c>
      <c r="D225" t="s">
        <v>401</v>
      </c>
      <c r="E225" t="s">
        <v>402</v>
      </c>
      <c r="F225" t="s">
        <v>10</v>
      </c>
      <c r="G225" t="s">
        <v>401</v>
      </c>
      <c r="H225" t="s">
        <v>403</v>
      </c>
      <c r="I225" t="s">
        <v>24</v>
      </c>
      <c r="J225">
        <v>2</v>
      </c>
      <c r="K225">
        <v>0</v>
      </c>
      <c r="L225" s="2">
        <v>3.5000000000000001E-3</v>
      </c>
      <c r="M225">
        <v>2.5000000000000001E-2</v>
      </c>
      <c r="N225" s="2">
        <v>0</v>
      </c>
      <c r="O225" s="2">
        <v>0</v>
      </c>
    </row>
    <row r="226" spans="2:15">
      <c r="B226" t="s">
        <v>125</v>
      </c>
      <c r="C226" t="s">
        <v>48</v>
      </c>
      <c r="D226" t="s">
        <v>404</v>
      </c>
      <c r="E226" t="s">
        <v>405</v>
      </c>
      <c r="F226" t="s">
        <v>10</v>
      </c>
      <c r="G226" t="s">
        <v>404</v>
      </c>
      <c r="H226" t="s">
        <v>406</v>
      </c>
      <c r="I226" t="s">
        <v>24</v>
      </c>
      <c r="J226">
        <v>1</v>
      </c>
      <c r="K226">
        <v>0</v>
      </c>
      <c r="L226" s="2">
        <v>3.5000000000000001E-3</v>
      </c>
      <c r="M226">
        <v>2.5000000000000001E-2</v>
      </c>
      <c r="N226" s="2">
        <v>0</v>
      </c>
      <c r="O226" s="2">
        <v>0</v>
      </c>
    </row>
    <row r="227" spans="2:15">
      <c r="B227" t="s">
        <v>125</v>
      </c>
      <c r="C227" t="s">
        <v>48</v>
      </c>
      <c r="D227" t="s">
        <v>407</v>
      </c>
      <c r="E227" t="s">
        <v>408</v>
      </c>
      <c r="F227" t="s">
        <v>10</v>
      </c>
      <c r="G227" t="s">
        <v>407</v>
      </c>
      <c r="H227" t="s">
        <v>409</v>
      </c>
      <c r="I227" t="s">
        <v>24</v>
      </c>
      <c r="J227">
        <v>17</v>
      </c>
      <c r="K227">
        <v>0</v>
      </c>
      <c r="L227" s="2">
        <v>3.5000000000000001E-3</v>
      </c>
      <c r="M227">
        <v>2.5000000000000001E-2</v>
      </c>
      <c r="N227" s="2">
        <v>0</v>
      </c>
      <c r="O227" s="2">
        <v>0</v>
      </c>
    </row>
    <row r="228" spans="2:15">
      <c r="B228" t="s">
        <v>125</v>
      </c>
      <c r="C228" t="s">
        <v>48</v>
      </c>
      <c r="D228" t="s">
        <v>410</v>
      </c>
      <c r="E228" t="s">
        <v>411</v>
      </c>
      <c r="F228" t="s">
        <v>10</v>
      </c>
      <c r="G228" t="s">
        <v>410</v>
      </c>
      <c r="H228" t="s">
        <v>412</v>
      </c>
      <c r="I228" t="s">
        <v>24</v>
      </c>
      <c r="J228">
        <v>2</v>
      </c>
      <c r="K228">
        <v>0</v>
      </c>
      <c r="L228" s="2">
        <v>3.5000000000000001E-3</v>
      </c>
      <c r="M228">
        <v>2.5000000000000001E-2</v>
      </c>
      <c r="N228" s="2">
        <v>0</v>
      </c>
      <c r="O228" s="2">
        <v>0</v>
      </c>
    </row>
    <row r="229" spans="2:15">
      <c r="B229" t="s">
        <v>125</v>
      </c>
      <c r="C229" t="s">
        <v>48</v>
      </c>
      <c r="D229" t="s">
        <v>413</v>
      </c>
      <c r="E229" t="s">
        <v>414</v>
      </c>
      <c r="F229" t="s">
        <v>10</v>
      </c>
      <c r="G229" t="s">
        <v>413</v>
      </c>
      <c r="H229" t="s">
        <v>415</v>
      </c>
      <c r="I229" t="s">
        <v>24</v>
      </c>
      <c r="J229">
        <v>1</v>
      </c>
      <c r="K229">
        <v>0</v>
      </c>
      <c r="L229" s="2">
        <v>3.5000000000000001E-3</v>
      </c>
      <c r="M229">
        <v>2.5000000000000001E-2</v>
      </c>
      <c r="N229" s="2">
        <v>0</v>
      </c>
      <c r="O229" s="2">
        <v>0</v>
      </c>
    </row>
    <row r="230" spans="2:15">
      <c r="B230" t="s">
        <v>125</v>
      </c>
      <c r="C230" t="s">
        <v>48</v>
      </c>
      <c r="D230" t="s">
        <v>416</v>
      </c>
      <c r="E230" t="s">
        <v>417</v>
      </c>
      <c r="F230" t="s">
        <v>10</v>
      </c>
      <c r="G230" t="s">
        <v>416</v>
      </c>
      <c r="H230" t="s">
        <v>418</v>
      </c>
      <c r="I230" t="s">
        <v>24</v>
      </c>
      <c r="J230">
        <v>1</v>
      </c>
      <c r="K230">
        <v>0</v>
      </c>
      <c r="L230" s="2">
        <v>3.5000000000000001E-3</v>
      </c>
      <c r="M230">
        <v>2.5000000000000001E-2</v>
      </c>
      <c r="N230" s="2">
        <v>0</v>
      </c>
      <c r="O230" s="2">
        <v>0</v>
      </c>
    </row>
    <row r="231" spans="2:15">
      <c r="B231" t="s">
        <v>125</v>
      </c>
      <c r="C231" t="s">
        <v>48</v>
      </c>
      <c r="D231" t="s">
        <v>419</v>
      </c>
      <c r="E231" t="s">
        <v>420</v>
      </c>
      <c r="F231" t="s">
        <v>10</v>
      </c>
      <c r="G231" t="s">
        <v>419</v>
      </c>
      <c r="H231" t="s">
        <v>421</v>
      </c>
      <c r="I231" t="s">
        <v>24</v>
      </c>
      <c r="J231">
        <v>10</v>
      </c>
      <c r="K231">
        <v>0</v>
      </c>
      <c r="L231" s="2">
        <v>3.5000000000000001E-3</v>
      </c>
      <c r="M231">
        <v>2.5000000000000001E-2</v>
      </c>
      <c r="N231" s="2">
        <v>0</v>
      </c>
      <c r="O231" s="2">
        <v>0</v>
      </c>
    </row>
    <row r="232" spans="2:15">
      <c r="B232" t="s">
        <v>125</v>
      </c>
      <c r="C232" t="s">
        <v>48</v>
      </c>
      <c r="D232" t="s">
        <v>422</v>
      </c>
      <c r="E232" t="s">
        <v>423</v>
      </c>
      <c r="F232" t="s">
        <v>10</v>
      </c>
      <c r="G232" t="s">
        <v>422</v>
      </c>
      <c r="H232" t="s">
        <v>424</v>
      </c>
      <c r="I232" t="s">
        <v>24</v>
      </c>
      <c r="J232">
        <v>3</v>
      </c>
      <c r="K232">
        <v>0</v>
      </c>
      <c r="L232" s="2">
        <v>3.5000000000000001E-3</v>
      </c>
      <c r="M232">
        <v>2.5000000000000001E-2</v>
      </c>
      <c r="N232" s="2">
        <v>0</v>
      </c>
      <c r="O232" s="2">
        <v>0</v>
      </c>
    </row>
    <row r="233" spans="2:15">
      <c r="B233" t="s">
        <v>125</v>
      </c>
      <c r="C233" t="s">
        <v>48</v>
      </c>
      <c r="D233" t="s">
        <v>425</v>
      </c>
      <c r="E233" t="s">
        <v>426</v>
      </c>
      <c r="F233" t="s">
        <v>10</v>
      </c>
      <c r="G233" t="s">
        <v>425</v>
      </c>
      <c r="H233" t="s">
        <v>427</v>
      </c>
      <c r="I233" t="s">
        <v>24</v>
      </c>
      <c r="J233">
        <v>2</v>
      </c>
      <c r="K233">
        <v>0</v>
      </c>
      <c r="L233" s="2">
        <v>3.5000000000000001E-3</v>
      </c>
      <c r="M233">
        <v>2.5000000000000001E-2</v>
      </c>
      <c r="N233" s="2">
        <v>0</v>
      </c>
      <c r="O233" s="2">
        <v>0</v>
      </c>
    </row>
    <row r="234" spans="2:15">
      <c r="B234" t="s">
        <v>125</v>
      </c>
      <c r="C234" t="s">
        <v>48</v>
      </c>
      <c r="D234" t="s">
        <v>428</v>
      </c>
      <c r="E234" t="s">
        <v>429</v>
      </c>
      <c r="F234" t="s">
        <v>10</v>
      </c>
      <c r="G234" t="s">
        <v>428</v>
      </c>
      <c r="H234" t="s">
        <v>430</v>
      </c>
      <c r="I234" t="s">
        <v>24</v>
      </c>
      <c r="J234">
        <v>4</v>
      </c>
      <c r="K234">
        <v>0</v>
      </c>
      <c r="L234" s="2">
        <v>3.5000000000000001E-3</v>
      </c>
      <c r="M234">
        <v>2.5000000000000001E-2</v>
      </c>
      <c r="N234" s="2">
        <v>0</v>
      </c>
      <c r="O234" s="2">
        <v>0</v>
      </c>
    </row>
    <row r="235" spans="2:15">
      <c r="B235" t="s">
        <v>125</v>
      </c>
      <c r="C235" t="s">
        <v>48</v>
      </c>
      <c r="D235" t="s">
        <v>431</v>
      </c>
      <c r="E235" t="s">
        <v>432</v>
      </c>
      <c r="F235" t="s">
        <v>10</v>
      </c>
      <c r="G235" t="s">
        <v>431</v>
      </c>
      <c r="H235" t="s">
        <v>433</v>
      </c>
      <c r="I235" t="s">
        <v>24</v>
      </c>
      <c r="J235">
        <v>1</v>
      </c>
      <c r="K235">
        <v>0</v>
      </c>
      <c r="L235" s="2">
        <v>3.5000000000000001E-3</v>
      </c>
      <c r="M235">
        <v>2.5000000000000001E-2</v>
      </c>
      <c r="N235" s="2">
        <v>0</v>
      </c>
      <c r="O235" s="2">
        <v>0</v>
      </c>
    </row>
    <row r="236" spans="2:15">
      <c r="B236" t="s">
        <v>125</v>
      </c>
      <c r="C236" t="s">
        <v>48</v>
      </c>
      <c r="D236" t="s">
        <v>434</v>
      </c>
      <c r="E236" t="s">
        <v>435</v>
      </c>
      <c r="F236" t="s">
        <v>10</v>
      </c>
      <c r="G236" t="s">
        <v>434</v>
      </c>
      <c r="H236" t="s">
        <v>436</v>
      </c>
      <c r="I236" t="s">
        <v>24</v>
      </c>
      <c r="J236">
        <v>1</v>
      </c>
      <c r="K236">
        <v>0</v>
      </c>
      <c r="L236" s="2">
        <v>3.5000000000000001E-3</v>
      </c>
      <c r="M236">
        <v>2.5000000000000001E-2</v>
      </c>
      <c r="N236" s="2">
        <v>0</v>
      </c>
      <c r="O236" s="2">
        <v>0</v>
      </c>
    </row>
    <row r="237" spans="2:15">
      <c r="B237" t="s">
        <v>125</v>
      </c>
      <c r="C237" t="s">
        <v>48</v>
      </c>
      <c r="D237" t="s">
        <v>437</v>
      </c>
      <c r="E237" t="s">
        <v>438</v>
      </c>
      <c r="F237" t="s">
        <v>10</v>
      </c>
      <c r="G237" t="s">
        <v>437</v>
      </c>
      <c r="H237" t="s">
        <v>439</v>
      </c>
      <c r="I237" t="s">
        <v>24</v>
      </c>
      <c r="J237">
        <v>1</v>
      </c>
      <c r="K237">
        <v>0</v>
      </c>
      <c r="L237" s="2">
        <v>3.5000000000000001E-3</v>
      </c>
      <c r="M237">
        <v>2.5000000000000001E-2</v>
      </c>
      <c r="N237" s="2">
        <v>0</v>
      </c>
      <c r="O237" s="2">
        <v>0</v>
      </c>
    </row>
    <row r="238" spans="2:15">
      <c r="B238" t="s">
        <v>125</v>
      </c>
      <c r="C238" t="s">
        <v>48</v>
      </c>
      <c r="D238" t="s">
        <v>440</v>
      </c>
      <c r="E238" t="s">
        <v>441</v>
      </c>
      <c r="F238" t="s">
        <v>10</v>
      </c>
      <c r="G238" t="s">
        <v>440</v>
      </c>
      <c r="H238" t="s">
        <v>442</v>
      </c>
      <c r="I238" t="s">
        <v>24</v>
      </c>
      <c r="J238">
        <v>1</v>
      </c>
      <c r="K238">
        <v>0</v>
      </c>
      <c r="L238" s="2">
        <v>3.5000000000000001E-3</v>
      </c>
      <c r="M238">
        <v>2.5000000000000001E-2</v>
      </c>
      <c r="N238" s="2">
        <v>0</v>
      </c>
      <c r="O238" s="2">
        <v>0</v>
      </c>
    </row>
    <row r="239" spans="2:15">
      <c r="B239" t="s">
        <v>125</v>
      </c>
      <c r="C239" t="s">
        <v>48</v>
      </c>
      <c r="D239" t="s">
        <v>443</v>
      </c>
      <c r="E239" t="s">
        <v>444</v>
      </c>
      <c r="F239" t="s">
        <v>10</v>
      </c>
      <c r="G239" t="s">
        <v>443</v>
      </c>
      <c r="H239" t="s">
        <v>445</v>
      </c>
      <c r="I239" t="s">
        <v>24</v>
      </c>
      <c r="J239">
        <v>1</v>
      </c>
      <c r="K239">
        <v>0</v>
      </c>
      <c r="L239" s="2">
        <v>3.5000000000000001E-3</v>
      </c>
      <c r="M239">
        <v>2.5000000000000001E-2</v>
      </c>
      <c r="N239" s="2">
        <v>0</v>
      </c>
      <c r="O239" s="2">
        <v>0</v>
      </c>
    </row>
    <row r="240" spans="2:15">
      <c r="B240" t="s">
        <v>125</v>
      </c>
      <c r="C240" t="s">
        <v>48</v>
      </c>
      <c r="D240" t="s">
        <v>446</v>
      </c>
      <c r="E240" t="s">
        <v>447</v>
      </c>
      <c r="F240" t="s">
        <v>10</v>
      </c>
      <c r="G240" t="s">
        <v>446</v>
      </c>
      <c r="H240" t="s">
        <v>448</v>
      </c>
      <c r="I240" t="s">
        <v>24</v>
      </c>
      <c r="J240">
        <v>6</v>
      </c>
      <c r="K240">
        <v>0</v>
      </c>
      <c r="L240" s="2">
        <v>3.5000000000000001E-3</v>
      </c>
      <c r="M240">
        <v>2.5000000000000001E-2</v>
      </c>
      <c r="N240" s="2">
        <v>0</v>
      </c>
      <c r="O240" s="2">
        <v>0</v>
      </c>
    </row>
    <row r="241" spans="2:15">
      <c r="B241" t="s">
        <v>125</v>
      </c>
      <c r="C241" t="s">
        <v>48</v>
      </c>
      <c r="D241" t="s">
        <v>449</v>
      </c>
      <c r="E241" t="s">
        <v>450</v>
      </c>
      <c r="F241" t="s">
        <v>10</v>
      </c>
      <c r="G241" t="s">
        <v>449</v>
      </c>
      <c r="H241" t="s">
        <v>451</v>
      </c>
      <c r="I241" t="s">
        <v>24</v>
      </c>
      <c r="J241">
        <v>1</v>
      </c>
      <c r="K241">
        <v>0</v>
      </c>
      <c r="L241" s="2">
        <v>3.5000000000000001E-3</v>
      </c>
      <c r="M241">
        <v>2.5000000000000001E-2</v>
      </c>
      <c r="N241" s="2">
        <v>0</v>
      </c>
      <c r="O241" s="2">
        <v>0</v>
      </c>
    </row>
    <row r="242" spans="2:15">
      <c r="B242" t="s">
        <v>125</v>
      </c>
      <c r="C242" t="s">
        <v>48</v>
      </c>
      <c r="D242" t="s">
        <v>452</v>
      </c>
      <c r="E242" t="s">
        <v>453</v>
      </c>
      <c r="F242" t="s">
        <v>10</v>
      </c>
      <c r="G242" t="s">
        <v>452</v>
      </c>
      <c r="H242" t="s">
        <v>454</v>
      </c>
      <c r="I242" t="s">
        <v>24</v>
      </c>
      <c r="J242">
        <v>2</v>
      </c>
      <c r="K242">
        <v>0</v>
      </c>
      <c r="L242" s="2">
        <v>3.5000000000000001E-3</v>
      </c>
      <c r="M242">
        <v>2.5000000000000001E-2</v>
      </c>
      <c r="N242" s="2">
        <v>0</v>
      </c>
      <c r="O242" s="2">
        <v>0</v>
      </c>
    </row>
    <row r="243" spans="2:15">
      <c r="B243" t="s">
        <v>125</v>
      </c>
      <c r="C243" t="s">
        <v>48</v>
      </c>
      <c r="D243" t="s">
        <v>455</v>
      </c>
      <c r="E243" t="s">
        <v>456</v>
      </c>
      <c r="F243" t="s">
        <v>10</v>
      </c>
      <c r="G243" t="s">
        <v>455</v>
      </c>
      <c r="H243" t="s">
        <v>457</v>
      </c>
      <c r="I243" t="s">
        <v>24</v>
      </c>
      <c r="J243">
        <v>5</v>
      </c>
      <c r="K243">
        <v>0</v>
      </c>
      <c r="L243" s="2">
        <v>3.5000000000000001E-3</v>
      </c>
      <c r="M243">
        <v>2.5000000000000001E-2</v>
      </c>
      <c r="N243" s="2">
        <v>0</v>
      </c>
      <c r="O243" s="2">
        <v>0</v>
      </c>
    </row>
    <row r="244" spans="2:15">
      <c r="B244" t="s">
        <v>125</v>
      </c>
      <c r="C244" t="s">
        <v>48</v>
      </c>
      <c r="D244" t="s">
        <v>458</v>
      </c>
      <c r="E244" t="s">
        <v>459</v>
      </c>
      <c r="F244" t="s">
        <v>10</v>
      </c>
      <c r="G244" t="s">
        <v>458</v>
      </c>
      <c r="H244" t="s">
        <v>460</v>
      </c>
      <c r="I244" t="s">
        <v>24</v>
      </c>
      <c r="J244">
        <v>6</v>
      </c>
      <c r="K244">
        <v>0</v>
      </c>
      <c r="L244" s="2">
        <v>3.5000000000000001E-3</v>
      </c>
      <c r="M244">
        <v>2.5000000000000001E-2</v>
      </c>
      <c r="N244" s="2">
        <v>0</v>
      </c>
      <c r="O244" s="2">
        <v>0</v>
      </c>
    </row>
    <row r="245" spans="2:15">
      <c r="B245" t="s">
        <v>125</v>
      </c>
      <c r="C245" t="s">
        <v>48</v>
      </c>
      <c r="D245" t="s">
        <v>461</v>
      </c>
      <c r="E245" t="s">
        <v>462</v>
      </c>
      <c r="F245" t="s">
        <v>10</v>
      </c>
      <c r="G245" t="s">
        <v>461</v>
      </c>
      <c r="H245" t="s">
        <v>463</v>
      </c>
      <c r="I245" t="s">
        <v>24</v>
      </c>
      <c r="J245">
        <v>3</v>
      </c>
      <c r="K245">
        <v>0</v>
      </c>
      <c r="L245" s="2">
        <v>3.5000000000000001E-3</v>
      </c>
      <c r="M245">
        <v>2.5000000000000001E-2</v>
      </c>
      <c r="N245" s="2">
        <v>0</v>
      </c>
      <c r="O245" s="2">
        <v>0</v>
      </c>
    </row>
    <row r="246" spans="2:15">
      <c r="B246" t="s">
        <v>125</v>
      </c>
      <c r="C246" t="s">
        <v>48</v>
      </c>
      <c r="D246" t="s">
        <v>464</v>
      </c>
      <c r="E246" t="s">
        <v>465</v>
      </c>
      <c r="F246" t="s">
        <v>10</v>
      </c>
      <c r="G246" t="s">
        <v>464</v>
      </c>
      <c r="H246" t="s">
        <v>466</v>
      </c>
      <c r="I246" t="s">
        <v>24</v>
      </c>
      <c r="J246">
        <v>1</v>
      </c>
      <c r="K246">
        <v>0</v>
      </c>
      <c r="L246" s="2">
        <v>3.5000000000000001E-3</v>
      </c>
      <c r="M246">
        <v>2.5000000000000001E-2</v>
      </c>
      <c r="N246" s="2">
        <v>0</v>
      </c>
      <c r="O246" s="2">
        <v>0</v>
      </c>
    </row>
    <row r="247" spans="2:15">
      <c r="B247" t="s">
        <v>125</v>
      </c>
      <c r="C247" t="s">
        <v>48</v>
      </c>
      <c r="D247" t="s">
        <v>467</v>
      </c>
      <c r="E247" t="s">
        <v>468</v>
      </c>
      <c r="F247" t="s">
        <v>10</v>
      </c>
      <c r="G247" t="s">
        <v>467</v>
      </c>
      <c r="H247" t="s">
        <v>469</v>
      </c>
      <c r="I247" t="s">
        <v>24</v>
      </c>
      <c r="J247">
        <v>2</v>
      </c>
      <c r="K247">
        <v>0</v>
      </c>
      <c r="L247" s="2">
        <v>3.5000000000000001E-3</v>
      </c>
      <c r="M247">
        <v>2.5000000000000001E-2</v>
      </c>
      <c r="N247" s="2">
        <v>0</v>
      </c>
      <c r="O247" s="2">
        <v>0</v>
      </c>
    </row>
    <row r="248" spans="2:15">
      <c r="B248" t="s">
        <v>125</v>
      </c>
      <c r="C248" t="s">
        <v>48</v>
      </c>
      <c r="D248" t="s">
        <v>470</v>
      </c>
      <c r="E248" t="s">
        <v>471</v>
      </c>
      <c r="F248" t="s">
        <v>10</v>
      </c>
      <c r="G248" t="s">
        <v>470</v>
      </c>
      <c r="H248" t="s">
        <v>472</v>
      </c>
      <c r="I248" t="s">
        <v>24</v>
      </c>
      <c r="J248">
        <v>4</v>
      </c>
      <c r="K248">
        <v>0</v>
      </c>
      <c r="L248" s="2">
        <v>3.5000000000000001E-3</v>
      </c>
      <c r="M248">
        <v>2.5000000000000001E-2</v>
      </c>
      <c r="N248" s="2">
        <v>0</v>
      </c>
      <c r="O248" s="2">
        <v>0</v>
      </c>
    </row>
    <row r="249" spans="2:15">
      <c r="B249" t="s">
        <v>125</v>
      </c>
      <c r="C249" t="s">
        <v>48</v>
      </c>
      <c r="D249" t="s">
        <v>473</v>
      </c>
      <c r="E249" t="s">
        <v>474</v>
      </c>
      <c r="F249" t="s">
        <v>10</v>
      </c>
      <c r="G249" t="s">
        <v>473</v>
      </c>
      <c r="H249" t="s">
        <v>475</v>
      </c>
      <c r="I249" t="s">
        <v>24</v>
      </c>
      <c r="J249">
        <v>3</v>
      </c>
      <c r="K249">
        <v>0</v>
      </c>
      <c r="L249" s="2">
        <v>3.5000000000000001E-3</v>
      </c>
      <c r="M249">
        <v>2.5000000000000001E-2</v>
      </c>
      <c r="N249" s="2">
        <v>0</v>
      </c>
      <c r="O249" s="2">
        <v>0</v>
      </c>
    </row>
    <row r="250" spans="2:15">
      <c r="B250" t="s">
        <v>125</v>
      </c>
      <c r="C250" t="s">
        <v>48</v>
      </c>
      <c r="D250" t="s">
        <v>476</v>
      </c>
      <c r="E250" t="s">
        <v>477</v>
      </c>
      <c r="F250" t="s">
        <v>10</v>
      </c>
      <c r="G250" t="s">
        <v>476</v>
      </c>
      <c r="H250" t="s">
        <v>478</v>
      </c>
      <c r="I250" t="s">
        <v>24</v>
      </c>
      <c r="J250">
        <v>1</v>
      </c>
      <c r="K250">
        <v>0</v>
      </c>
      <c r="L250" s="2">
        <v>3.5000000000000001E-3</v>
      </c>
      <c r="M250">
        <v>2.5000000000000001E-2</v>
      </c>
      <c r="N250" s="2">
        <v>0</v>
      </c>
      <c r="O250" s="2">
        <v>0</v>
      </c>
    </row>
    <row r="251" spans="2:15">
      <c r="B251" t="s">
        <v>695</v>
      </c>
      <c r="C251" t="s">
        <v>660</v>
      </c>
      <c r="D251" t="s">
        <v>696</v>
      </c>
      <c r="E251" t="s">
        <v>697</v>
      </c>
      <c r="F251" t="s">
        <v>12</v>
      </c>
      <c r="G251" t="s">
        <v>696</v>
      </c>
      <c r="H251" t="s">
        <v>698</v>
      </c>
      <c r="I251" t="s">
        <v>34</v>
      </c>
      <c r="J251">
        <v>1</v>
      </c>
      <c r="K251">
        <v>0</v>
      </c>
      <c r="L251" s="2">
        <v>0.04</v>
      </c>
      <c r="M251">
        <v>0.1</v>
      </c>
      <c r="N251" s="2">
        <v>4.0000000000000003E-5</v>
      </c>
      <c r="O251" s="2">
        <v>1E-4</v>
      </c>
    </row>
    <row r="252" spans="2:15">
      <c r="B252" t="s">
        <v>695</v>
      </c>
      <c r="C252" t="s">
        <v>660</v>
      </c>
      <c r="D252" t="s">
        <v>699</v>
      </c>
      <c r="E252" t="s">
        <v>700</v>
      </c>
      <c r="F252" t="s">
        <v>12</v>
      </c>
      <c r="G252" t="s">
        <v>699</v>
      </c>
      <c r="H252" t="s">
        <v>701</v>
      </c>
      <c r="I252" t="s">
        <v>34</v>
      </c>
      <c r="J252">
        <v>1</v>
      </c>
      <c r="K252">
        <v>0</v>
      </c>
      <c r="L252" s="2">
        <v>0.04</v>
      </c>
      <c r="M252">
        <v>0.1</v>
      </c>
      <c r="N252" s="2">
        <v>4.0000000000000003E-5</v>
      </c>
      <c r="O252" s="2">
        <v>1E-4</v>
      </c>
    </row>
    <row r="253" spans="2:15">
      <c r="B253" t="s">
        <v>695</v>
      </c>
      <c r="C253" t="s">
        <v>660</v>
      </c>
      <c r="D253" t="s">
        <v>702</v>
      </c>
      <c r="E253" t="s">
        <v>703</v>
      </c>
      <c r="F253" t="s">
        <v>12</v>
      </c>
      <c r="G253" t="s">
        <v>702</v>
      </c>
      <c r="H253" t="s">
        <v>704</v>
      </c>
      <c r="I253" t="s">
        <v>34</v>
      </c>
      <c r="J253">
        <v>1</v>
      </c>
      <c r="K253">
        <v>0</v>
      </c>
      <c r="L253" s="2">
        <v>0.04</v>
      </c>
      <c r="M253">
        <v>0.1</v>
      </c>
      <c r="N253" s="2">
        <v>4.0000000000000003E-5</v>
      </c>
      <c r="O253" s="2">
        <v>1E-4</v>
      </c>
    </row>
    <row r="254" spans="2:15">
      <c r="B254" t="s">
        <v>695</v>
      </c>
      <c r="C254" t="s">
        <v>660</v>
      </c>
      <c r="D254" t="s">
        <v>705</v>
      </c>
      <c r="E254" t="s">
        <v>706</v>
      </c>
      <c r="F254" t="s">
        <v>10</v>
      </c>
      <c r="G254" t="s">
        <v>705</v>
      </c>
      <c r="H254" t="s">
        <v>707</v>
      </c>
      <c r="I254" t="s">
        <v>24</v>
      </c>
      <c r="J254">
        <v>0</v>
      </c>
      <c r="K254">
        <v>4</v>
      </c>
      <c r="L254" s="2">
        <v>3.5000000000000001E-3</v>
      </c>
      <c r="M254">
        <v>2.5000000000000001E-2</v>
      </c>
      <c r="N254" s="2">
        <v>1.4E-2</v>
      </c>
      <c r="O254" s="2">
        <v>0.1</v>
      </c>
    </row>
    <row r="255" spans="2:15">
      <c r="B255" t="s">
        <v>695</v>
      </c>
      <c r="C255" t="s">
        <v>660</v>
      </c>
      <c r="D255" t="s">
        <v>708</v>
      </c>
      <c r="E255" t="s">
        <v>709</v>
      </c>
      <c r="F255" t="s">
        <v>10</v>
      </c>
      <c r="G255" t="s">
        <v>708</v>
      </c>
      <c r="H255" t="s">
        <v>710</v>
      </c>
      <c r="I255" t="s">
        <v>24</v>
      </c>
      <c r="J255">
        <v>0</v>
      </c>
      <c r="K255">
        <v>3</v>
      </c>
      <c r="L255" s="2">
        <v>3.5000000000000001E-3</v>
      </c>
      <c r="M255">
        <v>2.5000000000000001E-2</v>
      </c>
      <c r="N255" s="2">
        <v>1.0500000000000001E-2</v>
      </c>
      <c r="O255" s="2">
        <v>7.5000000000000011E-2</v>
      </c>
    </row>
    <row r="256" spans="2:15">
      <c r="B256" t="s">
        <v>695</v>
      </c>
      <c r="C256" t="s">
        <v>660</v>
      </c>
      <c r="D256" t="s">
        <v>711</v>
      </c>
      <c r="E256" t="s">
        <v>712</v>
      </c>
      <c r="F256" t="s">
        <v>10</v>
      </c>
      <c r="G256" t="s">
        <v>711</v>
      </c>
      <c r="H256" t="s">
        <v>713</v>
      </c>
      <c r="I256" t="s">
        <v>24</v>
      </c>
      <c r="J256">
        <v>36</v>
      </c>
      <c r="K256">
        <v>0</v>
      </c>
      <c r="L256" s="2">
        <v>3.5000000000000001E-3</v>
      </c>
      <c r="M256">
        <v>2.5000000000000001E-2</v>
      </c>
      <c r="N256" s="2">
        <v>0</v>
      </c>
      <c r="O256" s="2">
        <v>0</v>
      </c>
    </row>
    <row r="257" spans="2:15">
      <c r="B257" t="s">
        <v>695</v>
      </c>
      <c r="C257" t="s">
        <v>660</v>
      </c>
      <c r="D257" t="s">
        <v>714</v>
      </c>
      <c r="E257" t="s">
        <v>715</v>
      </c>
      <c r="F257" t="s">
        <v>10</v>
      </c>
      <c r="G257" t="s">
        <v>714</v>
      </c>
      <c r="H257" t="s">
        <v>716</v>
      </c>
      <c r="I257" t="s">
        <v>24</v>
      </c>
      <c r="J257">
        <v>79</v>
      </c>
      <c r="K257">
        <v>0</v>
      </c>
      <c r="L257" s="2">
        <v>3.5000000000000001E-3</v>
      </c>
      <c r="M257">
        <v>2.5000000000000001E-2</v>
      </c>
      <c r="N257" s="2">
        <v>0</v>
      </c>
      <c r="O257" s="2">
        <v>0</v>
      </c>
    </row>
    <row r="258" spans="2:15">
      <c r="B258" t="s">
        <v>695</v>
      </c>
      <c r="C258" t="s">
        <v>660</v>
      </c>
      <c r="D258" t="s">
        <v>717</v>
      </c>
      <c r="E258" t="s">
        <v>718</v>
      </c>
      <c r="F258" t="s">
        <v>10</v>
      </c>
      <c r="G258" t="s">
        <v>717</v>
      </c>
      <c r="H258" t="s">
        <v>719</v>
      </c>
      <c r="I258" t="s">
        <v>24</v>
      </c>
      <c r="J258">
        <v>22</v>
      </c>
      <c r="K258">
        <v>0</v>
      </c>
      <c r="L258" s="2">
        <v>3.5000000000000001E-3</v>
      </c>
      <c r="M258">
        <v>2.5000000000000001E-2</v>
      </c>
      <c r="N258" s="2">
        <v>0</v>
      </c>
      <c r="O258" s="2">
        <v>0</v>
      </c>
    </row>
    <row r="259" spans="2:15">
      <c r="B259" t="s">
        <v>695</v>
      </c>
      <c r="C259" t="s">
        <v>660</v>
      </c>
      <c r="D259" t="s">
        <v>720</v>
      </c>
      <c r="E259" t="s">
        <v>721</v>
      </c>
      <c r="F259" t="s">
        <v>12</v>
      </c>
      <c r="G259" t="s">
        <v>720</v>
      </c>
      <c r="H259" t="s">
        <v>722</v>
      </c>
      <c r="I259" t="s">
        <v>34</v>
      </c>
      <c r="J259">
        <v>1</v>
      </c>
      <c r="K259">
        <v>0</v>
      </c>
      <c r="L259" s="2">
        <v>0.04</v>
      </c>
      <c r="M259">
        <v>0.1</v>
      </c>
      <c r="N259" s="2">
        <v>4.0000000000000003E-5</v>
      </c>
      <c r="O259" s="2">
        <v>1E-4</v>
      </c>
    </row>
    <row r="260" spans="2:15">
      <c r="B260" t="s">
        <v>695</v>
      </c>
      <c r="C260" t="s">
        <v>660</v>
      </c>
      <c r="D260" t="s">
        <v>723</v>
      </c>
      <c r="E260" t="s">
        <v>724</v>
      </c>
      <c r="F260" t="s">
        <v>12</v>
      </c>
      <c r="G260" t="s">
        <v>723</v>
      </c>
      <c r="H260" t="s">
        <v>725</v>
      </c>
      <c r="I260" t="s">
        <v>34</v>
      </c>
      <c r="J260">
        <v>1</v>
      </c>
      <c r="K260">
        <v>0</v>
      </c>
      <c r="L260" s="2">
        <v>0.04</v>
      </c>
      <c r="M260">
        <v>0.1</v>
      </c>
      <c r="N260" s="2">
        <v>4.0000000000000003E-5</v>
      </c>
      <c r="O260" s="2">
        <v>1E-4</v>
      </c>
    </row>
    <row r="261" spans="2:15">
      <c r="B261" t="s">
        <v>726</v>
      </c>
      <c r="C261" t="s">
        <v>660</v>
      </c>
      <c r="D261" t="s">
        <v>727</v>
      </c>
      <c r="E261" t="s">
        <v>728</v>
      </c>
      <c r="F261" t="s">
        <v>12</v>
      </c>
      <c r="G261" t="s">
        <v>727</v>
      </c>
      <c r="H261" t="s">
        <v>729</v>
      </c>
      <c r="I261" t="s">
        <v>34</v>
      </c>
      <c r="J261">
        <v>2</v>
      </c>
      <c r="K261">
        <v>0</v>
      </c>
      <c r="L261" s="2">
        <v>0.04</v>
      </c>
      <c r="M261">
        <v>0.1</v>
      </c>
      <c r="N261" s="2">
        <v>8.0000000000000007E-5</v>
      </c>
      <c r="O261" s="2">
        <v>2.0000000000000001E-4</v>
      </c>
    </row>
    <row r="262" spans="2:15">
      <c r="B262" t="s">
        <v>138</v>
      </c>
      <c r="C262" t="s">
        <v>43</v>
      </c>
      <c r="D262" t="s">
        <v>479</v>
      </c>
      <c r="E262" t="s">
        <v>480</v>
      </c>
      <c r="F262" t="s">
        <v>10</v>
      </c>
      <c r="G262" t="s">
        <v>479</v>
      </c>
      <c r="H262" t="s">
        <v>481</v>
      </c>
      <c r="I262" t="s">
        <v>24</v>
      </c>
      <c r="J262">
        <v>0</v>
      </c>
      <c r="K262">
        <v>1</v>
      </c>
      <c r="L262" s="2">
        <v>3.5000000000000001E-3</v>
      </c>
      <c r="M262">
        <v>2.5000000000000001E-2</v>
      </c>
      <c r="N262" s="2">
        <v>3.5000000000000001E-3</v>
      </c>
      <c r="O262" s="2">
        <v>2.5000000000000001E-2</v>
      </c>
    </row>
    <row r="263" spans="2:15">
      <c r="B263" t="s">
        <v>138</v>
      </c>
      <c r="C263" t="s">
        <v>43</v>
      </c>
      <c r="D263" t="s">
        <v>482</v>
      </c>
      <c r="E263" t="s">
        <v>483</v>
      </c>
      <c r="F263" t="s">
        <v>10</v>
      </c>
      <c r="G263" t="s">
        <v>482</v>
      </c>
      <c r="H263" t="s">
        <v>484</v>
      </c>
      <c r="I263" t="s">
        <v>24</v>
      </c>
      <c r="J263">
        <v>0</v>
      </c>
      <c r="K263">
        <v>1</v>
      </c>
      <c r="L263" s="2">
        <v>3.5000000000000001E-3</v>
      </c>
      <c r="M263">
        <v>2.5000000000000001E-2</v>
      </c>
      <c r="N263" s="2">
        <v>3.5000000000000001E-3</v>
      </c>
      <c r="O263" s="2">
        <v>2.5000000000000001E-2</v>
      </c>
    </row>
    <row r="264" spans="2:15">
      <c r="B264" t="s">
        <v>138</v>
      </c>
      <c r="C264" t="s">
        <v>29</v>
      </c>
      <c r="D264" t="s">
        <v>485</v>
      </c>
      <c r="E264" t="s">
        <v>486</v>
      </c>
      <c r="F264" t="s">
        <v>10</v>
      </c>
      <c r="G264" t="s">
        <v>485</v>
      </c>
      <c r="H264" t="s">
        <v>487</v>
      </c>
      <c r="I264" t="s">
        <v>24</v>
      </c>
      <c r="J264">
        <v>6</v>
      </c>
      <c r="K264">
        <v>0</v>
      </c>
      <c r="L264" s="2">
        <v>3.5000000000000001E-3</v>
      </c>
      <c r="M264">
        <v>2.5000000000000001E-2</v>
      </c>
      <c r="N264" s="2">
        <v>0</v>
      </c>
      <c r="O264" s="2">
        <v>0</v>
      </c>
    </row>
    <row r="265" spans="2:15">
      <c r="B265" t="s">
        <v>138</v>
      </c>
      <c r="C265" t="s">
        <v>29</v>
      </c>
      <c r="D265" t="s">
        <v>488</v>
      </c>
      <c r="E265" t="s">
        <v>489</v>
      </c>
      <c r="F265" t="s">
        <v>10</v>
      </c>
      <c r="G265" t="s">
        <v>488</v>
      </c>
      <c r="H265" t="s">
        <v>490</v>
      </c>
      <c r="I265" t="s">
        <v>24</v>
      </c>
      <c r="J265">
        <v>1</v>
      </c>
      <c r="K265">
        <v>0</v>
      </c>
      <c r="L265" s="2">
        <v>3.5000000000000001E-3</v>
      </c>
      <c r="M265">
        <v>2.5000000000000001E-2</v>
      </c>
      <c r="N265" s="2">
        <v>0</v>
      </c>
      <c r="O265" s="2">
        <v>0</v>
      </c>
    </row>
    <row r="266" spans="2:15">
      <c r="B266" t="s">
        <v>138</v>
      </c>
      <c r="C266" t="s">
        <v>29</v>
      </c>
      <c r="D266" t="s">
        <v>491</v>
      </c>
      <c r="E266" t="s">
        <v>492</v>
      </c>
      <c r="F266" t="s">
        <v>10</v>
      </c>
      <c r="G266" t="s">
        <v>491</v>
      </c>
      <c r="H266" t="s">
        <v>493</v>
      </c>
      <c r="I266" t="s">
        <v>24</v>
      </c>
      <c r="J266">
        <v>1</v>
      </c>
      <c r="K266">
        <v>0</v>
      </c>
      <c r="L266" s="2">
        <v>3.5000000000000001E-3</v>
      </c>
      <c r="M266">
        <v>2.5000000000000001E-2</v>
      </c>
      <c r="N266" s="2">
        <v>0</v>
      </c>
      <c r="O266" s="2">
        <v>0</v>
      </c>
    </row>
    <row r="267" spans="2:15">
      <c r="B267" t="s">
        <v>138</v>
      </c>
      <c r="C267" t="s">
        <v>29</v>
      </c>
      <c r="D267" t="s">
        <v>494</v>
      </c>
      <c r="E267" t="s">
        <v>495</v>
      </c>
      <c r="F267" t="s">
        <v>10</v>
      </c>
      <c r="G267" t="s">
        <v>494</v>
      </c>
      <c r="H267" t="s">
        <v>496</v>
      </c>
      <c r="I267" t="s">
        <v>24</v>
      </c>
      <c r="J267">
        <v>4</v>
      </c>
      <c r="K267">
        <v>0</v>
      </c>
      <c r="L267" s="2">
        <v>3.5000000000000001E-3</v>
      </c>
      <c r="M267">
        <v>2.5000000000000001E-2</v>
      </c>
      <c r="N267" s="2">
        <v>0</v>
      </c>
      <c r="O267" s="2">
        <v>0</v>
      </c>
    </row>
    <row r="268" spans="2:15">
      <c r="B268" t="s">
        <v>138</v>
      </c>
      <c r="C268" t="s">
        <v>29</v>
      </c>
      <c r="D268" t="s">
        <v>497</v>
      </c>
      <c r="E268" t="s">
        <v>498</v>
      </c>
      <c r="F268" t="s">
        <v>10</v>
      </c>
      <c r="G268" t="s">
        <v>497</v>
      </c>
      <c r="H268" t="s">
        <v>499</v>
      </c>
      <c r="I268" t="s">
        <v>24</v>
      </c>
      <c r="J268">
        <v>3</v>
      </c>
      <c r="K268">
        <v>0</v>
      </c>
      <c r="L268" s="2">
        <v>3.5000000000000001E-3</v>
      </c>
      <c r="M268">
        <v>2.5000000000000001E-2</v>
      </c>
      <c r="N268" s="2">
        <v>0</v>
      </c>
      <c r="O268" s="2">
        <v>0</v>
      </c>
    </row>
    <row r="269" spans="2:15">
      <c r="B269" t="s">
        <v>138</v>
      </c>
      <c r="C269" t="s">
        <v>29</v>
      </c>
      <c r="D269" t="s">
        <v>500</v>
      </c>
      <c r="E269" t="s">
        <v>501</v>
      </c>
      <c r="F269" t="s">
        <v>10</v>
      </c>
      <c r="G269" t="s">
        <v>500</v>
      </c>
      <c r="H269" t="s">
        <v>502</v>
      </c>
      <c r="I269" t="s">
        <v>24</v>
      </c>
      <c r="J269">
        <v>4</v>
      </c>
      <c r="K269">
        <v>2</v>
      </c>
      <c r="L269" s="2">
        <v>3.5000000000000001E-3</v>
      </c>
      <c r="M269">
        <v>2.5000000000000001E-2</v>
      </c>
      <c r="N269" s="2">
        <v>7.0000000000000001E-3</v>
      </c>
      <c r="O269" s="2">
        <v>0.05</v>
      </c>
    </row>
    <row r="270" spans="2:15">
      <c r="B270" t="s">
        <v>138</v>
      </c>
      <c r="C270" t="s">
        <v>29</v>
      </c>
      <c r="D270" t="s">
        <v>503</v>
      </c>
      <c r="E270" t="s">
        <v>504</v>
      </c>
      <c r="F270" t="s">
        <v>10</v>
      </c>
      <c r="G270" t="s">
        <v>503</v>
      </c>
      <c r="H270" t="s">
        <v>505</v>
      </c>
      <c r="I270" t="s">
        <v>24</v>
      </c>
      <c r="J270">
        <v>7</v>
      </c>
      <c r="K270">
        <v>0</v>
      </c>
      <c r="L270" s="2">
        <v>3.5000000000000001E-3</v>
      </c>
      <c r="M270">
        <v>2.5000000000000001E-2</v>
      </c>
      <c r="N270" s="2">
        <v>0</v>
      </c>
      <c r="O270" s="2">
        <v>0</v>
      </c>
    </row>
    <row r="271" spans="2:15">
      <c r="B271" t="s">
        <v>138</v>
      </c>
      <c r="C271" t="s">
        <v>29</v>
      </c>
      <c r="D271" t="s">
        <v>506</v>
      </c>
      <c r="E271" t="s">
        <v>507</v>
      </c>
      <c r="F271" t="s">
        <v>10</v>
      </c>
      <c r="G271" t="s">
        <v>506</v>
      </c>
      <c r="H271" t="s">
        <v>508</v>
      </c>
      <c r="I271" t="s">
        <v>24</v>
      </c>
      <c r="J271">
        <v>14</v>
      </c>
      <c r="K271">
        <v>3</v>
      </c>
      <c r="L271" s="2">
        <v>3.5000000000000001E-3</v>
      </c>
      <c r="M271">
        <v>2.5000000000000001E-2</v>
      </c>
      <c r="N271" s="2">
        <v>1.0500000000000001E-2</v>
      </c>
      <c r="O271" s="2">
        <v>7.5000000000000011E-2</v>
      </c>
    </row>
    <row r="272" spans="2:15">
      <c r="B272" t="s">
        <v>138</v>
      </c>
      <c r="C272" t="s">
        <v>29</v>
      </c>
      <c r="D272" t="s">
        <v>509</v>
      </c>
      <c r="E272" t="s">
        <v>510</v>
      </c>
      <c r="F272" t="s">
        <v>10</v>
      </c>
      <c r="G272" t="s">
        <v>509</v>
      </c>
      <c r="H272" t="s">
        <v>511</v>
      </c>
      <c r="I272" t="s">
        <v>24</v>
      </c>
      <c r="J272">
        <v>1</v>
      </c>
      <c r="K272">
        <v>1</v>
      </c>
      <c r="L272" s="2">
        <v>3.5000000000000001E-3</v>
      </c>
      <c r="M272">
        <v>2.5000000000000001E-2</v>
      </c>
      <c r="N272" s="2">
        <v>3.5000000000000001E-3</v>
      </c>
      <c r="O272" s="2">
        <v>2.5000000000000001E-2</v>
      </c>
    </row>
    <row r="273" spans="2:15">
      <c r="B273" t="s">
        <v>138</v>
      </c>
      <c r="C273" t="s">
        <v>29</v>
      </c>
      <c r="D273" t="s">
        <v>512</v>
      </c>
      <c r="E273" t="s">
        <v>513</v>
      </c>
      <c r="F273" t="s">
        <v>10</v>
      </c>
      <c r="G273" t="s">
        <v>512</v>
      </c>
      <c r="H273" t="s">
        <v>514</v>
      </c>
      <c r="I273" t="s">
        <v>24</v>
      </c>
      <c r="J273">
        <v>2</v>
      </c>
      <c r="K273">
        <v>0</v>
      </c>
      <c r="L273" s="2">
        <v>3.5000000000000001E-3</v>
      </c>
      <c r="M273">
        <v>2.5000000000000001E-2</v>
      </c>
      <c r="N273" s="2">
        <v>0</v>
      </c>
      <c r="O273" s="2">
        <v>0</v>
      </c>
    </row>
    <row r="274" spans="2:15">
      <c r="B274" t="s">
        <v>138</v>
      </c>
      <c r="C274" t="s">
        <v>29</v>
      </c>
      <c r="D274" t="s">
        <v>515</v>
      </c>
      <c r="E274" t="s">
        <v>516</v>
      </c>
      <c r="F274" t="s">
        <v>10</v>
      </c>
      <c r="G274" t="s">
        <v>515</v>
      </c>
      <c r="H274" t="s">
        <v>517</v>
      </c>
      <c r="I274" t="s">
        <v>24</v>
      </c>
      <c r="J274">
        <v>1</v>
      </c>
      <c r="K274">
        <v>0</v>
      </c>
      <c r="L274" s="2">
        <v>3.5000000000000001E-3</v>
      </c>
      <c r="M274">
        <v>2.5000000000000001E-2</v>
      </c>
      <c r="N274" s="2">
        <v>0</v>
      </c>
      <c r="O274" s="2">
        <v>0</v>
      </c>
    </row>
    <row r="275" spans="2:15">
      <c r="B275" t="s">
        <v>138</v>
      </c>
      <c r="C275" t="s">
        <v>29</v>
      </c>
      <c r="D275" t="s">
        <v>518</v>
      </c>
      <c r="E275" t="s">
        <v>519</v>
      </c>
      <c r="F275" t="s">
        <v>10</v>
      </c>
      <c r="G275" t="s">
        <v>518</v>
      </c>
      <c r="H275" t="s">
        <v>520</v>
      </c>
      <c r="I275" t="s">
        <v>24</v>
      </c>
      <c r="J275">
        <v>9</v>
      </c>
      <c r="K275">
        <v>2</v>
      </c>
      <c r="L275" s="2">
        <v>3.5000000000000001E-3</v>
      </c>
      <c r="M275">
        <v>2.5000000000000001E-2</v>
      </c>
      <c r="N275" s="2">
        <v>7.0000000000000001E-3</v>
      </c>
      <c r="O275" s="2">
        <v>0.05</v>
      </c>
    </row>
    <row r="276" spans="2:15">
      <c r="B276" t="s">
        <v>139</v>
      </c>
      <c r="C276" t="s">
        <v>29</v>
      </c>
      <c r="D276" t="s">
        <v>140</v>
      </c>
      <c r="E276" t="s">
        <v>141</v>
      </c>
      <c r="F276" t="s">
        <v>10</v>
      </c>
      <c r="G276" t="s">
        <v>140</v>
      </c>
      <c r="H276" t="s">
        <v>142</v>
      </c>
      <c r="I276" t="s">
        <v>24</v>
      </c>
      <c r="J276">
        <v>1</v>
      </c>
      <c r="K276">
        <v>1</v>
      </c>
      <c r="L276" s="2">
        <v>3.5000000000000001E-3</v>
      </c>
      <c r="M276">
        <v>2.5000000000000001E-2</v>
      </c>
      <c r="N276" s="2">
        <v>3.5000000000000001E-3</v>
      </c>
      <c r="O276" s="2">
        <v>2.5000000000000001E-2</v>
      </c>
    </row>
    <row r="277" spans="2:15">
      <c r="B277" t="s">
        <v>139</v>
      </c>
      <c r="C277" t="s">
        <v>29</v>
      </c>
      <c r="D277" t="s">
        <v>521</v>
      </c>
      <c r="E277" t="s">
        <v>522</v>
      </c>
      <c r="F277" t="s">
        <v>10</v>
      </c>
      <c r="G277" t="s">
        <v>521</v>
      </c>
      <c r="H277" t="s">
        <v>523</v>
      </c>
      <c r="I277" t="s">
        <v>24</v>
      </c>
      <c r="J277">
        <v>3</v>
      </c>
      <c r="K277">
        <v>1</v>
      </c>
      <c r="L277" s="2">
        <v>3.5000000000000001E-3</v>
      </c>
      <c r="M277">
        <v>2.5000000000000001E-2</v>
      </c>
      <c r="N277" s="2">
        <v>3.5000000000000001E-3</v>
      </c>
      <c r="O277" s="2">
        <v>2.5000000000000001E-2</v>
      </c>
    </row>
    <row r="278" spans="2:15">
      <c r="B278" t="s">
        <v>139</v>
      </c>
      <c r="C278" t="s">
        <v>29</v>
      </c>
      <c r="D278" t="s">
        <v>524</v>
      </c>
      <c r="E278" t="s">
        <v>525</v>
      </c>
      <c r="F278" t="s">
        <v>10</v>
      </c>
      <c r="G278" t="s">
        <v>524</v>
      </c>
      <c r="H278" t="s">
        <v>526</v>
      </c>
      <c r="I278" t="s">
        <v>24</v>
      </c>
      <c r="J278">
        <v>7</v>
      </c>
      <c r="K278">
        <v>0</v>
      </c>
      <c r="L278" s="2">
        <v>3.5000000000000001E-3</v>
      </c>
      <c r="M278">
        <v>2.5000000000000001E-2</v>
      </c>
      <c r="N278" s="2">
        <v>0</v>
      </c>
      <c r="O278" s="2">
        <v>0</v>
      </c>
    </row>
    <row r="279" spans="2:15">
      <c r="B279" t="s">
        <v>139</v>
      </c>
      <c r="C279" t="s">
        <v>29</v>
      </c>
      <c r="D279" t="s">
        <v>527</v>
      </c>
      <c r="E279" t="s">
        <v>528</v>
      </c>
      <c r="F279" t="s">
        <v>10</v>
      </c>
      <c r="G279" t="s">
        <v>527</v>
      </c>
      <c r="H279" t="s">
        <v>529</v>
      </c>
      <c r="I279" t="s">
        <v>24</v>
      </c>
      <c r="J279">
        <v>3</v>
      </c>
      <c r="K279">
        <v>0</v>
      </c>
      <c r="L279" s="2">
        <v>3.5000000000000001E-3</v>
      </c>
      <c r="M279">
        <v>2.5000000000000001E-2</v>
      </c>
      <c r="N279" s="2">
        <v>0</v>
      </c>
      <c r="O279" s="2">
        <v>0</v>
      </c>
    </row>
    <row r="280" spans="2:15">
      <c r="B280" t="s">
        <v>139</v>
      </c>
      <c r="C280" t="s">
        <v>29</v>
      </c>
      <c r="D280" t="s">
        <v>530</v>
      </c>
      <c r="E280" t="s">
        <v>531</v>
      </c>
      <c r="F280" t="s">
        <v>10</v>
      </c>
      <c r="G280" t="s">
        <v>530</v>
      </c>
      <c r="H280" t="s">
        <v>532</v>
      </c>
      <c r="I280" t="s">
        <v>24</v>
      </c>
      <c r="J280">
        <v>19</v>
      </c>
      <c r="K280">
        <v>3</v>
      </c>
      <c r="L280" s="2">
        <v>3.5000000000000001E-3</v>
      </c>
      <c r="M280">
        <v>2.5000000000000001E-2</v>
      </c>
      <c r="N280" s="2">
        <v>1.0500000000000001E-2</v>
      </c>
      <c r="O280" s="2">
        <v>7.5000000000000011E-2</v>
      </c>
    </row>
    <row r="281" spans="2:15">
      <c r="B281" t="s">
        <v>139</v>
      </c>
      <c r="C281" t="s">
        <v>29</v>
      </c>
      <c r="D281" t="s">
        <v>143</v>
      </c>
      <c r="E281" t="s">
        <v>144</v>
      </c>
      <c r="F281" t="s">
        <v>10</v>
      </c>
      <c r="G281" t="s">
        <v>143</v>
      </c>
      <c r="H281" t="s">
        <v>145</v>
      </c>
      <c r="I281" t="s">
        <v>24</v>
      </c>
      <c r="J281">
        <v>2</v>
      </c>
      <c r="K281">
        <v>0</v>
      </c>
      <c r="L281" s="2">
        <v>3.5000000000000001E-3</v>
      </c>
      <c r="M281">
        <v>2.5000000000000001E-2</v>
      </c>
      <c r="N281" s="2">
        <v>0</v>
      </c>
      <c r="O281" s="2">
        <v>0</v>
      </c>
    </row>
    <row r="282" spans="2:15">
      <c r="B282" t="s">
        <v>139</v>
      </c>
      <c r="C282" t="s">
        <v>29</v>
      </c>
      <c r="D282" t="s">
        <v>146</v>
      </c>
      <c r="E282" t="s">
        <v>147</v>
      </c>
      <c r="F282" t="s">
        <v>10</v>
      </c>
      <c r="G282" t="s">
        <v>146</v>
      </c>
      <c r="H282" t="s">
        <v>148</v>
      </c>
      <c r="I282" t="s">
        <v>24</v>
      </c>
      <c r="J282">
        <v>1</v>
      </c>
      <c r="K282">
        <v>0</v>
      </c>
      <c r="L282" s="2">
        <v>3.5000000000000001E-3</v>
      </c>
      <c r="M282">
        <v>2.5000000000000001E-2</v>
      </c>
      <c r="N282" s="2">
        <v>0</v>
      </c>
      <c r="O282" s="2">
        <v>0</v>
      </c>
    </row>
    <row r="283" spans="2:15">
      <c r="B283" t="s">
        <v>139</v>
      </c>
      <c r="C283" t="s">
        <v>29</v>
      </c>
      <c r="D283" t="s">
        <v>149</v>
      </c>
      <c r="E283" t="s">
        <v>150</v>
      </c>
      <c r="F283" t="s">
        <v>10</v>
      </c>
      <c r="G283" t="s">
        <v>149</v>
      </c>
      <c r="H283" t="s">
        <v>151</v>
      </c>
      <c r="I283" t="s">
        <v>24</v>
      </c>
      <c r="J283">
        <v>0</v>
      </c>
      <c r="K283">
        <v>1</v>
      </c>
      <c r="L283" s="2">
        <v>3.5000000000000001E-3</v>
      </c>
      <c r="M283">
        <v>2.5000000000000001E-2</v>
      </c>
      <c r="N283" s="2">
        <v>3.5000000000000001E-3</v>
      </c>
      <c r="O283" s="2">
        <v>2.5000000000000001E-2</v>
      </c>
    </row>
    <row r="284" spans="2:15">
      <c r="B284" t="s">
        <v>152</v>
      </c>
      <c r="C284" t="s">
        <v>36</v>
      </c>
      <c r="D284" t="s">
        <v>153</v>
      </c>
      <c r="E284" t="s">
        <v>154</v>
      </c>
      <c r="F284" t="s">
        <v>10</v>
      </c>
      <c r="G284" t="s">
        <v>153</v>
      </c>
      <c r="H284" t="s">
        <v>155</v>
      </c>
      <c r="I284" t="s">
        <v>24</v>
      </c>
      <c r="J284">
        <v>30</v>
      </c>
      <c r="K284">
        <v>0</v>
      </c>
      <c r="L284" s="2">
        <v>3.5000000000000001E-3</v>
      </c>
      <c r="M284">
        <v>2.5000000000000001E-2</v>
      </c>
      <c r="N284" s="2">
        <v>0</v>
      </c>
      <c r="O284" s="2">
        <v>0</v>
      </c>
    </row>
    <row r="285" spans="2:15">
      <c r="B285" t="s">
        <v>152</v>
      </c>
      <c r="C285" t="s">
        <v>36</v>
      </c>
      <c r="D285" t="s">
        <v>533</v>
      </c>
      <c r="E285" t="s">
        <v>534</v>
      </c>
      <c r="F285" t="s">
        <v>10</v>
      </c>
      <c r="G285" t="s">
        <v>533</v>
      </c>
      <c r="H285" t="s">
        <v>535</v>
      </c>
      <c r="I285" t="s">
        <v>24</v>
      </c>
      <c r="J285">
        <v>18</v>
      </c>
      <c r="K285">
        <v>0</v>
      </c>
      <c r="L285" s="2">
        <v>3.5000000000000001E-3</v>
      </c>
      <c r="M285">
        <v>2.5000000000000001E-2</v>
      </c>
      <c r="N285" s="2">
        <v>0</v>
      </c>
      <c r="O285" s="2">
        <v>0</v>
      </c>
    </row>
    <row r="286" spans="2:15">
      <c r="B286" t="s">
        <v>860</v>
      </c>
      <c r="C286" t="s">
        <v>44</v>
      </c>
      <c r="D286" t="s">
        <v>861</v>
      </c>
      <c r="E286" t="s">
        <v>862</v>
      </c>
      <c r="F286" t="s">
        <v>10</v>
      </c>
      <c r="G286" t="s">
        <v>861</v>
      </c>
      <c r="H286" t="s">
        <v>863</v>
      </c>
      <c r="I286" t="s">
        <v>24</v>
      </c>
      <c r="J286">
        <v>3121993</v>
      </c>
      <c r="K286">
        <v>3895</v>
      </c>
      <c r="L286" s="2">
        <v>3.5000000000000001E-3</v>
      </c>
      <c r="M286">
        <v>2.5000000000000001E-2</v>
      </c>
      <c r="N286" s="2">
        <v>13.6325</v>
      </c>
      <c r="O286" s="2">
        <v>97.375</v>
      </c>
    </row>
    <row r="287" spans="2:15">
      <c r="B287" t="s">
        <v>860</v>
      </c>
      <c r="C287" t="s">
        <v>44</v>
      </c>
      <c r="D287" t="s">
        <v>864</v>
      </c>
      <c r="E287" t="s">
        <v>865</v>
      </c>
      <c r="F287" t="s">
        <v>10</v>
      </c>
      <c r="G287" t="s">
        <v>864</v>
      </c>
      <c r="H287" t="s">
        <v>866</v>
      </c>
      <c r="I287" t="s">
        <v>24</v>
      </c>
      <c r="J287">
        <v>2733379</v>
      </c>
      <c r="K287">
        <v>4335</v>
      </c>
      <c r="L287" s="2">
        <v>3.5000000000000001E-3</v>
      </c>
      <c r="M287">
        <v>2.5000000000000001E-2</v>
      </c>
      <c r="N287" s="2">
        <v>15.172499999999999</v>
      </c>
      <c r="O287" s="2">
        <v>108.375</v>
      </c>
    </row>
    <row r="288" spans="2:15">
      <c r="B288" t="s">
        <v>860</v>
      </c>
      <c r="C288" t="s">
        <v>44</v>
      </c>
      <c r="D288" t="s">
        <v>867</v>
      </c>
      <c r="E288" t="s">
        <v>868</v>
      </c>
      <c r="F288" t="s">
        <v>10</v>
      </c>
      <c r="G288" t="s">
        <v>867</v>
      </c>
      <c r="H288" t="s">
        <v>869</v>
      </c>
      <c r="I288" t="s">
        <v>24</v>
      </c>
      <c r="J288">
        <v>2464402</v>
      </c>
      <c r="K288">
        <v>4481</v>
      </c>
      <c r="L288" s="2">
        <v>3.5000000000000001E-3</v>
      </c>
      <c r="M288">
        <v>2.5000000000000001E-2</v>
      </c>
      <c r="N288" s="2">
        <v>15.6835</v>
      </c>
      <c r="O288" s="2">
        <v>112.02500000000001</v>
      </c>
    </row>
    <row r="289" spans="2:15">
      <c r="B289" t="s">
        <v>860</v>
      </c>
      <c r="C289" t="s">
        <v>44</v>
      </c>
      <c r="D289" t="s">
        <v>870</v>
      </c>
      <c r="E289" t="s">
        <v>871</v>
      </c>
      <c r="F289" t="s">
        <v>10</v>
      </c>
      <c r="G289" t="s">
        <v>870</v>
      </c>
      <c r="H289" t="s">
        <v>872</v>
      </c>
      <c r="I289" t="s">
        <v>24</v>
      </c>
      <c r="J289">
        <v>3133350</v>
      </c>
      <c r="K289">
        <v>4268</v>
      </c>
      <c r="L289" s="2">
        <v>3.5000000000000001E-3</v>
      </c>
      <c r="M289">
        <v>2.5000000000000001E-2</v>
      </c>
      <c r="N289" s="2">
        <v>14.938000000000001</v>
      </c>
      <c r="O289" s="2">
        <v>106.7</v>
      </c>
    </row>
    <row r="290" spans="2:15">
      <c r="B290" t="s">
        <v>860</v>
      </c>
      <c r="C290" t="s">
        <v>44</v>
      </c>
      <c r="D290" t="s">
        <v>873</v>
      </c>
      <c r="E290" t="s">
        <v>874</v>
      </c>
      <c r="F290" t="s">
        <v>10</v>
      </c>
      <c r="G290" t="s">
        <v>873</v>
      </c>
      <c r="H290" t="s">
        <v>875</v>
      </c>
      <c r="I290" t="s">
        <v>24</v>
      </c>
      <c r="J290">
        <v>2249525</v>
      </c>
      <c r="K290">
        <v>4831</v>
      </c>
      <c r="L290" s="2">
        <v>3.5000000000000001E-3</v>
      </c>
      <c r="M290">
        <v>2.5000000000000001E-2</v>
      </c>
      <c r="N290" s="2">
        <v>16.9085</v>
      </c>
      <c r="O290" s="2">
        <v>120.77500000000001</v>
      </c>
    </row>
    <row r="291" spans="2:15">
      <c r="B291" t="s">
        <v>860</v>
      </c>
      <c r="C291" t="s">
        <v>44</v>
      </c>
      <c r="D291" t="s">
        <v>876</v>
      </c>
      <c r="E291" t="s">
        <v>877</v>
      </c>
      <c r="F291" t="s">
        <v>10</v>
      </c>
      <c r="G291" t="s">
        <v>876</v>
      </c>
      <c r="H291" t="s">
        <v>878</v>
      </c>
      <c r="I291" t="s">
        <v>24</v>
      </c>
      <c r="J291">
        <v>2639926</v>
      </c>
      <c r="K291">
        <v>4594</v>
      </c>
      <c r="L291" s="2">
        <v>3.5000000000000001E-3</v>
      </c>
      <c r="M291">
        <v>2.5000000000000001E-2</v>
      </c>
      <c r="N291" s="2">
        <v>16.079000000000001</v>
      </c>
      <c r="O291" s="2">
        <v>114.85000000000001</v>
      </c>
    </row>
    <row r="292" spans="2:15">
      <c r="B292" t="s">
        <v>860</v>
      </c>
      <c r="C292" t="s">
        <v>44</v>
      </c>
      <c r="D292" t="s">
        <v>879</v>
      </c>
      <c r="E292" t="s">
        <v>880</v>
      </c>
      <c r="F292" t="s">
        <v>10</v>
      </c>
      <c r="G292" t="s">
        <v>879</v>
      </c>
      <c r="H292" t="s">
        <v>881</v>
      </c>
      <c r="I292" t="s">
        <v>24</v>
      </c>
      <c r="J292">
        <v>1872903</v>
      </c>
      <c r="K292">
        <v>4239</v>
      </c>
      <c r="L292" s="2">
        <v>3.5000000000000001E-3</v>
      </c>
      <c r="M292">
        <v>2.5000000000000001E-2</v>
      </c>
      <c r="N292" s="2">
        <v>14.836500000000001</v>
      </c>
      <c r="O292" s="2">
        <v>105.97500000000001</v>
      </c>
    </row>
    <row r="293" spans="2:15">
      <c r="B293" t="s">
        <v>860</v>
      </c>
      <c r="C293" t="s">
        <v>44</v>
      </c>
      <c r="D293" t="s">
        <v>882</v>
      </c>
      <c r="E293" t="s">
        <v>883</v>
      </c>
      <c r="F293" t="s">
        <v>10</v>
      </c>
      <c r="G293" t="s">
        <v>882</v>
      </c>
      <c r="H293" t="s">
        <v>884</v>
      </c>
      <c r="I293" t="s">
        <v>24</v>
      </c>
      <c r="J293">
        <v>3223237</v>
      </c>
      <c r="K293">
        <v>4253</v>
      </c>
      <c r="L293" s="2">
        <v>3.5000000000000001E-3</v>
      </c>
      <c r="M293">
        <v>2.5000000000000001E-2</v>
      </c>
      <c r="N293" s="2">
        <v>14.8855</v>
      </c>
      <c r="O293" s="2">
        <v>106.325</v>
      </c>
    </row>
    <row r="294" spans="2:15">
      <c r="B294" t="s">
        <v>860</v>
      </c>
      <c r="C294" t="s">
        <v>44</v>
      </c>
      <c r="D294" t="s">
        <v>885</v>
      </c>
      <c r="E294" t="s">
        <v>886</v>
      </c>
      <c r="F294" t="s">
        <v>10</v>
      </c>
      <c r="G294" t="s">
        <v>885</v>
      </c>
      <c r="H294" t="s">
        <v>887</v>
      </c>
      <c r="I294" t="s">
        <v>24</v>
      </c>
      <c r="J294">
        <v>2362098</v>
      </c>
      <c r="K294">
        <v>4033</v>
      </c>
      <c r="L294" s="2">
        <v>3.5000000000000001E-3</v>
      </c>
      <c r="M294">
        <v>2.5000000000000001E-2</v>
      </c>
      <c r="N294" s="2">
        <v>14.115500000000001</v>
      </c>
      <c r="O294" s="2">
        <v>100.825</v>
      </c>
    </row>
    <row r="295" spans="2:15">
      <c r="B295" t="s">
        <v>860</v>
      </c>
      <c r="C295" t="s">
        <v>44</v>
      </c>
      <c r="D295" t="s">
        <v>888</v>
      </c>
      <c r="E295" t="s">
        <v>889</v>
      </c>
      <c r="F295" t="s">
        <v>10</v>
      </c>
      <c r="G295" t="s">
        <v>888</v>
      </c>
      <c r="H295" t="s">
        <v>890</v>
      </c>
      <c r="I295" t="s">
        <v>24</v>
      </c>
      <c r="J295">
        <v>3228664</v>
      </c>
      <c r="K295">
        <v>4238</v>
      </c>
      <c r="L295" s="2">
        <v>3.5000000000000001E-3</v>
      </c>
      <c r="M295">
        <v>2.5000000000000001E-2</v>
      </c>
      <c r="N295" s="2">
        <v>14.833</v>
      </c>
      <c r="O295" s="2">
        <v>105.95</v>
      </c>
    </row>
    <row r="296" spans="2:15">
      <c r="L296" s="2"/>
      <c r="N296" s="2"/>
      <c r="O296" s="2"/>
    </row>
    <row r="297" spans="2:15">
      <c r="L297" s="2"/>
      <c r="N297" s="2"/>
      <c r="O297" s="2"/>
    </row>
    <row r="298" spans="2:15">
      <c r="L298" s="2"/>
      <c r="N298" s="2"/>
      <c r="O298" s="2"/>
    </row>
    <row r="299" spans="2:15">
      <c r="L299" s="2"/>
      <c r="N299" s="2"/>
      <c r="O299" s="2"/>
    </row>
    <row r="300" spans="2:15">
      <c r="L300" s="2"/>
      <c r="N300" s="2"/>
      <c r="O300" s="2"/>
    </row>
    <row r="301" spans="2:15">
      <c r="L301" s="2"/>
      <c r="N301" s="2"/>
      <c r="O301" s="2"/>
    </row>
    <row r="302" spans="2:15">
      <c r="L302" s="2"/>
      <c r="N302" s="2"/>
      <c r="O302" s="2"/>
    </row>
    <row r="303" spans="2:15">
      <c r="L303" s="2"/>
      <c r="N303" s="2"/>
      <c r="O303" s="2"/>
    </row>
    <row r="304" spans="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</sheetData>
  <autoFilter ref="A18:P107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2020-01-06T14:56:27Z</dcterms:modified>
</cp:coreProperties>
</file>