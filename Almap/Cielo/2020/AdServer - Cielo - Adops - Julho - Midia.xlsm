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B75FDC07-12FF-437D-8E97-ADE3784EFDD3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Resumo das Campanhas" sheetId="18" r:id="rId2"/>
  </sheets>
  <definedNames>
    <definedName name="_xlnm._FilterDatabase" localSheetId="0" hidden="1">Resumo!$A$18:$P$1054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8" l="1"/>
  <c r="D8" i="8" l="1"/>
  <c r="E8" i="8" s="1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<sst xmlns="http://schemas.openxmlformats.org/spreadsheetml/2006/main" count="1798" uniqueCount="866">
  <si>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</si>
  <si>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</si>
  <si>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</si>
  <si>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</si>
  <si>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</si>
  <si>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</si>
  <si>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</si>
  <si>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</si>
  <si>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</si>
  <si>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</si>
  <si>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</si>
  <si>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</si>
  <si>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</si>
  <si>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</si>
  <si>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</si>
  <si>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</si>
  <si>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</si>
  <si>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</si>
  <si>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</si>
  <si>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</si>
  <si>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</si>
  <si>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</si>
  <si>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</si>
  <si>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</si>
  <si>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</si>
  <si>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</si>
  <si>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</si>
  <si>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</si>
  <si>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</si>
  <si>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</si>
  <si>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</si>
  <si>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</si>
  <si>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</si>
  <si>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</si>
  <si>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</si>
  <si>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</si>
  <si>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</si>
  <si>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alp-covid19-marca-awa</t>
  </si>
  <si>
    <t>covid19-marca-verizon-marca-display-medium_rectangle-institucional_corona-as_25_interesses_varejo</t>
  </si>
  <si>
    <t>270437165</t>
  </si>
  <si>
    <t>465308189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</si>
  <si>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</si>
  <si>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</si>
  <si>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</si>
  <si>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</si>
  <si>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alp-receba-rapido-varejo-cons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</si>
  <si>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</si>
  <si>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</si>
  <si>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</si>
  <si>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</si>
  <si>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</si>
  <si>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</si>
  <si>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</si>
  <si>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</si>
  <si>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</si>
  <si>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</si>
  <si>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</si>
  <si>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</si>
  <si>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</si>
  <si>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</si>
  <si>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</si>
  <si>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</si>
  <si>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</si>
  <si>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</si>
  <si>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</si>
  <si>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</si>
  <si>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alp-cielo_movimenta-marca-awa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</si>
  <si>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</si>
  <si>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</si>
  <si>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</si>
  <si>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</si>
  <si>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alp-cielo_movimenta_comunidade-marca-awa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</si>
  <si>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</si>
  <si>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</si>
  <si>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</si>
  <si>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</si>
  <si>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</si>
  <si>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</si>
  <si>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</si>
  <si>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</si>
  <si>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</si>
  <si>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</si>
  <si>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</si>
  <si>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</si>
  <si>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</si>
  <si>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</si>
  <si>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</si>
  <si>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</si>
  <si>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</si>
  <si>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</si>
  <si>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</si>
  <si>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</si>
  <si>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</si>
  <si>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</si>
  <si>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</si>
  <si>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</si>
  <si>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</si>
  <si>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</si>
  <si>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</si>
  <si>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</si>
  <si>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</si>
  <si>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</si>
  <si>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</si>
  <si>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</si>
  <si>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</si>
  <si>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</si>
  <si>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</si>
  <si>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</si>
  <si>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</si>
  <si>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</si>
  <si>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</si>
  <si>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</si>
  <si>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</si>
  <si>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</si>
  <si>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</si>
  <si>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</si>
  <si>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</si>
  <si>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</si>
  <si>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</si>
  <si>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</si>
  <si>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</si>
  <si>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</si>
  <si>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</si>
  <si>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</si>
  <si>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</si>
  <si>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</si>
  <si>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</si>
  <si>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</si>
  <si>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</si>
  <si>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</si>
  <si>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</si>
  <si>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</si>
  <si>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</si>
  <si>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</si>
  <si>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</si>
  <si>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</si>
  <si>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</si>
  <si>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</si>
  <si>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</si>
  <si>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</si>
  <si>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</si>
  <si>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</si>
  <si>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</si>
  <si>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</si>
  <si>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</si>
  <si>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</si>
  <si>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</si>
  <si>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</si>
  <si>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</si>
  <si>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</si>
  <si>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</si>
  <si>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</si>
  <si>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</si>
  <si>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</si>
  <si>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</si>
  <si>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</si>
  <si>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</si>
  <si>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</si>
  <si>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</si>
  <si>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</si>
  <si>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</si>
  <si>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</si>
  <si>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</si>
  <si>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</si>
  <si>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</si>
  <si>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</si>
  <si>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</si>
  <si>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</si>
  <si>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</si>
  <si>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</si>
  <si>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</si>
  <si>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</si>
  <si>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</si>
  <si>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</si>
  <si>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</si>
  <si>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</si>
  <si>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</si>
  <si>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</si>
  <si>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</si>
  <si>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</si>
  <si>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</si>
  <si>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</si>
  <si>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</si>
  <si>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</si>
  <si>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</si>
  <si>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</si>
  <si>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receba-rapido-varejo-afilio-marca-display-halfpage-receba_rapido_vendas-base_legada_elegivel_cielo</t>
  </si>
  <si>
    <t>271347691</t>
  </si>
  <si>
    <t>465889442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</si>
  <si>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</si>
  <si>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</si>
  <si>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</si>
  <si>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</si>
  <si>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</si>
  <si>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</si>
  <si>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</si>
  <si>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</si>
  <si>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</si>
  <si>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</si>
  <si>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</si>
  <si>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</si>
  <si>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cielo_movimenta_comunidade-marca-verizon-marca-native-native-cielo_movimenta_comunidade_olxmaes_cadastro-as_25_interesses_varejo_cadastro</t>
  </si>
  <si>
    <t>273305833</t>
  </si>
  <si>
    <t>marca-verizon-marca-native-native-1200x627-cielo_movimenta_comunidade_olxmaes_cadastro-as_25_interesses_varejo_cadastro-cpm</t>
  </si>
  <si>
    <t>467677501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</si>
  <si>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</si>
  <si>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</si>
  <si>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</si>
  <si>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</si>
  <si>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</si>
  <si>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</si>
  <si>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</si>
  <si>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</si>
  <si>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istoé</t>
  </si>
  <si>
    <t>cielo_movimenta-marca-istoe-marca-display-chatterbox-movimenta_awareness-geral_auxilioemergencial_diaria-as_25_interesses_varejo</t>
  </si>
  <si>
    <t>276499078</t>
  </si>
  <si>
    <t>marca-istoe-marca-display-chatterbox-300x600-movimenta_awareness-geral_auxilioemergencial_diaria-as_25_interesses_varejo-diaria</t>
  </si>
  <si>
    <t>470630318</t>
  </si>
  <si>
    <t>cielo_movimenta-marca-istoe-marca-display-chatterbox-movimenta_awareness-geral_diaria-as_25_interesses_varejo</t>
  </si>
  <si>
    <t>275635271</t>
  </si>
  <si>
    <t>marca-istoe-marca-display-chatterbox-300x600-movimenta_awareness-geral_diaria-as_25_interesses_varejo-diaria</t>
  </si>
  <si>
    <t>470222890</t>
  </si>
  <si>
    <t>cielo_movimenta-marca-istoe-marca-display-venetian-movimenta_awareness-parcerias_diaria-as_25_interesses_varejo</t>
  </si>
  <si>
    <t>275635262</t>
  </si>
  <si>
    <t>marca-istoe-marca-display-venetian-970x250-movimenta_awareness-parcerias_diaria-as_25_interesses_varejo-diaria</t>
  </si>
  <si>
    <t>470222881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</si>
  <si>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</si>
  <si>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</si>
  <si>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</si>
  <si>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</si>
  <si>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</si>
  <si>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</si>
  <si>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</si>
  <si>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</si>
  <si>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cnn-varejo-cnn-marca-display-halfpage-cnn_cielo_superlink_lutadiaria-as_25</t>
  </si>
  <si>
    <t>275692860</t>
  </si>
  <si>
    <t>varejo-cnn-marca-display-halfpage-300x600-cnn_cielo_superlink_lutadiaria-as_25-cpm</t>
  </si>
  <si>
    <t>469899809</t>
  </si>
  <si>
    <t>cnn-varejo-cnn-marca-display-leaderboard-cnn_cielo_superlink_lutadiaria-as_25</t>
  </si>
  <si>
    <t>275647021</t>
  </si>
  <si>
    <t>varejo-cnn-marca-display-leaderboard-728x90-cnn_cielo_superlink_lutadiaria-as_25-cpm</t>
  </si>
  <si>
    <t>469979952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</si>
  <si>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</si>
  <si>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</si>
  <si>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</si>
  <si>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</si>
  <si>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alp-corona_voucher-varejo-awa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</si>
  <si>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</si>
  <si>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</si>
  <si>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</si>
  <si>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</si>
  <si>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</si>
  <si>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</si>
  <si>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</si>
  <si>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</si>
  <si>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nova_cielo-empreendedores-verizon-flash-display-leaderboard-flash_atendimento-pequeno_empreendedor</t>
  </si>
  <si>
    <t>271364851</t>
  </si>
  <si>
    <t>empreendedores-verizon-flash-display-leaderboard-728x90-flash_atendimento-pequeno_empreendedor-cpm</t>
  </si>
  <si>
    <t>465919434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</si>
  <si>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</si>
  <si>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</si>
  <si>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</si>
  <si>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</si>
  <si>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</si>
  <si>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</si>
  <si>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</si>
  <si>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</si>
  <si>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</si>
  <si>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</si>
  <si>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</si>
  <si>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</si>
  <si>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</si>
  <si>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Cazamba</t>
  </si>
  <si>
    <t>superlink-marca-cazamba-superlink-display-Interstitial-sl_luta_diaria-as25_empreendedor_varejo_interesses</t>
  </si>
  <si>
    <t>275741543</t>
  </si>
  <si>
    <t>marca-cazamba-superlink-display-Interstitial-640x960-sl_luta_diaria-as25_empreendedor_varejo_interesses-cpm</t>
  </si>
  <si>
    <t>470337270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</si>
  <si>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</si>
  <si>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</si>
  <si>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</si>
  <si>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</si>
  <si>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</si>
  <si>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</si>
  <si>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469359566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</si>
  <si>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</si>
  <si>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</si>
  <si>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</si>
  <si>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</si>
  <si>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</si>
  <si>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</si>
  <si>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</si>
  <si>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</si>
  <si>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</si>
  <si>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</si>
  <si>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</si>
  <si>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</si>
  <si>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</si>
  <si>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</si>
  <si>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</si>
  <si>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</si>
  <si>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</si>
  <si>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</si>
  <si>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</si>
  <si>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</si>
  <si>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</si>
  <si>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</si>
  <si>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</si>
  <si>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cnn-varejo-cnn-marca-display-arroba_banner-cnn_cielo_auxilioemergencial_diaria3107-as_25</t>
  </si>
  <si>
    <t>278869618</t>
  </si>
  <si>
    <t>varejo-cnn-marca-display-arroba_banner-300x250-cnn_cielo_auxilioemergencial_diaria3107-as_25-cpm</t>
  </si>
  <si>
    <t>472930863</t>
  </si>
  <si>
    <t>cnn-varejo-cnn-marca-display-arroba_banner-cnn_cielo_diadocomerciante_diaria1607-as_25</t>
  </si>
  <si>
    <t>277514030</t>
  </si>
  <si>
    <t>varejo-cnn-marca-display-arroba_banner-300x250-cnn_cielo_diadocomerciante_diaria1607-as_25-cpm</t>
  </si>
  <si>
    <t>471883919</t>
  </si>
  <si>
    <t>cnn-varejo-cnn-marca-display-billboard-cnn_cielo_auxilioemergencial_diaria3107-as_25</t>
  </si>
  <si>
    <t>278869225</t>
  </si>
  <si>
    <t>varejo-cnn-marca-display-billboard-970x250-cnn_cielo_auxilioemergencial_diaria3107-as_25-cpm</t>
  </si>
  <si>
    <t>472887628</t>
  </si>
  <si>
    <t>cnn-varejo-cnn-marca-display-billboard-cnn_cielo_diadocomerciante_diaria1607-as_25</t>
  </si>
  <si>
    <t>277514021</t>
  </si>
  <si>
    <t>varejo-cnn-marca-display-billboard-970x250-cnn_cielo_diadocomerciante_diaria1607-as_25-cpm</t>
  </si>
  <si>
    <t>471883910</t>
  </si>
  <si>
    <t>cnn-varejo-cnn-marca-display-leaderboard-cnn_cielo_auxilioemergencial_diaria3107-as_25</t>
  </si>
  <si>
    <t>278897643</t>
  </si>
  <si>
    <t>varejo-cnn-marca-display-leaderboard-728x90-cnn_cielo_auxilioemergencial_diaria3107-as_25-cpm</t>
  </si>
  <si>
    <t>472866707</t>
  </si>
  <si>
    <t>cnn-varejo-cnn-marca-display-leaderboard-cnn_cielo_diadocomerciante_diaria1607-as_25</t>
  </si>
  <si>
    <t>277514027</t>
  </si>
  <si>
    <t>varejo-cnn-marca-display-leaderboard-728x90-cnn_cielo_diadocomerciante_diaria1607-as_25-cpm</t>
  </si>
  <si>
    <t>471883916</t>
  </si>
  <si>
    <t>cnn-varejo-cnn-marca-display-mobile-cnn_cielo_auxilioemergencial_diaria3107-as_25</t>
  </si>
  <si>
    <t>278870200</t>
  </si>
  <si>
    <t>varejo-cnn-marca-display-mobile-320x50-cnn_cielo_auxilioemergencial_diaria3107-as_25-cpm</t>
  </si>
  <si>
    <t>472932456</t>
  </si>
  <si>
    <t>cnn-varejo-cnn-marca-display-mobile-cnn_cielo_diadocomerciante_diaria1607-as_25</t>
  </si>
  <si>
    <t>277514024</t>
  </si>
  <si>
    <t>varejo-cnn-marca-display-mobile-320x50-cnn_cielo_diadocomerciante_diaria1607-as_25-cpm</t>
  </si>
  <si>
    <t>471883913</t>
  </si>
  <si>
    <t>corona_voucher-varejo-verizon-marca-display-halfpage-cielo_aceita_auxilioemergencial-AS25_microempreendedor_medioempreendedor_negocios_vendasonline_donosdenegocios</t>
  </si>
  <si>
    <t>277133791</t>
  </si>
  <si>
    <t>varejo-verizon-marca-display-halfpage-300x600-cielo_aceita_auxilioemergencial-AS25_microempreendedor_medioempreendedor_negocios_vendasonline_donosdenegocios-cpm</t>
  </si>
  <si>
    <t>471312975</t>
  </si>
  <si>
    <t>corona_voucher-varejo-verizon-marca-display-leaderboard-cielo_aceita_auxilioemergencial-AS25_microempreendedor_medioempreendedor_negocios_vendasonline_donosdenegocios</t>
  </si>
  <si>
    <t>277133785</t>
  </si>
  <si>
    <t>varejo-verizon-marca-display-leaderboard-728x90-cielo_aceita_auxilioemergencial-AS25_microempreendedor_medioempreendedor_negocios_vendasonline_donosdenegocios-cpm</t>
  </si>
  <si>
    <t>471312969</t>
  </si>
  <si>
    <t>corona_voucher-varejo-verizon-marca-display-medium_rectangle-cielo_aceita_auxilioemergencial-AS25_microempreendedor_medioempreendedor_negocios_vendasonline_donosdenegocios</t>
  </si>
  <si>
    <t>277133794</t>
  </si>
  <si>
    <t>varejo-verizon-marca-display-medium_rectangle-300x250-cielo_aceita_auxilioemergencial-AS25_microempreendedor_medioempreendedor_negocios_vendasonline_donosdenegocios-cpm</t>
  </si>
  <si>
    <t>471312978</t>
  </si>
  <si>
    <t>corona_voucher-varejo-verizon-marca-display-mobile_leaderboard-cielo_aceita_auxilioemergencial-AS25_microempreendedor_medioempreendedor_negocios_vendasonline_donosdenegocios</t>
  </si>
  <si>
    <t>277133788</t>
  </si>
  <si>
    <t>varejo-verizon-marca-display-mobile_leaderboard-320x50-cielo_aceita_auxilioemergencial-AS25_microempreendedor_medioempreendedor_negocios_vendasonline_donosdenegocios-cpm</t>
  </si>
  <si>
    <t>471312972</t>
  </si>
  <si>
    <t>corona_voucher-varejo-verizon-marca-display-skyscraper-cielo_aceita_auxilioemergencial-AS25_microempreendedor_medioempreendedor_negocios_vendasonline_donosdenegocios</t>
  </si>
  <si>
    <t>276811358</t>
  </si>
  <si>
    <t>varejo-verizon-marca-display-skyscraper-160x600-cielo_aceita_auxilioemergencial-AS25_microempreendedor_medioempreendedor_negocios_vendasonline_donosdenegocios-cpm</t>
  </si>
  <si>
    <t>471222254</t>
  </si>
  <si>
    <t>corona_voucher-varejo-verizon-marca-native-native-cielo_aceita_auxilioemergencial-AS25_microempreendedor_medioempreendedor_negocios_vendasonline_donosdenegocios</t>
  </si>
  <si>
    <t>277153947</t>
  </si>
  <si>
    <t>varejo-verizon-marca-native-native-627x627-cielo_aceita_auxilioemergencial-AS25_microempreendedor_medioempreendedor_negocios_vendasonline_donosdenegocios-cpm</t>
  </si>
  <si>
    <t>471222929</t>
  </si>
  <si>
    <t>empreendedores-empreendedores-dv360-flash-display-halfpage-empreendedores_flash_animada_bau-3rdparty_list_micro_empreendedor_individual_tailtarget_e_mei_retargetly</t>
  </si>
  <si>
    <t>278044468</t>
  </si>
  <si>
    <t>empreendedores-dv360-flash-display-halfpage-300x600-empreendedores_flash_animada_bau-3rdparty_list_micro_empreendedor_individual_tailtarget_e_mei_retargetly-cpm</t>
  </si>
  <si>
    <t>472151857</t>
  </si>
  <si>
    <t>empreendedores-empreendedores-dv360-flash-display-halfpage-empreendedores_flash_animada_bau-affinities_inmarket_empreendedores</t>
  </si>
  <si>
    <t>276809833</t>
  </si>
  <si>
    <t>empreendedores-dv360-flash-display-halfpage-300x600-empreendedores_flash_animada_bau-affinities_inmarket_empreendedores-cpm</t>
  </si>
  <si>
    <t>472261701</t>
  </si>
  <si>
    <t>277872206</t>
  </si>
  <si>
    <t>472323048</t>
  </si>
  <si>
    <t>empreendedores-empreendedores-dv360-flash-display-halfpage-flash_atendimento-affinities_inmarket_empreendedores</t>
  </si>
  <si>
    <t>277181856</t>
  </si>
  <si>
    <t>empreendedores-dv360-flash-display-halfpage-300x600-flash_atendimento-affinities_inmarket_empreendedores-cpm</t>
  </si>
  <si>
    <t>471244313</t>
  </si>
  <si>
    <t>empreendedores-empreendedores-dv360-flash-display-large_mobile_banner-empreendedores_flash_animada_bau-3rdparty_list_micro_empreendedor_individual_tailtarget_e_mei_retargetly</t>
  </si>
  <si>
    <t>278044459</t>
  </si>
  <si>
    <t>empreendedores-dv360-flash-display-large_mobile_banner-320x100-empreendedores_flash_animada_bau-3rdparty_list_micro_empreendedor_individual_tailtarget_e_mei_retargetly-cpm</t>
  </si>
  <si>
    <t>472151848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</si>
  <si>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</si>
  <si>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</si>
  <si>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</si>
  <si>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</si>
  <si>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</si>
  <si>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</si>
  <si>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empreendedores-empreendedores-dv360-flash-display-large_mobile_banner-flash_atendimento-affinities_inmarket_empreendedores</t>
  </si>
  <si>
    <t>276827756</t>
  </si>
  <si>
    <t>empreendedores-dv360-flash-display-large_mobile_banner-320x100-flash_atendimento-affinities_inmarket_empreendedores-cpm</t>
  </si>
  <si>
    <t>471244301</t>
  </si>
  <si>
    <t>empreendedores-empreendedores-dv360-flash-display-large_rectangle-empreendedores_flash_animada_bau-3rdparty_list_micro_empreendedor_individual_tailtarget_e_mei_retargetly</t>
  </si>
  <si>
    <t>278044447</t>
  </si>
  <si>
    <t>empreendedores-dv360-flash-display-large_rectangle-336x280-empreendedores_flash_animada_bau-3rdparty_list_micro_empreendedor_individual_tailtarget_e_mei_retargetly-cpm</t>
  </si>
  <si>
    <t>472151836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</si>
  <si>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</si>
  <si>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</si>
  <si>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</si>
  <si>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</si>
  <si>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</si>
  <si>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</si>
  <si>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empreendedores-empreendedores-dv360-flash-display-large_rectangle-flash_atendimento-affinities_inmarket_empreendedores</t>
  </si>
  <si>
    <t>276827759</t>
  </si>
  <si>
    <t>empreendedores-dv360-flash-display-large_rectangle-336x280-flash_atendimento-affinities_inmarket_empreendedores-cpm</t>
  </si>
  <si>
    <t>471244304</t>
  </si>
  <si>
    <t>empreendedores-empreendedores-dv360-flash-display-leaderboard-empreendedores_flash_animada_bau-3rdparty_list_micro_empreendedor_individual_tailtarget_e_mei_retargetly</t>
  </si>
  <si>
    <t>278044462</t>
  </si>
  <si>
    <t>empreendedores-dv360-flash-display-leaderboard-728x90-empreendedores_flash_animada_bau-3rdparty_list_micro_empreendedor_individual_tailtarget_e_mei_retargetly-cpm</t>
  </si>
  <si>
    <t>472151851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</si>
  <si>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</si>
  <si>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</si>
  <si>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</si>
  <si>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</si>
  <si>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278068150</t>
  </si>
  <si>
    <t>472261695</t>
  </si>
  <si>
    <t>empreendedores-empreendedores-dv360-flash-display-leaderboard-flash_atendimento-affinities_inmarket_empreendedores</t>
  </si>
  <si>
    <t>276827762</t>
  </si>
  <si>
    <t>empreendedores-dv360-flash-display-leaderboard-728x90-flash_atendimento-affinities_inmarket_empreendedores-cpm</t>
  </si>
  <si>
    <t>471244307</t>
  </si>
  <si>
    <t>empreendedores-empreendedores-dv360-flash-display-medium_rectangle-empreendedores_flash_animada_bau-3rdparty_list_micro_empreendedor_individual_tailtarget_e_mei_retargetly</t>
  </si>
  <si>
    <t>278044465</t>
  </si>
  <si>
    <t>empreendedores-dv360-flash-display-medium_rectangle-300x250-empreendedores_flash_animada_bau-3rdparty_list_micro_empreendedor_individual_tailtarget_e_mei_retargetly-cpm</t>
  </si>
  <si>
    <t>472151854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</si>
  <si>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</si>
  <si>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</si>
  <si>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</si>
  <si>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</si>
  <si>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</si>
  <si>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</si>
  <si>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empreendedores-empreendedores-dv360-flash-display-medium_rectangle-flash_atendimento-affinities_inmarket_empreendedores</t>
  </si>
  <si>
    <t>277181853</t>
  </si>
  <si>
    <t>empreendedores-dv360-flash-display-medium_rectangle-300x250-flash_atendimento-affinities_inmarket_empreendedores-cpm</t>
  </si>
  <si>
    <t>471244310</t>
  </si>
  <si>
    <t>empreendedores-empreendedores-dv360-flash-display-mobile_leaderboard-empreendedores_flash_animada_bau-3rdparty_list_micro_empreendedor_individual_tailtarget_e_mei_retargetly</t>
  </si>
  <si>
    <t>278044456</t>
  </si>
  <si>
    <t>empreendedores-dv360-flash-display-mobile_leaderboard-320x50-empreendedores_flash_animada_bau-3rdparty_list_micro_empreendedor_individual_tailtarget_e_mei_retargetly-cpm</t>
  </si>
  <si>
    <t>472151845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</si>
  <si>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</si>
  <si>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</si>
  <si>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</si>
  <si>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</si>
  <si>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</si>
  <si>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</si>
  <si>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empreendedores-empreendedores-dv360-flash-display-mobile_leaderboard-flash_atendimento-affinities_inmarket_empreendedores</t>
  </si>
  <si>
    <t>276827753</t>
  </si>
  <si>
    <t>empreendedores-dv360-flash-display-mobile_leaderboard-320x50-flash_atendimento-affinities_inmarket_empreendedores-cpm</t>
  </si>
  <si>
    <t>471244298</t>
  </si>
  <si>
    <t>empreendedores-empreendedores-dv360-flash-display-small_rectangle-empreendedores_flash_animada_bau-3rdparty_list_micro_empreendedor_individual_tailtarget_e_mei_retargetly</t>
  </si>
  <si>
    <t>278044453</t>
  </si>
  <si>
    <t>empreendedores-dv360-flash-display-small_rectangle-180x150-empreendedores_flash_animada_bau-3rdparty_list_micro_empreendedor_individual_tailtarget_e_mei_retargetly-cpm</t>
  </si>
  <si>
    <t>472151842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</si>
  <si>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</si>
  <si>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</si>
  <si>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</si>
  <si>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</si>
  <si>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278068141</t>
  </si>
  <si>
    <t>472261686</t>
  </si>
  <si>
    <t>empreendedores-empreendedores-dv360-flash-display-wide_skyscraper-empreendedores_flash_animada_bau-3rdparty_list_micro_empreendedor_individual_tailtarget_e_mei_retargetly</t>
  </si>
  <si>
    <t>278044450</t>
  </si>
  <si>
    <t>empreendedores-dv360-flash-display-wide_skyscraper-160x600-empreendedores_flash_animada_bau-3rdparty_list_micro_empreendedor_individual_tailtarget_e_mei_retargetly-cpm</t>
  </si>
  <si>
    <t>472151839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</si>
  <si>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</si>
  <si>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</si>
  <si>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</si>
  <si>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</si>
  <si>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278068138</t>
  </si>
  <si>
    <t>472261683</t>
  </si>
  <si>
    <t>empreendedores-empreendedores-dv360-flash-display-wide_skyscraper-flash_atendimento-affinities_inmarket_empreendedores</t>
  </si>
  <si>
    <t>276827747</t>
  </si>
  <si>
    <t>empreendedores-dv360-flash-display-wide_skyscraper-160x600-flash_atendimento-affinities_inmarket_empreendedores-cpm</t>
  </si>
  <si>
    <t>471244292</t>
  </si>
  <si>
    <t>empreendedores-empreendedores-dv360-lio+-display-halfpage-empreendedores_lio_mais-3rdparty_list_micro_empreendedor_individual_tailtarget_e_mei_retargetly</t>
  </si>
  <si>
    <t>276492755</t>
  </si>
  <si>
    <t>empreendedores-dv360-lio+-display-halfpage-300x600-empreendedores_lio_mais-3rdparty_list_micro_empreendedor_individual_tailtarget_e_mei_retargetly-cpm</t>
  </si>
  <si>
    <t>470905502</t>
  </si>
  <si>
    <t>empreendedores-empreendedores-dv360-lio+-display-halfpage-empreendedores_lio_mais-affinities_inmarket_empreendedores</t>
  </si>
  <si>
    <t>277154772</t>
  </si>
  <si>
    <t>empreendedores-dv360-lio+-display-halfpage-300x600-empreendedores_lio_mais-affinities_inmarket_empreendedores-cpm</t>
  </si>
  <si>
    <t>471313221</t>
  </si>
  <si>
    <t>277872239</t>
  </si>
  <si>
    <t>472325181</t>
  </si>
  <si>
    <t>empreendedores-empreendedores-dv360-lio+-display-large_mobile_banner-empreendedores_lio_mais-3rdparty_list_micro_empreendedor_individual_tailtarget_e_mei_retargetly</t>
  </si>
  <si>
    <t>276492743</t>
  </si>
  <si>
    <t>empreendedores-dv360-lio+-display-large_mobile_banner-320x100-empreendedores_lio_mais-3rdparty_list_micro_empreendedor_individual_tailtarget_e_mei_retargetly-cpm</t>
  </si>
  <si>
    <t>470905490</t>
  </si>
  <si>
    <t>empreendedores-empreendedores-dv360-lio+-display-large_mobile_banner-empreendedores_lio_mais-affinities_inmarket_empreendedores</t>
  </si>
  <si>
    <t>277154757</t>
  </si>
  <si>
    <t>empreendedores-dv360-lio+-display-large_mobile_banner-320x100-empreendedores_lio_mais-affinities_inmarket_empreendedores-cpm</t>
  </si>
  <si>
    <t>471313206</t>
  </si>
  <si>
    <t>277872209</t>
  </si>
  <si>
    <t>472323051</t>
  </si>
  <si>
    <t>empreendedores-empreendedores-dv360-lio+-display-large_rectangle-empreendedores_lio_mais-3rdparty_list_micro_empreendedor_individual_tailtarget_e_mei_retargetly</t>
  </si>
  <si>
    <t>276492740</t>
  </si>
  <si>
    <t>empreendedores-dv360-lio+-display-large_rectangle-336x280-empreendedores_lio_mais-3rdparty_list_micro_empreendedor_individual_tailtarget_e_mei_retargetly-cpm</t>
  </si>
  <si>
    <t>470905487</t>
  </si>
  <si>
    <t>empreendedores-empreendedores-dv360-lio+-display-large_rectangle-empreendedores_lio_mais-affinities_inmarket_empreendedores</t>
  </si>
  <si>
    <t>277154763</t>
  </si>
  <si>
    <t>empreendedores-dv360-lio+-display-large_rectangle-336x280-empreendedores_lio_mais-affinities_inmarket_empreendedores-cpm</t>
  </si>
  <si>
    <t>471313212</t>
  </si>
  <si>
    <t>277154778</t>
  </si>
  <si>
    <t>471313227</t>
  </si>
  <si>
    <t>277872221</t>
  </si>
  <si>
    <t>472323063</t>
  </si>
  <si>
    <t>empreendedores-empreendedores-dv360-lio+-display-leaderboard-empreendedores_lio_mais-3rdparty_list_micro_empreendedor_individual_tailtarget_e_mei_retargetly</t>
  </si>
  <si>
    <t>276492749</t>
  </si>
  <si>
    <t>empreendedores-dv360-lio+-display-leaderboard-728x90-empreendedores_lio_mais-3rdparty_list_micro_empreendedor_individual_tailtarget_e_mei_retargetly-cpm</t>
  </si>
  <si>
    <t>470905496</t>
  </si>
  <si>
    <t>empreendedores-empreendedores-dv360-lio+-display-leaderboard-empreendedores_lio_mais-affinities_inmarket_empreendedores</t>
  </si>
  <si>
    <t>277154766</t>
  </si>
  <si>
    <t>empreendedores-dv360-lio+-display-leaderboard-728x90-empreendedores_lio_mais-affinities_inmarket_empreendedores-cpm</t>
  </si>
  <si>
    <t>471313215</t>
  </si>
  <si>
    <t>277872227</t>
  </si>
  <si>
    <t>472323069</t>
  </si>
  <si>
    <t>empreendedores-empreendedores-dv360-lio+-display-medium_rectangle-empreendedores_lio_mais-3rdparty_list_micro_empreendedor_individual_tailtarget_e_mei_retargetly</t>
  </si>
  <si>
    <t>276492758</t>
  </si>
  <si>
    <t>470969776</t>
  </si>
  <si>
    <t>empreendedores-dv360-lio+-display-medium_rectangle-300x250-empreendedores_lio_mais-3rdparty_list_micro_empreendedor_individual_tailtarget_e_mei_retargetly-cpm</t>
  </si>
  <si>
    <t>470905505</t>
  </si>
  <si>
    <t>empreendedores-empreendedores-dv360-lio+-display-medium_rectangle-empreendedores_lio_mais-affinities_inmarket_empreendedores</t>
  </si>
  <si>
    <t>277154775</t>
  </si>
  <si>
    <t>empreendedores-dv360-lio+-display-medium_rectangle-300x250-empreendedores_lio_mais-affinities_inmarket_empreendedores-cpm</t>
  </si>
  <si>
    <t>471313224</t>
  </si>
  <si>
    <t>277872245</t>
  </si>
  <si>
    <t>472325187</t>
  </si>
  <si>
    <t>empreendedores-empreendedores-dv360-lio+-display-mobile_leaderboard-empreendedores_lio_mais-3rdparty_list_micro_empreendedor_individual_tailtarget_e_mei_retargetly</t>
  </si>
  <si>
    <t>276492752</t>
  </si>
  <si>
    <t>empreendedores-dv360-lio+-display-mobile_leaderboard-320x50-empreendedores_lio_mais-3rdparty_list_micro_empreendedor_individual_tailtarget_e_mei_retargetly-cpm</t>
  </si>
  <si>
    <t>470905499</t>
  </si>
  <si>
    <t>empreendedores-empreendedores-dv360-lio+-display-mobile_leaderboard-empreendedores_lio_mais-affinities_inmarket_empreendedores</t>
  </si>
  <si>
    <t>277154769</t>
  </si>
  <si>
    <t>empreendedores-dv360-lio+-display-mobile_leaderboard-320x50-empreendedores_lio_mais-affinities_inmarket_empreendedores-cpm</t>
  </si>
  <si>
    <t>471313218</t>
  </si>
  <si>
    <t>277872233</t>
  </si>
  <si>
    <t>472323075</t>
  </si>
  <si>
    <t>empreendedores-empreendedores-dv360-lio+-display-small_rectangle-empreendedores_lio_mais-3rdparty_list_micro_empreendedor_individual_tailtarget_e_mei_retargetly</t>
  </si>
  <si>
    <t>276492746</t>
  </si>
  <si>
    <t>empreendedores-dv360-lio+-display-small_rectangle-180x150-empreendedores_lio_mais-3rdparty_list_micro_empreendedor_individual_tailtarget_e_mei_retargetly-cpm</t>
  </si>
  <si>
    <t>470905493</t>
  </si>
  <si>
    <t>empreendedores-empreendedores-dv360-lio+-display-small_rectangle-empreendedores_lio_mais-affinities_inmarket_empreendedores</t>
  </si>
  <si>
    <t>277154760</t>
  </si>
  <si>
    <t>empreendedores-dv360-lio+-display-small_rectangle-180x150-empreendedores_lio_mais-affinities_inmarket_empreendedores-cpm</t>
  </si>
  <si>
    <t>471313209</t>
  </si>
  <si>
    <t>277872215</t>
  </si>
  <si>
    <t>472323057</t>
  </si>
  <si>
    <t>empreendedores-empreendedores-dv360-lio+-display-wide_skyscraper-empreendedores_lio_mais-3rdparty_list_micro_empreendedor_individual_tailtarget_e_mei_retargetly</t>
  </si>
  <si>
    <t>276858573</t>
  </si>
  <si>
    <t>empreendedores-dv360-lio+-display-wide_skyscraper-160x600-empreendedores_lio_mais-3rdparty_list_micro_empreendedor_individual_tailtarget_e_mei_retargetly-cpm</t>
  </si>
  <si>
    <t>471029694</t>
  </si>
  <si>
    <t>empreendedores-empreendedores-dv360-lio+-display-wide_skyscraper-empreendedores_lio_mais-affinities_inmarket_empreendedores</t>
  </si>
  <si>
    <t>277154781</t>
  </si>
  <si>
    <t>empreendedores-dv360-lio+-display-wide_skyscraper-160x600-empreendedores_lio_mais-affinities_inmarket_empreendedores-cpm</t>
  </si>
  <si>
    <t>471313230</t>
  </si>
  <si>
    <t>277872251</t>
  </si>
  <si>
    <t>472325193</t>
  </si>
  <si>
    <t>empreendedores-empreendedores-dv360-lio+-native-native-empreendedores_lio_mais-3rdparty_list_micro_empreendedor_individual_tailtarget_e_mei_retargetly</t>
  </si>
  <si>
    <t>276862764</t>
  </si>
  <si>
    <t>empreendedores-dv360-lio+-native-native-627x627-empreendedores_lio_mais-3rdparty_list_micro_empreendedor_individual_tailtarget_e_mei_retargetly-cpm</t>
  </si>
  <si>
    <t>471033231</t>
  </si>
  <si>
    <t>empreendedores-empreendedores-dv360-zip-display-halfpage-empreendedores_zip_animada_bau-3rdparty_list_micro_empreendedor_individual_tailtarget_e_mei_retargetly</t>
  </si>
  <si>
    <t>278044489</t>
  </si>
  <si>
    <t>empreendedores-dv360-zip-display-halfpage-300x600-empreendedores_zip_animada_bau-3rdparty_list_micro_empreendedor_individual_tailtarget_e_mei_retargetly-cpm</t>
  </si>
  <si>
    <t>472151878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</si>
  <si>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</si>
  <si>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</si>
  <si>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</si>
  <si>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</si>
  <si>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</si>
  <si>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</si>
  <si>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empreendedores-empreendedores-dv360-zip-display-halfpage-zip_bandeiras-affinities_inmarket_empreendedores</t>
  </si>
  <si>
    <t>276831881</t>
  </si>
  <si>
    <t>empreendedores-dv360-zip-display-halfpage-300x600-zip_bandeiras-affinities_inmarket_empreendedores-cpm</t>
  </si>
  <si>
    <t>471331269</t>
  </si>
  <si>
    <t>empreendedores-empreendedores-dv360-zip-display-large_mobile_banner-empreendedores_zip_animada_bau-3rdparty_list_micro_empreendedor_individual_tailtarget_e_mei_retargetly</t>
  </si>
  <si>
    <t>278044480</t>
  </si>
  <si>
    <t>empreendedores-dv360-zip-display-large_mobile_banner-320x100-empreendedores_zip_animada_bau-3rdparty_list_micro_empreendedor_individual_tailtarget_e_mei_retargetly-cpm</t>
  </si>
  <si>
    <t>472151869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</si>
  <si>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</si>
  <si>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</si>
  <si>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</si>
  <si>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</si>
  <si>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</si>
  <si>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</si>
  <si>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empreendedores-empreendedores-dv360-zip-display-large_mobile_banner-zip_bandeiras-affinities_inmarket_empreendedores</t>
  </si>
  <si>
    <t>276831869</t>
  </si>
  <si>
    <t>empreendedores-dv360-zip-display-large_mobile_banner-320x100-zip_bandeiras-affinities_inmarket_empreendedores-cpm</t>
  </si>
  <si>
    <t>471331257</t>
  </si>
  <si>
    <t>empreendedores-empreendedores-dv360-zip-display-large_rectangle-empreendedores_zip_animada_bau-3rdparty_list_micro_empreendedor_individual_tailtarget_e_mei_retargetly</t>
  </si>
  <si>
    <t>278044444</t>
  </si>
  <si>
    <t>empreendedores-dv360-zip-display-large_rectangle-336x280-empreendedores_zip_animada_bau-3rdparty_list_micro_empreendedor_individual_tailtarget_e_mei_retargetly-cpm</t>
  </si>
  <si>
    <t>472151833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</si>
  <si>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</si>
  <si>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</si>
  <si>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</si>
  <si>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</si>
  <si>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278044441</t>
  </si>
  <si>
    <t>472151830</t>
  </si>
  <si>
    <t>empreendedores-empreendedores-dv360-zip-display-large_rectangle-zip_bandeiras-affinities_inmarket_empreendedores</t>
  </si>
  <si>
    <t>276831872</t>
  </si>
  <si>
    <t>empreendedores-dv360-zip-display-large_rectangle-336x280-zip_bandeiras-affinities_inmarket_empreendedores-cpm</t>
  </si>
  <si>
    <t>471331260</t>
  </si>
  <si>
    <t>empreendedores-empreendedores-dv360-zip-display-leaderboard-empreendedores_zip_animada_bau-3rdparty_list_micro_empreendedor_individual_tailtarget_e_mei_retargetly</t>
  </si>
  <si>
    <t>278044483</t>
  </si>
  <si>
    <t>empreendedores-dv360-zip-display-leaderboard-728x90-empreendedores_zip_animada_bau-3rdparty_list_micro_empreendedor_individual_tailtarget_e_mei_retargetly-cpm</t>
  </si>
  <si>
    <t>472151872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</si>
  <si>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</si>
  <si>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</si>
  <si>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</si>
  <si>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</si>
  <si>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empreendedores-empreendedores-dv360-zip-display-leaderboard-zip_bandeiras-affinities_inmarket_empreendedores</t>
  </si>
  <si>
    <t>276831875</t>
  </si>
  <si>
    <t>empreendedores-dv360-zip-display-leaderboard-728x90-zip_bandeiras-affinities_inmarket_empreendedores-cpm</t>
  </si>
  <si>
    <t>471331263</t>
  </si>
  <si>
    <t>empreendedores-empreendedores-dv360-zip-display-medium_rectangle-empreendedores_zip_animada_bau-3rdparty_list_micro_empreendedor_individual_tailtarget_e_mei_retargetly</t>
  </si>
  <si>
    <t>278044486</t>
  </si>
  <si>
    <t>empreendedores-dv360-zip-display-medium_rectangle-300x250-empreendedores_zip_animada_bau-3rdparty_list_micro_empreendedor_individual_tailtarget_e_mei_retargetly-cpm</t>
  </si>
  <si>
    <t>472151875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</si>
  <si>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</si>
  <si>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</si>
  <si>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</si>
  <si>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</si>
  <si>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</si>
  <si>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</si>
  <si>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empreendedores-empreendedores-dv360-zip-display-medium_rectangle-zip_bandeiras-affinities_inmarket_empreendedores</t>
  </si>
  <si>
    <t>276831878</t>
  </si>
  <si>
    <t>empreendedores-dv360-zip-display-medium_rectangle-300x250-zip_bandeiras-affinities_inmarket_empreendedores-cpm</t>
  </si>
  <si>
    <t>471331266</t>
  </si>
  <si>
    <t>empreendedores-empreendedores-dv360-zip-display-mobile_leaderboard-empreendedores_zip_animada_bau-3rdparty_list_micro_empreendedor_individual_tailtarget_e_mei_retargetly</t>
  </si>
  <si>
    <t>278044477</t>
  </si>
  <si>
    <t>empreendedores-dv360-zip-display-mobile_leaderboard-320x50-empreendedores_zip_animada_bau-3rdparty_list_micro_empreendedor_individual_tailtarget_e_mei_retargetly-cpm</t>
  </si>
  <si>
    <t>472151866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</si>
  <si>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</si>
  <si>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</si>
  <si>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</si>
  <si>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</si>
  <si>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</si>
  <si>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</si>
  <si>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empreendedores-empreendedores-dv360-zip-display-mobile_leaderboard-zip_bandeiras-affinities_inmarket_empreendedores</t>
  </si>
  <si>
    <t>276831866</t>
  </si>
  <si>
    <t>empreendedores-dv360-zip-display-mobile_leaderboard-320x50-zip_bandeiras-affinities_inmarket_empreendedores-cpm</t>
  </si>
  <si>
    <t>471331254</t>
  </si>
  <si>
    <t>empreendedores-empreendedores-dv360-zip-display-small_rectangle-empreendedores_zip_animada_bau-3rdparty_list_micro_empreendedor_individual_tailtarget_e_mei_retargetly</t>
  </si>
  <si>
    <t>278044474</t>
  </si>
  <si>
    <t>empreendedores-dv360-zip-display-small_rectangle-180x150-empreendedores_zip_animada_bau-3rdparty_list_micro_empreendedor_individual_tailtarget_e_mei_retargetly-cpm</t>
  </si>
  <si>
    <t>472151863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</si>
  <si>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</si>
  <si>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</si>
  <si>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</si>
  <si>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</si>
  <si>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empreendedores-empreendedores-dv360-zip-display-small_rectangle-zip_bandeiras-affinities_inmarket_empreendedores</t>
  </si>
  <si>
    <t>276831863</t>
  </si>
  <si>
    <t>empreendedores-dv360-zip-display-small_rectangle-180x150-zip_bandeiras-affinities_inmarket_empreendedores-cpm</t>
  </si>
  <si>
    <t>471331251</t>
  </si>
  <si>
    <t>empreendedores-empreendedores-dv360-zip-display-wide_skyscraper-empreendedores_zip_animada_bau-3rdparty_list_micro_empreendedor_individual_tailtarget_e_mei_retargetly</t>
  </si>
  <si>
    <t>278044471</t>
  </si>
  <si>
    <t>empreendedores-dv360-zip-display-wide_skyscraper-160x600-empreendedores_zip_animada_bau-3rdparty_list_micro_empreendedor_individual_tailtarget_e_mei_retargetly-cpm</t>
  </si>
  <si>
    <t>472151860</t>
  </si>
  <si>
    <t>empreendedores-empreendedores-dv360-zip-display-wide_skyscraper-empreendedores_zip_animada_bau-affinities_inmarket_empreendedores</t>
  </si>
  <si>
    <t>278044492</t>
  </si>
  <si>
    <t>empreendedores-dv360-zip-display-wide_skyscraper-160x600-empreendedores_zip_animada_bau-affinities_inmarket_empreendedores-cpm</t>
  </si>
  <si>
    <t>472151881</t>
  </si>
  <si>
    <t>empreendedores-empreendedores-dv360-zip-display-wide_skyscraper-zip_bandeiras-affinities_inmarket_empreendedores</t>
  </si>
  <si>
    <t>276831860</t>
  </si>
  <si>
    <t>empreendedores-dv360-zip-display-wide_skyscraper-160x600-zip_bandeiras-affinities_inmarket_empreendedores-cpm</t>
  </si>
  <si>
    <t>471331248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</si>
  <si>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</si>
  <si>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</si>
  <si>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</si>
  <si>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</si>
  <si>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empreendedores-empreendedores-verizon-flash-display-leaderboard-empreendedores_flash_animada_bau-pequeno_empreendedor_look-a-like_ e_predictive audience</t>
  </si>
  <si>
    <t>278044534</t>
  </si>
  <si>
    <t>empreendedores-verizon-flash-display-leaderboard-728x90-empreendedores_flash_animada_bau-pequeno_empreendedor_look-a-like_ e_predictive audience-cpm</t>
  </si>
  <si>
    <t>472165724</t>
  </si>
  <si>
    <t>empreendedores-empreendedores-verizon-flash-display-mobile_leaderboard-empreendedores_flash_animada_bau-pequeno_empreendedor_look-a-like_ e_predictive audience</t>
  </si>
  <si>
    <t>278044531</t>
  </si>
  <si>
    <t>320x50 Default Web Ad</t>
  </si>
  <si>
    <t>471025236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</si>
  <si>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</si>
  <si>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</si>
  <si>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</si>
  <si>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</si>
  <si>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</si>
  <si>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</si>
  <si>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empreendedores-empreendedores-verizon-flash-native-native-empreendedores_flash_native_bau-pequeno_empreendedor_look-a-like_ e_predictive audience</t>
  </si>
  <si>
    <t>278708883</t>
  </si>
  <si>
    <t>empreendedores-verizon-flash-native-native-627x627-empreendedores_flash_native_bau-pequeno_empreendedor_look-a-like_ e_predictive audience-cpm</t>
  </si>
  <si>
    <t>472713532</t>
  </si>
  <si>
    <t>278708889</t>
  </si>
  <si>
    <t>empreendedores-verizon-flash-native-native-1200x627-empreendedores_flash_native_bau-pequeno_empreendedor_look-a-like_ e_predictive audience-cpm</t>
  </si>
  <si>
    <t>472713538</t>
  </si>
  <si>
    <t>empreendedores-empreendedores-verizon-lio+-display-mobile_leaderboard-empreendedores_lio_mais-pequeno_empreendedor_look-a-like_ e_predictive audience</t>
  </si>
  <si>
    <t>276800188</t>
  </si>
  <si>
    <t>empreendedores-verizon-lio+-display-mobile_leaderboard-320x50-empreendedores_lio_mais-pequeno_empreendedor_look-a-like_ e_predictive audience-cpm</t>
  </si>
  <si>
    <t>470908319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</si>
  <si>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</si>
  <si>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</si>
  <si>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</si>
  <si>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</si>
  <si>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</si>
  <si>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</si>
  <si>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</si>
  <si>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</si>
  <si>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</si>
  <si>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</si>
  <si>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</si>
  <si>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</si>
  <si>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</si>
  <si>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</si>
  <si>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</si>
  <si>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</si>
  <si>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empreendedores-empreendedores-verizon-zip-native-native-empreendedores_zip_native_bau-pequeno_empreendedor_look-a-like_ e_predictive audience</t>
  </si>
  <si>
    <t>278708886</t>
  </si>
  <si>
    <t>empreendedores-verizon-zip-native-native-627x627-empreendedores_zip_native_bau-pequeno_empreendedor_look-a-like_ e_predictive audience-cpm</t>
  </si>
  <si>
    <t>472713535</t>
  </si>
  <si>
    <t>278708892</t>
  </si>
  <si>
    <t>empreendedores-verizon-zip-native-native-1200x627-empreendedores_zip_native_bau-pequeno_empreendedor_look-a-like_ e_predictive audience-cpm</t>
  </si>
  <si>
    <t>472713541</t>
  </si>
  <si>
    <t>pegn-marca-globo-marca-display-carrossel-pegn_cielo_baseig_novaversao-as_25_interesses</t>
  </si>
  <si>
    <t>277224998</t>
  </si>
  <si>
    <t>marca-globo-marca-display-carrossel-400x300-pegn_cielo_baseig_novaversao-as_25_interesses-cpm</t>
  </si>
  <si>
    <t>471607967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</si>
  <si>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</si>
  <si>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</si>
  <si>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</si>
  <si>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</si>
  <si>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pegn-marca-globo-marca-display-maxiboard-pegn_cielo_baseig_novaversao-as_25_interesses</t>
  </si>
  <si>
    <t>277225001</t>
  </si>
  <si>
    <t>marca-globo-marca-display-maxiboard-970x150-pegn_cielo_baseig_novaversao-as_25_interesses-cpm</t>
  </si>
  <si>
    <t>471607970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</si>
  <si>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</si>
  <si>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</si>
  <si>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</si>
  <si>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</si>
  <si>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pegn-marca-globo-marca-display-medium_rectangle-pegn_cielo_baseig_novaversao-as_25_interesses</t>
  </si>
  <si>
    <t>277225004</t>
  </si>
  <si>
    <t>marca-globo-marca-display-medium_rectangle-300x250-pegn_cielo_baseig_novaversao-as_25_interesses-cpm</t>
  </si>
  <si>
    <t>471607973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</si>
  <si>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</si>
  <si>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</si>
  <si>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</si>
  <si>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</si>
  <si>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pegn-marca-globo-marca-display-stick_ad-pegn_cielo_baseig_novaversao-as_25_interesses</t>
  </si>
  <si>
    <t>277225007</t>
  </si>
  <si>
    <t>marca-globo-marca-display-stick_ad-320x50-pegn_cielo_baseig_novaversao-as_25_interesses-cpm</t>
  </si>
  <si>
    <t>471607976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</si>
  <si>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</si>
  <si>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</si>
  <si>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</si>
  <si>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</si>
  <si>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BR Folha</t>
  </si>
  <si>
    <t>superlink-marca-folha-superlink-display-arroba_banner-folha_cielo_diadocomerciante_diaria1607-as25_empreendedor_varejo</t>
  </si>
  <si>
    <t>277787200</t>
  </si>
  <si>
    <t>marca-folha-superlink-display-arroba_banner-300x250-folha_cielo_diadocomerciante_diaria1607-as25_empreendedor_varejo-cpm</t>
  </si>
  <si>
    <t>471906676</t>
  </si>
  <si>
    <t>superlink-marca-dv360_Outbrain-superlink-native-native-superlink_rapidofacileseguro-AS25_microempreendedor_medioempreendedor_negocios_vendasonline_donosdenegocios</t>
  </si>
  <si>
    <t>277720721</t>
  </si>
  <si>
    <t>marca-dv360_Outbrain-superlink-native-native-627x627-superlink_rapidofacileseguro-AS25_microempreendedor_medioempreendedor_negocios_vendasonline_donosdenegocios-cpc</t>
  </si>
  <si>
    <t>472188954</t>
  </si>
  <si>
    <t>superlink-marca-dv360_Outbrain-superlink-native-native-superlink_vendapelasredessociais-AS25_microempreendedor_medioempreendedor_negocios_vendasonline_donosdenegocios</t>
  </si>
  <si>
    <t>277720718</t>
  </si>
  <si>
    <t>marca-dv360_Outbrain-superlink-native-native-180x180-superlink_vendapelasredessociais-AS25_microempreendedor_medioempreendedor_negocios_vendasonline_donosdenegocios-cpc</t>
  </si>
  <si>
    <t>472188951</t>
  </si>
  <si>
    <t>277720724</t>
  </si>
  <si>
    <t>marca-dv360_Outbrain-superlink-native-native-1200x627-superlink_vendapelasredessociais-AS25_microempreendedor_medioempreendedor_negocios_vendasonline_donosdenegocios-cpc</t>
  </si>
  <si>
    <t>472188957</t>
  </si>
  <si>
    <t>superlink-marca-dv360_Outbrain-superlink-native-native-superlink_vendapelawhatsapp-AS25_microempreendedor_medioempreendedor_negocios_vendasonline_donosdenegocios</t>
  </si>
  <si>
    <t>277720715</t>
  </si>
  <si>
    <t>marca-dv360_Outbrain-superlink-native-native-180x180-superlink_vendapelawhatsapp-AS25_microempreendedor_medioempreendedor_negocios_vendasonline_donosdenegocios-cpc</t>
  </si>
  <si>
    <t>472188948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</si>
  <si>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</si>
  <si>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</si>
  <si>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</si>
  <si>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</si>
  <si>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</si>
  <si>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</si>
  <si>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</si>
  <si>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</si>
  <si>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</si>
  <si>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</si>
  <si>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</si>
  <si>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</si>
  <si>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superlink-marca-dv360_Spotify-superlink-video-pre_roll-superlink_video30s-as25_microempreendedor_medioempreendedor_negocios_vendasonline_donosdenegocios</t>
  </si>
  <si>
    <t>276627344</t>
  </si>
  <si>
    <t>marca-dv360_Spotify-superlink-video-pre_roll-1920x1080-superlink_video30s-as25_microempreendedor_medioempreendedor_negocios_vendasonline_donosdenegocios-cpm</t>
  </si>
  <si>
    <t>471083021</t>
  </si>
  <si>
    <t>Default In-stream Landscape Ad</t>
  </si>
  <si>
    <t>470164574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</si>
  <si>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</si>
  <si>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</si>
  <si>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</si>
  <si>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</si>
  <si>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</si>
  <si>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</si>
  <si>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</si>
  <si>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</si>
  <si>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</si>
  <si>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</si>
  <si>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</si>
  <si>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</si>
  <si>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</si>
  <si>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</si>
  <si>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</si>
  <si>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</si>
  <si>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</si>
  <si>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</si>
  <si>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</si>
  <si>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</si>
  <si>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</si>
  <si>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</si>
  <si>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</si>
  <si>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</si>
  <si>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</si>
  <si>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</si>
  <si>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</si>
  <si>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</si>
  <si>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</si>
  <si>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</si>
  <si>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</si>
  <si>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</si>
  <si>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</si>
  <si>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</si>
  <si>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</si>
  <si>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</si>
  <si>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</si>
  <si>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</si>
  <si>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</si>
  <si>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</si>
  <si>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</si>
  <si>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</si>
  <si>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</si>
  <si>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</si>
  <si>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</si>
  <si>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471082376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</si>
  <si>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</si>
  <si>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</si>
  <si>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</si>
  <si>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</si>
  <si>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</si>
  <si>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</si>
  <si>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</si>
  <si>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</si>
  <si>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</si>
  <si>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</si>
  <si>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superlink-marca-afilio-superlink-display-halfpage-luta_diaria-as25_microempreendedor_medioempreendedor_negocios_vendasonline_donosdenegocios</t>
  </si>
  <si>
    <t>277004367</t>
  </si>
  <si>
    <t>marca-afilio-superlink-display-halfpage-300x600-luta_diaria-as25_microempreendedor_medioempreendedor_negocios_vendasonline_donosdenegocios-cpvisita</t>
  </si>
  <si>
    <t>471083149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</si>
  <si>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</si>
  <si>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</si>
  <si>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</si>
  <si>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</si>
  <si>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superlink-marca-afilio-superlink-display-medium_rectangle-luta_diaria-as25_microempreendedor_medioempreendedor_negocios_vendasonline_donosdenegocios</t>
  </si>
  <si>
    <t>277002747</t>
  </si>
  <si>
    <t>marca-afilio-superlink-display-medium_rectangle-300x250-luta_diaria-as25_microempreendedor_medioempreendedor_negocios_vendasonline_donosdenegocios-cpvisita</t>
  </si>
  <si>
    <t>471082640</t>
  </si>
  <si>
    <t>superlink-marca-afilio-superlink-display-skyscraper-luta_diaria-as25_microempreendedor_medioempreendedor_negocios_vendasonline_donosdenegocios</t>
  </si>
  <si>
    <t>277004370</t>
  </si>
  <si>
    <t>marca-afilio-superlink-display-skyscraper-160x600-luta_diaria-as25_microempreendedor_medioempreendedor_negocios_vendasonline_donosdenegocios-cpvisita</t>
  </si>
  <si>
    <t>471083152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</si>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</sst>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&quot;R$&quot;\ #,##0.00"/>
    <numFmt numFmtId="166" formatCode="#,##0_ ;\-#,##0\ "/>
    <numFmt numFmtId="167" formatCode="&quot;R$&quot;#,##0.00"/>
  </numFmts>
  <fonts count="30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color theme="3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7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  <xf numFmtId="43" fontId="26" fillId="0" borderId="0" applyFont="0" applyFill="0" applyBorder="0" applyAlignment="0" applyProtection="0"/>
  </cellStyleXfs>
  <cellXfs count="29">
    <xf numFmtId="0" fontId="0" fillId="0" borderId="0" xfId="0"/>
    <xf numFmtId="0" fontId="0" fillId="0" borderId="1" xfId="0" applyBorder="1"/>
    <xf numFmtId="2" fontId="0" fillId="0" borderId="0" xfId="0" applyNumberFormat="1"/>
    <xf numFmtId="164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5" fontId="0" fillId="0" borderId="1" xfId="0" applyNumberFormat="1" applyBorder="1"/>
    <xf numFmtId="16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5" fontId="0" fillId="0" borderId="0" xfId="0" applyNumberFormat="1" applyFill="1" applyBorder="1"/>
    <xf numFmtId="164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6" borderId="0" xfId="0" applyFill="1"/>
    <xf numFmtId="2" fontId="0" fillId="36" borderId="0" xfId="0" applyNumberFormat="1" applyFill="1"/>
    <xf numFmtId="166" fontId="0" fillId="0" borderId="1" xfId="46" applyNumberFormat="1" applyFont="1" applyBorder="1"/>
    <xf numFmtId="0" fontId="0" fillId="0" borderId="0" xfId="0" applyBorder="1"/>
    <xf numFmtId="167" fontId="27" fillId="0" borderId="1" xfId="0" applyNumberFormat="1" applyFont="1" applyBorder="1"/>
    <xf numFmtId="165" fontId="27" fillId="0" borderId="1" xfId="0" applyNumberFormat="1" applyFont="1" applyBorder="1"/>
    <xf numFmtId="164" fontId="28" fillId="0" borderId="1" xfId="1" applyFont="1" applyBorder="1"/>
    <xf numFmtId="164" fontId="29" fillId="0" borderId="1" xfId="1" applyFont="1" applyBorder="1"/>
  </cellXfs>
  <cellStyles count="47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  <cellStyle name="Vírgula" xfId="46" builtinId="3"/>
  </cellStyles>
  <dxfs count="2">
    <dxf>
      <fill>
        <patternFill>
          <bgColor rgb="FFFF0000"/>
        </patternFill>
      </fill>
    </dxf>
    <dxf>
      <numFmt numFmtId="16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047.73682766204" createdVersion="6" refreshedVersion="6" minRefreshableVersion="3" recordCount="219" xr:uid="{E7CCFBF0-7D6A-4E6E-8501-60C9B7271BE2}">
  <cacheSource type="worksheet">
    <worksheetSource ref="B18:O237" sheet="Resumo"/>
  </cacheSource>
  <cacheFields count="14">
    <cacheField name="Campaign" numFmtId="0">
      <sharedItems count="12">
        <s v="alp-cielo_movimenta-marca-awa"/>
        <s v="alp-cielo_movimenta_comunidade-marca-awa"/>
        <s v="alp-cnn-varejo-awa"/>
        <s v="alp-corona_voucher-varejo-awa"/>
        <s v="alp-covid19-marca-awa"/>
        <s v="alp-empreendedores-empreendedores-cons"/>
        <s v="alp-nova_cielo-empreendedores-cons"/>
        <s v="alp-pegn-marca-awa"/>
        <s v="alp-receba-rapido-varejo-cons"/>
        <s v="alp-superlink-marca-awa"/>
        <s v="alp-superlink-marca-cons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5334981"/>
    </cacheField>
    <cacheField name="Clicks" numFmtId="0">
      <sharedItems containsSemiMixedTypes="0" containsString="0" containsNumber="1" containsInteger="1" minValue="0" maxValue="4907543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4.0000000000000003E-5" maxValue="17176.4005"/>
    </cacheField>
    <cacheField name="Total AdOps" numFmtId="2">
      <sharedItems containsSemiMixedTypes="0" containsString="0" containsNumber="1" minValue="1E-4" maxValue="672.64575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x v="0"/>
    <s v="BR OLX"/>
    <s v="cielo_movimenta-marca-olx-marca-native-native_carrossel-cielo_movimenta_olx_fase2-canal_internas_olx"/>
    <s v="271963851"/>
    <s v="Dynamic Click"/>
    <s v="marca-olx-marca-native-native_carrossel-1080x1080-cielo_movimenta_olx_fase2-canal_internas_olx-cpm"/>
    <s v="466330388"/>
    <s v="Tracking"/>
    <n v="0"/>
    <n v="1"/>
    <n v="3.5000000000000001E-3"/>
    <n v="2.5000000000000001E-2"/>
    <n v="3.5000000000000001E-3"/>
    <n v="2.5000000000000001E-2"/>
  </r>
  <r>
    <x v="0"/>
    <s v="istoé"/>
    <s v="cielo_movimenta-marca-istoe-marca-display-chatterbox-movimenta_awareness-geral_auxilioemergencial_diaria-as_25_interesses_varejo"/>
    <s v="276499078"/>
    <s v="Standard"/>
    <s v="marca-istoe-marca-display-chatterbox-300x600-movimenta_awareness-geral_auxilioemergencial_diaria-as_25_interesses_varejo-diaria"/>
    <s v="470630318"/>
    <s v="Tracking"/>
    <n v="38206"/>
    <n v="5"/>
    <n v="0.04"/>
    <n v="0.1"/>
    <n v="1.52824"/>
    <n v="3.8206000000000002"/>
  </r>
  <r>
    <x v="0"/>
    <s v="istoé"/>
    <s v="cielo_movimenta-marca-istoe-marca-display-chatterbox-movimenta_awareness-geral_diaria-as_25_interesses_varejo"/>
    <s v="275635271"/>
    <s v="Standard"/>
    <s v="marca-istoe-marca-display-chatterbox-300x600-movimenta_awareness-geral_diaria-as_25_interesses_varejo-diaria"/>
    <s v="470222890"/>
    <s v="Tracking"/>
    <n v="38212"/>
    <n v="5"/>
    <n v="0.04"/>
    <n v="0.1"/>
    <n v="1.5284800000000001"/>
    <n v="3.8212000000000002"/>
  </r>
  <r>
    <x v="0"/>
    <s v="istoé"/>
    <s v="cielo_movimenta-marca-istoe-marca-display-venetian-movimenta_awareness-parcerias_diaria-as_25_interesses_varejo"/>
    <s v="275635262"/>
    <s v="Standard"/>
    <s v="marca-istoe-marca-display-venetian-970x250-movimenta_awareness-parcerias_diaria-as_25_interesses_varejo-diaria"/>
    <s v="470222881"/>
    <s v="Tracking"/>
    <n v="81618"/>
    <n v="69"/>
    <n v="0.04"/>
    <n v="0.1"/>
    <n v="3.2647200000000001"/>
    <n v="8.1617999999999995"/>
  </r>
  <r>
    <x v="1"/>
    <s v="Oath - Verizon Media"/>
    <s v="cielo_movimenta_comunidade-marca-verizon-marca-display-skyscraper-cielo_movimenta_comunidade_loggi-as_25_interesses_varejo"/>
    <s v="272923707"/>
    <s v="Standard"/>
    <s v="marca-verizon-marca-display-skyscraper-160x600-cielo_movimenta_comunidade_loggi-as_25_interesses_varejo-cpm"/>
    <s v="467313001"/>
    <s v="Display"/>
    <n v="8"/>
    <n v="0"/>
    <n v="0.04"/>
    <n v="0.1"/>
    <n v="3.2000000000000003E-4"/>
    <n v="8.0000000000000004E-4"/>
  </r>
  <r>
    <x v="1"/>
    <s v="Oath - Verizon Media"/>
    <s v="cielo_movimenta_comunidade-marca-verizon-marca-native-big_native-cielo_movimenta_comunidade_olx-as_25_interesses_varejo"/>
    <s v="273102562"/>
    <s v="Dynamic Click"/>
    <s v="marca-verizon-marca-native-big_native-1200x627-cielo_movimenta_comunidade_olx-as_25_interesses_varejo-cpm"/>
    <s v="467497933"/>
    <s v="Tracking"/>
    <n v="2"/>
    <n v="3"/>
    <n v="3.5000000000000001E-3"/>
    <n v="2.5000000000000001E-2"/>
    <n v="1.0500000000000001E-2"/>
    <n v="7.5000000000000011E-2"/>
  </r>
  <r>
    <x v="1"/>
    <s v="Oath - Verizon Media"/>
    <s v="cielo_movimenta_comunidade-marca-verizon-marca-native-big_native-cielo_movimenta_comunidade_olx_cadastro-as_25_interesses_varejo"/>
    <s v="272850311"/>
    <s v="Standard"/>
    <s v="marca-verizon-marca-native-big_native-1200x627-cielo_movimenta_comunidade_olx_cadastro-as_25_interesses_varejo-cpm"/>
    <s v="467545912"/>
    <s v="Tracking"/>
    <n v="3"/>
    <n v="2"/>
    <n v="0.04"/>
    <n v="0.1"/>
    <n v="1.1999999999999999E-4"/>
    <n v="3.0000000000000003E-4"/>
  </r>
  <r>
    <x v="1"/>
    <s v="Oath - Verizon Media"/>
    <s v="cielo_movimenta_comunidade-marca-verizon-marca-native-native-cielo_movimenta_comunidade_olxmaes_cadastro-as_25_interesses_varejo_cadastro"/>
    <s v="273305833"/>
    <s v="Standard"/>
    <s v="marca-verizon-marca-native-native-1200x627-cielo_movimenta_comunidade_olxmaes_cadastro-as_25_interesses_varejo_cadastro-cpm"/>
    <s v="467677501"/>
    <s v="Tracking"/>
    <n v="1"/>
    <n v="0"/>
    <n v="0.04"/>
    <n v="0.1"/>
    <n v="4.0000000000000003E-5"/>
    <n v="1E-4"/>
  </r>
  <r>
    <x v="1"/>
    <s v="Oath - Verizon Media"/>
    <s v="cielo_movimenta_comunidade-marca-verizon-marca-native-native-cielo_movimenta_comunidade_olxmaes_loja-as_25_interesses_varejo_loja"/>
    <s v="273323772"/>
    <s v="Dynamic Click"/>
    <s v="marca-verizon-marca-native-native-1200x627-cielo_movimenta_comunidade_olxmaes_loja-as_25_interesses_varejo_loja-cpm"/>
    <s v="467635835"/>
    <s v="Tracking"/>
    <n v="0"/>
    <n v="3"/>
    <n v="3.5000000000000001E-3"/>
    <n v="2.5000000000000001E-2"/>
    <n v="1.0500000000000001E-2"/>
    <n v="7.5000000000000011E-2"/>
  </r>
  <r>
    <x v="1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33"/>
    <n v="2"/>
    <n v="0.04"/>
    <n v="0.1"/>
    <n v="1.32E-3"/>
    <n v="3.3000000000000004E-3"/>
  </r>
  <r>
    <x v="2"/>
    <s v="CNN BR"/>
    <s v="cnn-varejo-cnn-marca-display-arroba_banner-cnn_cielo_auxilioemergencial_diaria3107-as_25"/>
    <s v="278869618"/>
    <s v="Standard"/>
    <s v="varejo-cnn-marca-display-arroba_banner-300x250-cnn_cielo_auxilioemergencial_diaria3107-as_25-cpm"/>
    <s v="472930863"/>
    <s v="Display"/>
    <n v="223635"/>
    <n v="106"/>
    <n v="0.04"/>
    <n v="0.1"/>
    <n v="8.9453999999999994"/>
    <n v="22.363499999999998"/>
  </r>
  <r>
    <x v="2"/>
    <s v="CNN BR"/>
    <s v="cnn-varejo-cnn-marca-display-arroba_banner-cnn_cielo_diadocomerciante_diaria1607-as_25"/>
    <s v="277514030"/>
    <s v="Standard"/>
    <s v="varejo-cnn-marca-display-arroba_banner-300x250-cnn_cielo_diadocomerciante_diaria1607-as_25-cpm"/>
    <s v="471883919"/>
    <s v="Display"/>
    <n v="260820"/>
    <n v="118"/>
    <n v="0.04"/>
    <n v="0.1"/>
    <n v="10.4328"/>
    <n v="26.082000000000001"/>
  </r>
  <r>
    <x v="2"/>
    <s v="CNN BR"/>
    <s v="cnn-varejo-cnn-marca-display-arroba_banner-cnn_cielo_superlink_lutadiaria-as_25"/>
    <s v="275646244"/>
    <s v="Standard"/>
    <s v="varejo-cnn-marca-display-arroba_banner-300x250-cnn_cielo_superlink_lutadiaria-as_25-cpm"/>
    <s v="469898123"/>
    <s v="Display"/>
    <n v="26829"/>
    <n v="22"/>
    <n v="0.04"/>
    <n v="0.1"/>
    <n v="1.0731600000000001"/>
    <n v="2.6829000000000001"/>
  </r>
  <r>
    <x v="2"/>
    <s v="CNN BR"/>
    <s v="cnn-varejo-cnn-marca-display-bilboard-cnn_cielo_superlink_lutadiaria-as_25"/>
    <s v="275703789"/>
    <s v="Standard"/>
    <s v="varejo-cnn-marca-display-bilboard-970x250-cnn_cielo_superlink_lutadiaria-as_25-cpm"/>
    <s v="469899905"/>
    <s v="Display"/>
    <n v="42606"/>
    <n v="38"/>
    <n v="0.04"/>
    <n v="0.1"/>
    <n v="1.70424"/>
    <n v="4.2606000000000002"/>
  </r>
  <r>
    <x v="2"/>
    <s v="CNN BR"/>
    <s v="cnn-varejo-cnn-marca-display-billboard-cnn_cielo_auxilioemergencial_diaria3107-as_25"/>
    <s v="278869225"/>
    <s v="Standard"/>
    <s v="varejo-cnn-marca-display-billboard-970x250-cnn_cielo_auxilioemergencial_diaria3107-as_25-cpm"/>
    <s v="472887628"/>
    <s v="Display"/>
    <n v="44986"/>
    <n v="40"/>
    <n v="0.04"/>
    <n v="0.1"/>
    <n v="1.7994400000000002"/>
    <n v="4.4986000000000006"/>
  </r>
  <r>
    <x v="2"/>
    <s v="CNN BR"/>
    <s v="cnn-varejo-cnn-marca-display-billboard-cnn_cielo_diadocomerciante_diaria1607-as_25"/>
    <s v="277514021"/>
    <s v="Standard"/>
    <s v="varejo-cnn-marca-display-billboard-970x250-cnn_cielo_diadocomerciante_diaria1607-as_25-cpm"/>
    <s v="471883910"/>
    <s v="Display"/>
    <n v="57843"/>
    <n v="34"/>
    <n v="0.04"/>
    <n v="0.1"/>
    <n v="2.3137200000000004"/>
    <n v="5.7843"/>
  </r>
  <r>
    <x v="2"/>
    <s v="CNN BR"/>
    <s v="cnn-varejo-cnn-marca-display-halfpage-cnn_cielo_superlink_lutadiaria-as_25"/>
    <s v="275692860"/>
    <s v="Standard"/>
    <s v="varejo-cnn-marca-display-halfpage-300x600-cnn_cielo_superlink_lutadiaria-as_25-cpm"/>
    <s v="469899809"/>
    <s v="Display"/>
    <n v="12496"/>
    <n v="8"/>
    <n v="0.04"/>
    <n v="0.1"/>
    <n v="0.49984000000000001"/>
    <n v="1.2496"/>
  </r>
  <r>
    <x v="2"/>
    <s v="CNN BR"/>
    <s v="cnn-varejo-cnn-marca-display-leaderboard-cnn_cielo_auxilioemergencial_diaria3107-as_25"/>
    <s v="278897643"/>
    <s v="Standard"/>
    <s v="varejo-cnn-marca-display-leaderboard-728x90-cnn_cielo_auxilioemergencial_diaria3107-as_25-cpm"/>
    <s v="472866707"/>
    <s v="Display"/>
    <n v="44805"/>
    <n v="14"/>
    <n v="0.04"/>
    <n v="0.1"/>
    <n v="1.7922"/>
    <n v="4.4805000000000001"/>
  </r>
  <r>
    <x v="2"/>
    <s v="CNN BR"/>
    <s v="cnn-varejo-cnn-marca-display-leaderboard-cnn_cielo_diadocomerciante_diaria1607-as_25"/>
    <s v="277514027"/>
    <s v="Standard"/>
    <s v="varejo-cnn-marca-display-leaderboard-728x90-cnn_cielo_diadocomerciante_diaria1607-as_25-cpm"/>
    <s v="471883916"/>
    <s v="Display"/>
    <n v="52968"/>
    <n v="19"/>
    <n v="0.04"/>
    <n v="0.1"/>
    <n v="2.1187200000000002"/>
    <n v="5.2968000000000002"/>
  </r>
  <r>
    <x v="2"/>
    <s v="CNN BR"/>
    <s v="cnn-varejo-cnn-marca-display-leaderboard-cnn_cielo_superlink_lutadiaria-as_25"/>
    <s v="275647021"/>
    <s v="Standard"/>
    <s v="varejo-cnn-marca-display-leaderboard-728x90-cnn_cielo_superlink_lutadiaria-as_25-cpm"/>
    <s v="469979952"/>
    <s v="Display"/>
    <n v="6923"/>
    <n v="2"/>
    <n v="0.04"/>
    <n v="0.1"/>
    <n v="0.27692"/>
    <n v="0.69230000000000003"/>
  </r>
  <r>
    <x v="2"/>
    <s v="CNN BR"/>
    <s v="cnn-varejo-cnn-marca-display-mobile-cnn_cielo_auxilioemergencial_diaria3107-as_25"/>
    <s v="278870200"/>
    <s v="Standard"/>
    <s v="varejo-cnn-marca-display-mobile-320x50-cnn_cielo_auxilioemergencial_diaria3107-as_25-cpm"/>
    <s v="472932456"/>
    <s v="Display"/>
    <n v="148370"/>
    <n v="321"/>
    <n v="0.04"/>
    <n v="0.1"/>
    <n v="5.9348000000000001"/>
    <n v="14.837"/>
  </r>
  <r>
    <x v="2"/>
    <s v="CNN BR"/>
    <s v="cnn-varejo-cnn-marca-display-mobile-cnn_cielo_diadocomerciante_diaria1607-as_25"/>
    <s v="277514024"/>
    <s v="Standard"/>
    <s v="varejo-cnn-marca-display-mobile-320x50-cnn_cielo_diadocomerciante_diaria1607-as_25-cpm"/>
    <s v="471883913"/>
    <s v="Display"/>
    <n v="166068"/>
    <n v="367"/>
    <n v="0.04"/>
    <n v="0.1"/>
    <n v="6.6427200000000006"/>
    <n v="16.6068"/>
  </r>
  <r>
    <x v="2"/>
    <s v="CNN BR"/>
    <s v="cnn-varejo-cnn-marca-display-mobile-cnn_cielo_superlink_lutadiaria-as_25"/>
    <s v="275348690"/>
    <s v="Standard"/>
    <s v="varejo-cnn-marca-display-mobile-320x50-cnn_cielo_superlink_lutadiaria-as_25-cpm"/>
    <s v="469899176"/>
    <s v="Display"/>
    <n v="383429"/>
    <n v="1129"/>
    <n v="0.04"/>
    <n v="0.1"/>
    <n v="15.337159999999999"/>
    <n v="38.3429"/>
  </r>
  <r>
    <x v="3"/>
    <s v="Oath - Verizon Media"/>
    <s v="corona_voucher-varejo-verizon-marca-display-halfpage-cielo_aceita_auxilioemergencial-AS25_microempreendedor_medioempreendedor_negocios_vendasonline_donosdenegocios"/>
    <s v="277133791"/>
    <s v="Standard"/>
    <s v="varejo-verizon-marca-display-halfpage-300x600-cielo_aceita_auxilioemergencial-AS25_microempreendedor_medioempreendedor_negocios_vendasonline_donosdenegocios-cpm"/>
    <s v="471312975"/>
    <s v="Display"/>
    <n v="493980"/>
    <n v="19193"/>
    <n v="0.04"/>
    <n v="0.1"/>
    <n v="19.7592"/>
    <n v="49.398000000000003"/>
  </r>
  <r>
    <x v="3"/>
    <s v="Oath - Verizon Media"/>
    <s v="corona_voucher-varejo-verizon-marca-display-leaderboard-cielo_aceita_auxilioemergencial-AS25_microempreendedor_medioempreendedor_negocios_vendasonline_donosdenegocios"/>
    <s v="277133785"/>
    <s v="Standard"/>
    <s v="varejo-verizon-marca-display-leaderboard-728x90-cielo_aceita_auxilioemergencial-AS25_microempreendedor_medioempreendedor_negocios_vendasonline_donosdenegocios-cpm"/>
    <s v="471312969"/>
    <s v="Display"/>
    <n v="960997"/>
    <n v="13144"/>
    <n v="0.04"/>
    <n v="0.1"/>
    <n v="38.439879999999995"/>
    <n v="96.099700000000013"/>
  </r>
  <r>
    <x v="3"/>
    <s v="Oath - Verizon Media"/>
    <s v="corona_voucher-varejo-verizon-marca-display-medium_rectangle-cielo_aceita_auxilioemergencial-AS25_microempreendedor_medioempreendedor_negocios_vendasonline_donosdenegocios"/>
    <s v="277133794"/>
    <s v="Standard"/>
    <s v="varejo-verizon-marca-display-medium_rectangle-300x250-cielo_aceita_auxilioemergencial-AS25_microempreendedor_medioempreendedor_negocios_vendasonline_donosdenegocios-cpm"/>
    <s v="471312978"/>
    <s v="Display"/>
    <n v="186254"/>
    <n v="521"/>
    <n v="0.04"/>
    <n v="0.1"/>
    <n v="7.4501599999999994"/>
    <n v="18.625400000000003"/>
  </r>
  <r>
    <x v="3"/>
    <s v="Oath - Verizon Media"/>
    <s v="corona_voucher-varejo-verizon-marca-display-mobile_leaderboard-cielo_aceita_auxilioemergencial-AS25_microempreendedor_medioempreendedor_negocios_vendasonline_donosdenegocios"/>
    <s v="277133788"/>
    <s v="Standard"/>
    <s v="varejo-verizon-marca-display-mobile_leaderboard-320x50-cielo_aceita_auxilioemergencial-AS25_microempreendedor_medioempreendedor_negocios_vendasonline_donosdenegocios-cpm"/>
    <s v="471312972"/>
    <s v="Display"/>
    <n v="1844921"/>
    <n v="17552"/>
    <n v="0.04"/>
    <n v="0.1"/>
    <n v="73.796840000000003"/>
    <n v="184.49209999999999"/>
  </r>
  <r>
    <x v="3"/>
    <s v="Oath - Verizon Media"/>
    <s v="corona_voucher-varejo-verizon-marca-display-skyscraper-cielo_aceita_auxilioemergencial-AS25_microempreendedor_medioempreendedor_negocios_vendasonline_donosdenegocios"/>
    <s v="276811358"/>
    <s v="Standard"/>
    <s v="varejo-verizon-marca-display-skyscraper-160x600-cielo_aceita_auxilioemergencial-AS25_microempreendedor_medioempreendedor_negocios_vendasonline_donosdenegocios-cpm"/>
    <s v="471222254"/>
    <s v="Display"/>
    <n v="324019"/>
    <n v="717"/>
    <n v="0.04"/>
    <n v="0.1"/>
    <n v="12.960760000000001"/>
    <n v="32.401900000000005"/>
  </r>
  <r>
    <x v="3"/>
    <s v="Oath - Verizon Media"/>
    <s v="corona_voucher-varejo-verizon-marca-native-native-cielo_aceita_auxilioemergencial-AS25_microempreendedor_medioempreendedor_negocios_vendasonline_donosdenegocios"/>
    <s v="277153947"/>
    <s v="Dynamic Click"/>
    <s v="varejo-verizon-marca-native-native-627x627-cielo_aceita_auxilioemergencial-AS25_microempreendedor_medioempreendedor_negocios_vendasonline_donosdenegocios-cpm"/>
    <s v="471222929"/>
    <s v="Tracking"/>
    <n v="0"/>
    <n v="3"/>
    <n v="3.5000000000000001E-3"/>
    <n v="2.5000000000000001E-2"/>
    <n v="1.0500000000000001E-2"/>
    <n v="7.5000000000000011E-2"/>
  </r>
  <r>
    <x v="4"/>
    <s v="Oath - Verizon Media"/>
    <s v="covid19-marca-verizon-marca-display-medium_rectangle-institucional_corona-as_25_interesses_varejo"/>
    <s v="270437165"/>
    <s v="Standard"/>
    <s v="covid19-marca-verizon-marca-display-medium_rectangle-institucional_corona-as_25_interesses_varejo"/>
    <s v="465308189"/>
    <s v="Display"/>
    <n v="4"/>
    <n v="0"/>
    <n v="0.04"/>
    <n v="0.1"/>
    <n v="1.6000000000000001E-4"/>
    <n v="4.0000000000000002E-4"/>
  </r>
  <r>
    <x v="4"/>
    <s v="Oath - Verizon Media"/>
    <s v="covid19-marca-verizon-marca-social_dark-native-institucional_corona-as_25_interesses_varejo"/>
    <s v="271001565"/>
    <s v="Dynamic Click"/>
    <s v="marca-marca-social_dark-native-627x627-institucional_corona-as_25_interesses_varejo-cpm"/>
    <s v="465500034"/>
    <s v="Tracking"/>
    <n v="0"/>
    <n v="1"/>
    <n v="3.5000000000000001E-3"/>
    <n v="2.5000000000000001E-2"/>
    <n v="3.5000000000000001E-3"/>
    <n v="2.5000000000000001E-2"/>
  </r>
  <r>
    <x v="5"/>
    <s v="Google Brasil"/>
    <s v="empreendedores-empreendedores-dv360-flash-display-halfpage-empreendedores_flash_animada_bau-3rdparty_list_micro_empreendedor_individual_tailtarget_e_mei_retargetly"/>
    <s v="278044468"/>
    <s v="Standard"/>
    <s v="empreendedores-dv360-flash-display-halfpage-300x600-empreendedores_flash_animada_bau-3rdparty_list_micro_empreendedor_individual_tailtarget_e_mei_retargetly-cpm"/>
    <s v="472151857"/>
    <s v="Display"/>
    <n v="56"/>
    <n v="0"/>
    <n v="0.04"/>
    <n v="0.1"/>
    <n v="2.2400000000000002E-3"/>
    <n v="5.6000000000000008E-3"/>
  </r>
  <r>
    <x v="5"/>
    <s v="Google Brasil"/>
    <s v="empreendedores-empreendedores-dv360-flash-display-halfpage-empreendedores_flash_animada_bau-affinities_inmarket_empreendedores"/>
    <s v="276809833"/>
    <s v="Standard"/>
    <s v="empreendedores-dv360-flash-display-halfpage-300x600-empreendedores_flash_animada_bau-affinities_inmarket_empreendedores-cpm"/>
    <s v="472261701"/>
    <s v="Display"/>
    <n v="2"/>
    <n v="1"/>
    <n v="0.04"/>
    <n v="0.1"/>
    <n v="8.0000000000000007E-5"/>
    <n v="2.0000000000000001E-4"/>
  </r>
  <r>
    <x v="5"/>
    <s v="Google Brasil"/>
    <s v="empreendedores-empreendedores-dv360-flash-display-halfpage-empreendedores_flash_animada_bau-affinities_inmarket_empreendedores"/>
    <s v="277872206"/>
    <s v="Standard"/>
    <s v="empreendedores-dv360-flash-display-halfpage-300x600-empreendedores_flash_animada_bau-affinities_inmarket_empreendedores-cpm"/>
    <s v="472323048"/>
    <s v="Display"/>
    <n v="55427"/>
    <n v="4746"/>
    <n v="0.04"/>
    <n v="0.1"/>
    <n v="2.2170799999999997"/>
    <n v="5.5427000000000008"/>
  </r>
  <r>
    <x v="5"/>
    <s v="Google Brasil"/>
    <s v="empreendedores-empreendedores-dv360-flash-display-halfpage-flash_atendimento-affinities_inmarket_empreendedores"/>
    <s v="277181856"/>
    <s v="Standard"/>
    <s v="empreendedores-dv360-flash-display-halfpage-300x600-flash_atendimento-affinities_inmarket_empreendedores-cpm"/>
    <s v="471244313"/>
    <s v="Display"/>
    <n v="17263"/>
    <n v="782"/>
    <n v="0.04"/>
    <n v="0.1"/>
    <n v="0.69052000000000002"/>
    <n v="1.7263000000000002"/>
  </r>
  <r>
    <x v="5"/>
    <s v="Google Brasil"/>
    <s v="empreendedores-empreendedores-dv360-flash-display-large_mobile_banner-empreendedores_flash_animada_bau-3rdparty_list_micro_empreendedor_individual_tailtarget_e_mei_retargetly"/>
    <s v="278044459"/>
    <s v="Standard"/>
    <s v="empreendedores-dv360-flash-display-large_mobile_banner-320x100-empreendedores_flash_animada_bau-3rdparty_list_micro_empreendedor_individual_tailtarget_e_mei_retargetly-cpm"/>
    <s v="472151848"/>
    <s v="Display"/>
    <n v="58"/>
    <n v="0"/>
    <n v="0.04"/>
    <n v="0.1"/>
    <n v="2.32E-3"/>
    <n v="5.8000000000000005E-3"/>
  </r>
  <r>
    <x v="5"/>
    <s v="Google Brasil"/>
    <s v="empreendedores-empreendedores-dv360-flash-display-large_mobile_banner-empreendedores_flash_animada_bau-affinities_inmarket_empreendedores"/>
    <s v="277872197"/>
    <s v="Standard"/>
    <s v="empreendedores-dv360-flash-display-large_mobile_banner-320x100-empreendedores_flash_animada_bau-affinities_inmarket_empreendedores-cpm"/>
    <s v="472323039"/>
    <s v="Display"/>
    <n v="1904"/>
    <n v="19"/>
    <n v="0.04"/>
    <n v="0.1"/>
    <n v="7.6159999999999992E-2"/>
    <n v="0.19040000000000001"/>
  </r>
  <r>
    <x v="5"/>
    <s v="Google Brasil"/>
    <s v="empreendedores-empreendedores-dv360-flash-display-large_mobile_banner-empreendedores_flash_animada_bau-affinities_inmarket_empreendedores"/>
    <s v="278068147"/>
    <s v="Standard"/>
    <s v="empreendedores-dv360-flash-display-large_mobile_banner-320x100-empreendedores_flash_animada_bau-affinities_inmarket_empreendedores-cpm"/>
    <s v="472261692"/>
    <s v="Display"/>
    <n v="3"/>
    <n v="1"/>
    <n v="0.04"/>
    <n v="0.1"/>
    <n v="1.1999999999999999E-4"/>
    <n v="3.0000000000000003E-4"/>
  </r>
  <r>
    <x v="5"/>
    <s v="Google Brasil"/>
    <s v="empreendedores-empreendedores-dv360-flash-display-large_mobile_banner-flash_atendimento-affinities_inmarket_empreendedores"/>
    <s v="276827756"/>
    <s v="Standard"/>
    <s v="empreendedores-dv360-flash-display-large_mobile_banner-320x100-flash_atendimento-affinities_inmarket_empreendedores-cpm"/>
    <s v="471244301"/>
    <s v="Display"/>
    <n v="1946"/>
    <n v="14"/>
    <n v="0.04"/>
    <n v="0.1"/>
    <n v="7.7840000000000006E-2"/>
    <n v="0.19460000000000002"/>
  </r>
  <r>
    <x v="5"/>
    <s v="Google Brasil"/>
    <s v="empreendedores-empreendedores-dv360-flash-display-large_rectangle-empreendedores_flash_animada_bau-3rdparty_list_micro_empreendedor_individual_tailtarget_e_mei_retargetly"/>
    <s v="278044447"/>
    <s v="Standard"/>
    <s v="empreendedores-dv360-flash-display-large_rectangle-336x280-empreendedores_flash_animada_bau-3rdparty_list_micro_empreendedor_individual_tailtarget_e_mei_retargetly-cpm"/>
    <s v="472151836"/>
    <s v="Display"/>
    <n v="8"/>
    <n v="0"/>
    <n v="0.04"/>
    <n v="0.1"/>
    <n v="3.2000000000000003E-4"/>
    <n v="8.0000000000000004E-4"/>
  </r>
  <r>
    <x v="5"/>
    <s v="Google Brasil"/>
    <s v="empreendedores-empreendedores-dv360-flash-display-large_rectangle-empreendedores_flash_animada_bau-affinities_inmarket_empreendedores"/>
    <s v="277872191"/>
    <s v="Standard"/>
    <s v="empreendedores-dv360-flash-display-large_rectangle-336x280-empreendedores_flash_animada_bau-affinities_inmarket_empreendedores-cpm"/>
    <s v="472323033"/>
    <s v="Display"/>
    <n v="29244"/>
    <n v="2007"/>
    <n v="0.04"/>
    <n v="0.1"/>
    <n v="1.1697599999999999"/>
    <n v="2.9243999999999999"/>
  </r>
  <r>
    <x v="5"/>
    <s v="Google Brasil"/>
    <s v="empreendedores-empreendedores-dv360-flash-display-large_rectangle-empreendedores_flash_animada_bau-affinities_inmarket_empreendedores"/>
    <s v="278068135"/>
    <s v="Standard"/>
    <s v="empreendedores-dv360-flash-display-large_rectangle-336x280-empreendedores_flash_animada_bau-affinities_inmarket_empreendedores-cpm"/>
    <s v="472261680"/>
    <s v="Display"/>
    <n v="21029"/>
    <n v="2416"/>
    <n v="0.04"/>
    <n v="0.1"/>
    <n v="0.84116000000000002"/>
    <n v="2.1029"/>
  </r>
  <r>
    <x v="5"/>
    <s v="Google Brasil"/>
    <s v="empreendedores-empreendedores-dv360-flash-display-large_rectangle-flash_atendimento-affinities_inmarket_empreendedores"/>
    <s v="276827759"/>
    <s v="Standard"/>
    <s v="empreendedores-dv360-flash-display-large_rectangle-336x280-flash_atendimento-affinities_inmarket_empreendedores-cpm"/>
    <s v="471244304"/>
    <s v="Display"/>
    <n v="24845"/>
    <n v="910"/>
    <n v="0.04"/>
    <n v="0.1"/>
    <n v="0.99380000000000002"/>
    <n v="2.4845000000000002"/>
  </r>
  <r>
    <x v="5"/>
    <s v="Google Brasil"/>
    <s v="empreendedores-empreendedores-dv360-flash-display-leaderboard-empreendedores_flash_animada_bau-3rdparty_list_micro_empreendedor_individual_tailtarget_e_mei_retargetly"/>
    <s v="278044462"/>
    <s v="Standard"/>
    <s v="empreendedores-dv360-flash-display-leaderboard-728x90-empreendedores_flash_animada_bau-3rdparty_list_micro_empreendedor_individual_tailtarget_e_mei_retargetly-cpm"/>
    <s v="472151851"/>
    <s v="Display"/>
    <n v="221"/>
    <n v="2"/>
    <n v="0.04"/>
    <n v="0.1"/>
    <n v="8.8400000000000006E-3"/>
    <n v="2.2100000000000002E-2"/>
  </r>
  <r>
    <x v="5"/>
    <s v="Google Brasil"/>
    <s v="empreendedores-empreendedores-dv360-flash-display-leaderboard-empreendedores_flash_animada_bau-affinities_inmarket_empreendedores"/>
    <s v="277872200"/>
    <s v="Standard"/>
    <s v="empreendedores-dv360-flash-display-leaderboard-728x90-empreendedores_flash_animada_bau-affinities_inmarket_empreendedores-cpm"/>
    <s v="472323042"/>
    <s v="Display"/>
    <n v="794"/>
    <n v="3"/>
    <n v="0.04"/>
    <n v="0.1"/>
    <n v="3.1760000000000004E-2"/>
    <n v="7.9400000000000012E-2"/>
  </r>
  <r>
    <x v="5"/>
    <s v="Google Brasil"/>
    <s v="empreendedores-empreendedores-dv360-flash-display-leaderboard-empreendedores_flash_animada_bau-affinities_inmarket_empreendedores"/>
    <s v="278068150"/>
    <s v="Standard"/>
    <s v="empreendedores-dv360-flash-display-leaderboard-728x90-empreendedores_flash_animada_bau-affinities_inmarket_empreendedores-cpm"/>
    <s v="472261695"/>
    <s v="Display"/>
    <n v="21"/>
    <n v="1"/>
    <n v="0.04"/>
    <n v="0.1"/>
    <n v="8.3999999999999993E-4"/>
    <n v="2.1000000000000003E-3"/>
  </r>
  <r>
    <x v="5"/>
    <s v="Google Brasil"/>
    <s v="empreendedores-empreendedores-dv360-flash-display-leaderboard-flash_atendimento-affinities_inmarket_empreendedores"/>
    <s v="276827762"/>
    <s v="Standard"/>
    <s v="empreendedores-dv360-flash-display-leaderboard-728x90-flash_atendimento-affinities_inmarket_empreendedores-cpm"/>
    <s v="471244307"/>
    <s v="Display"/>
    <n v="34"/>
    <n v="0"/>
    <n v="0.04"/>
    <n v="0.1"/>
    <n v="1.3600000000000001E-3"/>
    <n v="3.4000000000000002E-3"/>
  </r>
  <r>
    <x v="5"/>
    <s v="Google Brasil"/>
    <s v="empreendedores-empreendedores-dv360-flash-display-medium_rectangle-empreendedores_flash_animada_bau-3rdparty_list_micro_empreendedor_individual_tailtarget_e_mei_retargetly"/>
    <s v="278044465"/>
    <s v="Standard"/>
    <s v="empreendedores-dv360-flash-display-medium_rectangle-300x250-empreendedores_flash_animada_bau-3rdparty_list_micro_empreendedor_individual_tailtarget_e_mei_retargetly-cpm"/>
    <s v="472151854"/>
    <s v="Display"/>
    <n v="109"/>
    <n v="0"/>
    <n v="0.04"/>
    <n v="0.1"/>
    <n v="4.3600000000000002E-3"/>
    <n v="1.09E-2"/>
  </r>
  <r>
    <x v="5"/>
    <s v="Google Brasil"/>
    <s v="empreendedores-empreendedores-dv360-flash-display-medium_rectangle-empreendedores_flash_animada_bau-affinities_inmarket_empreendedores"/>
    <s v="277872203"/>
    <s v="Standard"/>
    <s v="empreendedores-dv360-flash-display-medium_rectangle-300x250-empreendedores_flash_animada_bau-affinities_inmarket_empreendedores-cpm"/>
    <s v="472323045"/>
    <s v="Display"/>
    <n v="3996"/>
    <n v="409"/>
    <n v="0.04"/>
    <n v="0.1"/>
    <n v="0.15984000000000001"/>
    <n v="0.39960000000000001"/>
  </r>
  <r>
    <x v="5"/>
    <s v="Google Brasil"/>
    <s v="empreendedores-empreendedores-dv360-flash-display-medium_rectangle-empreendedores_flash_animada_bau-affinities_inmarket_empreendedores"/>
    <s v="278068153"/>
    <s v="Standard"/>
    <s v="empreendedores-dv360-flash-display-medium_rectangle-300x250-empreendedores_flash_animada_bau-affinities_inmarket_empreendedores-cpm"/>
    <s v="472261698"/>
    <s v="Display"/>
    <n v="3191"/>
    <n v="375"/>
    <n v="0.04"/>
    <n v="0.1"/>
    <n v="0.12764"/>
    <n v="0.31910000000000005"/>
  </r>
  <r>
    <x v="5"/>
    <s v="Google Brasil"/>
    <s v="empreendedores-empreendedores-dv360-flash-display-medium_rectangle-flash_atendimento-affinities_inmarket_empreendedores"/>
    <s v="277181853"/>
    <s v="Standard"/>
    <s v="empreendedores-dv360-flash-display-medium_rectangle-300x250-flash_atendimento-affinities_inmarket_empreendedores-cpm"/>
    <s v="471244310"/>
    <s v="Display"/>
    <n v="15040"/>
    <n v="51"/>
    <n v="0.04"/>
    <n v="0.1"/>
    <n v="0.60160000000000002"/>
    <n v="1.504"/>
  </r>
  <r>
    <x v="5"/>
    <s v="Google Brasil"/>
    <s v="empreendedores-empreendedores-dv360-flash-display-mobile_leaderboard-empreendedores_flash_animada_bau-3rdparty_list_micro_empreendedor_individual_tailtarget_e_mei_retargetly"/>
    <s v="278044456"/>
    <s v="Standard"/>
    <s v="empreendedores-dv360-flash-display-mobile_leaderboard-320x50-empreendedores_flash_animada_bau-3rdparty_list_micro_empreendedor_individual_tailtarget_e_mei_retargetly-cpm"/>
    <s v="472151845"/>
    <s v="Display"/>
    <n v="1266"/>
    <n v="3"/>
    <n v="0.04"/>
    <n v="0.1"/>
    <n v="5.0639999999999998E-2"/>
    <n v="0.12660000000000002"/>
  </r>
  <r>
    <x v="5"/>
    <s v="Google Brasil"/>
    <s v="empreendedores-empreendedores-dv360-flash-display-mobile_leaderboard-empreendedores_flash_animada_bau-affinities_inmarket_empreendedores"/>
    <s v="277872194"/>
    <s v="Standard"/>
    <s v="empreendedores-dv360-flash-display-mobile_leaderboard-320x50-empreendedores_flash_animada_bau-affinities_inmarket_empreendedores-cpm"/>
    <s v="472323036"/>
    <s v="Display"/>
    <n v="3"/>
    <n v="0"/>
    <n v="0.04"/>
    <n v="0.1"/>
    <n v="1.1999999999999999E-4"/>
    <n v="3.0000000000000003E-4"/>
  </r>
  <r>
    <x v="5"/>
    <s v="Google Brasil"/>
    <s v="empreendedores-empreendedores-dv360-flash-display-mobile_leaderboard-empreendedores_flash_animada_bau-affinities_inmarket_empreendedores"/>
    <s v="278068144"/>
    <s v="Standard"/>
    <s v="empreendedores-dv360-flash-display-mobile_leaderboard-320x50-empreendedores_flash_animada_bau-affinities_inmarket_empreendedores-cpm"/>
    <s v="472261689"/>
    <s v="Display"/>
    <n v="1"/>
    <n v="1"/>
    <n v="0.04"/>
    <n v="0.1"/>
    <n v="4.0000000000000003E-5"/>
    <n v="1E-4"/>
  </r>
  <r>
    <x v="5"/>
    <s v="Google Brasil"/>
    <s v="empreendedores-empreendedores-dv360-flash-display-mobile_leaderboard-flash_atendimento-affinities_inmarket_empreendedores"/>
    <s v="276827753"/>
    <s v="Standard"/>
    <s v="empreendedores-dv360-flash-display-mobile_leaderboard-320x50-flash_atendimento-affinities_inmarket_empreendedores-cpm"/>
    <s v="471244298"/>
    <s v="Display"/>
    <n v="2907"/>
    <n v="8"/>
    <n v="0.04"/>
    <n v="0.1"/>
    <n v="0.11627999999999999"/>
    <n v="0.29070000000000001"/>
  </r>
  <r>
    <x v="5"/>
    <s v="Google Brasil"/>
    <s v="empreendedores-empreendedores-dv360-flash-display-small_rectangle-empreendedores_flash_animada_bau-3rdparty_list_micro_empreendedor_individual_tailtarget_e_mei_retargetly"/>
    <s v="278044453"/>
    <s v="Standard"/>
    <s v="empreendedores-dv360-flash-display-small_rectangle-180x150-empreendedores_flash_animada_bau-3rdparty_list_micro_empreendedor_individual_tailtarget_e_mei_retargetly-cpm"/>
    <s v="472151842"/>
    <s v="Display"/>
    <n v="6"/>
    <n v="0"/>
    <n v="0.04"/>
    <n v="0.1"/>
    <n v="2.3999999999999998E-4"/>
    <n v="6.0000000000000006E-4"/>
  </r>
  <r>
    <x v="5"/>
    <s v="Google Brasil"/>
    <s v="empreendedores-empreendedores-dv360-flash-display-small_rectangle-empreendedores_flash_animada_bau-affinities_inmarket_empreendedores"/>
    <s v="277872188"/>
    <s v="Standard"/>
    <s v="empreendedores-dv360-flash-display-small_rectangle-180x150-empreendedores_flash_animada_bau-affinities_inmarket_empreendedores-cpm"/>
    <s v="472323030"/>
    <s v="Display"/>
    <n v="2184"/>
    <n v="42"/>
    <n v="0.04"/>
    <n v="0.1"/>
    <n v="8.7359999999999993E-2"/>
    <n v="0.21840000000000001"/>
  </r>
  <r>
    <x v="5"/>
    <s v="Google Brasil"/>
    <s v="empreendedores-empreendedores-dv360-flash-display-small_rectangle-empreendedores_flash_animada_bau-affinities_inmarket_empreendedores"/>
    <s v="278068141"/>
    <s v="Standard"/>
    <s v="empreendedores-dv360-flash-display-small_rectangle-180x150-empreendedores_flash_animada_bau-affinities_inmarket_empreendedores-cpm"/>
    <s v="472261686"/>
    <s v="Display"/>
    <n v="1"/>
    <n v="1"/>
    <n v="0.04"/>
    <n v="0.1"/>
    <n v="4.0000000000000003E-5"/>
    <n v="1E-4"/>
  </r>
  <r>
    <x v="5"/>
    <s v="Google Brasil"/>
    <s v="empreendedores-empreendedores-dv360-flash-display-wide_skyscraper-empreendedores_flash_animada_bau-3rdparty_list_micro_empreendedor_individual_tailtarget_e_mei_retargetly"/>
    <s v="278044450"/>
    <s v="Standard"/>
    <s v="empreendedores-dv360-flash-display-wide_skyscraper-160x600-empreendedores_flash_animada_bau-3rdparty_list_micro_empreendedor_individual_tailtarget_e_mei_retargetly-cpm"/>
    <s v="472151839"/>
    <s v="Display"/>
    <n v="117"/>
    <n v="2"/>
    <n v="0.04"/>
    <n v="0.1"/>
    <n v="4.6800000000000001E-3"/>
    <n v="1.17E-2"/>
  </r>
  <r>
    <x v="5"/>
    <s v="Google Brasil"/>
    <s v="empreendedores-empreendedores-dv360-flash-display-wide_skyscraper-empreendedores_flash_animada_bau-affinities_inmarket_empreendedores"/>
    <s v="277872185"/>
    <s v="Standard"/>
    <s v="empreendedores-dv360-flash-display-wide_skyscraper-160x600-empreendedores_flash_animada_bau-affinities_inmarket_empreendedores-cpm"/>
    <s v="472323027"/>
    <s v="Display"/>
    <n v="26"/>
    <n v="1"/>
    <n v="0.04"/>
    <n v="0.1"/>
    <n v="1.0400000000000001E-3"/>
    <n v="2.5999999999999999E-3"/>
  </r>
  <r>
    <x v="5"/>
    <s v="Google Brasil"/>
    <s v="empreendedores-empreendedores-dv360-flash-display-wide_skyscraper-empreendedores_flash_animada_bau-affinities_inmarket_empreendedores"/>
    <s v="278068138"/>
    <s v="Standard"/>
    <s v="empreendedores-dv360-flash-display-wide_skyscraper-160x600-empreendedores_flash_animada_bau-affinities_inmarket_empreendedores-cpm"/>
    <s v="472261683"/>
    <s v="Display"/>
    <n v="1"/>
    <n v="1"/>
    <n v="0.04"/>
    <n v="0.1"/>
    <n v="4.0000000000000003E-5"/>
    <n v="1E-4"/>
  </r>
  <r>
    <x v="5"/>
    <s v="Google Brasil"/>
    <s v="empreendedores-empreendedores-dv360-flash-display-wide_skyscraper-flash_atendimento-affinities_inmarket_empreendedores"/>
    <s v="276827747"/>
    <s v="Standard"/>
    <s v="empreendedores-dv360-flash-display-wide_skyscraper-160x600-flash_atendimento-affinities_inmarket_empreendedores-cpm"/>
    <s v="471244292"/>
    <s v="Display"/>
    <n v="3"/>
    <n v="1"/>
    <n v="0.04"/>
    <n v="0.1"/>
    <n v="1.1999999999999999E-4"/>
    <n v="3.0000000000000003E-4"/>
  </r>
  <r>
    <x v="5"/>
    <s v="Google Brasil"/>
    <s v="empreendedores-empreendedores-dv360-lio+-display-halfpage-empreendedores_lio_mais-3rdparty_list_micro_empreendedor_individual_tailtarget_e_mei_retargetly"/>
    <s v="276492755"/>
    <s v="Standard"/>
    <s v="empreendedores-dv360-lio+-display-halfpage-300x600-empreendedores_lio_mais-3rdparty_list_micro_empreendedor_individual_tailtarget_e_mei_retargetly-cpm"/>
    <s v="470905502"/>
    <s v="Display"/>
    <n v="12215"/>
    <n v="66"/>
    <n v="0.04"/>
    <n v="0.1"/>
    <n v="0.48860000000000003"/>
    <n v="1.2215"/>
  </r>
  <r>
    <x v="5"/>
    <s v="Google Brasil"/>
    <s v="empreendedores-empreendedores-dv360-lio+-display-halfpage-empreendedores_lio_mais-affinities_inmarket_empreendedores"/>
    <s v="277154772"/>
    <s v="Standard"/>
    <s v="empreendedores-dv360-lio+-display-halfpage-300x600-empreendedores_lio_mais-affinities_inmarket_empreendedores-cpm"/>
    <s v="471313221"/>
    <s v="Display"/>
    <n v="232223"/>
    <n v="26658"/>
    <n v="0.04"/>
    <n v="0.1"/>
    <n v="9.288920000000001"/>
    <n v="23.222300000000004"/>
  </r>
  <r>
    <x v="5"/>
    <s v="Google Brasil"/>
    <s v="empreendedores-empreendedores-dv360-lio+-display-halfpage-empreendedores_lio_mais-affinities_inmarket_empreendedores"/>
    <s v="277872239"/>
    <s v="Standard"/>
    <s v="empreendedores-dv360-lio+-display-halfpage-300x600-empreendedores_lio_mais-affinities_inmarket_empreendedores-cpm"/>
    <s v="472325181"/>
    <s v="Display"/>
    <n v="2309"/>
    <n v="178"/>
    <n v="0.04"/>
    <n v="0.1"/>
    <n v="9.2359999999999998E-2"/>
    <n v="0.23089999999999999"/>
  </r>
  <r>
    <x v="5"/>
    <s v="Google Brasil"/>
    <s v="empreendedores-empreendedores-dv360-lio+-display-large_mobile_banner-empreendedores_lio_mais-3rdparty_list_micro_empreendedor_individual_tailtarget_e_mei_retargetly"/>
    <s v="276492743"/>
    <s v="Standard"/>
    <s v="empreendedores-dv360-lio+-display-large_mobile_banner-320x100-empreendedores_lio_mais-3rdparty_list_micro_empreendedor_individual_tailtarget_e_mei_retargetly-cpm"/>
    <s v="470905490"/>
    <s v="Display"/>
    <n v="107562"/>
    <n v="441"/>
    <n v="0.04"/>
    <n v="0.1"/>
    <n v="4.3024800000000001"/>
    <n v="10.756200000000002"/>
  </r>
  <r>
    <x v="5"/>
    <s v="Google Brasil"/>
    <s v="empreendedores-empreendedores-dv360-lio+-display-large_mobile_banner-empreendedores_lio_mais-affinities_inmarket_empreendedores"/>
    <s v="277154757"/>
    <s v="Standard"/>
    <s v="empreendedores-dv360-lio+-display-large_mobile_banner-320x100-empreendedores_lio_mais-affinities_inmarket_empreendedores-cpm"/>
    <s v="471313206"/>
    <s v="Display"/>
    <n v="12187"/>
    <n v="78"/>
    <n v="0.04"/>
    <n v="0.1"/>
    <n v="0.48748000000000002"/>
    <n v="1.2187000000000001"/>
  </r>
  <r>
    <x v="5"/>
    <s v="Google Brasil"/>
    <s v="empreendedores-empreendedores-dv360-lio+-display-large_mobile_banner-empreendedores_lio_mais-affinities_inmarket_empreendedores"/>
    <s v="277872209"/>
    <s v="Standard"/>
    <s v="empreendedores-dv360-lio+-display-large_mobile_banner-320x100-empreendedores_lio_mais-affinities_inmarket_empreendedores-cpm"/>
    <s v="472323051"/>
    <s v="Display"/>
    <n v="836"/>
    <n v="10"/>
    <n v="0.04"/>
    <n v="0.1"/>
    <n v="3.3439999999999998E-2"/>
    <n v="8.3600000000000008E-2"/>
  </r>
  <r>
    <x v="5"/>
    <s v="Google Brasil"/>
    <s v="empreendedores-empreendedores-dv360-lio+-display-large_rectangle-empreendedores_lio_mais-3rdparty_list_micro_empreendedor_individual_tailtarget_e_mei_retargetly"/>
    <s v="276492740"/>
    <s v="Standard"/>
    <s v="empreendedores-dv360-lio+-display-large_rectangle-336x280-empreendedores_lio_mais-3rdparty_list_micro_empreendedor_individual_tailtarget_e_mei_retargetly-cpm"/>
    <s v="470905487"/>
    <s v="Display"/>
    <n v="135212"/>
    <n v="295"/>
    <n v="0.04"/>
    <n v="0.1"/>
    <n v="5.4084800000000008"/>
    <n v="13.5212"/>
  </r>
  <r>
    <x v="5"/>
    <s v="Google Brasil"/>
    <s v="empreendedores-empreendedores-dv360-lio+-display-large_rectangle-empreendedores_lio_mais-affinities_inmarket_empreendedores"/>
    <s v="277154763"/>
    <s v="Standard"/>
    <s v="empreendedores-dv360-lio+-display-large_rectangle-336x280-empreendedores_lio_mais-affinities_inmarket_empreendedores-cpm"/>
    <s v="471313212"/>
    <s v="Display"/>
    <n v="37761"/>
    <n v="3670"/>
    <n v="0.04"/>
    <n v="0.1"/>
    <n v="1.51044"/>
    <n v="3.7761000000000005"/>
  </r>
  <r>
    <x v="5"/>
    <s v="Google Brasil"/>
    <s v="empreendedores-empreendedores-dv360-lio+-display-large_rectangle-empreendedores_lio_mais-affinities_inmarket_empreendedores"/>
    <s v="277154778"/>
    <s v="Standard"/>
    <s v="empreendedores-dv360-lio+-display-large_rectangle-336x280-empreendedores_lio_mais-affinities_inmarket_empreendedores-cpm"/>
    <s v="471313227"/>
    <s v="Display"/>
    <n v="8966"/>
    <n v="363"/>
    <n v="0.04"/>
    <n v="0.1"/>
    <n v="0.35863999999999996"/>
    <n v="0.89660000000000006"/>
  </r>
  <r>
    <x v="5"/>
    <s v="Google Brasil"/>
    <s v="empreendedores-empreendedores-dv360-lio+-display-large_rectangle-empreendedores_lio_mais-affinities_inmarket_empreendedores"/>
    <s v="277872221"/>
    <s v="Standard"/>
    <s v="empreendedores-dv360-lio+-display-large_rectangle-336x280-empreendedores_lio_mais-affinities_inmarket_empreendedores-cpm"/>
    <s v="472323063"/>
    <s v="Display"/>
    <n v="22452"/>
    <n v="1345"/>
    <n v="0.04"/>
    <n v="0.1"/>
    <n v="0.89807999999999999"/>
    <n v="2.2452000000000001"/>
  </r>
  <r>
    <x v="5"/>
    <s v="Google Brasil"/>
    <s v="empreendedores-empreendedores-dv360-lio+-display-leaderboard-empreendedores_lio_mais-3rdparty_list_micro_empreendedor_individual_tailtarget_e_mei_retargetly"/>
    <s v="276492749"/>
    <s v="Standard"/>
    <s v="empreendedores-dv360-lio+-display-leaderboard-728x90-empreendedores_lio_mais-3rdparty_list_micro_empreendedor_individual_tailtarget_e_mei_retargetly-cpm"/>
    <s v="470905496"/>
    <s v="Display"/>
    <n v="6852"/>
    <n v="7"/>
    <n v="0.04"/>
    <n v="0.1"/>
    <n v="0.27407999999999999"/>
    <n v="0.68520000000000003"/>
  </r>
  <r>
    <x v="5"/>
    <s v="Google Brasil"/>
    <s v="empreendedores-empreendedores-dv360-lio+-display-leaderboard-empreendedores_lio_mais-affinities_inmarket_empreendedores"/>
    <s v="277154766"/>
    <s v="Standard"/>
    <s v="empreendedores-dv360-lio+-display-leaderboard-728x90-empreendedores_lio_mais-affinities_inmarket_empreendedores-cpm"/>
    <s v="471313215"/>
    <s v="Display"/>
    <n v="240"/>
    <n v="1"/>
    <n v="0.04"/>
    <n v="0.1"/>
    <n v="9.5999999999999992E-3"/>
    <n v="2.4E-2"/>
  </r>
  <r>
    <x v="5"/>
    <s v="Google Brasil"/>
    <s v="empreendedores-empreendedores-dv360-lio+-display-leaderboard-empreendedores_lio_mais-affinities_inmarket_empreendedores"/>
    <s v="277872227"/>
    <s v="Standard"/>
    <s v="empreendedores-dv360-lio+-display-leaderboard-728x90-empreendedores_lio_mais-affinities_inmarket_empreendedores-cpm"/>
    <s v="472323069"/>
    <s v="Display"/>
    <n v="257"/>
    <n v="1"/>
    <n v="0.04"/>
    <n v="0.1"/>
    <n v="1.0279999999999999E-2"/>
    <n v="2.5700000000000004E-2"/>
  </r>
  <r>
    <x v="5"/>
    <s v="Google Brasil"/>
    <s v="empreendedores-empreendedores-dv360-lio+-display-medium_rectangle-empreendedores_lio_mais-3rdparty_list_micro_empreendedor_individual_tailtarget_e_mei_retargetly"/>
    <s v="276492758"/>
    <s v="Standard"/>
    <s v="300x250 Default Web Ad"/>
    <s v="470969776"/>
    <s v="Display"/>
    <n v="1"/>
    <n v="0"/>
    <n v="0.04"/>
    <n v="0.1"/>
    <n v="4.0000000000000003E-5"/>
    <n v="1E-4"/>
  </r>
  <r>
    <x v="5"/>
    <s v="Google Brasil"/>
    <s v="empreendedores-empreendedores-dv360-lio+-display-medium_rectangle-empreendedores_lio_mais-3rdparty_list_micro_empreendedor_individual_tailtarget_e_mei_retargetly"/>
    <s v="276492758"/>
    <s v="Standard"/>
    <s v="empreendedores-dv360-lio+-display-medium_rectangle-300x250-empreendedores_lio_mais-3rdparty_list_micro_empreendedor_individual_tailtarget_e_mei_retargetly-cpm"/>
    <s v="470905505"/>
    <s v="Display"/>
    <n v="144165"/>
    <n v="544"/>
    <n v="0.04"/>
    <n v="0.1"/>
    <n v="5.7666000000000004"/>
    <n v="14.416499999999999"/>
  </r>
  <r>
    <x v="5"/>
    <s v="Google Brasil"/>
    <s v="empreendedores-empreendedores-dv360-lio+-display-medium_rectangle-empreendedores_lio_mais-affinities_inmarket_empreendedores"/>
    <s v="277154775"/>
    <s v="Standard"/>
    <s v="empreendedores-dv360-lio+-display-medium_rectangle-300x250-empreendedores_lio_mais-affinities_inmarket_empreendedores-cpm"/>
    <s v="471313224"/>
    <s v="Display"/>
    <n v="9283"/>
    <n v="447"/>
    <n v="0.04"/>
    <n v="0.1"/>
    <n v="0.37131999999999998"/>
    <n v="0.92830000000000001"/>
  </r>
  <r>
    <x v="5"/>
    <s v="Google Brasil"/>
    <s v="empreendedores-empreendedores-dv360-lio+-display-medium_rectangle-empreendedores_lio_mais-affinities_inmarket_empreendedores"/>
    <s v="277872245"/>
    <s v="Standard"/>
    <s v="empreendedores-dv360-lio+-display-medium_rectangle-300x250-empreendedores_lio_mais-affinities_inmarket_empreendedores-cpm"/>
    <s v="472325187"/>
    <s v="Display"/>
    <n v="2983"/>
    <n v="229"/>
    <n v="0.04"/>
    <n v="0.1"/>
    <n v="0.11932000000000001"/>
    <n v="0.29830000000000001"/>
  </r>
  <r>
    <x v="5"/>
    <s v="Google Brasil"/>
    <s v="empreendedores-empreendedores-dv360-lio+-display-mobile_leaderboard-empreendedores_lio_mais-3rdparty_list_micro_empreendedor_individual_tailtarget_e_mei_retargetly"/>
    <s v="276492752"/>
    <s v="Standard"/>
    <s v="empreendedores-dv360-lio+-display-mobile_leaderboard-320x50-empreendedores_lio_mais-3rdparty_list_micro_empreendedor_individual_tailtarget_e_mei_retargetly-cpm"/>
    <s v="470905499"/>
    <s v="Display"/>
    <n v="60168"/>
    <n v="167"/>
    <n v="0.04"/>
    <n v="0.1"/>
    <n v="2.4067200000000004"/>
    <n v="6.0167999999999999"/>
  </r>
  <r>
    <x v="5"/>
    <s v="Google Brasil"/>
    <s v="empreendedores-empreendedores-dv360-lio+-display-mobile_leaderboard-empreendedores_lio_mais-affinities_inmarket_empreendedores"/>
    <s v="277154769"/>
    <s v="Standard"/>
    <s v="empreendedores-dv360-lio+-display-mobile_leaderboard-320x50-empreendedores_lio_mais-affinities_inmarket_empreendedores-cpm"/>
    <s v="471313218"/>
    <s v="Display"/>
    <n v="5795"/>
    <n v="34"/>
    <n v="0.04"/>
    <n v="0.1"/>
    <n v="0.23180000000000001"/>
    <n v="0.57950000000000002"/>
  </r>
  <r>
    <x v="5"/>
    <s v="Google Brasil"/>
    <s v="empreendedores-empreendedores-dv360-lio+-display-mobile_leaderboard-empreendedores_lio_mais-affinities_inmarket_empreendedores"/>
    <s v="277872233"/>
    <s v="Standard"/>
    <s v="empreendedores-dv360-lio+-display-mobile_leaderboard-320x50-empreendedores_lio_mais-affinities_inmarket_empreendedores-cpm"/>
    <s v="472323075"/>
    <s v="Display"/>
    <n v="3"/>
    <n v="0"/>
    <n v="0.04"/>
    <n v="0.1"/>
    <n v="1.1999999999999999E-4"/>
    <n v="3.0000000000000003E-4"/>
  </r>
  <r>
    <x v="5"/>
    <s v="Google Brasil"/>
    <s v="empreendedores-empreendedores-dv360-lio+-display-small_rectangle-empreendedores_lio_mais-3rdparty_list_micro_empreendedor_individual_tailtarget_e_mei_retargetly"/>
    <s v="276492746"/>
    <s v="Standard"/>
    <s v="empreendedores-dv360-lio+-display-small_rectangle-180x150-empreendedores_lio_mais-3rdparty_list_micro_empreendedor_individual_tailtarget_e_mei_retargetly-cpm"/>
    <s v="470905493"/>
    <s v="Display"/>
    <n v="8936"/>
    <n v="13"/>
    <n v="0.04"/>
    <n v="0.1"/>
    <n v="0.35743999999999998"/>
    <n v="0.89360000000000006"/>
  </r>
  <r>
    <x v="5"/>
    <s v="Google Brasil"/>
    <s v="empreendedores-empreendedores-dv360-lio+-display-small_rectangle-empreendedores_lio_mais-affinities_inmarket_empreendedores"/>
    <s v="277154760"/>
    <s v="Standard"/>
    <s v="empreendedores-dv360-lio+-display-small_rectangle-180x150-empreendedores_lio_mais-affinities_inmarket_empreendedores-cpm"/>
    <s v="471313209"/>
    <s v="Display"/>
    <n v="2"/>
    <n v="0"/>
    <n v="0.04"/>
    <n v="0.1"/>
    <n v="8.0000000000000007E-5"/>
    <n v="2.0000000000000001E-4"/>
  </r>
  <r>
    <x v="5"/>
    <s v="Google Brasil"/>
    <s v="empreendedores-empreendedores-dv360-lio+-display-small_rectangle-empreendedores_lio_mais-affinities_inmarket_empreendedores"/>
    <s v="277872215"/>
    <s v="Standard"/>
    <s v="empreendedores-dv360-lio+-display-small_rectangle-180x150-empreendedores_lio_mais-affinities_inmarket_empreendedores-cpm"/>
    <s v="472323057"/>
    <s v="Display"/>
    <n v="6"/>
    <n v="1"/>
    <n v="0.04"/>
    <n v="0.1"/>
    <n v="2.3999999999999998E-4"/>
    <n v="6.0000000000000006E-4"/>
  </r>
  <r>
    <x v="5"/>
    <s v="Google Brasil"/>
    <s v="empreendedores-empreendedores-dv360-lio+-display-wide_skyscraper-empreendedores_lio_mais-3rdparty_list_micro_empreendedor_individual_tailtarget_e_mei_retargetly"/>
    <s v="276858573"/>
    <s v="Standard"/>
    <s v="empreendedores-dv360-lio+-display-wide_skyscraper-160x600-empreendedores_lio_mais-3rdparty_list_micro_empreendedor_individual_tailtarget_e_mei_retargetly-cpm"/>
    <s v="471029694"/>
    <s v="Display"/>
    <n v="3513"/>
    <n v="1"/>
    <n v="0.04"/>
    <n v="0.1"/>
    <n v="0.14052000000000001"/>
    <n v="0.3513"/>
  </r>
  <r>
    <x v="5"/>
    <s v="Google Brasil"/>
    <s v="empreendedores-empreendedores-dv360-lio+-display-wide_skyscraper-empreendedores_lio_mais-affinities_inmarket_empreendedores"/>
    <s v="277154781"/>
    <s v="Standard"/>
    <s v="empreendedores-dv360-lio+-display-wide_skyscraper-160x600-empreendedores_lio_mais-affinities_inmarket_empreendedores-cpm"/>
    <s v="471313230"/>
    <s v="Display"/>
    <n v="31"/>
    <n v="1"/>
    <n v="0.04"/>
    <n v="0.1"/>
    <n v="1.24E-3"/>
    <n v="3.0999999999999999E-3"/>
  </r>
  <r>
    <x v="5"/>
    <s v="Google Brasil"/>
    <s v="empreendedores-empreendedores-dv360-lio+-display-wide_skyscraper-empreendedores_lio_mais-affinities_inmarket_empreendedores"/>
    <s v="277872251"/>
    <s v="Standard"/>
    <s v="empreendedores-dv360-lio+-display-wide_skyscraper-160x600-empreendedores_lio_mais-affinities_inmarket_empreendedores-cpm"/>
    <s v="472325193"/>
    <s v="Display"/>
    <n v="15"/>
    <n v="0"/>
    <n v="0.04"/>
    <n v="0.1"/>
    <n v="5.9999999999999995E-4"/>
    <n v="1.5E-3"/>
  </r>
  <r>
    <x v="5"/>
    <s v="Google Brasil"/>
    <s v="empreendedores-empreendedores-dv360-lio+-native-native-empreendedores_lio_mais-3rdparty_list_micro_empreendedor_individual_tailtarget_e_mei_retargetly"/>
    <s v="276862764"/>
    <s v="Dynamic Click"/>
    <s v="empreendedores-dv360-lio+-native-native-627x627-empreendedores_lio_mais-3rdparty_list_micro_empreendedor_individual_tailtarget_e_mei_retargetly-cpm"/>
    <s v="471033231"/>
    <s v="Tracking"/>
    <n v="0"/>
    <n v="1"/>
    <n v="3.5000000000000001E-3"/>
    <n v="2.5000000000000001E-2"/>
    <n v="3.5000000000000001E-3"/>
    <n v="2.5000000000000001E-2"/>
  </r>
  <r>
    <x v="5"/>
    <s v="Google Brasil"/>
    <s v="empreendedores-empreendedores-dv360-zip-display-halfpage-empreendedores_zip_animada_bau-3rdparty_list_micro_empreendedor_individual_tailtarget_e_mei_retargetly"/>
    <s v="278044489"/>
    <s v="Standard"/>
    <s v="empreendedores-dv360-zip-display-halfpage-300x600-empreendedores_zip_animada_bau-3rdparty_list_micro_empreendedor_individual_tailtarget_e_mei_retargetly-cpm"/>
    <s v="472151878"/>
    <s v="Display"/>
    <n v="2"/>
    <n v="0"/>
    <n v="0.04"/>
    <n v="0.1"/>
    <n v="8.0000000000000007E-5"/>
    <n v="2.0000000000000001E-4"/>
  </r>
  <r>
    <x v="5"/>
    <s v="Google Brasil"/>
    <s v="empreendedores-empreendedores-dv360-zip-display-halfpage-empreendedores_zip_animada_bau-affinities_inmarket_empreendedores"/>
    <s v="277872254"/>
    <s v="Standard"/>
    <s v="empreendedores-dv360-zip-display-halfpage-300x600-empreendedores_zip_animada_bau-affinities_inmarket_empreendedores-cpm"/>
    <s v="472325196"/>
    <s v="Display"/>
    <n v="1710"/>
    <n v="206"/>
    <n v="0.04"/>
    <n v="0.1"/>
    <n v="6.8400000000000002E-2"/>
    <n v="0.17100000000000001"/>
  </r>
  <r>
    <x v="5"/>
    <s v="Google Brasil"/>
    <s v="empreendedores-empreendedores-dv360-zip-display-halfpage-empreendedores_zip_animada_bau-affinities_inmarket_empreendedores"/>
    <s v="278044510"/>
    <s v="Standard"/>
    <s v="empreendedores-dv360-zip-display-halfpage-300x600-empreendedores_zip_animada_bau-affinities_inmarket_empreendedores-cpm"/>
    <s v="472151899"/>
    <s v="Display"/>
    <n v="106540"/>
    <n v="13417"/>
    <n v="0.04"/>
    <n v="0.1"/>
    <n v="4.2616000000000005"/>
    <n v="10.654"/>
  </r>
  <r>
    <x v="5"/>
    <s v="Google Brasil"/>
    <s v="empreendedores-empreendedores-dv360-zip-display-halfpage-zip_bandeiras-affinities_inmarket_empreendedores"/>
    <s v="276831881"/>
    <s v="Standard"/>
    <s v="empreendedores-dv360-zip-display-halfpage-300x600-zip_bandeiras-affinities_inmarket_empreendedores-cpm"/>
    <s v="471331269"/>
    <s v="Display"/>
    <n v="163979"/>
    <n v="15991"/>
    <n v="0.04"/>
    <n v="0.1"/>
    <n v="6.5591599999999994"/>
    <n v="16.3979"/>
  </r>
  <r>
    <x v="5"/>
    <s v="Google Brasil"/>
    <s v="empreendedores-empreendedores-dv360-zip-display-large_mobile_banner-empreendedores_zip_animada_bau-3rdparty_list_micro_empreendedor_individual_tailtarget_e_mei_retargetly"/>
    <s v="278044480"/>
    <s v="Standard"/>
    <s v="empreendedores-dv360-zip-display-large_mobile_banner-320x100-empreendedores_zip_animada_bau-3rdparty_list_micro_empreendedor_individual_tailtarget_e_mei_retargetly-cpm"/>
    <s v="472151869"/>
    <s v="Display"/>
    <n v="59"/>
    <n v="0"/>
    <n v="0.04"/>
    <n v="0.1"/>
    <n v="2.3599999999999997E-3"/>
    <n v="5.9000000000000007E-3"/>
  </r>
  <r>
    <x v="5"/>
    <s v="Google Brasil"/>
    <s v="empreendedores-empreendedores-dv360-zip-display-large_mobile_banner-empreendedores_zip_animada_bau-affinities_inmarket_empreendedores"/>
    <s v="277872236"/>
    <s v="Standard"/>
    <s v="empreendedores-dv360-zip-display-large_mobile_banner-320x100-empreendedores_zip_animada_bau-affinities_inmarket_empreendedores-cpm"/>
    <s v="472323078"/>
    <s v="Display"/>
    <n v="173"/>
    <n v="0"/>
    <n v="0.04"/>
    <n v="0.1"/>
    <n v="6.9199999999999999E-3"/>
    <n v="1.7299999999999999E-2"/>
  </r>
  <r>
    <x v="5"/>
    <s v="Google Brasil"/>
    <s v="empreendedores-empreendedores-dv360-zip-display-large_mobile_banner-empreendedores_zip_animada_bau-affinities_inmarket_empreendedores"/>
    <s v="278044501"/>
    <s v="Standard"/>
    <s v="empreendedores-dv360-zip-display-large_mobile_banner-320x100-empreendedores_zip_animada_bau-affinities_inmarket_empreendedores-cpm"/>
    <s v="472151890"/>
    <s v="Display"/>
    <n v="7"/>
    <n v="0"/>
    <n v="0.04"/>
    <n v="0.1"/>
    <n v="2.8000000000000003E-4"/>
    <n v="7.000000000000001E-4"/>
  </r>
  <r>
    <x v="5"/>
    <s v="Google Brasil"/>
    <s v="empreendedores-empreendedores-dv360-zip-display-large_mobile_banner-zip_bandeiras-affinities_inmarket_empreendedores"/>
    <s v="276831869"/>
    <s v="Standard"/>
    <s v="empreendedores-dv360-zip-display-large_mobile_banner-320x100-zip_bandeiras-affinities_inmarket_empreendedores-cpm"/>
    <s v="471331257"/>
    <s v="Display"/>
    <n v="2703"/>
    <n v="13"/>
    <n v="0.04"/>
    <n v="0.1"/>
    <n v="0.10812000000000001"/>
    <n v="0.27029999999999998"/>
  </r>
  <r>
    <x v="5"/>
    <s v="Google Brasil"/>
    <s v="empreendedores-empreendedores-dv360-zip-display-large_rectangle-empreendedores_zip_animada_bau-3rdparty_list_micro_empreendedor_individual_tailtarget_e_mei_retargetly"/>
    <s v="278044444"/>
    <s v="Standard"/>
    <s v="empreendedores-dv360-zip-display-large_rectangle-336x280-empreendedores_zip_animada_bau-3rdparty_list_micro_empreendedor_individual_tailtarget_e_mei_retargetly-cpm"/>
    <s v="472151833"/>
    <s v="Display"/>
    <n v="10"/>
    <n v="0"/>
    <n v="0.04"/>
    <n v="0.1"/>
    <n v="4.0000000000000002E-4"/>
    <n v="1E-3"/>
  </r>
  <r>
    <x v="5"/>
    <s v="Google Brasil"/>
    <s v="empreendedores-empreendedores-dv360-zip-display-large_rectangle-empreendedores_zip_animada_bau-affinities_inmarket_empreendedores"/>
    <s v="277872212"/>
    <s v="Standard"/>
    <s v="empreendedores-dv360-zip-display-large_rectangle-336x280-empreendedores_zip_animada_bau-affinities_inmarket_empreendedores-cpm"/>
    <s v="472323054"/>
    <s v="Display"/>
    <n v="14176"/>
    <n v="911"/>
    <n v="0.04"/>
    <n v="0.1"/>
    <n v="0.56703999999999999"/>
    <n v="1.4176000000000002"/>
  </r>
  <r>
    <x v="5"/>
    <s v="Google Brasil"/>
    <s v="empreendedores-empreendedores-dv360-zip-display-large_rectangle-empreendedores_zip_animada_bau-affinities_inmarket_empreendedores"/>
    <s v="278044441"/>
    <s v="Standard"/>
    <s v="empreendedores-dv360-zip-display-large_rectangle-336x280-empreendedores_zip_animada_bau-affinities_inmarket_empreendedores-cpm"/>
    <s v="472151830"/>
    <s v="Display"/>
    <n v="2"/>
    <n v="1"/>
    <n v="0.04"/>
    <n v="0.1"/>
    <n v="8.0000000000000007E-5"/>
    <n v="2.0000000000000001E-4"/>
  </r>
  <r>
    <x v="5"/>
    <s v="Google Brasil"/>
    <s v="empreendedores-empreendedores-dv360-zip-display-large_rectangle-zip_bandeiras-affinities_inmarket_empreendedores"/>
    <s v="276831872"/>
    <s v="Standard"/>
    <s v="empreendedores-dv360-zip-display-large_rectangle-336x280-zip_bandeiras-affinities_inmarket_empreendedores-cpm"/>
    <s v="471331260"/>
    <s v="Display"/>
    <n v="20255"/>
    <n v="2033"/>
    <n v="0.04"/>
    <n v="0.1"/>
    <n v="0.81020000000000003"/>
    <n v="2.0255000000000001"/>
  </r>
  <r>
    <x v="5"/>
    <s v="Google Brasil"/>
    <s v="empreendedores-empreendedores-dv360-zip-display-leaderboard-empreendedores_zip_animada_bau-3rdparty_list_micro_empreendedor_individual_tailtarget_e_mei_retargetly"/>
    <s v="278044483"/>
    <s v="Standard"/>
    <s v="empreendedores-dv360-zip-display-leaderboard-728x90-empreendedores_zip_animada_bau-3rdparty_list_micro_empreendedor_individual_tailtarget_e_mei_retargetly-cpm"/>
    <s v="472151872"/>
    <s v="Display"/>
    <n v="228"/>
    <n v="2"/>
    <n v="0.04"/>
    <n v="0.1"/>
    <n v="9.1200000000000014E-3"/>
    <n v="2.2800000000000001E-2"/>
  </r>
  <r>
    <x v="5"/>
    <s v="Google Brasil"/>
    <s v="empreendedores-empreendedores-dv360-zip-display-leaderboard-empreendedores_zip_animada_bau-affinities_inmarket_empreendedores"/>
    <s v="278044504"/>
    <s v="Standard"/>
    <s v="empreendedores-dv360-zip-display-leaderboard-728x90-empreendedores_zip_animada_bau-affinities_inmarket_empreendedores-cpm"/>
    <s v="472151893"/>
    <s v="Display"/>
    <n v="135"/>
    <n v="1"/>
    <n v="0.04"/>
    <n v="0.1"/>
    <n v="5.4000000000000003E-3"/>
    <n v="1.35E-2"/>
  </r>
  <r>
    <x v="5"/>
    <s v="Google Brasil"/>
    <s v="empreendedores-empreendedores-dv360-zip-display-leaderboard-zip_bandeiras-affinities_inmarket_empreendedores"/>
    <s v="276831875"/>
    <s v="Standard"/>
    <s v="empreendedores-dv360-zip-display-leaderboard-728x90-zip_bandeiras-affinities_inmarket_empreendedores-cpm"/>
    <s v="471331263"/>
    <s v="Display"/>
    <n v="33"/>
    <n v="0"/>
    <n v="0.04"/>
    <n v="0.1"/>
    <n v="1.32E-3"/>
    <n v="3.3000000000000004E-3"/>
  </r>
  <r>
    <x v="5"/>
    <s v="Google Brasil"/>
    <s v="empreendedores-empreendedores-dv360-zip-display-medium_rectangle-empreendedores_zip_animada_bau-3rdparty_list_micro_empreendedor_individual_tailtarget_e_mei_retargetly"/>
    <s v="278044486"/>
    <s v="Standard"/>
    <s v="empreendedores-dv360-zip-display-medium_rectangle-300x250-empreendedores_zip_animada_bau-3rdparty_list_micro_empreendedor_individual_tailtarget_e_mei_retargetly-cpm"/>
    <s v="472151875"/>
    <s v="Display"/>
    <n v="127"/>
    <n v="0"/>
    <n v="0.04"/>
    <n v="0.1"/>
    <n v="5.0800000000000003E-3"/>
    <n v="1.2700000000000001E-2"/>
  </r>
  <r>
    <x v="5"/>
    <s v="Google Brasil"/>
    <s v="empreendedores-empreendedores-dv360-zip-display-medium_rectangle-empreendedores_zip_animada_bau-affinities_inmarket_empreendedores"/>
    <s v="277872248"/>
    <s v="Standard"/>
    <s v="empreendedores-dv360-zip-display-medium_rectangle-300x250-empreendedores_zip_animada_bau-affinities_inmarket_empreendedores-cpm"/>
    <s v="472325190"/>
    <s v="Display"/>
    <n v="652"/>
    <n v="42"/>
    <n v="0.04"/>
    <n v="0.1"/>
    <n v="2.6080000000000002E-2"/>
    <n v="6.5200000000000008E-2"/>
  </r>
  <r>
    <x v="5"/>
    <s v="Google Brasil"/>
    <s v="empreendedores-empreendedores-dv360-zip-display-medium_rectangle-empreendedores_zip_animada_bau-affinities_inmarket_empreendedores"/>
    <s v="278044507"/>
    <s v="Standard"/>
    <s v="empreendedores-dv360-zip-display-medium_rectangle-300x250-empreendedores_zip_animada_bau-affinities_inmarket_empreendedores-cpm"/>
    <s v="472151896"/>
    <s v="Display"/>
    <n v="21140"/>
    <n v="2653"/>
    <n v="0.04"/>
    <n v="0.1"/>
    <n v="0.84560000000000002"/>
    <n v="2.1139999999999999"/>
  </r>
  <r>
    <x v="5"/>
    <s v="Google Brasil"/>
    <s v="empreendedores-empreendedores-dv360-zip-display-medium_rectangle-zip_bandeiras-affinities_inmarket_empreendedores"/>
    <s v="276831878"/>
    <s v="Standard"/>
    <s v="empreendedores-dv360-zip-display-medium_rectangle-300x250-zip_bandeiras-affinities_inmarket_empreendedores-cpm"/>
    <s v="471331266"/>
    <s v="Display"/>
    <n v="2579"/>
    <n v="30"/>
    <n v="0.04"/>
    <n v="0.1"/>
    <n v="0.10316"/>
    <n v="0.25790000000000002"/>
  </r>
  <r>
    <x v="5"/>
    <s v="Google Brasil"/>
    <s v="empreendedores-empreendedores-dv360-zip-display-mobile_leaderboard-empreendedores_zip_animada_bau-3rdparty_list_micro_empreendedor_individual_tailtarget_e_mei_retargetly"/>
    <s v="278044477"/>
    <s v="Standard"/>
    <s v="empreendedores-dv360-zip-display-mobile_leaderboard-320x50-empreendedores_zip_animada_bau-3rdparty_list_micro_empreendedor_individual_tailtarget_e_mei_retargetly-cpm"/>
    <s v="472151866"/>
    <s v="Display"/>
    <n v="1187"/>
    <n v="4"/>
    <n v="0.04"/>
    <n v="0.1"/>
    <n v="4.7480000000000001E-2"/>
    <n v="0.1187"/>
  </r>
  <r>
    <x v="5"/>
    <s v="Google Brasil"/>
    <s v="empreendedores-empreendedores-dv360-zip-display-mobile_leaderboard-empreendedores_zip_animada_bau-affinities_inmarket_empreendedores"/>
    <s v="277872230"/>
    <s v="Standard"/>
    <s v="empreendedores-dv360-zip-display-mobile_leaderboard-320x50-empreendedores_zip_animada_bau-affinities_inmarket_empreendedores-cpm"/>
    <s v="472323072"/>
    <s v="Display"/>
    <n v="2"/>
    <n v="0"/>
    <n v="0.04"/>
    <n v="0.1"/>
    <n v="8.0000000000000007E-5"/>
    <n v="2.0000000000000001E-4"/>
  </r>
  <r>
    <x v="5"/>
    <s v="Google Brasil"/>
    <s v="empreendedores-empreendedores-dv360-zip-display-mobile_leaderboard-empreendedores_zip_animada_bau-affinities_inmarket_empreendedores"/>
    <s v="278044498"/>
    <s v="Standard"/>
    <s v="empreendedores-dv360-zip-display-mobile_leaderboard-320x50-empreendedores_zip_animada_bau-affinities_inmarket_empreendedores-cpm"/>
    <s v="472151887"/>
    <s v="Display"/>
    <n v="2"/>
    <n v="0"/>
    <n v="0.04"/>
    <n v="0.1"/>
    <n v="8.0000000000000007E-5"/>
    <n v="2.0000000000000001E-4"/>
  </r>
  <r>
    <x v="5"/>
    <s v="Google Brasil"/>
    <s v="empreendedores-empreendedores-dv360-zip-display-mobile_leaderboard-zip_bandeiras-affinities_inmarket_empreendedores"/>
    <s v="276831866"/>
    <s v="Standard"/>
    <s v="empreendedores-dv360-zip-display-mobile_leaderboard-320x50-zip_bandeiras-affinities_inmarket_empreendedores-cpm"/>
    <s v="471331254"/>
    <s v="Display"/>
    <n v="4453"/>
    <n v="15"/>
    <n v="0.04"/>
    <n v="0.1"/>
    <n v="0.17812"/>
    <n v="0.44530000000000003"/>
  </r>
  <r>
    <x v="5"/>
    <s v="Google Brasil"/>
    <s v="empreendedores-empreendedores-dv360-zip-display-small_rectangle-empreendedores_zip_animada_bau-3rdparty_list_micro_empreendedor_individual_tailtarget_e_mei_retargetly"/>
    <s v="278044474"/>
    <s v="Standard"/>
    <s v="empreendedores-dv360-zip-display-small_rectangle-180x150-empreendedores_zip_animada_bau-3rdparty_list_micro_empreendedor_individual_tailtarget_e_mei_retargetly-cpm"/>
    <s v="472151863"/>
    <s v="Display"/>
    <n v="10"/>
    <n v="1"/>
    <n v="0.04"/>
    <n v="0.1"/>
    <n v="4.0000000000000002E-4"/>
    <n v="1E-3"/>
  </r>
  <r>
    <x v="5"/>
    <s v="Google Brasil"/>
    <s v="empreendedores-empreendedores-dv360-zip-display-small_rectangle-empreendedores_zip_animada_bau-affinities_inmarket_empreendedores"/>
    <s v="278044495"/>
    <s v="Standard"/>
    <s v="empreendedores-dv360-zip-display-small_rectangle-180x150-empreendedores_zip_animada_bau-affinities_inmarket_empreendedores-cpm"/>
    <s v="472151884"/>
    <s v="Display"/>
    <n v="2"/>
    <n v="0"/>
    <n v="0.04"/>
    <n v="0.1"/>
    <n v="8.0000000000000007E-5"/>
    <n v="2.0000000000000001E-4"/>
  </r>
  <r>
    <x v="5"/>
    <s v="Google Brasil"/>
    <s v="empreendedores-empreendedores-dv360-zip-display-small_rectangle-zip_bandeiras-affinities_inmarket_empreendedores"/>
    <s v="276831863"/>
    <s v="Standard"/>
    <s v="empreendedores-dv360-zip-display-small_rectangle-180x150-zip_bandeiras-affinities_inmarket_empreendedores-cpm"/>
    <s v="471331251"/>
    <s v="Display"/>
    <n v="4"/>
    <n v="0"/>
    <n v="0.04"/>
    <n v="0.1"/>
    <n v="1.6000000000000001E-4"/>
    <n v="4.0000000000000002E-4"/>
  </r>
  <r>
    <x v="5"/>
    <s v="Google Brasil"/>
    <s v="empreendedores-empreendedores-dv360-zip-display-wide_skyscraper-empreendedores_zip_animada_bau-3rdparty_list_micro_empreendedor_individual_tailtarget_e_mei_retargetly"/>
    <s v="278044471"/>
    <s v="Standard"/>
    <s v="empreendedores-dv360-zip-display-wide_skyscraper-160x600-empreendedores_zip_animada_bau-3rdparty_list_micro_empreendedor_individual_tailtarget_e_mei_retargetly-cpm"/>
    <s v="472151860"/>
    <s v="Display"/>
    <n v="102"/>
    <n v="1"/>
    <n v="0.04"/>
    <n v="0.1"/>
    <n v="4.0800000000000003E-3"/>
    <n v="1.0200000000000001E-2"/>
  </r>
  <r>
    <x v="5"/>
    <s v="Google Brasil"/>
    <s v="empreendedores-empreendedores-dv360-zip-display-wide_skyscraper-empreendedores_zip_animada_bau-affinities_inmarket_empreendedores"/>
    <s v="278044492"/>
    <s v="Standard"/>
    <s v="empreendedores-dv360-zip-display-wide_skyscraper-160x600-empreendedores_zip_animada_bau-affinities_inmarket_empreendedores-cpm"/>
    <s v="472151881"/>
    <s v="Display"/>
    <n v="2"/>
    <n v="1"/>
    <n v="0.04"/>
    <n v="0.1"/>
    <n v="8.0000000000000007E-5"/>
    <n v="2.0000000000000001E-4"/>
  </r>
  <r>
    <x v="5"/>
    <s v="Google Brasil"/>
    <s v="empreendedores-empreendedores-dv360-zip-display-wide_skyscraper-zip_bandeiras-affinities_inmarket_empreendedores"/>
    <s v="276831860"/>
    <s v="Standard"/>
    <s v="empreendedores-dv360-zip-display-wide_skyscraper-160x600-zip_bandeiras-affinities_inmarket_empreendedores-cpm"/>
    <s v="471331248"/>
    <s v="Display"/>
    <n v="24"/>
    <n v="1"/>
    <n v="0.04"/>
    <n v="0.1"/>
    <n v="9.5999999999999992E-4"/>
    <n v="2.4000000000000002E-3"/>
  </r>
  <r>
    <x v="5"/>
    <s v="Oath - Verizon Media"/>
    <s v="empreendedores-empreendedores-verizon-flash-display-halfpage-empreendedores_flash_animada_bau-pequeno_empreendedor_look-a-like_ e_predictive audience"/>
    <s v="278044528"/>
    <s v="Standard"/>
    <s v="empreendedores-verizon-flash-display-halfpage-300x600-empreendedores_flash_animada_bau-pequeno_empreendedor_look-a-like_ e_predictive audience-cpm"/>
    <s v="472151917"/>
    <s v="Display"/>
    <n v="105535"/>
    <n v="3258"/>
    <n v="0.04"/>
    <n v="0.1"/>
    <n v="4.2214"/>
    <n v="10.5535"/>
  </r>
  <r>
    <x v="5"/>
    <s v="Oath - Verizon Media"/>
    <s v="empreendedores-empreendedores-verizon-flash-display-leaderboard-empreendedores_flash_animada_bau-pequeno_empreendedor_look-a-like_ e_predictive audience"/>
    <s v="278044534"/>
    <s v="Standard"/>
    <s v="empreendedores-verizon-flash-display-leaderboard-728x90-empreendedores_flash_animada_bau-pequeno_empreendedor_look-a-like_ e_predictive audience-cpm"/>
    <s v="472165724"/>
    <s v="Display"/>
    <n v="108429"/>
    <n v="239"/>
    <n v="0.04"/>
    <n v="0.1"/>
    <n v="4.3371599999999999"/>
    <n v="10.842900000000002"/>
  </r>
  <r>
    <x v="5"/>
    <s v="Oath - Verizon Media"/>
    <s v="empreendedores-empreendedores-verizon-flash-display-mobile_leaderboard-empreendedores_flash_animada_bau-pequeno_empreendedor_look-a-like_ e_predictive audience"/>
    <s v="278044531"/>
    <s v="Standard"/>
    <s v="320x50 Default Web Ad"/>
    <s v="471025236"/>
    <s v="Display"/>
    <n v="2"/>
    <n v="0"/>
    <n v="0.04"/>
    <n v="0.1"/>
    <n v="8.0000000000000007E-5"/>
    <n v="2.0000000000000001E-4"/>
  </r>
  <r>
    <x v="5"/>
    <s v="Oath - Verizon Media"/>
    <s v="empreendedores-empreendedores-verizon-flash-display-mobile_leaderboard-empreendedores_flash_animada_bau-pequeno_empreendedor_look-a-like_ e_predictive audience"/>
    <s v="278044531"/>
    <s v="Standard"/>
    <s v="empreendedores-verizon-flash-display-mobile_leaderboard-320x50-empreendedores_flash_animada_bau-pequeno_empreendedor_look-a-like_ e_predictive audience-cpm"/>
    <s v="472165721"/>
    <s v="Display"/>
    <n v="1149954"/>
    <n v="7917"/>
    <n v="0.04"/>
    <n v="0.1"/>
    <n v="45.998160000000006"/>
    <n v="114.9954"/>
  </r>
  <r>
    <x v="5"/>
    <s v="Oath - Verizon Media"/>
    <s v="empreendedores-empreendedores-verizon-flash-display-wide_skyscraper-empreendedores_flash_animada_bau-pequeno_empreendedor_look-a-like_ e_predictive audience"/>
    <s v="278044525"/>
    <s v="Standard"/>
    <s v="empreendedores-verizon-flash-display-wide_skyscraper-160x600-empreendedores_flash_animada_bau-pequeno_empreendedor_look-a-like_ e_predictive audience-cpm"/>
    <s v="472151914"/>
    <s v="Display"/>
    <n v="175974"/>
    <n v="282"/>
    <n v="0.04"/>
    <n v="0.1"/>
    <n v="7.0389600000000003"/>
    <n v="17.5974"/>
  </r>
  <r>
    <x v="5"/>
    <s v="Oath - Verizon Media"/>
    <s v="empreendedores-empreendedores-verizon-flash-native-native-empreendedores_flash_native_bau-pequeno_empreendedor_look-a-like_ e_predictive audience"/>
    <s v="278708883"/>
    <s v="Dynamic Click"/>
    <s v="empreendedores-verizon-flash-native-native-627x627-empreendedores_flash_native_bau-pequeno_empreendedor_look-a-like_ e_predictive audience-cpm"/>
    <s v="472713532"/>
    <s v="Tracking"/>
    <n v="0"/>
    <n v="1"/>
    <n v="3.5000000000000001E-3"/>
    <n v="2.5000000000000001E-2"/>
    <n v="3.5000000000000001E-3"/>
    <n v="2.5000000000000001E-2"/>
  </r>
  <r>
    <x v="5"/>
    <s v="Oath - Verizon Media"/>
    <s v="empreendedores-empreendedores-verizon-flash-native-native-empreendedores_flash_native_bau-pequeno_empreendedor_look-a-like_ e_predictive audience"/>
    <s v="278708889"/>
    <s v="Dynamic Click"/>
    <s v="empreendedores-verizon-flash-native-native-1200x627-empreendedores_flash_native_bau-pequeno_empreendedor_look-a-like_ e_predictive audience-cpm"/>
    <s v="472713538"/>
    <s v="Tracking"/>
    <n v="0"/>
    <n v="1"/>
    <n v="3.5000000000000001E-3"/>
    <n v="2.5000000000000001E-2"/>
    <n v="3.5000000000000001E-3"/>
    <n v="2.5000000000000001E-2"/>
  </r>
  <r>
    <x v="5"/>
    <s v="Oath - Verizon Media"/>
    <s v="empreendedores-empreendedores-verizon-lio+-display-mobile_leaderboard-empreendedores_lio_mais-pequeno_empreendedor_look-a-like_ e_predictive audience"/>
    <s v="276800188"/>
    <s v="Standard"/>
    <s v="empreendedores-verizon-lio+-display-mobile_leaderboard-320x50-empreendedores_lio_mais-pequeno_empreendedor_look-a-like_ e_predictive audience-cpm"/>
    <s v="470908319"/>
    <s v="Display"/>
    <n v="1"/>
    <n v="1"/>
    <n v="0.04"/>
    <n v="0.1"/>
    <n v="4.0000000000000003E-5"/>
    <n v="1E-4"/>
  </r>
  <r>
    <x v="5"/>
    <s v="Oath - Verizon Media"/>
    <s v="empreendedores-empreendedores-verizon-lio+-native-native-empreendedores_lio_mais-pequeno_empreendedor_look-a-like_ e_predictive audience"/>
    <s v="276197453"/>
    <s v="Standard"/>
    <s v="empreendedores-verizon-lio+-native-native-627x627-empreendedores_lio_mais-pequeno_empreendedor_look-a-like_ e_predictive audience-cpc"/>
    <s v="470633105"/>
    <s v="Tracking"/>
    <n v="1291426"/>
    <n v="6050"/>
    <n v="0.04"/>
    <n v="0.1"/>
    <n v="51.657040000000002"/>
    <n v="129.14260000000002"/>
  </r>
  <r>
    <x v="5"/>
    <s v="Oath - Verizon Media"/>
    <s v="empreendedores-empreendedores-verizon-lio+-native-native-empreendedores_lio_mais-pequeno_empreendedor_look-a-like_ e_predictive audience"/>
    <s v="276197993"/>
    <s v="Standard"/>
    <s v="empreendedores-verizon-lio+-native-native-1200x627-empreendedores_lio_mais-pequeno_empreendedor_look-a-like_ e_predictive audience-cpc"/>
    <s v="470726775"/>
    <s v="Tracking"/>
    <n v="675413"/>
    <n v="6891"/>
    <n v="0.04"/>
    <n v="0.1"/>
    <n v="27.01652"/>
    <n v="67.541300000000007"/>
  </r>
  <r>
    <x v="5"/>
    <s v="Oath - Verizon Media"/>
    <s v="empreendedores-empreendedores-verizon-zip-display-halfpage-empreendedores_zip_animada_bau-pequeno_empreendedor_look-a-like_ e_predictive audience"/>
    <s v="278044519"/>
    <s v="Standard"/>
    <s v="empreendedores-verizon-zip-display-halfpage-300x600-empreendedores_zip_animada_bau-pequeno_empreendedor_look-a-like_ e_predictive audience-cpm"/>
    <s v="472151908"/>
    <s v="Display"/>
    <n v="82893"/>
    <n v="2384"/>
    <n v="0.04"/>
    <n v="0.1"/>
    <n v="3.3157200000000002"/>
    <n v="8.2893000000000008"/>
  </r>
  <r>
    <x v="5"/>
    <s v="Oath - Verizon Media"/>
    <s v="empreendedores-empreendedores-verizon-zip-display-leaderboard-empreendedores_zip_animada_bau-pequeno_empreendedor_look-a-like_ e_predictive audience"/>
    <s v="278044513"/>
    <s v="Standard"/>
    <s v="empreendedores-verizon-zip-display-leaderboard-728x90-empreendedores_zip_animada_bau-pequeno_empreendedor_look-a-like_ e_predictive audience-cpm"/>
    <s v="472151902"/>
    <s v="Display"/>
    <n v="458944"/>
    <n v="1931"/>
    <n v="0.04"/>
    <n v="0.1"/>
    <n v="18.357760000000003"/>
    <n v="45.894400000000005"/>
  </r>
  <r>
    <x v="5"/>
    <s v="Oath - Verizon Media"/>
    <s v="empreendedores-empreendedores-verizon-zip-display-mobile_leaderboard-empreendedores_zip_animada_bau-pequeno_empreendedor_look-a-like_ e_predictive audience"/>
    <s v="278044522"/>
    <s v="Standard"/>
    <s v="empreendedores-verizon-zip-display-mobile_leaderboard-320x50-empreendedores_zip_animada_bau-pequeno_empreendedor_look-a-like_ e_predictive audience-cpm"/>
    <s v="472151911"/>
    <s v="Display"/>
    <n v="1062109"/>
    <n v="7329"/>
    <n v="0.04"/>
    <n v="0.1"/>
    <n v="42.484360000000002"/>
    <n v="106.21090000000001"/>
  </r>
  <r>
    <x v="5"/>
    <s v="Oath - Verizon Media"/>
    <s v="empreendedores-empreendedores-verizon-zip-display-wide_skyscraper-empreendedores_zip_animada_bau-pequeno_empreendedor_look-a-like_ e_predictive audience"/>
    <s v="278044516"/>
    <s v="Standard"/>
    <s v="empreendedores-verizon-zip-display-wide_skyscraper-160x600-empreendedores_zip_animada_bau-pequeno_empreendedor_look-a-like_ e_predictive audience-cpm"/>
    <s v="472151905"/>
    <s v="Display"/>
    <n v="200115"/>
    <n v="294"/>
    <n v="0.04"/>
    <n v="0.1"/>
    <n v="8.0045999999999999"/>
    <n v="20.011500000000002"/>
  </r>
  <r>
    <x v="5"/>
    <s v="Oath - Verizon Media"/>
    <s v="empreendedores-empreendedores-verizon-zip-native-native-empreendedores_zip_native_bau-pequeno_empreendedor_look-a-like_ e_predictive audience"/>
    <s v="278708886"/>
    <s v="Standard"/>
    <s v="empreendedores-verizon-zip-native-native-627x627-empreendedores_zip_native_bau-pequeno_empreendedor_look-a-like_ e_predictive audience-cpm"/>
    <s v="472713535"/>
    <s v="Tracking"/>
    <n v="16080"/>
    <n v="73"/>
    <n v="0.04"/>
    <n v="0.1"/>
    <n v="0.64319999999999999"/>
    <n v="1.6080000000000001"/>
  </r>
  <r>
    <x v="5"/>
    <s v="Oath - Verizon Media"/>
    <s v="empreendedores-empreendedores-verizon-zip-native-native-empreendedores_zip_native_bau-pequeno_empreendedor_look-a-like_ e_predictive audience"/>
    <s v="278708892"/>
    <s v="Dynamic Click"/>
    <s v="empreendedores-verizon-zip-native-native-1200x627-empreendedores_zip_native_bau-pequeno_empreendedor_look-a-like_ e_predictive audience-cpm"/>
    <s v="472713541"/>
    <s v="Tracking"/>
    <n v="0"/>
    <n v="1"/>
    <n v="3.5000000000000001E-3"/>
    <n v="2.5000000000000001E-2"/>
    <n v="3.5000000000000001E-3"/>
    <n v="2.5000000000000001E-2"/>
  </r>
  <r>
    <x v="6"/>
    <s v="Google Brasil"/>
    <s v="nova_cielo-empreendedores-dv360-flash-display-halfpage-flash_atendimento-as_25_mais_3rdparty_list_micro_empreendedor_individual_tailtarget_e_mei_retargetly"/>
    <s v="270932033"/>
    <s v="Standard"/>
    <s v="empreendedores-flash-display-halfpage-300x600-flash_atendimento-as_25_mais_3rdparty_list_micro_empreendedor_individual_tailtarget_e_mei_retargetly-cpm"/>
    <s v="465744128"/>
    <s v="Display"/>
    <n v="1210"/>
    <n v="5"/>
    <n v="0.04"/>
    <n v="0.1"/>
    <n v="4.8399999999999999E-2"/>
    <n v="0.121"/>
  </r>
  <r>
    <x v="6"/>
    <s v="Google Brasil"/>
    <s v="nova_cielo-empreendedores-dv360-flash-display-large_rectangle-flash_atendimento-as_25_mais_3rdparty_list_micro_empreendedor_individual_tailtarget_e_mei_retargetly"/>
    <s v="270932027"/>
    <s v="Standard"/>
    <s v="empreendedores-flash-display-large_rectangle-336x280-flash_atendimento-as_25_mais_3rdparty_list_micro_empreendedor_individual_tailtarget_e_mei_retargetly-cpm"/>
    <s v="465744122"/>
    <s v="Display"/>
    <n v="18267"/>
    <n v="80"/>
    <n v="0.04"/>
    <n v="0.1"/>
    <n v="0.73068000000000011"/>
    <n v="1.8267"/>
  </r>
  <r>
    <x v="6"/>
    <s v="Google Brasil"/>
    <s v="nova_cielo-empreendedores-dv360-flash-display-medium_rectangle-flash_atendimento-as_25_mais_3rdparty_list_micro_empreendedor_individual_tailtarget_e_mei_retargetly"/>
    <s v="270932036"/>
    <s v="Standard"/>
    <s v="empreendedores-flash-display-medium_rectangle-300x250-flash_atendimento-as_25_mais_3rdparty_list_micro_empreendedor_individual_tailtarget_e_mei_retargetly-cpm"/>
    <s v="465744131"/>
    <s v="Display"/>
    <n v="92502"/>
    <n v="253"/>
    <n v="0.04"/>
    <n v="0.1"/>
    <n v="3.7000799999999998"/>
    <n v="9.2502000000000013"/>
  </r>
  <r>
    <x v="6"/>
    <s v="Google Brasil"/>
    <s v="nova_cielo-empreendedores-dv360-flash-display-mobile_leaderboard-flash_atendimento-as_25_mais_3rdparty_list_micro_empreendedor_individual_tailtarget_e_mei_retargetly"/>
    <s v="270932030"/>
    <s v="Standard"/>
    <s v="empreendedores-flash-display-mobile_leaderboard-320x50-flash_atendimento-as_25_mais_3rdparty_list_micro_empreendedor_individual_tailtarget_e_mei_retargetly-cpm"/>
    <s v="465744125"/>
    <s v="Display"/>
    <n v="16137"/>
    <n v="55"/>
    <n v="0.04"/>
    <n v="0.1"/>
    <n v="0.64548000000000005"/>
    <n v="1.6137000000000001"/>
  </r>
  <r>
    <x v="6"/>
    <s v="Google Brasil"/>
    <s v="nova_cielo-empreendedores-dv360-zip-display-halfpage-zip_bandeiras-as_25_mais_3rdparty_list_micro_empreendedor_individual_tailtarget_e_mei_retargetly"/>
    <s v="270932009"/>
    <s v="Standard"/>
    <s v="empreendedores-zip-display-halfpage-300x600-zip_bandeiras-as_25_mais_3rdparty_list_micro_empreendedor_individual_tailtarget_e_mei_retargetly-cpm"/>
    <s v="465768687"/>
    <s v="Display"/>
    <n v="6854"/>
    <n v="73"/>
    <n v="0.04"/>
    <n v="0.1"/>
    <n v="0.27416000000000001"/>
    <n v="0.68540000000000012"/>
  </r>
  <r>
    <x v="6"/>
    <s v="Google Brasil"/>
    <s v="nova_cielo-empreendedores-dv360-zip-display-large_rectangle-zip_bandeiras-as_25_mais_3rdparty_list_micro_empreendedor_individual_tailtarget_e_mei_retargetly"/>
    <s v="270932003"/>
    <s v="Standard"/>
    <s v="empreendedores-zip-display-large_rectangle-336x280-zip_bandeiras-as_25_mais_3rdparty_list_micro_empreendedor_individual_tailtarget_e_mei_retargetly-cpm"/>
    <s v="465765681"/>
    <s v="Display"/>
    <n v="56851"/>
    <n v="193"/>
    <n v="0.04"/>
    <n v="0.1"/>
    <n v="2.2740399999999998"/>
    <n v="5.6851000000000003"/>
  </r>
  <r>
    <x v="6"/>
    <s v="Google Brasil"/>
    <s v="nova_cielo-empreendedores-dv360-zip-display-medium_rectangle-zip_bandeiras-as_25_mais_3rdparty_list_micro_empreendedor_individual_tailtarget_e_mei_retargetly"/>
    <s v="270932012"/>
    <s v="Standard"/>
    <s v="empreendedores-zip-display-medium_rectangle-300x250-zip_bandeiras-as_25_mais_3rdparty_list_micro_empreendedor_individual_tailtarget_e_mei_retargetly-cpm"/>
    <s v="465744107"/>
    <s v="Display"/>
    <n v="53438"/>
    <n v="253"/>
    <n v="0.04"/>
    <n v="0.1"/>
    <n v="2.1375199999999999"/>
    <n v="5.3437999999999999"/>
  </r>
  <r>
    <x v="6"/>
    <s v="Google Brasil"/>
    <s v="nova_cielo-empreendedores-dv360-zip-display-mobile_leaderboard-zip_bandeiras-as_25_mais_3rdparty_list_micro_empreendedor_individual_tailtarget_e_mei_retargetly"/>
    <s v="270932006"/>
    <s v="Standard"/>
    <s v="empreendedores-zip-display-mobile_leaderboard-320x50-zip_bandeiras-as_25_mais_3rdparty_list_micro_empreendedor_individual_tailtarget_e_mei_retargetly-cpm"/>
    <s v="465765684"/>
    <s v="Display"/>
    <n v="22316"/>
    <n v="85"/>
    <n v="0.04"/>
    <n v="0.1"/>
    <n v="0.89263999999999999"/>
    <n v="2.2315999999999998"/>
  </r>
  <r>
    <x v="6"/>
    <s v="Oath - Verizon Media"/>
    <s v="nova_cielo-empreendedores-verizon-flash-display-halfpage-flash_atendimento-pequeno_empreendedor"/>
    <s v="271364863"/>
    <s v="Standard"/>
    <s v="empreendedores-verizon-flash-display-halfpage-300x600-flash_atendimento-pequeno_empreendedor-cpm"/>
    <s v="465919446"/>
    <s v="Display"/>
    <n v="1"/>
    <n v="0"/>
    <n v="0.04"/>
    <n v="0.1"/>
    <n v="4.0000000000000003E-5"/>
    <n v="1E-4"/>
  </r>
  <r>
    <x v="6"/>
    <s v="Oath - Verizon Media"/>
    <s v="nova_cielo-empreendedores-verizon-flash-display-halfpage-flash_atendimento-pequeno_empreendedor_look-a-like_ e_predictive audience"/>
    <s v="271364824"/>
    <s v="Standard"/>
    <s v="empreendedores-verizon-flash-display-halfpage-300x600-flash_atendimento-pequeno_empreendedor_look-a-like_ e_predictive audience-cpm"/>
    <s v="465919407"/>
    <s v="Display"/>
    <n v="5664"/>
    <n v="61"/>
    <n v="0.04"/>
    <n v="0.1"/>
    <n v="0.22656000000000001"/>
    <n v="0.56640000000000001"/>
  </r>
  <r>
    <x v="6"/>
    <s v="Oath - Verizon Media"/>
    <s v="nova_cielo-empreendedores-verizon-flash-display-leaderboard-flash_atendimento-pequeno_empreendedor"/>
    <s v="271364851"/>
    <s v="Standard"/>
    <s v="empreendedores-verizon-flash-display-leaderboard-728x90-flash_atendimento-pequeno_empreendedor-cpm"/>
    <s v="465919434"/>
    <s v="Display"/>
    <n v="1"/>
    <n v="0"/>
    <n v="0.04"/>
    <n v="0.1"/>
    <n v="4.0000000000000003E-5"/>
    <n v="1E-4"/>
  </r>
  <r>
    <x v="6"/>
    <s v="Oath - Verizon Media"/>
    <s v="nova_cielo-empreendedores-verizon-flash-display-leaderboard-flash_atendimento-pequeno_empreendedor_look-a-like_ e_predictive audience"/>
    <s v="271364887"/>
    <s v="Standard"/>
    <s v="empreendedores-verizon-flash-display-leaderboard-728x90-flash_atendimento-pequeno_empreendedor_look-a-like_ e_predictive audience-cpm"/>
    <s v="465919470"/>
    <s v="Display"/>
    <n v="45073"/>
    <n v="108"/>
    <n v="0.04"/>
    <n v="0.1"/>
    <n v="1.8029200000000001"/>
    <n v="4.5072999999999999"/>
  </r>
  <r>
    <x v="6"/>
    <s v="Oath - Verizon Media"/>
    <s v="nova_cielo-empreendedores-verizon-flash-display-medium_rectangle-flash_atendimento-pequeno_empreendedor"/>
    <s v="271364869"/>
    <s v="Standard"/>
    <s v="empreendedores-verizon-flash-display-medium_rectangle-300x250-flash_atendimento-pequeno_empreendedor-cpm"/>
    <s v="465919452"/>
    <s v="Display"/>
    <n v="1"/>
    <n v="0"/>
    <n v="0.04"/>
    <n v="0.1"/>
    <n v="4.0000000000000003E-5"/>
    <n v="1E-4"/>
  </r>
  <r>
    <x v="6"/>
    <s v="Oath - Verizon Media"/>
    <s v="nova_cielo-empreendedores-verizon-flash-display-medium_rectangle-flash_atendimento-pequeno_empreendedor_look-a-like_ e_predictive audience"/>
    <s v="271364827"/>
    <s v="Standard"/>
    <s v="empreendedores-verizon-flash-display-medium_rectangle-300x250-flash_atendimento-pequeno_empreendedor_look-a-like_ e_predictive audience-cpm"/>
    <s v="465919410"/>
    <s v="Display"/>
    <n v="24764"/>
    <n v="27"/>
    <n v="0.04"/>
    <n v="0.1"/>
    <n v="0.99056000000000011"/>
    <n v="2.4763999999999999"/>
  </r>
  <r>
    <x v="6"/>
    <s v="Oath - Verizon Media"/>
    <s v="nova_cielo-empreendedores-verizon-flash-display-mobile_leaderboard-flash_atendimento-pequeno_empreendedor_look-a-like_ e_predictive audience"/>
    <s v="271364821"/>
    <s v="Standard"/>
    <s v="empreendedores-verizon-flash-display-mobile_leaderboard-320x50-flash_atendimento-pequeno_empreendedor_look-a-like_ e_predictive audience-cpm"/>
    <s v="465919404"/>
    <s v="Display"/>
    <n v="211386"/>
    <n v="412"/>
    <n v="0.04"/>
    <n v="0.1"/>
    <n v="8.4554400000000012"/>
    <n v="21.138600000000004"/>
  </r>
  <r>
    <x v="6"/>
    <s v="Oath - Verizon Media"/>
    <s v="nova_cielo-empreendedores-verizon-flash-display-wide_skyscraper-flash_atendimento-pequeno_empreendedor"/>
    <s v="271364875"/>
    <s v="Standard"/>
    <s v="empreendedores-verizon-flash-display-wide_skyscraper-160x600-flash_atendimento-pequeno_empreendedor-cpm"/>
    <s v="465919458"/>
    <s v="Display"/>
    <n v="1"/>
    <n v="0"/>
    <n v="0.04"/>
    <n v="0.1"/>
    <n v="4.0000000000000003E-5"/>
    <n v="1E-4"/>
  </r>
  <r>
    <x v="6"/>
    <s v="Oath - Verizon Media"/>
    <s v="nova_cielo-empreendedores-verizon-flash-display-wide_skyscraper-flash_atendimento-pequeno_empreendedor_look-a-like_ e_predictive audience"/>
    <s v="271364830"/>
    <s v="Standard"/>
    <s v="empreendedores-verizon-flash-display-wide_skyscraper-160x600-flash_atendimento-pequeno_empreendedor_look-a-like_ e_predictive audience-cpm"/>
    <s v="465919413"/>
    <s v="Display"/>
    <n v="62981"/>
    <n v="51"/>
    <n v="0.04"/>
    <n v="0.1"/>
    <n v="2.5192400000000004"/>
    <n v="6.2981000000000007"/>
  </r>
  <r>
    <x v="6"/>
    <s v="Oath - Verizon Media"/>
    <s v="nova_cielo-empreendedores-verizon-flash-native-native-flash_atendimento-pequeno_empreendedor"/>
    <s v="271364845"/>
    <s v="Standard"/>
    <s v="empreendedores-verizon-flash-native-native-1200x627-flash_atendimento-pequeno_empreendedor-cpm"/>
    <s v="465919428"/>
    <s v="Tracking"/>
    <n v="5750"/>
    <n v="423"/>
    <n v="0.04"/>
    <n v="0.1"/>
    <n v="0.23"/>
    <n v="0.57499999999999996"/>
  </r>
  <r>
    <x v="6"/>
    <s v="Oath - Verizon Media"/>
    <s v="nova_cielo-empreendedores-verizon-zip-display-halfpage-zip_bandeiras-pequeno_empreendedor"/>
    <s v="271364842"/>
    <s v="Standard"/>
    <s v="empreendedores-verizon-zip-display-halfpage-300x600-zip_bandeiras-pequeno_empreendedor-cpm"/>
    <s v="465919425"/>
    <s v="Display"/>
    <n v="3"/>
    <n v="0"/>
    <n v="0.04"/>
    <n v="0.1"/>
    <n v="1.1999999999999999E-4"/>
    <n v="3.0000000000000003E-4"/>
  </r>
  <r>
    <x v="6"/>
    <s v="Oath - Verizon Media"/>
    <s v="nova_cielo-empreendedores-verizon-zip-display-halfpage-zip_bandeiras-pequeno_empreendedor_look-a-like_ e_predictive audience"/>
    <s v="271364878"/>
    <s v="Standard"/>
    <s v="empreendedores-verizon-zip-display-halfpage-300x600-zip_bandeiras-pequeno_empreendedor_look-a-like_ e_predictive audience-cpm"/>
    <s v="465919461"/>
    <s v="Display"/>
    <n v="5674"/>
    <n v="63"/>
    <n v="0.04"/>
    <n v="0.1"/>
    <n v="0.22696"/>
    <n v="0.56740000000000002"/>
  </r>
  <r>
    <x v="6"/>
    <s v="Oath - Verizon Media"/>
    <s v="nova_cielo-empreendedores-verizon-zip-display-leaderboard-zip_bandeiras-pequeno_empreendedor"/>
    <s v="271364836"/>
    <s v="Standard"/>
    <s v="empreendedores-verizon-zip-display-leaderboard-728x90-zip_bandeiras-pequeno_empreendedor-cpm"/>
    <s v="465919419"/>
    <s v="Display"/>
    <n v="1"/>
    <n v="0"/>
    <n v="0.04"/>
    <n v="0.1"/>
    <n v="4.0000000000000003E-5"/>
    <n v="1E-4"/>
  </r>
  <r>
    <x v="6"/>
    <s v="Oath - Verizon Media"/>
    <s v="nova_cielo-empreendedores-verizon-zip-display-leaderboard-zip_bandeiras-pequeno_empreendedor_look-a-like_ e_predictive audience"/>
    <s v="271364866"/>
    <s v="Standard"/>
    <s v="empreendedores-verizon-zip-display-leaderboard-728x90-zip_bandeiras-pequeno_empreendedor_look-a-like_ e_predictive audience-cpm"/>
    <s v="465919449"/>
    <s v="Display"/>
    <n v="36040"/>
    <n v="100"/>
    <n v="0.04"/>
    <n v="0.1"/>
    <n v="1.4416000000000002"/>
    <n v="3.6040000000000001"/>
  </r>
  <r>
    <x v="6"/>
    <s v="Oath - Verizon Media"/>
    <s v="nova_cielo-empreendedores-verizon-zip-display-medium_rectangle-zip_bandeiras-pequeno_empreendedor"/>
    <s v="271364848"/>
    <s v="Standard"/>
    <s v="empreendedores-verizon-zip-display-medium_rectangle-300x250-zip_bandeiras-pequeno_empreendedor-cpm"/>
    <s v="465919431"/>
    <s v="Display"/>
    <n v="5"/>
    <n v="0"/>
    <n v="0.04"/>
    <n v="0.1"/>
    <n v="2.0000000000000001E-4"/>
    <n v="5.0000000000000001E-4"/>
  </r>
  <r>
    <x v="6"/>
    <s v="Oath - Verizon Media"/>
    <s v="nova_cielo-empreendedores-verizon-zip-display-medium_rectangle-zip_bandeiras-pequeno_empreendedor_look-a-like_ e_predictive audience"/>
    <s v="271364884"/>
    <s v="Standard"/>
    <s v="empreendedores-verizon-zip-display-medium_rectangle-300x250-zip_bandeiras-pequeno_empreendedor_look-a-like_ e_predictive audience-cpm"/>
    <s v="465919467"/>
    <s v="Display"/>
    <n v="24844"/>
    <n v="23"/>
    <n v="0.04"/>
    <n v="0.1"/>
    <n v="0.99375999999999998"/>
    <n v="2.4843999999999999"/>
  </r>
  <r>
    <x v="6"/>
    <s v="Oath - Verizon Media"/>
    <s v="nova_cielo-empreendedores-verizon-zip-display-mobile_leaderboard-zip_bandeiras-pequeno_empreendedor_look-a-like_ e_predictive audience"/>
    <s v="271364872"/>
    <s v="Standard"/>
    <s v="empreendedores-verizon-zip-display-mobile_leaderboard-320x50-zip_bandeiras-pequeno_empreendedor_look-a-like_ e_predictive audience-cpm"/>
    <s v="465919455"/>
    <s v="Display"/>
    <n v="239824"/>
    <n v="451"/>
    <n v="0.04"/>
    <n v="0.1"/>
    <n v="9.5929600000000015"/>
    <n v="23.982400000000002"/>
  </r>
  <r>
    <x v="6"/>
    <s v="Oath - Verizon Media"/>
    <s v="nova_cielo-empreendedores-verizon-zip-display-wide_skyscraper-zip_bandeiras-pequeno_empreendedor"/>
    <s v="271364854"/>
    <s v="Standard"/>
    <s v="empreendedores-verizon-zip-display-wide_skyscraper-160x600-zip_bandeiras-pequeno_empreendedor-cpm"/>
    <s v="465919437"/>
    <s v="Display"/>
    <n v="4"/>
    <n v="0"/>
    <n v="0.04"/>
    <n v="0.1"/>
    <n v="1.6000000000000001E-4"/>
    <n v="4.0000000000000002E-4"/>
  </r>
  <r>
    <x v="6"/>
    <s v="Oath - Verizon Media"/>
    <s v="nova_cielo-empreendedores-verizon-zip-display-wide_skyscraper-zip_bandeiras-pequeno_empreendedor_look-a-like_ e_predictive audience"/>
    <s v="271364890"/>
    <s v="Standard"/>
    <s v="empreendedores-verizon-zip-display-wide_skyscraper-160x600-zip_bandeiras-pequeno_empreendedor_look-a-like_ e_predictive audience-cpm"/>
    <s v="465919473"/>
    <s v="Display"/>
    <n v="67691"/>
    <n v="68"/>
    <n v="0.04"/>
    <n v="0.1"/>
    <n v="2.70764"/>
    <n v="6.7691000000000008"/>
  </r>
  <r>
    <x v="6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56751"/>
    <n v="757"/>
    <n v="0.04"/>
    <n v="0.1"/>
    <n v="2.2700399999999998"/>
    <n v="5.6751000000000005"/>
  </r>
  <r>
    <x v="6"/>
    <s v="Oath - Verizon Media"/>
    <s v="nova_cielo_empreendedores_flash_native_native_1200x627_taxa_zero_atendimento_pequeno_empreendedor_look-a-like_ e_predictive audience"/>
    <s v="269453579"/>
    <s v="Standard"/>
    <s v="empreendedores_flash_native_native_1200x627_taxa_zero_atendimento_pequeno_empreendedor_look-a-like_ e_predictive audience"/>
    <s v="464267154"/>
    <s v="Tracking"/>
    <n v="3005"/>
    <n v="43"/>
    <n v="0.04"/>
    <n v="0.1"/>
    <n v="0.1202"/>
    <n v="0.30049999999999999"/>
  </r>
  <r>
    <x v="6"/>
    <s v="Oath - Verizon Media"/>
    <s v="nova_cielo_empreendedores_flash_native_native_627x627_taxa_zero_atendimento_pequeno_empreendedor"/>
    <s v="270021814"/>
    <s v="Standard"/>
    <s v="empreendedores_flash_native_native_627x627_taxa_zero_atendimento_pequeno_empreendedor"/>
    <s v="464562189"/>
    <s v="Tracking"/>
    <n v="15553"/>
    <n v="0"/>
    <n v="0.04"/>
    <n v="0.1"/>
    <n v="0.62212000000000001"/>
    <n v="1.5553000000000001"/>
  </r>
  <r>
    <x v="7"/>
    <s v="BR Globo"/>
    <s v="pegn-marca-globo-marca-display-carrossel-pegn_cielo_baseig_novaversao-as_25_interesses"/>
    <s v="277224998"/>
    <s v="Standard"/>
    <s v="marca-globo-marca-display-carrossel-400x300-pegn_cielo_baseig_novaversao-as_25_interesses-cpm"/>
    <s v="471607967"/>
    <s v="Tracking"/>
    <n v="126105"/>
    <n v="171"/>
    <n v="0.04"/>
    <n v="0.1"/>
    <n v="5.0442"/>
    <n v="12.6105"/>
  </r>
  <r>
    <x v="7"/>
    <s v="BR Globo"/>
    <s v="pegn-marca-globo-marca-display-carrossel-pegn_cielo_coronavoucher-as_25_interesses"/>
    <s v="276812053"/>
    <s v="Standard"/>
    <s v="marca-globo-marca-display-carrossel-400x300-pegn_cielo_coronavoucher-as_25_interesses-cpm"/>
    <s v="471035097"/>
    <s v="Tracking"/>
    <n v="223765"/>
    <n v="252"/>
    <n v="0.04"/>
    <n v="0.1"/>
    <n v="8.9505999999999997"/>
    <n v="22.3765"/>
  </r>
  <r>
    <x v="7"/>
    <s v="BR Globo"/>
    <s v="pegn-marca-globo-marca-display-carrossel-pegn_cielo_superlink_lutadiaria-as_25_interesses"/>
    <s v="275645224"/>
    <s v="Standard"/>
    <s v="marca-globo-marca-display-carrossel-400x300-pegn_cielo_superlink_lutadiaria-as_25_interesses-cpm"/>
    <s v="469931074"/>
    <s v="Tracking"/>
    <n v="78493"/>
    <n v="225"/>
    <n v="0.04"/>
    <n v="0.1"/>
    <n v="3.1397200000000001"/>
    <n v="7.8493000000000004"/>
  </r>
  <r>
    <x v="7"/>
    <s v="BR Globo"/>
    <s v="pegn-marca-globo-marca-display-maxiboard-pegn_cielo_baseig_novaversao-as_25_interesses"/>
    <s v="277225001"/>
    <s v="Standard"/>
    <s v="marca-globo-marca-display-maxiboard-970x150-pegn_cielo_baseig_novaversao-as_25_interesses-cpm"/>
    <s v="471607970"/>
    <s v="Display"/>
    <n v="2"/>
    <n v="2"/>
    <n v="0.04"/>
    <n v="0.1"/>
    <n v="8.0000000000000007E-5"/>
    <n v="2.0000000000000001E-4"/>
  </r>
  <r>
    <x v="7"/>
    <s v="BR Globo"/>
    <s v="pegn-marca-globo-marca-display-maxiboard-pegn_cielo_coronavoucher-as_25_interesses"/>
    <s v="276487391"/>
    <s v="Standard"/>
    <s v="marca-globo-marca-display-maxiboard-970x150-pegn_cielo_coronavoucher-as_25_interesses-cpm"/>
    <s v="470964913"/>
    <s v="Display"/>
    <n v="227122"/>
    <n v="99"/>
    <n v="0.04"/>
    <n v="0.1"/>
    <n v="9.0848800000000018"/>
    <n v="22.712199999999999"/>
  </r>
  <r>
    <x v="7"/>
    <s v="BR Globo"/>
    <s v="pegn-marca-globo-marca-display-maxiboard-pegn_cielo_superlink_lutadiaria-as_25_interesses"/>
    <s v="275703516"/>
    <s v="Standard"/>
    <s v="marca-globo-marca-display-maxiboard-970x150-pegn_cielo_superlink_lutadiaria-as_25_interesses-cpm"/>
    <s v="469931347"/>
    <s v="Display"/>
    <n v="74791"/>
    <n v="25"/>
    <n v="0.04"/>
    <n v="0.1"/>
    <n v="2.9916399999999999"/>
    <n v="7.4791000000000007"/>
  </r>
  <r>
    <x v="7"/>
    <s v="BR Globo"/>
    <s v="pegn-marca-globo-marca-display-medium_rectangle-pegn_cielo_baseig_novaversao-as_25_interesses"/>
    <s v="277225004"/>
    <s v="Standard"/>
    <s v="marca-globo-marca-display-medium_rectangle-300x250-pegn_cielo_baseig_novaversao-as_25_interesses-cpm"/>
    <s v="471607973"/>
    <s v="Display"/>
    <n v="310758"/>
    <n v="1015"/>
    <n v="0.04"/>
    <n v="0.1"/>
    <n v="12.43032"/>
    <n v="31.075800000000005"/>
  </r>
  <r>
    <x v="7"/>
    <s v="BR Globo"/>
    <s v="pegn-marca-globo-marca-display-medium_rectangle-pegn_cielo_coronavoucher-as_25_interesses"/>
    <s v="276487394"/>
    <s v="Standard"/>
    <s v="marca-globo-marca-display-medium_rectangle-300x250-pegn_cielo_coronavoucher-as_25_interesses-cpm"/>
    <s v="470964916"/>
    <s v="Display"/>
    <n v="232386"/>
    <n v="593"/>
    <n v="0.04"/>
    <n v="0.1"/>
    <n v="9.295440000000001"/>
    <n v="23.238600000000002"/>
  </r>
  <r>
    <x v="7"/>
    <s v="BR Globo"/>
    <s v="pegn-marca-globo-marca-display-medium_rectangle-pegn_cielo_superlink_lutadiaria-as_25_interesses"/>
    <s v="275345177"/>
    <s v="Standard"/>
    <s v="marca-globo-marca-display-medium_rectangle-300x250-pegn_cielo_superlink_lutadiaria-as_25_interesses-cpm"/>
    <s v="469931029"/>
    <s v="Display"/>
    <n v="710998"/>
    <n v="1787"/>
    <n v="0.04"/>
    <n v="0.1"/>
    <n v="28.439920000000001"/>
    <n v="71.099800000000002"/>
  </r>
  <r>
    <x v="7"/>
    <s v="BR Globo"/>
    <s v="pegn-marca-globo-marca-display-stick_ad-pegn_cielo_baseig_novaversao-as_25_interesses"/>
    <s v="277225007"/>
    <s v="Standard"/>
    <s v="marca-globo-marca-display-stick_ad-320x50-pegn_cielo_baseig_novaversao-as_25_interesses-cpm"/>
    <s v="471607976"/>
    <s v="Display"/>
    <n v="662"/>
    <n v="4"/>
    <n v="0.04"/>
    <n v="0.1"/>
    <n v="2.648E-2"/>
    <n v="6.6200000000000009E-2"/>
  </r>
  <r>
    <x v="7"/>
    <s v="BR Globo"/>
    <s v="pegn-marca-globo-marca-display-stick_ad-pegn_cielo_coronavoucher-as_25_interesses"/>
    <s v="276487397"/>
    <s v="Standard"/>
    <s v="marca-globo-marca-display-stick_ad-320x50-pegn_cielo_coronavoucher-as_25_interesses-cpm"/>
    <s v="470964919"/>
    <s v="Display"/>
    <n v="4157"/>
    <n v="17"/>
    <n v="0.04"/>
    <n v="0.1"/>
    <n v="0.16628000000000001"/>
    <n v="0.41570000000000007"/>
  </r>
  <r>
    <x v="7"/>
    <s v="BR Globo"/>
    <s v="pegn-marca-globo-marca-video-pre_roll-pegn_cielo_movimenta-as_25_empreendedores"/>
    <s v="271788079"/>
    <s v="Dynamic Click"/>
    <s v="marca-globo-marca-video-pre_roll-1920x1080-pegn_cielo_movimenta-as_25_empreendedores-cpm"/>
    <s v="466305990"/>
    <s v="Tracking"/>
    <n v="0"/>
    <n v="1"/>
    <n v="3.5000000000000001E-3"/>
    <n v="2.5000000000000001E-2"/>
    <n v="3.5000000000000001E-3"/>
    <n v="2.5000000000000001E-2"/>
  </r>
  <r>
    <x v="8"/>
    <s v="Oath - Verizon Media"/>
    <s v="receba-rapido-varejo-marca-native-native-receba_rapido_vendas-base_legada_elegivel_cielo"/>
    <s v="270880872"/>
    <s v="Standard"/>
    <s v="varejo-verizon-marca-native-native-1200x627-receba_rapido_vendas-base_legada_elegivel_cielo-cpm"/>
    <s v="465384225"/>
    <s v="Tracking"/>
    <n v="3"/>
    <n v="0"/>
    <n v="0.04"/>
    <n v="0.1"/>
    <n v="1.1999999999999999E-4"/>
    <n v="3.0000000000000003E-4"/>
  </r>
  <r>
    <x v="8"/>
    <s v="afilio.com.br"/>
    <s v="receba-rapido-varejo-afilio-marca-display-halfpage-receba_rapido_vendas-base_legada_elegivel_cielo"/>
    <s v="271347691"/>
    <s v="Standard"/>
    <s v="receba-rapido-varejo-afilio-marca-display-halfpage-receba_rapido_vendas-base_legada_elegivel_cielo"/>
    <s v="465889442"/>
    <s v="Tracking"/>
    <n v="2"/>
    <n v="0"/>
    <n v="0.04"/>
    <n v="0.1"/>
    <n v="8.0000000000000007E-5"/>
    <n v="2.0000000000000001E-4"/>
  </r>
  <r>
    <x v="9"/>
    <s v="BR Folha"/>
    <s v="superlink-marca-folha-superlink-display-arroba_banner-folha_cielo_diadocomerciante_diaria1607-as25_empreendedor_varejo"/>
    <s v="277787200"/>
    <s v="Standard"/>
    <s v="marca-folha-superlink-display-arroba_banner-300x250-folha_cielo_diadocomerciante_diaria1607-as25_empreendedor_varejo-cpm"/>
    <s v="471906676"/>
    <s v="Display"/>
    <n v="994646"/>
    <n v="506"/>
    <n v="0.04"/>
    <n v="0.1"/>
    <n v="39.78584"/>
    <n v="99.464600000000004"/>
  </r>
  <r>
    <x v="9"/>
    <s v="Cazamba"/>
    <s v="superlink-marca-cazamba-superlink-display-Interstitial-sl_luta_diaria-as25_empreendedor_varejo_interesses"/>
    <s v="275741543"/>
    <s v="Standard"/>
    <s v="marca-cazamba-superlink-display-Interstitial-640x960-sl_luta_diaria-as25_empreendedor_varejo_interesses-cpm"/>
    <s v="470337270"/>
    <s v="Tracking"/>
    <n v="229333"/>
    <n v="7838"/>
    <n v="0.04"/>
    <n v="0.1"/>
    <n v="9.1733200000000004"/>
    <n v="22.933300000000003"/>
  </r>
  <r>
    <x v="9"/>
    <s v="Cazamba"/>
    <s v="superlink-marca-cazamba-superlink-display-Widescreen-sl_luta_diaria-as25_empreendedor_varejo_interesses"/>
    <s v="275741510"/>
    <s v="Standard"/>
    <s v="marca-cazamba-superlink-display-Widescreen-730x50-sl_luta_diaria-as25_empreendedor_varejo_interesses-cpm"/>
    <s v="470275304"/>
    <s v="Tracking"/>
    <n v="203379"/>
    <n v="535"/>
    <n v="0.04"/>
    <n v="0.1"/>
    <n v="8.1351599999999991"/>
    <n v="20.337900000000001"/>
  </r>
  <r>
    <x v="9"/>
    <s v="Google Brasil"/>
    <s v="superlink-marca-dv360_Outbrain-superlink-native-native-superlink_rapidofacileseguro-AS25_microempreendedor_medioempreendedor_negocios_vendasonline_donosdenegocios"/>
    <s v="277720721"/>
    <s v="Dynamic Click"/>
    <s v="marca-dv360_Outbrain-superlink-native-native-627x627-superlink_rapidofacileseguro-AS25_microempreendedor_medioempreendedor_negocios_vendasonline_donosdenegocios-cpc"/>
    <s v="472188954"/>
    <s v="Tracking"/>
    <n v="0"/>
    <n v="1"/>
    <n v="3.5000000000000001E-3"/>
    <n v="2.5000000000000001E-2"/>
    <n v="3.5000000000000001E-3"/>
    <n v="2.5000000000000001E-2"/>
  </r>
  <r>
    <x v="9"/>
    <s v="Google Brasil"/>
    <s v="superlink-marca-dv360_Outbrain-superlink-native-native-superlink_vendapelasredessociais-AS25_microempreendedor_medioempreendedor_negocios_vendasonline_donosdenegocios"/>
    <s v="277720718"/>
    <s v="Dynamic Click"/>
    <s v="marca-dv360_Outbrain-superlink-native-native-180x180-superlink_vendapelasredessociais-AS25_microempreendedor_medioempreendedor_negocios_vendasonline_donosdenegocios-cpc"/>
    <s v="472188951"/>
    <s v="Tracking"/>
    <n v="0"/>
    <n v="1"/>
    <n v="3.5000000000000001E-3"/>
    <n v="2.5000000000000001E-2"/>
    <n v="3.5000000000000001E-3"/>
    <n v="2.5000000000000001E-2"/>
  </r>
  <r>
    <x v="9"/>
    <s v="Google Brasil"/>
    <s v="superlink-marca-dv360_Outbrain-superlink-native-native-superlink_vendapelasredessociais-AS25_microempreendedor_medioempreendedor_negocios_vendasonline_donosdenegocios"/>
    <s v="277720724"/>
    <s v="Dynamic Click"/>
    <s v="marca-dv360_Outbrain-superlink-native-native-1200x627-superlink_vendapelasredessociais-AS25_microempreendedor_medioempreendedor_negocios_vendasonline_donosdenegocios-cpc"/>
    <s v="472188957"/>
    <s v="Tracking"/>
    <n v="0"/>
    <n v="4907543"/>
    <n v="3.5000000000000001E-3"/>
    <n v="2.5000000000000001E-2"/>
    <n v="17176.4005"/>
    <n v="490.75430000000006"/>
  </r>
  <r>
    <x v="9"/>
    <s v="Google Brasil"/>
    <s v="superlink-marca-dv360_Outbrain-superlink-native-native-superlink_vendapelawhatsapp-AS25_microempreendedor_medioempreendedor_negocios_vendasonline_donosdenegocios"/>
    <s v="277720715"/>
    <s v="Dynamic Click"/>
    <s v="marca-dv360_Outbrain-superlink-native-native-180x180-superlink_vendapelawhatsapp-AS25_microempreendedor_medioempreendedor_negocios_vendasonline_donosdenegocios-cpc"/>
    <s v="472188948"/>
    <s v="Tracking"/>
    <n v="0"/>
    <n v="1"/>
    <n v="3.5000000000000001E-3"/>
    <n v="2.5000000000000001E-2"/>
    <n v="3.5000000000000001E-3"/>
    <n v="2.5000000000000001E-2"/>
  </r>
  <r>
    <x v="9"/>
    <s v="Google Brasil"/>
    <s v="superlink-marca-dv360_Roix-superlink-video-pre_roll-superlink_video30s-as25_microempreendedor_medioempreendedor_negocios_vendasonline_donosdenegocios"/>
    <s v="276627353"/>
    <s v="Rich Media display banner"/>
    <s v="marca-dv360_Roix-superlink-video-pre_roll-1920x1080-superlink_video30s-as25_microempreendedor_medioempreendedor_negocios_vendasonline_donosdenegocios-cpm"/>
    <s v="471083030"/>
    <s v="In-Stream Video"/>
    <n v="806566"/>
    <n v="3410"/>
    <n v="0.6"/>
    <n v="0.35"/>
    <n v="483.93959999999998"/>
    <n v="282.29809999999998"/>
  </r>
  <r>
    <x v="9"/>
    <s v="Google Brasil"/>
    <s v="superlink-marca-dv360_Seedtag-superlink-video-pre_roll-superlink_video30s-as25_microempreendedor_medioempreendedor_negocios_vendasonline_donosdenegocios"/>
    <s v="276627347"/>
    <s v="Rich Media display banner"/>
    <s v="marca-dv360_Seedtag-superlink-video-pre_roll-1920x1080-superlink_video30s-as25_microempreendedor_medioempreendedor_negocios_vendasonline_donosdenegocios-cpm"/>
    <s v="471083024"/>
    <s v="In-Stream Video"/>
    <n v="1312168"/>
    <n v="5190"/>
    <n v="0.6"/>
    <n v="0.35"/>
    <n v="787.30079999999998"/>
    <n v="459.25880000000001"/>
  </r>
  <r>
    <x v="9"/>
    <s v="Google Brasil"/>
    <s v="superlink-marca-dv360_Smartclip-superlink-video-pre_roll-superlink_video30s-as25_microempreendedor_medioempreendedor_negocios_vendasonline_donosdenegocios"/>
    <s v="276627350"/>
    <s v="Rich Media display banner"/>
    <s v="marca-dv360_Smartclip-superlink-video-pre_roll-1920x1080-superlink_video30s-as25_microempreendedor_medioempreendedor_negocios_vendasonline_donosdenegocios-cpm"/>
    <s v="471083027"/>
    <s v="In-Stream Video"/>
    <n v="870664"/>
    <n v="5217"/>
    <n v="0.6"/>
    <n v="0.35"/>
    <n v="522.39839999999992"/>
    <n v="304.73239999999998"/>
  </r>
  <r>
    <x v="9"/>
    <s v="Google Brasil"/>
    <s v="superlink-marca-dv360_Spotify-superlink-video-pre_roll-superlink_video30s-as25_microempreendedor_medioempreendedor_negocios_vendasonline_donosdenegocios"/>
    <s v="276627344"/>
    <s v="Rich Media display banner"/>
    <s v="marca-dv360_Spotify-superlink-video-pre_roll-1920x1080-superlink_video30s-as25_microempreendedor_medioempreendedor_negocios_vendasonline_donosdenegocios-cpm"/>
    <s v="471083021"/>
    <s v="In-Stream Video"/>
    <n v="575833"/>
    <n v="4947"/>
    <n v="0.6"/>
    <n v="0.35"/>
    <n v="345.49979999999999"/>
    <n v="201.54155"/>
  </r>
  <r>
    <x v="9"/>
    <s v="Google Brasil"/>
    <s v="superlink-marca-dv360_Spotify-superlink-video-pre_roll-superlink_video30s-as25_microempreendedor_medioempreendedor_negocios_vendasonline_donosdenegocios"/>
    <s v="276627344"/>
    <s v="Rich Media display banner"/>
    <s v="Default In-stream Landscape Ad"/>
    <s v="470164574"/>
    <s v="In-Stream Video"/>
    <n v="1"/>
    <n v="0"/>
    <n v="0.6"/>
    <n v="0.35"/>
    <n v="5.9999999999999995E-4"/>
    <n v="3.5E-4"/>
  </r>
  <r>
    <x v="9"/>
    <s v="Oath - Verizon Media"/>
    <s v="superlink-marca-verizon-superlink-display-halfpage-sl_luta_diaria-AS25_microempreendedor_medioempreendedor_negocios_vendasonline_donosdenegocios"/>
    <s v="275210466"/>
    <s v="Standard"/>
    <s v="300x600 Default Web Ad"/>
    <s v="469359566"/>
    <s v="Display"/>
    <n v="1"/>
    <n v="0"/>
    <n v="0.04"/>
    <n v="0.1"/>
    <n v="4.0000000000000003E-5"/>
    <n v="1E-4"/>
  </r>
  <r>
    <x v="9"/>
    <s v="Oath - Verizon Media"/>
    <s v="superlink-marca-verizon-superlink-display-halfpage-sl_luta_diaria-AS25_microempreendedor_medioempreendedor_negocios_vendasonline_donosdenegocios"/>
    <s v="275210466"/>
    <s v="Standard"/>
    <s v="marca-verizon-superlink-display-halfpage-300x600-sl_luta_diaria-AS25_microempreendedor_medioempreendedor_negocios_vendasonline_donosdenegocios-cpm"/>
    <s v="469441062"/>
    <s v="Display"/>
    <n v="979236"/>
    <n v="327"/>
    <n v="0.04"/>
    <n v="0.1"/>
    <n v="39.169440000000002"/>
    <n v="97.923600000000008"/>
  </r>
  <r>
    <x v="9"/>
    <s v="Oath - Verizon Media"/>
    <s v="superlink-marca-verizon-superlink-display-leaderboard-sl_luta_diaria-AS25_microempreendedor_medioempreendedor_negocios_vendasonline_donosdenegocios"/>
    <s v="274854527"/>
    <s v="Standard"/>
    <s v="marca-verizon-superlink-display-leaderboard-728x90-sl_luta_diaria-AS25_microempreendedor_medioempreendedor_negocios_vendasonline_donosdenegocios-cpm"/>
    <s v="469441077"/>
    <s v="Display"/>
    <n v="857899"/>
    <n v="855"/>
    <n v="0.04"/>
    <n v="0.1"/>
    <n v="34.315959999999997"/>
    <n v="85.789900000000003"/>
  </r>
  <r>
    <x v="9"/>
    <s v="Oath - Verizon Media"/>
    <s v="superlink-marca-verizon-superlink-display-medium_rectangle-sl_luta_diaria-AS25_microempreendedor_medioempreendedor_negocios_vendasonline_donosdenegocios"/>
    <s v="275211564"/>
    <s v="Standard"/>
    <s v="300x250 Default Web Ad"/>
    <s v="469441638"/>
    <s v="Display"/>
    <n v="1"/>
    <n v="0"/>
    <n v="0.04"/>
    <n v="0.1"/>
    <n v="4.0000000000000003E-5"/>
    <n v="1E-4"/>
  </r>
  <r>
    <x v="9"/>
    <s v="Oath - Verizon Media"/>
    <s v="superlink-marca-verizon-superlink-display-medium_rectangle-sl_luta_diaria-AS25_microempreendedor_medioempreendedor_negocios_vendasonline_donosdenegocios"/>
    <s v="275211564"/>
    <s v="Standard"/>
    <s v="marca-verizon-superlink-display-medium_rectangle-300x250-sl_luta_diaria-AS25_microempreendedor_medioempreendedor_negocios_vendasonline_donosdenegocios-cpm"/>
    <s v="469359629"/>
    <s v="Display"/>
    <n v="2318656"/>
    <n v="662"/>
    <n v="0.04"/>
    <n v="0.1"/>
    <n v="92.74624"/>
    <n v="231.8656"/>
  </r>
  <r>
    <x v="9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1425205"/>
    <n v="647"/>
    <n v="0.04"/>
    <n v="0.1"/>
    <n v="57.008200000000002"/>
    <n v="142.5205"/>
  </r>
  <r>
    <x v="9"/>
    <s v="Oath - Verizon Media"/>
    <s v="superlink-marca-verizon-superlink-native-native-superlink-AS25_microempreendedor_medioempreendedor_negocios_vendasonline_donosdenegocios"/>
    <s v="274736543"/>
    <s v="Standard"/>
    <s v="marca-verizon-superlink-native-native-1200x627-superlink-AS25_microempreendedor_medioempreendedor_negocios_vendasonline_donosdenegocios-cpc"/>
    <s v="469322328"/>
    <s v="Tracking"/>
    <n v="5334981"/>
    <n v="52822"/>
    <n v="0.04"/>
    <n v="0.1"/>
    <n v="213.39923999999999"/>
    <n v="533.49810000000002"/>
  </r>
  <r>
    <x v="9"/>
    <s v="Oath - Verizon Media"/>
    <s v="superlink-marca-verizon-superlink-native-native-superlink_coronavoucher-AS25_microempreendedor_medioempreendedor_negocios_vendasonline_donosdenegocios"/>
    <s v="276183333"/>
    <s v="Standard"/>
    <s v="marca-verizon-superlink-native-native-1200x627-superlink_coronavoucher-AS25_microempreendedor_medioempreendedor_negocios_vendasonline_donosdenegocios-cpc"/>
    <s v="470337923"/>
    <s v="Tracking"/>
    <n v="3142"/>
    <n v="68"/>
    <n v="0.04"/>
    <n v="0.1"/>
    <n v="0.12568000000000001"/>
    <n v="0.31420000000000003"/>
  </r>
  <r>
    <x v="9"/>
    <s v="Oath - Verizon Media"/>
    <s v="superlink-marca-verizon-superlink-native-native-superlink_vendas-AS25_microempreendedor_medioempreendedor_negocios_vendasonline_donosdenegocios"/>
    <s v="277693553"/>
    <s v="Standard"/>
    <s v="marca-verizon-superlink-native-native-1200x627-superlink_vendas-AS25_microempreendedor_medioempreendedor_negocios_vendasonline_donosdenegocios-cpc"/>
    <s v="472074485"/>
    <s v="Tracking"/>
    <n v="2007845"/>
    <n v="19121"/>
    <n v="0.04"/>
    <n v="0.1"/>
    <n v="80.313800000000001"/>
    <n v="200.78450000000001"/>
  </r>
  <r>
    <x v="9"/>
    <s v="Oath - Verizon Media"/>
    <s v="superlink-marca-verizon-superlink-video-pre_roll-superlink_video30s-as25_empreendedor_varejo"/>
    <s v="276841577"/>
    <s v="Rich Media display banner"/>
    <s v="marca-verizon-superlink-video-pre_roll-1920x1080-superlink_video30s-as25_empreendedor_varejo-cpm"/>
    <s v="471339312"/>
    <s v="In-Stream Video"/>
    <n v="438147"/>
    <n v="6562"/>
    <n v="0.6"/>
    <n v="0.35"/>
    <n v="262.88819999999998"/>
    <n v="153.35144999999997"/>
  </r>
  <r>
    <x v="9"/>
    <s v="Oath - Verizon Media"/>
    <s v="superlink-marca-verizon-superlink-video-pre_roll-superlink_video30s-remarketing"/>
    <s v="277179312"/>
    <s v="Rich Media display banner"/>
    <s v="marca-verizon-superlink-video-pre_roll-1920x1080-superlink_video30s-remarketing-cpm"/>
    <s v="471340215"/>
    <s v="In-Stream Video"/>
    <n v="1921845"/>
    <n v="30694"/>
    <n v="0.6"/>
    <n v="0.35"/>
    <n v="1153.107"/>
    <n v="672.64575000000002"/>
  </r>
  <r>
    <x v="10"/>
    <s v="Google Brasil"/>
    <s v="superlink-marca-dv360-superlink-display-halfpage-luta_diaria-remarketing"/>
    <s v="277526230"/>
    <s v="Default"/>
    <s v="300x600 Default Web Ad"/>
    <s v="471115150"/>
    <s v="Display"/>
    <n v="1"/>
    <n v="1"/>
    <n v="0.04"/>
    <n v="0.1"/>
    <n v="4.0000000000000003E-5"/>
    <n v="1E-4"/>
  </r>
  <r>
    <x v="10"/>
    <s v="Google Brasil"/>
    <s v="superlink-marca-dv360-superlink-display-halfpage-luta_diaria-remarketing"/>
    <s v="277526230"/>
    <s v="Standard"/>
    <s v="marca-dv360-superlink-display-halfpage-300x600-luta_diaria-remarketing-cpm"/>
    <s v="471603932"/>
    <s v="Display"/>
    <n v="1117116"/>
    <n v="53543"/>
    <n v="0.04"/>
    <n v="0.1"/>
    <n v="44.684640000000002"/>
    <n v="111.7116"/>
  </r>
  <r>
    <x v="10"/>
    <s v="Google Brasil"/>
    <s v="superlink-marca-dv360-superlink-display-leaderboard-luta_diaria-remarketing"/>
    <s v="277534597"/>
    <s v="Standard"/>
    <s v="marca-dv360-superlink-display-leaderboard-728x90-luta_diaria-remarketing-cpm"/>
    <s v="471713973"/>
    <s v="Display"/>
    <n v="250154"/>
    <n v="701"/>
    <n v="0.04"/>
    <n v="0.1"/>
    <n v="10.006159999999999"/>
    <n v="25.015400000000003"/>
  </r>
  <r>
    <x v="10"/>
    <s v="Google Brasil"/>
    <s v="superlink-marca-dv360-superlink-display-medium_rectangle-luta_diaria-remarketing"/>
    <s v="277526233"/>
    <s v="Standard"/>
    <s v="marca-dv360-superlink-display-medium_rectangle-300x250-luta_diaria-remarketing-cpm"/>
    <s v="471603935"/>
    <s v="Display"/>
    <n v="2227785"/>
    <n v="18654"/>
    <n v="0.04"/>
    <n v="0.1"/>
    <n v="89.111400000000003"/>
    <n v="222.77850000000001"/>
  </r>
  <r>
    <x v="10"/>
    <s v="Google Brasil"/>
    <s v="superlink-marca-dv360-superlink-display-skyscraper-luta_diaria-remarketing"/>
    <s v="277526236"/>
    <s v="Standard"/>
    <s v="marca-dv360-superlink-display-skyscraper-160x600-luta_diaria-remarketing-cpm"/>
    <s v="471603938"/>
    <s v="Display"/>
    <n v="125009"/>
    <n v="37"/>
    <n v="0.04"/>
    <n v="0.1"/>
    <n v="5.0003599999999997"/>
    <n v="12.500900000000001"/>
  </r>
  <r>
    <x v="10"/>
    <s v="Oath - Verizon Media"/>
    <s v="superlink-marca-verizon-superlink-display-halfpage-luta_diaria-remarketing"/>
    <s v="276653099"/>
    <s v="Standard"/>
    <s v="marca-verizon-superlink-display-halfpage-300x600-luta_diaria-remarketing-cpm"/>
    <s v="471079367"/>
    <s v="Display"/>
    <n v="818118"/>
    <n v="256"/>
    <n v="0.04"/>
    <n v="0.1"/>
    <n v="32.724719999999998"/>
    <n v="81.811800000000005"/>
  </r>
  <r>
    <x v="10"/>
    <s v="Oath - Verizon Media"/>
    <s v="superlink-marca-verizon-superlink-display-leaderboard-luta_diaria-remarketing"/>
    <s v="276653096"/>
    <s v="Standard"/>
    <s v="marca-verizon-superlink-display-leaderboard-728x90-luta_diaria-remarketing-cpm"/>
    <s v="471079364"/>
    <s v="Display"/>
    <n v="1087967"/>
    <n v="731"/>
    <n v="0.04"/>
    <n v="0.1"/>
    <n v="43.518680000000003"/>
    <n v="108.79670000000002"/>
  </r>
  <r>
    <x v="10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2664705"/>
    <n v="745"/>
    <n v="0.04"/>
    <n v="0.1"/>
    <n v="106.5882"/>
    <n v="266.47050000000002"/>
  </r>
  <r>
    <x v="10"/>
    <s v="Oath - Verizon Media"/>
    <s v="superlink-marca-verizon-superlink-display-skyscraper-luta_diaria-remarketing"/>
    <s v="276653102"/>
    <s v="Standard"/>
    <s v="160x600 Default Web Ad"/>
    <s v="471082376"/>
    <s v="Display"/>
    <n v="1"/>
    <n v="0"/>
    <n v="0.04"/>
    <n v="0.1"/>
    <n v="4.0000000000000003E-5"/>
    <n v="1E-4"/>
  </r>
  <r>
    <x v="10"/>
    <s v="Oath - Verizon Media"/>
    <s v="superlink-marca-verizon-superlink-display-skyscraper-luta_diaria-remarketing"/>
    <s v="276653102"/>
    <s v="Standard"/>
    <s v="marca-verizon-superlink-display-skyscraper-160x600-luta_diaria-remarketing-cpm"/>
    <s v="471079370"/>
    <s v="Display"/>
    <n v="1329510"/>
    <n v="600"/>
    <n v="0.04"/>
    <n v="0.1"/>
    <n v="53.180399999999999"/>
    <n v="132.95099999999999"/>
  </r>
  <r>
    <x v="10"/>
    <s v="Oath - Verizon Media"/>
    <s v="superlink-marca-verizon-superlink-native-native-superlink_entrega-integrada-remarketing"/>
    <s v="277694651"/>
    <s v="Standard"/>
    <s v="marca-verizon-superlink-native-native-1200x627-superlink_entrega-integrada-remarketing-cpc"/>
    <s v="472079209"/>
    <s v="Tracking"/>
    <n v="2228"/>
    <n v="11"/>
    <n v="0.04"/>
    <n v="0.1"/>
    <n v="8.9120000000000005E-2"/>
    <n v="0.2228"/>
  </r>
  <r>
    <x v="10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471013"/>
    <n v="6514"/>
    <n v="0.04"/>
    <n v="0.1"/>
    <n v="18.840520000000001"/>
    <n v="47.101300000000002"/>
  </r>
  <r>
    <x v="10"/>
    <s v="afilio.com.br"/>
    <s v="superlink-marca-afilio-superlink-display-halfpage-luta_diaria-as25_microempreendedor_medioempreendedor_negocios_vendasonline_donosdenegocios"/>
    <s v="277004367"/>
    <s v="Standard"/>
    <s v="marca-afilio-superlink-display-halfpage-300x600-luta_diaria-as25_microempreendedor_medioempreendedor_negocios_vendasonline_donosdenegocios-cpvisita"/>
    <s v="471083149"/>
    <s v="Tracking"/>
    <n v="562111"/>
    <n v="803"/>
    <n v="0.04"/>
    <n v="0.1"/>
    <n v="22.484439999999999"/>
    <n v="56.211100000000009"/>
  </r>
  <r>
    <x v="10"/>
    <s v="afilio.com.br"/>
    <s v="superlink-marca-afilio-superlink-display-leaderboard-luta_diaria-as25_microempreendedor_medioempreendedor_negocios_vendasonline_donosdenegocios"/>
    <s v="277004364"/>
    <s v="Standard"/>
    <s v="marca-afilio-superlink-display-leaderboard-728x90-luta_diaria-as25_microempreendedor_medioempreendedor_negocios_vendasonline_donosdenegocios-cpvisita"/>
    <s v="471083146"/>
    <s v="Tracking"/>
    <n v="1050784"/>
    <n v="18248"/>
    <n v="0.04"/>
    <n v="0.1"/>
    <n v="42.031359999999999"/>
    <n v="105.0784"/>
  </r>
  <r>
    <x v="10"/>
    <s v="afilio.com.br"/>
    <s v="superlink-marca-afilio-superlink-display-medium_rectangle-luta_diaria-as25_microempreendedor_medioempreendedor_negocios_vendasonline_donosdenegocios"/>
    <s v="277002747"/>
    <s v="Standard"/>
    <s v="marca-afilio-superlink-display-medium_rectangle-300x250-luta_diaria-as25_microempreendedor_medioempreendedor_negocios_vendasonline_donosdenegocios-cpvisita"/>
    <s v="471082640"/>
    <s v="Tracking"/>
    <n v="882013"/>
    <n v="2724"/>
    <n v="0.04"/>
    <n v="0.1"/>
    <n v="35.280520000000003"/>
    <n v="88.201300000000003"/>
  </r>
  <r>
    <x v="10"/>
    <s v="afilio.com.br"/>
    <s v="superlink-marca-afilio-superlink-display-skyscraper-luta_diaria-as25_microempreendedor_medioempreendedor_negocios_vendasonline_donosdenegocios"/>
    <s v="277004370"/>
    <s v="Standard"/>
    <s v="marca-afilio-superlink-display-skyscraper-160x600-luta_diaria-as25_microempreendedor_medioempreendedor_negocios_vendasonline_donosdenegocios-cpvisita"/>
    <s v="471083152"/>
    <s v="Tracking"/>
    <n v="3918399"/>
    <n v="1902"/>
    <n v="0.04"/>
    <n v="0.1"/>
    <n v="156.73596000000001"/>
    <n v="391.8399"/>
  </r>
  <r>
    <x v="11"/>
    <s v="Oath - Verizon Media"/>
    <s v="aquisicao-varejo-marca-native-native-voce_e_cielo_crescendo_1-as_25-mais_comportamental"/>
    <s v="270371978"/>
    <s v="Standard"/>
    <s v="varejo-marca-native-native-1200x627-voce_e_cielo_crescendo_1-as_25-mais_comportamental-cpm"/>
    <s v="465205787"/>
    <s v="Tracking"/>
    <n v="1"/>
    <n v="0"/>
    <n v="0.04"/>
    <n v="0.1"/>
    <n v="4.0000000000000003E-5"/>
    <n v="1E-4"/>
  </r>
  <r>
    <x v="11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Standard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6"/>
    <n v="3"/>
    <n v="0.04"/>
    <n v="0.1"/>
    <n v="2.3999999999999998E-4"/>
    <n v="6.0000000000000006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868A12-5E4A-4AD7-9647-36001D556377}" name="Tabela dinâ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6" firstHeaderRow="0" firstDataRow="1" firstDataCol="1"/>
  <pivotFields count="14">
    <pivotField axis="axisRow" showAll="0">
      <items count="13">
        <item x="11"/>
        <item x="1"/>
        <item x="0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5"/>
  <sheetViews>
    <sheetView showGridLines="0" tabSelected="1" workbookViewId="0">
      <selection activeCell="G9" sqref="G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23">
        <f>SUMIF(adtype_filtrada,$B4,impressoes_filtrada)</f>
        <v>46025966</v>
      </c>
      <c r="E4" s="9">
        <f>C4*D4/1000</f>
        <v>4602.5966000000008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23">
        <f>SUMIF(adtype_filtrada,$B5,impressoes_filtrada)</f>
        <v>1</v>
      </c>
      <c r="E5" s="9">
        <f>C5*D5/1000</f>
        <v>1E-4</v>
      </c>
      <c r="F5" s="16"/>
      <c r="G5" s="9">
        <v>129365.4751</v>
      </c>
      <c r="H5" s="26">
        <f>SUM(total_ferramenta_filtrada)</f>
        <v>22572.640080000005</v>
      </c>
    </row>
    <row r="6" spans="1:8">
      <c r="B6" s="8" t="s">
        <v>10</v>
      </c>
      <c r="C6" s="1">
        <v>2.5000000000000001E-2</v>
      </c>
      <c r="D6" s="23">
        <f>SUMIF(adtype_filtrada,$B6,clicks_filtrada)</f>
        <v>4907562</v>
      </c>
      <c r="E6" s="9">
        <f>C6*D6</f>
        <v>122689.05</v>
      </c>
      <c r="F6" s="16"/>
      <c r="G6" s="27">
        <v>122688.57500000001</v>
      </c>
      <c r="H6" s="1"/>
    </row>
    <row r="7" spans="1:8">
      <c r="B7" s="8" t="s">
        <v>22</v>
      </c>
      <c r="C7" s="1">
        <v>7.0000000000000007E-2</v>
      </c>
      <c r="D7" s="23">
        <f>SUMIF(adtype_filtrada,$B7,impressoes_filtrada)</f>
        <v>0</v>
      </c>
      <c r="E7" s="9">
        <f>C7*D7/1000</f>
        <v>0</v>
      </c>
      <c r="F7" s="16"/>
      <c r="G7" s="28">
        <v>490.75430000000006</v>
      </c>
      <c r="H7" s="1"/>
    </row>
    <row r="8" spans="1:8">
      <c r="B8" s="8" t="s">
        <v>23</v>
      </c>
      <c r="C8" s="1">
        <v>0.35</v>
      </c>
      <c r="D8" s="23">
        <f>SUMIF(adtype_filtrada,$B8,impressoes_filtrada)</f>
        <v>5925224</v>
      </c>
      <c r="E8" s="9">
        <f>(C8*D8)/1000</f>
        <v>2073.8283999999999</v>
      </c>
      <c r="G8" s="25">
        <f>G5-G6+G7</f>
        <v>7167.6543999999849</v>
      </c>
      <c r="H8" s="9"/>
    </row>
    <row r="9" spans="1:8">
      <c r="B9" s="7" t="s">
        <v>19</v>
      </c>
      <c r="C9" s="7"/>
      <c r="D9" s="7"/>
      <c r="E9" s="10">
        <f>SUM(E4:E8)</f>
        <v>129365.4751</v>
      </c>
      <c r="F9" s="17"/>
      <c r="H9" s="24"/>
    </row>
    <row r="10" spans="1:8">
      <c r="H10" s="24"/>
    </row>
    <row r="11" spans="1:8">
      <c r="H11" s="24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66</v>
      </c>
      <c r="C19" t="s">
        <v>34</v>
      </c>
      <c r="D19" t="s">
        <v>67</v>
      </c>
      <c r="E19" t="s">
        <v>68</v>
      </c>
      <c r="F19" t="s">
        <v>10</v>
      </c>
      <c r="G19" t="s">
        <v>69</v>
      </c>
      <c r="H19" t="s">
        <v>70</v>
      </c>
      <c r="I19" t="s">
        <v>24</v>
      </c>
      <c r="J19">
        <v>0</v>
      </c>
      <c r="K19">
        <v>1</v>
      </c>
      <c r="L19" s="2">
        <v>3.5000000000000001E-3</v>
      </c>
      <c r="M19">
        <v>2.5000000000000001E-2</v>
      </c>
      <c r="N19" s="2">
        <v>3.5000000000000001E-3</v>
      </c>
      <c r="O19" s="2">
        <v>2.5000000000000001E-2</v>
      </c>
    </row>
    <row r="20" spans="1:15">
      <c r="B20" t="s">
        <v>66</v>
      </c>
      <c r="C20" t="s">
        <v>213</v>
      </c>
      <c r="D20" t="s">
        <v>214</v>
      </c>
      <c r="E20" t="s">
        <v>215</v>
      </c>
      <c r="F20" t="s">
        <v>12</v>
      </c>
      <c r="G20" t="s">
        <v>216</v>
      </c>
      <c r="H20" t="s">
        <v>217</v>
      </c>
      <c r="I20" t="s">
        <v>24</v>
      </c>
      <c r="J20">
        <v>38206</v>
      </c>
      <c r="K20">
        <v>5</v>
      </c>
      <c r="L20" s="2">
        <v>0.04</v>
      </c>
      <c r="M20">
        <v>0.1</v>
      </c>
      <c r="N20" s="2">
        <v>1.52824</v>
      </c>
      <c r="O20" s="2">
        <v>3.8206000000000002</v>
      </c>
    </row>
    <row r="21" spans="1:15">
      <c r="B21" t="s">
        <v>66</v>
      </c>
      <c r="C21" t="s">
        <v>213</v>
      </c>
      <c r="D21" t="s">
        <v>218</v>
      </c>
      <c r="E21" t="s">
        <v>219</v>
      </c>
      <c r="F21" t="s">
        <v>12</v>
      </c>
      <c r="G21" t="s">
        <v>220</v>
      </c>
      <c r="H21" t="s">
        <v>221</v>
      </c>
      <c r="I21" t="s">
        <v>24</v>
      </c>
      <c r="J21">
        <v>38212</v>
      </c>
      <c r="K21">
        <v>5</v>
      </c>
      <c r="L21" s="2">
        <v>0.04</v>
      </c>
      <c r="M21">
        <v>0.1</v>
      </c>
      <c r="N21" s="2">
        <v>1.5284800000000001</v>
      </c>
      <c r="O21" s="2">
        <v>3.8212000000000002</v>
      </c>
    </row>
    <row r="22" spans="1:15">
      <c r="B22" t="s">
        <v>66</v>
      </c>
      <c r="C22" t="s">
        <v>213</v>
      </c>
      <c r="D22" t="s">
        <v>222</v>
      </c>
      <c r="E22" t="s">
        <v>223</v>
      </c>
      <c r="F22" t="s">
        <v>12</v>
      </c>
      <c r="G22" t="s">
        <v>224</v>
      </c>
      <c r="H22" t="s">
        <v>225</v>
      </c>
      <c r="I22" t="s">
        <v>24</v>
      </c>
      <c r="J22">
        <v>81618</v>
      </c>
      <c r="K22">
        <v>69</v>
      </c>
      <c r="L22" s="2">
        <v>0.04</v>
      </c>
      <c r="M22">
        <v>0.1</v>
      </c>
      <c r="N22" s="2">
        <v>3.2647200000000001</v>
      </c>
      <c r="O22" s="2">
        <v>8.1617999999999995</v>
      </c>
    </row>
    <row r="23" spans="1:15">
      <c r="B23" t="s">
        <v>71</v>
      </c>
      <c r="C23" t="s">
        <v>28</v>
      </c>
      <c r="D23" t="s">
        <v>189</v>
      </c>
      <c r="E23" t="s">
        <v>190</v>
      </c>
      <c r="F23" t="s">
        <v>12</v>
      </c>
      <c r="G23" t="s">
        <v>191</v>
      </c>
      <c r="H23" t="s">
        <v>192</v>
      </c>
      <c r="I23" t="s">
        <v>30</v>
      </c>
      <c r="J23">
        <v>8</v>
      </c>
      <c r="K23">
        <v>0</v>
      </c>
      <c r="L23" s="2">
        <v>0.04</v>
      </c>
      <c r="M23">
        <v>0.1</v>
      </c>
      <c r="N23" s="2">
        <v>3.2000000000000003E-4</v>
      </c>
      <c r="O23" s="2">
        <v>8.0000000000000004E-4</v>
      </c>
    </row>
    <row r="24" spans="1:15">
      <c r="B24" t="s">
        <v>71</v>
      </c>
      <c r="C24" t="s">
        <v>28</v>
      </c>
      <c r="D24" t="s">
        <v>193</v>
      </c>
      <c r="E24" t="s">
        <v>194</v>
      </c>
      <c r="F24" t="s">
        <v>10</v>
      </c>
      <c r="G24" t="s">
        <v>195</v>
      </c>
      <c r="H24" t="s">
        <v>196</v>
      </c>
      <c r="I24" t="s">
        <v>24</v>
      </c>
      <c r="J24">
        <v>2</v>
      </c>
      <c r="K24">
        <v>3</v>
      </c>
      <c r="L24" s="2">
        <v>3.5000000000000001E-3</v>
      </c>
      <c r="M24">
        <v>2.5000000000000001E-2</v>
      </c>
      <c r="N24" s="2">
        <v>1.0500000000000001E-2</v>
      </c>
      <c r="O24" s="2">
        <v>7.5000000000000011E-2</v>
      </c>
    </row>
    <row r="25" spans="1:15">
      <c r="B25" t="s">
        <v>71</v>
      </c>
      <c r="C25" t="s">
        <v>28</v>
      </c>
      <c r="D25" t="s">
        <v>197</v>
      </c>
      <c r="E25" t="s">
        <v>198</v>
      </c>
      <c r="F25" t="s">
        <v>12</v>
      </c>
      <c r="G25" t="s">
        <v>199</v>
      </c>
      <c r="H25" t="s">
        <v>200</v>
      </c>
      <c r="I25" t="s">
        <v>24</v>
      </c>
      <c r="J25">
        <v>3</v>
      </c>
      <c r="K25">
        <v>2</v>
      </c>
      <c r="L25" s="2">
        <v>0.04</v>
      </c>
      <c r="M25">
        <v>0.1</v>
      </c>
      <c r="N25" s="2">
        <v>1.1999999999999999E-4</v>
      </c>
      <c r="O25" s="2">
        <v>3.0000000000000003E-4</v>
      </c>
    </row>
    <row r="26" spans="1:15">
      <c r="B26" t="s">
        <v>71</v>
      </c>
      <c r="C26" t="s">
        <v>28</v>
      </c>
      <c r="D26" t="s">
        <v>201</v>
      </c>
      <c r="E26" t="s">
        <v>202</v>
      </c>
      <c r="F26" t="s">
        <v>12</v>
      </c>
      <c r="G26" t="s">
        <v>203</v>
      </c>
      <c r="H26" t="s">
        <v>204</v>
      </c>
      <c r="I26" t="s">
        <v>24</v>
      </c>
      <c r="J26">
        <v>1</v>
      </c>
      <c r="K26">
        <v>0</v>
      </c>
      <c r="L26" s="2">
        <v>0.04</v>
      </c>
      <c r="M26">
        <v>0.1</v>
      </c>
      <c r="N26" s="2">
        <v>4.0000000000000003E-5</v>
      </c>
      <c r="O26" s="2">
        <v>1E-4</v>
      </c>
    </row>
    <row r="27" spans="1:15">
      <c r="B27" t="s">
        <v>71</v>
      </c>
      <c r="C27" t="s">
        <v>28</v>
      </c>
      <c r="D27" t="s">
        <v>205</v>
      </c>
      <c r="E27" t="s">
        <v>206</v>
      </c>
      <c r="F27" t="s">
        <v>10</v>
      </c>
      <c r="G27" t="s">
        <v>207</v>
      </c>
      <c r="H27" t="s">
        <v>208</v>
      </c>
      <c r="I27" t="s">
        <v>24</v>
      </c>
      <c r="J27">
        <v>0</v>
      </c>
      <c r="K27">
        <v>3</v>
      </c>
      <c r="L27" s="2">
        <v>3.5000000000000001E-3</v>
      </c>
      <c r="M27">
        <v>2.5000000000000001E-2</v>
      </c>
      <c r="N27" s="2">
        <v>1.0500000000000001E-2</v>
      </c>
      <c r="O27" s="2">
        <v>7.5000000000000011E-2</v>
      </c>
    </row>
    <row r="28" spans="1:15">
      <c r="B28" t="s">
        <v>71</v>
      </c>
      <c r="C28" t="s">
        <v>28</v>
      </c>
      <c r="D28" t="s">
        <v>209</v>
      </c>
      <c r="E28" t="s">
        <v>210</v>
      </c>
      <c r="F28" t="s">
        <v>12</v>
      </c>
      <c r="G28" t="s">
        <v>211</v>
      </c>
      <c r="H28" t="s">
        <v>212</v>
      </c>
      <c r="I28" t="s">
        <v>24</v>
      </c>
      <c r="J28">
        <v>33</v>
      </c>
      <c r="K28">
        <v>2</v>
      </c>
      <c r="L28" s="2">
        <v>0.04</v>
      </c>
      <c r="M28">
        <v>0.1</v>
      </c>
      <c r="N28" s="2">
        <v>1.32E-3</v>
      </c>
      <c r="O28" s="2">
        <v>3.3000000000000004E-3</v>
      </c>
    </row>
    <row r="29" spans="1:15">
      <c r="B29" t="s">
        <v>35</v>
      </c>
      <c r="C29" t="s">
        <v>36</v>
      </c>
      <c r="D29" t="s">
        <v>307</v>
      </c>
      <c r="E29" t="s">
        <v>308</v>
      </c>
      <c r="F29" t="s">
        <v>12</v>
      </c>
      <c r="G29" t="s">
        <v>309</v>
      </c>
      <c r="H29" t="s">
        <v>310</v>
      </c>
      <c r="I29" t="s">
        <v>30</v>
      </c>
      <c r="J29">
        <v>223635</v>
      </c>
      <c r="K29">
        <v>106</v>
      </c>
      <c r="L29" s="2">
        <v>0.04</v>
      </c>
      <c r="M29">
        <v>0.1</v>
      </c>
      <c r="N29" s="2">
        <v>8.9453999999999994</v>
      </c>
      <c r="O29" s="2">
        <v>22.363499999999998</v>
      </c>
    </row>
    <row r="30" spans="1:15">
      <c r="B30" t="s">
        <v>35</v>
      </c>
      <c r="C30" t="s">
        <v>36</v>
      </c>
      <c r="D30" t="s">
        <v>311</v>
      </c>
      <c r="E30" t="s">
        <v>312</v>
      </c>
      <c r="F30" t="s">
        <v>12</v>
      </c>
      <c r="G30" t="s">
        <v>313</v>
      </c>
      <c r="H30" t="s">
        <v>314</v>
      </c>
      <c r="I30" t="s">
        <v>30</v>
      </c>
      <c r="J30">
        <v>260820</v>
      </c>
      <c r="K30">
        <v>118</v>
      </c>
      <c r="L30" s="2">
        <v>0.04</v>
      </c>
      <c r="M30">
        <v>0.1</v>
      </c>
      <c r="N30" s="2">
        <v>10.4328</v>
      </c>
      <c r="O30" s="2">
        <v>26.082000000000001</v>
      </c>
    </row>
    <row r="31" spans="1:15">
      <c r="B31" t="s">
        <v>35</v>
      </c>
      <c r="C31" t="s">
        <v>36</v>
      </c>
      <c r="D31" t="s">
        <v>226</v>
      </c>
      <c r="E31" t="s">
        <v>227</v>
      </c>
      <c r="F31" t="s">
        <v>12</v>
      </c>
      <c r="G31" t="s">
        <v>228</v>
      </c>
      <c r="H31" t="s">
        <v>229</v>
      </c>
      <c r="I31" t="s">
        <v>30</v>
      </c>
      <c r="J31">
        <v>26829</v>
      </c>
      <c r="K31">
        <v>22</v>
      </c>
      <c r="L31" s="2">
        <v>0.04</v>
      </c>
      <c r="M31">
        <v>0.1</v>
      </c>
      <c r="N31" s="2">
        <v>1.0731600000000001</v>
      </c>
      <c r="O31" s="2">
        <v>2.6829000000000001</v>
      </c>
    </row>
    <row r="32" spans="1:15">
      <c r="B32" t="s">
        <v>35</v>
      </c>
      <c r="C32" t="s">
        <v>36</v>
      </c>
      <c r="D32" t="s">
        <v>230</v>
      </c>
      <c r="E32" t="s">
        <v>231</v>
      </c>
      <c r="F32" t="s">
        <v>12</v>
      </c>
      <c r="G32" t="s">
        <v>232</v>
      </c>
      <c r="H32" t="s">
        <v>233</v>
      </c>
      <c r="I32" t="s">
        <v>30</v>
      </c>
      <c r="J32">
        <v>42606</v>
      </c>
      <c r="K32">
        <v>38</v>
      </c>
      <c r="L32" s="2">
        <v>0.04</v>
      </c>
      <c r="M32">
        <v>0.1</v>
      </c>
      <c r="N32" s="2">
        <v>1.70424</v>
      </c>
      <c r="O32" s="2">
        <v>4.2606000000000002</v>
      </c>
    </row>
    <row r="33" spans="2:15">
      <c r="B33" t="s">
        <v>35</v>
      </c>
      <c r="C33" t="s">
        <v>36</v>
      </c>
      <c r="D33" t="s">
        <v>315</v>
      </c>
      <c r="E33" t="s">
        <v>316</v>
      </c>
      <c r="F33" t="s">
        <v>12</v>
      </c>
      <c r="G33" t="s">
        <v>317</v>
      </c>
      <c r="H33" t="s">
        <v>318</v>
      </c>
      <c r="I33" t="s">
        <v>30</v>
      </c>
      <c r="J33">
        <v>44986</v>
      </c>
      <c r="K33">
        <v>40</v>
      </c>
      <c r="L33" s="2">
        <v>0.04</v>
      </c>
      <c r="M33">
        <v>0.1</v>
      </c>
      <c r="N33" s="2">
        <v>1.7994400000000002</v>
      </c>
      <c r="O33" s="2">
        <v>4.4986000000000006</v>
      </c>
    </row>
    <row r="34" spans="2:15">
      <c r="B34" t="s">
        <v>35</v>
      </c>
      <c r="C34" t="s">
        <v>36</v>
      </c>
      <c r="D34" t="s">
        <v>319</v>
      </c>
      <c r="E34" t="s">
        <v>320</v>
      </c>
      <c r="F34" t="s">
        <v>12</v>
      </c>
      <c r="G34" t="s">
        <v>321</v>
      </c>
      <c r="H34" t="s">
        <v>322</v>
      </c>
      <c r="I34" t="s">
        <v>30</v>
      </c>
      <c r="J34">
        <v>57843</v>
      </c>
      <c r="K34">
        <v>34</v>
      </c>
      <c r="L34" s="2">
        <v>0.04</v>
      </c>
      <c r="M34">
        <v>0.1</v>
      </c>
      <c r="N34" s="2">
        <v>2.3137200000000004</v>
      </c>
      <c r="O34" s="2">
        <v>5.7843</v>
      </c>
    </row>
    <row r="35" spans="2:15">
      <c r="B35" t="s">
        <v>35</v>
      </c>
      <c r="C35" t="s">
        <v>36</v>
      </c>
      <c r="D35" t="s">
        <v>234</v>
      </c>
      <c r="E35" t="s">
        <v>235</v>
      </c>
      <c r="F35" t="s">
        <v>12</v>
      </c>
      <c r="G35" t="s">
        <v>236</v>
      </c>
      <c r="H35" t="s">
        <v>237</v>
      </c>
      <c r="I35" t="s">
        <v>30</v>
      </c>
      <c r="J35">
        <v>12496</v>
      </c>
      <c r="K35">
        <v>8</v>
      </c>
      <c r="L35" s="2">
        <v>0.04</v>
      </c>
      <c r="M35">
        <v>0.1</v>
      </c>
      <c r="N35" s="2">
        <v>0.49984000000000001</v>
      </c>
      <c r="O35" s="2">
        <v>1.2496</v>
      </c>
    </row>
    <row r="36" spans="2:15">
      <c r="B36" t="s">
        <v>35</v>
      </c>
      <c r="C36" t="s">
        <v>36</v>
      </c>
      <c r="D36" t="s">
        <v>323</v>
      </c>
      <c r="E36" t="s">
        <v>324</v>
      </c>
      <c r="F36" t="s">
        <v>12</v>
      </c>
      <c r="G36" t="s">
        <v>325</v>
      </c>
      <c r="H36" t="s">
        <v>326</v>
      </c>
      <c r="I36" t="s">
        <v>30</v>
      </c>
      <c r="J36">
        <v>44805</v>
      </c>
      <c r="K36">
        <v>14</v>
      </c>
      <c r="L36" s="2">
        <v>0.04</v>
      </c>
      <c r="M36">
        <v>0.1</v>
      </c>
      <c r="N36" s="2">
        <v>1.7922</v>
      </c>
      <c r="O36" s="2">
        <v>4.4805000000000001</v>
      </c>
    </row>
    <row r="37" spans="2:15">
      <c r="B37" t="s">
        <v>35</v>
      </c>
      <c r="C37" t="s">
        <v>36</v>
      </c>
      <c r="D37" t="s">
        <v>327</v>
      </c>
      <c r="E37" t="s">
        <v>328</v>
      </c>
      <c r="F37" t="s">
        <v>12</v>
      </c>
      <c r="G37" t="s">
        <v>329</v>
      </c>
      <c r="H37" t="s">
        <v>330</v>
      </c>
      <c r="I37" t="s">
        <v>30</v>
      </c>
      <c r="J37">
        <v>52968</v>
      </c>
      <c r="K37">
        <v>19</v>
      </c>
      <c r="L37" s="2">
        <v>0.04</v>
      </c>
      <c r="M37">
        <v>0.1</v>
      </c>
      <c r="N37" s="2">
        <v>2.1187200000000002</v>
      </c>
      <c r="O37" s="2">
        <v>5.2968000000000002</v>
      </c>
    </row>
    <row r="38" spans="2:15">
      <c r="B38" t="s">
        <v>35</v>
      </c>
      <c r="C38" t="s">
        <v>36</v>
      </c>
      <c r="D38" t="s">
        <v>238</v>
      </c>
      <c r="E38" t="s">
        <v>239</v>
      </c>
      <c r="F38" t="s">
        <v>12</v>
      </c>
      <c r="G38" t="s">
        <v>240</v>
      </c>
      <c r="H38" t="s">
        <v>241</v>
      </c>
      <c r="I38" t="s">
        <v>30</v>
      </c>
      <c r="J38">
        <v>6923</v>
      </c>
      <c r="K38">
        <v>2</v>
      </c>
      <c r="L38" s="2">
        <v>0.04</v>
      </c>
      <c r="M38">
        <v>0.1</v>
      </c>
      <c r="N38" s="2">
        <v>0.27692</v>
      </c>
      <c r="O38" s="2">
        <v>0.69230000000000003</v>
      </c>
    </row>
    <row r="39" spans="2:15">
      <c r="B39" t="s">
        <v>35</v>
      </c>
      <c r="C39" t="s">
        <v>36</v>
      </c>
      <c r="D39" t="s">
        <v>331</v>
      </c>
      <c r="E39" t="s">
        <v>332</v>
      </c>
      <c r="F39" t="s">
        <v>12</v>
      </c>
      <c r="G39" t="s">
        <v>333</v>
      </c>
      <c r="H39" t="s">
        <v>334</v>
      </c>
      <c r="I39" t="s">
        <v>30</v>
      </c>
      <c r="J39">
        <v>148370</v>
      </c>
      <c r="K39">
        <v>321</v>
      </c>
      <c r="L39" s="2">
        <v>0.04</v>
      </c>
      <c r="M39">
        <v>0.1</v>
      </c>
      <c r="N39" s="2">
        <v>5.9348000000000001</v>
      </c>
      <c r="O39" s="2">
        <v>14.837</v>
      </c>
    </row>
    <row r="40" spans="2:15">
      <c r="B40" t="s">
        <v>35</v>
      </c>
      <c r="C40" t="s">
        <v>36</v>
      </c>
      <c r="D40" t="s">
        <v>335</v>
      </c>
      <c r="E40" t="s">
        <v>336</v>
      </c>
      <c r="F40" t="s">
        <v>12</v>
      </c>
      <c r="G40" t="s">
        <v>337</v>
      </c>
      <c r="H40" t="s">
        <v>338</v>
      </c>
      <c r="I40" t="s">
        <v>30</v>
      </c>
      <c r="J40">
        <v>166068</v>
      </c>
      <c r="K40">
        <v>367</v>
      </c>
      <c r="L40" s="2">
        <v>0.04</v>
      </c>
      <c r="M40">
        <v>0.1</v>
      </c>
      <c r="N40" s="2">
        <v>6.6427200000000006</v>
      </c>
      <c r="O40" s="2">
        <v>16.6068</v>
      </c>
    </row>
    <row r="41" spans="2:15">
      <c r="B41" t="s">
        <v>35</v>
      </c>
      <c r="C41" t="s">
        <v>36</v>
      </c>
      <c r="D41" t="s">
        <v>242</v>
      </c>
      <c r="E41" t="s">
        <v>243</v>
      </c>
      <c r="F41" t="s">
        <v>12</v>
      </c>
      <c r="G41" t="s">
        <v>244</v>
      </c>
      <c r="H41" t="s">
        <v>245</v>
      </c>
      <c r="I41" t="s">
        <v>30</v>
      </c>
      <c r="J41">
        <v>383429</v>
      </c>
      <c r="K41">
        <v>1129</v>
      </c>
      <c r="L41" s="2">
        <v>0.04</v>
      </c>
      <c r="M41">
        <v>0.1</v>
      </c>
      <c r="N41" s="2">
        <v>15.337159999999999</v>
      </c>
      <c r="O41" s="2">
        <v>38.3429</v>
      </c>
    </row>
    <row r="42" spans="2:15">
      <c r="B42" t="s">
        <v>246</v>
      </c>
      <c r="C42" t="s">
        <v>28</v>
      </c>
      <c r="D42" t="s">
        <v>339</v>
      </c>
      <c r="E42" t="s">
        <v>340</v>
      </c>
      <c r="F42" t="s">
        <v>12</v>
      </c>
      <c r="G42" t="s">
        <v>341</v>
      </c>
      <c r="H42" t="s">
        <v>342</v>
      </c>
      <c r="I42" t="s">
        <v>30</v>
      </c>
      <c r="J42">
        <v>493980</v>
      </c>
      <c r="K42">
        <v>19193</v>
      </c>
      <c r="L42" s="2">
        <v>0.04</v>
      </c>
      <c r="M42">
        <v>0.1</v>
      </c>
      <c r="N42" s="2">
        <v>19.7592</v>
      </c>
      <c r="O42" s="2">
        <v>49.398000000000003</v>
      </c>
    </row>
    <row r="43" spans="2:15">
      <c r="B43" t="s">
        <v>246</v>
      </c>
      <c r="C43" t="s">
        <v>28</v>
      </c>
      <c r="D43" t="s">
        <v>343</v>
      </c>
      <c r="E43" t="s">
        <v>344</v>
      </c>
      <c r="F43" t="s">
        <v>12</v>
      </c>
      <c r="G43" t="s">
        <v>345</v>
      </c>
      <c r="H43" t="s">
        <v>346</v>
      </c>
      <c r="I43" t="s">
        <v>30</v>
      </c>
      <c r="J43">
        <v>960997</v>
      </c>
      <c r="K43">
        <v>13144</v>
      </c>
      <c r="L43" s="2">
        <v>0.04</v>
      </c>
      <c r="M43">
        <v>0.1</v>
      </c>
      <c r="N43" s="2">
        <v>38.439879999999995</v>
      </c>
      <c r="O43" s="2">
        <v>96.099700000000013</v>
      </c>
    </row>
    <row r="44" spans="2:15">
      <c r="B44" t="s">
        <v>246</v>
      </c>
      <c r="C44" t="s">
        <v>28</v>
      </c>
      <c r="D44" t="s">
        <v>347</v>
      </c>
      <c r="E44" t="s">
        <v>348</v>
      </c>
      <c r="F44" t="s">
        <v>12</v>
      </c>
      <c r="G44" t="s">
        <v>349</v>
      </c>
      <c r="H44" t="s">
        <v>350</v>
      </c>
      <c r="I44" t="s">
        <v>30</v>
      </c>
      <c r="J44">
        <v>186254</v>
      </c>
      <c r="K44">
        <v>521</v>
      </c>
      <c r="L44" s="2">
        <v>0.04</v>
      </c>
      <c r="M44">
        <v>0.1</v>
      </c>
      <c r="N44" s="2">
        <v>7.4501599999999994</v>
      </c>
      <c r="O44" s="2">
        <v>18.625400000000003</v>
      </c>
    </row>
    <row r="45" spans="2:15">
      <c r="B45" t="s">
        <v>246</v>
      </c>
      <c r="C45" t="s">
        <v>28</v>
      </c>
      <c r="D45" t="s">
        <v>351</v>
      </c>
      <c r="E45" t="s">
        <v>352</v>
      </c>
      <c r="F45" t="s">
        <v>12</v>
      </c>
      <c r="G45" t="s">
        <v>353</v>
      </c>
      <c r="H45" t="s">
        <v>354</v>
      </c>
      <c r="I45" t="s">
        <v>30</v>
      </c>
      <c r="J45">
        <v>1844921</v>
      </c>
      <c r="K45">
        <v>17552</v>
      </c>
      <c r="L45" s="2">
        <v>0.04</v>
      </c>
      <c r="M45">
        <v>0.1</v>
      </c>
      <c r="N45" s="2">
        <v>73.796840000000003</v>
      </c>
      <c r="O45" s="2">
        <v>184.49209999999999</v>
      </c>
    </row>
    <row r="46" spans="2:15">
      <c r="B46" t="s">
        <v>246</v>
      </c>
      <c r="C46" t="s">
        <v>28</v>
      </c>
      <c r="D46" t="s">
        <v>355</v>
      </c>
      <c r="E46" t="s">
        <v>356</v>
      </c>
      <c r="F46" t="s">
        <v>12</v>
      </c>
      <c r="G46" t="s">
        <v>357</v>
      </c>
      <c r="H46" t="s">
        <v>358</v>
      </c>
      <c r="I46" t="s">
        <v>30</v>
      </c>
      <c r="J46">
        <v>324019</v>
      </c>
      <c r="K46">
        <v>717</v>
      </c>
      <c r="L46" s="2">
        <v>0.04</v>
      </c>
      <c r="M46">
        <v>0.1</v>
      </c>
      <c r="N46" s="2">
        <v>12.960760000000001</v>
      </c>
      <c r="O46" s="2">
        <v>32.401900000000005</v>
      </c>
    </row>
    <row r="47" spans="2:15">
      <c r="B47" t="s">
        <v>246</v>
      </c>
      <c r="C47" t="s">
        <v>28</v>
      </c>
      <c r="D47" t="s">
        <v>359</v>
      </c>
      <c r="E47" t="s">
        <v>360</v>
      </c>
      <c r="F47" t="s">
        <v>10</v>
      </c>
      <c r="G47" t="s">
        <v>361</v>
      </c>
      <c r="H47" t="s">
        <v>362</v>
      </c>
      <c r="I47" t="s">
        <v>24</v>
      </c>
      <c r="J47">
        <v>0</v>
      </c>
      <c r="K47">
        <v>3</v>
      </c>
      <c r="L47" s="2">
        <v>3.5000000000000001E-3</v>
      </c>
      <c r="M47">
        <v>2.5000000000000001E-2</v>
      </c>
      <c r="N47" s="2">
        <v>1.0500000000000001E-2</v>
      </c>
      <c r="O47" s="2">
        <v>7.5000000000000011E-2</v>
      </c>
    </row>
    <row r="48" spans="2:15">
      <c r="B48" t="s">
        <v>37</v>
      </c>
      <c r="C48" t="s">
        <v>28</v>
      </c>
      <c r="D48" t="s">
        <v>38</v>
      </c>
      <c r="E48" t="s">
        <v>39</v>
      </c>
      <c r="F48" t="s">
        <v>12</v>
      </c>
      <c r="G48" t="s">
        <v>38</v>
      </c>
      <c r="H48" t="s">
        <v>40</v>
      </c>
      <c r="I48" t="s">
        <v>30</v>
      </c>
      <c r="J48">
        <v>4</v>
      </c>
      <c r="K48">
        <v>0</v>
      </c>
      <c r="L48" s="2">
        <v>0.04</v>
      </c>
      <c r="M48">
        <v>0.1</v>
      </c>
      <c r="N48" s="2">
        <v>1.6000000000000001E-4</v>
      </c>
      <c r="O48" s="2">
        <v>4.0000000000000002E-4</v>
      </c>
    </row>
    <row r="49" spans="2:15">
      <c r="B49" t="s">
        <v>37</v>
      </c>
      <c r="C49" t="s">
        <v>28</v>
      </c>
      <c r="D49" t="s">
        <v>41</v>
      </c>
      <c r="E49" t="s">
        <v>42</v>
      </c>
      <c r="F49" t="s">
        <v>10</v>
      </c>
      <c r="G49" t="s">
        <v>43</v>
      </c>
      <c r="H49" t="s">
        <v>44</v>
      </c>
      <c r="I49" t="s">
        <v>24</v>
      </c>
      <c r="J49">
        <v>0</v>
      </c>
      <c r="K49">
        <v>1</v>
      </c>
      <c r="L49" s="2">
        <v>3.5000000000000001E-3</v>
      </c>
      <c r="M49">
        <v>2.5000000000000001E-2</v>
      </c>
      <c r="N49" s="2">
        <v>3.5000000000000001E-3</v>
      </c>
      <c r="O49" s="2">
        <v>2.5000000000000001E-2</v>
      </c>
    </row>
    <row r="50" spans="2:15">
      <c r="B50" t="s">
        <v>247</v>
      </c>
      <c r="C50" t="s">
        <v>31</v>
      </c>
      <c r="D50" t="s">
        <v>363</v>
      </c>
      <c r="E50" t="s">
        <v>364</v>
      </c>
      <c r="F50" t="s">
        <v>12</v>
      </c>
      <c r="G50" t="s">
        <v>365</v>
      </c>
      <c r="H50" t="s">
        <v>366</v>
      </c>
      <c r="I50" t="s">
        <v>30</v>
      </c>
      <c r="J50">
        <v>56</v>
      </c>
      <c r="K50">
        <v>0</v>
      </c>
      <c r="L50" s="2">
        <v>0.04</v>
      </c>
      <c r="M50">
        <v>0.1</v>
      </c>
      <c r="N50" s="2">
        <v>2.2400000000000002E-3</v>
      </c>
      <c r="O50" s="2">
        <v>5.6000000000000008E-3</v>
      </c>
    </row>
    <row r="51" spans="2:15">
      <c r="B51" t="s">
        <v>247</v>
      </c>
      <c r="C51" t="s">
        <v>31</v>
      </c>
      <c r="D51" t="s">
        <v>367</v>
      </c>
      <c r="E51" t="s">
        <v>368</v>
      </c>
      <c r="F51" t="s">
        <v>12</v>
      </c>
      <c r="G51" t="s">
        <v>369</v>
      </c>
      <c r="H51" t="s">
        <v>370</v>
      </c>
      <c r="I51" t="s">
        <v>30</v>
      </c>
      <c r="J51">
        <v>2</v>
      </c>
      <c r="K51">
        <v>1</v>
      </c>
      <c r="L51" s="2">
        <v>0.04</v>
      </c>
      <c r="M51">
        <v>0.1</v>
      </c>
      <c r="N51" s="2">
        <v>8.0000000000000007E-5</v>
      </c>
      <c r="O51" s="2">
        <v>2.0000000000000001E-4</v>
      </c>
    </row>
    <row r="52" spans="2:15">
      <c r="B52" t="s">
        <v>247</v>
      </c>
      <c r="C52" t="s">
        <v>31</v>
      </c>
      <c r="D52" t="s">
        <v>367</v>
      </c>
      <c r="E52" t="s">
        <v>371</v>
      </c>
      <c r="F52" t="s">
        <v>12</v>
      </c>
      <c r="G52" t="s">
        <v>369</v>
      </c>
      <c r="H52" t="s">
        <v>372</v>
      </c>
      <c r="I52" t="s">
        <v>30</v>
      </c>
      <c r="J52">
        <v>55427</v>
      </c>
      <c r="K52">
        <v>4746</v>
      </c>
      <c r="L52" s="2">
        <v>0.04</v>
      </c>
      <c r="M52">
        <v>0.1</v>
      </c>
      <c r="N52" s="2">
        <v>2.2170799999999997</v>
      </c>
      <c r="O52" s="2">
        <v>5.5427000000000008</v>
      </c>
    </row>
    <row r="53" spans="2:15">
      <c r="B53" t="s">
        <v>247</v>
      </c>
      <c r="C53" t="s">
        <v>31</v>
      </c>
      <c r="D53" t="s">
        <v>373</v>
      </c>
      <c r="E53" t="s">
        <v>374</v>
      </c>
      <c r="F53" t="s">
        <v>12</v>
      </c>
      <c r="G53" t="s">
        <v>375</v>
      </c>
      <c r="H53" t="s">
        <v>376</v>
      </c>
      <c r="I53" t="s">
        <v>30</v>
      </c>
      <c r="J53">
        <v>17263</v>
      </c>
      <c r="K53">
        <v>782</v>
      </c>
      <c r="L53" s="2">
        <v>0.04</v>
      </c>
      <c r="M53">
        <v>0.1</v>
      </c>
      <c r="N53" s="2">
        <v>0.69052000000000002</v>
      </c>
      <c r="O53" s="2">
        <v>1.7263000000000002</v>
      </c>
    </row>
    <row r="54" spans="2:15">
      <c r="B54" t="s">
        <v>247</v>
      </c>
      <c r="C54" t="s">
        <v>31</v>
      </c>
      <c r="D54" t="s">
        <v>377</v>
      </c>
      <c r="E54" t="s">
        <v>378</v>
      </c>
      <c r="F54" t="s">
        <v>12</v>
      </c>
      <c r="G54" t="s">
        <v>379</v>
      </c>
      <c r="H54" t="s">
        <v>380</v>
      </c>
      <c r="I54" t="s">
        <v>30</v>
      </c>
      <c r="J54">
        <v>58</v>
      </c>
      <c r="K54">
        <v>0</v>
      </c>
      <c r="L54" s="2">
        <v>0.04</v>
      </c>
      <c r="M54">
        <v>0.1</v>
      </c>
      <c r="N54" s="2">
        <v>2.32E-3</v>
      </c>
      <c r="O54" s="2">
        <v>5.8000000000000005E-3</v>
      </c>
    </row>
    <row r="55" spans="2:15">
      <c r="B55" t="s">
        <v>247</v>
      </c>
      <c r="C55" t="s">
        <v>31</v>
      </c>
      <c r="D55" t="s">
        <v>381</v>
      </c>
      <c r="E55" t="s">
        <v>382</v>
      </c>
      <c r="F55" t="s">
        <v>12</v>
      </c>
      <c r="G55" t="s">
        <v>383</v>
      </c>
      <c r="H55" t="s">
        <v>384</v>
      </c>
      <c r="I55" t="s">
        <v>30</v>
      </c>
      <c r="J55">
        <v>1904</v>
      </c>
      <c r="K55">
        <v>19</v>
      </c>
      <c r="L55" s="2">
        <v>0.04</v>
      </c>
      <c r="M55">
        <v>0.1</v>
      </c>
      <c r="N55" s="2">
        <v>7.6159999999999992E-2</v>
      </c>
      <c r="O55" s="2">
        <v>0.19040000000000001</v>
      </c>
    </row>
    <row r="56" spans="2:15">
      <c r="B56" t="s">
        <v>247</v>
      </c>
      <c r="C56" t="s">
        <v>31</v>
      </c>
      <c r="D56" t="s">
        <v>381</v>
      </c>
      <c r="E56" t="s">
        <v>385</v>
      </c>
      <c r="F56" t="s">
        <v>12</v>
      </c>
      <c r="G56" t="s">
        <v>383</v>
      </c>
      <c r="H56" t="s">
        <v>386</v>
      </c>
      <c r="I56" t="s">
        <v>30</v>
      </c>
      <c r="J56">
        <v>3</v>
      </c>
      <c r="K56">
        <v>1</v>
      </c>
      <c r="L56" s="2">
        <v>0.04</v>
      </c>
      <c r="M56">
        <v>0.1</v>
      </c>
      <c r="N56" s="2">
        <v>1.1999999999999999E-4</v>
      </c>
      <c r="O56" s="2">
        <v>3.0000000000000003E-4</v>
      </c>
    </row>
    <row r="57" spans="2:15">
      <c r="B57" t="s">
        <v>247</v>
      </c>
      <c r="C57" t="s">
        <v>31</v>
      </c>
      <c r="D57" t="s">
        <v>387</v>
      </c>
      <c r="E57" t="s">
        <v>388</v>
      </c>
      <c r="F57" t="s">
        <v>12</v>
      </c>
      <c r="G57" t="s">
        <v>389</v>
      </c>
      <c r="H57" t="s">
        <v>390</v>
      </c>
      <c r="I57" t="s">
        <v>30</v>
      </c>
      <c r="J57">
        <v>1946</v>
      </c>
      <c r="K57">
        <v>14</v>
      </c>
      <c r="L57" s="2">
        <v>0.04</v>
      </c>
      <c r="M57">
        <v>0.1</v>
      </c>
      <c r="N57" s="2">
        <v>7.7840000000000006E-2</v>
      </c>
      <c r="O57" s="2">
        <v>0.19460000000000002</v>
      </c>
    </row>
    <row r="58" spans="2:15">
      <c r="B58" t="s">
        <v>247</v>
      </c>
      <c r="C58" t="s">
        <v>31</v>
      </c>
      <c r="D58" t="s">
        <v>391</v>
      </c>
      <c r="E58" t="s">
        <v>392</v>
      </c>
      <c r="F58" t="s">
        <v>12</v>
      </c>
      <c r="G58" t="s">
        <v>393</v>
      </c>
      <c r="H58" t="s">
        <v>394</v>
      </c>
      <c r="I58" t="s">
        <v>30</v>
      </c>
      <c r="J58">
        <v>8</v>
      </c>
      <c r="K58">
        <v>0</v>
      </c>
      <c r="L58" s="2">
        <v>0.04</v>
      </c>
      <c r="M58">
        <v>0.1</v>
      </c>
      <c r="N58" s="2">
        <v>3.2000000000000003E-4</v>
      </c>
      <c r="O58" s="2">
        <v>8.0000000000000004E-4</v>
      </c>
    </row>
    <row r="59" spans="2:15">
      <c r="B59" t="s">
        <v>247</v>
      </c>
      <c r="C59" t="s">
        <v>31</v>
      </c>
      <c r="D59" t="s">
        <v>395</v>
      </c>
      <c r="E59" t="s">
        <v>396</v>
      </c>
      <c r="F59" t="s">
        <v>12</v>
      </c>
      <c r="G59" t="s">
        <v>397</v>
      </c>
      <c r="H59" t="s">
        <v>398</v>
      </c>
      <c r="I59" t="s">
        <v>30</v>
      </c>
      <c r="J59">
        <v>29244</v>
      </c>
      <c r="K59">
        <v>2007</v>
      </c>
      <c r="L59" s="2">
        <v>0.04</v>
      </c>
      <c r="M59">
        <v>0.1</v>
      </c>
      <c r="N59" s="2">
        <v>1.1697599999999999</v>
      </c>
      <c r="O59" s="2">
        <v>2.9243999999999999</v>
      </c>
    </row>
    <row r="60" spans="2:15">
      <c r="B60" t="s">
        <v>247</v>
      </c>
      <c r="C60" t="s">
        <v>31</v>
      </c>
      <c r="D60" t="s">
        <v>395</v>
      </c>
      <c r="E60" t="s">
        <v>399</v>
      </c>
      <c r="F60" t="s">
        <v>12</v>
      </c>
      <c r="G60" t="s">
        <v>397</v>
      </c>
      <c r="H60" t="s">
        <v>400</v>
      </c>
      <c r="I60" t="s">
        <v>30</v>
      </c>
      <c r="J60">
        <v>21029</v>
      </c>
      <c r="K60">
        <v>2416</v>
      </c>
      <c r="L60" s="2">
        <v>0.04</v>
      </c>
      <c r="M60">
        <v>0.1</v>
      </c>
      <c r="N60" s="2">
        <v>0.84116000000000002</v>
      </c>
      <c r="O60" s="2">
        <v>2.1029</v>
      </c>
    </row>
    <row r="61" spans="2:15">
      <c r="B61" t="s">
        <v>247</v>
      </c>
      <c r="C61" t="s">
        <v>31</v>
      </c>
      <c r="D61" t="s">
        <v>401</v>
      </c>
      <c r="E61" t="s">
        <v>402</v>
      </c>
      <c r="F61" t="s">
        <v>12</v>
      </c>
      <c r="G61" t="s">
        <v>403</v>
      </c>
      <c r="H61" t="s">
        <v>404</v>
      </c>
      <c r="I61" t="s">
        <v>30</v>
      </c>
      <c r="J61">
        <v>24845</v>
      </c>
      <c r="K61">
        <v>910</v>
      </c>
      <c r="L61" s="2">
        <v>0.04</v>
      </c>
      <c r="M61">
        <v>0.1</v>
      </c>
      <c r="N61" s="2">
        <v>0.99380000000000002</v>
      </c>
      <c r="O61" s="2">
        <v>2.4845000000000002</v>
      </c>
    </row>
    <row r="62" spans="2:15">
      <c r="B62" t="s">
        <v>247</v>
      </c>
      <c r="C62" t="s">
        <v>31</v>
      </c>
      <c r="D62" t="s">
        <v>405</v>
      </c>
      <c r="E62" t="s">
        <v>406</v>
      </c>
      <c r="F62" t="s">
        <v>12</v>
      </c>
      <c r="G62" t="s">
        <v>407</v>
      </c>
      <c r="H62" t="s">
        <v>408</v>
      </c>
      <c r="I62" t="s">
        <v>30</v>
      </c>
      <c r="J62">
        <v>221</v>
      </c>
      <c r="K62">
        <v>2</v>
      </c>
      <c r="L62" s="2">
        <v>0.04</v>
      </c>
      <c r="M62">
        <v>0.1</v>
      </c>
      <c r="N62" s="2">
        <v>8.8400000000000006E-3</v>
      </c>
      <c r="O62" s="2">
        <v>2.2100000000000002E-2</v>
      </c>
    </row>
    <row r="63" spans="2:15">
      <c r="B63" t="s">
        <v>247</v>
      </c>
      <c r="C63" t="s">
        <v>31</v>
      </c>
      <c r="D63" t="s">
        <v>409</v>
      </c>
      <c r="E63" t="s">
        <v>410</v>
      </c>
      <c r="F63" t="s">
        <v>12</v>
      </c>
      <c r="G63" t="s">
        <v>411</v>
      </c>
      <c r="H63" t="s">
        <v>412</v>
      </c>
      <c r="I63" t="s">
        <v>30</v>
      </c>
      <c r="J63">
        <v>794</v>
      </c>
      <c r="K63">
        <v>3</v>
      </c>
      <c r="L63" s="2">
        <v>0.04</v>
      </c>
      <c r="M63">
        <v>0.1</v>
      </c>
      <c r="N63" s="2">
        <v>3.1760000000000004E-2</v>
      </c>
      <c r="O63" s="2">
        <v>7.9400000000000012E-2</v>
      </c>
    </row>
    <row r="64" spans="2:15">
      <c r="B64" t="s">
        <v>247</v>
      </c>
      <c r="C64" t="s">
        <v>31</v>
      </c>
      <c r="D64" t="s">
        <v>409</v>
      </c>
      <c r="E64" t="s">
        <v>413</v>
      </c>
      <c r="F64" t="s">
        <v>12</v>
      </c>
      <c r="G64" t="s">
        <v>411</v>
      </c>
      <c r="H64" t="s">
        <v>414</v>
      </c>
      <c r="I64" t="s">
        <v>30</v>
      </c>
      <c r="J64">
        <v>21</v>
      </c>
      <c r="K64">
        <v>1</v>
      </c>
      <c r="L64" s="2">
        <v>0.04</v>
      </c>
      <c r="M64">
        <v>0.1</v>
      </c>
      <c r="N64" s="2">
        <v>8.3999999999999993E-4</v>
      </c>
      <c r="O64" s="2">
        <v>2.1000000000000003E-3</v>
      </c>
    </row>
    <row r="65" spans="2:15">
      <c r="B65" t="s">
        <v>247</v>
      </c>
      <c r="C65" t="s">
        <v>31</v>
      </c>
      <c r="D65" t="s">
        <v>415</v>
      </c>
      <c r="E65" t="s">
        <v>416</v>
      </c>
      <c r="F65" t="s">
        <v>12</v>
      </c>
      <c r="G65" t="s">
        <v>417</v>
      </c>
      <c r="H65" t="s">
        <v>418</v>
      </c>
      <c r="I65" t="s">
        <v>30</v>
      </c>
      <c r="J65">
        <v>34</v>
      </c>
      <c r="K65">
        <v>0</v>
      </c>
      <c r="L65" s="2">
        <v>0.04</v>
      </c>
      <c r="M65">
        <v>0.1</v>
      </c>
      <c r="N65" s="2">
        <v>1.3600000000000001E-3</v>
      </c>
      <c r="O65" s="2">
        <v>3.4000000000000002E-3</v>
      </c>
    </row>
    <row r="66" spans="2:15">
      <c r="B66" t="s">
        <v>247</v>
      </c>
      <c r="C66" t="s">
        <v>31</v>
      </c>
      <c r="D66" t="s">
        <v>419</v>
      </c>
      <c r="E66" t="s">
        <v>420</v>
      </c>
      <c r="F66" t="s">
        <v>12</v>
      </c>
      <c r="G66" t="s">
        <v>421</v>
      </c>
      <c r="H66" t="s">
        <v>422</v>
      </c>
      <c r="I66" t="s">
        <v>30</v>
      </c>
      <c r="J66">
        <v>109</v>
      </c>
      <c r="K66">
        <v>0</v>
      </c>
      <c r="L66" s="2">
        <v>0.04</v>
      </c>
      <c r="M66">
        <v>0.1</v>
      </c>
      <c r="N66" s="2">
        <v>4.3600000000000002E-3</v>
      </c>
      <c r="O66" s="2">
        <v>1.09E-2</v>
      </c>
    </row>
    <row r="67" spans="2:15">
      <c r="B67" t="s">
        <v>247</v>
      </c>
      <c r="C67" t="s">
        <v>31</v>
      </c>
      <c r="D67" t="s">
        <v>423</v>
      </c>
      <c r="E67" t="s">
        <v>424</v>
      </c>
      <c r="F67" t="s">
        <v>12</v>
      </c>
      <c r="G67" t="s">
        <v>425</v>
      </c>
      <c r="H67" t="s">
        <v>426</v>
      </c>
      <c r="I67" t="s">
        <v>30</v>
      </c>
      <c r="J67">
        <v>3996</v>
      </c>
      <c r="K67">
        <v>409</v>
      </c>
      <c r="L67" s="2">
        <v>0.04</v>
      </c>
      <c r="M67">
        <v>0.1</v>
      </c>
      <c r="N67" s="2">
        <v>0.15984000000000001</v>
      </c>
      <c r="O67" s="2">
        <v>0.39960000000000001</v>
      </c>
    </row>
    <row r="68" spans="2:15">
      <c r="B68" t="s">
        <v>247</v>
      </c>
      <c r="C68" t="s">
        <v>31</v>
      </c>
      <c r="D68" t="s">
        <v>423</v>
      </c>
      <c r="E68" t="s">
        <v>427</v>
      </c>
      <c r="F68" t="s">
        <v>12</v>
      </c>
      <c r="G68" t="s">
        <v>425</v>
      </c>
      <c r="H68" t="s">
        <v>428</v>
      </c>
      <c r="I68" t="s">
        <v>30</v>
      </c>
      <c r="J68">
        <v>3191</v>
      </c>
      <c r="K68">
        <v>375</v>
      </c>
      <c r="L68" s="2">
        <v>0.04</v>
      </c>
      <c r="M68">
        <v>0.1</v>
      </c>
      <c r="N68" s="2">
        <v>0.12764</v>
      </c>
      <c r="O68" s="2">
        <v>0.31910000000000005</v>
      </c>
    </row>
    <row r="69" spans="2:15">
      <c r="B69" t="s">
        <v>247</v>
      </c>
      <c r="C69" t="s">
        <v>31</v>
      </c>
      <c r="D69" t="s">
        <v>429</v>
      </c>
      <c r="E69" t="s">
        <v>430</v>
      </c>
      <c r="F69" t="s">
        <v>12</v>
      </c>
      <c r="G69" t="s">
        <v>431</v>
      </c>
      <c r="H69" t="s">
        <v>432</v>
      </c>
      <c r="I69" t="s">
        <v>30</v>
      </c>
      <c r="J69">
        <v>15040</v>
      </c>
      <c r="K69">
        <v>51</v>
      </c>
      <c r="L69" s="2">
        <v>0.04</v>
      </c>
      <c r="M69">
        <v>0.1</v>
      </c>
      <c r="N69" s="2">
        <v>0.60160000000000002</v>
      </c>
      <c r="O69" s="2">
        <v>1.504</v>
      </c>
    </row>
    <row r="70" spans="2:15">
      <c r="B70" t="s">
        <v>247</v>
      </c>
      <c r="C70" t="s">
        <v>31</v>
      </c>
      <c r="D70" t="s">
        <v>433</v>
      </c>
      <c r="E70" t="s">
        <v>434</v>
      </c>
      <c r="F70" t="s">
        <v>12</v>
      </c>
      <c r="G70" t="s">
        <v>435</v>
      </c>
      <c r="H70" t="s">
        <v>436</v>
      </c>
      <c r="I70" t="s">
        <v>30</v>
      </c>
      <c r="J70">
        <v>1266</v>
      </c>
      <c r="K70">
        <v>3</v>
      </c>
      <c r="L70" s="2">
        <v>0.04</v>
      </c>
      <c r="M70">
        <v>0.1</v>
      </c>
      <c r="N70" s="2">
        <v>5.0639999999999998E-2</v>
      </c>
      <c r="O70" s="2">
        <v>0.12660000000000002</v>
      </c>
    </row>
    <row r="71" spans="2:15">
      <c r="B71" t="s">
        <v>247</v>
      </c>
      <c r="C71" t="s">
        <v>31</v>
      </c>
      <c r="D71" t="s">
        <v>437</v>
      </c>
      <c r="E71" t="s">
        <v>438</v>
      </c>
      <c r="F71" t="s">
        <v>12</v>
      </c>
      <c r="G71" t="s">
        <v>439</v>
      </c>
      <c r="H71" t="s">
        <v>440</v>
      </c>
      <c r="I71" t="s">
        <v>30</v>
      </c>
      <c r="J71">
        <v>3</v>
      </c>
      <c r="K71">
        <v>0</v>
      </c>
      <c r="L71" s="2">
        <v>0.04</v>
      </c>
      <c r="M71">
        <v>0.1</v>
      </c>
      <c r="N71" s="2">
        <v>1.1999999999999999E-4</v>
      </c>
      <c r="O71" s="2">
        <v>3.0000000000000003E-4</v>
      </c>
    </row>
    <row r="72" spans="2:15">
      <c r="B72" t="s">
        <v>247</v>
      </c>
      <c r="C72" t="s">
        <v>31</v>
      </c>
      <c r="D72" t="s">
        <v>437</v>
      </c>
      <c r="E72" t="s">
        <v>441</v>
      </c>
      <c r="F72" t="s">
        <v>12</v>
      </c>
      <c r="G72" t="s">
        <v>439</v>
      </c>
      <c r="H72" t="s">
        <v>442</v>
      </c>
      <c r="I72" t="s">
        <v>30</v>
      </c>
      <c r="J72">
        <v>1</v>
      </c>
      <c r="K72">
        <v>1</v>
      </c>
      <c r="L72" s="2">
        <v>0.04</v>
      </c>
      <c r="M72">
        <v>0.1</v>
      </c>
      <c r="N72" s="2">
        <v>4.0000000000000003E-5</v>
      </c>
      <c r="O72" s="2">
        <v>1E-4</v>
      </c>
    </row>
    <row r="73" spans="2:15">
      <c r="B73" t="s">
        <v>247</v>
      </c>
      <c r="C73" t="s">
        <v>31</v>
      </c>
      <c r="D73" t="s">
        <v>443</v>
      </c>
      <c r="E73" t="s">
        <v>444</v>
      </c>
      <c r="F73" t="s">
        <v>12</v>
      </c>
      <c r="G73" t="s">
        <v>445</v>
      </c>
      <c r="H73" t="s">
        <v>446</v>
      </c>
      <c r="I73" t="s">
        <v>30</v>
      </c>
      <c r="J73">
        <v>2907</v>
      </c>
      <c r="K73">
        <v>8</v>
      </c>
      <c r="L73" s="2">
        <v>0.04</v>
      </c>
      <c r="M73">
        <v>0.1</v>
      </c>
      <c r="N73" s="2">
        <v>0.11627999999999999</v>
      </c>
      <c r="O73" s="2">
        <v>0.29070000000000001</v>
      </c>
    </row>
    <row r="74" spans="2:15">
      <c r="B74" t="s">
        <v>247</v>
      </c>
      <c r="C74" t="s">
        <v>31</v>
      </c>
      <c r="D74" t="s">
        <v>447</v>
      </c>
      <c r="E74" t="s">
        <v>448</v>
      </c>
      <c r="F74" t="s">
        <v>12</v>
      </c>
      <c r="G74" t="s">
        <v>449</v>
      </c>
      <c r="H74" t="s">
        <v>450</v>
      </c>
      <c r="I74" t="s">
        <v>30</v>
      </c>
      <c r="J74">
        <v>6</v>
      </c>
      <c r="K74">
        <v>0</v>
      </c>
      <c r="L74" s="2">
        <v>0.04</v>
      </c>
      <c r="M74">
        <v>0.1</v>
      </c>
      <c r="N74" s="2">
        <v>2.3999999999999998E-4</v>
      </c>
      <c r="O74" s="2">
        <v>6.0000000000000006E-4</v>
      </c>
    </row>
    <row r="75" spans="2:15">
      <c r="B75" t="s">
        <v>247</v>
      </c>
      <c r="C75" t="s">
        <v>31</v>
      </c>
      <c r="D75" t="s">
        <v>451</v>
      </c>
      <c r="E75" t="s">
        <v>452</v>
      </c>
      <c r="F75" t="s">
        <v>12</v>
      </c>
      <c r="G75" t="s">
        <v>453</v>
      </c>
      <c r="H75" t="s">
        <v>454</v>
      </c>
      <c r="I75" t="s">
        <v>30</v>
      </c>
      <c r="J75">
        <v>2184</v>
      </c>
      <c r="K75">
        <v>42</v>
      </c>
      <c r="L75" s="2">
        <v>0.04</v>
      </c>
      <c r="M75">
        <v>0.1</v>
      </c>
      <c r="N75" s="2">
        <v>8.7359999999999993E-2</v>
      </c>
      <c r="O75" s="2">
        <v>0.21840000000000001</v>
      </c>
    </row>
    <row r="76" spans="2:15">
      <c r="B76" t="s">
        <v>247</v>
      </c>
      <c r="C76" t="s">
        <v>31</v>
      </c>
      <c r="D76" t="s">
        <v>451</v>
      </c>
      <c r="E76" t="s">
        <v>455</v>
      </c>
      <c r="F76" t="s">
        <v>12</v>
      </c>
      <c r="G76" t="s">
        <v>453</v>
      </c>
      <c r="H76" t="s">
        <v>456</v>
      </c>
      <c r="I76" t="s">
        <v>30</v>
      </c>
      <c r="J76">
        <v>1</v>
      </c>
      <c r="K76">
        <v>1</v>
      </c>
      <c r="L76" s="2">
        <v>0.04</v>
      </c>
      <c r="M76">
        <v>0.1</v>
      </c>
      <c r="N76" s="2">
        <v>4.0000000000000003E-5</v>
      </c>
      <c r="O76" s="2">
        <v>1E-4</v>
      </c>
    </row>
    <row r="77" spans="2:15">
      <c r="B77" t="s">
        <v>247</v>
      </c>
      <c r="C77" t="s">
        <v>31</v>
      </c>
      <c r="D77" t="s">
        <v>457</v>
      </c>
      <c r="E77" t="s">
        <v>458</v>
      </c>
      <c r="F77" t="s">
        <v>12</v>
      </c>
      <c r="G77" t="s">
        <v>459</v>
      </c>
      <c r="H77" t="s">
        <v>460</v>
      </c>
      <c r="I77" t="s">
        <v>30</v>
      </c>
      <c r="J77">
        <v>117</v>
      </c>
      <c r="K77">
        <v>2</v>
      </c>
      <c r="L77" s="2">
        <v>0.04</v>
      </c>
      <c r="M77">
        <v>0.1</v>
      </c>
      <c r="N77" s="2">
        <v>4.6800000000000001E-3</v>
      </c>
      <c r="O77" s="2">
        <v>1.17E-2</v>
      </c>
    </row>
    <row r="78" spans="2:15">
      <c r="B78" t="s">
        <v>247</v>
      </c>
      <c r="C78" t="s">
        <v>31</v>
      </c>
      <c r="D78" t="s">
        <v>461</v>
      </c>
      <c r="E78" t="s">
        <v>462</v>
      </c>
      <c r="F78" t="s">
        <v>12</v>
      </c>
      <c r="G78" t="s">
        <v>463</v>
      </c>
      <c r="H78" t="s">
        <v>464</v>
      </c>
      <c r="I78" t="s">
        <v>30</v>
      </c>
      <c r="J78">
        <v>26</v>
      </c>
      <c r="K78">
        <v>1</v>
      </c>
      <c r="L78" s="2">
        <v>0.04</v>
      </c>
      <c r="M78">
        <v>0.1</v>
      </c>
      <c r="N78" s="2">
        <v>1.0400000000000001E-3</v>
      </c>
      <c r="O78" s="2">
        <v>2.5999999999999999E-3</v>
      </c>
    </row>
    <row r="79" spans="2:15">
      <c r="B79" t="s">
        <v>247</v>
      </c>
      <c r="C79" t="s">
        <v>31</v>
      </c>
      <c r="D79" t="s">
        <v>461</v>
      </c>
      <c r="E79" t="s">
        <v>465</v>
      </c>
      <c r="F79" t="s">
        <v>12</v>
      </c>
      <c r="G79" t="s">
        <v>463</v>
      </c>
      <c r="H79" t="s">
        <v>466</v>
      </c>
      <c r="I79" t="s">
        <v>30</v>
      </c>
      <c r="J79">
        <v>1</v>
      </c>
      <c r="K79">
        <v>1</v>
      </c>
      <c r="L79" s="2">
        <v>0.04</v>
      </c>
      <c r="M79">
        <v>0.1</v>
      </c>
      <c r="N79" s="2">
        <v>4.0000000000000003E-5</v>
      </c>
      <c r="O79" s="2">
        <v>1E-4</v>
      </c>
    </row>
    <row r="80" spans="2:15">
      <c r="B80" t="s">
        <v>247</v>
      </c>
      <c r="C80" t="s">
        <v>31</v>
      </c>
      <c r="D80" t="s">
        <v>467</v>
      </c>
      <c r="E80" t="s">
        <v>468</v>
      </c>
      <c r="F80" t="s">
        <v>12</v>
      </c>
      <c r="G80" t="s">
        <v>469</v>
      </c>
      <c r="H80" t="s">
        <v>470</v>
      </c>
      <c r="I80" t="s">
        <v>30</v>
      </c>
      <c r="J80">
        <v>3</v>
      </c>
      <c r="K80">
        <v>1</v>
      </c>
      <c r="L80" s="2">
        <v>0.04</v>
      </c>
      <c r="M80">
        <v>0.1</v>
      </c>
      <c r="N80" s="2">
        <v>1.1999999999999999E-4</v>
      </c>
      <c r="O80" s="2">
        <v>3.0000000000000003E-4</v>
      </c>
    </row>
    <row r="81" spans="2:15">
      <c r="B81" t="s">
        <v>247</v>
      </c>
      <c r="C81" t="s">
        <v>31</v>
      </c>
      <c r="D81" t="s">
        <v>471</v>
      </c>
      <c r="E81" t="s">
        <v>472</v>
      </c>
      <c r="F81" t="s">
        <v>12</v>
      </c>
      <c r="G81" t="s">
        <v>473</v>
      </c>
      <c r="H81" t="s">
        <v>474</v>
      </c>
      <c r="I81" t="s">
        <v>30</v>
      </c>
      <c r="J81">
        <v>12215</v>
      </c>
      <c r="K81">
        <v>66</v>
      </c>
      <c r="L81" s="2">
        <v>0.04</v>
      </c>
      <c r="M81">
        <v>0.1</v>
      </c>
      <c r="N81" s="2">
        <v>0.48860000000000003</v>
      </c>
      <c r="O81" s="2">
        <v>1.2215</v>
      </c>
    </row>
    <row r="82" spans="2:15">
      <c r="B82" t="s">
        <v>247</v>
      </c>
      <c r="C82" t="s">
        <v>31</v>
      </c>
      <c r="D82" t="s">
        <v>475</v>
      </c>
      <c r="E82" t="s">
        <v>476</v>
      </c>
      <c r="F82" t="s">
        <v>12</v>
      </c>
      <c r="G82" t="s">
        <v>477</v>
      </c>
      <c r="H82" t="s">
        <v>478</v>
      </c>
      <c r="I82" t="s">
        <v>30</v>
      </c>
      <c r="J82">
        <v>232223</v>
      </c>
      <c r="K82">
        <v>26658</v>
      </c>
      <c r="L82" s="2">
        <v>0.04</v>
      </c>
      <c r="M82">
        <v>0.1</v>
      </c>
      <c r="N82" s="2">
        <v>9.288920000000001</v>
      </c>
      <c r="O82" s="2">
        <v>23.222300000000004</v>
      </c>
    </row>
    <row r="83" spans="2:15">
      <c r="B83" t="s">
        <v>247</v>
      </c>
      <c r="C83" t="s">
        <v>31</v>
      </c>
      <c r="D83" t="s">
        <v>475</v>
      </c>
      <c r="E83" t="s">
        <v>479</v>
      </c>
      <c r="F83" t="s">
        <v>12</v>
      </c>
      <c r="G83" t="s">
        <v>477</v>
      </c>
      <c r="H83" t="s">
        <v>480</v>
      </c>
      <c r="I83" t="s">
        <v>30</v>
      </c>
      <c r="J83">
        <v>2309</v>
      </c>
      <c r="K83">
        <v>178</v>
      </c>
      <c r="L83" s="2">
        <v>0.04</v>
      </c>
      <c r="M83">
        <v>0.1</v>
      </c>
      <c r="N83" s="2">
        <v>9.2359999999999998E-2</v>
      </c>
      <c r="O83" s="2">
        <v>0.23089999999999999</v>
      </c>
    </row>
    <row r="84" spans="2:15">
      <c r="B84" t="s">
        <v>247</v>
      </c>
      <c r="C84" t="s">
        <v>31</v>
      </c>
      <c r="D84" t="s">
        <v>481</v>
      </c>
      <c r="E84" t="s">
        <v>482</v>
      </c>
      <c r="F84" t="s">
        <v>12</v>
      </c>
      <c r="G84" t="s">
        <v>483</v>
      </c>
      <c r="H84" t="s">
        <v>484</v>
      </c>
      <c r="I84" t="s">
        <v>30</v>
      </c>
      <c r="J84">
        <v>107562</v>
      </c>
      <c r="K84">
        <v>441</v>
      </c>
      <c r="L84" s="2">
        <v>0.04</v>
      </c>
      <c r="M84">
        <v>0.1</v>
      </c>
      <c r="N84" s="2">
        <v>4.3024800000000001</v>
      </c>
      <c r="O84" s="2">
        <v>10.756200000000002</v>
      </c>
    </row>
    <row r="85" spans="2:15">
      <c r="B85" t="s">
        <v>247</v>
      </c>
      <c r="C85" t="s">
        <v>31</v>
      </c>
      <c r="D85" t="s">
        <v>485</v>
      </c>
      <c r="E85" t="s">
        <v>486</v>
      </c>
      <c r="F85" t="s">
        <v>12</v>
      </c>
      <c r="G85" t="s">
        <v>487</v>
      </c>
      <c r="H85" t="s">
        <v>488</v>
      </c>
      <c r="I85" t="s">
        <v>30</v>
      </c>
      <c r="J85">
        <v>12187</v>
      </c>
      <c r="K85">
        <v>78</v>
      </c>
      <c r="L85" s="2">
        <v>0.04</v>
      </c>
      <c r="M85">
        <v>0.1</v>
      </c>
      <c r="N85" s="2">
        <v>0.48748000000000002</v>
      </c>
      <c r="O85" s="2">
        <v>1.2187000000000001</v>
      </c>
    </row>
    <row r="86" spans="2:15">
      <c r="B86" t="s">
        <v>247</v>
      </c>
      <c r="C86" t="s">
        <v>31</v>
      </c>
      <c r="D86" t="s">
        <v>485</v>
      </c>
      <c r="E86" t="s">
        <v>489</v>
      </c>
      <c r="F86" t="s">
        <v>12</v>
      </c>
      <c r="G86" t="s">
        <v>487</v>
      </c>
      <c r="H86" t="s">
        <v>490</v>
      </c>
      <c r="I86" t="s">
        <v>30</v>
      </c>
      <c r="J86">
        <v>836</v>
      </c>
      <c r="K86">
        <v>10</v>
      </c>
      <c r="L86" s="2">
        <v>0.04</v>
      </c>
      <c r="M86">
        <v>0.1</v>
      </c>
      <c r="N86" s="2">
        <v>3.3439999999999998E-2</v>
      </c>
      <c r="O86" s="2">
        <v>8.3600000000000008E-2</v>
      </c>
    </row>
    <row r="87" spans="2:15">
      <c r="B87" t="s">
        <v>247</v>
      </c>
      <c r="C87" t="s">
        <v>31</v>
      </c>
      <c r="D87" t="s">
        <v>491</v>
      </c>
      <c r="E87" t="s">
        <v>492</v>
      </c>
      <c r="F87" t="s">
        <v>12</v>
      </c>
      <c r="G87" t="s">
        <v>493</v>
      </c>
      <c r="H87" t="s">
        <v>494</v>
      </c>
      <c r="I87" t="s">
        <v>30</v>
      </c>
      <c r="J87">
        <v>135212</v>
      </c>
      <c r="K87">
        <v>295</v>
      </c>
      <c r="L87" s="2">
        <v>0.04</v>
      </c>
      <c r="M87">
        <v>0.1</v>
      </c>
      <c r="N87" s="2">
        <v>5.4084800000000008</v>
      </c>
      <c r="O87" s="2">
        <v>13.5212</v>
      </c>
    </row>
    <row r="88" spans="2:15">
      <c r="B88" t="s">
        <v>247</v>
      </c>
      <c r="C88" t="s">
        <v>31</v>
      </c>
      <c r="D88" t="s">
        <v>495</v>
      </c>
      <c r="E88" t="s">
        <v>496</v>
      </c>
      <c r="F88" t="s">
        <v>12</v>
      </c>
      <c r="G88" t="s">
        <v>497</v>
      </c>
      <c r="H88" t="s">
        <v>498</v>
      </c>
      <c r="I88" t="s">
        <v>30</v>
      </c>
      <c r="J88">
        <v>37761</v>
      </c>
      <c r="K88">
        <v>3670</v>
      </c>
      <c r="L88" s="2">
        <v>0.04</v>
      </c>
      <c r="M88">
        <v>0.1</v>
      </c>
      <c r="N88" s="2">
        <v>1.51044</v>
      </c>
      <c r="O88" s="2">
        <v>3.7761000000000005</v>
      </c>
    </row>
    <row r="89" spans="2:15">
      <c r="B89" t="s">
        <v>247</v>
      </c>
      <c r="C89" t="s">
        <v>31</v>
      </c>
      <c r="D89" t="s">
        <v>495</v>
      </c>
      <c r="E89" t="s">
        <v>499</v>
      </c>
      <c r="F89" t="s">
        <v>12</v>
      </c>
      <c r="G89" t="s">
        <v>497</v>
      </c>
      <c r="H89" t="s">
        <v>500</v>
      </c>
      <c r="I89" t="s">
        <v>30</v>
      </c>
      <c r="J89">
        <v>8966</v>
      </c>
      <c r="K89">
        <v>363</v>
      </c>
      <c r="L89" s="2">
        <v>0.04</v>
      </c>
      <c r="M89">
        <v>0.1</v>
      </c>
      <c r="N89" s="2">
        <v>0.35863999999999996</v>
      </c>
      <c r="O89" s="2">
        <v>0.89660000000000006</v>
      </c>
    </row>
    <row r="90" spans="2:15">
      <c r="B90" t="s">
        <v>247</v>
      </c>
      <c r="C90" t="s">
        <v>31</v>
      </c>
      <c r="D90" t="s">
        <v>495</v>
      </c>
      <c r="E90" t="s">
        <v>501</v>
      </c>
      <c r="F90" t="s">
        <v>12</v>
      </c>
      <c r="G90" t="s">
        <v>497</v>
      </c>
      <c r="H90" t="s">
        <v>502</v>
      </c>
      <c r="I90" t="s">
        <v>30</v>
      </c>
      <c r="J90">
        <v>22452</v>
      </c>
      <c r="K90">
        <v>1345</v>
      </c>
      <c r="L90" s="2">
        <v>0.04</v>
      </c>
      <c r="M90">
        <v>0.1</v>
      </c>
      <c r="N90" s="2">
        <v>0.89807999999999999</v>
      </c>
      <c r="O90" s="2">
        <v>2.2452000000000001</v>
      </c>
    </row>
    <row r="91" spans="2:15">
      <c r="B91" t="s">
        <v>247</v>
      </c>
      <c r="C91" t="s">
        <v>31</v>
      </c>
      <c r="D91" t="s">
        <v>503</v>
      </c>
      <c r="E91" t="s">
        <v>504</v>
      </c>
      <c r="F91" t="s">
        <v>12</v>
      </c>
      <c r="G91" t="s">
        <v>505</v>
      </c>
      <c r="H91" t="s">
        <v>506</v>
      </c>
      <c r="I91" t="s">
        <v>30</v>
      </c>
      <c r="J91">
        <v>6852</v>
      </c>
      <c r="K91">
        <v>7</v>
      </c>
      <c r="L91" s="2">
        <v>0.04</v>
      </c>
      <c r="M91">
        <v>0.1</v>
      </c>
      <c r="N91" s="2">
        <v>0.27407999999999999</v>
      </c>
      <c r="O91" s="2">
        <v>0.68520000000000003</v>
      </c>
    </row>
    <row r="92" spans="2:15">
      <c r="B92" t="s">
        <v>247</v>
      </c>
      <c r="C92" t="s">
        <v>31</v>
      </c>
      <c r="D92" t="s">
        <v>507</v>
      </c>
      <c r="E92" t="s">
        <v>508</v>
      </c>
      <c r="F92" t="s">
        <v>12</v>
      </c>
      <c r="G92" t="s">
        <v>509</v>
      </c>
      <c r="H92" t="s">
        <v>510</v>
      </c>
      <c r="I92" t="s">
        <v>30</v>
      </c>
      <c r="J92">
        <v>240</v>
      </c>
      <c r="K92">
        <v>1</v>
      </c>
      <c r="L92" s="2">
        <v>0.04</v>
      </c>
      <c r="M92">
        <v>0.1</v>
      </c>
      <c r="N92" s="2">
        <v>9.5999999999999992E-3</v>
      </c>
      <c r="O92" s="2">
        <v>2.4E-2</v>
      </c>
    </row>
    <row r="93" spans="2:15">
      <c r="B93" t="s">
        <v>247</v>
      </c>
      <c r="C93" t="s">
        <v>31</v>
      </c>
      <c r="D93" t="s">
        <v>507</v>
      </c>
      <c r="E93" t="s">
        <v>511</v>
      </c>
      <c r="F93" t="s">
        <v>12</v>
      </c>
      <c r="G93" t="s">
        <v>509</v>
      </c>
      <c r="H93" t="s">
        <v>512</v>
      </c>
      <c r="I93" t="s">
        <v>30</v>
      </c>
      <c r="J93">
        <v>257</v>
      </c>
      <c r="K93">
        <v>1</v>
      </c>
      <c r="L93" s="2">
        <v>0.04</v>
      </c>
      <c r="M93">
        <v>0.1</v>
      </c>
      <c r="N93" s="2">
        <v>1.0279999999999999E-2</v>
      </c>
      <c r="O93" s="2">
        <v>2.5700000000000004E-2</v>
      </c>
    </row>
    <row r="94" spans="2:15">
      <c r="B94" t="s">
        <v>247</v>
      </c>
      <c r="C94" t="s">
        <v>31</v>
      </c>
      <c r="D94" t="s">
        <v>513</v>
      </c>
      <c r="E94" t="s">
        <v>514</v>
      </c>
      <c r="F94" t="s">
        <v>12</v>
      </c>
      <c r="G94" t="s">
        <v>53</v>
      </c>
      <c r="H94" t="s">
        <v>515</v>
      </c>
      <c r="I94" t="s">
        <v>30</v>
      </c>
      <c r="J94">
        <v>1</v>
      </c>
      <c r="K94">
        <v>0</v>
      </c>
      <c r="L94" s="2">
        <v>0.04</v>
      </c>
      <c r="M94">
        <v>0.1</v>
      </c>
      <c r="N94" s="2">
        <v>4.0000000000000003E-5</v>
      </c>
      <c r="O94" s="2">
        <v>1E-4</v>
      </c>
    </row>
    <row r="95" spans="2:15">
      <c r="B95" t="s">
        <v>247</v>
      </c>
      <c r="C95" t="s">
        <v>31</v>
      </c>
      <c r="D95" t="s">
        <v>513</v>
      </c>
      <c r="E95" t="s">
        <v>514</v>
      </c>
      <c r="F95" t="s">
        <v>12</v>
      </c>
      <c r="G95" t="s">
        <v>516</v>
      </c>
      <c r="H95" t="s">
        <v>517</v>
      </c>
      <c r="I95" t="s">
        <v>30</v>
      </c>
      <c r="J95">
        <v>144165</v>
      </c>
      <c r="K95">
        <v>544</v>
      </c>
      <c r="L95" s="2">
        <v>0.04</v>
      </c>
      <c r="M95">
        <v>0.1</v>
      </c>
      <c r="N95" s="2">
        <v>5.7666000000000004</v>
      </c>
      <c r="O95" s="2">
        <v>14.416499999999999</v>
      </c>
    </row>
    <row r="96" spans="2:15">
      <c r="B96" t="s">
        <v>247</v>
      </c>
      <c r="C96" t="s">
        <v>31</v>
      </c>
      <c r="D96" t="s">
        <v>518</v>
      </c>
      <c r="E96" t="s">
        <v>519</v>
      </c>
      <c r="F96" t="s">
        <v>12</v>
      </c>
      <c r="G96" t="s">
        <v>520</v>
      </c>
      <c r="H96" t="s">
        <v>521</v>
      </c>
      <c r="I96" t="s">
        <v>30</v>
      </c>
      <c r="J96">
        <v>9283</v>
      </c>
      <c r="K96">
        <v>447</v>
      </c>
      <c r="L96" s="2">
        <v>0.04</v>
      </c>
      <c r="M96">
        <v>0.1</v>
      </c>
      <c r="N96" s="2">
        <v>0.37131999999999998</v>
      </c>
      <c r="O96" s="2">
        <v>0.92830000000000001</v>
      </c>
    </row>
    <row r="97" spans="2:15">
      <c r="B97" t="s">
        <v>247</v>
      </c>
      <c r="C97" t="s">
        <v>31</v>
      </c>
      <c r="D97" t="s">
        <v>518</v>
      </c>
      <c r="E97" t="s">
        <v>522</v>
      </c>
      <c r="F97" t="s">
        <v>12</v>
      </c>
      <c r="G97" t="s">
        <v>520</v>
      </c>
      <c r="H97" t="s">
        <v>523</v>
      </c>
      <c r="I97" t="s">
        <v>30</v>
      </c>
      <c r="J97">
        <v>2983</v>
      </c>
      <c r="K97">
        <v>229</v>
      </c>
      <c r="L97" s="2">
        <v>0.04</v>
      </c>
      <c r="M97">
        <v>0.1</v>
      </c>
      <c r="N97" s="2">
        <v>0.11932000000000001</v>
      </c>
      <c r="O97" s="2">
        <v>0.29830000000000001</v>
      </c>
    </row>
    <row r="98" spans="2:15">
      <c r="B98" t="s">
        <v>247</v>
      </c>
      <c r="C98" t="s">
        <v>31</v>
      </c>
      <c r="D98" t="s">
        <v>524</v>
      </c>
      <c r="E98" t="s">
        <v>525</v>
      </c>
      <c r="F98" t="s">
        <v>12</v>
      </c>
      <c r="G98" t="s">
        <v>526</v>
      </c>
      <c r="H98" t="s">
        <v>527</v>
      </c>
      <c r="I98" t="s">
        <v>30</v>
      </c>
      <c r="J98">
        <v>60168</v>
      </c>
      <c r="K98">
        <v>167</v>
      </c>
      <c r="L98" s="2">
        <v>0.04</v>
      </c>
      <c r="M98">
        <v>0.1</v>
      </c>
      <c r="N98" s="2">
        <v>2.4067200000000004</v>
      </c>
      <c r="O98" s="2">
        <v>6.0167999999999999</v>
      </c>
    </row>
    <row r="99" spans="2:15">
      <c r="B99" t="s">
        <v>247</v>
      </c>
      <c r="C99" t="s">
        <v>31</v>
      </c>
      <c r="D99" t="s">
        <v>528</v>
      </c>
      <c r="E99" t="s">
        <v>529</v>
      </c>
      <c r="F99" t="s">
        <v>12</v>
      </c>
      <c r="G99" t="s">
        <v>530</v>
      </c>
      <c r="H99" t="s">
        <v>531</v>
      </c>
      <c r="I99" t="s">
        <v>30</v>
      </c>
      <c r="J99">
        <v>5795</v>
      </c>
      <c r="K99">
        <v>34</v>
      </c>
      <c r="L99" s="2">
        <v>0.04</v>
      </c>
      <c r="M99">
        <v>0.1</v>
      </c>
      <c r="N99" s="2">
        <v>0.23180000000000001</v>
      </c>
      <c r="O99" s="2">
        <v>0.57950000000000002</v>
      </c>
    </row>
    <row r="100" spans="2:15">
      <c r="B100" t="s">
        <v>247</v>
      </c>
      <c r="C100" t="s">
        <v>31</v>
      </c>
      <c r="D100" t="s">
        <v>528</v>
      </c>
      <c r="E100" t="s">
        <v>532</v>
      </c>
      <c r="F100" t="s">
        <v>12</v>
      </c>
      <c r="G100" t="s">
        <v>530</v>
      </c>
      <c r="H100" t="s">
        <v>533</v>
      </c>
      <c r="I100" t="s">
        <v>30</v>
      </c>
      <c r="J100">
        <v>3</v>
      </c>
      <c r="K100">
        <v>0</v>
      </c>
      <c r="L100" s="2">
        <v>0.04</v>
      </c>
      <c r="M100">
        <v>0.1</v>
      </c>
      <c r="N100" s="2">
        <v>1.1999999999999999E-4</v>
      </c>
      <c r="O100" s="2">
        <v>3.0000000000000003E-4</v>
      </c>
    </row>
    <row r="101" spans="2:15">
      <c r="B101" t="s">
        <v>247</v>
      </c>
      <c r="C101" t="s">
        <v>31</v>
      </c>
      <c r="D101" t="s">
        <v>534</v>
      </c>
      <c r="E101" t="s">
        <v>535</v>
      </c>
      <c r="F101" t="s">
        <v>12</v>
      </c>
      <c r="G101" t="s">
        <v>536</v>
      </c>
      <c r="H101" t="s">
        <v>537</v>
      </c>
      <c r="I101" t="s">
        <v>30</v>
      </c>
      <c r="J101">
        <v>8936</v>
      </c>
      <c r="K101">
        <v>13</v>
      </c>
      <c r="L101" s="2">
        <v>0.04</v>
      </c>
      <c r="M101">
        <v>0.1</v>
      </c>
      <c r="N101" s="2">
        <v>0.35743999999999998</v>
      </c>
      <c r="O101" s="2">
        <v>0.89360000000000006</v>
      </c>
    </row>
    <row r="102" spans="2:15">
      <c r="B102" t="s">
        <v>247</v>
      </c>
      <c r="C102" t="s">
        <v>31</v>
      </c>
      <c r="D102" t="s">
        <v>538</v>
      </c>
      <c r="E102" t="s">
        <v>539</v>
      </c>
      <c r="F102" t="s">
        <v>12</v>
      </c>
      <c r="G102" t="s">
        <v>540</v>
      </c>
      <c r="H102" t="s">
        <v>541</v>
      </c>
      <c r="I102" t="s">
        <v>30</v>
      </c>
      <c r="J102">
        <v>2</v>
      </c>
      <c r="K102">
        <v>0</v>
      </c>
      <c r="L102" s="2">
        <v>0.04</v>
      </c>
      <c r="M102">
        <v>0.1</v>
      </c>
      <c r="N102" s="2">
        <v>8.0000000000000007E-5</v>
      </c>
      <c r="O102" s="2">
        <v>2.0000000000000001E-4</v>
      </c>
    </row>
    <row r="103" spans="2:15">
      <c r="B103" t="s">
        <v>247</v>
      </c>
      <c r="C103" t="s">
        <v>31</v>
      </c>
      <c r="D103" t="s">
        <v>538</v>
      </c>
      <c r="E103" t="s">
        <v>542</v>
      </c>
      <c r="F103" t="s">
        <v>12</v>
      </c>
      <c r="G103" t="s">
        <v>540</v>
      </c>
      <c r="H103" t="s">
        <v>543</v>
      </c>
      <c r="I103" t="s">
        <v>30</v>
      </c>
      <c r="J103">
        <v>6</v>
      </c>
      <c r="K103">
        <v>1</v>
      </c>
      <c r="L103" s="2">
        <v>0.04</v>
      </c>
      <c r="M103">
        <v>0.1</v>
      </c>
      <c r="N103" s="2">
        <v>2.3999999999999998E-4</v>
      </c>
      <c r="O103" s="2">
        <v>6.0000000000000006E-4</v>
      </c>
    </row>
    <row r="104" spans="2:15">
      <c r="B104" t="s">
        <v>247</v>
      </c>
      <c r="C104" t="s">
        <v>31</v>
      </c>
      <c r="D104" t="s">
        <v>544</v>
      </c>
      <c r="E104" t="s">
        <v>545</v>
      </c>
      <c r="F104" t="s">
        <v>12</v>
      </c>
      <c r="G104" t="s">
        <v>546</v>
      </c>
      <c r="H104" t="s">
        <v>547</v>
      </c>
      <c r="I104" t="s">
        <v>30</v>
      </c>
      <c r="J104">
        <v>3513</v>
      </c>
      <c r="K104">
        <v>1</v>
      </c>
      <c r="L104" s="2">
        <v>0.04</v>
      </c>
      <c r="M104">
        <v>0.1</v>
      </c>
      <c r="N104" s="2">
        <v>0.14052000000000001</v>
      </c>
      <c r="O104" s="2">
        <v>0.3513</v>
      </c>
    </row>
    <row r="105" spans="2:15">
      <c r="B105" t="s">
        <v>247</v>
      </c>
      <c r="C105" t="s">
        <v>31</v>
      </c>
      <c r="D105" t="s">
        <v>548</v>
      </c>
      <c r="E105" t="s">
        <v>549</v>
      </c>
      <c r="F105" t="s">
        <v>12</v>
      </c>
      <c r="G105" t="s">
        <v>550</v>
      </c>
      <c r="H105" t="s">
        <v>551</v>
      </c>
      <c r="I105" t="s">
        <v>30</v>
      </c>
      <c r="J105">
        <v>31</v>
      </c>
      <c r="K105">
        <v>1</v>
      </c>
      <c r="L105" s="2">
        <v>0.04</v>
      </c>
      <c r="M105">
        <v>0.1</v>
      </c>
      <c r="N105" s="2">
        <v>1.24E-3</v>
      </c>
      <c r="O105" s="2">
        <v>3.0999999999999999E-3</v>
      </c>
    </row>
    <row r="106" spans="2:15">
      <c r="B106" t="s">
        <v>247</v>
      </c>
      <c r="C106" t="s">
        <v>31</v>
      </c>
      <c r="D106" t="s">
        <v>548</v>
      </c>
      <c r="E106" t="s">
        <v>552</v>
      </c>
      <c r="F106" t="s">
        <v>12</v>
      </c>
      <c r="G106" t="s">
        <v>550</v>
      </c>
      <c r="H106" t="s">
        <v>553</v>
      </c>
      <c r="I106" t="s">
        <v>30</v>
      </c>
      <c r="J106">
        <v>15</v>
      </c>
      <c r="K106">
        <v>0</v>
      </c>
      <c r="L106" s="2">
        <v>0.04</v>
      </c>
      <c r="M106">
        <v>0.1</v>
      </c>
      <c r="N106" s="2">
        <v>5.9999999999999995E-4</v>
      </c>
      <c r="O106" s="2">
        <v>1.5E-3</v>
      </c>
    </row>
    <row r="107" spans="2:15">
      <c r="B107" t="s">
        <v>247</v>
      </c>
      <c r="C107" t="s">
        <v>31</v>
      </c>
      <c r="D107" t="s">
        <v>554</v>
      </c>
      <c r="E107" t="s">
        <v>555</v>
      </c>
      <c r="F107" t="s">
        <v>10</v>
      </c>
      <c r="G107" t="s">
        <v>556</v>
      </c>
      <c r="H107" t="s">
        <v>557</v>
      </c>
      <c r="I107" t="s">
        <v>24</v>
      </c>
      <c r="J107">
        <v>0</v>
      </c>
      <c r="K107">
        <v>1</v>
      </c>
      <c r="L107" s="2">
        <v>3.5000000000000001E-3</v>
      </c>
      <c r="M107">
        <v>2.5000000000000001E-2</v>
      </c>
      <c r="N107" s="2">
        <v>3.5000000000000001E-3</v>
      </c>
      <c r="O107" s="2">
        <v>2.5000000000000001E-2</v>
      </c>
    </row>
    <row r="108" spans="2:15">
      <c r="B108" t="s">
        <v>247</v>
      </c>
      <c r="C108" t="s">
        <v>31</v>
      </c>
      <c r="D108" t="s">
        <v>558</v>
      </c>
      <c r="E108" t="s">
        <v>559</v>
      </c>
      <c r="F108" t="s">
        <v>12</v>
      </c>
      <c r="G108" t="s">
        <v>560</v>
      </c>
      <c r="H108" t="s">
        <v>561</v>
      </c>
      <c r="I108" t="s">
        <v>30</v>
      </c>
      <c r="J108">
        <v>2</v>
      </c>
      <c r="K108">
        <v>0</v>
      </c>
      <c r="L108" s="2">
        <v>0.04</v>
      </c>
      <c r="M108">
        <v>0.1</v>
      </c>
      <c r="N108" s="2">
        <v>8.0000000000000007E-5</v>
      </c>
      <c r="O108" s="2">
        <v>2.0000000000000001E-4</v>
      </c>
    </row>
    <row r="109" spans="2:15">
      <c r="B109" t="s">
        <v>247</v>
      </c>
      <c r="C109" t="s">
        <v>31</v>
      </c>
      <c r="D109" t="s">
        <v>562</v>
      </c>
      <c r="E109" t="s">
        <v>563</v>
      </c>
      <c r="F109" t="s">
        <v>12</v>
      </c>
      <c r="G109" t="s">
        <v>564</v>
      </c>
      <c r="H109" t="s">
        <v>565</v>
      </c>
      <c r="I109" t="s">
        <v>30</v>
      </c>
      <c r="J109">
        <v>1710</v>
      </c>
      <c r="K109">
        <v>206</v>
      </c>
      <c r="L109" s="2">
        <v>0.04</v>
      </c>
      <c r="M109">
        <v>0.1</v>
      </c>
      <c r="N109" s="2">
        <v>6.8400000000000002E-2</v>
      </c>
      <c r="O109" s="2">
        <v>0.17100000000000001</v>
      </c>
    </row>
    <row r="110" spans="2:15">
      <c r="B110" t="s">
        <v>247</v>
      </c>
      <c r="C110" t="s">
        <v>31</v>
      </c>
      <c r="D110" t="s">
        <v>562</v>
      </c>
      <c r="E110" t="s">
        <v>566</v>
      </c>
      <c r="F110" t="s">
        <v>12</v>
      </c>
      <c r="G110" t="s">
        <v>564</v>
      </c>
      <c r="H110" t="s">
        <v>567</v>
      </c>
      <c r="I110" t="s">
        <v>30</v>
      </c>
      <c r="J110">
        <v>106540</v>
      </c>
      <c r="K110">
        <v>13417</v>
      </c>
      <c r="L110" s="2">
        <v>0.04</v>
      </c>
      <c r="M110">
        <v>0.1</v>
      </c>
      <c r="N110" s="2">
        <v>4.2616000000000005</v>
      </c>
      <c r="O110" s="2">
        <v>10.654</v>
      </c>
    </row>
    <row r="111" spans="2:15">
      <c r="B111" t="s">
        <v>247</v>
      </c>
      <c r="C111" t="s">
        <v>31</v>
      </c>
      <c r="D111" t="s">
        <v>568</v>
      </c>
      <c r="E111" t="s">
        <v>569</v>
      </c>
      <c r="F111" t="s">
        <v>12</v>
      </c>
      <c r="G111" t="s">
        <v>570</v>
      </c>
      <c r="H111" t="s">
        <v>571</v>
      </c>
      <c r="I111" t="s">
        <v>30</v>
      </c>
      <c r="J111">
        <v>163979</v>
      </c>
      <c r="K111">
        <v>15991</v>
      </c>
      <c r="L111" s="2">
        <v>0.04</v>
      </c>
      <c r="M111">
        <v>0.1</v>
      </c>
      <c r="N111" s="2">
        <v>6.5591599999999994</v>
      </c>
      <c r="O111" s="2">
        <v>16.3979</v>
      </c>
    </row>
    <row r="112" spans="2:15">
      <c r="B112" t="s">
        <v>247</v>
      </c>
      <c r="C112" t="s">
        <v>31</v>
      </c>
      <c r="D112" t="s">
        <v>572</v>
      </c>
      <c r="E112" t="s">
        <v>573</v>
      </c>
      <c r="F112" t="s">
        <v>12</v>
      </c>
      <c r="G112" t="s">
        <v>574</v>
      </c>
      <c r="H112" t="s">
        <v>575</v>
      </c>
      <c r="I112" t="s">
        <v>30</v>
      </c>
      <c r="J112">
        <v>59</v>
      </c>
      <c r="K112">
        <v>0</v>
      </c>
      <c r="L112" s="2">
        <v>0.04</v>
      </c>
      <c r="M112">
        <v>0.1</v>
      </c>
      <c r="N112" s="2">
        <v>2.3599999999999997E-3</v>
      </c>
      <c r="O112" s="2">
        <v>5.9000000000000007E-3</v>
      </c>
    </row>
    <row r="113" spans="2:15">
      <c r="B113" t="s">
        <v>247</v>
      </c>
      <c r="C113" t="s">
        <v>31</v>
      </c>
      <c r="D113" t="s">
        <v>576</v>
      </c>
      <c r="E113" t="s">
        <v>577</v>
      </c>
      <c r="F113" t="s">
        <v>12</v>
      </c>
      <c r="G113" t="s">
        <v>578</v>
      </c>
      <c r="H113" t="s">
        <v>579</v>
      </c>
      <c r="I113" t="s">
        <v>30</v>
      </c>
      <c r="J113">
        <v>173</v>
      </c>
      <c r="K113">
        <v>0</v>
      </c>
      <c r="L113" s="2">
        <v>0.04</v>
      </c>
      <c r="M113">
        <v>0.1</v>
      </c>
      <c r="N113" s="2">
        <v>6.9199999999999999E-3</v>
      </c>
      <c r="O113" s="2">
        <v>1.7299999999999999E-2</v>
      </c>
    </row>
    <row r="114" spans="2:15">
      <c r="B114" t="s">
        <v>247</v>
      </c>
      <c r="C114" t="s">
        <v>31</v>
      </c>
      <c r="D114" t="s">
        <v>576</v>
      </c>
      <c r="E114" t="s">
        <v>580</v>
      </c>
      <c r="F114" t="s">
        <v>12</v>
      </c>
      <c r="G114" t="s">
        <v>578</v>
      </c>
      <c r="H114" t="s">
        <v>581</v>
      </c>
      <c r="I114" t="s">
        <v>30</v>
      </c>
      <c r="J114">
        <v>7</v>
      </c>
      <c r="K114">
        <v>0</v>
      </c>
      <c r="L114" s="2">
        <v>0.04</v>
      </c>
      <c r="M114">
        <v>0.1</v>
      </c>
      <c r="N114" s="2">
        <v>2.8000000000000003E-4</v>
      </c>
      <c r="O114" s="2">
        <v>7.000000000000001E-4</v>
      </c>
    </row>
    <row r="115" spans="2:15">
      <c r="B115" t="s">
        <v>247</v>
      </c>
      <c r="C115" t="s">
        <v>31</v>
      </c>
      <c r="D115" t="s">
        <v>582</v>
      </c>
      <c r="E115" t="s">
        <v>583</v>
      </c>
      <c r="F115" t="s">
        <v>12</v>
      </c>
      <c r="G115" t="s">
        <v>584</v>
      </c>
      <c r="H115" t="s">
        <v>585</v>
      </c>
      <c r="I115" t="s">
        <v>30</v>
      </c>
      <c r="J115">
        <v>2703</v>
      </c>
      <c r="K115">
        <v>13</v>
      </c>
      <c r="L115" s="2">
        <v>0.04</v>
      </c>
      <c r="M115">
        <v>0.1</v>
      </c>
      <c r="N115" s="2">
        <v>0.10812000000000001</v>
      </c>
      <c r="O115" s="2">
        <v>0.27029999999999998</v>
      </c>
    </row>
    <row r="116" spans="2:15">
      <c r="B116" t="s">
        <v>247</v>
      </c>
      <c r="C116" t="s">
        <v>31</v>
      </c>
      <c r="D116" t="s">
        <v>586</v>
      </c>
      <c r="E116" t="s">
        <v>587</v>
      </c>
      <c r="F116" t="s">
        <v>12</v>
      </c>
      <c r="G116" t="s">
        <v>588</v>
      </c>
      <c r="H116" t="s">
        <v>589</v>
      </c>
      <c r="I116" t="s">
        <v>30</v>
      </c>
      <c r="J116">
        <v>10</v>
      </c>
      <c r="K116">
        <v>0</v>
      </c>
      <c r="L116" s="2">
        <v>0.04</v>
      </c>
      <c r="M116">
        <v>0.1</v>
      </c>
      <c r="N116" s="2">
        <v>4.0000000000000002E-4</v>
      </c>
      <c r="O116" s="2">
        <v>1E-3</v>
      </c>
    </row>
    <row r="117" spans="2:15">
      <c r="B117" t="s">
        <v>247</v>
      </c>
      <c r="C117" t="s">
        <v>31</v>
      </c>
      <c r="D117" t="s">
        <v>590</v>
      </c>
      <c r="E117" t="s">
        <v>591</v>
      </c>
      <c r="F117" t="s">
        <v>12</v>
      </c>
      <c r="G117" t="s">
        <v>592</v>
      </c>
      <c r="H117" t="s">
        <v>593</v>
      </c>
      <c r="I117" t="s">
        <v>30</v>
      </c>
      <c r="J117">
        <v>14176</v>
      </c>
      <c r="K117">
        <v>911</v>
      </c>
      <c r="L117" s="2">
        <v>0.04</v>
      </c>
      <c r="M117">
        <v>0.1</v>
      </c>
      <c r="N117" s="2">
        <v>0.56703999999999999</v>
      </c>
      <c r="O117" s="2">
        <v>1.4176000000000002</v>
      </c>
    </row>
    <row r="118" spans="2:15">
      <c r="B118" t="s">
        <v>247</v>
      </c>
      <c r="C118" t="s">
        <v>31</v>
      </c>
      <c r="D118" t="s">
        <v>590</v>
      </c>
      <c r="E118" t="s">
        <v>594</v>
      </c>
      <c r="F118" t="s">
        <v>12</v>
      </c>
      <c r="G118" t="s">
        <v>592</v>
      </c>
      <c r="H118" t="s">
        <v>595</v>
      </c>
      <c r="I118" t="s">
        <v>30</v>
      </c>
      <c r="J118">
        <v>2</v>
      </c>
      <c r="K118">
        <v>1</v>
      </c>
      <c r="L118" s="2">
        <v>0.04</v>
      </c>
      <c r="M118">
        <v>0.1</v>
      </c>
      <c r="N118" s="2">
        <v>8.0000000000000007E-5</v>
      </c>
      <c r="O118" s="2">
        <v>2.0000000000000001E-4</v>
      </c>
    </row>
    <row r="119" spans="2:15">
      <c r="B119" t="s">
        <v>247</v>
      </c>
      <c r="C119" t="s">
        <v>31</v>
      </c>
      <c r="D119" t="s">
        <v>596</v>
      </c>
      <c r="E119" t="s">
        <v>597</v>
      </c>
      <c r="F119" t="s">
        <v>12</v>
      </c>
      <c r="G119" t="s">
        <v>598</v>
      </c>
      <c r="H119" t="s">
        <v>599</v>
      </c>
      <c r="I119" t="s">
        <v>30</v>
      </c>
      <c r="J119">
        <v>20255</v>
      </c>
      <c r="K119">
        <v>2033</v>
      </c>
      <c r="L119" s="2">
        <v>0.04</v>
      </c>
      <c r="M119">
        <v>0.1</v>
      </c>
      <c r="N119" s="2">
        <v>0.81020000000000003</v>
      </c>
      <c r="O119" s="2">
        <v>2.0255000000000001</v>
      </c>
    </row>
    <row r="120" spans="2:15">
      <c r="B120" t="s">
        <v>247</v>
      </c>
      <c r="C120" t="s">
        <v>31</v>
      </c>
      <c r="D120" t="s">
        <v>600</v>
      </c>
      <c r="E120" t="s">
        <v>601</v>
      </c>
      <c r="F120" t="s">
        <v>12</v>
      </c>
      <c r="G120" t="s">
        <v>602</v>
      </c>
      <c r="H120" t="s">
        <v>603</v>
      </c>
      <c r="I120" t="s">
        <v>30</v>
      </c>
      <c r="J120">
        <v>228</v>
      </c>
      <c r="K120">
        <v>2</v>
      </c>
      <c r="L120" s="2">
        <v>0.04</v>
      </c>
      <c r="M120">
        <v>0.1</v>
      </c>
      <c r="N120" s="2">
        <v>9.1200000000000014E-3</v>
      </c>
      <c r="O120" s="2">
        <v>2.2800000000000001E-2</v>
      </c>
    </row>
    <row r="121" spans="2:15">
      <c r="B121" t="s">
        <v>247</v>
      </c>
      <c r="C121" t="s">
        <v>31</v>
      </c>
      <c r="D121" t="s">
        <v>604</v>
      </c>
      <c r="E121" t="s">
        <v>605</v>
      </c>
      <c r="F121" t="s">
        <v>12</v>
      </c>
      <c r="G121" t="s">
        <v>606</v>
      </c>
      <c r="H121" t="s">
        <v>607</v>
      </c>
      <c r="I121" t="s">
        <v>30</v>
      </c>
      <c r="J121">
        <v>135</v>
      </c>
      <c r="K121">
        <v>1</v>
      </c>
      <c r="L121" s="2">
        <v>0.04</v>
      </c>
      <c r="M121">
        <v>0.1</v>
      </c>
      <c r="N121" s="2">
        <v>5.4000000000000003E-3</v>
      </c>
      <c r="O121" s="2">
        <v>1.35E-2</v>
      </c>
    </row>
    <row r="122" spans="2:15">
      <c r="B122" t="s">
        <v>247</v>
      </c>
      <c r="C122" t="s">
        <v>31</v>
      </c>
      <c r="D122" t="s">
        <v>608</v>
      </c>
      <c r="E122" t="s">
        <v>609</v>
      </c>
      <c r="F122" t="s">
        <v>12</v>
      </c>
      <c r="G122" t="s">
        <v>610</v>
      </c>
      <c r="H122" t="s">
        <v>611</v>
      </c>
      <c r="I122" t="s">
        <v>30</v>
      </c>
      <c r="J122">
        <v>33</v>
      </c>
      <c r="K122">
        <v>0</v>
      </c>
      <c r="L122" s="2">
        <v>0.04</v>
      </c>
      <c r="M122">
        <v>0.1</v>
      </c>
      <c r="N122" s="2">
        <v>1.32E-3</v>
      </c>
      <c r="O122" s="2">
        <v>3.3000000000000004E-3</v>
      </c>
    </row>
    <row r="123" spans="2:15">
      <c r="B123" t="s">
        <v>247</v>
      </c>
      <c r="C123" t="s">
        <v>31</v>
      </c>
      <c r="D123" t="s">
        <v>612</v>
      </c>
      <c r="E123" t="s">
        <v>613</v>
      </c>
      <c r="F123" t="s">
        <v>12</v>
      </c>
      <c r="G123" t="s">
        <v>614</v>
      </c>
      <c r="H123" t="s">
        <v>615</v>
      </c>
      <c r="I123" t="s">
        <v>30</v>
      </c>
      <c r="J123">
        <v>127</v>
      </c>
      <c r="K123">
        <v>0</v>
      </c>
      <c r="L123" s="2">
        <v>0.04</v>
      </c>
      <c r="M123">
        <v>0.1</v>
      </c>
      <c r="N123" s="2">
        <v>5.0800000000000003E-3</v>
      </c>
      <c r="O123" s="2">
        <v>1.2700000000000001E-2</v>
      </c>
    </row>
    <row r="124" spans="2:15">
      <c r="B124" t="s">
        <v>247</v>
      </c>
      <c r="C124" t="s">
        <v>31</v>
      </c>
      <c r="D124" t="s">
        <v>616</v>
      </c>
      <c r="E124" t="s">
        <v>617</v>
      </c>
      <c r="F124" t="s">
        <v>12</v>
      </c>
      <c r="G124" t="s">
        <v>618</v>
      </c>
      <c r="H124" t="s">
        <v>619</v>
      </c>
      <c r="I124" t="s">
        <v>30</v>
      </c>
      <c r="J124">
        <v>652</v>
      </c>
      <c r="K124">
        <v>42</v>
      </c>
      <c r="L124" s="2">
        <v>0.04</v>
      </c>
      <c r="M124">
        <v>0.1</v>
      </c>
      <c r="N124" s="2">
        <v>2.6080000000000002E-2</v>
      </c>
      <c r="O124" s="2">
        <v>6.5200000000000008E-2</v>
      </c>
    </row>
    <row r="125" spans="2:15">
      <c r="B125" t="s">
        <v>247</v>
      </c>
      <c r="C125" t="s">
        <v>31</v>
      </c>
      <c r="D125" t="s">
        <v>616</v>
      </c>
      <c r="E125" t="s">
        <v>620</v>
      </c>
      <c r="F125" t="s">
        <v>12</v>
      </c>
      <c r="G125" t="s">
        <v>618</v>
      </c>
      <c r="H125" t="s">
        <v>621</v>
      </c>
      <c r="I125" t="s">
        <v>30</v>
      </c>
      <c r="J125">
        <v>21140</v>
      </c>
      <c r="K125">
        <v>2653</v>
      </c>
      <c r="L125" s="2">
        <v>0.04</v>
      </c>
      <c r="M125">
        <v>0.1</v>
      </c>
      <c r="N125" s="2">
        <v>0.84560000000000002</v>
      </c>
      <c r="O125" s="2">
        <v>2.1139999999999999</v>
      </c>
    </row>
    <row r="126" spans="2:15">
      <c r="B126" t="s">
        <v>247</v>
      </c>
      <c r="C126" t="s">
        <v>31</v>
      </c>
      <c r="D126" t="s">
        <v>622</v>
      </c>
      <c r="E126" t="s">
        <v>623</v>
      </c>
      <c r="F126" t="s">
        <v>12</v>
      </c>
      <c r="G126" t="s">
        <v>624</v>
      </c>
      <c r="H126" t="s">
        <v>625</v>
      </c>
      <c r="I126" t="s">
        <v>30</v>
      </c>
      <c r="J126">
        <v>2579</v>
      </c>
      <c r="K126">
        <v>30</v>
      </c>
      <c r="L126" s="2">
        <v>0.04</v>
      </c>
      <c r="M126">
        <v>0.1</v>
      </c>
      <c r="N126" s="2">
        <v>0.10316</v>
      </c>
      <c r="O126" s="2">
        <v>0.25790000000000002</v>
      </c>
    </row>
    <row r="127" spans="2:15">
      <c r="B127" t="s">
        <v>247</v>
      </c>
      <c r="C127" t="s">
        <v>31</v>
      </c>
      <c r="D127" t="s">
        <v>626</v>
      </c>
      <c r="E127" t="s">
        <v>627</v>
      </c>
      <c r="F127" t="s">
        <v>12</v>
      </c>
      <c r="G127" t="s">
        <v>628</v>
      </c>
      <c r="H127" t="s">
        <v>629</v>
      </c>
      <c r="I127" t="s">
        <v>30</v>
      </c>
      <c r="J127">
        <v>1187</v>
      </c>
      <c r="K127">
        <v>4</v>
      </c>
      <c r="L127" s="2">
        <v>0.04</v>
      </c>
      <c r="M127">
        <v>0.1</v>
      </c>
      <c r="N127" s="2">
        <v>4.7480000000000001E-2</v>
      </c>
      <c r="O127" s="2">
        <v>0.1187</v>
      </c>
    </row>
    <row r="128" spans="2:15">
      <c r="B128" t="s">
        <v>247</v>
      </c>
      <c r="C128" t="s">
        <v>31</v>
      </c>
      <c r="D128" t="s">
        <v>630</v>
      </c>
      <c r="E128" t="s">
        <v>631</v>
      </c>
      <c r="F128" t="s">
        <v>12</v>
      </c>
      <c r="G128" t="s">
        <v>632</v>
      </c>
      <c r="H128" t="s">
        <v>633</v>
      </c>
      <c r="I128" t="s">
        <v>30</v>
      </c>
      <c r="J128">
        <v>2</v>
      </c>
      <c r="K128">
        <v>0</v>
      </c>
      <c r="L128" s="2">
        <v>0.04</v>
      </c>
      <c r="M128">
        <v>0.1</v>
      </c>
      <c r="N128" s="2">
        <v>8.0000000000000007E-5</v>
      </c>
      <c r="O128" s="2">
        <v>2.0000000000000001E-4</v>
      </c>
    </row>
    <row r="129" spans="2:15">
      <c r="B129" t="s">
        <v>247</v>
      </c>
      <c r="C129" t="s">
        <v>31</v>
      </c>
      <c r="D129" t="s">
        <v>630</v>
      </c>
      <c r="E129" t="s">
        <v>634</v>
      </c>
      <c r="F129" t="s">
        <v>12</v>
      </c>
      <c r="G129" t="s">
        <v>632</v>
      </c>
      <c r="H129" t="s">
        <v>635</v>
      </c>
      <c r="I129" t="s">
        <v>30</v>
      </c>
      <c r="J129">
        <v>2</v>
      </c>
      <c r="K129">
        <v>0</v>
      </c>
      <c r="L129" s="2">
        <v>0.04</v>
      </c>
      <c r="M129">
        <v>0.1</v>
      </c>
      <c r="N129" s="2">
        <v>8.0000000000000007E-5</v>
      </c>
      <c r="O129" s="2">
        <v>2.0000000000000001E-4</v>
      </c>
    </row>
    <row r="130" spans="2:15">
      <c r="B130" t="s">
        <v>247</v>
      </c>
      <c r="C130" t="s">
        <v>31</v>
      </c>
      <c r="D130" t="s">
        <v>636</v>
      </c>
      <c r="E130" t="s">
        <v>637</v>
      </c>
      <c r="F130" t="s">
        <v>12</v>
      </c>
      <c r="G130" t="s">
        <v>638</v>
      </c>
      <c r="H130" t="s">
        <v>639</v>
      </c>
      <c r="I130" t="s">
        <v>30</v>
      </c>
      <c r="J130">
        <v>4453</v>
      </c>
      <c r="K130">
        <v>15</v>
      </c>
      <c r="L130" s="2">
        <v>0.04</v>
      </c>
      <c r="M130">
        <v>0.1</v>
      </c>
      <c r="N130" s="2">
        <v>0.17812</v>
      </c>
      <c r="O130" s="2">
        <v>0.44530000000000003</v>
      </c>
    </row>
    <row r="131" spans="2:15">
      <c r="B131" t="s">
        <v>247</v>
      </c>
      <c r="C131" t="s">
        <v>31</v>
      </c>
      <c r="D131" t="s">
        <v>640</v>
      </c>
      <c r="E131" t="s">
        <v>641</v>
      </c>
      <c r="F131" t="s">
        <v>12</v>
      </c>
      <c r="G131" t="s">
        <v>642</v>
      </c>
      <c r="H131" t="s">
        <v>643</v>
      </c>
      <c r="I131" t="s">
        <v>30</v>
      </c>
      <c r="J131">
        <v>10</v>
      </c>
      <c r="K131">
        <v>1</v>
      </c>
      <c r="L131" s="2">
        <v>0.04</v>
      </c>
      <c r="M131">
        <v>0.1</v>
      </c>
      <c r="N131" s="2">
        <v>4.0000000000000002E-4</v>
      </c>
      <c r="O131" s="2">
        <v>1E-3</v>
      </c>
    </row>
    <row r="132" spans="2:15">
      <c r="B132" t="s">
        <v>247</v>
      </c>
      <c r="C132" t="s">
        <v>31</v>
      </c>
      <c r="D132" t="s">
        <v>644</v>
      </c>
      <c r="E132" t="s">
        <v>645</v>
      </c>
      <c r="F132" t="s">
        <v>12</v>
      </c>
      <c r="G132" t="s">
        <v>646</v>
      </c>
      <c r="H132" t="s">
        <v>647</v>
      </c>
      <c r="I132" t="s">
        <v>30</v>
      </c>
      <c r="J132">
        <v>2</v>
      </c>
      <c r="K132">
        <v>0</v>
      </c>
      <c r="L132" s="2">
        <v>0.04</v>
      </c>
      <c r="M132">
        <v>0.1</v>
      </c>
      <c r="N132" s="2">
        <v>8.0000000000000007E-5</v>
      </c>
      <c r="O132" s="2">
        <v>2.0000000000000001E-4</v>
      </c>
    </row>
    <row r="133" spans="2:15">
      <c r="B133" t="s">
        <v>247</v>
      </c>
      <c r="C133" t="s">
        <v>31</v>
      </c>
      <c r="D133" t="s">
        <v>648</v>
      </c>
      <c r="E133" t="s">
        <v>649</v>
      </c>
      <c r="F133" t="s">
        <v>12</v>
      </c>
      <c r="G133" t="s">
        <v>650</v>
      </c>
      <c r="H133" t="s">
        <v>651</v>
      </c>
      <c r="I133" t="s">
        <v>30</v>
      </c>
      <c r="J133">
        <v>4</v>
      </c>
      <c r="K133">
        <v>0</v>
      </c>
      <c r="L133" s="2">
        <v>0.04</v>
      </c>
      <c r="M133">
        <v>0.1</v>
      </c>
      <c r="N133" s="2">
        <v>1.6000000000000001E-4</v>
      </c>
      <c r="O133" s="2">
        <v>4.0000000000000002E-4</v>
      </c>
    </row>
    <row r="134" spans="2:15">
      <c r="B134" t="s">
        <v>247</v>
      </c>
      <c r="C134" t="s">
        <v>31</v>
      </c>
      <c r="D134" t="s">
        <v>652</v>
      </c>
      <c r="E134" t="s">
        <v>653</v>
      </c>
      <c r="F134" t="s">
        <v>12</v>
      </c>
      <c r="G134" t="s">
        <v>654</v>
      </c>
      <c r="H134" t="s">
        <v>655</v>
      </c>
      <c r="I134" t="s">
        <v>30</v>
      </c>
      <c r="J134">
        <v>102</v>
      </c>
      <c r="K134">
        <v>1</v>
      </c>
      <c r="L134" s="2">
        <v>0.04</v>
      </c>
      <c r="M134">
        <v>0.1</v>
      </c>
      <c r="N134" s="2">
        <v>4.0800000000000003E-3</v>
      </c>
      <c r="O134" s="2">
        <v>1.0200000000000001E-2</v>
      </c>
    </row>
    <row r="135" spans="2:15">
      <c r="B135" t="s">
        <v>247</v>
      </c>
      <c r="C135" t="s">
        <v>31</v>
      </c>
      <c r="D135" t="s">
        <v>656</v>
      </c>
      <c r="E135" t="s">
        <v>657</v>
      </c>
      <c r="F135" t="s">
        <v>12</v>
      </c>
      <c r="G135" t="s">
        <v>658</v>
      </c>
      <c r="H135" t="s">
        <v>659</v>
      </c>
      <c r="I135" t="s">
        <v>30</v>
      </c>
      <c r="J135">
        <v>2</v>
      </c>
      <c r="K135">
        <v>1</v>
      </c>
      <c r="L135" s="2">
        <v>0.04</v>
      </c>
      <c r="M135">
        <v>0.1</v>
      </c>
      <c r="N135" s="2">
        <v>8.0000000000000007E-5</v>
      </c>
      <c r="O135" s="2">
        <v>2.0000000000000001E-4</v>
      </c>
    </row>
    <row r="136" spans="2:15">
      <c r="B136" t="s">
        <v>247</v>
      </c>
      <c r="C136" t="s">
        <v>31</v>
      </c>
      <c r="D136" t="s">
        <v>660</v>
      </c>
      <c r="E136" t="s">
        <v>661</v>
      </c>
      <c r="F136" t="s">
        <v>12</v>
      </c>
      <c r="G136" t="s">
        <v>662</v>
      </c>
      <c r="H136" t="s">
        <v>663</v>
      </c>
      <c r="I136" t="s">
        <v>30</v>
      </c>
      <c r="J136">
        <v>24</v>
      </c>
      <c r="K136">
        <v>1</v>
      </c>
      <c r="L136" s="2">
        <v>0.04</v>
      </c>
      <c r="M136">
        <v>0.1</v>
      </c>
      <c r="N136" s="2">
        <v>9.5999999999999992E-4</v>
      </c>
      <c r="O136" s="2">
        <v>2.4000000000000002E-3</v>
      </c>
    </row>
    <row r="137" spans="2:15">
      <c r="B137" t="s">
        <v>247</v>
      </c>
      <c r="C137" t="s">
        <v>28</v>
      </c>
      <c r="D137" t="s">
        <v>664</v>
      </c>
      <c r="E137" t="s">
        <v>665</v>
      </c>
      <c r="F137" t="s">
        <v>12</v>
      </c>
      <c r="G137" t="s">
        <v>666</v>
      </c>
      <c r="H137" t="s">
        <v>667</v>
      </c>
      <c r="I137" t="s">
        <v>30</v>
      </c>
      <c r="J137">
        <v>105535</v>
      </c>
      <c r="K137">
        <v>3258</v>
      </c>
      <c r="L137" s="2">
        <v>0.04</v>
      </c>
      <c r="M137">
        <v>0.1</v>
      </c>
      <c r="N137" s="2">
        <v>4.2214</v>
      </c>
      <c r="O137" s="2">
        <v>10.5535</v>
      </c>
    </row>
    <row r="138" spans="2:15">
      <c r="B138" t="s">
        <v>247</v>
      </c>
      <c r="C138" t="s">
        <v>28</v>
      </c>
      <c r="D138" t="s">
        <v>668</v>
      </c>
      <c r="E138" t="s">
        <v>669</v>
      </c>
      <c r="F138" t="s">
        <v>12</v>
      </c>
      <c r="G138" t="s">
        <v>670</v>
      </c>
      <c r="H138" t="s">
        <v>671</v>
      </c>
      <c r="I138" t="s">
        <v>30</v>
      </c>
      <c r="J138">
        <v>108429</v>
      </c>
      <c r="K138">
        <v>239</v>
      </c>
      <c r="L138" s="2">
        <v>0.04</v>
      </c>
      <c r="M138">
        <v>0.1</v>
      </c>
      <c r="N138" s="2">
        <v>4.3371599999999999</v>
      </c>
      <c r="O138" s="2">
        <v>10.842900000000002</v>
      </c>
    </row>
    <row r="139" spans="2:15">
      <c r="B139" t="s">
        <v>247</v>
      </c>
      <c r="C139" t="s">
        <v>28</v>
      </c>
      <c r="D139" t="s">
        <v>672</v>
      </c>
      <c r="E139" t="s">
        <v>673</v>
      </c>
      <c r="F139" t="s">
        <v>12</v>
      </c>
      <c r="G139" t="s">
        <v>674</v>
      </c>
      <c r="H139" t="s">
        <v>675</v>
      </c>
      <c r="I139" t="s">
        <v>30</v>
      </c>
      <c r="J139">
        <v>2</v>
      </c>
      <c r="K139">
        <v>0</v>
      </c>
      <c r="L139" s="2">
        <v>0.04</v>
      </c>
      <c r="M139">
        <v>0.1</v>
      </c>
      <c r="N139" s="2">
        <v>8.0000000000000007E-5</v>
      </c>
      <c r="O139" s="2">
        <v>2.0000000000000001E-4</v>
      </c>
    </row>
    <row r="140" spans="2:15">
      <c r="B140" t="s">
        <v>247</v>
      </c>
      <c r="C140" t="s">
        <v>28</v>
      </c>
      <c r="D140" t="s">
        <v>672</v>
      </c>
      <c r="E140" t="s">
        <v>673</v>
      </c>
      <c r="F140" t="s">
        <v>12</v>
      </c>
      <c r="G140" t="s">
        <v>676</v>
      </c>
      <c r="H140" t="s">
        <v>677</v>
      </c>
      <c r="I140" t="s">
        <v>30</v>
      </c>
      <c r="J140">
        <v>1149954</v>
      </c>
      <c r="K140">
        <v>7917</v>
      </c>
      <c r="L140" s="2">
        <v>0.04</v>
      </c>
      <c r="M140">
        <v>0.1</v>
      </c>
      <c r="N140" s="2">
        <v>45.998160000000006</v>
      </c>
      <c r="O140" s="2">
        <v>114.9954</v>
      </c>
    </row>
    <row r="141" spans="2:15">
      <c r="B141" t="s">
        <v>247</v>
      </c>
      <c r="C141" t="s">
        <v>28</v>
      </c>
      <c r="D141" t="s">
        <v>678</v>
      </c>
      <c r="E141" t="s">
        <v>679</v>
      </c>
      <c r="F141" t="s">
        <v>12</v>
      </c>
      <c r="G141" t="s">
        <v>680</v>
      </c>
      <c r="H141" t="s">
        <v>681</v>
      </c>
      <c r="I141" t="s">
        <v>30</v>
      </c>
      <c r="J141">
        <v>175974</v>
      </c>
      <c r="K141">
        <v>282</v>
      </c>
      <c r="L141" s="2">
        <v>0.04</v>
      </c>
      <c r="M141">
        <v>0.1</v>
      </c>
      <c r="N141" s="2">
        <v>7.0389600000000003</v>
      </c>
      <c r="O141" s="2">
        <v>17.5974</v>
      </c>
    </row>
    <row r="142" spans="2:15">
      <c r="B142" t="s">
        <v>247</v>
      </c>
      <c r="C142" t="s">
        <v>28</v>
      </c>
      <c r="D142" t="s">
        <v>682</v>
      </c>
      <c r="E142" t="s">
        <v>683</v>
      </c>
      <c r="F142" t="s">
        <v>10</v>
      </c>
      <c r="G142" t="s">
        <v>684</v>
      </c>
      <c r="H142" t="s">
        <v>685</v>
      </c>
      <c r="I142" t="s">
        <v>24</v>
      </c>
      <c r="J142">
        <v>0</v>
      </c>
      <c r="K142">
        <v>1</v>
      </c>
      <c r="L142" s="2">
        <v>3.5000000000000001E-3</v>
      </c>
      <c r="M142">
        <v>2.5000000000000001E-2</v>
      </c>
      <c r="N142" s="2">
        <v>3.5000000000000001E-3</v>
      </c>
      <c r="O142" s="2">
        <v>2.5000000000000001E-2</v>
      </c>
    </row>
    <row r="143" spans="2:15">
      <c r="B143" t="s">
        <v>247</v>
      </c>
      <c r="C143" t="s">
        <v>28</v>
      </c>
      <c r="D143" t="s">
        <v>682</v>
      </c>
      <c r="E143" t="s">
        <v>686</v>
      </c>
      <c r="F143" t="s">
        <v>10</v>
      </c>
      <c r="G143" t="s">
        <v>687</v>
      </c>
      <c r="H143" t="s">
        <v>688</v>
      </c>
      <c r="I143" t="s">
        <v>24</v>
      </c>
      <c r="J143">
        <v>0</v>
      </c>
      <c r="K143">
        <v>1</v>
      </c>
      <c r="L143" s="2">
        <v>3.5000000000000001E-3</v>
      </c>
      <c r="M143">
        <v>2.5000000000000001E-2</v>
      </c>
      <c r="N143" s="2">
        <v>3.5000000000000001E-3</v>
      </c>
      <c r="O143" s="2">
        <v>2.5000000000000001E-2</v>
      </c>
    </row>
    <row r="144" spans="2:15">
      <c r="B144" t="s">
        <v>247</v>
      </c>
      <c r="C144" t="s">
        <v>28</v>
      </c>
      <c r="D144" t="s">
        <v>689</v>
      </c>
      <c r="E144" t="s">
        <v>690</v>
      </c>
      <c r="F144" t="s">
        <v>12</v>
      </c>
      <c r="G144" t="s">
        <v>691</v>
      </c>
      <c r="H144" t="s">
        <v>692</v>
      </c>
      <c r="I144" t="s">
        <v>30</v>
      </c>
      <c r="J144">
        <v>1</v>
      </c>
      <c r="K144">
        <v>1</v>
      </c>
      <c r="L144" s="2">
        <v>0.04</v>
      </c>
      <c r="M144">
        <v>0.1</v>
      </c>
      <c r="N144" s="2">
        <v>4.0000000000000003E-5</v>
      </c>
      <c r="O144" s="2">
        <v>1E-4</v>
      </c>
    </row>
    <row r="145" spans="2:15">
      <c r="B145" t="s">
        <v>247</v>
      </c>
      <c r="C145" t="s">
        <v>28</v>
      </c>
      <c r="D145" t="s">
        <v>248</v>
      </c>
      <c r="E145" t="s">
        <v>249</v>
      </c>
      <c r="F145" t="s">
        <v>12</v>
      </c>
      <c r="G145" t="s">
        <v>250</v>
      </c>
      <c r="H145" t="s">
        <v>251</v>
      </c>
      <c r="I145" t="s">
        <v>24</v>
      </c>
      <c r="J145">
        <v>1291426</v>
      </c>
      <c r="K145">
        <v>6050</v>
      </c>
      <c r="L145" s="2">
        <v>0.04</v>
      </c>
      <c r="M145">
        <v>0.1</v>
      </c>
      <c r="N145" s="2">
        <v>51.657040000000002</v>
      </c>
      <c r="O145" s="2">
        <v>129.14260000000002</v>
      </c>
    </row>
    <row r="146" spans="2:15">
      <c r="B146" t="s">
        <v>247</v>
      </c>
      <c r="C146" t="s">
        <v>28</v>
      </c>
      <c r="D146" t="s">
        <v>248</v>
      </c>
      <c r="E146" t="s">
        <v>252</v>
      </c>
      <c r="F146" t="s">
        <v>12</v>
      </c>
      <c r="G146" t="s">
        <v>253</v>
      </c>
      <c r="H146" t="s">
        <v>254</v>
      </c>
      <c r="I146" t="s">
        <v>24</v>
      </c>
      <c r="J146">
        <v>675413</v>
      </c>
      <c r="K146">
        <v>6891</v>
      </c>
      <c r="L146" s="2">
        <v>0.04</v>
      </c>
      <c r="M146">
        <v>0.1</v>
      </c>
      <c r="N146" s="2">
        <v>27.01652</v>
      </c>
      <c r="O146" s="2">
        <v>67.541300000000007</v>
      </c>
    </row>
    <row r="147" spans="2:15">
      <c r="B147" t="s">
        <v>247</v>
      </c>
      <c r="C147" t="s">
        <v>28</v>
      </c>
      <c r="D147" t="s">
        <v>693</v>
      </c>
      <c r="E147" t="s">
        <v>694</v>
      </c>
      <c r="F147" t="s">
        <v>12</v>
      </c>
      <c r="G147" t="s">
        <v>695</v>
      </c>
      <c r="H147" t="s">
        <v>696</v>
      </c>
      <c r="I147" t="s">
        <v>30</v>
      </c>
      <c r="J147">
        <v>82893</v>
      </c>
      <c r="K147">
        <v>2384</v>
      </c>
      <c r="L147" s="2">
        <v>0.04</v>
      </c>
      <c r="M147">
        <v>0.1</v>
      </c>
      <c r="N147" s="2">
        <v>3.3157200000000002</v>
      </c>
      <c r="O147" s="2">
        <v>8.2893000000000008</v>
      </c>
    </row>
    <row r="148" spans="2:15">
      <c r="B148" t="s">
        <v>247</v>
      </c>
      <c r="C148" t="s">
        <v>28</v>
      </c>
      <c r="D148" t="s">
        <v>697</v>
      </c>
      <c r="E148" t="s">
        <v>698</v>
      </c>
      <c r="F148" t="s">
        <v>12</v>
      </c>
      <c r="G148" t="s">
        <v>699</v>
      </c>
      <c r="H148" t="s">
        <v>700</v>
      </c>
      <c r="I148" t="s">
        <v>30</v>
      </c>
      <c r="J148">
        <v>458944</v>
      </c>
      <c r="K148">
        <v>1931</v>
      </c>
      <c r="L148" s="2">
        <v>0.04</v>
      </c>
      <c r="M148">
        <v>0.1</v>
      </c>
      <c r="N148" s="2">
        <v>18.357760000000003</v>
      </c>
      <c r="O148" s="2">
        <v>45.894400000000005</v>
      </c>
    </row>
    <row r="149" spans="2:15">
      <c r="B149" t="s">
        <v>247</v>
      </c>
      <c r="C149" t="s">
        <v>28</v>
      </c>
      <c r="D149" t="s">
        <v>701</v>
      </c>
      <c r="E149" t="s">
        <v>702</v>
      </c>
      <c r="F149" t="s">
        <v>12</v>
      </c>
      <c r="G149" t="s">
        <v>703</v>
      </c>
      <c r="H149" t="s">
        <v>704</v>
      </c>
      <c r="I149" t="s">
        <v>30</v>
      </c>
      <c r="J149">
        <v>1062109</v>
      </c>
      <c r="K149">
        <v>7329</v>
      </c>
      <c r="L149" s="2">
        <v>0.04</v>
      </c>
      <c r="M149">
        <v>0.1</v>
      </c>
      <c r="N149" s="2">
        <v>42.484360000000002</v>
      </c>
      <c r="O149" s="2">
        <v>106.21090000000001</v>
      </c>
    </row>
    <row r="150" spans="2:15">
      <c r="B150" t="s">
        <v>247</v>
      </c>
      <c r="C150" t="s">
        <v>28</v>
      </c>
      <c r="D150" t="s">
        <v>705</v>
      </c>
      <c r="E150" t="s">
        <v>706</v>
      </c>
      <c r="F150" t="s">
        <v>12</v>
      </c>
      <c r="G150" t="s">
        <v>707</v>
      </c>
      <c r="H150" t="s">
        <v>708</v>
      </c>
      <c r="I150" t="s">
        <v>30</v>
      </c>
      <c r="J150">
        <v>200115</v>
      </c>
      <c r="K150">
        <v>294</v>
      </c>
      <c r="L150" s="2">
        <v>0.04</v>
      </c>
      <c r="M150">
        <v>0.1</v>
      </c>
      <c r="N150" s="2">
        <v>8.0045999999999999</v>
      </c>
      <c r="O150" s="2">
        <v>20.011500000000002</v>
      </c>
    </row>
    <row r="151" spans="2:15">
      <c r="B151" t="s">
        <v>247</v>
      </c>
      <c r="C151" t="s">
        <v>28</v>
      </c>
      <c r="D151" t="s">
        <v>709</v>
      </c>
      <c r="E151" t="s">
        <v>710</v>
      </c>
      <c r="F151" t="s">
        <v>12</v>
      </c>
      <c r="G151" t="s">
        <v>711</v>
      </c>
      <c r="H151" t="s">
        <v>712</v>
      </c>
      <c r="I151" t="s">
        <v>24</v>
      </c>
      <c r="J151">
        <v>16080</v>
      </c>
      <c r="K151">
        <v>73</v>
      </c>
      <c r="L151" s="2">
        <v>0.04</v>
      </c>
      <c r="M151">
        <v>0.1</v>
      </c>
      <c r="N151" s="2">
        <v>0.64319999999999999</v>
      </c>
      <c r="O151" s="2">
        <v>1.6080000000000001</v>
      </c>
    </row>
    <row r="152" spans="2:15">
      <c r="B152" t="s">
        <v>247</v>
      </c>
      <c r="C152" t="s">
        <v>28</v>
      </c>
      <c r="D152" t="s">
        <v>709</v>
      </c>
      <c r="E152" t="s">
        <v>713</v>
      </c>
      <c r="F152" t="s">
        <v>10</v>
      </c>
      <c r="G152" t="s">
        <v>714</v>
      </c>
      <c r="H152" t="s">
        <v>715</v>
      </c>
      <c r="I152" t="s">
        <v>24</v>
      </c>
      <c r="J152">
        <v>0</v>
      </c>
      <c r="K152">
        <v>1</v>
      </c>
      <c r="L152" s="2">
        <v>3.5000000000000001E-3</v>
      </c>
      <c r="M152">
        <v>2.5000000000000001E-2</v>
      </c>
      <c r="N152" s="2">
        <v>3.5000000000000001E-3</v>
      </c>
      <c r="O152" s="2">
        <v>2.5000000000000001E-2</v>
      </c>
    </row>
    <row r="153" spans="2:15">
      <c r="B153" t="s">
        <v>72</v>
      </c>
      <c r="C153" t="s">
        <v>31</v>
      </c>
      <c r="D153" t="s">
        <v>73</v>
      </c>
      <c r="E153" t="s">
        <v>74</v>
      </c>
      <c r="F153" t="s">
        <v>12</v>
      </c>
      <c r="G153" t="s">
        <v>75</v>
      </c>
      <c r="H153" t="s">
        <v>76</v>
      </c>
      <c r="I153" t="s">
        <v>30</v>
      </c>
      <c r="J153">
        <v>1210</v>
      </c>
      <c r="K153">
        <v>5</v>
      </c>
      <c r="L153" s="2">
        <v>0.04</v>
      </c>
      <c r="M153">
        <v>0.1</v>
      </c>
      <c r="N153" s="2">
        <v>4.8399999999999999E-2</v>
      </c>
      <c r="O153" s="2">
        <v>0.121</v>
      </c>
    </row>
    <row r="154" spans="2:15">
      <c r="B154" t="s">
        <v>72</v>
      </c>
      <c r="C154" t="s">
        <v>31</v>
      </c>
      <c r="D154" t="s">
        <v>77</v>
      </c>
      <c r="E154" t="s">
        <v>78</v>
      </c>
      <c r="F154" t="s">
        <v>12</v>
      </c>
      <c r="G154" t="s">
        <v>79</v>
      </c>
      <c r="H154" t="s">
        <v>80</v>
      </c>
      <c r="I154" t="s">
        <v>30</v>
      </c>
      <c r="J154">
        <v>18267</v>
      </c>
      <c r="K154">
        <v>80</v>
      </c>
      <c r="L154" s="2">
        <v>0.04</v>
      </c>
      <c r="M154">
        <v>0.1</v>
      </c>
      <c r="N154" s="2">
        <v>0.73068000000000011</v>
      </c>
      <c r="O154" s="2">
        <v>1.8267</v>
      </c>
    </row>
    <row r="155" spans="2:15">
      <c r="B155" t="s">
        <v>72</v>
      </c>
      <c r="C155" t="s">
        <v>31</v>
      </c>
      <c r="D155" t="s">
        <v>81</v>
      </c>
      <c r="E155" t="s">
        <v>82</v>
      </c>
      <c r="F155" t="s">
        <v>12</v>
      </c>
      <c r="G155" t="s">
        <v>83</v>
      </c>
      <c r="H155" t="s">
        <v>84</v>
      </c>
      <c r="I155" t="s">
        <v>30</v>
      </c>
      <c r="J155">
        <v>92502</v>
      </c>
      <c r="K155">
        <v>253</v>
      </c>
      <c r="L155" s="2">
        <v>0.04</v>
      </c>
      <c r="M155">
        <v>0.1</v>
      </c>
      <c r="N155" s="2">
        <v>3.7000799999999998</v>
      </c>
      <c r="O155" s="2">
        <v>9.2502000000000013</v>
      </c>
    </row>
    <row r="156" spans="2:15">
      <c r="B156" t="s">
        <v>72</v>
      </c>
      <c r="C156" t="s">
        <v>31</v>
      </c>
      <c r="D156" t="s">
        <v>85</v>
      </c>
      <c r="E156" t="s">
        <v>86</v>
      </c>
      <c r="F156" t="s">
        <v>12</v>
      </c>
      <c r="G156" t="s">
        <v>87</v>
      </c>
      <c r="H156" t="s">
        <v>88</v>
      </c>
      <c r="I156" t="s">
        <v>30</v>
      </c>
      <c r="J156">
        <v>16137</v>
      </c>
      <c r="K156">
        <v>55</v>
      </c>
      <c r="L156" s="2">
        <v>0.04</v>
      </c>
      <c r="M156">
        <v>0.1</v>
      </c>
      <c r="N156" s="2">
        <v>0.64548000000000005</v>
      </c>
      <c r="O156" s="2">
        <v>1.6137000000000001</v>
      </c>
    </row>
    <row r="157" spans="2:15">
      <c r="B157" t="s">
        <v>72</v>
      </c>
      <c r="C157" t="s">
        <v>31</v>
      </c>
      <c r="D157" t="s">
        <v>89</v>
      </c>
      <c r="E157" t="s">
        <v>90</v>
      </c>
      <c r="F157" t="s">
        <v>12</v>
      </c>
      <c r="G157" t="s">
        <v>91</v>
      </c>
      <c r="H157" t="s">
        <v>92</v>
      </c>
      <c r="I157" t="s">
        <v>30</v>
      </c>
      <c r="J157">
        <v>6854</v>
      </c>
      <c r="K157">
        <v>73</v>
      </c>
      <c r="L157" s="2">
        <v>0.04</v>
      </c>
      <c r="M157">
        <v>0.1</v>
      </c>
      <c r="N157" s="2">
        <v>0.27416000000000001</v>
      </c>
      <c r="O157" s="2">
        <v>0.68540000000000012</v>
      </c>
    </row>
    <row r="158" spans="2:15">
      <c r="B158" t="s">
        <v>72</v>
      </c>
      <c r="C158" t="s">
        <v>31</v>
      </c>
      <c r="D158" t="s">
        <v>93</v>
      </c>
      <c r="E158" t="s">
        <v>94</v>
      </c>
      <c r="F158" t="s">
        <v>12</v>
      </c>
      <c r="G158" t="s">
        <v>95</v>
      </c>
      <c r="H158" t="s">
        <v>96</v>
      </c>
      <c r="I158" t="s">
        <v>30</v>
      </c>
      <c r="J158">
        <v>56851</v>
      </c>
      <c r="K158">
        <v>193</v>
      </c>
      <c r="L158" s="2">
        <v>0.04</v>
      </c>
      <c r="M158">
        <v>0.1</v>
      </c>
      <c r="N158" s="2">
        <v>2.2740399999999998</v>
      </c>
      <c r="O158" s="2">
        <v>5.6851000000000003</v>
      </c>
    </row>
    <row r="159" spans="2:15">
      <c r="B159" t="s">
        <v>72</v>
      </c>
      <c r="C159" t="s">
        <v>31</v>
      </c>
      <c r="D159" t="s">
        <v>97</v>
      </c>
      <c r="E159" t="s">
        <v>98</v>
      </c>
      <c r="F159" t="s">
        <v>12</v>
      </c>
      <c r="G159" t="s">
        <v>99</v>
      </c>
      <c r="H159" t="s">
        <v>100</v>
      </c>
      <c r="I159" t="s">
        <v>30</v>
      </c>
      <c r="J159">
        <v>53438</v>
      </c>
      <c r="K159">
        <v>253</v>
      </c>
      <c r="L159" s="2">
        <v>0.04</v>
      </c>
      <c r="M159">
        <v>0.1</v>
      </c>
      <c r="N159" s="2">
        <v>2.1375199999999999</v>
      </c>
      <c r="O159" s="2">
        <v>5.3437999999999999</v>
      </c>
    </row>
    <row r="160" spans="2:15">
      <c r="B160" t="s">
        <v>72</v>
      </c>
      <c r="C160" t="s">
        <v>31</v>
      </c>
      <c r="D160" t="s">
        <v>101</v>
      </c>
      <c r="E160" t="s">
        <v>102</v>
      </c>
      <c r="F160" t="s">
        <v>12</v>
      </c>
      <c r="G160" t="s">
        <v>103</v>
      </c>
      <c r="H160" t="s">
        <v>104</v>
      </c>
      <c r="I160" t="s">
        <v>30</v>
      </c>
      <c r="J160">
        <v>22316</v>
      </c>
      <c r="K160">
        <v>85</v>
      </c>
      <c r="L160" s="2">
        <v>0.04</v>
      </c>
      <c r="M160">
        <v>0.1</v>
      </c>
      <c r="N160" s="2">
        <v>0.89263999999999999</v>
      </c>
      <c r="O160" s="2">
        <v>2.2315999999999998</v>
      </c>
    </row>
    <row r="161" spans="2:15">
      <c r="B161" t="s">
        <v>72</v>
      </c>
      <c r="C161" t="s">
        <v>28</v>
      </c>
      <c r="D161" t="s">
        <v>105</v>
      </c>
      <c r="E161" t="s">
        <v>106</v>
      </c>
      <c r="F161" t="s">
        <v>12</v>
      </c>
      <c r="G161" t="s">
        <v>107</v>
      </c>
      <c r="H161" t="s">
        <v>108</v>
      </c>
      <c r="I161" t="s">
        <v>30</v>
      </c>
      <c r="J161">
        <v>1</v>
      </c>
      <c r="K161">
        <v>0</v>
      </c>
      <c r="L161" s="2">
        <v>0.04</v>
      </c>
      <c r="M161">
        <v>0.1</v>
      </c>
      <c r="N161" s="2">
        <v>4.0000000000000003E-5</v>
      </c>
      <c r="O161" s="2">
        <v>1E-4</v>
      </c>
    </row>
    <row r="162" spans="2:15">
      <c r="B162" t="s">
        <v>72</v>
      </c>
      <c r="C162" t="s">
        <v>28</v>
      </c>
      <c r="D162" t="s">
        <v>109</v>
      </c>
      <c r="E162" t="s">
        <v>110</v>
      </c>
      <c r="F162" t="s">
        <v>12</v>
      </c>
      <c r="G162" t="s">
        <v>111</v>
      </c>
      <c r="H162" t="s">
        <v>112</v>
      </c>
      <c r="I162" t="s">
        <v>30</v>
      </c>
      <c r="J162">
        <v>5664</v>
      </c>
      <c r="K162">
        <v>61</v>
      </c>
      <c r="L162" s="2">
        <v>0.04</v>
      </c>
      <c r="M162">
        <v>0.1</v>
      </c>
      <c r="N162" s="2">
        <v>0.22656000000000001</v>
      </c>
      <c r="O162" s="2">
        <v>0.56640000000000001</v>
      </c>
    </row>
    <row r="163" spans="2:15">
      <c r="B163" t="s">
        <v>72</v>
      </c>
      <c r="C163" t="s">
        <v>28</v>
      </c>
      <c r="D163" t="s">
        <v>255</v>
      </c>
      <c r="E163" t="s">
        <v>256</v>
      </c>
      <c r="F163" t="s">
        <v>12</v>
      </c>
      <c r="G163" t="s">
        <v>257</v>
      </c>
      <c r="H163" t="s">
        <v>258</v>
      </c>
      <c r="I163" t="s">
        <v>30</v>
      </c>
      <c r="J163">
        <v>1</v>
      </c>
      <c r="K163">
        <v>0</v>
      </c>
      <c r="L163" s="2">
        <v>0.04</v>
      </c>
      <c r="M163">
        <v>0.1</v>
      </c>
      <c r="N163" s="2">
        <v>4.0000000000000003E-5</v>
      </c>
      <c r="O163" s="2">
        <v>1E-4</v>
      </c>
    </row>
    <row r="164" spans="2:15">
      <c r="B164" t="s">
        <v>72</v>
      </c>
      <c r="C164" t="s">
        <v>28</v>
      </c>
      <c r="D164" t="s">
        <v>113</v>
      </c>
      <c r="E164" t="s">
        <v>114</v>
      </c>
      <c r="F164" t="s">
        <v>12</v>
      </c>
      <c r="G164" t="s">
        <v>115</v>
      </c>
      <c r="H164" t="s">
        <v>116</v>
      </c>
      <c r="I164" t="s">
        <v>30</v>
      </c>
      <c r="J164">
        <v>45073</v>
      </c>
      <c r="K164">
        <v>108</v>
      </c>
      <c r="L164" s="2">
        <v>0.04</v>
      </c>
      <c r="M164">
        <v>0.1</v>
      </c>
      <c r="N164" s="2">
        <v>1.8029200000000001</v>
      </c>
      <c r="O164" s="2">
        <v>4.5072999999999999</v>
      </c>
    </row>
    <row r="165" spans="2:15">
      <c r="B165" t="s">
        <v>72</v>
      </c>
      <c r="C165" t="s">
        <v>28</v>
      </c>
      <c r="D165" t="s">
        <v>117</v>
      </c>
      <c r="E165" t="s">
        <v>118</v>
      </c>
      <c r="F165" t="s">
        <v>12</v>
      </c>
      <c r="G165" t="s">
        <v>119</v>
      </c>
      <c r="H165" t="s">
        <v>120</v>
      </c>
      <c r="I165" t="s">
        <v>30</v>
      </c>
      <c r="J165">
        <v>1</v>
      </c>
      <c r="K165">
        <v>0</v>
      </c>
      <c r="L165" s="2">
        <v>0.04</v>
      </c>
      <c r="M165">
        <v>0.1</v>
      </c>
      <c r="N165" s="2">
        <v>4.0000000000000003E-5</v>
      </c>
      <c r="O165" s="2">
        <v>1E-4</v>
      </c>
    </row>
    <row r="166" spans="2:15">
      <c r="B166" t="s">
        <v>72</v>
      </c>
      <c r="C166" t="s">
        <v>28</v>
      </c>
      <c r="D166" t="s">
        <v>121</v>
      </c>
      <c r="E166" t="s">
        <v>122</v>
      </c>
      <c r="F166" t="s">
        <v>12</v>
      </c>
      <c r="G166" t="s">
        <v>123</v>
      </c>
      <c r="H166" t="s">
        <v>124</v>
      </c>
      <c r="I166" t="s">
        <v>30</v>
      </c>
      <c r="J166">
        <v>24764</v>
      </c>
      <c r="K166">
        <v>27</v>
      </c>
      <c r="L166" s="2">
        <v>0.04</v>
      </c>
      <c r="M166">
        <v>0.1</v>
      </c>
      <c r="N166" s="2">
        <v>0.99056000000000011</v>
      </c>
      <c r="O166" s="2">
        <v>2.4763999999999999</v>
      </c>
    </row>
    <row r="167" spans="2:15">
      <c r="B167" t="s">
        <v>72</v>
      </c>
      <c r="C167" t="s">
        <v>28</v>
      </c>
      <c r="D167" t="s">
        <v>125</v>
      </c>
      <c r="E167" t="s">
        <v>126</v>
      </c>
      <c r="F167" t="s">
        <v>12</v>
      </c>
      <c r="G167" t="s">
        <v>127</v>
      </c>
      <c r="H167" t="s">
        <v>128</v>
      </c>
      <c r="I167" t="s">
        <v>30</v>
      </c>
      <c r="J167">
        <v>211386</v>
      </c>
      <c r="K167">
        <v>412</v>
      </c>
      <c r="L167" s="2">
        <v>0.04</v>
      </c>
      <c r="M167">
        <v>0.1</v>
      </c>
      <c r="N167" s="2">
        <v>8.4554400000000012</v>
      </c>
      <c r="O167" s="2">
        <v>21.138600000000004</v>
      </c>
    </row>
    <row r="168" spans="2:15">
      <c r="B168" t="s">
        <v>72</v>
      </c>
      <c r="C168" t="s">
        <v>28</v>
      </c>
      <c r="D168" t="s">
        <v>129</v>
      </c>
      <c r="E168" t="s">
        <v>130</v>
      </c>
      <c r="F168" t="s">
        <v>12</v>
      </c>
      <c r="G168" t="s">
        <v>131</v>
      </c>
      <c r="H168" t="s">
        <v>132</v>
      </c>
      <c r="I168" t="s">
        <v>30</v>
      </c>
      <c r="J168">
        <v>1</v>
      </c>
      <c r="K168">
        <v>0</v>
      </c>
      <c r="L168" s="2">
        <v>0.04</v>
      </c>
      <c r="M168">
        <v>0.1</v>
      </c>
      <c r="N168" s="2">
        <v>4.0000000000000003E-5</v>
      </c>
      <c r="O168" s="2">
        <v>1E-4</v>
      </c>
    </row>
    <row r="169" spans="2:15">
      <c r="B169" t="s">
        <v>72</v>
      </c>
      <c r="C169" t="s">
        <v>28</v>
      </c>
      <c r="D169" t="s">
        <v>133</v>
      </c>
      <c r="E169" t="s">
        <v>134</v>
      </c>
      <c r="F169" t="s">
        <v>12</v>
      </c>
      <c r="G169" t="s">
        <v>135</v>
      </c>
      <c r="H169" t="s">
        <v>136</v>
      </c>
      <c r="I169" t="s">
        <v>30</v>
      </c>
      <c r="J169">
        <v>62981</v>
      </c>
      <c r="K169">
        <v>51</v>
      </c>
      <c r="L169" s="2">
        <v>0.04</v>
      </c>
      <c r="M169">
        <v>0.1</v>
      </c>
      <c r="N169" s="2">
        <v>2.5192400000000004</v>
      </c>
      <c r="O169" s="2">
        <v>6.2981000000000007</v>
      </c>
    </row>
    <row r="170" spans="2:15">
      <c r="B170" t="s">
        <v>72</v>
      </c>
      <c r="C170" t="s">
        <v>28</v>
      </c>
      <c r="D170" t="s">
        <v>137</v>
      </c>
      <c r="E170" t="s">
        <v>138</v>
      </c>
      <c r="F170" t="s">
        <v>12</v>
      </c>
      <c r="G170" t="s">
        <v>139</v>
      </c>
      <c r="H170" t="s">
        <v>140</v>
      </c>
      <c r="I170" t="s">
        <v>24</v>
      </c>
      <c r="J170">
        <v>5750</v>
      </c>
      <c r="K170">
        <v>423</v>
      </c>
      <c r="L170" s="2">
        <v>0.04</v>
      </c>
      <c r="M170">
        <v>0.1</v>
      </c>
      <c r="N170" s="2">
        <v>0.23</v>
      </c>
      <c r="O170" s="2">
        <v>0.57499999999999996</v>
      </c>
    </row>
    <row r="171" spans="2:15">
      <c r="B171" t="s">
        <v>72</v>
      </c>
      <c r="C171" t="s">
        <v>28</v>
      </c>
      <c r="D171" t="s">
        <v>141</v>
      </c>
      <c r="E171" t="s">
        <v>142</v>
      </c>
      <c r="F171" t="s">
        <v>12</v>
      </c>
      <c r="G171" t="s">
        <v>143</v>
      </c>
      <c r="H171" t="s">
        <v>144</v>
      </c>
      <c r="I171" t="s">
        <v>30</v>
      </c>
      <c r="J171">
        <v>3</v>
      </c>
      <c r="K171">
        <v>0</v>
      </c>
      <c r="L171" s="2">
        <v>0.04</v>
      </c>
      <c r="M171">
        <v>0.1</v>
      </c>
      <c r="N171" s="2">
        <v>1.1999999999999999E-4</v>
      </c>
      <c r="O171" s="2">
        <v>3.0000000000000003E-4</v>
      </c>
    </row>
    <row r="172" spans="2:15">
      <c r="B172" t="s">
        <v>72</v>
      </c>
      <c r="C172" t="s">
        <v>28</v>
      </c>
      <c r="D172" t="s">
        <v>145</v>
      </c>
      <c r="E172" t="s">
        <v>146</v>
      </c>
      <c r="F172" t="s">
        <v>12</v>
      </c>
      <c r="G172" t="s">
        <v>147</v>
      </c>
      <c r="H172" t="s">
        <v>148</v>
      </c>
      <c r="I172" t="s">
        <v>30</v>
      </c>
      <c r="J172">
        <v>5674</v>
      </c>
      <c r="K172">
        <v>63</v>
      </c>
      <c r="L172" s="2">
        <v>0.04</v>
      </c>
      <c r="M172">
        <v>0.1</v>
      </c>
      <c r="N172" s="2">
        <v>0.22696</v>
      </c>
      <c r="O172" s="2">
        <v>0.56740000000000002</v>
      </c>
    </row>
    <row r="173" spans="2:15">
      <c r="B173" t="s">
        <v>72</v>
      </c>
      <c r="C173" t="s">
        <v>28</v>
      </c>
      <c r="D173" t="s">
        <v>149</v>
      </c>
      <c r="E173" t="s">
        <v>150</v>
      </c>
      <c r="F173" t="s">
        <v>12</v>
      </c>
      <c r="G173" t="s">
        <v>151</v>
      </c>
      <c r="H173" t="s">
        <v>152</v>
      </c>
      <c r="I173" t="s">
        <v>30</v>
      </c>
      <c r="J173">
        <v>1</v>
      </c>
      <c r="K173">
        <v>0</v>
      </c>
      <c r="L173" s="2">
        <v>0.04</v>
      </c>
      <c r="M173">
        <v>0.1</v>
      </c>
      <c r="N173" s="2">
        <v>4.0000000000000003E-5</v>
      </c>
      <c r="O173" s="2">
        <v>1E-4</v>
      </c>
    </row>
    <row r="174" spans="2:15">
      <c r="B174" t="s">
        <v>72</v>
      </c>
      <c r="C174" t="s">
        <v>28</v>
      </c>
      <c r="D174" t="s">
        <v>153</v>
      </c>
      <c r="E174" t="s">
        <v>154</v>
      </c>
      <c r="F174" t="s">
        <v>12</v>
      </c>
      <c r="G174" t="s">
        <v>155</v>
      </c>
      <c r="H174" t="s">
        <v>156</v>
      </c>
      <c r="I174" t="s">
        <v>30</v>
      </c>
      <c r="J174">
        <v>36040</v>
      </c>
      <c r="K174">
        <v>100</v>
      </c>
      <c r="L174" s="2">
        <v>0.04</v>
      </c>
      <c r="M174">
        <v>0.1</v>
      </c>
      <c r="N174" s="2">
        <v>1.4416000000000002</v>
      </c>
      <c r="O174" s="2">
        <v>3.6040000000000001</v>
      </c>
    </row>
    <row r="175" spans="2:15">
      <c r="B175" t="s">
        <v>72</v>
      </c>
      <c r="C175" t="s">
        <v>28</v>
      </c>
      <c r="D175" t="s">
        <v>157</v>
      </c>
      <c r="E175" t="s">
        <v>158</v>
      </c>
      <c r="F175" t="s">
        <v>12</v>
      </c>
      <c r="G175" t="s">
        <v>159</v>
      </c>
      <c r="H175" t="s">
        <v>160</v>
      </c>
      <c r="I175" t="s">
        <v>30</v>
      </c>
      <c r="J175">
        <v>5</v>
      </c>
      <c r="K175">
        <v>0</v>
      </c>
      <c r="L175" s="2">
        <v>0.04</v>
      </c>
      <c r="M175">
        <v>0.1</v>
      </c>
      <c r="N175" s="2">
        <v>2.0000000000000001E-4</v>
      </c>
      <c r="O175" s="2">
        <v>5.0000000000000001E-4</v>
      </c>
    </row>
    <row r="176" spans="2:15">
      <c r="B176" t="s">
        <v>72</v>
      </c>
      <c r="C176" t="s">
        <v>28</v>
      </c>
      <c r="D176" t="s">
        <v>161</v>
      </c>
      <c r="E176" t="s">
        <v>162</v>
      </c>
      <c r="F176" t="s">
        <v>12</v>
      </c>
      <c r="G176" t="s">
        <v>163</v>
      </c>
      <c r="H176" t="s">
        <v>164</v>
      </c>
      <c r="I176" t="s">
        <v>30</v>
      </c>
      <c r="J176">
        <v>24844</v>
      </c>
      <c r="K176">
        <v>23</v>
      </c>
      <c r="L176" s="2">
        <v>0.04</v>
      </c>
      <c r="M176">
        <v>0.1</v>
      </c>
      <c r="N176" s="2">
        <v>0.99375999999999998</v>
      </c>
      <c r="O176" s="2">
        <v>2.4843999999999999</v>
      </c>
    </row>
    <row r="177" spans="2:15">
      <c r="B177" t="s">
        <v>72</v>
      </c>
      <c r="C177" t="s">
        <v>28</v>
      </c>
      <c r="D177" t="s">
        <v>165</v>
      </c>
      <c r="E177" t="s">
        <v>166</v>
      </c>
      <c r="F177" t="s">
        <v>12</v>
      </c>
      <c r="G177" t="s">
        <v>167</v>
      </c>
      <c r="H177" t="s">
        <v>168</v>
      </c>
      <c r="I177" t="s">
        <v>30</v>
      </c>
      <c r="J177">
        <v>239824</v>
      </c>
      <c r="K177">
        <v>451</v>
      </c>
      <c r="L177" s="2">
        <v>0.04</v>
      </c>
      <c r="M177">
        <v>0.1</v>
      </c>
      <c r="N177" s="2">
        <v>9.5929600000000015</v>
      </c>
      <c r="O177" s="2">
        <v>23.982400000000002</v>
      </c>
    </row>
    <row r="178" spans="2:15">
      <c r="B178" t="s">
        <v>72</v>
      </c>
      <c r="C178" t="s">
        <v>28</v>
      </c>
      <c r="D178" t="s">
        <v>169</v>
      </c>
      <c r="E178" t="s">
        <v>170</v>
      </c>
      <c r="F178" t="s">
        <v>12</v>
      </c>
      <c r="G178" t="s">
        <v>171</v>
      </c>
      <c r="H178" t="s">
        <v>172</v>
      </c>
      <c r="I178" t="s">
        <v>30</v>
      </c>
      <c r="J178">
        <v>4</v>
      </c>
      <c r="K178">
        <v>0</v>
      </c>
      <c r="L178" s="2">
        <v>0.04</v>
      </c>
      <c r="M178">
        <v>0.1</v>
      </c>
      <c r="N178" s="2">
        <v>1.6000000000000001E-4</v>
      </c>
      <c r="O178" s="2">
        <v>4.0000000000000002E-4</v>
      </c>
    </row>
    <row r="179" spans="2:15">
      <c r="B179" t="s">
        <v>72</v>
      </c>
      <c r="C179" t="s">
        <v>28</v>
      </c>
      <c r="D179" t="s">
        <v>173</v>
      </c>
      <c r="E179" t="s">
        <v>174</v>
      </c>
      <c r="F179" t="s">
        <v>12</v>
      </c>
      <c r="G179" t="s">
        <v>175</v>
      </c>
      <c r="H179" t="s">
        <v>176</v>
      </c>
      <c r="I179" t="s">
        <v>30</v>
      </c>
      <c r="J179">
        <v>67691</v>
      </c>
      <c r="K179">
        <v>68</v>
      </c>
      <c r="L179" s="2">
        <v>0.04</v>
      </c>
      <c r="M179">
        <v>0.1</v>
      </c>
      <c r="N179" s="2">
        <v>2.70764</v>
      </c>
      <c r="O179" s="2">
        <v>6.7691000000000008</v>
      </c>
    </row>
    <row r="180" spans="2:15">
      <c r="B180" t="s">
        <v>72</v>
      </c>
      <c r="C180" t="s">
        <v>28</v>
      </c>
      <c r="D180" t="s">
        <v>177</v>
      </c>
      <c r="E180" t="s">
        <v>178</v>
      </c>
      <c r="F180" t="s">
        <v>12</v>
      </c>
      <c r="G180" t="s">
        <v>179</v>
      </c>
      <c r="H180" t="s">
        <v>180</v>
      </c>
      <c r="I180" t="s">
        <v>24</v>
      </c>
      <c r="J180">
        <v>56751</v>
      </c>
      <c r="K180">
        <v>757</v>
      </c>
      <c r="L180" s="2">
        <v>0.04</v>
      </c>
      <c r="M180">
        <v>0.1</v>
      </c>
      <c r="N180" s="2">
        <v>2.2700399999999998</v>
      </c>
      <c r="O180" s="2">
        <v>5.6751000000000005</v>
      </c>
    </row>
    <row r="181" spans="2:15">
      <c r="B181" t="s">
        <v>72</v>
      </c>
      <c r="C181" t="s">
        <v>28</v>
      </c>
      <c r="D181" t="s">
        <v>58</v>
      </c>
      <c r="E181" t="s">
        <v>59</v>
      </c>
      <c r="F181" t="s">
        <v>12</v>
      </c>
      <c r="G181" t="s">
        <v>60</v>
      </c>
      <c r="H181" t="s">
        <v>61</v>
      </c>
      <c r="I181" t="s">
        <v>24</v>
      </c>
      <c r="J181">
        <v>3005</v>
      </c>
      <c r="K181">
        <v>43</v>
      </c>
      <c r="L181" s="2">
        <v>0.04</v>
      </c>
      <c r="M181">
        <v>0.1</v>
      </c>
      <c r="N181" s="2">
        <v>0.1202</v>
      </c>
      <c r="O181" s="2">
        <v>0.30049999999999999</v>
      </c>
    </row>
    <row r="182" spans="2:15">
      <c r="B182" t="s">
        <v>72</v>
      </c>
      <c r="C182" t="s">
        <v>28</v>
      </c>
      <c r="D182" t="s">
        <v>62</v>
      </c>
      <c r="E182" t="s">
        <v>63</v>
      </c>
      <c r="F182" t="s">
        <v>12</v>
      </c>
      <c r="G182" t="s">
        <v>64</v>
      </c>
      <c r="H182" t="s">
        <v>65</v>
      </c>
      <c r="I182" t="s">
        <v>24</v>
      </c>
      <c r="J182">
        <v>15553</v>
      </c>
      <c r="K182">
        <v>0</v>
      </c>
      <c r="L182" s="2">
        <v>0.04</v>
      </c>
      <c r="M182">
        <v>0.1</v>
      </c>
      <c r="N182" s="2">
        <v>0.62212000000000001</v>
      </c>
      <c r="O182" s="2">
        <v>1.5553000000000001</v>
      </c>
    </row>
    <row r="183" spans="2:15">
      <c r="B183" t="s">
        <v>181</v>
      </c>
      <c r="C183" t="s">
        <v>29</v>
      </c>
      <c r="D183" t="s">
        <v>716</v>
      </c>
      <c r="E183" t="s">
        <v>717</v>
      </c>
      <c r="F183" t="s">
        <v>12</v>
      </c>
      <c r="G183" t="s">
        <v>718</v>
      </c>
      <c r="H183" t="s">
        <v>719</v>
      </c>
      <c r="I183" t="s">
        <v>24</v>
      </c>
      <c r="J183">
        <v>126105</v>
      </c>
      <c r="K183">
        <v>171</v>
      </c>
      <c r="L183" s="2">
        <v>0.04</v>
      </c>
      <c r="M183">
        <v>0.1</v>
      </c>
      <c r="N183" s="2">
        <v>5.0442</v>
      </c>
      <c r="O183" s="2">
        <v>12.6105</v>
      </c>
    </row>
    <row r="184" spans="2:15">
      <c r="B184" t="s">
        <v>181</v>
      </c>
      <c r="C184" t="s">
        <v>29</v>
      </c>
      <c r="D184" t="s">
        <v>720</v>
      </c>
      <c r="E184" t="s">
        <v>721</v>
      </c>
      <c r="F184" t="s">
        <v>12</v>
      </c>
      <c r="G184" t="s">
        <v>722</v>
      </c>
      <c r="H184" t="s">
        <v>723</v>
      </c>
      <c r="I184" t="s">
        <v>24</v>
      </c>
      <c r="J184">
        <v>223765</v>
      </c>
      <c r="K184">
        <v>252</v>
      </c>
      <c r="L184" s="2">
        <v>0.04</v>
      </c>
      <c r="M184">
        <v>0.1</v>
      </c>
      <c r="N184" s="2">
        <v>8.9505999999999997</v>
      </c>
      <c r="O184" s="2">
        <v>22.3765</v>
      </c>
    </row>
    <row r="185" spans="2:15">
      <c r="B185" t="s">
        <v>181</v>
      </c>
      <c r="C185" t="s">
        <v>29</v>
      </c>
      <c r="D185" t="s">
        <v>259</v>
      </c>
      <c r="E185" t="s">
        <v>260</v>
      </c>
      <c r="F185" t="s">
        <v>12</v>
      </c>
      <c r="G185" t="s">
        <v>261</v>
      </c>
      <c r="H185" t="s">
        <v>262</v>
      </c>
      <c r="I185" t="s">
        <v>24</v>
      </c>
      <c r="J185">
        <v>78493</v>
      </c>
      <c r="K185">
        <v>225</v>
      </c>
      <c r="L185" s="2">
        <v>0.04</v>
      </c>
      <c r="M185">
        <v>0.1</v>
      </c>
      <c r="N185" s="2">
        <v>3.1397200000000001</v>
      </c>
      <c r="O185" s="2">
        <v>7.8493000000000004</v>
      </c>
    </row>
    <row r="186" spans="2:15">
      <c r="B186" t="s">
        <v>181</v>
      </c>
      <c r="C186" t="s">
        <v>29</v>
      </c>
      <c r="D186" t="s">
        <v>724</v>
      </c>
      <c r="E186" t="s">
        <v>725</v>
      </c>
      <c r="F186" t="s">
        <v>12</v>
      </c>
      <c r="G186" t="s">
        <v>726</v>
      </c>
      <c r="H186" t="s">
        <v>727</v>
      </c>
      <c r="I186" t="s">
        <v>30</v>
      </c>
      <c r="J186">
        <v>2</v>
      </c>
      <c r="K186">
        <v>2</v>
      </c>
      <c r="L186" s="2">
        <v>0.04</v>
      </c>
      <c r="M186">
        <v>0.1</v>
      </c>
      <c r="N186" s="2">
        <v>8.0000000000000007E-5</v>
      </c>
      <c r="O186" s="2">
        <v>2.0000000000000001E-4</v>
      </c>
    </row>
    <row r="187" spans="2:15">
      <c r="B187" t="s">
        <v>181</v>
      </c>
      <c r="C187" t="s">
        <v>29</v>
      </c>
      <c r="D187" t="s">
        <v>728</v>
      </c>
      <c r="E187" t="s">
        <v>729</v>
      </c>
      <c r="F187" t="s">
        <v>12</v>
      </c>
      <c r="G187" t="s">
        <v>730</v>
      </c>
      <c r="H187" t="s">
        <v>731</v>
      </c>
      <c r="I187" t="s">
        <v>30</v>
      </c>
      <c r="J187">
        <v>227122</v>
      </c>
      <c r="K187">
        <v>99</v>
      </c>
      <c r="L187" s="2">
        <v>0.04</v>
      </c>
      <c r="M187">
        <v>0.1</v>
      </c>
      <c r="N187" s="2">
        <v>9.0848800000000018</v>
      </c>
      <c r="O187" s="2">
        <v>22.712199999999999</v>
      </c>
    </row>
    <row r="188" spans="2:15">
      <c r="B188" t="s">
        <v>181</v>
      </c>
      <c r="C188" t="s">
        <v>29</v>
      </c>
      <c r="D188" t="s">
        <v>263</v>
      </c>
      <c r="E188" t="s">
        <v>264</v>
      </c>
      <c r="F188" t="s">
        <v>12</v>
      </c>
      <c r="G188" t="s">
        <v>265</v>
      </c>
      <c r="H188" t="s">
        <v>266</v>
      </c>
      <c r="I188" t="s">
        <v>30</v>
      </c>
      <c r="J188">
        <v>74791</v>
      </c>
      <c r="K188">
        <v>25</v>
      </c>
      <c r="L188" s="2">
        <v>0.04</v>
      </c>
      <c r="M188">
        <v>0.1</v>
      </c>
      <c r="N188" s="2">
        <v>2.9916399999999999</v>
      </c>
      <c r="O188" s="2">
        <v>7.4791000000000007</v>
      </c>
    </row>
    <row r="189" spans="2:15">
      <c r="B189" t="s">
        <v>181</v>
      </c>
      <c r="C189" t="s">
        <v>29</v>
      </c>
      <c r="D189" t="s">
        <v>732</v>
      </c>
      <c r="E189" t="s">
        <v>733</v>
      </c>
      <c r="F189" t="s">
        <v>12</v>
      </c>
      <c r="G189" t="s">
        <v>734</v>
      </c>
      <c r="H189" t="s">
        <v>735</v>
      </c>
      <c r="I189" t="s">
        <v>30</v>
      </c>
      <c r="J189">
        <v>310758</v>
      </c>
      <c r="K189">
        <v>1015</v>
      </c>
      <c r="L189" s="2">
        <v>0.04</v>
      </c>
      <c r="M189">
        <v>0.1</v>
      </c>
      <c r="N189" s="2">
        <v>12.43032</v>
      </c>
      <c r="O189" s="2">
        <v>31.075800000000005</v>
      </c>
    </row>
    <row r="190" spans="2:15">
      <c r="B190" t="s">
        <v>181</v>
      </c>
      <c r="C190" t="s">
        <v>29</v>
      </c>
      <c r="D190" t="s">
        <v>736</v>
      </c>
      <c r="E190" t="s">
        <v>737</v>
      </c>
      <c r="F190" t="s">
        <v>12</v>
      </c>
      <c r="G190" t="s">
        <v>738</v>
      </c>
      <c r="H190" t="s">
        <v>739</v>
      </c>
      <c r="I190" t="s">
        <v>30</v>
      </c>
      <c r="J190">
        <v>232386</v>
      </c>
      <c r="K190">
        <v>593</v>
      </c>
      <c r="L190" s="2">
        <v>0.04</v>
      </c>
      <c r="M190">
        <v>0.1</v>
      </c>
      <c r="N190" s="2">
        <v>9.295440000000001</v>
      </c>
      <c r="O190" s="2">
        <v>23.238600000000002</v>
      </c>
    </row>
    <row r="191" spans="2:15">
      <c r="B191" t="s">
        <v>181</v>
      </c>
      <c r="C191" t="s">
        <v>29</v>
      </c>
      <c r="D191" t="s">
        <v>267</v>
      </c>
      <c r="E191" t="s">
        <v>268</v>
      </c>
      <c r="F191" t="s">
        <v>12</v>
      </c>
      <c r="G191" t="s">
        <v>269</v>
      </c>
      <c r="H191" t="s">
        <v>270</v>
      </c>
      <c r="I191" t="s">
        <v>30</v>
      </c>
      <c r="J191">
        <v>710998</v>
      </c>
      <c r="K191">
        <v>1787</v>
      </c>
      <c r="L191" s="2">
        <v>0.04</v>
      </c>
      <c r="M191">
        <v>0.1</v>
      </c>
      <c r="N191" s="2">
        <v>28.439920000000001</v>
      </c>
      <c r="O191" s="2">
        <v>71.099800000000002</v>
      </c>
    </row>
    <row r="192" spans="2:15">
      <c r="B192" t="s">
        <v>181</v>
      </c>
      <c r="C192" t="s">
        <v>29</v>
      </c>
      <c r="D192" t="s">
        <v>740</v>
      </c>
      <c r="E192" t="s">
        <v>741</v>
      </c>
      <c r="F192" t="s">
        <v>12</v>
      </c>
      <c r="G192" t="s">
        <v>742</v>
      </c>
      <c r="H192" t="s">
        <v>743</v>
      </c>
      <c r="I192" t="s">
        <v>30</v>
      </c>
      <c r="J192">
        <v>662</v>
      </c>
      <c r="K192">
        <v>4</v>
      </c>
      <c r="L192" s="2">
        <v>0.04</v>
      </c>
      <c r="M192">
        <v>0.1</v>
      </c>
      <c r="N192" s="2">
        <v>2.648E-2</v>
      </c>
      <c r="O192" s="2">
        <v>6.6200000000000009E-2</v>
      </c>
    </row>
    <row r="193" spans="2:15">
      <c r="B193" t="s">
        <v>181</v>
      </c>
      <c r="C193" t="s">
        <v>29</v>
      </c>
      <c r="D193" t="s">
        <v>744</v>
      </c>
      <c r="E193" t="s">
        <v>745</v>
      </c>
      <c r="F193" t="s">
        <v>12</v>
      </c>
      <c r="G193" t="s">
        <v>746</v>
      </c>
      <c r="H193" t="s">
        <v>747</v>
      </c>
      <c r="I193" t="s">
        <v>30</v>
      </c>
      <c r="J193">
        <v>4157</v>
      </c>
      <c r="K193">
        <v>17</v>
      </c>
      <c r="L193" s="2">
        <v>0.04</v>
      </c>
      <c r="M193">
        <v>0.1</v>
      </c>
      <c r="N193" s="2">
        <v>0.16628000000000001</v>
      </c>
      <c r="O193" s="2">
        <v>0.41570000000000007</v>
      </c>
    </row>
    <row r="194" spans="2:15">
      <c r="B194" t="s">
        <v>181</v>
      </c>
      <c r="C194" t="s">
        <v>29</v>
      </c>
      <c r="D194" t="s">
        <v>182</v>
      </c>
      <c r="E194" t="s">
        <v>183</v>
      </c>
      <c r="F194" t="s">
        <v>10</v>
      </c>
      <c r="G194" t="s">
        <v>184</v>
      </c>
      <c r="H194" t="s">
        <v>185</v>
      </c>
      <c r="I194" t="s">
        <v>24</v>
      </c>
      <c r="J194">
        <v>0</v>
      </c>
      <c r="K194">
        <v>1</v>
      </c>
      <c r="L194" s="2">
        <v>3.5000000000000001E-3</v>
      </c>
      <c r="M194">
        <v>2.5000000000000001E-2</v>
      </c>
      <c r="N194" s="2">
        <v>3.5000000000000001E-3</v>
      </c>
      <c r="O194" s="2">
        <v>2.5000000000000001E-2</v>
      </c>
    </row>
    <row r="195" spans="2:15">
      <c r="B195" t="s">
        <v>45</v>
      </c>
      <c r="C195" t="s">
        <v>28</v>
      </c>
      <c r="D195" t="s">
        <v>46</v>
      </c>
      <c r="E195" t="s">
        <v>47</v>
      </c>
      <c r="F195" t="s">
        <v>12</v>
      </c>
      <c r="G195" t="s">
        <v>48</v>
      </c>
      <c r="H195" t="s">
        <v>49</v>
      </c>
      <c r="I195" t="s">
        <v>24</v>
      </c>
      <c r="J195">
        <v>3</v>
      </c>
      <c r="K195">
        <v>0</v>
      </c>
      <c r="L195" s="2">
        <v>0.04</v>
      </c>
      <c r="M195">
        <v>0.1</v>
      </c>
      <c r="N195" s="2">
        <v>1.1999999999999999E-4</v>
      </c>
      <c r="O195" s="2">
        <v>3.0000000000000003E-4</v>
      </c>
    </row>
    <row r="196" spans="2:15">
      <c r="B196" t="s">
        <v>45</v>
      </c>
      <c r="C196" t="s">
        <v>50</v>
      </c>
      <c r="D196" t="s">
        <v>186</v>
      </c>
      <c r="E196" t="s">
        <v>187</v>
      </c>
      <c r="F196" t="s">
        <v>12</v>
      </c>
      <c r="G196" t="s">
        <v>186</v>
      </c>
      <c r="H196" t="s">
        <v>188</v>
      </c>
      <c r="I196" t="s">
        <v>24</v>
      </c>
      <c r="J196">
        <v>2</v>
      </c>
      <c r="K196">
        <v>0</v>
      </c>
      <c r="L196" s="2">
        <v>0.04</v>
      </c>
      <c r="M196">
        <v>0.1</v>
      </c>
      <c r="N196" s="2">
        <v>8.0000000000000007E-5</v>
      </c>
      <c r="O196" s="2">
        <v>2.0000000000000001E-4</v>
      </c>
    </row>
    <row r="197" spans="2:15">
      <c r="B197" t="s">
        <v>271</v>
      </c>
      <c r="C197" t="s">
        <v>748</v>
      </c>
      <c r="D197" t="s">
        <v>749</v>
      </c>
      <c r="E197" t="s">
        <v>750</v>
      </c>
      <c r="F197" t="s">
        <v>12</v>
      </c>
      <c r="G197" t="s">
        <v>751</v>
      </c>
      <c r="H197" t="s">
        <v>752</v>
      </c>
      <c r="I197" t="s">
        <v>30</v>
      </c>
      <c r="J197">
        <v>994646</v>
      </c>
      <c r="K197">
        <v>506</v>
      </c>
      <c r="L197" s="2">
        <v>0.04</v>
      </c>
      <c r="M197">
        <v>0.1</v>
      </c>
      <c r="N197" s="2">
        <v>39.78584</v>
      </c>
      <c r="O197" s="2">
        <v>99.464600000000004</v>
      </c>
    </row>
    <row r="198" spans="2:15">
      <c r="B198" t="s">
        <v>271</v>
      </c>
      <c r="C198" t="s">
        <v>272</v>
      </c>
      <c r="D198" t="s">
        <v>273</v>
      </c>
      <c r="E198" t="s">
        <v>274</v>
      </c>
      <c r="F198" t="s">
        <v>12</v>
      </c>
      <c r="G198" t="s">
        <v>275</v>
      </c>
      <c r="H198" t="s">
        <v>276</v>
      </c>
      <c r="I198" t="s">
        <v>24</v>
      </c>
      <c r="J198">
        <v>229333</v>
      </c>
      <c r="K198">
        <v>7838</v>
      </c>
      <c r="L198" s="2">
        <v>0.04</v>
      </c>
      <c r="M198">
        <v>0.1</v>
      </c>
      <c r="N198" s="2">
        <v>9.1733200000000004</v>
      </c>
      <c r="O198" s="2">
        <v>22.933300000000003</v>
      </c>
    </row>
    <row r="199" spans="2:15">
      <c r="B199" t="s">
        <v>271</v>
      </c>
      <c r="C199" t="s">
        <v>272</v>
      </c>
      <c r="D199" t="s">
        <v>277</v>
      </c>
      <c r="E199" t="s">
        <v>278</v>
      </c>
      <c r="F199" t="s">
        <v>12</v>
      </c>
      <c r="G199" t="s">
        <v>279</v>
      </c>
      <c r="H199" t="s">
        <v>280</v>
      </c>
      <c r="I199" t="s">
        <v>24</v>
      </c>
      <c r="J199">
        <v>203379</v>
      </c>
      <c r="K199">
        <v>535</v>
      </c>
      <c r="L199" s="2">
        <v>0.04</v>
      </c>
      <c r="M199">
        <v>0.1</v>
      </c>
      <c r="N199" s="2">
        <v>8.1351599999999991</v>
      </c>
      <c r="O199" s="2">
        <v>20.337900000000001</v>
      </c>
    </row>
    <row r="200" spans="2:15">
      <c r="B200" t="s">
        <v>271</v>
      </c>
      <c r="C200" t="s">
        <v>31</v>
      </c>
      <c r="D200" t="s">
        <v>753</v>
      </c>
      <c r="E200" t="s">
        <v>754</v>
      </c>
      <c r="F200" t="s">
        <v>10</v>
      </c>
      <c r="G200" t="s">
        <v>755</v>
      </c>
      <c r="H200" t="s">
        <v>756</v>
      </c>
      <c r="I200" t="s">
        <v>24</v>
      </c>
      <c r="J200">
        <v>0</v>
      </c>
      <c r="K200">
        <v>1</v>
      </c>
      <c r="L200" s="2">
        <v>3.5000000000000001E-3</v>
      </c>
      <c r="M200">
        <v>2.5000000000000001E-2</v>
      </c>
      <c r="N200" s="2">
        <v>3.5000000000000001E-3</v>
      </c>
      <c r="O200" s="2">
        <v>2.5000000000000001E-2</v>
      </c>
    </row>
    <row r="201" spans="2:15">
      <c r="B201" t="s">
        <v>271</v>
      </c>
      <c r="C201" t="s">
        <v>31</v>
      </c>
      <c r="D201" t="s">
        <v>757</v>
      </c>
      <c r="E201" t="s">
        <v>758</v>
      </c>
      <c r="F201" t="s">
        <v>10</v>
      </c>
      <c r="G201" t="s">
        <v>759</v>
      </c>
      <c r="H201" t="s">
        <v>760</v>
      </c>
      <c r="I201" t="s">
        <v>24</v>
      </c>
      <c r="J201">
        <v>0</v>
      </c>
      <c r="K201">
        <v>1</v>
      </c>
      <c r="L201" s="2">
        <v>3.5000000000000001E-3</v>
      </c>
      <c r="M201">
        <v>2.5000000000000001E-2</v>
      </c>
      <c r="N201" s="2">
        <v>3.5000000000000001E-3</v>
      </c>
      <c r="O201" s="2">
        <v>2.5000000000000001E-2</v>
      </c>
    </row>
    <row r="202" spans="2:15" s="21" customFormat="1">
      <c r="B202" s="21" t="s">
        <v>271</v>
      </c>
      <c r="C202" s="21" t="s">
        <v>31</v>
      </c>
      <c r="D202" s="21" t="s">
        <v>757</v>
      </c>
      <c r="E202" s="21" t="s">
        <v>761</v>
      </c>
      <c r="F202" s="21" t="s">
        <v>10</v>
      </c>
      <c r="G202" s="21" t="s">
        <v>762</v>
      </c>
      <c r="H202" s="21" t="s">
        <v>763</v>
      </c>
      <c r="I202" s="21" t="s">
        <v>24</v>
      </c>
      <c r="J202" s="21">
        <v>0</v>
      </c>
      <c r="K202" s="21">
        <v>4907543</v>
      </c>
      <c r="L202" s="22">
        <v>3.5000000000000001E-3</v>
      </c>
      <c r="M202" s="21">
        <v>2.5000000000000001E-2</v>
      </c>
      <c r="N202" s="22">
        <v>17176.4005</v>
      </c>
      <c r="O202" s="22">
        <v>490.75430000000006</v>
      </c>
    </row>
    <row r="203" spans="2:15">
      <c r="B203" t="s">
        <v>271</v>
      </c>
      <c r="C203" t="s">
        <v>31</v>
      </c>
      <c r="D203" t="s">
        <v>764</v>
      </c>
      <c r="E203" t="s">
        <v>765</v>
      </c>
      <c r="F203" t="s">
        <v>10</v>
      </c>
      <c r="G203" t="s">
        <v>766</v>
      </c>
      <c r="H203" t="s">
        <v>767</v>
      </c>
      <c r="I203" t="s">
        <v>24</v>
      </c>
      <c r="J203">
        <v>0</v>
      </c>
      <c r="K203">
        <v>1</v>
      </c>
      <c r="L203" s="2">
        <v>3.5000000000000001E-3</v>
      </c>
      <c r="M203">
        <v>2.5000000000000001E-2</v>
      </c>
      <c r="N203" s="2">
        <v>3.5000000000000001E-3</v>
      </c>
      <c r="O203" s="2">
        <v>2.5000000000000001E-2</v>
      </c>
    </row>
    <row r="204" spans="2:15">
      <c r="B204" t="s">
        <v>271</v>
      </c>
      <c r="C204" t="s">
        <v>31</v>
      </c>
      <c r="D204" t="s">
        <v>768</v>
      </c>
      <c r="E204" t="s">
        <v>769</v>
      </c>
      <c r="F204" t="s">
        <v>23</v>
      </c>
      <c r="G204" t="s">
        <v>770</v>
      </c>
      <c r="H204" t="s">
        <v>771</v>
      </c>
      <c r="I204" t="s">
        <v>33</v>
      </c>
      <c r="J204">
        <v>806566</v>
      </c>
      <c r="K204">
        <v>3410</v>
      </c>
      <c r="L204" s="2">
        <v>0.6</v>
      </c>
      <c r="M204">
        <v>0.35</v>
      </c>
      <c r="N204" s="2">
        <v>483.93959999999998</v>
      </c>
      <c r="O204" s="2">
        <v>282.29809999999998</v>
      </c>
    </row>
    <row r="205" spans="2:15">
      <c r="B205" t="s">
        <v>271</v>
      </c>
      <c r="C205" t="s">
        <v>31</v>
      </c>
      <c r="D205" t="s">
        <v>772</v>
      </c>
      <c r="E205" t="s">
        <v>773</v>
      </c>
      <c r="F205" t="s">
        <v>23</v>
      </c>
      <c r="G205" t="s">
        <v>774</v>
      </c>
      <c r="H205" t="s">
        <v>775</v>
      </c>
      <c r="I205" t="s">
        <v>33</v>
      </c>
      <c r="J205">
        <v>1312168</v>
      </c>
      <c r="K205">
        <v>5190</v>
      </c>
      <c r="L205" s="2">
        <v>0.6</v>
      </c>
      <c r="M205">
        <v>0.35</v>
      </c>
      <c r="N205" s="2">
        <v>787.30079999999998</v>
      </c>
      <c r="O205" s="2">
        <v>459.25880000000001</v>
      </c>
    </row>
    <row r="206" spans="2:15">
      <c r="B206" t="s">
        <v>271</v>
      </c>
      <c r="C206" t="s">
        <v>31</v>
      </c>
      <c r="D206" t="s">
        <v>776</v>
      </c>
      <c r="E206" t="s">
        <v>777</v>
      </c>
      <c r="F206" t="s">
        <v>23</v>
      </c>
      <c r="G206" t="s">
        <v>778</v>
      </c>
      <c r="H206" t="s">
        <v>779</v>
      </c>
      <c r="I206" t="s">
        <v>33</v>
      </c>
      <c r="J206">
        <v>870664</v>
      </c>
      <c r="K206">
        <v>5217</v>
      </c>
      <c r="L206" s="2">
        <v>0.6</v>
      </c>
      <c r="M206">
        <v>0.35</v>
      </c>
      <c r="N206" s="2">
        <v>522.39839999999992</v>
      </c>
      <c r="O206" s="2">
        <v>304.73239999999998</v>
      </c>
    </row>
    <row r="207" spans="2:15">
      <c r="B207" t="s">
        <v>271</v>
      </c>
      <c r="C207" t="s">
        <v>31</v>
      </c>
      <c r="D207" t="s">
        <v>780</v>
      </c>
      <c r="E207" t="s">
        <v>781</v>
      </c>
      <c r="F207" t="s">
        <v>23</v>
      </c>
      <c r="G207" t="s">
        <v>782</v>
      </c>
      <c r="H207" t="s">
        <v>783</v>
      </c>
      <c r="I207" t="s">
        <v>33</v>
      </c>
      <c r="J207">
        <v>575833</v>
      </c>
      <c r="K207">
        <v>4947</v>
      </c>
      <c r="L207" s="2">
        <v>0.6</v>
      </c>
      <c r="M207">
        <v>0.35</v>
      </c>
      <c r="N207" s="2">
        <v>345.49979999999999</v>
      </c>
      <c r="O207" s="2">
        <v>201.54155</v>
      </c>
    </row>
    <row r="208" spans="2:15">
      <c r="B208" t="s">
        <v>271</v>
      </c>
      <c r="C208" t="s">
        <v>31</v>
      </c>
      <c r="D208" t="s">
        <v>780</v>
      </c>
      <c r="E208" t="s">
        <v>781</v>
      </c>
      <c r="F208" t="s">
        <v>23</v>
      </c>
      <c r="G208" t="s">
        <v>784</v>
      </c>
      <c r="H208" t="s">
        <v>785</v>
      </c>
      <c r="I208" t="s">
        <v>33</v>
      </c>
      <c r="J208">
        <v>1</v>
      </c>
      <c r="K208">
        <v>0</v>
      </c>
      <c r="L208" s="2">
        <v>0.6</v>
      </c>
      <c r="M208">
        <v>0.35</v>
      </c>
      <c r="N208" s="2">
        <v>5.9999999999999995E-4</v>
      </c>
      <c r="O208" s="2">
        <v>3.5E-4</v>
      </c>
    </row>
    <row r="209" spans="2:15">
      <c r="B209" t="s">
        <v>271</v>
      </c>
      <c r="C209" t="s">
        <v>28</v>
      </c>
      <c r="D209" t="s">
        <v>281</v>
      </c>
      <c r="E209" t="s">
        <v>282</v>
      </c>
      <c r="F209" t="s">
        <v>12</v>
      </c>
      <c r="G209" t="s">
        <v>52</v>
      </c>
      <c r="H209" t="s">
        <v>283</v>
      </c>
      <c r="I209" t="s">
        <v>30</v>
      </c>
      <c r="J209">
        <v>1</v>
      </c>
      <c r="K209">
        <v>0</v>
      </c>
      <c r="L209" s="2">
        <v>0.04</v>
      </c>
      <c r="M209">
        <v>0.1</v>
      </c>
      <c r="N209" s="2">
        <v>4.0000000000000003E-5</v>
      </c>
      <c r="O209" s="2">
        <v>1E-4</v>
      </c>
    </row>
    <row r="210" spans="2:15">
      <c r="B210" t="s">
        <v>271</v>
      </c>
      <c r="C210" t="s">
        <v>28</v>
      </c>
      <c r="D210" t="s">
        <v>281</v>
      </c>
      <c r="E210" t="s">
        <v>282</v>
      </c>
      <c r="F210" t="s">
        <v>12</v>
      </c>
      <c r="G210" t="s">
        <v>284</v>
      </c>
      <c r="H210" t="s">
        <v>285</v>
      </c>
      <c r="I210" t="s">
        <v>30</v>
      </c>
      <c r="J210">
        <v>979236</v>
      </c>
      <c r="K210">
        <v>327</v>
      </c>
      <c r="L210" s="2">
        <v>0.04</v>
      </c>
      <c r="M210">
        <v>0.1</v>
      </c>
      <c r="N210" s="2">
        <v>39.169440000000002</v>
      </c>
      <c r="O210" s="2">
        <v>97.923600000000008</v>
      </c>
    </row>
    <row r="211" spans="2:15">
      <c r="B211" t="s">
        <v>271</v>
      </c>
      <c r="C211" t="s">
        <v>28</v>
      </c>
      <c r="D211" t="s">
        <v>286</v>
      </c>
      <c r="E211" t="s">
        <v>287</v>
      </c>
      <c r="F211" t="s">
        <v>12</v>
      </c>
      <c r="G211" t="s">
        <v>288</v>
      </c>
      <c r="H211" t="s">
        <v>289</v>
      </c>
      <c r="I211" t="s">
        <v>30</v>
      </c>
      <c r="J211">
        <v>857899</v>
      </c>
      <c r="K211">
        <v>855</v>
      </c>
      <c r="L211" s="2">
        <v>0.04</v>
      </c>
      <c r="M211">
        <v>0.1</v>
      </c>
      <c r="N211" s="2">
        <v>34.315959999999997</v>
      </c>
      <c r="O211" s="2">
        <v>85.789900000000003</v>
      </c>
    </row>
    <row r="212" spans="2:15">
      <c r="B212" t="s">
        <v>271</v>
      </c>
      <c r="C212" t="s">
        <v>28</v>
      </c>
      <c r="D212" t="s">
        <v>290</v>
      </c>
      <c r="E212" t="s">
        <v>291</v>
      </c>
      <c r="F212" t="s">
        <v>12</v>
      </c>
      <c r="G212" t="s">
        <v>53</v>
      </c>
      <c r="H212" t="s">
        <v>786</v>
      </c>
      <c r="I212" t="s">
        <v>30</v>
      </c>
      <c r="J212">
        <v>1</v>
      </c>
      <c r="K212">
        <v>0</v>
      </c>
      <c r="L212" s="2">
        <v>0.04</v>
      </c>
      <c r="M212">
        <v>0.1</v>
      </c>
      <c r="N212" s="2">
        <v>4.0000000000000003E-5</v>
      </c>
      <c r="O212" s="2">
        <v>1E-4</v>
      </c>
    </row>
    <row r="213" spans="2:15">
      <c r="B213" t="s">
        <v>271</v>
      </c>
      <c r="C213" t="s">
        <v>28</v>
      </c>
      <c r="D213" t="s">
        <v>290</v>
      </c>
      <c r="E213" t="s">
        <v>291</v>
      </c>
      <c r="F213" t="s">
        <v>12</v>
      </c>
      <c r="G213" t="s">
        <v>292</v>
      </c>
      <c r="H213" t="s">
        <v>293</v>
      </c>
      <c r="I213" t="s">
        <v>30</v>
      </c>
      <c r="J213">
        <v>2318656</v>
      </c>
      <c r="K213">
        <v>662</v>
      </c>
      <c r="L213" s="2">
        <v>0.04</v>
      </c>
      <c r="M213">
        <v>0.1</v>
      </c>
      <c r="N213" s="2">
        <v>92.74624</v>
      </c>
      <c r="O213" s="2">
        <v>231.8656</v>
      </c>
    </row>
    <row r="214" spans="2:15">
      <c r="B214" t="s">
        <v>271</v>
      </c>
      <c r="C214" t="s">
        <v>28</v>
      </c>
      <c r="D214" t="s">
        <v>294</v>
      </c>
      <c r="E214" t="s">
        <v>295</v>
      </c>
      <c r="F214" t="s">
        <v>12</v>
      </c>
      <c r="G214" t="s">
        <v>297</v>
      </c>
      <c r="H214" t="s">
        <v>298</v>
      </c>
      <c r="I214" t="s">
        <v>30</v>
      </c>
      <c r="J214">
        <v>1425205</v>
      </c>
      <c r="K214">
        <v>647</v>
      </c>
      <c r="L214" s="2">
        <v>0.04</v>
      </c>
      <c r="M214">
        <v>0.1</v>
      </c>
      <c r="N214" s="2">
        <v>57.008200000000002</v>
      </c>
      <c r="O214" s="2">
        <v>142.5205</v>
      </c>
    </row>
    <row r="215" spans="2:15">
      <c r="B215" t="s">
        <v>271</v>
      </c>
      <c r="C215" t="s">
        <v>28</v>
      </c>
      <c r="D215" t="s">
        <v>299</v>
      </c>
      <c r="E215" t="s">
        <v>300</v>
      </c>
      <c r="F215" t="s">
        <v>12</v>
      </c>
      <c r="G215" t="s">
        <v>301</v>
      </c>
      <c r="H215" t="s">
        <v>302</v>
      </c>
      <c r="I215" t="s">
        <v>24</v>
      </c>
      <c r="J215">
        <v>5334981</v>
      </c>
      <c r="K215">
        <v>52822</v>
      </c>
      <c r="L215" s="2">
        <v>0.04</v>
      </c>
      <c r="M215">
        <v>0.1</v>
      </c>
      <c r="N215" s="2">
        <v>213.39923999999999</v>
      </c>
      <c r="O215" s="2">
        <v>533.49810000000002</v>
      </c>
    </row>
    <row r="216" spans="2:15">
      <c r="B216" t="s">
        <v>271</v>
      </c>
      <c r="C216" t="s">
        <v>28</v>
      </c>
      <c r="D216" t="s">
        <v>303</v>
      </c>
      <c r="E216" t="s">
        <v>304</v>
      </c>
      <c r="F216" t="s">
        <v>12</v>
      </c>
      <c r="G216" t="s">
        <v>305</v>
      </c>
      <c r="H216" t="s">
        <v>306</v>
      </c>
      <c r="I216" t="s">
        <v>24</v>
      </c>
      <c r="J216">
        <v>3142</v>
      </c>
      <c r="K216">
        <v>68</v>
      </c>
      <c r="L216" s="2">
        <v>0.04</v>
      </c>
      <c r="M216">
        <v>0.1</v>
      </c>
      <c r="N216" s="2">
        <v>0.12568000000000001</v>
      </c>
      <c r="O216" s="2">
        <v>0.31420000000000003</v>
      </c>
    </row>
    <row r="217" spans="2:15">
      <c r="B217" t="s">
        <v>271</v>
      </c>
      <c r="C217" t="s">
        <v>28</v>
      </c>
      <c r="D217" t="s">
        <v>787</v>
      </c>
      <c r="E217" t="s">
        <v>788</v>
      </c>
      <c r="F217" t="s">
        <v>12</v>
      </c>
      <c r="G217" t="s">
        <v>789</v>
      </c>
      <c r="H217" t="s">
        <v>790</v>
      </c>
      <c r="I217" t="s">
        <v>24</v>
      </c>
      <c r="J217">
        <v>2007845</v>
      </c>
      <c r="K217">
        <v>19121</v>
      </c>
      <c r="L217" s="2">
        <v>0.04</v>
      </c>
      <c r="M217">
        <v>0.1</v>
      </c>
      <c r="N217" s="2">
        <v>80.313800000000001</v>
      </c>
      <c r="O217" s="2">
        <v>200.78450000000001</v>
      </c>
    </row>
    <row r="218" spans="2:15">
      <c r="B218" t="s">
        <v>271</v>
      </c>
      <c r="C218" t="s">
        <v>28</v>
      </c>
      <c r="D218" t="s">
        <v>791</v>
      </c>
      <c r="E218" t="s">
        <v>792</v>
      </c>
      <c r="F218" t="s">
        <v>23</v>
      </c>
      <c r="G218" t="s">
        <v>793</v>
      </c>
      <c r="H218" t="s">
        <v>794</v>
      </c>
      <c r="I218" t="s">
        <v>33</v>
      </c>
      <c r="J218">
        <v>438147</v>
      </c>
      <c r="K218">
        <v>6562</v>
      </c>
      <c r="L218" s="2">
        <v>0.6</v>
      </c>
      <c r="M218">
        <v>0.35</v>
      </c>
      <c r="N218" s="2">
        <v>262.88819999999998</v>
      </c>
      <c r="O218" s="2">
        <v>153.35144999999997</v>
      </c>
    </row>
    <row r="219" spans="2:15">
      <c r="B219" t="s">
        <v>271</v>
      </c>
      <c r="C219" t="s">
        <v>28</v>
      </c>
      <c r="D219" t="s">
        <v>795</v>
      </c>
      <c r="E219" t="s">
        <v>796</v>
      </c>
      <c r="F219" t="s">
        <v>23</v>
      </c>
      <c r="G219" t="s">
        <v>797</v>
      </c>
      <c r="H219" t="s">
        <v>798</v>
      </c>
      <c r="I219" t="s">
        <v>33</v>
      </c>
      <c r="J219">
        <v>1921845</v>
      </c>
      <c r="K219">
        <v>30694</v>
      </c>
      <c r="L219" s="2">
        <v>0.6</v>
      </c>
      <c r="M219">
        <v>0.35</v>
      </c>
      <c r="N219" s="2">
        <v>1153.107</v>
      </c>
      <c r="O219" s="2">
        <v>672.64575000000002</v>
      </c>
    </row>
    <row r="220" spans="2:15">
      <c r="B220" t="s">
        <v>799</v>
      </c>
      <c r="C220" t="s">
        <v>31</v>
      </c>
      <c r="D220" t="s">
        <v>800</v>
      </c>
      <c r="E220" t="s">
        <v>801</v>
      </c>
      <c r="F220" t="s">
        <v>11</v>
      </c>
      <c r="G220" t="s">
        <v>52</v>
      </c>
      <c r="H220" t="s">
        <v>802</v>
      </c>
      <c r="I220" t="s">
        <v>30</v>
      </c>
      <c r="J220">
        <v>1</v>
      </c>
      <c r="K220">
        <v>1</v>
      </c>
      <c r="L220" s="2">
        <v>0.04</v>
      </c>
      <c r="M220">
        <v>0.1</v>
      </c>
      <c r="N220" s="2">
        <v>4.0000000000000003E-5</v>
      </c>
      <c r="O220" s="2">
        <v>1E-4</v>
      </c>
    </row>
    <row r="221" spans="2:15">
      <c r="B221" t="s">
        <v>799</v>
      </c>
      <c r="C221" t="s">
        <v>31</v>
      </c>
      <c r="D221" t="s">
        <v>800</v>
      </c>
      <c r="E221" t="s">
        <v>801</v>
      </c>
      <c r="F221" t="s">
        <v>12</v>
      </c>
      <c r="G221" t="s">
        <v>803</v>
      </c>
      <c r="H221" t="s">
        <v>804</v>
      </c>
      <c r="I221" t="s">
        <v>30</v>
      </c>
      <c r="J221">
        <v>1117116</v>
      </c>
      <c r="K221">
        <v>53543</v>
      </c>
      <c r="L221" s="2">
        <v>0.04</v>
      </c>
      <c r="M221">
        <v>0.1</v>
      </c>
      <c r="N221" s="2">
        <v>44.684640000000002</v>
      </c>
      <c r="O221" s="2">
        <v>111.7116</v>
      </c>
    </row>
    <row r="222" spans="2:15">
      <c r="B222" t="s">
        <v>799</v>
      </c>
      <c r="C222" t="s">
        <v>31</v>
      </c>
      <c r="D222" t="s">
        <v>805</v>
      </c>
      <c r="E222" t="s">
        <v>806</v>
      </c>
      <c r="F222" t="s">
        <v>12</v>
      </c>
      <c r="G222" t="s">
        <v>807</v>
      </c>
      <c r="H222" t="s">
        <v>808</v>
      </c>
      <c r="I222" t="s">
        <v>30</v>
      </c>
      <c r="J222">
        <v>250154</v>
      </c>
      <c r="K222">
        <v>701</v>
      </c>
      <c r="L222" s="2">
        <v>0.04</v>
      </c>
      <c r="M222">
        <v>0.1</v>
      </c>
      <c r="N222" s="2">
        <v>10.006159999999999</v>
      </c>
      <c r="O222" s="2">
        <v>25.015400000000003</v>
      </c>
    </row>
    <row r="223" spans="2:15">
      <c r="B223" t="s">
        <v>799</v>
      </c>
      <c r="C223" t="s">
        <v>31</v>
      </c>
      <c r="D223" t="s">
        <v>809</v>
      </c>
      <c r="E223" t="s">
        <v>810</v>
      </c>
      <c r="F223" t="s">
        <v>12</v>
      </c>
      <c r="G223" t="s">
        <v>811</v>
      </c>
      <c r="H223" t="s">
        <v>812</v>
      </c>
      <c r="I223" t="s">
        <v>30</v>
      </c>
      <c r="J223">
        <v>2227785</v>
      </c>
      <c r="K223">
        <v>18654</v>
      </c>
      <c r="L223" s="2">
        <v>0.04</v>
      </c>
      <c r="M223">
        <v>0.1</v>
      </c>
      <c r="N223" s="2">
        <v>89.111400000000003</v>
      </c>
      <c r="O223" s="2">
        <v>222.77850000000001</v>
      </c>
    </row>
    <row r="224" spans="2:15">
      <c r="B224" t="s">
        <v>799</v>
      </c>
      <c r="C224" t="s">
        <v>31</v>
      </c>
      <c r="D224" t="s">
        <v>813</v>
      </c>
      <c r="E224" t="s">
        <v>814</v>
      </c>
      <c r="F224" t="s">
        <v>12</v>
      </c>
      <c r="G224" t="s">
        <v>815</v>
      </c>
      <c r="H224" t="s">
        <v>816</v>
      </c>
      <c r="I224" t="s">
        <v>30</v>
      </c>
      <c r="J224">
        <v>125009</v>
      </c>
      <c r="K224">
        <v>37</v>
      </c>
      <c r="L224" s="2">
        <v>0.04</v>
      </c>
      <c r="M224">
        <v>0.1</v>
      </c>
      <c r="N224" s="2">
        <v>5.0003599999999997</v>
      </c>
      <c r="O224" s="2">
        <v>12.500900000000001</v>
      </c>
    </row>
    <row r="225" spans="2:15">
      <c r="B225" t="s">
        <v>799</v>
      </c>
      <c r="C225" t="s">
        <v>28</v>
      </c>
      <c r="D225" t="s">
        <v>817</v>
      </c>
      <c r="E225" t="s">
        <v>818</v>
      </c>
      <c r="F225" t="s">
        <v>12</v>
      </c>
      <c r="G225" t="s">
        <v>819</v>
      </c>
      <c r="H225" t="s">
        <v>820</v>
      </c>
      <c r="I225" t="s">
        <v>30</v>
      </c>
      <c r="J225">
        <v>818118</v>
      </c>
      <c r="K225">
        <v>256</v>
      </c>
      <c r="L225" s="2">
        <v>0.04</v>
      </c>
      <c r="M225">
        <v>0.1</v>
      </c>
      <c r="N225" s="2">
        <v>32.724719999999998</v>
      </c>
      <c r="O225" s="2">
        <v>81.811800000000005</v>
      </c>
    </row>
    <row r="226" spans="2:15">
      <c r="B226" t="s">
        <v>799</v>
      </c>
      <c r="C226" t="s">
        <v>28</v>
      </c>
      <c r="D226" t="s">
        <v>821</v>
      </c>
      <c r="E226" t="s">
        <v>822</v>
      </c>
      <c r="F226" t="s">
        <v>12</v>
      </c>
      <c r="G226" t="s">
        <v>823</v>
      </c>
      <c r="H226" t="s">
        <v>824</v>
      </c>
      <c r="I226" t="s">
        <v>30</v>
      </c>
      <c r="J226">
        <v>1087967</v>
      </c>
      <c r="K226">
        <v>731</v>
      </c>
      <c r="L226" s="2">
        <v>0.04</v>
      </c>
      <c r="M226">
        <v>0.1</v>
      </c>
      <c r="N226" s="2">
        <v>43.518680000000003</v>
      </c>
      <c r="O226" s="2">
        <v>108.79670000000002</v>
      </c>
    </row>
    <row r="227" spans="2:15">
      <c r="B227" t="s">
        <v>799</v>
      </c>
      <c r="C227" t="s">
        <v>28</v>
      </c>
      <c r="D227" t="s">
        <v>825</v>
      </c>
      <c r="E227" t="s">
        <v>826</v>
      </c>
      <c r="F227" t="s">
        <v>12</v>
      </c>
      <c r="G227" t="s">
        <v>827</v>
      </c>
      <c r="H227" t="s">
        <v>828</v>
      </c>
      <c r="I227" t="s">
        <v>30</v>
      </c>
      <c r="J227">
        <v>2664705</v>
      </c>
      <c r="K227">
        <v>745</v>
      </c>
      <c r="L227" s="2">
        <v>0.04</v>
      </c>
      <c r="M227">
        <v>0.1</v>
      </c>
      <c r="N227" s="2">
        <v>106.5882</v>
      </c>
      <c r="O227" s="2">
        <v>266.47050000000002</v>
      </c>
    </row>
    <row r="228" spans="2:15">
      <c r="B228" t="s">
        <v>799</v>
      </c>
      <c r="C228" t="s">
        <v>28</v>
      </c>
      <c r="D228" t="s">
        <v>829</v>
      </c>
      <c r="E228" t="s">
        <v>830</v>
      </c>
      <c r="F228" t="s">
        <v>12</v>
      </c>
      <c r="G228" t="s">
        <v>296</v>
      </c>
      <c r="H228" t="s">
        <v>831</v>
      </c>
      <c r="I228" t="s">
        <v>30</v>
      </c>
      <c r="J228">
        <v>1</v>
      </c>
      <c r="K228">
        <v>0</v>
      </c>
      <c r="L228" s="2">
        <v>0.04</v>
      </c>
      <c r="M228">
        <v>0.1</v>
      </c>
      <c r="N228" s="2">
        <v>4.0000000000000003E-5</v>
      </c>
      <c r="O228" s="2">
        <v>1E-4</v>
      </c>
    </row>
    <row r="229" spans="2:15">
      <c r="B229" t="s">
        <v>799</v>
      </c>
      <c r="C229" t="s">
        <v>28</v>
      </c>
      <c r="D229" t="s">
        <v>829</v>
      </c>
      <c r="E229" t="s">
        <v>830</v>
      </c>
      <c r="F229" t="s">
        <v>12</v>
      </c>
      <c r="G229" t="s">
        <v>832</v>
      </c>
      <c r="H229" t="s">
        <v>833</v>
      </c>
      <c r="I229" t="s">
        <v>30</v>
      </c>
      <c r="J229">
        <v>1329510</v>
      </c>
      <c r="K229">
        <v>600</v>
      </c>
      <c r="L229" s="2">
        <v>0.04</v>
      </c>
      <c r="M229">
        <v>0.1</v>
      </c>
      <c r="N229" s="2">
        <v>53.180399999999999</v>
      </c>
      <c r="O229" s="2">
        <v>132.95099999999999</v>
      </c>
    </row>
    <row r="230" spans="2:15">
      <c r="B230" t="s">
        <v>799</v>
      </c>
      <c r="C230" t="s">
        <v>28</v>
      </c>
      <c r="D230" t="s">
        <v>834</v>
      </c>
      <c r="E230" t="s">
        <v>835</v>
      </c>
      <c r="F230" t="s">
        <v>12</v>
      </c>
      <c r="G230" t="s">
        <v>836</v>
      </c>
      <c r="H230" t="s">
        <v>837</v>
      </c>
      <c r="I230" t="s">
        <v>24</v>
      </c>
      <c r="J230">
        <v>2228</v>
      </c>
      <c r="K230">
        <v>11</v>
      </c>
      <c r="L230" s="2">
        <v>0.04</v>
      </c>
      <c r="M230">
        <v>0.1</v>
      </c>
      <c r="N230" s="2">
        <v>8.9120000000000005E-2</v>
      </c>
      <c r="O230" s="2">
        <v>0.2228</v>
      </c>
    </row>
    <row r="231" spans="2:15">
      <c r="B231" t="s">
        <v>799</v>
      </c>
      <c r="C231" t="s">
        <v>28</v>
      </c>
      <c r="D231" t="s">
        <v>838</v>
      </c>
      <c r="E231" t="s">
        <v>839</v>
      </c>
      <c r="F231" t="s">
        <v>12</v>
      </c>
      <c r="G231" t="s">
        <v>840</v>
      </c>
      <c r="H231" t="s">
        <v>841</v>
      </c>
      <c r="I231" t="s">
        <v>24</v>
      </c>
      <c r="J231">
        <v>471013</v>
      </c>
      <c r="K231">
        <v>6514</v>
      </c>
      <c r="L231" s="2">
        <v>0.04</v>
      </c>
      <c r="M231">
        <v>0.1</v>
      </c>
      <c r="N231" s="2">
        <v>18.840520000000001</v>
      </c>
      <c r="O231" s="2">
        <v>47.101300000000002</v>
      </c>
    </row>
    <row r="232" spans="2:15">
      <c r="B232" t="s">
        <v>799</v>
      </c>
      <c r="C232" t="s">
        <v>50</v>
      </c>
      <c r="D232" t="s">
        <v>842</v>
      </c>
      <c r="E232" t="s">
        <v>843</v>
      </c>
      <c r="F232" t="s">
        <v>12</v>
      </c>
      <c r="G232" t="s">
        <v>844</v>
      </c>
      <c r="H232" t="s">
        <v>845</v>
      </c>
      <c r="I232" t="s">
        <v>24</v>
      </c>
      <c r="J232">
        <v>562111</v>
      </c>
      <c r="K232">
        <v>803</v>
      </c>
      <c r="L232" s="2">
        <v>0.04</v>
      </c>
      <c r="M232">
        <v>0.1</v>
      </c>
      <c r="N232" s="2">
        <v>22.484439999999999</v>
      </c>
      <c r="O232" s="2">
        <v>56.211100000000009</v>
      </c>
    </row>
    <row r="233" spans="2:15">
      <c r="B233" t="s">
        <v>799</v>
      </c>
      <c r="C233" t="s">
        <v>50</v>
      </c>
      <c r="D233" t="s">
        <v>846</v>
      </c>
      <c r="E233" t="s">
        <v>847</v>
      </c>
      <c r="F233" t="s">
        <v>12</v>
      </c>
      <c r="G233" t="s">
        <v>848</v>
      </c>
      <c r="H233" t="s">
        <v>849</v>
      </c>
      <c r="I233" t="s">
        <v>24</v>
      </c>
      <c r="J233">
        <v>1050784</v>
      </c>
      <c r="K233">
        <v>18248</v>
      </c>
      <c r="L233" s="2">
        <v>0.04</v>
      </c>
      <c r="M233">
        <v>0.1</v>
      </c>
      <c r="N233" s="2">
        <v>42.031359999999999</v>
      </c>
      <c r="O233" s="2">
        <v>105.0784</v>
      </c>
    </row>
    <row r="234" spans="2:15">
      <c r="B234" t="s">
        <v>799</v>
      </c>
      <c r="C234" t="s">
        <v>50</v>
      </c>
      <c r="D234" t="s">
        <v>850</v>
      </c>
      <c r="E234" t="s">
        <v>851</v>
      </c>
      <c r="F234" t="s">
        <v>12</v>
      </c>
      <c r="G234" t="s">
        <v>852</v>
      </c>
      <c r="H234" t="s">
        <v>853</v>
      </c>
      <c r="I234" t="s">
        <v>24</v>
      </c>
      <c r="J234">
        <v>882013</v>
      </c>
      <c r="K234">
        <v>2724</v>
      </c>
      <c r="L234" s="2">
        <v>0.04</v>
      </c>
      <c r="M234">
        <v>0.1</v>
      </c>
      <c r="N234" s="2">
        <v>35.280520000000003</v>
      </c>
      <c r="O234" s="2">
        <v>88.201300000000003</v>
      </c>
    </row>
    <row r="235" spans="2:15">
      <c r="B235" t="s">
        <v>799</v>
      </c>
      <c r="C235" t="s">
        <v>50</v>
      </c>
      <c r="D235" t="s">
        <v>854</v>
      </c>
      <c r="E235" t="s">
        <v>855</v>
      </c>
      <c r="F235" t="s">
        <v>12</v>
      </c>
      <c r="G235" t="s">
        <v>856</v>
      </c>
      <c r="H235" t="s">
        <v>857</v>
      </c>
      <c r="I235" t="s">
        <v>24</v>
      </c>
      <c r="J235">
        <v>3918399</v>
      </c>
      <c r="K235">
        <v>1902</v>
      </c>
      <c r="L235" s="2">
        <v>0.04</v>
      </c>
      <c r="M235">
        <v>0.1</v>
      </c>
      <c r="N235" s="2">
        <v>156.73596000000001</v>
      </c>
      <c r="O235" s="2">
        <v>391.8399</v>
      </c>
    </row>
    <row r="236" spans="2:15">
      <c r="B236" t="s">
        <v>51</v>
      </c>
      <c r="C236" t="s">
        <v>28</v>
      </c>
      <c r="D236" t="s">
        <v>858</v>
      </c>
      <c r="E236" t="s">
        <v>859</v>
      </c>
      <c r="F236" t="s">
        <v>12</v>
      </c>
      <c r="G236" t="s">
        <v>860</v>
      </c>
      <c r="H236" t="s">
        <v>861</v>
      </c>
      <c r="I236" t="s">
        <v>24</v>
      </c>
      <c r="J236">
        <v>1</v>
      </c>
      <c r="K236">
        <v>0</v>
      </c>
      <c r="L236" s="2">
        <v>0.04</v>
      </c>
      <c r="M236">
        <v>0.1</v>
      </c>
      <c r="N236" s="2">
        <v>4.0000000000000003E-5</v>
      </c>
      <c r="O236" s="2">
        <v>1E-4</v>
      </c>
    </row>
    <row r="237" spans="2:15">
      <c r="B237" t="s">
        <v>51</v>
      </c>
      <c r="C237" t="s">
        <v>28</v>
      </c>
      <c r="D237" t="s">
        <v>54</v>
      </c>
      <c r="E237" t="s">
        <v>55</v>
      </c>
      <c r="F237" t="s">
        <v>12</v>
      </c>
      <c r="G237" t="s">
        <v>56</v>
      </c>
      <c r="H237" t="s">
        <v>57</v>
      </c>
      <c r="I237" t="s">
        <v>24</v>
      </c>
      <c r="J237">
        <v>6</v>
      </c>
      <c r="K237">
        <v>3</v>
      </c>
      <c r="L237" s="2">
        <v>0.04</v>
      </c>
      <c r="M237">
        <v>0.1</v>
      </c>
      <c r="N237" s="2">
        <v>2.3999999999999998E-4</v>
      </c>
      <c r="O237" s="2">
        <v>6.0000000000000006E-4</v>
      </c>
    </row>
    <row r="238" spans="2:15">
      <c r="L238" s="2"/>
      <c r="N238" s="2"/>
      <c r="O238" s="2"/>
    </row>
    <row r="239" spans="2:15">
      <c r="L239" s="2"/>
      <c r="N239" s="2"/>
      <c r="O239" s="2"/>
    </row>
    <row r="240" spans="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1:15">
      <c r="K1057" s="3"/>
      <c r="L1057" s="2"/>
      <c r="N1057" s="2"/>
      <c r="O1057" s="2"/>
    </row>
    <row r="1058" spans="11:15">
      <c r="L1058" s="2"/>
      <c r="N1058" s="2"/>
      <c r="O1058" s="2"/>
    </row>
    <row r="1059" spans="11:15">
      <c r="L1059" s="2"/>
      <c r="N1059" s="2"/>
      <c r="O1059" s="2"/>
    </row>
    <row r="1060" spans="11:15">
      <c r="L1060" s="2"/>
      <c r="N1060" s="2"/>
      <c r="O1060" s="2"/>
    </row>
    <row r="1061" spans="11:15">
      <c r="L1061" s="2"/>
      <c r="N1061" s="2"/>
      <c r="O1061" s="2"/>
    </row>
    <row r="1062" spans="11:15">
      <c r="L1062" s="2"/>
      <c r="N1062" s="2"/>
      <c r="O1062" s="2"/>
    </row>
    <row r="1063" spans="11:15">
      <c r="L1063" s="2"/>
      <c r="N1063" s="2"/>
      <c r="O1063" s="2"/>
    </row>
    <row r="1064" spans="11:15">
      <c r="L1064" s="2"/>
      <c r="N1064" s="2"/>
      <c r="O1064" s="2"/>
    </row>
    <row r="1065" spans="11:15">
      <c r="L1065" s="2"/>
      <c r="N1065" s="2"/>
      <c r="O1065" s="2"/>
    </row>
    <row r="1066" spans="11:15">
      <c r="L1066" s="2"/>
      <c r="N1066" s="2"/>
      <c r="O1066" s="2"/>
    </row>
    <row r="1067" spans="11:15">
      <c r="L1067" s="2"/>
      <c r="N1067" s="2"/>
      <c r="O1067" s="2"/>
    </row>
    <row r="1068" spans="11:15">
      <c r="L1068" s="2"/>
      <c r="N1068" s="2"/>
      <c r="O1068" s="2"/>
    </row>
    <row r="1069" spans="11:15">
      <c r="L1069" s="2"/>
      <c r="N1069" s="2"/>
      <c r="O1069" s="2"/>
    </row>
    <row r="1070" spans="11:15">
      <c r="L1070" s="2"/>
      <c r="N1070" s="2"/>
      <c r="O1070" s="2"/>
    </row>
    <row r="1071" spans="11:15">
      <c r="L1071" s="2"/>
      <c r="N1071" s="2"/>
      <c r="O1071" s="2"/>
    </row>
    <row r="1072" spans="11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</sheetData>
  <autoFilter ref="A18:P1054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2A64C-4004-4C94-BCEE-2AE6E9652B16}">
  <dimension ref="A3:C16"/>
  <sheetViews>
    <sheetView workbookViewId="0">
      <selection activeCell="C14" sqref="C14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862</v>
      </c>
      <c r="B3" t="s">
        <v>864</v>
      </c>
      <c r="C3" t="s">
        <v>865</v>
      </c>
    </row>
    <row r="4" spans="1:3">
      <c r="A4" s="19" t="s">
        <v>51</v>
      </c>
      <c r="B4" s="20">
        <v>2.7999999999999998E-4</v>
      </c>
      <c r="C4" s="20">
        <v>7.000000000000001E-4</v>
      </c>
    </row>
    <row r="5" spans="1:3">
      <c r="A5" s="19" t="s">
        <v>71</v>
      </c>
      <c r="B5" s="20">
        <v>2.2800000000000001E-2</v>
      </c>
      <c r="C5" s="20">
        <v>0.1545</v>
      </c>
    </row>
    <row r="6" spans="1:3">
      <c r="A6" s="19" t="s">
        <v>66</v>
      </c>
      <c r="B6" s="20">
        <v>6.3249399999999998</v>
      </c>
      <c r="C6" s="20">
        <v>15.8286</v>
      </c>
    </row>
    <row r="7" spans="1:3">
      <c r="A7" s="19" t="s">
        <v>35</v>
      </c>
      <c r="B7" s="20">
        <v>58.871120000000005</v>
      </c>
      <c r="C7" s="20">
        <v>147.17779999999999</v>
      </c>
    </row>
    <row r="8" spans="1:3">
      <c r="A8" s="19" t="s">
        <v>246</v>
      </c>
      <c r="B8" s="20">
        <v>152.41734</v>
      </c>
      <c r="C8" s="20">
        <v>381.09210000000002</v>
      </c>
    </row>
    <row r="9" spans="1:3">
      <c r="A9" s="19" t="s">
        <v>37</v>
      </c>
      <c r="B9" s="20">
        <v>3.6600000000000001E-3</v>
      </c>
      <c r="C9" s="20">
        <v>2.5400000000000002E-2</v>
      </c>
    </row>
    <row r="10" spans="1:3">
      <c r="A10" s="19" t="s">
        <v>247</v>
      </c>
      <c r="B10" s="20">
        <v>266.52807999999993</v>
      </c>
      <c r="C10" s="20">
        <v>666.38519999999994</v>
      </c>
    </row>
    <row r="11" spans="1:3">
      <c r="A11" s="19" t="s">
        <v>72</v>
      </c>
      <c r="B11" s="20">
        <v>42.903680000000001</v>
      </c>
      <c r="C11" s="20">
        <v>107.25920000000001</v>
      </c>
    </row>
    <row r="12" spans="1:3">
      <c r="A12" s="19" t="s">
        <v>181</v>
      </c>
      <c r="B12" s="20">
        <v>79.573060000000012</v>
      </c>
      <c r="C12" s="20">
        <v>198.94890000000001</v>
      </c>
    </row>
    <row r="13" spans="1:3">
      <c r="A13" s="19" t="s">
        <v>45</v>
      </c>
      <c r="B13" s="20">
        <v>1.9999999999999998E-4</v>
      </c>
      <c r="C13" s="20">
        <v>5.0000000000000001E-4</v>
      </c>
    </row>
    <row r="14" spans="1:3">
      <c r="A14" s="19" t="s">
        <v>271</v>
      </c>
      <c r="B14" s="20">
        <v>21305.718360000003</v>
      </c>
      <c r="C14" s="20">
        <v>4000.0901000000013</v>
      </c>
    </row>
    <row r="15" spans="1:3">
      <c r="A15" s="19" t="s">
        <v>799</v>
      </c>
      <c r="B15" s="20">
        <v>660.27656000000002</v>
      </c>
      <c r="C15" s="20">
        <v>1650.6914000000002</v>
      </c>
    </row>
    <row r="16" spans="1:3">
      <c r="A16" s="19" t="s">
        <v>863</v>
      </c>
      <c r="B16" s="20">
        <v>22572.640080000001</v>
      </c>
      <c r="C16" s="20">
        <v>7167.6544000000013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Resumo das Campanhas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2020-08-04T20:42:21Z</dcterms:modified>
</cp:coreProperties>
</file>