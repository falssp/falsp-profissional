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77D79AC6-E657-4244-AB27-C2777763C226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Valores por Campanha" sheetId="18" r:id="rId2"/>
  </sheets>
  <definedNames>
    <definedName name="_xlnm._FilterDatabase" localSheetId="0" hidden="1">Resumo!$A$18:$P$1052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<sst xmlns="http://schemas.openxmlformats.org/spreadsheetml/2006/main" count="1270" uniqueCount="611">
  <si>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</si>
  <si>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</si>
  <si>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</si>
  <si>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</si>
  <si>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</si>
  <si>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</si>
  <si>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</si>
  <si>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</si>
  <si>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</si>
  <si>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</si>
  <si>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</si>
  <si>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</si>
  <si>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</si>
  <si>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</si>
  <si>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</si>
  <si>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</si>
  <si>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</si>
  <si>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</si>
  <si>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</si>
  <si>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</si>
  <si>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</si>
  <si>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</si>
  <si>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</si>
  <si>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</si>
  <si>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</si>
  <si>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</si>
  <si>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</si>
  <si>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</si>
  <si>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</si>
  <si>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</si>
  <si>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</si>
  <si>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</si>
  <si>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</si>
  <si>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</si>
  <si>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alp-cnn-varejo-awa</t>
  </si>
  <si>
    <t>CNN BR</t>
  </si>
  <si>
    <t>afilio.com.br</t>
  </si>
  <si>
    <t>alp:aquisicao:varejo:awa</t>
  </si>
  <si>
    <t>300x600 Default Web Ad</t>
  </si>
  <si>
    <t>300x250 Default Web Ad</t>
  </si>
  <si>
    <t>alp-cielo_movimenta_comunidade-marca-awa</t>
  </si>
  <si>
    <t>alp-nova_cielo-empreendedores-cons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</si>
  <si>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</si>
  <si>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</si>
  <si>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</si>
  <si>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</si>
  <si>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</si>
  <si>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</si>
  <si>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</si>
  <si>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</si>
  <si>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</si>
  <si>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</si>
  <si>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</si>
  <si>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</si>
  <si>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</si>
  <si>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</si>
  <si>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</si>
  <si>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</si>
  <si>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</si>
  <si>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</si>
  <si>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</si>
  <si>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</si>
  <si>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</si>
  <si>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</si>
  <si>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</si>
  <si>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</si>
  <si>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</si>
  <si>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</si>
  <si>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</si>
  <si>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</si>
  <si>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</si>
  <si>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</si>
  <si>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</si>
  <si>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</si>
  <si>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</si>
  <si>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</si>
  <si>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</si>
  <si>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</si>
  <si>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</si>
  <si>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</si>
  <si>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</si>
  <si>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</si>
  <si>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</si>
  <si>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</si>
  <si>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Cazamba</t>
  </si>
  <si>
    <t>superlink-marca-verizon-superlink-display-halfpage-sl_luta_diaria-AS25_microempreendedor_medioempreendedor_negocios_vendasonline_donosdenegocios</t>
  </si>
  <si>
    <t>275210466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</si>
  <si>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</si>
  <si>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</si>
  <si>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</si>
  <si>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</si>
  <si>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</si>
  <si>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</si>
  <si>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</si>
  <si>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</si>
  <si>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</si>
  <si>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</si>
  <si>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</si>
  <si>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</si>
  <si>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</si>
  <si>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</si>
  <si>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</si>
  <si>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</si>
  <si>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</si>
  <si>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</si>
  <si>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</si>
  <si>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</si>
  <si>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</si>
  <si>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</si>
  <si>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</si>
  <si>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empreendedores-empreendedores-dv360-flash-display-halfpage-empreendedores_flash_animada_bau-affinities_inmarket_empreendedores</t>
  </si>
  <si>
    <t>empreendedores-dv360-flash-display-halfpage-300x600-empreendedores_flash_animada_bau-affinities_inmarket_empreendedores-cpm</t>
  </si>
  <si>
    <t>277872206</t>
  </si>
  <si>
    <t>472323048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</si>
  <si>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</si>
  <si>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</si>
  <si>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</si>
  <si>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</si>
  <si>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</si>
  <si>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</si>
  <si>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</si>
  <si>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</si>
  <si>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</si>
  <si>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</si>
  <si>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</si>
  <si>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</si>
  <si>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</si>
  <si>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</si>
  <si>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</si>
  <si>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</si>
  <si>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</si>
  <si>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</si>
  <si>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</si>
  <si>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</si>
  <si>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</si>
  <si>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</si>
  <si>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</si>
  <si>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</si>
  <si>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</si>
  <si>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</si>
  <si>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</si>
  <si>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</si>
  <si>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</si>
  <si>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</si>
  <si>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</si>
  <si>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</si>
  <si>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</si>
  <si>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</si>
  <si>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</si>
  <si>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</si>
  <si>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</si>
  <si>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</si>
  <si>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</si>
  <si>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</si>
  <si>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</si>
  <si>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</si>
  <si>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</si>
  <si>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</si>
  <si>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</si>
  <si>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</si>
  <si>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</si>
  <si>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</si>
  <si>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</si>
  <si>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</si>
  <si>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</si>
  <si>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</si>
  <si>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</si>
  <si>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</si>
  <si>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</si>
  <si>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</si>
  <si>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</si>
  <si>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</si>
  <si>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</si>
  <si>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</si>
  <si>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</si>
  <si>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</si>
  <si>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</si>
  <si>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</si>
  <si>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</si>
  <si>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</si>
  <si>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</si>
  <si>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</si>
  <si>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</si>
  <si>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</si>
  <si>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</si>
  <si>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</si>
  <si>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empreendedores-empreendedores-dv360-zip-display-wide_skyscraper-empreendedores_zip_animada_bau-affinities_inmarket_empreendedores</t>
  </si>
  <si>
    <t>empreendedores-dv360-zip-display-wide_skyscraper-160x600-empreendedores_zip_animada_bau-affinities_inmarket_empreendedores-cpm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</si>
  <si>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</si>
  <si>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</si>
  <si>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</si>
  <si>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</si>
  <si>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empreendedores-empreendedores-verizon-flash-display-mobile_leaderboard-empreendedores_flash_animada_bau-pequeno_empreendedor_look-a-like_ e_predictive audience</t>
  </si>
  <si>
    <t>278044531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</si>
  <si>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</si>
  <si>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</si>
  <si>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</si>
  <si>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</si>
  <si>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</si>
  <si>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</si>
  <si>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</si>
  <si>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</si>
  <si>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</si>
  <si>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</si>
  <si>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</si>
  <si>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</si>
  <si>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</si>
  <si>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</si>
  <si>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</si>
  <si>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</si>
  <si>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</si>
  <si>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</si>
  <si>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</si>
  <si>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</si>
  <si>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</si>
  <si>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</si>
  <si>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</si>
  <si>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</si>
  <si>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</si>
  <si>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</si>
  <si>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</si>
  <si>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</si>
  <si>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</si>
  <si>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</si>
  <si>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</si>
  <si>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</si>
  <si>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</si>
  <si>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</si>
  <si>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</si>
  <si>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</si>
  <si>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</si>
  <si>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</si>
  <si>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</si>
  <si>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</si>
  <si>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</si>
  <si>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</si>
  <si>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</si>
  <si>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</si>
  <si>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</si>
  <si>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</si>
  <si>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</si>
  <si>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</si>
  <si>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</si>
  <si>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</si>
  <si>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</si>
  <si>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</si>
  <si>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</si>
  <si>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</si>
  <si>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</si>
  <si>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</si>
  <si>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</si>
  <si>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</si>
  <si>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</si>
  <si>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</si>
  <si>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</si>
  <si>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</si>
  <si>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</si>
  <si>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</si>
  <si>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</si>
  <si>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</si>
  <si>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</si>
  <si>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</si>
  <si>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</si>
  <si>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</si>
  <si>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</si>
  <si>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</si>
  <si>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</si>
  <si>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</si>
  <si>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</si>
  <si>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</si>
  <si>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</si>
  <si>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</si>
  <si>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</si>
  <si>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</si>
  <si>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</si>
  <si>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</si>
  <si>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</si>
  <si>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</si>
  <si>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</si>
  <si>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</si>
  <si>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</si>
  <si>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</si>
  <si>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</si>
  <si>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</si>
  <si>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</si>
  <si>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</si>
  <si>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</si>
  <si>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</si>
  <si>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</si>
  <si>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</si>
  <si>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</si>
  <si>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</si>
  <si>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</si>
  <si>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</si>
  <si>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</si>
  <si>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</si>
  <si>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</si>
  <si>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</si>
  <si>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</si>
  <si>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</si>
  <si>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</si>
  <si>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</si>
  <si>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</si>
  <si>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alp-digitalizacao-marca-perf</t>
  </si>
  <si>
    <t>digitalizacao-marca-dv360-marca-display-medium_rectangle-visitas_site_estatico_atendimento_online-base_clientes_digitalizacao</t>
  </si>
  <si>
    <t>280868882</t>
  </si>
  <si>
    <t>marca-dv360-marca-display-medium_rectangle-300x250-visitas_site_estatico_atendimento_online-base_clientes_digitalizacao-cpm</t>
  </si>
  <si>
    <t>474932447</t>
  </si>
  <si>
    <t>digitalizacao-marca-dv360-marca-display-medium_rectangle-visitas_site_estatico_contratacao_produtos-base_clientes_digitalizacao</t>
  </si>
  <si>
    <t>280868879</t>
  </si>
  <si>
    <t>marca-dv360-marca-display-medium_rectangle-300x250-visitas_site_estatico_contratacao_produtos-base_clientes_digitalizacao-cpm</t>
  </si>
  <si>
    <t>474932444</t>
  </si>
  <si>
    <t>digitalizacao-marca-verizon-marca-display-billboard-visitas_site_animado-base_clientes_digitalizacao</t>
  </si>
  <si>
    <t>280868825</t>
  </si>
  <si>
    <t>marca-verizon-marca-display-billboard-970x250-visitas_site_animado-base_clientes_digitalizacao-cpm</t>
  </si>
  <si>
    <t>474922190</t>
  </si>
  <si>
    <t>digitalizacao-marca-verizon-marca-display-billboard-visitas_site_estatico-base_clientes_digitalizacao</t>
  </si>
  <si>
    <t>280746893</t>
  </si>
  <si>
    <t>marca-verizon-marca-display-billboard-970x250-visitas_site_estatico-base_clientes_digitalizacao-cpm</t>
  </si>
  <si>
    <t>474870796</t>
  </si>
  <si>
    <t>digitalizacao-marca-verizon-marca-display-large_mobile_banner-visitas_site_animado-base_clientes_digitalizacao</t>
  </si>
  <si>
    <t>280868831</t>
  </si>
  <si>
    <t>marca-verizon-marca-display-large_mobile_banner-320x100-visitas_site_animado-base_clientes_digitalizacao-cpm</t>
  </si>
  <si>
    <t>474932396</t>
  </si>
  <si>
    <t>digitalizacao-marca-verizon-marca-display-large_rectangle-visitas_site_animado-base_clientes_digitalizacao</t>
  </si>
  <si>
    <t>280868828</t>
  </si>
  <si>
    <t>marca-verizon-marca-display-large_rectangle-336x280-visitas_site_animado-base_clientes_digitalizacao-cpm</t>
  </si>
  <si>
    <t>474932393</t>
  </si>
  <si>
    <t>digitalizacao-marca-verizon-marca-display-leaderboard-visitas_site_animado-base_clientes_digitalizacao</t>
  </si>
  <si>
    <t>280868942</t>
  </si>
  <si>
    <t>marca-verizon-marca-display-leaderboard-728x90-visitas_site_animado-base_clientes_digitalizacao-cpm</t>
  </si>
  <si>
    <t>474932507</t>
  </si>
  <si>
    <t>digitalizacao-marca-verizon-marca-display-medium_rectangle-visitas_site_animado-base_clientes_digitalizacao</t>
  </si>
  <si>
    <t>280868936</t>
  </si>
  <si>
    <t>marca-verizon-marca-display-medium_rectangle-300x250-visitas_site_animado-base_clientes_digitalizacao-cpm</t>
  </si>
  <si>
    <t>474932501</t>
  </si>
  <si>
    <t>digitalizacao-marca-verizon-marca-display-medium_rectangle-visitas_site_estatico_acesse_agora-base_clientes_digitalizacao</t>
  </si>
  <si>
    <t>280950718</t>
  </si>
  <si>
    <t>marca-verizon-marca-display-medium_rectangle-300x250-visitas_site_estatico_acesse_agora-base_clientes_digitalizacao-cpm</t>
  </si>
  <si>
    <t>474796685</t>
  </si>
  <si>
    <t>digitalizacao-marca-verizon-marca-display-medium_rectangle-visitas_site_estatico_confira-base_clientes_digitalizacao</t>
  </si>
  <si>
    <t>280746896</t>
  </si>
  <si>
    <t>marca-verizon-marca-display-medium_rectangle-300x250-visitas_site_estatico_confira-base_clientes_digitalizacao-cpm</t>
  </si>
  <si>
    <t>474870799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</si>
  <si>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</si>
  <si>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</si>
  <si>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</si>
  <si>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277872242</t>
  </si>
  <si>
    <t>472325184</t>
  </si>
  <si>
    <t>277872224</t>
  </si>
  <si>
    <t>472323066</t>
  </si>
  <si>
    <t>277872218</t>
  </si>
  <si>
    <t>472323060</t>
  </si>
  <si>
    <t>superlink-marca-dv360_Cazamba-superlink-display-Interstitial-sl_luta_diaria-as25_empreendedor_varejo_interesses</t>
  </si>
  <si>
    <t>279352308</t>
  </si>
  <si>
    <t>marca-dv360_Cazamba-superlink-display-Interstitial-640x960-sl_luta_diaria-as25_empreendedor_varejo_interesses-cpm</t>
  </si>
  <si>
    <t>473341439</t>
  </si>
  <si>
    <t>superlink-marca-dv360_Outbrain-superlink-native-native_highimpact-superlink_vendapelasredessociais-AS25_microempreendedor_medioempreendedor_negocios_vendasonline_donosdenegocios</t>
  </si>
  <si>
    <t>279256134</t>
  </si>
  <si>
    <t>marca-dv360_Outbrain-superlink-native-native_highimpact-1200x627-superlink_vendapelasredessociais-AS25_microempreendedor_medioempreendedor_negocios_vendasonline_donosdenegocios-cpc</t>
  </si>
  <si>
    <t>473287627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</si>
  <si>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</si>
  <si>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</si>
  <si>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</si>
  <si>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</si>
  <si>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728x90 Default Web Ad</t>
  </si>
  <si>
    <t>469359923</t>
  </si>
  <si>
    <t>469372642</t>
  </si>
  <si>
    <t>471081212</t>
  </si>
  <si>
    <t>alp-superlink-marca-perf</t>
  </si>
  <si>
    <t>Rakuten</t>
  </si>
  <si>
    <t>superlink-marca-rakuten-superlink-display-skyscraper-sl_vendapelainternet_loggi_boost-as25_empreendedor_varejo_interesses</t>
  </si>
  <si>
    <t>marca-rakuten-superlink-display-skyscraper-160x600-sl_vendapelainternet_loggi_boost-as25_empreendedor_varejo_interesses-cpm</t>
  </si>
  <si>
    <t>superlink-marca-rakuten-superlink-native-native-luta_diaria_loggi_boost-as25_empreendedor_varejo_interesses</t>
  </si>
  <si>
    <t>280522043</t>
  </si>
  <si>
    <t>marca-rakuten-superlink-native-native-1200x627-luta_diaria_loggi_boost-as25_empreendedor_varejo_interesses-cpm</t>
  </si>
  <si>
    <t>474690286</t>
  </si>
  <si>
    <t>superlink-marca-rakuten-superlink-native-native-luta_diaria_loggi_boost_627x627-as25_empreendedor_varejo_interesses</t>
  </si>
  <si>
    <t>280922422</t>
  </si>
  <si>
    <t>marca-rakuten-superlink-native-native-627x627-luta_diaria_loggi_boost_627x627-as25_empreendedor_varejo_interesses-cpm</t>
  </si>
  <si>
    <t>474775067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</si>
  <si>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</si>
  <si>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</si>
  <si>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</si>
  <si>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</si>
  <si>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</si>
  <si>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</si>
  <si>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</si>
  <si>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</si>
  <si>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</si>
  <si>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</si>
  <si>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</si>
  <si>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</si>
  <si>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cnn-varejo-cnn-marca-display-arroba_banner-cnn_cielo_globalretail-as_25</t>
  </si>
  <si>
    <t>282037045</t>
  </si>
  <si>
    <t>varejo-cnn-marca-display-arroba_banner-300x250-cnn_cielo_globalretail-as_25-cpm</t>
  </si>
  <si>
    <t>476018427</t>
  </si>
  <si>
    <t>cnn-varejo-cnn-marca-display-arroba_banner-cnn_cielo_superlink-as_25</t>
  </si>
  <si>
    <t>282393520</t>
  </si>
  <si>
    <t>varejo-cnn-marca-display-arroba_banner-300x250-cnn_cielo_superlink-as_25-cpm</t>
  </si>
  <si>
    <t>476130194</t>
  </si>
  <si>
    <t>cnn-varejo-cnn-marca-display-bilboard-cnn_cielo_globalretail-as_25</t>
  </si>
  <si>
    <t>282028107</t>
  </si>
  <si>
    <t>varejo-cnn-marca-display-bilboard-970x250-cnn_cielo_globalretail-as_25-cpm</t>
  </si>
  <si>
    <t>475841225</t>
  </si>
  <si>
    <t>cnn-varejo-cnn-marca-display-bilboard-cnn_cielo_superlink-as_25</t>
  </si>
  <si>
    <t>282359004</t>
  </si>
  <si>
    <t>varejo-cnn-marca-display-bilboard-970x250-cnn_cielo_superlink-as_25-cpm</t>
  </si>
  <si>
    <t>476309460</t>
  </si>
  <si>
    <t>cnn-varejo-cnn-marca-display-halfpage-cnn_cielo_globalretail-as_25</t>
  </si>
  <si>
    <t>282037042</t>
  </si>
  <si>
    <t>varejo-cnn-marca-display-halfpage-300x600-cnn_cielo_globalretail-as_25-cpm</t>
  </si>
  <si>
    <t>476018424</t>
  </si>
  <si>
    <t>cnn-varejo-cnn-marca-display-halfpage-cnn_cielo_superlink-as_25</t>
  </si>
  <si>
    <t>282357267</t>
  </si>
  <si>
    <t>varejo-cnn-marca-display-halfpage-300x600-cnn_cielo_superlink-as_25-cpm</t>
  </si>
  <si>
    <t>476126150</t>
  </si>
  <si>
    <t>cnn-varejo-cnn-marca-display-halfpage-cnn_cielo_superlink_lutadiaria-as_25</t>
  </si>
  <si>
    <t>275692860</t>
  </si>
  <si>
    <t>varejo-cnn-marca-display-halfpage-300x600-cnn_cielo_superlink_lutadiaria-as_25-cpm</t>
  </si>
  <si>
    <t>469899809</t>
  </si>
  <si>
    <t>cnn-varejo-cnn-marca-display-leaderboard-cnn_cielo_globalretail-as_25</t>
  </si>
  <si>
    <t>282037036</t>
  </si>
  <si>
    <t>varejo-cnn-marca-display-leaderboard-728x90-cnn_cielo_globalretail-as_25-cpm</t>
  </si>
  <si>
    <t>476018418</t>
  </si>
  <si>
    <t>cnn-varejo-cnn-marca-display-leaderboard-cnn_cielo_superlink-as_25</t>
  </si>
  <si>
    <t>282395059</t>
  </si>
  <si>
    <t>varejo-cnn-marca-display-leaderboard-728x90-cnn_cielo_superlink-as_25-cpm</t>
  </si>
  <si>
    <t>476228620</t>
  </si>
  <si>
    <t>cnn-varejo-cnn-marca-display-mobile-cnn_cielo_globalretail-as_25</t>
  </si>
  <si>
    <t>282037039</t>
  </si>
  <si>
    <t>varejo-cnn-marca-display-mobile-320x50-cnn_cielo_globalretail-as_25-cpm</t>
  </si>
  <si>
    <t>476018421</t>
  </si>
  <si>
    <t>cnn-varejo-cnn-marca-display-mobile-cnn_cielo_superlink-as_25</t>
  </si>
  <si>
    <t>282167414</t>
  </si>
  <si>
    <t>varejo-cnn-marca-display-mobile-320x50-cnn_cielo_superlink-as_25-cpm</t>
  </si>
  <si>
    <t>476228584</t>
  </si>
  <si>
    <t>cnn-varejo-cnn-marca-video-pre_roll-cnn_cielo_superlink-as_25</t>
  </si>
  <si>
    <t>282167456</t>
  </si>
  <si>
    <t>varejo-cnn-marca-video-pre_roll-1920x1080-cnn_cielo_superlink-as_25-cpm</t>
  </si>
  <si>
    <t>476132069</t>
  </si>
  <si>
    <t>alp-covid19-marca-awa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</si>
  <si>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</si>
  <si>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</si>
  <si>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</si>
  <si>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</si>
  <si>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digitalizacao-marca-dv360-marca-display-display-app_instal_estatico_ios-base_clientes_digitalizacao</t>
  </si>
  <si>
    <t>280868915</t>
  </si>
  <si>
    <t>marca-dv360-marca-display-display-320x50-app_instal_estatico_ios-base_clientes_digitalizacao-cpm</t>
  </si>
  <si>
    <t>474932480</t>
  </si>
  <si>
    <t>280868921</t>
  </si>
  <si>
    <t>marca-dv360-marca-display-display-300x250-app_instal_estatico_ios-base_clientes_digitalizacao-cpm</t>
  </si>
  <si>
    <t>474932486</t>
  </si>
  <si>
    <t>280868927</t>
  </si>
  <si>
    <t>marca-dv360-marca-display-display-320x480-app_instal_estatico_ios-base_clientes_digitalizacao-cpm</t>
  </si>
  <si>
    <t>474932492</t>
  </si>
  <si>
    <t>digitalizacao-marca-dv360-marca-video-video-app_instal_ganhe_tempo_video15_android-base_clientes_digitalizacao</t>
  </si>
  <si>
    <t>281241222</t>
  </si>
  <si>
    <t>marca-dv360-marca-video-video-640x360-app_instal_ganhe_tempo_video15_android-base_clientes_digitalizacao-cpm</t>
  </si>
  <si>
    <t>475271601</t>
  </si>
  <si>
    <t>digitalizacao-marca-dv360-marca-video-video-visitas_site_ganhar_tempo_video15-base_clientes_digitalizacao</t>
  </si>
  <si>
    <t>281241237</t>
  </si>
  <si>
    <t>marca-dv360-marca-video-video-640x360-visitas_site_ganhar_tempo_video15-base_clientes_digitalizacao-cpm</t>
  </si>
  <si>
    <t>475271616</t>
  </si>
  <si>
    <t>digitalizacao-marca-dv360-marca-video-video-visitas_site_promocoes_maquina_video15-base_clientes_digitalizacao</t>
  </si>
  <si>
    <t>281241234</t>
  </si>
  <si>
    <t>marca-dv360-marca-video-video-640x360-visitas_site_promocoes_maquina_video15-base_clientes_digitalizacao-cpm</t>
  </si>
  <si>
    <t>475271613</t>
  </si>
  <si>
    <t>digitalizacao-marca-dv360_Abril-marca-display-leaderboard-acesso_ao_site-base_clientes_digitalizacao</t>
  </si>
  <si>
    <t>283167714</t>
  </si>
  <si>
    <t>marca-dv360_Abril-marca-display-leaderboard-728x90-acesso_ao_site-base_clientes_digitalizacao-cpm</t>
  </si>
  <si>
    <t>476874947</t>
  </si>
  <si>
    <t>digitalizacao-marca-dv360_Abril-marca-display-medium_rectangle-acesso_ao_site-base_clientes_digitalizacao</t>
  </si>
  <si>
    <t>283167705</t>
  </si>
  <si>
    <t>marca-dv360_Abril-marca-display-medium_rectangle-300x250-acesso_ao_site-base_clientes_digitalizacao-cpm</t>
  </si>
  <si>
    <t>477033276</t>
  </si>
  <si>
    <t>digitalizacao-marca-dv360_Outbrain-marca-native-native-acompanhe_o_crescimento-base_clientes_digitalizacao</t>
  </si>
  <si>
    <t>283736769</t>
  </si>
  <si>
    <t>marca-dv360_Outbrain-marca-native-native-1125x752-acompanhe_o_crescimento-base_clientes_digitalizacao-cpm</t>
  </si>
  <si>
    <t>477509170</t>
  </si>
  <si>
    <t>digitalizacao-marca-dv360_Outbrain-marca-native-native-acompanhe_suas_vendas-base_clientes_digitalizacao</t>
  </si>
  <si>
    <t>283082648</t>
  </si>
  <si>
    <t>marca-dv360_Outbrain-marca-native-native-1125x752-acompanhe_suas_vendas-base_clientes_digitalizacao-cpm</t>
  </si>
  <si>
    <t>477138573</t>
  </si>
  <si>
    <t>digitalizacao-marca-dv360_Outbrain-marca-native-native-altere_seus_dados_cadastrais-base_clientes_digitalizacao</t>
  </si>
  <si>
    <t>283565015</t>
  </si>
  <si>
    <t>marca-dv360_Outbrain-marca-native-native-1125x752-altere_seus_dados_cadastrais-base_clientes_digitalizacao-cpm</t>
  </si>
  <si>
    <t>477509206</t>
  </si>
  <si>
    <t>digitalizacao-marca-dv360_Outbrain-marca-native-native-antecipacao_de_vendas-base_clientes_digitalizacao</t>
  </si>
  <si>
    <t>283736463</t>
  </si>
  <si>
    <t>marca-dv360_Outbrain-marca-native-native-1125x752-antecipacao_de_vendas-base_clientes_digitalizacao-cpm</t>
  </si>
  <si>
    <t>477605430</t>
  </si>
  <si>
    <t>digitalizacao-marca-dv360_Outbrain-marca-native-native-clique_saiba_como_acompanhar-base_clientes_digitalizacao</t>
  </si>
  <si>
    <t>283081373</t>
  </si>
  <si>
    <t>marca-dv360_Outbrain-marca-native-native-1125x752-clique_saiba_como_acompanhar-base_clientes_digitalizacao-cpm</t>
  </si>
  <si>
    <t>477048568</t>
  </si>
  <si>
    <t>digitalizacao-marca-dv360_Outbrain-marca-native-native-precisa_mudar_os_dados-base_clientes_digitalizacao</t>
  </si>
  <si>
    <t>283082675</t>
  </si>
  <si>
    <t>marca-dv360_Outbrain-marca-native-native-1125x752-precisa_mudar_os_dados-base_clientes_digitalizacao-cpm</t>
  </si>
  <si>
    <t>476960816</t>
  </si>
  <si>
    <t>digitalizacao-marca-dv360_Outbrain-marca-native-native-solicite_sua_maquininha_adicional-base_clientes_digitalizacao</t>
  </si>
  <si>
    <t>283516533</t>
  </si>
  <si>
    <t>marca-dv360_Outbrain-marca-native-native-1125x752-solicite_sua_maquininha_adicional-base_clientes_digitalizacao-cpm</t>
  </si>
  <si>
    <t>477392292</t>
  </si>
  <si>
    <t>474794216</t>
  </si>
  <si>
    <t>474953118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</si>
  <si>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</si>
  <si>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</si>
  <si>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</si>
  <si>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</si>
  <si>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pegn-marca-globo-marca-display-carrossel-pegn_cielo_superlink-as_25_interesses</t>
  </si>
  <si>
    <t>282144197</t>
  </si>
  <si>
    <t>marca-globo-marca-display-carrossel-400x300-pegn_cielo_superlink-as_25_interesses-cpm</t>
  </si>
  <si>
    <t>476119853</t>
  </si>
  <si>
    <t>pegn-marca-globo-marca-display-maxiboard-pegn_cielo_superlink-as_25_interesses</t>
  </si>
  <si>
    <t>282156500</t>
  </si>
  <si>
    <t>marca-globo-marca-display-maxiboard-970x150-pegn_cielo_superlink-as_25_interesses-cpm</t>
  </si>
  <si>
    <t>476119856</t>
  </si>
  <si>
    <t>pegn-marca-globo-marca-display-medium_rectangle-pegn_cielo_superlink-as_25_interesses</t>
  </si>
  <si>
    <t>282156503</t>
  </si>
  <si>
    <t>marca-globo-marca-display-medium_rectangle-300x250-pegn_cielo_superlink-as_25_interesses-cpm</t>
  </si>
  <si>
    <t>476119859</t>
  </si>
  <si>
    <t>pegn-marca-globo-marca-display-stick_ad-pegn_cielo_superlink-as_25_interesses</t>
  </si>
  <si>
    <t>282156506</t>
  </si>
  <si>
    <t>marca-globo-marca-display-stick_ad-320x50-pegn_cielo_superlink-as_25_interesses-cpm</t>
  </si>
  <si>
    <t>476119862</t>
  </si>
  <si>
    <t>pegn-marca-globo-marca-video-pre_roll-pegn_cielo_superlink-as_25_interesses</t>
  </si>
  <si>
    <t>282144194</t>
  </si>
  <si>
    <t>marca-globo-marca-video-pre_roll-1920x1080-pegn_cielo_superlink-as_25_interesses-cpm</t>
  </si>
  <si>
    <t>476119850</t>
  </si>
  <si>
    <t>alp-receba-rapido-varejo-cons</t>
  </si>
  <si>
    <t>receba-rapido-varejo-afilio-marca-display-halfpage-receba_rapido_estoque-base_legada_elegivel_cielo</t>
  </si>
  <si>
    <t>271347721</t>
  </si>
  <si>
    <t>465889472</t>
  </si>
  <si>
    <t>receba-rapido-varejo-afilio-marca-display-leaderboard-receba_rapido_estoque-base_legada_elegivel_cielo</t>
  </si>
  <si>
    <t>271347715</t>
  </si>
  <si>
    <t>465889466</t>
  </si>
  <si>
    <t>receba-rapido-varejo-afilio-marca-display-medium_rectangle-receba_rapido_estoque-base_legada_elegivel_cielo</t>
  </si>
  <si>
    <t>271347724</t>
  </si>
  <si>
    <t>465889475</t>
  </si>
  <si>
    <t>receba-rapido-varejo-afilio-marca-display-mobile-receba_rapido_estoque-base_legada_elegivel_cielo</t>
  </si>
  <si>
    <t>271347718</t>
  </si>
  <si>
    <t>465889469</t>
  </si>
  <si>
    <t>receba-rapido-varejo-afilio-marca-display-wide_skyscraper-receba_rapido_estoque-base_legada_elegivel_cielo</t>
  </si>
  <si>
    <t>271351459</t>
  </si>
  <si>
    <t>465921682</t>
  </si>
  <si>
    <t>superlink-marca-cazamba-superlink-display-Interstitial-sl_luta_diaria-as25_empreendedor_varejo_interesses</t>
  </si>
  <si>
    <t>275741543</t>
  </si>
  <si>
    <t>marca-cazamba-superlink-display-Interstitial-640x960-sl_luta_diaria-as25_empreendedor_varejo_interesses-cpm</t>
  </si>
  <si>
    <t>470337270</t>
  </si>
  <si>
    <t>superlink-marca-dv360-superlink-display-halfpage-luta_diaria-affinities_inmarket_superlink</t>
  </si>
  <si>
    <t>281616517</t>
  </si>
  <si>
    <t>469359566</t>
  </si>
  <si>
    <t>marca-dv360-superlink-display-halfpage-300x600-luta_diaria-affinities_inmarket_superlink-cpm</t>
  </si>
  <si>
    <t>475546864</t>
  </si>
  <si>
    <t>superlink-marca-dv360-superlink-display-leaderboard-luta_diaria-affinities_inmarket_superlink</t>
  </si>
  <si>
    <t>281616526</t>
  </si>
  <si>
    <t>marca-dv360-superlink-display-leaderboard-728x90-luta_diaria-affinities_inmarket_superlink-cpm</t>
  </si>
  <si>
    <t>475546855</t>
  </si>
  <si>
    <t>superlink-marca-dv360-superlink-display-medium_rectangle-luta_diaria-affinities_inmarket_superlink</t>
  </si>
  <si>
    <t>281616520</t>
  </si>
  <si>
    <t>marca-dv360-superlink-display-medium_rectangle-300x250-luta_diaria-affinities_inmarket_superlink-cpm</t>
  </si>
  <si>
    <t>475546861</t>
  </si>
  <si>
    <t>superlink-marca-dv360-superlink-display-skyscraper-luta_diaria-affinities_inmarket_superlink</t>
  </si>
  <si>
    <t>281616523</t>
  </si>
  <si>
    <t>marca-dv360-superlink-display-skyscraper-160x600-luta_diaria-affinities_inmarket_superlink-cpm</t>
  </si>
  <si>
    <t>475546858</t>
  </si>
  <si>
    <t>superlink-marca-dv360_Folha-superlink-display-halfpage-luta_diaria-AS25_microempreendedor_medioempreendedor_negocios_vendasonline_donosdenegocios</t>
  </si>
  <si>
    <t>278993144</t>
  </si>
  <si>
    <t>marca-dv360_Folha-superlink-display-halfpage-300x600-luta_diaria-AS25_microempreendedor_medioempreendedor_negocios_vendasonline_donosdenegocios-cpm</t>
  </si>
  <si>
    <t>475357392</t>
  </si>
  <si>
    <t>superlink-marca-dv360_Folha-superlink-display-leaderboard-luta_diaria-AS25_microempreendedor_medioempreendedor_negocios_vendasonline_donosdenegocios</t>
  </si>
  <si>
    <t>281348424</t>
  </si>
  <si>
    <t>marca-dv360_Folha-superlink-display-leaderboard-728x90-luta_diaria-AS25_microempreendedor_medioempreendedor_negocios_vendasonline_donosdenegocios-cpm</t>
  </si>
  <si>
    <t>475208060</t>
  </si>
  <si>
    <t>superlink-marca-dv360_Folha-superlink-display-medium_rectangle-luta_diaria-AS25_microempreendedor_medioempreendedor_negocios_vendasonline_donosdenegocios</t>
  </si>
  <si>
    <t>281348418</t>
  </si>
  <si>
    <t>marca-dv360_Folha-superlink-display-medium_rectangle-300x250-luta_diaria-AS25_microempreendedor_medioempreendedor_negocios_vendasonline_donosdenegocios-cpm</t>
  </si>
  <si>
    <t>475357329</t>
  </si>
  <si>
    <t>superlink-marca-dv360_Folha-superlink-display-skyscraper-luta_diaria-AS25_microempreendedor_medioempreendedor_negocios_vendasonline_donosdenegocios</t>
  </si>
  <si>
    <t>281348421</t>
  </si>
  <si>
    <t>marca-dv360_Folha-superlink-display-skyscraper-160x600-luta_diaria-AS25_microempreendedor_medioempreendedor_negocios_vendasonline_donosdenegocios-cpm</t>
  </si>
  <si>
    <t>475208069</t>
  </si>
  <si>
    <t>superlink-marca-dv360_Vidoomy-superlink-video-pre_roll-superlink_video30s-as25_microempreendedor_medioempreendedor_negocios_vendasonline_donosdenegocios</t>
  </si>
  <si>
    <t>281283277</t>
  </si>
  <si>
    <t>marca-dv360_Vidoomy-superlink-video-pre_roll-1920x1080-superlink_video30s-as25_microempreendedor_medioempreendedor_negocios_vendasonline_donosdenegocios-cpm</t>
  </si>
  <si>
    <t>475275066</t>
  </si>
  <si>
    <t>IstoÉ</t>
  </si>
  <si>
    <t>superlink-marca-istoe-marca-display-maxiboard-cielo_superlink-as_25_interesses_varejo</t>
  </si>
  <si>
    <t>282484922</t>
  </si>
  <si>
    <t>marca-istoe-marca-display-maxiboard-970x150-cielo_superlink-as_25_interesses_varejo-diaria</t>
  </si>
  <si>
    <t>476630055</t>
  </si>
  <si>
    <t>471081215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</si>
  <si>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</si>
  <si>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</si>
  <si>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</si>
  <si>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</si>
  <si>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superlink-marca-rakuten-superlink-display-halfpage-sl_vendapelainternet_loggi_boost-as25_empreendedor_varejo_interesses</t>
  </si>
  <si>
    <t>281253139</t>
  </si>
  <si>
    <t>marca-rakuten-superlink-display-halfpage-300x600-sl_vendapelainternet_loggi_boost-as25_empreendedor_varejo_interesses-cpm</t>
  </si>
  <si>
    <t>475254747</t>
  </si>
  <si>
    <t>281253133</t>
  </si>
  <si>
    <t>475254741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</si>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</sst>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111.743221064811" createdVersion="6" refreshedVersion="6" minRefreshableVersion="3" recordCount="153" xr:uid="{A15B08DA-0763-4EFE-9F7C-FE93657E0826}">
  <cacheSource type="worksheet">
    <worksheetSource ref="B18:O171" sheet="Resumo"/>
  </cacheSource>
  <cacheFields count="14">
    <cacheField name="Campaign" numFmtId="0">
      <sharedItems count="12">
        <s v="alp-cielo_movimenta_comunidade-marca-awa"/>
        <s v="alp-cnn-varejo-awa"/>
        <s v="alp-covid19-marca-awa"/>
        <s v="alp-digitalizacao-marca-perf"/>
        <s v="alp-empreendedores-empreendedores-cons"/>
        <s v="alp-nova_cielo-empreendedores-cons"/>
        <s v="alp-pegn-marca-awa"/>
        <s v="alp-receba-rapido-varejo-cons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6158188"/>
    </cacheField>
    <cacheField name="Clicks" numFmtId="0">
      <sharedItems containsSemiMixedTypes="0" containsString="0" containsNumber="1" containsInteger="1" minValue="0" maxValue="257720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1209.2135999999998"/>
    </cacheField>
    <cacheField name="Total AdOps" numFmtId="2">
      <sharedItems containsSemiMixedTypes="0" containsString="0" containsNumber="1" minValue="0" maxValue="1949.42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x v="0"/>
    <s v="Oath - Verizon Media"/>
    <s v="cielo_movimenta_comunidade-marca-verizon-marca-display-skyscraper-cielo_movimenta_comunidade_loggi-as_25_interesses_varejo"/>
    <s v="272923707"/>
    <s v="Standard"/>
    <s v="marca-verizon-marca-display-skyscraper-160x600-cielo_movimenta_comunidade_loggi-as_25_interesses_varejo-cpm"/>
    <s v="467313001"/>
    <s v="Display"/>
    <n v="1"/>
    <n v="0"/>
    <n v="0.04"/>
    <n v="0.1"/>
    <n v="4.0000000000000003E-5"/>
    <n v="1E-4"/>
  </r>
  <r>
    <x v="0"/>
    <s v="Oath - Verizon Media"/>
    <s v="cielo_movimenta_comunidade-marca-verizon-marca-native-big_native-cielo_movimenta_comunidade_olx-as_25_interesses_varejo"/>
    <s v="273102562"/>
    <s v="Dynamic Click"/>
    <s v="marca-verizon-marca-native-big_native-1200x627-cielo_movimenta_comunidade_olx-as_25_interesses_varejo-cpm"/>
    <s v="467497933"/>
    <s v="Tracking"/>
    <n v="1"/>
    <n v="2"/>
    <n v="3.5000000000000001E-3"/>
    <n v="2.5000000000000001E-2"/>
    <n v="7.0000000000000001E-3"/>
    <n v="0.05"/>
  </r>
  <r>
    <x v="0"/>
    <s v="Oath - Verizon Media"/>
    <s v="cielo_movimenta_comunidade-marca-verizon-marca-native-big_native-cielo_movimenta_comunidade_olx_cadastro-as_25_interesses_varejo"/>
    <s v="272850311"/>
    <s v="Standard"/>
    <s v="marca-verizon-marca-native-big_native-1200x627-cielo_movimenta_comunidade_olx_cadastro-as_25_interesses_varejo-cpm"/>
    <s v="467545912"/>
    <s v="Tracking"/>
    <n v="1"/>
    <n v="0"/>
    <n v="0.04"/>
    <n v="0.1"/>
    <n v="4.0000000000000003E-5"/>
    <n v="1E-4"/>
  </r>
  <r>
    <x v="0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4"/>
    <n v="0"/>
    <n v="0.04"/>
    <n v="0.1"/>
    <n v="1.6000000000000001E-4"/>
    <n v="4.0000000000000002E-4"/>
  </r>
  <r>
    <x v="1"/>
    <s v="CNN BR"/>
    <s v="cnn-varejo-cnn-marca-display-arroba_banner-cnn_cielo_globalretail-as_25"/>
    <s v="282037045"/>
    <s v="Standard"/>
    <s v="varejo-cnn-marca-display-arroba_banner-300x250-cnn_cielo_globalretail-as_25-cpm"/>
    <s v="476018427"/>
    <s v="Display"/>
    <n v="56083"/>
    <n v="24"/>
    <n v="0.04"/>
    <n v="0.1"/>
    <n v="2.2433200000000002"/>
    <n v="5.6082999999999998"/>
  </r>
  <r>
    <x v="1"/>
    <s v="CNN BR"/>
    <s v="cnn-varejo-cnn-marca-display-arroba_banner-cnn_cielo_superlink-as_25"/>
    <s v="282393520"/>
    <s v="Standard"/>
    <s v="varejo-cnn-marca-display-arroba_banner-300x250-cnn_cielo_superlink-as_25-cpm"/>
    <s v="476130194"/>
    <s v="Display"/>
    <n v="178932"/>
    <n v="144"/>
    <n v="0.04"/>
    <n v="0.1"/>
    <n v="7.1572800000000001"/>
    <n v="17.8932"/>
  </r>
  <r>
    <x v="1"/>
    <s v="CNN BR"/>
    <s v="cnn-varejo-cnn-marca-display-arroba_banner-cnn_cielo_superlink_lutadiaria-as_25"/>
    <s v="275646244"/>
    <s v="Standard"/>
    <s v="varejo-cnn-marca-display-arroba_banner-300x250-cnn_cielo_superlink_lutadiaria-as_25-cpm"/>
    <s v="469898123"/>
    <s v="Display"/>
    <n v="38739"/>
    <n v="15"/>
    <n v="0.04"/>
    <n v="0.1"/>
    <n v="1.54956"/>
    <n v="3.8738999999999999"/>
  </r>
  <r>
    <x v="1"/>
    <s v="CNN BR"/>
    <s v="cnn-varejo-cnn-marca-display-bilboard-cnn_cielo_globalretail-as_25"/>
    <s v="282028107"/>
    <s v="Standard"/>
    <s v="varejo-cnn-marca-display-bilboard-970x250-cnn_cielo_globalretail-as_25-cpm"/>
    <s v="475841225"/>
    <s v="Display"/>
    <n v="3644"/>
    <n v="3"/>
    <n v="0.04"/>
    <n v="0.1"/>
    <n v="0.14576"/>
    <n v="0.36440000000000006"/>
  </r>
  <r>
    <x v="1"/>
    <s v="CNN BR"/>
    <s v="cnn-varejo-cnn-marca-display-bilboard-cnn_cielo_superlink-as_25"/>
    <s v="282359004"/>
    <s v="Standard"/>
    <s v="varejo-cnn-marca-display-bilboard-970x250-cnn_cielo_superlink-as_25-cpm"/>
    <s v="476309460"/>
    <s v="Display"/>
    <n v="34638"/>
    <n v="29"/>
    <n v="0.04"/>
    <n v="0.1"/>
    <n v="1.3855200000000001"/>
    <n v="3.4638"/>
  </r>
  <r>
    <x v="1"/>
    <s v="CNN BR"/>
    <s v="cnn-varejo-cnn-marca-display-bilboard-cnn_cielo_superlink_lutadiaria-as_25"/>
    <s v="275703789"/>
    <s v="Standard"/>
    <s v="varejo-cnn-marca-display-bilboard-970x250-cnn_cielo_superlink_lutadiaria-as_25-cpm"/>
    <s v="469899905"/>
    <s v="Display"/>
    <n v="33118"/>
    <n v="28"/>
    <n v="0.04"/>
    <n v="0.1"/>
    <n v="1.3247200000000001"/>
    <n v="3.3118000000000003"/>
  </r>
  <r>
    <x v="1"/>
    <s v="CNN BR"/>
    <s v="cnn-varejo-cnn-marca-display-halfpage-cnn_cielo_globalretail-as_25"/>
    <s v="282037042"/>
    <s v="Standard"/>
    <s v="varejo-cnn-marca-display-halfpage-300x600-cnn_cielo_globalretail-as_25-cpm"/>
    <s v="476018424"/>
    <s v="Display"/>
    <n v="6447"/>
    <n v="13"/>
    <n v="0.04"/>
    <n v="0.1"/>
    <n v="0.25788"/>
    <n v="0.64470000000000005"/>
  </r>
  <r>
    <x v="1"/>
    <s v="CNN BR"/>
    <s v="cnn-varejo-cnn-marca-display-halfpage-cnn_cielo_superlink-as_25"/>
    <s v="282357267"/>
    <s v="Standard"/>
    <s v="varejo-cnn-marca-display-halfpage-300x600-cnn_cielo_superlink-as_25-cpm"/>
    <s v="476126150"/>
    <s v="Display"/>
    <n v="18391"/>
    <n v="11"/>
    <n v="0.04"/>
    <n v="0.1"/>
    <n v="0.73563999999999996"/>
    <n v="1.8391000000000002"/>
  </r>
  <r>
    <x v="1"/>
    <s v="CNN BR"/>
    <s v="cnn-varejo-cnn-marca-display-halfpage-cnn_cielo_superlink_lutadiaria-as_25"/>
    <s v="275692860"/>
    <s v="Standard"/>
    <s v="varejo-cnn-marca-display-halfpage-300x600-cnn_cielo_superlink_lutadiaria-as_25-cpm"/>
    <s v="469899809"/>
    <s v="Display"/>
    <n v="3876"/>
    <n v="3"/>
    <n v="0.04"/>
    <n v="0.1"/>
    <n v="0.15503999999999998"/>
    <n v="0.3876"/>
  </r>
  <r>
    <x v="1"/>
    <s v="CNN BR"/>
    <s v="cnn-varejo-cnn-marca-display-leaderboard-cnn_cielo_globalretail-as_25"/>
    <s v="282037036"/>
    <s v="Standard"/>
    <s v="varejo-cnn-marca-display-leaderboard-728x90-cnn_cielo_globalretail-as_25-cpm"/>
    <s v="476018418"/>
    <s v="Display"/>
    <n v="18121"/>
    <n v="13"/>
    <n v="0.04"/>
    <n v="0.1"/>
    <n v="0.72484000000000004"/>
    <n v="1.8121"/>
  </r>
  <r>
    <x v="1"/>
    <s v="CNN BR"/>
    <s v="cnn-varejo-cnn-marca-display-leaderboard-cnn_cielo_superlink-as_25"/>
    <s v="282395059"/>
    <s v="Standard"/>
    <s v="varejo-cnn-marca-display-leaderboard-728x90-cnn_cielo_superlink-as_25-cpm"/>
    <s v="476228620"/>
    <s v="Display"/>
    <n v="28414"/>
    <n v="13"/>
    <n v="0.04"/>
    <n v="0.1"/>
    <n v="1.13656"/>
    <n v="2.8414000000000001"/>
  </r>
  <r>
    <x v="1"/>
    <s v="CNN BR"/>
    <s v="cnn-varejo-cnn-marca-display-mobile-cnn_cielo_globalretail-as_25"/>
    <s v="282037039"/>
    <s v="Standard"/>
    <s v="varejo-cnn-marca-display-mobile-320x50-cnn_cielo_globalretail-as_25-cpm"/>
    <s v="476018421"/>
    <s v="Display"/>
    <n v="43818"/>
    <n v="162"/>
    <n v="0.04"/>
    <n v="0.1"/>
    <n v="1.7527200000000001"/>
    <n v="4.3818000000000001"/>
  </r>
  <r>
    <x v="1"/>
    <s v="CNN BR"/>
    <s v="cnn-varejo-cnn-marca-display-mobile-cnn_cielo_superlink-as_25"/>
    <s v="282167414"/>
    <s v="Standard"/>
    <s v="varejo-cnn-marca-display-mobile-320x50-cnn_cielo_superlink-as_25-cpm"/>
    <s v="476228584"/>
    <s v="Display"/>
    <n v="42795"/>
    <n v="145"/>
    <n v="0.04"/>
    <n v="0.1"/>
    <n v="1.7118"/>
    <n v="4.2794999999999996"/>
  </r>
  <r>
    <x v="1"/>
    <s v="CNN BR"/>
    <s v="cnn-varejo-cnn-marca-display-mobile-cnn_cielo_superlink_lutadiaria-as_25"/>
    <s v="275348690"/>
    <s v="Standard"/>
    <s v="varejo-cnn-marca-display-mobile-320x50-cnn_cielo_superlink_lutadiaria-as_25-cpm"/>
    <s v="469899176"/>
    <s v="Display"/>
    <n v="170257"/>
    <n v="447"/>
    <n v="0.04"/>
    <n v="0.1"/>
    <n v="6.8102799999999997"/>
    <n v="17.025700000000001"/>
  </r>
  <r>
    <x v="1"/>
    <s v="CNN BR"/>
    <s v="cnn-varejo-cnn-marca-video-pre_roll-cnn_cielo_superlink-as_25"/>
    <s v="282167456"/>
    <s v="Rich Media display banner"/>
    <s v="varejo-cnn-marca-video-pre_roll-1920x1080-cnn_cielo_superlink-as_25-cpm"/>
    <s v="476132069"/>
    <s v="In-Stream Video"/>
    <n v="96344"/>
    <n v="448"/>
    <n v="0.6"/>
    <n v="0.35"/>
    <n v="57.806400000000004"/>
    <n v="33.720399999999998"/>
  </r>
  <r>
    <x v="2"/>
    <s v="Oath - Verizon Media"/>
    <s v="covid19-marca-verizon-marca-social_dark-native-institucional_corona-as_25_interesses_varejo"/>
    <s v="271001565"/>
    <s v="Dynamic Click"/>
    <s v="marca-marca-social_dark-native-627x627-institucional_corona-as_25_interesses_varejo-cpm"/>
    <s v="465500034"/>
    <s v="Tracking"/>
    <n v="0"/>
    <n v="1"/>
    <n v="3.5000000000000001E-3"/>
    <n v="2.5000000000000001E-2"/>
    <n v="3.5000000000000001E-3"/>
    <n v="2.5000000000000001E-2"/>
  </r>
  <r>
    <x v="3"/>
    <s v="Google Brasil"/>
    <s v="digitalizacao-marca-dv360-marca-display-display-app_instal_estatico_ios-base_clientes_digitalizacao"/>
    <s v="280868915"/>
    <s v="Standard"/>
    <s v="marca-dv360-marca-display-display-320x50-app_instal_estatico_ios-base_clientes_digitalizacao-cpm"/>
    <s v="474932480"/>
    <s v="Display"/>
    <n v="17741"/>
    <n v="42"/>
    <n v="0.04"/>
    <n v="0.1"/>
    <n v="0.70963999999999994"/>
    <n v="1.7741000000000002"/>
  </r>
  <r>
    <x v="3"/>
    <s v="Google Brasil"/>
    <s v="digitalizacao-marca-dv360-marca-display-display-app_instal_estatico_ios-base_clientes_digitalizacao"/>
    <s v="280868921"/>
    <s v="Standard"/>
    <s v="marca-dv360-marca-display-display-300x250-app_instal_estatico_ios-base_clientes_digitalizacao-cpm"/>
    <s v="474932486"/>
    <s v="Display"/>
    <n v="2647"/>
    <n v="2"/>
    <n v="0.04"/>
    <n v="0.1"/>
    <n v="0.10588"/>
    <n v="0.26469999999999999"/>
  </r>
  <r>
    <x v="3"/>
    <s v="Google Brasil"/>
    <s v="digitalizacao-marca-dv360-marca-display-display-app_instal_estatico_ios-base_clientes_digitalizacao"/>
    <s v="280868927"/>
    <s v="Standard"/>
    <s v="marca-dv360-marca-display-display-320x480-app_instal_estatico_ios-base_clientes_digitalizacao-cpm"/>
    <s v="474932492"/>
    <s v="Display"/>
    <n v="1300"/>
    <n v="18"/>
    <n v="0.04"/>
    <n v="0.1"/>
    <n v="5.1999999999999998E-2"/>
    <n v="0.13"/>
  </r>
  <r>
    <x v="3"/>
    <s v="Google Brasil"/>
    <s v="digitalizacao-marca-dv360-marca-display-medium_rectangle-visitas_site_estatico_atendimento_online-base_clientes_digitalizacao"/>
    <s v="280868882"/>
    <s v="Standard"/>
    <s v="marca-dv360-marca-display-medium_rectangle-300x250-visitas_site_estatico_atendimento_online-base_clientes_digitalizacao-cpm"/>
    <s v="474932447"/>
    <s v="Display"/>
    <n v="2648137"/>
    <n v="1731"/>
    <n v="0.04"/>
    <n v="0.1"/>
    <n v="105.92547999999999"/>
    <n v="264.81370000000004"/>
  </r>
  <r>
    <x v="3"/>
    <s v="Google Brasil"/>
    <s v="digitalizacao-marca-dv360-marca-display-medium_rectangle-visitas_site_estatico_contratacao_produtos-base_clientes_digitalizacao"/>
    <s v="280868879"/>
    <s v="Standard"/>
    <s v="marca-dv360-marca-display-medium_rectangle-300x250-visitas_site_estatico_contratacao_produtos-base_clientes_digitalizacao-cpm"/>
    <s v="474932444"/>
    <s v="Display"/>
    <n v="4937869"/>
    <n v="5096"/>
    <n v="0.04"/>
    <n v="0.1"/>
    <n v="197.51476"/>
    <n v="493.7869"/>
  </r>
  <r>
    <x v="3"/>
    <s v="Google Brasil"/>
    <s v="digitalizacao-marca-dv360-marca-video-video-app_instal_ganhe_tempo_video15_android-base_clientes_digitalizacao"/>
    <s v="281241222"/>
    <s v="Rich Media display banner"/>
    <s v="marca-dv360-marca-video-video-640x360-app_instal_ganhe_tempo_video15_android-base_clientes_digitalizacao-cpm"/>
    <s v="475271601"/>
    <s v="In-Stream Video"/>
    <n v="2"/>
    <n v="0"/>
    <n v="0.6"/>
    <n v="0.35"/>
    <n v="1.1999999999999999E-3"/>
    <n v="6.9999999999999999E-4"/>
  </r>
  <r>
    <x v="3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934401"/>
    <n v="1565"/>
    <n v="0.6"/>
    <n v="0.35"/>
    <n v="560.64059999999995"/>
    <n v="327.04034999999999"/>
  </r>
  <r>
    <x v="3"/>
    <s v="Google Brasil"/>
    <s v="digitalizacao-marca-dv360-marca-video-video-visitas_site_promocoes_maquina_video15-base_clientes_digitalizacao"/>
    <s v="281241234"/>
    <s v="Rich Media display banner"/>
    <s v="marca-dv360-marca-video-video-640x360-visitas_site_promocoes_maquina_video15-base_clientes_digitalizacao-cpm"/>
    <s v="475271613"/>
    <s v="In-Stream Video"/>
    <n v="1264579"/>
    <n v="2018"/>
    <n v="0.6"/>
    <n v="0.35"/>
    <n v="758.74739999999997"/>
    <n v="442.60264999999998"/>
  </r>
  <r>
    <x v="3"/>
    <s v="Google Brasil"/>
    <s v="digitalizacao-marca-dv360_Abril-marca-display-leaderboard-acesso_ao_site-base_clientes_digitalizacao"/>
    <s v="283167714"/>
    <s v="Standard"/>
    <s v="marca-dv360_Abril-marca-display-leaderboard-728x90-acesso_ao_site-base_clientes_digitalizacao-cpm"/>
    <s v="476874947"/>
    <s v="Display"/>
    <n v="1"/>
    <n v="1"/>
    <n v="0.04"/>
    <n v="0.1"/>
    <n v="4.0000000000000003E-5"/>
    <n v="1E-4"/>
  </r>
  <r>
    <x v="3"/>
    <s v="Google Brasil"/>
    <s v="digitalizacao-marca-dv360_Abril-marca-display-medium_rectangle-acesso_ao_site-base_clientes_digitalizacao"/>
    <s v="283167705"/>
    <s v="Standard"/>
    <s v="marca-dv360_Abril-marca-display-medium_rectangle-300x250-acesso_ao_site-base_clientes_digitalizacao-cpm"/>
    <s v="477033276"/>
    <s v="Display"/>
    <n v="1"/>
    <n v="1"/>
    <n v="0.04"/>
    <n v="0.1"/>
    <n v="4.0000000000000003E-5"/>
    <n v="1E-4"/>
  </r>
  <r>
    <x v="3"/>
    <s v="Google Brasil"/>
    <s v="digitalizacao-marca-dv360_Outbrain-marca-native-native-acompanhe_o_crescimento-base_clientes_digitalizacao"/>
    <s v="283736769"/>
    <s v="Dynamic Click"/>
    <s v="marca-dv360_Outbrain-marca-native-native-1125x752-acompanhe_o_crescimento-base_clientes_digitalizacao-cpm"/>
    <s v="477509170"/>
    <s v="Tracking"/>
    <n v="0"/>
    <n v="2"/>
    <n v="3.5000000000000001E-3"/>
    <n v="2.5000000000000001E-2"/>
    <n v="7.0000000000000001E-3"/>
    <n v="0.05"/>
  </r>
  <r>
    <x v="3"/>
    <s v="Google Brasil"/>
    <s v="digitalizacao-marca-dv360_Outbrain-marca-native-native-acompanhe_suas_vendas-base_clientes_digitalizacao"/>
    <s v="283082648"/>
    <s v="Dynamic Click"/>
    <s v="marca-dv360_Outbrain-marca-native-native-1125x752-acompanhe_suas_vendas-base_clientes_digitalizacao-cpm"/>
    <s v="477138573"/>
    <s v="Tracking"/>
    <n v="0"/>
    <n v="11"/>
    <n v="3.5000000000000001E-3"/>
    <n v="2.5000000000000001E-2"/>
    <n v="3.85E-2"/>
    <n v="0.27500000000000002"/>
  </r>
  <r>
    <x v="3"/>
    <s v="Google Brasil"/>
    <s v="digitalizacao-marca-dv360_Outbrain-marca-native-native-altere_seus_dados_cadastrais-base_clientes_digitalizacao"/>
    <s v="283565015"/>
    <s v="Dynamic Click"/>
    <s v="marca-dv360_Outbrain-marca-native-native-1125x752-altere_seus_dados_cadastrais-base_clientes_digitalizacao-cpm"/>
    <s v="477509206"/>
    <s v="Tracking"/>
    <n v="0"/>
    <n v="2"/>
    <n v="3.5000000000000001E-3"/>
    <n v="2.5000000000000001E-2"/>
    <n v="7.0000000000000001E-3"/>
    <n v="0.05"/>
  </r>
  <r>
    <x v="3"/>
    <s v="Google Brasil"/>
    <s v="digitalizacao-marca-dv360_Outbrain-marca-native-native-antecipacao_de_vendas-base_clientes_digitalizacao"/>
    <s v="283736463"/>
    <s v="Dynamic Click"/>
    <s v="marca-dv360_Outbrain-marca-native-native-1125x752-antecipacao_de_vendas-base_clientes_digitalizacao-cpm"/>
    <s v="477605430"/>
    <s v="Tracking"/>
    <n v="0"/>
    <n v="2"/>
    <n v="3.5000000000000001E-3"/>
    <n v="2.5000000000000001E-2"/>
    <n v="7.0000000000000001E-3"/>
    <n v="0.05"/>
  </r>
  <r>
    <x v="3"/>
    <s v="Google Brasil"/>
    <s v="digitalizacao-marca-dv360_Outbrain-marca-native-native-clique_saiba_como_acompanhar-base_clientes_digitalizacao"/>
    <s v="283081373"/>
    <s v="Dynamic Click"/>
    <s v="marca-dv360_Outbrain-marca-native-native-1125x752-clique_saiba_como_acompanhar-base_clientes_digitalizacao-cpm"/>
    <s v="477048568"/>
    <s v="Tracking"/>
    <n v="0"/>
    <n v="15"/>
    <n v="3.5000000000000001E-3"/>
    <n v="2.5000000000000001E-2"/>
    <n v="5.2499999999999998E-2"/>
    <n v="0.375"/>
  </r>
  <r>
    <x v="3"/>
    <s v="Google Brasil"/>
    <s v="digitalizacao-marca-dv360_Outbrain-marca-native-native-precisa_mudar_os_dados-base_clientes_digitalizacao"/>
    <s v="283082675"/>
    <s v="Dynamic Click"/>
    <s v="marca-dv360_Outbrain-marca-native-native-1125x752-precisa_mudar_os_dados-base_clientes_digitalizacao-cpm"/>
    <s v="476960816"/>
    <s v="Tracking"/>
    <n v="0"/>
    <n v="5"/>
    <n v="3.5000000000000001E-3"/>
    <n v="2.5000000000000001E-2"/>
    <n v="1.7500000000000002E-2"/>
    <n v="0.125"/>
  </r>
  <r>
    <x v="3"/>
    <s v="Google Brasil"/>
    <s v="digitalizacao-marca-dv360_Outbrain-marca-native-native-solicite_sua_maquininha_adicional-base_clientes_digitalizacao"/>
    <s v="283516533"/>
    <s v="Dynamic Click"/>
    <s v="marca-dv360_Outbrain-marca-native-native-1125x752-solicite_sua_maquininha_adicional-base_clientes_digitalizacao-cpm"/>
    <s v="477392292"/>
    <s v="Tracking"/>
    <n v="0"/>
    <n v="8"/>
    <n v="3.5000000000000001E-3"/>
    <n v="2.5000000000000001E-2"/>
    <n v="2.8000000000000001E-2"/>
    <n v="0.2"/>
  </r>
  <r>
    <x v="3"/>
    <s v="Oath - Verizon Media"/>
    <s v="digitalizacao-marca-verizon-marca-display-billboard-visitas_site_animado-base_clientes_digitalizacao"/>
    <s v="280868825"/>
    <s v="Standard"/>
    <s v="marca-verizon-marca-display-billboard-970x250-visitas_site_animado-base_clientes_digitalizacao-cpm"/>
    <s v="474922190"/>
    <s v="Display"/>
    <n v="79759"/>
    <n v="100"/>
    <n v="0.04"/>
    <n v="0.1"/>
    <n v="3.1903600000000001"/>
    <n v="7.9759000000000002"/>
  </r>
  <r>
    <x v="3"/>
    <s v="Oath - Verizon Media"/>
    <s v="digitalizacao-marca-verizon-marca-display-billboard-visitas_site_estatico-base_clientes_digitalizacao"/>
    <s v="280746893"/>
    <s v="Standard"/>
    <s v="marca-verizon-marca-display-billboard-970x250-visitas_site_estatico-base_clientes_digitalizacao-cpm"/>
    <s v="474870796"/>
    <s v="Display"/>
    <n v="81684"/>
    <n v="130"/>
    <n v="0.04"/>
    <n v="0.1"/>
    <n v="3.26736"/>
    <n v="8.1684000000000001"/>
  </r>
  <r>
    <x v="3"/>
    <s v="Oath - Verizon Media"/>
    <s v="digitalizacao-marca-verizon-marca-display-large_mobile_banner-visitas_site_animado-base_clientes_digitalizacao"/>
    <s v="280868831"/>
    <s v="Standard"/>
    <s v="marca-verizon-marca-display-large_mobile_banner-320x100-visitas_site_animado-base_clientes_digitalizacao-cpm"/>
    <s v="474932396"/>
    <s v="Display"/>
    <n v="302664"/>
    <n v="749"/>
    <n v="0.04"/>
    <n v="0.1"/>
    <n v="12.10656"/>
    <n v="30.266400000000001"/>
  </r>
  <r>
    <x v="3"/>
    <s v="Oath - Verizon Media"/>
    <s v="digitalizacao-marca-verizon-marca-display-large_rectangle-visitas_site_animado-base_clientes_digitalizacao"/>
    <s v="280868828"/>
    <s v="Standard"/>
    <s v="marca-verizon-marca-display-large_rectangle-336x280-visitas_site_animado-base_clientes_digitalizacao-cpm"/>
    <s v="474932393"/>
    <s v="Display"/>
    <n v="67902"/>
    <n v="529"/>
    <n v="0.04"/>
    <n v="0.1"/>
    <n v="2.7160799999999998"/>
    <n v="6.7902000000000005"/>
  </r>
  <r>
    <x v="3"/>
    <s v="Oath - Verizon Media"/>
    <s v="digitalizacao-marca-verizon-marca-display-leaderboard-visitas_site_animado-base_clientes_digitalizacao"/>
    <s v="280868942"/>
    <s v="Standard"/>
    <s v="marca-verizon-marca-display-leaderboard-728x90-visitas_site_animado-base_clientes_digitalizacao-cpm"/>
    <s v="474932507"/>
    <s v="Display"/>
    <n v="1152882"/>
    <n v="1336"/>
    <n v="0.04"/>
    <n v="0.1"/>
    <n v="46.115279999999998"/>
    <n v="115.28820000000002"/>
  </r>
  <r>
    <x v="3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1"/>
    <n v="0"/>
    <n v="0.04"/>
    <n v="0.1"/>
    <n v="4.0000000000000003E-5"/>
    <n v="1E-4"/>
  </r>
  <r>
    <x v="3"/>
    <s v="Oath - Verizon Media"/>
    <s v="digitalizacao-marca-verizon-marca-display-medium_rectangle-visitas_site_animado-base_clientes_digitalizacao"/>
    <s v="280868936"/>
    <s v="Standard"/>
    <s v="marca-verizon-marca-display-medium_rectangle-300x250-visitas_site_animado-base_clientes_digitalizacao-cpm"/>
    <s v="474932501"/>
    <s v="Display"/>
    <n v="1435570"/>
    <n v="534"/>
    <n v="0.04"/>
    <n v="0.1"/>
    <n v="57.422800000000002"/>
    <n v="143.55699999999999"/>
  </r>
  <r>
    <x v="3"/>
    <s v="Oath - Verizon Media"/>
    <s v="digitalizacao-marca-verizon-marca-display-medium_rectangle-visitas_site_estatico_acesse_agora-base_clientes_digitalizacao"/>
    <s v="280950718"/>
    <s v="Standard"/>
    <s v="marca-verizon-marca-display-medium_rectangle-300x250-visitas_site_estatico_acesse_agora-base_clientes_digitalizacao-cpm"/>
    <s v="474796685"/>
    <s v="Display"/>
    <n v="1114871"/>
    <n v="568"/>
    <n v="0.04"/>
    <n v="0.1"/>
    <n v="44.594840000000005"/>
    <n v="111.48710000000001"/>
  </r>
  <r>
    <x v="3"/>
    <s v="Oath - Verizon Media"/>
    <s v="digitalizacao-marca-verizon-marca-display-medium_rectangle-visitas_site_estatico_confira-base_clientes_digitalizacao"/>
    <s v="280746896"/>
    <s v="Standard"/>
    <s v="marca-verizon-marca-display-medium_rectangle-300x250-visitas_site_estatico_confira-base_clientes_digitalizacao-cpm"/>
    <s v="474870799"/>
    <s v="Display"/>
    <n v="1242536"/>
    <n v="616"/>
    <n v="0.04"/>
    <n v="0.1"/>
    <n v="49.701440000000005"/>
    <n v="124.25360000000001"/>
  </r>
  <r>
    <x v="3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6317"/>
    <n v="3.5000000000000001E-3"/>
    <n v="2.5000000000000001E-2"/>
    <n v="22.109500000000001"/>
    <n v="157.92500000000001"/>
  </r>
  <r>
    <x v="4"/>
    <s v="Google Brasil"/>
    <s v="empreendedores-empreendedores-dv360-flash-display-halfpage-empreendedores_flash_animada_bau-affinities_inmarket_empreendedores"/>
    <s v="277872206"/>
    <s v="Standard"/>
    <s v="empreendedores-dv360-flash-display-halfpage-300x600-empreendedores_flash_animada_bau-affinities_inmarket_empreendedores-cpm"/>
    <s v="472323048"/>
    <s v="Display"/>
    <n v="61833"/>
    <n v="6073"/>
    <n v="0.04"/>
    <n v="0.1"/>
    <n v="2.4733200000000002"/>
    <n v="6.1833"/>
  </r>
  <r>
    <x v="4"/>
    <s v="Google Brasil"/>
    <s v="empreendedores-empreendedores-dv360-flash-display-large_mobile_banner-empreendedores_flash_animada_bau-affinities_inmarket_empreendedores"/>
    <s v="277872197"/>
    <s v="Standard"/>
    <s v="empreendedores-dv360-flash-display-large_mobile_banner-320x100-empreendedores_flash_animada_bau-affinities_inmarket_empreendedores-cpm"/>
    <s v="472323039"/>
    <s v="Display"/>
    <n v="357"/>
    <n v="3"/>
    <n v="0.04"/>
    <n v="0.1"/>
    <n v="1.4280000000000001E-2"/>
    <n v="3.5700000000000003E-2"/>
  </r>
  <r>
    <x v="4"/>
    <s v="Google Brasil"/>
    <s v="empreendedores-empreendedores-dv360-flash-display-large_mobile_banner-empreendedores_flash_animada_bau-affinities_inmarket_empreendedores"/>
    <s v="278068147"/>
    <s v="Standard"/>
    <s v="empreendedores-dv360-flash-display-large_mobile_banner-320x100-empreendedores_flash_animada_bau-affinities_inmarket_empreendedores-cpm"/>
    <s v="472261692"/>
    <s v="Display"/>
    <n v="14"/>
    <n v="3"/>
    <n v="0.04"/>
    <n v="0.1"/>
    <n v="5.6000000000000006E-4"/>
    <n v="1.4000000000000002E-3"/>
  </r>
  <r>
    <x v="4"/>
    <s v="Google Brasil"/>
    <s v="empreendedores-empreendedores-dv360-flash-display-large_rectangle-empreendedores_flash_animada_bau-affinities_inmarket_empreendedores"/>
    <s v="277872191"/>
    <s v="Standard"/>
    <s v="empreendedores-dv360-flash-display-large_rectangle-336x280-empreendedores_flash_animada_bau-affinities_inmarket_empreendedores-cpm"/>
    <s v="472323033"/>
    <s v="Display"/>
    <n v="61936"/>
    <n v="7288"/>
    <n v="0.04"/>
    <n v="0.1"/>
    <n v="2.4774400000000001"/>
    <n v="6.1936"/>
  </r>
  <r>
    <x v="4"/>
    <s v="Google Brasil"/>
    <s v="empreendedores-empreendedores-dv360-flash-display-large_rectangle-empreendedores_flash_animada_bau-affinities_inmarket_empreendedores"/>
    <s v="278068135"/>
    <s v="Standard"/>
    <s v="empreendedores-dv360-flash-display-large_rectangle-336x280-empreendedores_flash_animada_bau-affinities_inmarket_empreendedores-cpm"/>
    <s v="472261680"/>
    <s v="Display"/>
    <n v="17200"/>
    <n v="3074"/>
    <n v="0.04"/>
    <n v="0.1"/>
    <n v="0.68799999999999994"/>
    <n v="1.72"/>
  </r>
  <r>
    <x v="4"/>
    <s v="Google Brasil"/>
    <s v="empreendedores-empreendedores-dv360-flash-display-leaderboard-empreendedores_flash_animada_bau-affinities_inmarket_empreendedores"/>
    <s v="277872200"/>
    <s v="Standard"/>
    <s v="empreendedores-dv360-flash-display-leaderboard-728x90-empreendedores_flash_animada_bau-affinities_inmarket_empreendedores-cpm"/>
    <s v="472323042"/>
    <s v="Display"/>
    <n v="165"/>
    <n v="0"/>
    <n v="0.04"/>
    <n v="0.1"/>
    <n v="6.6000000000000008E-3"/>
    <n v="1.6500000000000001E-2"/>
  </r>
  <r>
    <x v="4"/>
    <s v="Google Brasil"/>
    <s v="empreendedores-empreendedores-dv360-flash-display-medium_rectangle-empreendedores_flash_animada_bau-affinities_inmarket_empreendedores"/>
    <s v="277872203"/>
    <s v="Standard"/>
    <s v="empreendedores-dv360-flash-display-medium_rectangle-300x250-empreendedores_flash_animada_bau-affinities_inmarket_empreendedores-cpm"/>
    <s v="472323045"/>
    <s v="Display"/>
    <n v="4713"/>
    <n v="508"/>
    <n v="0.04"/>
    <n v="0.1"/>
    <n v="0.18852000000000002"/>
    <n v="0.4713"/>
  </r>
  <r>
    <x v="4"/>
    <s v="Google Brasil"/>
    <s v="empreendedores-empreendedores-dv360-flash-display-medium_rectangle-empreendedores_flash_animada_bau-affinities_inmarket_empreendedores"/>
    <s v="278068153"/>
    <s v="Standard"/>
    <s v="empreendedores-dv360-flash-display-medium_rectangle-300x250-empreendedores_flash_animada_bau-affinities_inmarket_empreendedores-cpm"/>
    <s v="472261698"/>
    <s v="Display"/>
    <n v="1475"/>
    <n v="171"/>
    <n v="0.04"/>
    <n v="0.1"/>
    <n v="5.8999999999999997E-2"/>
    <n v="0.14749999999999999"/>
  </r>
  <r>
    <x v="4"/>
    <s v="Google Brasil"/>
    <s v="empreendedores-empreendedores-dv360-flash-display-mobile_leaderboard-empreendedores_flash_animada_bau-affinities_inmarket_empreendedores"/>
    <s v="277872194"/>
    <s v="Standard"/>
    <s v="empreendedores-dv360-flash-display-mobile_leaderboard-320x50-empreendedores_flash_animada_bau-affinities_inmarket_empreendedores-cpm"/>
    <s v="472323036"/>
    <s v="Display"/>
    <n v="6346"/>
    <n v="74"/>
    <n v="0.04"/>
    <n v="0.1"/>
    <n v="0.25384000000000001"/>
    <n v="0.63460000000000005"/>
  </r>
  <r>
    <x v="4"/>
    <s v="Google Brasil"/>
    <s v="empreendedores-empreendedores-dv360-flash-display-mobile_leaderboard-empreendedores_flash_animada_bau-affinities_inmarket_empreendedores"/>
    <s v="278068144"/>
    <s v="Standard"/>
    <s v="empreendedores-dv360-flash-display-mobile_leaderboard-320x50-empreendedores_flash_animada_bau-affinities_inmarket_empreendedores-cpm"/>
    <s v="472261689"/>
    <s v="Display"/>
    <n v="172"/>
    <n v="10"/>
    <n v="0.04"/>
    <n v="0.1"/>
    <n v="6.8799999999999998E-3"/>
    <n v="1.72E-2"/>
  </r>
  <r>
    <x v="4"/>
    <s v="Google Brasil"/>
    <s v="empreendedores-empreendedores-dv360-flash-display-small_rectangle-empreendedores_flash_animada_bau-affinities_inmarket_empreendedores"/>
    <s v="277872188"/>
    <s v="Standard"/>
    <s v="empreendedores-dv360-flash-display-small_rectangle-180x150-empreendedores_flash_animada_bau-affinities_inmarket_empreendedores-cpm"/>
    <s v="472323030"/>
    <s v="Display"/>
    <n v="11"/>
    <n v="1"/>
    <n v="0.04"/>
    <n v="0.1"/>
    <n v="4.4000000000000002E-4"/>
    <n v="1.1000000000000001E-3"/>
  </r>
  <r>
    <x v="4"/>
    <s v="Google Brasil"/>
    <s v="empreendedores-empreendedores-dv360-flash-display-wide_skyscraper-empreendedores_flash_animada_bau-affinities_inmarket_empreendedores"/>
    <s v="277872185"/>
    <s v="Standard"/>
    <s v="empreendedores-dv360-flash-display-wide_skyscraper-160x600-empreendedores_flash_animada_bau-affinities_inmarket_empreendedores-cpm"/>
    <s v="472323027"/>
    <s v="Display"/>
    <n v="9"/>
    <n v="0"/>
    <n v="0.04"/>
    <n v="0.1"/>
    <n v="3.5999999999999997E-4"/>
    <n v="8.9999999999999998E-4"/>
  </r>
  <r>
    <x v="4"/>
    <s v="Google Brasil"/>
    <s v="empreendedores-empreendedores-dv360-zip-display-halfpage-empreendedores_zip_animada_bau-affinities_inmarket_empreendedores"/>
    <s v="277872254"/>
    <s v="Standard"/>
    <s v="empreendedores-dv360-zip-display-halfpage-300x600-empreendedores_zip_animada_bau-affinities_inmarket_empreendedores-cpm"/>
    <s v="472325196"/>
    <s v="Display"/>
    <n v="14253"/>
    <n v="1509"/>
    <n v="0.04"/>
    <n v="0.1"/>
    <n v="0.57011999999999996"/>
    <n v="1.4253000000000002"/>
  </r>
  <r>
    <x v="4"/>
    <s v="Google Brasil"/>
    <s v="empreendedores-empreendedores-dv360-zip-display-halfpage-empreendedores_zip_animada_bau-affinities_inmarket_empreendedores"/>
    <s v="278044510"/>
    <s v="Standard"/>
    <s v="empreendedores-dv360-zip-display-halfpage-300x600-empreendedores_zip_animada_bau-affinities_inmarket_empreendedores-cpm"/>
    <s v="472151899"/>
    <s v="Display"/>
    <n v="56436"/>
    <n v="8729"/>
    <n v="0.04"/>
    <n v="0.1"/>
    <n v="2.2574399999999999"/>
    <n v="5.6436000000000002"/>
  </r>
  <r>
    <x v="4"/>
    <s v="Google Brasil"/>
    <s v="empreendedores-empreendedores-dv360-zip-display-large_mobile_banner-empreendedores_zip_animada_bau-affinities_inmarket_empreendedores"/>
    <s v="277872236"/>
    <s v="Standard"/>
    <s v="empreendedores-dv360-zip-display-large_mobile_banner-320x100-empreendedores_zip_animada_bau-affinities_inmarket_empreendedores-cpm"/>
    <s v="472323078"/>
    <s v="Display"/>
    <n v="118"/>
    <n v="1"/>
    <n v="0.04"/>
    <n v="0.1"/>
    <n v="4.7199999999999994E-3"/>
    <n v="1.1800000000000001E-2"/>
  </r>
  <r>
    <x v="4"/>
    <s v="Google Brasil"/>
    <s v="empreendedores-empreendedores-dv360-zip-display-large_mobile_banner-empreendedores_zip_animada_bau-affinities_inmarket_empreendedores"/>
    <s v="278044501"/>
    <s v="Standard"/>
    <s v="empreendedores-dv360-zip-display-large_mobile_banner-320x100-empreendedores_zip_animada_bau-affinities_inmarket_empreendedores-cpm"/>
    <s v="472151890"/>
    <s v="Display"/>
    <n v="24"/>
    <n v="0"/>
    <n v="0.04"/>
    <n v="0.1"/>
    <n v="9.5999999999999992E-4"/>
    <n v="2.4000000000000002E-3"/>
  </r>
  <r>
    <x v="4"/>
    <s v="Google Brasil"/>
    <s v="empreendedores-empreendedores-dv360-zip-display-large_rectangle-empreendedores_zip_animada_bau-affinities_inmarket_empreendedores"/>
    <s v="277872212"/>
    <s v="Standard"/>
    <s v="empreendedores-dv360-zip-display-large_rectangle-336x280-empreendedores_zip_animada_bau-affinities_inmarket_empreendedores-cpm"/>
    <s v="472323054"/>
    <s v="Display"/>
    <n v="44340"/>
    <n v="5432"/>
    <n v="0.04"/>
    <n v="0.1"/>
    <n v="1.7736000000000001"/>
    <n v="4.4340000000000002"/>
  </r>
  <r>
    <x v="4"/>
    <s v="Google Brasil"/>
    <s v="empreendedores-empreendedores-dv360-zip-display-leaderboard-empreendedores_zip_animada_bau-affinities_inmarket_empreendedores"/>
    <s v="277872242"/>
    <s v="Standard"/>
    <s v="empreendedores-dv360-zip-display-leaderboard-728x90-empreendedores_zip_animada_bau-affinities_inmarket_empreendedores-cpm"/>
    <s v="472325184"/>
    <s v="Display"/>
    <n v="764"/>
    <n v="18"/>
    <n v="0.04"/>
    <n v="0.1"/>
    <n v="3.0560000000000004E-2"/>
    <n v="7.640000000000001E-2"/>
  </r>
  <r>
    <x v="4"/>
    <s v="Google Brasil"/>
    <s v="empreendedores-empreendedores-dv360-zip-display-leaderboard-empreendedores_zip_animada_bau-affinities_inmarket_empreendedores"/>
    <s v="278044504"/>
    <s v="Standard"/>
    <s v="empreendedores-dv360-zip-display-leaderboard-728x90-empreendedores_zip_animada_bau-affinities_inmarket_empreendedores-cpm"/>
    <s v="472151893"/>
    <s v="Display"/>
    <n v="16"/>
    <n v="0"/>
    <n v="0.04"/>
    <n v="0.1"/>
    <n v="6.4000000000000005E-4"/>
    <n v="1.6000000000000001E-3"/>
  </r>
  <r>
    <x v="4"/>
    <s v="Google Brasil"/>
    <s v="empreendedores-empreendedores-dv360-zip-display-medium_rectangle-empreendedores_zip_animada_bau-affinities_inmarket_empreendedores"/>
    <s v="277872248"/>
    <s v="Standard"/>
    <s v="empreendedores-dv360-zip-display-medium_rectangle-300x250-empreendedores_zip_animada_bau-affinities_inmarket_empreendedores-cpm"/>
    <s v="472325190"/>
    <s v="Display"/>
    <n v="4296"/>
    <n v="493"/>
    <n v="0.04"/>
    <n v="0.1"/>
    <n v="0.17183999999999999"/>
    <n v="0.42960000000000004"/>
  </r>
  <r>
    <x v="4"/>
    <s v="Google Brasil"/>
    <s v="empreendedores-empreendedores-dv360-zip-display-medium_rectangle-empreendedores_zip_animada_bau-affinities_inmarket_empreendedores"/>
    <s v="278044507"/>
    <s v="Standard"/>
    <s v="empreendedores-dv360-zip-display-medium_rectangle-300x250-empreendedores_zip_animada_bau-affinities_inmarket_empreendedores-cpm"/>
    <s v="472151896"/>
    <s v="Display"/>
    <n v="14225"/>
    <n v="1892"/>
    <n v="0.04"/>
    <n v="0.1"/>
    <n v="0.56899999999999995"/>
    <n v="1.4225000000000001"/>
  </r>
  <r>
    <x v="4"/>
    <s v="Google Brasil"/>
    <s v="empreendedores-empreendedores-dv360-zip-display-mobile_leaderboard-empreendedores_zip_animada_bau-affinities_inmarket_empreendedores"/>
    <s v="277872230"/>
    <s v="Standard"/>
    <s v="empreendedores-dv360-zip-display-mobile_leaderboard-320x50-empreendedores_zip_animada_bau-affinities_inmarket_empreendedores-cpm"/>
    <s v="472323072"/>
    <s v="Display"/>
    <n v="15236"/>
    <n v="110"/>
    <n v="0.04"/>
    <n v="0.1"/>
    <n v="0.60944000000000009"/>
    <n v="1.5236000000000001"/>
  </r>
  <r>
    <x v="4"/>
    <s v="Google Brasil"/>
    <s v="empreendedores-empreendedores-dv360-zip-display-mobile_leaderboard-empreendedores_zip_animada_bau-affinities_inmarket_empreendedores"/>
    <s v="278044498"/>
    <s v="Standard"/>
    <s v="empreendedores-dv360-zip-display-mobile_leaderboard-320x50-empreendedores_zip_animada_bau-affinities_inmarket_empreendedores-cpm"/>
    <s v="472151887"/>
    <s v="Display"/>
    <n v="2148"/>
    <n v="23"/>
    <n v="0.04"/>
    <n v="0.1"/>
    <n v="8.5919999999999996E-2"/>
    <n v="0.21480000000000002"/>
  </r>
  <r>
    <x v="4"/>
    <s v="Google Brasil"/>
    <s v="empreendedores-empreendedores-dv360-zip-display-small_rectangle-empreendedores_zip_animada_bau-affinities_inmarket_empreendedores"/>
    <s v="277872224"/>
    <s v="Standard"/>
    <s v="empreendedores-dv360-zip-display-small_rectangle-180x150-empreendedores_zip_animada_bau-affinities_inmarket_empreendedores-cpm"/>
    <s v="472323066"/>
    <s v="Display"/>
    <n v="18"/>
    <n v="0"/>
    <n v="0.04"/>
    <n v="0.1"/>
    <n v="7.1999999999999994E-4"/>
    <n v="1.8E-3"/>
  </r>
  <r>
    <x v="4"/>
    <s v="Google Brasil"/>
    <s v="empreendedores-empreendedores-dv360-zip-display-small_rectangle-empreendedores_zip_animada_bau-affinities_inmarket_empreendedores"/>
    <s v="278044495"/>
    <s v="Standard"/>
    <s v="empreendedores-dv360-zip-display-small_rectangle-180x150-empreendedores_zip_animada_bau-affinities_inmarket_empreendedores-cpm"/>
    <s v="472151884"/>
    <s v="Display"/>
    <n v="5"/>
    <n v="0"/>
    <n v="0.04"/>
    <n v="0.1"/>
    <n v="2.0000000000000001E-4"/>
    <n v="5.0000000000000001E-4"/>
  </r>
  <r>
    <x v="4"/>
    <s v="Google Brasil"/>
    <s v="empreendedores-empreendedores-dv360-zip-display-wide_skyscraper-empreendedores_zip_animada_bau-affinities_inmarket_empreendedores"/>
    <s v="277872218"/>
    <s v="Standard"/>
    <s v="empreendedores-dv360-zip-display-wide_skyscraper-160x600-empreendedores_zip_animada_bau-affinities_inmarket_empreendedores-cpm"/>
    <s v="472323060"/>
    <s v="Display"/>
    <n v="74"/>
    <n v="4"/>
    <n v="0.04"/>
    <n v="0.1"/>
    <n v="2.96E-3"/>
    <n v="7.4000000000000003E-3"/>
  </r>
  <r>
    <x v="4"/>
    <s v="Oath - Verizon Media"/>
    <s v="empreendedores-empreendedores-verizon-flash-display-halfpage-empreendedores_flash_animada_bau-pequeno_empreendedor_look-a-like_ e_predictive audience"/>
    <s v="278044528"/>
    <s v="Standard"/>
    <s v="empreendedores-verizon-flash-display-halfpage-300x600-empreendedores_flash_animada_bau-pequeno_empreendedor_look-a-like_ e_predictive audience-cpm"/>
    <s v="472151917"/>
    <s v="Display"/>
    <n v="0"/>
    <n v="1"/>
    <n v="0.04"/>
    <n v="0.1"/>
    <n v="0"/>
    <n v="0"/>
  </r>
  <r>
    <x v="4"/>
    <s v="Oath - Verizon Media"/>
    <s v="empreendedores-empreendedores-verizon-flash-display-mobile_leaderboard-empreendedores_flash_animada_bau-pequeno_empreendedor_look-a-like_ e_predictive audience"/>
    <s v="278044531"/>
    <s v="Standard"/>
    <s v="empreendedores-verizon-flash-display-mobile_leaderboard-320x50-empreendedores_flash_animada_bau-pequeno_empreendedor_look-a-like_ e_predictive audience-cpm"/>
    <s v="472165721"/>
    <s v="Display"/>
    <n v="2"/>
    <n v="0"/>
    <n v="0.04"/>
    <n v="0.1"/>
    <n v="8.0000000000000007E-5"/>
    <n v="2.0000000000000001E-4"/>
  </r>
  <r>
    <x v="4"/>
    <s v="Oath - Verizon Media"/>
    <s v="empreendedores-empreendedores-verizon-flash-display-wide_skyscraper-empreendedores_flash_animada_bau-pequeno_empreendedor_look-a-like_ e_predictive audience"/>
    <s v="278044525"/>
    <s v="Standard"/>
    <s v="empreendedores-verizon-flash-display-wide_skyscraper-160x600-empreendedores_flash_animada_bau-pequeno_empreendedor_look-a-like_ e_predictive audience-cpm"/>
    <s v="472151914"/>
    <s v="Display"/>
    <n v="1"/>
    <n v="0"/>
    <n v="0.04"/>
    <n v="0.1"/>
    <n v="4.0000000000000003E-5"/>
    <n v="1E-4"/>
  </r>
  <r>
    <x v="4"/>
    <s v="Oath - Verizon Media"/>
    <s v="empreendedores-empreendedores-verizon-lio+-native-native-empreendedores_lio_mais-pequeno_empreendedor_look-a-like_ e_predictive audience"/>
    <s v="276197453"/>
    <s v="Standard"/>
    <s v="empreendedores-verizon-lio+-native-native-627x627-empreendedores_lio_mais-pequeno_empreendedor_look-a-like_ e_predictive audience-cpc"/>
    <s v="470633105"/>
    <s v="Tracking"/>
    <n v="2"/>
    <n v="0"/>
    <n v="0.04"/>
    <n v="0.1"/>
    <n v="8.0000000000000007E-5"/>
    <n v="2.0000000000000001E-4"/>
  </r>
  <r>
    <x v="4"/>
    <s v="Oath - Verizon Media"/>
    <s v="empreendedores-empreendedores-verizon-lio+-native-native-empreendedores_lio_mais-pequeno_empreendedor_look-a-like_ e_predictive audience"/>
    <s v="276197993"/>
    <s v="Standard"/>
    <s v="empreendedores-verizon-lio+-native-native-1200x627-empreendedores_lio_mais-pequeno_empreendedor_look-a-like_ e_predictive audience-cpc"/>
    <s v="470726775"/>
    <s v="Tracking"/>
    <n v="1"/>
    <n v="0"/>
    <n v="0.04"/>
    <n v="0.1"/>
    <n v="4.0000000000000003E-5"/>
    <n v="1E-4"/>
  </r>
  <r>
    <x v="4"/>
    <s v="Oath - Verizon Media"/>
    <s v="empreendedores-empreendedores-verizon-zip-display-halfpage-empreendedores_zip_animada_bau-pequeno_empreendedor_look-a-like_ e_predictive audience"/>
    <s v="278044519"/>
    <s v="Standard"/>
    <s v="empreendedores-verizon-zip-display-halfpage-300x600-empreendedores_zip_animada_bau-pequeno_empreendedor_look-a-like_ e_predictive audience-cpm"/>
    <s v="472151908"/>
    <s v="Display"/>
    <n v="1"/>
    <n v="0"/>
    <n v="0.04"/>
    <n v="0.1"/>
    <n v="4.0000000000000003E-5"/>
    <n v="1E-4"/>
  </r>
  <r>
    <x v="4"/>
    <s v="Oath - Verizon Media"/>
    <s v="empreendedores-empreendedores-verizon-zip-display-leaderboard-empreendedores_zip_animada_bau-pequeno_empreendedor_look-a-like_ e_predictive audience"/>
    <s v="278044513"/>
    <s v="Standard"/>
    <s v="empreendedores-verizon-zip-display-leaderboard-728x90-empreendedores_zip_animada_bau-pequeno_empreendedor_look-a-like_ e_predictive audience-cpm"/>
    <s v="472151902"/>
    <s v="Display"/>
    <n v="2"/>
    <n v="0"/>
    <n v="0.04"/>
    <n v="0.1"/>
    <n v="8.0000000000000007E-5"/>
    <n v="2.0000000000000001E-4"/>
  </r>
  <r>
    <x v="4"/>
    <s v="Oath - Verizon Media"/>
    <s v="empreendedores-empreendedores-verizon-zip-display-mobile_leaderboard-empreendedores_zip_animada_bau-pequeno_empreendedor_look-a-like_ e_predictive audience"/>
    <s v="278044522"/>
    <s v="Standard"/>
    <s v="empreendedores-verizon-zip-display-mobile_leaderboard-320x50-empreendedores_zip_animada_bau-pequeno_empreendedor_look-a-like_ e_predictive audience-cpm"/>
    <s v="472151911"/>
    <s v="Display"/>
    <n v="4"/>
    <n v="0"/>
    <n v="0.04"/>
    <n v="0.1"/>
    <n v="1.6000000000000001E-4"/>
    <n v="4.0000000000000002E-4"/>
  </r>
  <r>
    <x v="4"/>
    <s v="Oath - Verizon Media"/>
    <s v="empreendedores-empreendedores-verizon-zip-display-wide_skyscraper-empreendedores_zip_animada_bau-pequeno_empreendedor_look-a-like_ e_predictive audience"/>
    <s v="278044516"/>
    <s v="Standard"/>
    <s v="empreendedores-verizon-zip-display-wide_skyscraper-160x600-empreendedores_zip_animada_bau-pequeno_empreendedor_look-a-like_ e_predictive audience-cpm"/>
    <s v="472151905"/>
    <s v="Display"/>
    <n v="1"/>
    <n v="0"/>
    <n v="0.04"/>
    <n v="0.1"/>
    <n v="4.0000000000000003E-5"/>
    <n v="1E-4"/>
  </r>
  <r>
    <x v="5"/>
    <s v="Oath - Verizon Media"/>
    <s v="nova_cielo-empreendedores-verizon-flash-display-wide_skyscraper-flash_atendimento-pequeno_empreendedor_look-a-like_ e_predictive audience"/>
    <s v="271364830"/>
    <s v="Standard"/>
    <s v="empreendedores-verizon-flash-display-wide_skyscraper-160x600-flash_atendimento-pequeno_empreendedor_look-a-like_ e_predictive audience-cpm"/>
    <s v="465919413"/>
    <s v="Display"/>
    <n v="1"/>
    <n v="0"/>
    <n v="0.04"/>
    <n v="0.1"/>
    <n v="4.0000000000000003E-5"/>
    <n v="1E-4"/>
  </r>
  <r>
    <x v="5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1"/>
    <n v="0"/>
    <n v="0.04"/>
    <n v="0.1"/>
    <n v="4.0000000000000003E-5"/>
    <n v="1E-4"/>
  </r>
  <r>
    <x v="6"/>
    <s v="BR Globo"/>
    <s v="pegn-marca-globo-marca-display-carrossel-pegn_cielo_coronavoucher-as_25_interesses"/>
    <s v="276812053"/>
    <s v="Standard"/>
    <s v="marca-globo-marca-display-carrossel-400x300-pegn_cielo_coronavoucher-as_25_interesses-cpm"/>
    <s v="471035097"/>
    <s v="Tracking"/>
    <n v="20704"/>
    <n v="77"/>
    <n v="0.04"/>
    <n v="0.1"/>
    <n v="0.82816000000000001"/>
    <n v="2.0704000000000002"/>
  </r>
  <r>
    <x v="6"/>
    <s v="BR Globo"/>
    <s v="pegn-marca-globo-marca-display-carrossel-pegn_cielo_superlink-as_25_interesses"/>
    <s v="282144197"/>
    <s v="Standard"/>
    <s v="marca-globo-marca-display-carrossel-400x300-pegn_cielo_superlink-as_25_interesses-cpm"/>
    <s v="476119853"/>
    <s v="Tracking"/>
    <n v="266380"/>
    <n v="816"/>
    <n v="0.04"/>
    <n v="0.1"/>
    <n v="10.655200000000001"/>
    <n v="26.638000000000002"/>
  </r>
  <r>
    <x v="6"/>
    <s v="BR Globo"/>
    <s v="pegn-marca-globo-marca-display-carrossel-pegn_cielo_superlink_lutadiaria-as_25_interesses"/>
    <s v="275645224"/>
    <s v="Standard"/>
    <s v="marca-globo-marca-display-carrossel-400x300-pegn_cielo_superlink_lutadiaria-as_25_interesses-cpm"/>
    <s v="469931074"/>
    <s v="Tracking"/>
    <n v="583704"/>
    <n v="2134"/>
    <n v="0.04"/>
    <n v="0.1"/>
    <n v="23.34816"/>
    <n v="58.370400000000004"/>
  </r>
  <r>
    <x v="6"/>
    <s v="BR Globo"/>
    <s v="pegn-marca-globo-marca-display-maxiboard-pegn_cielo_coronavoucher-as_25_interesses"/>
    <s v="276487391"/>
    <s v="Standard"/>
    <s v="marca-globo-marca-display-maxiboard-970x150-pegn_cielo_coronavoucher-as_25_interesses-cpm"/>
    <s v="470964913"/>
    <s v="Display"/>
    <n v="11777"/>
    <n v="14"/>
    <n v="0.04"/>
    <n v="0.1"/>
    <n v="0.47108"/>
    <n v="1.1777"/>
  </r>
  <r>
    <x v="6"/>
    <s v="BR Globo"/>
    <s v="pegn-marca-globo-marca-display-maxiboard-pegn_cielo_superlink-as_25_interesses"/>
    <s v="282156500"/>
    <s v="Standard"/>
    <s v="marca-globo-marca-display-maxiboard-970x150-pegn_cielo_superlink-as_25_interesses-cpm"/>
    <s v="476119856"/>
    <s v="Display"/>
    <n v="58122"/>
    <n v="28"/>
    <n v="0.04"/>
    <n v="0.1"/>
    <n v="2.3248800000000003"/>
    <n v="5.8122000000000007"/>
  </r>
  <r>
    <x v="6"/>
    <s v="BR Globo"/>
    <s v="pegn-marca-globo-marca-display-maxiboard-pegn_cielo_superlink_lutadiaria-as_25_interesses"/>
    <s v="275703516"/>
    <s v="Standard"/>
    <s v="marca-globo-marca-display-maxiboard-970x150-pegn_cielo_superlink_lutadiaria-as_25_interesses-cpm"/>
    <s v="469931347"/>
    <s v="Display"/>
    <n v="101715"/>
    <n v="45"/>
    <n v="0.04"/>
    <n v="0.1"/>
    <n v="4.0686"/>
    <n v="10.1715"/>
  </r>
  <r>
    <x v="6"/>
    <s v="BR Globo"/>
    <s v="pegn-marca-globo-marca-display-medium_rectangle-pegn_cielo_coronavoucher-as_25_interesses"/>
    <s v="276487394"/>
    <s v="Standard"/>
    <s v="marca-globo-marca-display-medium_rectangle-300x250-pegn_cielo_coronavoucher-as_25_interesses-cpm"/>
    <s v="470964916"/>
    <s v="Display"/>
    <n v="39076"/>
    <n v="115"/>
    <n v="0.04"/>
    <n v="0.1"/>
    <n v="1.56304"/>
    <n v="3.9076000000000004"/>
  </r>
  <r>
    <x v="6"/>
    <s v="BR Globo"/>
    <s v="pegn-marca-globo-marca-display-medium_rectangle-pegn_cielo_superlink-as_25_interesses"/>
    <s v="282156503"/>
    <s v="Standard"/>
    <s v="marca-globo-marca-display-medium_rectangle-300x250-pegn_cielo_superlink-as_25_interesses-cpm"/>
    <s v="476119859"/>
    <s v="Display"/>
    <n v="331982"/>
    <n v="962"/>
    <n v="0.04"/>
    <n v="0.1"/>
    <n v="13.27928"/>
    <n v="33.198200000000007"/>
  </r>
  <r>
    <x v="6"/>
    <s v="BR Globo"/>
    <s v="pegn-marca-globo-marca-display-medium_rectangle-pegn_cielo_superlink_lutadiaria-as_25_interesses"/>
    <s v="275345177"/>
    <s v="Standard"/>
    <s v="marca-globo-marca-display-medium_rectangle-300x250-pegn_cielo_superlink_lutadiaria-as_25_interesses-cpm"/>
    <s v="469931029"/>
    <s v="Display"/>
    <n v="466636"/>
    <n v="1253"/>
    <n v="0.04"/>
    <n v="0.1"/>
    <n v="18.66544"/>
    <n v="46.663600000000002"/>
  </r>
  <r>
    <x v="6"/>
    <s v="BR Globo"/>
    <s v="pegn-marca-globo-marca-display-stick_ad-pegn_cielo_coronavoucher-as_25_interesses"/>
    <s v="276487397"/>
    <s v="Standard"/>
    <s v="marca-globo-marca-display-stick_ad-320x50-pegn_cielo_coronavoucher-as_25_interesses-cpm"/>
    <s v="470964919"/>
    <s v="Display"/>
    <n v="248"/>
    <n v="0"/>
    <n v="0.04"/>
    <n v="0.1"/>
    <n v="9.92E-3"/>
    <n v="2.4799999999999999E-2"/>
  </r>
  <r>
    <x v="6"/>
    <s v="BR Globo"/>
    <s v="pegn-marca-globo-marca-display-stick_ad-pegn_cielo_superlink-as_25_interesses"/>
    <s v="282156506"/>
    <s v="Standard"/>
    <s v="marca-globo-marca-display-stick_ad-320x50-pegn_cielo_superlink-as_25_interesses-cpm"/>
    <s v="476119862"/>
    <s v="Display"/>
    <n v="865"/>
    <n v="5"/>
    <n v="0.04"/>
    <n v="0.1"/>
    <n v="3.4599999999999999E-2"/>
    <n v="8.6499999999999994E-2"/>
  </r>
  <r>
    <x v="6"/>
    <s v="BR Globo"/>
    <s v="pegn-marca-globo-marca-video-pre_roll-pegn_cielo_superlink-as_25_interesses"/>
    <s v="282144194"/>
    <s v="Rich Media display banner"/>
    <s v="marca-globo-marca-video-pre_roll-1920x1080-pegn_cielo_superlink-as_25_interesses-cpm"/>
    <s v="476119850"/>
    <s v="In-Stream Video"/>
    <n v="30079"/>
    <n v="515"/>
    <n v="0.6"/>
    <n v="0.35"/>
    <n v="18.047399999999996"/>
    <n v="10.52765"/>
  </r>
  <r>
    <x v="7"/>
    <s v="afilio.com.br"/>
    <s v="receba-rapido-varejo-afilio-marca-display-halfpage-receba_rapido_estoque-base_legada_elegivel_cielo"/>
    <s v="271347721"/>
    <s v="Standard"/>
    <s v="receba-rapido-varejo-afilio-marca-display-halfpage-receba_rapido_estoque-base_legada_elegivel_cielo"/>
    <s v="465889472"/>
    <s v="Tracking"/>
    <n v="1"/>
    <n v="0"/>
    <n v="0.04"/>
    <n v="0.1"/>
    <n v="4.0000000000000003E-5"/>
    <n v="1E-4"/>
  </r>
  <r>
    <x v="7"/>
    <s v="afilio.com.br"/>
    <s v="receba-rapido-varejo-afilio-marca-display-leaderboard-receba_rapido_estoque-base_legada_elegivel_cielo"/>
    <s v="271347715"/>
    <s v="Standard"/>
    <s v="receba-rapido-varejo-afilio-marca-display-leaderboard-receba_rapido_estoque-base_legada_elegivel_cielo"/>
    <s v="465889466"/>
    <s v="Tracking"/>
    <n v="1"/>
    <n v="0"/>
    <n v="0.04"/>
    <n v="0.1"/>
    <n v="4.0000000000000003E-5"/>
    <n v="1E-4"/>
  </r>
  <r>
    <x v="7"/>
    <s v="afilio.com.br"/>
    <s v="receba-rapido-varejo-afilio-marca-display-medium_rectangle-receba_rapido_estoque-base_legada_elegivel_cielo"/>
    <s v="271347724"/>
    <s v="Standard"/>
    <s v="receba-rapido-varejo-afilio-marca-display-medium_rectangle-receba_rapido_estoque-base_legada_elegivel_cielo"/>
    <s v="465889475"/>
    <s v="Tracking"/>
    <n v="3"/>
    <n v="0"/>
    <n v="0.04"/>
    <n v="0.1"/>
    <n v="1.1999999999999999E-4"/>
    <n v="3.0000000000000003E-4"/>
  </r>
  <r>
    <x v="7"/>
    <s v="afilio.com.br"/>
    <s v="receba-rapido-varejo-afilio-marca-display-mobile-receba_rapido_estoque-base_legada_elegivel_cielo"/>
    <s v="271347718"/>
    <s v="Standard"/>
    <s v="receba-rapido-varejo-afilio-marca-display-mobile-receba_rapido_estoque-base_legada_elegivel_cielo"/>
    <s v="465889469"/>
    <s v="Tracking"/>
    <n v="1"/>
    <n v="0"/>
    <n v="0.04"/>
    <n v="0.1"/>
    <n v="4.0000000000000003E-5"/>
    <n v="1E-4"/>
  </r>
  <r>
    <x v="7"/>
    <s v="afilio.com.br"/>
    <s v="receba-rapido-varejo-afilio-marca-display-wide_skyscraper-receba_rapido_estoque-base_legada_elegivel_cielo"/>
    <s v="271351459"/>
    <s v="Standard"/>
    <s v="receba-rapido-varejo-afilio-marca-display-wide_skyscraper-receba_rapido_estoque-base_legada_elegivel_cielo"/>
    <s v="465921682"/>
    <s v="Tracking"/>
    <n v="1"/>
    <n v="0"/>
    <n v="0.04"/>
    <n v="0.1"/>
    <n v="4.0000000000000003E-5"/>
    <n v="1E-4"/>
  </r>
  <r>
    <x v="8"/>
    <s v="Cazamba"/>
    <s v="superlink-marca-cazamba-superlink-display-Interstitial-sl_luta_diaria-as25_empreendedor_varejo_interesses"/>
    <s v="275741543"/>
    <s v="Dynamic Click"/>
    <s v="marca-cazamba-superlink-display-Interstitial-640x960-sl_luta_diaria-as25_empreendedor_varejo_interesses-cpm"/>
    <s v="470337270"/>
    <s v="Tracking"/>
    <n v="0"/>
    <n v="1"/>
    <n v="3.5000000000000001E-3"/>
    <n v="2.5000000000000001E-2"/>
    <n v="3.5000000000000001E-3"/>
    <n v="2.5000000000000001E-2"/>
  </r>
  <r>
    <x v="8"/>
    <s v="Google Brasil"/>
    <s v="superlink-marca-dv360-superlink-display-halfpage-luta_diaria-affinities_inmarket_superlink"/>
    <s v="281616517"/>
    <s v="Standard"/>
    <s v="300x600 Default Web Ad"/>
    <s v="469359566"/>
    <s v="Display"/>
    <n v="3"/>
    <n v="1"/>
    <n v="0.04"/>
    <n v="0.1"/>
    <n v="1.1999999999999999E-4"/>
    <n v="3.0000000000000003E-4"/>
  </r>
  <r>
    <x v="8"/>
    <s v="Google Brasil"/>
    <s v="superlink-marca-dv360-superlink-display-halfpage-luta_diaria-affinities_inmarket_superlink"/>
    <s v="281616517"/>
    <s v="Standard"/>
    <s v="marca-dv360-superlink-display-halfpage-300x600-luta_diaria-affinities_inmarket_superlink-cpm"/>
    <s v="475546864"/>
    <s v="Display"/>
    <n v="3796691"/>
    <n v="257720"/>
    <n v="0.04"/>
    <n v="0.1"/>
    <n v="151.86764000000002"/>
    <n v="379.66910000000001"/>
  </r>
  <r>
    <x v="8"/>
    <s v="Google Brasil"/>
    <s v="superlink-marca-dv360-superlink-display-leaderboard-luta_diaria-affinities_inmarket_superlink"/>
    <s v="281616526"/>
    <s v="Standard"/>
    <s v="728x90 Default Web Ad"/>
    <s v="469359923"/>
    <s v="Display"/>
    <n v="9"/>
    <n v="1"/>
    <n v="0.04"/>
    <n v="0.1"/>
    <n v="3.5999999999999997E-4"/>
    <n v="8.9999999999999998E-4"/>
  </r>
  <r>
    <x v="8"/>
    <s v="Google Brasil"/>
    <s v="superlink-marca-dv360-superlink-display-leaderboard-luta_diaria-affinities_inmarket_superlink"/>
    <s v="281616526"/>
    <s v="Standard"/>
    <s v="marca-dv360-superlink-display-leaderboard-728x90-luta_diaria-affinities_inmarket_superlink-cpm"/>
    <s v="475546855"/>
    <s v="Display"/>
    <n v="5167894"/>
    <n v="32264"/>
    <n v="0.04"/>
    <n v="0.1"/>
    <n v="206.71576000000002"/>
    <n v="516.7894"/>
  </r>
  <r>
    <x v="8"/>
    <s v="Google Brasil"/>
    <s v="superlink-marca-dv360-superlink-display-medium_rectangle-luta_diaria-affinities_inmarket_superlink"/>
    <s v="281616520"/>
    <s v="Standard"/>
    <s v="300x250 Default Web Ad"/>
    <s v="469441638"/>
    <s v="Display"/>
    <n v="8"/>
    <n v="1"/>
    <n v="0.04"/>
    <n v="0.1"/>
    <n v="3.2000000000000003E-4"/>
    <n v="8.0000000000000004E-4"/>
  </r>
  <r>
    <x v="8"/>
    <s v="Google Brasil"/>
    <s v="superlink-marca-dv360-superlink-display-medium_rectangle-luta_diaria-affinities_inmarket_superlink"/>
    <s v="281616520"/>
    <s v="Standard"/>
    <s v="marca-dv360-superlink-display-medium_rectangle-300x250-luta_diaria-affinities_inmarket_superlink-cpm"/>
    <s v="475546861"/>
    <s v="Display"/>
    <n v="6158188"/>
    <n v="63388"/>
    <n v="0.04"/>
    <n v="0.1"/>
    <n v="246.32752000000002"/>
    <n v="615.81880000000001"/>
  </r>
  <r>
    <x v="8"/>
    <s v="Google Brasil"/>
    <s v="superlink-marca-dv360-superlink-display-skyscraper-luta_diaria-affinities_inmarket_superlink"/>
    <s v="281616523"/>
    <s v="Default"/>
    <s v="160x600 Default Web Ad"/>
    <s v="469372642"/>
    <s v="Display"/>
    <n v="1"/>
    <n v="1"/>
    <n v="0.04"/>
    <n v="0.1"/>
    <n v="4.0000000000000003E-5"/>
    <n v="1E-4"/>
  </r>
  <r>
    <x v="8"/>
    <s v="Google Brasil"/>
    <s v="superlink-marca-dv360-superlink-display-skyscraper-luta_diaria-affinities_inmarket_superlink"/>
    <s v="281616523"/>
    <s v="Standard"/>
    <s v="marca-dv360-superlink-display-skyscraper-160x600-luta_diaria-affinities_inmarket_superlink-cpm"/>
    <s v="475546858"/>
    <s v="Display"/>
    <n v="443952"/>
    <n v="1150"/>
    <n v="0.04"/>
    <n v="0.1"/>
    <n v="17.758080000000003"/>
    <n v="44.395200000000003"/>
  </r>
  <r>
    <x v="8"/>
    <s v="Google Brasil"/>
    <s v="superlink-marca-dv360_Cazamba-superlink-display-Interstitial-sl_luta_diaria-as25_empreendedor_varejo_interesses"/>
    <s v="279352308"/>
    <s v="Dynamic Click"/>
    <s v="marca-dv360_Cazamba-superlink-display-Interstitial-640x960-sl_luta_diaria-as25_empreendedor_varejo_interesses-cpm"/>
    <s v="473341439"/>
    <s v="Tracking"/>
    <n v="0"/>
    <n v="4"/>
    <n v="3.5000000000000001E-3"/>
    <n v="2.5000000000000001E-2"/>
    <n v="1.4E-2"/>
    <n v="0.1"/>
  </r>
  <r>
    <x v="8"/>
    <s v="Google Brasil"/>
    <s v="superlink-marca-dv360_Folha-superlink-display-halfpage-luta_diaria-AS25_microempreendedor_medioempreendedor_negocios_vendasonline_donosdenegocios"/>
    <s v="278993144"/>
    <s v="Standard"/>
    <s v="marca-dv360_Folha-superlink-display-halfpage-300x600-luta_diaria-AS25_microempreendedor_medioempreendedor_negocios_vendasonline_donosdenegocios-cpm"/>
    <s v="475357392"/>
    <s v="Display"/>
    <n v="960283"/>
    <n v="115"/>
    <n v="0.04"/>
    <n v="0.1"/>
    <n v="38.411319999999996"/>
    <n v="96.028300000000002"/>
  </r>
  <r>
    <x v="8"/>
    <s v="Google Brasil"/>
    <s v="superlink-marca-dv360_Folha-superlink-display-leaderboard-luta_diaria-AS25_microempreendedor_medioempreendedor_negocios_vendasonline_donosdenegocios"/>
    <s v="281348424"/>
    <s v="Standard"/>
    <s v="marca-dv360_Folha-superlink-display-leaderboard-728x90-luta_diaria-AS25_microempreendedor_medioempreendedor_negocios_vendasonline_donosdenegocios-cpm"/>
    <s v="475208060"/>
    <s v="Display"/>
    <n v="373691"/>
    <n v="42"/>
    <n v="0.04"/>
    <n v="0.1"/>
    <n v="14.94764"/>
    <n v="37.369099999999996"/>
  </r>
  <r>
    <x v="8"/>
    <s v="Google Brasil"/>
    <s v="superlink-marca-dv360_Folha-superlink-display-medium_rectangle-luta_diaria-AS25_microempreendedor_medioempreendedor_negocios_vendasonline_donosdenegocios"/>
    <s v="281348418"/>
    <s v="Standard"/>
    <s v="300x250 Default Web Ad"/>
    <s v="469441638"/>
    <s v="Display"/>
    <n v="3"/>
    <n v="1"/>
    <n v="0.04"/>
    <n v="0.1"/>
    <n v="1.1999999999999999E-4"/>
    <n v="3.0000000000000003E-4"/>
  </r>
  <r>
    <x v="8"/>
    <s v="Google Brasil"/>
    <s v="superlink-marca-dv360_Folha-superlink-display-medium_rectangle-luta_diaria-AS25_microempreendedor_medioempreendedor_negocios_vendasonline_donosdenegocios"/>
    <s v="281348418"/>
    <s v="Standard"/>
    <s v="marca-dv360_Folha-superlink-display-medium_rectangle-300x250-luta_diaria-AS25_microempreendedor_medioempreendedor_negocios_vendasonline_donosdenegocios-cpm"/>
    <s v="475357329"/>
    <s v="Display"/>
    <n v="1164336"/>
    <n v="171"/>
    <n v="0.04"/>
    <n v="0.1"/>
    <n v="46.573440000000005"/>
    <n v="116.43360000000001"/>
  </r>
  <r>
    <x v="8"/>
    <s v="Google Brasil"/>
    <s v="superlink-marca-dv360_Folha-superlink-display-skyscraper-luta_diaria-AS25_microempreendedor_medioempreendedor_negocios_vendasonline_donosdenegocios"/>
    <s v="281348421"/>
    <s v="Standard"/>
    <s v="marca-dv360_Folha-superlink-display-skyscraper-160x600-luta_diaria-AS25_microempreendedor_medioempreendedor_negocios_vendasonline_donosdenegocios-cpm"/>
    <s v="475208069"/>
    <s v="Display"/>
    <n v="1"/>
    <n v="1"/>
    <n v="0.04"/>
    <n v="0.1"/>
    <n v="4.0000000000000003E-5"/>
    <n v="1E-4"/>
  </r>
  <r>
    <x v="8"/>
    <s v="Google Brasil"/>
    <s v="superlink-marca-dv360_Outbrain-superlink-native-native_highimpact-superlink_vendapelasredessociais-AS25_microempreendedor_medioempreendedor_negocios_vendasonline_donosdenegocios"/>
    <s v="279256134"/>
    <s v="Standard"/>
    <s v="marca-dv360_Outbrain-superlink-native-native_highimpact-1200x627-superlink_vendapelasredessociais-AS25_microempreendedor_medioempreendedor_negocios_vendasonline_donosdenegocios-cpc"/>
    <s v="473287627"/>
    <s v="Tracking"/>
    <n v="4"/>
    <n v="0"/>
    <n v="0.04"/>
    <n v="0.1"/>
    <n v="1.6000000000000001E-4"/>
    <n v="4.0000000000000002E-4"/>
  </r>
  <r>
    <x v="8"/>
    <s v="Google Brasil"/>
    <s v="superlink-marca-dv360_Outbrain-superlink-native-native_rectangle-superlink_vendapelasredessociais-AS25_microempreendedor_medioempreendedor_negocios_vendasonline_donosdenegocios"/>
    <s v="278995598"/>
    <s v="Standard"/>
    <s v="marca-dv360_Outbrain-superlink-native-native_rectangle-1200x627-superlink_vendapelasredessociais-AS25_microempreendedor_medioempreendedor_negocios_vendasonline_donosdenegocios-cpc"/>
    <s v="473258282"/>
    <s v="Tracking"/>
    <n v="2250299"/>
    <n v="2568"/>
    <n v="0.04"/>
    <n v="0.1"/>
    <n v="90.011960000000002"/>
    <n v="225.02990000000003"/>
  </r>
  <r>
    <x v="8"/>
    <s v="Google Brasil"/>
    <s v="superlink-marca-dv360_Roix-superlink-video-pre_roll-superlink_video30s-as25_microempreendedor_medioempreendedor_negocios_vendasonline_donosdenegocios"/>
    <s v="276627353"/>
    <s v="Rich Media display banner"/>
    <s v="marca-dv360_Roix-superlink-video-pre_roll-1920x1080-superlink_video30s-as25_microempreendedor_medioempreendedor_negocios_vendasonline_donosdenegocios-cpm"/>
    <s v="471083030"/>
    <s v="In-Stream Video"/>
    <n v="674293"/>
    <n v="1605"/>
    <n v="0.6"/>
    <n v="0.35"/>
    <n v="404.57580000000002"/>
    <n v="236.00254999999999"/>
  </r>
  <r>
    <x v="8"/>
    <s v="Google Brasil"/>
    <s v="superlink-marca-dv360_Seedtag-superlink-video-pre_roll-superlink_video30s-as25_microempreendedor_medioempreendedor_negocios_vendasonline_donosdenegocios"/>
    <s v="276627347"/>
    <s v="Rich Media display banner"/>
    <s v="marca-dv360_Seedtag-superlink-video-pre_roll-1920x1080-superlink_video30s-as25_microempreendedor_medioempreendedor_negocios_vendasonline_donosdenegocios-cpm"/>
    <s v="471083024"/>
    <s v="In-Stream Video"/>
    <n v="2015356"/>
    <n v="5492"/>
    <n v="0.6"/>
    <n v="0.35"/>
    <n v="1209.2135999999998"/>
    <n v="705.37459999999999"/>
  </r>
  <r>
    <x v="8"/>
    <s v="Google Brasil"/>
    <s v="superlink-marca-dv360_Smartclip-superlink-video-pre_roll-superlink_video30s-as25_microempreendedor_medioempreendedor_negocios_vendasonline_donosdenegocios"/>
    <s v="276627350"/>
    <s v="Rich Media display banner"/>
    <s v="marca-dv360_Smartclip-superlink-video-pre_roll-1920x1080-superlink_video30s-as25_microempreendedor_medioempreendedor_negocios_vendasonline_donosdenegocios-cpm"/>
    <s v="471083027"/>
    <s v="In-Stream Video"/>
    <n v="923584"/>
    <n v="4426"/>
    <n v="0.6"/>
    <n v="0.35"/>
    <n v="554.15039999999999"/>
    <n v="323.25439999999998"/>
  </r>
  <r>
    <x v="8"/>
    <s v="Google Brasil"/>
    <s v="superlink-marca-dv360_Vidoomy-superlink-video-pre_roll-superlink_video30s-as25_microempreendedor_medioempreendedor_negocios_vendasonline_donosdenegocios"/>
    <s v="281283277"/>
    <s v="Rich Media display banner"/>
    <s v="marca-dv360_Vidoomy-superlink-video-pre_roll-1920x1080-superlink_video30s-as25_microempreendedor_medioempreendedor_negocios_vendasonline_donosdenegocios-cpm"/>
    <s v="475275066"/>
    <s v="In-Stream Video"/>
    <n v="1063106"/>
    <n v="1673"/>
    <n v="0.6"/>
    <n v="0.35"/>
    <n v="637.86360000000002"/>
    <n v="372.08709999999996"/>
  </r>
  <r>
    <x v="8"/>
    <s v="IstoÉ"/>
    <s v="superlink-marca-istoe-marca-display-maxiboard-cielo_superlink-as_25_interesses_varejo"/>
    <s v="282484922"/>
    <s v="Standard"/>
    <s v="marca-istoe-marca-display-maxiboard-970x150-cielo_superlink-as_25_interesses_varejo-diaria"/>
    <s v="476630055"/>
    <s v="Display"/>
    <n v="72134"/>
    <n v="16"/>
    <n v="0.04"/>
    <n v="0.1"/>
    <n v="2.8853599999999999"/>
    <n v="7.2134000000000009"/>
  </r>
  <r>
    <x v="8"/>
    <s v="Oath - Verizon Media"/>
    <s v="superlink-marca-verizon-superlink-display-halfpage-sl_luta_diaria-AS25_microempreendedor_medioempreendedor_negocios_vendasonline_donosdenegocios"/>
    <s v="275210466"/>
    <s v="Standard"/>
    <s v="marca-verizon-superlink-display-halfpage-300x600-sl_luta_diaria-AS25_microempreendedor_medioempreendedor_negocios_vendasonline_donosdenegocios-cpm"/>
    <s v="469441062"/>
    <s v="Display"/>
    <n v="1345337"/>
    <n v="2205"/>
    <n v="0.04"/>
    <n v="0.1"/>
    <n v="53.813480000000006"/>
    <n v="134.53370000000001"/>
  </r>
  <r>
    <x v="8"/>
    <s v="Oath - Verizon Media"/>
    <s v="superlink-marca-verizon-superlink-display-leaderboard-sl_luta_diaria-AS25_microempreendedor_medioempreendedor_negocios_vendasonline_donosdenegocios"/>
    <s v="274854527"/>
    <s v="Standard"/>
    <s v="marca-verizon-superlink-display-leaderboard-728x90-sl_luta_diaria-AS25_microempreendedor_medioempreendedor_negocios_vendasonline_donosdenegocios-cpm"/>
    <s v="469441077"/>
    <s v="Display"/>
    <n v="4814326"/>
    <n v="3701"/>
    <n v="0.04"/>
    <n v="0.1"/>
    <n v="192.57304000000002"/>
    <n v="481.43260000000004"/>
  </r>
  <r>
    <x v="8"/>
    <s v="Oath - Verizon Media"/>
    <s v="superlink-marca-verizon-superlink-display-medium_rectangle-sl_luta_diaria-AS25_microempreendedor_medioempreendedor_negocios_vendasonline_donosdenegocios"/>
    <s v="275211564"/>
    <s v="Standard"/>
    <s v="marca-verizon-superlink-display-medium_rectangle-300x250-sl_luta_diaria-AS25_microempreendedor_medioempreendedor_negocios_vendasonline_donosdenegocios-cpm"/>
    <s v="469359629"/>
    <s v="Display"/>
    <n v="3474290"/>
    <n v="895"/>
    <n v="0.04"/>
    <n v="0.1"/>
    <n v="138.9716"/>
    <n v="347.42899999999997"/>
  </r>
  <r>
    <x v="8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2"/>
    <n v="0"/>
    <n v="0.04"/>
    <n v="0.1"/>
    <n v="8.0000000000000007E-5"/>
    <n v="2.0000000000000001E-4"/>
  </r>
  <r>
    <x v="8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4880612"/>
    <n v="4026"/>
    <n v="0.04"/>
    <n v="0.1"/>
    <n v="195.22448"/>
    <n v="488.06119999999999"/>
  </r>
  <r>
    <x v="8"/>
    <s v="Oath - Verizon Media"/>
    <s v="superlink-marca-verizon-superlink-native-native-superlink-AS25_microempreendedor_medioempreendedor_negocios_vendasonline_donosdenegocios"/>
    <s v="274736543"/>
    <s v="Standard"/>
    <s v="marca-verizon-superlink-native-native-1200x627-superlink-AS25_microempreendedor_medioempreendedor_negocios_vendasonline_donosdenegocios-cpc"/>
    <s v="469322328"/>
    <s v="Tracking"/>
    <n v="363997"/>
    <n v="9434"/>
    <n v="0.04"/>
    <n v="0.1"/>
    <n v="14.559880000000001"/>
    <n v="36.399700000000003"/>
  </r>
  <r>
    <x v="8"/>
    <s v="Oath - Verizon Media"/>
    <s v="superlink-marca-verizon-superlink-native-native-superlink_coronavoucher-AS25_microempreendedor_medioempreendedor_negocios_vendasonline_donosdenegocios"/>
    <s v="276183333"/>
    <s v="Dynamic Click"/>
    <s v="marca-verizon-superlink-native-native-1200x627-superlink_coronavoucher-AS25_microempreendedor_medioempreendedor_negocios_vendasonline_donosdenegocios-cpc"/>
    <s v="470337923"/>
    <s v="Tracking"/>
    <n v="1"/>
    <n v="1"/>
    <n v="3.5000000000000001E-3"/>
    <n v="2.5000000000000001E-2"/>
    <n v="3.5000000000000001E-3"/>
    <n v="2.5000000000000001E-2"/>
  </r>
  <r>
    <x v="8"/>
    <s v="Oath - Verizon Media"/>
    <s v="superlink-marca-verizon-superlink-native-native-superlink_vendas-AS25_microempreendedor_medioempreendedor_negocios_vendasonline_donosdenegocios"/>
    <s v="277693553"/>
    <s v="Standard"/>
    <s v="marca-verizon-superlink-native-native-1200x627-superlink_vendas-AS25_microempreendedor_medioempreendedor_negocios_vendasonline_donosdenegocios-cpc"/>
    <s v="472074485"/>
    <s v="Tracking"/>
    <n v="2121401"/>
    <n v="35947"/>
    <n v="0.04"/>
    <n v="0.1"/>
    <n v="84.856040000000007"/>
    <n v="212.14010000000002"/>
  </r>
  <r>
    <x v="8"/>
    <s v="Oath - Verizon Media"/>
    <s v="superlink-marca-verizon-superlink-video-pre_roll-superlink_video30s-as25_empreendedor_varejo"/>
    <s v="276841577"/>
    <s v="Rich Media display banner"/>
    <s v="marca-verizon-superlink-video-pre_roll-1920x1080-superlink_video30s-as25_empreendedor_varejo-cpm"/>
    <s v="471339312"/>
    <s v="In-Stream Video"/>
    <n v="422830"/>
    <n v="5942"/>
    <n v="0.6"/>
    <n v="0.35"/>
    <n v="253.69800000000001"/>
    <n v="147.9905"/>
  </r>
  <r>
    <x v="8"/>
    <s v="Oath - Verizon Media"/>
    <s v="superlink-marca-verizon-superlink-video-pre_roll-superlink_video30s-remarketing"/>
    <s v="277179312"/>
    <s v="Rich Media display banner"/>
    <s v="marca-verizon-superlink-video-pre_roll-1920x1080-superlink_video30s-remarketing-cpm"/>
    <s v="471340215"/>
    <s v="In-Stream Video"/>
    <n v="504662"/>
    <n v="4458"/>
    <n v="0.6"/>
    <n v="0.35"/>
    <n v="302.79720000000003"/>
    <n v="176.6317"/>
  </r>
  <r>
    <x v="9"/>
    <s v="Google Brasil"/>
    <s v="superlink-marca-dv360-superlink-display-halfpage-luta_diaria-remarketing"/>
    <s v="277526230"/>
    <s v="Standard"/>
    <s v="300x600 Default Web Ad"/>
    <s v="471115150"/>
    <s v="Display"/>
    <n v="3"/>
    <n v="0"/>
    <n v="0.04"/>
    <n v="0.1"/>
    <n v="1.1999999999999999E-4"/>
    <n v="3.0000000000000003E-4"/>
  </r>
  <r>
    <x v="9"/>
    <s v="Google Brasil"/>
    <s v="superlink-marca-dv360-superlink-display-halfpage-luta_diaria-remarketing"/>
    <s v="277526230"/>
    <s v="Standard"/>
    <s v="marca-dv360-superlink-display-halfpage-300x600-luta_diaria-remarketing-cpm"/>
    <s v="471603932"/>
    <s v="Display"/>
    <n v="2033613"/>
    <n v="130806"/>
    <n v="0.04"/>
    <n v="0.1"/>
    <n v="81.344520000000003"/>
    <n v="203.36130000000003"/>
  </r>
  <r>
    <x v="9"/>
    <s v="Google Brasil"/>
    <s v="superlink-marca-dv360-superlink-display-leaderboard-luta_diaria-remarketing"/>
    <s v="277534597"/>
    <s v="Standard"/>
    <s v="728x90 Default Web Ad"/>
    <s v="471081215"/>
    <s v="Display"/>
    <n v="1"/>
    <n v="0"/>
    <n v="0.04"/>
    <n v="0.1"/>
    <n v="4.0000000000000003E-5"/>
    <n v="1E-4"/>
  </r>
  <r>
    <x v="9"/>
    <s v="Google Brasil"/>
    <s v="superlink-marca-dv360-superlink-display-leaderboard-luta_diaria-remarketing"/>
    <s v="277534597"/>
    <s v="Standard"/>
    <s v="marca-dv360-superlink-display-leaderboard-728x90-luta_diaria-remarketing-cpm"/>
    <s v="471713973"/>
    <s v="Display"/>
    <n v="1295203"/>
    <n v="7701"/>
    <n v="0.04"/>
    <n v="0.1"/>
    <n v="51.808120000000002"/>
    <n v="129.52029999999999"/>
  </r>
  <r>
    <x v="9"/>
    <s v="Google Brasil"/>
    <s v="superlink-marca-dv360-superlink-display-medium_rectangle-luta_diaria-remarketing"/>
    <s v="277526233"/>
    <s v="Standard"/>
    <s v="300x250 Default Web Ad"/>
    <s v="471081212"/>
    <s v="Display"/>
    <n v="4"/>
    <n v="0"/>
    <n v="0.04"/>
    <n v="0.1"/>
    <n v="1.6000000000000001E-4"/>
    <n v="4.0000000000000002E-4"/>
  </r>
  <r>
    <x v="9"/>
    <s v="Google Brasil"/>
    <s v="superlink-marca-dv360-superlink-display-medium_rectangle-luta_diaria-remarketing"/>
    <s v="277526233"/>
    <s v="Standard"/>
    <s v="marca-dv360-superlink-display-medium_rectangle-300x250-luta_diaria-remarketing-cpm"/>
    <s v="471603935"/>
    <s v="Display"/>
    <n v="2807732"/>
    <n v="43280"/>
    <n v="0.04"/>
    <n v="0.1"/>
    <n v="112.30928"/>
    <n v="280.77320000000003"/>
  </r>
  <r>
    <x v="9"/>
    <s v="Google Brasil"/>
    <s v="superlink-marca-dv360-superlink-display-skyscraper-luta_diaria-remarketing"/>
    <s v="277526236"/>
    <s v="Standard"/>
    <s v="marca-dv360-superlink-display-skyscraper-160x600-luta_diaria-remarketing-cpm"/>
    <s v="471603938"/>
    <s v="Display"/>
    <n v="118414"/>
    <n v="196"/>
    <n v="0.04"/>
    <n v="0.1"/>
    <n v="4.7365600000000008"/>
    <n v="11.841400000000002"/>
  </r>
  <r>
    <x v="9"/>
    <s v="Oath - Verizon Media"/>
    <s v="superlink-marca-verizon-superlink-display-halfpage-luta_diaria-remarketing"/>
    <s v="276653099"/>
    <s v="Standard"/>
    <s v="marca-verizon-superlink-display-halfpage-300x600-luta_diaria-remarketing-cpm"/>
    <s v="471079367"/>
    <s v="Display"/>
    <n v="185231"/>
    <n v="180"/>
    <n v="0.04"/>
    <n v="0.1"/>
    <n v="7.4092399999999996"/>
    <n v="18.523100000000003"/>
  </r>
  <r>
    <x v="9"/>
    <s v="Oath - Verizon Media"/>
    <s v="superlink-marca-verizon-superlink-display-leaderboard-luta_diaria-remarketing"/>
    <s v="276653096"/>
    <s v="Standard"/>
    <s v="marca-verizon-superlink-display-leaderboard-728x90-luta_diaria-remarketing-cpm"/>
    <s v="471079364"/>
    <s v="Display"/>
    <n v="742254"/>
    <n v="435"/>
    <n v="0.04"/>
    <n v="0.1"/>
    <n v="29.690159999999999"/>
    <n v="74.225400000000008"/>
  </r>
  <r>
    <x v="9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588688"/>
    <n v="115"/>
    <n v="0.04"/>
    <n v="0.1"/>
    <n v="23.547519999999999"/>
    <n v="58.8688"/>
  </r>
  <r>
    <x v="9"/>
    <s v="Oath - Verizon Media"/>
    <s v="superlink-marca-verizon-superlink-display-skyscraper-luta_diaria-remarketing"/>
    <s v="276653102"/>
    <s v="Standard"/>
    <s v="marca-verizon-superlink-display-skyscraper-160x600-luta_diaria-remarketing-cpm"/>
    <s v="471079370"/>
    <s v="Display"/>
    <n v="924223"/>
    <n v="557"/>
    <n v="0.04"/>
    <n v="0.1"/>
    <n v="36.968919999999997"/>
    <n v="92.422300000000007"/>
  </r>
  <r>
    <x v="9"/>
    <s v="Oath - Verizon Media"/>
    <s v="superlink-marca-verizon-superlink-native-native-superlink_entrega-integrada-remarketing"/>
    <s v="277694651"/>
    <s v="Standard"/>
    <s v="marca-verizon-superlink-native-native-1200x627-superlink_entrega-integrada-remarketing-cpc"/>
    <s v="472079209"/>
    <s v="Tracking"/>
    <n v="14698"/>
    <n v="329"/>
    <n v="0.04"/>
    <n v="0.1"/>
    <n v="0.58792"/>
    <n v="1.4698000000000002"/>
  </r>
  <r>
    <x v="9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510447"/>
    <n v="10745"/>
    <n v="0.04"/>
    <n v="0.1"/>
    <n v="20.41788"/>
    <n v="51.044700000000006"/>
  </r>
  <r>
    <x v="9"/>
    <s v="afilio.com.br"/>
    <s v="superlink-marca-afilio-superlink-display-leaderboard-luta_diaria-as25_microempreendedor_medioempreendedor_negocios_vendasonline_donosdenegocios"/>
    <s v="277004364"/>
    <s v="Standard"/>
    <s v="marca-afilio-superlink-display-leaderboard-728x90-luta_diaria-as25_microempreendedor_medioempreendedor_negocios_vendasonline_donosdenegocios-cpvisita"/>
    <s v="471083146"/>
    <s v="Tracking"/>
    <n v="16"/>
    <n v="1"/>
    <n v="0.04"/>
    <n v="0.1"/>
    <n v="6.4000000000000005E-4"/>
    <n v="1.6000000000000001E-3"/>
  </r>
  <r>
    <x v="10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3"/>
    <n v="77977"/>
    <n v="3.5000000000000001E-3"/>
    <n v="2.5000000000000001E-2"/>
    <n v="272.91950000000003"/>
    <n v="1949.4250000000002"/>
  </r>
  <r>
    <x v="10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3"/>
    <n v="17"/>
    <n v="3.5000000000000001E-3"/>
    <n v="2.5000000000000001E-2"/>
    <n v="5.9500000000000004E-2"/>
    <n v="0.42500000000000004"/>
  </r>
  <r>
    <x v="10"/>
    <s v="Rakuten"/>
    <s v="superlink-marca-rakuten-superlink-display-skyscraper-sl_vendapelainternet_loggi_boost-as25_empreendedor_varejo_interesses"/>
    <s v="281253133"/>
    <s v="Dynamic Click"/>
    <s v="marca-rakuten-superlink-display-skyscraper-160x600-sl_vendapelainternet_loggi_boost-as25_empreendedor_varejo_interesses-cpm"/>
    <s v="475254741"/>
    <s v="Tracking"/>
    <n v="0"/>
    <n v="2"/>
    <n v="3.5000000000000001E-3"/>
    <n v="2.5000000000000001E-2"/>
    <n v="7.0000000000000001E-3"/>
    <n v="0.05"/>
  </r>
  <r>
    <x v="10"/>
    <s v="Rakuten"/>
    <s v="superlink-marca-rakuten-superlink-native-native-luta_diaria_loggi_boost-as25_empreendedor_varejo_interesses"/>
    <s v="280522043"/>
    <s v="Dynamic Click"/>
    <s v="marca-rakuten-superlink-native-native-1200x627-luta_diaria_loggi_boost-as25_empreendedor_varejo_interesses-cpm"/>
    <s v="474690286"/>
    <s v="Tracking"/>
    <n v="0"/>
    <n v="3"/>
    <n v="3.5000000000000001E-3"/>
    <n v="2.5000000000000001E-2"/>
    <n v="1.0500000000000001E-2"/>
    <n v="7.5000000000000011E-2"/>
  </r>
  <r>
    <x v="10"/>
    <s v="Rakuten"/>
    <s v="superlink-marca-rakuten-superlink-native-native-luta_diaria_loggi_boost_627x627-as25_empreendedor_varejo_interesses"/>
    <s v="280922422"/>
    <s v="Dynamic Click"/>
    <s v="marca-rakuten-superlink-native-native-627x627-luta_diaria_loggi_boost_627x627-as25_empreendedor_varejo_interesses-cpm"/>
    <s v="474775067"/>
    <s v="Tracking"/>
    <n v="0"/>
    <n v="4"/>
    <n v="3.5000000000000001E-3"/>
    <n v="2.5000000000000001E-2"/>
    <n v="1.4E-2"/>
    <n v="0.1"/>
  </r>
  <r>
    <x v="11"/>
    <s v="Oath - Verizon Media"/>
    <s v="aquisicao-varejo-marca-native-native-voce_e_cielo_crescendo_1-as_25-mais_comportamental"/>
    <s v="270371978"/>
    <s v="Dynamic Click"/>
    <s v="varejo-marca-native-native-1200x627-voce_e_cielo_crescendo_1-as_25-mais_comportamental-cpm"/>
    <s v="465205787"/>
    <s v="Tracking"/>
    <n v="0"/>
    <n v="1"/>
    <n v="3.5000000000000001E-3"/>
    <n v="2.5000000000000001E-2"/>
    <n v="3.5000000000000001E-3"/>
    <n v="2.50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334021-68EE-4603-9B69-AB3D87ED7B6F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6" firstHeaderRow="0" firstDataRow="1" firstDataCol="1"/>
  <pivotFields count="14"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3"/>
  <sheetViews>
    <sheetView showGridLines="0" tabSelected="1" topLeftCell="B1" workbookViewId="0">
      <selection activeCell="E11" sqref="E11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62558248</v>
      </c>
      <c r="E4" s="9">
        <f>(C4*D4)/1000</f>
        <v>6255.8248000000003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1</v>
      </c>
      <c r="E5" s="9">
        <f>C5*D5/1000</f>
        <v>1E-4</v>
      </c>
      <c r="F5" s="16"/>
      <c r="G5" s="9">
        <f>SUM(total_adops_filtrada)</f>
        <v>11140.432500000003</v>
      </c>
      <c r="H5" s="9">
        <f>SUM(total_ferramenta_filtrada)</f>
        <v>7555.1840599999978</v>
      </c>
    </row>
    <row r="6" spans="1:8">
      <c r="B6" s="8" t="s">
        <v>10</v>
      </c>
      <c r="C6" s="1">
        <v>2.5000000000000001E-2</v>
      </c>
      <c r="D6" s="1">
        <f>SUMIF(adtype_filtrada,$B6,clicks_filtrada)</f>
        <v>84375</v>
      </c>
      <c r="E6" s="9">
        <f>C6*D6</f>
        <v>2109.375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7929236</v>
      </c>
      <c r="E8" s="9">
        <f>(C8*D8)/1000</f>
        <v>2775.2325999999998</v>
      </c>
      <c r="F8" s="16"/>
    </row>
    <row r="9" spans="1:8">
      <c r="B9" s="7" t="s">
        <v>19</v>
      </c>
      <c r="C9" s="7"/>
      <c r="D9" s="7"/>
      <c r="E9" s="10">
        <f>SUM(E4:E8)</f>
        <v>11140.432499999999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40</v>
      </c>
      <c r="C19" t="s">
        <v>28</v>
      </c>
      <c r="D19" t="s">
        <v>381</v>
      </c>
      <c r="E19" t="s">
        <v>382</v>
      </c>
      <c r="F19" t="s">
        <v>12</v>
      </c>
      <c r="G19" t="s">
        <v>383</v>
      </c>
      <c r="H19" t="s">
        <v>384</v>
      </c>
      <c r="I19" t="s">
        <v>30</v>
      </c>
      <c r="J19">
        <v>1</v>
      </c>
      <c r="K19">
        <v>0</v>
      </c>
      <c r="L19" s="2">
        <v>0.04</v>
      </c>
      <c r="M19">
        <v>0.1</v>
      </c>
      <c r="N19" s="2">
        <v>4.0000000000000003E-5</v>
      </c>
      <c r="O19" s="2">
        <v>1E-4</v>
      </c>
    </row>
    <row r="20" spans="1:15">
      <c r="B20" t="s">
        <v>40</v>
      </c>
      <c r="C20" t="s">
        <v>28</v>
      </c>
      <c r="D20" t="s">
        <v>385</v>
      </c>
      <c r="E20" t="s">
        <v>386</v>
      </c>
      <c r="F20" t="s">
        <v>10</v>
      </c>
      <c r="G20" t="s">
        <v>387</v>
      </c>
      <c r="H20" t="s">
        <v>388</v>
      </c>
      <c r="I20" t="s">
        <v>24</v>
      </c>
      <c r="J20">
        <v>1</v>
      </c>
      <c r="K20">
        <v>2</v>
      </c>
      <c r="L20" s="2">
        <v>3.5000000000000001E-3</v>
      </c>
      <c r="M20">
        <v>2.5000000000000001E-2</v>
      </c>
      <c r="N20" s="2">
        <v>7.0000000000000001E-3</v>
      </c>
      <c r="O20" s="2">
        <v>0.05</v>
      </c>
    </row>
    <row r="21" spans="1:15">
      <c r="B21" t="s">
        <v>40</v>
      </c>
      <c r="C21" t="s">
        <v>28</v>
      </c>
      <c r="D21" t="s">
        <v>389</v>
      </c>
      <c r="E21" t="s">
        <v>390</v>
      </c>
      <c r="F21" t="s">
        <v>12</v>
      </c>
      <c r="G21" t="s">
        <v>391</v>
      </c>
      <c r="H21" t="s">
        <v>392</v>
      </c>
      <c r="I21" t="s">
        <v>24</v>
      </c>
      <c r="J21">
        <v>1</v>
      </c>
      <c r="K21">
        <v>0</v>
      </c>
      <c r="L21" s="2">
        <v>0.04</v>
      </c>
      <c r="M21">
        <v>0.1</v>
      </c>
      <c r="N21" s="2">
        <v>4.0000000000000003E-5</v>
      </c>
      <c r="O21" s="2">
        <v>1E-4</v>
      </c>
    </row>
    <row r="22" spans="1:15">
      <c r="B22" t="s">
        <v>40</v>
      </c>
      <c r="C22" t="s">
        <v>28</v>
      </c>
      <c r="D22" t="s">
        <v>47</v>
      </c>
      <c r="E22" t="s">
        <v>48</v>
      </c>
      <c r="F22" t="s">
        <v>12</v>
      </c>
      <c r="G22" t="s">
        <v>49</v>
      </c>
      <c r="H22" t="s">
        <v>50</v>
      </c>
      <c r="I22" t="s">
        <v>24</v>
      </c>
      <c r="J22">
        <v>4</v>
      </c>
      <c r="K22">
        <v>0</v>
      </c>
      <c r="L22" s="2">
        <v>0.04</v>
      </c>
      <c r="M22">
        <v>0.1</v>
      </c>
      <c r="N22" s="2">
        <v>1.6000000000000001E-4</v>
      </c>
      <c r="O22" s="2">
        <v>4.0000000000000002E-4</v>
      </c>
    </row>
    <row r="23" spans="1:15">
      <c r="B23" t="s">
        <v>34</v>
      </c>
      <c r="C23" t="s">
        <v>35</v>
      </c>
      <c r="D23" t="s">
        <v>393</v>
      </c>
      <c r="E23" t="s">
        <v>394</v>
      </c>
      <c r="F23" t="s">
        <v>12</v>
      </c>
      <c r="G23" t="s">
        <v>395</v>
      </c>
      <c r="H23" t="s">
        <v>396</v>
      </c>
      <c r="I23" t="s">
        <v>30</v>
      </c>
      <c r="J23">
        <v>56083</v>
      </c>
      <c r="K23">
        <v>24</v>
      </c>
      <c r="L23" s="2">
        <v>0.04</v>
      </c>
      <c r="M23">
        <v>0.1</v>
      </c>
      <c r="N23" s="2">
        <v>2.2433200000000002</v>
      </c>
      <c r="O23" s="2">
        <v>5.6082999999999998</v>
      </c>
    </row>
    <row r="24" spans="1:15">
      <c r="B24" t="s">
        <v>34</v>
      </c>
      <c r="C24" t="s">
        <v>35</v>
      </c>
      <c r="D24" t="s">
        <v>397</v>
      </c>
      <c r="E24" t="s">
        <v>398</v>
      </c>
      <c r="F24" t="s">
        <v>12</v>
      </c>
      <c r="G24" t="s">
        <v>399</v>
      </c>
      <c r="H24" t="s">
        <v>400</v>
      </c>
      <c r="I24" t="s">
        <v>30</v>
      </c>
      <c r="J24">
        <v>178932</v>
      </c>
      <c r="K24">
        <v>144</v>
      </c>
      <c r="L24" s="2">
        <v>0.04</v>
      </c>
      <c r="M24">
        <v>0.1</v>
      </c>
      <c r="N24" s="2">
        <v>7.1572800000000001</v>
      </c>
      <c r="O24" s="2">
        <v>17.8932</v>
      </c>
    </row>
    <row r="25" spans="1:15">
      <c r="B25" t="s">
        <v>34</v>
      </c>
      <c r="C25" t="s">
        <v>35</v>
      </c>
      <c r="D25" t="s">
        <v>51</v>
      </c>
      <c r="E25" t="s">
        <v>52</v>
      </c>
      <c r="F25" t="s">
        <v>12</v>
      </c>
      <c r="G25" t="s">
        <v>53</v>
      </c>
      <c r="H25" t="s">
        <v>54</v>
      </c>
      <c r="I25" t="s">
        <v>30</v>
      </c>
      <c r="J25">
        <v>38739</v>
      </c>
      <c r="K25">
        <v>15</v>
      </c>
      <c r="L25" s="2">
        <v>0.04</v>
      </c>
      <c r="M25">
        <v>0.1</v>
      </c>
      <c r="N25" s="2">
        <v>1.54956</v>
      </c>
      <c r="O25" s="2">
        <v>3.8738999999999999</v>
      </c>
    </row>
    <row r="26" spans="1:15">
      <c r="B26" t="s">
        <v>34</v>
      </c>
      <c r="C26" t="s">
        <v>35</v>
      </c>
      <c r="D26" t="s">
        <v>401</v>
      </c>
      <c r="E26" t="s">
        <v>402</v>
      </c>
      <c r="F26" t="s">
        <v>12</v>
      </c>
      <c r="G26" t="s">
        <v>403</v>
      </c>
      <c r="H26" t="s">
        <v>404</v>
      </c>
      <c r="I26" t="s">
        <v>30</v>
      </c>
      <c r="J26">
        <v>3644</v>
      </c>
      <c r="K26">
        <v>3</v>
      </c>
      <c r="L26" s="2">
        <v>0.04</v>
      </c>
      <c r="M26">
        <v>0.1</v>
      </c>
      <c r="N26" s="2">
        <v>0.14576</v>
      </c>
      <c r="O26" s="2">
        <v>0.36440000000000006</v>
      </c>
    </row>
    <row r="27" spans="1:15">
      <c r="B27" t="s">
        <v>34</v>
      </c>
      <c r="C27" t="s">
        <v>35</v>
      </c>
      <c r="D27" t="s">
        <v>405</v>
      </c>
      <c r="E27" t="s">
        <v>406</v>
      </c>
      <c r="F27" t="s">
        <v>12</v>
      </c>
      <c r="G27" t="s">
        <v>407</v>
      </c>
      <c r="H27" t="s">
        <v>408</v>
      </c>
      <c r="I27" t="s">
        <v>30</v>
      </c>
      <c r="J27">
        <v>34638</v>
      </c>
      <c r="K27">
        <v>29</v>
      </c>
      <c r="L27" s="2">
        <v>0.04</v>
      </c>
      <c r="M27">
        <v>0.1</v>
      </c>
      <c r="N27" s="2">
        <v>1.3855200000000001</v>
      </c>
      <c r="O27" s="2">
        <v>3.4638</v>
      </c>
    </row>
    <row r="28" spans="1:15">
      <c r="B28" t="s">
        <v>34</v>
      </c>
      <c r="C28" t="s">
        <v>35</v>
      </c>
      <c r="D28" t="s">
        <v>55</v>
      </c>
      <c r="E28" t="s">
        <v>56</v>
      </c>
      <c r="F28" t="s">
        <v>12</v>
      </c>
      <c r="G28" t="s">
        <v>57</v>
      </c>
      <c r="H28" t="s">
        <v>58</v>
      </c>
      <c r="I28" t="s">
        <v>30</v>
      </c>
      <c r="J28">
        <v>33118</v>
      </c>
      <c r="K28">
        <v>28</v>
      </c>
      <c r="L28" s="2">
        <v>0.04</v>
      </c>
      <c r="M28">
        <v>0.1</v>
      </c>
      <c r="N28" s="2">
        <v>1.3247200000000001</v>
      </c>
      <c r="O28" s="2">
        <v>3.3118000000000003</v>
      </c>
    </row>
    <row r="29" spans="1:15">
      <c r="B29" t="s">
        <v>34</v>
      </c>
      <c r="C29" t="s">
        <v>35</v>
      </c>
      <c r="D29" t="s">
        <v>409</v>
      </c>
      <c r="E29" t="s">
        <v>410</v>
      </c>
      <c r="F29" t="s">
        <v>12</v>
      </c>
      <c r="G29" t="s">
        <v>411</v>
      </c>
      <c r="H29" t="s">
        <v>412</v>
      </c>
      <c r="I29" t="s">
        <v>30</v>
      </c>
      <c r="J29">
        <v>6447</v>
      </c>
      <c r="K29">
        <v>13</v>
      </c>
      <c r="L29" s="2">
        <v>0.04</v>
      </c>
      <c r="M29">
        <v>0.1</v>
      </c>
      <c r="N29" s="2">
        <v>0.25788</v>
      </c>
      <c r="O29" s="2">
        <v>0.64470000000000005</v>
      </c>
    </row>
    <row r="30" spans="1:15">
      <c r="B30" t="s">
        <v>34</v>
      </c>
      <c r="C30" t="s">
        <v>35</v>
      </c>
      <c r="D30" t="s">
        <v>413</v>
      </c>
      <c r="E30" t="s">
        <v>414</v>
      </c>
      <c r="F30" t="s">
        <v>12</v>
      </c>
      <c r="G30" t="s">
        <v>415</v>
      </c>
      <c r="H30" t="s">
        <v>416</v>
      </c>
      <c r="I30" t="s">
        <v>30</v>
      </c>
      <c r="J30">
        <v>18391</v>
      </c>
      <c r="K30">
        <v>11</v>
      </c>
      <c r="L30" s="2">
        <v>0.04</v>
      </c>
      <c r="M30">
        <v>0.1</v>
      </c>
      <c r="N30" s="2">
        <v>0.73563999999999996</v>
      </c>
      <c r="O30" s="2">
        <v>1.8391000000000002</v>
      </c>
    </row>
    <row r="31" spans="1:15">
      <c r="B31" t="s">
        <v>34</v>
      </c>
      <c r="C31" t="s">
        <v>35</v>
      </c>
      <c r="D31" t="s">
        <v>417</v>
      </c>
      <c r="E31" t="s">
        <v>418</v>
      </c>
      <c r="F31" t="s">
        <v>12</v>
      </c>
      <c r="G31" t="s">
        <v>419</v>
      </c>
      <c r="H31" t="s">
        <v>420</v>
      </c>
      <c r="I31" t="s">
        <v>30</v>
      </c>
      <c r="J31">
        <v>3876</v>
      </c>
      <c r="K31">
        <v>3</v>
      </c>
      <c r="L31" s="2">
        <v>0.04</v>
      </c>
      <c r="M31">
        <v>0.1</v>
      </c>
      <c r="N31" s="2">
        <v>0.15503999999999998</v>
      </c>
      <c r="O31" s="2">
        <v>0.3876</v>
      </c>
    </row>
    <row r="32" spans="1:15">
      <c r="B32" t="s">
        <v>34</v>
      </c>
      <c r="C32" t="s">
        <v>35</v>
      </c>
      <c r="D32" t="s">
        <v>421</v>
      </c>
      <c r="E32" t="s">
        <v>422</v>
      </c>
      <c r="F32" t="s">
        <v>12</v>
      </c>
      <c r="G32" t="s">
        <v>423</v>
      </c>
      <c r="H32" t="s">
        <v>424</v>
      </c>
      <c r="I32" t="s">
        <v>30</v>
      </c>
      <c r="J32">
        <v>18121</v>
      </c>
      <c r="K32">
        <v>13</v>
      </c>
      <c r="L32" s="2">
        <v>0.04</v>
      </c>
      <c r="M32">
        <v>0.1</v>
      </c>
      <c r="N32" s="2">
        <v>0.72484000000000004</v>
      </c>
      <c r="O32" s="2">
        <v>1.8121</v>
      </c>
    </row>
    <row r="33" spans="2:15">
      <c r="B33" t="s">
        <v>34</v>
      </c>
      <c r="C33" t="s">
        <v>35</v>
      </c>
      <c r="D33" t="s">
        <v>425</v>
      </c>
      <c r="E33" t="s">
        <v>426</v>
      </c>
      <c r="F33" t="s">
        <v>12</v>
      </c>
      <c r="G33" t="s">
        <v>427</v>
      </c>
      <c r="H33" t="s">
        <v>428</v>
      </c>
      <c r="I33" t="s">
        <v>30</v>
      </c>
      <c r="J33">
        <v>28414</v>
      </c>
      <c r="K33">
        <v>13</v>
      </c>
      <c r="L33" s="2">
        <v>0.04</v>
      </c>
      <c r="M33">
        <v>0.1</v>
      </c>
      <c r="N33" s="2">
        <v>1.13656</v>
      </c>
      <c r="O33" s="2">
        <v>2.8414000000000001</v>
      </c>
    </row>
    <row r="34" spans="2:15">
      <c r="B34" t="s">
        <v>34</v>
      </c>
      <c r="C34" t="s">
        <v>35</v>
      </c>
      <c r="D34" t="s">
        <v>429</v>
      </c>
      <c r="E34" t="s">
        <v>430</v>
      </c>
      <c r="F34" t="s">
        <v>12</v>
      </c>
      <c r="G34" t="s">
        <v>431</v>
      </c>
      <c r="H34" t="s">
        <v>432</v>
      </c>
      <c r="I34" t="s">
        <v>30</v>
      </c>
      <c r="J34">
        <v>43818</v>
      </c>
      <c r="K34">
        <v>162</v>
      </c>
      <c r="L34" s="2">
        <v>0.04</v>
      </c>
      <c r="M34">
        <v>0.1</v>
      </c>
      <c r="N34" s="2">
        <v>1.7527200000000001</v>
      </c>
      <c r="O34" s="2">
        <v>4.3818000000000001</v>
      </c>
    </row>
    <row r="35" spans="2:15">
      <c r="B35" t="s">
        <v>34</v>
      </c>
      <c r="C35" t="s">
        <v>35</v>
      </c>
      <c r="D35" t="s">
        <v>433</v>
      </c>
      <c r="E35" t="s">
        <v>434</v>
      </c>
      <c r="F35" t="s">
        <v>12</v>
      </c>
      <c r="G35" t="s">
        <v>435</v>
      </c>
      <c r="H35" t="s">
        <v>436</v>
      </c>
      <c r="I35" t="s">
        <v>30</v>
      </c>
      <c r="J35">
        <v>42795</v>
      </c>
      <c r="K35">
        <v>145</v>
      </c>
      <c r="L35" s="2">
        <v>0.04</v>
      </c>
      <c r="M35">
        <v>0.1</v>
      </c>
      <c r="N35" s="2">
        <v>1.7118</v>
      </c>
      <c r="O35" s="2">
        <v>4.2794999999999996</v>
      </c>
    </row>
    <row r="36" spans="2:15">
      <c r="B36" t="s">
        <v>34</v>
      </c>
      <c r="C36" t="s">
        <v>35</v>
      </c>
      <c r="D36" t="s">
        <v>59</v>
      </c>
      <c r="E36" t="s">
        <v>60</v>
      </c>
      <c r="F36" t="s">
        <v>12</v>
      </c>
      <c r="G36" t="s">
        <v>61</v>
      </c>
      <c r="H36" t="s">
        <v>62</v>
      </c>
      <c r="I36" t="s">
        <v>30</v>
      </c>
      <c r="J36">
        <v>170257</v>
      </c>
      <c r="K36">
        <v>447</v>
      </c>
      <c r="L36" s="2">
        <v>0.04</v>
      </c>
      <c r="M36">
        <v>0.1</v>
      </c>
      <c r="N36" s="2">
        <v>6.8102799999999997</v>
      </c>
      <c r="O36" s="2">
        <v>17.025700000000001</v>
      </c>
    </row>
    <row r="37" spans="2:15">
      <c r="B37" t="s">
        <v>34</v>
      </c>
      <c r="C37" t="s">
        <v>35</v>
      </c>
      <c r="D37" t="s">
        <v>437</v>
      </c>
      <c r="E37" t="s">
        <v>438</v>
      </c>
      <c r="F37" t="s">
        <v>23</v>
      </c>
      <c r="G37" t="s">
        <v>439</v>
      </c>
      <c r="H37" t="s">
        <v>440</v>
      </c>
      <c r="I37" t="s">
        <v>33</v>
      </c>
      <c r="J37">
        <v>96344</v>
      </c>
      <c r="K37">
        <v>448</v>
      </c>
      <c r="L37" s="2">
        <v>0.6</v>
      </c>
      <c r="M37">
        <v>0.35</v>
      </c>
      <c r="N37" s="2">
        <v>57.806400000000004</v>
      </c>
      <c r="O37" s="2">
        <v>33.720399999999998</v>
      </c>
    </row>
    <row r="38" spans="2:15">
      <c r="B38" t="s">
        <v>441</v>
      </c>
      <c r="C38" t="s">
        <v>28</v>
      </c>
      <c r="D38" t="s">
        <v>442</v>
      </c>
      <c r="E38" t="s">
        <v>443</v>
      </c>
      <c r="F38" t="s">
        <v>10</v>
      </c>
      <c r="G38" t="s">
        <v>444</v>
      </c>
      <c r="H38" t="s">
        <v>445</v>
      </c>
      <c r="I38" t="s">
        <v>24</v>
      </c>
      <c r="J38">
        <v>0</v>
      </c>
      <c r="K38">
        <v>1</v>
      </c>
      <c r="L38" s="2">
        <v>3.5000000000000001E-3</v>
      </c>
      <c r="M38">
        <v>2.5000000000000001E-2</v>
      </c>
      <c r="N38" s="2">
        <v>3.5000000000000001E-3</v>
      </c>
      <c r="O38" s="2">
        <v>2.5000000000000001E-2</v>
      </c>
    </row>
    <row r="39" spans="2:15">
      <c r="B39" t="s">
        <v>303</v>
      </c>
      <c r="C39" t="s">
        <v>31</v>
      </c>
      <c r="D39" t="s">
        <v>446</v>
      </c>
      <c r="E39" t="s">
        <v>447</v>
      </c>
      <c r="F39" t="s">
        <v>12</v>
      </c>
      <c r="G39" t="s">
        <v>448</v>
      </c>
      <c r="H39" t="s">
        <v>449</v>
      </c>
      <c r="I39" t="s">
        <v>30</v>
      </c>
      <c r="J39">
        <v>17741</v>
      </c>
      <c r="K39">
        <v>42</v>
      </c>
      <c r="L39" s="2">
        <v>0.04</v>
      </c>
      <c r="M39">
        <v>0.1</v>
      </c>
      <c r="N39" s="2">
        <v>0.70963999999999994</v>
      </c>
      <c r="O39" s="2">
        <v>1.7741000000000002</v>
      </c>
    </row>
    <row r="40" spans="2:15">
      <c r="B40" t="s">
        <v>303</v>
      </c>
      <c r="C40" t="s">
        <v>31</v>
      </c>
      <c r="D40" t="s">
        <v>446</v>
      </c>
      <c r="E40" t="s">
        <v>450</v>
      </c>
      <c r="F40" t="s">
        <v>12</v>
      </c>
      <c r="G40" t="s">
        <v>451</v>
      </c>
      <c r="H40" t="s">
        <v>452</v>
      </c>
      <c r="I40" t="s">
        <v>30</v>
      </c>
      <c r="J40">
        <v>2647</v>
      </c>
      <c r="K40">
        <v>2</v>
      </c>
      <c r="L40" s="2">
        <v>0.04</v>
      </c>
      <c r="M40">
        <v>0.1</v>
      </c>
      <c r="N40" s="2">
        <v>0.10588</v>
      </c>
      <c r="O40" s="2">
        <v>0.26469999999999999</v>
      </c>
    </row>
    <row r="41" spans="2:15">
      <c r="B41" t="s">
        <v>303</v>
      </c>
      <c r="C41" t="s">
        <v>31</v>
      </c>
      <c r="D41" t="s">
        <v>446</v>
      </c>
      <c r="E41" t="s">
        <v>453</v>
      </c>
      <c r="F41" t="s">
        <v>12</v>
      </c>
      <c r="G41" t="s">
        <v>454</v>
      </c>
      <c r="H41" t="s">
        <v>455</v>
      </c>
      <c r="I41" t="s">
        <v>30</v>
      </c>
      <c r="J41">
        <v>1300</v>
      </c>
      <c r="K41">
        <v>18</v>
      </c>
      <c r="L41" s="2">
        <v>0.04</v>
      </c>
      <c r="M41">
        <v>0.1</v>
      </c>
      <c r="N41" s="2">
        <v>5.1999999999999998E-2</v>
      </c>
      <c r="O41" s="2">
        <v>0.13</v>
      </c>
    </row>
    <row r="42" spans="2:15">
      <c r="B42" t="s">
        <v>303</v>
      </c>
      <c r="C42" t="s">
        <v>31</v>
      </c>
      <c r="D42" t="s">
        <v>304</v>
      </c>
      <c r="E42" t="s">
        <v>305</v>
      </c>
      <c r="F42" t="s">
        <v>12</v>
      </c>
      <c r="G42" t="s">
        <v>306</v>
      </c>
      <c r="H42" t="s">
        <v>307</v>
      </c>
      <c r="I42" t="s">
        <v>30</v>
      </c>
      <c r="J42">
        <v>2648137</v>
      </c>
      <c r="K42">
        <v>1731</v>
      </c>
      <c r="L42" s="2">
        <v>0.04</v>
      </c>
      <c r="M42">
        <v>0.1</v>
      </c>
      <c r="N42" s="2">
        <v>105.92547999999999</v>
      </c>
      <c r="O42" s="2">
        <v>264.81370000000004</v>
      </c>
    </row>
    <row r="43" spans="2:15">
      <c r="B43" t="s">
        <v>303</v>
      </c>
      <c r="C43" t="s">
        <v>31</v>
      </c>
      <c r="D43" t="s">
        <v>308</v>
      </c>
      <c r="E43" t="s">
        <v>309</v>
      </c>
      <c r="F43" t="s">
        <v>12</v>
      </c>
      <c r="G43" t="s">
        <v>310</v>
      </c>
      <c r="H43" t="s">
        <v>311</v>
      </c>
      <c r="I43" t="s">
        <v>30</v>
      </c>
      <c r="J43">
        <v>4937869</v>
      </c>
      <c r="K43">
        <v>5096</v>
      </c>
      <c r="L43" s="2">
        <v>0.04</v>
      </c>
      <c r="M43">
        <v>0.1</v>
      </c>
      <c r="N43" s="2">
        <v>197.51476</v>
      </c>
      <c r="O43" s="2">
        <v>493.7869</v>
      </c>
    </row>
    <row r="44" spans="2:15">
      <c r="B44" t="s">
        <v>303</v>
      </c>
      <c r="C44" t="s">
        <v>31</v>
      </c>
      <c r="D44" t="s">
        <v>456</v>
      </c>
      <c r="E44" t="s">
        <v>457</v>
      </c>
      <c r="F44" t="s">
        <v>23</v>
      </c>
      <c r="G44" t="s">
        <v>458</v>
      </c>
      <c r="H44" t="s">
        <v>459</v>
      </c>
      <c r="I44" t="s">
        <v>33</v>
      </c>
      <c r="J44">
        <v>2</v>
      </c>
      <c r="K44">
        <v>0</v>
      </c>
      <c r="L44" s="2">
        <v>0.6</v>
      </c>
      <c r="M44">
        <v>0.35</v>
      </c>
      <c r="N44" s="2">
        <v>1.1999999999999999E-3</v>
      </c>
      <c r="O44" s="2">
        <v>6.9999999999999999E-4</v>
      </c>
    </row>
    <row r="45" spans="2:15">
      <c r="B45" t="s">
        <v>303</v>
      </c>
      <c r="C45" t="s">
        <v>31</v>
      </c>
      <c r="D45" t="s">
        <v>460</v>
      </c>
      <c r="E45" t="s">
        <v>461</v>
      </c>
      <c r="F45" t="s">
        <v>23</v>
      </c>
      <c r="G45" t="s">
        <v>462</v>
      </c>
      <c r="H45" t="s">
        <v>463</v>
      </c>
      <c r="I45" t="s">
        <v>33</v>
      </c>
      <c r="J45">
        <v>934401</v>
      </c>
      <c r="K45">
        <v>1565</v>
      </c>
      <c r="L45" s="2">
        <v>0.6</v>
      </c>
      <c r="M45">
        <v>0.35</v>
      </c>
      <c r="N45" s="2">
        <v>560.64059999999995</v>
      </c>
      <c r="O45" s="2">
        <v>327.04034999999999</v>
      </c>
    </row>
    <row r="46" spans="2:15">
      <c r="B46" t="s">
        <v>303</v>
      </c>
      <c r="C46" t="s">
        <v>31</v>
      </c>
      <c r="D46" t="s">
        <v>464</v>
      </c>
      <c r="E46" t="s">
        <v>465</v>
      </c>
      <c r="F46" t="s">
        <v>23</v>
      </c>
      <c r="G46" t="s">
        <v>466</v>
      </c>
      <c r="H46" t="s">
        <v>467</v>
      </c>
      <c r="I46" t="s">
        <v>33</v>
      </c>
      <c r="J46">
        <v>1264579</v>
      </c>
      <c r="K46">
        <v>2018</v>
      </c>
      <c r="L46" s="2">
        <v>0.6</v>
      </c>
      <c r="M46">
        <v>0.35</v>
      </c>
      <c r="N46" s="2">
        <v>758.74739999999997</v>
      </c>
      <c r="O46" s="2">
        <v>442.60264999999998</v>
      </c>
    </row>
    <row r="47" spans="2:15">
      <c r="B47" t="s">
        <v>303</v>
      </c>
      <c r="C47" t="s">
        <v>31</v>
      </c>
      <c r="D47" t="s">
        <v>468</v>
      </c>
      <c r="E47" t="s">
        <v>469</v>
      </c>
      <c r="F47" t="s">
        <v>12</v>
      </c>
      <c r="G47" t="s">
        <v>470</v>
      </c>
      <c r="H47" t="s">
        <v>471</v>
      </c>
      <c r="I47" t="s">
        <v>30</v>
      </c>
      <c r="J47">
        <v>1</v>
      </c>
      <c r="K47">
        <v>1</v>
      </c>
      <c r="L47" s="2">
        <v>0.04</v>
      </c>
      <c r="M47">
        <v>0.1</v>
      </c>
      <c r="N47" s="2">
        <v>4.0000000000000003E-5</v>
      </c>
      <c r="O47" s="2">
        <v>1E-4</v>
      </c>
    </row>
    <row r="48" spans="2:15">
      <c r="B48" t="s">
        <v>303</v>
      </c>
      <c r="C48" t="s">
        <v>31</v>
      </c>
      <c r="D48" t="s">
        <v>472</v>
      </c>
      <c r="E48" t="s">
        <v>473</v>
      </c>
      <c r="F48" t="s">
        <v>12</v>
      </c>
      <c r="G48" t="s">
        <v>474</v>
      </c>
      <c r="H48" t="s">
        <v>475</v>
      </c>
      <c r="I48" t="s">
        <v>30</v>
      </c>
      <c r="J48">
        <v>1</v>
      </c>
      <c r="K48">
        <v>1</v>
      </c>
      <c r="L48" s="2">
        <v>0.04</v>
      </c>
      <c r="M48">
        <v>0.1</v>
      </c>
      <c r="N48" s="2">
        <v>4.0000000000000003E-5</v>
      </c>
      <c r="O48" s="2">
        <v>1E-4</v>
      </c>
    </row>
    <row r="49" spans="2:15">
      <c r="B49" t="s">
        <v>303</v>
      </c>
      <c r="C49" t="s">
        <v>31</v>
      </c>
      <c r="D49" t="s">
        <v>476</v>
      </c>
      <c r="E49" t="s">
        <v>477</v>
      </c>
      <c r="F49" t="s">
        <v>10</v>
      </c>
      <c r="G49" t="s">
        <v>478</v>
      </c>
      <c r="H49" t="s">
        <v>479</v>
      </c>
      <c r="I49" t="s">
        <v>24</v>
      </c>
      <c r="J49">
        <v>0</v>
      </c>
      <c r="K49">
        <v>2</v>
      </c>
      <c r="L49" s="2">
        <v>3.5000000000000001E-3</v>
      </c>
      <c r="M49">
        <v>2.5000000000000001E-2</v>
      </c>
      <c r="N49" s="2">
        <v>7.0000000000000001E-3</v>
      </c>
      <c r="O49" s="2">
        <v>0.05</v>
      </c>
    </row>
    <row r="50" spans="2:15">
      <c r="B50" t="s">
        <v>303</v>
      </c>
      <c r="C50" t="s">
        <v>31</v>
      </c>
      <c r="D50" t="s">
        <v>480</v>
      </c>
      <c r="E50" t="s">
        <v>481</v>
      </c>
      <c r="F50" t="s">
        <v>10</v>
      </c>
      <c r="G50" t="s">
        <v>482</v>
      </c>
      <c r="H50" t="s">
        <v>483</v>
      </c>
      <c r="I50" t="s">
        <v>24</v>
      </c>
      <c r="J50">
        <v>0</v>
      </c>
      <c r="K50">
        <v>11</v>
      </c>
      <c r="L50" s="2">
        <v>3.5000000000000001E-3</v>
      </c>
      <c r="M50">
        <v>2.5000000000000001E-2</v>
      </c>
      <c r="N50" s="2">
        <v>3.85E-2</v>
      </c>
      <c r="O50" s="2">
        <v>0.27500000000000002</v>
      </c>
    </row>
    <row r="51" spans="2:15">
      <c r="B51" t="s">
        <v>303</v>
      </c>
      <c r="C51" t="s">
        <v>31</v>
      </c>
      <c r="D51" t="s">
        <v>484</v>
      </c>
      <c r="E51" t="s">
        <v>485</v>
      </c>
      <c r="F51" t="s">
        <v>10</v>
      </c>
      <c r="G51" t="s">
        <v>486</v>
      </c>
      <c r="H51" t="s">
        <v>487</v>
      </c>
      <c r="I51" t="s">
        <v>24</v>
      </c>
      <c r="J51">
        <v>0</v>
      </c>
      <c r="K51">
        <v>2</v>
      </c>
      <c r="L51" s="2">
        <v>3.5000000000000001E-3</v>
      </c>
      <c r="M51">
        <v>2.5000000000000001E-2</v>
      </c>
      <c r="N51" s="2">
        <v>7.0000000000000001E-3</v>
      </c>
      <c r="O51" s="2">
        <v>0.05</v>
      </c>
    </row>
    <row r="52" spans="2:15">
      <c r="B52" t="s">
        <v>303</v>
      </c>
      <c r="C52" t="s">
        <v>31</v>
      </c>
      <c r="D52" t="s">
        <v>488</v>
      </c>
      <c r="E52" t="s">
        <v>489</v>
      </c>
      <c r="F52" t="s">
        <v>10</v>
      </c>
      <c r="G52" t="s">
        <v>490</v>
      </c>
      <c r="H52" t="s">
        <v>491</v>
      </c>
      <c r="I52" t="s">
        <v>24</v>
      </c>
      <c r="J52">
        <v>0</v>
      </c>
      <c r="K52">
        <v>2</v>
      </c>
      <c r="L52" s="2">
        <v>3.5000000000000001E-3</v>
      </c>
      <c r="M52">
        <v>2.5000000000000001E-2</v>
      </c>
      <c r="N52" s="2">
        <v>7.0000000000000001E-3</v>
      </c>
      <c r="O52" s="2">
        <v>0.05</v>
      </c>
    </row>
    <row r="53" spans="2:15">
      <c r="B53" t="s">
        <v>303</v>
      </c>
      <c r="C53" t="s">
        <v>31</v>
      </c>
      <c r="D53" t="s">
        <v>492</v>
      </c>
      <c r="E53" t="s">
        <v>493</v>
      </c>
      <c r="F53" t="s">
        <v>10</v>
      </c>
      <c r="G53" t="s">
        <v>494</v>
      </c>
      <c r="H53" t="s">
        <v>495</v>
      </c>
      <c r="I53" t="s">
        <v>24</v>
      </c>
      <c r="J53">
        <v>0</v>
      </c>
      <c r="K53">
        <v>15</v>
      </c>
      <c r="L53" s="2">
        <v>3.5000000000000001E-3</v>
      </c>
      <c r="M53">
        <v>2.5000000000000001E-2</v>
      </c>
      <c r="N53" s="2">
        <v>5.2499999999999998E-2</v>
      </c>
      <c r="O53" s="2">
        <v>0.375</v>
      </c>
    </row>
    <row r="54" spans="2:15">
      <c r="B54" t="s">
        <v>303</v>
      </c>
      <c r="C54" t="s">
        <v>31</v>
      </c>
      <c r="D54" t="s">
        <v>496</v>
      </c>
      <c r="E54" t="s">
        <v>497</v>
      </c>
      <c r="F54" t="s">
        <v>10</v>
      </c>
      <c r="G54" t="s">
        <v>498</v>
      </c>
      <c r="H54" t="s">
        <v>499</v>
      </c>
      <c r="I54" t="s">
        <v>24</v>
      </c>
      <c r="J54">
        <v>0</v>
      </c>
      <c r="K54">
        <v>5</v>
      </c>
      <c r="L54" s="2">
        <v>3.5000000000000001E-3</v>
      </c>
      <c r="M54">
        <v>2.5000000000000001E-2</v>
      </c>
      <c r="N54" s="2">
        <v>1.7500000000000002E-2</v>
      </c>
      <c r="O54" s="2">
        <v>0.125</v>
      </c>
    </row>
    <row r="55" spans="2:15">
      <c r="B55" t="s">
        <v>303</v>
      </c>
      <c r="C55" t="s">
        <v>31</v>
      </c>
      <c r="D55" t="s">
        <v>500</v>
      </c>
      <c r="E55" t="s">
        <v>501</v>
      </c>
      <c r="F55" t="s">
        <v>10</v>
      </c>
      <c r="G55" t="s">
        <v>502</v>
      </c>
      <c r="H55" t="s">
        <v>503</v>
      </c>
      <c r="I55" t="s">
        <v>24</v>
      </c>
      <c r="J55">
        <v>0</v>
      </c>
      <c r="K55">
        <v>8</v>
      </c>
      <c r="L55" s="2">
        <v>3.5000000000000001E-3</v>
      </c>
      <c r="M55">
        <v>2.5000000000000001E-2</v>
      </c>
      <c r="N55" s="2">
        <v>2.8000000000000001E-2</v>
      </c>
      <c r="O55" s="2">
        <v>0.2</v>
      </c>
    </row>
    <row r="56" spans="2:15">
      <c r="B56" t="s">
        <v>303</v>
      </c>
      <c r="C56" t="s">
        <v>28</v>
      </c>
      <c r="D56" t="s">
        <v>312</v>
      </c>
      <c r="E56" t="s">
        <v>313</v>
      </c>
      <c r="F56" t="s">
        <v>12</v>
      </c>
      <c r="G56" t="s">
        <v>314</v>
      </c>
      <c r="H56" t="s">
        <v>315</v>
      </c>
      <c r="I56" t="s">
        <v>30</v>
      </c>
      <c r="J56">
        <v>79759</v>
      </c>
      <c r="K56">
        <v>100</v>
      </c>
      <c r="L56" s="2">
        <v>0.04</v>
      </c>
      <c r="M56">
        <v>0.1</v>
      </c>
      <c r="N56" s="2">
        <v>3.1903600000000001</v>
      </c>
      <c r="O56" s="2">
        <v>7.9759000000000002</v>
      </c>
    </row>
    <row r="57" spans="2:15">
      <c r="B57" t="s">
        <v>303</v>
      </c>
      <c r="C57" t="s">
        <v>28</v>
      </c>
      <c r="D57" t="s">
        <v>316</v>
      </c>
      <c r="E57" t="s">
        <v>317</v>
      </c>
      <c r="F57" t="s">
        <v>12</v>
      </c>
      <c r="G57" t="s">
        <v>318</v>
      </c>
      <c r="H57" t="s">
        <v>319</v>
      </c>
      <c r="I57" t="s">
        <v>30</v>
      </c>
      <c r="J57">
        <v>81684</v>
      </c>
      <c r="K57">
        <v>130</v>
      </c>
      <c r="L57" s="2">
        <v>0.04</v>
      </c>
      <c r="M57">
        <v>0.1</v>
      </c>
      <c r="N57" s="2">
        <v>3.26736</v>
      </c>
      <c r="O57" s="2">
        <v>8.1684000000000001</v>
      </c>
    </row>
    <row r="58" spans="2:15">
      <c r="B58" t="s">
        <v>303</v>
      </c>
      <c r="C58" t="s">
        <v>28</v>
      </c>
      <c r="D58" t="s">
        <v>320</v>
      </c>
      <c r="E58" t="s">
        <v>321</v>
      </c>
      <c r="F58" t="s">
        <v>12</v>
      </c>
      <c r="G58" t="s">
        <v>322</v>
      </c>
      <c r="H58" t="s">
        <v>323</v>
      </c>
      <c r="I58" t="s">
        <v>30</v>
      </c>
      <c r="J58">
        <v>302664</v>
      </c>
      <c r="K58">
        <v>749</v>
      </c>
      <c r="L58" s="2">
        <v>0.04</v>
      </c>
      <c r="M58">
        <v>0.1</v>
      </c>
      <c r="N58" s="2">
        <v>12.10656</v>
      </c>
      <c r="O58" s="2">
        <v>30.266400000000001</v>
      </c>
    </row>
    <row r="59" spans="2:15">
      <c r="B59" t="s">
        <v>303</v>
      </c>
      <c r="C59" t="s">
        <v>28</v>
      </c>
      <c r="D59" t="s">
        <v>324</v>
      </c>
      <c r="E59" t="s">
        <v>325</v>
      </c>
      <c r="F59" t="s">
        <v>12</v>
      </c>
      <c r="G59" t="s">
        <v>326</v>
      </c>
      <c r="H59" t="s">
        <v>327</v>
      </c>
      <c r="I59" t="s">
        <v>30</v>
      </c>
      <c r="J59">
        <v>67902</v>
      </c>
      <c r="K59">
        <v>529</v>
      </c>
      <c r="L59" s="2">
        <v>0.04</v>
      </c>
      <c r="M59">
        <v>0.1</v>
      </c>
      <c r="N59" s="2">
        <v>2.7160799999999998</v>
      </c>
      <c r="O59" s="2">
        <v>6.7902000000000005</v>
      </c>
    </row>
    <row r="60" spans="2:15">
      <c r="B60" t="s">
        <v>303</v>
      </c>
      <c r="C60" t="s">
        <v>28</v>
      </c>
      <c r="D60" t="s">
        <v>328</v>
      </c>
      <c r="E60" t="s">
        <v>329</v>
      </c>
      <c r="F60" t="s">
        <v>12</v>
      </c>
      <c r="G60" t="s">
        <v>330</v>
      </c>
      <c r="H60" t="s">
        <v>331</v>
      </c>
      <c r="I60" t="s">
        <v>30</v>
      </c>
      <c r="J60">
        <v>1152882</v>
      </c>
      <c r="K60">
        <v>1336</v>
      </c>
      <c r="L60" s="2">
        <v>0.04</v>
      </c>
      <c r="M60">
        <v>0.1</v>
      </c>
      <c r="N60" s="2">
        <v>46.115279999999998</v>
      </c>
      <c r="O60" s="2">
        <v>115.28820000000002</v>
      </c>
    </row>
    <row r="61" spans="2:15">
      <c r="B61" t="s">
        <v>303</v>
      </c>
      <c r="C61" t="s">
        <v>28</v>
      </c>
      <c r="D61" t="s">
        <v>332</v>
      </c>
      <c r="E61" t="s">
        <v>333</v>
      </c>
      <c r="F61" t="s">
        <v>12</v>
      </c>
      <c r="G61" t="s">
        <v>39</v>
      </c>
      <c r="H61" t="s">
        <v>504</v>
      </c>
      <c r="I61" t="s">
        <v>30</v>
      </c>
      <c r="J61">
        <v>1</v>
      </c>
      <c r="K61">
        <v>0</v>
      </c>
      <c r="L61" s="2">
        <v>0.04</v>
      </c>
      <c r="M61">
        <v>0.1</v>
      </c>
      <c r="N61" s="2">
        <v>4.0000000000000003E-5</v>
      </c>
      <c r="O61" s="2">
        <v>1E-4</v>
      </c>
    </row>
    <row r="62" spans="2:15">
      <c r="B62" t="s">
        <v>303</v>
      </c>
      <c r="C62" t="s">
        <v>28</v>
      </c>
      <c r="D62" t="s">
        <v>332</v>
      </c>
      <c r="E62" t="s">
        <v>333</v>
      </c>
      <c r="F62" t="s">
        <v>12</v>
      </c>
      <c r="G62" t="s">
        <v>334</v>
      </c>
      <c r="H62" t="s">
        <v>335</v>
      </c>
      <c r="I62" t="s">
        <v>30</v>
      </c>
      <c r="J62">
        <v>1435570</v>
      </c>
      <c r="K62">
        <v>534</v>
      </c>
      <c r="L62" s="2">
        <v>0.04</v>
      </c>
      <c r="M62">
        <v>0.1</v>
      </c>
      <c r="N62" s="2">
        <v>57.422800000000002</v>
      </c>
      <c r="O62" s="2">
        <v>143.55699999999999</v>
      </c>
    </row>
    <row r="63" spans="2:15">
      <c r="B63" t="s">
        <v>303</v>
      </c>
      <c r="C63" t="s">
        <v>28</v>
      </c>
      <c r="D63" t="s">
        <v>336</v>
      </c>
      <c r="E63" t="s">
        <v>337</v>
      </c>
      <c r="F63" t="s">
        <v>12</v>
      </c>
      <c r="G63" t="s">
        <v>338</v>
      </c>
      <c r="H63" t="s">
        <v>339</v>
      </c>
      <c r="I63" t="s">
        <v>30</v>
      </c>
      <c r="J63">
        <v>1114871</v>
      </c>
      <c r="K63">
        <v>568</v>
      </c>
      <c r="L63" s="2">
        <v>0.04</v>
      </c>
      <c r="M63">
        <v>0.1</v>
      </c>
      <c r="N63" s="2">
        <v>44.594840000000005</v>
      </c>
      <c r="O63" s="2">
        <v>111.48710000000001</v>
      </c>
    </row>
    <row r="64" spans="2:15">
      <c r="B64" t="s">
        <v>303</v>
      </c>
      <c r="C64" t="s">
        <v>28</v>
      </c>
      <c r="D64" t="s">
        <v>340</v>
      </c>
      <c r="E64" t="s">
        <v>341</v>
      </c>
      <c r="F64" t="s">
        <v>12</v>
      </c>
      <c r="G64" t="s">
        <v>342</v>
      </c>
      <c r="H64" t="s">
        <v>343</v>
      </c>
      <c r="I64" t="s">
        <v>30</v>
      </c>
      <c r="J64">
        <v>1242536</v>
      </c>
      <c r="K64">
        <v>616</v>
      </c>
      <c r="L64" s="2">
        <v>0.04</v>
      </c>
      <c r="M64">
        <v>0.1</v>
      </c>
      <c r="N64" s="2">
        <v>49.701440000000005</v>
      </c>
      <c r="O64" s="2">
        <v>124.25360000000001</v>
      </c>
    </row>
    <row r="65" spans="2:15">
      <c r="B65" t="s">
        <v>303</v>
      </c>
      <c r="C65" t="s">
        <v>28</v>
      </c>
      <c r="D65" t="s">
        <v>344</v>
      </c>
      <c r="E65" t="s">
        <v>345</v>
      </c>
      <c r="F65" t="s">
        <v>10</v>
      </c>
      <c r="G65" t="s">
        <v>346</v>
      </c>
      <c r="H65" t="s">
        <v>505</v>
      </c>
      <c r="I65" t="s">
        <v>24</v>
      </c>
      <c r="J65">
        <v>0</v>
      </c>
      <c r="K65">
        <v>6317</v>
      </c>
      <c r="L65" s="2">
        <v>3.5000000000000001E-3</v>
      </c>
      <c r="M65">
        <v>2.5000000000000001E-2</v>
      </c>
      <c r="N65" s="2">
        <v>22.109500000000001</v>
      </c>
      <c r="O65" s="2">
        <v>157.92500000000001</v>
      </c>
    </row>
    <row r="66" spans="2:15">
      <c r="B66" t="s">
        <v>63</v>
      </c>
      <c r="C66" t="s">
        <v>31</v>
      </c>
      <c r="D66" t="s">
        <v>110</v>
      </c>
      <c r="E66" t="s">
        <v>112</v>
      </c>
      <c r="F66" t="s">
        <v>12</v>
      </c>
      <c r="G66" t="s">
        <v>111</v>
      </c>
      <c r="H66" t="s">
        <v>113</v>
      </c>
      <c r="I66" t="s">
        <v>30</v>
      </c>
      <c r="J66">
        <v>61833</v>
      </c>
      <c r="K66">
        <v>6073</v>
      </c>
      <c r="L66" s="2">
        <v>0.04</v>
      </c>
      <c r="M66">
        <v>0.1</v>
      </c>
      <c r="N66" s="2">
        <v>2.4733200000000002</v>
      </c>
      <c r="O66" s="2">
        <v>6.1833</v>
      </c>
    </row>
    <row r="67" spans="2:15">
      <c r="B67" t="s">
        <v>63</v>
      </c>
      <c r="C67" t="s">
        <v>31</v>
      </c>
      <c r="D67" t="s">
        <v>114</v>
      </c>
      <c r="E67" t="s">
        <v>115</v>
      </c>
      <c r="F67" t="s">
        <v>12</v>
      </c>
      <c r="G67" t="s">
        <v>116</v>
      </c>
      <c r="H67" t="s">
        <v>117</v>
      </c>
      <c r="I67" t="s">
        <v>30</v>
      </c>
      <c r="J67">
        <v>357</v>
      </c>
      <c r="K67">
        <v>3</v>
      </c>
      <c r="L67" s="2">
        <v>0.04</v>
      </c>
      <c r="M67">
        <v>0.1</v>
      </c>
      <c r="N67" s="2">
        <v>1.4280000000000001E-2</v>
      </c>
      <c r="O67" s="2">
        <v>3.5700000000000003E-2</v>
      </c>
    </row>
    <row r="68" spans="2:15">
      <c r="B68" t="s">
        <v>63</v>
      </c>
      <c r="C68" t="s">
        <v>31</v>
      </c>
      <c r="D68" t="s">
        <v>114</v>
      </c>
      <c r="E68" t="s">
        <v>118</v>
      </c>
      <c r="F68" t="s">
        <v>12</v>
      </c>
      <c r="G68" t="s">
        <v>116</v>
      </c>
      <c r="H68" t="s">
        <v>119</v>
      </c>
      <c r="I68" t="s">
        <v>30</v>
      </c>
      <c r="J68">
        <v>14</v>
      </c>
      <c r="K68">
        <v>3</v>
      </c>
      <c r="L68" s="2">
        <v>0.04</v>
      </c>
      <c r="M68">
        <v>0.1</v>
      </c>
      <c r="N68" s="2">
        <v>5.6000000000000006E-4</v>
      </c>
      <c r="O68" s="2">
        <v>1.4000000000000002E-3</v>
      </c>
    </row>
    <row r="69" spans="2:15">
      <c r="B69" t="s">
        <v>63</v>
      </c>
      <c r="C69" t="s">
        <v>31</v>
      </c>
      <c r="D69" t="s">
        <v>120</v>
      </c>
      <c r="E69" t="s">
        <v>121</v>
      </c>
      <c r="F69" t="s">
        <v>12</v>
      </c>
      <c r="G69" t="s">
        <v>122</v>
      </c>
      <c r="H69" t="s">
        <v>123</v>
      </c>
      <c r="I69" t="s">
        <v>30</v>
      </c>
      <c r="J69">
        <v>61936</v>
      </c>
      <c r="K69">
        <v>7288</v>
      </c>
      <c r="L69" s="2">
        <v>0.04</v>
      </c>
      <c r="M69">
        <v>0.1</v>
      </c>
      <c r="N69" s="2">
        <v>2.4774400000000001</v>
      </c>
      <c r="O69" s="2">
        <v>6.1936</v>
      </c>
    </row>
    <row r="70" spans="2:15">
      <c r="B70" t="s">
        <v>63</v>
      </c>
      <c r="C70" t="s">
        <v>31</v>
      </c>
      <c r="D70" t="s">
        <v>120</v>
      </c>
      <c r="E70" t="s">
        <v>124</v>
      </c>
      <c r="F70" t="s">
        <v>12</v>
      </c>
      <c r="G70" t="s">
        <v>122</v>
      </c>
      <c r="H70" t="s">
        <v>125</v>
      </c>
      <c r="I70" t="s">
        <v>30</v>
      </c>
      <c r="J70">
        <v>17200</v>
      </c>
      <c r="K70">
        <v>3074</v>
      </c>
      <c r="L70" s="2">
        <v>0.04</v>
      </c>
      <c r="M70">
        <v>0.1</v>
      </c>
      <c r="N70" s="2">
        <v>0.68799999999999994</v>
      </c>
      <c r="O70" s="2">
        <v>1.72</v>
      </c>
    </row>
    <row r="71" spans="2:15">
      <c r="B71" t="s">
        <v>63</v>
      </c>
      <c r="C71" t="s">
        <v>31</v>
      </c>
      <c r="D71" t="s">
        <v>126</v>
      </c>
      <c r="E71" t="s">
        <v>127</v>
      </c>
      <c r="F71" t="s">
        <v>12</v>
      </c>
      <c r="G71" t="s">
        <v>128</v>
      </c>
      <c r="H71" t="s">
        <v>129</v>
      </c>
      <c r="I71" t="s">
        <v>30</v>
      </c>
      <c r="J71">
        <v>165</v>
      </c>
      <c r="K71">
        <v>0</v>
      </c>
      <c r="L71" s="2">
        <v>0.04</v>
      </c>
      <c r="M71">
        <v>0.1</v>
      </c>
      <c r="N71" s="2">
        <v>6.6000000000000008E-3</v>
      </c>
      <c r="O71" s="2">
        <v>1.6500000000000001E-2</v>
      </c>
    </row>
    <row r="72" spans="2:15">
      <c r="B72" t="s">
        <v>63</v>
      </c>
      <c r="C72" t="s">
        <v>31</v>
      </c>
      <c r="D72" t="s">
        <v>130</v>
      </c>
      <c r="E72" t="s">
        <v>131</v>
      </c>
      <c r="F72" t="s">
        <v>12</v>
      </c>
      <c r="G72" t="s">
        <v>132</v>
      </c>
      <c r="H72" t="s">
        <v>133</v>
      </c>
      <c r="I72" t="s">
        <v>30</v>
      </c>
      <c r="J72">
        <v>4713</v>
      </c>
      <c r="K72">
        <v>508</v>
      </c>
      <c r="L72" s="2">
        <v>0.04</v>
      </c>
      <c r="M72">
        <v>0.1</v>
      </c>
      <c r="N72" s="2">
        <v>0.18852000000000002</v>
      </c>
      <c r="O72" s="2">
        <v>0.4713</v>
      </c>
    </row>
    <row r="73" spans="2:15">
      <c r="B73" t="s">
        <v>63</v>
      </c>
      <c r="C73" t="s">
        <v>31</v>
      </c>
      <c r="D73" t="s">
        <v>130</v>
      </c>
      <c r="E73" t="s">
        <v>134</v>
      </c>
      <c r="F73" t="s">
        <v>12</v>
      </c>
      <c r="G73" t="s">
        <v>132</v>
      </c>
      <c r="H73" t="s">
        <v>135</v>
      </c>
      <c r="I73" t="s">
        <v>30</v>
      </c>
      <c r="J73">
        <v>1475</v>
      </c>
      <c r="K73">
        <v>171</v>
      </c>
      <c r="L73" s="2">
        <v>0.04</v>
      </c>
      <c r="M73">
        <v>0.1</v>
      </c>
      <c r="N73" s="2">
        <v>5.8999999999999997E-2</v>
      </c>
      <c r="O73" s="2">
        <v>0.14749999999999999</v>
      </c>
    </row>
    <row r="74" spans="2:15">
      <c r="B74" t="s">
        <v>63</v>
      </c>
      <c r="C74" t="s">
        <v>31</v>
      </c>
      <c r="D74" t="s">
        <v>136</v>
      </c>
      <c r="E74" t="s">
        <v>137</v>
      </c>
      <c r="F74" t="s">
        <v>12</v>
      </c>
      <c r="G74" t="s">
        <v>138</v>
      </c>
      <c r="H74" t="s">
        <v>139</v>
      </c>
      <c r="I74" t="s">
        <v>30</v>
      </c>
      <c r="J74">
        <v>6346</v>
      </c>
      <c r="K74">
        <v>74</v>
      </c>
      <c r="L74" s="2">
        <v>0.04</v>
      </c>
      <c r="M74">
        <v>0.1</v>
      </c>
      <c r="N74" s="2">
        <v>0.25384000000000001</v>
      </c>
      <c r="O74" s="2">
        <v>0.63460000000000005</v>
      </c>
    </row>
    <row r="75" spans="2:15">
      <c r="B75" t="s">
        <v>63</v>
      </c>
      <c r="C75" t="s">
        <v>31</v>
      </c>
      <c r="D75" t="s">
        <v>136</v>
      </c>
      <c r="E75" t="s">
        <v>140</v>
      </c>
      <c r="F75" t="s">
        <v>12</v>
      </c>
      <c r="G75" t="s">
        <v>138</v>
      </c>
      <c r="H75" t="s">
        <v>141</v>
      </c>
      <c r="I75" t="s">
        <v>30</v>
      </c>
      <c r="J75">
        <v>172</v>
      </c>
      <c r="K75">
        <v>10</v>
      </c>
      <c r="L75" s="2">
        <v>0.04</v>
      </c>
      <c r="M75">
        <v>0.1</v>
      </c>
      <c r="N75" s="2">
        <v>6.8799999999999998E-3</v>
      </c>
      <c r="O75" s="2">
        <v>1.72E-2</v>
      </c>
    </row>
    <row r="76" spans="2:15">
      <c r="B76" t="s">
        <v>63</v>
      </c>
      <c r="C76" t="s">
        <v>31</v>
      </c>
      <c r="D76" t="s">
        <v>142</v>
      </c>
      <c r="E76" t="s">
        <v>143</v>
      </c>
      <c r="F76" t="s">
        <v>12</v>
      </c>
      <c r="G76" t="s">
        <v>144</v>
      </c>
      <c r="H76" t="s">
        <v>145</v>
      </c>
      <c r="I76" t="s">
        <v>30</v>
      </c>
      <c r="J76">
        <v>11</v>
      </c>
      <c r="K76">
        <v>1</v>
      </c>
      <c r="L76" s="2">
        <v>0.04</v>
      </c>
      <c r="M76">
        <v>0.1</v>
      </c>
      <c r="N76" s="2">
        <v>4.4000000000000002E-4</v>
      </c>
      <c r="O76" s="2">
        <v>1.1000000000000001E-3</v>
      </c>
    </row>
    <row r="77" spans="2:15">
      <c r="B77" t="s">
        <v>63</v>
      </c>
      <c r="C77" t="s">
        <v>31</v>
      </c>
      <c r="D77" t="s">
        <v>146</v>
      </c>
      <c r="E77" t="s">
        <v>147</v>
      </c>
      <c r="F77" t="s">
        <v>12</v>
      </c>
      <c r="G77" t="s">
        <v>148</v>
      </c>
      <c r="H77" t="s">
        <v>149</v>
      </c>
      <c r="I77" t="s">
        <v>30</v>
      </c>
      <c r="J77">
        <v>9</v>
      </c>
      <c r="K77">
        <v>0</v>
      </c>
      <c r="L77" s="2">
        <v>0.04</v>
      </c>
      <c r="M77">
        <v>0.1</v>
      </c>
      <c r="N77" s="2">
        <v>3.5999999999999997E-4</v>
      </c>
      <c r="O77" s="2">
        <v>8.9999999999999998E-4</v>
      </c>
    </row>
    <row r="78" spans="2:15">
      <c r="B78" t="s">
        <v>63</v>
      </c>
      <c r="C78" t="s">
        <v>31</v>
      </c>
      <c r="D78" t="s">
        <v>150</v>
      </c>
      <c r="E78" t="s">
        <v>151</v>
      </c>
      <c r="F78" t="s">
        <v>12</v>
      </c>
      <c r="G78" t="s">
        <v>152</v>
      </c>
      <c r="H78" t="s">
        <v>153</v>
      </c>
      <c r="I78" t="s">
        <v>30</v>
      </c>
      <c r="J78">
        <v>14253</v>
      </c>
      <c r="K78">
        <v>1509</v>
      </c>
      <c r="L78" s="2">
        <v>0.04</v>
      </c>
      <c r="M78">
        <v>0.1</v>
      </c>
      <c r="N78" s="2">
        <v>0.57011999999999996</v>
      </c>
      <c r="O78" s="2">
        <v>1.4253000000000002</v>
      </c>
    </row>
    <row r="79" spans="2:15">
      <c r="B79" t="s">
        <v>63</v>
      </c>
      <c r="C79" t="s">
        <v>31</v>
      </c>
      <c r="D79" t="s">
        <v>150</v>
      </c>
      <c r="E79" t="s">
        <v>154</v>
      </c>
      <c r="F79" t="s">
        <v>12</v>
      </c>
      <c r="G79" t="s">
        <v>152</v>
      </c>
      <c r="H79" t="s">
        <v>155</v>
      </c>
      <c r="I79" t="s">
        <v>30</v>
      </c>
      <c r="J79">
        <v>56436</v>
      </c>
      <c r="K79">
        <v>8729</v>
      </c>
      <c r="L79" s="2">
        <v>0.04</v>
      </c>
      <c r="M79">
        <v>0.1</v>
      </c>
      <c r="N79" s="2">
        <v>2.2574399999999999</v>
      </c>
      <c r="O79" s="2">
        <v>5.6436000000000002</v>
      </c>
    </row>
    <row r="80" spans="2:15">
      <c r="B80" t="s">
        <v>63</v>
      </c>
      <c r="C80" t="s">
        <v>31</v>
      </c>
      <c r="D80" t="s">
        <v>156</v>
      </c>
      <c r="E80" t="s">
        <v>157</v>
      </c>
      <c r="F80" t="s">
        <v>12</v>
      </c>
      <c r="G80" t="s">
        <v>158</v>
      </c>
      <c r="H80" t="s">
        <v>159</v>
      </c>
      <c r="I80" t="s">
        <v>30</v>
      </c>
      <c r="J80">
        <v>118</v>
      </c>
      <c r="K80">
        <v>1</v>
      </c>
      <c r="L80" s="2">
        <v>0.04</v>
      </c>
      <c r="M80">
        <v>0.1</v>
      </c>
      <c r="N80" s="2">
        <v>4.7199999999999994E-3</v>
      </c>
      <c r="O80" s="2">
        <v>1.1800000000000001E-2</v>
      </c>
    </row>
    <row r="81" spans="2:15">
      <c r="B81" t="s">
        <v>63</v>
      </c>
      <c r="C81" t="s">
        <v>31</v>
      </c>
      <c r="D81" t="s">
        <v>156</v>
      </c>
      <c r="E81" t="s">
        <v>160</v>
      </c>
      <c r="F81" t="s">
        <v>12</v>
      </c>
      <c r="G81" t="s">
        <v>158</v>
      </c>
      <c r="H81" t="s">
        <v>161</v>
      </c>
      <c r="I81" t="s">
        <v>30</v>
      </c>
      <c r="J81">
        <v>24</v>
      </c>
      <c r="K81">
        <v>0</v>
      </c>
      <c r="L81" s="2">
        <v>0.04</v>
      </c>
      <c r="M81">
        <v>0.1</v>
      </c>
      <c r="N81" s="2">
        <v>9.5999999999999992E-4</v>
      </c>
      <c r="O81" s="2">
        <v>2.4000000000000002E-3</v>
      </c>
    </row>
    <row r="82" spans="2:15">
      <c r="B82" t="s">
        <v>63</v>
      </c>
      <c r="C82" t="s">
        <v>31</v>
      </c>
      <c r="D82" t="s">
        <v>162</v>
      </c>
      <c r="E82" t="s">
        <v>163</v>
      </c>
      <c r="F82" t="s">
        <v>12</v>
      </c>
      <c r="G82" t="s">
        <v>164</v>
      </c>
      <c r="H82" t="s">
        <v>165</v>
      </c>
      <c r="I82" t="s">
        <v>30</v>
      </c>
      <c r="J82">
        <v>44340</v>
      </c>
      <c r="K82">
        <v>5432</v>
      </c>
      <c r="L82" s="2">
        <v>0.04</v>
      </c>
      <c r="M82">
        <v>0.1</v>
      </c>
      <c r="N82" s="2">
        <v>1.7736000000000001</v>
      </c>
      <c r="O82" s="2">
        <v>4.4340000000000002</v>
      </c>
    </row>
    <row r="83" spans="2:15">
      <c r="B83" t="s">
        <v>63</v>
      </c>
      <c r="C83" t="s">
        <v>31</v>
      </c>
      <c r="D83" t="s">
        <v>166</v>
      </c>
      <c r="E83" t="s">
        <v>347</v>
      </c>
      <c r="F83" t="s">
        <v>12</v>
      </c>
      <c r="G83" t="s">
        <v>168</v>
      </c>
      <c r="H83" t="s">
        <v>348</v>
      </c>
      <c r="I83" t="s">
        <v>30</v>
      </c>
      <c r="J83">
        <v>764</v>
      </c>
      <c r="K83">
        <v>18</v>
      </c>
      <c r="L83" s="2">
        <v>0.04</v>
      </c>
      <c r="M83">
        <v>0.1</v>
      </c>
      <c r="N83" s="2">
        <v>3.0560000000000004E-2</v>
      </c>
      <c r="O83" s="2">
        <v>7.640000000000001E-2</v>
      </c>
    </row>
    <row r="84" spans="2:15">
      <c r="B84" t="s">
        <v>63</v>
      </c>
      <c r="C84" t="s">
        <v>31</v>
      </c>
      <c r="D84" t="s">
        <v>166</v>
      </c>
      <c r="E84" t="s">
        <v>167</v>
      </c>
      <c r="F84" t="s">
        <v>12</v>
      </c>
      <c r="G84" t="s">
        <v>168</v>
      </c>
      <c r="H84" t="s">
        <v>169</v>
      </c>
      <c r="I84" t="s">
        <v>30</v>
      </c>
      <c r="J84">
        <v>16</v>
      </c>
      <c r="K84">
        <v>0</v>
      </c>
      <c r="L84" s="2">
        <v>0.04</v>
      </c>
      <c r="M84">
        <v>0.1</v>
      </c>
      <c r="N84" s="2">
        <v>6.4000000000000005E-4</v>
      </c>
      <c r="O84" s="2">
        <v>1.6000000000000001E-3</v>
      </c>
    </row>
    <row r="85" spans="2:15">
      <c r="B85" t="s">
        <v>63</v>
      </c>
      <c r="C85" t="s">
        <v>31</v>
      </c>
      <c r="D85" t="s">
        <v>170</v>
      </c>
      <c r="E85" t="s">
        <v>171</v>
      </c>
      <c r="F85" t="s">
        <v>12</v>
      </c>
      <c r="G85" t="s">
        <v>172</v>
      </c>
      <c r="H85" t="s">
        <v>173</v>
      </c>
      <c r="I85" t="s">
        <v>30</v>
      </c>
      <c r="J85">
        <v>4296</v>
      </c>
      <c r="K85">
        <v>493</v>
      </c>
      <c r="L85" s="2">
        <v>0.04</v>
      </c>
      <c r="M85">
        <v>0.1</v>
      </c>
      <c r="N85" s="2">
        <v>0.17183999999999999</v>
      </c>
      <c r="O85" s="2">
        <v>0.42960000000000004</v>
      </c>
    </row>
    <row r="86" spans="2:15">
      <c r="B86" t="s">
        <v>63</v>
      </c>
      <c r="C86" t="s">
        <v>31</v>
      </c>
      <c r="D86" t="s">
        <v>170</v>
      </c>
      <c r="E86" t="s">
        <v>174</v>
      </c>
      <c r="F86" t="s">
        <v>12</v>
      </c>
      <c r="G86" t="s">
        <v>172</v>
      </c>
      <c r="H86" t="s">
        <v>175</v>
      </c>
      <c r="I86" t="s">
        <v>30</v>
      </c>
      <c r="J86">
        <v>14225</v>
      </c>
      <c r="K86">
        <v>1892</v>
      </c>
      <c r="L86" s="2">
        <v>0.04</v>
      </c>
      <c r="M86">
        <v>0.1</v>
      </c>
      <c r="N86" s="2">
        <v>0.56899999999999995</v>
      </c>
      <c r="O86" s="2">
        <v>1.4225000000000001</v>
      </c>
    </row>
    <row r="87" spans="2:15">
      <c r="B87" t="s">
        <v>63</v>
      </c>
      <c r="C87" t="s">
        <v>31</v>
      </c>
      <c r="D87" t="s">
        <v>176</v>
      </c>
      <c r="E87" t="s">
        <v>177</v>
      </c>
      <c r="F87" t="s">
        <v>12</v>
      </c>
      <c r="G87" t="s">
        <v>178</v>
      </c>
      <c r="H87" t="s">
        <v>179</v>
      </c>
      <c r="I87" t="s">
        <v>30</v>
      </c>
      <c r="J87">
        <v>15236</v>
      </c>
      <c r="K87">
        <v>110</v>
      </c>
      <c r="L87" s="2">
        <v>0.04</v>
      </c>
      <c r="M87">
        <v>0.1</v>
      </c>
      <c r="N87" s="2">
        <v>0.60944000000000009</v>
      </c>
      <c r="O87" s="2">
        <v>1.5236000000000001</v>
      </c>
    </row>
    <row r="88" spans="2:15">
      <c r="B88" t="s">
        <v>63</v>
      </c>
      <c r="C88" t="s">
        <v>31</v>
      </c>
      <c r="D88" t="s">
        <v>176</v>
      </c>
      <c r="E88" t="s">
        <v>180</v>
      </c>
      <c r="F88" t="s">
        <v>12</v>
      </c>
      <c r="G88" t="s">
        <v>178</v>
      </c>
      <c r="H88" t="s">
        <v>181</v>
      </c>
      <c r="I88" t="s">
        <v>30</v>
      </c>
      <c r="J88">
        <v>2148</v>
      </c>
      <c r="K88">
        <v>23</v>
      </c>
      <c r="L88" s="2">
        <v>0.04</v>
      </c>
      <c r="M88">
        <v>0.1</v>
      </c>
      <c r="N88" s="2">
        <v>8.5919999999999996E-2</v>
      </c>
      <c r="O88" s="2">
        <v>0.21480000000000002</v>
      </c>
    </row>
    <row r="89" spans="2:15">
      <c r="B89" t="s">
        <v>63</v>
      </c>
      <c r="C89" t="s">
        <v>31</v>
      </c>
      <c r="D89" t="s">
        <v>182</v>
      </c>
      <c r="E89" t="s">
        <v>349</v>
      </c>
      <c r="F89" t="s">
        <v>12</v>
      </c>
      <c r="G89" t="s">
        <v>184</v>
      </c>
      <c r="H89" t="s">
        <v>350</v>
      </c>
      <c r="I89" t="s">
        <v>30</v>
      </c>
      <c r="J89">
        <v>18</v>
      </c>
      <c r="K89">
        <v>0</v>
      </c>
      <c r="L89" s="2">
        <v>0.04</v>
      </c>
      <c r="M89">
        <v>0.1</v>
      </c>
      <c r="N89" s="2">
        <v>7.1999999999999994E-4</v>
      </c>
      <c r="O89" s="2">
        <v>1.8E-3</v>
      </c>
    </row>
    <row r="90" spans="2:15">
      <c r="B90" t="s">
        <v>63</v>
      </c>
      <c r="C90" t="s">
        <v>31</v>
      </c>
      <c r="D90" t="s">
        <v>182</v>
      </c>
      <c r="E90" t="s">
        <v>183</v>
      </c>
      <c r="F90" t="s">
        <v>12</v>
      </c>
      <c r="G90" t="s">
        <v>184</v>
      </c>
      <c r="H90" t="s">
        <v>185</v>
      </c>
      <c r="I90" t="s">
        <v>30</v>
      </c>
      <c r="J90">
        <v>5</v>
      </c>
      <c r="K90">
        <v>0</v>
      </c>
      <c r="L90" s="2">
        <v>0.04</v>
      </c>
      <c r="M90">
        <v>0.1</v>
      </c>
      <c r="N90" s="2">
        <v>2.0000000000000001E-4</v>
      </c>
      <c r="O90" s="2">
        <v>5.0000000000000001E-4</v>
      </c>
    </row>
    <row r="91" spans="2:15">
      <c r="B91" t="s">
        <v>63</v>
      </c>
      <c r="C91" t="s">
        <v>31</v>
      </c>
      <c r="D91" t="s">
        <v>186</v>
      </c>
      <c r="E91" t="s">
        <v>351</v>
      </c>
      <c r="F91" t="s">
        <v>12</v>
      </c>
      <c r="G91" t="s">
        <v>187</v>
      </c>
      <c r="H91" t="s">
        <v>352</v>
      </c>
      <c r="I91" t="s">
        <v>30</v>
      </c>
      <c r="J91">
        <v>74</v>
      </c>
      <c r="K91">
        <v>4</v>
      </c>
      <c r="L91" s="2">
        <v>0.04</v>
      </c>
      <c r="M91">
        <v>0.1</v>
      </c>
      <c r="N91" s="2">
        <v>2.96E-3</v>
      </c>
      <c r="O91" s="2">
        <v>7.4000000000000003E-3</v>
      </c>
    </row>
    <row r="92" spans="2:15">
      <c r="B92" t="s">
        <v>63</v>
      </c>
      <c r="C92" t="s">
        <v>28</v>
      </c>
      <c r="D92" t="s">
        <v>188</v>
      </c>
      <c r="E92" t="s">
        <v>189</v>
      </c>
      <c r="F92" t="s">
        <v>12</v>
      </c>
      <c r="G92" t="s">
        <v>190</v>
      </c>
      <c r="H92" t="s">
        <v>191</v>
      </c>
      <c r="I92" t="s">
        <v>30</v>
      </c>
      <c r="J92">
        <v>0</v>
      </c>
      <c r="K92">
        <v>1</v>
      </c>
      <c r="L92" s="2">
        <v>0.04</v>
      </c>
      <c r="M92">
        <v>0.1</v>
      </c>
      <c r="N92" s="2">
        <v>0</v>
      </c>
      <c r="O92" s="2">
        <v>0</v>
      </c>
    </row>
    <row r="93" spans="2:15">
      <c r="B93" t="s">
        <v>63</v>
      </c>
      <c r="C93" t="s">
        <v>28</v>
      </c>
      <c r="D93" t="s">
        <v>192</v>
      </c>
      <c r="E93" t="s">
        <v>193</v>
      </c>
      <c r="F93" t="s">
        <v>12</v>
      </c>
      <c r="G93" t="s">
        <v>194</v>
      </c>
      <c r="H93" t="s">
        <v>195</v>
      </c>
      <c r="I93" t="s">
        <v>30</v>
      </c>
      <c r="J93">
        <v>2</v>
      </c>
      <c r="K93">
        <v>0</v>
      </c>
      <c r="L93" s="2">
        <v>0.04</v>
      </c>
      <c r="M93">
        <v>0.1</v>
      </c>
      <c r="N93" s="2">
        <v>8.0000000000000007E-5</v>
      </c>
      <c r="O93" s="2">
        <v>2.0000000000000001E-4</v>
      </c>
    </row>
    <row r="94" spans="2:15">
      <c r="B94" t="s">
        <v>63</v>
      </c>
      <c r="C94" t="s">
        <v>28</v>
      </c>
      <c r="D94" t="s">
        <v>196</v>
      </c>
      <c r="E94" t="s">
        <v>197</v>
      </c>
      <c r="F94" t="s">
        <v>12</v>
      </c>
      <c r="G94" t="s">
        <v>198</v>
      </c>
      <c r="H94" t="s">
        <v>199</v>
      </c>
      <c r="I94" t="s">
        <v>30</v>
      </c>
      <c r="J94">
        <v>1</v>
      </c>
      <c r="K94">
        <v>0</v>
      </c>
      <c r="L94" s="2">
        <v>0.04</v>
      </c>
      <c r="M94">
        <v>0.1</v>
      </c>
      <c r="N94" s="2">
        <v>4.0000000000000003E-5</v>
      </c>
      <c r="O94" s="2">
        <v>1E-4</v>
      </c>
    </row>
    <row r="95" spans="2:15">
      <c r="B95" t="s">
        <v>63</v>
      </c>
      <c r="C95" t="s">
        <v>28</v>
      </c>
      <c r="D95" t="s">
        <v>64</v>
      </c>
      <c r="E95" t="s">
        <v>65</v>
      </c>
      <c r="F95" t="s">
        <v>12</v>
      </c>
      <c r="G95" t="s">
        <v>66</v>
      </c>
      <c r="H95" t="s">
        <v>67</v>
      </c>
      <c r="I95" t="s">
        <v>24</v>
      </c>
      <c r="J95">
        <v>2</v>
      </c>
      <c r="K95">
        <v>0</v>
      </c>
      <c r="L95" s="2">
        <v>0.04</v>
      </c>
      <c r="M95">
        <v>0.1</v>
      </c>
      <c r="N95" s="2">
        <v>8.0000000000000007E-5</v>
      </c>
      <c r="O95" s="2">
        <v>2.0000000000000001E-4</v>
      </c>
    </row>
    <row r="96" spans="2:15">
      <c r="B96" t="s">
        <v>63</v>
      </c>
      <c r="C96" t="s">
        <v>28</v>
      </c>
      <c r="D96" t="s">
        <v>64</v>
      </c>
      <c r="E96" t="s">
        <v>68</v>
      </c>
      <c r="F96" t="s">
        <v>12</v>
      </c>
      <c r="G96" t="s">
        <v>69</v>
      </c>
      <c r="H96" t="s">
        <v>70</v>
      </c>
      <c r="I96" t="s">
        <v>24</v>
      </c>
      <c r="J96">
        <v>1</v>
      </c>
      <c r="K96">
        <v>0</v>
      </c>
      <c r="L96" s="2">
        <v>0.04</v>
      </c>
      <c r="M96">
        <v>0.1</v>
      </c>
      <c r="N96" s="2">
        <v>4.0000000000000003E-5</v>
      </c>
      <c r="O96" s="2">
        <v>1E-4</v>
      </c>
    </row>
    <row r="97" spans="2:15">
      <c r="B97" t="s">
        <v>63</v>
      </c>
      <c r="C97" t="s">
        <v>28</v>
      </c>
      <c r="D97" t="s">
        <v>200</v>
      </c>
      <c r="E97" t="s">
        <v>201</v>
      </c>
      <c r="F97" t="s">
        <v>12</v>
      </c>
      <c r="G97" t="s">
        <v>202</v>
      </c>
      <c r="H97" t="s">
        <v>203</v>
      </c>
      <c r="I97" t="s">
        <v>30</v>
      </c>
      <c r="J97">
        <v>1</v>
      </c>
      <c r="K97">
        <v>0</v>
      </c>
      <c r="L97" s="2">
        <v>0.04</v>
      </c>
      <c r="M97">
        <v>0.1</v>
      </c>
      <c r="N97" s="2">
        <v>4.0000000000000003E-5</v>
      </c>
      <c r="O97" s="2">
        <v>1E-4</v>
      </c>
    </row>
    <row r="98" spans="2:15">
      <c r="B98" t="s">
        <v>63</v>
      </c>
      <c r="C98" t="s">
        <v>28</v>
      </c>
      <c r="D98" t="s">
        <v>204</v>
      </c>
      <c r="E98" t="s">
        <v>205</v>
      </c>
      <c r="F98" t="s">
        <v>12</v>
      </c>
      <c r="G98" t="s">
        <v>206</v>
      </c>
      <c r="H98" t="s">
        <v>207</v>
      </c>
      <c r="I98" t="s">
        <v>30</v>
      </c>
      <c r="J98">
        <v>2</v>
      </c>
      <c r="K98">
        <v>0</v>
      </c>
      <c r="L98" s="2">
        <v>0.04</v>
      </c>
      <c r="M98">
        <v>0.1</v>
      </c>
      <c r="N98" s="2">
        <v>8.0000000000000007E-5</v>
      </c>
      <c r="O98" s="2">
        <v>2.0000000000000001E-4</v>
      </c>
    </row>
    <row r="99" spans="2:15">
      <c r="B99" t="s">
        <v>63</v>
      </c>
      <c r="C99" t="s">
        <v>28</v>
      </c>
      <c r="D99" t="s">
        <v>208</v>
      </c>
      <c r="E99" t="s">
        <v>209</v>
      </c>
      <c r="F99" t="s">
        <v>12</v>
      </c>
      <c r="G99" t="s">
        <v>210</v>
      </c>
      <c r="H99" t="s">
        <v>211</v>
      </c>
      <c r="I99" t="s">
        <v>30</v>
      </c>
      <c r="J99">
        <v>4</v>
      </c>
      <c r="K99">
        <v>0</v>
      </c>
      <c r="L99" s="2">
        <v>0.04</v>
      </c>
      <c r="M99">
        <v>0.1</v>
      </c>
      <c r="N99" s="2">
        <v>1.6000000000000001E-4</v>
      </c>
      <c r="O99" s="2">
        <v>4.0000000000000002E-4</v>
      </c>
    </row>
    <row r="100" spans="2:15">
      <c r="B100" t="s">
        <v>63</v>
      </c>
      <c r="C100" t="s">
        <v>28</v>
      </c>
      <c r="D100" t="s">
        <v>212</v>
      </c>
      <c r="E100" t="s">
        <v>213</v>
      </c>
      <c r="F100" t="s">
        <v>12</v>
      </c>
      <c r="G100" t="s">
        <v>214</v>
      </c>
      <c r="H100" t="s">
        <v>215</v>
      </c>
      <c r="I100" t="s">
        <v>30</v>
      </c>
      <c r="J100">
        <v>1</v>
      </c>
      <c r="K100">
        <v>0</v>
      </c>
      <c r="L100" s="2">
        <v>0.04</v>
      </c>
      <c r="M100">
        <v>0.1</v>
      </c>
      <c r="N100" s="2">
        <v>4.0000000000000003E-5</v>
      </c>
      <c r="O100" s="2">
        <v>1E-4</v>
      </c>
    </row>
    <row r="101" spans="2:15">
      <c r="B101" t="s">
        <v>41</v>
      </c>
      <c r="C101" t="s">
        <v>28</v>
      </c>
      <c r="D101" t="s">
        <v>506</v>
      </c>
      <c r="E101" t="s">
        <v>507</v>
      </c>
      <c r="F101" t="s">
        <v>12</v>
      </c>
      <c r="G101" t="s">
        <v>508</v>
      </c>
      <c r="H101" t="s">
        <v>509</v>
      </c>
      <c r="I101" t="s">
        <v>30</v>
      </c>
      <c r="J101">
        <v>1</v>
      </c>
      <c r="K101">
        <v>0</v>
      </c>
      <c r="L101" s="2">
        <v>0.04</v>
      </c>
      <c r="M101">
        <v>0.1</v>
      </c>
      <c r="N101" s="2">
        <v>4.0000000000000003E-5</v>
      </c>
      <c r="O101" s="2">
        <v>1E-4</v>
      </c>
    </row>
    <row r="102" spans="2:15">
      <c r="B102" t="s">
        <v>41</v>
      </c>
      <c r="C102" t="s">
        <v>28</v>
      </c>
      <c r="D102" t="s">
        <v>42</v>
      </c>
      <c r="E102" t="s">
        <v>43</v>
      </c>
      <c r="F102" t="s">
        <v>12</v>
      </c>
      <c r="G102" t="s">
        <v>44</v>
      </c>
      <c r="H102" t="s">
        <v>45</v>
      </c>
      <c r="I102" t="s">
        <v>24</v>
      </c>
      <c r="J102">
        <v>1</v>
      </c>
      <c r="K102">
        <v>0</v>
      </c>
      <c r="L102" s="2">
        <v>0.04</v>
      </c>
      <c r="M102">
        <v>0.1</v>
      </c>
      <c r="N102" s="2">
        <v>4.0000000000000003E-5</v>
      </c>
      <c r="O102" s="2">
        <v>1E-4</v>
      </c>
    </row>
    <row r="103" spans="2:15">
      <c r="B103" t="s">
        <v>46</v>
      </c>
      <c r="C103" t="s">
        <v>29</v>
      </c>
      <c r="D103" t="s">
        <v>216</v>
      </c>
      <c r="E103" t="s">
        <v>217</v>
      </c>
      <c r="F103" t="s">
        <v>12</v>
      </c>
      <c r="G103" t="s">
        <v>218</v>
      </c>
      <c r="H103" t="s">
        <v>219</v>
      </c>
      <c r="I103" t="s">
        <v>24</v>
      </c>
      <c r="J103">
        <v>20704</v>
      </c>
      <c r="K103">
        <v>77</v>
      </c>
      <c r="L103" s="2">
        <v>0.04</v>
      </c>
      <c r="M103">
        <v>0.1</v>
      </c>
      <c r="N103" s="2">
        <v>0.82816000000000001</v>
      </c>
      <c r="O103" s="2">
        <v>2.0704000000000002</v>
      </c>
    </row>
    <row r="104" spans="2:15">
      <c r="B104" t="s">
        <v>46</v>
      </c>
      <c r="C104" t="s">
        <v>29</v>
      </c>
      <c r="D104" t="s">
        <v>510</v>
      </c>
      <c r="E104" t="s">
        <v>511</v>
      </c>
      <c r="F104" t="s">
        <v>12</v>
      </c>
      <c r="G104" t="s">
        <v>512</v>
      </c>
      <c r="H104" t="s">
        <v>513</v>
      </c>
      <c r="I104" t="s">
        <v>24</v>
      </c>
      <c r="J104">
        <v>266380</v>
      </c>
      <c r="K104">
        <v>816</v>
      </c>
      <c r="L104" s="2">
        <v>0.04</v>
      </c>
      <c r="M104">
        <v>0.1</v>
      </c>
      <c r="N104" s="2">
        <v>10.655200000000001</v>
      </c>
      <c r="O104" s="2">
        <v>26.638000000000002</v>
      </c>
    </row>
    <row r="105" spans="2:15">
      <c r="B105" t="s">
        <v>46</v>
      </c>
      <c r="C105" t="s">
        <v>29</v>
      </c>
      <c r="D105" t="s">
        <v>71</v>
      </c>
      <c r="E105" t="s">
        <v>72</v>
      </c>
      <c r="F105" t="s">
        <v>12</v>
      </c>
      <c r="G105" t="s">
        <v>73</v>
      </c>
      <c r="H105" t="s">
        <v>74</v>
      </c>
      <c r="I105" t="s">
        <v>24</v>
      </c>
      <c r="J105">
        <v>583704</v>
      </c>
      <c r="K105">
        <v>2134</v>
      </c>
      <c r="L105" s="2">
        <v>0.04</v>
      </c>
      <c r="M105">
        <v>0.1</v>
      </c>
      <c r="N105" s="2">
        <v>23.34816</v>
      </c>
      <c r="O105" s="2">
        <v>58.370400000000004</v>
      </c>
    </row>
    <row r="106" spans="2:15">
      <c r="B106" t="s">
        <v>46</v>
      </c>
      <c r="C106" t="s">
        <v>29</v>
      </c>
      <c r="D106" t="s">
        <v>220</v>
      </c>
      <c r="E106" t="s">
        <v>221</v>
      </c>
      <c r="F106" t="s">
        <v>12</v>
      </c>
      <c r="G106" t="s">
        <v>222</v>
      </c>
      <c r="H106" t="s">
        <v>223</v>
      </c>
      <c r="I106" t="s">
        <v>30</v>
      </c>
      <c r="J106">
        <v>11777</v>
      </c>
      <c r="K106">
        <v>14</v>
      </c>
      <c r="L106" s="2">
        <v>0.04</v>
      </c>
      <c r="M106">
        <v>0.1</v>
      </c>
      <c r="N106" s="2">
        <v>0.47108</v>
      </c>
      <c r="O106" s="2">
        <v>1.1777</v>
      </c>
    </row>
    <row r="107" spans="2:15">
      <c r="B107" t="s">
        <v>46</v>
      </c>
      <c r="C107" t="s">
        <v>29</v>
      </c>
      <c r="D107" t="s">
        <v>514</v>
      </c>
      <c r="E107" t="s">
        <v>515</v>
      </c>
      <c r="F107" t="s">
        <v>12</v>
      </c>
      <c r="G107" t="s">
        <v>516</v>
      </c>
      <c r="H107" t="s">
        <v>517</v>
      </c>
      <c r="I107" t="s">
        <v>30</v>
      </c>
      <c r="J107">
        <v>58122</v>
      </c>
      <c r="K107">
        <v>28</v>
      </c>
      <c r="L107" s="2">
        <v>0.04</v>
      </c>
      <c r="M107">
        <v>0.1</v>
      </c>
      <c r="N107" s="2">
        <v>2.3248800000000003</v>
      </c>
      <c r="O107" s="2">
        <v>5.8122000000000007</v>
      </c>
    </row>
    <row r="108" spans="2:15">
      <c r="B108" t="s">
        <v>46</v>
      </c>
      <c r="C108" t="s">
        <v>29</v>
      </c>
      <c r="D108" t="s">
        <v>75</v>
      </c>
      <c r="E108" t="s">
        <v>76</v>
      </c>
      <c r="F108" t="s">
        <v>12</v>
      </c>
      <c r="G108" t="s">
        <v>77</v>
      </c>
      <c r="H108" t="s">
        <v>78</v>
      </c>
      <c r="I108" t="s">
        <v>30</v>
      </c>
      <c r="J108">
        <v>101715</v>
      </c>
      <c r="K108">
        <v>45</v>
      </c>
      <c r="L108" s="2">
        <v>0.04</v>
      </c>
      <c r="M108">
        <v>0.1</v>
      </c>
      <c r="N108" s="2">
        <v>4.0686</v>
      </c>
      <c r="O108" s="2">
        <v>10.1715</v>
      </c>
    </row>
    <row r="109" spans="2:15">
      <c r="B109" t="s">
        <v>46</v>
      </c>
      <c r="C109" t="s">
        <v>29</v>
      </c>
      <c r="D109" t="s">
        <v>224</v>
      </c>
      <c r="E109" t="s">
        <v>225</v>
      </c>
      <c r="F109" t="s">
        <v>12</v>
      </c>
      <c r="G109" t="s">
        <v>226</v>
      </c>
      <c r="H109" t="s">
        <v>227</v>
      </c>
      <c r="I109" t="s">
        <v>30</v>
      </c>
      <c r="J109">
        <v>39076</v>
      </c>
      <c r="K109">
        <v>115</v>
      </c>
      <c r="L109" s="2">
        <v>0.04</v>
      </c>
      <c r="M109">
        <v>0.1</v>
      </c>
      <c r="N109" s="2">
        <v>1.56304</v>
      </c>
      <c r="O109" s="2">
        <v>3.9076000000000004</v>
      </c>
    </row>
    <row r="110" spans="2:15">
      <c r="B110" t="s">
        <v>46</v>
      </c>
      <c r="C110" t="s">
        <v>29</v>
      </c>
      <c r="D110" t="s">
        <v>518</v>
      </c>
      <c r="E110" t="s">
        <v>519</v>
      </c>
      <c r="F110" t="s">
        <v>12</v>
      </c>
      <c r="G110" t="s">
        <v>520</v>
      </c>
      <c r="H110" t="s">
        <v>521</v>
      </c>
      <c r="I110" t="s">
        <v>30</v>
      </c>
      <c r="J110">
        <v>331982</v>
      </c>
      <c r="K110">
        <v>962</v>
      </c>
      <c r="L110" s="2">
        <v>0.04</v>
      </c>
      <c r="M110">
        <v>0.1</v>
      </c>
      <c r="N110" s="2">
        <v>13.27928</v>
      </c>
      <c r="O110" s="2">
        <v>33.198200000000007</v>
      </c>
    </row>
    <row r="111" spans="2:15">
      <c r="B111" t="s">
        <v>46</v>
      </c>
      <c r="C111" t="s">
        <v>29</v>
      </c>
      <c r="D111" t="s">
        <v>79</v>
      </c>
      <c r="E111" t="s">
        <v>80</v>
      </c>
      <c r="F111" t="s">
        <v>12</v>
      </c>
      <c r="G111" t="s">
        <v>81</v>
      </c>
      <c r="H111" t="s">
        <v>82</v>
      </c>
      <c r="I111" t="s">
        <v>30</v>
      </c>
      <c r="J111">
        <v>466636</v>
      </c>
      <c r="K111">
        <v>1253</v>
      </c>
      <c r="L111" s="2">
        <v>0.04</v>
      </c>
      <c r="M111">
        <v>0.1</v>
      </c>
      <c r="N111" s="2">
        <v>18.66544</v>
      </c>
      <c r="O111" s="2">
        <v>46.663600000000002</v>
      </c>
    </row>
    <row r="112" spans="2:15">
      <c r="B112" t="s">
        <v>46</v>
      </c>
      <c r="C112" t="s">
        <v>29</v>
      </c>
      <c r="D112" t="s">
        <v>228</v>
      </c>
      <c r="E112" t="s">
        <v>229</v>
      </c>
      <c r="F112" t="s">
        <v>12</v>
      </c>
      <c r="G112" t="s">
        <v>230</v>
      </c>
      <c r="H112" t="s">
        <v>231</v>
      </c>
      <c r="I112" t="s">
        <v>30</v>
      </c>
      <c r="J112">
        <v>248</v>
      </c>
      <c r="K112">
        <v>0</v>
      </c>
      <c r="L112" s="2">
        <v>0.04</v>
      </c>
      <c r="M112">
        <v>0.1</v>
      </c>
      <c r="N112" s="2">
        <v>9.92E-3</v>
      </c>
      <c r="O112" s="2">
        <v>2.4799999999999999E-2</v>
      </c>
    </row>
    <row r="113" spans="2:15">
      <c r="B113" t="s">
        <v>46</v>
      </c>
      <c r="C113" t="s">
        <v>29</v>
      </c>
      <c r="D113" t="s">
        <v>522</v>
      </c>
      <c r="E113" t="s">
        <v>523</v>
      </c>
      <c r="F113" t="s">
        <v>12</v>
      </c>
      <c r="G113" t="s">
        <v>524</v>
      </c>
      <c r="H113" t="s">
        <v>525</v>
      </c>
      <c r="I113" t="s">
        <v>30</v>
      </c>
      <c r="J113">
        <v>865</v>
      </c>
      <c r="K113">
        <v>5</v>
      </c>
      <c r="L113" s="2">
        <v>0.04</v>
      </c>
      <c r="M113">
        <v>0.1</v>
      </c>
      <c r="N113" s="2">
        <v>3.4599999999999999E-2</v>
      </c>
      <c r="O113" s="2">
        <v>8.6499999999999994E-2</v>
      </c>
    </row>
    <row r="114" spans="2:15">
      <c r="B114" t="s">
        <v>46</v>
      </c>
      <c r="C114" t="s">
        <v>29</v>
      </c>
      <c r="D114" t="s">
        <v>526</v>
      </c>
      <c r="E114" t="s">
        <v>527</v>
      </c>
      <c r="F114" t="s">
        <v>23</v>
      </c>
      <c r="G114" t="s">
        <v>528</v>
      </c>
      <c r="H114" t="s">
        <v>529</v>
      </c>
      <c r="I114" t="s">
        <v>33</v>
      </c>
      <c r="J114">
        <v>30079</v>
      </c>
      <c r="K114">
        <v>515</v>
      </c>
      <c r="L114" s="2">
        <v>0.6</v>
      </c>
      <c r="M114">
        <v>0.35</v>
      </c>
      <c r="N114" s="2">
        <v>18.047399999999996</v>
      </c>
      <c r="O114" s="2">
        <v>10.52765</v>
      </c>
    </row>
    <row r="115" spans="2:15">
      <c r="B115" t="s">
        <v>530</v>
      </c>
      <c r="C115" t="s">
        <v>36</v>
      </c>
      <c r="D115" t="s">
        <v>531</v>
      </c>
      <c r="E115" t="s">
        <v>532</v>
      </c>
      <c r="F115" t="s">
        <v>12</v>
      </c>
      <c r="G115" t="s">
        <v>531</v>
      </c>
      <c r="H115" t="s">
        <v>533</v>
      </c>
      <c r="I115" t="s">
        <v>24</v>
      </c>
      <c r="J115">
        <v>1</v>
      </c>
      <c r="K115">
        <v>0</v>
      </c>
      <c r="L115" s="2">
        <v>0.04</v>
      </c>
      <c r="M115">
        <v>0.1</v>
      </c>
      <c r="N115" s="2">
        <v>4.0000000000000003E-5</v>
      </c>
      <c r="O115" s="2">
        <v>1E-4</v>
      </c>
    </row>
    <row r="116" spans="2:15">
      <c r="B116" t="s">
        <v>530</v>
      </c>
      <c r="C116" t="s">
        <v>36</v>
      </c>
      <c r="D116" t="s">
        <v>534</v>
      </c>
      <c r="E116" t="s">
        <v>535</v>
      </c>
      <c r="F116" t="s">
        <v>12</v>
      </c>
      <c r="G116" t="s">
        <v>534</v>
      </c>
      <c r="H116" t="s">
        <v>536</v>
      </c>
      <c r="I116" t="s">
        <v>24</v>
      </c>
      <c r="J116">
        <v>1</v>
      </c>
      <c r="K116">
        <v>0</v>
      </c>
      <c r="L116" s="2">
        <v>0.04</v>
      </c>
      <c r="M116">
        <v>0.1</v>
      </c>
      <c r="N116" s="2">
        <v>4.0000000000000003E-5</v>
      </c>
      <c r="O116" s="2">
        <v>1E-4</v>
      </c>
    </row>
    <row r="117" spans="2:15">
      <c r="B117" t="s">
        <v>530</v>
      </c>
      <c r="C117" t="s">
        <v>36</v>
      </c>
      <c r="D117" t="s">
        <v>537</v>
      </c>
      <c r="E117" t="s">
        <v>538</v>
      </c>
      <c r="F117" t="s">
        <v>12</v>
      </c>
      <c r="G117" t="s">
        <v>537</v>
      </c>
      <c r="H117" t="s">
        <v>539</v>
      </c>
      <c r="I117" t="s">
        <v>24</v>
      </c>
      <c r="J117">
        <v>3</v>
      </c>
      <c r="K117">
        <v>0</v>
      </c>
      <c r="L117" s="2">
        <v>0.04</v>
      </c>
      <c r="M117">
        <v>0.1</v>
      </c>
      <c r="N117" s="2">
        <v>1.1999999999999999E-4</v>
      </c>
      <c r="O117" s="2">
        <v>3.0000000000000003E-4</v>
      </c>
    </row>
    <row r="118" spans="2:15">
      <c r="B118" t="s">
        <v>530</v>
      </c>
      <c r="C118" t="s">
        <v>36</v>
      </c>
      <c r="D118" t="s">
        <v>540</v>
      </c>
      <c r="E118" t="s">
        <v>541</v>
      </c>
      <c r="F118" t="s">
        <v>12</v>
      </c>
      <c r="G118" t="s">
        <v>540</v>
      </c>
      <c r="H118" t="s">
        <v>542</v>
      </c>
      <c r="I118" t="s">
        <v>24</v>
      </c>
      <c r="J118">
        <v>1</v>
      </c>
      <c r="K118">
        <v>0</v>
      </c>
      <c r="L118" s="2">
        <v>0.04</v>
      </c>
      <c r="M118">
        <v>0.1</v>
      </c>
      <c r="N118" s="2">
        <v>4.0000000000000003E-5</v>
      </c>
      <c r="O118" s="2">
        <v>1E-4</v>
      </c>
    </row>
    <row r="119" spans="2:15">
      <c r="B119" t="s">
        <v>530</v>
      </c>
      <c r="C119" t="s">
        <v>36</v>
      </c>
      <c r="D119" t="s">
        <v>543</v>
      </c>
      <c r="E119" t="s">
        <v>544</v>
      </c>
      <c r="F119" t="s">
        <v>12</v>
      </c>
      <c r="G119" t="s">
        <v>543</v>
      </c>
      <c r="H119" t="s">
        <v>545</v>
      </c>
      <c r="I119" t="s">
        <v>24</v>
      </c>
      <c r="J119">
        <v>1</v>
      </c>
      <c r="K119">
        <v>0</v>
      </c>
      <c r="L119" s="2">
        <v>0.04</v>
      </c>
      <c r="M119">
        <v>0.1</v>
      </c>
      <c r="N119" s="2">
        <v>4.0000000000000003E-5</v>
      </c>
      <c r="O119" s="2">
        <v>1E-4</v>
      </c>
    </row>
    <row r="120" spans="2:15">
      <c r="B120" t="s">
        <v>83</v>
      </c>
      <c r="C120" t="s">
        <v>84</v>
      </c>
      <c r="D120" t="s">
        <v>546</v>
      </c>
      <c r="E120" t="s">
        <v>547</v>
      </c>
      <c r="F120" t="s">
        <v>10</v>
      </c>
      <c r="G120" t="s">
        <v>548</v>
      </c>
      <c r="H120" t="s">
        <v>549</v>
      </c>
      <c r="I120" t="s">
        <v>24</v>
      </c>
      <c r="J120">
        <v>0</v>
      </c>
      <c r="K120">
        <v>1</v>
      </c>
      <c r="L120" s="2">
        <v>3.5000000000000001E-3</v>
      </c>
      <c r="M120">
        <v>2.5000000000000001E-2</v>
      </c>
      <c r="N120" s="2">
        <v>3.5000000000000001E-3</v>
      </c>
      <c r="O120" s="2">
        <v>2.5000000000000001E-2</v>
      </c>
    </row>
    <row r="121" spans="2:15">
      <c r="B121" t="s">
        <v>83</v>
      </c>
      <c r="C121" t="s">
        <v>31</v>
      </c>
      <c r="D121" t="s">
        <v>550</v>
      </c>
      <c r="E121" t="s">
        <v>551</v>
      </c>
      <c r="F121" t="s">
        <v>12</v>
      </c>
      <c r="G121" t="s">
        <v>38</v>
      </c>
      <c r="H121" t="s">
        <v>552</v>
      </c>
      <c r="I121" t="s">
        <v>30</v>
      </c>
      <c r="J121">
        <v>3</v>
      </c>
      <c r="K121">
        <v>1</v>
      </c>
      <c r="L121" s="2">
        <v>0.04</v>
      </c>
      <c r="M121">
        <v>0.1</v>
      </c>
      <c r="N121" s="2">
        <v>1.1999999999999999E-4</v>
      </c>
      <c r="O121" s="2">
        <v>3.0000000000000003E-4</v>
      </c>
    </row>
    <row r="122" spans="2:15">
      <c r="B122" t="s">
        <v>83</v>
      </c>
      <c r="C122" t="s">
        <v>31</v>
      </c>
      <c r="D122" t="s">
        <v>550</v>
      </c>
      <c r="E122" t="s">
        <v>551</v>
      </c>
      <c r="F122" t="s">
        <v>12</v>
      </c>
      <c r="G122" t="s">
        <v>553</v>
      </c>
      <c r="H122" t="s">
        <v>554</v>
      </c>
      <c r="I122" t="s">
        <v>30</v>
      </c>
      <c r="J122">
        <v>3796691</v>
      </c>
      <c r="K122">
        <v>257720</v>
      </c>
      <c r="L122" s="2">
        <v>0.04</v>
      </c>
      <c r="M122">
        <v>0.1</v>
      </c>
      <c r="N122" s="2">
        <v>151.86764000000002</v>
      </c>
      <c r="O122" s="2">
        <v>379.66910000000001</v>
      </c>
    </row>
    <row r="123" spans="2:15">
      <c r="B123" t="s">
        <v>83</v>
      </c>
      <c r="C123" t="s">
        <v>31</v>
      </c>
      <c r="D123" t="s">
        <v>555</v>
      </c>
      <c r="E123" t="s">
        <v>556</v>
      </c>
      <c r="F123" t="s">
        <v>12</v>
      </c>
      <c r="G123" t="s">
        <v>365</v>
      </c>
      <c r="H123" t="s">
        <v>366</v>
      </c>
      <c r="I123" t="s">
        <v>30</v>
      </c>
      <c r="J123">
        <v>9</v>
      </c>
      <c r="K123">
        <v>1</v>
      </c>
      <c r="L123" s="2">
        <v>0.04</v>
      </c>
      <c r="M123">
        <v>0.1</v>
      </c>
      <c r="N123" s="2">
        <v>3.5999999999999997E-4</v>
      </c>
      <c r="O123" s="2">
        <v>8.9999999999999998E-4</v>
      </c>
    </row>
    <row r="124" spans="2:15">
      <c r="B124" t="s">
        <v>83</v>
      </c>
      <c r="C124" t="s">
        <v>31</v>
      </c>
      <c r="D124" t="s">
        <v>555</v>
      </c>
      <c r="E124" t="s">
        <v>556</v>
      </c>
      <c r="F124" t="s">
        <v>12</v>
      </c>
      <c r="G124" t="s">
        <v>557</v>
      </c>
      <c r="H124" t="s">
        <v>558</v>
      </c>
      <c r="I124" t="s">
        <v>30</v>
      </c>
      <c r="J124">
        <v>5167894</v>
      </c>
      <c r="K124">
        <v>32264</v>
      </c>
      <c r="L124" s="2">
        <v>0.04</v>
      </c>
      <c r="M124">
        <v>0.1</v>
      </c>
      <c r="N124" s="2">
        <v>206.71576000000002</v>
      </c>
      <c r="O124" s="2">
        <v>516.7894</v>
      </c>
    </row>
    <row r="125" spans="2:15">
      <c r="B125" t="s">
        <v>83</v>
      </c>
      <c r="C125" t="s">
        <v>31</v>
      </c>
      <c r="D125" t="s">
        <v>559</v>
      </c>
      <c r="E125" t="s">
        <v>560</v>
      </c>
      <c r="F125" t="s">
        <v>12</v>
      </c>
      <c r="G125" t="s">
        <v>39</v>
      </c>
      <c r="H125" t="s">
        <v>244</v>
      </c>
      <c r="I125" t="s">
        <v>30</v>
      </c>
      <c r="J125">
        <v>8</v>
      </c>
      <c r="K125">
        <v>1</v>
      </c>
      <c r="L125" s="2">
        <v>0.04</v>
      </c>
      <c r="M125">
        <v>0.1</v>
      </c>
      <c r="N125" s="2">
        <v>3.2000000000000003E-4</v>
      </c>
      <c r="O125" s="2">
        <v>8.0000000000000004E-4</v>
      </c>
    </row>
    <row r="126" spans="2:15">
      <c r="B126" t="s">
        <v>83</v>
      </c>
      <c r="C126" t="s">
        <v>31</v>
      </c>
      <c r="D126" t="s">
        <v>559</v>
      </c>
      <c r="E126" t="s">
        <v>560</v>
      </c>
      <c r="F126" t="s">
        <v>12</v>
      </c>
      <c r="G126" t="s">
        <v>561</v>
      </c>
      <c r="H126" t="s">
        <v>562</v>
      </c>
      <c r="I126" t="s">
        <v>30</v>
      </c>
      <c r="J126">
        <v>6158188</v>
      </c>
      <c r="K126">
        <v>63388</v>
      </c>
      <c r="L126" s="2">
        <v>0.04</v>
      </c>
      <c r="M126">
        <v>0.1</v>
      </c>
      <c r="N126" s="2">
        <v>246.32752000000002</v>
      </c>
      <c r="O126" s="2">
        <v>615.81880000000001</v>
      </c>
    </row>
    <row r="127" spans="2:15">
      <c r="B127" t="s">
        <v>83</v>
      </c>
      <c r="C127" t="s">
        <v>31</v>
      </c>
      <c r="D127" t="s">
        <v>563</v>
      </c>
      <c r="E127" t="s">
        <v>564</v>
      </c>
      <c r="F127" t="s">
        <v>11</v>
      </c>
      <c r="G127" t="s">
        <v>99</v>
      </c>
      <c r="H127" t="s">
        <v>367</v>
      </c>
      <c r="I127" t="s">
        <v>30</v>
      </c>
      <c r="J127">
        <v>1</v>
      </c>
      <c r="K127">
        <v>1</v>
      </c>
      <c r="L127" s="2">
        <v>0.04</v>
      </c>
      <c r="M127">
        <v>0.1</v>
      </c>
      <c r="N127" s="2">
        <v>4.0000000000000003E-5</v>
      </c>
      <c r="O127" s="2">
        <v>1E-4</v>
      </c>
    </row>
    <row r="128" spans="2:15">
      <c r="B128" t="s">
        <v>83</v>
      </c>
      <c r="C128" t="s">
        <v>31</v>
      </c>
      <c r="D128" t="s">
        <v>563</v>
      </c>
      <c r="E128" t="s">
        <v>564</v>
      </c>
      <c r="F128" t="s">
        <v>12</v>
      </c>
      <c r="G128" t="s">
        <v>565</v>
      </c>
      <c r="H128" t="s">
        <v>566</v>
      </c>
      <c r="I128" t="s">
        <v>30</v>
      </c>
      <c r="J128">
        <v>443952</v>
      </c>
      <c r="K128">
        <v>1150</v>
      </c>
      <c r="L128" s="2">
        <v>0.04</v>
      </c>
      <c r="M128">
        <v>0.1</v>
      </c>
      <c r="N128" s="2">
        <v>17.758080000000003</v>
      </c>
      <c r="O128" s="2">
        <v>44.395200000000003</v>
      </c>
    </row>
    <row r="129" spans="2:15">
      <c r="B129" t="s">
        <v>83</v>
      </c>
      <c r="C129" t="s">
        <v>31</v>
      </c>
      <c r="D129" t="s">
        <v>353</v>
      </c>
      <c r="E129" t="s">
        <v>354</v>
      </c>
      <c r="F129" t="s">
        <v>10</v>
      </c>
      <c r="G129" t="s">
        <v>355</v>
      </c>
      <c r="H129" t="s">
        <v>356</v>
      </c>
      <c r="I129" t="s">
        <v>24</v>
      </c>
      <c r="J129">
        <v>0</v>
      </c>
      <c r="K129">
        <v>4</v>
      </c>
      <c r="L129" s="2">
        <v>3.5000000000000001E-3</v>
      </c>
      <c r="M129">
        <v>2.5000000000000001E-2</v>
      </c>
      <c r="N129" s="2">
        <v>1.4E-2</v>
      </c>
      <c r="O129" s="2">
        <v>0.1</v>
      </c>
    </row>
    <row r="130" spans="2:15">
      <c r="B130" t="s">
        <v>83</v>
      </c>
      <c r="C130" t="s">
        <v>31</v>
      </c>
      <c r="D130" t="s">
        <v>567</v>
      </c>
      <c r="E130" t="s">
        <v>568</v>
      </c>
      <c r="F130" t="s">
        <v>12</v>
      </c>
      <c r="G130" t="s">
        <v>569</v>
      </c>
      <c r="H130" t="s">
        <v>570</v>
      </c>
      <c r="I130" t="s">
        <v>30</v>
      </c>
      <c r="J130">
        <v>960283</v>
      </c>
      <c r="K130">
        <v>115</v>
      </c>
      <c r="L130" s="2">
        <v>0.04</v>
      </c>
      <c r="M130">
        <v>0.1</v>
      </c>
      <c r="N130" s="2">
        <v>38.411319999999996</v>
      </c>
      <c r="O130" s="2">
        <v>96.028300000000002</v>
      </c>
    </row>
    <row r="131" spans="2:15">
      <c r="B131" t="s">
        <v>83</v>
      </c>
      <c r="C131" t="s">
        <v>31</v>
      </c>
      <c r="D131" t="s">
        <v>571</v>
      </c>
      <c r="E131" t="s">
        <v>572</v>
      </c>
      <c r="F131" t="s">
        <v>12</v>
      </c>
      <c r="G131" t="s">
        <v>573</v>
      </c>
      <c r="H131" t="s">
        <v>574</v>
      </c>
      <c r="I131" t="s">
        <v>30</v>
      </c>
      <c r="J131">
        <v>373691</v>
      </c>
      <c r="K131">
        <v>42</v>
      </c>
      <c r="L131" s="2">
        <v>0.04</v>
      </c>
      <c r="M131">
        <v>0.1</v>
      </c>
      <c r="N131" s="2">
        <v>14.94764</v>
      </c>
      <c r="O131" s="2">
        <v>37.369099999999996</v>
      </c>
    </row>
    <row r="132" spans="2:15">
      <c r="B132" t="s">
        <v>83</v>
      </c>
      <c r="C132" t="s">
        <v>31</v>
      </c>
      <c r="D132" t="s">
        <v>575</v>
      </c>
      <c r="E132" t="s">
        <v>576</v>
      </c>
      <c r="F132" t="s">
        <v>12</v>
      </c>
      <c r="G132" t="s">
        <v>39</v>
      </c>
      <c r="H132" t="s">
        <v>244</v>
      </c>
      <c r="I132" t="s">
        <v>30</v>
      </c>
      <c r="J132">
        <v>3</v>
      </c>
      <c r="K132">
        <v>1</v>
      </c>
      <c r="L132" s="2">
        <v>0.04</v>
      </c>
      <c r="M132">
        <v>0.1</v>
      </c>
      <c r="N132" s="2">
        <v>1.1999999999999999E-4</v>
      </c>
      <c r="O132" s="2">
        <v>3.0000000000000003E-4</v>
      </c>
    </row>
    <row r="133" spans="2:15">
      <c r="B133" t="s">
        <v>83</v>
      </c>
      <c r="C133" t="s">
        <v>31</v>
      </c>
      <c r="D133" t="s">
        <v>575</v>
      </c>
      <c r="E133" t="s">
        <v>576</v>
      </c>
      <c r="F133" t="s">
        <v>12</v>
      </c>
      <c r="G133" t="s">
        <v>577</v>
      </c>
      <c r="H133" t="s">
        <v>578</v>
      </c>
      <c r="I133" t="s">
        <v>30</v>
      </c>
      <c r="J133">
        <v>1164336</v>
      </c>
      <c r="K133">
        <v>171</v>
      </c>
      <c r="L133" s="2">
        <v>0.04</v>
      </c>
      <c r="M133">
        <v>0.1</v>
      </c>
      <c r="N133" s="2">
        <v>46.573440000000005</v>
      </c>
      <c r="O133" s="2">
        <v>116.43360000000001</v>
      </c>
    </row>
    <row r="134" spans="2:15">
      <c r="B134" t="s">
        <v>83</v>
      </c>
      <c r="C134" t="s">
        <v>31</v>
      </c>
      <c r="D134" t="s">
        <v>579</v>
      </c>
      <c r="E134" t="s">
        <v>580</v>
      </c>
      <c r="F134" t="s">
        <v>12</v>
      </c>
      <c r="G134" t="s">
        <v>581</v>
      </c>
      <c r="H134" t="s">
        <v>582</v>
      </c>
      <c r="I134" t="s">
        <v>30</v>
      </c>
      <c r="J134">
        <v>1</v>
      </c>
      <c r="K134">
        <v>1</v>
      </c>
      <c r="L134" s="2">
        <v>0.04</v>
      </c>
      <c r="M134">
        <v>0.1</v>
      </c>
      <c r="N134" s="2">
        <v>4.0000000000000003E-5</v>
      </c>
      <c r="O134" s="2">
        <v>1E-4</v>
      </c>
    </row>
    <row r="135" spans="2:15">
      <c r="B135" t="s">
        <v>83</v>
      </c>
      <c r="C135" t="s">
        <v>31</v>
      </c>
      <c r="D135" t="s">
        <v>357</v>
      </c>
      <c r="E135" t="s">
        <v>358</v>
      </c>
      <c r="F135" t="s">
        <v>12</v>
      </c>
      <c r="G135" t="s">
        <v>359</v>
      </c>
      <c r="H135" t="s">
        <v>360</v>
      </c>
      <c r="I135" t="s">
        <v>24</v>
      </c>
      <c r="J135">
        <v>4</v>
      </c>
      <c r="K135">
        <v>0</v>
      </c>
      <c r="L135" s="2">
        <v>0.04</v>
      </c>
      <c r="M135">
        <v>0.1</v>
      </c>
      <c r="N135" s="2">
        <v>1.6000000000000001E-4</v>
      </c>
      <c r="O135" s="2">
        <v>4.0000000000000002E-4</v>
      </c>
    </row>
    <row r="136" spans="2:15">
      <c r="B136" t="s">
        <v>83</v>
      </c>
      <c r="C136" t="s">
        <v>31</v>
      </c>
      <c r="D136" t="s">
        <v>361</v>
      </c>
      <c r="E136" t="s">
        <v>362</v>
      </c>
      <c r="F136" t="s">
        <v>12</v>
      </c>
      <c r="G136" t="s">
        <v>363</v>
      </c>
      <c r="H136" t="s">
        <v>364</v>
      </c>
      <c r="I136" t="s">
        <v>24</v>
      </c>
      <c r="J136">
        <v>2250299</v>
      </c>
      <c r="K136">
        <v>2568</v>
      </c>
      <c r="L136" s="2">
        <v>0.04</v>
      </c>
      <c r="M136">
        <v>0.1</v>
      </c>
      <c r="N136" s="2">
        <v>90.011960000000002</v>
      </c>
      <c r="O136" s="2">
        <v>225.02990000000003</v>
      </c>
    </row>
    <row r="137" spans="2:15">
      <c r="B137" t="s">
        <v>83</v>
      </c>
      <c r="C137" t="s">
        <v>31</v>
      </c>
      <c r="D137" t="s">
        <v>232</v>
      </c>
      <c r="E137" t="s">
        <v>233</v>
      </c>
      <c r="F137" t="s">
        <v>23</v>
      </c>
      <c r="G137" t="s">
        <v>234</v>
      </c>
      <c r="H137" t="s">
        <v>235</v>
      </c>
      <c r="I137" t="s">
        <v>33</v>
      </c>
      <c r="J137">
        <v>674293</v>
      </c>
      <c r="K137">
        <v>1605</v>
      </c>
      <c r="L137" s="2">
        <v>0.6</v>
      </c>
      <c r="M137">
        <v>0.35</v>
      </c>
      <c r="N137" s="2">
        <v>404.57580000000002</v>
      </c>
      <c r="O137" s="2">
        <v>236.00254999999999</v>
      </c>
    </row>
    <row r="138" spans="2:15">
      <c r="B138" t="s">
        <v>83</v>
      </c>
      <c r="C138" t="s">
        <v>31</v>
      </c>
      <c r="D138" t="s">
        <v>236</v>
      </c>
      <c r="E138" t="s">
        <v>237</v>
      </c>
      <c r="F138" t="s">
        <v>23</v>
      </c>
      <c r="G138" t="s">
        <v>238</v>
      </c>
      <c r="H138" t="s">
        <v>239</v>
      </c>
      <c r="I138" t="s">
        <v>33</v>
      </c>
      <c r="J138">
        <v>2015356</v>
      </c>
      <c r="K138">
        <v>5492</v>
      </c>
      <c r="L138" s="2">
        <v>0.6</v>
      </c>
      <c r="M138">
        <v>0.35</v>
      </c>
      <c r="N138" s="2">
        <v>1209.2135999999998</v>
      </c>
      <c r="O138" s="2">
        <v>705.37459999999999</v>
      </c>
    </row>
    <row r="139" spans="2:15">
      <c r="B139" t="s">
        <v>83</v>
      </c>
      <c r="C139" t="s">
        <v>31</v>
      </c>
      <c r="D139" t="s">
        <v>240</v>
      </c>
      <c r="E139" t="s">
        <v>241</v>
      </c>
      <c r="F139" t="s">
        <v>23</v>
      </c>
      <c r="G139" t="s">
        <v>242</v>
      </c>
      <c r="H139" t="s">
        <v>243</v>
      </c>
      <c r="I139" t="s">
        <v>33</v>
      </c>
      <c r="J139">
        <v>923584</v>
      </c>
      <c r="K139">
        <v>4426</v>
      </c>
      <c r="L139" s="2">
        <v>0.6</v>
      </c>
      <c r="M139">
        <v>0.35</v>
      </c>
      <c r="N139" s="2">
        <v>554.15039999999999</v>
      </c>
      <c r="O139" s="2">
        <v>323.25439999999998</v>
      </c>
    </row>
    <row r="140" spans="2:15">
      <c r="B140" t="s">
        <v>83</v>
      </c>
      <c r="C140" t="s">
        <v>31</v>
      </c>
      <c r="D140" t="s">
        <v>583</v>
      </c>
      <c r="E140" t="s">
        <v>584</v>
      </c>
      <c r="F140" t="s">
        <v>23</v>
      </c>
      <c r="G140" t="s">
        <v>585</v>
      </c>
      <c r="H140" t="s">
        <v>586</v>
      </c>
      <c r="I140" t="s">
        <v>33</v>
      </c>
      <c r="J140">
        <v>1063106</v>
      </c>
      <c r="K140">
        <v>1673</v>
      </c>
      <c r="L140" s="2">
        <v>0.6</v>
      </c>
      <c r="M140">
        <v>0.35</v>
      </c>
      <c r="N140" s="2">
        <v>637.86360000000002</v>
      </c>
      <c r="O140" s="2">
        <v>372.08709999999996</v>
      </c>
    </row>
    <row r="141" spans="2:15">
      <c r="B141" t="s">
        <v>83</v>
      </c>
      <c r="C141" t="s">
        <v>587</v>
      </c>
      <c r="D141" t="s">
        <v>588</v>
      </c>
      <c r="E141" t="s">
        <v>589</v>
      </c>
      <c r="F141" t="s">
        <v>12</v>
      </c>
      <c r="G141" t="s">
        <v>590</v>
      </c>
      <c r="H141" t="s">
        <v>591</v>
      </c>
      <c r="I141" t="s">
        <v>30</v>
      </c>
      <c r="J141">
        <v>72134</v>
      </c>
      <c r="K141">
        <v>16</v>
      </c>
      <c r="L141" s="2">
        <v>0.04</v>
      </c>
      <c r="M141">
        <v>0.1</v>
      </c>
      <c r="N141" s="2">
        <v>2.8853599999999999</v>
      </c>
      <c r="O141" s="2">
        <v>7.2134000000000009</v>
      </c>
    </row>
    <row r="142" spans="2:15">
      <c r="B142" t="s">
        <v>83</v>
      </c>
      <c r="C142" t="s">
        <v>28</v>
      </c>
      <c r="D142" t="s">
        <v>85</v>
      </c>
      <c r="E142" t="s">
        <v>86</v>
      </c>
      <c r="F142" t="s">
        <v>12</v>
      </c>
      <c r="G142" t="s">
        <v>87</v>
      </c>
      <c r="H142" t="s">
        <v>88</v>
      </c>
      <c r="I142" t="s">
        <v>30</v>
      </c>
      <c r="J142">
        <v>1345337</v>
      </c>
      <c r="K142">
        <v>2205</v>
      </c>
      <c r="L142" s="2">
        <v>0.04</v>
      </c>
      <c r="M142">
        <v>0.1</v>
      </c>
      <c r="N142" s="2">
        <v>53.813480000000006</v>
      </c>
      <c r="O142" s="2">
        <v>134.53370000000001</v>
      </c>
    </row>
    <row r="143" spans="2:15">
      <c r="B143" t="s">
        <v>83</v>
      </c>
      <c r="C143" t="s">
        <v>28</v>
      </c>
      <c r="D143" t="s">
        <v>89</v>
      </c>
      <c r="E143" t="s">
        <v>90</v>
      </c>
      <c r="F143" t="s">
        <v>12</v>
      </c>
      <c r="G143" t="s">
        <v>91</v>
      </c>
      <c r="H143" t="s">
        <v>92</v>
      </c>
      <c r="I143" t="s">
        <v>30</v>
      </c>
      <c r="J143">
        <v>4814326</v>
      </c>
      <c r="K143">
        <v>3701</v>
      </c>
      <c r="L143" s="2">
        <v>0.04</v>
      </c>
      <c r="M143">
        <v>0.1</v>
      </c>
      <c r="N143" s="2">
        <v>192.57304000000002</v>
      </c>
      <c r="O143" s="2">
        <v>481.43260000000004</v>
      </c>
    </row>
    <row r="144" spans="2:15">
      <c r="B144" t="s">
        <v>83</v>
      </c>
      <c r="C144" t="s">
        <v>28</v>
      </c>
      <c r="D144" t="s">
        <v>93</v>
      </c>
      <c r="E144" t="s">
        <v>94</v>
      </c>
      <c r="F144" t="s">
        <v>12</v>
      </c>
      <c r="G144" t="s">
        <v>95</v>
      </c>
      <c r="H144" t="s">
        <v>96</v>
      </c>
      <c r="I144" t="s">
        <v>30</v>
      </c>
      <c r="J144">
        <v>3474290</v>
      </c>
      <c r="K144">
        <v>895</v>
      </c>
      <c r="L144" s="2">
        <v>0.04</v>
      </c>
      <c r="M144">
        <v>0.1</v>
      </c>
      <c r="N144" s="2">
        <v>138.9716</v>
      </c>
      <c r="O144" s="2">
        <v>347.42899999999997</v>
      </c>
    </row>
    <row r="145" spans="2:15">
      <c r="B145" t="s">
        <v>83</v>
      </c>
      <c r="C145" t="s">
        <v>28</v>
      </c>
      <c r="D145" t="s">
        <v>97</v>
      </c>
      <c r="E145" t="s">
        <v>98</v>
      </c>
      <c r="F145" t="s">
        <v>12</v>
      </c>
      <c r="G145" t="s">
        <v>99</v>
      </c>
      <c r="H145" t="s">
        <v>367</v>
      </c>
      <c r="I145" t="s">
        <v>30</v>
      </c>
      <c r="J145">
        <v>2</v>
      </c>
      <c r="K145">
        <v>0</v>
      </c>
      <c r="L145" s="2">
        <v>0.04</v>
      </c>
      <c r="M145">
        <v>0.1</v>
      </c>
      <c r="N145" s="2">
        <v>8.0000000000000007E-5</v>
      </c>
      <c r="O145" s="2">
        <v>2.0000000000000001E-4</v>
      </c>
    </row>
    <row r="146" spans="2:15">
      <c r="B146" t="s">
        <v>83</v>
      </c>
      <c r="C146" t="s">
        <v>28</v>
      </c>
      <c r="D146" t="s">
        <v>97</v>
      </c>
      <c r="E146" t="s">
        <v>98</v>
      </c>
      <c r="F146" t="s">
        <v>12</v>
      </c>
      <c r="G146" t="s">
        <v>100</v>
      </c>
      <c r="H146" t="s">
        <v>101</v>
      </c>
      <c r="I146" t="s">
        <v>30</v>
      </c>
      <c r="J146">
        <v>4880612</v>
      </c>
      <c r="K146">
        <v>4026</v>
      </c>
      <c r="L146" s="2">
        <v>0.04</v>
      </c>
      <c r="M146">
        <v>0.1</v>
      </c>
      <c r="N146" s="2">
        <v>195.22448</v>
      </c>
      <c r="O146" s="2">
        <v>488.06119999999999</v>
      </c>
    </row>
    <row r="147" spans="2:15">
      <c r="B147" t="s">
        <v>83</v>
      </c>
      <c r="C147" t="s">
        <v>28</v>
      </c>
      <c r="D147" t="s">
        <v>102</v>
      </c>
      <c r="E147" t="s">
        <v>103</v>
      </c>
      <c r="F147" t="s">
        <v>12</v>
      </c>
      <c r="G147" t="s">
        <v>104</v>
      </c>
      <c r="H147" t="s">
        <v>105</v>
      </c>
      <c r="I147" t="s">
        <v>24</v>
      </c>
      <c r="J147">
        <v>363997</v>
      </c>
      <c r="K147">
        <v>9434</v>
      </c>
      <c r="L147" s="2">
        <v>0.04</v>
      </c>
      <c r="M147">
        <v>0.1</v>
      </c>
      <c r="N147" s="2">
        <v>14.559880000000001</v>
      </c>
      <c r="O147" s="2">
        <v>36.399700000000003</v>
      </c>
    </row>
    <row r="148" spans="2:15">
      <c r="B148" t="s">
        <v>83</v>
      </c>
      <c r="C148" t="s">
        <v>28</v>
      </c>
      <c r="D148" t="s">
        <v>106</v>
      </c>
      <c r="E148" t="s">
        <v>107</v>
      </c>
      <c r="F148" t="s">
        <v>10</v>
      </c>
      <c r="G148" t="s">
        <v>108</v>
      </c>
      <c r="H148" t="s">
        <v>109</v>
      </c>
      <c r="I148" t="s">
        <v>24</v>
      </c>
      <c r="J148">
        <v>1</v>
      </c>
      <c r="K148">
        <v>1</v>
      </c>
      <c r="L148" s="2">
        <v>3.5000000000000001E-3</v>
      </c>
      <c r="M148">
        <v>2.5000000000000001E-2</v>
      </c>
      <c r="N148" s="2">
        <v>3.5000000000000001E-3</v>
      </c>
      <c r="O148" s="2">
        <v>2.5000000000000001E-2</v>
      </c>
    </row>
    <row r="149" spans="2:15">
      <c r="B149" t="s">
        <v>83</v>
      </c>
      <c r="C149" t="s">
        <v>28</v>
      </c>
      <c r="D149" t="s">
        <v>245</v>
      </c>
      <c r="E149" t="s">
        <v>246</v>
      </c>
      <c r="F149" t="s">
        <v>12</v>
      </c>
      <c r="G149" t="s">
        <v>247</v>
      </c>
      <c r="H149" t="s">
        <v>248</v>
      </c>
      <c r="I149" t="s">
        <v>24</v>
      </c>
      <c r="J149">
        <v>2121401</v>
      </c>
      <c r="K149">
        <v>35947</v>
      </c>
      <c r="L149" s="2">
        <v>0.04</v>
      </c>
      <c r="M149">
        <v>0.1</v>
      </c>
      <c r="N149" s="2">
        <v>84.856040000000007</v>
      </c>
      <c r="O149" s="2">
        <v>212.14010000000002</v>
      </c>
    </row>
    <row r="150" spans="2:15">
      <c r="B150" t="s">
        <v>83</v>
      </c>
      <c r="C150" t="s">
        <v>28</v>
      </c>
      <c r="D150" t="s">
        <v>249</v>
      </c>
      <c r="E150" t="s">
        <v>250</v>
      </c>
      <c r="F150" t="s">
        <v>23</v>
      </c>
      <c r="G150" t="s">
        <v>251</v>
      </c>
      <c r="H150" t="s">
        <v>252</v>
      </c>
      <c r="I150" t="s">
        <v>33</v>
      </c>
      <c r="J150">
        <v>422830</v>
      </c>
      <c r="K150">
        <v>5942</v>
      </c>
      <c r="L150" s="2">
        <v>0.6</v>
      </c>
      <c r="M150">
        <v>0.35</v>
      </c>
      <c r="N150" s="2">
        <v>253.69800000000001</v>
      </c>
      <c r="O150" s="2">
        <v>147.9905</v>
      </c>
    </row>
    <row r="151" spans="2:15">
      <c r="B151" t="s">
        <v>83</v>
      </c>
      <c r="C151" t="s">
        <v>28</v>
      </c>
      <c r="D151" t="s">
        <v>253</v>
      </c>
      <c r="E151" t="s">
        <v>254</v>
      </c>
      <c r="F151" t="s">
        <v>23</v>
      </c>
      <c r="G151" t="s">
        <v>255</v>
      </c>
      <c r="H151" t="s">
        <v>256</v>
      </c>
      <c r="I151" t="s">
        <v>33</v>
      </c>
      <c r="J151">
        <v>504662</v>
      </c>
      <c r="K151">
        <v>4458</v>
      </c>
      <c r="L151" s="2">
        <v>0.6</v>
      </c>
      <c r="M151">
        <v>0.35</v>
      </c>
      <c r="N151" s="2">
        <v>302.79720000000003</v>
      </c>
      <c r="O151" s="2">
        <v>176.6317</v>
      </c>
    </row>
    <row r="152" spans="2:15">
      <c r="B152" t="s">
        <v>257</v>
      </c>
      <c r="C152" t="s">
        <v>31</v>
      </c>
      <c r="D152" t="s">
        <v>258</v>
      </c>
      <c r="E152" t="s">
        <v>259</v>
      </c>
      <c r="F152" t="s">
        <v>12</v>
      </c>
      <c r="G152" t="s">
        <v>38</v>
      </c>
      <c r="H152" t="s">
        <v>260</v>
      </c>
      <c r="I152" t="s">
        <v>30</v>
      </c>
      <c r="J152">
        <v>3</v>
      </c>
      <c r="K152">
        <v>0</v>
      </c>
      <c r="L152" s="2">
        <v>0.04</v>
      </c>
      <c r="M152">
        <v>0.1</v>
      </c>
      <c r="N152" s="2">
        <v>1.1999999999999999E-4</v>
      </c>
      <c r="O152" s="2">
        <v>3.0000000000000003E-4</v>
      </c>
    </row>
    <row r="153" spans="2:15">
      <c r="B153" t="s">
        <v>257</v>
      </c>
      <c r="C153" t="s">
        <v>31</v>
      </c>
      <c r="D153" t="s">
        <v>258</v>
      </c>
      <c r="E153" t="s">
        <v>259</v>
      </c>
      <c r="F153" t="s">
        <v>12</v>
      </c>
      <c r="G153" t="s">
        <v>261</v>
      </c>
      <c r="H153" t="s">
        <v>262</v>
      </c>
      <c r="I153" t="s">
        <v>30</v>
      </c>
      <c r="J153">
        <v>2033613</v>
      </c>
      <c r="K153">
        <v>130806</v>
      </c>
      <c r="L153" s="2">
        <v>0.04</v>
      </c>
      <c r="M153">
        <v>0.1</v>
      </c>
      <c r="N153" s="2">
        <v>81.344520000000003</v>
      </c>
      <c r="O153" s="2">
        <v>203.36130000000003</v>
      </c>
    </row>
    <row r="154" spans="2:15">
      <c r="B154" t="s">
        <v>257</v>
      </c>
      <c r="C154" t="s">
        <v>31</v>
      </c>
      <c r="D154" t="s">
        <v>263</v>
      </c>
      <c r="E154" t="s">
        <v>264</v>
      </c>
      <c r="F154" t="s">
        <v>12</v>
      </c>
      <c r="G154" t="s">
        <v>365</v>
      </c>
      <c r="H154" t="s">
        <v>592</v>
      </c>
      <c r="I154" t="s">
        <v>30</v>
      </c>
      <c r="J154">
        <v>1</v>
      </c>
      <c r="K154">
        <v>0</v>
      </c>
      <c r="L154" s="2">
        <v>0.04</v>
      </c>
      <c r="M154">
        <v>0.1</v>
      </c>
      <c r="N154" s="2">
        <v>4.0000000000000003E-5</v>
      </c>
      <c r="O154" s="2">
        <v>1E-4</v>
      </c>
    </row>
    <row r="155" spans="2:15">
      <c r="B155" t="s">
        <v>257</v>
      </c>
      <c r="C155" t="s">
        <v>31</v>
      </c>
      <c r="D155" t="s">
        <v>263</v>
      </c>
      <c r="E155" t="s">
        <v>264</v>
      </c>
      <c r="F155" t="s">
        <v>12</v>
      </c>
      <c r="G155" t="s">
        <v>265</v>
      </c>
      <c r="H155" t="s">
        <v>266</v>
      </c>
      <c r="I155" t="s">
        <v>30</v>
      </c>
      <c r="J155">
        <v>1295203</v>
      </c>
      <c r="K155">
        <v>7701</v>
      </c>
      <c r="L155" s="2">
        <v>0.04</v>
      </c>
      <c r="M155">
        <v>0.1</v>
      </c>
      <c r="N155" s="2">
        <v>51.808120000000002</v>
      </c>
      <c r="O155" s="2">
        <v>129.52029999999999</v>
      </c>
    </row>
    <row r="156" spans="2:15">
      <c r="B156" t="s">
        <v>257</v>
      </c>
      <c r="C156" t="s">
        <v>31</v>
      </c>
      <c r="D156" t="s">
        <v>267</v>
      </c>
      <c r="E156" t="s">
        <v>268</v>
      </c>
      <c r="F156" t="s">
        <v>12</v>
      </c>
      <c r="G156" t="s">
        <v>39</v>
      </c>
      <c r="H156" t="s">
        <v>368</v>
      </c>
      <c r="I156" t="s">
        <v>30</v>
      </c>
      <c r="J156">
        <v>4</v>
      </c>
      <c r="K156">
        <v>0</v>
      </c>
      <c r="L156" s="2">
        <v>0.04</v>
      </c>
      <c r="M156">
        <v>0.1</v>
      </c>
      <c r="N156" s="2">
        <v>1.6000000000000001E-4</v>
      </c>
      <c r="O156" s="2">
        <v>4.0000000000000002E-4</v>
      </c>
    </row>
    <row r="157" spans="2:15">
      <c r="B157" t="s">
        <v>257</v>
      </c>
      <c r="C157" t="s">
        <v>31</v>
      </c>
      <c r="D157" t="s">
        <v>267</v>
      </c>
      <c r="E157" t="s">
        <v>268</v>
      </c>
      <c r="F157" t="s">
        <v>12</v>
      </c>
      <c r="G157" t="s">
        <v>269</v>
      </c>
      <c r="H157" t="s">
        <v>270</v>
      </c>
      <c r="I157" t="s">
        <v>30</v>
      </c>
      <c r="J157">
        <v>2807732</v>
      </c>
      <c r="K157">
        <v>43280</v>
      </c>
      <c r="L157" s="2">
        <v>0.04</v>
      </c>
      <c r="M157">
        <v>0.1</v>
      </c>
      <c r="N157" s="2">
        <v>112.30928</v>
      </c>
      <c r="O157" s="2">
        <v>280.77320000000003</v>
      </c>
    </row>
    <row r="158" spans="2:15">
      <c r="B158" t="s">
        <v>257</v>
      </c>
      <c r="C158" t="s">
        <v>31</v>
      </c>
      <c r="D158" t="s">
        <v>271</v>
      </c>
      <c r="E158" t="s">
        <v>272</v>
      </c>
      <c r="F158" t="s">
        <v>12</v>
      </c>
      <c r="G158" t="s">
        <v>273</v>
      </c>
      <c r="H158" t="s">
        <v>274</v>
      </c>
      <c r="I158" t="s">
        <v>30</v>
      </c>
      <c r="J158">
        <v>118414</v>
      </c>
      <c r="K158">
        <v>196</v>
      </c>
      <c r="L158" s="2">
        <v>0.04</v>
      </c>
      <c r="M158">
        <v>0.1</v>
      </c>
      <c r="N158" s="2">
        <v>4.7365600000000008</v>
      </c>
      <c r="O158" s="2">
        <v>11.841400000000002</v>
      </c>
    </row>
    <row r="159" spans="2:15">
      <c r="B159" t="s">
        <v>257</v>
      </c>
      <c r="C159" t="s">
        <v>28</v>
      </c>
      <c r="D159" t="s">
        <v>275</v>
      </c>
      <c r="E159" t="s">
        <v>276</v>
      </c>
      <c r="F159" t="s">
        <v>12</v>
      </c>
      <c r="G159" t="s">
        <v>277</v>
      </c>
      <c r="H159" t="s">
        <v>278</v>
      </c>
      <c r="I159" t="s">
        <v>30</v>
      </c>
      <c r="J159">
        <v>185231</v>
      </c>
      <c r="K159">
        <v>180</v>
      </c>
      <c r="L159" s="2">
        <v>0.04</v>
      </c>
      <c r="M159">
        <v>0.1</v>
      </c>
      <c r="N159" s="2">
        <v>7.4092399999999996</v>
      </c>
      <c r="O159" s="2">
        <v>18.523100000000003</v>
      </c>
    </row>
    <row r="160" spans="2:15">
      <c r="B160" t="s">
        <v>257</v>
      </c>
      <c r="C160" t="s">
        <v>28</v>
      </c>
      <c r="D160" t="s">
        <v>279</v>
      </c>
      <c r="E160" t="s">
        <v>280</v>
      </c>
      <c r="F160" t="s">
        <v>12</v>
      </c>
      <c r="G160" t="s">
        <v>281</v>
      </c>
      <c r="H160" t="s">
        <v>282</v>
      </c>
      <c r="I160" t="s">
        <v>30</v>
      </c>
      <c r="J160">
        <v>742254</v>
      </c>
      <c r="K160">
        <v>435</v>
      </c>
      <c r="L160" s="2">
        <v>0.04</v>
      </c>
      <c r="M160">
        <v>0.1</v>
      </c>
      <c r="N160" s="2">
        <v>29.690159999999999</v>
      </c>
      <c r="O160" s="2">
        <v>74.225400000000008</v>
      </c>
    </row>
    <row r="161" spans="2:15">
      <c r="B161" t="s">
        <v>257</v>
      </c>
      <c r="C161" t="s">
        <v>28</v>
      </c>
      <c r="D161" t="s">
        <v>283</v>
      </c>
      <c r="E161" t="s">
        <v>284</v>
      </c>
      <c r="F161" t="s">
        <v>12</v>
      </c>
      <c r="G161" t="s">
        <v>285</v>
      </c>
      <c r="H161" t="s">
        <v>286</v>
      </c>
      <c r="I161" t="s">
        <v>30</v>
      </c>
      <c r="J161">
        <v>588688</v>
      </c>
      <c r="K161">
        <v>115</v>
      </c>
      <c r="L161" s="2">
        <v>0.04</v>
      </c>
      <c r="M161">
        <v>0.1</v>
      </c>
      <c r="N161" s="2">
        <v>23.547519999999999</v>
      </c>
      <c r="O161" s="2">
        <v>58.8688</v>
      </c>
    </row>
    <row r="162" spans="2:15">
      <c r="B162" t="s">
        <v>257</v>
      </c>
      <c r="C162" t="s">
        <v>28</v>
      </c>
      <c r="D162" t="s">
        <v>287</v>
      </c>
      <c r="E162" t="s">
        <v>288</v>
      </c>
      <c r="F162" t="s">
        <v>12</v>
      </c>
      <c r="G162" t="s">
        <v>289</v>
      </c>
      <c r="H162" t="s">
        <v>290</v>
      </c>
      <c r="I162" t="s">
        <v>30</v>
      </c>
      <c r="J162">
        <v>924223</v>
      </c>
      <c r="K162">
        <v>557</v>
      </c>
      <c r="L162" s="2">
        <v>0.04</v>
      </c>
      <c r="M162">
        <v>0.1</v>
      </c>
      <c r="N162" s="2">
        <v>36.968919999999997</v>
      </c>
      <c r="O162" s="2">
        <v>92.422300000000007</v>
      </c>
    </row>
    <row r="163" spans="2:15">
      <c r="B163" t="s">
        <v>257</v>
      </c>
      <c r="C163" t="s">
        <v>28</v>
      </c>
      <c r="D163" t="s">
        <v>291</v>
      </c>
      <c r="E163" t="s">
        <v>292</v>
      </c>
      <c r="F163" t="s">
        <v>12</v>
      </c>
      <c r="G163" t="s">
        <v>293</v>
      </c>
      <c r="H163" t="s">
        <v>294</v>
      </c>
      <c r="I163" t="s">
        <v>24</v>
      </c>
      <c r="J163">
        <v>14698</v>
      </c>
      <c r="K163">
        <v>329</v>
      </c>
      <c r="L163" s="2">
        <v>0.04</v>
      </c>
      <c r="M163">
        <v>0.1</v>
      </c>
      <c r="N163" s="2">
        <v>0.58792</v>
      </c>
      <c r="O163" s="2">
        <v>1.4698000000000002</v>
      </c>
    </row>
    <row r="164" spans="2:15">
      <c r="B164" t="s">
        <v>257</v>
      </c>
      <c r="C164" t="s">
        <v>28</v>
      </c>
      <c r="D164" t="s">
        <v>295</v>
      </c>
      <c r="E164" t="s">
        <v>296</v>
      </c>
      <c r="F164" t="s">
        <v>12</v>
      </c>
      <c r="G164" t="s">
        <v>297</v>
      </c>
      <c r="H164" t="s">
        <v>298</v>
      </c>
      <c r="I164" t="s">
        <v>24</v>
      </c>
      <c r="J164">
        <v>510447</v>
      </c>
      <c r="K164">
        <v>10745</v>
      </c>
      <c r="L164" s="2">
        <v>0.04</v>
      </c>
      <c r="M164">
        <v>0.1</v>
      </c>
      <c r="N164" s="2">
        <v>20.41788</v>
      </c>
      <c r="O164" s="2">
        <v>51.044700000000006</v>
      </c>
    </row>
    <row r="165" spans="2:15">
      <c r="B165" t="s">
        <v>257</v>
      </c>
      <c r="C165" t="s">
        <v>36</v>
      </c>
      <c r="D165" t="s">
        <v>299</v>
      </c>
      <c r="E165" t="s">
        <v>300</v>
      </c>
      <c r="F165" t="s">
        <v>12</v>
      </c>
      <c r="G165" t="s">
        <v>301</v>
      </c>
      <c r="H165" t="s">
        <v>302</v>
      </c>
      <c r="I165" t="s">
        <v>24</v>
      </c>
      <c r="J165">
        <v>16</v>
      </c>
      <c r="K165">
        <v>1</v>
      </c>
      <c r="L165" s="2">
        <v>0.04</v>
      </c>
      <c r="M165">
        <v>0.1</v>
      </c>
      <c r="N165" s="2">
        <v>6.4000000000000005E-4</v>
      </c>
      <c r="O165" s="2">
        <v>1.6000000000000001E-3</v>
      </c>
    </row>
    <row r="166" spans="2:15">
      <c r="B166" t="s">
        <v>369</v>
      </c>
      <c r="C166" t="s">
        <v>370</v>
      </c>
      <c r="D166" t="s">
        <v>593</v>
      </c>
      <c r="E166" t="s">
        <v>594</v>
      </c>
      <c r="F166" t="s">
        <v>10</v>
      </c>
      <c r="G166" t="s">
        <v>595</v>
      </c>
      <c r="H166" t="s">
        <v>596</v>
      </c>
      <c r="I166" t="s">
        <v>24</v>
      </c>
      <c r="J166">
        <v>3</v>
      </c>
      <c r="K166">
        <v>77977</v>
      </c>
      <c r="L166" s="2">
        <v>3.5000000000000001E-3</v>
      </c>
      <c r="M166">
        <v>2.5000000000000001E-2</v>
      </c>
      <c r="N166" s="2">
        <v>272.91950000000003</v>
      </c>
      <c r="O166" s="2">
        <v>1949.4250000000002</v>
      </c>
    </row>
    <row r="167" spans="2:15">
      <c r="B167" t="s">
        <v>369</v>
      </c>
      <c r="C167" t="s">
        <v>370</v>
      </c>
      <c r="D167" t="s">
        <v>597</v>
      </c>
      <c r="E167" t="s">
        <v>598</v>
      </c>
      <c r="F167" t="s">
        <v>10</v>
      </c>
      <c r="G167" t="s">
        <v>599</v>
      </c>
      <c r="H167" t="s">
        <v>600</v>
      </c>
      <c r="I167" t="s">
        <v>24</v>
      </c>
      <c r="J167">
        <v>3</v>
      </c>
      <c r="K167">
        <v>17</v>
      </c>
      <c r="L167" s="2">
        <v>3.5000000000000001E-3</v>
      </c>
      <c r="M167">
        <v>2.5000000000000001E-2</v>
      </c>
      <c r="N167" s="2">
        <v>5.9500000000000004E-2</v>
      </c>
      <c r="O167" s="2">
        <v>0.42500000000000004</v>
      </c>
    </row>
    <row r="168" spans="2:15">
      <c r="B168" t="s">
        <v>369</v>
      </c>
      <c r="C168" t="s">
        <v>370</v>
      </c>
      <c r="D168" t="s">
        <v>371</v>
      </c>
      <c r="E168" t="s">
        <v>601</v>
      </c>
      <c r="F168" t="s">
        <v>10</v>
      </c>
      <c r="G168" t="s">
        <v>372</v>
      </c>
      <c r="H168" t="s">
        <v>602</v>
      </c>
      <c r="I168" t="s">
        <v>24</v>
      </c>
      <c r="J168">
        <v>0</v>
      </c>
      <c r="K168">
        <v>2</v>
      </c>
      <c r="L168" s="2">
        <v>3.5000000000000001E-3</v>
      </c>
      <c r="M168">
        <v>2.5000000000000001E-2</v>
      </c>
      <c r="N168" s="2">
        <v>7.0000000000000001E-3</v>
      </c>
      <c r="O168" s="2">
        <v>0.05</v>
      </c>
    </row>
    <row r="169" spans="2:15">
      <c r="B169" t="s">
        <v>369</v>
      </c>
      <c r="C169" t="s">
        <v>370</v>
      </c>
      <c r="D169" t="s">
        <v>373</v>
      </c>
      <c r="E169" t="s">
        <v>374</v>
      </c>
      <c r="F169" t="s">
        <v>10</v>
      </c>
      <c r="G169" t="s">
        <v>375</v>
      </c>
      <c r="H169" t="s">
        <v>376</v>
      </c>
      <c r="I169" t="s">
        <v>24</v>
      </c>
      <c r="J169">
        <v>0</v>
      </c>
      <c r="K169">
        <v>3</v>
      </c>
      <c r="L169" s="2">
        <v>3.5000000000000001E-3</v>
      </c>
      <c r="M169">
        <v>2.5000000000000001E-2</v>
      </c>
      <c r="N169" s="2">
        <v>1.0500000000000001E-2</v>
      </c>
      <c r="O169" s="2">
        <v>7.5000000000000011E-2</v>
      </c>
    </row>
    <row r="170" spans="2:15">
      <c r="B170" t="s">
        <v>369</v>
      </c>
      <c r="C170" t="s">
        <v>370</v>
      </c>
      <c r="D170" t="s">
        <v>377</v>
      </c>
      <c r="E170" t="s">
        <v>378</v>
      </c>
      <c r="F170" t="s">
        <v>10</v>
      </c>
      <c r="G170" t="s">
        <v>379</v>
      </c>
      <c r="H170" t="s">
        <v>380</v>
      </c>
      <c r="I170" t="s">
        <v>24</v>
      </c>
      <c r="J170">
        <v>0</v>
      </c>
      <c r="K170">
        <v>4</v>
      </c>
      <c r="L170" s="2">
        <v>3.5000000000000001E-3</v>
      </c>
      <c r="M170">
        <v>2.5000000000000001E-2</v>
      </c>
      <c r="N170" s="2">
        <v>1.4E-2</v>
      </c>
      <c r="O170" s="2">
        <v>0.1</v>
      </c>
    </row>
    <row r="171" spans="2:15">
      <c r="B171" t="s">
        <v>37</v>
      </c>
      <c r="C171" t="s">
        <v>28</v>
      </c>
      <c r="D171" t="s">
        <v>603</v>
      </c>
      <c r="E171" t="s">
        <v>604</v>
      </c>
      <c r="F171" t="s">
        <v>10</v>
      </c>
      <c r="G171" t="s">
        <v>605</v>
      </c>
      <c r="H171" t="s">
        <v>606</v>
      </c>
      <c r="I171" t="s">
        <v>24</v>
      </c>
      <c r="J171">
        <v>0</v>
      </c>
      <c r="K171">
        <v>1</v>
      </c>
      <c r="L171" s="2">
        <v>3.5000000000000001E-3</v>
      </c>
      <c r="M171">
        <v>2.5000000000000001E-2</v>
      </c>
      <c r="N171" s="2">
        <v>3.5000000000000001E-3</v>
      </c>
      <c r="O171" s="2">
        <v>2.5000000000000001E-2</v>
      </c>
    </row>
    <row r="172" spans="2:15">
      <c r="L172" s="2"/>
      <c r="N172" s="2"/>
      <c r="O172" s="2"/>
    </row>
    <row r="173" spans="2:15">
      <c r="L173" s="2"/>
      <c r="N173" s="2"/>
      <c r="O173" s="2"/>
    </row>
    <row r="174" spans="2:15">
      <c r="L174" s="2"/>
      <c r="N174" s="2"/>
      <c r="O174" s="2"/>
    </row>
    <row r="175" spans="2:15">
      <c r="L175" s="2"/>
      <c r="N175" s="2"/>
      <c r="O175" s="2"/>
    </row>
    <row r="176" spans="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L1052" s="2"/>
      <c r="N1052" s="2"/>
      <c r="O1052" s="2"/>
    </row>
    <row r="1053" spans="11:15">
      <c r="L1053" s="2"/>
      <c r="N1053" s="2"/>
      <c r="O1053" s="2"/>
    </row>
    <row r="1054" spans="11:15">
      <c r="L1054" s="2"/>
      <c r="N1054" s="2"/>
      <c r="O1054" s="2"/>
    </row>
    <row r="1055" spans="11:15">
      <c r="K1055" s="3"/>
      <c r="L1055" s="2"/>
      <c r="N1055" s="2"/>
      <c r="O1055" s="2"/>
    </row>
    <row r="1056" spans="11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</sheetData>
  <autoFilter ref="A18:P1052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0D8B-F061-46D5-9618-4CA620A96529}">
  <dimension ref="A3:C16"/>
  <sheetViews>
    <sheetView workbookViewId="0">
      <selection activeCell="C11" sqref="C11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607</v>
      </c>
      <c r="B3" t="s">
        <v>609</v>
      </c>
      <c r="C3" t="s">
        <v>610</v>
      </c>
    </row>
    <row r="4" spans="1:3">
      <c r="A4" s="19" t="s">
        <v>37</v>
      </c>
      <c r="B4" s="20">
        <v>3.5000000000000001E-3</v>
      </c>
      <c r="C4" s="20">
        <v>2.5000000000000001E-2</v>
      </c>
    </row>
    <row r="5" spans="1:3">
      <c r="A5" s="19" t="s">
        <v>40</v>
      </c>
      <c r="B5" s="20">
        <v>7.2400000000000008E-3</v>
      </c>
      <c r="C5" s="20">
        <v>5.0600000000000006E-2</v>
      </c>
    </row>
    <row r="6" spans="1:3">
      <c r="A6" s="19" t="s">
        <v>34</v>
      </c>
      <c r="B6" s="20">
        <v>84.897320000000008</v>
      </c>
      <c r="C6" s="20">
        <v>101.4477</v>
      </c>
    </row>
    <row r="7" spans="1:3">
      <c r="A7" s="19" t="s">
        <v>441</v>
      </c>
      <c r="B7" s="20">
        <v>3.5000000000000001E-3</v>
      </c>
      <c r="C7" s="20">
        <v>2.5000000000000001E-2</v>
      </c>
    </row>
    <row r="8" spans="1:3">
      <c r="A8" s="19" t="s">
        <v>303</v>
      </c>
      <c r="B8" s="20">
        <v>1865.0787999999998</v>
      </c>
      <c r="C8" s="20">
        <v>2237.2501999999999</v>
      </c>
    </row>
    <row r="9" spans="1:3">
      <c r="A9" s="19" t="s">
        <v>63</v>
      </c>
      <c r="B9" s="20">
        <v>12.247920000000001</v>
      </c>
      <c r="C9" s="20">
        <v>30.619800000000005</v>
      </c>
    </row>
    <row r="10" spans="1:3">
      <c r="A10" s="19" t="s">
        <v>41</v>
      </c>
      <c r="B10" s="20">
        <v>8.0000000000000007E-5</v>
      </c>
      <c r="C10" s="20">
        <v>2.0000000000000001E-4</v>
      </c>
    </row>
    <row r="11" spans="1:3">
      <c r="A11" s="19" t="s">
        <v>46</v>
      </c>
      <c r="B11" s="20">
        <v>93.295759999999987</v>
      </c>
      <c r="C11" s="20">
        <v>198.64855</v>
      </c>
    </row>
    <row r="12" spans="1:3">
      <c r="A12" s="19" t="s">
        <v>530</v>
      </c>
      <c r="B12" s="20">
        <v>2.7999999999999998E-4</v>
      </c>
      <c r="C12" s="20">
        <v>7.000000000000001E-4</v>
      </c>
    </row>
    <row r="13" spans="1:3">
      <c r="A13" s="19" t="s">
        <v>83</v>
      </c>
      <c r="B13" s="20">
        <v>4857.81808</v>
      </c>
      <c r="C13" s="20">
        <v>5700.2370499999988</v>
      </c>
    </row>
    <row r="14" spans="1:3">
      <c r="A14" s="19" t="s">
        <v>257</v>
      </c>
      <c r="B14" s="20">
        <v>368.82108000000005</v>
      </c>
      <c r="C14" s="20">
        <v>922.05270000000019</v>
      </c>
    </row>
    <row r="15" spans="1:3">
      <c r="A15" s="19" t="s">
        <v>369</v>
      </c>
      <c r="B15" s="20">
        <v>273.01050000000004</v>
      </c>
      <c r="C15" s="20">
        <v>1950.075</v>
      </c>
    </row>
    <row r="16" spans="1:3">
      <c r="A16" s="19" t="s">
        <v>608</v>
      </c>
      <c r="B16" s="20">
        <v>7555.1840599999996</v>
      </c>
      <c r="C16" s="20">
        <v>11140.432499999999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Valores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2020-10-07T20:50:54Z</dcterms:modified>
</cp:coreProperties>
</file>