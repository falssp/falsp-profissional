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"/>
    </mc:Choice>
  </mc:AlternateContent>
  <xr:revisionPtr revIDLastSave="0" documentId="8_{765394E0-DEAF-4E73-A3F8-A186B1FD818B}" xr6:coauthVersionLast="36" xr6:coauthVersionMax="36" xr10:uidLastSave="{00000000-0000-0000-0000-000000000000}"/>
  <bookViews>
    <workbookView xWindow="0" yWindow="0" windowWidth="20490" windowHeight="7245" xr2:uid="{A63D1D23-69A0-442A-AE8D-59D7D3E0A0F8}"/>
  </bookViews>
  <sheets>
    <sheet name="Estimativa AUDI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" localSheetId="0" hidden="1">#REF!</definedName>
    <definedName name="___" hidden="1">#REF!</definedName>
    <definedName name="__________________sab1" hidden="1">{#N/A,#N/A,FALSE,"Banco de Dados"}</definedName>
    <definedName name="_________________sab1" hidden="1">{#N/A,#N/A,FALSE,"Banco de Dados"}</definedName>
    <definedName name="________________sab1" hidden="1">{#N/A,#N/A,FALSE,"Banco de Dados"}</definedName>
    <definedName name="_______________sab1" hidden="1">{#N/A,#N/A,FALSE,"Banco de Dados"}</definedName>
    <definedName name="______________sab1" hidden="1">{#N/A,#N/A,FALSE,"Banco de Dados"}</definedName>
    <definedName name="_____________sab1" hidden="1">{#N/A,#N/A,FALSE,"Banco de Dados"}</definedName>
    <definedName name="____________sab1" hidden="1">{#N/A,#N/A,FALSE,"Banco de Dados"}</definedName>
    <definedName name="___________sab1" hidden="1">{#N/A,#N/A,FALSE,"Banco de Dados"}</definedName>
    <definedName name="__________sab1" hidden="1">{#N/A,#N/A,FALSE,"Banco de Dados"}</definedName>
    <definedName name="_________sab1" hidden="1">{#N/A,#N/A,FALSE,"Banco de Dados"}</definedName>
    <definedName name="________sab1" hidden="1">{#N/A,#N/A,FALSE,"Banco de Dados"}</definedName>
    <definedName name="_______sab1" hidden="1">{#N/A,#N/A,FALSE,"Banco de Dados"}</definedName>
    <definedName name="______sab1" hidden="1">{#N/A,#N/A,FALSE,"Banco de Dados"}</definedName>
    <definedName name="_____sab1" hidden="1">{#N/A,#N/A,FALSE,"Banco de Dados"}</definedName>
    <definedName name="____sab1" hidden="1">{#N/A,#N/A,FALSE,"Banco de Dados"}</definedName>
    <definedName name="___sab1" hidden="1">{#N/A,#N/A,FALSE,"Banco de Dados"}</definedName>
    <definedName name="__123Graph_A" localSheetId="0" hidden="1">'[2]PLMM-R$'!#REF!</definedName>
    <definedName name="__123Graph_A" hidden="1">'[2]PLMM-R$'!#REF!</definedName>
    <definedName name="__123Graph_B" localSheetId="0" hidden="1">'[2]PLMM-R$'!#REF!</definedName>
    <definedName name="__123Graph_B" hidden="1">'[2]PLMM-R$'!#REF!</definedName>
    <definedName name="__123Graph_C" localSheetId="0" hidden="1">'[2]PLMM-R$'!#REF!</definedName>
    <definedName name="__123Graph_C" hidden="1">'[2]PLMM-R$'!#REF!</definedName>
    <definedName name="__123Graph_D" localSheetId="0" hidden="1">[3]Est.REV.!#REF!</definedName>
    <definedName name="__123Graph_D" hidden="1">[3]Est.REV.!#REF!</definedName>
    <definedName name="__123Graph_E" localSheetId="0" hidden="1">'[2]PLMM-R$'!#REF!</definedName>
    <definedName name="__123Graph_E" hidden="1">'[2]PLMM-R$'!#REF!</definedName>
    <definedName name="__123Graph_F" localSheetId="0" hidden="1">'[2]PLMM-R$'!#REF!</definedName>
    <definedName name="__123Graph_F" hidden="1">'[2]PLMM-R$'!#REF!</definedName>
    <definedName name="__123Graph_X" localSheetId="0" hidden="1">'[4]Dados BS-04'!#REF!</definedName>
    <definedName name="__123Graph_X" hidden="1">'[4]Dados BS-04'!#REF!</definedName>
    <definedName name="__sab1" hidden="1">{#N/A,#N/A,FALSE,"Banco de Dados"}</definedName>
    <definedName name="_1__123Graph_AGráfico_2A" localSheetId="0" hidden="1">[3]Est.REV.!#REF!</definedName>
    <definedName name="_1__123Graph_AGráfico_2A" hidden="1">[3]Est.REV.!#REF!</definedName>
    <definedName name="_5__123Graph_AGráfico_2A" localSheetId="0" hidden="1">[3]Est.REV.!#REF!</definedName>
    <definedName name="_5__123Graph_AGráfico_2A" hidden="1">[3]Est.REV.!#REF!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ab1" hidden="1">{#N/A,#N/A,FALSE,"Banco de Dados"}</definedName>
    <definedName name="_Sort" localSheetId="0" hidden="1">#REF!</definedName>
    <definedName name="_Sort" hidden="1">#REF!</definedName>
    <definedName name="Abril" hidden="1">{"'crono'!$U$12:$W$20"}</definedName>
    <definedName name="aerfwtew4e5twq3erfsdf" hidden="1">{#N/A,#N/A,FALSE,"Banco de Dados"}</definedName>
    <definedName name="alf" hidden="1">{#N/A,#N/A,FALSE,"BALLANTINE´S ";#N/A,#N/A,FALSE,"FUNDADOR"}</definedName>
    <definedName name="alli" hidden="1">{#N/A,#N/A,FALSE,"BALLANTINE´S ";#N/A,#N/A,FALSE,"FUNDADOR"}</definedName>
    <definedName name="asasdasd" localSheetId="0" hidden="1">#REF!</definedName>
    <definedName name="asasdasd" hidden="1">#REF!</definedName>
    <definedName name="a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IA" localSheetId="0" hidden="1">#REF!</definedName>
    <definedName name="BIA" hidden="1">#REF!</definedName>
    <definedName name="bla" hidden="1">{"'crono'!$U$12:$W$20"}</definedName>
    <definedName name="BV" hidden="1">{"'crono'!$U$12:$W$20"}</definedName>
    <definedName name="Capanova" localSheetId="0" hidden="1">#REF!</definedName>
    <definedName name="Capanova" hidden="1">#REF!</definedName>
    <definedName name="cinema" localSheetId="0" hidden="1">#REF!</definedName>
    <definedName name="cinema" hidden="1">#REF!</definedName>
    <definedName name="CRONOI" hidden="1">{#N/A,#N/A,FALSE,"SP1-OUT";#N/A,#N/A,FALSE,"SP1-NOV";#N/A,#N/A,FALSE,"SANT-OUT";#N/A,#N/A,FALSE,"SANT-NOV";#N/A,#N/A,FALSE,"CAMP-OUT";#N/A,#N/A,FALSE,"CAMP-NOV";#N/A,#N/A,FALSE,"CRONO 1";#N/A,#N/A,FALSE,"CAPA"}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sds" localSheetId="0" hidden="1">#REF!</definedName>
    <definedName name="dsds" hidden="1">#REF!</definedName>
    <definedName name="EWEQW" hidden="1">{"'Janeiro'!$A$1:$I$153"}</definedName>
    <definedName name="fdhgxd" localSheetId="0" hidden="1">#REF!</definedName>
    <definedName name="fdhgxd" hidden="1">#REF!</definedName>
    <definedName name="Feria" hidden="1">{#N/A,#N/A,FALSE,"BALLANTINE´S ";#N/A,#N/A,FALSE,"FUNDADOR"}</definedName>
    <definedName name="FEVEREIRO" hidden="1">{"'crono'!$U$12:$W$20"}</definedName>
    <definedName name="funebre" hidden="1">{"'Janeiro'!$A$1:$I$153"}</definedName>
    <definedName name="G" localSheetId="0" hidden="1">#REF!</definedName>
    <definedName name="G" hidden="1">#REF!</definedName>
    <definedName name="gfr" localSheetId="0" hidden="1">#REF!</definedName>
    <definedName name="gfr" hidden="1">#REF!</definedName>
    <definedName name="gggg" hidden="1">{"'crono'!$U$12:$W$20"}</definedName>
    <definedName name="High" hidden="1">{#N/A,#N/A,FALSE,"Banco de Dados"}</definedName>
    <definedName name="HTML_CodePage" hidden="1">1252</definedName>
    <definedName name="HTML_Control" hidden="1">{"'crono'!$U$12:$W$20"}</definedName>
    <definedName name="HTML_Description" hidden="1">""</definedName>
    <definedName name="HTML_Email" hidden="1">""</definedName>
    <definedName name="HTML_Header" hidden="1">"crono"</definedName>
    <definedName name="HTML_LastUpdate" hidden="1">"15/09/2003"</definedName>
    <definedName name="HTML_LineAfter" hidden="1">FALSE</definedName>
    <definedName name="HTML_LineBefore" hidden="1">FALSE</definedName>
    <definedName name="HTML_Name" hidden="1">"SallesDarcy Publicidade"</definedName>
    <definedName name="HTML_OBDlg2" hidden="1">TRUE</definedName>
    <definedName name="HTML_OBDlg4" hidden="1">TRUE</definedName>
    <definedName name="HTML_OS" hidden="1">0</definedName>
    <definedName name="HTML_PathFile" hidden="1">"G:\Clientes\Gm2003\Região 06\Planejto\Planos mensais\MeuHTML.htm"</definedName>
    <definedName name="HTML_Title" hidden="1">"Setembro rev 4"</definedName>
    <definedName name="HTML1_1" hidden="1">"'[CART0497.XLS]Ct Intranet'!$A$1:$M$31"</definedName>
    <definedName name="HTML1_10" hidden="1">""</definedName>
    <definedName name="HTML1_11" hidden="1">1</definedName>
    <definedName name="HTML1_12" hidden="1">"F:\ABRILNET\TRANSPOR\Ctplj.htm"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"'[CART0497.XLS]Ct Intranet'!$A$1:$M$63"</definedName>
    <definedName name="HTML2_10" hidden="1">""</definedName>
    <definedName name="HTML2_11" hidden="1">1</definedName>
    <definedName name="HTML2_12" hidden="1">"F:\ABRILNET\TRANSPOR\Ctplj.htm"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"'[CART0497.XLS]Ct Intranet'!$A$1:$M$61"</definedName>
    <definedName name="HTML3_10" hidden="1">""</definedName>
    <definedName name="HTML3_11" hidden="1">1</definedName>
    <definedName name="HTML3_12" hidden="1">"F:\ABRILNET\TRANSPOR\Ctplj.htm"</definedName>
    <definedName name="HTML3_2" hidden="1">1</definedName>
    <definedName name="HTML3_3" hidden="1">"Carta de Planejamento"</definedName>
    <definedName name="HTML3_4" hidden="1">"Carta de Planejamento"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"'[CART0497.XLS]Ct Intranet'!$A$1:$M$53"</definedName>
    <definedName name="HTML4_10" hidden="1">""</definedName>
    <definedName name="HTML4_11" hidden="1">1</definedName>
    <definedName name="HTML4_12" hidden="1">"F:\ABRILNET\TRANSPOR\ctplj.htm"</definedName>
    <definedName name="HTML4_2" hidden="1">1</definedName>
    <definedName name="HTML4_3" hidden="1">"Carta de Planejamento"</definedName>
    <definedName name="HTML4_4" hidden="1">"Carta de Planejamento"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Count" hidden="1">4</definedName>
    <definedName name="jrescisão" hidden="1">{"'crono'!$U$12:$W$20"}</definedName>
    <definedName name="ld" localSheetId="0" hidden="1">#REF!</definedName>
    <definedName name="ld" hidden="1">#REF!</definedName>
    <definedName name="ListofExhibitors">'[5]Validation Tables'!$I$3:$I$225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merchan" localSheetId="0" hidden="1">#REF!</definedName>
    <definedName name="merchan" hidden="1">#REF!</definedName>
    <definedName name="Metrô" localSheetId="0" hidden="1">#REF!</definedName>
    <definedName name="Metrô" hidden="1">#REF!</definedName>
    <definedName name="mila" hidden="1">{#N/A,#N/A,FALSE,"Banco de Dados"}</definedName>
    <definedName name="MONICS" hidden="1">{#N/A,#N/A,FALSE,"BALLANTINE´S ";#N/A,#N/A,FALSE,"FUNDADOR"}</definedName>
    <definedName name="PEFAC2" hidden="1">{#N/A,#N/A,FALSE,"BALLANTINE´S ";#N/A,#N/A,FALSE,"FUNDADOR"}</definedName>
    <definedName name="rádio" localSheetId="0" hidden="1">#REF!</definedName>
    <definedName name="rádio" hidden="1">#REF!</definedName>
    <definedName name="RD" localSheetId="0" hidden="1">#REF!</definedName>
    <definedName name="RD" hidden="1">#REF!</definedName>
    <definedName name="Resu" hidden="1">{#N/A,#N/A,FALSE,"BALLANTINE´S ";#N/A,#N/A,FALSE,"FUNDADOR"}</definedName>
    <definedName name="Resumen" hidden="1">{#N/A,#N/A,FALSE,"BALLANTINE´S ";#N/A,#N/A,FALSE,"FUNDADOR"}</definedName>
    <definedName name="rev" localSheetId="0" hidden="1">#REF!</definedName>
    <definedName name="rev" hidden="1">#REF!</definedName>
    <definedName name="REVISTA" localSheetId="0" hidden="1">[3]Est.REV.!#REF!</definedName>
    <definedName name="REVISTA" hidden="1">[3]Est.REV.!#REF!</definedName>
    <definedName name="Revista1" localSheetId="0" hidden="1">#REF!</definedName>
    <definedName name="Revista1" hidden="1">#REF!</definedName>
    <definedName name="sab" hidden="1">{#N/A,#N/A,FALSE,"Banco de Dados"}</definedName>
    <definedName name="SAPBEXdnldView" hidden="1">"3T2OASZOD2AT8MA4VJF8WYXXC"</definedName>
    <definedName name="SAPBEXsysID" hidden="1">"PBW"</definedName>
    <definedName name="TTTTTT" localSheetId="0" hidden="1">#REF!</definedName>
    <definedName name="TTTTTT" hidden="1">#REF!</definedName>
    <definedName name="TV" hidden="1">{"'crono'!$U$12:$W$20"}</definedName>
    <definedName name="vitorio" hidden="1">{"'crono'!$U$12:$W$20"}</definedName>
    <definedName name="wrn.BD_CONTABIL." hidden="1">{#N/A,#N/A,FALSE,"Banco de Dados"}</definedName>
    <definedName name="wrn.BD_HISTORICAL." hidden="1">{#N/A,#N/A,FALSE,"Banco de Dados"}</definedName>
    <definedName name="wrn.Inversión._.por._.plaza." hidden="1">{#N/A,#N/A,FALSE,"BALLANTINE´S ";#N/A,#N/A,FALSE,"FUNDADOR"}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REL." hidden="1">{#N/A,#N/A,FALSE,"SP1-OUT";#N/A,#N/A,FALSE,"SP1-NOV";#N/A,#N/A,FALSE,"SANT-OUT";#N/A,#N/A,FALSE,"SANT-NOV";#N/A,#N/A,FALSE,"CAMP-OUT";#N/A,#N/A,FALSE,"CAMP-NOV";#N/A,#N/A,FALSE,"CRONO 1";#N/A,#N/A,FALSE,"CAPA"}</definedName>
    <definedName name="wrn.RELAT." hidden="1">{#N/A,#N/A,FALSE,"CRONO 0";#N/A,#N/A,FALSE,"CRONO (4)";#N/A,#N/A,FALSE,"CRONO (3)";#N/A,#N/A,FALSE,"CRONO (2)";#N/A,#N/A,FALSE,"CRONO (1)"}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xxxxxx" hidden="1">{#N/A,#N/A,FALSE,"Banco de Dados"}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1" l="1"/>
  <c r="D5" i="1"/>
  <c r="G5" i="1"/>
  <c r="H5" i="1"/>
  <c r="K5" i="1"/>
  <c r="L5" i="1"/>
  <c r="C6" i="1"/>
  <c r="G6" i="1"/>
  <c r="K6" i="1"/>
  <c r="C10" i="1"/>
  <c r="D10" i="1"/>
  <c r="G10" i="1"/>
  <c r="G11" i="1" s="1"/>
  <c r="H10" i="1"/>
  <c r="K10" i="1"/>
  <c r="L10" i="1"/>
  <c r="K11" i="1" s="1"/>
  <c r="C11" i="1"/>
</calcChain>
</file>

<file path=xl/sharedStrings.xml><?xml version="1.0" encoding="utf-8"?>
<sst xmlns="http://schemas.openxmlformats.org/spreadsheetml/2006/main" count="37" uniqueCount="14">
  <si>
    <t>Total</t>
  </si>
  <si>
    <t>Custo</t>
  </si>
  <si>
    <t>Quantidade</t>
  </si>
  <si>
    <t>CPC</t>
  </si>
  <si>
    <t>CPM</t>
  </si>
  <si>
    <t>Junho</t>
  </si>
  <si>
    <t>CPC / 0,025</t>
  </si>
  <si>
    <t>CPM / 0,10</t>
  </si>
  <si>
    <t>CPC / 0,0035</t>
  </si>
  <si>
    <t>CPM / 0,04</t>
  </si>
  <si>
    <t>Maio</t>
  </si>
  <si>
    <t>Custo Adserver + Ad.Ops</t>
  </si>
  <si>
    <t>Custo Ad.Ops</t>
  </si>
  <si>
    <t>Custo Adserver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</si>
</sst>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1" xfId="1" applyFont="1" applyBorder="1" applyAlignment="1">
      <alignment horizontal="center"/>
    </xf>
    <xf numFmtId="0" fontId="0" fillId="0" borderId="1" xfId="0" applyBorder="1"/>
    <xf numFmtId="44" fontId="3" fillId="0" borderId="1" xfId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ownloads\wetransfer-ef729c\Audi-Varejo_Q5_Maio2019-V8_APROVADO%20-%20REVIS&#195;O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gsiqueira\Configura&#231;&#245;es%20locais\Temporary%20Internet%20Files\Content.Outlook\PWO8AMQW\03-MAR%20ACT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bora.veloso\AppData\Local\Microsoft\Windows\Temporary%20Internet%20Files\Content.Outlook\D6E7UDPO\Macintosh%20HDUsers\deboraveloso\Desktop\RADIO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gsiqueira\Configura&#231;&#245;es%20locais\Temporary%20Internet%20Files\Content.Outlook\PWO8AMQW\VISTAKON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preshow\Documents\Projetos\Marcas\net-claro-rj\C:\Users\Daniela\AppData\Local\Microsoft\Windows\Temporary%20Internet%20Files\Content.Outlook\NE0VOUGQ\IntlTD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Prazo de Materiais"/>
      <sheetName val="Crono"/>
      <sheetName val="Fase Teaser"/>
      <sheetName val="MAIO"/>
      <sheetName val="Planilha2"/>
      <sheetName val="Planilha1"/>
      <sheetName val="JUNHO"/>
      <sheetName val="Oportunidades"/>
      <sheetName val="PAYTV - Geral Avulso"/>
      <sheetName val="FOX MAIO - GRADE"/>
      <sheetName val="FOX PACOTE"/>
      <sheetName val="DOOH"/>
      <sheetName val="Elemidia Proposta"/>
      <sheetName val="flix Mídia"/>
      <sheetName val="Flix Media"/>
      <sheetName val="Teads-Whit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MM-R$"/>
      <sheetName val="03-MAR ACTL"/>
      <sheetName val="03-MAR%20ACTL"/>
      <sheetName val="plamarc"/>
      <sheetName val="Data Dump"/>
      <sheetName val="Idioma"/>
      <sheetName val="Tabelas"/>
      <sheetName val="Base Dropdown"/>
      <sheetName val="Dados BS-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 - MAIO"/>
      <sheetName val="rd capital"/>
      <sheetName val="PROGR"/>
      <sheetName val="ESQ COML"/>
      <sheetName val="Habito"/>
      <sheetName val="Pertv"/>
      <sheetName val="Pertv2"/>
      <sheetName val="Est.REV."/>
      <sheetName val="Plan1"/>
      <sheetName val="Plan2"/>
      <sheetName val="Plan3"/>
      <sheetName val="CAPA"/>
      <sheetName val="CRONO"/>
      <sheetName val="CAPA PÇA"/>
      <sheetName val="TV RS"/>
      <sheetName val="TV RS (2)"/>
      <sheetName val="TV SC"/>
      <sheetName val="TV SC (2)"/>
      <sheetName val="Est_REV_"/>
      <sheetName val="Pertv1"/>
      <sheetName val="Pertv2 "/>
      <sheetName val="Pertv3"/>
      <sheetName val="Pertv4"/>
      <sheetName val="Pertv5"/>
      <sheetName val="freq. rd"/>
      <sheetName val="TVA"/>
      <sheetName val="folha"/>
      <sheetName val="CAMPINAS"/>
      <sheetName val="SP"/>
      <sheetName val="RJ"/>
      <sheetName val="SOR"/>
      <sheetName val="SAN"/>
      <sheetName val="RIB"/>
      <sheetName val="EST 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BS-04"/>
      <sheetName val="IS&amp;RES-VTK"/>
      <sheetName val="RES-IS"/>
      <sheetName val="BD-PL"/>
      <sheetName val="P&amp;L"/>
      <sheetName val="P&amp;L-R$"/>
      <sheetName val="P&amp;L_Apresent"/>
      <sheetName val="P&amp;L_Apresent-R$"/>
      <sheetName val="WCMC &amp; Exc.Prov."/>
      <sheetName val="PL-01_BS-61"/>
      <sheetName val="PL_CON"/>
      <sheetName val="CTA"/>
      <sheetName val="BS-VTK"/>
      <sheetName val="RES-BS"/>
      <sheetName val="BD-BS"/>
      <sheetName val="B&amp;S"/>
      <sheetName val="BS_001"/>
      <sheetName val="BS_M&amp;M_US$"/>
      <sheetName val="BS_M&amp;M_R$"/>
      <sheetName val="Quadros_Apresent.US$"/>
      <sheetName val="Quadros_Apresent.R$"/>
      <sheetName val="Car_Cost"/>
      <sheetName val="Exposure"/>
      <sheetName val="BOTOES"/>
      <sheetName val="Módulo1"/>
      <sheetName val="Módulo2"/>
      <sheetName val="Módulo3"/>
      <sheetName val="Módulo4"/>
      <sheetName val="MODULO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Tabl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9135-7491-4ACC-8FE0-47F68CEA33C6}">
  <dimension ref="B2:L11"/>
  <sheetViews>
    <sheetView showGridLines="0" tabSelected="1" workbookViewId="0">
      <selection activeCell="B2" sqref="B2:L11"/>
    </sheetView>
  </sheetViews>
  <sheetFormatPr defaultRowHeight="15" x14ac:dyDescent="0.25"/>
  <cols>
    <col min="2" max="2" width="11.42578125" bestFit="1" customWidth="1"/>
    <col min="3" max="3" width="11" bestFit="1" customWidth="1"/>
    <col min="4" max="4" width="15" customWidth="1"/>
    <col min="6" max="6" width="13.140625" customWidth="1"/>
    <col min="7" max="7" width="11.7109375" bestFit="1" customWidth="1"/>
    <col min="8" max="8" width="14.5703125" customWidth="1"/>
    <col min="10" max="10" width="11.42578125" bestFit="1" customWidth="1"/>
    <col min="11" max="11" width="11.42578125" customWidth="1"/>
    <col min="12" max="12" width="12.140625" customWidth="1"/>
  </cols>
  <sheetData>
    <row r="2" spans="2:12" x14ac:dyDescent="0.25">
      <c r="B2" s="7" t="s">
        <v>13</v>
      </c>
      <c r="C2" s="7"/>
      <c r="D2" s="7"/>
      <c r="F2" s="7" t="s">
        <v>12</v>
      </c>
      <c r="G2" s="7"/>
      <c r="H2" s="7"/>
      <c r="J2" s="7" t="s">
        <v>11</v>
      </c>
      <c r="K2" s="7"/>
      <c r="L2" s="7"/>
    </row>
    <row r="3" spans="2:12" x14ac:dyDescent="0.25">
      <c r="B3" s="6"/>
      <c r="C3" s="6" t="s">
        <v>9</v>
      </c>
      <c r="D3" s="6" t="s">
        <v>8</v>
      </c>
      <c r="F3" s="6" t="s">
        <v>10</v>
      </c>
      <c r="G3" s="6" t="s">
        <v>7</v>
      </c>
      <c r="H3" s="6" t="s">
        <v>6</v>
      </c>
      <c r="J3" s="6" t="s">
        <v>10</v>
      </c>
      <c r="K3" s="6" t="s">
        <v>4</v>
      </c>
      <c r="L3" s="6" t="s">
        <v>3</v>
      </c>
    </row>
    <row r="4" spans="2:12" x14ac:dyDescent="0.25">
      <c r="B4" s="2" t="s">
        <v>2</v>
      </c>
      <c r="C4" s="5">
        <v>5517227.8927446399</v>
      </c>
      <c r="D4" s="5">
        <v>101772.66193002601</v>
      </c>
      <c r="F4" s="2" t="s">
        <v>2</v>
      </c>
      <c r="G4" s="5">
        <v>5517227.8927446399</v>
      </c>
      <c r="H4" s="5">
        <v>101772.66193002601</v>
      </c>
      <c r="J4" s="2" t="s">
        <v>2</v>
      </c>
      <c r="K4" s="5">
        <v>5517227.8927446399</v>
      </c>
      <c r="L4" s="5">
        <v>101772.66193002601</v>
      </c>
    </row>
    <row r="5" spans="2:12" x14ac:dyDescent="0.25">
      <c r="B5" s="2" t="s">
        <v>1</v>
      </c>
      <c r="C5" s="3">
        <f>(C4*0.04)/1000</f>
        <v>220.6891157097856</v>
      </c>
      <c r="D5" s="3">
        <f>D4*0.0035</f>
        <v>356.20431675509104</v>
      </c>
      <c r="F5" s="2" t="s">
        <v>1</v>
      </c>
      <c r="G5" s="3">
        <f>(G4*0.1)/1000</f>
        <v>551.72278927446405</v>
      </c>
      <c r="H5" s="3">
        <f>H4*0.025</f>
        <v>2544.3165482506502</v>
      </c>
      <c r="J5" s="2" t="s">
        <v>1</v>
      </c>
      <c r="K5" s="3">
        <f>(K4*0.14)/1000</f>
        <v>772.41190498424965</v>
      </c>
      <c r="L5" s="3">
        <f>L4*0.0285</f>
        <v>2900.5208650057411</v>
      </c>
    </row>
    <row r="6" spans="2:12" x14ac:dyDescent="0.25">
      <c r="B6" s="2" t="s">
        <v>0</v>
      </c>
      <c r="C6" s="1">
        <f>SUM(C5,D5)</f>
        <v>576.8934324648767</v>
      </c>
      <c r="D6" s="1"/>
      <c r="F6" s="2" t="s">
        <v>0</v>
      </c>
      <c r="G6" s="1">
        <f>SUM(G5,H5)</f>
        <v>3096.0393375251142</v>
      </c>
      <c r="H6" s="1"/>
      <c r="J6" s="2" t="s">
        <v>0</v>
      </c>
      <c r="K6" s="1">
        <f>SUM(K5,L5)</f>
        <v>3672.9327699899909</v>
      </c>
      <c r="L6" s="1"/>
    </row>
    <row r="8" spans="2:12" x14ac:dyDescent="0.25">
      <c r="B8" s="2"/>
      <c r="C8" s="2" t="s">
        <v>9</v>
      </c>
      <c r="D8" s="2" t="s">
        <v>8</v>
      </c>
      <c r="F8" s="2" t="s">
        <v>5</v>
      </c>
      <c r="G8" s="2" t="s">
        <v>7</v>
      </c>
      <c r="H8" s="2" t="s">
        <v>6</v>
      </c>
      <c r="J8" s="2" t="s">
        <v>5</v>
      </c>
      <c r="K8" s="2" t="s">
        <v>4</v>
      </c>
      <c r="L8" s="2" t="s">
        <v>3</v>
      </c>
    </row>
    <row r="9" spans="2:12" x14ac:dyDescent="0.25">
      <c r="B9" s="2" t="s">
        <v>2</v>
      </c>
      <c r="C9" s="4">
        <v>10269662.072005101</v>
      </c>
      <c r="D9" s="4">
        <v>50298.41504</v>
      </c>
      <c r="F9" s="2" t="s">
        <v>2</v>
      </c>
      <c r="G9" s="4">
        <v>10269662.072005101</v>
      </c>
      <c r="H9" s="4">
        <v>50298.41504</v>
      </c>
      <c r="J9" s="2" t="s">
        <v>2</v>
      </c>
      <c r="K9" s="4">
        <v>10269662.072005101</v>
      </c>
      <c r="L9" s="4">
        <v>50298.41504</v>
      </c>
    </row>
    <row r="10" spans="2:12" x14ac:dyDescent="0.25">
      <c r="B10" s="2" t="s">
        <v>1</v>
      </c>
      <c r="C10" s="3">
        <f>(C9*0.04)/1000</f>
        <v>410.78648288020406</v>
      </c>
      <c r="D10" s="3">
        <f>D9*0.0035</f>
        <v>176.04445264</v>
      </c>
      <c r="F10" s="2" t="s">
        <v>1</v>
      </c>
      <c r="G10" s="3">
        <f>(G9*0.1)/1000</f>
        <v>1026.9662072005101</v>
      </c>
      <c r="H10" s="3">
        <f>H9*0.025</f>
        <v>1257.460376</v>
      </c>
      <c r="J10" s="2" t="s">
        <v>1</v>
      </c>
      <c r="K10" s="3">
        <f>(K9*0.14)/1000</f>
        <v>1437.7526900807143</v>
      </c>
      <c r="L10" s="3">
        <f>L9*0.0285</f>
        <v>1433.5048286400001</v>
      </c>
    </row>
    <row r="11" spans="2:12" x14ac:dyDescent="0.25">
      <c r="B11" s="2" t="s">
        <v>0</v>
      </c>
      <c r="C11" s="1">
        <f>SUM(C10,D10)</f>
        <v>586.83093552020409</v>
      </c>
      <c r="D11" s="1"/>
      <c r="F11" s="2" t="s">
        <v>0</v>
      </c>
      <c r="G11" s="1">
        <f>SUM(G10,H10)</f>
        <v>2284.4265832005103</v>
      </c>
      <c r="H11" s="1"/>
      <c r="J11" s="2" t="s">
        <v>0</v>
      </c>
      <c r="K11" s="1">
        <f>SUM(K10,L10)</f>
        <v>2871.2575187207144</v>
      </c>
      <c r="L11" s="1"/>
    </row>
  </sheetData>
  <mergeCells count="9">
    <mergeCell ref="C11:D11"/>
    <mergeCell ref="G11:H11"/>
    <mergeCell ref="K11:L11"/>
    <mergeCell ref="B2:D2"/>
    <mergeCell ref="F2:H2"/>
    <mergeCell ref="J2:L2"/>
    <mergeCell ref="C6:D6"/>
    <mergeCell ref="G6:H6"/>
    <mergeCell ref="K6:L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AUDI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2019-07-05T14:39:31Z</dcterms:created>
  <dcterms:modified xsi:type="dcterms:W3CDTF">2019-07-05T14:41:02Z</dcterms:modified>
</cp:coreProperties>
</file>