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isa\"/>
    </mc:Choice>
  </mc:AlternateContent>
  <xr:revisionPtr revIDLastSave="0" documentId="8_{352CCF90-8251-4752-8201-5407E6D6ECAA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dados'!$A$1:$J$4199</definedName>
    <definedName name="_xlnm._FilterDatabase" localSheetId="2" hidden="1">'Report DCM'!$A:$N</definedName>
    <definedName name="_xlnm._FilterDatabase" localSheetId="3" hidden="1">Resumo!$A$19:$O$1231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 iterateCount="1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8" l="1"/>
  <c r="E7" i="8"/>
  <c r="D9" i="8"/>
  <c r="E9" i="8"/>
  <c r="E801" i="6"/>
  <c r="G5" i="8"/>
  <c r="E2" i="6"/>
  <c r="L2" i="6"/>
  <c r="I2" i="6"/>
  <c r="J2" i="6"/>
  <c r="N2" i="6"/>
  <c r="D4" i="8"/>
  <c r="E4" i="8"/>
  <c r="H5" i="8"/>
  <c r="E6905" i="6"/>
  <c r="E6904" i="6"/>
  <c r="E6903" i="6"/>
  <c r="E6902" i="6"/>
  <c r="E6901" i="6"/>
  <c r="E6900" i="6"/>
  <c r="E6899" i="6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E6886" i="6"/>
  <c r="E6885" i="6"/>
  <c r="E6884" i="6"/>
  <c r="E6883" i="6"/>
  <c r="E6882" i="6"/>
  <c r="E6881" i="6"/>
  <c r="E6880" i="6"/>
  <c r="E6879" i="6"/>
  <c r="E6878" i="6"/>
  <c r="E6877" i="6"/>
  <c r="E6876" i="6"/>
  <c r="E6875" i="6"/>
  <c r="E6874" i="6"/>
  <c r="E6873" i="6"/>
  <c r="E6872" i="6"/>
  <c r="E6871" i="6"/>
  <c r="E6870" i="6"/>
  <c r="E6869" i="6"/>
  <c r="E6868" i="6"/>
  <c r="E6867" i="6"/>
  <c r="E6866" i="6"/>
  <c r="E6865" i="6"/>
  <c r="E6864" i="6"/>
  <c r="E6863" i="6"/>
  <c r="E6862" i="6"/>
  <c r="E6861" i="6"/>
  <c r="E6860" i="6"/>
  <c r="E6859" i="6"/>
  <c r="E6858" i="6"/>
  <c r="E6857" i="6"/>
  <c r="E6856" i="6"/>
  <c r="E6855" i="6"/>
  <c r="E6854" i="6"/>
  <c r="E6853" i="6"/>
  <c r="E6852" i="6"/>
  <c r="E6851" i="6"/>
  <c r="E6850" i="6"/>
  <c r="E6849" i="6"/>
  <c r="E6848" i="6"/>
  <c r="E6847" i="6"/>
  <c r="E6846" i="6"/>
  <c r="E6845" i="6"/>
  <c r="E6844" i="6"/>
  <c r="E6843" i="6"/>
  <c r="E6842" i="6"/>
  <c r="E6841" i="6"/>
  <c r="E6840" i="6"/>
  <c r="E6839" i="6"/>
  <c r="E6838" i="6"/>
  <c r="E6837" i="6"/>
  <c r="E6836" i="6"/>
  <c r="E6835" i="6"/>
  <c r="E6834" i="6"/>
  <c r="E6833" i="6"/>
  <c r="E6832" i="6"/>
  <c r="E6831" i="6"/>
  <c r="E6830" i="6"/>
  <c r="E6829" i="6"/>
  <c r="E6828" i="6"/>
  <c r="E6827" i="6"/>
  <c r="E6826" i="6"/>
  <c r="E6825" i="6"/>
  <c r="E6824" i="6"/>
  <c r="E6823" i="6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E6798" i="6"/>
  <c r="E6797" i="6"/>
  <c r="E6796" i="6"/>
  <c r="E6795" i="6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E6770" i="6"/>
  <c r="E6769" i="6"/>
  <c r="E6768" i="6"/>
  <c r="E6767" i="6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E6730" i="6"/>
  <c r="E6729" i="6"/>
  <c r="E6728" i="6"/>
  <c r="E6727" i="6"/>
  <c r="E6726" i="6"/>
  <c r="E6725" i="6"/>
  <c r="E6724" i="6"/>
  <c r="E6723" i="6"/>
  <c r="E6722" i="6"/>
  <c r="E6721" i="6"/>
  <c r="E6720" i="6"/>
  <c r="E6719" i="6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E6698" i="6"/>
  <c r="E6697" i="6"/>
  <c r="E6696" i="6"/>
  <c r="E6695" i="6"/>
  <c r="E6694" i="6"/>
  <c r="E6693" i="6"/>
  <c r="E6692" i="6"/>
  <c r="E6691" i="6"/>
  <c r="E6690" i="6"/>
  <c r="E6689" i="6"/>
  <c r="E6688" i="6"/>
  <c r="E6687" i="6"/>
  <c r="E6686" i="6"/>
  <c r="E6685" i="6"/>
  <c r="E6684" i="6"/>
  <c r="E6683" i="6"/>
  <c r="E6682" i="6"/>
  <c r="E6681" i="6"/>
  <c r="E6680" i="6"/>
  <c r="E6679" i="6"/>
  <c r="E6678" i="6"/>
  <c r="E6677" i="6"/>
  <c r="E6676" i="6"/>
  <c r="E6675" i="6"/>
  <c r="E6674" i="6"/>
  <c r="E6673" i="6"/>
  <c r="E6672" i="6"/>
  <c r="E6671" i="6"/>
  <c r="E6670" i="6"/>
  <c r="E6669" i="6"/>
  <c r="E6668" i="6"/>
  <c r="E6667" i="6"/>
  <c r="E6666" i="6"/>
  <c r="E6665" i="6"/>
  <c r="E6664" i="6"/>
  <c r="E6663" i="6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E6650" i="6"/>
  <c r="E6649" i="6"/>
  <c r="E6648" i="6"/>
  <c r="E6647" i="6"/>
  <c r="E6646" i="6"/>
  <c r="E6645" i="6"/>
  <c r="E6644" i="6"/>
  <c r="E6643" i="6"/>
  <c r="E6642" i="6"/>
  <c r="E6641" i="6"/>
  <c r="E6640" i="6"/>
  <c r="E6639" i="6"/>
  <c r="E6638" i="6"/>
  <c r="E6637" i="6"/>
  <c r="E6636" i="6"/>
  <c r="E6635" i="6"/>
  <c r="E6634" i="6"/>
  <c r="E6633" i="6"/>
  <c r="E6632" i="6"/>
  <c r="E6631" i="6"/>
  <c r="E6630" i="6"/>
  <c r="E6629" i="6"/>
  <c r="E6628" i="6"/>
  <c r="E6627" i="6"/>
  <c r="E6626" i="6"/>
  <c r="E6625" i="6"/>
  <c r="E6624" i="6"/>
  <c r="E6623" i="6"/>
  <c r="E6622" i="6"/>
  <c r="E6621" i="6"/>
  <c r="E6620" i="6"/>
  <c r="E6619" i="6"/>
  <c r="E6618" i="6"/>
  <c r="E6617" i="6"/>
  <c r="E6616" i="6"/>
  <c r="E6615" i="6"/>
  <c r="E6614" i="6"/>
  <c r="E6613" i="6"/>
  <c r="E6612" i="6"/>
  <c r="E6611" i="6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E6598" i="6"/>
  <c r="E6597" i="6"/>
  <c r="E6596" i="6"/>
  <c r="E6595" i="6"/>
  <c r="E6594" i="6"/>
  <c r="E6593" i="6"/>
  <c r="E6592" i="6"/>
  <c r="E6591" i="6"/>
  <c r="E6590" i="6"/>
  <c r="E6589" i="6"/>
  <c r="E6588" i="6"/>
  <c r="E6587" i="6"/>
  <c r="E6586" i="6"/>
  <c r="E6585" i="6"/>
  <c r="E6584" i="6"/>
  <c r="E6583" i="6"/>
  <c r="E6582" i="6"/>
  <c r="E6581" i="6"/>
  <c r="E6580" i="6"/>
  <c r="E6579" i="6"/>
  <c r="E6578" i="6"/>
  <c r="E6577" i="6"/>
  <c r="E6576" i="6"/>
  <c r="E6575" i="6"/>
  <c r="E6574" i="6"/>
  <c r="E6573" i="6"/>
  <c r="E6572" i="6"/>
  <c r="E6571" i="6"/>
  <c r="E6570" i="6"/>
  <c r="E6569" i="6"/>
  <c r="E6568" i="6"/>
  <c r="E6567" i="6"/>
  <c r="E6566" i="6"/>
  <c r="E6565" i="6"/>
  <c r="E6564" i="6"/>
  <c r="E6563" i="6"/>
  <c r="E6562" i="6"/>
  <c r="E6561" i="6"/>
  <c r="E6560" i="6"/>
  <c r="E6559" i="6"/>
  <c r="E6558" i="6"/>
  <c r="E6557" i="6"/>
  <c r="E6556" i="6"/>
  <c r="E6555" i="6"/>
  <c r="E6554" i="6"/>
  <c r="E6553" i="6"/>
  <c r="E6552" i="6"/>
  <c r="E6551" i="6"/>
  <c r="E6550" i="6"/>
  <c r="E6549" i="6"/>
  <c r="E6548" i="6"/>
  <c r="E6547" i="6"/>
  <c r="E6546" i="6"/>
  <c r="E6545" i="6"/>
  <c r="E6544" i="6"/>
  <c r="E6543" i="6"/>
  <c r="E6542" i="6"/>
  <c r="E6541" i="6"/>
  <c r="E6540" i="6"/>
  <c r="E6539" i="6"/>
  <c r="E6538" i="6"/>
  <c r="E6537" i="6"/>
  <c r="E6536" i="6"/>
  <c r="E6535" i="6"/>
  <c r="E6534" i="6"/>
  <c r="E6533" i="6"/>
  <c r="E6532" i="6"/>
  <c r="E6531" i="6"/>
  <c r="E6530" i="6"/>
  <c r="E6529" i="6"/>
  <c r="E6528" i="6"/>
  <c r="E6527" i="6"/>
  <c r="E6526" i="6"/>
  <c r="E6525" i="6"/>
  <c r="E6524" i="6"/>
  <c r="E6523" i="6"/>
  <c r="E6522" i="6"/>
  <c r="E6521" i="6"/>
  <c r="E6520" i="6"/>
  <c r="E6519" i="6"/>
  <c r="E6518" i="6"/>
  <c r="E6517" i="6"/>
  <c r="E6516" i="6"/>
  <c r="E6515" i="6"/>
  <c r="E6514" i="6"/>
  <c r="E6513" i="6"/>
  <c r="E6512" i="6"/>
  <c r="E6511" i="6"/>
  <c r="E6510" i="6"/>
  <c r="E6509" i="6"/>
  <c r="E6508" i="6"/>
  <c r="E6507" i="6"/>
  <c r="E6506" i="6"/>
  <c r="E6505" i="6"/>
  <c r="E6504" i="6"/>
  <c r="E6503" i="6"/>
  <c r="E6502" i="6"/>
  <c r="E6501" i="6"/>
  <c r="E6500" i="6"/>
  <c r="E6499" i="6"/>
  <c r="E6498" i="6"/>
  <c r="E6497" i="6"/>
  <c r="E6496" i="6"/>
  <c r="E6495" i="6"/>
  <c r="E6494" i="6"/>
  <c r="E6493" i="6"/>
  <c r="E6492" i="6"/>
  <c r="E6491" i="6"/>
  <c r="E6490" i="6"/>
  <c r="E6489" i="6"/>
  <c r="E6488" i="6"/>
  <c r="E6487" i="6"/>
  <c r="E6486" i="6"/>
  <c r="E6485" i="6"/>
  <c r="E6484" i="6"/>
  <c r="E6483" i="6"/>
  <c r="E6482" i="6"/>
  <c r="E6481" i="6"/>
  <c r="E6480" i="6"/>
  <c r="E6479" i="6"/>
  <c r="E6478" i="6"/>
  <c r="E6477" i="6"/>
  <c r="E6476" i="6"/>
  <c r="E6475" i="6"/>
  <c r="E6474" i="6"/>
  <c r="E6473" i="6"/>
  <c r="E6472" i="6"/>
  <c r="E6471" i="6"/>
  <c r="E6470" i="6"/>
  <c r="E6469" i="6"/>
  <c r="E6468" i="6"/>
  <c r="E6467" i="6"/>
  <c r="E6466" i="6"/>
  <c r="E6465" i="6"/>
  <c r="E6464" i="6"/>
  <c r="E6463" i="6"/>
  <c r="E6462" i="6"/>
  <c r="E6461" i="6"/>
  <c r="E6460" i="6"/>
  <c r="E6459" i="6"/>
  <c r="E6458" i="6"/>
  <c r="E6457" i="6"/>
  <c r="E6456" i="6"/>
  <c r="E6455" i="6"/>
  <c r="E6454" i="6"/>
  <c r="E6453" i="6"/>
  <c r="E6452" i="6"/>
  <c r="E6451" i="6"/>
  <c r="E6450" i="6"/>
  <c r="E6449" i="6"/>
  <c r="E6448" i="6"/>
  <c r="E6447" i="6"/>
  <c r="E6446" i="6"/>
  <c r="E6445" i="6"/>
  <c r="E6444" i="6"/>
  <c r="E6443" i="6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E6430" i="6"/>
  <c r="E6429" i="6"/>
  <c r="E6428" i="6"/>
  <c r="E6427" i="6"/>
  <c r="E6426" i="6"/>
  <c r="E6425" i="6"/>
  <c r="E6424" i="6"/>
  <c r="E6423" i="6"/>
  <c r="E6422" i="6"/>
  <c r="E6421" i="6"/>
  <c r="E6420" i="6"/>
  <c r="E6419" i="6"/>
  <c r="E6418" i="6"/>
  <c r="E6417" i="6"/>
  <c r="E6416" i="6"/>
  <c r="E6415" i="6"/>
  <c r="E6414" i="6"/>
  <c r="E6413" i="6"/>
  <c r="E6412" i="6"/>
  <c r="E6411" i="6"/>
  <c r="E6410" i="6"/>
  <c r="E6409" i="6"/>
  <c r="E6408" i="6"/>
  <c r="E6407" i="6"/>
  <c r="E6406" i="6"/>
  <c r="E6405" i="6"/>
  <c r="E6404" i="6"/>
  <c r="E6403" i="6"/>
  <c r="E6402" i="6"/>
  <c r="E6401" i="6"/>
  <c r="E6400" i="6"/>
  <c r="E6399" i="6"/>
  <c r="E6398" i="6"/>
  <c r="E6397" i="6"/>
  <c r="E6396" i="6"/>
  <c r="E6395" i="6"/>
  <c r="E6394" i="6"/>
  <c r="E6393" i="6"/>
  <c r="E6392" i="6"/>
  <c r="E6391" i="6"/>
  <c r="E6390" i="6"/>
  <c r="E6389" i="6"/>
  <c r="E6388" i="6"/>
  <c r="E6387" i="6"/>
  <c r="E6386" i="6"/>
  <c r="E6385" i="6"/>
  <c r="E6384" i="6"/>
  <c r="E6383" i="6"/>
  <c r="E6382" i="6"/>
  <c r="E6381" i="6"/>
  <c r="E6380" i="6"/>
  <c r="E6379" i="6"/>
  <c r="E6378" i="6"/>
  <c r="E6377" i="6"/>
  <c r="E6376" i="6"/>
  <c r="E6375" i="6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E6342" i="6"/>
  <c r="E6341" i="6"/>
  <c r="E6340" i="6"/>
  <c r="E6339" i="6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E6322" i="6"/>
  <c r="E6321" i="6"/>
  <c r="E6320" i="6"/>
  <c r="E6319" i="6"/>
  <c r="E6318" i="6"/>
  <c r="E6317" i="6"/>
  <c r="E6316" i="6"/>
  <c r="E6315" i="6"/>
  <c r="E6314" i="6"/>
  <c r="E6313" i="6"/>
  <c r="E6312" i="6"/>
  <c r="E6311" i="6"/>
  <c r="E6310" i="6"/>
  <c r="E6309" i="6"/>
  <c r="E6308" i="6"/>
  <c r="E6307" i="6"/>
  <c r="E6306" i="6"/>
  <c r="E6305" i="6"/>
  <c r="E6304" i="6"/>
  <c r="E6303" i="6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E6278" i="6"/>
  <c r="E6277" i="6"/>
  <c r="E6276" i="6"/>
  <c r="E6275" i="6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E6214" i="6"/>
  <c r="E6213" i="6"/>
  <c r="E6212" i="6"/>
  <c r="E6211" i="6"/>
  <c r="E6210" i="6"/>
  <c r="E6209" i="6"/>
  <c r="E6208" i="6"/>
  <c r="E6207" i="6"/>
  <c r="E6206" i="6"/>
  <c r="E6205" i="6"/>
  <c r="E6204" i="6"/>
  <c r="E6203" i="6"/>
  <c r="E6202" i="6"/>
  <c r="E6201" i="6"/>
  <c r="E6200" i="6"/>
  <c r="E6199" i="6"/>
  <c r="E6198" i="6"/>
  <c r="E6197" i="6"/>
  <c r="E6196" i="6"/>
  <c r="E6195" i="6"/>
  <c r="E6194" i="6"/>
  <c r="E6193" i="6"/>
  <c r="E6192" i="6"/>
  <c r="E6191" i="6"/>
  <c r="E6190" i="6"/>
  <c r="E6189" i="6"/>
  <c r="E6188" i="6"/>
  <c r="E6187" i="6"/>
  <c r="E6186" i="6"/>
  <c r="E6185" i="6"/>
  <c r="E6184" i="6"/>
  <c r="E6183" i="6"/>
  <c r="E6182" i="6"/>
  <c r="E6181" i="6"/>
  <c r="E6180" i="6"/>
  <c r="E6179" i="6"/>
  <c r="E6178" i="6"/>
  <c r="E6177" i="6"/>
  <c r="E6176" i="6"/>
  <c r="E6175" i="6"/>
  <c r="E6174" i="6"/>
  <c r="E6173" i="6"/>
  <c r="E6172" i="6"/>
  <c r="E6171" i="6"/>
  <c r="E6170" i="6"/>
  <c r="E6169" i="6"/>
  <c r="E6168" i="6"/>
  <c r="E6167" i="6"/>
  <c r="E6166" i="6"/>
  <c r="E6165" i="6"/>
  <c r="E6164" i="6"/>
  <c r="E6163" i="6"/>
  <c r="E6162" i="6"/>
  <c r="E6161" i="6"/>
  <c r="E6160" i="6"/>
  <c r="E6159" i="6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E6130" i="6"/>
  <c r="E6129" i="6"/>
  <c r="E6128" i="6"/>
  <c r="E6127" i="6"/>
  <c r="E6126" i="6"/>
  <c r="E6125" i="6"/>
  <c r="E6124" i="6"/>
  <c r="E6123" i="6"/>
  <c r="E6122" i="6"/>
  <c r="E6121" i="6"/>
  <c r="E6120" i="6"/>
  <c r="E6119" i="6"/>
  <c r="E6118" i="6"/>
  <c r="E6117" i="6"/>
  <c r="E6116" i="6"/>
  <c r="E6115" i="6"/>
  <c r="E6114" i="6"/>
  <c r="E6113" i="6"/>
  <c r="E6112" i="6"/>
  <c r="E6111" i="6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E6090" i="6"/>
  <c r="E6089" i="6"/>
  <c r="E6088" i="6"/>
  <c r="E6087" i="6"/>
  <c r="E6086" i="6"/>
  <c r="E6085" i="6"/>
  <c r="E6084" i="6"/>
  <c r="E6083" i="6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E6062" i="6"/>
  <c r="E6061" i="6"/>
  <c r="E6060" i="6"/>
  <c r="E6059" i="6"/>
  <c r="E6058" i="6"/>
  <c r="E6057" i="6"/>
  <c r="E6056" i="6"/>
  <c r="E6055" i="6"/>
  <c r="E6054" i="6"/>
  <c r="E6053" i="6"/>
  <c r="E6052" i="6"/>
  <c r="E6051" i="6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E5990" i="6"/>
  <c r="E5989" i="6"/>
  <c r="E5988" i="6"/>
  <c r="E5987" i="6"/>
  <c r="E5986" i="6"/>
  <c r="E5985" i="6"/>
  <c r="E5984" i="6"/>
  <c r="E5983" i="6"/>
  <c r="E5982" i="6"/>
  <c r="E5981" i="6"/>
  <c r="E5980" i="6"/>
  <c r="E5979" i="6"/>
  <c r="E5978" i="6"/>
  <c r="E5977" i="6"/>
  <c r="E5976" i="6"/>
  <c r="E5975" i="6"/>
  <c r="E5974" i="6"/>
  <c r="E5973" i="6"/>
  <c r="E5972" i="6"/>
  <c r="E5971" i="6"/>
  <c r="E5970" i="6"/>
  <c r="E5969" i="6"/>
  <c r="E5968" i="6"/>
  <c r="E5967" i="6"/>
  <c r="E5966" i="6"/>
  <c r="E5965" i="6"/>
  <c r="E5964" i="6"/>
  <c r="E5963" i="6"/>
  <c r="E5962" i="6"/>
  <c r="E5961" i="6"/>
  <c r="E5960" i="6"/>
  <c r="E5959" i="6"/>
  <c r="E5958" i="6"/>
  <c r="E5957" i="6"/>
  <c r="E5956" i="6"/>
  <c r="E5955" i="6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E5906" i="6"/>
  <c r="E5905" i="6"/>
  <c r="E5904" i="6"/>
  <c r="E5903" i="6"/>
  <c r="E5902" i="6"/>
  <c r="E5901" i="6"/>
  <c r="E5900" i="6"/>
  <c r="E5899" i="6"/>
  <c r="E5898" i="6"/>
  <c r="E5897" i="6"/>
  <c r="E5896" i="6"/>
  <c r="E5895" i="6"/>
  <c r="E5894" i="6"/>
  <c r="E5893" i="6"/>
  <c r="E5892" i="6"/>
  <c r="E5891" i="6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E5878" i="6"/>
  <c r="E5877" i="6"/>
  <c r="E5876" i="6"/>
  <c r="E5875" i="6"/>
  <c r="E5874" i="6"/>
  <c r="E5873" i="6"/>
  <c r="E5872" i="6"/>
  <c r="E5871" i="6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E5858" i="6"/>
  <c r="E5857" i="6"/>
  <c r="E5856" i="6"/>
  <c r="E5855" i="6"/>
  <c r="E5854" i="6"/>
  <c r="E5853" i="6"/>
  <c r="E5852" i="6"/>
  <c r="E5851" i="6"/>
  <c r="E5850" i="6"/>
  <c r="E5849" i="6"/>
  <c r="E5848" i="6"/>
  <c r="E5847" i="6"/>
  <c r="E5846" i="6"/>
  <c r="E5845" i="6"/>
  <c r="E5844" i="6"/>
  <c r="E5843" i="6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E5830" i="6"/>
  <c r="E5829" i="6"/>
  <c r="E5828" i="6"/>
  <c r="E5827" i="6"/>
  <c r="E5826" i="6"/>
  <c r="E5825" i="6"/>
  <c r="E5824" i="6"/>
  <c r="E5823" i="6"/>
  <c r="E5822" i="6"/>
  <c r="E5821" i="6"/>
  <c r="E5820" i="6"/>
  <c r="E5819" i="6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E5806" i="6"/>
  <c r="E5805" i="6"/>
  <c r="E5804" i="6"/>
  <c r="E5803" i="6"/>
  <c r="E5802" i="6"/>
  <c r="E5801" i="6"/>
  <c r="E5800" i="6"/>
  <c r="E5799" i="6"/>
  <c r="E5798" i="6"/>
  <c r="E5797" i="6"/>
  <c r="E5796" i="6"/>
  <c r="E5795" i="6"/>
  <c r="E5794" i="6"/>
  <c r="E5793" i="6"/>
  <c r="E5792" i="6"/>
  <c r="E5791" i="6"/>
  <c r="E5790" i="6"/>
  <c r="E5789" i="6"/>
  <c r="E5788" i="6"/>
  <c r="E5787" i="6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E5762" i="6"/>
  <c r="E5761" i="6"/>
  <c r="E5760" i="6"/>
  <c r="E5759" i="6"/>
  <c r="E5758" i="6"/>
  <c r="E5757" i="6"/>
  <c r="E5756" i="6"/>
  <c r="E5755" i="6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E5734" i="6"/>
  <c r="E5733" i="6"/>
  <c r="E5732" i="6"/>
  <c r="E5731" i="6"/>
  <c r="E5730" i="6"/>
  <c r="E5729" i="6"/>
  <c r="E5728" i="6"/>
  <c r="E5727" i="6"/>
  <c r="E5726" i="6"/>
  <c r="E5725" i="6"/>
  <c r="E5724" i="6"/>
  <c r="E5723" i="6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E5674" i="6"/>
  <c r="E5673" i="6"/>
  <c r="E5672" i="6"/>
  <c r="E5671" i="6"/>
  <c r="E5670" i="6"/>
  <c r="E5669" i="6"/>
  <c r="E5668" i="6"/>
  <c r="E5667" i="6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E5618" i="6"/>
  <c r="E5617" i="6"/>
  <c r="E5616" i="6"/>
  <c r="E5615" i="6"/>
  <c r="E5614" i="6"/>
  <c r="E5613" i="6"/>
  <c r="E5612" i="6"/>
  <c r="E5611" i="6"/>
  <c r="E5610" i="6"/>
  <c r="E5609" i="6"/>
  <c r="E5608" i="6"/>
  <c r="E5607" i="6"/>
  <c r="E5606" i="6"/>
  <c r="E5605" i="6"/>
  <c r="E5604" i="6"/>
  <c r="E5603" i="6"/>
  <c r="E5602" i="6"/>
  <c r="E5601" i="6"/>
  <c r="E5600" i="6"/>
  <c r="E5599" i="6"/>
  <c r="E5598" i="6"/>
  <c r="E5597" i="6"/>
  <c r="E5596" i="6"/>
  <c r="E5595" i="6"/>
  <c r="E5594" i="6"/>
  <c r="E5593" i="6"/>
  <c r="E5592" i="6"/>
  <c r="E5591" i="6"/>
  <c r="E5590" i="6"/>
  <c r="E5589" i="6"/>
  <c r="E5588" i="6"/>
  <c r="E5587" i="6"/>
  <c r="E5586" i="6"/>
  <c r="E5585" i="6"/>
  <c r="E5584" i="6"/>
  <c r="E5583" i="6"/>
  <c r="E5582" i="6"/>
  <c r="E5581" i="6"/>
  <c r="E5580" i="6"/>
  <c r="E5579" i="6"/>
  <c r="E5578" i="6"/>
  <c r="E5577" i="6"/>
  <c r="E5576" i="6"/>
  <c r="E5575" i="6"/>
  <c r="E5574" i="6"/>
  <c r="E5573" i="6"/>
  <c r="E5572" i="6"/>
  <c r="E5571" i="6"/>
  <c r="E5570" i="6"/>
  <c r="E5569" i="6"/>
  <c r="E5568" i="6"/>
  <c r="E5567" i="6"/>
  <c r="E5566" i="6"/>
  <c r="E5565" i="6"/>
  <c r="E5564" i="6"/>
  <c r="E5563" i="6"/>
  <c r="E5562" i="6"/>
  <c r="E5561" i="6"/>
  <c r="E5560" i="6"/>
  <c r="E5559" i="6"/>
  <c r="E5558" i="6"/>
  <c r="E5557" i="6"/>
  <c r="E5556" i="6"/>
  <c r="E5555" i="6"/>
  <c r="E5554" i="6"/>
  <c r="E5553" i="6"/>
  <c r="E5552" i="6"/>
  <c r="E5551" i="6"/>
  <c r="E5550" i="6"/>
  <c r="E5549" i="6"/>
  <c r="E5548" i="6"/>
  <c r="E5547" i="6"/>
  <c r="E5546" i="6"/>
  <c r="E5545" i="6"/>
  <c r="E5544" i="6"/>
  <c r="E5543" i="6"/>
  <c r="E5542" i="6"/>
  <c r="E5541" i="6"/>
  <c r="E5540" i="6"/>
  <c r="E5539" i="6"/>
  <c r="E5538" i="6"/>
  <c r="E5537" i="6"/>
  <c r="E5536" i="6"/>
  <c r="E5535" i="6"/>
  <c r="E5534" i="6"/>
  <c r="E5533" i="6"/>
  <c r="E5532" i="6"/>
  <c r="E5531" i="6"/>
  <c r="E5530" i="6"/>
  <c r="E5529" i="6"/>
  <c r="E5528" i="6"/>
  <c r="E5527" i="6"/>
  <c r="E5526" i="6"/>
  <c r="E5525" i="6"/>
  <c r="E5524" i="6"/>
  <c r="E5523" i="6"/>
  <c r="E5522" i="6"/>
  <c r="E5521" i="6"/>
  <c r="E5520" i="6"/>
  <c r="E5519" i="6"/>
  <c r="E5518" i="6"/>
  <c r="E5517" i="6"/>
  <c r="E5516" i="6"/>
  <c r="E5515" i="6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E5478" i="6"/>
  <c r="E5477" i="6"/>
  <c r="E5476" i="6"/>
  <c r="E5475" i="6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E5462" i="6"/>
  <c r="E5461" i="6"/>
  <c r="E5460" i="6"/>
  <c r="E5459" i="6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E5446" i="6"/>
  <c r="E5445" i="6"/>
  <c r="E5444" i="6"/>
  <c r="E5443" i="6"/>
  <c r="E5442" i="6"/>
  <c r="E5441" i="6"/>
  <c r="E5440" i="6"/>
  <c r="E5439" i="6"/>
  <c r="E5438" i="6"/>
  <c r="E5437" i="6"/>
  <c r="E5436" i="6"/>
  <c r="E5435" i="6"/>
  <c r="E5434" i="6"/>
  <c r="E5433" i="6"/>
  <c r="E5432" i="6"/>
  <c r="E5431" i="6"/>
  <c r="E5430" i="6"/>
  <c r="E5429" i="6"/>
  <c r="E5428" i="6"/>
  <c r="E5427" i="6"/>
  <c r="E5426" i="6"/>
  <c r="E5425" i="6"/>
  <c r="E5424" i="6"/>
  <c r="E5423" i="6"/>
  <c r="E5422" i="6"/>
  <c r="E5421" i="6"/>
  <c r="E5420" i="6"/>
  <c r="E5419" i="6"/>
  <c r="E5418" i="6"/>
  <c r="E5417" i="6"/>
  <c r="E5416" i="6"/>
  <c r="E5415" i="6"/>
  <c r="E5414" i="6"/>
  <c r="E5413" i="6"/>
  <c r="E5412" i="6"/>
  <c r="E5411" i="6"/>
  <c r="E5410" i="6"/>
  <c r="E5409" i="6"/>
  <c r="E5408" i="6"/>
  <c r="E5407" i="6"/>
  <c r="E5406" i="6"/>
  <c r="E5405" i="6"/>
  <c r="E5404" i="6"/>
  <c r="E5403" i="6"/>
  <c r="E5402" i="6"/>
  <c r="E5401" i="6"/>
  <c r="E5400" i="6"/>
  <c r="E5399" i="6"/>
  <c r="E5398" i="6"/>
  <c r="E5397" i="6"/>
  <c r="E5396" i="6"/>
  <c r="E5395" i="6"/>
  <c r="E5394" i="6"/>
  <c r="E5393" i="6"/>
  <c r="E5392" i="6"/>
  <c r="E5391" i="6"/>
  <c r="E5390" i="6"/>
  <c r="E5389" i="6"/>
  <c r="E5388" i="6"/>
  <c r="E5387" i="6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E5306" i="6"/>
  <c r="E5305" i="6"/>
  <c r="E5304" i="6"/>
  <c r="E5303" i="6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E5290" i="6"/>
  <c r="E5289" i="6"/>
  <c r="E5288" i="6"/>
  <c r="E5287" i="6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E5270" i="6"/>
  <c r="E5269" i="6"/>
  <c r="E5268" i="6"/>
  <c r="E5267" i="6"/>
  <c r="E5266" i="6"/>
  <c r="E5265" i="6"/>
  <c r="E5264" i="6"/>
  <c r="E5263" i="6"/>
  <c r="E5262" i="6"/>
  <c r="E5261" i="6"/>
  <c r="E5260" i="6"/>
  <c r="E5259" i="6"/>
  <c r="E5258" i="6"/>
  <c r="E5257" i="6"/>
  <c r="E5256" i="6"/>
  <c r="E5255" i="6"/>
  <c r="E5254" i="6"/>
  <c r="E5253" i="6"/>
  <c r="E5252" i="6"/>
  <c r="E5251" i="6"/>
  <c r="E5250" i="6"/>
  <c r="E5249" i="6"/>
  <c r="E5248" i="6"/>
  <c r="E5247" i="6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E5234" i="6"/>
  <c r="E5233" i="6"/>
  <c r="E5232" i="6"/>
  <c r="E5231" i="6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E5206" i="6"/>
  <c r="E5205" i="6"/>
  <c r="E5204" i="6"/>
  <c r="E5203" i="6"/>
  <c r="E5202" i="6"/>
  <c r="E5201" i="6"/>
  <c r="E5200" i="6"/>
  <c r="E5199" i="6"/>
  <c r="E5198" i="6"/>
  <c r="E5197" i="6"/>
  <c r="E5196" i="6"/>
  <c r="E5195" i="6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E5158" i="6"/>
  <c r="E5157" i="6"/>
  <c r="E5156" i="6"/>
  <c r="E5155" i="6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E5142" i="6"/>
  <c r="E5141" i="6"/>
  <c r="E5140" i="6"/>
  <c r="E5139" i="6"/>
  <c r="E5138" i="6"/>
  <c r="E5137" i="6"/>
  <c r="E5136" i="6"/>
  <c r="E5135" i="6"/>
  <c r="E5134" i="6"/>
  <c r="E5133" i="6"/>
  <c r="E5132" i="6"/>
  <c r="E5131" i="6"/>
  <c r="E5130" i="6"/>
  <c r="E5129" i="6"/>
  <c r="E5128" i="6"/>
  <c r="E5127" i="6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E5050" i="6"/>
  <c r="E5049" i="6"/>
  <c r="E5048" i="6"/>
  <c r="E5047" i="6"/>
  <c r="E5046" i="6"/>
  <c r="E5045" i="6"/>
  <c r="E5044" i="6"/>
  <c r="E5043" i="6"/>
  <c r="E5042" i="6"/>
  <c r="E5041" i="6"/>
  <c r="E5040" i="6"/>
  <c r="E5039" i="6"/>
  <c r="E5038" i="6"/>
  <c r="E5037" i="6"/>
  <c r="E5036" i="6"/>
  <c r="E5035" i="6"/>
  <c r="E5034" i="6"/>
  <c r="E5033" i="6"/>
  <c r="E5032" i="6"/>
  <c r="E5031" i="6"/>
  <c r="E5030" i="6"/>
  <c r="E5029" i="6"/>
  <c r="E5028" i="6"/>
  <c r="E5027" i="6"/>
  <c r="E5026" i="6"/>
  <c r="E5025" i="6"/>
  <c r="E5024" i="6"/>
  <c r="E5023" i="6"/>
  <c r="E5022" i="6"/>
  <c r="E5021" i="6"/>
  <c r="E5020" i="6"/>
  <c r="E5019" i="6"/>
  <c r="E5018" i="6"/>
  <c r="E5017" i="6"/>
  <c r="E5016" i="6"/>
  <c r="E5015" i="6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E5002" i="6"/>
  <c r="E5001" i="6"/>
  <c r="E5000" i="6"/>
  <c r="E4999" i="6"/>
  <c r="E4998" i="6"/>
  <c r="E4997" i="6"/>
  <c r="E4996" i="6"/>
  <c r="E4995" i="6"/>
  <c r="E4994" i="6"/>
  <c r="E4993" i="6"/>
  <c r="E4992" i="6"/>
  <c r="E4991" i="6"/>
  <c r="E4990" i="6"/>
  <c r="E4989" i="6"/>
  <c r="E4988" i="6"/>
  <c r="E4987" i="6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E4950" i="6"/>
  <c r="E4949" i="6"/>
  <c r="E4948" i="6"/>
  <c r="E4947" i="6"/>
  <c r="E4946" i="6"/>
  <c r="E4945" i="6"/>
  <c r="E4944" i="6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E4910" i="6"/>
  <c r="E4909" i="6"/>
  <c r="E4908" i="6"/>
  <c r="E4907" i="6"/>
  <c r="E4906" i="6"/>
  <c r="E4905" i="6"/>
  <c r="E4904" i="6"/>
  <c r="E4903" i="6"/>
  <c r="E4902" i="6"/>
  <c r="E4901" i="6"/>
  <c r="E4900" i="6"/>
  <c r="E4899" i="6"/>
  <c r="E4898" i="6"/>
  <c r="E4897" i="6"/>
  <c r="E4896" i="6"/>
  <c r="E4895" i="6"/>
  <c r="E4894" i="6"/>
  <c r="E4893" i="6"/>
  <c r="E4892" i="6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E4851" i="6"/>
  <c r="E4850" i="6"/>
  <c r="E4849" i="6"/>
  <c r="E4848" i="6"/>
  <c r="E4847" i="6"/>
  <c r="E4846" i="6"/>
  <c r="E4845" i="6"/>
  <c r="E4844" i="6"/>
  <c r="E4843" i="6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E4786" i="6"/>
  <c r="E4785" i="6"/>
  <c r="E4784" i="6"/>
  <c r="E4783" i="6"/>
  <c r="E4782" i="6"/>
  <c r="E4781" i="6"/>
  <c r="E4780" i="6"/>
  <c r="E4779" i="6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E4754" i="6"/>
  <c r="E4753" i="6"/>
  <c r="E4752" i="6"/>
  <c r="E4751" i="6"/>
  <c r="E4750" i="6"/>
  <c r="E4749" i="6"/>
  <c r="E4748" i="6"/>
  <c r="E4747" i="6"/>
  <c r="E4746" i="6"/>
  <c r="E4745" i="6"/>
  <c r="E4744" i="6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E4686" i="6"/>
  <c r="E4685" i="6"/>
  <c r="E4684" i="6"/>
  <c r="E4683" i="6"/>
  <c r="E4682" i="6"/>
  <c r="E4681" i="6"/>
  <c r="E4680" i="6"/>
  <c r="E4679" i="6"/>
  <c r="E4678" i="6"/>
  <c r="E4677" i="6"/>
  <c r="E4676" i="6"/>
  <c r="E4675" i="6"/>
  <c r="E4674" i="6"/>
  <c r="E4673" i="6"/>
  <c r="E4672" i="6"/>
  <c r="E4671" i="6"/>
  <c r="E4670" i="6"/>
  <c r="E4669" i="6"/>
  <c r="E4668" i="6"/>
  <c r="E4667" i="6"/>
  <c r="E4666" i="6"/>
  <c r="E4665" i="6"/>
  <c r="E4664" i="6"/>
  <c r="E4663" i="6"/>
  <c r="E4662" i="6"/>
  <c r="E4661" i="6"/>
  <c r="E4660" i="6"/>
  <c r="E4659" i="6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E4646" i="6"/>
  <c r="E4645" i="6"/>
  <c r="E4644" i="6"/>
  <c r="E4643" i="6"/>
  <c r="E4642" i="6"/>
  <c r="E4641" i="6"/>
  <c r="E4640" i="6"/>
  <c r="E4639" i="6"/>
  <c r="E4638" i="6"/>
  <c r="E4637" i="6"/>
  <c r="E4636" i="6"/>
  <c r="E4635" i="6"/>
  <c r="E4634" i="6"/>
  <c r="E4633" i="6"/>
  <c r="E4632" i="6"/>
  <c r="E4631" i="6"/>
  <c r="E4630" i="6"/>
  <c r="E4629" i="6"/>
  <c r="E4628" i="6"/>
  <c r="E4627" i="6"/>
  <c r="E4626" i="6"/>
  <c r="E4625" i="6"/>
  <c r="E4624" i="6"/>
  <c r="E4623" i="6"/>
  <c r="E4622" i="6"/>
  <c r="E4621" i="6"/>
  <c r="E4620" i="6"/>
  <c r="E4619" i="6"/>
  <c r="E4618" i="6"/>
  <c r="E4617" i="6"/>
  <c r="E4616" i="6"/>
  <c r="E4615" i="6"/>
  <c r="E4614" i="6"/>
  <c r="E4613" i="6"/>
  <c r="E4612" i="6"/>
  <c r="E4611" i="6"/>
  <c r="E4610" i="6"/>
  <c r="E4609" i="6"/>
  <c r="E4608" i="6"/>
  <c r="E4607" i="6"/>
  <c r="E4606" i="6"/>
  <c r="E4605" i="6"/>
  <c r="E4604" i="6"/>
  <c r="E4603" i="6"/>
  <c r="E4602" i="6"/>
  <c r="E4601" i="6"/>
  <c r="E4600" i="6"/>
  <c r="E4599" i="6"/>
  <c r="E4598" i="6"/>
  <c r="E4597" i="6"/>
  <c r="E4596" i="6"/>
  <c r="E4595" i="6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E4582" i="6"/>
  <c r="E4581" i="6"/>
  <c r="E4580" i="6"/>
  <c r="E4579" i="6"/>
  <c r="E4578" i="6"/>
  <c r="E4577" i="6"/>
  <c r="E4576" i="6"/>
  <c r="E4575" i="6"/>
  <c r="E4574" i="6"/>
  <c r="E4573" i="6"/>
  <c r="E4572" i="6"/>
  <c r="E4571" i="6"/>
  <c r="E4570" i="6"/>
  <c r="E4569" i="6"/>
  <c r="E4568" i="6"/>
  <c r="E4567" i="6"/>
  <c r="E4566" i="6"/>
  <c r="E4565" i="6"/>
  <c r="E4564" i="6"/>
  <c r="E4563" i="6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E4286" i="6"/>
  <c r="E4285" i="6"/>
  <c r="E4284" i="6"/>
  <c r="E4283" i="6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E4258" i="6"/>
  <c r="E4257" i="6"/>
  <c r="E4256" i="6"/>
  <c r="E4255" i="6"/>
  <c r="E4254" i="6"/>
  <c r="E4253" i="6"/>
  <c r="E4252" i="6"/>
  <c r="E4251" i="6"/>
  <c r="E4250" i="6"/>
  <c r="E4249" i="6"/>
  <c r="E4248" i="6"/>
  <c r="E4247" i="6"/>
  <c r="E4246" i="6"/>
  <c r="E4245" i="6"/>
  <c r="E4244" i="6"/>
  <c r="E4243" i="6"/>
  <c r="E4242" i="6"/>
  <c r="E4241" i="6"/>
  <c r="E4240" i="6"/>
  <c r="E4239" i="6"/>
  <c r="E4238" i="6"/>
  <c r="E4237" i="6"/>
  <c r="E4236" i="6"/>
  <c r="E4235" i="6"/>
  <c r="E4234" i="6"/>
  <c r="E4233" i="6"/>
  <c r="E4232" i="6"/>
  <c r="E4231" i="6"/>
  <c r="E4230" i="6"/>
  <c r="E4229" i="6"/>
  <c r="E4228" i="6"/>
  <c r="E4227" i="6"/>
  <c r="E4226" i="6"/>
  <c r="E4225" i="6"/>
  <c r="E4224" i="6"/>
  <c r="E4223" i="6"/>
  <c r="E4222" i="6"/>
  <c r="E4221" i="6"/>
  <c r="E4220" i="6"/>
  <c r="E4219" i="6"/>
  <c r="E4218" i="6"/>
  <c r="E4217" i="6"/>
  <c r="E4216" i="6"/>
  <c r="E4215" i="6"/>
  <c r="E4214" i="6"/>
  <c r="E4213" i="6"/>
  <c r="E4212" i="6"/>
  <c r="E4211" i="6"/>
  <c r="E4210" i="6"/>
  <c r="E4209" i="6"/>
  <c r="E4208" i="6"/>
  <c r="E4207" i="6"/>
  <c r="E4206" i="6"/>
  <c r="E4205" i="6"/>
  <c r="E4204" i="6"/>
  <c r="E4203" i="6"/>
  <c r="E4202" i="6"/>
  <c r="E4201" i="6"/>
  <c r="E4200" i="6"/>
  <c r="E4199" i="6"/>
  <c r="E4198" i="6"/>
  <c r="E4197" i="6"/>
  <c r="E4196" i="6"/>
  <c r="E4195" i="6"/>
  <c r="E4194" i="6"/>
  <c r="E4193" i="6"/>
  <c r="E4192" i="6"/>
  <c r="E4191" i="6"/>
  <c r="E4190" i="6"/>
  <c r="E4189" i="6"/>
  <c r="E4188" i="6"/>
  <c r="E4187" i="6"/>
  <c r="E4186" i="6"/>
  <c r="E4185" i="6"/>
  <c r="E4184" i="6"/>
  <c r="E4183" i="6"/>
  <c r="E4182" i="6"/>
  <c r="E4181" i="6"/>
  <c r="E4180" i="6"/>
  <c r="E4179" i="6"/>
  <c r="E4178" i="6"/>
  <c r="E4177" i="6"/>
  <c r="E4176" i="6"/>
  <c r="E4175" i="6"/>
  <c r="E4174" i="6"/>
  <c r="E4173" i="6"/>
  <c r="E4172" i="6"/>
  <c r="E4171" i="6"/>
  <c r="E4170" i="6"/>
  <c r="E4169" i="6"/>
  <c r="E4168" i="6"/>
  <c r="E4167" i="6"/>
  <c r="E4166" i="6"/>
  <c r="E4165" i="6"/>
  <c r="E4164" i="6"/>
  <c r="E4163" i="6"/>
  <c r="E4162" i="6"/>
  <c r="E4161" i="6"/>
  <c r="E4160" i="6"/>
  <c r="E4159" i="6"/>
  <c r="E4158" i="6"/>
  <c r="E4157" i="6"/>
  <c r="E4156" i="6"/>
  <c r="E4155" i="6"/>
  <c r="E4154" i="6"/>
  <c r="E4153" i="6"/>
  <c r="E4152" i="6"/>
  <c r="E4151" i="6"/>
  <c r="E4150" i="6"/>
  <c r="E4149" i="6"/>
  <c r="E4148" i="6"/>
  <c r="E4147" i="6"/>
  <c r="E4146" i="6"/>
  <c r="E4145" i="6"/>
  <c r="E4144" i="6"/>
  <c r="E4143" i="6"/>
  <c r="E4142" i="6"/>
  <c r="E4141" i="6"/>
  <c r="E4140" i="6"/>
  <c r="E4139" i="6"/>
  <c r="E4138" i="6"/>
  <c r="E4137" i="6"/>
  <c r="E4136" i="6"/>
  <c r="E4135" i="6"/>
  <c r="E4134" i="6"/>
  <c r="E4133" i="6"/>
  <c r="E4132" i="6"/>
  <c r="E4131" i="6"/>
  <c r="E4130" i="6"/>
  <c r="E4129" i="6"/>
  <c r="E4128" i="6"/>
  <c r="E4127" i="6"/>
  <c r="E4126" i="6"/>
  <c r="E4125" i="6"/>
  <c r="E4124" i="6"/>
  <c r="E4123" i="6"/>
  <c r="E4122" i="6"/>
  <c r="E4121" i="6"/>
  <c r="E4120" i="6"/>
  <c r="E4119" i="6"/>
  <c r="E4118" i="6"/>
  <c r="E4117" i="6"/>
  <c r="E4116" i="6"/>
  <c r="E4115" i="6"/>
  <c r="E4114" i="6"/>
  <c r="E4113" i="6"/>
  <c r="E4112" i="6"/>
  <c r="E4111" i="6"/>
  <c r="E4110" i="6"/>
  <c r="E4109" i="6"/>
  <c r="E4108" i="6"/>
  <c r="E4107" i="6"/>
  <c r="E4106" i="6"/>
  <c r="E4105" i="6"/>
  <c r="E4104" i="6"/>
  <c r="E4103" i="6"/>
  <c r="E4102" i="6"/>
  <c r="E4101" i="6"/>
  <c r="E4100" i="6"/>
  <c r="E4099" i="6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E4086" i="6"/>
  <c r="E4085" i="6"/>
  <c r="E4084" i="6"/>
  <c r="E4083" i="6"/>
  <c r="E4082" i="6"/>
  <c r="E4081" i="6"/>
  <c r="E4080" i="6"/>
  <c r="E4079" i="6"/>
  <c r="E4078" i="6"/>
  <c r="E4077" i="6"/>
  <c r="E4076" i="6"/>
  <c r="E4075" i="6"/>
  <c r="E4074" i="6"/>
  <c r="E4073" i="6"/>
  <c r="E4072" i="6"/>
  <c r="E4071" i="6"/>
  <c r="E4070" i="6"/>
  <c r="E4069" i="6"/>
  <c r="E4068" i="6"/>
  <c r="E4067" i="6"/>
  <c r="E4066" i="6"/>
  <c r="E4065" i="6"/>
  <c r="E4064" i="6"/>
  <c r="E4063" i="6"/>
  <c r="E4062" i="6"/>
  <c r="E4061" i="6"/>
  <c r="E4060" i="6"/>
  <c r="E4059" i="6"/>
  <c r="E4058" i="6"/>
  <c r="E4057" i="6"/>
  <c r="E4056" i="6"/>
  <c r="E4055" i="6"/>
  <c r="E4054" i="6"/>
  <c r="E4053" i="6"/>
  <c r="E4052" i="6"/>
  <c r="E4051" i="6"/>
  <c r="E4050" i="6"/>
  <c r="E4049" i="6"/>
  <c r="E4048" i="6"/>
  <c r="E4047" i="6"/>
  <c r="E4046" i="6"/>
  <c r="E4045" i="6"/>
  <c r="E4044" i="6"/>
  <c r="E4043" i="6"/>
  <c r="E4042" i="6"/>
  <c r="E4041" i="6"/>
  <c r="E4040" i="6"/>
  <c r="E4039" i="6"/>
  <c r="E4038" i="6"/>
  <c r="E4037" i="6"/>
  <c r="E4036" i="6"/>
  <c r="E4035" i="6"/>
  <c r="E4034" i="6"/>
  <c r="E4033" i="6"/>
  <c r="E4032" i="6"/>
  <c r="E4031" i="6"/>
  <c r="E4030" i="6"/>
  <c r="E4029" i="6"/>
  <c r="E4028" i="6"/>
  <c r="E4027" i="6"/>
  <c r="E4026" i="6"/>
  <c r="E4025" i="6"/>
  <c r="E4024" i="6"/>
  <c r="E4023" i="6"/>
  <c r="E4022" i="6"/>
  <c r="E4021" i="6"/>
  <c r="E4020" i="6"/>
  <c r="E4019" i="6"/>
  <c r="E4018" i="6"/>
  <c r="E4017" i="6"/>
  <c r="E4016" i="6"/>
  <c r="E4015" i="6"/>
  <c r="E4014" i="6"/>
  <c r="E4013" i="6"/>
  <c r="E4012" i="6"/>
  <c r="E4011" i="6"/>
  <c r="E4010" i="6"/>
  <c r="E4009" i="6"/>
  <c r="E4008" i="6"/>
  <c r="E4007" i="6"/>
  <c r="E4006" i="6"/>
  <c r="E4005" i="6"/>
  <c r="E4004" i="6"/>
  <c r="E4003" i="6"/>
  <c r="E4002" i="6"/>
  <c r="E4001" i="6"/>
  <c r="E4000" i="6"/>
  <c r="E3999" i="6"/>
  <c r="E3998" i="6"/>
  <c r="E3997" i="6"/>
  <c r="E3996" i="6"/>
  <c r="E3995" i="6"/>
  <c r="E3994" i="6"/>
  <c r="E3993" i="6"/>
  <c r="E3992" i="6"/>
  <c r="E3991" i="6"/>
  <c r="E3990" i="6"/>
  <c r="E3989" i="6"/>
  <c r="E3988" i="6"/>
  <c r="E3987" i="6"/>
  <c r="E3986" i="6"/>
  <c r="E3985" i="6"/>
  <c r="E3984" i="6"/>
  <c r="E3983" i="6"/>
  <c r="E3982" i="6"/>
  <c r="E3981" i="6"/>
  <c r="E3980" i="6"/>
  <c r="E3979" i="6"/>
  <c r="E3978" i="6"/>
  <c r="E3977" i="6"/>
  <c r="E3976" i="6"/>
  <c r="E3975" i="6"/>
  <c r="E3974" i="6"/>
  <c r="E3973" i="6"/>
  <c r="E3972" i="6"/>
  <c r="E3971" i="6"/>
  <c r="E3970" i="6"/>
  <c r="E3969" i="6"/>
  <c r="E3968" i="6"/>
  <c r="E3967" i="6"/>
  <c r="E3966" i="6"/>
  <c r="E3965" i="6"/>
  <c r="E3964" i="6"/>
  <c r="E3963" i="6"/>
  <c r="E3962" i="6"/>
  <c r="E3961" i="6"/>
  <c r="E3960" i="6"/>
  <c r="E3959" i="6"/>
  <c r="E3958" i="6"/>
  <c r="E3957" i="6"/>
  <c r="E3956" i="6"/>
  <c r="E3955" i="6"/>
  <c r="E3954" i="6"/>
  <c r="E3953" i="6"/>
  <c r="E3952" i="6"/>
  <c r="E3951" i="6"/>
  <c r="E3950" i="6"/>
  <c r="E3949" i="6"/>
  <c r="E3948" i="6"/>
  <c r="E3947" i="6"/>
  <c r="E3946" i="6"/>
  <c r="E3945" i="6"/>
  <c r="E3944" i="6"/>
  <c r="E3943" i="6"/>
  <c r="E3942" i="6"/>
  <c r="E3941" i="6"/>
  <c r="E3940" i="6"/>
  <c r="E3939" i="6"/>
  <c r="E3938" i="6"/>
  <c r="E3937" i="6"/>
  <c r="E3936" i="6"/>
  <c r="E3935" i="6"/>
  <c r="E3934" i="6"/>
  <c r="E3933" i="6"/>
  <c r="E3932" i="6"/>
  <c r="E3931" i="6"/>
  <c r="E3930" i="6"/>
  <c r="E3929" i="6"/>
  <c r="E3928" i="6"/>
  <c r="E3927" i="6"/>
  <c r="E3926" i="6"/>
  <c r="E3925" i="6"/>
  <c r="E3924" i="6"/>
  <c r="E3923" i="6"/>
  <c r="E3922" i="6"/>
  <c r="E3921" i="6"/>
  <c r="E3920" i="6"/>
  <c r="E3919" i="6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E3878" i="6"/>
  <c r="E3877" i="6"/>
  <c r="E3876" i="6"/>
  <c r="E3875" i="6"/>
  <c r="E3874" i="6"/>
  <c r="E3873" i="6"/>
  <c r="E3872" i="6"/>
  <c r="E3871" i="6"/>
  <c r="E3870" i="6"/>
  <c r="E3869" i="6"/>
  <c r="E3868" i="6"/>
  <c r="E3867" i="6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E3720" i="6"/>
  <c r="E3719" i="6"/>
  <c r="E3718" i="6"/>
  <c r="E3717" i="6"/>
  <c r="E3716" i="6"/>
  <c r="E3715" i="6"/>
  <c r="E3714" i="6"/>
  <c r="E3713" i="6"/>
  <c r="E3712" i="6"/>
  <c r="E3711" i="6"/>
  <c r="E3710" i="6"/>
  <c r="E3709" i="6"/>
  <c r="E3708" i="6"/>
  <c r="E3707" i="6"/>
  <c r="E3706" i="6"/>
  <c r="E3705" i="6"/>
  <c r="E3704" i="6"/>
  <c r="E3703" i="6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E3667" i="6"/>
  <c r="E3666" i="6"/>
  <c r="E3665" i="6"/>
  <c r="E3664" i="6"/>
  <c r="E3663" i="6"/>
  <c r="E3662" i="6"/>
  <c r="E3661" i="6"/>
  <c r="E3660" i="6"/>
  <c r="E3659" i="6"/>
  <c r="E3658" i="6"/>
  <c r="E3657" i="6"/>
  <c r="E3656" i="6"/>
  <c r="E3655" i="6"/>
  <c r="E3654" i="6"/>
  <c r="E3653" i="6"/>
  <c r="E3652" i="6"/>
  <c r="E3651" i="6"/>
  <c r="E3650" i="6"/>
  <c r="E3649" i="6"/>
  <c r="E3648" i="6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E3599" i="6"/>
  <c r="E3598" i="6"/>
  <c r="E3597" i="6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E3568" i="6"/>
  <c r="E3567" i="6"/>
  <c r="E3566" i="6"/>
  <c r="E3565" i="6"/>
  <c r="E3564" i="6"/>
  <c r="E3563" i="6"/>
  <c r="E3562" i="6"/>
  <c r="E3561" i="6"/>
  <c r="E3560" i="6"/>
  <c r="E3559" i="6"/>
  <c r="E3558" i="6"/>
  <c r="E3557" i="6"/>
  <c r="E3556" i="6"/>
  <c r="E3555" i="6"/>
  <c r="E3554" i="6"/>
  <c r="E3553" i="6"/>
  <c r="E3552" i="6"/>
  <c r="E3551" i="6"/>
  <c r="E3550" i="6"/>
  <c r="E3549" i="6"/>
  <c r="E3548" i="6"/>
  <c r="E3547" i="6"/>
  <c r="E3546" i="6"/>
  <c r="E3545" i="6"/>
  <c r="E3544" i="6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E3519" i="6"/>
  <c r="E3518" i="6"/>
  <c r="E3517" i="6"/>
  <c r="E3516" i="6"/>
  <c r="E3515" i="6"/>
  <c r="E3514" i="6"/>
  <c r="E3513" i="6"/>
  <c r="E3512" i="6"/>
  <c r="E3511" i="6"/>
  <c r="E3510" i="6"/>
  <c r="E3509" i="6"/>
  <c r="E3508" i="6"/>
  <c r="E3507" i="6"/>
  <c r="E3506" i="6"/>
  <c r="E3505" i="6"/>
  <c r="E3504" i="6"/>
  <c r="E3503" i="6"/>
  <c r="E3502" i="6"/>
  <c r="E3501" i="6"/>
  <c r="E3500" i="6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E3428" i="6"/>
  <c r="E3427" i="6"/>
  <c r="E3426" i="6"/>
  <c r="E3425" i="6"/>
  <c r="E3424" i="6"/>
  <c r="E3423" i="6"/>
  <c r="E3422" i="6"/>
  <c r="E3421" i="6"/>
  <c r="E3420" i="6"/>
  <c r="E3419" i="6"/>
  <c r="E3418" i="6"/>
  <c r="E3417" i="6"/>
  <c r="E3416" i="6"/>
  <c r="E3415" i="6"/>
  <c r="E3414" i="6"/>
  <c r="E3413" i="6"/>
  <c r="E3412" i="6"/>
  <c r="E3411" i="6"/>
  <c r="E3410" i="6"/>
  <c r="E3409" i="6"/>
  <c r="E3408" i="6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E3389" i="6"/>
  <c r="E3388" i="6"/>
  <c r="E3387" i="6"/>
  <c r="E3386" i="6"/>
  <c r="E3385" i="6"/>
  <c r="E3384" i="6"/>
  <c r="E3383" i="6"/>
  <c r="E3382" i="6"/>
  <c r="E3381" i="6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E3330" i="6"/>
  <c r="E3329" i="6"/>
  <c r="E3328" i="6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E3306" i="6"/>
  <c r="E3305" i="6"/>
  <c r="E3304" i="6"/>
  <c r="E3303" i="6"/>
  <c r="E3302" i="6"/>
  <c r="E3301" i="6"/>
  <c r="E3300" i="6"/>
  <c r="E3299" i="6"/>
  <c r="E3298" i="6"/>
  <c r="E3297" i="6"/>
  <c r="E3296" i="6"/>
  <c r="E3295" i="6"/>
  <c r="E3294" i="6"/>
  <c r="E3293" i="6"/>
  <c r="E3292" i="6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E3278" i="6"/>
  <c r="E3277" i="6"/>
  <c r="E3276" i="6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E3254" i="6"/>
  <c r="E3253" i="6"/>
  <c r="E3252" i="6"/>
  <c r="E3251" i="6"/>
  <c r="E3250" i="6"/>
  <c r="E3249" i="6"/>
  <c r="E3248" i="6"/>
  <c r="E3247" i="6"/>
  <c r="E3246" i="6"/>
  <c r="E3245" i="6"/>
  <c r="E3244" i="6"/>
  <c r="E3243" i="6"/>
  <c r="E3242" i="6"/>
  <c r="E3241" i="6"/>
  <c r="E3240" i="6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E3222" i="6"/>
  <c r="E3221" i="6"/>
  <c r="E3220" i="6"/>
  <c r="E3219" i="6"/>
  <c r="E3218" i="6"/>
  <c r="E3217" i="6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E3198" i="6"/>
  <c r="E3197" i="6"/>
  <c r="E3196" i="6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E3166" i="6"/>
  <c r="E3165" i="6"/>
  <c r="E3164" i="6"/>
  <c r="E3163" i="6"/>
  <c r="E3162" i="6"/>
  <c r="E3161" i="6"/>
  <c r="E3160" i="6"/>
  <c r="E3159" i="6"/>
  <c r="E3158" i="6"/>
  <c r="E3157" i="6"/>
  <c r="E3156" i="6"/>
  <c r="E3155" i="6"/>
  <c r="E3154" i="6"/>
  <c r="E3153" i="6"/>
  <c r="E3152" i="6"/>
  <c r="E3151" i="6"/>
  <c r="E3150" i="6"/>
  <c r="E3149" i="6"/>
  <c r="E3148" i="6"/>
  <c r="E3147" i="6"/>
  <c r="E3146" i="6"/>
  <c r="E3145" i="6"/>
  <c r="E3144" i="6"/>
  <c r="E3143" i="6"/>
  <c r="E3142" i="6"/>
  <c r="E3141" i="6"/>
  <c r="E3140" i="6"/>
  <c r="E3139" i="6"/>
  <c r="E3138" i="6"/>
  <c r="E3137" i="6"/>
  <c r="E3136" i="6"/>
  <c r="E3135" i="6"/>
  <c r="E3134" i="6"/>
  <c r="E3133" i="6"/>
  <c r="E3132" i="6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E3115" i="6"/>
  <c r="E3114" i="6"/>
  <c r="E3113" i="6"/>
  <c r="E3112" i="6"/>
  <c r="E3111" i="6"/>
  <c r="E3110" i="6"/>
  <c r="E3109" i="6"/>
  <c r="E3108" i="6"/>
  <c r="E3107" i="6"/>
  <c r="E3106" i="6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E3059" i="6"/>
  <c r="E3058" i="6"/>
  <c r="E3057" i="6"/>
  <c r="E3056" i="6"/>
  <c r="E3055" i="6"/>
  <c r="E3054" i="6"/>
  <c r="E3053" i="6"/>
  <c r="E3052" i="6"/>
  <c r="E3051" i="6"/>
  <c r="E3050" i="6"/>
  <c r="E3049" i="6"/>
  <c r="E3048" i="6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E3009" i="6"/>
  <c r="E3008" i="6"/>
  <c r="E3007" i="6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E1070" i="6"/>
  <c r="E1069" i="6"/>
  <c r="E1068" i="6"/>
  <c r="E1067" i="6"/>
  <c r="E1066" i="6"/>
  <c r="E1065" i="6"/>
  <c r="E1064" i="6"/>
  <c r="E1063" i="6"/>
  <c r="E1062" i="6"/>
  <c r="E1061" i="6"/>
  <c r="E1060" i="6"/>
  <c r="E1059" i="6"/>
  <c r="E1058" i="6"/>
  <c r="E1057" i="6"/>
  <c r="E1056" i="6"/>
  <c r="E1055" i="6"/>
  <c r="E1054" i="6"/>
  <c r="E1053" i="6"/>
  <c r="E1052" i="6"/>
  <c r="E1051" i="6"/>
  <c r="E1050" i="6"/>
  <c r="E1049" i="6"/>
  <c r="E1048" i="6"/>
  <c r="E1047" i="6"/>
  <c r="E1046" i="6"/>
  <c r="E1045" i="6"/>
  <c r="E1044" i="6"/>
  <c r="E1043" i="6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E1024" i="6"/>
  <c r="E1023" i="6"/>
  <c r="E1022" i="6"/>
  <c r="E1021" i="6"/>
  <c r="E1020" i="6"/>
  <c r="E1019" i="6"/>
  <c r="E1018" i="6"/>
  <c r="E1017" i="6"/>
  <c r="E1016" i="6"/>
  <c r="E1015" i="6"/>
  <c r="E1014" i="6"/>
  <c r="E1013" i="6"/>
  <c r="E1012" i="6"/>
  <c r="E1011" i="6"/>
  <c r="E1010" i="6"/>
  <c r="E1009" i="6"/>
  <c r="E1008" i="6"/>
  <c r="E1007" i="6"/>
  <c r="E1006" i="6"/>
  <c r="E1005" i="6"/>
  <c r="E1004" i="6"/>
  <c r="E1003" i="6"/>
  <c r="E1002" i="6"/>
  <c r="E1001" i="6"/>
  <c r="E1000" i="6"/>
  <c r="E999" i="6"/>
  <c r="E998" i="6"/>
  <c r="E997" i="6"/>
  <c r="E996" i="6"/>
  <c r="E995" i="6"/>
  <c r="E994" i="6"/>
  <c r="E993" i="6"/>
  <c r="E992" i="6"/>
  <c r="E991" i="6"/>
  <c r="E990" i="6"/>
  <c r="E989" i="6"/>
  <c r="E988" i="6"/>
  <c r="E987" i="6"/>
  <c r="E986" i="6"/>
  <c r="E985" i="6"/>
  <c r="E984" i="6"/>
  <c r="E983" i="6"/>
  <c r="E982" i="6"/>
  <c r="E981" i="6"/>
  <c r="E980" i="6"/>
  <c r="E979" i="6"/>
  <c r="E978" i="6"/>
  <c r="E977" i="6"/>
  <c r="E976" i="6"/>
  <c r="E975" i="6"/>
  <c r="E974" i="6"/>
  <c r="E973" i="6"/>
  <c r="E972" i="6"/>
  <c r="E971" i="6"/>
  <c r="E970" i="6"/>
  <c r="E969" i="6"/>
  <c r="E968" i="6"/>
  <c r="E967" i="6"/>
  <c r="E966" i="6"/>
  <c r="E965" i="6"/>
  <c r="E964" i="6"/>
  <c r="E963" i="6"/>
  <c r="E962" i="6"/>
  <c r="E961" i="6"/>
  <c r="E960" i="6"/>
  <c r="E959" i="6"/>
  <c r="E958" i="6"/>
  <c r="E957" i="6"/>
  <c r="E956" i="6"/>
  <c r="E955" i="6"/>
  <c r="E954" i="6"/>
  <c r="E953" i="6"/>
  <c r="E952" i="6"/>
  <c r="E951" i="6"/>
  <c r="E950" i="6"/>
  <c r="E949" i="6"/>
  <c r="E948" i="6"/>
  <c r="E947" i="6"/>
  <c r="E946" i="6"/>
  <c r="E945" i="6"/>
  <c r="E944" i="6"/>
  <c r="E943" i="6"/>
  <c r="E942" i="6"/>
  <c r="E941" i="6"/>
  <c r="E940" i="6"/>
  <c r="E939" i="6"/>
  <c r="E938" i="6"/>
  <c r="E937" i="6"/>
  <c r="E936" i="6"/>
  <c r="E935" i="6"/>
  <c r="E934" i="6"/>
  <c r="E933" i="6"/>
  <c r="E932" i="6"/>
  <c r="E931" i="6"/>
  <c r="E930" i="6"/>
  <c r="E929" i="6"/>
  <c r="E928" i="6"/>
  <c r="E927" i="6"/>
  <c r="E926" i="6"/>
  <c r="E925" i="6"/>
  <c r="E924" i="6"/>
  <c r="E923" i="6"/>
  <c r="E922" i="6"/>
  <c r="E921" i="6"/>
  <c r="E920" i="6"/>
  <c r="E919" i="6"/>
  <c r="E918" i="6"/>
  <c r="E917" i="6"/>
  <c r="E916" i="6"/>
  <c r="E915" i="6"/>
  <c r="E914" i="6"/>
  <c r="E913" i="6"/>
  <c r="E912" i="6"/>
  <c r="E911" i="6"/>
  <c r="E910" i="6"/>
  <c r="E909" i="6"/>
  <c r="E908" i="6"/>
  <c r="E907" i="6"/>
  <c r="E906" i="6"/>
  <c r="E905" i="6"/>
  <c r="E904" i="6"/>
  <c r="E903" i="6"/>
  <c r="E902" i="6"/>
  <c r="E901" i="6"/>
  <c r="E900" i="6"/>
  <c r="E899" i="6"/>
  <c r="E898" i="6"/>
  <c r="E897" i="6"/>
  <c r="E896" i="6"/>
  <c r="E895" i="6"/>
  <c r="E894" i="6"/>
  <c r="E893" i="6"/>
  <c r="E892" i="6"/>
  <c r="E891" i="6"/>
  <c r="E890" i="6"/>
  <c r="E889" i="6"/>
  <c r="E888" i="6"/>
  <c r="E887" i="6"/>
  <c r="E886" i="6"/>
  <c r="E885" i="6"/>
  <c r="E884" i="6"/>
  <c r="E883" i="6"/>
  <c r="E882" i="6"/>
  <c r="E881" i="6"/>
  <c r="E880" i="6"/>
  <c r="E879" i="6"/>
  <c r="E878" i="6"/>
  <c r="E877" i="6"/>
  <c r="E876" i="6"/>
  <c r="E875" i="6"/>
  <c r="E874" i="6"/>
  <c r="E873" i="6"/>
  <c r="E872" i="6"/>
  <c r="E871" i="6"/>
  <c r="E870" i="6"/>
  <c r="E869" i="6"/>
  <c r="E868" i="6"/>
  <c r="E867" i="6"/>
  <c r="E866" i="6"/>
  <c r="E865" i="6"/>
  <c r="E864" i="6"/>
  <c r="E863" i="6"/>
  <c r="E862" i="6"/>
  <c r="E861" i="6"/>
  <c r="E860" i="6"/>
  <c r="E859" i="6"/>
  <c r="E858" i="6"/>
  <c r="E857" i="6"/>
  <c r="E856" i="6"/>
  <c r="E855" i="6"/>
  <c r="E854" i="6"/>
  <c r="E853" i="6"/>
  <c r="E852" i="6"/>
  <c r="E851" i="6"/>
  <c r="E850" i="6"/>
  <c r="E849" i="6"/>
  <c r="E848" i="6"/>
  <c r="E847" i="6"/>
  <c r="E846" i="6"/>
  <c r="E845" i="6"/>
  <c r="E844" i="6"/>
  <c r="E843" i="6"/>
  <c r="E842" i="6"/>
  <c r="E841" i="6"/>
  <c r="E840" i="6"/>
  <c r="E839" i="6"/>
  <c r="E838" i="6"/>
  <c r="E837" i="6"/>
  <c r="E836" i="6"/>
  <c r="E835" i="6"/>
  <c r="E834" i="6"/>
  <c r="E833" i="6"/>
  <c r="E832" i="6"/>
  <c r="E831" i="6"/>
  <c r="E830" i="6"/>
  <c r="E829" i="6"/>
  <c r="E828" i="6"/>
  <c r="E827" i="6"/>
  <c r="E826" i="6"/>
  <c r="E825" i="6"/>
  <c r="E824" i="6"/>
  <c r="E823" i="6"/>
  <c r="E822" i="6"/>
  <c r="E821" i="6"/>
  <c r="E820" i="6"/>
  <c r="E819" i="6"/>
  <c r="E818" i="6"/>
  <c r="E817" i="6"/>
  <c r="E816" i="6"/>
  <c r="E815" i="6"/>
  <c r="E814" i="6"/>
  <c r="E813" i="6"/>
  <c r="E812" i="6"/>
  <c r="E811" i="6"/>
  <c r="E810" i="6"/>
  <c r="E809" i="6"/>
  <c r="E808" i="6"/>
  <c r="E807" i="6"/>
  <c r="E806" i="6"/>
  <c r="E805" i="6"/>
  <c r="E804" i="6"/>
  <c r="E803" i="6"/>
  <c r="E802" i="6"/>
  <c r="E800" i="6"/>
  <c r="E799" i="6"/>
  <c r="E798" i="6"/>
  <c r="E797" i="6"/>
  <c r="E796" i="6"/>
  <c r="E795" i="6"/>
  <c r="E794" i="6"/>
  <c r="E793" i="6"/>
  <c r="E792" i="6"/>
  <c r="E791" i="6"/>
  <c r="E790" i="6"/>
  <c r="E789" i="6"/>
  <c r="E788" i="6"/>
  <c r="E787" i="6"/>
  <c r="E786" i="6"/>
  <c r="E785" i="6"/>
  <c r="E784" i="6"/>
  <c r="E783" i="6"/>
  <c r="E782" i="6"/>
  <c r="E781" i="6"/>
  <c r="E780" i="6"/>
  <c r="E779" i="6"/>
  <c r="E778" i="6"/>
  <c r="E777" i="6"/>
  <c r="E776" i="6"/>
  <c r="E775" i="6"/>
  <c r="E774" i="6"/>
  <c r="E773" i="6"/>
  <c r="E772" i="6"/>
  <c r="E771" i="6"/>
  <c r="E770" i="6"/>
  <c r="E769" i="6"/>
  <c r="E768" i="6"/>
  <c r="E767" i="6"/>
  <c r="E766" i="6"/>
  <c r="E765" i="6"/>
  <c r="E764" i="6"/>
  <c r="E763" i="6"/>
  <c r="E762" i="6"/>
  <c r="E761" i="6"/>
  <c r="E760" i="6"/>
  <c r="E759" i="6"/>
  <c r="E758" i="6"/>
  <c r="E757" i="6"/>
  <c r="E756" i="6"/>
  <c r="E755" i="6"/>
  <c r="E754" i="6"/>
  <c r="E753" i="6"/>
  <c r="E752" i="6"/>
  <c r="E751" i="6"/>
  <c r="E750" i="6"/>
  <c r="E749" i="6"/>
  <c r="E748" i="6"/>
  <c r="E747" i="6"/>
  <c r="E746" i="6"/>
  <c r="E745" i="6"/>
  <c r="E744" i="6"/>
  <c r="E743" i="6"/>
  <c r="E742" i="6"/>
  <c r="E741" i="6"/>
  <c r="E740" i="6"/>
  <c r="E739" i="6"/>
  <c r="E738" i="6"/>
  <c r="E737" i="6"/>
  <c r="E736" i="6"/>
  <c r="E735" i="6"/>
  <c r="E734" i="6"/>
  <c r="E733" i="6"/>
  <c r="E732" i="6"/>
  <c r="E731" i="6"/>
  <c r="E730" i="6"/>
  <c r="E729" i="6"/>
  <c r="E728" i="6"/>
  <c r="E727" i="6"/>
  <c r="E726" i="6"/>
  <c r="E725" i="6"/>
  <c r="E724" i="6"/>
  <c r="E723" i="6"/>
  <c r="E722" i="6"/>
  <c r="E721" i="6"/>
  <c r="E720" i="6"/>
  <c r="E719" i="6"/>
  <c r="E718" i="6"/>
  <c r="E717" i="6"/>
  <c r="E716" i="6"/>
  <c r="E715" i="6"/>
  <c r="E714" i="6"/>
  <c r="E713" i="6"/>
  <c r="E712" i="6"/>
  <c r="E711" i="6"/>
  <c r="E710" i="6"/>
  <c r="E709" i="6"/>
  <c r="E708" i="6"/>
  <c r="E707" i="6"/>
  <c r="E706" i="6"/>
  <c r="E705" i="6"/>
  <c r="E704" i="6"/>
  <c r="E703" i="6"/>
  <c r="E702" i="6"/>
  <c r="E701" i="6"/>
  <c r="E700" i="6"/>
  <c r="E699" i="6"/>
  <c r="E698" i="6"/>
  <c r="E697" i="6"/>
  <c r="E696" i="6"/>
  <c r="E695" i="6"/>
  <c r="E694" i="6"/>
  <c r="E693" i="6"/>
  <c r="E692" i="6"/>
  <c r="E691" i="6"/>
  <c r="E690" i="6"/>
  <c r="E689" i="6"/>
  <c r="E688" i="6"/>
  <c r="E687" i="6"/>
  <c r="E686" i="6"/>
  <c r="E685" i="6"/>
  <c r="E684" i="6"/>
  <c r="E683" i="6"/>
  <c r="E682" i="6"/>
  <c r="E681" i="6"/>
  <c r="E680" i="6"/>
  <c r="E679" i="6"/>
  <c r="E678" i="6"/>
  <c r="E677" i="6"/>
  <c r="E676" i="6"/>
  <c r="E675" i="6"/>
  <c r="E674" i="6"/>
  <c r="E673" i="6"/>
  <c r="E672" i="6"/>
  <c r="E671" i="6"/>
  <c r="E670" i="6"/>
  <c r="E669" i="6"/>
  <c r="E668" i="6"/>
  <c r="E667" i="6"/>
  <c r="E666" i="6"/>
  <c r="E665" i="6"/>
  <c r="E664" i="6"/>
  <c r="E663" i="6"/>
  <c r="E662" i="6"/>
  <c r="E661" i="6"/>
  <c r="E660" i="6"/>
  <c r="E659" i="6"/>
  <c r="E658" i="6"/>
  <c r="E657" i="6"/>
  <c r="E656" i="6"/>
  <c r="E655" i="6"/>
  <c r="E654" i="6"/>
  <c r="E653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73" i="6"/>
  <c r="E59" i="6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L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L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L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L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L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L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L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L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L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L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L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L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L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L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L3151" i="6"/>
  <c r="F3151" i="6"/>
  <c r="G3151" i="6"/>
  <c r="H3151" i="6"/>
  <c r="I3151" i="6"/>
  <c r="J3151" i="6"/>
  <c r="A3152" i="6"/>
  <c r="B3152" i="6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L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C3158" i="6"/>
  <c r="L3158" i="6"/>
  <c r="F3158" i="6"/>
  <c r="G3158" i="6"/>
  <c r="H3158" i="6"/>
  <c r="I3158" i="6"/>
  <c r="J3158" i="6"/>
  <c r="A3159" i="6"/>
  <c r="B3159" i="6"/>
  <c r="C3159" i="6"/>
  <c r="L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L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L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L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L3175" i="6"/>
  <c r="F3175" i="6"/>
  <c r="G3175" i="6"/>
  <c r="H3175" i="6"/>
  <c r="I3175" i="6"/>
  <c r="J3175" i="6"/>
  <c r="A3176" i="6"/>
  <c r="B3176" i="6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L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L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L3217" i="6"/>
  <c r="F3217" i="6"/>
  <c r="G3217" i="6"/>
  <c r="H3217" i="6"/>
  <c r="I3217" i="6"/>
  <c r="J3217" i="6"/>
  <c r="A3218" i="6"/>
  <c r="B3218" i="6"/>
  <c r="C3218" i="6"/>
  <c r="L3218" i="6"/>
  <c r="F3218" i="6"/>
  <c r="G3218" i="6"/>
  <c r="H3218" i="6"/>
  <c r="I3218" i="6"/>
  <c r="J3218" i="6"/>
  <c r="A3219" i="6"/>
  <c r="B3219" i="6"/>
  <c r="K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L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C3229" i="6"/>
  <c r="L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L3236" i="6"/>
  <c r="F3236" i="6"/>
  <c r="G3236" i="6"/>
  <c r="H3236" i="6"/>
  <c r="I3236" i="6"/>
  <c r="J3236" i="6"/>
  <c r="A3237" i="6"/>
  <c r="B3237" i="6"/>
  <c r="C3237" i="6"/>
  <c r="L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L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L3244" i="6"/>
  <c r="F3244" i="6"/>
  <c r="G3244" i="6"/>
  <c r="H3244" i="6"/>
  <c r="I3244" i="6"/>
  <c r="J3244" i="6"/>
  <c r="A3245" i="6"/>
  <c r="B3245" i="6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L3249" i="6"/>
  <c r="F3249" i="6"/>
  <c r="G3249" i="6"/>
  <c r="H3249" i="6"/>
  <c r="I3249" i="6"/>
  <c r="J3249" i="6"/>
  <c r="A3250" i="6"/>
  <c r="B3250" i="6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L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L3276" i="6"/>
  <c r="F3276" i="6"/>
  <c r="G3276" i="6"/>
  <c r="H3276" i="6"/>
  <c r="I3276" i="6"/>
  <c r="J3276" i="6"/>
  <c r="A3277" i="6"/>
  <c r="B3277" i="6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C3297" i="6"/>
  <c r="L3297" i="6"/>
  <c r="F3297" i="6"/>
  <c r="G3297" i="6"/>
  <c r="H3297" i="6"/>
  <c r="I3297" i="6"/>
  <c r="J3297" i="6"/>
  <c r="A3298" i="6"/>
  <c r="B3298" i="6"/>
  <c r="C3298" i="6"/>
  <c r="L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L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L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L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L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L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L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L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L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L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L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L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L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L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L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L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L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L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L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L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L3383" i="6"/>
  <c r="F3383" i="6"/>
  <c r="G3383" i="6"/>
  <c r="H3383" i="6"/>
  <c r="I3383" i="6"/>
  <c r="J3383" i="6"/>
  <c r="A3384" i="6"/>
  <c r="B3384" i="6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L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C3397" i="6"/>
  <c r="L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L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L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L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L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L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L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L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L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L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L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L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L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L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L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L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L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L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L3591" i="6"/>
  <c r="F3591" i="6"/>
  <c r="G3591" i="6"/>
  <c r="H3591" i="6"/>
  <c r="I3591" i="6"/>
  <c r="J3591" i="6"/>
  <c r="A3592" i="6"/>
  <c r="B3592" i="6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L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L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L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L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L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L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L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L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L3668" i="6"/>
  <c r="F3668" i="6"/>
  <c r="G3668" i="6"/>
  <c r="H3668" i="6"/>
  <c r="I3668" i="6"/>
  <c r="J3668" i="6"/>
  <c r="A3669" i="6"/>
  <c r="B3669" i="6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L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L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L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L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L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L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L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L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L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L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L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L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L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L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L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L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L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L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L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L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L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L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L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L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L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L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L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L3938" i="6"/>
  <c r="F3938" i="6"/>
  <c r="G3938" i="6"/>
  <c r="H3938" i="6"/>
  <c r="I3938" i="6"/>
  <c r="J3938" i="6"/>
  <c r="A3939" i="6"/>
  <c r="B3939" i="6"/>
  <c r="C3939" i="6"/>
  <c r="L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L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L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L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L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L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L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L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L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L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L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L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L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L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L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L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L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L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L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L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L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L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L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L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L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L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L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L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L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L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L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L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L4063" i="6"/>
  <c r="F4063" i="6"/>
  <c r="G4063" i="6"/>
  <c r="H4063" i="6"/>
  <c r="I4063" i="6"/>
  <c r="J4063" i="6"/>
  <c r="A4064" i="6"/>
  <c r="B4064" i="6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L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L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L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L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L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L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L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L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L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L4123" i="6"/>
  <c r="F4123" i="6"/>
  <c r="G4123" i="6"/>
  <c r="H4123" i="6"/>
  <c r="I4123" i="6"/>
  <c r="J4123" i="6"/>
  <c r="A4124" i="6"/>
  <c r="B4124" i="6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L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L4135" i="6"/>
  <c r="F4135" i="6"/>
  <c r="G4135" i="6"/>
  <c r="H4135" i="6"/>
  <c r="I4135" i="6"/>
  <c r="J4135" i="6"/>
  <c r="A4136" i="6"/>
  <c r="B4136" i="6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L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L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L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L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L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L4195" i="6"/>
  <c r="F4195" i="6"/>
  <c r="G4195" i="6"/>
  <c r="H4195" i="6"/>
  <c r="I4195" i="6"/>
  <c r="J4195" i="6"/>
  <c r="A4196" i="6"/>
  <c r="B4196" i="6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L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L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L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L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L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L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L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L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L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L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L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L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L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L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L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L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L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L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L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L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L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L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L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L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L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L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L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L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L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L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L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L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L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L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L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L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L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L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L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L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L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L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L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L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L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L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L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L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L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L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L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L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L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L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L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L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L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L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L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L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L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L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L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L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L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L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L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L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L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L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337" i="6"/>
  <c r="K3226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71" i="6"/>
  <c r="K3239" i="6"/>
  <c r="K3231" i="6"/>
  <c r="K6840" i="6"/>
  <c r="K6801" i="6"/>
  <c r="K6741" i="6"/>
  <c r="K6433" i="6"/>
  <c r="M6429" i="6"/>
  <c r="L6396" i="6"/>
  <c r="K6260" i="6"/>
  <c r="K3358" i="6"/>
  <c r="K3342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387" i="6"/>
  <c r="K3315" i="6"/>
  <c r="K3202" i="6"/>
  <c r="K3197" i="6"/>
  <c r="K3195" i="6"/>
  <c r="K3187" i="6"/>
  <c r="K3344" i="6"/>
  <c r="K3166" i="6"/>
  <c r="K3365" i="6"/>
  <c r="K3303" i="6"/>
  <c r="K3205" i="6"/>
  <c r="K3370" i="6"/>
  <c r="K3362" i="6"/>
  <c r="K3157" i="6"/>
  <c r="K3374" i="6"/>
  <c r="K3393" i="6"/>
  <c r="K3332" i="6"/>
  <c r="K3277" i="6"/>
  <c r="K3275" i="6"/>
  <c r="K3214" i="6"/>
  <c r="K3206" i="6"/>
  <c r="K3313" i="6"/>
  <c r="K3174" i="6"/>
  <c r="K3396" i="6"/>
  <c r="K3306" i="6"/>
  <c r="K3262" i="6"/>
  <c r="K3357" i="6"/>
  <c r="K3222" i="6"/>
  <c r="K3215" i="6"/>
  <c r="K3173" i="6"/>
  <c r="K3284" i="6"/>
  <c r="K3232" i="6"/>
  <c r="K3401" i="6"/>
  <c r="K3340" i="6"/>
  <c r="K3311" i="6"/>
  <c r="K3298" i="6"/>
  <c r="K3290" i="6"/>
  <c r="K3252" i="6"/>
  <c r="K3165" i="6"/>
  <c r="K3295" i="6"/>
  <c r="K3227" i="6"/>
  <c r="K3162" i="6"/>
  <c r="K3377" i="6"/>
  <c r="K3329" i="6"/>
  <c r="K3307" i="6"/>
  <c r="K3177" i="6"/>
  <c r="K3378" i="6"/>
  <c r="K3330" i="6"/>
  <c r="K3230" i="6"/>
  <c r="K3223" i="6"/>
  <c r="K3203" i="6"/>
  <c r="K3190" i="6"/>
  <c r="K3150" i="6"/>
  <c r="K3144" i="6"/>
  <c r="K3385" i="6"/>
  <c r="K3349" i="6"/>
  <c r="K3322" i="6"/>
  <c r="K3266" i="6"/>
  <c r="K3259" i="6"/>
  <c r="K3245" i="6"/>
  <c r="K3243" i="6"/>
  <c r="K3169" i="6"/>
  <c r="K3145" i="6"/>
  <c r="K3404" i="6"/>
  <c r="K3361" i="6"/>
  <c r="K3333" i="6"/>
  <c r="K3299" i="6"/>
  <c r="K3280" i="6"/>
  <c r="K3263" i="6"/>
  <c r="K3235" i="6"/>
  <c r="K3189" i="6"/>
  <c r="K3149" i="6"/>
  <c r="K3381" i="6"/>
  <c r="K3366" i="6"/>
  <c r="K3348" i="6"/>
  <c r="K3346" i="6"/>
  <c r="K3153" i="6"/>
  <c r="K3148" i="6"/>
  <c r="K3146" i="6"/>
  <c r="K3345" i="6"/>
  <c r="K3338" i="6"/>
  <c r="K3291" i="6"/>
  <c r="K3246" i="6"/>
  <c r="K3198" i="6"/>
  <c r="K3194" i="6"/>
  <c r="K3178" i="6"/>
  <c r="K3154" i="6"/>
  <c r="K3400" i="6"/>
  <c r="K3398" i="6"/>
  <c r="K3388" i="6"/>
  <c r="K3382" i="6"/>
  <c r="K3323" i="6"/>
  <c r="K3321" i="6"/>
  <c r="K3316" i="6"/>
  <c r="K3309" i="6"/>
  <c r="K3289" i="6"/>
  <c r="K3287" i="6"/>
  <c r="K3267" i="6"/>
  <c r="K3257" i="6"/>
  <c r="K3255" i="6"/>
  <c r="K3242" i="6"/>
  <c r="K3211" i="6"/>
  <c r="K3201" i="6"/>
  <c r="K3199" i="6"/>
  <c r="K3185" i="6"/>
  <c r="K3183" i="6"/>
  <c r="K3161" i="6"/>
  <c r="K3039" i="6"/>
  <c r="K3403" i="6"/>
  <c r="K3375" i="6"/>
  <c r="K3373" i="6"/>
  <c r="K3369" i="6"/>
  <c r="K3352" i="6"/>
  <c r="K3350" i="6"/>
  <c r="K3328" i="6"/>
  <c r="K3326" i="6"/>
  <c r="K3310" i="6"/>
  <c r="K3294" i="6"/>
  <c r="K3279" i="6"/>
  <c r="K3247" i="6"/>
  <c r="K3236" i="6"/>
  <c r="K3218" i="6"/>
  <c r="K3182" i="6"/>
  <c r="K3164" i="6"/>
  <c r="K5224" i="6"/>
  <c r="K5168" i="6"/>
  <c r="K3397" i="6"/>
  <c r="K3390" i="6"/>
  <c r="K3356" i="6"/>
  <c r="K3354" i="6"/>
  <c r="K3341" i="6"/>
  <c r="K3318" i="6"/>
  <c r="K3286" i="6"/>
  <c r="K3272" i="6"/>
  <c r="K3258" i="6"/>
  <c r="K3254" i="6"/>
  <c r="K3221" i="6"/>
  <c r="K3193" i="6"/>
  <c r="K3191" i="6"/>
  <c r="K3158" i="6"/>
  <c r="K3395" i="6"/>
  <c r="K3391" i="6"/>
  <c r="K3389" i="6"/>
  <c r="K3353" i="6"/>
  <c r="K3336" i="6"/>
  <c r="K3334" i="6"/>
  <c r="K3325" i="6"/>
  <c r="K3319" i="6"/>
  <c r="K3302" i="6"/>
  <c r="K3300" i="6"/>
  <c r="K3285" i="6"/>
  <c r="K3283" i="6"/>
  <c r="K3270" i="6"/>
  <c r="K3265" i="6"/>
  <c r="K3253" i="6"/>
  <c r="K3251" i="6"/>
  <c r="K3209" i="6"/>
  <c r="K3207" i="6"/>
  <c r="K3181" i="6"/>
  <c r="K3156" i="6"/>
  <c r="K6074" i="6"/>
  <c r="K3399" i="6"/>
  <c r="K3386" i="6"/>
  <c r="K3364" i="6"/>
  <c r="K3360" i="6"/>
  <c r="K3339" i="6"/>
  <c r="K3335" i="6"/>
  <c r="K3331" i="6"/>
  <c r="K3327" i="6"/>
  <c r="K3314" i="6"/>
  <c r="K3301" i="6"/>
  <c r="K3297" i="6"/>
  <c r="K3293" i="6"/>
  <c r="K3288" i="6"/>
  <c r="K3261" i="6"/>
  <c r="K3256" i="6"/>
  <c r="K3234" i="6"/>
  <c r="K3217" i="6"/>
  <c r="K3213" i="6"/>
  <c r="K3160" i="6"/>
  <c r="K3152" i="6"/>
  <c r="K6073" i="6"/>
  <c r="K3372" i="6"/>
  <c r="K3368" i="6"/>
  <c r="M3368" i="6"/>
  <c r="K3355" i="6"/>
  <c r="K3347" i="6"/>
  <c r="K3343" i="6"/>
  <c r="K3292" i="6"/>
  <c r="K3274" i="6"/>
  <c r="K3260" i="6"/>
  <c r="K3238" i="6"/>
  <c r="K3212" i="6"/>
  <c r="K3204" i="6"/>
  <c r="K3188" i="6"/>
  <c r="K3184" i="6"/>
  <c r="K3168" i="6"/>
  <c r="K3147" i="6"/>
  <c r="K3143" i="6"/>
  <c r="K3406" i="6"/>
  <c r="K3402" i="6"/>
  <c r="K3394" i="6"/>
  <c r="K3376" i="6"/>
  <c r="K3363" i="6"/>
  <c r="K3359" i="6"/>
  <c r="K3304" i="6"/>
  <c r="K3296" i="6"/>
  <c r="K3278" i="6"/>
  <c r="K3269" i="6"/>
  <c r="K3264" i="6"/>
  <c r="K3233" i="6"/>
  <c r="K3229" i="6"/>
  <c r="K3220" i="6"/>
  <c r="K3216" i="6"/>
  <c r="K3159" i="6"/>
  <c r="K3155" i="6"/>
  <c r="K3151" i="6"/>
  <c r="K3351" i="6"/>
  <c r="K3305" i="6"/>
  <c r="K3225" i="6"/>
  <c r="K3208" i="6"/>
  <c r="K3200" i="6"/>
  <c r="K3196" i="6"/>
  <c r="K3192" i="6"/>
  <c r="K3180" i="6"/>
  <c r="K3176" i="6"/>
  <c r="K3172" i="6"/>
  <c r="K3384" i="6"/>
  <c r="K3380" i="6"/>
  <c r="K3371" i="6"/>
  <c r="K3367" i="6"/>
  <c r="K3317" i="6"/>
  <c r="K3312" i="6"/>
  <c r="K3308" i="6"/>
  <c r="K3282" i="6"/>
  <c r="K3273" i="6"/>
  <c r="K3268" i="6"/>
  <c r="K3250" i="6"/>
  <c r="K3241" i="6"/>
  <c r="K3237" i="6"/>
  <c r="K3228" i="6"/>
  <c r="K3224" i="6"/>
  <c r="K3179" i="6"/>
  <c r="K3175" i="6"/>
  <c r="K3171" i="6"/>
  <c r="K3167" i="6"/>
  <c r="K3163" i="6"/>
  <c r="K3392" i="6"/>
  <c r="K3383" i="6"/>
  <c r="K3379" i="6"/>
  <c r="K3324" i="6"/>
  <c r="K3320" i="6"/>
  <c r="K3281" i="6"/>
  <c r="K3276" i="6"/>
  <c r="K3249" i="6"/>
  <c r="K3244" i="6"/>
  <c r="K3240" i="6"/>
  <c r="K321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K4176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85" i="6"/>
  <c r="M4085" i="6"/>
  <c r="K4077" i="6"/>
  <c r="M4077" i="6"/>
  <c r="K4065" i="6"/>
  <c r="M4065" i="6"/>
  <c r="K4064" i="6"/>
  <c r="M4064" i="6"/>
  <c r="K3783" i="6"/>
  <c r="K3771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1" i="6"/>
  <c r="M3621" i="6"/>
  <c r="K3620" i="6"/>
  <c r="M3620" i="6"/>
  <c r="N3494" i="6"/>
  <c r="N3233" i="6"/>
  <c r="N3171" i="6"/>
  <c r="K3095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K3536" i="6"/>
  <c r="M3536" i="6"/>
  <c r="K3531" i="6"/>
  <c r="M3531" i="6"/>
  <c r="K3523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K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53" i="6"/>
  <c r="K4045" i="6"/>
  <c r="M4045" i="6"/>
  <c r="K4010" i="6"/>
  <c r="M4010" i="6"/>
  <c r="K3996" i="6"/>
  <c r="M3996" i="6"/>
  <c r="K3938" i="6"/>
  <c r="N3856" i="6"/>
  <c r="K3730" i="6"/>
  <c r="M3730" i="6"/>
  <c r="K366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4145" i="6"/>
  <c r="M4145" i="6"/>
  <c r="K4115" i="6"/>
  <c r="K3807" i="6"/>
  <c r="M3807" i="6"/>
  <c r="K3500" i="6"/>
  <c r="M3500" i="6"/>
  <c r="M3383" i="6"/>
  <c r="N3278" i="6"/>
  <c r="M3273" i="6"/>
  <c r="N3111" i="6"/>
  <c r="N5221" i="6"/>
  <c r="N3900" i="6"/>
  <c r="K3491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K3119" i="6"/>
  <c r="M3119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N4149" i="6"/>
  <c r="L4138" i="6"/>
  <c r="N4138" i="6"/>
  <c r="K4138" i="6"/>
  <c r="M4138" i="6"/>
  <c r="K4092" i="6"/>
  <c r="M4092" i="6"/>
  <c r="L4092" i="6"/>
  <c r="N4092" i="6"/>
  <c r="L4041" i="6"/>
  <c r="N4041" i="6"/>
  <c r="K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K3712" i="6"/>
  <c r="M3712" i="6"/>
  <c r="L3559" i="6"/>
  <c r="N3559" i="6"/>
  <c r="K3559" i="6"/>
  <c r="M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K3743" i="6"/>
  <c r="M3743" i="6"/>
  <c r="L3715" i="6"/>
  <c r="N3715" i="6"/>
  <c r="K3715" i="6"/>
  <c r="M3715" i="6"/>
  <c r="L3509" i="6"/>
  <c r="K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K3990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K358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K3511" i="6"/>
  <c r="M3511" i="6"/>
  <c r="K3508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K3051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K34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K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K4132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K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K3675" i="6"/>
  <c r="M3675" i="6"/>
  <c r="L3675" i="6"/>
  <c r="N3675" i="6"/>
  <c r="N3534" i="6"/>
  <c r="L3496" i="6"/>
  <c r="K3496" i="6"/>
  <c r="M3496" i="6"/>
  <c r="K345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K4018" i="6"/>
  <c r="M4018" i="6"/>
  <c r="K399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K3954" i="6"/>
  <c r="M3954" i="6"/>
  <c r="K3767" i="6"/>
  <c r="M3767" i="6"/>
  <c r="K368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K400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K3725" i="6"/>
  <c r="M3725" i="6"/>
  <c r="K3724" i="6"/>
  <c r="M3724" i="6"/>
  <c r="K3696" i="6"/>
  <c r="M3696" i="6"/>
  <c r="K3691" i="6"/>
  <c r="M3691" i="6"/>
  <c r="K3644" i="6"/>
  <c r="M3644" i="6"/>
  <c r="K3628" i="6"/>
  <c r="M3628" i="6"/>
  <c r="K3611" i="6"/>
  <c r="M3611" i="6"/>
  <c r="K3609" i="6"/>
  <c r="M3609" i="6"/>
  <c r="K3608" i="6"/>
  <c r="N3555" i="6"/>
  <c r="K3545" i="6"/>
  <c r="M3545" i="6"/>
  <c r="K3544" i="6"/>
  <c r="M3544" i="6"/>
  <c r="K3532" i="6"/>
  <c r="M3532" i="6"/>
  <c r="K3515" i="6"/>
  <c r="M3515" i="6"/>
  <c r="N3462" i="6"/>
  <c r="K3452" i="6"/>
  <c r="M3452" i="6"/>
  <c r="K343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K4101" i="6"/>
  <c r="M4101" i="6"/>
  <c r="L4101" i="6"/>
  <c r="N4101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K3431" i="6"/>
  <c r="M3431" i="6"/>
  <c r="L3431" i="6"/>
  <c r="N3431" i="6"/>
  <c r="K3428" i="6"/>
  <c r="M3428" i="6"/>
  <c r="L3428" i="6"/>
  <c r="N3428" i="6"/>
  <c r="K3411" i="6"/>
  <c r="M3411" i="6"/>
  <c r="L3411" i="6"/>
  <c r="N3411" i="6"/>
  <c r="K3088" i="6"/>
  <c r="M3088" i="6"/>
  <c r="L3088" i="6"/>
  <c r="N3088" i="6"/>
  <c r="L3044" i="6"/>
  <c r="N3044" i="6"/>
  <c r="K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K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K3779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L4105" i="6"/>
  <c r="N4105" i="6"/>
  <c r="K4105" i="6"/>
  <c r="M4105" i="6"/>
  <c r="N3896" i="6"/>
  <c r="K3886" i="6"/>
  <c r="M3886" i="6"/>
  <c r="L3886" i="6"/>
  <c r="N3886" i="6"/>
  <c r="L3859" i="6"/>
  <c r="N3859" i="6"/>
  <c r="K3859" i="6"/>
  <c r="M3859" i="6"/>
  <c r="L3688" i="6"/>
  <c r="N3688" i="6"/>
  <c r="K3688" i="6"/>
  <c r="M3688" i="6"/>
  <c r="L3676" i="6"/>
  <c r="N3676" i="6"/>
  <c r="K3676" i="6"/>
  <c r="M3676" i="6"/>
  <c r="N3649" i="6"/>
  <c r="K3643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K3759" i="6"/>
  <c r="M3759" i="6"/>
  <c r="K3735" i="6"/>
  <c r="M3735" i="6"/>
  <c r="K3723" i="6"/>
  <c r="M3723" i="6"/>
  <c r="K3721" i="6"/>
  <c r="M3721" i="6"/>
  <c r="K3720" i="6"/>
  <c r="M3720" i="6"/>
  <c r="K3695" i="6"/>
  <c r="M3695" i="6"/>
  <c r="K3692" i="6"/>
  <c r="M3692" i="6"/>
  <c r="K3684" i="6"/>
  <c r="M3684" i="6"/>
  <c r="K3651" i="6"/>
  <c r="M3651" i="6"/>
  <c r="L3651" i="6"/>
  <c r="N3651" i="6"/>
  <c r="K3627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K3513" i="6"/>
  <c r="M3513" i="6"/>
  <c r="L3453" i="6"/>
  <c r="N3453" i="6"/>
  <c r="K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K4124" i="6"/>
  <c r="M4124" i="6"/>
  <c r="K410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K4017" i="6"/>
  <c r="M4017" i="6"/>
  <c r="L4010" i="6"/>
  <c r="N4010" i="6"/>
  <c r="K4009" i="6"/>
  <c r="M4009" i="6"/>
  <c r="K4000" i="6"/>
  <c r="M4000" i="6"/>
  <c r="K3992" i="6"/>
  <c r="M3992" i="6"/>
  <c r="K3984" i="6"/>
  <c r="M3984" i="6"/>
  <c r="K3957" i="6"/>
  <c r="M3957" i="6"/>
  <c r="K3920" i="6"/>
  <c r="M3920" i="6"/>
  <c r="K3917" i="6"/>
  <c r="M3917" i="6"/>
  <c r="K3860" i="6"/>
  <c r="M3860" i="6"/>
  <c r="N3767" i="6"/>
  <c r="K3763" i="6"/>
  <c r="M3763" i="6"/>
  <c r="K3717" i="6"/>
  <c r="M3717" i="6"/>
  <c r="L3656" i="6"/>
  <c r="N3656" i="6"/>
  <c r="K3656" i="6"/>
  <c r="M3656" i="6"/>
  <c r="K3635" i="6"/>
  <c r="M3635" i="6"/>
  <c r="L3635" i="6"/>
  <c r="N3635" i="6"/>
  <c r="L3616" i="6"/>
  <c r="N3616" i="6"/>
  <c r="K3616" i="6"/>
  <c r="M3616" i="6"/>
  <c r="L3575" i="6"/>
  <c r="N3575" i="6"/>
  <c r="K3575" i="6"/>
  <c r="M3575" i="6"/>
  <c r="K3549" i="6"/>
  <c r="M3549" i="6"/>
  <c r="L3549" i="6"/>
  <c r="N3549" i="6"/>
  <c r="K3495" i="6"/>
  <c r="M3495" i="6"/>
  <c r="L3495" i="6"/>
  <c r="N3495" i="6"/>
  <c r="L3489" i="6"/>
  <c r="N3489" i="6"/>
  <c r="K3489" i="6"/>
  <c r="M3489" i="6"/>
  <c r="L3419" i="6"/>
  <c r="N3419" i="6"/>
  <c r="K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K4149" i="6"/>
  <c r="M4149" i="6"/>
  <c r="K4140" i="6"/>
  <c r="M4140" i="6"/>
  <c r="K4137" i="6"/>
  <c r="M4137" i="6"/>
  <c r="K4136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K4056" i="6"/>
  <c r="M4056" i="6"/>
  <c r="L4045" i="6"/>
  <c r="N4045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73" i="6"/>
  <c r="M3973" i="6"/>
  <c r="K3965" i="6"/>
  <c r="M3965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K3659" i="6"/>
  <c r="M3659" i="6"/>
  <c r="L3659" i="6"/>
  <c r="N3659" i="6"/>
  <c r="L3640" i="6"/>
  <c r="N3640" i="6"/>
  <c r="K3640" i="6"/>
  <c r="M3640" i="6"/>
  <c r="L3619" i="6"/>
  <c r="N3619" i="6"/>
  <c r="K3619" i="6"/>
  <c r="M3619" i="6"/>
  <c r="K359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K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K3132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K3657" i="6"/>
  <c r="M3657" i="6"/>
  <c r="K3655" i="6"/>
  <c r="M3655" i="6"/>
  <c r="K3647" i="6"/>
  <c r="M3647" i="6"/>
  <c r="K3641" i="6"/>
  <c r="M3641" i="6"/>
  <c r="K3639" i="6"/>
  <c r="M3639" i="6"/>
  <c r="K3631" i="6"/>
  <c r="M3631" i="6"/>
  <c r="K3625" i="6"/>
  <c r="M3625" i="6"/>
  <c r="K3623" i="6"/>
  <c r="M3623" i="6"/>
  <c r="K3617" i="6"/>
  <c r="M3617" i="6"/>
  <c r="K3605" i="6"/>
  <c r="M3605" i="6"/>
  <c r="N3579" i="6"/>
  <c r="K3519" i="6"/>
  <c r="M3519" i="6"/>
  <c r="K3514" i="6"/>
  <c r="M3514" i="6"/>
  <c r="L3508" i="6"/>
  <c r="N3508" i="6"/>
  <c r="K3507" i="6"/>
  <c r="M3507" i="6"/>
  <c r="K3498" i="6"/>
  <c r="M3498" i="6"/>
  <c r="L3473" i="6"/>
  <c r="N3473" i="6"/>
  <c r="K3473" i="6"/>
  <c r="M3473" i="6"/>
  <c r="K3454" i="6"/>
  <c r="M3454" i="6"/>
  <c r="N3442" i="6"/>
  <c r="K3434" i="6"/>
  <c r="M3434" i="6"/>
  <c r="L3417" i="6"/>
  <c r="N3417" i="6"/>
  <c r="K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1" i="6"/>
  <c r="M3541" i="6"/>
  <c r="K3540" i="6"/>
  <c r="M3540" i="6"/>
  <c r="K3535" i="6"/>
  <c r="M3535" i="6"/>
  <c r="L3532" i="6"/>
  <c r="N3532" i="6"/>
  <c r="K3520" i="6"/>
  <c r="M3520" i="6"/>
  <c r="K3516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K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K3048" i="6"/>
  <c r="M3048" i="6"/>
  <c r="K3043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K3685" i="6"/>
  <c r="M3685" i="6"/>
  <c r="L3685" i="6"/>
  <c r="N368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K3937" i="6"/>
  <c r="M3937" i="6"/>
  <c r="L3937" i="6"/>
  <c r="N3937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K4069" i="6"/>
  <c r="M4069" i="6"/>
  <c r="K3940" i="6"/>
  <c r="M3940" i="6"/>
  <c r="K3929" i="6"/>
  <c r="M3929" i="6"/>
  <c r="L3929" i="6"/>
  <c r="N3929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K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K4133" i="6"/>
  <c r="M4133" i="6"/>
  <c r="L4093" i="6"/>
  <c r="N4093" i="6"/>
  <c r="K4093" i="6"/>
  <c r="M4093" i="6"/>
  <c r="L4073" i="6"/>
  <c r="N4073" i="6"/>
  <c r="K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K4141" i="6"/>
  <c r="M4141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97" i="6"/>
  <c r="N4097" i="6"/>
  <c r="K4097" i="6"/>
  <c r="M4097" i="6"/>
  <c r="L4060" i="6"/>
  <c r="N4060" i="6"/>
  <c r="K4060" i="6"/>
  <c r="M4060" i="6"/>
  <c r="L4038" i="6"/>
  <c r="N4038" i="6"/>
  <c r="K4038" i="6"/>
  <c r="M4038" i="6"/>
  <c r="N4035" i="6"/>
  <c r="N4027" i="6"/>
  <c r="K3953" i="6"/>
  <c r="M3953" i="6"/>
  <c r="L3953" i="6"/>
  <c r="N3953" i="6"/>
  <c r="L3607" i="6"/>
  <c r="N3607" i="6"/>
  <c r="K3607" i="6"/>
  <c r="M3607" i="6"/>
  <c r="L3525" i="6"/>
  <c r="N3525" i="6"/>
  <c r="K3525" i="6"/>
  <c r="M3525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K3952" i="6"/>
  <c r="M3952" i="6"/>
  <c r="K3941" i="6"/>
  <c r="M3941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K3677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K3410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K3125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K4147" i="6"/>
  <c r="M4147" i="6"/>
  <c r="K4111" i="6"/>
  <c r="M4111" i="6"/>
  <c r="N4089" i="6"/>
  <c r="K4037" i="6"/>
  <c r="M4037" i="6"/>
  <c r="N4031" i="6"/>
  <c r="N4030" i="6"/>
  <c r="K4021" i="6"/>
  <c r="M4021" i="6"/>
  <c r="N4015" i="6"/>
  <c r="K4005" i="6"/>
  <c r="M400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K3697" i="6"/>
  <c r="M3697" i="6"/>
  <c r="L3697" i="6"/>
  <c r="N3697" i="6"/>
  <c r="K3681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K3933" i="6"/>
  <c r="M3933" i="6"/>
  <c r="K3925" i="6"/>
  <c r="M3925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K3653" i="6"/>
  <c r="M3653" i="6"/>
  <c r="K3637" i="6"/>
  <c r="M3637" i="6"/>
  <c r="N3611" i="6"/>
  <c r="N3603" i="6"/>
  <c r="K3526" i="6"/>
  <c r="M3526" i="6"/>
  <c r="N3452" i="6"/>
  <c r="K342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33" i="6"/>
  <c r="M4033" i="6"/>
  <c r="K4029" i="6"/>
  <c r="M4029" i="6"/>
  <c r="K4025" i="6"/>
  <c r="M4025" i="6"/>
  <c r="K4020" i="6"/>
  <c r="M4020" i="6"/>
  <c r="L4017" i="6"/>
  <c r="N4017" i="6"/>
  <c r="K4016" i="6"/>
  <c r="M4016" i="6"/>
  <c r="L4013" i="6"/>
  <c r="N4013" i="6"/>
  <c r="K4012" i="6"/>
  <c r="M4012" i="6"/>
  <c r="L4009" i="6"/>
  <c r="N4009" i="6"/>
  <c r="N4007" i="6"/>
  <c r="K4001" i="6"/>
  <c r="M4001" i="6"/>
  <c r="K3997" i="6"/>
  <c r="M3997" i="6"/>
  <c r="K3993" i="6"/>
  <c r="M3993" i="6"/>
  <c r="K3989" i="6"/>
  <c r="M3989" i="6"/>
  <c r="K3985" i="6"/>
  <c r="M3985" i="6"/>
  <c r="K3981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K3921" i="6"/>
  <c r="M3921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K3719" i="6"/>
  <c r="M3719" i="6"/>
  <c r="K3711" i="6"/>
  <c r="M3711" i="6"/>
  <c r="K3665" i="6"/>
  <c r="M3665" i="6"/>
  <c r="N3665" i="6"/>
  <c r="K3664" i="6"/>
  <c r="M3664" i="6"/>
  <c r="L3657" i="6"/>
  <c r="N3657" i="6"/>
  <c r="N3655" i="6"/>
  <c r="K3649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K3600" i="6"/>
  <c r="M3600" i="6"/>
  <c r="K3597" i="6"/>
  <c r="M3597" i="6"/>
  <c r="K3596" i="6"/>
  <c r="M3596" i="6"/>
  <c r="K3593" i="6"/>
  <c r="M3593" i="6"/>
  <c r="K3592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K3457" i="6"/>
  <c r="M3457" i="6"/>
  <c r="K3442" i="6"/>
  <c r="M3442" i="6"/>
  <c r="K3441" i="6"/>
  <c r="M3441" i="6"/>
  <c r="K3439" i="6"/>
  <c r="M3439" i="6"/>
  <c r="N3436" i="6"/>
  <c r="N3432" i="6"/>
  <c r="K3430" i="6"/>
  <c r="M3430" i="6"/>
  <c r="K3429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K3486" i="6"/>
  <c r="M3486" i="6"/>
  <c r="K3485" i="6"/>
  <c r="M3485" i="6"/>
  <c r="K3470" i="6"/>
  <c r="M3470" i="6"/>
  <c r="K3469" i="6"/>
  <c r="M3469" i="6"/>
  <c r="L3466" i="6"/>
  <c r="N3466" i="6"/>
  <c r="K3462" i="6"/>
  <c r="M3462" i="6"/>
  <c r="K3461" i="6"/>
  <c r="M3461" i="6"/>
  <c r="L3454" i="6"/>
  <c r="N3454" i="6"/>
  <c r="K3450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K3945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K3669" i="6"/>
  <c r="M3669" i="6"/>
  <c r="K3668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K3581" i="6"/>
  <c r="M3581" i="6"/>
  <c r="K3580" i="6"/>
  <c r="M3580" i="6"/>
  <c r="K3577" i="6"/>
  <c r="M3577" i="6"/>
  <c r="K3576" i="6"/>
  <c r="M3576" i="6"/>
  <c r="K3573" i="6"/>
  <c r="M3573" i="6"/>
  <c r="K3572" i="6"/>
  <c r="M3572" i="6"/>
  <c r="K3569" i="6"/>
  <c r="M3569" i="6"/>
  <c r="K3568" i="6"/>
  <c r="M3568" i="6"/>
  <c r="K3565" i="6"/>
  <c r="M3565" i="6"/>
  <c r="K3564" i="6"/>
  <c r="M3564" i="6"/>
  <c r="K3561" i="6"/>
  <c r="M3561" i="6"/>
  <c r="K3560" i="6"/>
  <c r="M3560" i="6"/>
  <c r="K3557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K3112" i="6"/>
  <c r="M3112" i="6"/>
  <c r="K3109" i="6"/>
  <c r="M3109" i="6"/>
  <c r="K3108" i="6"/>
  <c r="M3108" i="6"/>
  <c r="K3105" i="6"/>
  <c r="M3105" i="6"/>
  <c r="K3104" i="6"/>
  <c r="M3104" i="6"/>
  <c r="K3101" i="6"/>
  <c r="M3101" i="6"/>
  <c r="K3100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K3913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K3999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K3901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K3869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2" i="6"/>
  <c r="M2" i="6"/>
  <c r="K3" i="6"/>
  <c r="M3" i="6"/>
  <c r="K4" i="6"/>
  <c r="M4" i="6"/>
  <c r="K5" i="6"/>
  <c r="M5" i="6"/>
  <c r="K6" i="6"/>
  <c r="M6" i="6"/>
  <c r="K7" i="6"/>
  <c r="M7" i="6"/>
  <c r="K8" i="6"/>
  <c r="M8" i="6"/>
  <c r="K9" i="6"/>
  <c r="M9" i="6"/>
  <c r="K10" i="6"/>
  <c r="M10" i="6"/>
  <c r="K11" i="6"/>
  <c r="M11" i="6"/>
  <c r="K12" i="6"/>
  <c r="M12" i="6"/>
  <c r="K13" i="6"/>
  <c r="M13" i="6"/>
  <c r="K14" i="6"/>
  <c r="M14" i="6"/>
  <c r="K15" i="6"/>
  <c r="M15" i="6"/>
  <c r="K16" i="6"/>
  <c r="M16" i="6"/>
  <c r="K17" i="6"/>
  <c r="M17" i="6"/>
  <c r="K18" i="6"/>
  <c r="M18" i="6"/>
  <c r="K19" i="6"/>
  <c r="M19" i="6"/>
  <c r="K20" i="6"/>
  <c r="M20" i="6"/>
  <c r="K21" i="6"/>
  <c r="M21" i="6"/>
  <c r="K22" i="6"/>
  <c r="M22" i="6"/>
  <c r="K23" i="6"/>
  <c r="M23" i="6"/>
  <c r="K24" i="6"/>
  <c r="M24" i="6"/>
  <c r="K25" i="6"/>
  <c r="M25" i="6"/>
  <c r="K26" i="6"/>
  <c r="M26" i="6"/>
  <c r="K27" i="6"/>
  <c r="M27" i="6"/>
  <c r="K28" i="6"/>
  <c r="M28" i="6"/>
  <c r="K29" i="6"/>
  <c r="M29" i="6"/>
  <c r="K30" i="6"/>
  <c r="M30" i="6"/>
  <c r="K31" i="6"/>
  <c r="M31" i="6"/>
  <c r="K32" i="6"/>
  <c r="M32" i="6"/>
  <c r="K33" i="6"/>
  <c r="M33" i="6"/>
  <c r="K34" i="6"/>
  <c r="M34" i="6"/>
  <c r="K35" i="6"/>
  <c r="M35" i="6"/>
  <c r="K36" i="6"/>
  <c r="M36" i="6"/>
  <c r="K37" i="6"/>
  <c r="M37" i="6"/>
  <c r="K38" i="6"/>
  <c r="M38" i="6"/>
  <c r="K39" i="6"/>
  <c r="M39" i="6"/>
  <c r="K40" i="6"/>
  <c r="M40" i="6"/>
  <c r="K41" i="6"/>
  <c r="M41" i="6"/>
  <c r="K42" i="6"/>
  <c r="M42" i="6"/>
  <c r="K43" i="6"/>
  <c r="M43" i="6"/>
  <c r="K44" i="6"/>
  <c r="M44" i="6"/>
  <c r="K45" i="6"/>
  <c r="M45" i="6"/>
  <c r="K46" i="6"/>
  <c r="M46" i="6"/>
  <c r="K47" i="6"/>
  <c r="M47" i="6"/>
  <c r="K48" i="6"/>
  <c r="M48" i="6"/>
  <c r="K49" i="6"/>
  <c r="M49" i="6"/>
  <c r="K50" i="6"/>
  <c r="M50" i="6"/>
  <c r="K51" i="6"/>
  <c r="M51" i="6"/>
  <c r="K52" i="6"/>
  <c r="M52" i="6"/>
  <c r="K53" i="6"/>
  <c r="M53" i="6"/>
  <c r="K54" i="6"/>
  <c r="M54" i="6"/>
  <c r="K55" i="6"/>
  <c r="M55" i="6"/>
  <c r="K56" i="6"/>
  <c r="M56" i="6"/>
  <c r="K57" i="6"/>
  <c r="M57" i="6"/>
  <c r="K58" i="6"/>
  <c r="M58" i="6"/>
  <c r="K59" i="6"/>
  <c r="M59" i="6"/>
  <c r="K60" i="6"/>
  <c r="M60" i="6"/>
  <c r="K61" i="6"/>
  <c r="M61" i="6"/>
  <c r="K62" i="6"/>
  <c r="M62" i="6"/>
  <c r="K63" i="6"/>
  <c r="M63" i="6"/>
  <c r="K64" i="6"/>
  <c r="M64" i="6"/>
  <c r="K65" i="6"/>
  <c r="M65" i="6"/>
  <c r="K66" i="6"/>
  <c r="M66" i="6"/>
  <c r="K67" i="6"/>
  <c r="M67" i="6"/>
  <c r="K68" i="6"/>
  <c r="M68" i="6"/>
  <c r="K69" i="6"/>
  <c r="M69" i="6"/>
  <c r="K70" i="6"/>
  <c r="M70" i="6"/>
  <c r="K71" i="6"/>
  <c r="M71" i="6"/>
  <c r="K72" i="6"/>
  <c r="M72" i="6"/>
  <c r="K73" i="6"/>
  <c r="M73" i="6"/>
  <c r="K74" i="6"/>
  <c r="M74" i="6"/>
  <c r="K75" i="6"/>
  <c r="M75" i="6"/>
  <c r="K76" i="6"/>
  <c r="M76" i="6"/>
  <c r="K77" i="6"/>
  <c r="M77" i="6"/>
  <c r="K78" i="6"/>
  <c r="M78" i="6"/>
  <c r="K79" i="6"/>
  <c r="M79" i="6"/>
  <c r="K80" i="6"/>
  <c r="M80" i="6"/>
  <c r="K81" i="6"/>
  <c r="M81" i="6"/>
  <c r="K82" i="6"/>
  <c r="M82" i="6"/>
  <c r="K83" i="6"/>
  <c r="M83" i="6"/>
  <c r="K84" i="6"/>
  <c r="M84" i="6"/>
  <c r="K85" i="6"/>
  <c r="M85" i="6"/>
  <c r="K86" i="6"/>
  <c r="M86" i="6"/>
  <c r="K87" i="6"/>
  <c r="M87" i="6"/>
  <c r="K88" i="6"/>
  <c r="M88" i="6"/>
  <c r="K89" i="6"/>
  <c r="M89" i="6"/>
  <c r="K90" i="6"/>
  <c r="M90" i="6"/>
  <c r="K91" i="6"/>
  <c r="M91" i="6"/>
  <c r="K92" i="6"/>
  <c r="M92" i="6"/>
  <c r="K93" i="6"/>
  <c r="M93" i="6"/>
  <c r="K94" i="6"/>
  <c r="M94" i="6"/>
  <c r="K95" i="6"/>
  <c r="M95" i="6"/>
  <c r="K96" i="6"/>
  <c r="M96" i="6"/>
  <c r="K97" i="6"/>
  <c r="M97" i="6"/>
  <c r="K98" i="6"/>
  <c r="M98" i="6"/>
  <c r="K99" i="6"/>
  <c r="M99" i="6"/>
  <c r="K100" i="6"/>
  <c r="M100" i="6"/>
  <c r="K101" i="6"/>
  <c r="M101" i="6"/>
  <c r="K102" i="6"/>
  <c r="M102" i="6"/>
  <c r="K103" i="6"/>
  <c r="M103" i="6"/>
  <c r="K104" i="6"/>
  <c r="M104" i="6"/>
  <c r="K105" i="6"/>
  <c r="M105" i="6"/>
  <c r="K106" i="6"/>
  <c r="M106" i="6"/>
  <c r="K107" i="6"/>
  <c r="M107" i="6"/>
  <c r="K108" i="6"/>
  <c r="M108" i="6"/>
  <c r="K109" i="6"/>
  <c r="M109" i="6"/>
  <c r="K110" i="6"/>
  <c r="M110" i="6"/>
  <c r="K111" i="6"/>
  <c r="M111" i="6"/>
  <c r="K112" i="6"/>
  <c r="M112" i="6"/>
  <c r="K113" i="6"/>
  <c r="M113" i="6"/>
  <c r="K114" i="6"/>
  <c r="M114" i="6"/>
  <c r="K115" i="6"/>
  <c r="M115" i="6"/>
  <c r="K116" i="6"/>
  <c r="M116" i="6"/>
  <c r="K117" i="6"/>
  <c r="M117" i="6"/>
  <c r="K118" i="6"/>
  <c r="M118" i="6"/>
  <c r="K119" i="6"/>
  <c r="M119" i="6"/>
  <c r="K120" i="6"/>
  <c r="M120" i="6"/>
  <c r="K121" i="6"/>
  <c r="M121" i="6"/>
  <c r="K122" i="6"/>
  <c r="M122" i="6"/>
  <c r="K123" i="6"/>
  <c r="M123" i="6"/>
  <c r="K124" i="6"/>
  <c r="M124" i="6"/>
  <c r="K125" i="6"/>
  <c r="M125" i="6"/>
  <c r="K126" i="6"/>
  <c r="M126" i="6"/>
  <c r="K127" i="6"/>
  <c r="M127" i="6"/>
  <c r="K128" i="6"/>
  <c r="M128" i="6"/>
  <c r="K129" i="6"/>
  <c r="M129" i="6"/>
  <c r="K130" i="6"/>
  <c r="M130" i="6"/>
  <c r="K131" i="6"/>
  <c r="M131" i="6"/>
  <c r="K132" i="6"/>
  <c r="M132" i="6"/>
  <c r="K133" i="6"/>
  <c r="M133" i="6"/>
  <c r="K134" i="6"/>
  <c r="M134" i="6"/>
  <c r="K135" i="6"/>
  <c r="M135" i="6"/>
  <c r="K136" i="6"/>
  <c r="M136" i="6"/>
  <c r="K137" i="6"/>
  <c r="M137" i="6"/>
  <c r="K138" i="6"/>
  <c r="M138" i="6"/>
  <c r="K139" i="6"/>
  <c r="M139" i="6"/>
  <c r="K140" i="6"/>
  <c r="M140" i="6"/>
  <c r="K141" i="6"/>
  <c r="M141" i="6"/>
  <c r="K142" i="6"/>
  <c r="M142" i="6"/>
  <c r="K143" i="6"/>
  <c r="M143" i="6"/>
  <c r="K144" i="6"/>
  <c r="M144" i="6"/>
  <c r="K145" i="6"/>
  <c r="M145" i="6"/>
  <c r="K146" i="6"/>
  <c r="M146" i="6"/>
  <c r="K147" i="6"/>
  <c r="M147" i="6"/>
  <c r="K148" i="6"/>
  <c r="M148" i="6"/>
  <c r="K149" i="6"/>
  <c r="M149" i="6"/>
  <c r="K150" i="6"/>
  <c r="M150" i="6"/>
  <c r="K151" i="6"/>
  <c r="M151" i="6"/>
  <c r="K152" i="6"/>
  <c r="M152" i="6"/>
  <c r="K153" i="6"/>
  <c r="M153" i="6"/>
  <c r="K154" i="6"/>
  <c r="M154" i="6"/>
  <c r="K155" i="6"/>
  <c r="M155" i="6"/>
  <c r="K156" i="6"/>
  <c r="M156" i="6"/>
  <c r="K157" i="6"/>
  <c r="M157" i="6"/>
  <c r="K158" i="6"/>
  <c r="M158" i="6"/>
  <c r="K159" i="6"/>
  <c r="M159" i="6"/>
  <c r="K160" i="6"/>
  <c r="M160" i="6"/>
  <c r="K161" i="6"/>
  <c r="M161" i="6"/>
  <c r="K162" i="6"/>
  <c r="M162" i="6"/>
  <c r="K163" i="6"/>
  <c r="M163" i="6"/>
  <c r="K164" i="6"/>
  <c r="M164" i="6"/>
  <c r="K165" i="6"/>
  <c r="M165" i="6"/>
  <c r="K166" i="6"/>
  <c r="M166" i="6"/>
  <c r="K167" i="6"/>
  <c r="M167" i="6"/>
  <c r="K168" i="6"/>
  <c r="M168" i="6"/>
  <c r="K169" i="6"/>
  <c r="M169" i="6"/>
  <c r="K170" i="6"/>
  <c r="M170" i="6"/>
  <c r="K171" i="6"/>
  <c r="M171" i="6"/>
  <c r="K172" i="6"/>
  <c r="M172" i="6"/>
  <c r="K173" i="6"/>
  <c r="M173" i="6"/>
  <c r="K174" i="6"/>
  <c r="M174" i="6"/>
  <c r="K175" i="6"/>
  <c r="M175" i="6"/>
  <c r="K176" i="6"/>
  <c r="M176" i="6"/>
  <c r="K177" i="6"/>
  <c r="M177" i="6"/>
  <c r="K178" i="6"/>
  <c r="M178" i="6"/>
  <c r="K179" i="6"/>
  <c r="M179" i="6"/>
  <c r="K180" i="6"/>
  <c r="M180" i="6"/>
  <c r="K181" i="6"/>
  <c r="M181" i="6"/>
  <c r="K182" i="6"/>
  <c r="M182" i="6"/>
  <c r="K183" i="6"/>
  <c r="M183" i="6"/>
  <c r="K184" i="6"/>
  <c r="M184" i="6"/>
  <c r="K185" i="6"/>
  <c r="M185" i="6"/>
  <c r="K186" i="6"/>
  <c r="M186" i="6"/>
  <c r="K187" i="6"/>
  <c r="M187" i="6"/>
  <c r="K188" i="6"/>
  <c r="M188" i="6"/>
  <c r="K189" i="6"/>
  <c r="M189" i="6"/>
  <c r="K190" i="6"/>
  <c r="M190" i="6"/>
  <c r="K191" i="6"/>
  <c r="M191" i="6"/>
  <c r="K192" i="6"/>
  <c r="M192" i="6"/>
  <c r="K193" i="6"/>
  <c r="M193" i="6"/>
  <c r="K194" i="6"/>
  <c r="M194" i="6"/>
  <c r="K195" i="6"/>
  <c r="M195" i="6"/>
  <c r="K196" i="6"/>
  <c r="M196" i="6"/>
  <c r="K197" i="6"/>
  <c r="M197" i="6"/>
  <c r="K198" i="6"/>
  <c r="M198" i="6"/>
  <c r="K199" i="6"/>
  <c r="M199" i="6"/>
  <c r="K200" i="6"/>
  <c r="M200" i="6"/>
  <c r="K201" i="6"/>
  <c r="M201" i="6"/>
  <c r="K202" i="6"/>
  <c r="M202" i="6"/>
  <c r="K203" i="6"/>
  <c r="M203" i="6"/>
  <c r="K204" i="6"/>
  <c r="M204" i="6"/>
  <c r="K205" i="6"/>
  <c r="M205" i="6"/>
  <c r="K206" i="6"/>
  <c r="M206" i="6"/>
  <c r="K207" i="6"/>
  <c r="M207" i="6"/>
  <c r="K208" i="6"/>
  <c r="M208" i="6"/>
  <c r="K209" i="6"/>
  <c r="M209" i="6"/>
  <c r="K210" i="6"/>
  <c r="M210" i="6"/>
  <c r="K211" i="6"/>
  <c r="M211" i="6"/>
  <c r="K212" i="6"/>
  <c r="M212" i="6"/>
  <c r="K213" i="6"/>
  <c r="M213" i="6"/>
  <c r="K214" i="6"/>
  <c r="M214" i="6"/>
  <c r="K215" i="6"/>
  <c r="M215" i="6"/>
  <c r="K216" i="6"/>
  <c r="M216" i="6"/>
  <c r="K217" i="6"/>
  <c r="M217" i="6"/>
  <c r="K218" i="6"/>
  <c r="M218" i="6"/>
  <c r="K219" i="6"/>
  <c r="M219" i="6"/>
  <c r="K220" i="6"/>
  <c r="M220" i="6"/>
  <c r="K221" i="6"/>
  <c r="M221" i="6"/>
  <c r="K222" i="6"/>
  <c r="M222" i="6"/>
  <c r="K223" i="6"/>
  <c r="M223" i="6"/>
  <c r="K224" i="6"/>
  <c r="M224" i="6"/>
  <c r="K225" i="6"/>
  <c r="M225" i="6"/>
  <c r="K226" i="6"/>
  <c r="M226" i="6"/>
  <c r="K227" i="6"/>
  <c r="M227" i="6"/>
  <c r="K228" i="6"/>
  <c r="M228" i="6"/>
  <c r="K229" i="6"/>
  <c r="M229" i="6"/>
  <c r="K230" i="6"/>
  <c r="M230" i="6"/>
  <c r="K231" i="6"/>
  <c r="M231" i="6"/>
  <c r="K232" i="6"/>
  <c r="M232" i="6"/>
  <c r="K233" i="6"/>
  <c r="M233" i="6"/>
  <c r="K234" i="6"/>
  <c r="M234" i="6"/>
  <c r="K235" i="6"/>
  <c r="M235" i="6"/>
  <c r="K236" i="6"/>
  <c r="M236" i="6"/>
  <c r="K237" i="6"/>
  <c r="M237" i="6"/>
  <c r="K238" i="6"/>
  <c r="M238" i="6"/>
  <c r="K239" i="6"/>
  <c r="M239" i="6"/>
  <c r="K240" i="6"/>
  <c r="M240" i="6"/>
  <c r="K241" i="6"/>
  <c r="M241" i="6"/>
  <c r="K242" i="6"/>
  <c r="M242" i="6"/>
  <c r="K243" i="6"/>
  <c r="M243" i="6"/>
  <c r="K244" i="6"/>
  <c r="M244" i="6"/>
  <c r="K245" i="6"/>
  <c r="M245" i="6"/>
  <c r="K246" i="6"/>
  <c r="M246" i="6"/>
  <c r="K247" i="6"/>
  <c r="M247" i="6"/>
  <c r="K248" i="6"/>
  <c r="M248" i="6"/>
  <c r="K249" i="6"/>
  <c r="M249" i="6"/>
  <c r="K250" i="6"/>
  <c r="M250" i="6"/>
  <c r="K251" i="6"/>
  <c r="M251" i="6"/>
  <c r="K252" i="6"/>
  <c r="M252" i="6"/>
  <c r="K253" i="6"/>
  <c r="M253" i="6"/>
  <c r="K254" i="6"/>
  <c r="M254" i="6"/>
  <c r="K255" i="6"/>
  <c r="M255" i="6"/>
  <c r="K256" i="6"/>
  <c r="M256" i="6"/>
  <c r="K257" i="6"/>
  <c r="M257" i="6"/>
  <c r="K258" i="6"/>
  <c r="M258" i="6"/>
  <c r="K259" i="6"/>
  <c r="M259" i="6"/>
  <c r="K260" i="6"/>
  <c r="M260" i="6"/>
  <c r="K261" i="6"/>
  <c r="M261" i="6"/>
  <c r="K262" i="6"/>
  <c r="M262" i="6"/>
  <c r="K263" i="6"/>
  <c r="M263" i="6"/>
  <c r="K264" i="6"/>
  <c r="M264" i="6"/>
  <c r="K265" i="6"/>
  <c r="M265" i="6"/>
  <c r="K266" i="6"/>
  <c r="M266" i="6"/>
  <c r="K267" i="6"/>
  <c r="M267" i="6"/>
  <c r="K268" i="6"/>
  <c r="M268" i="6"/>
  <c r="K269" i="6"/>
  <c r="M269" i="6"/>
  <c r="K270" i="6"/>
  <c r="M270" i="6"/>
  <c r="K271" i="6"/>
  <c r="M271" i="6"/>
  <c r="K272" i="6"/>
  <c r="M272" i="6"/>
  <c r="K273" i="6"/>
  <c r="M273" i="6"/>
  <c r="K274" i="6"/>
  <c r="M274" i="6"/>
  <c r="K275" i="6"/>
  <c r="M275" i="6"/>
  <c r="K276" i="6"/>
  <c r="M276" i="6"/>
  <c r="K277" i="6"/>
  <c r="M277" i="6"/>
  <c r="K278" i="6"/>
  <c r="M278" i="6"/>
  <c r="K279" i="6"/>
  <c r="M279" i="6"/>
  <c r="K280" i="6"/>
  <c r="M280" i="6"/>
  <c r="K281" i="6"/>
  <c r="M281" i="6"/>
  <c r="K282" i="6"/>
  <c r="M282" i="6"/>
  <c r="K283" i="6"/>
  <c r="M283" i="6"/>
  <c r="K284" i="6"/>
  <c r="M284" i="6"/>
  <c r="K285" i="6"/>
  <c r="M285" i="6"/>
  <c r="K286" i="6"/>
  <c r="M286" i="6"/>
  <c r="K287" i="6"/>
  <c r="M287" i="6"/>
  <c r="K288" i="6"/>
  <c r="M288" i="6"/>
  <c r="K289" i="6"/>
  <c r="M289" i="6"/>
  <c r="K290" i="6"/>
  <c r="M290" i="6"/>
  <c r="K291" i="6"/>
  <c r="M291" i="6"/>
  <c r="K292" i="6"/>
  <c r="M292" i="6"/>
  <c r="K293" i="6"/>
  <c r="M293" i="6"/>
  <c r="K294" i="6"/>
  <c r="M294" i="6"/>
  <c r="K295" i="6"/>
  <c r="M295" i="6"/>
  <c r="K296" i="6"/>
  <c r="M296" i="6"/>
  <c r="K297" i="6"/>
  <c r="M297" i="6"/>
  <c r="K298" i="6"/>
  <c r="M298" i="6"/>
  <c r="K299" i="6"/>
  <c r="M299" i="6"/>
  <c r="K300" i="6"/>
  <c r="M300" i="6"/>
  <c r="K301" i="6"/>
  <c r="M301" i="6"/>
  <c r="K302" i="6"/>
  <c r="M302" i="6"/>
  <c r="K303" i="6"/>
  <c r="M303" i="6"/>
  <c r="K304" i="6"/>
  <c r="M304" i="6"/>
  <c r="K305" i="6"/>
  <c r="M305" i="6"/>
  <c r="K306" i="6"/>
  <c r="M306" i="6"/>
  <c r="K307" i="6"/>
  <c r="M307" i="6"/>
  <c r="K308" i="6"/>
  <c r="M308" i="6"/>
  <c r="K309" i="6"/>
  <c r="M309" i="6"/>
  <c r="K310" i="6"/>
  <c r="M310" i="6"/>
  <c r="K311" i="6"/>
  <c r="M311" i="6"/>
  <c r="K312" i="6"/>
  <c r="M312" i="6"/>
  <c r="K313" i="6"/>
  <c r="M313" i="6"/>
  <c r="K314" i="6"/>
  <c r="M314" i="6"/>
  <c r="K315" i="6"/>
  <c r="M315" i="6"/>
  <c r="K316" i="6"/>
  <c r="M316" i="6"/>
  <c r="K317" i="6"/>
  <c r="M317" i="6"/>
  <c r="K318" i="6"/>
  <c r="M318" i="6"/>
  <c r="K319" i="6"/>
  <c r="M319" i="6"/>
  <c r="K320" i="6"/>
  <c r="M320" i="6"/>
  <c r="K321" i="6"/>
  <c r="M321" i="6"/>
  <c r="K322" i="6"/>
  <c r="M322" i="6"/>
  <c r="K323" i="6"/>
  <c r="M323" i="6"/>
  <c r="K324" i="6"/>
  <c r="M324" i="6"/>
  <c r="K325" i="6"/>
  <c r="M325" i="6"/>
  <c r="K326" i="6"/>
  <c r="M326" i="6"/>
  <c r="K327" i="6"/>
  <c r="M327" i="6"/>
  <c r="K328" i="6"/>
  <c r="M328" i="6"/>
  <c r="K329" i="6"/>
  <c r="M329" i="6"/>
  <c r="K330" i="6"/>
  <c r="M330" i="6"/>
  <c r="K331" i="6"/>
  <c r="M331" i="6"/>
  <c r="K332" i="6"/>
  <c r="M332" i="6"/>
  <c r="K333" i="6"/>
  <c r="M333" i="6"/>
  <c r="K334" i="6"/>
  <c r="M334" i="6"/>
  <c r="K335" i="6"/>
  <c r="M335" i="6"/>
  <c r="K336" i="6"/>
  <c r="M336" i="6"/>
  <c r="K337" i="6"/>
  <c r="M337" i="6"/>
  <c r="K338" i="6"/>
  <c r="M338" i="6"/>
  <c r="K339" i="6"/>
  <c r="M339" i="6"/>
  <c r="K340" i="6"/>
  <c r="M340" i="6"/>
  <c r="K341" i="6"/>
  <c r="M341" i="6"/>
  <c r="K342" i="6"/>
  <c r="M342" i="6"/>
  <c r="K343" i="6"/>
  <c r="M343" i="6"/>
  <c r="K344" i="6"/>
  <c r="M344" i="6"/>
  <c r="K345" i="6"/>
  <c r="M345" i="6"/>
  <c r="K346" i="6"/>
  <c r="M346" i="6"/>
  <c r="K347" i="6"/>
  <c r="M347" i="6"/>
  <c r="K348" i="6"/>
  <c r="M348" i="6"/>
  <c r="K349" i="6"/>
  <c r="M349" i="6"/>
  <c r="K350" i="6"/>
  <c r="M350" i="6"/>
  <c r="K351" i="6"/>
  <c r="M351" i="6"/>
  <c r="K352" i="6"/>
  <c r="M352" i="6"/>
  <c r="K353" i="6"/>
  <c r="M353" i="6"/>
  <c r="K354" i="6"/>
  <c r="M354" i="6"/>
  <c r="K355" i="6"/>
  <c r="M355" i="6"/>
  <c r="K356" i="6"/>
  <c r="M356" i="6"/>
  <c r="K357" i="6"/>
  <c r="M357" i="6"/>
  <c r="K358" i="6"/>
  <c r="M358" i="6"/>
  <c r="K359" i="6"/>
  <c r="M359" i="6"/>
  <c r="K360" i="6"/>
  <c r="M360" i="6"/>
  <c r="K361" i="6"/>
  <c r="M361" i="6"/>
  <c r="K362" i="6"/>
  <c r="M362" i="6"/>
  <c r="K363" i="6"/>
  <c r="M363" i="6"/>
  <c r="K364" i="6"/>
  <c r="M364" i="6"/>
  <c r="K365" i="6"/>
  <c r="M365" i="6"/>
  <c r="K366" i="6"/>
  <c r="M366" i="6"/>
  <c r="K367" i="6"/>
  <c r="M367" i="6"/>
  <c r="K368" i="6"/>
  <c r="M368" i="6"/>
  <c r="K369" i="6"/>
  <c r="M369" i="6"/>
  <c r="K370" i="6"/>
  <c r="M370" i="6"/>
  <c r="K371" i="6"/>
  <c r="M371" i="6"/>
  <c r="K372" i="6"/>
  <c r="M372" i="6"/>
  <c r="K373" i="6"/>
  <c r="M373" i="6"/>
  <c r="K374" i="6"/>
  <c r="M374" i="6"/>
  <c r="K375" i="6"/>
  <c r="M375" i="6"/>
  <c r="K376" i="6"/>
  <c r="M376" i="6"/>
  <c r="K377" i="6"/>
  <c r="M377" i="6"/>
  <c r="K378" i="6"/>
  <c r="M378" i="6"/>
  <c r="K379" i="6"/>
  <c r="M379" i="6"/>
  <c r="K380" i="6"/>
  <c r="M380" i="6"/>
  <c r="K381" i="6"/>
  <c r="M381" i="6"/>
  <c r="K382" i="6"/>
  <c r="M382" i="6"/>
  <c r="K383" i="6"/>
  <c r="M383" i="6"/>
  <c r="K384" i="6"/>
  <c r="M384" i="6"/>
  <c r="K385" i="6"/>
  <c r="M385" i="6"/>
  <c r="K386" i="6"/>
  <c r="M386" i="6"/>
  <c r="K387" i="6"/>
  <c r="M387" i="6"/>
  <c r="K388" i="6"/>
  <c r="M388" i="6"/>
  <c r="K389" i="6"/>
  <c r="M389" i="6"/>
  <c r="K390" i="6"/>
  <c r="M390" i="6"/>
  <c r="K391" i="6"/>
  <c r="M391" i="6"/>
  <c r="K392" i="6"/>
  <c r="M392" i="6"/>
  <c r="K393" i="6"/>
  <c r="M393" i="6"/>
  <c r="K394" i="6"/>
  <c r="M394" i="6"/>
  <c r="K395" i="6"/>
  <c r="M395" i="6"/>
  <c r="K396" i="6"/>
  <c r="M396" i="6"/>
  <c r="K397" i="6"/>
  <c r="M397" i="6"/>
  <c r="K398" i="6"/>
  <c r="M398" i="6"/>
  <c r="K399" i="6"/>
  <c r="M399" i="6"/>
  <c r="K400" i="6"/>
  <c r="M400" i="6"/>
  <c r="K401" i="6"/>
  <c r="M401" i="6"/>
  <c r="K402" i="6"/>
  <c r="M402" i="6"/>
  <c r="K403" i="6"/>
  <c r="M403" i="6"/>
  <c r="K404" i="6"/>
  <c r="M404" i="6"/>
  <c r="K405" i="6"/>
  <c r="M405" i="6"/>
  <c r="K406" i="6"/>
  <c r="M406" i="6"/>
  <c r="K407" i="6"/>
  <c r="M407" i="6"/>
  <c r="K408" i="6"/>
  <c r="M408" i="6"/>
  <c r="K409" i="6"/>
  <c r="M409" i="6"/>
  <c r="K410" i="6"/>
  <c r="M410" i="6"/>
  <c r="K411" i="6"/>
  <c r="M411" i="6"/>
  <c r="K412" i="6"/>
  <c r="M412" i="6"/>
  <c r="K413" i="6"/>
  <c r="M413" i="6"/>
  <c r="K414" i="6"/>
  <c r="M414" i="6"/>
  <c r="K415" i="6"/>
  <c r="M415" i="6"/>
  <c r="K416" i="6"/>
  <c r="M416" i="6"/>
  <c r="K417" i="6"/>
  <c r="M417" i="6"/>
  <c r="K418" i="6"/>
  <c r="M418" i="6"/>
  <c r="K419" i="6"/>
  <c r="M419" i="6"/>
  <c r="K420" i="6"/>
  <c r="M420" i="6"/>
  <c r="K421" i="6"/>
  <c r="M421" i="6"/>
  <c r="K422" i="6"/>
  <c r="M422" i="6"/>
  <c r="K423" i="6"/>
  <c r="M423" i="6"/>
  <c r="K424" i="6"/>
  <c r="M424" i="6"/>
  <c r="K425" i="6"/>
  <c r="M425" i="6"/>
  <c r="K426" i="6"/>
  <c r="M426" i="6"/>
  <c r="K427" i="6"/>
  <c r="M427" i="6"/>
  <c r="K428" i="6"/>
  <c r="M428" i="6"/>
  <c r="K429" i="6"/>
  <c r="M429" i="6"/>
  <c r="K430" i="6"/>
  <c r="M430" i="6"/>
  <c r="K431" i="6"/>
  <c r="M431" i="6"/>
  <c r="K432" i="6"/>
  <c r="M432" i="6"/>
  <c r="K433" i="6"/>
  <c r="M433" i="6"/>
  <c r="K434" i="6"/>
  <c r="M434" i="6"/>
  <c r="K435" i="6"/>
  <c r="M435" i="6"/>
  <c r="K436" i="6"/>
  <c r="M436" i="6"/>
  <c r="K437" i="6"/>
  <c r="M437" i="6"/>
  <c r="K438" i="6"/>
  <c r="M438" i="6"/>
  <c r="K439" i="6"/>
  <c r="M439" i="6"/>
  <c r="K440" i="6"/>
  <c r="M440" i="6"/>
  <c r="K441" i="6"/>
  <c r="M441" i="6"/>
  <c r="K442" i="6"/>
  <c r="M442" i="6"/>
  <c r="K443" i="6"/>
  <c r="M443" i="6"/>
  <c r="K444" i="6"/>
  <c r="M444" i="6"/>
  <c r="K445" i="6"/>
  <c r="M445" i="6"/>
  <c r="K446" i="6"/>
  <c r="M446" i="6"/>
  <c r="K447" i="6"/>
  <c r="M447" i="6"/>
  <c r="K448" i="6"/>
  <c r="M448" i="6"/>
  <c r="K449" i="6"/>
  <c r="M449" i="6"/>
  <c r="K450" i="6"/>
  <c r="M450" i="6"/>
  <c r="K451" i="6"/>
  <c r="M451" i="6"/>
  <c r="K452" i="6"/>
  <c r="M452" i="6"/>
  <c r="K453" i="6"/>
  <c r="M453" i="6"/>
  <c r="K454" i="6"/>
  <c r="M454" i="6"/>
  <c r="K455" i="6"/>
  <c r="M455" i="6"/>
  <c r="K456" i="6"/>
  <c r="M456" i="6"/>
  <c r="K457" i="6"/>
  <c r="M457" i="6"/>
  <c r="K458" i="6"/>
  <c r="M458" i="6"/>
  <c r="K459" i="6"/>
  <c r="M459" i="6"/>
  <c r="K460" i="6"/>
  <c r="M460" i="6"/>
  <c r="K461" i="6"/>
  <c r="M461" i="6"/>
  <c r="K462" i="6"/>
  <c r="M462" i="6"/>
  <c r="K463" i="6"/>
  <c r="M463" i="6"/>
  <c r="K464" i="6"/>
  <c r="M464" i="6"/>
  <c r="K465" i="6"/>
  <c r="M465" i="6"/>
  <c r="K466" i="6"/>
  <c r="M466" i="6"/>
  <c r="K467" i="6"/>
  <c r="M467" i="6"/>
  <c r="K468" i="6"/>
  <c r="M468" i="6"/>
  <c r="K469" i="6"/>
  <c r="M469" i="6"/>
  <c r="K470" i="6"/>
  <c r="M470" i="6"/>
  <c r="K471" i="6"/>
  <c r="M471" i="6"/>
  <c r="K472" i="6"/>
  <c r="M472" i="6"/>
  <c r="K473" i="6"/>
  <c r="M473" i="6"/>
  <c r="K474" i="6"/>
  <c r="M474" i="6"/>
  <c r="K475" i="6"/>
  <c r="M475" i="6"/>
  <c r="K476" i="6"/>
  <c r="M476" i="6"/>
  <c r="K477" i="6"/>
  <c r="M477" i="6"/>
  <c r="K478" i="6"/>
  <c r="M478" i="6"/>
  <c r="K479" i="6"/>
  <c r="M479" i="6"/>
  <c r="K480" i="6"/>
  <c r="M480" i="6"/>
  <c r="K481" i="6"/>
  <c r="M481" i="6"/>
  <c r="K482" i="6"/>
  <c r="M482" i="6"/>
  <c r="K483" i="6"/>
  <c r="M483" i="6"/>
  <c r="K484" i="6"/>
  <c r="M484" i="6"/>
  <c r="K485" i="6"/>
  <c r="M485" i="6"/>
  <c r="K486" i="6"/>
  <c r="M486" i="6"/>
  <c r="K487" i="6"/>
  <c r="M487" i="6"/>
  <c r="K488" i="6"/>
  <c r="M488" i="6"/>
  <c r="K489" i="6"/>
  <c r="M489" i="6"/>
  <c r="K490" i="6"/>
  <c r="M490" i="6"/>
  <c r="K491" i="6"/>
  <c r="M491" i="6"/>
  <c r="K492" i="6"/>
  <c r="M492" i="6"/>
  <c r="K493" i="6"/>
  <c r="M493" i="6"/>
  <c r="K494" i="6"/>
  <c r="M494" i="6"/>
  <c r="K495" i="6"/>
  <c r="M495" i="6"/>
  <c r="K496" i="6"/>
  <c r="M496" i="6"/>
  <c r="K497" i="6"/>
  <c r="M497" i="6"/>
  <c r="K498" i="6"/>
  <c r="M498" i="6"/>
  <c r="K499" i="6"/>
  <c r="M499" i="6"/>
  <c r="K500" i="6"/>
  <c r="M500" i="6"/>
  <c r="K501" i="6"/>
  <c r="M501" i="6"/>
  <c r="K502" i="6"/>
  <c r="M502" i="6"/>
  <c r="K503" i="6"/>
  <c r="M503" i="6"/>
  <c r="K504" i="6"/>
  <c r="M504" i="6"/>
  <c r="K505" i="6"/>
  <c r="M505" i="6"/>
  <c r="K506" i="6"/>
  <c r="M506" i="6"/>
  <c r="K507" i="6"/>
  <c r="M507" i="6"/>
  <c r="K508" i="6"/>
  <c r="M508" i="6"/>
  <c r="K509" i="6"/>
  <c r="M509" i="6"/>
  <c r="K510" i="6"/>
  <c r="M510" i="6"/>
  <c r="K511" i="6"/>
  <c r="M511" i="6"/>
  <c r="K512" i="6"/>
  <c r="M512" i="6"/>
  <c r="K513" i="6"/>
  <c r="M513" i="6"/>
  <c r="K514" i="6"/>
  <c r="M514" i="6"/>
  <c r="K515" i="6"/>
  <c r="M515" i="6"/>
  <c r="K516" i="6"/>
  <c r="M516" i="6"/>
  <c r="K517" i="6"/>
  <c r="M517" i="6"/>
  <c r="K518" i="6"/>
  <c r="M518" i="6"/>
  <c r="K519" i="6"/>
  <c r="M519" i="6"/>
  <c r="K520" i="6"/>
  <c r="M520" i="6"/>
  <c r="K521" i="6"/>
  <c r="M521" i="6"/>
  <c r="K522" i="6"/>
  <c r="M522" i="6"/>
  <c r="K523" i="6"/>
  <c r="M523" i="6"/>
  <c r="K524" i="6"/>
  <c r="M524" i="6"/>
  <c r="K525" i="6"/>
  <c r="M525" i="6"/>
  <c r="K526" i="6"/>
  <c r="M526" i="6"/>
  <c r="K527" i="6"/>
  <c r="M527" i="6"/>
  <c r="K528" i="6"/>
  <c r="M528" i="6"/>
  <c r="K529" i="6"/>
  <c r="M529" i="6"/>
  <c r="K530" i="6"/>
  <c r="M530" i="6"/>
  <c r="K531" i="6"/>
  <c r="M531" i="6"/>
  <c r="K532" i="6"/>
  <c r="M532" i="6"/>
  <c r="K533" i="6"/>
  <c r="M533" i="6"/>
  <c r="K534" i="6"/>
  <c r="M534" i="6"/>
  <c r="K535" i="6"/>
  <c r="M535" i="6"/>
  <c r="K536" i="6"/>
  <c r="M536" i="6"/>
  <c r="K537" i="6"/>
  <c r="M537" i="6"/>
  <c r="K538" i="6"/>
  <c r="M538" i="6"/>
  <c r="K539" i="6"/>
  <c r="M539" i="6"/>
  <c r="K540" i="6"/>
  <c r="M540" i="6"/>
  <c r="K541" i="6"/>
  <c r="M541" i="6"/>
  <c r="K542" i="6"/>
  <c r="M542" i="6"/>
  <c r="K543" i="6"/>
  <c r="M543" i="6"/>
  <c r="K544" i="6"/>
  <c r="M544" i="6"/>
  <c r="K545" i="6"/>
  <c r="M545" i="6"/>
  <c r="K546" i="6"/>
  <c r="M546" i="6"/>
  <c r="K547" i="6"/>
  <c r="M547" i="6"/>
  <c r="K548" i="6"/>
  <c r="M548" i="6"/>
  <c r="K549" i="6"/>
  <c r="M549" i="6"/>
  <c r="K550" i="6"/>
  <c r="M550" i="6"/>
  <c r="K551" i="6"/>
  <c r="M551" i="6"/>
  <c r="K552" i="6"/>
  <c r="M552" i="6"/>
  <c r="K553" i="6"/>
  <c r="M553" i="6"/>
  <c r="K554" i="6"/>
  <c r="M554" i="6"/>
  <c r="K555" i="6"/>
  <c r="M555" i="6"/>
  <c r="K556" i="6"/>
  <c r="M556" i="6"/>
  <c r="K557" i="6"/>
  <c r="M557" i="6"/>
  <c r="K558" i="6"/>
  <c r="M558" i="6"/>
  <c r="K559" i="6"/>
  <c r="M559" i="6"/>
  <c r="K560" i="6"/>
  <c r="M560" i="6"/>
  <c r="K561" i="6"/>
  <c r="M561" i="6"/>
  <c r="K562" i="6"/>
  <c r="M562" i="6"/>
  <c r="K563" i="6"/>
  <c r="M563" i="6"/>
  <c r="K564" i="6"/>
  <c r="M564" i="6"/>
  <c r="K565" i="6"/>
  <c r="M565" i="6"/>
  <c r="K566" i="6"/>
  <c r="M566" i="6"/>
  <c r="K567" i="6"/>
  <c r="M567" i="6"/>
  <c r="K568" i="6"/>
  <c r="M568" i="6"/>
  <c r="K569" i="6"/>
  <c r="M569" i="6"/>
  <c r="K570" i="6"/>
  <c r="M570" i="6"/>
  <c r="K571" i="6"/>
  <c r="M571" i="6"/>
  <c r="K572" i="6"/>
  <c r="M572" i="6"/>
  <c r="K573" i="6"/>
  <c r="M573" i="6"/>
  <c r="K574" i="6"/>
  <c r="M574" i="6"/>
  <c r="K575" i="6"/>
  <c r="M575" i="6"/>
  <c r="K576" i="6"/>
  <c r="M576" i="6"/>
  <c r="K577" i="6"/>
  <c r="M577" i="6"/>
  <c r="K578" i="6"/>
  <c r="M578" i="6"/>
  <c r="K579" i="6"/>
  <c r="M579" i="6"/>
  <c r="K580" i="6"/>
  <c r="M580" i="6"/>
  <c r="K581" i="6"/>
  <c r="M581" i="6"/>
  <c r="K582" i="6"/>
  <c r="M582" i="6"/>
  <c r="K583" i="6"/>
  <c r="M583" i="6"/>
  <c r="K584" i="6"/>
  <c r="M584" i="6"/>
  <c r="K585" i="6"/>
  <c r="M585" i="6"/>
  <c r="K586" i="6"/>
  <c r="M586" i="6"/>
  <c r="K587" i="6"/>
  <c r="M587" i="6"/>
  <c r="K588" i="6"/>
  <c r="M588" i="6"/>
  <c r="K589" i="6"/>
  <c r="M589" i="6"/>
  <c r="K590" i="6"/>
  <c r="M590" i="6"/>
  <c r="K591" i="6"/>
  <c r="M591" i="6"/>
  <c r="K592" i="6"/>
  <c r="M592" i="6"/>
  <c r="K593" i="6"/>
  <c r="M593" i="6"/>
  <c r="K594" i="6"/>
  <c r="M594" i="6"/>
  <c r="K595" i="6"/>
  <c r="M595" i="6"/>
  <c r="K596" i="6"/>
  <c r="M596" i="6"/>
  <c r="K597" i="6"/>
  <c r="M597" i="6"/>
  <c r="K598" i="6"/>
  <c r="M598" i="6"/>
  <c r="K599" i="6"/>
  <c r="M599" i="6"/>
  <c r="K600" i="6"/>
  <c r="M600" i="6"/>
  <c r="K601" i="6"/>
  <c r="M601" i="6"/>
  <c r="K602" i="6"/>
  <c r="M602" i="6"/>
  <c r="K603" i="6"/>
  <c r="M603" i="6"/>
  <c r="K604" i="6"/>
  <c r="M604" i="6"/>
  <c r="K605" i="6"/>
  <c r="M605" i="6"/>
  <c r="K606" i="6"/>
  <c r="M606" i="6"/>
  <c r="K607" i="6"/>
  <c r="M607" i="6"/>
  <c r="K608" i="6"/>
  <c r="M608" i="6"/>
  <c r="K609" i="6"/>
  <c r="M609" i="6"/>
  <c r="K610" i="6"/>
  <c r="M610" i="6"/>
  <c r="K611" i="6"/>
  <c r="M611" i="6"/>
  <c r="K612" i="6"/>
  <c r="M612" i="6"/>
  <c r="K613" i="6"/>
  <c r="M613" i="6"/>
  <c r="K614" i="6"/>
  <c r="M614" i="6"/>
  <c r="K615" i="6"/>
  <c r="M615" i="6"/>
  <c r="K616" i="6"/>
  <c r="M616" i="6"/>
  <c r="K617" i="6"/>
  <c r="M617" i="6"/>
  <c r="K618" i="6"/>
  <c r="M618" i="6"/>
  <c r="K619" i="6"/>
  <c r="M619" i="6"/>
  <c r="K620" i="6"/>
  <c r="M620" i="6"/>
  <c r="K621" i="6"/>
  <c r="M621" i="6"/>
  <c r="K622" i="6"/>
  <c r="M622" i="6"/>
  <c r="K623" i="6"/>
  <c r="M623" i="6"/>
  <c r="K624" i="6"/>
  <c r="M624" i="6"/>
  <c r="K625" i="6"/>
  <c r="M625" i="6"/>
  <c r="K626" i="6"/>
  <c r="M626" i="6"/>
  <c r="K627" i="6"/>
  <c r="M627" i="6"/>
  <c r="K628" i="6"/>
  <c r="M628" i="6"/>
  <c r="K629" i="6"/>
  <c r="M629" i="6"/>
  <c r="K630" i="6"/>
  <c r="M630" i="6"/>
  <c r="K631" i="6"/>
  <c r="M631" i="6"/>
  <c r="K632" i="6"/>
  <c r="M632" i="6"/>
  <c r="K633" i="6"/>
  <c r="M633" i="6"/>
  <c r="K634" i="6"/>
  <c r="M634" i="6"/>
  <c r="K635" i="6"/>
  <c r="M635" i="6"/>
  <c r="K636" i="6"/>
  <c r="M636" i="6"/>
  <c r="K637" i="6"/>
  <c r="M637" i="6"/>
  <c r="K638" i="6"/>
  <c r="M638" i="6"/>
  <c r="K639" i="6"/>
  <c r="M639" i="6"/>
  <c r="K640" i="6"/>
  <c r="M640" i="6"/>
  <c r="K641" i="6"/>
  <c r="M641" i="6"/>
  <c r="K642" i="6"/>
  <c r="M642" i="6"/>
  <c r="K643" i="6"/>
  <c r="M643" i="6"/>
  <c r="K644" i="6"/>
  <c r="M644" i="6"/>
  <c r="K645" i="6"/>
  <c r="M645" i="6"/>
  <c r="K646" i="6"/>
  <c r="M646" i="6"/>
  <c r="K647" i="6"/>
  <c r="M647" i="6"/>
  <c r="K648" i="6"/>
  <c r="M648" i="6"/>
  <c r="K649" i="6"/>
  <c r="M649" i="6"/>
  <c r="K650" i="6"/>
  <c r="M650" i="6"/>
  <c r="K651" i="6"/>
  <c r="M651" i="6"/>
  <c r="K652" i="6"/>
  <c r="M652" i="6"/>
  <c r="K653" i="6"/>
  <c r="M653" i="6"/>
  <c r="K654" i="6"/>
  <c r="M654" i="6"/>
  <c r="K655" i="6"/>
  <c r="M655" i="6"/>
  <c r="K656" i="6"/>
  <c r="M656" i="6"/>
  <c r="K657" i="6"/>
  <c r="M657" i="6"/>
  <c r="K658" i="6"/>
  <c r="M658" i="6"/>
  <c r="K659" i="6"/>
  <c r="M659" i="6"/>
  <c r="K660" i="6"/>
  <c r="M660" i="6"/>
  <c r="K661" i="6"/>
  <c r="M661" i="6"/>
  <c r="K662" i="6"/>
  <c r="M662" i="6"/>
  <c r="K663" i="6"/>
  <c r="M663" i="6"/>
  <c r="K664" i="6"/>
  <c r="M664" i="6"/>
  <c r="K665" i="6"/>
  <c r="M665" i="6"/>
  <c r="K666" i="6"/>
  <c r="M666" i="6"/>
  <c r="K667" i="6"/>
  <c r="M667" i="6"/>
  <c r="K668" i="6"/>
  <c r="M668" i="6"/>
  <c r="K669" i="6"/>
  <c r="M669" i="6"/>
  <c r="K670" i="6"/>
  <c r="M670" i="6"/>
  <c r="K671" i="6"/>
  <c r="M671" i="6"/>
  <c r="K672" i="6"/>
  <c r="M672" i="6"/>
  <c r="K673" i="6"/>
  <c r="M673" i="6"/>
  <c r="K674" i="6"/>
  <c r="M674" i="6"/>
  <c r="K675" i="6"/>
  <c r="M675" i="6"/>
  <c r="K676" i="6"/>
  <c r="M676" i="6"/>
  <c r="K677" i="6"/>
  <c r="M677" i="6"/>
  <c r="K678" i="6"/>
  <c r="M678" i="6"/>
  <c r="K679" i="6"/>
  <c r="M679" i="6"/>
  <c r="K680" i="6"/>
  <c r="M680" i="6"/>
  <c r="K681" i="6"/>
  <c r="M681" i="6"/>
  <c r="K682" i="6"/>
  <c r="M682" i="6"/>
  <c r="K683" i="6"/>
  <c r="M683" i="6"/>
  <c r="K684" i="6"/>
  <c r="M684" i="6"/>
  <c r="K685" i="6"/>
  <c r="M685" i="6"/>
  <c r="K686" i="6"/>
  <c r="M686" i="6"/>
  <c r="K687" i="6"/>
  <c r="M687" i="6"/>
  <c r="K688" i="6"/>
  <c r="M688" i="6"/>
  <c r="K689" i="6"/>
  <c r="M689" i="6"/>
  <c r="K690" i="6"/>
  <c r="M690" i="6"/>
  <c r="K691" i="6"/>
  <c r="M691" i="6"/>
  <c r="K692" i="6"/>
  <c r="M692" i="6"/>
  <c r="K693" i="6"/>
  <c r="M693" i="6"/>
  <c r="K694" i="6"/>
  <c r="M694" i="6"/>
  <c r="K695" i="6"/>
  <c r="M695" i="6"/>
  <c r="K696" i="6"/>
  <c r="M696" i="6"/>
  <c r="K697" i="6"/>
  <c r="M697" i="6"/>
  <c r="K698" i="6"/>
  <c r="M698" i="6"/>
  <c r="K699" i="6"/>
  <c r="M699" i="6"/>
  <c r="K700" i="6"/>
  <c r="M700" i="6"/>
  <c r="K701" i="6"/>
  <c r="M701" i="6"/>
  <c r="K702" i="6"/>
  <c r="M702" i="6"/>
  <c r="K703" i="6"/>
  <c r="M703" i="6"/>
  <c r="K704" i="6"/>
  <c r="M704" i="6"/>
  <c r="K705" i="6"/>
  <c r="M705" i="6"/>
  <c r="K706" i="6"/>
  <c r="M706" i="6"/>
  <c r="K707" i="6"/>
  <c r="M707" i="6"/>
  <c r="K708" i="6"/>
  <c r="M708" i="6"/>
  <c r="K709" i="6"/>
  <c r="M709" i="6"/>
  <c r="K710" i="6"/>
  <c r="M710" i="6"/>
  <c r="K711" i="6"/>
  <c r="M711" i="6"/>
  <c r="K712" i="6"/>
  <c r="M712" i="6"/>
  <c r="K713" i="6"/>
  <c r="M713" i="6"/>
  <c r="K714" i="6"/>
  <c r="M714" i="6"/>
  <c r="K715" i="6"/>
  <c r="M715" i="6"/>
  <c r="K716" i="6"/>
  <c r="M716" i="6"/>
  <c r="K717" i="6"/>
  <c r="M717" i="6"/>
  <c r="K718" i="6"/>
  <c r="M718" i="6"/>
  <c r="K719" i="6"/>
  <c r="M719" i="6"/>
  <c r="K720" i="6"/>
  <c r="M720" i="6"/>
  <c r="K721" i="6"/>
  <c r="M721" i="6"/>
  <c r="K722" i="6"/>
  <c r="M722" i="6"/>
  <c r="K723" i="6"/>
  <c r="M723" i="6"/>
  <c r="K724" i="6"/>
  <c r="M724" i="6"/>
  <c r="K725" i="6"/>
  <c r="M725" i="6"/>
  <c r="K726" i="6"/>
  <c r="M726" i="6"/>
  <c r="K727" i="6"/>
  <c r="M727" i="6"/>
  <c r="K728" i="6"/>
  <c r="M728" i="6"/>
  <c r="K729" i="6"/>
  <c r="M729" i="6"/>
  <c r="K730" i="6"/>
  <c r="M730" i="6"/>
  <c r="K731" i="6"/>
  <c r="M731" i="6"/>
  <c r="K732" i="6"/>
  <c r="M732" i="6"/>
  <c r="K733" i="6"/>
  <c r="M733" i="6"/>
  <c r="K734" i="6"/>
  <c r="M734" i="6"/>
  <c r="K735" i="6"/>
  <c r="M735" i="6"/>
  <c r="K736" i="6"/>
  <c r="M736" i="6"/>
  <c r="K737" i="6"/>
  <c r="M737" i="6"/>
  <c r="K738" i="6"/>
  <c r="M738" i="6"/>
  <c r="K739" i="6"/>
  <c r="M739" i="6"/>
  <c r="K740" i="6"/>
  <c r="M740" i="6"/>
  <c r="K741" i="6"/>
  <c r="M741" i="6"/>
  <c r="K742" i="6"/>
  <c r="M742" i="6"/>
  <c r="K743" i="6"/>
  <c r="M743" i="6"/>
  <c r="K744" i="6"/>
  <c r="M744" i="6"/>
  <c r="K745" i="6"/>
  <c r="M745" i="6"/>
  <c r="K746" i="6"/>
  <c r="M746" i="6"/>
  <c r="K747" i="6"/>
  <c r="M747" i="6"/>
  <c r="K748" i="6"/>
  <c r="M748" i="6"/>
  <c r="K749" i="6"/>
  <c r="M749" i="6"/>
  <c r="K750" i="6"/>
  <c r="M750" i="6"/>
  <c r="K751" i="6"/>
  <c r="M751" i="6"/>
  <c r="K752" i="6"/>
  <c r="M752" i="6"/>
  <c r="K753" i="6"/>
  <c r="M753" i="6"/>
  <c r="K754" i="6"/>
  <c r="M754" i="6"/>
  <c r="K755" i="6"/>
  <c r="M755" i="6"/>
  <c r="K756" i="6"/>
  <c r="M756" i="6"/>
  <c r="K757" i="6"/>
  <c r="M757" i="6"/>
  <c r="K758" i="6"/>
  <c r="M758" i="6"/>
  <c r="K759" i="6"/>
  <c r="M759" i="6"/>
  <c r="K760" i="6"/>
  <c r="M760" i="6"/>
  <c r="K761" i="6"/>
  <c r="M761" i="6"/>
  <c r="K762" i="6"/>
  <c r="M762" i="6"/>
  <c r="K763" i="6"/>
  <c r="M763" i="6"/>
  <c r="K764" i="6"/>
  <c r="M764" i="6"/>
  <c r="K765" i="6"/>
  <c r="M765" i="6"/>
  <c r="K766" i="6"/>
  <c r="M766" i="6"/>
  <c r="K767" i="6"/>
  <c r="M767" i="6"/>
  <c r="K768" i="6"/>
  <c r="M768" i="6"/>
  <c r="K769" i="6"/>
  <c r="M769" i="6"/>
  <c r="K770" i="6"/>
  <c r="M770" i="6"/>
  <c r="K771" i="6"/>
  <c r="M771" i="6"/>
  <c r="K772" i="6"/>
  <c r="M772" i="6"/>
  <c r="K773" i="6"/>
  <c r="M773" i="6"/>
  <c r="K774" i="6"/>
  <c r="M774" i="6"/>
  <c r="K775" i="6"/>
  <c r="M775" i="6"/>
  <c r="K776" i="6"/>
  <c r="M776" i="6"/>
  <c r="K777" i="6"/>
  <c r="M777" i="6"/>
  <c r="K778" i="6"/>
  <c r="M778" i="6"/>
  <c r="K779" i="6"/>
  <c r="M779" i="6"/>
  <c r="K780" i="6"/>
  <c r="M780" i="6"/>
  <c r="K781" i="6"/>
  <c r="M781" i="6"/>
  <c r="K782" i="6"/>
  <c r="M782" i="6"/>
  <c r="K783" i="6"/>
  <c r="M783" i="6"/>
  <c r="K784" i="6"/>
  <c r="M784" i="6"/>
  <c r="K785" i="6"/>
  <c r="M785" i="6"/>
  <c r="K786" i="6"/>
  <c r="M786" i="6"/>
  <c r="K787" i="6"/>
  <c r="M787" i="6"/>
  <c r="K788" i="6"/>
  <c r="M788" i="6"/>
  <c r="K789" i="6"/>
  <c r="M789" i="6"/>
  <c r="K790" i="6"/>
  <c r="M790" i="6"/>
  <c r="K791" i="6"/>
  <c r="M791" i="6"/>
  <c r="K792" i="6"/>
  <c r="M792" i="6"/>
  <c r="K793" i="6"/>
  <c r="M793" i="6"/>
  <c r="K794" i="6"/>
  <c r="M794" i="6"/>
  <c r="K795" i="6"/>
  <c r="M795" i="6"/>
  <c r="K796" i="6"/>
  <c r="M796" i="6"/>
  <c r="K797" i="6"/>
  <c r="M797" i="6"/>
  <c r="K798" i="6"/>
  <c r="M798" i="6"/>
  <c r="K799" i="6"/>
  <c r="M799" i="6"/>
  <c r="K800" i="6"/>
  <c r="M800" i="6"/>
  <c r="K801" i="6"/>
  <c r="M801" i="6"/>
  <c r="K802" i="6"/>
  <c r="M802" i="6"/>
  <c r="K803" i="6"/>
  <c r="M803" i="6"/>
  <c r="K804" i="6"/>
  <c r="M804" i="6"/>
  <c r="K805" i="6"/>
  <c r="M805" i="6"/>
  <c r="K806" i="6"/>
  <c r="M806" i="6"/>
  <c r="K807" i="6"/>
  <c r="M807" i="6"/>
  <c r="K808" i="6"/>
  <c r="M808" i="6"/>
  <c r="K809" i="6"/>
  <c r="M809" i="6"/>
  <c r="K810" i="6"/>
  <c r="M810" i="6"/>
  <c r="K811" i="6"/>
  <c r="M811" i="6"/>
  <c r="K812" i="6"/>
  <c r="M812" i="6"/>
  <c r="K813" i="6"/>
  <c r="M813" i="6"/>
  <c r="K814" i="6"/>
  <c r="M814" i="6"/>
  <c r="K815" i="6"/>
  <c r="M815" i="6"/>
  <c r="K816" i="6"/>
  <c r="M816" i="6"/>
  <c r="K817" i="6"/>
  <c r="M817" i="6"/>
  <c r="K818" i="6"/>
  <c r="M818" i="6"/>
  <c r="K819" i="6"/>
  <c r="M819" i="6"/>
  <c r="K820" i="6"/>
  <c r="M820" i="6"/>
  <c r="K821" i="6"/>
  <c r="M821" i="6"/>
  <c r="K822" i="6"/>
  <c r="M822" i="6"/>
  <c r="K823" i="6"/>
  <c r="M823" i="6"/>
  <c r="K824" i="6"/>
  <c r="M824" i="6"/>
  <c r="K825" i="6"/>
  <c r="M825" i="6"/>
  <c r="K826" i="6"/>
  <c r="M826" i="6"/>
  <c r="K827" i="6"/>
  <c r="M827" i="6"/>
  <c r="K828" i="6"/>
  <c r="M828" i="6"/>
  <c r="K829" i="6"/>
  <c r="M829" i="6"/>
  <c r="K830" i="6"/>
  <c r="M830" i="6"/>
  <c r="K831" i="6"/>
  <c r="M831" i="6"/>
  <c r="K832" i="6"/>
  <c r="M832" i="6"/>
  <c r="K833" i="6"/>
  <c r="M833" i="6"/>
  <c r="K834" i="6"/>
  <c r="M834" i="6"/>
  <c r="K835" i="6"/>
  <c r="M835" i="6"/>
  <c r="K836" i="6"/>
  <c r="M836" i="6"/>
  <c r="K837" i="6"/>
  <c r="M837" i="6"/>
  <c r="K838" i="6"/>
  <c r="M838" i="6"/>
  <c r="K839" i="6"/>
  <c r="M839" i="6"/>
  <c r="K840" i="6"/>
  <c r="M840" i="6"/>
  <c r="K841" i="6"/>
  <c r="M841" i="6"/>
  <c r="K842" i="6"/>
  <c r="M842" i="6"/>
  <c r="K843" i="6"/>
  <c r="M843" i="6"/>
  <c r="K844" i="6"/>
  <c r="M844" i="6"/>
  <c r="K845" i="6"/>
  <c r="M845" i="6"/>
  <c r="K846" i="6"/>
  <c r="M846" i="6"/>
  <c r="K847" i="6"/>
  <c r="M847" i="6"/>
  <c r="K848" i="6"/>
  <c r="M848" i="6"/>
  <c r="K849" i="6"/>
  <c r="M849" i="6"/>
  <c r="K850" i="6"/>
  <c r="M850" i="6"/>
  <c r="K851" i="6"/>
  <c r="M851" i="6"/>
  <c r="K852" i="6"/>
  <c r="M852" i="6"/>
  <c r="K853" i="6"/>
  <c r="M853" i="6"/>
  <c r="K854" i="6"/>
  <c r="M854" i="6"/>
  <c r="K855" i="6"/>
  <c r="M855" i="6"/>
  <c r="K856" i="6"/>
  <c r="M856" i="6"/>
  <c r="K857" i="6"/>
  <c r="M857" i="6"/>
  <c r="K858" i="6"/>
  <c r="M858" i="6"/>
  <c r="K859" i="6"/>
  <c r="M859" i="6"/>
  <c r="K860" i="6"/>
  <c r="M860" i="6"/>
  <c r="K861" i="6"/>
  <c r="M861" i="6"/>
  <c r="K862" i="6"/>
  <c r="M862" i="6"/>
  <c r="K863" i="6"/>
  <c r="M863" i="6"/>
  <c r="K864" i="6"/>
  <c r="M864" i="6"/>
  <c r="K865" i="6"/>
  <c r="M865" i="6"/>
  <c r="K866" i="6"/>
  <c r="M866" i="6"/>
  <c r="K867" i="6"/>
  <c r="M867" i="6"/>
  <c r="K868" i="6"/>
  <c r="M868" i="6"/>
  <c r="K869" i="6"/>
  <c r="M869" i="6"/>
  <c r="K870" i="6"/>
  <c r="M870" i="6"/>
  <c r="K871" i="6"/>
  <c r="M871" i="6"/>
  <c r="K872" i="6"/>
  <c r="M872" i="6"/>
  <c r="K873" i="6"/>
  <c r="M873" i="6"/>
  <c r="K874" i="6"/>
  <c r="M874" i="6"/>
  <c r="K875" i="6"/>
  <c r="M875" i="6"/>
  <c r="K876" i="6"/>
  <c r="M876" i="6"/>
  <c r="K877" i="6"/>
  <c r="M877" i="6"/>
  <c r="K878" i="6"/>
  <c r="M878" i="6"/>
  <c r="K879" i="6"/>
  <c r="M879" i="6"/>
  <c r="K880" i="6"/>
  <c r="M880" i="6"/>
  <c r="K881" i="6"/>
  <c r="M881" i="6"/>
  <c r="K882" i="6"/>
  <c r="M882" i="6"/>
  <c r="K883" i="6"/>
  <c r="M883" i="6"/>
  <c r="K884" i="6"/>
  <c r="M884" i="6"/>
  <c r="K885" i="6"/>
  <c r="M885" i="6"/>
  <c r="K886" i="6"/>
  <c r="M886" i="6"/>
  <c r="K887" i="6"/>
  <c r="M887" i="6"/>
  <c r="K888" i="6"/>
  <c r="M888" i="6"/>
  <c r="K889" i="6"/>
  <c r="M889" i="6"/>
  <c r="K890" i="6"/>
  <c r="M890" i="6"/>
  <c r="K891" i="6"/>
  <c r="M891" i="6"/>
  <c r="K892" i="6"/>
  <c r="M892" i="6"/>
  <c r="K893" i="6"/>
  <c r="M893" i="6"/>
  <c r="K894" i="6"/>
  <c r="M894" i="6"/>
  <c r="K895" i="6"/>
  <c r="M895" i="6"/>
  <c r="K896" i="6"/>
  <c r="M896" i="6"/>
  <c r="K897" i="6"/>
  <c r="M897" i="6"/>
  <c r="K898" i="6"/>
  <c r="M898" i="6"/>
  <c r="K899" i="6"/>
  <c r="M899" i="6"/>
  <c r="K900" i="6"/>
  <c r="M900" i="6"/>
  <c r="K901" i="6"/>
  <c r="M901" i="6"/>
  <c r="K902" i="6"/>
  <c r="M902" i="6"/>
  <c r="K903" i="6"/>
  <c r="M903" i="6"/>
  <c r="K904" i="6"/>
  <c r="M904" i="6"/>
  <c r="K905" i="6"/>
  <c r="M905" i="6"/>
  <c r="K906" i="6"/>
  <c r="M906" i="6"/>
  <c r="K907" i="6"/>
  <c r="M907" i="6"/>
  <c r="K908" i="6"/>
  <c r="M908" i="6"/>
  <c r="K909" i="6"/>
  <c r="M909" i="6"/>
  <c r="K910" i="6"/>
  <c r="M910" i="6"/>
  <c r="K911" i="6"/>
  <c r="M911" i="6"/>
  <c r="K912" i="6"/>
  <c r="M912" i="6"/>
  <c r="K913" i="6"/>
  <c r="M913" i="6"/>
  <c r="K914" i="6"/>
  <c r="M914" i="6"/>
  <c r="K915" i="6"/>
  <c r="M915" i="6"/>
  <c r="K916" i="6"/>
  <c r="M916" i="6"/>
  <c r="K917" i="6"/>
  <c r="M917" i="6"/>
  <c r="K918" i="6"/>
  <c r="M918" i="6"/>
  <c r="K919" i="6"/>
  <c r="M919" i="6"/>
  <c r="K920" i="6"/>
  <c r="M920" i="6"/>
  <c r="K921" i="6"/>
  <c r="M921" i="6"/>
  <c r="K922" i="6"/>
  <c r="M922" i="6"/>
  <c r="K923" i="6"/>
  <c r="M923" i="6"/>
  <c r="K924" i="6"/>
  <c r="M924" i="6"/>
  <c r="K925" i="6"/>
  <c r="M925" i="6"/>
  <c r="K926" i="6"/>
  <c r="M926" i="6"/>
  <c r="K927" i="6"/>
  <c r="M927" i="6"/>
  <c r="K928" i="6"/>
  <c r="M928" i="6"/>
  <c r="K929" i="6"/>
  <c r="M929" i="6"/>
  <c r="K930" i="6"/>
  <c r="M930" i="6"/>
  <c r="K931" i="6"/>
  <c r="M931" i="6"/>
  <c r="K932" i="6"/>
  <c r="M932" i="6"/>
  <c r="K933" i="6"/>
  <c r="M933" i="6"/>
  <c r="K934" i="6"/>
  <c r="M934" i="6"/>
  <c r="K935" i="6"/>
  <c r="M935" i="6"/>
  <c r="K936" i="6"/>
  <c r="M936" i="6"/>
  <c r="K937" i="6"/>
  <c r="M937" i="6"/>
  <c r="K938" i="6"/>
  <c r="M938" i="6"/>
  <c r="K939" i="6"/>
  <c r="M939" i="6"/>
  <c r="K940" i="6"/>
  <c r="M940" i="6"/>
  <c r="K941" i="6"/>
  <c r="M941" i="6"/>
  <c r="K942" i="6"/>
  <c r="M942" i="6"/>
  <c r="K943" i="6"/>
  <c r="M943" i="6"/>
  <c r="K944" i="6"/>
  <c r="M944" i="6"/>
  <c r="K945" i="6"/>
  <c r="M945" i="6"/>
  <c r="K946" i="6"/>
  <c r="M946" i="6"/>
  <c r="K947" i="6"/>
  <c r="M947" i="6"/>
  <c r="K948" i="6"/>
  <c r="M948" i="6"/>
  <c r="K949" i="6"/>
  <c r="M949" i="6"/>
  <c r="K950" i="6"/>
  <c r="M950" i="6"/>
  <c r="K951" i="6"/>
  <c r="M951" i="6"/>
  <c r="K952" i="6"/>
  <c r="M952" i="6"/>
  <c r="K953" i="6"/>
  <c r="M953" i="6"/>
  <c r="K954" i="6"/>
  <c r="M954" i="6"/>
  <c r="K955" i="6"/>
  <c r="M955" i="6"/>
  <c r="K956" i="6"/>
  <c r="M956" i="6"/>
  <c r="K957" i="6"/>
  <c r="M957" i="6"/>
  <c r="K958" i="6"/>
  <c r="M958" i="6"/>
  <c r="K959" i="6"/>
  <c r="M959" i="6"/>
  <c r="K960" i="6"/>
  <c r="M960" i="6"/>
  <c r="K961" i="6"/>
  <c r="M961" i="6"/>
  <c r="K962" i="6"/>
  <c r="M962" i="6"/>
  <c r="K963" i="6"/>
  <c r="M963" i="6"/>
  <c r="K964" i="6"/>
  <c r="M964" i="6"/>
  <c r="K965" i="6"/>
  <c r="M965" i="6"/>
  <c r="K966" i="6"/>
  <c r="M966" i="6"/>
  <c r="K967" i="6"/>
  <c r="M967" i="6"/>
  <c r="K968" i="6"/>
  <c r="M968" i="6"/>
  <c r="K969" i="6"/>
  <c r="M969" i="6"/>
  <c r="K970" i="6"/>
  <c r="M970" i="6"/>
  <c r="K971" i="6"/>
  <c r="M971" i="6"/>
  <c r="K972" i="6"/>
  <c r="M972" i="6"/>
  <c r="K973" i="6"/>
  <c r="M973" i="6"/>
  <c r="K974" i="6"/>
  <c r="M974" i="6"/>
  <c r="K975" i="6"/>
  <c r="M975" i="6"/>
  <c r="K976" i="6"/>
  <c r="M976" i="6"/>
  <c r="K977" i="6"/>
  <c r="M977" i="6"/>
  <c r="K978" i="6"/>
  <c r="M978" i="6"/>
  <c r="K979" i="6"/>
  <c r="M979" i="6"/>
  <c r="K980" i="6"/>
  <c r="M980" i="6"/>
  <c r="K981" i="6"/>
  <c r="M981" i="6"/>
  <c r="K982" i="6"/>
  <c r="M982" i="6"/>
  <c r="K983" i="6"/>
  <c r="M983" i="6"/>
  <c r="K984" i="6"/>
  <c r="M984" i="6"/>
  <c r="K985" i="6"/>
  <c r="M985" i="6"/>
  <c r="K986" i="6"/>
  <c r="M986" i="6"/>
  <c r="K987" i="6"/>
  <c r="M987" i="6"/>
  <c r="K988" i="6"/>
  <c r="M988" i="6"/>
  <c r="K989" i="6"/>
  <c r="M989" i="6"/>
  <c r="K990" i="6"/>
  <c r="M990" i="6"/>
  <c r="K991" i="6"/>
  <c r="M991" i="6"/>
  <c r="K992" i="6"/>
  <c r="M992" i="6"/>
  <c r="K993" i="6"/>
  <c r="M993" i="6"/>
  <c r="K994" i="6"/>
  <c r="M994" i="6"/>
  <c r="K995" i="6"/>
  <c r="M995" i="6"/>
  <c r="K996" i="6"/>
  <c r="M996" i="6"/>
  <c r="K997" i="6"/>
  <c r="M997" i="6"/>
  <c r="K998" i="6"/>
  <c r="M998" i="6"/>
  <c r="K999" i="6"/>
  <c r="M999" i="6"/>
  <c r="K1000" i="6"/>
  <c r="M1000" i="6"/>
  <c r="K1001" i="6"/>
  <c r="M1001" i="6"/>
  <c r="K1002" i="6"/>
  <c r="M1002" i="6"/>
  <c r="K1003" i="6"/>
  <c r="M1003" i="6"/>
  <c r="K1004" i="6"/>
  <c r="M1004" i="6"/>
  <c r="K1005" i="6"/>
  <c r="M1005" i="6"/>
  <c r="K1006" i="6"/>
  <c r="M1006" i="6"/>
  <c r="K1007" i="6"/>
  <c r="M1007" i="6"/>
  <c r="K1008" i="6"/>
  <c r="M1008" i="6"/>
  <c r="K1009" i="6"/>
  <c r="M1009" i="6"/>
  <c r="K1010" i="6"/>
  <c r="M1010" i="6"/>
  <c r="K1011" i="6"/>
  <c r="M1011" i="6"/>
  <c r="K1012" i="6"/>
  <c r="M1012" i="6"/>
  <c r="K1013" i="6"/>
  <c r="M1013" i="6"/>
  <c r="K1014" i="6"/>
  <c r="M1014" i="6"/>
  <c r="K1015" i="6"/>
  <c r="M1015" i="6"/>
  <c r="K1016" i="6"/>
  <c r="M1016" i="6"/>
  <c r="K1017" i="6"/>
  <c r="M1017" i="6"/>
  <c r="K1018" i="6"/>
  <c r="M1018" i="6"/>
  <c r="K1019" i="6"/>
  <c r="M1019" i="6"/>
  <c r="K1020" i="6"/>
  <c r="M1020" i="6"/>
  <c r="K1021" i="6"/>
  <c r="M1021" i="6"/>
  <c r="K1022" i="6"/>
  <c r="M1022" i="6"/>
  <c r="K1023" i="6"/>
  <c r="M1023" i="6"/>
  <c r="K1024" i="6"/>
  <c r="M1024" i="6"/>
  <c r="K1025" i="6"/>
  <c r="M1025" i="6"/>
  <c r="K1026" i="6"/>
  <c r="M1026" i="6"/>
  <c r="K1027" i="6"/>
  <c r="M1027" i="6"/>
  <c r="K1028" i="6"/>
  <c r="M1028" i="6"/>
  <c r="K1029" i="6"/>
  <c r="M1029" i="6"/>
  <c r="K1030" i="6"/>
  <c r="M1030" i="6"/>
  <c r="K1031" i="6"/>
  <c r="M1031" i="6"/>
  <c r="K1032" i="6"/>
  <c r="M1032" i="6"/>
  <c r="K1033" i="6"/>
  <c r="M1033" i="6"/>
  <c r="K1034" i="6"/>
  <c r="M1034" i="6"/>
  <c r="K1035" i="6"/>
  <c r="M1035" i="6"/>
  <c r="K1036" i="6"/>
  <c r="M1036" i="6"/>
  <c r="K1037" i="6"/>
  <c r="M1037" i="6"/>
  <c r="K1038" i="6"/>
  <c r="M1038" i="6"/>
  <c r="K1039" i="6"/>
  <c r="M1039" i="6"/>
  <c r="K1040" i="6"/>
  <c r="M1040" i="6"/>
  <c r="K1041" i="6"/>
  <c r="M1041" i="6"/>
  <c r="K1042" i="6"/>
  <c r="M1042" i="6"/>
  <c r="K1043" i="6"/>
  <c r="M1043" i="6"/>
  <c r="K1044" i="6"/>
  <c r="M1044" i="6"/>
  <c r="K1045" i="6"/>
  <c r="M1045" i="6"/>
  <c r="K1046" i="6"/>
  <c r="M1046" i="6"/>
  <c r="K1047" i="6"/>
  <c r="M1047" i="6"/>
  <c r="K1048" i="6"/>
  <c r="M1048" i="6"/>
  <c r="K1049" i="6"/>
  <c r="M1049" i="6"/>
  <c r="K1050" i="6"/>
  <c r="M1050" i="6"/>
  <c r="K1051" i="6"/>
  <c r="M1051" i="6"/>
  <c r="K1052" i="6"/>
  <c r="M1052" i="6"/>
  <c r="K1053" i="6"/>
  <c r="M1053" i="6"/>
  <c r="K1054" i="6"/>
  <c r="M1054" i="6"/>
  <c r="K1055" i="6"/>
  <c r="M1055" i="6"/>
  <c r="K1056" i="6"/>
  <c r="M1056" i="6"/>
  <c r="K1057" i="6"/>
  <c r="M1057" i="6"/>
  <c r="K1058" i="6"/>
  <c r="M1058" i="6"/>
  <c r="K1059" i="6"/>
  <c r="M1059" i="6"/>
  <c r="K1060" i="6"/>
  <c r="M1060" i="6"/>
  <c r="K1061" i="6"/>
  <c r="M1061" i="6"/>
  <c r="K1062" i="6"/>
  <c r="M1062" i="6"/>
  <c r="K1063" i="6"/>
  <c r="M1063" i="6"/>
  <c r="K1064" i="6"/>
  <c r="M1064" i="6"/>
  <c r="K1065" i="6"/>
  <c r="M1065" i="6"/>
  <c r="K1066" i="6"/>
  <c r="M1066" i="6"/>
  <c r="K1067" i="6"/>
  <c r="M1067" i="6"/>
  <c r="K1068" i="6"/>
  <c r="M1068" i="6"/>
  <c r="K1069" i="6"/>
  <c r="M1069" i="6"/>
  <c r="K1070" i="6"/>
  <c r="M1070" i="6"/>
  <c r="K1071" i="6"/>
  <c r="M1071" i="6"/>
  <c r="K1072" i="6"/>
  <c r="M1072" i="6"/>
  <c r="K1073" i="6"/>
  <c r="M1073" i="6"/>
  <c r="K1074" i="6"/>
  <c r="M1074" i="6"/>
  <c r="K1075" i="6"/>
  <c r="M1075" i="6"/>
  <c r="K1076" i="6"/>
  <c r="M1076" i="6"/>
  <c r="K1077" i="6"/>
  <c r="M1077" i="6"/>
  <c r="K1078" i="6"/>
  <c r="M1078" i="6"/>
  <c r="K1079" i="6"/>
  <c r="M1079" i="6"/>
  <c r="K1080" i="6"/>
  <c r="M1080" i="6"/>
  <c r="K1081" i="6"/>
  <c r="M1081" i="6"/>
  <c r="K1082" i="6"/>
  <c r="M1082" i="6"/>
  <c r="K1083" i="6"/>
  <c r="M1083" i="6"/>
  <c r="K1084" i="6"/>
  <c r="M1084" i="6"/>
  <c r="K1085" i="6"/>
  <c r="M1085" i="6"/>
  <c r="K1086" i="6"/>
  <c r="M1086" i="6"/>
  <c r="K1087" i="6"/>
  <c r="M1087" i="6"/>
  <c r="K1088" i="6"/>
  <c r="M1088" i="6"/>
  <c r="K1089" i="6"/>
  <c r="M1089" i="6"/>
  <c r="K1090" i="6"/>
  <c r="M1090" i="6"/>
  <c r="K1091" i="6"/>
  <c r="M1091" i="6"/>
  <c r="K1092" i="6"/>
  <c r="M1092" i="6"/>
  <c r="K1093" i="6"/>
  <c r="M1093" i="6"/>
  <c r="K1094" i="6"/>
  <c r="M1094" i="6"/>
  <c r="K1095" i="6"/>
  <c r="M1095" i="6"/>
  <c r="K1096" i="6"/>
  <c r="M1096" i="6"/>
  <c r="K1097" i="6"/>
  <c r="M1097" i="6"/>
  <c r="K1098" i="6"/>
  <c r="M1098" i="6"/>
  <c r="K1099" i="6"/>
  <c r="M1099" i="6"/>
  <c r="K1100" i="6"/>
  <c r="M1100" i="6"/>
  <c r="K1101" i="6"/>
  <c r="M1101" i="6"/>
  <c r="K1102" i="6"/>
  <c r="M1102" i="6"/>
  <c r="K1103" i="6"/>
  <c r="M1103" i="6"/>
  <c r="K1104" i="6"/>
  <c r="M1104" i="6"/>
  <c r="K1105" i="6"/>
  <c r="M1105" i="6"/>
  <c r="K1106" i="6"/>
  <c r="M1106" i="6"/>
  <c r="K1107" i="6"/>
  <c r="M1107" i="6"/>
  <c r="K1108" i="6"/>
  <c r="M1108" i="6"/>
  <c r="K1109" i="6"/>
  <c r="M1109" i="6"/>
  <c r="K1110" i="6"/>
  <c r="M1110" i="6"/>
  <c r="K1111" i="6"/>
  <c r="M1111" i="6"/>
  <c r="K1112" i="6"/>
  <c r="M1112" i="6"/>
  <c r="K1113" i="6"/>
  <c r="M1113" i="6"/>
  <c r="K1114" i="6"/>
  <c r="M1114" i="6"/>
  <c r="K1115" i="6"/>
  <c r="M1115" i="6"/>
  <c r="K1116" i="6"/>
  <c r="M1116" i="6"/>
  <c r="K1117" i="6"/>
  <c r="M1117" i="6"/>
  <c r="K1118" i="6"/>
  <c r="M1118" i="6"/>
  <c r="K1119" i="6"/>
  <c r="M1119" i="6"/>
  <c r="K1120" i="6"/>
  <c r="M1120" i="6"/>
  <c r="K1121" i="6"/>
  <c r="M1121" i="6"/>
  <c r="K1122" i="6"/>
  <c r="M1122" i="6"/>
  <c r="K1123" i="6"/>
  <c r="M1123" i="6"/>
  <c r="K1124" i="6"/>
  <c r="M1124" i="6"/>
  <c r="K1125" i="6"/>
  <c r="M1125" i="6"/>
  <c r="K1126" i="6"/>
  <c r="M1126" i="6"/>
  <c r="K1127" i="6"/>
  <c r="M1127" i="6"/>
  <c r="K1128" i="6"/>
  <c r="M1128" i="6"/>
  <c r="K1129" i="6"/>
  <c r="M1129" i="6"/>
  <c r="K1130" i="6"/>
  <c r="M1130" i="6"/>
  <c r="K1131" i="6"/>
  <c r="M1131" i="6"/>
  <c r="K1132" i="6"/>
  <c r="M1132" i="6"/>
  <c r="K1133" i="6"/>
  <c r="M1133" i="6"/>
  <c r="K1134" i="6"/>
  <c r="M1134" i="6"/>
  <c r="K1135" i="6"/>
  <c r="M1135" i="6"/>
  <c r="K1136" i="6"/>
  <c r="M1136" i="6"/>
  <c r="K1137" i="6"/>
  <c r="M1137" i="6"/>
  <c r="K1138" i="6"/>
  <c r="M1138" i="6"/>
  <c r="K1139" i="6"/>
  <c r="M1139" i="6"/>
  <c r="K1140" i="6"/>
  <c r="M1140" i="6"/>
  <c r="K1141" i="6"/>
  <c r="M1141" i="6"/>
  <c r="K1142" i="6"/>
  <c r="M1142" i="6"/>
  <c r="K1143" i="6"/>
  <c r="M1143" i="6"/>
  <c r="K1144" i="6"/>
  <c r="M1144" i="6"/>
  <c r="K1145" i="6"/>
  <c r="M1145" i="6"/>
  <c r="K1146" i="6"/>
  <c r="M1146" i="6"/>
  <c r="K1147" i="6"/>
  <c r="M1147" i="6"/>
  <c r="K1148" i="6"/>
  <c r="M1148" i="6"/>
  <c r="K1149" i="6"/>
  <c r="M1149" i="6"/>
  <c r="K1150" i="6"/>
  <c r="M1150" i="6"/>
  <c r="K1151" i="6"/>
  <c r="M1151" i="6"/>
  <c r="K1152" i="6"/>
  <c r="M1152" i="6"/>
  <c r="K1153" i="6"/>
  <c r="M1153" i="6"/>
  <c r="K1154" i="6"/>
  <c r="M1154" i="6"/>
  <c r="K1155" i="6"/>
  <c r="M1155" i="6"/>
  <c r="K1156" i="6"/>
  <c r="M1156" i="6"/>
  <c r="K1157" i="6"/>
  <c r="M1157" i="6"/>
  <c r="K1158" i="6"/>
  <c r="M1158" i="6"/>
  <c r="K1159" i="6"/>
  <c r="M1159" i="6"/>
  <c r="K1160" i="6"/>
  <c r="M1160" i="6"/>
  <c r="K1161" i="6"/>
  <c r="M1161" i="6"/>
  <c r="K1162" i="6"/>
  <c r="M1162" i="6"/>
  <c r="K1163" i="6"/>
  <c r="M1163" i="6"/>
  <c r="K1164" i="6"/>
  <c r="M1164" i="6"/>
  <c r="K1165" i="6"/>
  <c r="M1165" i="6"/>
  <c r="K1166" i="6"/>
  <c r="M1166" i="6"/>
  <c r="K1167" i="6"/>
  <c r="M1167" i="6"/>
  <c r="K1168" i="6"/>
  <c r="M1168" i="6"/>
  <c r="K1169" i="6"/>
  <c r="M1169" i="6"/>
  <c r="K1170" i="6"/>
  <c r="M1170" i="6"/>
  <c r="K1171" i="6"/>
  <c r="M1171" i="6"/>
  <c r="K1172" i="6"/>
  <c r="M1172" i="6"/>
  <c r="K1173" i="6"/>
  <c r="M1173" i="6"/>
  <c r="K1174" i="6"/>
  <c r="M1174" i="6"/>
  <c r="K1175" i="6"/>
  <c r="M1175" i="6"/>
  <c r="K1176" i="6"/>
  <c r="M1176" i="6"/>
  <c r="K1177" i="6"/>
  <c r="M1177" i="6"/>
  <c r="K1178" i="6"/>
  <c r="M1178" i="6"/>
  <c r="K1179" i="6"/>
  <c r="M1179" i="6"/>
  <c r="K1180" i="6"/>
  <c r="M1180" i="6"/>
  <c r="K1181" i="6"/>
  <c r="M1181" i="6"/>
  <c r="K1182" i="6"/>
  <c r="M1182" i="6"/>
  <c r="K1183" i="6"/>
  <c r="M1183" i="6"/>
  <c r="K1184" i="6"/>
  <c r="M1184" i="6"/>
  <c r="K1185" i="6"/>
  <c r="M1185" i="6"/>
  <c r="K1186" i="6"/>
  <c r="M1186" i="6"/>
  <c r="K1187" i="6"/>
  <c r="M1187" i="6"/>
  <c r="K1188" i="6"/>
  <c r="M1188" i="6"/>
  <c r="K1189" i="6"/>
  <c r="M1189" i="6"/>
  <c r="K1190" i="6"/>
  <c r="M1190" i="6"/>
  <c r="K1191" i="6"/>
  <c r="M1191" i="6"/>
  <c r="K1192" i="6"/>
  <c r="M1192" i="6"/>
  <c r="K1193" i="6"/>
  <c r="M1193" i="6"/>
  <c r="K1194" i="6"/>
  <c r="M1194" i="6"/>
  <c r="K1195" i="6"/>
  <c r="M1195" i="6"/>
  <c r="K1196" i="6"/>
  <c r="M1196" i="6"/>
  <c r="K1197" i="6"/>
  <c r="M1197" i="6"/>
  <c r="K1198" i="6"/>
  <c r="M1198" i="6"/>
  <c r="K1199" i="6"/>
  <c r="M1199" i="6"/>
  <c r="K1200" i="6"/>
  <c r="M1200" i="6"/>
  <c r="K1201" i="6"/>
  <c r="M1201" i="6"/>
  <c r="K1202" i="6"/>
  <c r="M1202" i="6"/>
  <c r="K1203" i="6"/>
  <c r="M1203" i="6"/>
  <c r="K1204" i="6"/>
  <c r="M1204" i="6"/>
  <c r="K1205" i="6"/>
  <c r="M1205" i="6"/>
  <c r="K1206" i="6"/>
  <c r="M1206" i="6"/>
  <c r="K1207" i="6"/>
  <c r="M1207" i="6"/>
  <c r="K1208" i="6"/>
  <c r="M1208" i="6"/>
  <c r="K1209" i="6"/>
  <c r="M1209" i="6"/>
  <c r="K1210" i="6"/>
  <c r="M1210" i="6"/>
  <c r="K1211" i="6"/>
  <c r="M1211" i="6"/>
  <c r="K1212" i="6"/>
  <c r="M1212" i="6"/>
  <c r="K1213" i="6"/>
  <c r="M1213" i="6"/>
  <c r="K1214" i="6"/>
  <c r="M1214" i="6"/>
  <c r="K1215" i="6"/>
  <c r="M1215" i="6"/>
  <c r="K1216" i="6"/>
  <c r="M1216" i="6"/>
  <c r="K1217" i="6"/>
  <c r="M1217" i="6"/>
  <c r="K1218" i="6"/>
  <c r="M1218" i="6"/>
  <c r="K1219" i="6"/>
  <c r="M1219" i="6"/>
  <c r="K1220" i="6"/>
  <c r="M1220" i="6"/>
  <c r="K1221" i="6"/>
  <c r="M1221" i="6"/>
  <c r="K1222" i="6"/>
  <c r="M1222" i="6"/>
  <c r="K1223" i="6"/>
  <c r="M1223" i="6"/>
  <c r="K1224" i="6"/>
  <c r="M1224" i="6"/>
  <c r="K1225" i="6"/>
  <c r="M1225" i="6"/>
  <c r="K1226" i="6"/>
  <c r="M1226" i="6"/>
  <c r="K1227" i="6"/>
  <c r="M1227" i="6"/>
  <c r="K1228" i="6"/>
  <c r="M1228" i="6"/>
  <c r="K1229" i="6"/>
  <c r="M1229" i="6"/>
  <c r="K1230" i="6"/>
  <c r="M1230" i="6"/>
  <c r="K1231" i="6"/>
  <c r="M1231" i="6"/>
  <c r="K1232" i="6"/>
  <c r="M1232" i="6"/>
  <c r="K1233" i="6"/>
  <c r="M1233" i="6"/>
  <c r="K1234" i="6"/>
  <c r="M1234" i="6"/>
  <c r="K1235" i="6"/>
  <c r="M1235" i="6"/>
  <c r="K1236" i="6"/>
  <c r="M1236" i="6"/>
  <c r="K1237" i="6"/>
  <c r="M1237" i="6"/>
  <c r="K1238" i="6"/>
  <c r="M1238" i="6"/>
  <c r="K1239" i="6"/>
  <c r="M1239" i="6"/>
  <c r="K1240" i="6"/>
  <c r="M1240" i="6"/>
  <c r="K1241" i="6"/>
  <c r="M1241" i="6"/>
  <c r="K1242" i="6"/>
  <c r="M1242" i="6"/>
  <c r="K1243" i="6"/>
  <c r="M1243" i="6"/>
  <c r="K1244" i="6"/>
  <c r="M1244" i="6"/>
  <c r="K1245" i="6"/>
  <c r="M1245" i="6"/>
  <c r="K1246" i="6"/>
  <c r="M1246" i="6"/>
  <c r="K1247" i="6"/>
  <c r="M1247" i="6"/>
  <c r="K1248" i="6"/>
  <c r="M1248" i="6"/>
  <c r="K1249" i="6"/>
  <c r="M1249" i="6"/>
  <c r="K1250" i="6"/>
  <c r="M1250" i="6"/>
  <c r="K1251" i="6"/>
  <c r="M1251" i="6"/>
  <c r="K1252" i="6"/>
  <c r="M1252" i="6"/>
  <c r="K1253" i="6"/>
  <c r="M1253" i="6"/>
  <c r="K1254" i="6"/>
  <c r="M1254" i="6"/>
  <c r="K1255" i="6"/>
  <c r="M1255" i="6"/>
  <c r="K1256" i="6"/>
  <c r="M1256" i="6"/>
  <c r="K1257" i="6"/>
  <c r="M1257" i="6"/>
  <c r="K1258" i="6"/>
  <c r="M1258" i="6"/>
  <c r="K1259" i="6"/>
  <c r="M1259" i="6"/>
  <c r="K1260" i="6"/>
  <c r="M1260" i="6"/>
  <c r="K1261" i="6"/>
  <c r="M1261" i="6"/>
  <c r="K1262" i="6"/>
  <c r="M1262" i="6"/>
  <c r="K1263" i="6"/>
  <c r="M1263" i="6"/>
  <c r="K1264" i="6"/>
  <c r="M1264" i="6"/>
  <c r="K1265" i="6"/>
  <c r="M1265" i="6"/>
  <c r="K1266" i="6"/>
  <c r="M1266" i="6"/>
  <c r="K1267" i="6"/>
  <c r="M1267" i="6"/>
  <c r="K1268" i="6"/>
  <c r="M1268" i="6"/>
  <c r="K1269" i="6"/>
  <c r="M1269" i="6"/>
  <c r="K1270" i="6"/>
  <c r="M1270" i="6"/>
  <c r="K1271" i="6"/>
  <c r="M1271" i="6"/>
  <c r="K1272" i="6"/>
  <c r="M1272" i="6"/>
  <c r="K1273" i="6"/>
  <c r="M1273" i="6"/>
  <c r="K1274" i="6"/>
  <c r="M1274" i="6"/>
  <c r="K1275" i="6"/>
  <c r="M1275" i="6"/>
  <c r="K1276" i="6"/>
  <c r="M1276" i="6"/>
  <c r="K1277" i="6"/>
  <c r="M1277" i="6"/>
  <c r="K1278" i="6"/>
  <c r="M1278" i="6"/>
  <c r="K1279" i="6"/>
  <c r="M1279" i="6"/>
  <c r="K1280" i="6"/>
  <c r="M1280" i="6"/>
  <c r="K1281" i="6"/>
  <c r="M1281" i="6"/>
  <c r="K1282" i="6"/>
  <c r="M1282" i="6"/>
  <c r="K1283" i="6"/>
  <c r="M1283" i="6"/>
  <c r="K1284" i="6"/>
  <c r="M1284" i="6"/>
  <c r="K1285" i="6"/>
  <c r="M1285" i="6"/>
  <c r="K1286" i="6"/>
  <c r="M1286" i="6"/>
  <c r="K1287" i="6"/>
  <c r="M1287" i="6"/>
  <c r="K1288" i="6"/>
  <c r="M1288" i="6"/>
  <c r="K1289" i="6"/>
  <c r="M1289" i="6"/>
  <c r="K1290" i="6"/>
  <c r="M1290" i="6"/>
  <c r="K1291" i="6"/>
  <c r="M1291" i="6"/>
  <c r="K1292" i="6"/>
  <c r="M1292" i="6"/>
  <c r="K1293" i="6"/>
  <c r="M1293" i="6"/>
  <c r="K1294" i="6"/>
  <c r="M1294" i="6"/>
  <c r="K1295" i="6"/>
  <c r="M1295" i="6"/>
  <c r="K1296" i="6"/>
  <c r="M1296" i="6"/>
  <c r="K1297" i="6"/>
  <c r="M1297" i="6"/>
  <c r="K1298" i="6"/>
  <c r="M1298" i="6"/>
  <c r="K1299" i="6"/>
  <c r="M1299" i="6"/>
  <c r="K1300" i="6"/>
  <c r="M1300" i="6"/>
  <c r="K1301" i="6"/>
  <c r="M1301" i="6"/>
  <c r="K1302" i="6"/>
  <c r="M1302" i="6"/>
  <c r="K1303" i="6"/>
  <c r="M1303" i="6"/>
  <c r="K1304" i="6"/>
  <c r="M1304" i="6"/>
  <c r="K1305" i="6"/>
  <c r="M1305" i="6"/>
  <c r="K1306" i="6"/>
  <c r="M1306" i="6"/>
  <c r="K1307" i="6"/>
  <c r="M1307" i="6"/>
  <c r="K1308" i="6"/>
  <c r="M1308" i="6"/>
  <c r="K1309" i="6"/>
  <c r="M1309" i="6"/>
  <c r="K1310" i="6"/>
  <c r="M1310" i="6"/>
  <c r="K1311" i="6"/>
  <c r="M1311" i="6"/>
  <c r="K1312" i="6"/>
  <c r="M1312" i="6"/>
  <c r="K1313" i="6"/>
  <c r="M1313" i="6"/>
  <c r="K1314" i="6"/>
  <c r="M1314" i="6"/>
  <c r="K1315" i="6"/>
  <c r="M1315" i="6"/>
  <c r="K1316" i="6"/>
  <c r="M1316" i="6"/>
  <c r="K1317" i="6"/>
  <c r="M1317" i="6"/>
  <c r="K1318" i="6"/>
  <c r="M1318" i="6"/>
  <c r="K1319" i="6"/>
  <c r="M1319" i="6"/>
  <c r="K1320" i="6"/>
  <c r="M1320" i="6"/>
  <c r="K1321" i="6"/>
  <c r="M1321" i="6"/>
  <c r="K1322" i="6"/>
  <c r="M1322" i="6"/>
  <c r="K1323" i="6"/>
  <c r="M1323" i="6"/>
  <c r="K1324" i="6"/>
  <c r="M1324" i="6"/>
  <c r="K1325" i="6"/>
  <c r="M1325" i="6"/>
  <c r="K1326" i="6"/>
  <c r="M1326" i="6"/>
  <c r="K1327" i="6"/>
  <c r="M1327" i="6"/>
  <c r="K1328" i="6"/>
  <c r="M1328" i="6"/>
  <c r="K1329" i="6"/>
  <c r="M1329" i="6"/>
  <c r="K1330" i="6"/>
  <c r="M1330" i="6"/>
  <c r="K1331" i="6"/>
  <c r="M1331" i="6"/>
  <c r="K1332" i="6"/>
  <c r="M1332" i="6"/>
  <c r="K1333" i="6"/>
  <c r="M1333" i="6"/>
  <c r="K1334" i="6"/>
  <c r="M1334" i="6"/>
  <c r="K1335" i="6"/>
  <c r="M1335" i="6"/>
  <c r="K1336" i="6"/>
  <c r="M1336" i="6"/>
  <c r="K1337" i="6"/>
  <c r="M1337" i="6"/>
  <c r="K1338" i="6"/>
  <c r="M1338" i="6"/>
  <c r="K1339" i="6"/>
  <c r="M1339" i="6"/>
  <c r="K1340" i="6"/>
  <c r="M1340" i="6"/>
  <c r="K1341" i="6"/>
  <c r="M1341" i="6"/>
  <c r="K1342" i="6"/>
  <c r="M1342" i="6"/>
  <c r="K1343" i="6"/>
  <c r="M1343" i="6"/>
  <c r="K1344" i="6"/>
  <c r="M1344" i="6"/>
  <c r="K1345" i="6"/>
  <c r="M1345" i="6"/>
  <c r="K1346" i="6"/>
  <c r="M1346" i="6"/>
  <c r="K1347" i="6"/>
  <c r="M1347" i="6"/>
  <c r="K1348" i="6"/>
  <c r="M1348" i="6"/>
  <c r="K1349" i="6"/>
  <c r="M1349" i="6"/>
  <c r="K1350" i="6"/>
  <c r="M1350" i="6"/>
  <c r="K1351" i="6"/>
  <c r="M1351" i="6"/>
  <c r="K1352" i="6"/>
  <c r="M1352" i="6"/>
  <c r="K1353" i="6"/>
  <c r="M1353" i="6"/>
  <c r="K1354" i="6"/>
  <c r="M1354" i="6"/>
  <c r="K1355" i="6"/>
  <c r="M1355" i="6"/>
  <c r="K1356" i="6"/>
  <c r="M1356" i="6"/>
  <c r="K1357" i="6"/>
  <c r="M1357" i="6"/>
  <c r="K1358" i="6"/>
  <c r="M1358" i="6"/>
  <c r="K1359" i="6"/>
  <c r="M1359" i="6"/>
  <c r="K1360" i="6"/>
  <c r="M1360" i="6"/>
  <c r="K1361" i="6"/>
  <c r="M1361" i="6"/>
  <c r="K1362" i="6"/>
  <c r="M1362" i="6"/>
  <c r="K1363" i="6"/>
  <c r="M1363" i="6"/>
  <c r="K1364" i="6"/>
  <c r="M1364" i="6"/>
  <c r="K1365" i="6"/>
  <c r="M1365" i="6"/>
  <c r="K1366" i="6"/>
  <c r="M1366" i="6"/>
  <c r="K1367" i="6"/>
  <c r="M1367" i="6"/>
  <c r="K1368" i="6"/>
  <c r="M1368" i="6"/>
  <c r="K1369" i="6"/>
  <c r="M1369" i="6"/>
  <c r="K1370" i="6"/>
  <c r="M1370" i="6"/>
  <c r="K1371" i="6"/>
  <c r="M1371" i="6"/>
  <c r="K1372" i="6"/>
  <c r="M1372" i="6"/>
  <c r="K1373" i="6"/>
  <c r="M1373" i="6"/>
  <c r="K1374" i="6"/>
  <c r="M1374" i="6"/>
  <c r="K1375" i="6"/>
  <c r="M1375" i="6"/>
  <c r="K1376" i="6"/>
  <c r="M1376" i="6"/>
  <c r="K1377" i="6"/>
  <c r="M1377" i="6"/>
  <c r="K1378" i="6"/>
  <c r="M1378" i="6"/>
  <c r="K1379" i="6"/>
  <c r="M1379" i="6"/>
  <c r="K1380" i="6"/>
  <c r="M1380" i="6"/>
  <c r="K1381" i="6"/>
  <c r="M1381" i="6"/>
  <c r="K1382" i="6"/>
  <c r="M1382" i="6"/>
  <c r="K1383" i="6"/>
  <c r="M1383" i="6"/>
  <c r="K1384" i="6"/>
  <c r="M1384" i="6"/>
  <c r="K1385" i="6"/>
  <c r="M1385" i="6"/>
  <c r="K1386" i="6"/>
  <c r="M1386" i="6"/>
  <c r="K1387" i="6"/>
  <c r="M1387" i="6"/>
  <c r="K1388" i="6"/>
  <c r="M1388" i="6"/>
  <c r="K1389" i="6"/>
  <c r="M1389" i="6"/>
  <c r="K1390" i="6"/>
  <c r="M1390" i="6"/>
  <c r="K1391" i="6"/>
  <c r="M1391" i="6"/>
  <c r="K1392" i="6"/>
  <c r="M1392" i="6"/>
  <c r="K1393" i="6"/>
  <c r="M1393" i="6"/>
  <c r="K1394" i="6"/>
  <c r="M1394" i="6"/>
  <c r="K1395" i="6"/>
  <c r="M1395" i="6"/>
  <c r="K1396" i="6"/>
  <c r="M1396" i="6"/>
  <c r="K1397" i="6"/>
  <c r="M1397" i="6"/>
  <c r="K1398" i="6"/>
  <c r="M1398" i="6"/>
  <c r="K1399" i="6"/>
  <c r="M1399" i="6"/>
  <c r="K1400" i="6"/>
  <c r="M1400" i="6"/>
  <c r="K1401" i="6"/>
  <c r="M1401" i="6"/>
  <c r="K1402" i="6"/>
  <c r="M1402" i="6"/>
  <c r="K1403" i="6"/>
  <c r="M1403" i="6"/>
  <c r="K1404" i="6"/>
  <c r="M1404" i="6"/>
  <c r="K1405" i="6"/>
  <c r="M1405" i="6"/>
  <c r="K1406" i="6"/>
  <c r="M1406" i="6"/>
  <c r="K1407" i="6"/>
  <c r="M1407" i="6"/>
  <c r="K1408" i="6"/>
  <c r="M1408" i="6"/>
  <c r="K1409" i="6"/>
  <c r="M1409" i="6"/>
  <c r="K1410" i="6"/>
  <c r="M1410" i="6"/>
  <c r="K1411" i="6"/>
  <c r="M1411" i="6"/>
  <c r="K1412" i="6"/>
  <c r="M1412" i="6"/>
  <c r="K1413" i="6"/>
  <c r="M1413" i="6"/>
  <c r="K1414" i="6"/>
  <c r="M1414" i="6"/>
  <c r="K1415" i="6"/>
  <c r="M1415" i="6"/>
  <c r="K1416" i="6"/>
  <c r="M1416" i="6"/>
  <c r="K1417" i="6"/>
  <c r="M1417" i="6"/>
  <c r="K1418" i="6"/>
  <c r="M1418" i="6"/>
  <c r="K1419" i="6"/>
  <c r="M1419" i="6"/>
  <c r="K1420" i="6"/>
  <c r="M1420" i="6"/>
  <c r="K1421" i="6"/>
  <c r="M1421" i="6"/>
  <c r="K1422" i="6"/>
  <c r="M1422" i="6"/>
  <c r="K1423" i="6"/>
  <c r="M1423" i="6"/>
  <c r="K1424" i="6"/>
  <c r="M1424" i="6"/>
  <c r="K1425" i="6"/>
  <c r="M1425" i="6"/>
  <c r="K1426" i="6"/>
  <c r="M1426" i="6"/>
  <c r="K1427" i="6"/>
  <c r="M1427" i="6"/>
  <c r="K1428" i="6"/>
  <c r="M1428" i="6"/>
  <c r="K1429" i="6"/>
  <c r="M1429" i="6"/>
  <c r="K1430" i="6"/>
  <c r="M1430" i="6"/>
  <c r="K1431" i="6"/>
  <c r="M1431" i="6"/>
  <c r="K1432" i="6"/>
  <c r="M1432" i="6"/>
  <c r="K1433" i="6"/>
  <c r="M1433" i="6"/>
  <c r="K1434" i="6"/>
  <c r="M1434" i="6"/>
  <c r="K1435" i="6"/>
  <c r="M1435" i="6"/>
  <c r="K1436" i="6"/>
  <c r="M1436" i="6"/>
  <c r="K1437" i="6"/>
  <c r="M1437" i="6"/>
  <c r="K1438" i="6"/>
  <c r="M1438" i="6"/>
  <c r="K1439" i="6"/>
  <c r="M1439" i="6"/>
  <c r="K1440" i="6"/>
  <c r="M1440" i="6"/>
  <c r="K1441" i="6"/>
  <c r="M1441" i="6"/>
  <c r="K1442" i="6"/>
  <c r="M1442" i="6"/>
  <c r="K1443" i="6"/>
  <c r="M1443" i="6"/>
  <c r="K1444" i="6"/>
  <c r="M1444" i="6"/>
  <c r="K1445" i="6"/>
  <c r="M1445" i="6"/>
  <c r="K1446" i="6"/>
  <c r="M1446" i="6"/>
  <c r="K1447" i="6"/>
  <c r="M1447" i="6"/>
  <c r="K1448" i="6"/>
  <c r="M1448" i="6"/>
  <c r="K1449" i="6"/>
  <c r="M1449" i="6"/>
  <c r="K1450" i="6"/>
  <c r="M1450" i="6"/>
  <c r="K1451" i="6"/>
  <c r="M1451" i="6"/>
  <c r="K1452" i="6"/>
  <c r="M1452" i="6"/>
  <c r="K1453" i="6"/>
  <c r="M1453" i="6"/>
  <c r="K1454" i="6"/>
  <c r="M1454" i="6"/>
  <c r="K1455" i="6"/>
  <c r="M1455" i="6"/>
  <c r="K1456" i="6"/>
  <c r="M1456" i="6"/>
  <c r="K1457" i="6"/>
  <c r="M1457" i="6"/>
  <c r="K1458" i="6"/>
  <c r="M1458" i="6"/>
  <c r="K1459" i="6"/>
  <c r="M1459" i="6"/>
  <c r="K1460" i="6"/>
  <c r="M1460" i="6"/>
  <c r="K1461" i="6"/>
  <c r="M1461" i="6"/>
  <c r="K1462" i="6"/>
  <c r="M1462" i="6"/>
  <c r="K1463" i="6"/>
  <c r="M1463" i="6"/>
  <c r="K1464" i="6"/>
  <c r="M1464" i="6"/>
  <c r="K1465" i="6"/>
  <c r="M1465" i="6"/>
  <c r="K1466" i="6"/>
  <c r="M1466" i="6"/>
  <c r="K1467" i="6"/>
  <c r="M1467" i="6"/>
  <c r="K1468" i="6"/>
  <c r="M1468" i="6"/>
  <c r="K1469" i="6"/>
  <c r="M1469" i="6"/>
  <c r="K1470" i="6"/>
  <c r="M1470" i="6"/>
  <c r="K1471" i="6"/>
  <c r="M1471" i="6"/>
  <c r="K1472" i="6"/>
  <c r="M1472" i="6"/>
  <c r="K1473" i="6"/>
  <c r="M1473" i="6"/>
  <c r="K1474" i="6"/>
  <c r="M1474" i="6"/>
  <c r="K1475" i="6"/>
  <c r="M1475" i="6"/>
  <c r="K1476" i="6"/>
  <c r="M1476" i="6"/>
  <c r="K1477" i="6"/>
  <c r="M1477" i="6"/>
  <c r="K1478" i="6"/>
  <c r="M1478" i="6"/>
  <c r="K1479" i="6"/>
  <c r="M1479" i="6"/>
  <c r="K1480" i="6"/>
  <c r="M1480" i="6"/>
  <c r="K1481" i="6"/>
  <c r="M1481" i="6"/>
  <c r="K1482" i="6"/>
  <c r="M1482" i="6"/>
  <c r="K1483" i="6"/>
  <c r="M1483" i="6"/>
  <c r="K1484" i="6"/>
  <c r="M1484" i="6"/>
  <c r="K1485" i="6"/>
  <c r="M1485" i="6"/>
  <c r="K1486" i="6"/>
  <c r="M1486" i="6"/>
  <c r="K1487" i="6"/>
  <c r="M1487" i="6"/>
  <c r="K1488" i="6"/>
  <c r="M1488" i="6"/>
  <c r="K1489" i="6"/>
  <c r="M1489" i="6"/>
  <c r="K1490" i="6"/>
  <c r="M1490" i="6"/>
  <c r="K1491" i="6"/>
  <c r="M1491" i="6"/>
  <c r="K1492" i="6"/>
  <c r="M1492" i="6"/>
  <c r="K1493" i="6"/>
  <c r="M1493" i="6"/>
  <c r="K1494" i="6"/>
  <c r="M1494" i="6"/>
  <c r="K1495" i="6"/>
  <c r="M1495" i="6"/>
  <c r="K1496" i="6"/>
  <c r="M1496" i="6"/>
  <c r="K1497" i="6"/>
  <c r="M1497" i="6"/>
  <c r="K1498" i="6"/>
  <c r="M1498" i="6"/>
  <c r="K1499" i="6"/>
  <c r="M1499" i="6"/>
  <c r="K1500" i="6"/>
  <c r="M1500" i="6"/>
  <c r="K1501" i="6"/>
  <c r="M1501" i="6"/>
  <c r="K1502" i="6"/>
  <c r="M1502" i="6"/>
  <c r="K1503" i="6"/>
  <c r="M1503" i="6"/>
  <c r="K1504" i="6"/>
  <c r="M1504" i="6"/>
  <c r="K1505" i="6"/>
  <c r="M1505" i="6"/>
  <c r="K1506" i="6"/>
  <c r="M1506" i="6"/>
  <c r="K1507" i="6"/>
  <c r="M1507" i="6"/>
  <c r="K1508" i="6"/>
  <c r="M1508" i="6"/>
  <c r="K1509" i="6"/>
  <c r="M1509" i="6"/>
  <c r="K1510" i="6"/>
  <c r="M1510" i="6"/>
  <c r="K1511" i="6"/>
  <c r="M1511" i="6"/>
  <c r="K1512" i="6"/>
  <c r="M1512" i="6"/>
  <c r="K1513" i="6"/>
  <c r="M1513" i="6"/>
  <c r="K1514" i="6"/>
  <c r="M1514" i="6"/>
  <c r="K1515" i="6"/>
  <c r="M1515" i="6"/>
  <c r="K1516" i="6"/>
  <c r="M1516" i="6"/>
  <c r="K1517" i="6"/>
  <c r="M1517" i="6"/>
  <c r="K1518" i="6"/>
  <c r="M1518" i="6"/>
  <c r="K1519" i="6"/>
  <c r="M1519" i="6"/>
  <c r="K1520" i="6"/>
  <c r="M1520" i="6"/>
  <c r="K1521" i="6"/>
  <c r="M1521" i="6"/>
  <c r="K1522" i="6"/>
  <c r="M1522" i="6"/>
  <c r="K1523" i="6"/>
  <c r="M1523" i="6"/>
  <c r="K1524" i="6"/>
  <c r="M1524" i="6"/>
  <c r="K1525" i="6"/>
  <c r="M1525" i="6"/>
  <c r="K1526" i="6"/>
  <c r="M1526" i="6"/>
  <c r="K1527" i="6"/>
  <c r="M1527" i="6"/>
  <c r="K1528" i="6"/>
  <c r="M1528" i="6"/>
  <c r="K1529" i="6"/>
  <c r="M1529" i="6"/>
  <c r="K1530" i="6"/>
  <c r="M1530" i="6"/>
  <c r="K1531" i="6"/>
  <c r="M1531" i="6"/>
  <c r="K1532" i="6"/>
  <c r="M1532" i="6"/>
  <c r="K1533" i="6"/>
  <c r="M1533" i="6"/>
  <c r="K1534" i="6"/>
  <c r="M1534" i="6"/>
  <c r="K1535" i="6"/>
  <c r="M1535" i="6"/>
  <c r="K1536" i="6"/>
  <c r="M1536" i="6"/>
  <c r="K1537" i="6"/>
  <c r="M1537" i="6"/>
  <c r="K1538" i="6"/>
  <c r="M1538" i="6"/>
  <c r="K1539" i="6"/>
  <c r="M1539" i="6"/>
  <c r="K1540" i="6"/>
  <c r="M1540" i="6"/>
  <c r="K1541" i="6"/>
  <c r="M1541" i="6"/>
  <c r="K1542" i="6"/>
  <c r="M1542" i="6"/>
  <c r="K1543" i="6"/>
  <c r="M1543" i="6"/>
  <c r="K1544" i="6"/>
  <c r="M1544" i="6"/>
  <c r="K1545" i="6"/>
  <c r="M1545" i="6"/>
  <c r="K1546" i="6"/>
  <c r="M1546" i="6"/>
  <c r="K1547" i="6"/>
  <c r="M1547" i="6"/>
  <c r="K1548" i="6"/>
  <c r="M1548" i="6"/>
  <c r="K1549" i="6"/>
  <c r="M1549" i="6"/>
  <c r="K1550" i="6"/>
  <c r="M1550" i="6"/>
  <c r="K1551" i="6"/>
  <c r="M1551" i="6"/>
  <c r="K1552" i="6"/>
  <c r="M1552" i="6"/>
  <c r="K1553" i="6"/>
  <c r="M1553" i="6"/>
  <c r="K1554" i="6"/>
  <c r="M1554" i="6"/>
  <c r="K1555" i="6"/>
  <c r="M1555" i="6"/>
  <c r="K1556" i="6"/>
  <c r="M1556" i="6"/>
  <c r="K1557" i="6"/>
  <c r="M1557" i="6"/>
  <c r="K1558" i="6"/>
  <c r="M1558" i="6"/>
  <c r="K1559" i="6"/>
  <c r="M1559" i="6"/>
  <c r="K1560" i="6"/>
  <c r="M1560" i="6"/>
  <c r="K1561" i="6"/>
  <c r="M1561" i="6"/>
  <c r="K1562" i="6"/>
  <c r="M1562" i="6"/>
  <c r="K1563" i="6"/>
  <c r="M1563" i="6"/>
  <c r="K1564" i="6"/>
  <c r="M1564" i="6"/>
  <c r="K1565" i="6"/>
  <c r="M1565" i="6"/>
  <c r="K1566" i="6"/>
  <c r="M1566" i="6"/>
  <c r="K1567" i="6"/>
  <c r="M1567" i="6"/>
  <c r="K1568" i="6"/>
  <c r="M1568" i="6"/>
  <c r="K1569" i="6"/>
  <c r="M1569" i="6"/>
  <c r="K1570" i="6"/>
  <c r="M1570" i="6"/>
  <c r="K1571" i="6"/>
  <c r="M1571" i="6"/>
  <c r="K1572" i="6"/>
  <c r="M1572" i="6"/>
  <c r="K1573" i="6"/>
  <c r="M1573" i="6"/>
  <c r="K1574" i="6"/>
  <c r="M1574" i="6"/>
  <c r="K1575" i="6"/>
  <c r="M1575" i="6"/>
  <c r="K1576" i="6"/>
  <c r="M1576" i="6"/>
  <c r="K1577" i="6"/>
  <c r="M1577" i="6"/>
  <c r="K1578" i="6"/>
  <c r="M1578" i="6"/>
  <c r="K1579" i="6"/>
  <c r="M1579" i="6"/>
  <c r="K1580" i="6"/>
  <c r="M1580" i="6"/>
  <c r="K1581" i="6"/>
  <c r="M1581" i="6"/>
  <c r="K1582" i="6"/>
  <c r="M1582" i="6"/>
  <c r="K1583" i="6"/>
  <c r="M1583" i="6"/>
  <c r="K1584" i="6"/>
  <c r="M1584" i="6"/>
  <c r="K1585" i="6"/>
  <c r="M1585" i="6"/>
  <c r="K1586" i="6"/>
  <c r="M1586" i="6"/>
  <c r="K1587" i="6"/>
  <c r="M1587" i="6"/>
  <c r="K1588" i="6"/>
  <c r="M1588" i="6"/>
  <c r="K1589" i="6"/>
  <c r="M1589" i="6"/>
  <c r="K1590" i="6"/>
  <c r="M1590" i="6"/>
  <c r="K1591" i="6"/>
  <c r="M1591" i="6"/>
  <c r="K1592" i="6"/>
  <c r="M1592" i="6"/>
  <c r="K1593" i="6"/>
  <c r="M1593" i="6"/>
  <c r="K1594" i="6"/>
  <c r="M1594" i="6"/>
  <c r="K1595" i="6"/>
  <c r="M1595" i="6"/>
  <c r="K1596" i="6"/>
  <c r="M1596" i="6"/>
  <c r="K1597" i="6"/>
  <c r="M1597" i="6"/>
  <c r="K1598" i="6"/>
  <c r="M1598" i="6"/>
  <c r="K1599" i="6"/>
  <c r="M1599" i="6"/>
  <c r="K1600" i="6"/>
  <c r="M1600" i="6"/>
  <c r="K1601" i="6"/>
  <c r="M1601" i="6"/>
  <c r="K1602" i="6"/>
  <c r="M1602" i="6"/>
  <c r="K1603" i="6"/>
  <c r="M1603" i="6"/>
  <c r="K1604" i="6"/>
  <c r="M1604" i="6"/>
  <c r="K1605" i="6"/>
  <c r="M1605" i="6"/>
  <c r="K1606" i="6"/>
  <c r="M1606" i="6"/>
  <c r="K1607" i="6"/>
  <c r="M1607" i="6"/>
  <c r="K1608" i="6"/>
  <c r="M1608" i="6"/>
  <c r="K1609" i="6"/>
  <c r="M1609" i="6"/>
  <c r="K1610" i="6"/>
  <c r="M1610" i="6"/>
  <c r="K1611" i="6"/>
  <c r="M1611" i="6"/>
  <c r="K1612" i="6"/>
  <c r="M1612" i="6"/>
  <c r="K1613" i="6"/>
  <c r="M1613" i="6"/>
  <c r="K1614" i="6"/>
  <c r="M1614" i="6"/>
  <c r="K1615" i="6"/>
  <c r="M1615" i="6"/>
  <c r="K1616" i="6"/>
  <c r="M1616" i="6"/>
  <c r="K1617" i="6"/>
  <c r="M1617" i="6"/>
  <c r="K1618" i="6"/>
  <c r="M1618" i="6"/>
  <c r="K1619" i="6"/>
  <c r="M1619" i="6"/>
  <c r="K1620" i="6"/>
  <c r="M1620" i="6"/>
  <c r="K1621" i="6"/>
  <c r="M1621" i="6"/>
  <c r="K1622" i="6"/>
  <c r="M1622" i="6"/>
  <c r="K1623" i="6"/>
  <c r="M1623" i="6"/>
  <c r="K1624" i="6"/>
  <c r="M1624" i="6"/>
  <c r="K1625" i="6"/>
  <c r="M1625" i="6"/>
  <c r="K1626" i="6"/>
  <c r="M1626" i="6"/>
  <c r="K1627" i="6"/>
  <c r="M1627" i="6"/>
  <c r="K1628" i="6"/>
  <c r="M1628" i="6"/>
  <c r="K1629" i="6"/>
  <c r="M1629" i="6"/>
  <c r="K1630" i="6"/>
  <c r="M1630" i="6"/>
  <c r="K1631" i="6"/>
  <c r="M1631" i="6"/>
  <c r="K1632" i="6"/>
  <c r="M1632" i="6"/>
  <c r="K1633" i="6"/>
  <c r="M1633" i="6"/>
  <c r="K1634" i="6"/>
  <c r="M1634" i="6"/>
  <c r="K1635" i="6"/>
  <c r="M1635" i="6"/>
  <c r="K1636" i="6"/>
  <c r="M1636" i="6"/>
  <c r="K1637" i="6"/>
  <c r="M1637" i="6"/>
  <c r="K1638" i="6"/>
  <c r="M1638" i="6"/>
  <c r="K1639" i="6"/>
  <c r="M1639" i="6"/>
  <c r="K1640" i="6"/>
  <c r="M1640" i="6"/>
  <c r="K1641" i="6"/>
  <c r="M1641" i="6"/>
  <c r="K1642" i="6"/>
  <c r="M1642" i="6"/>
  <c r="K1643" i="6"/>
  <c r="M1643" i="6"/>
  <c r="K1644" i="6"/>
  <c r="M1644" i="6"/>
  <c r="K1645" i="6"/>
  <c r="M1645" i="6"/>
  <c r="K1646" i="6"/>
  <c r="M1646" i="6"/>
  <c r="K1647" i="6"/>
  <c r="M1647" i="6"/>
  <c r="K1648" i="6"/>
  <c r="M1648" i="6"/>
  <c r="K1649" i="6"/>
  <c r="M1649" i="6"/>
  <c r="K1650" i="6"/>
  <c r="M1650" i="6"/>
  <c r="K1651" i="6"/>
  <c r="M1651" i="6"/>
  <c r="K1652" i="6"/>
  <c r="M1652" i="6"/>
  <c r="K1653" i="6"/>
  <c r="M1653" i="6"/>
  <c r="K1654" i="6"/>
  <c r="M1654" i="6"/>
  <c r="K1655" i="6"/>
  <c r="M1655" i="6"/>
  <c r="K1656" i="6"/>
  <c r="M1656" i="6"/>
  <c r="K1657" i="6"/>
  <c r="M1657" i="6"/>
  <c r="K1658" i="6"/>
  <c r="M1658" i="6"/>
  <c r="K1659" i="6"/>
  <c r="M1659" i="6"/>
  <c r="K1660" i="6"/>
  <c r="M1660" i="6"/>
  <c r="K1661" i="6"/>
  <c r="M1661" i="6"/>
  <c r="K1662" i="6"/>
  <c r="M1662" i="6"/>
  <c r="K1663" i="6"/>
  <c r="M1663" i="6"/>
  <c r="K1664" i="6"/>
  <c r="M1664" i="6"/>
  <c r="K1665" i="6"/>
  <c r="M1665" i="6"/>
  <c r="K1666" i="6"/>
  <c r="M1666" i="6"/>
  <c r="K1667" i="6"/>
  <c r="M1667" i="6"/>
  <c r="K1668" i="6"/>
  <c r="M1668" i="6"/>
  <c r="K1669" i="6"/>
  <c r="M1669" i="6"/>
  <c r="K1670" i="6"/>
  <c r="M1670" i="6"/>
  <c r="K1671" i="6"/>
  <c r="M1671" i="6"/>
  <c r="K1672" i="6"/>
  <c r="M1672" i="6"/>
  <c r="K1673" i="6"/>
  <c r="M1673" i="6"/>
  <c r="K1674" i="6"/>
  <c r="M1674" i="6"/>
  <c r="K1675" i="6"/>
  <c r="M1675" i="6"/>
  <c r="K1676" i="6"/>
  <c r="M1676" i="6"/>
  <c r="K1677" i="6"/>
  <c r="M1677" i="6"/>
  <c r="K1678" i="6"/>
  <c r="M1678" i="6"/>
  <c r="K1679" i="6"/>
  <c r="M1679" i="6"/>
  <c r="K1680" i="6"/>
  <c r="M1680" i="6"/>
  <c r="K1681" i="6"/>
  <c r="M1681" i="6"/>
  <c r="K1682" i="6"/>
  <c r="M1682" i="6"/>
  <c r="K1683" i="6"/>
  <c r="M1683" i="6"/>
  <c r="K1684" i="6"/>
  <c r="M1684" i="6"/>
  <c r="K1685" i="6"/>
  <c r="M1685" i="6"/>
  <c r="K1686" i="6"/>
  <c r="M1686" i="6"/>
  <c r="K1687" i="6"/>
  <c r="M1687" i="6"/>
  <c r="K1688" i="6"/>
  <c r="M1688" i="6"/>
  <c r="K1689" i="6"/>
  <c r="M1689" i="6"/>
  <c r="K1690" i="6"/>
  <c r="M1690" i="6"/>
  <c r="K1691" i="6"/>
  <c r="M1691" i="6"/>
  <c r="K1692" i="6"/>
  <c r="M1692" i="6"/>
  <c r="K1693" i="6"/>
  <c r="M1693" i="6"/>
  <c r="K1694" i="6"/>
  <c r="M1694" i="6"/>
  <c r="K1695" i="6"/>
  <c r="M1695" i="6"/>
  <c r="K1696" i="6"/>
  <c r="M1696" i="6"/>
  <c r="K1697" i="6"/>
  <c r="M1697" i="6"/>
  <c r="K1698" i="6"/>
  <c r="M1698" i="6"/>
  <c r="K1699" i="6"/>
  <c r="M1699" i="6"/>
  <c r="K1700" i="6"/>
  <c r="M1700" i="6"/>
  <c r="K1701" i="6"/>
  <c r="M1701" i="6"/>
  <c r="K1702" i="6"/>
  <c r="M1702" i="6"/>
  <c r="K1703" i="6"/>
  <c r="M1703" i="6"/>
  <c r="K1704" i="6"/>
  <c r="M1704" i="6"/>
  <c r="K1705" i="6"/>
  <c r="M1705" i="6"/>
  <c r="K1706" i="6"/>
  <c r="M1706" i="6"/>
  <c r="K1707" i="6"/>
  <c r="M1707" i="6"/>
  <c r="K1708" i="6"/>
  <c r="M1708" i="6"/>
  <c r="K1709" i="6"/>
  <c r="M1709" i="6"/>
  <c r="K1710" i="6"/>
  <c r="M1710" i="6"/>
  <c r="K1711" i="6"/>
  <c r="M1711" i="6"/>
  <c r="K1712" i="6"/>
  <c r="M1712" i="6"/>
  <c r="K1713" i="6"/>
  <c r="M1713" i="6"/>
  <c r="K1714" i="6"/>
  <c r="M1714" i="6"/>
  <c r="K1715" i="6"/>
  <c r="M1715" i="6"/>
  <c r="K1716" i="6"/>
  <c r="M1716" i="6"/>
  <c r="K1717" i="6"/>
  <c r="M1717" i="6"/>
  <c r="K1718" i="6"/>
  <c r="M1718" i="6"/>
  <c r="K1719" i="6"/>
  <c r="M1719" i="6"/>
  <c r="K1720" i="6"/>
  <c r="M1720" i="6"/>
  <c r="K1721" i="6"/>
  <c r="M1721" i="6"/>
  <c r="K1722" i="6"/>
  <c r="M1722" i="6"/>
  <c r="K1723" i="6"/>
  <c r="M1723" i="6"/>
  <c r="K1724" i="6"/>
  <c r="M1724" i="6"/>
  <c r="K1725" i="6"/>
  <c r="M1725" i="6"/>
  <c r="K1726" i="6"/>
  <c r="M1726" i="6"/>
  <c r="K1727" i="6"/>
  <c r="M1727" i="6"/>
  <c r="K1728" i="6"/>
  <c r="M1728" i="6"/>
  <c r="K1729" i="6"/>
  <c r="M1729" i="6"/>
  <c r="K1730" i="6"/>
  <c r="M1730" i="6"/>
  <c r="K1731" i="6"/>
  <c r="M1731" i="6"/>
  <c r="K1732" i="6"/>
  <c r="M1732" i="6"/>
  <c r="K1733" i="6"/>
  <c r="M1733" i="6"/>
  <c r="K1734" i="6"/>
  <c r="M1734" i="6"/>
  <c r="K1735" i="6"/>
  <c r="M1735" i="6"/>
  <c r="K1736" i="6"/>
  <c r="M1736" i="6"/>
  <c r="K1737" i="6"/>
  <c r="M1737" i="6"/>
  <c r="K1738" i="6"/>
  <c r="M1738" i="6"/>
  <c r="K1739" i="6"/>
  <c r="M1739" i="6"/>
  <c r="K1740" i="6"/>
  <c r="M1740" i="6"/>
  <c r="K1741" i="6"/>
  <c r="M1741" i="6"/>
  <c r="K1742" i="6"/>
  <c r="M1742" i="6"/>
  <c r="K1743" i="6"/>
  <c r="M1743" i="6"/>
  <c r="K1744" i="6"/>
  <c r="M1744" i="6"/>
  <c r="K1745" i="6"/>
  <c r="M1745" i="6"/>
  <c r="K1746" i="6"/>
  <c r="M1746" i="6"/>
  <c r="K1747" i="6"/>
  <c r="M1747" i="6"/>
  <c r="K1748" i="6"/>
  <c r="M1748" i="6"/>
  <c r="K1749" i="6"/>
  <c r="M1749" i="6"/>
  <c r="K1750" i="6"/>
  <c r="M1750" i="6"/>
  <c r="K1751" i="6"/>
  <c r="M1751" i="6"/>
  <c r="K1752" i="6"/>
  <c r="M1752" i="6"/>
  <c r="K1753" i="6"/>
  <c r="M1753" i="6"/>
  <c r="K1754" i="6"/>
  <c r="M1754" i="6"/>
  <c r="K1755" i="6"/>
  <c r="M1755" i="6"/>
  <c r="K1756" i="6"/>
  <c r="M1756" i="6"/>
  <c r="K1757" i="6"/>
  <c r="M1757" i="6"/>
  <c r="K1758" i="6"/>
  <c r="M1758" i="6"/>
  <c r="K1759" i="6"/>
  <c r="M1759" i="6"/>
  <c r="K1760" i="6"/>
  <c r="M1760" i="6"/>
  <c r="K1761" i="6"/>
  <c r="M1761" i="6"/>
  <c r="K1762" i="6"/>
  <c r="M1762" i="6"/>
  <c r="K1763" i="6"/>
  <c r="M1763" i="6"/>
  <c r="K1764" i="6"/>
  <c r="M1764" i="6"/>
  <c r="K1765" i="6"/>
  <c r="M1765" i="6"/>
  <c r="K1766" i="6"/>
  <c r="M1766" i="6"/>
  <c r="K1767" i="6"/>
  <c r="M1767" i="6"/>
  <c r="K1768" i="6"/>
  <c r="M1768" i="6"/>
  <c r="K1769" i="6"/>
  <c r="M1769" i="6"/>
  <c r="K1770" i="6"/>
  <c r="M1770" i="6"/>
  <c r="K1771" i="6"/>
  <c r="M1771" i="6"/>
  <c r="K1772" i="6"/>
  <c r="M1772" i="6"/>
  <c r="K1773" i="6"/>
  <c r="M1773" i="6"/>
  <c r="K1774" i="6"/>
  <c r="M1774" i="6"/>
  <c r="K1775" i="6"/>
  <c r="M1775" i="6"/>
  <c r="K1776" i="6"/>
  <c r="M1776" i="6"/>
  <c r="K1777" i="6"/>
  <c r="M1777" i="6"/>
  <c r="K1778" i="6"/>
  <c r="M1778" i="6"/>
  <c r="K1779" i="6"/>
  <c r="M1779" i="6"/>
  <c r="K1780" i="6"/>
  <c r="M1780" i="6"/>
  <c r="K1781" i="6"/>
  <c r="M1781" i="6"/>
  <c r="K1782" i="6"/>
  <c r="M1782" i="6"/>
  <c r="K1783" i="6"/>
  <c r="M1783" i="6"/>
  <c r="K1784" i="6"/>
  <c r="M1784" i="6"/>
  <c r="K1785" i="6"/>
  <c r="M1785" i="6"/>
  <c r="K1786" i="6"/>
  <c r="M1786" i="6"/>
  <c r="K1787" i="6"/>
  <c r="M1787" i="6"/>
  <c r="K1788" i="6"/>
  <c r="M1788" i="6"/>
  <c r="K1789" i="6"/>
  <c r="M1789" i="6"/>
  <c r="K1790" i="6"/>
  <c r="M1790" i="6"/>
  <c r="K1791" i="6"/>
  <c r="M1791" i="6"/>
  <c r="K1792" i="6"/>
  <c r="M1792" i="6"/>
  <c r="K1793" i="6"/>
  <c r="M1793" i="6"/>
  <c r="K1794" i="6"/>
  <c r="M1794" i="6"/>
  <c r="K1795" i="6"/>
  <c r="M1795" i="6"/>
  <c r="K1796" i="6"/>
  <c r="M1796" i="6"/>
  <c r="K1797" i="6"/>
  <c r="M1797" i="6"/>
  <c r="K1798" i="6"/>
  <c r="M1798" i="6"/>
  <c r="K1799" i="6"/>
  <c r="M1799" i="6"/>
  <c r="K1800" i="6"/>
  <c r="M1800" i="6"/>
  <c r="K1801" i="6"/>
  <c r="M1801" i="6"/>
  <c r="K1802" i="6"/>
  <c r="M1802" i="6"/>
  <c r="K1803" i="6"/>
  <c r="M1803" i="6"/>
  <c r="K1804" i="6"/>
  <c r="M1804" i="6"/>
  <c r="K1805" i="6"/>
  <c r="M1805" i="6"/>
  <c r="K1806" i="6"/>
  <c r="M1806" i="6"/>
  <c r="K1807" i="6"/>
  <c r="M1807" i="6"/>
  <c r="K1808" i="6"/>
  <c r="M1808" i="6"/>
  <c r="K1809" i="6"/>
  <c r="M1809" i="6"/>
  <c r="K1810" i="6"/>
  <c r="M1810" i="6"/>
  <c r="K1811" i="6"/>
  <c r="M1811" i="6"/>
  <c r="K1812" i="6"/>
  <c r="M1812" i="6"/>
  <c r="K1813" i="6"/>
  <c r="M1813" i="6"/>
  <c r="K1814" i="6"/>
  <c r="M1814" i="6"/>
  <c r="K1815" i="6"/>
  <c r="M1815" i="6"/>
  <c r="K1816" i="6"/>
  <c r="M1816" i="6"/>
  <c r="K1817" i="6"/>
  <c r="M1817" i="6"/>
  <c r="K1818" i="6"/>
  <c r="M1818" i="6"/>
  <c r="K1819" i="6"/>
  <c r="M1819" i="6"/>
  <c r="K1820" i="6"/>
  <c r="M1820" i="6"/>
  <c r="K1821" i="6"/>
  <c r="M1821" i="6"/>
  <c r="K1822" i="6"/>
  <c r="M1822" i="6"/>
  <c r="K1823" i="6"/>
  <c r="M1823" i="6"/>
  <c r="K1824" i="6"/>
  <c r="M1824" i="6"/>
  <c r="K1825" i="6"/>
  <c r="M1825" i="6"/>
  <c r="K1826" i="6"/>
  <c r="M1826" i="6"/>
  <c r="K1827" i="6"/>
  <c r="M1827" i="6"/>
  <c r="K1828" i="6"/>
  <c r="M1828" i="6"/>
  <c r="K1829" i="6"/>
  <c r="M1829" i="6"/>
  <c r="K1830" i="6"/>
  <c r="M1830" i="6"/>
  <c r="K1831" i="6"/>
  <c r="M1831" i="6"/>
  <c r="K1832" i="6"/>
  <c r="M1832" i="6"/>
  <c r="K1833" i="6"/>
  <c r="M1833" i="6"/>
  <c r="K1834" i="6"/>
  <c r="M1834" i="6"/>
  <c r="K1835" i="6"/>
  <c r="M1835" i="6"/>
  <c r="K1836" i="6"/>
  <c r="M1836" i="6"/>
  <c r="K1837" i="6"/>
  <c r="M1837" i="6"/>
  <c r="K1838" i="6"/>
  <c r="M1838" i="6"/>
  <c r="K1839" i="6"/>
  <c r="M1839" i="6"/>
  <c r="K1840" i="6"/>
  <c r="M1840" i="6"/>
  <c r="K1841" i="6"/>
  <c r="M1841" i="6"/>
  <c r="K1842" i="6"/>
  <c r="M1842" i="6"/>
  <c r="K1843" i="6"/>
  <c r="M1843" i="6"/>
  <c r="K1844" i="6"/>
  <c r="M1844" i="6"/>
  <c r="K1845" i="6"/>
  <c r="M1845" i="6"/>
  <c r="K1846" i="6"/>
  <c r="M1846" i="6"/>
  <c r="K1847" i="6"/>
  <c r="M1847" i="6"/>
  <c r="K1848" i="6"/>
  <c r="M1848" i="6"/>
  <c r="K1849" i="6"/>
  <c r="M1849" i="6"/>
  <c r="K1850" i="6"/>
  <c r="M1850" i="6"/>
  <c r="K1851" i="6"/>
  <c r="M1851" i="6"/>
  <c r="K1852" i="6"/>
  <c r="M1852" i="6"/>
  <c r="K1853" i="6"/>
  <c r="M1853" i="6"/>
  <c r="K1854" i="6"/>
  <c r="M1854" i="6"/>
  <c r="K1855" i="6"/>
  <c r="M1855" i="6"/>
  <c r="K1856" i="6"/>
  <c r="M1856" i="6"/>
  <c r="K1857" i="6"/>
  <c r="M1857" i="6"/>
  <c r="K1858" i="6"/>
  <c r="M1858" i="6"/>
  <c r="K1859" i="6"/>
  <c r="M1859" i="6"/>
  <c r="K1860" i="6"/>
  <c r="M1860" i="6"/>
  <c r="K1861" i="6"/>
  <c r="M1861" i="6"/>
  <c r="K1862" i="6"/>
  <c r="M1862" i="6"/>
  <c r="K1863" i="6"/>
  <c r="M1863" i="6"/>
  <c r="K1864" i="6"/>
  <c r="M1864" i="6"/>
  <c r="K1865" i="6"/>
  <c r="M1865" i="6"/>
  <c r="K1866" i="6"/>
  <c r="M1866" i="6"/>
  <c r="K1867" i="6"/>
  <c r="M1867" i="6"/>
  <c r="K1868" i="6"/>
  <c r="M1868" i="6"/>
  <c r="K1869" i="6"/>
  <c r="M1869" i="6"/>
  <c r="K1870" i="6"/>
  <c r="M1870" i="6"/>
  <c r="K1871" i="6"/>
  <c r="M1871" i="6"/>
  <c r="K1872" i="6"/>
  <c r="M1872" i="6"/>
  <c r="K1873" i="6"/>
  <c r="M1873" i="6"/>
  <c r="K1874" i="6"/>
  <c r="M1874" i="6"/>
  <c r="K1875" i="6"/>
  <c r="M1875" i="6"/>
  <c r="K1876" i="6"/>
  <c r="M1876" i="6"/>
  <c r="K1877" i="6"/>
  <c r="M1877" i="6"/>
  <c r="K1878" i="6"/>
  <c r="M1878" i="6"/>
  <c r="K1879" i="6"/>
  <c r="M1879" i="6"/>
  <c r="K1880" i="6"/>
  <c r="M1880" i="6"/>
  <c r="K1881" i="6"/>
  <c r="M1881" i="6"/>
  <c r="K1882" i="6"/>
  <c r="M1882" i="6"/>
  <c r="K1883" i="6"/>
  <c r="M1883" i="6"/>
  <c r="K1884" i="6"/>
  <c r="M1884" i="6"/>
  <c r="K1885" i="6"/>
  <c r="M1885" i="6"/>
  <c r="K1886" i="6"/>
  <c r="M1886" i="6"/>
  <c r="K1887" i="6"/>
  <c r="M1887" i="6"/>
  <c r="K1888" i="6"/>
  <c r="M1888" i="6"/>
  <c r="K1889" i="6"/>
  <c r="M1889" i="6"/>
  <c r="K1890" i="6"/>
  <c r="M1890" i="6"/>
  <c r="K1891" i="6"/>
  <c r="M1891" i="6"/>
  <c r="K1892" i="6"/>
  <c r="M1892" i="6"/>
  <c r="K1893" i="6"/>
  <c r="M1893" i="6"/>
  <c r="K1894" i="6"/>
  <c r="M1894" i="6"/>
  <c r="K1895" i="6"/>
  <c r="M1895" i="6"/>
  <c r="K1896" i="6"/>
  <c r="M1896" i="6"/>
  <c r="K1897" i="6"/>
  <c r="M1897" i="6"/>
  <c r="K1898" i="6"/>
  <c r="M1898" i="6"/>
  <c r="K1899" i="6"/>
  <c r="M1899" i="6"/>
  <c r="K1900" i="6"/>
  <c r="M1900" i="6"/>
  <c r="K1901" i="6"/>
  <c r="M1901" i="6"/>
  <c r="K1902" i="6"/>
  <c r="M1902" i="6"/>
  <c r="K1903" i="6"/>
  <c r="M1903" i="6"/>
  <c r="K1904" i="6"/>
  <c r="M1904" i="6"/>
  <c r="K1905" i="6"/>
  <c r="M1905" i="6"/>
  <c r="K1906" i="6"/>
  <c r="M1906" i="6"/>
  <c r="K1907" i="6"/>
  <c r="M1907" i="6"/>
  <c r="K1908" i="6"/>
  <c r="M1908" i="6"/>
  <c r="K1909" i="6"/>
  <c r="M1909" i="6"/>
  <c r="K1910" i="6"/>
  <c r="M1910" i="6"/>
  <c r="K1911" i="6"/>
  <c r="M1911" i="6"/>
  <c r="K1912" i="6"/>
  <c r="M1912" i="6"/>
  <c r="K1913" i="6"/>
  <c r="M1913" i="6"/>
  <c r="K1914" i="6"/>
  <c r="M1914" i="6"/>
  <c r="K1915" i="6"/>
  <c r="M1915" i="6"/>
  <c r="K1916" i="6"/>
  <c r="M1916" i="6"/>
  <c r="K1917" i="6"/>
  <c r="M1917" i="6"/>
  <c r="K1918" i="6"/>
  <c r="M1918" i="6"/>
  <c r="K1919" i="6"/>
  <c r="M1919" i="6"/>
  <c r="K1920" i="6"/>
  <c r="M1920" i="6"/>
  <c r="K1921" i="6"/>
  <c r="M1921" i="6"/>
  <c r="K1922" i="6"/>
  <c r="M1922" i="6"/>
  <c r="K1923" i="6"/>
  <c r="M1923" i="6"/>
  <c r="K1924" i="6"/>
  <c r="M1924" i="6"/>
  <c r="K1925" i="6"/>
  <c r="M1925" i="6"/>
  <c r="K1926" i="6"/>
  <c r="M1926" i="6"/>
  <c r="K1927" i="6"/>
  <c r="M1927" i="6"/>
  <c r="K1928" i="6"/>
  <c r="M1928" i="6"/>
  <c r="K1929" i="6"/>
  <c r="M1929" i="6"/>
  <c r="K1930" i="6"/>
  <c r="M1930" i="6"/>
  <c r="K1931" i="6"/>
  <c r="M1931" i="6"/>
  <c r="K1932" i="6"/>
  <c r="M1932" i="6"/>
  <c r="K1933" i="6"/>
  <c r="M1933" i="6"/>
  <c r="K1934" i="6"/>
  <c r="M1934" i="6"/>
  <c r="K1935" i="6"/>
  <c r="M1935" i="6"/>
  <c r="K1936" i="6"/>
  <c r="M1936" i="6"/>
  <c r="K1937" i="6"/>
  <c r="M1937" i="6"/>
  <c r="K1938" i="6"/>
  <c r="M1938" i="6"/>
  <c r="K1939" i="6"/>
  <c r="M1939" i="6"/>
  <c r="K1940" i="6"/>
  <c r="M1940" i="6"/>
  <c r="K1941" i="6"/>
  <c r="M1941" i="6"/>
  <c r="K1942" i="6"/>
  <c r="M1942" i="6"/>
  <c r="K1943" i="6"/>
  <c r="M1943" i="6"/>
  <c r="K1944" i="6"/>
  <c r="M1944" i="6"/>
  <c r="K1945" i="6"/>
  <c r="M1945" i="6"/>
  <c r="K1946" i="6"/>
  <c r="M1946" i="6"/>
  <c r="K1947" i="6"/>
  <c r="M1947" i="6"/>
  <c r="K1948" i="6"/>
  <c r="M1948" i="6"/>
  <c r="K1949" i="6"/>
  <c r="M1949" i="6"/>
  <c r="K1950" i="6"/>
  <c r="M1950" i="6"/>
  <c r="K1951" i="6"/>
  <c r="M1951" i="6"/>
  <c r="K1952" i="6"/>
  <c r="M1952" i="6"/>
  <c r="K1953" i="6"/>
  <c r="M1953" i="6"/>
  <c r="K1954" i="6"/>
  <c r="M1954" i="6"/>
  <c r="K1955" i="6"/>
  <c r="M1955" i="6"/>
  <c r="K1956" i="6"/>
  <c r="M1956" i="6"/>
  <c r="K1957" i="6"/>
  <c r="M1957" i="6"/>
  <c r="K1958" i="6"/>
  <c r="M1958" i="6"/>
  <c r="K1959" i="6"/>
  <c r="M1959" i="6"/>
  <c r="K1960" i="6"/>
  <c r="M1960" i="6"/>
  <c r="K1961" i="6"/>
  <c r="M1961" i="6"/>
  <c r="K1962" i="6"/>
  <c r="M1962" i="6"/>
  <c r="K1963" i="6"/>
  <c r="M1963" i="6"/>
  <c r="K1964" i="6"/>
  <c r="M1964" i="6"/>
  <c r="K1965" i="6"/>
  <c r="M1965" i="6"/>
  <c r="K1966" i="6"/>
  <c r="M1966" i="6"/>
  <c r="K1967" i="6"/>
  <c r="M1967" i="6"/>
  <c r="K1968" i="6"/>
  <c r="M1968" i="6"/>
  <c r="K1969" i="6"/>
  <c r="M1969" i="6"/>
  <c r="K1970" i="6"/>
  <c r="M1970" i="6"/>
  <c r="K1971" i="6"/>
  <c r="M1971" i="6"/>
  <c r="K1972" i="6"/>
  <c r="M1972" i="6"/>
  <c r="K1973" i="6"/>
  <c r="M1973" i="6"/>
  <c r="K1974" i="6"/>
  <c r="M1974" i="6"/>
  <c r="K1975" i="6"/>
  <c r="M1975" i="6"/>
  <c r="K1976" i="6"/>
  <c r="M1976" i="6"/>
  <c r="K1977" i="6"/>
  <c r="M1977" i="6"/>
  <c r="K1978" i="6"/>
  <c r="M1978" i="6"/>
  <c r="K1979" i="6"/>
  <c r="M1979" i="6"/>
  <c r="K1980" i="6"/>
  <c r="M1980" i="6"/>
  <c r="K1981" i="6"/>
  <c r="M1981" i="6"/>
  <c r="K1982" i="6"/>
  <c r="M1982" i="6"/>
  <c r="K1983" i="6"/>
  <c r="M1983" i="6"/>
  <c r="K1984" i="6"/>
  <c r="M1984" i="6"/>
  <c r="K1985" i="6"/>
  <c r="M1985" i="6"/>
  <c r="K1986" i="6"/>
  <c r="M1986" i="6"/>
  <c r="K1987" i="6"/>
  <c r="M1987" i="6"/>
  <c r="K1988" i="6"/>
  <c r="M1988" i="6"/>
  <c r="K1989" i="6"/>
  <c r="M1989" i="6"/>
  <c r="K1990" i="6"/>
  <c r="M1990" i="6"/>
  <c r="K1991" i="6"/>
  <c r="M1991" i="6"/>
  <c r="K1992" i="6"/>
  <c r="M1992" i="6"/>
  <c r="K1993" i="6"/>
  <c r="M1993" i="6"/>
  <c r="K1994" i="6"/>
  <c r="M1994" i="6"/>
  <c r="K1995" i="6"/>
  <c r="M1995" i="6"/>
  <c r="K1996" i="6"/>
  <c r="M1996" i="6"/>
  <c r="K1997" i="6"/>
  <c r="M1997" i="6"/>
  <c r="K1998" i="6"/>
  <c r="M1998" i="6"/>
  <c r="K1999" i="6"/>
  <c r="M1999" i="6"/>
  <c r="K2000" i="6"/>
  <c r="M2000" i="6"/>
  <c r="K2001" i="6"/>
  <c r="M2001" i="6"/>
  <c r="K2002" i="6"/>
  <c r="M2002" i="6"/>
  <c r="K2003" i="6"/>
  <c r="M2003" i="6"/>
  <c r="K2004" i="6"/>
  <c r="M2004" i="6"/>
  <c r="K2005" i="6"/>
  <c r="M2005" i="6"/>
  <c r="K2006" i="6"/>
  <c r="M2006" i="6"/>
  <c r="K2007" i="6"/>
  <c r="M2007" i="6"/>
  <c r="K2008" i="6"/>
  <c r="M2008" i="6"/>
  <c r="K2009" i="6"/>
  <c r="M2009" i="6"/>
  <c r="K2010" i="6"/>
  <c r="M2010" i="6"/>
  <c r="K2011" i="6"/>
  <c r="M2011" i="6"/>
  <c r="K2012" i="6"/>
  <c r="M2012" i="6"/>
  <c r="K2013" i="6"/>
  <c r="M2013" i="6"/>
  <c r="K2014" i="6"/>
  <c r="M2014" i="6"/>
  <c r="K2015" i="6"/>
  <c r="M2015" i="6"/>
  <c r="K2016" i="6"/>
  <c r="M2016" i="6"/>
  <c r="K2017" i="6"/>
  <c r="M2017" i="6"/>
  <c r="K2018" i="6"/>
  <c r="M2018" i="6"/>
  <c r="K2019" i="6"/>
  <c r="M2019" i="6"/>
  <c r="K2020" i="6"/>
  <c r="M2020" i="6"/>
  <c r="K2021" i="6"/>
  <c r="M2021" i="6"/>
  <c r="K2022" i="6"/>
  <c r="M2022" i="6"/>
  <c r="K2023" i="6"/>
  <c r="M2023" i="6"/>
  <c r="K2024" i="6"/>
  <c r="M2024" i="6"/>
  <c r="K2025" i="6"/>
  <c r="M2025" i="6"/>
  <c r="K2026" i="6"/>
  <c r="M2026" i="6"/>
  <c r="K2027" i="6"/>
  <c r="M2027" i="6"/>
  <c r="K2028" i="6"/>
  <c r="M2028" i="6"/>
  <c r="K2029" i="6"/>
  <c r="M2029" i="6"/>
  <c r="K2030" i="6"/>
  <c r="M2030" i="6"/>
  <c r="K2031" i="6"/>
  <c r="M2031" i="6"/>
  <c r="K2032" i="6"/>
  <c r="M2032" i="6"/>
  <c r="K2033" i="6"/>
  <c r="M2033" i="6"/>
  <c r="K2034" i="6"/>
  <c r="M2034" i="6"/>
  <c r="K2035" i="6"/>
  <c r="M2035" i="6"/>
  <c r="K2036" i="6"/>
  <c r="M2036" i="6"/>
  <c r="K2037" i="6"/>
  <c r="M2037" i="6"/>
  <c r="K2038" i="6"/>
  <c r="M2038" i="6"/>
  <c r="K2039" i="6"/>
  <c r="M2039" i="6"/>
  <c r="K2040" i="6"/>
  <c r="M2040" i="6"/>
  <c r="K2041" i="6"/>
  <c r="M2041" i="6"/>
  <c r="K2042" i="6"/>
  <c r="M2042" i="6"/>
  <c r="K2043" i="6"/>
  <c r="M2043" i="6"/>
  <c r="K2044" i="6"/>
  <c r="M2044" i="6"/>
  <c r="K2045" i="6"/>
  <c r="M2045" i="6"/>
  <c r="K2046" i="6"/>
  <c r="M2046" i="6"/>
  <c r="K2047" i="6"/>
  <c r="M2047" i="6"/>
  <c r="K2048" i="6"/>
  <c r="M2048" i="6"/>
  <c r="K2049" i="6"/>
  <c r="M2049" i="6"/>
  <c r="K2050" i="6"/>
  <c r="M2050" i="6"/>
  <c r="K2051" i="6"/>
  <c r="M2051" i="6"/>
  <c r="K2052" i="6"/>
  <c r="M2052" i="6"/>
  <c r="K2053" i="6"/>
  <c r="M2053" i="6"/>
  <c r="K2054" i="6"/>
  <c r="M2054" i="6"/>
  <c r="K2055" i="6"/>
  <c r="M2055" i="6"/>
  <c r="K2056" i="6"/>
  <c r="M2056" i="6"/>
  <c r="K2057" i="6"/>
  <c r="M2057" i="6"/>
  <c r="K2058" i="6"/>
  <c r="M2058" i="6"/>
  <c r="K2059" i="6"/>
  <c r="M2059" i="6"/>
  <c r="K2060" i="6"/>
  <c r="M2060" i="6"/>
  <c r="K2061" i="6"/>
  <c r="M2061" i="6"/>
  <c r="K2062" i="6"/>
  <c r="M2062" i="6"/>
  <c r="K2063" i="6"/>
  <c r="M2063" i="6"/>
  <c r="K2064" i="6"/>
  <c r="M2064" i="6"/>
  <c r="K2065" i="6"/>
  <c r="M2065" i="6"/>
  <c r="K2066" i="6"/>
  <c r="M2066" i="6"/>
  <c r="K2067" i="6"/>
  <c r="M2067" i="6"/>
  <c r="K2068" i="6"/>
  <c r="M2068" i="6"/>
  <c r="K2069" i="6"/>
  <c r="M2069" i="6"/>
  <c r="K2070" i="6"/>
  <c r="M2070" i="6"/>
  <c r="K2071" i="6"/>
  <c r="M2071" i="6"/>
  <c r="K2072" i="6"/>
  <c r="M2072" i="6"/>
  <c r="K2073" i="6"/>
  <c r="M2073" i="6"/>
  <c r="K2074" i="6"/>
  <c r="M2074" i="6"/>
  <c r="K2075" i="6"/>
  <c r="M2075" i="6"/>
  <c r="K2076" i="6"/>
  <c r="M2076" i="6"/>
  <c r="K2077" i="6"/>
  <c r="M2077" i="6"/>
  <c r="K2078" i="6"/>
  <c r="M2078" i="6"/>
  <c r="K2079" i="6"/>
  <c r="M2079" i="6"/>
  <c r="K2080" i="6"/>
  <c r="M2080" i="6"/>
  <c r="K2081" i="6"/>
  <c r="M2081" i="6"/>
  <c r="K2082" i="6"/>
  <c r="M2082" i="6"/>
  <c r="K2083" i="6"/>
  <c r="M2083" i="6"/>
  <c r="K2084" i="6"/>
  <c r="M2084" i="6"/>
  <c r="K2085" i="6"/>
  <c r="M2085" i="6"/>
  <c r="K2086" i="6"/>
  <c r="M2086" i="6"/>
  <c r="K2087" i="6"/>
  <c r="M2087" i="6"/>
  <c r="K2088" i="6"/>
  <c r="M2088" i="6"/>
  <c r="K2089" i="6"/>
  <c r="M2089" i="6"/>
  <c r="K2090" i="6"/>
  <c r="M2090" i="6"/>
  <c r="K2091" i="6"/>
  <c r="M2091" i="6"/>
  <c r="K2092" i="6"/>
  <c r="M2092" i="6"/>
  <c r="K2093" i="6"/>
  <c r="M2093" i="6"/>
  <c r="K2094" i="6"/>
  <c r="M2094" i="6"/>
  <c r="K2095" i="6"/>
  <c r="M2095" i="6"/>
  <c r="K2096" i="6"/>
  <c r="M2096" i="6"/>
  <c r="K2097" i="6"/>
  <c r="M2097" i="6"/>
  <c r="K2098" i="6"/>
  <c r="M2098" i="6"/>
  <c r="K2099" i="6"/>
  <c r="M2099" i="6"/>
  <c r="K2100" i="6"/>
  <c r="M2100" i="6"/>
  <c r="K2101" i="6"/>
  <c r="M2101" i="6"/>
  <c r="K2102" i="6"/>
  <c r="M2102" i="6"/>
  <c r="K2103" i="6"/>
  <c r="M2103" i="6"/>
  <c r="K2104" i="6"/>
  <c r="M2104" i="6"/>
  <c r="K2105" i="6"/>
  <c r="M2105" i="6"/>
  <c r="K2106" i="6"/>
  <c r="M2106" i="6"/>
  <c r="K2107" i="6"/>
  <c r="M2107" i="6"/>
  <c r="K2108" i="6"/>
  <c r="M2108" i="6"/>
  <c r="K2109" i="6"/>
  <c r="M2109" i="6"/>
  <c r="K2110" i="6"/>
  <c r="M2110" i="6"/>
  <c r="K2111" i="6"/>
  <c r="M2111" i="6"/>
  <c r="K2112" i="6"/>
  <c r="M2112" i="6"/>
  <c r="K2113" i="6"/>
  <c r="M2113" i="6"/>
  <c r="K2114" i="6"/>
  <c r="M2114" i="6"/>
  <c r="K2115" i="6"/>
  <c r="M2115" i="6"/>
  <c r="K2116" i="6"/>
  <c r="M2116" i="6"/>
  <c r="K2117" i="6"/>
  <c r="M2117" i="6"/>
  <c r="K2118" i="6"/>
  <c r="M2118" i="6"/>
  <c r="K2119" i="6"/>
  <c r="M2119" i="6"/>
  <c r="K2120" i="6"/>
  <c r="M2120" i="6"/>
  <c r="K2121" i="6"/>
  <c r="M2121" i="6"/>
  <c r="K2122" i="6"/>
  <c r="M2122" i="6"/>
  <c r="K2123" i="6"/>
  <c r="M2123" i="6"/>
  <c r="K2124" i="6"/>
  <c r="M2124" i="6"/>
  <c r="K2125" i="6"/>
  <c r="M2125" i="6"/>
  <c r="K2126" i="6"/>
  <c r="M2126" i="6"/>
  <c r="K2127" i="6"/>
  <c r="M2127" i="6"/>
  <c r="K2128" i="6"/>
  <c r="M2128" i="6"/>
  <c r="K2129" i="6"/>
  <c r="M2129" i="6"/>
  <c r="K2130" i="6"/>
  <c r="M2130" i="6"/>
  <c r="K2131" i="6"/>
  <c r="M2131" i="6"/>
  <c r="K2132" i="6"/>
  <c r="M2132" i="6"/>
  <c r="K2133" i="6"/>
  <c r="M2133" i="6"/>
  <c r="K2134" i="6"/>
  <c r="M2134" i="6"/>
  <c r="K2135" i="6"/>
  <c r="M2135" i="6"/>
  <c r="K2136" i="6"/>
  <c r="M2136" i="6"/>
  <c r="K2137" i="6"/>
  <c r="M2137" i="6"/>
  <c r="K2138" i="6"/>
  <c r="M2138" i="6"/>
  <c r="K2139" i="6"/>
  <c r="M2139" i="6"/>
  <c r="K2140" i="6"/>
  <c r="M2140" i="6"/>
  <c r="K2141" i="6"/>
  <c r="M2141" i="6"/>
  <c r="K2142" i="6"/>
  <c r="M2142" i="6"/>
  <c r="K2143" i="6"/>
  <c r="M2143" i="6"/>
  <c r="K2144" i="6"/>
  <c r="M2144" i="6"/>
  <c r="K2145" i="6"/>
  <c r="M2145" i="6"/>
  <c r="K2146" i="6"/>
  <c r="M2146" i="6"/>
  <c r="K2147" i="6"/>
  <c r="M2147" i="6"/>
  <c r="K2148" i="6"/>
  <c r="M2148" i="6"/>
  <c r="K2149" i="6"/>
  <c r="M2149" i="6"/>
  <c r="K2150" i="6"/>
  <c r="M2150" i="6"/>
  <c r="K2151" i="6"/>
  <c r="M2151" i="6"/>
  <c r="K2152" i="6"/>
  <c r="M2152" i="6"/>
  <c r="K2153" i="6"/>
  <c r="M2153" i="6"/>
  <c r="K2154" i="6"/>
  <c r="M2154" i="6"/>
  <c r="K2155" i="6"/>
  <c r="M2155" i="6"/>
  <c r="K2156" i="6"/>
  <c r="M2156" i="6"/>
  <c r="K2157" i="6"/>
  <c r="M2157" i="6"/>
  <c r="K2158" i="6"/>
  <c r="M2158" i="6"/>
  <c r="K2159" i="6"/>
  <c r="M2159" i="6"/>
  <c r="K2160" i="6"/>
  <c r="M2160" i="6"/>
  <c r="K2161" i="6"/>
  <c r="M2161" i="6"/>
  <c r="K2162" i="6"/>
  <c r="M2162" i="6"/>
  <c r="K2163" i="6"/>
  <c r="M2163" i="6"/>
  <c r="K2164" i="6"/>
  <c r="M2164" i="6"/>
  <c r="K2165" i="6"/>
  <c r="M2165" i="6"/>
  <c r="K2166" i="6"/>
  <c r="M2166" i="6"/>
  <c r="K2167" i="6"/>
  <c r="M2167" i="6"/>
  <c r="K2168" i="6"/>
  <c r="M2168" i="6"/>
  <c r="K2169" i="6"/>
  <c r="M2169" i="6"/>
  <c r="K2170" i="6"/>
  <c r="M2170" i="6"/>
  <c r="K2171" i="6"/>
  <c r="M2171" i="6"/>
  <c r="K2172" i="6"/>
  <c r="M2172" i="6"/>
  <c r="K2173" i="6"/>
  <c r="M2173" i="6"/>
  <c r="K2174" i="6"/>
  <c r="M2174" i="6"/>
  <c r="K2175" i="6"/>
  <c r="M2175" i="6"/>
  <c r="K2176" i="6"/>
  <c r="M2176" i="6"/>
  <c r="K2177" i="6"/>
  <c r="M2177" i="6"/>
  <c r="K2178" i="6"/>
  <c r="M2178" i="6"/>
  <c r="K2179" i="6"/>
  <c r="M2179" i="6"/>
  <c r="K2180" i="6"/>
  <c r="M2180" i="6"/>
  <c r="K2181" i="6"/>
  <c r="M2181" i="6"/>
  <c r="K2182" i="6"/>
  <c r="M2182" i="6"/>
  <c r="K2183" i="6"/>
  <c r="M2183" i="6"/>
  <c r="K2184" i="6"/>
  <c r="M2184" i="6"/>
  <c r="K2185" i="6"/>
  <c r="M2185" i="6"/>
  <c r="K2186" i="6"/>
  <c r="M2186" i="6"/>
  <c r="K2187" i="6"/>
  <c r="M2187" i="6"/>
  <c r="K2188" i="6"/>
  <c r="M2188" i="6"/>
  <c r="K2189" i="6"/>
  <c r="M2189" i="6"/>
  <c r="K2190" i="6"/>
  <c r="M2190" i="6"/>
  <c r="K2191" i="6"/>
  <c r="M2191" i="6"/>
  <c r="K2192" i="6"/>
  <c r="M2192" i="6"/>
  <c r="K2193" i="6"/>
  <c r="M2193" i="6"/>
  <c r="K2194" i="6"/>
  <c r="M2194" i="6"/>
  <c r="K2195" i="6"/>
  <c r="M2195" i="6"/>
  <c r="K2196" i="6"/>
  <c r="M2196" i="6"/>
  <c r="K2197" i="6"/>
  <c r="M2197" i="6"/>
  <c r="K2198" i="6"/>
  <c r="M2198" i="6"/>
  <c r="K2199" i="6"/>
  <c r="M2199" i="6"/>
  <c r="K2200" i="6"/>
  <c r="M2200" i="6"/>
  <c r="K2201" i="6"/>
  <c r="M2201" i="6"/>
  <c r="K2202" i="6"/>
  <c r="M2202" i="6"/>
  <c r="K2203" i="6"/>
  <c r="M2203" i="6"/>
  <c r="K2204" i="6"/>
  <c r="M2204" i="6"/>
  <c r="K2205" i="6"/>
  <c r="M2205" i="6"/>
  <c r="K2206" i="6"/>
  <c r="M2206" i="6"/>
  <c r="K2207" i="6"/>
  <c r="M2207" i="6"/>
  <c r="K2208" i="6"/>
  <c r="M2208" i="6"/>
  <c r="K2209" i="6"/>
  <c r="M2209" i="6"/>
  <c r="K2210" i="6"/>
  <c r="M2210" i="6"/>
  <c r="K2211" i="6"/>
  <c r="M2211" i="6"/>
  <c r="K2212" i="6"/>
  <c r="M2212" i="6"/>
  <c r="K2213" i="6"/>
  <c r="M2213" i="6"/>
  <c r="K2214" i="6"/>
  <c r="M2214" i="6"/>
  <c r="K2215" i="6"/>
  <c r="M2215" i="6"/>
  <c r="K2216" i="6"/>
  <c r="M2216" i="6"/>
  <c r="K2217" i="6"/>
  <c r="M2217" i="6"/>
  <c r="K2218" i="6"/>
  <c r="M2218" i="6"/>
  <c r="K2219" i="6"/>
  <c r="M2219" i="6"/>
  <c r="K2220" i="6"/>
  <c r="M2220" i="6"/>
  <c r="K2221" i="6"/>
  <c r="M2221" i="6"/>
  <c r="K2222" i="6"/>
  <c r="M2222" i="6"/>
  <c r="K2223" i="6"/>
  <c r="M2223" i="6"/>
  <c r="K2224" i="6"/>
  <c r="M2224" i="6"/>
  <c r="K2225" i="6"/>
  <c r="M2225" i="6"/>
  <c r="K2226" i="6"/>
  <c r="M2226" i="6"/>
  <c r="K2227" i="6"/>
  <c r="M2227" i="6"/>
  <c r="K2228" i="6"/>
  <c r="M2228" i="6"/>
  <c r="K2229" i="6"/>
  <c r="M2229" i="6"/>
  <c r="K2230" i="6"/>
  <c r="M2230" i="6"/>
  <c r="K2231" i="6"/>
  <c r="M2231" i="6"/>
  <c r="K2232" i="6"/>
  <c r="M2232" i="6"/>
  <c r="K2233" i="6"/>
  <c r="M2233" i="6"/>
  <c r="K2234" i="6"/>
  <c r="M2234" i="6"/>
  <c r="K2235" i="6"/>
  <c r="M2235" i="6"/>
  <c r="K2236" i="6"/>
  <c r="M2236" i="6"/>
  <c r="K2237" i="6"/>
  <c r="M2237" i="6"/>
  <c r="K2238" i="6"/>
  <c r="M2238" i="6"/>
  <c r="K2239" i="6"/>
  <c r="M2239" i="6"/>
  <c r="K2240" i="6"/>
  <c r="M2240" i="6"/>
  <c r="K2241" i="6"/>
  <c r="M2241" i="6"/>
  <c r="K2242" i="6"/>
  <c r="M2242" i="6"/>
  <c r="K2243" i="6"/>
  <c r="M2243" i="6"/>
  <c r="K2244" i="6"/>
  <c r="M2244" i="6"/>
  <c r="K2245" i="6"/>
  <c r="M2245" i="6"/>
  <c r="K2246" i="6"/>
  <c r="M2246" i="6"/>
  <c r="K2247" i="6"/>
  <c r="M2247" i="6"/>
  <c r="K2248" i="6"/>
  <c r="M2248" i="6"/>
  <c r="K2249" i="6"/>
  <c r="M2249" i="6"/>
  <c r="K2250" i="6"/>
  <c r="M2250" i="6"/>
  <c r="K2251" i="6"/>
  <c r="M2251" i="6"/>
  <c r="K2252" i="6"/>
  <c r="M2252" i="6"/>
  <c r="K2253" i="6"/>
  <c r="M2253" i="6"/>
  <c r="K2254" i="6"/>
  <c r="M2254" i="6"/>
  <c r="K2255" i="6"/>
  <c r="M2255" i="6"/>
  <c r="K2256" i="6"/>
  <c r="M2256" i="6"/>
  <c r="K2257" i="6"/>
  <c r="M2257" i="6"/>
  <c r="K2258" i="6"/>
  <c r="M2258" i="6"/>
  <c r="K2259" i="6"/>
  <c r="M2259" i="6"/>
  <c r="K2260" i="6"/>
  <c r="M2260" i="6"/>
  <c r="K2261" i="6"/>
  <c r="M2261" i="6"/>
  <c r="K2262" i="6"/>
  <c r="M2262" i="6"/>
  <c r="K2263" i="6"/>
  <c r="M2263" i="6"/>
  <c r="K2264" i="6"/>
  <c r="M2264" i="6"/>
  <c r="K2265" i="6"/>
  <c r="M2265" i="6"/>
  <c r="K2266" i="6"/>
  <c r="M2266" i="6"/>
  <c r="K2267" i="6"/>
  <c r="M2267" i="6"/>
  <c r="K2268" i="6"/>
  <c r="M2268" i="6"/>
  <c r="K2269" i="6"/>
  <c r="M2269" i="6"/>
  <c r="K2270" i="6"/>
  <c r="M2270" i="6"/>
  <c r="K2271" i="6"/>
  <c r="M2271" i="6"/>
  <c r="K2272" i="6"/>
  <c r="M2272" i="6"/>
  <c r="K2273" i="6"/>
  <c r="M2273" i="6"/>
  <c r="K2274" i="6"/>
  <c r="M2274" i="6"/>
  <c r="K2275" i="6"/>
  <c r="M2275" i="6"/>
  <c r="K2276" i="6"/>
  <c r="M2276" i="6"/>
  <c r="K2277" i="6"/>
  <c r="M2277" i="6"/>
  <c r="K2278" i="6"/>
  <c r="M2278" i="6"/>
  <c r="K2279" i="6"/>
  <c r="M2279" i="6"/>
  <c r="K2280" i="6"/>
  <c r="M2280" i="6"/>
  <c r="K2281" i="6"/>
  <c r="M2281" i="6"/>
  <c r="K2282" i="6"/>
  <c r="M2282" i="6"/>
  <c r="K2283" i="6"/>
  <c r="M2283" i="6"/>
  <c r="K2284" i="6"/>
  <c r="M2284" i="6"/>
  <c r="K2285" i="6"/>
  <c r="M2285" i="6"/>
  <c r="K2286" i="6"/>
  <c r="M2286" i="6"/>
  <c r="K2287" i="6"/>
  <c r="M2287" i="6"/>
  <c r="K2288" i="6"/>
  <c r="M2288" i="6"/>
  <c r="K2289" i="6"/>
  <c r="M2289" i="6"/>
  <c r="K2290" i="6"/>
  <c r="M2290" i="6"/>
  <c r="K2291" i="6"/>
  <c r="M2291" i="6"/>
  <c r="K2292" i="6"/>
  <c r="M2292" i="6"/>
  <c r="K2293" i="6"/>
  <c r="M2293" i="6"/>
  <c r="K2294" i="6"/>
  <c r="M2294" i="6"/>
  <c r="K2295" i="6"/>
  <c r="M2295" i="6"/>
  <c r="K2296" i="6"/>
  <c r="M2296" i="6"/>
  <c r="K2297" i="6"/>
  <c r="M2297" i="6"/>
  <c r="K2298" i="6"/>
  <c r="M2298" i="6"/>
  <c r="K2299" i="6"/>
  <c r="M2299" i="6"/>
  <c r="K2300" i="6"/>
  <c r="M2300" i="6"/>
  <c r="K2301" i="6"/>
  <c r="M2301" i="6"/>
  <c r="K2302" i="6"/>
  <c r="M2302" i="6"/>
  <c r="K2303" i="6"/>
  <c r="M2303" i="6"/>
  <c r="K2304" i="6"/>
  <c r="M2304" i="6"/>
  <c r="K2305" i="6"/>
  <c r="M2305" i="6"/>
  <c r="K2306" i="6"/>
  <c r="M2306" i="6"/>
  <c r="K2307" i="6"/>
  <c r="M2307" i="6"/>
  <c r="K2308" i="6"/>
  <c r="M2308" i="6"/>
  <c r="K2309" i="6"/>
  <c r="M2309" i="6"/>
  <c r="K2310" i="6"/>
  <c r="M2310" i="6"/>
  <c r="K2311" i="6"/>
  <c r="M2311" i="6"/>
  <c r="K2312" i="6"/>
  <c r="M2312" i="6"/>
  <c r="K2313" i="6"/>
  <c r="M2313" i="6"/>
  <c r="K2314" i="6"/>
  <c r="M2314" i="6"/>
  <c r="K2315" i="6"/>
  <c r="M2315" i="6"/>
  <c r="K2316" i="6"/>
  <c r="M2316" i="6"/>
  <c r="K2317" i="6"/>
  <c r="M2317" i="6"/>
  <c r="K2318" i="6"/>
  <c r="M2318" i="6"/>
  <c r="K2319" i="6"/>
  <c r="M2319" i="6"/>
  <c r="K2320" i="6"/>
  <c r="M2320" i="6"/>
  <c r="K2321" i="6"/>
  <c r="M2321" i="6"/>
  <c r="K2322" i="6"/>
  <c r="M2322" i="6"/>
  <c r="K2323" i="6"/>
  <c r="M2323" i="6"/>
  <c r="K2324" i="6"/>
  <c r="M2324" i="6"/>
  <c r="K2325" i="6"/>
  <c r="M2325" i="6"/>
  <c r="K2326" i="6"/>
  <c r="M2326" i="6"/>
  <c r="K2327" i="6"/>
  <c r="M2327" i="6"/>
  <c r="K2328" i="6"/>
  <c r="M2328" i="6"/>
  <c r="K2329" i="6"/>
  <c r="M2329" i="6"/>
  <c r="K2330" i="6"/>
  <c r="M2330" i="6"/>
  <c r="K2331" i="6"/>
  <c r="M2331" i="6"/>
  <c r="K2332" i="6"/>
  <c r="M2332" i="6"/>
  <c r="K2333" i="6"/>
  <c r="M2333" i="6"/>
  <c r="K2334" i="6"/>
  <c r="M2334" i="6"/>
  <c r="K2335" i="6"/>
  <c r="M2335" i="6"/>
  <c r="K2336" i="6"/>
  <c r="M2336" i="6"/>
  <c r="K2337" i="6"/>
  <c r="M2337" i="6"/>
  <c r="K2338" i="6"/>
  <c r="M2338" i="6"/>
  <c r="K2339" i="6"/>
  <c r="M2339" i="6"/>
  <c r="K2340" i="6"/>
  <c r="M2340" i="6"/>
  <c r="K2341" i="6"/>
  <c r="M2341" i="6"/>
  <c r="K2342" i="6"/>
  <c r="M2342" i="6"/>
  <c r="K2343" i="6"/>
  <c r="M2343" i="6"/>
  <c r="K2344" i="6"/>
  <c r="M2344" i="6"/>
  <c r="K2345" i="6"/>
  <c r="M2345" i="6"/>
  <c r="K2346" i="6"/>
  <c r="M2346" i="6"/>
  <c r="K2347" i="6"/>
  <c r="M2347" i="6"/>
  <c r="K2348" i="6"/>
  <c r="M2348" i="6"/>
  <c r="K2349" i="6"/>
  <c r="M2349" i="6"/>
  <c r="K2350" i="6"/>
  <c r="M2350" i="6"/>
  <c r="K2351" i="6"/>
  <c r="M2351" i="6"/>
  <c r="K2352" i="6"/>
  <c r="M2352" i="6"/>
  <c r="K2353" i="6"/>
  <c r="M2353" i="6"/>
  <c r="K2354" i="6"/>
  <c r="M2354" i="6"/>
  <c r="K2355" i="6"/>
  <c r="M2355" i="6"/>
  <c r="K2356" i="6"/>
  <c r="M2356" i="6"/>
  <c r="K2357" i="6"/>
  <c r="M2357" i="6"/>
  <c r="K2358" i="6"/>
  <c r="M2358" i="6"/>
  <c r="K2359" i="6"/>
  <c r="M2359" i="6"/>
  <c r="K2360" i="6"/>
  <c r="M2360" i="6"/>
  <c r="K2361" i="6"/>
  <c r="M2361" i="6"/>
  <c r="K2362" i="6"/>
  <c r="M2362" i="6"/>
  <c r="K2363" i="6"/>
  <c r="M2363" i="6"/>
  <c r="K2364" i="6"/>
  <c r="M2364" i="6"/>
  <c r="K2365" i="6"/>
  <c r="M2365" i="6"/>
  <c r="K2366" i="6"/>
  <c r="M2366" i="6"/>
  <c r="K2367" i="6"/>
  <c r="M2367" i="6"/>
  <c r="K2368" i="6"/>
  <c r="M2368" i="6"/>
  <c r="K2369" i="6"/>
  <c r="M2369" i="6"/>
  <c r="K2370" i="6"/>
  <c r="M2370" i="6"/>
  <c r="K2371" i="6"/>
  <c r="M2371" i="6"/>
  <c r="K2372" i="6"/>
  <c r="M2372" i="6"/>
  <c r="K2373" i="6"/>
  <c r="M2373" i="6"/>
  <c r="K2374" i="6"/>
  <c r="M2374" i="6"/>
  <c r="K2375" i="6"/>
  <c r="M2375" i="6"/>
  <c r="K2376" i="6"/>
  <c r="M2376" i="6"/>
  <c r="K2377" i="6"/>
  <c r="M2377" i="6"/>
  <c r="K2378" i="6"/>
  <c r="M2378" i="6"/>
  <c r="K2379" i="6"/>
  <c r="M2379" i="6"/>
  <c r="K2380" i="6"/>
  <c r="M2380" i="6"/>
  <c r="K2381" i="6"/>
  <c r="M2381" i="6"/>
  <c r="K2382" i="6"/>
  <c r="M2382" i="6"/>
  <c r="K2383" i="6"/>
  <c r="M2383" i="6"/>
  <c r="K2384" i="6"/>
  <c r="M2384" i="6"/>
  <c r="K2385" i="6"/>
  <c r="M2385" i="6"/>
  <c r="K2386" i="6"/>
  <c r="M2386" i="6"/>
  <c r="K2387" i="6"/>
  <c r="M2387" i="6"/>
  <c r="K2388" i="6"/>
  <c r="M2388" i="6"/>
  <c r="K2389" i="6"/>
  <c r="M2389" i="6"/>
  <c r="K2390" i="6"/>
  <c r="M2390" i="6"/>
  <c r="K2391" i="6"/>
  <c r="M2391" i="6"/>
  <c r="K2392" i="6"/>
  <c r="M2392" i="6"/>
  <c r="K2393" i="6"/>
  <c r="M2393" i="6"/>
  <c r="K2394" i="6"/>
  <c r="M2394" i="6"/>
  <c r="K2395" i="6"/>
  <c r="M2395" i="6"/>
  <c r="K2396" i="6"/>
  <c r="M2396" i="6"/>
  <c r="K2397" i="6"/>
  <c r="M2397" i="6"/>
  <c r="K2398" i="6"/>
  <c r="M2398" i="6"/>
  <c r="K2399" i="6"/>
  <c r="M2399" i="6"/>
  <c r="K2400" i="6"/>
  <c r="M2400" i="6"/>
  <c r="K2401" i="6"/>
  <c r="M2401" i="6"/>
  <c r="K2402" i="6"/>
  <c r="M2402" i="6"/>
  <c r="K2403" i="6"/>
  <c r="M2403" i="6"/>
  <c r="K2404" i="6"/>
  <c r="M2404" i="6"/>
  <c r="K2405" i="6"/>
  <c r="M2405" i="6"/>
  <c r="K2406" i="6"/>
  <c r="M2406" i="6"/>
  <c r="K2407" i="6"/>
  <c r="M2407" i="6"/>
  <c r="K2408" i="6"/>
  <c r="M2408" i="6"/>
  <c r="K2409" i="6"/>
  <c r="M2409" i="6"/>
  <c r="K2410" i="6"/>
  <c r="M2410" i="6"/>
  <c r="K2411" i="6"/>
  <c r="M2411" i="6"/>
  <c r="K2412" i="6"/>
  <c r="M2412" i="6"/>
  <c r="K2413" i="6"/>
  <c r="M2413" i="6"/>
  <c r="K2414" i="6"/>
  <c r="M2414" i="6"/>
  <c r="K2415" i="6"/>
  <c r="M2415" i="6"/>
  <c r="K2416" i="6"/>
  <c r="M2416" i="6"/>
  <c r="K2417" i="6"/>
  <c r="M2417" i="6"/>
  <c r="K2418" i="6"/>
  <c r="M2418" i="6"/>
  <c r="K2419" i="6"/>
  <c r="M2419" i="6"/>
  <c r="K2420" i="6"/>
  <c r="M2420" i="6"/>
  <c r="K2421" i="6"/>
  <c r="M2421" i="6"/>
  <c r="K2422" i="6"/>
  <c r="M2422" i="6"/>
  <c r="K2423" i="6"/>
  <c r="M2423" i="6"/>
  <c r="K2424" i="6"/>
  <c r="M2424" i="6"/>
  <c r="K2425" i="6"/>
  <c r="M2425" i="6"/>
  <c r="K2426" i="6"/>
  <c r="M2426" i="6"/>
  <c r="K2427" i="6"/>
  <c r="M2427" i="6"/>
  <c r="K2428" i="6"/>
  <c r="M2428" i="6"/>
  <c r="K2429" i="6"/>
  <c r="M2429" i="6"/>
  <c r="K2430" i="6"/>
  <c r="M2430" i="6"/>
  <c r="K2431" i="6"/>
  <c r="M2431" i="6"/>
  <c r="K2432" i="6"/>
  <c r="M2432" i="6"/>
  <c r="K2433" i="6"/>
  <c r="M2433" i="6"/>
  <c r="K2434" i="6"/>
  <c r="M2434" i="6"/>
  <c r="K2435" i="6"/>
  <c r="M2435" i="6"/>
  <c r="K2436" i="6"/>
  <c r="M2436" i="6"/>
  <c r="K2437" i="6"/>
  <c r="M2437" i="6"/>
  <c r="K2438" i="6"/>
  <c r="M2438" i="6"/>
  <c r="K2439" i="6"/>
  <c r="M2439" i="6"/>
  <c r="K2440" i="6"/>
  <c r="M2440" i="6"/>
  <c r="K2441" i="6"/>
  <c r="M2441" i="6"/>
  <c r="K2442" i="6"/>
  <c r="M2442" i="6"/>
  <c r="K2443" i="6"/>
  <c r="M2443" i="6"/>
  <c r="K2444" i="6"/>
  <c r="M2444" i="6"/>
  <c r="K2445" i="6"/>
  <c r="M2445" i="6"/>
  <c r="K2446" i="6"/>
  <c r="M2446" i="6"/>
  <c r="K2447" i="6"/>
  <c r="M2447" i="6"/>
  <c r="K2448" i="6"/>
  <c r="M2448" i="6"/>
  <c r="K2449" i="6"/>
  <c r="M2449" i="6"/>
  <c r="K2450" i="6"/>
  <c r="M2450" i="6"/>
  <c r="K2451" i="6"/>
  <c r="M2451" i="6"/>
  <c r="K2452" i="6"/>
  <c r="M2452" i="6"/>
  <c r="K2453" i="6"/>
  <c r="M2453" i="6"/>
  <c r="K2454" i="6"/>
  <c r="M2454" i="6"/>
  <c r="K2455" i="6"/>
  <c r="M2455" i="6"/>
  <c r="K2456" i="6"/>
  <c r="M2456" i="6"/>
  <c r="K2457" i="6"/>
  <c r="M2457" i="6"/>
  <c r="K2458" i="6"/>
  <c r="M2458" i="6"/>
  <c r="K2459" i="6"/>
  <c r="M2459" i="6"/>
  <c r="K2460" i="6"/>
  <c r="M2460" i="6"/>
  <c r="K2461" i="6"/>
  <c r="M2461" i="6"/>
  <c r="K2462" i="6"/>
  <c r="M2462" i="6"/>
  <c r="K2463" i="6"/>
  <c r="M2463" i="6"/>
  <c r="K2464" i="6"/>
  <c r="M2464" i="6"/>
  <c r="K2465" i="6"/>
  <c r="M2465" i="6"/>
  <c r="K2466" i="6"/>
  <c r="M2466" i="6"/>
  <c r="K2467" i="6"/>
  <c r="M2467" i="6"/>
  <c r="K2468" i="6"/>
  <c r="M2468" i="6"/>
  <c r="K2469" i="6"/>
  <c r="M2469" i="6"/>
  <c r="K2470" i="6"/>
  <c r="M2470" i="6"/>
  <c r="K2471" i="6"/>
  <c r="M2471" i="6"/>
  <c r="K2472" i="6"/>
  <c r="M2472" i="6"/>
  <c r="K2473" i="6"/>
  <c r="M2473" i="6"/>
  <c r="K2474" i="6"/>
  <c r="M2474" i="6"/>
  <c r="K2475" i="6"/>
  <c r="M2475" i="6"/>
  <c r="K2476" i="6"/>
  <c r="M2476" i="6"/>
  <c r="K2477" i="6"/>
  <c r="M2477" i="6"/>
  <c r="K2478" i="6"/>
  <c r="M2478" i="6"/>
  <c r="K2479" i="6"/>
  <c r="M2479" i="6"/>
  <c r="K2480" i="6"/>
  <c r="M2480" i="6"/>
  <c r="K2481" i="6"/>
  <c r="M2481" i="6"/>
  <c r="K2482" i="6"/>
  <c r="M2482" i="6"/>
  <c r="K2483" i="6"/>
  <c r="M2483" i="6"/>
  <c r="K2484" i="6"/>
  <c r="M2484" i="6"/>
  <c r="K2485" i="6"/>
  <c r="M2485" i="6"/>
  <c r="K2486" i="6"/>
  <c r="M2486" i="6"/>
  <c r="K2487" i="6"/>
  <c r="M2487" i="6"/>
  <c r="K2488" i="6"/>
  <c r="M2488" i="6"/>
  <c r="K2489" i="6"/>
  <c r="M2489" i="6"/>
  <c r="K2490" i="6"/>
  <c r="M2490" i="6"/>
  <c r="K2491" i="6"/>
  <c r="M2491" i="6"/>
  <c r="K2492" i="6"/>
  <c r="M2492" i="6"/>
  <c r="K2493" i="6"/>
  <c r="M2493" i="6"/>
  <c r="K2494" i="6"/>
  <c r="M2494" i="6"/>
  <c r="K2495" i="6"/>
  <c r="M2495" i="6"/>
  <c r="K2496" i="6"/>
  <c r="M2496" i="6"/>
  <c r="K2497" i="6"/>
  <c r="M2497" i="6"/>
  <c r="K2498" i="6"/>
  <c r="M2498" i="6"/>
  <c r="K2499" i="6"/>
  <c r="M2499" i="6"/>
  <c r="K2500" i="6"/>
  <c r="M2500" i="6"/>
  <c r="K2501" i="6"/>
  <c r="M2501" i="6"/>
  <c r="K2502" i="6"/>
  <c r="M2502" i="6"/>
  <c r="K2503" i="6"/>
  <c r="M2503" i="6"/>
  <c r="K2504" i="6"/>
  <c r="M2504" i="6"/>
  <c r="K2505" i="6"/>
  <c r="M2505" i="6"/>
  <c r="K2506" i="6"/>
  <c r="M2506" i="6"/>
  <c r="K2507" i="6"/>
  <c r="M2507" i="6"/>
  <c r="K2508" i="6"/>
  <c r="M2508" i="6"/>
  <c r="K2509" i="6"/>
  <c r="M2509" i="6"/>
  <c r="K2510" i="6"/>
  <c r="M2510" i="6"/>
  <c r="K2511" i="6"/>
  <c r="M2511" i="6"/>
  <c r="K2512" i="6"/>
  <c r="M2512" i="6"/>
  <c r="K2513" i="6"/>
  <c r="M2513" i="6"/>
  <c r="K2514" i="6"/>
  <c r="M2514" i="6"/>
  <c r="K2515" i="6"/>
  <c r="M2515" i="6"/>
  <c r="K2516" i="6"/>
  <c r="M2516" i="6"/>
  <c r="K2517" i="6"/>
  <c r="M2517" i="6"/>
  <c r="K2518" i="6"/>
  <c r="M2518" i="6"/>
  <c r="K2519" i="6"/>
  <c r="M2519" i="6"/>
  <c r="K2520" i="6"/>
  <c r="M2520" i="6"/>
  <c r="K2521" i="6"/>
  <c r="M2521" i="6"/>
  <c r="K2522" i="6"/>
  <c r="M2522" i="6"/>
  <c r="K2523" i="6"/>
  <c r="M2523" i="6"/>
  <c r="K2524" i="6"/>
  <c r="M2524" i="6"/>
  <c r="K2525" i="6"/>
  <c r="M2525" i="6"/>
  <c r="K2526" i="6"/>
  <c r="M2526" i="6"/>
  <c r="K2527" i="6"/>
  <c r="M2527" i="6"/>
  <c r="K2528" i="6"/>
  <c r="M2528" i="6"/>
  <c r="K2529" i="6"/>
  <c r="M2529" i="6"/>
  <c r="K2530" i="6"/>
  <c r="M2530" i="6"/>
  <c r="K2531" i="6"/>
  <c r="M2531" i="6"/>
  <c r="K2532" i="6"/>
  <c r="M2532" i="6"/>
  <c r="K2533" i="6"/>
  <c r="M2533" i="6"/>
  <c r="K2534" i="6"/>
  <c r="M2534" i="6"/>
  <c r="K2535" i="6"/>
  <c r="M2535" i="6"/>
  <c r="K2536" i="6"/>
  <c r="M2536" i="6"/>
  <c r="K2537" i="6"/>
  <c r="M2537" i="6"/>
  <c r="K2538" i="6"/>
  <c r="M2538" i="6"/>
  <c r="K2539" i="6"/>
  <c r="M2539" i="6"/>
  <c r="K2540" i="6"/>
  <c r="M2540" i="6"/>
  <c r="K2541" i="6"/>
  <c r="M2541" i="6"/>
  <c r="K2542" i="6"/>
  <c r="M2542" i="6"/>
  <c r="K2543" i="6"/>
  <c r="M2543" i="6"/>
  <c r="K2544" i="6"/>
  <c r="M2544" i="6"/>
  <c r="K2545" i="6"/>
  <c r="M2545" i="6"/>
  <c r="K2546" i="6"/>
  <c r="M2546" i="6"/>
  <c r="K2547" i="6"/>
  <c r="M2547" i="6"/>
  <c r="K2548" i="6"/>
  <c r="M2548" i="6"/>
  <c r="K2549" i="6"/>
  <c r="M2549" i="6"/>
  <c r="K2550" i="6"/>
  <c r="M2550" i="6"/>
  <c r="K2551" i="6"/>
  <c r="M2551" i="6"/>
  <c r="K2552" i="6"/>
  <c r="M2552" i="6"/>
  <c r="K2553" i="6"/>
  <c r="M2553" i="6"/>
  <c r="K2554" i="6"/>
  <c r="M2554" i="6"/>
  <c r="K2555" i="6"/>
  <c r="M2555" i="6"/>
  <c r="K2556" i="6"/>
  <c r="M2556" i="6"/>
  <c r="K2557" i="6"/>
  <c r="M2557" i="6"/>
  <c r="K2558" i="6"/>
  <c r="M2558" i="6"/>
  <c r="K2559" i="6"/>
  <c r="M2559" i="6"/>
  <c r="K2560" i="6"/>
  <c r="M2560" i="6"/>
  <c r="K2561" i="6"/>
  <c r="M2561" i="6"/>
  <c r="K2562" i="6"/>
  <c r="M2562" i="6"/>
  <c r="K2563" i="6"/>
  <c r="M2563" i="6"/>
  <c r="K2564" i="6"/>
  <c r="M2564" i="6"/>
  <c r="K2565" i="6"/>
  <c r="M2565" i="6"/>
  <c r="K2566" i="6"/>
  <c r="M2566" i="6"/>
  <c r="K2567" i="6"/>
  <c r="M2567" i="6"/>
  <c r="K2568" i="6"/>
  <c r="M2568" i="6"/>
  <c r="K2569" i="6"/>
  <c r="M2569" i="6"/>
  <c r="K2570" i="6"/>
  <c r="M2570" i="6"/>
  <c r="K2571" i="6"/>
  <c r="M2571" i="6"/>
  <c r="K2572" i="6"/>
  <c r="M2572" i="6"/>
  <c r="K2573" i="6"/>
  <c r="M2573" i="6"/>
  <c r="K2574" i="6"/>
  <c r="M2574" i="6"/>
  <c r="K2575" i="6"/>
  <c r="M2575" i="6"/>
  <c r="K2576" i="6"/>
  <c r="M2576" i="6"/>
  <c r="K2577" i="6"/>
  <c r="M2577" i="6"/>
  <c r="K2578" i="6"/>
  <c r="M2578" i="6"/>
  <c r="K2579" i="6"/>
  <c r="M2579" i="6"/>
  <c r="K2580" i="6"/>
  <c r="M2580" i="6"/>
  <c r="K2581" i="6"/>
  <c r="M2581" i="6"/>
  <c r="K2582" i="6"/>
  <c r="M2582" i="6"/>
  <c r="K2583" i="6"/>
  <c r="M2583" i="6"/>
  <c r="K2584" i="6"/>
  <c r="M2584" i="6"/>
  <c r="K2585" i="6"/>
  <c r="M2585" i="6"/>
  <c r="K2586" i="6"/>
  <c r="M2586" i="6"/>
  <c r="K2587" i="6"/>
  <c r="M2587" i="6"/>
  <c r="K2588" i="6"/>
  <c r="M2588" i="6"/>
  <c r="K2589" i="6"/>
  <c r="M2589" i="6"/>
  <c r="K2590" i="6"/>
  <c r="M2590" i="6"/>
  <c r="K2591" i="6"/>
  <c r="M2591" i="6"/>
  <c r="K2592" i="6"/>
  <c r="M2592" i="6"/>
  <c r="K2593" i="6"/>
  <c r="M2593" i="6"/>
  <c r="K2594" i="6"/>
  <c r="M2594" i="6"/>
  <c r="K2595" i="6"/>
  <c r="M2595" i="6"/>
  <c r="K2596" i="6"/>
  <c r="M2596" i="6"/>
  <c r="K2597" i="6"/>
  <c r="M2597" i="6"/>
  <c r="K2598" i="6"/>
  <c r="M2598" i="6"/>
  <c r="K2599" i="6"/>
  <c r="M2599" i="6"/>
  <c r="K2600" i="6"/>
  <c r="M2600" i="6"/>
  <c r="K2601" i="6"/>
  <c r="M2601" i="6"/>
  <c r="K2602" i="6"/>
  <c r="M2602" i="6"/>
  <c r="K2603" i="6"/>
  <c r="M2603" i="6"/>
  <c r="K2604" i="6"/>
  <c r="M2604" i="6"/>
  <c r="K2605" i="6"/>
  <c r="M2605" i="6"/>
  <c r="K2606" i="6"/>
  <c r="M2606" i="6"/>
  <c r="K2607" i="6"/>
  <c r="M2607" i="6"/>
  <c r="K2608" i="6"/>
  <c r="M2608" i="6"/>
  <c r="K2609" i="6"/>
  <c r="M2609" i="6"/>
  <c r="K2610" i="6"/>
  <c r="M2610" i="6"/>
  <c r="K2611" i="6"/>
  <c r="M2611" i="6"/>
  <c r="K2612" i="6"/>
  <c r="M2612" i="6"/>
  <c r="K2613" i="6"/>
  <c r="M2613" i="6"/>
  <c r="K2614" i="6"/>
  <c r="M2614" i="6"/>
  <c r="K2615" i="6"/>
  <c r="M2615" i="6"/>
  <c r="K2616" i="6"/>
  <c r="M2616" i="6"/>
  <c r="K2617" i="6"/>
  <c r="M2617" i="6"/>
  <c r="K2618" i="6"/>
  <c r="M2618" i="6"/>
  <c r="K2619" i="6"/>
  <c r="M2619" i="6"/>
  <c r="K2620" i="6"/>
  <c r="M2620" i="6"/>
  <c r="K2621" i="6"/>
  <c r="M2621" i="6"/>
  <c r="K2622" i="6"/>
  <c r="M2622" i="6"/>
  <c r="K2623" i="6"/>
  <c r="M2623" i="6"/>
  <c r="K2624" i="6"/>
  <c r="M2624" i="6"/>
  <c r="K2625" i="6"/>
  <c r="M2625" i="6"/>
  <c r="K2626" i="6"/>
  <c r="M2626" i="6"/>
  <c r="K2627" i="6"/>
  <c r="M2627" i="6"/>
  <c r="K2628" i="6"/>
  <c r="M2628" i="6"/>
  <c r="K2629" i="6"/>
  <c r="M2629" i="6"/>
  <c r="K2630" i="6"/>
  <c r="M2630" i="6"/>
  <c r="K2631" i="6"/>
  <c r="M2631" i="6"/>
  <c r="K2632" i="6"/>
  <c r="M2632" i="6"/>
  <c r="K2633" i="6"/>
  <c r="M2633" i="6"/>
  <c r="K2634" i="6"/>
  <c r="M2634" i="6"/>
  <c r="K2635" i="6"/>
  <c r="M2635" i="6"/>
  <c r="K2636" i="6"/>
  <c r="M2636" i="6"/>
  <c r="K2637" i="6"/>
  <c r="M2637" i="6"/>
  <c r="K2638" i="6"/>
  <c r="M2638" i="6"/>
  <c r="K2639" i="6"/>
  <c r="M2639" i="6"/>
  <c r="K2640" i="6"/>
  <c r="M2640" i="6"/>
  <c r="K2641" i="6"/>
  <c r="M2641" i="6"/>
  <c r="K2642" i="6"/>
  <c r="M2642" i="6"/>
  <c r="K2643" i="6"/>
  <c r="M2643" i="6"/>
  <c r="K2644" i="6"/>
  <c r="M2644" i="6"/>
  <c r="K2645" i="6"/>
  <c r="M2645" i="6"/>
  <c r="K2646" i="6"/>
  <c r="M2646" i="6"/>
  <c r="K2647" i="6"/>
  <c r="M2647" i="6"/>
  <c r="K2648" i="6"/>
  <c r="M2648" i="6"/>
  <c r="K2649" i="6"/>
  <c r="M2649" i="6"/>
  <c r="K2650" i="6"/>
  <c r="M2650" i="6"/>
  <c r="K2651" i="6"/>
  <c r="M2651" i="6"/>
  <c r="K2652" i="6"/>
  <c r="M2652" i="6"/>
  <c r="K2653" i="6"/>
  <c r="M2653" i="6"/>
  <c r="K2654" i="6"/>
  <c r="M2654" i="6"/>
  <c r="K2655" i="6"/>
  <c r="M2655" i="6"/>
  <c r="K2656" i="6"/>
  <c r="M2656" i="6"/>
  <c r="K2657" i="6"/>
  <c r="M2657" i="6"/>
  <c r="K2658" i="6"/>
  <c r="M2658" i="6"/>
  <c r="K2659" i="6"/>
  <c r="M2659" i="6"/>
  <c r="K2660" i="6"/>
  <c r="M2660" i="6"/>
  <c r="K2661" i="6"/>
  <c r="M2661" i="6"/>
  <c r="K2662" i="6"/>
  <c r="M2662" i="6"/>
  <c r="K2663" i="6"/>
  <c r="M2663" i="6"/>
  <c r="K2664" i="6"/>
  <c r="M2664" i="6"/>
  <c r="K2665" i="6"/>
  <c r="M2665" i="6"/>
  <c r="K2666" i="6"/>
  <c r="M2666" i="6"/>
  <c r="K2667" i="6"/>
  <c r="M2667" i="6"/>
  <c r="K2668" i="6"/>
  <c r="M2668" i="6"/>
  <c r="K2669" i="6"/>
  <c r="M2669" i="6"/>
  <c r="K2670" i="6"/>
  <c r="M2670" i="6"/>
  <c r="K2671" i="6"/>
  <c r="M2671" i="6"/>
  <c r="K2672" i="6"/>
  <c r="M2672" i="6"/>
  <c r="K2673" i="6"/>
  <c r="M2673" i="6"/>
  <c r="K2674" i="6"/>
  <c r="M2674" i="6"/>
  <c r="K2675" i="6"/>
  <c r="M2675" i="6"/>
  <c r="K2676" i="6"/>
  <c r="M2676" i="6"/>
  <c r="K2677" i="6"/>
  <c r="M2677" i="6"/>
  <c r="K2678" i="6"/>
  <c r="M2678" i="6"/>
  <c r="K2679" i="6"/>
  <c r="M2679" i="6"/>
  <c r="K2680" i="6"/>
  <c r="M2680" i="6"/>
  <c r="K2681" i="6"/>
  <c r="M2681" i="6"/>
  <c r="K2682" i="6"/>
  <c r="M2682" i="6"/>
  <c r="K2683" i="6"/>
  <c r="M2683" i="6"/>
  <c r="K2684" i="6"/>
  <c r="M2684" i="6"/>
  <c r="K2685" i="6"/>
  <c r="M2685" i="6"/>
  <c r="K2686" i="6"/>
  <c r="M2686" i="6"/>
  <c r="K2687" i="6"/>
  <c r="M2687" i="6"/>
  <c r="K2688" i="6"/>
  <c r="M2688" i="6"/>
  <c r="K2689" i="6"/>
  <c r="M2689" i="6"/>
  <c r="K2690" i="6"/>
  <c r="M2690" i="6"/>
  <c r="K2691" i="6"/>
  <c r="M2691" i="6"/>
  <c r="K2692" i="6"/>
  <c r="M2692" i="6"/>
  <c r="K2693" i="6"/>
  <c r="M2693" i="6"/>
  <c r="K2694" i="6"/>
  <c r="M2694" i="6"/>
  <c r="K2695" i="6"/>
  <c r="M2695" i="6"/>
  <c r="K2696" i="6"/>
  <c r="M2696" i="6"/>
  <c r="K2697" i="6"/>
  <c r="M2697" i="6"/>
  <c r="K2698" i="6"/>
  <c r="M2698" i="6"/>
  <c r="K2699" i="6"/>
  <c r="M2699" i="6"/>
  <c r="K2700" i="6"/>
  <c r="M2700" i="6"/>
  <c r="K2701" i="6"/>
  <c r="M2701" i="6"/>
  <c r="K2702" i="6"/>
  <c r="M2702" i="6"/>
  <c r="K2703" i="6"/>
  <c r="M2703" i="6"/>
  <c r="K2704" i="6"/>
  <c r="M2704" i="6"/>
  <c r="K2705" i="6"/>
  <c r="M2705" i="6"/>
  <c r="K2706" i="6"/>
  <c r="M2706" i="6"/>
  <c r="K2707" i="6"/>
  <c r="M2707" i="6"/>
  <c r="K2708" i="6"/>
  <c r="M2708" i="6"/>
  <c r="K2709" i="6"/>
  <c r="M2709" i="6"/>
  <c r="K2710" i="6"/>
  <c r="M2710" i="6"/>
  <c r="K2711" i="6"/>
  <c r="M2711" i="6"/>
  <c r="K2712" i="6"/>
  <c r="M2712" i="6"/>
  <c r="K2713" i="6"/>
  <c r="M2713" i="6"/>
  <c r="K2714" i="6"/>
  <c r="M2714" i="6"/>
  <c r="K2715" i="6"/>
  <c r="M2715" i="6"/>
  <c r="K2716" i="6"/>
  <c r="M2716" i="6"/>
  <c r="K2717" i="6"/>
  <c r="M2717" i="6"/>
  <c r="K2718" i="6"/>
  <c r="M2718" i="6"/>
  <c r="K2719" i="6"/>
  <c r="M2719" i="6"/>
  <c r="K2720" i="6"/>
  <c r="M2720" i="6"/>
  <c r="K2721" i="6"/>
  <c r="M2721" i="6"/>
  <c r="K2722" i="6"/>
  <c r="M2722" i="6"/>
  <c r="K2723" i="6"/>
  <c r="M2723" i="6"/>
  <c r="K2724" i="6"/>
  <c r="M2724" i="6"/>
  <c r="K2725" i="6"/>
  <c r="M2725" i="6"/>
  <c r="K2726" i="6"/>
  <c r="M2726" i="6"/>
  <c r="K2727" i="6"/>
  <c r="M2727" i="6"/>
  <c r="K2728" i="6"/>
  <c r="M2728" i="6"/>
  <c r="K2729" i="6"/>
  <c r="M2729" i="6"/>
  <c r="K2730" i="6"/>
  <c r="M2730" i="6"/>
  <c r="K2731" i="6"/>
  <c r="M2731" i="6"/>
  <c r="K2732" i="6"/>
  <c r="M2732" i="6"/>
  <c r="K2733" i="6"/>
  <c r="M2733" i="6"/>
  <c r="K2734" i="6"/>
  <c r="M2734" i="6"/>
  <c r="K2735" i="6"/>
  <c r="M2735" i="6"/>
  <c r="K2736" i="6"/>
  <c r="M2736" i="6"/>
  <c r="K2737" i="6"/>
  <c r="M2737" i="6"/>
  <c r="K2738" i="6"/>
  <c r="M2738" i="6"/>
  <c r="K2739" i="6"/>
  <c r="M2739" i="6"/>
  <c r="K2740" i="6"/>
  <c r="M2740" i="6"/>
  <c r="K2741" i="6"/>
  <c r="M2741" i="6"/>
  <c r="K2742" i="6"/>
  <c r="M2742" i="6"/>
  <c r="K2743" i="6"/>
  <c r="M2743" i="6"/>
  <c r="K2744" i="6"/>
  <c r="M2744" i="6"/>
  <c r="K2745" i="6"/>
  <c r="M2745" i="6"/>
  <c r="K2746" i="6"/>
  <c r="M2746" i="6"/>
  <c r="K2747" i="6"/>
  <c r="M2747" i="6"/>
  <c r="K2748" i="6"/>
  <c r="M2748" i="6"/>
  <c r="K2749" i="6"/>
  <c r="M2749" i="6"/>
  <c r="K2750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3" i="6"/>
  <c r="N3" i="6"/>
  <c r="L4" i="6"/>
  <c r="N4" i="6"/>
  <c r="L5" i="6"/>
  <c r="N5" i="6"/>
  <c r="L6" i="6"/>
  <c r="N6" i="6"/>
  <c r="L7" i="6"/>
  <c r="N7" i="6"/>
  <c r="L8" i="6"/>
  <c r="N8" i="6"/>
  <c r="L9" i="6"/>
  <c r="N9" i="6"/>
  <c r="L10" i="6"/>
  <c r="N10" i="6"/>
  <c r="L11" i="6"/>
  <c r="N11" i="6"/>
  <c r="L12" i="6"/>
  <c r="N12" i="6"/>
  <c r="L13" i="6"/>
  <c r="N13" i="6"/>
  <c r="L14" i="6"/>
  <c r="N14" i="6"/>
  <c r="L15" i="6"/>
  <c r="N15" i="6"/>
  <c r="L16" i="6"/>
  <c r="N16" i="6"/>
  <c r="L17" i="6"/>
  <c r="N17" i="6"/>
  <c r="L18" i="6"/>
  <c r="N18" i="6"/>
  <c r="L19" i="6"/>
  <c r="N19" i="6"/>
  <c r="L20" i="6"/>
  <c r="N20" i="6"/>
  <c r="L21" i="6"/>
  <c r="N21" i="6"/>
  <c r="L22" i="6"/>
  <c r="N22" i="6"/>
  <c r="L23" i="6"/>
  <c r="N23" i="6"/>
  <c r="L24" i="6"/>
  <c r="N24" i="6"/>
  <c r="L25" i="6"/>
  <c r="N25" i="6"/>
  <c r="L26" i="6"/>
  <c r="N26" i="6"/>
  <c r="L27" i="6"/>
  <c r="N27" i="6"/>
  <c r="L28" i="6"/>
  <c r="N28" i="6"/>
  <c r="L29" i="6"/>
  <c r="N29" i="6"/>
  <c r="L30" i="6"/>
  <c r="N30" i="6"/>
  <c r="L31" i="6"/>
  <c r="N31" i="6"/>
  <c r="L32" i="6"/>
  <c r="N32" i="6"/>
  <c r="L33" i="6"/>
  <c r="N33" i="6"/>
  <c r="L34" i="6"/>
  <c r="N34" i="6"/>
  <c r="L35" i="6"/>
  <c r="N35" i="6"/>
  <c r="L36" i="6"/>
  <c r="N36" i="6"/>
  <c r="L37" i="6"/>
  <c r="N37" i="6"/>
  <c r="L38" i="6"/>
  <c r="N38" i="6"/>
  <c r="L39" i="6"/>
  <c r="N39" i="6"/>
  <c r="L40" i="6"/>
  <c r="N40" i="6"/>
  <c r="L41" i="6"/>
  <c r="N41" i="6"/>
  <c r="L42" i="6"/>
  <c r="N42" i="6"/>
  <c r="L43" i="6"/>
  <c r="N43" i="6"/>
  <c r="L44" i="6"/>
  <c r="N44" i="6"/>
  <c r="L45" i="6"/>
  <c r="N45" i="6"/>
  <c r="L46" i="6"/>
  <c r="N46" i="6"/>
  <c r="L47" i="6"/>
  <c r="N47" i="6"/>
  <c r="L48" i="6"/>
  <c r="N48" i="6"/>
  <c r="L49" i="6"/>
  <c r="N49" i="6"/>
  <c r="L50" i="6"/>
  <c r="N50" i="6"/>
  <c r="L51" i="6"/>
  <c r="N51" i="6"/>
  <c r="L52" i="6"/>
  <c r="N52" i="6"/>
  <c r="L53" i="6"/>
  <c r="N53" i="6"/>
  <c r="L54" i="6"/>
  <c r="N54" i="6"/>
  <c r="L55" i="6"/>
  <c r="N55" i="6"/>
  <c r="L56" i="6"/>
  <c r="N56" i="6"/>
  <c r="L57" i="6"/>
  <c r="N57" i="6"/>
  <c r="L58" i="6"/>
  <c r="N58" i="6"/>
  <c r="L59" i="6"/>
  <c r="N59" i="6"/>
  <c r="L60" i="6"/>
  <c r="N60" i="6"/>
  <c r="L61" i="6"/>
  <c r="N61" i="6"/>
  <c r="L62" i="6"/>
  <c r="N62" i="6"/>
  <c r="L63" i="6"/>
  <c r="N63" i="6"/>
  <c r="L64" i="6"/>
  <c r="N64" i="6"/>
  <c r="L65" i="6"/>
  <c r="N65" i="6"/>
  <c r="L66" i="6"/>
  <c r="N66" i="6"/>
  <c r="L67" i="6"/>
  <c r="N67" i="6"/>
  <c r="L68" i="6"/>
  <c r="N68" i="6"/>
  <c r="L69" i="6"/>
  <c r="N69" i="6"/>
  <c r="L70" i="6"/>
  <c r="N70" i="6"/>
  <c r="L71" i="6"/>
  <c r="N71" i="6"/>
  <c r="L72" i="6"/>
  <c r="N72" i="6"/>
  <c r="L73" i="6"/>
  <c r="N73" i="6"/>
  <c r="L74" i="6"/>
  <c r="N74" i="6"/>
  <c r="L75" i="6"/>
  <c r="N75" i="6"/>
  <c r="L76" i="6"/>
  <c r="N76" i="6"/>
  <c r="L77" i="6"/>
  <c r="N77" i="6"/>
  <c r="L78" i="6"/>
  <c r="N78" i="6"/>
  <c r="L79" i="6"/>
  <c r="N79" i="6"/>
  <c r="L80" i="6"/>
  <c r="N80" i="6"/>
  <c r="L81" i="6"/>
  <c r="N81" i="6"/>
  <c r="L82" i="6"/>
  <c r="N82" i="6"/>
  <c r="L83" i="6"/>
  <c r="N83" i="6"/>
  <c r="L84" i="6"/>
  <c r="N84" i="6"/>
  <c r="L85" i="6"/>
  <c r="N85" i="6"/>
  <c r="L86" i="6"/>
  <c r="N86" i="6"/>
  <c r="L87" i="6"/>
  <c r="N87" i="6"/>
  <c r="L88" i="6"/>
  <c r="N88" i="6"/>
  <c r="L89" i="6"/>
  <c r="N89" i="6"/>
  <c r="L90" i="6"/>
  <c r="N90" i="6"/>
  <c r="L91" i="6"/>
  <c r="N91" i="6"/>
  <c r="L92" i="6"/>
  <c r="N92" i="6"/>
  <c r="L93" i="6"/>
  <c r="N93" i="6"/>
  <c r="L94" i="6"/>
  <c r="N94" i="6"/>
  <c r="L95" i="6"/>
  <c r="N95" i="6"/>
  <c r="L96" i="6"/>
  <c r="N96" i="6"/>
  <c r="L97" i="6"/>
  <c r="N97" i="6"/>
  <c r="L98" i="6"/>
  <c r="N98" i="6"/>
  <c r="L99" i="6"/>
  <c r="N99" i="6"/>
  <c r="L100" i="6"/>
  <c r="N100" i="6"/>
  <c r="L101" i="6"/>
  <c r="N101" i="6"/>
  <c r="L102" i="6"/>
  <c r="N102" i="6"/>
  <c r="L103" i="6"/>
  <c r="N103" i="6"/>
  <c r="L104" i="6"/>
  <c r="N104" i="6"/>
  <c r="L105" i="6"/>
  <c r="N105" i="6"/>
  <c r="L106" i="6"/>
  <c r="N106" i="6"/>
  <c r="L107" i="6"/>
  <c r="N107" i="6"/>
  <c r="L108" i="6"/>
  <c r="N108" i="6"/>
  <c r="L109" i="6"/>
  <c r="N109" i="6"/>
  <c r="L110" i="6"/>
  <c r="N110" i="6"/>
  <c r="L111" i="6"/>
  <c r="N111" i="6"/>
  <c r="L112" i="6"/>
  <c r="N112" i="6"/>
  <c r="L113" i="6"/>
  <c r="N113" i="6"/>
  <c r="L114" i="6"/>
  <c r="N114" i="6"/>
  <c r="L115" i="6"/>
  <c r="N115" i="6"/>
  <c r="L116" i="6"/>
  <c r="N116" i="6"/>
  <c r="L117" i="6"/>
  <c r="N117" i="6"/>
  <c r="L118" i="6"/>
  <c r="N118" i="6"/>
  <c r="L119" i="6"/>
  <c r="N119" i="6"/>
  <c r="L120" i="6"/>
  <c r="N120" i="6"/>
  <c r="L121" i="6"/>
  <c r="N121" i="6"/>
  <c r="L122" i="6"/>
  <c r="N122" i="6"/>
  <c r="L123" i="6"/>
  <c r="N123" i="6"/>
  <c r="L124" i="6"/>
  <c r="N124" i="6"/>
  <c r="L125" i="6"/>
  <c r="N125" i="6"/>
  <c r="L126" i="6"/>
  <c r="N126" i="6"/>
  <c r="L127" i="6"/>
  <c r="N127" i="6"/>
  <c r="L128" i="6"/>
  <c r="N128" i="6"/>
  <c r="L129" i="6"/>
  <c r="N129" i="6"/>
  <c r="L130" i="6"/>
  <c r="N130" i="6"/>
  <c r="L131" i="6"/>
  <c r="N131" i="6"/>
  <c r="L132" i="6"/>
  <c r="N132" i="6"/>
  <c r="L133" i="6"/>
  <c r="N133" i="6"/>
  <c r="L134" i="6"/>
  <c r="N134" i="6"/>
  <c r="L135" i="6"/>
  <c r="N135" i="6"/>
  <c r="L136" i="6"/>
  <c r="N136" i="6"/>
  <c r="L137" i="6"/>
  <c r="N137" i="6"/>
  <c r="L138" i="6"/>
  <c r="N138" i="6"/>
  <c r="L139" i="6"/>
  <c r="N139" i="6"/>
  <c r="L140" i="6"/>
  <c r="N140" i="6"/>
  <c r="L141" i="6"/>
  <c r="N141" i="6"/>
  <c r="L142" i="6"/>
  <c r="N142" i="6"/>
  <c r="L143" i="6"/>
  <c r="N143" i="6"/>
  <c r="L144" i="6"/>
  <c r="N144" i="6"/>
  <c r="L145" i="6"/>
  <c r="N145" i="6"/>
  <c r="L146" i="6"/>
  <c r="N146" i="6"/>
  <c r="L147" i="6"/>
  <c r="N147" i="6"/>
  <c r="L148" i="6"/>
  <c r="N148" i="6"/>
  <c r="L149" i="6"/>
  <c r="N149" i="6"/>
  <c r="L150" i="6"/>
  <c r="N150" i="6"/>
  <c r="L151" i="6"/>
  <c r="N151" i="6"/>
  <c r="L152" i="6"/>
  <c r="N152" i="6"/>
  <c r="L153" i="6"/>
  <c r="N153" i="6"/>
  <c r="L154" i="6"/>
  <c r="N154" i="6"/>
  <c r="L155" i="6"/>
  <c r="N155" i="6"/>
  <c r="L156" i="6"/>
  <c r="N156" i="6"/>
  <c r="L157" i="6"/>
  <c r="N157" i="6"/>
  <c r="L158" i="6"/>
  <c r="N158" i="6"/>
  <c r="L159" i="6"/>
  <c r="N159" i="6"/>
  <c r="L160" i="6"/>
  <c r="N160" i="6"/>
  <c r="L161" i="6"/>
  <c r="N161" i="6"/>
  <c r="L162" i="6"/>
  <c r="N162" i="6"/>
  <c r="L163" i="6"/>
  <c r="N163" i="6"/>
  <c r="L164" i="6"/>
  <c r="N164" i="6"/>
  <c r="L165" i="6"/>
  <c r="N165" i="6"/>
  <c r="L166" i="6"/>
  <c r="N166" i="6"/>
  <c r="L167" i="6"/>
  <c r="N167" i="6"/>
  <c r="L168" i="6"/>
  <c r="N168" i="6"/>
  <c r="L169" i="6"/>
  <c r="N169" i="6"/>
  <c r="L170" i="6"/>
  <c r="N170" i="6"/>
  <c r="L171" i="6"/>
  <c r="N171" i="6"/>
  <c r="L172" i="6"/>
  <c r="N172" i="6"/>
  <c r="L173" i="6"/>
  <c r="N173" i="6"/>
  <c r="L174" i="6"/>
  <c r="N174" i="6"/>
  <c r="L175" i="6"/>
  <c r="N175" i="6"/>
  <c r="L176" i="6"/>
  <c r="N176" i="6"/>
  <c r="L177" i="6"/>
  <c r="N177" i="6"/>
  <c r="L178" i="6"/>
  <c r="N178" i="6"/>
  <c r="L179" i="6"/>
  <c r="N179" i="6"/>
  <c r="L180" i="6"/>
  <c r="N180" i="6"/>
  <c r="L181" i="6"/>
  <c r="N181" i="6"/>
  <c r="L182" i="6"/>
  <c r="N182" i="6"/>
  <c r="L183" i="6"/>
  <c r="N183" i="6"/>
  <c r="L184" i="6"/>
  <c r="N184" i="6"/>
  <c r="L185" i="6"/>
  <c r="N185" i="6"/>
  <c r="L186" i="6"/>
  <c r="N186" i="6"/>
  <c r="L187" i="6"/>
  <c r="N187" i="6"/>
  <c r="L188" i="6"/>
  <c r="N188" i="6"/>
  <c r="L189" i="6"/>
  <c r="N189" i="6"/>
  <c r="L190" i="6"/>
  <c r="N190" i="6"/>
  <c r="L191" i="6"/>
  <c r="N191" i="6"/>
  <c r="L192" i="6"/>
  <c r="N192" i="6"/>
  <c r="L193" i="6"/>
  <c r="N193" i="6"/>
  <c r="L194" i="6"/>
  <c r="N194" i="6"/>
  <c r="L195" i="6"/>
  <c r="N195" i="6"/>
  <c r="L196" i="6"/>
  <c r="N196" i="6"/>
  <c r="L197" i="6"/>
  <c r="N197" i="6"/>
  <c r="L198" i="6"/>
  <c r="N198" i="6"/>
  <c r="L199" i="6"/>
  <c r="N199" i="6"/>
  <c r="L200" i="6"/>
  <c r="N200" i="6"/>
  <c r="L201" i="6"/>
  <c r="N201" i="6"/>
  <c r="L202" i="6"/>
  <c r="N202" i="6"/>
  <c r="L203" i="6"/>
  <c r="N203" i="6"/>
  <c r="L204" i="6"/>
  <c r="N204" i="6"/>
  <c r="L205" i="6"/>
  <c r="N205" i="6"/>
  <c r="L206" i="6"/>
  <c r="N206" i="6"/>
  <c r="L207" i="6"/>
  <c r="N207" i="6"/>
  <c r="L208" i="6"/>
  <c r="N208" i="6"/>
  <c r="L209" i="6"/>
  <c r="N209" i="6"/>
  <c r="L210" i="6"/>
  <c r="N210" i="6"/>
  <c r="L211" i="6"/>
  <c r="N211" i="6"/>
  <c r="L212" i="6"/>
  <c r="N212" i="6"/>
  <c r="L213" i="6"/>
  <c r="N213" i="6"/>
  <c r="L214" i="6"/>
  <c r="N214" i="6"/>
  <c r="L215" i="6"/>
  <c r="N215" i="6"/>
  <c r="L216" i="6"/>
  <c r="N216" i="6"/>
  <c r="L217" i="6"/>
  <c r="N217" i="6"/>
  <c r="L218" i="6"/>
  <c r="N218" i="6"/>
  <c r="L219" i="6"/>
  <c r="N219" i="6"/>
  <c r="L220" i="6"/>
  <c r="N220" i="6"/>
  <c r="L221" i="6"/>
  <c r="N221" i="6"/>
  <c r="L222" i="6"/>
  <c r="N222" i="6"/>
  <c r="L223" i="6"/>
  <c r="N223" i="6"/>
  <c r="L224" i="6"/>
  <c r="N224" i="6"/>
  <c r="L225" i="6"/>
  <c r="N225" i="6"/>
  <c r="L226" i="6"/>
  <c r="N226" i="6"/>
  <c r="L227" i="6"/>
  <c r="N227" i="6"/>
  <c r="L228" i="6"/>
  <c r="N228" i="6"/>
  <c r="L229" i="6"/>
  <c r="N229" i="6"/>
  <c r="L230" i="6"/>
  <c r="N230" i="6"/>
  <c r="L231" i="6"/>
  <c r="N231" i="6"/>
  <c r="L232" i="6"/>
  <c r="N232" i="6"/>
  <c r="L233" i="6"/>
  <c r="N233" i="6"/>
  <c r="L234" i="6"/>
  <c r="N234" i="6"/>
  <c r="L235" i="6"/>
  <c r="N235" i="6"/>
  <c r="L236" i="6"/>
  <c r="N236" i="6"/>
  <c r="L237" i="6"/>
  <c r="N237" i="6"/>
  <c r="L238" i="6"/>
  <c r="N238" i="6"/>
  <c r="L239" i="6"/>
  <c r="N239" i="6"/>
  <c r="L240" i="6"/>
  <c r="N240" i="6"/>
  <c r="L241" i="6"/>
  <c r="N241" i="6"/>
  <c r="L242" i="6"/>
  <c r="N242" i="6"/>
  <c r="L243" i="6"/>
  <c r="N243" i="6"/>
  <c r="L244" i="6"/>
  <c r="N244" i="6"/>
  <c r="L245" i="6"/>
  <c r="N245" i="6"/>
  <c r="L246" i="6"/>
  <c r="N246" i="6"/>
  <c r="L247" i="6"/>
  <c r="N247" i="6"/>
  <c r="L248" i="6"/>
  <c r="N248" i="6"/>
  <c r="L249" i="6"/>
  <c r="N249" i="6"/>
  <c r="L250" i="6"/>
  <c r="N250" i="6"/>
  <c r="L251" i="6"/>
  <c r="N251" i="6"/>
  <c r="L252" i="6"/>
  <c r="N252" i="6"/>
  <c r="L253" i="6"/>
  <c r="N253" i="6"/>
  <c r="L254" i="6"/>
  <c r="N254" i="6"/>
  <c r="L255" i="6"/>
  <c r="N255" i="6"/>
  <c r="L256" i="6"/>
  <c r="N256" i="6"/>
  <c r="L257" i="6"/>
  <c r="N257" i="6"/>
  <c r="L258" i="6"/>
  <c r="N258" i="6"/>
  <c r="L259" i="6"/>
  <c r="N259" i="6"/>
  <c r="L260" i="6"/>
  <c r="N260" i="6"/>
  <c r="L261" i="6"/>
  <c r="N261" i="6"/>
  <c r="L262" i="6"/>
  <c r="N262" i="6"/>
  <c r="L263" i="6"/>
  <c r="N263" i="6"/>
  <c r="L264" i="6"/>
  <c r="N264" i="6"/>
  <c r="L265" i="6"/>
  <c r="N265" i="6"/>
  <c r="L266" i="6"/>
  <c r="N266" i="6"/>
  <c r="L267" i="6"/>
  <c r="N267" i="6"/>
  <c r="L268" i="6"/>
  <c r="N268" i="6"/>
  <c r="L269" i="6"/>
  <c r="N269" i="6"/>
  <c r="L270" i="6"/>
  <c r="N270" i="6"/>
  <c r="L271" i="6"/>
  <c r="N271" i="6"/>
  <c r="L272" i="6"/>
  <c r="N272" i="6"/>
  <c r="L273" i="6"/>
  <c r="N273" i="6"/>
  <c r="L274" i="6"/>
  <c r="N274" i="6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/>
  <c r="D5" i="8"/>
  <c r="D8" i="8"/>
  <c r="E5" i="8"/>
  <c r="E8" i="8"/>
  <c r="E10" i="8"/>
</calcChain>
</file>

<file path=xl/sharedStrings.xml><?xml version="1.0" encoding="utf-8"?>
<sst xmlns="http://schemas.openxmlformats.org/spreadsheetml/2006/main" count="6161" uniqueCount="967">
  <si>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</si>
  <si>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</si>
  <si>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</si>
  <si>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</si>
  <si>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</si>
  <si>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</si>
  <si>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</si>
  <si>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</si>
  <si>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</si>
  <si>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</si>
  <si>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</si>
  <si>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</si>
  <si>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</si>
  <si>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</si>
  <si>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</si>
  <si>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</si>
  <si>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</si>
  <si>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</si>
  <si>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</si>
  <si>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</si>
  <si>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</si>
  <si>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</si>
  <si>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</si>
  <si>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</si>
  <si>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</si>
  <si>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</si>
  <si>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</si>
  <si>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</si>
  <si>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</si>
  <si>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</si>
  <si>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</si>
  <si>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</si>
  <si>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</si>
  <si>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</si>
  <si>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</si>
  <si>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</si>
  <si>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</si>
  <si>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</si>
  <si>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</si>
  <si>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</si>
  <si>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</si>
  <si>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</si>
  <si>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</si>
  <si>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</si>
  <si>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</si>
  <si>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</si>
  <si>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</si>
  <si>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</si>
  <si>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</si>
  <si>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Google Brasil</t>
  </si>
  <si>
    <t>Facebook</t>
  </si>
  <si>
    <t>instagram.com</t>
  </si>
  <si>
    <t>Oath BR</t>
  </si>
  <si>
    <t>160x600 Default Web Ad</t>
  </si>
  <si>
    <t>In Loco Media</t>
  </si>
  <si>
    <t>1x1 Default Web Ad</t>
  </si>
  <si>
    <t>In-Stream Video</t>
  </si>
  <si>
    <t>Month</t>
  </si>
  <si>
    <t>2019-02</t>
  </si>
  <si>
    <t>2019-01</t>
  </si>
  <si>
    <t>PG ALMAP</t>
  </si>
  <si>
    <t>PG CM</t>
  </si>
  <si>
    <t>MK~BR_CN~BRAND_REPUTATION_MN~NONE_YQ~19Q1Q4_CP~PO5020004141-7_OB~AWA_PK~NONE</t>
  </si>
  <si>
    <t>CH~SEARCH_DT~MULTI_PB~GADS_FM~SEARCH_RT~CPC_PD~SEARCH_INSTITUCIONAL_CARTAOCREDITO_1X1_TG~BHVDEM_TS~NONE_SZ~1X1_SEARCH_MK~BR_IT~SEARCH_VV~NONE</t>
  </si>
  <si>
    <t>238973080</t>
  </si>
  <si>
    <t>436130000</t>
  </si>
  <si>
    <t>CH~SEARCH_DT~MULTI_PB~GADS_FM~SEARCH_RT~CPC_PD~SEARCH_INSTITUCIONAL_CARTAODEBITO_1X1_TG~BHVDEM_TS~NONE_SZ~1X1_SEARCH_MK~BR_IT~SEARCH_VV~NONE</t>
  </si>
  <si>
    <t>238882529</t>
  </si>
  <si>
    <t>436127243</t>
  </si>
  <si>
    <t>CH~SEARCH_DT~MULTI_PB~GADS_FM~SEARCH_RT~CPC_PD~SEARCH_INSTITUCIONAL_CARTAOPREPAGO_1X1_TG~BHVDEM_TS~NONE_SZ~1X1_SEARCH_MK~BR_IT~SEARCH_VV~NONE</t>
  </si>
  <si>
    <t>238882535</t>
  </si>
  <si>
    <t>436127249</t>
  </si>
  <si>
    <t>CH~SEARCH_DT~MULTI_PB~GADS_FM~SEARCH_RT~CPC_PD~SEARCH_INSTITUCIONAL_HOMEPAGE_1X1_TG~BHVDEM_TS~NONE_SZ~1X1_SEARCH_MK~BR_IT~SEARCH_VV~NONE</t>
  </si>
  <si>
    <t>238960916</t>
  </si>
  <si>
    <t>436175426</t>
  </si>
  <si>
    <t>CH~SEARCH_DT~MULTI_PB~GADS_FM~SEARCH_RT~CPC_PD~SEARCH_INSTITUCIONAL_PARCEIROS_ACEITEVISA_1X1_TG~BHVDEM_TS~NONE_SZ~1X1_SEARCH_MK~BR_IT~SEARCH_VV~NONE</t>
  </si>
  <si>
    <t>238882532</t>
  </si>
  <si>
    <t>436127246</t>
  </si>
  <si>
    <t>CH~SEARCH_DT~MULTI_PB~GADS_FM~SEARCH_RT~CPC_PD~SEARCH_INSTITUCIONAL_PARCEIROS_GRANDESEMPRESAS_1X1_TG~BHVDEM_TS~NONE_SZ~1X1_SEARCH_MK~BR_IT~SEARCH_VV~NONE</t>
  </si>
  <si>
    <t>238882505</t>
  </si>
  <si>
    <t>436127219</t>
  </si>
  <si>
    <t>CH~SEARCH_DT~MULTI_PB~GADS_FM~SEARCH_RT~CPC_PD~SEARCH_INSTITUCIONAL_PARCEIROS_PEQUENASEMPRESAS_1X1_TG~BHVDEM_TS~NONE_SZ~1X1_SEARCH_MK~BR_IT~SEARCH_VV~NONE</t>
  </si>
  <si>
    <t>238882508</t>
  </si>
  <si>
    <t>436127222</t>
  </si>
  <si>
    <t>CH~SEARCH_DT~MULTI_PB~GADS_FM~SEARCH_RT~CPC_PD~SEARCH_INSTITUCIONAL_SOLICITESEUCARTAO_1X1_TG~BHVDEM_TS~NONE_SZ~1X1_SEARCH_MK~BR_IT~SEARCH_VV~NONE</t>
  </si>
  <si>
    <t>238882523</t>
  </si>
  <si>
    <t>436127237</t>
  </si>
  <si>
    <t>CH~SEARCH_DT~MULTI_PB~GADS_FM~SEARCH_RT~CPC_PD~SEARCH_INSTITUCIONAL_VISACHECKOUT_1X1_TG~BHVDEM_TS~NONE_SZ~1X1_SEARCH_MK~BR_IT~SEARCH_VV~NONE</t>
  </si>
  <si>
    <t>239850153</t>
  </si>
  <si>
    <t>436800229</t>
  </si>
  <si>
    <t>MK~BR_CN~Causas_MN~CCV_YQ~19Q1Q4_CP~NONE_OB~LDS_PK~NONE</t>
  </si>
  <si>
    <t>CH~SOCIAL_DT~MULTI_PB~FCBK_FM~CARROSSEL_RT~CPM_PD~CAUSAS_ICONES_FOTOS_ANIMAIS_CARROSSEL_1X1_TG~BHVDEM_TS~NONE_SZ~1X1_SOCIAL_MK~BR_IT~SOCIAL_VV~NONE</t>
  </si>
  <si>
    <t>240115186</t>
  </si>
  <si>
    <t>437114954</t>
  </si>
  <si>
    <t>CH~SOCIAL_DT~MULTI_PB~FCBK_FM~CARROSSEL_RT~CPM_PD~CAUSAS_ICONES_FOTOS_CRIANÇAS_CARROSSEL_1X1_TG~BHVDEM_TS~NONE_SZ~1X1_SOCIAL_MK~BR_IT~SOCIAL_VV~NONE</t>
  </si>
  <si>
    <t>240115180</t>
  </si>
  <si>
    <t>437114948</t>
  </si>
  <si>
    <t>CH~SOCIAL_DT~MULTI_PB~FCBK_FM~CARROSSEL_RT~CPM_PD~CAUSAS_ICONES_FOTOS_EDUCAÇAO_CARROSSEL_1X1_TG~BHVDEM_TS~NONE_SZ~1X1_SOCIAL_MK~BR_IT~SOCIAL_VV~NONE</t>
  </si>
  <si>
    <t>240115174</t>
  </si>
  <si>
    <t>437114942</t>
  </si>
  <si>
    <t>CH~SOCIAL_DT~MULTI_PB~FCBK_FM~CARROSSEL_RT~CPM_PD~CAUSAS_ICONES_FOTOS_IDOSOS_CARROSSEL_1X1_TG~BHVDEM_TS~NONE_SZ~1X1_SOCIAL_MK~BR_IT~SOCIAL_VV~NONE</t>
  </si>
  <si>
    <t>240115171</t>
  </si>
  <si>
    <t>437114939</t>
  </si>
  <si>
    <t>CH~SOCIAL_DT~MULTI_PB~FCBK_FM~CARROSSEL_RT~CPM_PD~CAUSAS_ICONES_FOTOS_SAUDE_CARROSSEL_1X1_TG~BHVDEM_TS~NONE_SZ~1X1_SOCIAL_MK~BR_IT~SOCIAL_VV~NONE</t>
  </si>
  <si>
    <t>240115168</t>
  </si>
  <si>
    <t>437114936</t>
  </si>
  <si>
    <t>CH~SOCIAL_DT~MULTI_PB~FCBK_FM~CARROSSEL_RT~CPM_PD~CAUSAS_ICONES_LOGO_ANIMAIS_CARROSSEL_1X1_TG~BHVDEM_TS~NONE_SZ~1X1_SOCIAL_MK~BR_IT~SOCIAL_VV~NONE</t>
  </si>
  <si>
    <t>240115165</t>
  </si>
  <si>
    <t>437114933</t>
  </si>
  <si>
    <t>CH~SOCIAL_DT~MULTI_PB~FCBK_FM~CARROSSEL_RT~CPM_PD~CAUSAS_ICONES_LOGO_CRIANCAS_CARROSSEL_1X1_TG~BHVDEM_TS~NONE_SZ~1X1_SOCIAL_MK~BR_IT~SOCIAL_VV~NONE</t>
  </si>
  <si>
    <t>240115162</t>
  </si>
  <si>
    <t>437114930</t>
  </si>
  <si>
    <t>CH~SOCIAL_DT~MULTI_PB~FCBK_FM~CARROSSEL_RT~CPM_PD~CAUSAS_ICONES_LOGO_EDUCAÇAO_CARROSSEL_1X1_TG~BHVDEM_TS~NONE_SZ~1X1_SOCIAL_MK~BR_IT~SOCIAL_VV~NONE</t>
  </si>
  <si>
    <t>240115159</t>
  </si>
  <si>
    <t>437114927</t>
  </si>
  <si>
    <t>CH~SOCIAL_DT~MULTI_PB~FCBK_FM~CARROSSEL_RT~CPM_PD~CAUSAS_ICONES_LOGO_IDOSOS_CARROSSEL_1X1_TG~BHVDEM_TS~NONE_SZ~1X1_SOCIAL_MK~BR_IT~SOCIAL_VV~NONE</t>
  </si>
  <si>
    <t>240115183</t>
  </si>
  <si>
    <t>437114951</t>
  </si>
  <si>
    <t>CH~SOCIAL_DT~MULTI_PB~FCBK_FM~LINKAD_RT~CPM_PD~CAUSAS_CADASTRE_SE_NATAL_LINKAD_ANIMADO_FB_1X1_TG~BHVDEM_TS~NONE_SZ~1X1_SOCIAL_MK~BR_IT~SOCIAL_VV~NONE</t>
  </si>
  <si>
    <t>236524072</t>
  </si>
  <si>
    <t>433986273</t>
  </si>
  <si>
    <t>CH~SOCIAL_DT~MULTI_PB~FCBK_FM~LINKAD_RT~CPM_PD~CAUSAS_ICONES_CADASTRAR_CARTAO_FB_1X1_TG~BHVDEM_TS~NONE_SZ~1X1_SOCIAL_MK~BR_IT~SOCIAL_VV~NONE</t>
  </si>
  <si>
    <t>233326907</t>
  </si>
  <si>
    <t>431122051</t>
  </si>
  <si>
    <t>CH~SOCIAL_DT~MULTI_PB~FCBK_FM~VIDEO_RT~CPM_PD~CAUSAS_CAMERA_ESCONDIDA_CURTO_GERANDOFALCOES-ONG5-03_1X1_TG~BHVDEM_TS~NONE_SZ~1X1_SOCIAL_MK~BR_IT~SOCIAL_VV~NONE</t>
  </si>
  <si>
    <t>236902913</t>
  </si>
  <si>
    <t>434283710</t>
  </si>
  <si>
    <t>CH~SOCIAL_DT~MULTI_PB~FCBK_FM~VIDEO_RT~CPM_PD~CAUSAS_CAMERA_ESCONDIDA_CURTO_LUISAMEL-ONG4-02-1_1X1_TG~BHVDEM_TS~NONE_SZ~1X1_SOCIAL_MK~BR_IT~SOCIAL_VV~NONE</t>
  </si>
  <si>
    <t>236902925</t>
  </si>
  <si>
    <t>434283722</t>
  </si>
  <si>
    <t>CH~SOCIAL_DT~MULTI_PB~FCBK_FM~VIDEO_RT~CPM_PD~CAUSAS_CAMERA_ESCONDIDA_CURTO_RAI-ONG3-04_1X1_TG~BHVDEM_TS~NONE_SZ~1X1_SOCIAL_MK~BR_IT~SOCIAL_VV~NONE</t>
  </si>
  <si>
    <t>236902922</t>
  </si>
  <si>
    <t>434283719</t>
  </si>
  <si>
    <t>CH~SOCIAL_DT~MULTI_PB~FCBK_FM~VIDEO_RT~CPM_PD~CAUSAS_CAMERA_ESCONDIDA_CURTO_VELHOAMIGO-ONG1-05_1X1_TG~BHVDEM_TS~NONE_SZ~1X1_SOCIAL_MK~BR_IT~SOCIAL_VV~NONE</t>
  </si>
  <si>
    <t>236902916</t>
  </si>
  <si>
    <t>434283713</t>
  </si>
  <si>
    <t>CH~SOCIAL_DT~MULTI_PB~FCBK_FM~VIDEO_RT~CPM_PD~CAUSAS_CAMERA_ESCONDIDA_CURTO_VERTER-ONG2-7_1X1_TG~BHVDEM_TS~NONE_SZ~1X1_SOCIAL_MK~BR_IT~SOCIAL_VV~NONE</t>
  </si>
  <si>
    <t>236902919</t>
  </si>
  <si>
    <t>434283716</t>
  </si>
  <si>
    <t>CH~SOCIAL_DT~MULTI_PB~FCBK_FM~VIDEO_RT~CPM_PD~CAUSAS_CAMERA_ESCONDIDA_LONGO06-1-LEG_1X1_TG~BHVDEM_TS~NONE_SZ~1X1_SOCIAL_MK~BR_IT~SOCIAL_VV~NONE</t>
  </si>
  <si>
    <t>236902928</t>
  </si>
  <si>
    <t>434283725</t>
  </si>
  <si>
    <t>CH~SOCIAL_DT~MULTI_PB~FCBK_FM~VIDEO_RT~CPM_PD~CAUSAS_TINTURA2_15S_VIDEO_HORIZONTAL_FB_1X1_TG~BHVDEM_TS~NONE_SZ~1X1_SOCIAL_MK~BR_IT~SOCIAL_VV~NONE</t>
  </si>
  <si>
    <t>233643533</t>
  </si>
  <si>
    <t>431463292</t>
  </si>
  <si>
    <t>CH~SOCIAL_DT~MULTI_PB~FCBK_FM~VIDEO_RT~CPM_PD~CAUSAS_TINTURA2_15S_VIDEO_VERTICAL_FB_1X1_TG~BHVDEM_TS~NONE_SZ~1X1_SOCIAL_MK~BR_IT~SOCIAL_VV~NONE</t>
  </si>
  <si>
    <t>233643530</t>
  </si>
  <si>
    <t>431463289</t>
  </si>
  <si>
    <t>CH~SOCIAL_DT~MULTI_PB~FCBK_FM~VIDEO_RT~CPM_PD~CAUSAS_TINTURA2_30S_VIDEO_HORIZONTAL_FB_1X1_TG~BHVDEM_TS~NONE_SZ~1X1_SOCIAL_MK~BR_IT~SOCIAL_VV~NONE</t>
  </si>
  <si>
    <t>233643539</t>
  </si>
  <si>
    <t>431463298</t>
  </si>
  <si>
    <t>CH~SOCIAL_DT~MULTI_PB~FCBK_FM~VIDEO_RT~CPM_PD~CAUSAS_TINTURA2_30S_VIDEO_VERTICAL_FB_1X1_TG~BHVDEM_TS~NONE_SZ~1X1_SOCIAL_MK~BR_IT~SOCIAL_VV~NONE</t>
  </si>
  <si>
    <t>233643536</t>
  </si>
  <si>
    <t>431463295</t>
  </si>
  <si>
    <t>CH~SOCIAL_DT~MULTI_PB~FCBK_FM~VINHETA_RT~CPM_PD~CAUSAS_TINTURA2_HORIZONTAL_VINHETA1_1X1_TG~BHVDEM_TS~NONE_SZ~1X1_SOCIAL_MK~BR_IT~SOCIAL_VV~NONE</t>
  </si>
  <si>
    <t>233643527</t>
  </si>
  <si>
    <t>431463286</t>
  </si>
  <si>
    <t>CH~SOCIAL_DT~MULTI_PB~FCBK_FM~VINHETA_RT~CPM_PD~CAUSAS_TINTURA2_HORIZONTAL_VINHETA2_1X1_TG~BHVDEM_TS~NONE_SZ~1X1_SOCIAL_MK~BR_IT~SOCIAL_VV~NONE</t>
  </si>
  <si>
    <t>233643524</t>
  </si>
  <si>
    <t>431463283</t>
  </si>
  <si>
    <t>CH~SOCIAL_DT~MULTI_PB~FCBK_FM~VINHETA_RT~CPM_PD~CAUSAS_TINTURA2_HORIZONTAL_VINHETA3_1X1_TG~BHVDEM_TS~NONE_SZ~1X1_SOCIAL_MK~BR_IT~SOCIAL_VV~NONE</t>
  </si>
  <si>
    <t>233643521</t>
  </si>
  <si>
    <t>431463280</t>
  </si>
  <si>
    <t>CH~SOCIAL_DT~MULTI_PB~FCBK_FM~VINHETA_RT~CPM_PD~CAUSAS_TINTURA2_HORIZONTAL_VINHETA4_1X1_TG~BHVDEM_TS~NONE_SZ~1X1_SOCIAL_MK~BR_IT~SOCIAL_VV~NONE</t>
  </si>
  <si>
    <t>233643518</t>
  </si>
  <si>
    <t>431463277</t>
  </si>
  <si>
    <t>CH~SOCIAL_DT~MULTI_PB~FCBK_FM~VINHETA_RT~CPM_PD~CAUSAS_TINTURA2_HORIZONTAL_VINHETA5_1X1_TG~BHVDEM_TS~NONE_SZ~1X1_SOCIAL_MK~BR_IT~SOCIAL_VV~NONE</t>
  </si>
  <si>
    <t>233643515</t>
  </si>
  <si>
    <t>431463274</t>
  </si>
  <si>
    <t>CH~SOCIAL_DT~MULTI_PB~FCBK_FM~VINHETA_RT~CPM_PD~CAUSAS_TINTURA2_VERTICAL_VINHETA1_1X1_TG~BHVDEM_TS~NONE_SZ~1X1_SOCIAL_MK~BR_IT~SOCIAL_VV~NONE</t>
  </si>
  <si>
    <t>233643512</t>
  </si>
  <si>
    <t>431463271</t>
  </si>
  <si>
    <t>CH~SOCIAL_DT~MULTI_PB~FCBK_FM~VINHETA_RT~CPM_PD~CAUSAS_TINTURA2_VERTICAL_VINHETA2_1X1_TG~BHVDEM_TS~NONE_SZ~1X1_SOCIAL_MK~BR_IT~SOCIAL_VV~NONE</t>
  </si>
  <si>
    <t>233643509</t>
  </si>
  <si>
    <t>431463268</t>
  </si>
  <si>
    <t>CH~SOCIAL_DT~MULTI_PB~FCBK_FM~VINHETA_RT~CPM_PD~CAUSAS_TINTURA2_VERTICAL_VINHETA3_1X1_TG~BHVDEM_TS~NONE_SZ~1X1_SOCIAL_MK~BR_IT~SOCIAL_VV~NONE</t>
  </si>
  <si>
    <t>233643506</t>
  </si>
  <si>
    <t>431390367</t>
  </si>
  <si>
    <t>CH~SOCIAL_DT~MULTI_PB~FCBK_FM~VINHETA_RT~CPM_PD~CAUSAS_TINTURA2_VERTICAL_VINHETA4_1X1_TG~BHVDEM_TS~NONE_SZ~1X1_SOCIAL_MK~BR_IT~SOCIAL_VV~NONE</t>
  </si>
  <si>
    <t>233643503</t>
  </si>
  <si>
    <t>431390364</t>
  </si>
  <si>
    <t>CH~SOCIAL_DT~MULTI_PB~FCBK_FM~VINHETA_RT~CPM_PD~CAUSAS_TINTURA2_VERTICAL_VINHETA5_1X1_TG~BHVDEM_TS~NONE_SZ~1X1_SOCIAL_MK~BR_IT~SOCIAL_VV~NONE</t>
  </si>
  <si>
    <t>233643500</t>
  </si>
  <si>
    <t>431390361</t>
  </si>
  <si>
    <t>CH~DISPLAY_DT~MULTI_PB~GDBM_FM~BANNER_RT~CPM_PD~CAUSAS_CADASTRE-SE_VISA_ICONES_120X600_120X600_TG~BHVDEM_TS~NONE_SZ~120X600_SOCIAL_MK~BR_IT~SOCIAL_VV~NONE</t>
  </si>
  <si>
    <t>233800829</t>
  </si>
  <si>
    <t>431516400</t>
  </si>
  <si>
    <t>CH~DISPLAY_DT~MULTI_PB~GDBM_FM~BANNER_RT~CPM_PD~CAUSAS_CADASTRE-SE_VISA_ICONES_160X600_160X600_TG~BHVDEM_TS~NONE_SZ~160X600_SOCIAL_MK~BR_IT~SOCIAL_VV~NONE</t>
  </si>
  <si>
    <t>233800823</t>
  </si>
  <si>
    <t>431065207</t>
  </si>
  <si>
    <t>431473400</t>
  </si>
  <si>
    <t>CH~DISPLAY_DT~MULTI_PB~GDBM_FM~BANNER_RT~CPM_PD~CAUSAS_CADASTRE-SE_VISA_ICONES_300X250_300X250_TG~BHVDEM_TS~NONE_SZ~300X250_SOCIAL_MK~BR_IT~SOCIAL_VV~NONE</t>
  </si>
  <si>
    <t>233800817</t>
  </si>
  <si>
    <t>431473388</t>
  </si>
  <si>
    <t>CH~DISPLAY_DT~MULTI_PB~GDBM_FM~BANNER_RT~CPM_PD~CAUSAS_CADASTRE-SE_VISA_ICONES_300X50_300X50_TG~BHVDEM_TS~NONE_SZ~300X50_SOCIAL_MK~BR_IT~SOCIAL_VV~NONE</t>
  </si>
  <si>
    <t>233800820</t>
  </si>
  <si>
    <t>431473394</t>
  </si>
  <si>
    <t>CH~DISPLAY_DT~MULTI_PB~GDBM_FM~BANNER_RT~CPM_PD~CAUSAS_CADASTRE-SE_VISA_ICONES_300X600_300X600_TG~BHVDEM_TS~NONE_SZ~300X600_SOCIAL_MK~BR_IT~SOCIAL_VV~NONE</t>
  </si>
  <si>
    <t>233800814</t>
  </si>
  <si>
    <t>431473382</t>
  </si>
  <si>
    <t>CH~DISPLAY_DT~MULTI_PB~GDBM_FM~BANNER_RT~CPM_PD~CAUSAS_CADASTRE-SE_VISA_ICONES_320X50_320X50_TG~BHVDEM_TS~NONE_SZ~320X50_SOCIAL_MK~BR_IT~SOCIAL_VV~NONE</t>
  </si>
  <si>
    <t>233800811</t>
  </si>
  <si>
    <t>431473376</t>
  </si>
  <si>
    <t>CH~DISPLAY_DT~MULTI_PB~GDBM_FM~BANNER_RT~CPM_PD~CAUSAS_CADASTRE-SE_VISA_ICONES_728X90_728X90_TG~BHVDEM_TS~NONE_SZ~728X90_SOCIAL_MK~BR_IT~SOCIAL_VV~NONE</t>
  </si>
  <si>
    <t>233800808</t>
  </si>
  <si>
    <t>431473370</t>
  </si>
  <si>
    <t>CH~DISPLAY_DT~MULTI_PB~GDBM_FM~BANNER_RT~CPM_PD~CAUSAS_CADASTRE-SE_VISA_ICONES_970X250_970X250_TG~BHVDEM_TS~NONE_SZ~970X250_SOCIAL_MK~BR_IT~SOCIAL_VV~NONE</t>
  </si>
  <si>
    <t>233800802</t>
  </si>
  <si>
    <t>431473355</t>
  </si>
  <si>
    <t>CH~DISPLAY_DT~MULTI_PB~GDBM_FM~BANNER_RT~CPM_PD~CAUSAS_CADASTRE-SE_VISA_ICONES_970X90_970X90_TG~BHVDEM_TS~NONE_SZ~970X90_SOCIAL_MK~BR_IT~SOCIAL_VV~NONE</t>
  </si>
  <si>
    <t>233800805</t>
  </si>
  <si>
    <t>431473364</t>
  </si>
  <si>
    <t>CH~DISPLAY_DT~MULTI_PB~GDBM_FM~BANNER_RT~CPM_PD~CAUSAS_CADASTRE_SE_TINTURA_120X600_120X600_TG~BHVDEM_TS~NONE_SZ~120X600_SOCIAL_MK~BR_IT~SOCIAL_VV~NONE</t>
  </si>
  <si>
    <t>233318416</t>
  </si>
  <si>
    <t>430986707</t>
  </si>
  <si>
    <t>CH~DISPLAY_DT~MULTI_PB~GDBM_FM~BANNER_RT~CPM_PD~CAUSAS_CADASTRE_SE_TINTURA_160X600_160X600_TG~BHVDEM_TS~NONE_SZ~160X600_SOCIAL_MK~BR_IT~SOCIAL_VV~NONE</t>
  </si>
  <si>
    <t>233318410</t>
  </si>
  <si>
    <t>430986710</t>
  </si>
  <si>
    <t>CH~DISPLAY_DT~MULTI_PB~GDBM_FM~BANNER_RT~CPM_PD~CAUSAS_CADASTRE_SE_TINTURA_300X250_300X250_TG~BHVDEM_TS~NONE_SZ~300X250_SOCIAL_MK~BR_IT~SOCIAL_VV~NONE</t>
  </si>
  <si>
    <t>233318398</t>
  </si>
  <si>
    <t>430986716</t>
  </si>
  <si>
    <t>CH~DISPLAY_DT~MULTI_PB~GDBM_FM~BANNER_RT~CPM_PD~CAUSAS_CADASTRE_SE_TINTURA_300X50_300X50_TG~BHVDEM_TS~NONE_SZ~300X50_SOCIAL_MK~BR_IT~SOCIAL_VV~NONE</t>
  </si>
  <si>
    <t>233318404</t>
  </si>
  <si>
    <t>430986713</t>
  </si>
  <si>
    <t>CH~DISPLAY_DT~MULTI_PB~GDBM_FM~BANNER_RT~CPM_PD~CAUSAS_CADASTRE_SE_TINTURA_300X600_300X600_TG~BHVDEM_TS~NONE_SZ~300X600_SOCIAL_MK~BR_IT~SOCIAL_VV~NONE</t>
  </si>
  <si>
    <t>233318392</t>
  </si>
  <si>
    <t>430986719</t>
  </si>
  <si>
    <t>CH~DISPLAY_DT~MULTI_PB~GDBM_FM~BANNER_RT~CPM_PD~CAUSAS_CADASTRE_SE_TINTURA_320X50_320X50_TG~BHVDEM_TS~NONE_SZ~320X50_SOCIAL_MK~BR_IT~SOCIAL_VV~NONE</t>
  </si>
  <si>
    <t>233318389</t>
  </si>
  <si>
    <t>430986722</t>
  </si>
  <si>
    <t>CH~DISPLAY_DT~MULTI_PB~GDBM_FM~BANNER_RT~CPM_PD~CAUSAS_CADASTRE_SE_TINTURA_728X90_728X90_TG~BHVDEM_TS~NONE_SZ~728X90_SOCIAL_MK~BR_IT~SOCIAL_VV~NONE</t>
  </si>
  <si>
    <t>233318386</t>
  </si>
  <si>
    <t>430986725</t>
  </si>
  <si>
    <t>CH~DISPLAY_DT~MULTI_PB~GDBM_FM~BANNER_RT~CPM_PD~CAUSAS_CADASTRE_SE_TINTURA_970X250_970X250_TG~BHVDEM_TS~NONE_SZ~970X250_SOCIAL_MK~BR_IT~SOCIAL_VV~NONE</t>
  </si>
  <si>
    <t>233318380</t>
  </si>
  <si>
    <t>430986728</t>
  </si>
  <si>
    <t>CH~DISPLAY_DT~MULTI_PB~GDBM_FM~BANNER_RT~CPM_PD~CAUSAS_CADASTRE_SE_TINTURA_970X90_970X90_TG~BHVDEM_TS~NONE_SZ~970X90_SOCIAL_MK~BR_IT~SOCIAL_VV~NONE</t>
  </si>
  <si>
    <t>233318383</t>
  </si>
  <si>
    <t>431034078</t>
  </si>
  <si>
    <t>CH~DISPLAY_DT~MULTI_PB~GDBM_FM~BANNER_RT~CPM_PD~CAUSAS_USE_MAIS_VISA_TINTURA_970X250_970X250_TG~BHVDEM_TS~NONE_SZ~970X250_SOCIAL_MK~BR_IT~SOCIAL_VV~NONE</t>
  </si>
  <si>
    <t>233318353</t>
  </si>
  <si>
    <t>430986749</t>
  </si>
  <si>
    <t>CH~DISPLAY_DT~MULTI_PB~GDBM_FM~BANNER_RT~CPM_PD~CAUSAS_USE_MAIS_VISA_TINTURA_970X90_970X90_TG~BHVDEM_TS~NONE_SZ~970X90_SOCIAL_MK~BR_IT~SOCIAL_VV~NONE</t>
  </si>
  <si>
    <t>233318356</t>
  </si>
  <si>
    <t>430986746</t>
  </si>
  <si>
    <t>CH~DISPLAY_DT~MULTI_PB~GDBM_FM~VIDEO_RT~CPM_PD~CAUSAS_CAMERA_ESCONDIDA_CURTO_GERANDOFALCOES-ONG5-03_VIDEO_TG~BHVDEM_TS~NONE_SZ~VIDEO_SOCIAL_MK~BR_IT~SOCIAL_VV~NONE</t>
  </si>
  <si>
    <t>236939038</t>
  </si>
  <si>
    <t>434291229</t>
  </si>
  <si>
    <t>CH~DISPLAY_DT~MULTI_PB~GDBM_FM~VIDEO_RT~CPM_PD~CAUSAS_CAMERA_ESCONDIDA_CURTO_LUISAMEL-ONG4-02-1_VIDEO_TG~BHVDEM_TS~NONE_SZ~VIDEO_SOCIAL_MK~BR_IT~SOCIAL_VV~NONE</t>
  </si>
  <si>
    <t>236921984</t>
  </si>
  <si>
    <t>434289174</t>
  </si>
  <si>
    <t>CH~DISPLAY_DT~MULTI_PB~GDBM_FM~VIDEO_RT~CPM_PD~CAUSAS_CAMERA_ESCONDIDA_CURTO_RAI-ONG3-04_VIDEO_TG~BHVDEM_TS~NONE_SZ~VIDEO_SOCIAL_MK~BR_IT~SOCIAL_VV~NONE</t>
  </si>
  <si>
    <t>236940151</t>
  </si>
  <si>
    <t>434290260</t>
  </si>
  <si>
    <t>CH~DISPLAY_DT~MULTI_PB~GDBM_FM~VIDEO_RT~CPM_PD~CAUSAS_CAMERA_ESCONDIDA_CURTO_VELHOAMIGO-ONG1-05_VIDEO_TG~BHVDEM_TS~NONE_SZ~VIDEO_SOCIAL_MK~BR_IT~SOCIAL_VV~NONE</t>
  </si>
  <si>
    <t>236939701</t>
  </si>
  <si>
    <t>434291226</t>
  </si>
  <si>
    <t>CH~DISPLAY_DT~MULTI_PB~GDBM_FM~VIDEO_RT~CPM_PD~CAUSAS_CAMERA_ESCONDIDA_CURTO_VERTER-ONG2-7_VIDEO_TG~BHVDEM_TS~NONE_SZ~VIDEO_SOCIAL_MK~BR_IT~SOCIAL_VV~NONE</t>
  </si>
  <si>
    <t>236921987</t>
  </si>
  <si>
    <t>434387476</t>
  </si>
  <si>
    <t>CH~DISPLAY_DT~MULTI_PB~GDBM_FM~VIDEO_RT~CPM_PD~CAUSAS_CAMERA_ESCONDIDA_LONGO06-1-LEG_VIDEO_TG~BHVDEM_TS~NONE_SZ~VIDEO_SOCIAL_MK~BR_IT~SOCIAL_VV~NONE</t>
  </si>
  <si>
    <t>236939683</t>
  </si>
  <si>
    <t>434294333</t>
  </si>
  <si>
    <t>CH~DISPLAY_DT~MULTI_PB~OAT_FM~BANNER_RT~CPM_PD~CAUSAS_CADASTRE_SE_TINTURA_120X600_120X600_TG~BHVDEM_TS~NONE_SZ~120X600_SOCIAL_MK~BR_IT~SOCIAL_VV~NONE</t>
  </si>
  <si>
    <t>233318443</t>
  </si>
  <si>
    <t>431034069</t>
  </si>
  <si>
    <t>CH~DISPLAY_DT~MULTI_PB~OAT_FM~BANNER_RT~CPM_PD~CAUSAS_CADASTRE_SE_TINTURA_160X600_160X600_TG~BHVDEM_TS~NONE_SZ~160X600_SOCIAL_MK~BR_IT~SOCIAL_VV~NONE</t>
  </si>
  <si>
    <t>233318437</t>
  </si>
  <si>
    <t>430986776</t>
  </si>
  <si>
    <t>CH~DISPLAY_DT~MULTI_PB~OAT_FM~BANNER_RT~CPM_PD~CAUSAS_CADASTRE_SE_TINTURA_300X250_300X250_TG~BHVDEM_TS~NONE_SZ~300X250_SOCIAL_MK~BR_IT~SOCIAL_VV~NONE</t>
  </si>
  <si>
    <t>233318425</t>
  </si>
  <si>
    <t>430986782</t>
  </si>
  <si>
    <t>CH~DISPLAY_DT~MULTI_PB~OAT_FM~BANNER_RT~CPM_PD~CAUSAS_CADASTRE_SE_TINTURA_300X50_300X50_TG~BHVDEM_TS~NONE_SZ~300X50_SOCIAL_MK~BR_IT~SOCIAL_VV~NONE</t>
  </si>
  <si>
    <t>233318431</t>
  </si>
  <si>
    <t>430986779</t>
  </si>
  <si>
    <t>CH~DISPLAY_DT~MULTI_PB~OAT_FM~BANNER_RT~CPM_PD~CAUSAS_CADASTRE_SE_TINTURA_300X600_300X600_TG~BHVDEM_TS~NONE_SZ~300X600_SOCIAL_MK~BR_IT~SOCIAL_VV~NONE</t>
  </si>
  <si>
    <t>233318419</t>
  </si>
  <si>
    <t>430986785</t>
  </si>
  <si>
    <t>CH~DISPLAY_DT~MULTI_PB~OAT_FM~BANNER_RT~CPM_PD~CAUSAS_CADASTRE_SE_TINTURA_320X50_320X50_TG~BHVDEM_TS~NONE_SZ~320X50_SOCIAL_MK~BR_IT~SOCIAL_VV~NONE</t>
  </si>
  <si>
    <t>233318413</t>
  </si>
  <si>
    <t>430986788</t>
  </si>
  <si>
    <t>CH~DISPLAY_DT~MULTI_PB~OAT_FM~BANNER_RT~CPM_PD~CAUSAS_CADASTRE_SE_TINTURA_728X90_728X90_TG~BHVDEM_TS~NONE_SZ~728X90_SOCIAL_MK~BR_IT~SOCIAL_VV~NONE</t>
  </si>
  <si>
    <t>233318407</t>
  </si>
  <si>
    <t>430986791</t>
  </si>
  <si>
    <t>CH~DISPLAY_DT~MULTI_PB~OAT_FM~BANNER_RT~CPM_PD~CAUSAS_CADASTRE_SE_TINTURA_970X250_970X250_TG~BHVDEM_TS~NONE_SZ~970X250_SOCIAL_MK~BR_IT~SOCIAL_VV~NONE</t>
  </si>
  <si>
    <t>233318395</t>
  </si>
  <si>
    <t>430986797</t>
  </si>
  <si>
    <t>CH~DISPLAY_DT~MULTI_PB~OAT_FM~BANNER_RT~CPM_PD~CAUSAS_CADASTRE_SE_TINTURA_970X90_970X90_TG~BHVDEM_TS~NONE_SZ~970X90_SOCIAL_MK~BR_IT~SOCIAL_VV~NONE</t>
  </si>
  <si>
    <t>233318401</t>
  </si>
  <si>
    <t>430986794</t>
  </si>
  <si>
    <t>CH~DISPLAY_DT~MULTI_PB~OAT_FM~BANNER_RT~CPM_PD~CAUSAS_FINALIZE_CADASTRO_TINTURA_120X600_120X600_TG~BHVDEM_TS~NONE_SZ~120X600_SOCIAL_MK~BR_IT~SOCIAL_VV~NONE</t>
  </si>
  <si>
    <t>233621658</t>
  </si>
  <si>
    <t>430986752</t>
  </si>
  <si>
    <t>CH~DISPLAY_DT~MULTI_PB~OAT_FM~BANNER_RT~CPM_PD~CAUSAS_FINALIZE_CADASTRO_TINTURA_160X600_160X600_TG~BHVDEM_TS~NONE_SZ~160X600_SOCIAL_MK~BR_IT~SOCIAL_VV~NONE</t>
  </si>
  <si>
    <t>233621208</t>
  </si>
  <si>
    <t>430986755</t>
  </si>
  <si>
    <t>CH~DISPLAY_DT~MULTI_PB~OAT_FM~BANNER_RT~CPM_PD~CAUSAS_FINALIZE_CADASTRO_TINTURA_300X250_300X250_TG~BHVDEM_TS~NONE_SZ~300X250_SOCIAL_MK~BR_IT~SOCIAL_VV~NONE</t>
  </si>
  <si>
    <t>233318341</t>
  </si>
  <si>
    <t>430986761</t>
  </si>
  <si>
    <t>CH~DISPLAY_DT~MULTI_PB~OAT_FM~BANNER_RT~CPM_PD~CAUSAS_FINALIZE_CADASTRO_TINTURA_300X50_300X50_TG~BHVDEM_TS~NONE_SZ~300X50_SOCIAL_MK~BR_IT~SOCIAL_VV~NONE</t>
  </si>
  <si>
    <t>233318344</t>
  </si>
  <si>
    <t>430986758</t>
  </si>
  <si>
    <t>CH~DISPLAY_DT~MULTI_PB~OAT_FM~BANNER_RT~CPM_PD~CAUSAS_FINALIZE_CADASTRO_TINTURA_300X600_300X600_TG~BHVDEM_TS~NONE_SZ~300X600_SOCIAL_MK~BR_IT~SOCIAL_VV~NONE</t>
  </si>
  <si>
    <t>233318338</t>
  </si>
  <si>
    <t>430986764</t>
  </si>
  <si>
    <t>CH~DISPLAY_DT~MULTI_PB~OAT_FM~BANNER_RT~CPM_PD~CAUSAS_FINALIZE_CADASTRO_TINTURA_320X50_320X50_TG~BHVDEM_TS~NONE_SZ~320X50_SOCIAL_MK~BR_IT~SOCIAL_VV~NONE</t>
  </si>
  <si>
    <t>233318467</t>
  </si>
  <si>
    <t>430986767</t>
  </si>
  <si>
    <t>CH~DISPLAY_DT~MULTI_PB~OAT_FM~BANNER_RT~CPM_PD~CAUSAS_FINALIZE_CADASTRO_TINTURA_728X90_728X90_TG~BHVDEM_TS~NONE_SZ~728X90_SOCIAL_MK~BR_IT~SOCIAL_VV~NONE</t>
  </si>
  <si>
    <t>233318461</t>
  </si>
  <si>
    <t>430986770</t>
  </si>
  <si>
    <t>CH~DISPLAY_DT~MULTI_PB~OAT_FM~BANNER_RT~CPM_PD~CAUSAS_FINALIZE_CADASTRO_TINTURA_970X250_970X250_TG~BHVDEM_TS~NONE_SZ~970X250_SOCIAL_MK~BR_IT~SOCIAL_VV~NONE</t>
  </si>
  <si>
    <t>233318449</t>
  </si>
  <si>
    <t>430986773</t>
  </si>
  <si>
    <t>CH~DISPLAY_DT~MULTI_PB~OAT_FM~BANNER_RT~CPM_PD~CAUSAS_FINALIZE_CADASTRO_TINTURA_970X90_970X90_TG~BHVDEM_TS~NONE_SZ~970X90_SOCIAL_MK~BR_IT~SOCIAL_VV~NONE</t>
  </si>
  <si>
    <t>233318455</t>
  </si>
  <si>
    <t>431034072</t>
  </si>
  <si>
    <t>CH~DISPLAY_DT~MULTI_PB~OAT_FM~NATIVE_AD_RT~CPM_PD~CAUSAS_ICONE_MAILAD_500X500_500X500_TG~BHVDEM_TS~NONE_SZ~500X500_SOCIAL_MK~BR_IT~SOCIAL_VV~NONE</t>
  </si>
  <si>
    <t>233562480</t>
  </si>
  <si>
    <t>431068495</t>
  </si>
  <si>
    <t>CH~DISPLAY_DT~MULTI_PB~OAT_FM~NATIVE_AD_RT~CPM_PD~CAUSAS_ICONE_MAILAD_FUNDOAZUL_500X500_500X500_TG~BHVDEM_TS~NONE_SZ~500X500_SOCIAL_MK~BR_IT~SOCIAL_VV~NONE</t>
  </si>
  <si>
    <t>240908859</t>
  </si>
  <si>
    <t>437679667</t>
  </si>
  <si>
    <t>CH~DISPLAY_DT~MULTI_PB~OAT_FM~NATIVE_AD_RT~CPM_PD~CAUSAS_ICONE_STANDARAD_1200X627_970X250_TG~BHVDEM_TS~NONE_SZ~970X250_SOCIAL_MK~BR_IT~SOCIAL_VV~NONE</t>
  </si>
  <si>
    <t>233562474</t>
  </si>
  <si>
    <t>431087211</t>
  </si>
  <si>
    <t>431068489</t>
  </si>
  <si>
    <t>CH~DISPLAY_DT~MULTI_PB~OAT_FM~NATIVE_AD_RT~CPM_PD~CAUSAS_ICONE_STREAMAD_FUNDOAZUL_1200X627_1200X627_TG~BHVDEM_TS~NONE_SZ~1200X627_SOCIAL_MK~BR_IT~SOCIAL_VV~NONE</t>
  </si>
  <si>
    <t>240606020</t>
  </si>
  <si>
    <t>437679655</t>
  </si>
  <si>
    <t>CH~DISPLAY_DT~MULTI_PB~OAT_FM~NATIVE_AD_RT~CPM_PD~CAUSAS_ICONE_STREAMAD_FUNDOAZUL_180X180_180X180_TG~BHVDEM_TS~NONE_SZ~180X180_SOCIAL_MK~BR_IT~SOCIAL_VV~NONE</t>
  </si>
  <si>
    <t>240607775</t>
  </si>
  <si>
    <t>437679661</t>
  </si>
  <si>
    <t>CH~DISPLAY_DT~MULTI_PB~OAT_FM~NATIVE_AD_RT~CPM_PD~CAUSAS_ICONE_STREAMAD_FUNDOAZUL_627X627_627X627_TG~BHVDEM_TS~NONE_SZ~627X627_SOCIAL_MK~BR_IT~SOCIAL_VV~NONE</t>
  </si>
  <si>
    <t>240908805</t>
  </si>
  <si>
    <t>437636981</t>
  </si>
  <si>
    <t>CH~DISPLAY_DT~MULTI_PB~OAT_FM~NATIVE_AD_RT~CPM_PD~CAUSAS_TINTURA_MAILAD_500X500_500X500_TG~BHVDEM_TS~NONE_SZ~500X500_SOCIAL_MK~BR_IT~SOCIAL_VV~NONE</t>
  </si>
  <si>
    <t>233562477</t>
  </si>
  <si>
    <t>431068492</t>
  </si>
  <si>
    <t>CH~DISPLAY_DT~MULTI_PB~OAT_FM~NATIVE_AD_RT~CPM_PD~CAUSAS_TINTURA_STANDARAD_1200X627_1200X627_TG~BHVDEM_TS~NONE_SZ~1200X627_SOCIAL_MK~BR_IT~SOCIAL_VV~NONE</t>
  </si>
  <si>
    <t>233562483</t>
  </si>
  <si>
    <t>431068498</t>
  </si>
  <si>
    <t>Shopback Brazil 1</t>
  </si>
  <si>
    <t>CH~DISPLAY_DT~MULTI_PB~SPB_FM~POPUP_RT~CPL_PD~CAUSAS_SHOPBACK_1X1_TG~BHVDEM_TS~NONE_SZ~1X1_SOCIAL_MK~BR_IT~SOCIAL_VV~NONE</t>
  </si>
  <si>
    <t>233444519</t>
  </si>
  <si>
    <t>431191476</t>
  </si>
  <si>
    <t>Twitter - Official</t>
  </si>
  <si>
    <t>CH~SOCIAL_DT~MULTI_PB~TWTT_FM~PROMOTED_POST_RT~CPM_PD~CAUSAS_TWITTER_TINTURA_1X1_TG~BHVDEM_TS~NONE_SZ~1X1_SOCIAL_MK~BR_IT~SOCIAL_VV~NONE</t>
  </si>
  <si>
    <t>233562393</t>
  </si>
  <si>
    <t>431068408</t>
  </si>
  <si>
    <t>MK~BR_CN~Vai_de_Visa_MN~NONE_YQ~19Q1Q4_CP~NONE_OB~LDS_PK~NONE</t>
  </si>
  <si>
    <t>Ads Movil</t>
  </si>
  <si>
    <t>CH~DISPLAY_DT~MULTI_PB~ADSM_FM~BANNER_RT~CPM_PD~VDV_DECOLAR_ADSMOVIL_BANNER_STANDARD_300X250_300X250_TG~BHVDEM_TS~NONE_SZ~300X250_DISPLAY_MK~BR_IT~DISPLAY_VV~NONE</t>
  </si>
  <si>
    <t>240771874</t>
  </si>
  <si>
    <t>437765539</t>
  </si>
  <si>
    <t>CH~DISPLAY_DT~MULTI_PB~ADSM_FM~BANNER_RT~CPM_PD~VDV_DECOLAR_ADSMOVIL_BANNER_STANDARD_320X50_320X50_TG~BHVDEM_TS~NONE_SZ~320X50_DISPLAY_MK~BR_IT~DISPLAY_VV~NONE</t>
  </si>
  <si>
    <t>240771871</t>
  </si>
  <si>
    <t>437765536</t>
  </si>
  <si>
    <t>CH~DISPLAY_DT~MULTI_PB~ADSM_FM~BANNER_RT~CPM_PD~VDV_PAODEACUCAR_ADSMOVIL_BANNER_STANDARD_300X250_300X250_TG~BHVDEM_TS~NONE_SZ~300X250_DISPLAY_MK~BR_IT~DISPLAY_VV~NONE</t>
  </si>
  <si>
    <t>240771892</t>
  </si>
  <si>
    <t>437765557</t>
  </si>
  <si>
    <t>CH~DISPLAY_DT~MULTI_PB~ADSM_FM~BANNER_RT~CPM_PD~VDV_PAODEACUCAR_ADSMOVIL_BANNER_STANDARD_300X50_300X50_TG~BHVDEM_TS~NONE_SZ~300X50_DISPLAY_MK~BR_IT~DISPLAY_VV~NONE</t>
  </si>
  <si>
    <t>240771898</t>
  </si>
  <si>
    <t>437765563</t>
  </si>
  <si>
    <t>CH~DISPLAY_DT~MULTI_PB~ADSM_FM~BANNER_RT~CPM_PD~VDV_PAODEACUCAR_ADSMOVIL_BANNER_STANDARD_320X50_320X50_TG~BHVDEM_TS~NONE_SZ~320X50_DISPLAY_MK~BR_IT~DISPLAY_VV~NONE</t>
  </si>
  <si>
    <t>240771886</t>
  </si>
  <si>
    <t>437765551</t>
  </si>
  <si>
    <t>CH~DISPLAY_DT~MULTI_PB~ADSM_FM~PUSH_RT~CPM_PD~VDV_DECOLAR_ADSMOVIL_PUSH_FUNDO_BRANCO_1X1_TG~BHVDEM_TS~NONE_SZ~1X1_DISPLAY_MK~BR_IT~DISPLAY_VV~NONE</t>
  </si>
  <si>
    <t>240771889</t>
  </si>
  <si>
    <t>437765554</t>
  </si>
  <si>
    <t>CH~DISPLAY_DT~MULTI_PB~ADSM_FM~PUSH_RT~CPM_PD~VDV_DECOLAR_ADSMOVIL_PUSH_TRANSPARENTE_1X1_TG~BHVDEM_TS~NONE_SZ~1X1_DISPLAY_MK~BR_IT~DISPLAY_VV~NONE</t>
  </si>
  <si>
    <t>240771895</t>
  </si>
  <si>
    <t>437765560</t>
  </si>
  <si>
    <t>CH~DISPLAY_DT~MULTI_PB~ADSM_FM~PUSH_RT~CPM_PD~VDV_GOL_ADSMOVIL_PUSH_INTERNETGRATIS_FUNDOBRANCO_1X1_TG~BHVDEM_TS~NONE_SZ~1X1_DISPLAY_MK~BR_IT~DISPLAY_VV~NONE</t>
  </si>
  <si>
    <t>240843181</t>
  </si>
  <si>
    <t>437838739</t>
  </si>
  <si>
    <t>CH~DISPLAY_DT~MULTI_PB~ADSM_FM~PUSH_RT~CPM_PD~VDV_GOL_ADSMOVIL_PUSH_INTERNETGRATIS_TRANSPARENTE_1X1_TG~BHVDEM_TS~NONE_SZ~1X1_DISPLAY_MK~BR_IT~DISPLAY_VV~NONE</t>
  </si>
  <si>
    <t>240843184</t>
  </si>
  <si>
    <t>437838742</t>
  </si>
  <si>
    <t>CH~DISPLAY_DT~MULTI_PB~ADSM_FM~PUSH_RT~CPM_PD~VDV_MOVIDA_ADSMOVIL_PUSH_FUNDO_BRANCO_1X1_TG~BHVDEM_TS~NONE_SZ~1X1_DISPLAY_MK~BR_IT~DISPLAY_VV~NONE</t>
  </si>
  <si>
    <t>240746255</t>
  </si>
  <si>
    <t>437780822</t>
  </si>
  <si>
    <t>CH~DISPLAY_DT~MULTI_PB~ADSM_FM~PUSH_RT~CPM_PD~VDV_MOVIDA_ADSMOVIL_PUSH_TRANSPARENTE_1X1_TG~BHVDEM_TS~NONE_SZ~1X1_DISPLAY_MK~BR_IT~DISPLAY_VV~NONE</t>
  </si>
  <si>
    <t>240833329</t>
  </si>
  <si>
    <t>437778887</t>
  </si>
  <si>
    <t>CH~DISPLAY_DT~MULTI_PB~ADSM_FM~PUSH_RT~CPM_PD~VDV_PAODEACUCAR_ADSMOVIL_PUSH_BRANCO_1X1_TG~BHVDEM_TS~NONE_SZ~1X1_DISPLAY_MK~BR_IT~DISPLAY_VV~NONE</t>
  </si>
  <si>
    <t>240771883</t>
  </si>
  <si>
    <t>437765548</t>
  </si>
  <si>
    <t>CH~DISPLAY_DT~MULTI_PB~ADSM_FM~PUSH_RT~CPM_PD~VDV_PAODEACUCAR_ADSMOVIL_PUSH_TRANSPARENTE_1X1_TG~BHVDEM_TS~NONE_SZ~1X1_DISPLAY_MK~BR_IT~DISPLAY_VV~NONE</t>
  </si>
  <si>
    <t>240771880</t>
  </si>
  <si>
    <t>437765545</t>
  </si>
  <si>
    <t>CH~SOCIAL_DT~MULTI_PB~FCBK_FM~CANVAS_RT~CPM_PD~VDV_GOL_CANVAS_ANIMADO_1X1_TG~BHVDEM_TS~NONE_SZ~1X1_SOCIAL_MK~BR_IT~SOCIAL_VV~NONE</t>
  </si>
  <si>
    <t>239028852</t>
  </si>
  <si>
    <t>435947631</t>
  </si>
  <si>
    <t>CH~SOCIAL_DT~MULTI_PB~FCBK_FM~CANVAS_RT~CPM_PD~VDV_GOL_CANVAS_ESTATICO_1X1_TG~BHVDEM_TS~NONE_SZ~1X1_SOCIAL_MK~BR_IT~SOCIAL_VV~NONE</t>
  </si>
  <si>
    <t>239028846</t>
  </si>
  <si>
    <t>435947628</t>
  </si>
  <si>
    <t>CH~SOCIAL_DT~MULTI_PB~FCBK_FM~CARROSSEL_RT~CPM_PD~VDV_GOL_CARROSSEL_ACESSE_REDES_1X1_TG~BHVDEM_TS~NONE_SZ~1X1_SOCIAL_MK~BR_IT~SOCIAL_VV~NONE</t>
  </si>
  <si>
    <t>240851812</t>
  </si>
  <si>
    <t>437789456</t>
  </si>
  <si>
    <t>CH~SOCIAL_DT~MULTI_PB~FCBK_FM~CARROSSEL_RT~CPM_PD~VDV_GOL_CARROSSEL_CONTINUE_O_PAPO_1X1_TG~BHVDEM_TS~NONE_SZ~1X1_SOCIAL_MK~BR_IT~SOCIAL_VV~NONE</t>
  </si>
  <si>
    <t>241074321</t>
  </si>
  <si>
    <t>437735733</t>
  </si>
  <si>
    <t>CH~SOCIAL_DT~MULTI_PB~FCBK_FM~CARROSSEL_RT~CPM_PD~VDV_GOL_CARROSSEL_NOTICIAIS_1X1_TG~BHVDEM_TS~NONE_SZ~1X1_SOCIAL_MK~BR_IT~SOCIAL_VV~NONE</t>
  </si>
  <si>
    <t>239028843</t>
  </si>
  <si>
    <t>435947625</t>
  </si>
  <si>
    <t>CH~SOCIAL_DT~MULTI_PB~FCBK_FM~CARROSSEL_RT~CPM_PD~VDV_GOL_CARROSSEL_REDES_SOCIAIS_1X1_TG~BHVDEM_TS~NONE_SZ~1X1_SOCIAL_MK~BR_IT~SOCIAL_VV~NONE</t>
  </si>
  <si>
    <t>239028840</t>
  </si>
  <si>
    <t>435947622</t>
  </si>
  <si>
    <t>CH~SOCIAL_DT~MULTI_PB~FCBK_FM~LINKAD_RT~CPM_PD~VDV_CAMICADO_10OFF_FB_IG_1X1_TG~BHVDEM_TS~NONE_SZ~1X1_SOCIAL_MK~BR_IT~SOCIAL_VV~NONE</t>
  </si>
  <si>
    <t>233509213</t>
  </si>
  <si>
    <t>431181654</t>
  </si>
  <si>
    <t>CH~SOCIAL_DT~MULTI_PB~FCBK_FM~LINKAD_RT~CPM_PD~VDV_DECOLAR_AMIGAS_FESTA_15OFF_LINKAD_FB__1X1_TG~BHVDEM_TS~NONE_SZ~1X1_SOCIAL_MK~BR_IT~SOCIAL_VV~NONE</t>
  </si>
  <si>
    <t>235539728</t>
  </si>
  <si>
    <t>433178108</t>
  </si>
  <si>
    <t>CH~SOCIAL_DT~MULTI_PB~FCBK_FM~LINKAD_RT~CPM_PD~VDV_DECOLAR_CASAL_PULANDO_15OFF_LINKAD_FB__1X1_TG~BHVDEM_TS~NONE_SZ~1X1_SOCIAL_MK~BR_IT~SOCIAL_VV~NONE</t>
  </si>
  <si>
    <t>235539671</t>
  </si>
  <si>
    <t>433257118</t>
  </si>
  <si>
    <t>CH~SOCIAL_DT~MULTI_PB~FCBK_FM~LINKAD_RT~CPM_PD~VDV_DECOLAR_FAMILIA_TRAPICHE_15OFF_LINKAD_FB__1X1_TG~BHVDEM_TS~NONE_SZ~1X1_SOCIAL_MK~BR_IT~SOCIAL_VV~NONE</t>
  </si>
  <si>
    <t>235541867</t>
  </si>
  <si>
    <t>433254913</t>
  </si>
  <si>
    <t>CH~SOCIAL_DT~MULTI_PB~FCBK_FM~LINKAD_RT~CPM_PD~VDV_DECOLAR_GAROTO_TOBOAGUA_15OFF_LINKAD_FB__1X1_TG~BHVDEM_TS~NONE_SZ~1X1_SOCIAL_MK~BR_IT~SOCIAL_VV~NONE</t>
  </si>
  <si>
    <t>235798707</t>
  </si>
  <si>
    <t>433190367</t>
  </si>
  <si>
    <t>CH~SOCIAL_DT~MULTI_PB~FCBK_FM~LINKAD_RT~CPM_PD~VDV_DECOLAR_LINKAD_FB_FERIADO_GENERICO_01_1X1_TG~BHVDEM_TS~NONE_SZ~1X1_SOCIAL_MK~BR_IT~SOCIAL_VV~NONE</t>
  </si>
  <si>
    <t>236781700</t>
  </si>
  <si>
    <t>434163074</t>
  </si>
  <si>
    <t>CH~SOCIAL_DT~MULTI_PB~FCBK_FM~LINKAD_RT~CPM_PD~VDV_DECOLAR_LINKAD_FB_FERIADO_GENERICO_02_1X1_TG~BHVDEM_TS~NONE_SZ~1X1_SOCIAL_MK~BR_IT~SOCIAL_VV~NONE</t>
  </si>
  <si>
    <t>236781694</t>
  </si>
  <si>
    <t>434163068</t>
  </si>
  <si>
    <t>CH~SOCIAL_DT~MULTI_PB~FCBK_FM~LINKAD_RT~CPM_PD~VDV_GOL_LINKAD_WIFI_1X1_TG~BHVDEM_TS~NONE_SZ~1X1_SOCIAL_MK~BR_IT~SOCIAL_VV~NONE</t>
  </si>
  <si>
    <t>239028837</t>
  </si>
  <si>
    <t>435947619</t>
  </si>
  <si>
    <t>CH~SOCIAL_DT~MULTI_PB~FCBK_FM~LINKAD_RT~CPM_PD~VDV_GPA_LINKAD_FB_GENERICO_02_1X1_TG~BHVDEM_TS~NONE_SZ~1X1_SOCIAL_MK~BR_IT~SOCIAL_VV~NONE</t>
  </si>
  <si>
    <t>236795818</t>
  </si>
  <si>
    <t>434240473</t>
  </si>
  <si>
    <t>CH~SOCIAL_DT~MULTI_PB~FCBK_FM~LINKAD_RT~CPM_PD~VDV_MOVIDA_LINKAD_15_OFF_CARRO_RELOGIO_1X1_TG~BHVDEM_TS~NONE_SZ~1X1_SOCIAL_MK~BR_IT~SOCIAL_VV~NONE</t>
  </si>
  <si>
    <t>240049025</t>
  </si>
  <si>
    <t>437151374</t>
  </si>
  <si>
    <t>CH~SOCIAL_DT~MULTI_PB~FCBK_FM~LINKAD_RT~CPM_PD~VDV_MOVIDA_LINKAD_15_OFF_RELOGIO_1X1_TG~BHVDEM_TS~NONE_SZ~1X1_SOCIAL_MK~BR_IT~SOCIAL_VV~NONE</t>
  </si>
  <si>
    <t>236777473</t>
  </si>
  <si>
    <t>434145618</t>
  </si>
  <si>
    <t>CH~SOCIAL_DT~MULTI_PB~FCBK_FM~LINKAD_RT~CPM_PD~VDV_MOVIDA_LINKAD_20_OFF_CARRO_RELOGIO_1X1_TG~BHVDEM_TS~NONE_SZ~1X1_SOCIAL_MK~BR_IT~SOCIAL_VV~NONE</t>
  </si>
  <si>
    <t>238267393</t>
  </si>
  <si>
    <t>435557524</t>
  </si>
  <si>
    <t>CH~SOCIAL_DT~MULTI_PB~FCBK_FM~LINKAD_RT~CPM_PD~VDV_YELLOWBIKE_5OFF_LINKAD_FB_V1_1X1_TG~BHVDEM_TS~NONE_SZ~1X1_SOCIAL_MK~BR_IT~SOCIAL_VV~NONE</t>
  </si>
  <si>
    <t>238163475</t>
  </si>
  <si>
    <t>435187198</t>
  </si>
  <si>
    <t>CH~SOCIAL_DT~MULTI_PB~FCBK_FM~LINKAD_RT~CPM_PD~VDV_YELLOWBIKE_5OFF_LINKAD_FB_V2_1X1_TG~BHVDEM_TS~NONE_SZ~1X1_SOCIAL_MK~BR_IT~SOCIAL_VV~NONE</t>
  </si>
  <si>
    <t>237833602</t>
  </si>
  <si>
    <t>435080253</t>
  </si>
  <si>
    <t>CH~SOCIAL_DT~MULTI_PB~FCBK_FM~LINKAD_RT~CPM_PD~VDV_YELLOWBIKE_LINKAD_FB_V2_1X1_TG~BHVDEM_TS~NONE_SZ~1X1_SOCIAL_MK~BR_IT~SOCIAL_VV~NONE</t>
  </si>
  <si>
    <t>234721720</t>
  </si>
  <si>
    <t>432370085</t>
  </si>
  <si>
    <t>CH~SOCIAL_DT~MULTI_PB~FCBK_FM~PROMOTED_POST_RT~CPM_PD~VDV_GOL_VERTICAL_CHAT_1X1_TG~BHVDEM_TS~NONE_SZ~1X1_SOCIAL_MK~BR_IT~SOCIAL_VV~NONE</t>
  </si>
  <si>
    <t>239028834</t>
  </si>
  <si>
    <t>436054045</t>
  </si>
  <si>
    <t>CH~SOCIAL_DT~MULTI_PB~FCBK_FM~PROMOTED_POST_RT~CPM_PD~VDV_GOL_VERTICAL_COMPLETO_1X1_TG~BHVDEM_TS~NONE_SZ~1X1_SOCIAL_MK~BR_IT~SOCIAL_VV~NONE</t>
  </si>
  <si>
    <t>239028828</t>
  </si>
  <si>
    <t>435946460</t>
  </si>
  <si>
    <t>CH~SOCIAL_DT~MULTI_PB~FCBK_FM~PROMOTED_POST_RT~CPM_PD~VDV_GOL_VERTICAL_EMAIL_1X1_TG~BHVDEM_TS~NONE_SZ~1X1_SOCIAL_MK~BR_IT~SOCIAL_VV~NONE</t>
  </si>
  <si>
    <t>239028831</t>
  </si>
  <si>
    <t>435947585</t>
  </si>
  <si>
    <t>CH~SOCIAL_DT~MULTI_PB~FCBK_FM~VIDEO_RT~CPM_PD~VDV_GOL_CARROSSEL_VIAJAR_CONECTADO_1X1_TG~BHVDEM_TS~NONE_SZ~1X1_SOCIAL_MK~BR_IT~SOCIAL_VV~NONE</t>
  </si>
  <si>
    <t>240845011</t>
  </si>
  <si>
    <t>437732691</t>
  </si>
  <si>
    <t>CH~DISPLAY_DT~MULTI_PB~GDBM_FM~BANNER_RT~CPM_PD~VDV_CAMICADO_10OFF_RENOVE_DBM_300X250_300X250_TG~BHVDEM_TS~NONE_SZ~300X250_PROGRAMMATIC_MK~BR_IT~PROGRAMMATIC_VV~NONE</t>
  </si>
  <si>
    <t>240362627</t>
  </si>
  <si>
    <t>437356293</t>
  </si>
  <si>
    <t>CH~DISPLAY_DT~MULTI_PB~GDBM_FM~BANNER_RT~CPM_PD~VDV_CAMICADO_10OFF_RENOVE_DBM_970X250_970X250_TG~BHVDEM_TS~NONE_SZ~970X250_PROGRAMMATIC_MK~BR_IT~PROGRAMMATIC_VV~NONE</t>
  </si>
  <si>
    <t>240362621</t>
  </si>
  <si>
    <t>437356287</t>
  </si>
  <si>
    <t>DESCONSIDERAR</t>
  </si>
  <si>
    <t>437368278</t>
  </si>
  <si>
    <t>CH~DISPLAY_DT~MULTI_PB~GDBM_FM~BANNER_RT~CPM_PD~VDV_CAMICADO_BANNER_300X250_300X250_TG~BHVDEM_TS~NONE_SZ~300X250_DISPLAY_MK~BR_IT~DISPLAY_VV~NONE</t>
  </si>
  <si>
    <t>237381040</t>
  </si>
  <si>
    <t>434711016</t>
  </si>
  <si>
    <t>CH~DISPLAY_DT~MULTI_PB~GDBM_FM~BANNER_RT~CPM_PD~VDV_CAMICADO_BANNER_300X50_300X50_TG~BHVDEM_TS~NONE_SZ~300X50_DISPLAY_MK~BR_IT~DISPLAY_VV~NONE</t>
  </si>
  <si>
    <t>237344174</t>
  </si>
  <si>
    <t>434711004</t>
  </si>
  <si>
    <t>CH~DISPLAY_DT~MULTI_PB~GDBM_FM~BANNER_RT~CPM_PD~VDV_CAMICADO_BANNER_728X90_728X90_TG~BHVDEM_TS~NONE_SZ~728X90_DISPLAY_MK~BR_IT~DISPLAY_VV~NONE</t>
  </si>
  <si>
    <t>237651087</t>
  </si>
  <si>
    <t>434804911</t>
  </si>
  <si>
    <t>CH~DISPLAY_DT~MULTI_PB~GDBM_FM~BANNER_RT~CPM_PD~VDV_DECOLAR_15OFF_AMIGOS_120X600_120X600_TG~BHVDEM_TS~NONE_SZ~120X600_PROGRAMMATIC_MK~BR_IT~PROGRAMMATIC_VV~NONE</t>
  </si>
  <si>
    <t>235786878</t>
  </si>
  <si>
    <t>433174514</t>
  </si>
  <si>
    <t>CH~DISPLAY_DT~MULTI_PB~GDBM_FM~BANNER_RT~CPM_PD~VDV_DECOLAR_15OFF_AMIGOS_300X250_300X250_TG~BHVDEM_TS~NONE_SZ~300X250_PROGRAMMATIC_MK~BR_IT~PROGRAMMATIC_VV~NONE</t>
  </si>
  <si>
    <t>235533794</t>
  </si>
  <si>
    <t>433182648</t>
  </si>
  <si>
    <t>CH~DISPLAY_DT~MULTI_PB~GDBM_FM~BANNER_RT~CPM_PD~VDV_DECOLAR_15OFF_AMIGOS_300X600_300X600_TG~BHVDEM_TS~NONE_SZ~300X600_PROGRAMMATIC_MK~BR_IT~PROGRAMMATIC_VV~NONE</t>
  </si>
  <si>
    <t>235555843</t>
  </si>
  <si>
    <t>433186836</t>
  </si>
  <si>
    <t>CH~DISPLAY_DT~MULTI_PB~GDBM_FM~BANNER_RT~CPM_PD~VDV_DECOLAR_15OFF_AMIGOS_728X90_728X90_TG~BHVDEM_TS~NONE_SZ~728X90_PROGRAMMATIC_MK~BR_IT~PROGRAMMATIC_VV~NONE</t>
  </si>
  <si>
    <t>235533821</t>
  </si>
  <si>
    <t>433251163</t>
  </si>
  <si>
    <t>CH~DISPLAY_DT~MULTI_PB~GDBM_FM~BANNER_RT~CPM_PD~VDV_DECOLAR_15OFF_MULHER_MAR_120X600_120X600_TG~BHVDEM_TS~NONE_SZ~120X600_PROGRAMMATIC_MK~BR_IT~PROGRAMMATIC_VV~NONE</t>
  </si>
  <si>
    <t>235802349</t>
  </si>
  <si>
    <t>433186872</t>
  </si>
  <si>
    <t>CH~DISPLAY_DT~MULTI_PB~GDBM_FM~BANNER_RT~CPM_PD~VDV_DECOLAR_15OFF_MULHER_MAR_300X250_300X250_TG~BHVDEM_TS~NONE_SZ~300X250_PROGRAMMATIC_MK~BR_IT~PROGRAMMATIC_VV~NONE</t>
  </si>
  <si>
    <t>235786920</t>
  </si>
  <si>
    <t>433244539</t>
  </si>
  <si>
    <t>CH~DISPLAY_DT~MULTI_PB~GDBM_FM~BANNER_RT~CPM_PD~VDV_DECOLAR_15OFF_MULHER_MAR_300X600_300X600_TG~BHVDEM_TS~NONE_SZ~300X600_PROGRAMMATIC_MK~BR_IT~PROGRAMMATIC_VV~NONE</t>
  </si>
  <si>
    <t>235541195</t>
  </si>
  <si>
    <t>433174577</t>
  </si>
  <si>
    <t>CH~DISPLAY_DT~MULTI_PB~GDBM_FM~BANNER_RT~CPM_PD~VDV_DECOLAR_15OFF_MULHER_MAR_728X90_728X90_TG~BHVDEM_TS~NONE_SZ~728X90_PROGRAMMATIC_MK~BR_IT~PROGRAMMATIC_VV~NONE</t>
  </si>
  <si>
    <t>235533851</t>
  </si>
  <si>
    <t>433176323</t>
  </si>
  <si>
    <t>CH~DISPLAY_DT~MULTI_PB~GDBM_FM~BANNER_RT~CPM_PD~VDV_DECOLAR_BANNER_120X600_1X1_TG~BHVDEM_TS~NONE_SZ~1X1_DISPLAY_MK~BR_IT~DISPLAY_VV~NONE</t>
  </si>
  <si>
    <t>236781703</t>
  </si>
  <si>
    <t>431184438</t>
  </si>
  <si>
    <t>CH~DISPLAY_DT~MULTI_PB~GDBM_FM~BANNER_RT~CPM_PD~VDV_DECOLAR_BANNER_300X250_1X1_TG~BHVDEM_TS~NONE_SZ~1X1_DISPLAY_MK~BR_IT~DISPLAY_VV~NONE</t>
  </si>
  <si>
    <t>236781697</t>
  </si>
  <si>
    <t>CH~DISPLAY_DT~MULTI_PB~GDBM_FM~BANNER_RT~CPM_PD~VDV_DECOLAR_BANNER_300X600_1X1_TG~BHVDEM_TS~NONE_SZ~1X1_DISPLAY_MK~BR_IT~DISPLAY_VV~NONE</t>
  </si>
  <si>
    <t>236781691</t>
  </si>
  <si>
    <t>CH~DISPLAY_DT~MULTI_PB~GDBM_FM~BANNER_RT~CPM_PD~VDV_DECOLAR_BANNER_728X90_1X1_TG~BHVDEM_TS~NONE_SZ~1X1_DISPLAY_MK~BR_IT~DISPLAY_VV~NONE</t>
  </si>
  <si>
    <t>236781688</t>
  </si>
  <si>
    <t>CH~DISPLAY_DT~MULTI_PB~GDBM_FM~BANNER_RT~CPM_PD~VDV_PAODEACUCAR_DBM_BANNER_ESTATICO_160X600_160X600_TG~BHVDEM_TS~NONE_SZ~160X600_DISPLAY_MK~BR_IT~DISPLAY_VV~NONE</t>
  </si>
  <si>
    <t>240834550</t>
  </si>
  <si>
    <t>437778899</t>
  </si>
  <si>
    <t>CH~DISPLAY_DT~MULTI_PB~GDBM_FM~BANNER_RT~CPM_PD~VDV_PAODEACUCAR_DBM_BANNER_ESTATICO_300X250_300X250_TG~BHVDEM_TS~NONE_SZ~300X250_DISPLAY_MK~BR_IT~DISPLAY_VV~NONE</t>
  </si>
  <si>
    <t>240834553</t>
  </si>
  <si>
    <t>437781920</t>
  </si>
  <si>
    <t>CH~DISPLAY_DT~MULTI_PB~GDBM_FM~BANNER_RT~CPM_PD~VDV_PAODEACUCAR_DBM_BANNER_ESTATICO_300X600_300X600_TG~BHVDEM_TS~NONE_SZ~300X600_DISPLAY_MK~BR_IT~DISPLAY_VV~NONE</t>
  </si>
  <si>
    <t>241065219</t>
  </si>
  <si>
    <t>437832274</t>
  </si>
  <si>
    <t>CH~DISPLAY_DT~MULTI_PB~GDBM_FM~BANNER_RT~CPM_PD~VDV_PAODEACUCAR_DBM_BANNER_ESTATICO_970X250_970X250_TG~BHVDEM_TS~NONE_SZ~970X250_DISPLAY_MK~BR_IT~DISPLAY_VV~NONE</t>
  </si>
  <si>
    <t>240746273</t>
  </si>
  <si>
    <t>437780186</t>
  </si>
  <si>
    <t>CH~SEARCH_DT~MULTI_PB~GADS_FM~SEARCH_RT~CPC_PD~VDV_CLICKBUS_SITELINK_SEARCH_1X1_TG~BHVDEM_TS~NONE_SZ~1X1_SEARCH_MK~BR_IT~SEARCH_VV~NONE</t>
  </si>
  <si>
    <t>239739200</t>
  </si>
  <si>
    <t>436969489</t>
  </si>
  <si>
    <t>CH~SEARCH_DT~MULTI_PB~GADS_FM~SEARCH_RT~CPC_PD~VDV_DECOLAR_SITELINK_SEARCH_1X1_TG~BHVDEM_TS~NONE_SZ~1X1_SEARCH_MK~BR_IT~SEARCH_VV~NONE</t>
  </si>
  <si>
    <t>240050868</t>
  </si>
  <si>
    <t>436958962</t>
  </si>
  <si>
    <t>CH~SEARCH_DT~MULTI_PB~GADS_FM~SEARCH_RT~CPC_PD~VDV_GOL_SITELINK_SEARCH_1X1_TG~BHVDEM_TS~NONE_SZ~1X1_SEARCH_MK~BR_IT~SEARCH_VV~NONE</t>
  </si>
  <si>
    <t>239826499</t>
  </si>
  <si>
    <t>436959442</t>
  </si>
  <si>
    <t>CH~SEARCH_DT~MULTI_PB~GADS_FM~SEARCH_RT~CPC_PD~VDV_MOLESKINE_SITELINK_SEARCH_1X1_TG~BHVDEM_TS~NONE_SZ~1X1_SEARCH_MK~BR_IT~SEARCH_VV~NONE</t>
  </si>
  <si>
    <t>240067842</t>
  </si>
  <si>
    <t>436858599</t>
  </si>
  <si>
    <t>CH~SEARCH_DT~MULTI_PB~GADS_FM~SEARCH_RT~CPC_PD~VDV_PAODEACUCAR_SITELINK_SEARCH_1X1_TG~BHVDEM_TS~NONE_SZ~1X1_SEARCH_MK~BR_IT~SEARCH_VV~NONE</t>
  </si>
  <si>
    <t>239735012</t>
  </si>
  <si>
    <t>436958284</t>
  </si>
  <si>
    <t>CH~SOCIAL_DT~MULTI_PB~GADS_FM~SEARCH_RT~CPC_PD~VDV_10OFF_CAMICADO_SEARCH_1X1_TG~BHVDEM_TS~NONE_SZ~1X1_SOCIAL_MK~BR_IT~SOCIAL_VV~NONE</t>
  </si>
  <si>
    <t>237807369</t>
  </si>
  <si>
    <t>434838141</t>
  </si>
  <si>
    <t>CH~SOCIAL_DT~MULTI_PB~GADS_FM~SEARCH_RT~CPC_PD~VDV_10OFF_MALWEE_SEARCH_1X1_TG~BHVDEM_TS~NONE_SZ~1X1_SOCIAL_MK~BR_IT~SOCIAL_VV~NONE</t>
  </si>
  <si>
    <t>237807351</t>
  </si>
  <si>
    <t>434838123</t>
  </si>
  <si>
    <t>CH~SOCIAL_DT~MULTI_PB~GADS_FM~SEARCH_RT~CPC_PD~VDV_10OFF_MARCYN_SEARCH_1X1_TG~BHVDEM_TS~NONE_SZ~1X1_SOCIAL_MK~BR_IT~SOCIAL_VV~NONE</t>
  </si>
  <si>
    <t>237807333</t>
  </si>
  <si>
    <t>434838105</t>
  </si>
  <si>
    <t>CH~SOCIAL_DT~MULTI_PB~GADS_FM~SEARCH_RT~CPC_PD~VDV_10OFF_NATURA_SEARCH_1X1_TG~BHVDEM_TS~NONE_SZ~1X1_SOCIAL_MK~BR_IT~SOCIAL_VV~NONE</t>
  </si>
  <si>
    <t>237807336</t>
  </si>
  <si>
    <t>434838108</t>
  </si>
  <si>
    <t>CH~SOCIAL_DT~MULTI_PB~GADS_FM~SEARCH_RT~CPC_PD~VDV_10OFF_OBABOX_SEARCH_1X1_TG~BHVDEM_TS~NONE_SZ~1X1_SOCIAL_MK~BR_IT~SOCIAL_VV~NONE</t>
  </si>
  <si>
    <t>237807348</t>
  </si>
  <si>
    <t>434838120</t>
  </si>
  <si>
    <t>CH~SOCIAL_DT~MULTI_PB~GADS_FM~SEARCH_RT~CPC_PD~VDV_10OFF_RENTCARS_SEARCH_1X1_TG~BHVDEM_TS~NONE_SZ~1X1_SOCIAL_MK~BR_IT~SOCIAL_VV~NONE</t>
  </si>
  <si>
    <t>237807372</t>
  </si>
  <si>
    <t>434838144</t>
  </si>
  <si>
    <t>CH~SOCIAL_DT~MULTI_PB~GADS_FM~SEARCH_RT~CPC_PD~VDV_12OFF_PUKET_SEARCH_1X1_TG~BHVDEM_TS~NONE_SZ~1X1_SOCIAL_MK~BR_IT~SOCIAL_VV~NONE</t>
  </si>
  <si>
    <t>237807360</t>
  </si>
  <si>
    <t>434838132</t>
  </si>
  <si>
    <t>CH~SOCIAL_DT~MULTI_PB~GADS_FM~SEARCH_RT~CPC_PD~VDV_15OFF_ASUS_SEARCH_1X1_TG~BHVDEM_TS~NONE_SZ~1X1_SOCIAL_MK~BR_IT~SOCIAL_VV~NONE</t>
  </si>
  <si>
    <t>237807375</t>
  </si>
  <si>
    <t>434838147</t>
  </si>
  <si>
    <t>CH~SOCIAL_DT~MULTI_PB~GADS_FM~SEARCH_RT~CPC_PD~VDV_15OFF_CESTASMICHELLI_SEARCH_1X1_TG~BHVDEM_TS~NONE_SZ~1X1_SOCIAL_MK~BR_IT~SOCIAL_VV~NONE</t>
  </si>
  <si>
    <t>237807384</t>
  </si>
  <si>
    <t>434838156</t>
  </si>
  <si>
    <t>CH~SOCIAL_DT~MULTI_PB~GADS_FM~SEARCH_RT~CPC_PD~VDV_15OFF_DECOLAR_SEARCH_1X1_TG~BHVDEM_TS~NONE_SZ~1X1_SOCIAL_MK~BR_IT~SOCIAL_VV~NONE</t>
  </si>
  <si>
    <t>237807381</t>
  </si>
  <si>
    <t>434838153</t>
  </si>
  <si>
    <t>CH~SOCIAL_DT~MULTI_PB~GADS_FM~SEARCH_RT~CPC_PD~VDV_15OFF_MOVIDA_SEARCH_1X1_TG~BHVDEM_TS~NONE_SZ~1X1_SOCIAL_MK~BR_IT~SOCIAL_VV~NONE</t>
  </si>
  <si>
    <t>237807378</t>
  </si>
  <si>
    <t>434838150</t>
  </si>
  <si>
    <t>CH~SOCIAL_DT~MULTI_PB~GADS_FM~SEARCH_RT~CPC_PD~VDV_15OFF_TIMBERLAND_SEARCH_1X1_TG~BHVDEM_TS~NONE_SZ~1X1_SOCIAL_MK~BR_IT~SOCIAL_VV~NONE</t>
  </si>
  <si>
    <t>237807345</t>
  </si>
  <si>
    <t>434838117</t>
  </si>
  <si>
    <t>CH~SOCIAL_DT~MULTI_PB~GADS_FM~SEARCH_RT~CPC_PD~VDV_20OFF_PHILIPS_SEARCH_1X1_TG~BHVDEM_TS~NONE_SZ~1X1_SOCIAL_MK~BR_IT~SOCIAL_VV~NONE</t>
  </si>
  <si>
    <t>237807354</t>
  </si>
  <si>
    <t>434838126</t>
  </si>
  <si>
    <t>CH~SOCIAL_DT~MULTI_PB~GADS_FM~SEARCH_RT~CPC_PD~VDV_30OFF_FASTSHOP_SEARCH_1X1_TG~BHVDEM_TS~NONE_SZ~1X1_SOCIAL_MK~BR_IT~SOCIAL_VV~NONE</t>
  </si>
  <si>
    <t>237807387</t>
  </si>
  <si>
    <t>434838159</t>
  </si>
  <si>
    <t>CH~SOCIAL_DT~MULTI_PB~GADS_FM~SEARCH_RT~CPC_PD~VDV_40OFF_PREDIFY_SEARCH_1X1_TG~BHVDEM_TS~NONE_SZ~1X1_SOCIAL_MK~BR_IT~SOCIAL_VV~NONE</t>
  </si>
  <si>
    <t>237807339</t>
  </si>
  <si>
    <t>434838111</t>
  </si>
  <si>
    <t>CH~SOCIAL_DT~MULTI_PB~GADS_FM~SEARCH_RT~CPC_PD~VDV_70OFF_SEPHORA_SEARCH_1X1_TG~BHVDEM_TS~NONE_SZ~1X1_SOCIAL_MK~BR_IT~SOCIAL_VV~NONE</t>
  </si>
  <si>
    <t>237807363</t>
  </si>
  <si>
    <t>434838135</t>
  </si>
  <si>
    <t>CH~SOCIAL_DT~MULTI_PB~GADS_FM~SEARCH_RT~CPC_PD~VDV_7OFF_MOBLY_SEARCH_1X1_TG~BHVDEM_TS~NONE_SZ~1X1_SOCIAL_MK~BR_IT~SOCIAL_VV~NONE</t>
  </si>
  <si>
    <t>237807357</t>
  </si>
  <si>
    <t>434838129</t>
  </si>
  <si>
    <t>CH~SOCIAL_DT~MULTI_PB~GADS_FM~SEARCH_RT~CPC_PD~VDV_7OFF_PETZ_SEARCH_1X1_TG~BHVDEM_TS~NONE_SZ~1X1_SOCIAL_MK~BR_IT~SOCIAL_VV~NONE</t>
  </si>
  <si>
    <t>237807366</t>
  </si>
  <si>
    <t>434838138</t>
  </si>
  <si>
    <t>CH~SOCIAL_DT~MULTI_PB~GADS_FM~SEARCH_RT~CPC_PD~VDV_8OFF_INTIMISSIMI_SEARCH_1X1_TG~BHVDEM_TS~NONE_SZ~1X1_SOCIAL_MK~BR_IT~SOCIAL_VV~NONE</t>
  </si>
  <si>
    <t>237807342</t>
  </si>
  <si>
    <t>434838114</t>
  </si>
  <si>
    <t>CH~SOCIAL_DT~MULTI_PB~GADS_FM~SEARCH_RT~CPC_PD~VDV_SEARCH_CADASTRO_1X1_TG~BHVDEM_TS~NONE_SZ~1X1_SOCIAL_MK~BR_IT~SOCIAL_VV~NONE</t>
  </si>
  <si>
    <t>237496150</t>
  </si>
  <si>
    <t>434915308</t>
  </si>
  <si>
    <t>CH~SOCIAL_DT~MULTI_PB~GADS_FM~SEARCH_RT~CPC_PD~VDV_SEARCH_INSTITUCIONAL_1X1_TG~BHVDEM_TS~NONE_SZ~1X1_SOCIAL_MK~BR_IT~SOCIAL_VV~NONE</t>
  </si>
  <si>
    <t>237771408</t>
  </si>
  <si>
    <t>434812314</t>
  </si>
  <si>
    <t>CH~SOCIAL_DT~MULTI_PB~GADS_FM~SEARCH_RT~CPC_PD~VDV_SEARCH_OFERTAS_1X1_TG~BHVDEM_TS~NONE_SZ~1X1_SOCIAL_MK~BR_IT~SOCIAL_VV~NONE</t>
  </si>
  <si>
    <t>237771411</t>
  </si>
  <si>
    <t>434803059</t>
  </si>
  <si>
    <t>CH~DISPLAY_DT~MULTI_PB~OTH_FM~BANNER_RT~CPM_PD~VDV_CAMICADO_10OFF_RENOVE_OATH_160X600_160X600_TG~BHVDEM_TS~NONE_SZ~160X600_PROGRAMMATIC_MK~BR_IT~PROGRAMMATIC_VV~NONE</t>
  </si>
  <si>
    <t>240362618</t>
  </si>
  <si>
    <t>437356284</t>
  </si>
  <si>
    <t>CH~DISPLAY_DT~MULTI_PB~OTH_FM~BANNER_RT~CPM_PD~VDV_CAMICADO_10OFF_RENOVE_OATH_300X250_300X250_TG~BHVDEM_TS~NONE_SZ~300X250_PROGRAMMATIC_MK~BR_IT~PROGRAMMATIC_VV~NONE</t>
  </si>
  <si>
    <t>240362615</t>
  </si>
  <si>
    <t>437356281</t>
  </si>
  <si>
    <t>CH~DISPLAY_DT~MULTI_PB~OTH_FM~BANNER_RT~CPM_PD~VDV_CAMICADO_10OFF_RENOVE_OATH_300X600_300X600_TG~BHVDEM_TS~NONE_SZ~300X600_PROGRAMMATIC_MK~BR_IT~PROGRAMMATIC_VV~NONE</t>
  </si>
  <si>
    <t>240362612</t>
  </si>
  <si>
    <t>437356278</t>
  </si>
  <si>
    <t>CH~DISPLAY_DT~MULTI_PB~OTH_FM~BANNER_RT~CPM_PD~VDV_CAMICADO_10OFF_RENOVE_OATH_970X250_970X250_TG~BHVDEM_TS~NONE_SZ~970X250_PROGRAMMATIC_MK~BR_IT~PROGRAMMATIC_VV~NONE</t>
  </si>
  <si>
    <t>240362609</t>
  </si>
  <si>
    <t>437356275</t>
  </si>
  <si>
    <t>437368266</t>
  </si>
  <si>
    <t>CH~DISPLAY_DT~MULTI_PB~OTH_FM~BANNER_RT~CPM_PD~VDV_GOL_OATH_BANNER_1080X1920_1080X1920_TG~BHVDEM_TS~NONE_SZ~1080X1920_DISPLAY_MK~BR_IT~DISPLAY_VV~NONE</t>
  </si>
  <si>
    <t>240843169</t>
  </si>
  <si>
    <t>437838727</t>
  </si>
  <si>
    <t>CH~DISPLAY_DT~MULTI_PB~OTH_FM~BANNER_RT~CPM_PD~VDV_GOL_OATH_BANNER_627X627_627X627_TG~BHVDEM_TS~NONE_SZ~627X627_DISPLAY_MK~BR_IT~DISPLAY_VV~NONE</t>
  </si>
  <si>
    <t>240843175</t>
  </si>
  <si>
    <t>437838733</t>
  </si>
  <si>
    <t>CH~DISPLAY_DT~MULTI_PB~OTH_FM~BANNER_RT~CPM_PD~VDV_GOL_OATH_BANNER_720X1280_720X1280_TG~BHVDEM_TS~NONE_SZ~720X1280_DISPLAY_MK~BR_IT~DISPLAY_VV~NONE</t>
  </si>
  <si>
    <t>240843172</t>
  </si>
  <si>
    <t>437838730</t>
  </si>
  <si>
    <t>CH~SOCIAL_DT~MULTI_PB~IG_FM~STORIES_RT~CPM_PD~VDV_CAMICADO_10OFF_STORIES_1X1_TG~BHVDEM_TS~NONE_SZ~1X1_SOCIAL_MK~BR_IT~SOCIAL_VV~NONE</t>
  </si>
  <si>
    <t>233734785</t>
  </si>
  <si>
    <t>431137571</t>
  </si>
  <si>
    <t>CH~SOCIAL_DT~MULTI_PB~IG_FM~STORIES_RT~CPM_PD~VDV_DECOLAR_STORIES_IG_ANO_NOVO_1X1_TG~BHVDEM_TS~NONE_SZ~1X1_SOCIAL_MK~BR_IT~SOCIAL_VV~NONE</t>
  </si>
  <si>
    <t>236781667</t>
  </si>
  <si>
    <t>434163041</t>
  </si>
  <si>
    <t>CH~SOCIAL_DT~MULTI_PB~IG_FM~STORIES_RT~CPM_PD~VDV_DECOLAR_STORIES_IG_CRIANCAS_1X1_TG~BHVDEM_TS~NONE_SZ~1X1_SOCIAL_MK~BR_IT~SOCIAL_VV~NONE</t>
  </si>
  <si>
    <t>236781664</t>
  </si>
  <si>
    <t>434163038</t>
  </si>
  <si>
    <t>CH~SOCIAL_DT~MULTI_PB~IG_FM~STORIES_RT~CPM_PD~VDV_DECOLAR_STORIES_IG_FERIADO_1X1_TG~BHVDEM_TS~NONE_SZ~1X1_SOCIAL_MK~BR_IT~SOCIAL_VV~NONE</t>
  </si>
  <si>
    <t>236781661</t>
  </si>
  <si>
    <t>434163035</t>
  </si>
  <si>
    <t>CH~SOCIAL_DT~MULTI_PB~IG_FM~STORIES_RT~CPM_PD~VDV_DECOLAR_STORIES_IG_FERIADO_GENERICO_01_1X1_TG~BHVDEM_TS~NONE_SZ~1X1_SOCIAL_MK~BR_IT~SOCIAL_VV~NONE</t>
  </si>
  <si>
    <t>236781655</t>
  </si>
  <si>
    <t>434163029</t>
  </si>
  <si>
    <t>CH~SOCIAL_DT~MULTI_PB~IG_FM~STORIES_RT~CPM_PD~VDV_DECOLAR_STORIES_IG_FERIADO_GENERICO_02_1X1_TG~BHVDEM_TS~NONE_SZ~1X1_SOCIAL_MK~BR_IT~SOCIAL_VV~NONE</t>
  </si>
  <si>
    <t>236781652</t>
  </si>
  <si>
    <t>434163026</t>
  </si>
  <si>
    <t>CH~SOCIAL_DT~MULTI_PB~IG_FM~STORIES_RT~CPM_PD~VDV_DECOLAR_STORIES_IG_FERIADO_PROLONGADO_1X1_TG~BHVDEM_TS~NONE_SZ~1X1_SOCIAL_MK~BR_IT~SOCIAL_VV~NONE</t>
  </si>
  <si>
    <t>236781658</t>
  </si>
  <si>
    <t>434163032</t>
  </si>
  <si>
    <t>CH~SOCIAL_DT~MULTI_PB~IG_FM~STORIES_RT~CPM_PD~VDV_NATURA_STORIES_IG_ICONE_BELEZA_LIVRE_1X1_TG~BHVDEM_TS~NONE_SZ~1X1_SOCIAL_MK~BR_IT~SOCIAL_VV~NONE</t>
  </si>
  <si>
    <t>236795812</t>
  </si>
  <si>
    <t>434240467</t>
  </si>
  <si>
    <t>CH~SOCIAL_DT~MULTI_PB~IG_FM~STORIES_RT~CPM_PD~VDV_NATURA_STORIES_IG_MULHER_BELEZA_LIVRE_1X1_TG~BHVDEM_TS~NONE_SZ~1X1_SOCIAL_MK~BR_IT~SOCIAL_VV~NONE</t>
  </si>
  <si>
    <t>236795815</t>
  </si>
  <si>
    <t>434240470</t>
  </si>
  <si>
    <t>MK~LM_CN~AFFLUENT_MN~NONE_YQ~19Q1Q4_CP~PO5020004141-9_OB~TRAFFIC_PK~NONE</t>
  </si>
  <si>
    <t>CH~SOCIAL_DT~MULTI_PB~FCBK_FM~CARROSSEL_RT~CPM_PD~AFFLUENT_ALPHAVILLE_CARROSSEL_FB_1X1_TG~BHVDEM_TS~NONE_SZ~1X1_SOCIAL_MK~BR_IT~SOCIAL_VV~NONE</t>
  </si>
  <si>
    <t>235649168</t>
  </si>
  <si>
    <t>433273934</t>
  </si>
  <si>
    <t>CH~SOCIAL_DT~MULTI_PB~FCBK_FM~CARROSSEL_RT~CPM_PD~AFFLUENT_DINNING_FREEVALET_CARROSSEL_ASIATICA_1X1_TG~BHVDEM_TS~NONE_SZ~1X1_SOCIAL_MK~BR_IT~SOCIAL_VV~NONE</t>
  </si>
  <si>
    <t>240447814</t>
  </si>
  <si>
    <t>437412428</t>
  </si>
  <si>
    <t>CH~SOCIAL_DT~MULTI_PB~FCBK_FM~CARROSSEL_RT~CPM_PD~AFFLUENT_DINNING_FREEVALET_CARROSSEL_MASSA_1X1_TG~BHVDEM_TS~NONE_SZ~1X1_SOCIAL_MK~BR_IT~SOCIAL_VV~NONE</t>
  </si>
  <si>
    <t>240447808</t>
  </si>
  <si>
    <t>437412422</t>
  </si>
  <si>
    <t>CH~SOCIAL_DT~MULTI_PB~FCBK_FM~CARROSSEL_RT~CPM_PD~AFFLUENT_DINNING_FREEVALET_CARROSSEL_STEAK_1X1_TG~BHVDEM_TS~NONE_SZ~1X1_SOCIAL_MK~BR_IT~SOCIAL_VV~NONE</t>
  </si>
  <si>
    <t>240447802</t>
  </si>
  <si>
    <t>437412416</t>
  </si>
  <si>
    <t>CH~SOCIAL_DT~MULTI_PB~FCBK_FM~CARROSSEL_RT~CPM_PD~AFFLUENT_DINNING_FREEVALET_CARROSSEL_VEGETARIANA_1X1_TG~BHVDEM_TS~NONE_SZ~1X1_SOCIAL_MK~BR_IT~SOCIAL_VV~NONE</t>
  </si>
  <si>
    <t>240447796</t>
  </si>
  <si>
    <t>437412410</t>
  </si>
  <si>
    <t>CH~SOCIAL_DT~MULTI_PB~FCBK_FM~CARROSSEL_RT~CPM_PD~AFFLUENT_JKIGUATEMI_CARROSSEL_FB_1X1_TG~BHVDEM_TS~NONE_SZ~1X1_SOCIAL_MK~BR_IT~SOCIAL_VV~NONE</t>
  </si>
  <si>
    <t>235649159</t>
  </si>
  <si>
    <t>433273925</t>
  </si>
  <si>
    <t>CH~SOCIAL_DT~MULTI_PB~FCBK_FM~CARROSSEL_RT~CPM_PD~AFFLUENT_MALLS_FREEVALET_CARROSSEL_CIDADEJARDIM_1X1_TG~BHVDEM_TS~NONE_SZ~1X1_SOCIAL_MK~BR_IT~SOCIAL_VV~NONE</t>
  </si>
  <si>
    <t>240515485</t>
  </si>
  <si>
    <t>437498843</t>
  </si>
  <si>
    <t>CH~SOCIAL_DT~MULTI_PB~FCBK_FM~CARROSSEL_RT~CPM_PD~AFFLUENT_MALLS_FREEVALET_CARROSSEL_IGUATEMIBSB_1X1_TG~BHVDEM_TS~NONE_SZ~1X1_SOCIAL_MK~BR_IT~SOCIAL_VV~NONE</t>
  </si>
  <si>
    <t>240515503</t>
  </si>
  <si>
    <t>437498861</t>
  </si>
  <si>
    <t>CH~SOCIAL_DT~MULTI_PB~FCBK_FM~CARROSSEL_RT~CPM_PD~AFFLUENT_MALLS_FREEVALET_CARROSSEL_IGUATEMISP_1X1_TG~BHVDEM_TS~NONE_SZ~1X1_SOCIAL_MK~BR_IT~SOCIAL_VV~NONE</t>
  </si>
  <si>
    <t>240515515</t>
  </si>
  <si>
    <t>437498873</t>
  </si>
  <si>
    <t>CH~SOCIAL_DT~MULTI_PB~FCBK_FM~CARROSSEL_RT~CPM_PD~AFFLUENT_MALLS_FREEVALET_CARROSSEL_PATIO_1X1_TG~BHVDEM_TS~NONE_SZ~1X1_SOCIAL_MK~BR_IT~SOCIAL_VV~NONE</t>
  </si>
  <si>
    <t>240515509</t>
  </si>
  <si>
    <t>437498867</t>
  </si>
  <si>
    <t>CH~SOCIAL_DT~MULTI_PB~FCBK_FM~CARROSSEL_RT~CPM_PD~AFFLUENT_MALLS_FREEVALET_CARROSSEL_RIODESIGNBARRA_1X1_TG~BHVDEM_TS~NONE_SZ~1X1_SOCIAL_MK~BR_IT~SOCIAL_VV~NONE</t>
  </si>
  <si>
    <t>240515497</t>
  </si>
  <si>
    <t>437498855</t>
  </si>
  <si>
    <t>CH~SOCIAL_DT~MULTI_PB~FCBK_FM~CARROSSEL_RT~CPM_PD~AFFLUENT_MALLS_FREEVALET_CARROSSEL_RIODESIGNLEBLON_1X1_TG~BHVDEM_TS~NONE_SZ~1X1_SOCIAL_MK~BR_IT~SOCIAL_VV~NONE</t>
  </si>
  <si>
    <t>240515491</t>
  </si>
  <si>
    <t>437498849</t>
  </si>
  <si>
    <t>CH~SOCIAL_DT~MULTI_PB~FCBK_FM~CARROSSEL_RT~CPM_PD~AFFLUENT_PATIOHIGIENOPOLIS_CARROSSEL_FB_1X1_TG~BHVDEM_TS~NONE_SZ~1X1_SOCIAL_MK~BR_IT~SOCIAL_VV~NONE</t>
  </si>
  <si>
    <t>235649165</t>
  </si>
  <si>
    <t>433273931</t>
  </si>
  <si>
    <t>CH~SOCIAL_DT~MULTI_PB~FCBK_FM~CARROSSEL_RT~CPM_PD~AFFLUENT_RIO_BARRA_CARROSSEL_FB_1X1_TG~BHVDEM_TS~NONE_SZ~1X1_SOCIAL_MK~BR_IT~SOCIAL_VV~NONE</t>
  </si>
  <si>
    <t>235649162</t>
  </si>
  <si>
    <t>433273928</t>
  </si>
  <si>
    <t>CH~SOCIAL_DT~MULTI_PB~FCBK_FM~GIF_RT~CPM_PD~AFFLUENT_MALLS_FREEVALET_GIF_CIDADEJARDIM_1X1_TG~BHVDEM_TS~NONE_SZ~1X1_SOCIAL_MK~BR_IT~SOCIAL_VV~NONE</t>
  </si>
  <si>
    <t>240515458</t>
  </si>
  <si>
    <t>437498816</t>
  </si>
  <si>
    <t>CH~SOCIAL_DT~MULTI_PB~FCBK_FM~GIF_RT~CPM_PD~AFFLUENT_MALLS_FREEVALET_GIF_IGUATEMIBSB_1X1_TG~BHVDEM_TS~NONE_SZ~1X1_SOCIAL_MK~BR_IT~SOCIAL_VV~NONE</t>
  </si>
  <si>
    <t>240515467</t>
  </si>
  <si>
    <t>437498825</t>
  </si>
  <si>
    <t>CH~SOCIAL_DT~MULTI_PB~FCBK_FM~GIF_RT~CPM_PD~AFFLUENT_MALLS_FREEVALET_GIF_IGUATEMISP_1X1_TG~BHVDEM_TS~NONE_SZ~1X1_SOCIAL_MK~BR_IT~SOCIAL_VV~NONE</t>
  </si>
  <si>
    <t>240515479</t>
  </si>
  <si>
    <t>437498837</t>
  </si>
  <si>
    <t>CH~SOCIAL_DT~MULTI_PB~FCBK_FM~GIF_RT~CPM_PD~AFFLUENT_MALLS_FREEVALET_GIF_PATIO_1X1_TG~BHVDEM_TS~NONE_SZ~1X1_SOCIAL_MK~BR_IT~SOCIAL_VV~NONE</t>
  </si>
  <si>
    <t>240515473</t>
  </si>
  <si>
    <t>437498831</t>
  </si>
  <si>
    <t>CH~SOCIAL_DT~MULTI_PB~FCBK_FM~GIF_RT~CPM_PD~AFFLUENT_MALLS_FREEVALET_GIF_RIODESIGNBARRA_1X1_TG~BHVDEM_TS~NONE_SZ~1X1_SOCIAL_MK~BR_IT~SOCIAL_VV~NONE</t>
  </si>
  <si>
    <t>240515464</t>
  </si>
  <si>
    <t>437498822</t>
  </si>
  <si>
    <t>CH~SOCIAL_DT~MULTI_PB~FCBK_FM~GIF_RT~CPM_PD~AFFLUENT_MALLS_FREEVALET_GIF_RIODESIGNLEBLON_1X1_TG~BHVDEM_TS~NONE_SZ~1X1_SOCIAL_MK~BR_IT~SOCIAL_VV~NONE</t>
  </si>
  <si>
    <t>240515461</t>
  </si>
  <si>
    <t>437498819</t>
  </si>
  <si>
    <t>CH~SOCIAL_DT~MULTI_PB~FCBK_FM~LINKAD_RT~CPM_PD~AFFLUENT_DINNING_FREEVALET_LINKAD_MASSA_1X1_TG~BHVDEM_TS~NONE_SZ~1X1_SOCIAL_MK~BR_IT~SOCIAL_VV~NONE</t>
  </si>
  <si>
    <t>240447784</t>
  </si>
  <si>
    <t>437412398</t>
  </si>
  <si>
    <t>CH~SOCIAL_DT~MULTI_PB~FCBK_FM~LINKAD_RT~CPM_PD~AFFLUENT_DINNING_FREEVALET_LINKAD_STEAK_1X1_TG~BHVDEM_TS~NONE_SZ~1X1_SOCIAL_MK~BR_IT~SOCIAL_VV~NONE</t>
  </si>
  <si>
    <t>240447778</t>
  </si>
  <si>
    <t>437412392</t>
  </si>
  <si>
    <t>CH~SOCIAL_DT~MULTI_PB~FCBK_FM~LINKAD_RT~CPM_PD~AFFLUENT_DINNING_FREEVALET_LINKAD_VEGETARIANA_1X1_TG~BHVDEM_TS~NONE_SZ~1X1_SOCIAL_MK~BR_IT~SOCIAL_VV~NONE</t>
  </si>
  <si>
    <t>240447772</t>
  </si>
  <si>
    <t>437412386</t>
  </si>
  <si>
    <t>CH~SOCIAL_DT~MULTI_PB~FCBK_FM~LINKAD_RT~CPM_PD~AFFLUENT_GALLERIA_PANETTONE_LINKAD_FB_1X1_TG~BHVDEM_TS~NONE_SZ~1X1_SOCIAL_MK~BR_IT~SOCIAL_VV~NONE</t>
  </si>
  <si>
    <t>235773840</t>
  </si>
  <si>
    <t>433170882</t>
  </si>
  <si>
    <t>CH~SOCIAL_DT~MULTI_PB~FCBK_FM~LINKAD_RT~CPM_PD~AFFLUENT_IGUATEMIALPHAVILLE_CHOCOPANE_LINKAD_FB_1X1_TG~BHVDEM_TS~NONE_SZ~1X1_SOCIAL_MK~BR_IT~SOCIAL_VV~NONE</t>
  </si>
  <si>
    <t>235663814</t>
  </si>
  <si>
    <t>433289894</t>
  </si>
  <si>
    <t>CH~SOCIAL_DT~MULTI_PB~FCBK_FM~LINKAD_RT~CPM_PD~AFFLUENT_JKIGUATEMI_CHOCOPANE_LINKAD_FB_1X1_TG~BHVDEM_TS~NONE_SZ~1X1_SOCIAL_MK~BR_IT~SOCIAL_VV~NONE</t>
  </si>
  <si>
    <t>235773837</t>
  </si>
  <si>
    <t>433170879</t>
  </si>
  <si>
    <t>CH~SOCIAL_DT~MULTI_PB~FCBK_FM~LINKAD_RT~CPM_PD~AFFLUENT_MALLS_FREEVALET_LINKAD_CIDADEJARDIM_1X1_TG~BHVDEM_TS~NONE_SZ~1X1_SOCIAL_MK~BR_IT~SOCIAL_VV~NONE</t>
  </si>
  <si>
    <t>240515506</t>
  </si>
  <si>
    <t>437498864</t>
  </si>
  <si>
    <t>CH~SOCIAL_DT~MULTI_PB~FCBK_FM~LINKAD_RT~CPM_PD~AFFLUENT_MALLS_FREEVALET_LINKAD_IGUATEMIBSB_1X1_TG~BHVDEM_TS~NONE_SZ~1X1_SOCIAL_MK~BR_IT~SOCIAL_VV~NONE</t>
  </si>
  <si>
    <t>240515449</t>
  </si>
  <si>
    <t>437498807</t>
  </si>
  <si>
    <t>CH~SOCIAL_DT~MULTI_PB~FCBK_FM~LINKAD_RT~CPM_PD~AFFLUENT_MALLS_FREEVALET_LINKAD_IGUATEMISP_1X1_TG~BHVDEM_TS~NONE_SZ~1X1_SOCIAL_MK~BR_IT~SOCIAL_VV~NONE</t>
  </si>
  <si>
    <t>240515455</t>
  </si>
  <si>
    <t>437498813</t>
  </si>
  <si>
    <t>CH~SOCIAL_DT~MULTI_PB~FCBK_FM~LINKAD_RT~CPM_PD~AFFLUENT_MALLS_FREEVALET_LINKAD_PATIO_1X1_TG~BHVDEM_TS~NONE_SZ~1X1_SOCIAL_MK~BR_IT~SOCIAL_VV~NONE</t>
  </si>
  <si>
    <t>240515452</t>
  </si>
  <si>
    <t>437498810</t>
  </si>
  <si>
    <t>CH~SOCIAL_DT~MULTI_PB~FCBK_FM~LINKAD_RT~CPM_PD~AFFLUENT_MALLS_FREEVALET_LINKAD_RIODESIGNBARRA_1X1_TG~BHVDEM_TS~NONE_SZ~1X1_SOCIAL_MK~BR_IT~SOCIAL_VV~NONE</t>
  </si>
  <si>
    <t>240515446</t>
  </si>
  <si>
    <t>437498804</t>
  </si>
  <si>
    <t>CH~SOCIAL_DT~MULTI_PB~FCBK_FM~LINKAD_RT~CPM_PD~AFFLUENT_MALLS_FREEVALET_LINKAD_RIODESIGNLEBLON_1X1_TG~BHVDEM_TS~NONE_SZ~1X1_SOCIAL_MK~BR_IT~SOCIAL_VV~NONE</t>
  </si>
  <si>
    <t>240515512</t>
  </si>
  <si>
    <t>437498870</t>
  </si>
  <si>
    <t>CH~SOCIAL_DT~MULTI_PB~FCBK_FM~LINKAD_RT~CPM_PD~AFFLUENT_MARKETPLACE_CHOCOTTONE_LINKAD_FB_1X1_TG~BHVDEM_TS~NONE_SZ~1X1_SOCIAL_MK~BR_IT~SOCIAL_VV~NONE</t>
  </si>
  <si>
    <t>235773843</t>
  </si>
  <si>
    <t>433170885</t>
  </si>
  <si>
    <t>CH~SOCIAL_DT~MULTI_PB~FCBK_FM~LINKAD_RT~CPM_PD~AFFLUENT_RIODESIGNLEBLON_DOMPERIGNON_LINKAD_FB_1X1_TG~BHVDEM_TS~NONE_SZ~1X1_SOCIAL_MK~BR_IT~SOCIAL_VV~NONE</t>
  </si>
  <si>
    <t>235773831</t>
  </si>
  <si>
    <t>433170873</t>
  </si>
  <si>
    <t>CH~SOCIAL_DT~MULTI_PB~FCBK_FM~STORIES_RT~CPM_PD~AFFLUENT_DINNING_FREEVALET_STORIES_ASIATICA_1X1_TG~BHVDEM_TS~NONE_SZ~1X1_SOCIAL_MK~BR_IT~SOCIAL_VV~NONE</t>
  </si>
  <si>
    <t>240447766</t>
  </si>
  <si>
    <t>437412380</t>
  </si>
  <si>
    <t>CH~SOCIAL_DT~MULTI_PB~FCBK_FM~STORIES_RT~CPM_PD~AFFLUENT_DINNING_FREEVALET_STORIES_MASSA_1X1_TG~BHVDEM_TS~NONE_SZ~1X1_SOCIAL_MK~BR_IT~SOCIAL_VV~NONE</t>
  </si>
  <si>
    <t>240447763</t>
  </si>
  <si>
    <t>437412377</t>
  </si>
  <si>
    <t>CH~SOCIAL_DT~MULTI_PB~FCBK_FM~STORIES_RT~CPM_PD~AFFLUENT_DINNING_FREEVALET_STORIES_STEAK_1X1_TG~BHVDEM_TS~NONE_SZ~1X1_SOCIAL_MK~BR_IT~SOCIAL_VV~NONE</t>
  </si>
  <si>
    <t>240447760</t>
  </si>
  <si>
    <t>437412374</t>
  </si>
  <si>
    <t>CH~SOCIAL_DT~MULTI_PB~FCBK_FM~STORIES_RT~CPM_PD~AFFLUENT_DINNING_FREEVALET_STORIES_VEGETARIANA_1X1_TG~BHVDEM_TS~NONE_SZ~1X1_SOCIAL_MK~BR_IT~SOCIAL_VV~NONE</t>
  </si>
  <si>
    <t>240447757</t>
  </si>
  <si>
    <t>437412371</t>
  </si>
  <si>
    <t>CH~SOCIAL_DT~MULTI_PB~FCBK_FM~STORIES_RT~CPM_PD~AFFLUENT_MALLS_FREEVALET_STORIES_CIDADEJARDIM_1X1_TG~BHVDEM_TS~NONE_SZ~1X1_SOCIAL_MK~BR_IT~SOCIAL_VV~NONE</t>
  </si>
  <si>
    <t>240515470</t>
  </si>
  <si>
    <t>437498828</t>
  </si>
  <si>
    <t>CH~SOCIAL_DT~MULTI_PB~FCBK_FM~STORIES_RT~CPM_PD~AFFLUENT_MALLS_FREEVALET_STORIES_IGUATEMIBSB_1X1_TG~BHVDEM_TS~NONE_SZ~1X1_SOCIAL_MK~BR_IT~SOCIAL_VV~NONE</t>
  </si>
  <si>
    <t>240515488</t>
  </si>
  <si>
    <t>437498846</t>
  </si>
  <si>
    <t>CH~SOCIAL_DT~MULTI_PB~FCBK_FM~STORIES_RT~CPM_PD~AFFLUENT_MALLS_FREEVALET_STORIES_IGUATEMISP_1X1_TG~BHVDEM_TS~NONE_SZ~1X1_SOCIAL_MK~BR_IT~SOCIAL_VV~NONE</t>
  </si>
  <si>
    <t>240515500</t>
  </si>
  <si>
    <t>437498858</t>
  </si>
  <si>
    <t>CH~SOCIAL_DT~MULTI_PB~FCBK_FM~STORIES_RT~CPM_PD~AFFLUENT_MALLS_FREEVALET_STORIES_PATIO_1X1_TG~BHVDEM_TS~NONE_SZ~1X1_SOCIAL_MK~BR_IT~SOCIAL_VV~NONE</t>
  </si>
  <si>
    <t>240515494</t>
  </si>
  <si>
    <t>437498852</t>
  </si>
  <si>
    <t>CH~SOCIAL_DT~MULTI_PB~FCBK_FM~STORIES_RT~CPM_PD~AFFLUENT_MALLS_FREEVALET_STORIES_RIODESIGNBARRA_1X1_TG~BHVDEM_TS~NONE_SZ~1X1_SOCIAL_MK~BR_IT~SOCIAL_VV~NONE</t>
  </si>
  <si>
    <t>240515482</t>
  </si>
  <si>
    <t>437498840</t>
  </si>
  <si>
    <t>CH~SOCIAL_DT~MULTI_PB~FCBK_FM~STORIES_RT~CPM_PD~AFFLUENT_MALLS_FREEVALET_STORIES_RIODESIGNLEBLON_1X1_TG~BHVDEM_TS~NONE_SZ~1X1_SOCIAL_MK~BR_IT~SOCIAL_VV~NONE</t>
  </si>
  <si>
    <t>240515476</t>
  </si>
  <si>
    <t>437498834</t>
  </si>
  <si>
    <t>CH~SOCIAL_DT~MULTI_PB~FCBK_FM~VERTICAL_RT~CPM_PD~AFFLUENT_DINNING_FREEVALET_VERTICAL_ASIATICA_1X1_TG~BHVDEM_TS~NONE_SZ~1X1_SOCIAL_MK~BR_IT~SOCIAL_VV~NONE</t>
  </si>
  <si>
    <t>240447754</t>
  </si>
  <si>
    <t>437412368</t>
  </si>
  <si>
    <t>CH~SOCIAL_DT~MULTI_PB~FCBK_FM~VERTICAL_RT~CPM_PD~AFFLUENT_DINNING_FREEVALET_VERTICAL_MASSA_1X1_TG~BHVDEM_TS~NONE_SZ~1X1_SOCIAL_MK~BR_IT~SOCIAL_VV~NONE</t>
  </si>
  <si>
    <t>240447751</t>
  </si>
  <si>
    <t>437412365</t>
  </si>
  <si>
    <t>CH~SOCIAL_DT~MULTI_PB~FCBK_FM~VERTICAL_RT~CPM_PD~AFFLUENT_DINNING_FREEVALET_VERTICAL_STEAK_1X1_TG~BHVDEM_TS~NONE_SZ~1X1_SOCIAL_MK~BR_IT~SOCIAL_VV~NONE</t>
  </si>
  <si>
    <t>240447748</t>
  </si>
  <si>
    <t>437412362</t>
  </si>
  <si>
    <t>CH~SOCIAL_DT~MULTI_PB~FCBK_FM~VERTICAL_RT~CPM_PD~AFFLUENT_DINNING_FREEVALET_VERTICAL_VEGETARIANA_1X1_TG~BHVDEM_TS~NONE_SZ~1X1_SOCIAL_MK~BR_IT~SOCIAL_VV~NONE</t>
  </si>
  <si>
    <t>240447745</t>
  </si>
  <si>
    <t>437412359</t>
  </si>
  <si>
    <t>CH~DISPLAY_DT~MULTI_PB~GDBM_FM~BANNER_RT~CPM_PD~AFFLUENT_IGUATEMI_SP_300X250_300X250_TG~BHVDEM_TS~NONE_SZ~300X250_PROGRAMMATIC_MK~BR_IT~PROGRAMMATIC_VV~NONE</t>
  </si>
  <si>
    <t>236764225</t>
  </si>
  <si>
    <t>434122899</t>
  </si>
  <si>
    <t>CH~DISPLAY_DT~MULTI_PB~GDBM_FM~BANNER_RT~CPM_PD~AFFLUENT_IGUATEMI_SP_300X600_300X600_TG~BHVDEM_TS~NONE_SZ~300X600_PROGRAMMATIC_MK~BR_IT~PROGRAMMATIC_VV~NONE</t>
  </si>
  <si>
    <t>236764222</t>
  </si>
  <si>
    <t>434122896</t>
  </si>
  <si>
    <t>CH~DISPLAY_DT~MULTI_PB~GDBM_FM~BANNER_RT~CPM_PD~AFFLUENT_IGUATEMI_SP_728X90_728X90_TG~BHVDEM_TS~NONE_SZ~728X90_PROGRAMMATIC_MK~BR_IT~PROGRAMMATIC_VV~NONE</t>
  </si>
  <si>
    <t>236764219</t>
  </si>
  <si>
    <t>434122893</t>
  </si>
  <si>
    <t>CH~DISPLAY_DT~MULTI_PB~GDBM_FM~BANNER_RT~CPM_PD~AFFLUENT_MALLS_NATAL_CIDADEJARDIM_DBM_300X250_300X250_TG~BHVDEM_TS~NONE_SZ~300X250_PROGRAMMATIC_MK~BR_IT~PROGRAMMATIC_VV~NONE</t>
  </si>
  <si>
    <t>236144893</t>
  </si>
  <si>
    <t>433717534</t>
  </si>
  <si>
    <t>CH~DISPLAY_DT~MULTI_PB~GDBM_FM~BANNER_RT~CPM_PD~AFFLUENT_MALLS_NATAL_CIDADEJARDIM_DBM_300X600_300X600_TG~BHVDEM_TS~NONE_SZ~300X600_PROGRAMMATIC_MK~BR_IT~PROGRAMMATIC_VV~NONE</t>
  </si>
  <si>
    <t>236144887</t>
  </si>
  <si>
    <t>433717528</t>
  </si>
  <si>
    <t>CH~DISPLAY_DT~MULTI_PB~GDBM_FM~BANNER_RT~CPM_PD~AFFLUENT_MALLS_NATAL_CIDADEJARDIM_DBM_728X90_728X90_TG~BHVDEM_TS~NONE_SZ~728X90_PROGRAMMATIC_MK~BR_IT~PROGRAMMATIC_VV~NONE</t>
  </si>
  <si>
    <t>236144881</t>
  </si>
  <si>
    <t>433717522</t>
  </si>
  <si>
    <t>CH~DISPLAY_DT~MULTI_PB~GDBM_FM~BANNER_RT~CPM_PD~AFFLUENT_MALLS_NATAL_IGUATEMIALPHAVILLE_DBM_300X250_300X250_TG~BHVDEM_TS~NONE_SZ~300X250_PROGRAMMATIC_MK~BR_IT~PROGRAMMATIC_VV~NONE</t>
  </si>
  <si>
    <t>236144890</t>
  </si>
  <si>
    <t>433717531</t>
  </si>
  <si>
    <t>CH~DISPLAY_DT~MULTI_PB~GDBM_FM~BANNER_RT~CPM_PD~AFFLUENT_MALLS_NATAL_IGUATEMIALPHAVILLE_DBM_300X600_300X600_TG~BHVDEM_TS~NONE_SZ~300X600_PROGRAMMATIC_MK~BR_IT~PROGRAMMATIC_VV~NONE</t>
  </si>
  <si>
    <t>236144884</t>
  </si>
  <si>
    <t>433717525</t>
  </si>
  <si>
    <t>CH~DISPLAY_DT~MULTI_PB~GDBM_FM~BANNER_RT~CPM_PD~AFFLUENT_MALLS_NATAL_IGUATEMIALPHAVILLE_DBM_728X90_728X90_TG~BHVDEM_TS~NONE_SZ~728X90_PROGRAMMATIC_MK~BR_IT~PROGRAMMATIC_VV~NONE</t>
  </si>
  <si>
    <t>236144878</t>
  </si>
  <si>
    <t>433717519</t>
  </si>
  <si>
    <t>CH~DISPLAY_DT~MULTI_PB~GDBM_FM~BANNER_RT~CPM_PD~AFFLUENT_MALLS_NATAL_IGUATEMIBRASILIA_DBM_300X250_300X250_TG~BHVDEM_TS~NONE_SZ~300X250_PROGRAMMATIC_MK~BR_IT~PROGRAMMATIC_VV~NONE</t>
  </si>
  <si>
    <t>236144872</t>
  </si>
  <si>
    <t>433717513</t>
  </si>
  <si>
    <t>CH~DISPLAY_DT~MULTI_PB~GDBM_FM~BANNER_RT~CPM_PD~AFFLUENT_MALLS_NATAL_IGUATEMIBRASILIA_DBM_300X600_300X600_TG~BHVDEM_TS~NONE_SZ~300X600_PROGRAMMATIC_MK~BR_IT~PROGRAMMATIC_VV~NONE</t>
  </si>
  <si>
    <t>236144869</t>
  </si>
  <si>
    <t>433717510</t>
  </si>
  <si>
    <t>CH~DISPLAY_DT~MULTI_PB~GDBM_FM~BANNER_RT~CPM_PD~AFFLUENT_RIO_BARRA_300X250_300X250_TG~BHVDEM_TS~NONE_SZ~300X250_PROGRAMMATIC_MK~BR_IT~PROGRAMMATIC_VV~NONE</t>
  </si>
  <si>
    <t>236764243</t>
  </si>
  <si>
    <t>434122917</t>
  </si>
  <si>
    <t>CH~DISPLAY_DT~MULTI_PB~GDBM_FM~BANNER_RT~CPM_PD~AFFLUENT_RIO_BARRA_300X600_300X600_TG~BHVDEM_TS~NONE_SZ~300X600_PROGRAMMATIC_MK~BR_IT~PROGRAMMATIC_VV~NONE</t>
  </si>
  <si>
    <t>236764237</t>
  </si>
  <si>
    <t>434122911</t>
  </si>
  <si>
    <t>CH~DISPLAY_DT~MULTI_PB~GDBM_FM~BANNER_RT~CPM_PD~AFFLUENT_RIO_LEBLON_300X250_300X250_TG~BHVDEM_TS~NONE_SZ~300X250_PROGRAMMATIC_MK~BR_IT~PROGRAMMATIC_VV~NONE</t>
  </si>
  <si>
    <t>236764246</t>
  </si>
  <si>
    <t>434122920</t>
  </si>
  <si>
    <t>CH~DISPLAY_DT~MULTI_PB~GDBM_FM~BANNER_RT~CPM_PD~AFFLUENT_RIO_LEBLON_300X600_300X600_TG~BHVDEM_TS~NONE_SZ~300X600_PROGRAMMATIC_MK~BR_IT~PROGRAMMATIC_VV~NONE</t>
  </si>
  <si>
    <t>236764240</t>
  </si>
  <si>
    <t>434122914</t>
  </si>
  <si>
    <t>CH~DISPLAY_DT~MULTI_PB~GDBM_FM~BANNER_RT~CPM_PD~AFFLUENT_RIO_LEBLON_728X90_728X90_TG~BHVDEM_TS~NONE_SZ~728X90_PROGRAMMATIC_MK~BR_IT~PROGRAMMATIC_VV~NONE</t>
  </si>
  <si>
    <t>236764234</t>
  </si>
  <si>
    <t>434122908</t>
  </si>
  <si>
    <t>CH~SEARCH_DT~MULTI_PB~GADS_FM~SEARCH_RT~CPC_PD~AFFLUENT_DINNING_SEARCH_1X1_TG~BHVDEM_TS~NONE_SZ~1X1_SEARCH_MK~BR_IT~SEARCH_VV~NONE</t>
  </si>
  <si>
    <t>237712888</t>
  </si>
  <si>
    <t>435014483</t>
  </si>
  <si>
    <t>CH~SEARCH_DT~MULTI_PB~GADS_FM~SEARCH_RT~CPC_PD~AFFLUENT_INSTITUCIONAL_INFINITE_SEARCH_1X1_TG~BHVDEM_TS~NONE_SZ~1X1_SEARCH_MK~BR_IT~SEARCH_VV~NONE</t>
  </si>
  <si>
    <t>237718156</t>
  </si>
  <si>
    <t>435122434</t>
  </si>
  <si>
    <t>CH~SEARCH_DT~MULTI_PB~GADS_FM~SEARCH_RT~CPC_PD~AFFLUENT_INSTITUCIONAL_LOUGEKEY_INFINITE_SEARCH_1X1_TG~BHVDEM_TS~NONE_SZ~1X1_SEARCH_MK~BR_IT~SEARCH_VV~NONE</t>
  </si>
  <si>
    <t>238195701</t>
  </si>
  <si>
    <t>435120389</t>
  </si>
  <si>
    <t>CH~SEARCH_DT~MULTI_PB~GADS_FM~SEARCH_RT~CPC_PD~AFFLUENT_INSTITUCIONAL_LUXURYHOTEL_INFINITE_SEARCH_1X1_TG~BHVDEM_TS~NONE_SZ~1X1_SEARCH_MK~BR_IT~SEARCH_VV~NONE</t>
  </si>
  <si>
    <t>237888889</t>
  </si>
  <si>
    <t>435210088</t>
  </si>
  <si>
    <t>CH~SEARCH_DT~MULTI_PB~GADS_FM~SEARCH_RT~CPC_PD~AFFLUENT_INSTITUCIONAL_PLATINUM_SEARCH_1X1_TG~BHVDEM_TS~NONE_SZ~1X1_SEARCH_MK~BR_IT~SEARCH_VV~NONE</t>
  </si>
  <si>
    <t>237718159</t>
  </si>
  <si>
    <t>435020351</t>
  </si>
  <si>
    <t>CH~SEARCH_DT~MULTI_PB~GADS_FM~SEARCH_RT~CPC_PD~AFFLUENT_INSTITUCIONAL_SEGUROEMERGENCIAMEDICA_INFINITE_SEARCH_1X1_TG~BHVDEM_TS~NONE_SZ~1X1_SEARCH_MK~BR_IT~SEARCH_VV~NONE</t>
  </si>
  <si>
    <t>238506305</t>
  </si>
  <si>
    <t>435884251</t>
  </si>
  <si>
    <t>CH~SEARCH_DT~MULTI_PB~GADS_FM~SEARCH_RT~CPC_PD~AFFLUENT_INSTITUCIONAL_VISACONCIERGE_INFINITE_SEARCH_1X1_TG~BHVDEM_TS~NONE_SZ~1X1_SEARCH_MK~BR_IT~SEARCH_VV~NONE</t>
  </si>
  <si>
    <t>238593673</t>
  </si>
  <si>
    <t>435884227</t>
  </si>
  <si>
    <t>CH~SEARCH_DT~MULTI_PB~GADS_FM~SEARCH_RT~CPC_PD~AFFLUENT_MALLS_SEARCH_1X1_TG~BHVDEM_TS~NONE_SZ~1X1_SEARCH_MK~BR_IT~SEARCH_VV~NONE</t>
  </si>
  <si>
    <t>238004055</t>
  </si>
  <si>
    <t>435122221</t>
  </si>
  <si>
    <t>CH~SEARCH_DT~MULTI_PB~GADS_FM~SEARCH_RT~CPC_PD~AFFLUENT_MALLS_SHOPPINGCIDADEJARDIM_SEARCH_1X1_TG~BHVDEM_TS~NONE_SZ~1X1_SEARCH_MK~BR_IT~SEARCH_VV~NONE</t>
  </si>
  <si>
    <t>239837254</t>
  </si>
  <si>
    <t>436976227</t>
  </si>
  <si>
    <t>CH~SEARCH_DT~MULTI_PB~GADS_FM~SEARCH_RT~CPC_PD~AFFLUENT_MALLS_SHOPPINGHIGIENOPOLIS_SEARCH_1X1_TG~BHVDEM_TS~NONE_SZ~1X1_SEARCH_MK~BR_IT~SEARCH_VV~NONE</t>
  </si>
  <si>
    <t>239837245</t>
  </si>
  <si>
    <t>436976218</t>
  </si>
  <si>
    <t>CH~SEARCH_DT~MULTI_PB~GADS_FM~SEARCH_RT~CPC_PD~AFFLUENT_MALLS_SHOPPINGIGUATEMIBRASILIA_SEARCH_1X1_TG~BHVDEM_TS~NONE_SZ~1X1_SEARCH_MK~BR_IT~SEARCH_VV~NONE</t>
  </si>
  <si>
    <t>239837248</t>
  </si>
  <si>
    <t>436976221</t>
  </si>
  <si>
    <t>CH~SEARCH_DT~MULTI_PB~GADS_FM~SEARCH_RT~CPC_PD~AFFLUENT_MALLS_SHOPPINGIGUATEMISP_SEARCH_1X1_TG~BHVDEM_TS~NONE_SZ~1X1_SEARCH_MK~BR_IT~SEARCH_VV~NONE</t>
  </si>
  <si>
    <t>239837251</t>
  </si>
  <si>
    <t>436976224</t>
  </si>
  <si>
    <t>CH~SEARCH_DT~MULTI_PB~GADS_FM~SEARCH_RT~CPC_PD~AFFLUENT_MALLS_SHOPPINGRIODESIGNBARRA_SEARCH_1X1_TG~BHVDEM_TS~NONE_SZ~1X1_SEARCH_MK~BR_IT~SEARCH_VV~NONE</t>
  </si>
  <si>
    <t>239837239</t>
  </si>
  <si>
    <t>436976212</t>
  </si>
  <si>
    <t>CH~SEARCH_DT~MULTI_PB~GADS_FM~SEARCH_RT~CPC_PD~AFFLUENT_MALLS_SHOPPINGRIODESIGNLEBLON_SEARCH_1X1_TG~BHVDEM_TS~NONE_SZ~1X1_SEARCH_MK~BR_IT~SEARCH_VV~NONE</t>
  </si>
  <si>
    <t>239837242</t>
  </si>
  <si>
    <t>436976215</t>
  </si>
  <si>
    <t>CH~SEARCH_DT~MULTI_PB~GADS_FM~SEARCH_RT~CPC_PD~AFFLUENT_TRAVELPLAN_BENEFICIOS_INFINITE_SEARCH_1X1_TG~BHVDEM_TS~NONE_SZ~1X1_SEARCH_MK~BR_IT~SEARCH_VV~NONE</t>
  </si>
  <si>
    <t>237698225</t>
  </si>
  <si>
    <t>435020357</t>
  </si>
  <si>
    <t>CH~SEARCH_DT~MULTI_PB~GADS_FM~SEARCH_RT~CPC_PD~AFFLUENT_TRAVELPLAN_BENEFICIOS_PLATINUM_SEARCH_1X1_TG~BHVDEM_TS~NONE_SZ~1X1_SEARCH_MK~BR_IT~SEARCH_VV~NONE</t>
  </si>
  <si>
    <t>237731854</t>
  </si>
  <si>
    <t>435014585</t>
  </si>
  <si>
    <t>CH~DISPLAY_DT~MOBILE_PB~ILC_FM~BANNER_RT~CPM_PD~AFFLUENT_FREEVALET_RESTAURANTES_INTERSTITIAL_INLOCO_1X1_TG~BHVDEM_TS~NONE_SZ~1X1_DSIPLAY_MK~BR_IT~DSIPLAY_VV~NONE</t>
  </si>
  <si>
    <t>236957551</t>
  </si>
  <si>
    <t>434299215</t>
  </si>
  <si>
    <t>CH~DISPLAY_DT~MOBILE_PB~ILC_FM~BANNER_RT~CPM_PD~AFFLUENT_FREEVALET_RESTAURANTES_RETANGULO_INLOCO_1X1_TG~BHVDEM_TS~NONE_SZ~1X1_DSIPLAY_MK~BR_IT~DSIPLAY_VV~NONE</t>
  </si>
  <si>
    <t>236930075</t>
  </si>
  <si>
    <t>434306967</t>
  </si>
  <si>
    <t>CH~DISPLAY_DT~MOBILE_PB~ILC_FM~BANNER_RT~CPM_PD~AFFLUENT_FREEVALET_RESTAURANTES_SMALLBANNER_INLOCO_1X1_TG~BHVDEM_TS~NONE_SZ~1X1_DSIPLAY_MK~BR_IT~DSIPLAY_VV~NONE</t>
  </si>
  <si>
    <t>236920337</t>
  </si>
  <si>
    <t>434306970</t>
  </si>
  <si>
    <t>CH~DISPLAY_DT~MOBILE_PB~ILC_FM~NATIVE_RT~CPM_PD~AFFLUENT_FREEVALET_RESTAURANTES_NATIVE_INLOCO_1X1_TG~BHVDEM_TS~NONE_SZ~1X1_DSIPLAY_MK~BR_IT~DSIPLAY_VV~NONE</t>
  </si>
  <si>
    <t>236957596</t>
  </si>
  <si>
    <t>434312882</t>
  </si>
  <si>
    <t>Waze, Inc</t>
  </si>
  <si>
    <t>CH~DISPLAY_DT~MULTI_PB~WAZE_FM~PIN_RT~CPM_PD~AFFLUENT_DINNING_FREEVALET_PIN_ASIATICA_608X240_608X240_TG~BHVDEM_TS~NONE_SZ~608X240_DISPLAY_MK~BR_IT~DISPLAY_VV~NONE</t>
  </si>
  <si>
    <t>240447811</t>
  </si>
  <si>
    <t>437412425</t>
  </si>
  <si>
    <t>CH~DISPLAY_DT~MULTI_PB~WAZE_FM~PIN_RT~CPM_PD~AFFLUENT_DINNING_FREEVALET_PIN_MASSA_608X240_608X240_TG~BHVDEM_TS~NONE_SZ~608X240_DISPLAY_MK~BR_IT~DISPLAY_VV~NONE</t>
  </si>
  <si>
    <t>240447805</t>
  </si>
  <si>
    <t>437412419</t>
  </si>
  <si>
    <t>CH~DISPLAY_DT~MULTI_PB~WAZE_FM~PIN_RT~CPM_PD~AFFLUENT_DINNING_FREEVALET_PIN_STEAK_608X240_608X240_TG~BHVDEM_TS~NONE_SZ~608X240_DISPLAY_MK~BR_IT~DISPLAY_VV~NONE</t>
  </si>
  <si>
    <t>240447799</t>
  </si>
  <si>
    <t>437412413</t>
  </si>
  <si>
    <t>CH~DISPLAY_DT~MULTI_PB~WAZE_FM~PIN_RT~CPM_PD~AFFLUENT_DINNING_FREEVALET_PIN_VEGAN_608X240_608X240_TG~BHVDEM_TS~NONE_SZ~608X240_DISPLAY_MK~BR_IT~DISPLAY_VV~NONE</t>
  </si>
  <si>
    <t>240963063</t>
  </si>
  <si>
    <t>437622345</t>
  </si>
  <si>
    <t>CH~DISPLAY_DT~MULTI_PB~WAZE_FM~PIN_RT~CPM_PD~AFFLUENT_DINNING_FREEVALET_PIN_VEGETARIANA_608X240_608X240_TG~BHVDEM_TS~NONE_SZ~608X240_DISPLAY_MK~BR_IT~DISPLAY_VV~NONE</t>
  </si>
  <si>
    <t>240447793</t>
  </si>
  <si>
    <t>437412407</t>
  </si>
  <si>
    <t>CH~DISPLAY_DT~MULTI_PB~WAZE_FM~PIN_RT~CPM_PD~AFFLUENT_DINNING_FREEVALET_TAKEOVER_VEGAN_7888X240_608X240_TG~BHVDEM_TS~NONE_SZ~608X240_DISPLAY_MK~BR_IT~DISPLAY_VV~NONE</t>
  </si>
  <si>
    <t>240641366</t>
  </si>
  <si>
    <t>437635872</t>
  </si>
  <si>
    <t>CH~DISPLAY_DT~MULTI_PB~WAZE_FM~TAKEOVER_RT~CPM_PD~AFFLUENT_DINNING_FREEVALET_TAKEOVER_ASIATICA_788X240_788X240_TG~BHVDEM_TS~NONE_SZ~788X240_DISPLAY_MK~BR_IT~DISPLAY_VV~NONE</t>
  </si>
  <si>
    <t>240447787</t>
  </si>
  <si>
    <t>437412401</t>
  </si>
  <si>
    <t>CH~DISPLAY_DT~MULTI_PB~WAZE_FM~TAKEOVER_RT~CPM_PD~AFFLUENT_DINNING_FREEVALET_TAKEOVER_MASSA_788X240_788X240_TG~BHVDEM_TS~NONE_SZ~788X240_DISPLAY_MK~BR_IT~DISPLAY_VV~NONE</t>
  </si>
  <si>
    <t>240447781</t>
  </si>
  <si>
    <t>437412395</t>
  </si>
  <si>
    <t>CH~DISPLAY_DT~MULTI_PB~WAZE_FM~TAKEOVER_RT~CPM_PD~AFFLUENT_DINNING_FREEVALET_TAKEOVER_STEAK_788X240_788X240_TG~BHVDEM_TS~NONE_SZ~788X240_DISPLAY_MK~BR_IT~DISPLAY_VV~NONE</t>
  </si>
  <si>
    <t>240447775</t>
  </si>
  <si>
    <t>437412389</t>
  </si>
  <si>
    <t>CH~SOCIAL_DT~MULTI_PB~IG_FM~STORIES_RT~CPM_PD~AFFLUENT_MALLS_HIGIENOPOLIS_1_STORIES_1X1_TG~BHVDEM_TS~NONE_SZ~1X1_SOCIAL_MK~BR_IT~SOCIAL_VV~NONE</t>
  </si>
  <si>
    <t>236963176</t>
  </si>
  <si>
    <t>434316585</t>
  </si>
  <si>
    <t>MK~LM_CN~CROSS_BORDER_PREMIUM_MN~NONE_YQ~19Q1Q4_CP~PO5020004141-13_OB~AWA_PK~NONE</t>
  </si>
  <si>
    <t>CH~DISPLAY_DT~MULTI_PB~GDBM_FM~BANNER_RT~CPM_PD~CROSSBORDER_CASHBACK_NAOCADASTRADOS_DNA_GOURMET_DBM_160X600_160X600_TG~BHVDEM_TS~NONE_SZ~160X600_PROGRAMMATIC_MK~BR_IT~PROGRAMMATIC_VV~NONE</t>
  </si>
  <si>
    <t>238517627</t>
  </si>
  <si>
    <t>435795066</t>
  </si>
  <si>
    <t>CH~DISPLAY_DT~MULTI_PB~GDBM_FM~BANNER_RT~CPM_PD~CROSSBORDER_CASHBACK_NAOCADASTRADOS_DNA_GOURMET_DBM_300X250_300X250_TG~BHVDEM_TS~NONE_SZ~300X250_PROGRAMMATIC_MK~BR_IT~PROGRAMMATIC_VV~NONE</t>
  </si>
  <si>
    <t>238517615</t>
  </si>
  <si>
    <t>435795054</t>
  </si>
  <si>
    <t>CH~DISPLAY_DT~MULTI_PB~GDBM_FM~BANNER_RT~CPM_PD~CROSSBORDER_CASHBACK_NAOCADASTRADOS_DNA_GOURMET_DBM_300X50_300X50_TG~BHVDEM_TS~NONE_SZ~300X50_PROGRAMMATIC_MK~BR_IT~PROGRAMMATIC_VV~NONE</t>
  </si>
  <si>
    <t>238517621</t>
  </si>
  <si>
    <t>435795060</t>
  </si>
  <si>
    <t>CH~DISPLAY_DT~MULTI_PB~GDBM_FM~BANNER_RT~CPM_PD~CROSSBORDER_CASHBACK_NAOCADASTRADOS_DNA_GOURMET_DBM_728X90_728X90_TG~BHVDEM_TS~NONE_SZ~728X90_PROGRAMMATIC_MK~BR_IT~PROGRAMMATIC_VV~NONE</t>
  </si>
  <si>
    <t>238517609</t>
  </si>
  <si>
    <t>435795048</t>
  </si>
  <si>
    <t>CH~DISPLAY_DT~MULTI_PB~GDBM_FM~BANNER_RT~CPM_PD~CROSSBORDER_CASHBACK_NAOCADASTRADOS_DNA_VIAJANTES_DBM_160X600_160X600_TG~BHVDEM_TS~NONE_SZ~160X600_PROGRAMMATIC_MK~BR_IT~PROGRAMMATIC_VV~NONE</t>
  </si>
  <si>
    <t>238517624</t>
  </si>
  <si>
    <t>435795063</t>
  </si>
  <si>
    <t>CH~DISPLAY_DT~MULTI_PB~GDBM_FM~BANNER_RT~CPM_PD~CROSSBORDER_CASHBACK_NAOCADASTRADOS_DNA_VIAJANTES_DBM_300X250_300X250_TG~BHVDEM_TS~NONE_SZ~300X250_PROGRAMMATIC_MK~BR_IT~PROGRAMMATIC_VV~NONE</t>
  </si>
  <si>
    <t>238517612</t>
  </si>
  <si>
    <t>435795051</t>
  </si>
  <si>
    <t>CH~DISPLAY_DT~MULTI_PB~GDBM_FM~BANNER_RT~CPM_PD~CROSSBORDER_CASHBACK_NAOCADASTRADOS_DNA_VIAJANTES_DBM_300X50_300X50_TG~BHVDEM_TS~NONE_SZ~300X50_PROGRAMMATIC_MK~BR_IT~PROGRAMMATIC_VV~NONE</t>
  </si>
  <si>
    <t>238517618</t>
  </si>
  <si>
    <t>435795057</t>
  </si>
  <si>
    <t>CH~DISPLAY_DT~MULTI_PB~GDBM_FM~BANNER_RT~CPM_PD~CROSSBORDER_CASHBACK_NAOCADASTRADOS_DNA_VIAJANTES_DBM_728X90_728X90_TG~BHVDEM_TS~NONE_SZ~728X90_PROGRAMMATIC_MK~BR_IT~PROGRAMMATIC_VV~NONE</t>
  </si>
  <si>
    <t>238517606</t>
  </si>
  <si>
    <t>435795045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</si>
</sst>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850"/>
  <sheetViews>
    <sheetView topLeftCell="A345" workbookViewId="0">
      <selection activeCell="B359" sqref="B359:K1048576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57</v>
      </c>
    </row>
    <row r="2" spans="1:11">
      <c r="A2" s="17" t="s">
        <v>62</v>
      </c>
      <c r="B2" s="19" t="s">
        <v>49</v>
      </c>
      <c r="C2" s="19" t="s">
        <v>63</v>
      </c>
      <c r="D2" s="19" t="s">
        <v>64</v>
      </c>
      <c r="E2" s="20" t="s">
        <v>32</v>
      </c>
      <c r="F2" s="19" t="s">
        <v>63</v>
      </c>
      <c r="G2" s="19" t="s">
        <v>65</v>
      </c>
      <c r="H2" s="19" t="s">
        <v>32</v>
      </c>
      <c r="I2">
        <v>0</v>
      </c>
      <c r="J2">
        <v>1</v>
      </c>
      <c r="K2" s="1" t="s">
        <v>58</v>
      </c>
    </row>
    <row r="3" spans="1:11">
      <c r="A3" s="17" t="s">
        <v>62</v>
      </c>
      <c r="B3" s="19" t="s">
        <v>49</v>
      </c>
      <c r="C3" s="19" t="s">
        <v>66</v>
      </c>
      <c r="D3" s="19" t="s">
        <v>67</v>
      </c>
      <c r="E3" s="20" t="s">
        <v>32</v>
      </c>
      <c r="F3" s="19" t="s">
        <v>66</v>
      </c>
      <c r="G3" s="19" t="s">
        <v>68</v>
      </c>
      <c r="H3" s="19" t="s">
        <v>32</v>
      </c>
      <c r="I3">
        <v>0</v>
      </c>
      <c r="J3">
        <v>2</v>
      </c>
      <c r="K3" s="1" t="s">
        <v>58</v>
      </c>
    </row>
    <row r="4" spans="1:11">
      <c r="A4" s="17" t="s">
        <v>62</v>
      </c>
      <c r="B4" s="19" t="s">
        <v>49</v>
      </c>
      <c r="C4" s="19" t="s">
        <v>69</v>
      </c>
      <c r="D4" s="19" t="s">
        <v>70</v>
      </c>
      <c r="E4" s="20" t="s">
        <v>32</v>
      </c>
      <c r="F4" s="19" t="s">
        <v>69</v>
      </c>
      <c r="G4" s="19" t="s">
        <v>71</v>
      </c>
      <c r="H4" s="19" t="s">
        <v>32</v>
      </c>
      <c r="I4">
        <v>0</v>
      </c>
      <c r="J4">
        <v>1</v>
      </c>
      <c r="K4" s="1" t="s">
        <v>59</v>
      </c>
    </row>
    <row r="5" spans="1:11">
      <c r="A5" s="17" t="s">
        <v>62</v>
      </c>
      <c r="B5" s="19" t="s">
        <v>49</v>
      </c>
      <c r="C5" s="19" t="s">
        <v>72</v>
      </c>
      <c r="D5" s="19" t="s">
        <v>73</v>
      </c>
      <c r="E5" s="20" t="s">
        <v>32</v>
      </c>
      <c r="F5" s="19" t="s">
        <v>72</v>
      </c>
      <c r="G5" s="19" t="s">
        <v>74</v>
      </c>
      <c r="H5" s="19" t="s">
        <v>32</v>
      </c>
      <c r="I5">
        <v>0</v>
      </c>
      <c r="J5">
        <v>1</v>
      </c>
      <c r="K5" s="1" t="s">
        <v>58</v>
      </c>
    </row>
    <row r="6" spans="1:11">
      <c r="A6" s="17" t="s">
        <v>62</v>
      </c>
      <c r="B6" s="19" t="s">
        <v>49</v>
      </c>
      <c r="C6" s="19" t="s">
        <v>72</v>
      </c>
      <c r="D6" s="19" t="s">
        <v>73</v>
      </c>
      <c r="E6" s="20" t="s">
        <v>32</v>
      </c>
      <c r="F6" s="19" t="s">
        <v>72</v>
      </c>
      <c r="G6" s="19" t="s">
        <v>74</v>
      </c>
      <c r="H6" s="19" t="s">
        <v>32</v>
      </c>
      <c r="I6">
        <v>0</v>
      </c>
      <c r="J6">
        <v>1</v>
      </c>
      <c r="K6" s="1" t="s">
        <v>59</v>
      </c>
    </row>
    <row r="7" spans="1:11">
      <c r="A7" s="17" t="s">
        <v>62</v>
      </c>
      <c r="B7" s="19" t="s">
        <v>49</v>
      </c>
      <c r="C7" s="19" t="s">
        <v>75</v>
      </c>
      <c r="D7" s="19" t="s">
        <v>76</v>
      </c>
      <c r="E7" s="20" t="s">
        <v>32</v>
      </c>
      <c r="F7" s="19" t="s">
        <v>75</v>
      </c>
      <c r="G7" s="19" t="s">
        <v>77</v>
      </c>
      <c r="H7" s="19" t="s">
        <v>32</v>
      </c>
      <c r="I7">
        <v>0</v>
      </c>
      <c r="J7">
        <v>1</v>
      </c>
      <c r="K7" s="1" t="s">
        <v>58</v>
      </c>
    </row>
    <row r="8" spans="1:11">
      <c r="A8" s="17" t="s">
        <v>62</v>
      </c>
      <c r="B8" s="19" t="s">
        <v>49</v>
      </c>
      <c r="C8" s="19" t="s">
        <v>78</v>
      </c>
      <c r="D8" s="19" t="s">
        <v>79</v>
      </c>
      <c r="E8" s="20" t="s">
        <v>32</v>
      </c>
      <c r="F8" s="19" t="s">
        <v>78</v>
      </c>
      <c r="G8" s="19" t="s">
        <v>80</v>
      </c>
      <c r="H8" s="19" t="s">
        <v>32</v>
      </c>
      <c r="I8">
        <v>0</v>
      </c>
      <c r="J8">
        <v>1</v>
      </c>
      <c r="K8" s="1" t="s">
        <v>58</v>
      </c>
    </row>
    <row r="9" spans="1:11">
      <c r="A9" s="17" t="s">
        <v>62</v>
      </c>
      <c r="B9" s="19" t="s">
        <v>49</v>
      </c>
      <c r="C9" s="19" t="s">
        <v>81</v>
      </c>
      <c r="D9" s="19" t="s">
        <v>82</v>
      </c>
      <c r="E9" s="20" t="s">
        <v>32</v>
      </c>
      <c r="F9" s="19" t="s">
        <v>81</v>
      </c>
      <c r="G9" s="19" t="s">
        <v>83</v>
      </c>
      <c r="H9" s="19" t="s">
        <v>32</v>
      </c>
      <c r="I9">
        <v>0</v>
      </c>
      <c r="J9">
        <v>1</v>
      </c>
      <c r="K9" s="1" t="s">
        <v>59</v>
      </c>
    </row>
    <row r="10" spans="1:11">
      <c r="A10" s="17" t="s">
        <v>62</v>
      </c>
      <c r="B10" s="19" t="s">
        <v>49</v>
      </c>
      <c r="C10" s="19" t="s">
        <v>84</v>
      </c>
      <c r="D10" s="19" t="s">
        <v>85</v>
      </c>
      <c r="E10" s="20" t="s">
        <v>32</v>
      </c>
      <c r="F10" s="19" t="s">
        <v>84</v>
      </c>
      <c r="G10" s="19" t="s">
        <v>86</v>
      </c>
      <c r="H10" s="19" t="s">
        <v>32</v>
      </c>
      <c r="I10">
        <v>0</v>
      </c>
      <c r="J10">
        <v>1</v>
      </c>
      <c r="K10" s="1" t="s">
        <v>58</v>
      </c>
    </row>
    <row r="11" spans="1:11">
      <c r="A11" s="17" t="s">
        <v>62</v>
      </c>
      <c r="B11" s="19" t="s">
        <v>49</v>
      </c>
      <c r="C11" s="19" t="s">
        <v>87</v>
      </c>
      <c r="D11" s="19" t="s">
        <v>88</v>
      </c>
      <c r="E11" s="20" t="s">
        <v>32</v>
      </c>
      <c r="F11" s="19" t="s">
        <v>87</v>
      </c>
      <c r="G11" s="19" t="s">
        <v>89</v>
      </c>
      <c r="H11" s="19" t="s">
        <v>32</v>
      </c>
      <c r="I11">
        <v>0</v>
      </c>
      <c r="J11">
        <v>3</v>
      </c>
      <c r="K11" s="1" t="s">
        <v>59</v>
      </c>
    </row>
    <row r="12" spans="1:11">
      <c r="A12" s="17" t="s">
        <v>90</v>
      </c>
      <c r="B12" s="19" t="s">
        <v>50</v>
      </c>
      <c r="C12" s="19" t="s">
        <v>91</v>
      </c>
      <c r="D12" s="19" t="s">
        <v>92</v>
      </c>
      <c r="E12" s="20" t="s">
        <v>32</v>
      </c>
      <c r="F12" s="19" t="s">
        <v>91</v>
      </c>
      <c r="G12" s="19" t="s">
        <v>93</v>
      </c>
      <c r="H12" s="19" t="s">
        <v>32</v>
      </c>
      <c r="I12">
        <v>0</v>
      </c>
      <c r="J12">
        <v>25002</v>
      </c>
      <c r="K12" s="1" t="s">
        <v>58</v>
      </c>
    </row>
    <row r="13" spans="1:11">
      <c r="A13" s="17" t="s">
        <v>90</v>
      </c>
      <c r="B13" s="19" t="s">
        <v>50</v>
      </c>
      <c r="C13" s="19" t="s">
        <v>94</v>
      </c>
      <c r="D13" s="19" t="s">
        <v>95</v>
      </c>
      <c r="E13" s="20" t="s">
        <v>32</v>
      </c>
      <c r="F13" s="19" t="s">
        <v>94</v>
      </c>
      <c r="G13" s="19" t="s">
        <v>96</v>
      </c>
      <c r="H13" s="19" t="s">
        <v>32</v>
      </c>
      <c r="I13">
        <v>0</v>
      </c>
      <c r="J13">
        <v>42</v>
      </c>
      <c r="K13" s="1" t="s">
        <v>58</v>
      </c>
    </row>
    <row r="14" spans="1:11">
      <c r="A14" s="17" t="s">
        <v>90</v>
      </c>
      <c r="B14" s="19" t="s">
        <v>50</v>
      </c>
      <c r="C14" s="19" t="s">
        <v>97</v>
      </c>
      <c r="D14" s="19" t="s">
        <v>98</v>
      </c>
      <c r="E14" s="20" t="s">
        <v>32</v>
      </c>
      <c r="F14" s="19" t="s">
        <v>97</v>
      </c>
      <c r="G14" s="19" t="s">
        <v>99</v>
      </c>
      <c r="H14" s="19" t="s">
        <v>32</v>
      </c>
      <c r="I14">
        <v>0</v>
      </c>
      <c r="J14">
        <v>13</v>
      </c>
      <c r="K14" s="1" t="s">
        <v>58</v>
      </c>
    </row>
    <row r="15" spans="1:11">
      <c r="A15" s="17" t="s">
        <v>90</v>
      </c>
      <c r="B15" s="19" t="s">
        <v>50</v>
      </c>
      <c r="C15" s="19" t="s">
        <v>100</v>
      </c>
      <c r="D15" s="19" t="s">
        <v>101</v>
      </c>
      <c r="E15" s="20" t="s">
        <v>32</v>
      </c>
      <c r="F15" s="19" t="s">
        <v>100</v>
      </c>
      <c r="G15" s="19" t="s">
        <v>102</v>
      </c>
      <c r="H15" s="19" t="s">
        <v>32</v>
      </c>
      <c r="I15">
        <v>0</v>
      </c>
      <c r="J15">
        <v>65</v>
      </c>
      <c r="K15" s="1" t="s">
        <v>58</v>
      </c>
    </row>
    <row r="16" spans="1:11">
      <c r="A16" s="17" t="s">
        <v>90</v>
      </c>
      <c r="B16" s="19" t="s">
        <v>50</v>
      </c>
      <c r="C16" s="19" t="s">
        <v>103</v>
      </c>
      <c r="D16" s="19" t="s">
        <v>104</v>
      </c>
      <c r="E16" s="20" t="s">
        <v>32</v>
      </c>
      <c r="F16" s="19" t="s">
        <v>103</v>
      </c>
      <c r="G16" s="19" t="s">
        <v>105</v>
      </c>
      <c r="H16" s="19" t="s">
        <v>32</v>
      </c>
      <c r="I16">
        <v>0</v>
      </c>
      <c r="J16">
        <v>2</v>
      </c>
      <c r="K16" s="1" t="s">
        <v>58</v>
      </c>
    </row>
    <row r="17" spans="1:11">
      <c r="A17" s="17" t="s">
        <v>90</v>
      </c>
      <c r="B17" s="19" t="s">
        <v>50</v>
      </c>
      <c r="C17" s="19" t="s">
        <v>106</v>
      </c>
      <c r="D17" s="19" t="s">
        <v>107</v>
      </c>
      <c r="E17" s="20" t="s">
        <v>32</v>
      </c>
      <c r="F17" s="19" t="s">
        <v>106</v>
      </c>
      <c r="G17" s="19" t="s">
        <v>108</v>
      </c>
      <c r="H17" s="19" t="s">
        <v>32</v>
      </c>
      <c r="I17">
        <v>0</v>
      </c>
      <c r="J17">
        <v>3420</v>
      </c>
      <c r="K17" s="1" t="s">
        <v>58</v>
      </c>
    </row>
    <row r="18" spans="1:11">
      <c r="A18" s="17" t="s">
        <v>90</v>
      </c>
      <c r="B18" s="19" t="s">
        <v>50</v>
      </c>
      <c r="C18" s="19" t="s">
        <v>109</v>
      </c>
      <c r="D18" s="19" t="s">
        <v>110</v>
      </c>
      <c r="E18" s="20" t="s">
        <v>32</v>
      </c>
      <c r="F18" s="19" t="s">
        <v>109</v>
      </c>
      <c r="G18" s="19" t="s">
        <v>111</v>
      </c>
      <c r="H18" s="19" t="s">
        <v>32</v>
      </c>
      <c r="I18">
        <v>0</v>
      </c>
      <c r="J18">
        <v>26</v>
      </c>
      <c r="K18" s="1" t="s">
        <v>59</v>
      </c>
    </row>
    <row r="19" spans="1:11">
      <c r="A19" s="17" t="s">
        <v>90</v>
      </c>
      <c r="B19" s="19" t="s">
        <v>50</v>
      </c>
      <c r="C19" s="19" t="s">
        <v>112</v>
      </c>
      <c r="D19" s="19" t="s">
        <v>113</v>
      </c>
      <c r="E19" s="20" t="s">
        <v>32</v>
      </c>
      <c r="F19" s="19" t="s">
        <v>112</v>
      </c>
      <c r="G19" s="19" t="s">
        <v>114</v>
      </c>
      <c r="H19" s="19" t="s">
        <v>32</v>
      </c>
      <c r="I19">
        <v>0</v>
      </c>
      <c r="J19">
        <v>15</v>
      </c>
      <c r="K19" s="1" t="s">
        <v>58</v>
      </c>
    </row>
    <row r="20" spans="1:11">
      <c r="A20" s="17" t="s">
        <v>90</v>
      </c>
      <c r="B20" s="19" t="s">
        <v>50</v>
      </c>
      <c r="C20" s="19" t="s">
        <v>115</v>
      </c>
      <c r="D20" s="19" t="s">
        <v>116</v>
      </c>
      <c r="E20" s="20" t="s">
        <v>32</v>
      </c>
      <c r="F20" s="19" t="s">
        <v>115</v>
      </c>
      <c r="G20" s="19" t="s">
        <v>117</v>
      </c>
      <c r="H20" s="19" t="s">
        <v>32</v>
      </c>
      <c r="I20">
        <v>0</v>
      </c>
      <c r="J20">
        <v>38</v>
      </c>
      <c r="K20" s="1" t="s">
        <v>59</v>
      </c>
    </row>
    <row r="21" spans="1:11">
      <c r="A21" s="17" t="s">
        <v>90</v>
      </c>
      <c r="B21" s="19" t="s">
        <v>50</v>
      </c>
      <c r="C21" s="19" t="s">
        <v>118</v>
      </c>
      <c r="D21" s="19" t="s">
        <v>119</v>
      </c>
      <c r="E21" s="20" t="s">
        <v>32</v>
      </c>
      <c r="F21" s="19" t="s">
        <v>118</v>
      </c>
      <c r="G21" s="19" t="s">
        <v>120</v>
      </c>
      <c r="H21" s="19" t="s">
        <v>32</v>
      </c>
      <c r="I21">
        <v>0</v>
      </c>
      <c r="J21">
        <v>80</v>
      </c>
      <c r="K21" s="1" t="s">
        <v>58</v>
      </c>
    </row>
    <row r="22" spans="1:11">
      <c r="A22" s="17" t="s">
        <v>90</v>
      </c>
      <c r="B22" s="19" t="s">
        <v>50</v>
      </c>
      <c r="C22" s="19" t="s">
        <v>118</v>
      </c>
      <c r="D22" s="19" t="s">
        <v>119</v>
      </c>
      <c r="E22" s="20" t="s">
        <v>32</v>
      </c>
      <c r="F22" s="19" t="s">
        <v>118</v>
      </c>
      <c r="G22" s="19" t="s">
        <v>120</v>
      </c>
      <c r="H22" s="19" t="s">
        <v>32</v>
      </c>
      <c r="I22">
        <v>0</v>
      </c>
      <c r="J22">
        <v>17</v>
      </c>
      <c r="K22" s="1" t="s">
        <v>58</v>
      </c>
    </row>
    <row r="23" spans="1:11">
      <c r="A23" s="17" t="s">
        <v>90</v>
      </c>
      <c r="B23" s="19" t="s">
        <v>50</v>
      </c>
      <c r="C23" s="19" t="s">
        <v>121</v>
      </c>
      <c r="D23" s="19" t="s">
        <v>122</v>
      </c>
      <c r="E23" s="20" t="s">
        <v>32</v>
      </c>
      <c r="F23" s="19" t="s">
        <v>121</v>
      </c>
      <c r="G23" s="19" t="s">
        <v>123</v>
      </c>
      <c r="H23" s="19" t="s">
        <v>32</v>
      </c>
      <c r="I23">
        <v>0</v>
      </c>
      <c r="J23">
        <v>17945</v>
      </c>
      <c r="K23" s="1" t="s">
        <v>59</v>
      </c>
    </row>
    <row r="24" spans="1:11">
      <c r="A24" s="17" t="s">
        <v>90</v>
      </c>
      <c r="B24" s="19" t="s">
        <v>50</v>
      </c>
      <c r="C24" s="19" t="s">
        <v>121</v>
      </c>
      <c r="D24" s="19" t="s">
        <v>122</v>
      </c>
      <c r="E24" s="20" t="s">
        <v>32</v>
      </c>
      <c r="F24" s="19" t="s">
        <v>121</v>
      </c>
      <c r="G24" s="19" t="s">
        <v>123</v>
      </c>
      <c r="H24" s="19" t="s">
        <v>32</v>
      </c>
      <c r="I24">
        <v>0</v>
      </c>
      <c r="J24">
        <v>55568</v>
      </c>
      <c r="K24" s="1" t="s">
        <v>58</v>
      </c>
    </row>
    <row r="25" spans="1:11">
      <c r="A25" s="17" t="s">
        <v>90</v>
      </c>
      <c r="B25" s="19" t="s">
        <v>50</v>
      </c>
      <c r="C25" s="19" t="s">
        <v>124</v>
      </c>
      <c r="D25" s="19" t="s">
        <v>125</v>
      </c>
      <c r="E25" s="20" t="s">
        <v>32</v>
      </c>
      <c r="F25" s="19" t="s">
        <v>124</v>
      </c>
      <c r="G25" s="19" t="s">
        <v>126</v>
      </c>
      <c r="H25" s="19" t="s">
        <v>32</v>
      </c>
      <c r="I25">
        <v>0</v>
      </c>
      <c r="J25">
        <v>21</v>
      </c>
      <c r="K25" s="1" t="s">
        <v>58</v>
      </c>
    </row>
    <row r="26" spans="1:11">
      <c r="A26" s="17" t="s">
        <v>90</v>
      </c>
      <c r="B26" s="19" t="s">
        <v>50</v>
      </c>
      <c r="C26" s="19" t="s">
        <v>127</v>
      </c>
      <c r="D26" s="19" t="s">
        <v>128</v>
      </c>
      <c r="E26" s="20" t="s">
        <v>32</v>
      </c>
      <c r="F26" s="19" t="s">
        <v>127</v>
      </c>
      <c r="G26" s="19" t="s">
        <v>129</v>
      </c>
      <c r="H26" s="19" t="s">
        <v>32</v>
      </c>
      <c r="I26">
        <v>0</v>
      </c>
      <c r="J26">
        <v>9</v>
      </c>
      <c r="K26" s="1" t="s">
        <v>59</v>
      </c>
    </row>
    <row r="27" spans="1:11">
      <c r="A27" s="17" t="s">
        <v>90</v>
      </c>
      <c r="B27" s="19" t="s">
        <v>50</v>
      </c>
      <c r="C27" s="19" t="s">
        <v>130</v>
      </c>
      <c r="D27" s="19" t="s">
        <v>131</v>
      </c>
      <c r="E27" s="20" t="s">
        <v>32</v>
      </c>
      <c r="F27" s="19" t="s">
        <v>130</v>
      </c>
      <c r="G27" s="19" t="s">
        <v>132</v>
      </c>
      <c r="H27" s="19" t="s">
        <v>32</v>
      </c>
      <c r="I27">
        <v>0</v>
      </c>
      <c r="J27">
        <v>21</v>
      </c>
      <c r="K27" s="1" t="s">
        <v>58</v>
      </c>
    </row>
    <row r="28" spans="1:11">
      <c r="A28" s="17" t="s">
        <v>90</v>
      </c>
      <c r="B28" s="19" t="s">
        <v>50</v>
      </c>
      <c r="C28" s="19" t="s">
        <v>133</v>
      </c>
      <c r="D28" s="19" t="s">
        <v>134</v>
      </c>
      <c r="E28" s="20" t="s">
        <v>32</v>
      </c>
      <c r="F28" s="19" t="s">
        <v>133</v>
      </c>
      <c r="G28" s="19" t="s">
        <v>135</v>
      </c>
      <c r="H28" s="19" t="s">
        <v>32</v>
      </c>
      <c r="I28">
        <v>0</v>
      </c>
      <c r="J28">
        <v>16</v>
      </c>
      <c r="K28" s="1" t="s">
        <v>59</v>
      </c>
    </row>
    <row r="29" spans="1:11">
      <c r="A29" s="17" t="s">
        <v>90</v>
      </c>
      <c r="B29" s="19" t="s">
        <v>50</v>
      </c>
      <c r="C29" s="19" t="s">
        <v>136</v>
      </c>
      <c r="D29" s="19" t="s">
        <v>137</v>
      </c>
      <c r="E29" s="20" t="s">
        <v>32</v>
      </c>
      <c r="F29" s="19" t="s">
        <v>136</v>
      </c>
      <c r="G29" s="19" t="s">
        <v>138</v>
      </c>
      <c r="H29" s="19" t="s">
        <v>32</v>
      </c>
      <c r="I29">
        <v>0</v>
      </c>
      <c r="J29">
        <v>11</v>
      </c>
      <c r="K29" s="1" t="s">
        <v>58</v>
      </c>
    </row>
    <row r="30" spans="1:11">
      <c r="A30" s="17" t="s">
        <v>90</v>
      </c>
      <c r="B30" s="19" t="s">
        <v>50</v>
      </c>
      <c r="C30" s="19" t="s">
        <v>139</v>
      </c>
      <c r="D30" s="19" t="s">
        <v>140</v>
      </c>
      <c r="E30" s="20" t="s">
        <v>32</v>
      </c>
      <c r="F30" s="19" t="s">
        <v>139</v>
      </c>
      <c r="G30" s="19" t="s">
        <v>141</v>
      </c>
      <c r="H30" s="19" t="s">
        <v>32</v>
      </c>
      <c r="I30">
        <v>0</v>
      </c>
      <c r="J30">
        <v>84</v>
      </c>
      <c r="K30" s="1" t="s">
        <v>59</v>
      </c>
    </row>
    <row r="31" spans="1:11">
      <c r="A31" s="17" t="s">
        <v>90</v>
      </c>
      <c r="B31" s="19" t="s">
        <v>50</v>
      </c>
      <c r="C31" s="19" t="s">
        <v>139</v>
      </c>
      <c r="D31" s="19" t="s">
        <v>140</v>
      </c>
      <c r="E31" s="20" t="s">
        <v>32</v>
      </c>
      <c r="F31" s="19" t="s">
        <v>139</v>
      </c>
      <c r="G31" s="19" t="s">
        <v>141</v>
      </c>
      <c r="H31" s="19" t="s">
        <v>32</v>
      </c>
      <c r="I31">
        <v>0</v>
      </c>
      <c r="J31">
        <v>19</v>
      </c>
      <c r="K31" s="1" t="s">
        <v>58</v>
      </c>
    </row>
    <row r="32" spans="1:11">
      <c r="A32" s="17" t="s">
        <v>90</v>
      </c>
      <c r="B32" s="19" t="s">
        <v>50</v>
      </c>
      <c r="C32" s="19" t="s">
        <v>142</v>
      </c>
      <c r="D32" s="19" t="s">
        <v>143</v>
      </c>
      <c r="E32" s="20" t="s">
        <v>32</v>
      </c>
      <c r="F32" s="19" t="s">
        <v>142</v>
      </c>
      <c r="G32" s="19" t="s">
        <v>144</v>
      </c>
      <c r="H32" s="19" t="s">
        <v>32</v>
      </c>
      <c r="I32">
        <v>0</v>
      </c>
      <c r="J32">
        <v>1533</v>
      </c>
      <c r="K32" s="1" t="s">
        <v>59</v>
      </c>
    </row>
    <row r="33" spans="1:11">
      <c r="A33" s="17" t="s">
        <v>90</v>
      </c>
      <c r="B33" s="19" t="s">
        <v>50</v>
      </c>
      <c r="C33" s="19" t="s">
        <v>142</v>
      </c>
      <c r="D33" s="19" t="s">
        <v>143</v>
      </c>
      <c r="E33" s="20" t="s">
        <v>32</v>
      </c>
      <c r="F33" s="19" t="s">
        <v>142</v>
      </c>
      <c r="G33" s="19" t="s">
        <v>144</v>
      </c>
      <c r="H33" s="19" t="s">
        <v>32</v>
      </c>
      <c r="I33">
        <v>0</v>
      </c>
      <c r="J33">
        <v>1</v>
      </c>
      <c r="K33" s="1" t="s">
        <v>58</v>
      </c>
    </row>
    <row r="34" spans="1:11">
      <c r="A34" s="17" t="s">
        <v>90</v>
      </c>
      <c r="B34" s="19" t="s">
        <v>50</v>
      </c>
      <c r="C34" s="19" t="s">
        <v>145</v>
      </c>
      <c r="D34" s="19" t="s">
        <v>146</v>
      </c>
      <c r="E34" s="20" t="s">
        <v>32</v>
      </c>
      <c r="F34" s="19" t="s">
        <v>145</v>
      </c>
      <c r="G34" s="19" t="s">
        <v>147</v>
      </c>
      <c r="H34" s="19" t="s">
        <v>32</v>
      </c>
      <c r="I34">
        <v>0</v>
      </c>
      <c r="J34">
        <v>1402</v>
      </c>
      <c r="K34" s="1" t="s">
        <v>59</v>
      </c>
    </row>
    <row r="35" spans="1:11">
      <c r="A35" s="17" t="s">
        <v>90</v>
      </c>
      <c r="B35" s="19" t="s">
        <v>50</v>
      </c>
      <c r="C35" s="19" t="s">
        <v>148</v>
      </c>
      <c r="D35" s="19" t="s">
        <v>149</v>
      </c>
      <c r="E35" s="20" t="s">
        <v>32</v>
      </c>
      <c r="F35" s="19" t="s">
        <v>148</v>
      </c>
      <c r="G35" s="19" t="s">
        <v>150</v>
      </c>
      <c r="H35" s="19" t="s">
        <v>32</v>
      </c>
      <c r="I35">
        <v>0</v>
      </c>
      <c r="J35">
        <v>5177</v>
      </c>
      <c r="K35" s="1" t="s">
        <v>58</v>
      </c>
    </row>
    <row r="36" spans="1:11">
      <c r="A36" s="17" t="s">
        <v>90</v>
      </c>
      <c r="B36" s="19" t="s">
        <v>50</v>
      </c>
      <c r="C36" s="19" t="s">
        <v>151</v>
      </c>
      <c r="D36" s="19" t="s">
        <v>152</v>
      </c>
      <c r="E36" s="20" t="s">
        <v>32</v>
      </c>
      <c r="F36" s="19" t="s">
        <v>151</v>
      </c>
      <c r="G36" s="19" t="s">
        <v>153</v>
      </c>
      <c r="H36" s="19" t="s">
        <v>32</v>
      </c>
      <c r="I36">
        <v>0</v>
      </c>
      <c r="J36">
        <v>801</v>
      </c>
      <c r="K36" s="1" t="s">
        <v>59</v>
      </c>
    </row>
    <row r="37" spans="1:11">
      <c r="A37" s="17" t="s">
        <v>90</v>
      </c>
      <c r="B37" s="19" t="s">
        <v>50</v>
      </c>
      <c r="C37" s="19" t="s">
        <v>154</v>
      </c>
      <c r="D37" s="19" t="s">
        <v>155</v>
      </c>
      <c r="E37" s="20" t="s">
        <v>32</v>
      </c>
      <c r="F37" s="19" t="s">
        <v>154</v>
      </c>
      <c r="G37" s="19" t="s">
        <v>156</v>
      </c>
      <c r="H37" s="19" t="s">
        <v>32</v>
      </c>
      <c r="I37">
        <v>0</v>
      </c>
      <c r="J37">
        <v>5682</v>
      </c>
      <c r="K37" s="1" t="s">
        <v>59</v>
      </c>
    </row>
    <row r="38" spans="1:11">
      <c r="A38" s="17" t="s">
        <v>90</v>
      </c>
      <c r="B38" s="19" t="s">
        <v>50</v>
      </c>
      <c r="C38" s="19" t="s">
        <v>157</v>
      </c>
      <c r="D38" s="19" t="s">
        <v>158</v>
      </c>
      <c r="E38" s="20" t="s">
        <v>32</v>
      </c>
      <c r="F38" s="19" t="s">
        <v>157</v>
      </c>
      <c r="G38" s="19" t="s">
        <v>159</v>
      </c>
      <c r="H38" s="19" t="s">
        <v>32</v>
      </c>
      <c r="I38">
        <v>0</v>
      </c>
      <c r="J38">
        <v>3261</v>
      </c>
      <c r="K38" s="1" t="s">
        <v>59</v>
      </c>
    </row>
    <row r="39" spans="1:11">
      <c r="A39" s="17" t="s">
        <v>90</v>
      </c>
      <c r="B39" s="19" t="s">
        <v>50</v>
      </c>
      <c r="C39" s="19" t="s">
        <v>160</v>
      </c>
      <c r="D39" s="19" t="s">
        <v>161</v>
      </c>
      <c r="E39" s="20" t="s">
        <v>32</v>
      </c>
      <c r="F39" s="19" t="s">
        <v>160</v>
      </c>
      <c r="G39" s="19" t="s">
        <v>162</v>
      </c>
      <c r="H39" s="19" t="s">
        <v>32</v>
      </c>
      <c r="I39">
        <v>0</v>
      </c>
      <c r="J39">
        <v>9465</v>
      </c>
      <c r="K39" s="1" t="s">
        <v>59</v>
      </c>
    </row>
    <row r="40" spans="1:11">
      <c r="A40" s="17" t="s">
        <v>90</v>
      </c>
      <c r="B40" s="19" t="s">
        <v>50</v>
      </c>
      <c r="C40" s="19" t="s">
        <v>163</v>
      </c>
      <c r="D40" s="19" t="s">
        <v>164</v>
      </c>
      <c r="E40" s="20" t="s">
        <v>32</v>
      </c>
      <c r="F40" s="19" t="s">
        <v>163</v>
      </c>
      <c r="G40" s="19" t="s">
        <v>165</v>
      </c>
      <c r="H40" s="19" t="s">
        <v>32</v>
      </c>
      <c r="I40">
        <v>0</v>
      </c>
      <c r="J40">
        <v>2129</v>
      </c>
      <c r="K40" s="1" t="s">
        <v>58</v>
      </c>
    </row>
    <row r="41" spans="1:11">
      <c r="A41" s="17" t="s">
        <v>90</v>
      </c>
      <c r="B41" s="19" t="s">
        <v>50</v>
      </c>
      <c r="C41" s="19" t="s">
        <v>166</v>
      </c>
      <c r="D41" s="19" t="s">
        <v>167</v>
      </c>
      <c r="E41" s="20" t="s">
        <v>32</v>
      </c>
      <c r="F41" s="19" t="s">
        <v>166</v>
      </c>
      <c r="G41" s="19" t="s">
        <v>168</v>
      </c>
      <c r="H41" s="19" t="s">
        <v>32</v>
      </c>
      <c r="I41">
        <v>0</v>
      </c>
      <c r="J41">
        <v>4655</v>
      </c>
      <c r="K41" s="1" t="s">
        <v>59</v>
      </c>
    </row>
    <row r="42" spans="1:11">
      <c r="A42" s="17" t="s">
        <v>90</v>
      </c>
      <c r="B42" s="19" t="s">
        <v>50</v>
      </c>
      <c r="C42" s="19" t="s">
        <v>166</v>
      </c>
      <c r="D42" s="19" t="s">
        <v>167</v>
      </c>
      <c r="E42" s="20" t="s">
        <v>32</v>
      </c>
      <c r="F42" s="19" t="s">
        <v>166</v>
      </c>
      <c r="G42" s="19" t="s">
        <v>168</v>
      </c>
      <c r="H42" s="19" t="s">
        <v>32</v>
      </c>
      <c r="I42">
        <v>0</v>
      </c>
      <c r="J42">
        <v>2</v>
      </c>
      <c r="K42" s="1" t="s">
        <v>58</v>
      </c>
    </row>
    <row r="43" spans="1:11">
      <c r="A43" s="17" t="s">
        <v>90</v>
      </c>
      <c r="B43" s="19" t="s">
        <v>50</v>
      </c>
      <c r="C43" s="19" t="s">
        <v>169</v>
      </c>
      <c r="D43" s="19" t="s">
        <v>170</v>
      </c>
      <c r="E43" s="20" t="s">
        <v>32</v>
      </c>
      <c r="F43" s="19" t="s">
        <v>169</v>
      </c>
      <c r="G43" s="19" t="s">
        <v>171</v>
      </c>
      <c r="H43" s="19" t="s">
        <v>32</v>
      </c>
      <c r="I43">
        <v>0</v>
      </c>
      <c r="J43">
        <v>1</v>
      </c>
      <c r="K43" s="1" t="s">
        <v>59</v>
      </c>
    </row>
    <row r="44" spans="1:11">
      <c r="A44" s="17" t="s">
        <v>90</v>
      </c>
      <c r="B44" s="19" t="s">
        <v>50</v>
      </c>
      <c r="C44" s="19" t="s">
        <v>172</v>
      </c>
      <c r="D44" s="19" t="s">
        <v>173</v>
      </c>
      <c r="E44" s="20" t="s">
        <v>32</v>
      </c>
      <c r="F44" s="19" t="s">
        <v>172</v>
      </c>
      <c r="G44" s="19" t="s">
        <v>174</v>
      </c>
      <c r="H44" s="19" t="s">
        <v>32</v>
      </c>
      <c r="I44">
        <v>0</v>
      </c>
      <c r="J44">
        <v>1090</v>
      </c>
      <c r="K44" s="1" t="s">
        <v>59</v>
      </c>
    </row>
    <row r="45" spans="1:11">
      <c r="A45" s="17" t="s">
        <v>90</v>
      </c>
      <c r="B45" s="19" t="s">
        <v>50</v>
      </c>
      <c r="C45" s="19" t="s">
        <v>175</v>
      </c>
      <c r="D45" s="19" t="s">
        <v>176</v>
      </c>
      <c r="E45" s="20" t="s">
        <v>32</v>
      </c>
      <c r="F45" s="19" t="s">
        <v>175</v>
      </c>
      <c r="G45" s="19" t="s">
        <v>177</v>
      </c>
      <c r="H45" s="19" t="s">
        <v>32</v>
      </c>
      <c r="I45">
        <v>0</v>
      </c>
      <c r="J45">
        <v>1572</v>
      </c>
      <c r="K45" s="1" t="s">
        <v>59</v>
      </c>
    </row>
    <row r="46" spans="1:11">
      <c r="A46" s="17" t="s">
        <v>90</v>
      </c>
      <c r="B46" s="19" t="s">
        <v>50</v>
      </c>
      <c r="C46" s="19" t="s">
        <v>178</v>
      </c>
      <c r="D46" s="19" t="s">
        <v>179</v>
      </c>
      <c r="E46" s="20" t="s">
        <v>32</v>
      </c>
      <c r="F46" s="19" t="s">
        <v>178</v>
      </c>
      <c r="G46" s="19" t="s">
        <v>180</v>
      </c>
      <c r="H46" s="19" t="s">
        <v>32</v>
      </c>
      <c r="I46">
        <v>0</v>
      </c>
      <c r="J46">
        <v>1514</v>
      </c>
      <c r="K46" s="1" t="s">
        <v>59</v>
      </c>
    </row>
    <row r="47" spans="1:11">
      <c r="A47" s="17" t="s">
        <v>90</v>
      </c>
      <c r="B47" s="19" t="s">
        <v>50</v>
      </c>
      <c r="C47" s="19" t="s">
        <v>181</v>
      </c>
      <c r="D47" s="19" t="s">
        <v>182</v>
      </c>
      <c r="E47" s="20" t="s">
        <v>32</v>
      </c>
      <c r="F47" s="19" t="s">
        <v>181</v>
      </c>
      <c r="G47" s="19" t="s">
        <v>183</v>
      </c>
      <c r="H47" s="19" t="s">
        <v>32</v>
      </c>
      <c r="I47">
        <v>0</v>
      </c>
      <c r="J47">
        <v>3542</v>
      </c>
      <c r="K47" s="1" t="s">
        <v>58</v>
      </c>
    </row>
    <row r="48" spans="1:11">
      <c r="A48" s="17" t="s">
        <v>90</v>
      </c>
      <c r="B48" s="19" t="s">
        <v>49</v>
      </c>
      <c r="C48" s="19" t="s">
        <v>184</v>
      </c>
      <c r="D48" s="19" t="s">
        <v>185</v>
      </c>
      <c r="E48" s="20" t="s">
        <v>12</v>
      </c>
      <c r="F48" s="19" t="s">
        <v>184</v>
      </c>
      <c r="G48" s="19" t="s">
        <v>186</v>
      </c>
      <c r="H48" s="19" t="s">
        <v>31</v>
      </c>
      <c r="I48">
        <v>1788</v>
      </c>
      <c r="J48">
        <v>0</v>
      </c>
      <c r="K48" s="1" t="s">
        <v>59</v>
      </c>
    </row>
    <row r="49" spans="1:11">
      <c r="A49" s="17" t="s">
        <v>90</v>
      </c>
      <c r="B49" s="19" t="s">
        <v>49</v>
      </c>
      <c r="C49" s="19" t="s">
        <v>187</v>
      </c>
      <c r="D49" s="19" t="s">
        <v>188</v>
      </c>
      <c r="E49" s="20" t="s">
        <v>11</v>
      </c>
      <c r="F49" s="19" t="s">
        <v>53</v>
      </c>
      <c r="G49" s="19" t="s">
        <v>189</v>
      </c>
      <c r="H49" s="19" t="s">
        <v>31</v>
      </c>
      <c r="I49">
        <v>1</v>
      </c>
      <c r="J49">
        <v>0</v>
      </c>
      <c r="K49" s="1" t="s">
        <v>58</v>
      </c>
    </row>
    <row r="50" spans="1:11">
      <c r="A50" s="17" t="s">
        <v>90</v>
      </c>
      <c r="B50" s="19" t="s">
        <v>49</v>
      </c>
      <c r="C50" s="19" t="s">
        <v>187</v>
      </c>
      <c r="D50" s="19" t="s">
        <v>188</v>
      </c>
      <c r="E50" s="20" t="s">
        <v>12</v>
      </c>
      <c r="F50" s="19" t="s">
        <v>187</v>
      </c>
      <c r="G50" s="19" t="s">
        <v>190</v>
      </c>
      <c r="H50" s="19" t="s">
        <v>31</v>
      </c>
      <c r="I50">
        <v>2398499</v>
      </c>
      <c r="J50">
        <v>667</v>
      </c>
      <c r="K50" s="1" t="s">
        <v>59</v>
      </c>
    </row>
    <row r="51" spans="1:11">
      <c r="A51" s="17" t="s">
        <v>90</v>
      </c>
      <c r="B51" s="19" t="s">
        <v>49</v>
      </c>
      <c r="C51" s="19" t="s">
        <v>187</v>
      </c>
      <c r="D51" s="19" t="s">
        <v>188</v>
      </c>
      <c r="E51" s="20" t="s">
        <v>12</v>
      </c>
      <c r="F51" s="19" t="s">
        <v>187</v>
      </c>
      <c r="G51" s="19" t="s">
        <v>190</v>
      </c>
      <c r="H51" s="19" t="s">
        <v>31</v>
      </c>
      <c r="I51">
        <v>5</v>
      </c>
      <c r="J51">
        <v>0</v>
      </c>
      <c r="K51" s="1" t="s">
        <v>58</v>
      </c>
    </row>
    <row r="52" spans="1:11">
      <c r="A52" s="17" t="s">
        <v>90</v>
      </c>
      <c r="B52" s="19" t="s">
        <v>49</v>
      </c>
      <c r="C52" s="19" t="s">
        <v>191</v>
      </c>
      <c r="D52" s="19" t="s">
        <v>192</v>
      </c>
      <c r="E52" s="20" t="s">
        <v>12</v>
      </c>
      <c r="F52" s="19" t="s">
        <v>191</v>
      </c>
      <c r="G52" s="19" t="s">
        <v>193</v>
      </c>
      <c r="H52" s="19" t="s">
        <v>31</v>
      </c>
      <c r="I52">
        <v>5732425</v>
      </c>
      <c r="J52">
        <v>17381</v>
      </c>
      <c r="K52" s="1" t="s">
        <v>59</v>
      </c>
    </row>
    <row r="53" spans="1:11">
      <c r="A53" s="17" t="s">
        <v>90</v>
      </c>
      <c r="B53" s="19" t="s">
        <v>49</v>
      </c>
      <c r="C53" s="19" t="s">
        <v>191</v>
      </c>
      <c r="D53" s="19" t="s">
        <v>192</v>
      </c>
      <c r="E53" s="20" t="s">
        <v>12</v>
      </c>
      <c r="F53" s="19" t="s">
        <v>191</v>
      </c>
      <c r="G53" s="19" t="s">
        <v>193</v>
      </c>
      <c r="H53" s="19" t="s">
        <v>31</v>
      </c>
      <c r="I53">
        <v>28</v>
      </c>
      <c r="J53">
        <v>2</v>
      </c>
      <c r="K53" s="1" t="s">
        <v>58</v>
      </c>
    </row>
    <row r="54" spans="1:11">
      <c r="A54" s="17" t="s">
        <v>90</v>
      </c>
      <c r="B54" s="19" t="s">
        <v>49</v>
      </c>
      <c r="C54" s="19" t="s">
        <v>194</v>
      </c>
      <c r="D54" s="19" t="s">
        <v>195</v>
      </c>
      <c r="E54" s="20" t="s">
        <v>12</v>
      </c>
      <c r="F54" s="19" t="s">
        <v>194</v>
      </c>
      <c r="G54" s="19" t="s">
        <v>196</v>
      </c>
      <c r="H54" s="19" t="s">
        <v>31</v>
      </c>
      <c r="I54">
        <v>847750</v>
      </c>
      <c r="J54">
        <v>1454</v>
      </c>
      <c r="K54" s="1" t="s">
        <v>59</v>
      </c>
    </row>
    <row r="55" spans="1:11">
      <c r="A55" s="17" t="s">
        <v>90</v>
      </c>
      <c r="B55" s="19" t="s">
        <v>49</v>
      </c>
      <c r="C55" s="19" t="s">
        <v>194</v>
      </c>
      <c r="D55" s="19" t="s">
        <v>195</v>
      </c>
      <c r="E55" s="20" t="s">
        <v>12</v>
      </c>
      <c r="F55" s="19" t="s">
        <v>194</v>
      </c>
      <c r="G55" s="19" t="s">
        <v>196</v>
      </c>
      <c r="H55" s="19" t="s">
        <v>31</v>
      </c>
      <c r="I55">
        <v>11</v>
      </c>
      <c r="J55">
        <v>1</v>
      </c>
      <c r="K55" s="1" t="s">
        <v>58</v>
      </c>
    </row>
    <row r="56" spans="1:11">
      <c r="A56" s="17" t="s">
        <v>90</v>
      </c>
      <c r="B56" s="19" t="s">
        <v>49</v>
      </c>
      <c r="C56" s="19" t="s">
        <v>197</v>
      </c>
      <c r="D56" s="19" t="s">
        <v>198</v>
      </c>
      <c r="E56" s="20" t="s">
        <v>12</v>
      </c>
      <c r="F56" s="19" t="s">
        <v>197</v>
      </c>
      <c r="G56" s="19" t="s">
        <v>199</v>
      </c>
      <c r="H56" s="19" t="s">
        <v>31</v>
      </c>
      <c r="I56">
        <v>74585</v>
      </c>
      <c r="J56">
        <v>1589</v>
      </c>
      <c r="K56" s="1" t="s">
        <v>58</v>
      </c>
    </row>
    <row r="57" spans="1:11">
      <c r="A57" s="17" t="s">
        <v>90</v>
      </c>
      <c r="B57" s="19" t="s">
        <v>49</v>
      </c>
      <c r="C57" s="19" t="s">
        <v>197</v>
      </c>
      <c r="D57" s="19" t="s">
        <v>198</v>
      </c>
      <c r="E57" s="20" t="s">
        <v>12</v>
      </c>
      <c r="F57" s="19" t="s">
        <v>197</v>
      </c>
      <c r="G57" s="19" t="s">
        <v>199</v>
      </c>
      <c r="H57" s="19" t="s">
        <v>31</v>
      </c>
      <c r="I57">
        <v>0</v>
      </c>
      <c r="J57">
        <v>3</v>
      </c>
      <c r="K57" s="1" t="s">
        <v>59</v>
      </c>
    </row>
    <row r="58" spans="1:11">
      <c r="A58" s="17" t="s">
        <v>90</v>
      </c>
      <c r="B58" s="19" t="s">
        <v>49</v>
      </c>
      <c r="C58" s="19" t="s">
        <v>200</v>
      </c>
      <c r="D58" s="19" t="s">
        <v>201</v>
      </c>
      <c r="E58" s="20" t="s">
        <v>12</v>
      </c>
      <c r="F58" s="19" t="s">
        <v>200</v>
      </c>
      <c r="G58" s="19" t="s">
        <v>202</v>
      </c>
      <c r="H58" s="19" t="s">
        <v>31</v>
      </c>
      <c r="I58">
        <v>17724725</v>
      </c>
      <c r="J58">
        <v>100420</v>
      </c>
      <c r="K58" s="1" t="s">
        <v>58</v>
      </c>
    </row>
    <row r="59" spans="1:11">
      <c r="A59" s="17" t="s">
        <v>90</v>
      </c>
      <c r="B59" s="19" t="s">
        <v>49</v>
      </c>
      <c r="C59" s="19" t="s">
        <v>200</v>
      </c>
      <c r="D59" s="19" t="s">
        <v>201</v>
      </c>
      <c r="E59" s="20" t="s">
        <v>12</v>
      </c>
      <c r="F59" s="19" t="s">
        <v>200</v>
      </c>
      <c r="G59" s="19" t="s">
        <v>202</v>
      </c>
      <c r="H59" s="19" t="s">
        <v>31</v>
      </c>
      <c r="I59">
        <v>47</v>
      </c>
      <c r="J59">
        <v>18</v>
      </c>
      <c r="K59" s="1" t="s">
        <v>59</v>
      </c>
    </row>
    <row r="60" spans="1:11">
      <c r="A60" s="17" t="s">
        <v>90</v>
      </c>
      <c r="B60" s="19" t="s">
        <v>49</v>
      </c>
      <c r="C60" s="19" t="s">
        <v>203</v>
      </c>
      <c r="D60" s="19" t="s">
        <v>204</v>
      </c>
      <c r="E60" s="20" t="s">
        <v>12</v>
      </c>
      <c r="F60" s="19" t="s">
        <v>203</v>
      </c>
      <c r="G60" s="19" t="s">
        <v>205</v>
      </c>
      <c r="H60" s="19" t="s">
        <v>31</v>
      </c>
      <c r="I60">
        <v>2054582</v>
      </c>
      <c r="J60">
        <v>1135</v>
      </c>
      <c r="K60" s="1" t="s">
        <v>58</v>
      </c>
    </row>
    <row r="61" spans="1:11">
      <c r="A61" s="17" t="s">
        <v>90</v>
      </c>
      <c r="B61" s="19" t="s">
        <v>49</v>
      </c>
      <c r="C61" s="19" t="s">
        <v>206</v>
      </c>
      <c r="D61" s="19" t="s">
        <v>207</v>
      </c>
      <c r="E61" s="20" t="s">
        <v>12</v>
      </c>
      <c r="F61" s="19" t="s">
        <v>206</v>
      </c>
      <c r="G61" s="19" t="s">
        <v>208</v>
      </c>
      <c r="H61" s="19" t="s">
        <v>31</v>
      </c>
      <c r="I61">
        <v>13218</v>
      </c>
      <c r="J61">
        <v>11</v>
      </c>
      <c r="K61" s="1" t="s">
        <v>58</v>
      </c>
    </row>
    <row r="62" spans="1:11">
      <c r="A62" s="17" t="s">
        <v>90</v>
      </c>
      <c r="B62" s="19" t="s">
        <v>49</v>
      </c>
      <c r="C62" s="19" t="s">
        <v>209</v>
      </c>
      <c r="D62" s="19" t="s">
        <v>210</v>
      </c>
      <c r="E62" s="20" t="s">
        <v>12</v>
      </c>
      <c r="F62" s="19" t="s">
        <v>209</v>
      </c>
      <c r="G62" s="19" t="s">
        <v>211</v>
      </c>
      <c r="H62" s="19" t="s">
        <v>31</v>
      </c>
      <c r="I62">
        <v>634681</v>
      </c>
      <c r="J62">
        <v>260</v>
      </c>
      <c r="K62" s="1" t="s">
        <v>59</v>
      </c>
    </row>
    <row r="63" spans="1:11">
      <c r="A63" s="17" t="s">
        <v>90</v>
      </c>
      <c r="B63" s="19" t="s">
        <v>49</v>
      </c>
      <c r="C63" s="19" t="s">
        <v>212</v>
      </c>
      <c r="D63" s="19" t="s">
        <v>213</v>
      </c>
      <c r="E63" s="20" t="s">
        <v>12</v>
      </c>
      <c r="F63" s="19" t="s">
        <v>212</v>
      </c>
      <c r="G63" s="19" t="s">
        <v>214</v>
      </c>
      <c r="H63" s="19" t="s">
        <v>31</v>
      </c>
      <c r="I63">
        <v>255741</v>
      </c>
      <c r="J63">
        <v>68</v>
      </c>
      <c r="K63" s="1" t="s">
        <v>58</v>
      </c>
    </row>
    <row r="64" spans="1:11">
      <c r="A64" s="17" t="s">
        <v>90</v>
      </c>
      <c r="B64" s="19" t="s">
        <v>49</v>
      </c>
      <c r="C64" s="19" t="s">
        <v>215</v>
      </c>
      <c r="D64" s="19" t="s">
        <v>216</v>
      </c>
      <c r="E64" s="20" t="s">
        <v>12</v>
      </c>
      <c r="F64" s="19" t="s">
        <v>215</v>
      </c>
      <c r="G64" s="19" t="s">
        <v>217</v>
      </c>
      <c r="H64" s="19" t="s">
        <v>31</v>
      </c>
      <c r="I64">
        <v>1186386</v>
      </c>
      <c r="J64">
        <v>399</v>
      </c>
      <c r="K64" s="1" t="s">
        <v>58</v>
      </c>
    </row>
    <row r="65" spans="1:11">
      <c r="A65" s="17" t="s">
        <v>90</v>
      </c>
      <c r="B65" s="19" t="s">
        <v>49</v>
      </c>
      <c r="C65" s="19" t="s">
        <v>218</v>
      </c>
      <c r="D65" s="19" t="s">
        <v>219</v>
      </c>
      <c r="E65" s="20" t="s">
        <v>12</v>
      </c>
      <c r="F65" s="19" t="s">
        <v>218</v>
      </c>
      <c r="G65" s="19" t="s">
        <v>220</v>
      </c>
      <c r="H65" s="19" t="s">
        <v>31</v>
      </c>
      <c r="I65">
        <v>8652209</v>
      </c>
      <c r="J65">
        <v>48788</v>
      </c>
      <c r="K65" s="1" t="s">
        <v>59</v>
      </c>
    </row>
    <row r="66" spans="1:11">
      <c r="A66" s="17" t="s">
        <v>90</v>
      </c>
      <c r="B66" s="19" t="s">
        <v>49</v>
      </c>
      <c r="C66" s="19" t="s">
        <v>218</v>
      </c>
      <c r="D66" s="19" t="s">
        <v>219</v>
      </c>
      <c r="E66" s="20" t="s">
        <v>12</v>
      </c>
      <c r="F66" s="19" t="s">
        <v>218</v>
      </c>
      <c r="G66" s="19" t="s">
        <v>220</v>
      </c>
      <c r="H66" s="19" t="s">
        <v>31</v>
      </c>
      <c r="I66">
        <v>0</v>
      </c>
      <c r="J66">
        <v>1</v>
      </c>
      <c r="K66" s="1" t="s">
        <v>58</v>
      </c>
    </row>
    <row r="67" spans="1:11">
      <c r="A67" s="17" t="s">
        <v>90</v>
      </c>
      <c r="B67" s="19" t="s">
        <v>49</v>
      </c>
      <c r="C67" s="19" t="s">
        <v>221</v>
      </c>
      <c r="D67" s="19" t="s">
        <v>222</v>
      </c>
      <c r="E67" s="20" t="s">
        <v>12</v>
      </c>
      <c r="F67" s="19" t="s">
        <v>221</v>
      </c>
      <c r="G67" s="19" t="s">
        <v>223</v>
      </c>
      <c r="H67" s="19" t="s">
        <v>31</v>
      </c>
      <c r="I67">
        <v>1023497</v>
      </c>
      <c r="J67">
        <v>1602</v>
      </c>
      <c r="K67" s="1" t="s">
        <v>59</v>
      </c>
    </row>
    <row r="68" spans="1:11">
      <c r="A68" s="17" t="s">
        <v>90</v>
      </c>
      <c r="B68" s="19" t="s">
        <v>49</v>
      </c>
      <c r="C68" s="19" t="s">
        <v>224</v>
      </c>
      <c r="D68" s="19" t="s">
        <v>225</v>
      </c>
      <c r="E68" s="20" t="s">
        <v>12</v>
      </c>
      <c r="F68" s="19" t="s">
        <v>224</v>
      </c>
      <c r="G68" s="19" t="s">
        <v>226</v>
      </c>
      <c r="H68" s="19" t="s">
        <v>31</v>
      </c>
      <c r="I68">
        <v>536180</v>
      </c>
      <c r="J68">
        <v>585</v>
      </c>
      <c r="K68" s="1" t="s">
        <v>58</v>
      </c>
    </row>
    <row r="69" spans="1:11">
      <c r="A69" s="17" t="s">
        <v>90</v>
      </c>
      <c r="B69" s="19" t="s">
        <v>49</v>
      </c>
      <c r="C69" s="19" t="s">
        <v>227</v>
      </c>
      <c r="D69" s="19" t="s">
        <v>228</v>
      </c>
      <c r="E69" s="20" t="s">
        <v>12</v>
      </c>
      <c r="F69" s="19" t="s">
        <v>227</v>
      </c>
      <c r="G69" s="19" t="s">
        <v>229</v>
      </c>
      <c r="H69" s="19" t="s">
        <v>31</v>
      </c>
      <c r="I69">
        <v>29472393</v>
      </c>
      <c r="J69">
        <v>175213</v>
      </c>
      <c r="K69" s="1" t="s">
        <v>59</v>
      </c>
    </row>
    <row r="70" spans="1:11">
      <c r="A70" s="17" t="s">
        <v>90</v>
      </c>
      <c r="B70" s="19" t="s">
        <v>49</v>
      </c>
      <c r="C70" s="19" t="s">
        <v>227</v>
      </c>
      <c r="D70" s="19" t="s">
        <v>228</v>
      </c>
      <c r="E70" s="20" t="s">
        <v>12</v>
      </c>
      <c r="F70" s="19" t="s">
        <v>227</v>
      </c>
      <c r="G70" s="19" t="s">
        <v>229</v>
      </c>
      <c r="H70" s="19" t="s">
        <v>31</v>
      </c>
      <c r="I70">
        <v>0</v>
      </c>
      <c r="J70">
        <v>10</v>
      </c>
      <c r="K70" s="1" t="s">
        <v>58</v>
      </c>
    </row>
    <row r="71" spans="1:11">
      <c r="A71" s="17" t="s">
        <v>90</v>
      </c>
      <c r="B71" s="19" t="s">
        <v>49</v>
      </c>
      <c r="C71" s="19" t="s">
        <v>230</v>
      </c>
      <c r="D71" s="19" t="s">
        <v>231</v>
      </c>
      <c r="E71" s="20" t="s">
        <v>12</v>
      </c>
      <c r="F71" s="19" t="s">
        <v>230</v>
      </c>
      <c r="G71" s="19" t="s">
        <v>232</v>
      </c>
      <c r="H71" s="19" t="s">
        <v>31</v>
      </c>
      <c r="I71">
        <v>3018775</v>
      </c>
      <c r="J71">
        <v>1724</v>
      </c>
      <c r="K71" s="1" t="s">
        <v>58</v>
      </c>
    </row>
    <row r="72" spans="1:11">
      <c r="A72" s="17" t="s">
        <v>90</v>
      </c>
      <c r="B72" s="19" t="s">
        <v>49</v>
      </c>
      <c r="C72" s="19" t="s">
        <v>233</v>
      </c>
      <c r="D72" s="19" t="s">
        <v>234</v>
      </c>
      <c r="E72" s="20" t="s">
        <v>12</v>
      </c>
      <c r="F72" s="19" t="s">
        <v>233</v>
      </c>
      <c r="G72" s="19" t="s">
        <v>235</v>
      </c>
      <c r="H72" s="19" t="s">
        <v>31</v>
      </c>
      <c r="I72">
        <v>366522</v>
      </c>
      <c r="J72">
        <v>405</v>
      </c>
      <c r="K72" s="1" t="s">
        <v>59</v>
      </c>
    </row>
    <row r="73" spans="1:11">
      <c r="A73" s="17" t="s">
        <v>90</v>
      </c>
      <c r="B73" s="19" t="s">
        <v>49</v>
      </c>
      <c r="C73" s="19" t="s">
        <v>236</v>
      </c>
      <c r="D73" s="19" t="s">
        <v>237</v>
      </c>
      <c r="E73" s="20" t="s">
        <v>12</v>
      </c>
      <c r="F73" s="19" t="s">
        <v>236</v>
      </c>
      <c r="G73" s="19" t="s">
        <v>238</v>
      </c>
      <c r="H73" s="19" t="s">
        <v>31</v>
      </c>
      <c r="I73">
        <v>483597</v>
      </c>
      <c r="J73">
        <v>212</v>
      </c>
      <c r="K73" s="1" t="s">
        <v>58</v>
      </c>
    </row>
    <row r="74" spans="1:11">
      <c r="A74" s="17" t="s">
        <v>90</v>
      </c>
      <c r="B74" s="19" t="s">
        <v>49</v>
      </c>
      <c r="C74" s="19" t="s">
        <v>239</v>
      </c>
      <c r="D74" s="19" t="s">
        <v>240</v>
      </c>
      <c r="E74" s="20" t="s">
        <v>12</v>
      </c>
      <c r="F74" s="19" t="s">
        <v>239</v>
      </c>
      <c r="G74" s="19" t="s">
        <v>241</v>
      </c>
      <c r="H74" s="19" t="s">
        <v>31</v>
      </c>
      <c r="I74">
        <v>1</v>
      </c>
      <c r="J74">
        <v>0</v>
      </c>
      <c r="K74" s="1" t="s">
        <v>59</v>
      </c>
    </row>
    <row r="75" spans="1:11">
      <c r="A75" s="17" t="s">
        <v>90</v>
      </c>
      <c r="B75" s="19" t="s">
        <v>49</v>
      </c>
      <c r="C75" s="19" t="s">
        <v>242</v>
      </c>
      <c r="D75" s="19" t="s">
        <v>243</v>
      </c>
      <c r="E75" s="20" t="s">
        <v>12</v>
      </c>
      <c r="F75" s="19" t="s">
        <v>242</v>
      </c>
      <c r="G75" s="19" t="s">
        <v>244</v>
      </c>
      <c r="H75" s="19" t="s">
        <v>31</v>
      </c>
      <c r="I75">
        <v>1</v>
      </c>
      <c r="J75">
        <v>1</v>
      </c>
      <c r="K75" s="1" t="s">
        <v>58</v>
      </c>
    </row>
    <row r="76" spans="1:11">
      <c r="A76" s="17" t="s">
        <v>90</v>
      </c>
      <c r="B76" s="19" t="s">
        <v>49</v>
      </c>
      <c r="C76" s="19" t="s">
        <v>245</v>
      </c>
      <c r="D76" s="19" t="s">
        <v>246</v>
      </c>
      <c r="E76" s="20" t="s">
        <v>56</v>
      </c>
      <c r="F76" s="19" t="s">
        <v>245</v>
      </c>
      <c r="G76" s="19" t="s">
        <v>247</v>
      </c>
      <c r="H76" s="19" t="s">
        <v>56</v>
      </c>
      <c r="I76">
        <v>2</v>
      </c>
      <c r="J76">
        <v>0</v>
      </c>
      <c r="K76" s="1" t="s">
        <v>58</v>
      </c>
    </row>
    <row r="77" spans="1:11">
      <c r="A77" s="17" t="s">
        <v>90</v>
      </c>
      <c r="B77" s="19" t="s">
        <v>49</v>
      </c>
      <c r="C77" s="19" t="s">
        <v>248</v>
      </c>
      <c r="D77" s="19" t="s">
        <v>249</v>
      </c>
      <c r="E77" s="20" t="s">
        <v>56</v>
      </c>
      <c r="F77" s="19" t="s">
        <v>248</v>
      </c>
      <c r="G77" s="19" t="s">
        <v>250</v>
      </c>
      <c r="H77" s="19" t="s">
        <v>56</v>
      </c>
      <c r="I77">
        <v>1</v>
      </c>
      <c r="J77">
        <v>0</v>
      </c>
      <c r="K77" s="1" t="s">
        <v>59</v>
      </c>
    </row>
    <row r="78" spans="1:11">
      <c r="A78" s="17" t="s">
        <v>90</v>
      </c>
      <c r="B78" s="19" t="s">
        <v>49</v>
      </c>
      <c r="C78" s="19" t="s">
        <v>251</v>
      </c>
      <c r="D78" s="19" t="s">
        <v>252</v>
      </c>
      <c r="E78" s="20" t="s">
        <v>56</v>
      </c>
      <c r="F78" s="19" t="s">
        <v>251</v>
      </c>
      <c r="G78" s="19" t="s">
        <v>253</v>
      </c>
      <c r="H78" s="19" t="s">
        <v>56</v>
      </c>
      <c r="I78">
        <v>29</v>
      </c>
      <c r="J78">
        <v>9</v>
      </c>
      <c r="K78" s="1" t="s">
        <v>58</v>
      </c>
    </row>
    <row r="79" spans="1:11">
      <c r="A79" s="17" t="s">
        <v>90</v>
      </c>
      <c r="B79" s="19" t="s">
        <v>49</v>
      </c>
      <c r="C79" s="19" t="s">
        <v>254</v>
      </c>
      <c r="D79" s="19" t="s">
        <v>255</v>
      </c>
      <c r="E79" s="20" t="s">
        <v>56</v>
      </c>
      <c r="F79" s="19" t="s">
        <v>254</v>
      </c>
      <c r="G79" s="19" t="s">
        <v>256</v>
      </c>
      <c r="H79" s="19" t="s">
        <v>56</v>
      </c>
      <c r="I79">
        <v>3</v>
      </c>
      <c r="J79">
        <v>6</v>
      </c>
      <c r="K79" s="1" t="s">
        <v>58</v>
      </c>
    </row>
    <row r="80" spans="1:11">
      <c r="A80" s="17" t="s">
        <v>90</v>
      </c>
      <c r="B80" s="19" t="s">
        <v>49</v>
      </c>
      <c r="C80" s="19" t="s">
        <v>254</v>
      </c>
      <c r="D80" s="19" t="s">
        <v>255</v>
      </c>
      <c r="E80" s="20" t="s">
        <v>56</v>
      </c>
      <c r="F80" s="19" t="s">
        <v>254</v>
      </c>
      <c r="G80" s="19" t="s">
        <v>256</v>
      </c>
      <c r="H80" s="19" t="s">
        <v>56</v>
      </c>
      <c r="I80">
        <v>1</v>
      </c>
      <c r="J80">
        <v>0</v>
      </c>
      <c r="K80" s="1" t="s">
        <v>59</v>
      </c>
    </row>
    <row r="81" spans="1:11">
      <c r="A81" s="17" t="s">
        <v>90</v>
      </c>
      <c r="B81" s="19" t="s">
        <v>49</v>
      </c>
      <c r="C81" s="19" t="s">
        <v>257</v>
      </c>
      <c r="D81" s="19" t="s">
        <v>258</v>
      </c>
      <c r="E81" s="20" t="s">
        <v>56</v>
      </c>
      <c r="F81" s="19" t="s">
        <v>257</v>
      </c>
      <c r="G81" s="19" t="s">
        <v>259</v>
      </c>
      <c r="H81" s="19" t="s">
        <v>56</v>
      </c>
      <c r="I81">
        <v>4</v>
      </c>
      <c r="J81">
        <v>4</v>
      </c>
      <c r="K81" s="1" t="s">
        <v>58</v>
      </c>
    </row>
    <row r="82" spans="1:11">
      <c r="A82" s="17" t="s">
        <v>90</v>
      </c>
      <c r="B82" s="19" t="s">
        <v>49</v>
      </c>
      <c r="C82" s="19" t="s">
        <v>260</v>
      </c>
      <c r="D82" s="19" t="s">
        <v>261</v>
      </c>
      <c r="E82" s="20" t="s">
        <v>56</v>
      </c>
      <c r="F82" s="19" t="s">
        <v>260</v>
      </c>
      <c r="G82" s="19" t="s">
        <v>262</v>
      </c>
      <c r="H82" s="19" t="s">
        <v>56</v>
      </c>
      <c r="I82">
        <v>1</v>
      </c>
      <c r="J82">
        <v>0</v>
      </c>
      <c r="K82" s="1" t="s">
        <v>59</v>
      </c>
    </row>
    <row r="83" spans="1:11">
      <c r="A83" s="17" t="s">
        <v>90</v>
      </c>
      <c r="B83" s="19" t="s">
        <v>52</v>
      </c>
      <c r="C83" s="19" t="s">
        <v>263</v>
      </c>
      <c r="D83" s="19" t="s">
        <v>264</v>
      </c>
      <c r="E83" s="20" t="s">
        <v>12</v>
      </c>
      <c r="F83" s="19" t="s">
        <v>263</v>
      </c>
      <c r="G83" s="19" t="s">
        <v>265</v>
      </c>
      <c r="H83" s="19" t="s">
        <v>31</v>
      </c>
      <c r="I83">
        <v>13063</v>
      </c>
      <c r="J83">
        <v>4</v>
      </c>
      <c r="K83" s="1" t="s">
        <v>58</v>
      </c>
    </row>
    <row r="84" spans="1:11">
      <c r="A84" s="17" t="s">
        <v>90</v>
      </c>
      <c r="B84" s="19" t="s">
        <v>52</v>
      </c>
      <c r="C84" s="19" t="s">
        <v>266</v>
      </c>
      <c r="D84" s="19" t="s">
        <v>267</v>
      </c>
      <c r="E84" s="20" t="s">
        <v>12</v>
      </c>
      <c r="F84" s="19" t="s">
        <v>266</v>
      </c>
      <c r="G84" s="19" t="s">
        <v>268</v>
      </c>
      <c r="H84" s="19" t="s">
        <v>31</v>
      </c>
      <c r="I84">
        <v>1102803</v>
      </c>
      <c r="J84">
        <v>254</v>
      </c>
      <c r="K84" s="1" t="s">
        <v>59</v>
      </c>
    </row>
    <row r="85" spans="1:11">
      <c r="A85" s="17" t="s">
        <v>90</v>
      </c>
      <c r="B85" s="19" t="s">
        <v>52</v>
      </c>
      <c r="C85" s="19" t="s">
        <v>266</v>
      </c>
      <c r="D85" s="19" t="s">
        <v>267</v>
      </c>
      <c r="E85" s="20" t="s">
        <v>12</v>
      </c>
      <c r="F85" s="19" t="s">
        <v>266</v>
      </c>
      <c r="G85" s="19" t="s">
        <v>268</v>
      </c>
      <c r="H85" s="19" t="s">
        <v>31</v>
      </c>
      <c r="I85">
        <v>1</v>
      </c>
      <c r="J85">
        <v>0</v>
      </c>
      <c r="K85" s="1" t="s">
        <v>58</v>
      </c>
    </row>
    <row r="86" spans="1:11">
      <c r="A86" s="17" t="s">
        <v>90</v>
      </c>
      <c r="B86" s="19" t="s">
        <v>52</v>
      </c>
      <c r="C86" s="19" t="s">
        <v>269</v>
      </c>
      <c r="D86" s="19" t="s">
        <v>270</v>
      </c>
      <c r="E86" s="20" t="s">
        <v>12</v>
      </c>
      <c r="F86" s="19" t="s">
        <v>269</v>
      </c>
      <c r="G86" s="19" t="s">
        <v>271</v>
      </c>
      <c r="H86" s="19" t="s">
        <v>31</v>
      </c>
      <c r="I86">
        <v>2406891</v>
      </c>
      <c r="J86">
        <v>2392</v>
      </c>
      <c r="K86" s="1" t="s">
        <v>58</v>
      </c>
    </row>
    <row r="87" spans="1:11">
      <c r="A87" s="17" t="s">
        <v>90</v>
      </c>
      <c r="B87" s="19" t="s">
        <v>52</v>
      </c>
      <c r="C87" s="19" t="s">
        <v>269</v>
      </c>
      <c r="D87" s="19" t="s">
        <v>270</v>
      </c>
      <c r="E87" s="20" t="s">
        <v>12</v>
      </c>
      <c r="F87" s="19" t="s">
        <v>269</v>
      </c>
      <c r="G87" s="19" t="s">
        <v>271</v>
      </c>
      <c r="H87" s="19" t="s">
        <v>31</v>
      </c>
      <c r="I87">
        <v>1</v>
      </c>
      <c r="J87">
        <v>0</v>
      </c>
      <c r="K87" s="1" t="s">
        <v>59</v>
      </c>
    </row>
    <row r="88" spans="1:11">
      <c r="A88" s="17" t="s">
        <v>90</v>
      </c>
      <c r="B88" s="19" t="s">
        <v>52</v>
      </c>
      <c r="C88" s="19" t="s">
        <v>272</v>
      </c>
      <c r="D88" s="19" t="s">
        <v>273</v>
      </c>
      <c r="E88" s="20" t="s">
        <v>12</v>
      </c>
      <c r="F88" s="19" t="s">
        <v>272</v>
      </c>
      <c r="G88" s="19" t="s">
        <v>274</v>
      </c>
      <c r="H88" s="19" t="s">
        <v>31</v>
      </c>
      <c r="I88">
        <v>7662</v>
      </c>
      <c r="J88">
        <v>12</v>
      </c>
      <c r="K88" s="1" t="s">
        <v>58</v>
      </c>
    </row>
    <row r="89" spans="1:11">
      <c r="A89" s="17" t="s">
        <v>90</v>
      </c>
      <c r="B89" s="19" t="s">
        <v>52</v>
      </c>
      <c r="C89" s="19" t="s">
        <v>275</v>
      </c>
      <c r="D89" s="19" t="s">
        <v>276</v>
      </c>
      <c r="E89" s="20" t="s">
        <v>12</v>
      </c>
      <c r="F89" s="19" t="s">
        <v>275</v>
      </c>
      <c r="G89" s="19" t="s">
        <v>277</v>
      </c>
      <c r="H89" s="19" t="s">
        <v>31</v>
      </c>
      <c r="I89">
        <v>469451</v>
      </c>
      <c r="J89">
        <v>75</v>
      </c>
      <c r="K89" s="1" t="s">
        <v>59</v>
      </c>
    </row>
    <row r="90" spans="1:11">
      <c r="A90" s="17" t="s">
        <v>90</v>
      </c>
      <c r="B90" s="19" t="s">
        <v>52</v>
      </c>
      <c r="C90" s="19" t="s">
        <v>275</v>
      </c>
      <c r="D90" s="19" t="s">
        <v>276</v>
      </c>
      <c r="E90" s="20" t="s">
        <v>12</v>
      </c>
      <c r="F90" s="19" t="s">
        <v>275</v>
      </c>
      <c r="G90" s="19" t="s">
        <v>277</v>
      </c>
      <c r="H90" s="19" t="s">
        <v>31</v>
      </c>
      <c r="I90">
        <v>3</v>
      </c>
      <c r="J90">
        <v>0</v>
      </c>
      <c r="K90" s="1" t="s">
        <v>58</v>
      </c>
    </row>
    <row r="91" spans="1:11">
      <c r="A91" s="17" t="s">
        <v>90</v>
      </c>
      <c r="B91" s="19" t="s">
        <v>52</v>
      </c>
      <c r="C91" s="19" t="s">
        <v>278</v>
      </c>
      <c r="D91" s="19" t="s">
        <v>279</v>
      </c>
      <c r="E91" s="20" t="s">
        <v>12</v>
      </c>
      <c r="F91" s="19" t="s">
        <v>278</v>
      </c>
      <c r="G91" s="19" t="s">
        <v>280</v>
      </c>
      <c r="H91" s="19" t="s">
        <v>31</v>
      </c>
      <c r="I91">
        <v>295311</v>
      </c>
      <c r="J91">
        <v>729</v>
      </c>
      <c r="K91" s="1" t="s">
        <v>59</v>
      </c>
    </row>
    <row r="92" spans="1:11">
      <c r="A92" s="17" t="s">
        <v>90</v>
      </c>
      <c r="B92" s="19" t="s">
        <v>52</v>
      </c>
      <c r="C92" s="19" t="s">
        <v>278</v>
      </c>
      <c r="D92" s="19" t="s">
        <v>279</v>
      </c>
      <c r="E92" s="20" t="s">
        <v>12</v>
      </c>
      <c r="F92" s="19" t="s">
        <v>278</v>
      </c>
      <c r="G92" s="19" t="s">
        <v>280</v>
      </c>
      <c r="H92" s="19" t="s">
        <v>31</v>
      </c>
      <c r="I92">
        <v>3</v>
      </c>
      <c r="J92">
        <v>0</v>
      </c>
      <c r="K92" s="1" t="s">
        <v>58</v>
      </c>
    </row>
    <row r="93" spans="1:11">
      <c r="A93" s="17" t="s">
        <v>90</v>
      </c>
      <c r="B93" s="19" t="s">
        <v>52</v>
      </c>
      <c r="C93" s="19" t="s">
        <v>281</v>
      </c>
      <c r="D93" s="19" t="s">
        <v>282</v>
      </c>
      <c r="E93" s="20" t="s">
        <v>12</v>
      </c>
      <c r="F93" s="19" t="s">
        <v>281</v>
      </c>
      <c r="G93" s="19" t="s">
        <v>283</v>
      </c>
      <c r="H93" s="19" t="s">
        <v>31</v>
      </c>
      <c r="I93">
        <v>459437</v>
      </c>
      <c r="J93">
        <v>62</v>
      </c>
      <c r="K93" s="1" t="s">
        <v>59</v>
      </c>
    </row>
    <row r="94" spans="1:11">
      <c r="A94" s="17" t="s">
        <v>90</v>
      </c>
      <c r="B94" s="19" t="s">
        <v>52</v>
      </c>
      <c r="C94" s="19" t="s">
        <v>284</v>
      </c>
      <c r="D94" s="19" t="s">
        <v>285</v>
      </c>
      <c r="E94" s="20" t="s">
        <v>12</v>
      </c>
      <c r="F94" s="19" t="s">
        <v>284</v>
      </c>
      <c r="G94" s="19" t="s">
        <v>286</v>
      </c>
      <c r="H94" s="19" t="s">
        <v>31</v>
      </c>
      <c r="I94">
        <v>174732</v>
      </c>
      <c r="J94">
        <v>56</v>
      </c>
      <c r="K94" s="1" t="s">
        <v>58</v>
      </c>
    </row>
    <row r="95" spans="1:11">
      <c r="A95" s="17" t="s">
        <v>90</v>
      </c>
      <c r="B95" s="19" t="s">
        <v>52</v>
      </c>
      <c r="C95" s="19" t="s">
        <v>287</v>
      </c>
      <c r="D95" s="19" t="s">
        <v>288</v>
      </c>
      <c r="E95" s="20" t="s">
        <v>12</v>
      </c>
      <c r="F95" s="19" t="s">
        <v>287</v>
      </c>
      <c r="G95" s="19" t="s">
        <v>289</v>
      </c>
      <c r="H95" s="19" t="s">
        <v>31</v>
      </c>
      <c r="I95">
        <v>142093</v>
      </c>
      <c r="J95">
        <v>3</v>
      </c>
      <c r="K95" s="1" t="s">
        <v>59</v>
      </c>
    </row>
    <row r="96" spans="1:11">
      <c r="A96" s="17" t="s">
        <v>90</v>
      </c>
      <c r="B96" s="19" t="s">
        <v>52</v>
      </c>
      <c r="C96" s="19" t="s">
        <v>290</v>
      </c>
      <c r="D96" s="19" t="s">
        <v>291</v>
      </c>
      <c r="E96" s="20" t="s">
        <v>12</v>
      </c>
      <c r="F96" s="19" t="s">
        <v>290</v>
      </c>
      <c r="G96" s="19" t="s">
        <v>292</v>
      </c>
      <c r="H96" s="19" t="s">
        <v>31</v>
      </c>
      <c r="I96">
        <v>5</v>
      </c>
      <c r="J96">
        <v>0</v>
      </c>
      <c r="K96" s="1" t="s">
        <v>58</v>
      </c>
    </row>
    <row r="97" spans="1:11">
      <c r="A97" s="17" t="s">
        <v>90</v>
      </c>
      <c r="B97" s="19" t="s">
        <v>52</v>
      </c>
      <c r="C97" s="19" t="s">
        <v>293</v>
      </c>
      <c r="D97" s="19" t="s">
        <v>294</v>
      </c>
      <c r="E97" s="20" t="s">
        <v>12</v>
      </c>
      <c r="F97" s="19" t="s">
        <v>293</v>
      </c>
      <c r="G97" s="19" t="s">
        <v>295</v>
      </c>
      <c r="H97" s="19" t="s">
        <v>31</v>
      </c>
      <c r="I97">
        <v>12</v>
      </c>
      <c r="J97">
        <v>3</v>
      </c>
      <c r="K97" s="1" t="s">
        <v>59</v>
      </c>
    </row>
    <row r="98" spans="1:11">
      <c r="A98" s="17" t="s">
        <v>90</v>
      </c>
      <c r="B98" s="19" t="s">
        <v>52</v>
      </c>
      <c r="C98" s="19" t="s">
        <v>296</v>
      </c>
      <c r="D98" s="19" t="s">
        <v>297</v>
      </c>
      <c r="E98" s="20" t="s">
        <v>12</v>
      </c>
      <c r="F98" s="19" t="s">
        <v>296</v>
      </c>
      <c r="G98" s="19" t="s">
        <v>298</v>
      </c>
      <c r="H98" s="19" t="s">
        <v>31</v>
      </c>
      <c r="I98">
        <v>18</v>
      </c>
      <c r="J98">
        <v>1</v>
      </c>
      <c r="K98" s="1" t="s">
        <v>58</v>
      </c>
    </row>
    <row r="99" spans="1:11">
      <c r="A99" s="17" t="s">
        <v>90</v>
      </c>
      <c r="B99" s="19" t="s">
        <v>52</v>
      </c>
      <c r="C99" s="19" t="s">
        <v>299</v>
      </c>
      <c r="D99" s="19" t="s">
        <v>300</v>
      </c>
      <c r="E99" s="20" t="s">
        <v>12</v>
      </c>
      <c r="F99" s="19" t="s">
        <v>299</v>
      </c>
      <c r="G99" s="19" t="s">
        <v>301</v>
      </c>
      <c r="H99" s="19" t="s">
        <v>31</v>
      </c>
      <c r="I99">
        <v>10</v>
      </c>
      <c r="J99">
        <v>1</v>
      </c>
      <c r="K99" s="1" t="s">
        <v>59</v>
      </c>
    </row>
    <row r="100" spans="1:11">
      <c r="A100" s="17" t="s">
        <v>90</v>
      </c>
      <c r="B100" s="19" t="s">
        <v>52</v>
      </c>
      <c r="C100" s="19" t="s">
        <v>302</v>
      </c>
      <c r="D100" s="19" t="s">
        <v>303</v>
      </c>
      <c r="E100" s="20" t="s">
        <v>12</v>
      </c>
      <c r="F100" s="19" t="s">
        <v>302</v>
      </c>
      <c r="G100" s="19" t="s">
        <v>304</v>
      </c>
      <c r="H100" s="19" t="s">
        <v>31</v>
      </c>
      <c r="I100">
        <v>33</v>
      </c>
      <c r="J100">
        <v>2</v>
      </c>
      <c r="K100" s="1" t="s">
        <v>58</v>
      </c>
    </row>
    <row r="101" spans="1:11">
      <c r="A101" s="17" t="s">
        <v>90</v>
      </c>
      <c r="B101" s="19" t="s">
        <v>52</v>
      </c>
      <c r="C101" s="19" t="s">
        <v>302</v>
      </c>
      <c r="D101" s="19" t="s">
        <v>303</v>
      </c>
      <c r="E101" s="20" t="s">
        <v>12</v>
      </c>
      <c r="F101" s="19" t="s">
        <v>302</v>
      </c>
      <c r="G101" s="19" t="s">
        <v>304</v>
      </c>
      <c r="H101" s="19" t="s">
        <v>31</v>
      </c>
      <c r="I101">
        <v>1</v>
      </c>
      <c r="J101">
        <v>0</v>
      </c>
      <c r="K101" s="1" t="s">
        <v>59</v>
      </c>
    </row>
    <row r="102" spans="1:11">
      <c r="A102" s="17" t="s">
        <v>90</v>
      </c>
      <c r="B102" s="19" t="s">
        <v>52</v>
      </c>
      <c r="C102" s="19" t="s">
        <v>305</v>
      </c>
      <c r="D102" s="19" t="s">
        <v>306</v>
      </c>
      <c r="E102" s="20" t="s">
        <v>12</v>
      </c>
      <c r="F102" s="19" t="s">
        <v>305</v>
      </c>
      <c r="G102" s="19" t="s">
        <v>307</v>
      </c>
      <c r="H102" s="19" t="s">
        <v>31</v>
      </c>
      <c r="I102">
        <v>6</v>
      </c>
      <c r="J102">
        <v>0</v>
      </c>
      <c r="K102" s="1" t="s">
        <v>58</v>
      </c>
    </row>
    <row r="103" spans="1:11">
      <c r="A103" s="17" t="s">
        <v>90</v>
      </c>
      <c r="B103" s="19" t="s">
        <v>52</v>
      </c>
      <c r="C103" s="19" t="s">
        <v>308</v>
      </c>
      <c r="D103" s="19" t="s">
        <v>309</v>
      </c>
      <c r="E103" s="20" t="s">
        <v>12</v>
      </c>
      <c r="F103" s="19" t="s">
        <v>308</v>
      </c>
      <c r="G103" s="19" t="s">
        <v>310</v>
      </c>
      <c r="H103" s="19" t="s">
        <v>31</v>
      </c>
      <c r="I103">
        <v>4</v>
      </c>
      <c r="J103">
        <v>0</v>
      </c>
      <c r="K103" s="1" t="s">
        <v>59</v>
      </c>
    </row>
    <row r="104" spans="1:11">
      <c r="A104" s="17" t="s">
        <v>90</v>
      </c>
      <c r="B104" s="19" t="s">
        <v>52</v>
      </c>
      <c r="C104" s="19" t="s">
        <v>311</v>
      </c>
      <c r="D104" s="19" t="s">
        <v>312</v>
      </c>
      <c r="E104" s="20" t="s">
        <v>12</v>
      </c>
      <c r="F104" s="19" t="s">
        <v>311</v>
      </c>
      <c r="G104" s="19" t="s">
        <v>313</v>
      </c>
      <c r="H104" s="19" t="s">
        <v>31</v>
      </c>
      <c r="I104">
        <v>18</v>
      </c>
      <c r="J104">
        <v>2</v>
      </c>
      <c r="K104" s="1" t="s">
        <v>58</v>
      </c>
    </row>
    <row r="105" spans="1:11">
      <c r="A105" s="17" t="s">
        <v>90</v>
      </c>
      <c r="B105" s="19" t="s">
        <v>52</v>
      </c>
      <c r="C105" s="19" t="s">
        <v>314</v>
      </c>
      <c r="D105" s="19" t="s">
        <v>315</v>
      </c>
      <c r="E105" s="20" t="s">
        <v>12</v>
      </c>
      <c r="F105" s="19" t="s">
        <v>314</v>
      </c>
      <c r="G105" s="19" t="s">
        <v>316</v>
      </c>
      <c r="H105" s="19" t="s">
        <v>31</v>
      </c>
      <c r="I105">
        <v>6</v>
      </c>
      <c r="J105">
        <v>0</v>
      </c>
      <c r="K105" s="1" t="s">
        <v>59</v>
      </c>
    </row>
    <row r="106" spans="1:11">
      <c r="A106" s="17" t="s">
        <v>90</v>
      </c>
      <c r="B106" s="19" t="s">
        <v>52</v>
      </c>
      <c r="C106" s="19" t="s">
        <v>317</v>
      </c>
      <c r="D106" s="19" t="s">
        <v>318</v>
      </c>
      <c r="E106" s="20" t="s">
        <v>32</v>
      </c>
      <c r="F106" s="19" t="s">
        <v>317</v>
      </c>
      <c r="G106" s="19" t="s">
        <v>319</v>
      </c>
      <c r="H106" s="19" t="s">
        <v>32</v>
      </c>
      <c r="I106">
        <v>4891863</v>
      </c>
      <c r="J106">
        <v>32605</v>
      </c>
      <c r="K106" s="1" t="s">
        <v>58</v>
      </c>
    </row>
    <row r="107" spans="1:11">
      <c r="A107" s="17" t="s">
        <v>90</v>
      </c>
      <c r="B107" s="19" t="s">
        <v>52</v>
      </c>
      <c r="C107" s="19" t="s">
        <v>317</v>
      </c>
      <c r="D107" s="19" t="s">
        <v>318</v>
      </c>
      <c r="E107" s="20" t="s">
        <v>32</v>
      </c>
      <c r="F107" s="19" t="s">
        <v>317</v>
      </c>
      <c r="G107" s="19" t="s">
        <v>319</v>
      </c>
      <c r="H107" s="19" t="s">
        <v>32</v>
      </c>
      <c r="I107">
        <v>339745</v>
      </c>
      <c r="J107">
        <v>1386</v>
      </c>
      <c r="K107" s="1" t="s">
        <v>59</v>
      </c>
    </row>
    <row r="108" spans="1:11">
      <c r="A108" s="17" t="s">
        <v>90</v>
      </c>
      <c r="B108" s="19" t="s">
        <v>52</v>
      </c>
      <c r="C108" s="19" t="s">
        <v>320</v>
      </c>
      <c r="D108" s="19" t="s">
        <v>321</v>
      </c>
      <c r="E108" s="20" t="s">
        <v>32</v>
      </c>
      <c r="F108" s="19" t="s">
        <v>320</v>
      </c>
      <c r="G108" s="19" t="s">
        <v>322</v>
      </c>
      <c r="H108" s="19" t="s">
        <v>32</v>
      </c>
      <c r="I108">
        <v>74581</v>
      </c>
      <c r="J108">
        <v>254</v>
      </c>
      <c r="K108" s="1" t="s">
        <v>58</v>
      </c>
    </row>
    <row r="109" spans="1:11">
      <c r="A109" s="17" t="s">
        <v>90</v>
      </c>
      <c r="B109" s="19" t="s">
        <v>52</v>
      </c>
      <c r="C109" s="19" t="s">
        <v>323</v>
      </c>
      <c r="D109" s="19" t="s">
        <v>324</v>
      </c>
      <c r="E109" s="20" t="s">
        <v>11</v>
      </c>
      <c r="F109" s="19" t="s">
        <v>55</v>
      </c>
      <c r="G109" s="19" t="s">
        <v>325</v>
      </c>
      <c r="H109" s="19" t="s">
        <v>31</v>
      </c>
      <c r="I109">
        <v>1</v>
      </c>
      <c r="J109">
        <v>0</v>
      </c>
      <c r="K109" s="1" t="s">
        <v>59</v>
      </c>
    </row>
    <row r="110" spans="1:11">
      <c r="A110" s="17" t="s">
        <v>90</v>
      </c>
      <c r="B110" s="19" t="s">
        <v>52</v>
      </c>
      <c r="C110" s="19" t="s">
        <v>323</v>
      </c>
      <c r="D110" s="19" t="s">
        <v>324</v>
      </c>
      <c r="E110" s="20" t="s">
        <v>32</v>
      </c>
      <c r="F110" s="19" t="s">
        <v>323</v>
      </c>
      <c r="G110" s="19" t="s">
        <v>326</v>
      </c>
      <c r="H110" s="19" t="s">
        <v>32</v>
      </c>
      <c r="I110">
        <v>10375369</v>
      </c>
      <c r="J110">
        <v>138201</v>
      </c>
      <c r="K110" s="1" t="s">
        <v>58</v>
      </c>
    </row>
    <row r="111" spans="1:11">
      <c r="A111" s="17" t="s">
        <v>90</v>
      </c>
      <c r="B111" s="19" t="s">
        <v>52</v>
      </c>
      <c r="C111" s="19" t="s">
        <v>323</v>
      </c>
      <c r="D111" s="19" t="s">
        <v>324</v>
      </c>
      <c r="E111" s="20" t="s">
        <v>32</v>
      </c>
      <c r="F111" s="19" t="s">
        <v>323</v>
      </c>
      <c r="G111" s="19" t="s">
        <v>326</v>
      </c>
      <c r="H111" s="19" t="s">
        <v>32</v>
      </c>
      <c r="I111">
        <v>2995327</v>
      </c>
      <c r="J111">
        <v>26739</v>
      </c>
      <c r="K111" s="1" t="s">
        <v>59</v>
      </c>
    </row>
    <row r="112" spans="1:11">
      <c r="A112" s="17" t="s">
        <v>90</v>
      </c>
      <c r="B112" s="19" t="s">
        <v>52</v>
      </c>
      <c r="C112" s="19" t="s">
        <v>327</v>
      </c>
      <c r="D112" s="19" t="s">
        <v>328</v>
      </c>
      <c r="E112" s="20" t="s">
        <v>32</v>
      </c>
      <c r="F112" s="19" t="s">
        <v>327</v>
      </c>
      <c r="G112" s="19" t="s">
        <v>329</v>
      </c>
      <c r="H112" s="19" t="s">
        <v>32</v>
      </c>
      <c r="I112">
        <v>706058</v>
      </c>
      <c r="J112">
        <v>5171</v>
      </c>
      <c r="K112" s="1" t="s">
        <v>58</v>
      </c>
    </row>
    <row r="113" spans="1:11">
      <c r="A113" s="17" t="s">
        <v>90</v>
      </c>
      <c r="B113" s="19" t="s">
        <v>52</v>
      </c>
      <c r="C113" s="19" t="s">
        <v>330</v>
      </c>
      <c r="D113" s="19" t="s">
        <v>331</v>
      </c>
      <c r="E113" s="20" t="s">
        <v>32</v>
      </c>
      <c r="F113" s="19" t="s">
        <v>330</v>
      </c>
      <c r="G113" s="19" t="s">
        <v>332</v>
      </c>
      <c r="H113" s="19" t="s">
        <v>32</v>
      </c>
      <c r="I113">
        <v>0</v>
      </c>
      <c r="J113">
        <v>1</v>
      </c>
      <c r="K113" s="1" t="s">
        <v>59</v>
      </c>
    </row>
    <row r="114" spans="1:11">
      <c r="A114" s="17" t="s">
        <v>90</v>
      </c>
      <c r="B114" s="19" t="s">
        <v>52</v>
      </c>
      <c r="C114" s="19" t="s">
        <v>333</v>
      </c>
      <c r="D114" s="19" t="s">
        <v>334</v>
      </c>
      <c r="E114" s="20" t="s">
        <v>32</v>
      </c>
      <c r="F114" s="19" t="s">
        <v>333</v>
      </c>
      <c r="G114" s="19" t="s">
        <v>335</v>
      </c>
      <c r="H114" s="19" t="s">
        <v>32</v>
      </c>
      <c r="I114">
        <v>0</v>
      </c>
      <c r="J114">
        <v>1</v>
      </c>
      <c r="K114" s="1" t="s">
        <v>58</v>
      </c>
    </row>
    <row r="115" spans="1:11">
      <c r="A115" s="17" t="s">
        <v>90</v>
      </c>
      <c r="B115" s="19" t="s">
        <v>52</v>
      </c>
      <c r="C115" s="19" t="s">
        <v>336</v>
      </c>
      <c r="D115" s="19" t="s">
        <v>337</v>
      </c>
      <c r="E115" s="20" t="s">
        <v>32</v>
      </c>
      <c r="F115" s="19" t="s">
        <v>336</v>
      </c>
      <c r="G115" s="19" t="s">
        <v>338</v>
      </c>
      <c r="H115" s="19" t="s">
        <v>32</v>
      </c>
      <c r="I115">
        <v>71069</v>
      </c>
      <c r="J115">
        <v>697</v>
      </c>
      <c r="K115" s="1" t="s">
        <v>59</v>
      </c>
    </row>
    <row r="116" spans="1:11">
      <c r="A116" s="17" t="s">
        <v>90</v>
      </c>
      <c r="B116" s="19" t="s">
        <v>52</v>
      </c>
      <c r="C116" s="19" t="s">
        <v>336</v>
      </c>
      <c r="D116" s="19" t="s">
        <v>337</v>
      </c>
      <c r="E116" s="20" t="s">
        <v>32</v>
      </c>
      <c r="F116" s="19" t="s">
        <v>336</v>
      </c>
      <c r="G116" s="19" t="s">
        <v>338</v>
      </c>
      <c r="H116" s="19" t="s">
        <v>32</v>
      </c>
      <c r="I116">
        <v>110107</v>
      </c>
      <c r="J116">
        <v>714</v>
      </c>
      <c r="K116" s="1" t="s">
        <v>58</v>
      </c>
    </row>
    <row r="117" spans="1:11">
      <c r="A117" s="17" t="s">
        <v>90</v>
      </c>
      <c r="B117" s="19" t="s">
        <v>52</v>
      </c>
      <c r="C117" s="19" t="s">
        <v>339</v>
      </c>
      <c r="D117" s="19" t="s">
        <v>340</v>
      </c>
      <c r="E117" s="20" t="s">
        <v>32</v>
      </c>
      <c r="F117" s="19" t="s">
        <v>339</v>
      </c>
      <c r="G117" s="19" t="s">
        <v>341</v>
      </c>
      <c r="H117" s="19" t="s">
        <v>32</v>
      </c>
      <c r="I117">
        <v>819755</v>
      </c>
      <c r="J117">
        <v>14037</v>
      </c>
      <c r="K117" s="1" t="s">
        <v>59</v>
      </c>
    </row>
    <row r="118" spans="1:11">
      <c r="A118" s="17" t="s">
        <v>90</v>
      </c>
      <c r="B118" s="19" t="s">
        <v>52</v>
      </c>
      <c r="C118" s="19" t="s">
        <v>339</v>
      </c>
      <c r="D118" s="19" t="s">
        <v>340</v>
      </c>
      <c r="E118" s="20" t="s">
        <v>32</v>
      </c>
      <c r="F118" s="19" t="s">
        <v>339</v>
      </c>
      <c r="G118" s="19" t="s">
        <v>341</v>
      </c>
      <c r="H118" s="19" t="s">
        <v>32</v>
      </c>
      <c r="I118">
        <v>612392</v>
      </c>
      <c r="J118">
        <v>10765</v>
      </c>
      <c r="K118" s="1" t="s">
        <v>58</v>
      </c>
    </row>
    <row r="119" spans="1:11">
      <c r="A119" s="17" t="s">
        <v>90</v>
      </c>
      <c r="B119" s="19" t="s">
        <v>342</v>
      </c>
      <c r="C119" s="19" t="s">
        <v>343</v>
      </c>
      <c r="D119" s="19" t="s">
        <v>344</v>
      </c>
      <c r="E119" s="20" t="s">
        <v>32</v>
      </c>
      <c r="F119" s="19" t="s">
        <v>343</v>
      </c>
      <c r="G119" s="19" t="s">
        <v>345</v>
      </c>
      <c r="H119" s="19" t="s">
        <v>32</v>
      </c>
      <c r="I119">
        <v>0</v>
      </c>
      <c r="J119">
        <v>14469</v>
      </c>
      <c r="K119" s="1" t="s">
        <v>59</v>
      </c>
    </row>
    <row r="120" spans="1:11">
      <c r="A120" s="17" t="s">
        <v>90</v>
      </c>
      <c r="B120" s="19" t="s">
        <v>342</v>
      </c>
      <c r="C120" s="19" t="s">
        <v>343</v>
      </c>
      <c r="D120" s="19" t="s">
        <v>344</v>
      </c>
      <c r="E120" s="20" t="s">
        <v>32</v>
      </c>
      <c r="F120" s="19" t="s">
        <v>343</v>
      </c>
      <c r="G120" s="19" t="s">
        <v>345</v>
      </c>
      <c r="H120" s="19" t="s">
        <v>32</v>
      </c>
      <c r="I120">
        <v>0</v>
      </c>
      <c r="J120">
        <v>7114</v>
      </c>
      <c r="K120" s="1" t="s">
        <v>58</v>
      </c>
    </row>
    <row r="121" spans="1:11">
      <c r="A121" s="17" t="s">
        <v>90</v>
      </c>
      <c r="B121" s="19" t="s">
        <v>346</v>
      </c>
      <c r="C121" s="19" t="s">
        <v>347</v>
      </c>
      <c r="D121" s="19" t="s">
        <v>348</v>
      </c>
      <c r="E121" s="20" t="s">
        <v>32</v>
      </c>
      <c r="F121" s="19" t="s">
        <v>347</v>
      </c>
      <c r="G121" s="19" t="s">
        <v>349</v>
      </c>
      <c r="H121" s="19" t="s">
        <v>32</v>
      </c>
      <c r="I121">
        <v>1431068</v>
      </c>
      <c r="J121">
        <v>4543</v>
      </c>
      <c r="K121" s="1" t="s">
        <v>59</v>
      </c>
    </row>
    <row r="122" spans="1:11">
      <c r="A122" s="17" t="s">
        <v>350</v>
      </c>
      <c r="B122" s="19" t="s">
        <v>351</v>
      </c>
      <c r="C122" s="19" t="s">
        <v>352</v>
      </c>
      <c r="D122" s="19" t="s">
        <v>353</v>
      </c>
      <c r="E122" s="20" t="s">
        <v>32</v>
      </c>
      <c r="F122" s="19" t="s">
        <v>352</v>
      </c>
      <c r="G122" s="19" t="s">
        <v>354</v>
      </c>
      <c r="H122" s="19" t="s">
        <v>32</v>
      </c>
      <c r="I122">
        <v>0</v>
      </c>
      <c r="J122">
        <v>908</v>
      </c>
      <c r="K122" s="1" t="s">
        <v>58</v>
      </c>
    </row>
    <row r="123" spans="1:11">
      <c r="A123" s="17" t="s">
        <v>350</v>
      </c>
      <c r="B123" s="19" t="s">
        <v>351</v>
      </c>
      <c r="C123" s="19" t="s">
        <v>355</v>
      </c>
      <c r="D123" s="19" t="s">
        <v>356</v>
      </c>
      <c r="E123" s="20" t="s">
        <v>32</v>
      </c>
      <c r="F123" s="19" t="s">
        <v>355</v>
      </c>
      <c r="G123" s="19" t="s">
        <v>357</v>
      </c>
      <c r="H123" s="19" t="s">
        <v>32</v>
      </c>
      <c r="I123">
        <v>0</v>
      </c>
      <c r="J123">
        <v>3876</v>
      </c>
      <c r="K123" s="1" t="s">
        <v>58</v>
      </c>
    </row>
    <row r="124" spans="1:11">
      <c r="A124" s="17" t="s">
        <v>350</v>
      </c>
      <c r="B124" s="19" t="s">
        <v>351</v>
      </c>
      <c r="C124" s="19" t="s">
        <v>358</v>
      </c>
      <c r="D124" s="19" t="s">
        <v>359</v>
      </c>
      <c r="E124" s="20" t="s">
        <v>32</v>
      </c>
      <c r="F124" s="19" t="s">
        <v>358</v>
      </c>
      <c r="G124" s="19" t="s">
        <v>360</v>
      </c>
      <c r="H124" s="19" t="s">
        <v>32</v>
      </c>
      <c r="I124">
        <v>0</v>
      </c>
      <c r="J124">
        <v>2569</v>
      </c>
      <c r="K124" s="1" t="s">
        <v>58</v>
      </c>
    </row>
    <row r="125" spans="1:11">
      <c r="A125" s="17" t="s">
        <v>350</v>
      </c>
      <c r="B125" s="19" t="s">
        <v>351</v>
      </c>
      <c r="C125" s="19" t="s">
        <v>361</v>
      </c>
      <c r="D125" s="19" t="s">
        <v>362</v>
      </c>
      <c r="E125" s="20" t="s">
        <v>32</v>
      </c>
      <c r="F125" s="19" t="s">
        <v>361</v>
      </c>
      <c r="G125" s="19" t="s">
        <v>363</v>
      </c>
      <c r="H125" s="19" t="s">
        <v>32</v>
      </c>
      <c r="I125">
        <v>0</v>
      </c>
      <c r="J125">
        <v>1</v>
      </c>
      <c r="K125" s="1" t="s">
        <v>58</v>
      </c>
    </row>
    <row r="126" spans="1:11">
      <c r="A126" s="17" t="s">
        <v>350</v>
      </c>
      <c r="B126" s="19" t="s">
        <v>351</v>
      </c>
      <c r="C126" s="19" t="s">
        <v>364</v>
      </c>
      <c r="D126" s="19" t="s">
        <v>365</v>
      </c>
      <c r="E126" s="20" t="s">
        <v>32</v>
      </c>
      <c r="F126" s="19" t="s">
        <v>364</v>
      </c>
      <c r="G126" s="19" t="s">
        <v>366</v>
      </c>
      <c r="H126" s="19" t="s">
        <v>32</v>
      </c>
      <c r="I126">
        <v>0</v>
      </c>
      <c r="J126">
        <v>8545</v>
      </c>
      <c r="K126" s="1" t="s">
        <v>58</v>
      </c>
    </row>
    <row r="127" spans="1:11">
      <c r="A127" s="17" t="s">
        <v>350</v>
      </c>
      <c r="B127" s="19" t="s">
        <v>351</v>
      </c>
      <c r="C127" s="19" t="s">
        <v>367</v>
      </c>
      <c r="D127" s="19" t="s">
        <v>368</v>
      </c>
      <c r="E127" s="20" t="s">
        <v>32</v>
      </c>
      <c r="F127" s="19" t="s">
        <v>367</v>
      </c>
      <c r="G127" s="19" t="s">
        <v>369</v>
      </c>
      <c r="H127" s="19" t="s">
        <v>32</v>
      </c>
      <c r="I127">
        <v>0</v>
      </c>
      <c r="J127">
        <v>2688</v>
      </c>
      <c r="K127" s="1" t="s">
        <v>58</v>
      </c>
    </row>
    <row r="128" spans="1:11">
      <c r="A128" s="17" t="s">
        <v>350</v>
      </c>
      <c r="B128" s="19" t="s">
        <v>351</v>
      </c>
      <c r="C128" s="19" t="s">
        <v>370</v>
      </c>
      <c r="D128" s="19" t="s">
        <v>371</v>
      </c>
      <c r="E128" s="20" t="s">
        <v>32</v>
      </c>
      <c r="F128" s="19" t="s">
        <v>370</v>
      </c>
      <c r="G128" s="19" t="s">
        <v>372</v>
      </c>
      <c r="H128" s="19" t="s">
        <v>32</v>
      </c>
      <c r="I128">
        <v>0</v>
      </c>
      <c r="J128">
        <v>2749</v>
      </c>
      <c r="K128" s="1" t="s">
        <v>58</v>
      </c>
    </row>
    <row r="129" spans="1:11">
      <c r="A129" s="17" t="s">
        <v>350</v>
      </c>
      <c r="B129" s="19" t="s">
        <v>351</v>
      </c>
      <c r="C129" s="19" t="s">
        <v>373</v>
      </c>
      <c r="D129" s="19" t="s">
        <v>374</v>
      </c>
      <c r="E129" s="20" t="s">
        <v>32</v>
      </c>
      <c r="F129" s="19" t="s">
        <v>373</v>
      </c>
      <c r="G129" s="19" t="s">
        <v>375</v>
      </c>
      <c r="H129" s="19" t="s">
        <v>32</v>
      </c>
      <c r="I129">
        <v>0</v>
      </c>
      <c r="J129">
        <v>4536</v>
      </c>
      <c r="K129" s="1" t="s">
        <v>58</v>
      </c>
    </row>
    <row r="130" spans="1:11">
      <c r="A130" s="17" t="s">
        <v>350</v>
      </c>
      <c r="B130" s="19" t="s">
        <v>351</v>
      </c>
      <c r="C130" s="19" t="s">
        <v>376</v>
      </c>
      <c r="D130" s="19" t="s">
        <v>377</v>
      </c>
      <c r="E130" s="20" t="s">
        <v>32</v>
      </c>
      <c r="F130" s="19" t="s">
        <v>376</v>
      </c>
      <c r="G130" s="19" t="s">
        <v>378</v>
      </c>
      <c r="H130" s="19" t="s">
        <v>32</v>
      </c>
      <c r="I130">
        <v>0</v>
      </c>
      <c r="J130">
        <v>4450</v>
      </c>
      <c r="K130" s="1" t="s">
        <v>58</v>
      </c>
    </row>
    <row r="131" spans="1:11">
      <c r="A131" s="17" t="s">
        <v>350</v>
      </c>
      <c r="B131" s="19" t="s">
        <v>351</v>
      </c>
      <c r="C131" s="19" t="s">
        <v>379</v>
      </c>
      <c r="D131" s="19" t="s">
        <v>380</v>
      </c>
      <c r="E131" s="20" t="s">
        <v>32</v>
      </c>
      <c r="F131" s="19" t="s">
        <v>379</v>
      </c>
      <c r="G131" s="19" t="s">
        <v>381</v>
      </c>
      <c r="H131" s="19" t="s">
        <v>32</v>
      </c>
      <c r="I131">
        <v>0</v>
      </c>
      <c r="J131">
        <v>4879</v>
      </c>
      <c r="K131" s="1" t="s">
        <v>58</v>
      </c>
    </row>
    <row r="132" spans="1:11">
      <c r="A132" s="17" t="s">
        <v>350</v>
      </c>
      <c r="B132" s="19" t="s">
        <v>351</v>
      </c>
      <c r="C132" s="19" t="s">
        <v>382</v>
      </c>
      <c r="D132" s="19" t="s">
        <v>383</v>
      </c>
      <c r="E132" s="20" t="s">
        <v>32</v>
      </c>
      <c r="F132" s="19" t="s">
        <v>382</v>
      </c>
      <c r="G132" s="19" t="s">
        <v>384</v>
      </c>
      <c r="H132" s="19" t="s">
        <v>32</v>
      </c>
      <c r="I132">
        <v>0</v>
      </c>
      <c r="J132">
        <v>4997</v>
      </c>
      <c r="K132" s="1" t="s">
        <v>59</v>
      </c>
    </row>
    <row r="133" spans="1:11">
      <c r="A133" s="17" t="s">
        <v>350</v>
      </c>
      <c r="B133" s="19" t="s">
        <v>351</v>
      </c>
      <c r="C133" s="19" t="s">
        <v>385</v>
      </c>
      <c r="D133" s="19" t="s">
        <v>386</v>
      </c>
      <c r="E133" s="20" t="s">
        <v>32</v>
      </c>
      <c r="F133" s="19" t="s">
        <v>385</v>
      </c>
      <c r="G133" s="19" t="s">
        <v>387</v>
      </c>
      <c r="H133" s="19" t="s">
        <v>32</v>
      </c>
      <c r="I133">
        <v>0</v>
      </c>
      <c r="J133">
        <v>3234</v>
      </c>
      <c r="K133" s="1" t="s">
        <v>58</v>
      </c>
    </row>
    <row r="134" spans="1:11">
      <c r="A134" s="17" t="s">
        <v>350</v>
      </c>
      <c r="B134" s="19" t="s">
        <v>351</v>
      </c>
      <c r="C134" s="19" t="s">
        <v>388</v>
      </c>
      <c r="D134" s="19" t="s">
        <v>389</v>
      </c>
      <c r="E134" s="20" t="s">
        <v>32</v>
      </c>
      <c r="F134" s="19" t="s">
        <v>388</v>
      </c>
      <c r="G134" s="19" t="s">
        <v>390</v>
      </c>
      <c r="H134" s="19" t="s">
        <v>32</v>
      </c>
      <c r="I134">
        <v>0</v>
      </c>
      <c r="J134">
        <v>3310</v>
      </c>
      <c r="K134" s="1" t="s">
        <v>59</v>
      </c>
    </row>
    <row r="135" spans="1:11">
      <c r="A135" s="17" t="s">
        <v>350</v>
      </c>
      <c r="B135" s="19" t="s">
        <v>50</v>
      </c>
      <c r="C135" s="19" t="s">
        <v>391</v>
      </c>
      <c r="D135" s="19" t="s">
        <v>392</v>
      </c>
      <c r="E135" s="20" t="s">
        <v>32</v>
      </c>
      <c r="F135" s="19" t="s">
        <v>391</v>
      </c>
      <c r="G135" s="19" t="s">
        <v>393</v>
      </c>
      <c r="H135" s="19" t="s">
        <v>32</v>
      </c>
      <c r="I135">
        <v>0</v>
      </c>
      <c r="J135">
        <v>28</v>
      </c>
      <c r="K135" s="1" t="s">
        <v>58</v>
      </c>
    </row>
    <row r="136" spans="1:11">
      <c r="A136" s="17" t="s">
        <v>350</v>
      </c>
      <c r="B136" s="19" t="s">
        <v>50</v>
      </c>
      <c r="C136" s="19" t="s">
        <v>391</v>
      </c>
      <c r="D136" s="19" t="s">
        <v>392</v>
      </c>
      <c r="E136" s="20" t="s">
        <v>32</v>
      </c>
      <c r="F136" s="19" t="s">
        <v>391</v>
      </c>
      <c r="G136" s="19" t="s">
        <v>393</v>
      </c>
      <c r="H136" s="19" t="s">
        <v>32</v>
      </c>
      <c r="I136">
        <v>0</v>
      </c>
      <c r="J136">
        <v>2</v>
      </c>
      <c r="K136" s="1" t="s">
        <v>59</v>
      </c>
    </row>
    <row r="137" spans="1:11">
      <c r="A137" s="17" t="s">
        <v>350</v>
      </c>
      <c r="B137" s="19" t="s">
        <v>50</v>
      </c>
      <c r="C137" s="19" t="s">
        <v>394</v>
      </c>
      <c r="D137" s="19" t="s">
        <v>395</v>
      </c>
      <c r="E137" s="20" t="s">
        <v>32</v>
      </c>
      <c r="F137" s="19" t="s">
        <v>394</v>
      </c>
      <c r="G137" s="19" t="s">
        <v>396</v>
      </c>
      <c r="H137" s="19" t="s">
        <v>32</v>
      </c>
      <c r="I137">
        <v>0</v>
      </c>
      <c r="J137">
        <v>172</v>
      </c>
      <c r="K137" s="1" t="s">
        <v>58</v>
      </c>
    </row>
    <row r="138" spans="1:11">
      <c r="A138" s="17" t="s">
        <v>350</v>
      </c>
      <c r="B138" s="19" t="s">
        <v>50</v>
      </c>
      <c r="C138" s="19" t="s">
        <v>397</v>
      </c>
      <c r="D138" s="19" t="s">
        <v>398</v>
      </c>
      <c r="E138" s="20" t="s">
        <v>32</v>
      </c>
      <c r="F138" s="19" t="s">
        <v>397</v>
      </c>
      <c r="G138" s="19" t="s">
        <v>399</v>
      </c>
      <c r="H138" s="19" t="s">
        <v>32</v>
      </c>
      <c r="I138">
        <v>0</v>
      </c>
      <c r="J138">
        <v>242</v>
      </c>
      <c r="K138" s="1" t="s">
        <v>59</v>
      </c>
    </row>
    <row r="139" spans="1:11">
      <c r="A139" s="17" t="s">
        <v>350</v>
      </c>
      <c r="B139" s="19" t="s">
        <v>50</v>
      </c>
      <c r="C139" s="19" t="s">
        <v>400</v>
      </c>
      <c r="D139" s="19" t="s">
        <v>401</v>
      </c>
      <c r="E139" s="20" t="s">
        <v>32</v>
      </c>
      <c r="F139" s="19" t="s">
        <v>400</v>
      </c>
      <c r="G139" s="19" t="s">
        <v>402</v>
      </c>
      <c r="H139" s="19" t="s">
        <v>32</v>
      </c>
      <c r="I139">
        <v>0</v>
      </c>
      <c r="J139">
        <v>15381</v>
      </c>
      <c r="K139" s="1" t="s">
        <v>58</v>
      </c>
    </row>
    <row r="140" spans="1:11">
      <c r="A140" s="17" t="s">
        <v>350</v>
      </c>
      <c r="B140" s="19" t="s">
        <v>50</v>
      </c>
      <c r="C140" s="19" t="s">
        <v>403</v>
      </c>
      <c r="D140" s="19" t="s">
        <v>404</v>
      </c>
      <c r="E140" s="20" t="s">
        <v>32</v>
      </c>
      <c r="F140" s="19" t="s">
        <v>403</v>
      </c>
      <c r="G140" s="19" t="s">
        <v>405</v>
      </c>
      <c r="H140" s="19" t="s">
        <v>32</v>
      </c>
      <c r="I140">
        <v>0</v>
      </c>
      <c r="J140">
        <v>829</v>
      </c>
      <c r="K140" s="1" t="s">
        <v>59</v>
      </c>
    </row>
    <row r="141" spans="1:11">
      <c r="A141" s="17" t="s">
        <v>350</v>
      </c>
      <c r="B141" s="19" t="s">
        <v>50</v>
      </c>
      <c r="C141" s="19" t="s">
        <v>403</v>
      </c>
      <c r="D141" s="19" t="s">
        <v>404</v>
      </c>
      <c r="E141" s="20" t="s">
        <v>32</v>
      </c>
      <c r="F141" s="19" t="s">
        <v>403</v>
      </c>
      <c r="G141" s="19" t="s">
        <v>405</v>
      </c>
      <c r="H141" s="19" t="s">
        <v>32</v>
      </c>
      <c r="I141">
        <v>0</v>
      </c>
      <c r="J141">
        <v>4</v>
      </c>
      <c r="K141" s="1" t="s">
        <v>58</v>
      </c>
    </row>
    <row r="142" spans="1:11">
      <c r="A142" s="17" t="s">
        <v>350</v>
      </c>
      <c r="B142" s="19" t="s">
        <v>50</v>
      </c>
      <c r="C142" s="19" t="s">
        <v>406</v>
      </c>
      <c r="D142" s="19" t="s">
        <v>407</v>
      </c>
      <c r="E142" s="20" t="s">
        <v>32</v>
      </c>
      <c r="F142" s="19" t="s">
        <v>406</v>
      </c>
      <c r="G142" s="19" t="s">
        <v>408</v>
      </c>
      <c r="H142" s="19" t="s">
        <v>32</v>
      </c>
      <c r="I142">
        <v>0</v>
      </c>
      <c r="J142">
        <v>16</v>
      </c>
      <c r="K142" s="1" t="s">
        <v>59</v>
      </c>
    </row>
    <row r="143" spans="1:11">
      <c r="A143" s="17" t="s">
        <v>350</v>
      </c>
      <c r="B143" s="19" t="s">
        <v>50</v>
      </c>
      <c r="C143" s="19" t="s">
        <v>409</v>
      </c>
      <c r="D143" s="19" t="s">
        <v>410</v>
      </c>
      <c r="E143" s="20" t="s">
        <v>32</v>
      </c>
      <c r="F143" s="19" t="s">
        <v>409</v>
      </c>
      <c r="G143" s="19" t="s">
        <v>411</v>
      </c>
      <c r="H143" s="19" t="s">
        <v>32</v>
      </c>
      <c r="I143">
        <v>0</v>
      </c>
      <c r="J143">
        <v>1830</v>
      </c>
      <c r="K143" s="1" t="s">
        <v>58</v>
      </c>
    </row>
    <row r="144" spans="1:11">
      <c r="A144" s="17" t="s">
        <v>350</v>
      </c>
      <c r="B144" s="19" t="s">
        <v>50</v>
      </c>
      <c r="C144" s="19" t="s">
        <v>409</v>
      </c>
      <c r="D144" s="19" t="s">
        <v>410</v>
      </c>
      <c r="E144" s="20" t="s">
        <v>32</v>
      </c>
      <c r="F144" s="19" t="s">
        <v>409</v>
      </c>
      <c r="G144" s="19" t="s">
        <v>411</v>
      </c>
      <c r="H144" s="19" t="s">
        <v>32</v>
      </c>
      <c r="I144">
        <v>0</v>
      </c>
      <c r="J144">
        <v>2</v>
      </c>
      <c r="K144" s="1" t="s">
        <v>59</v>
      </c>
    </row>
    <row r="145" spans="1:11">
      <c r="A145" s="17" t="s">
        <v>350</v>
      </c>
      <c r="B145" s="19" t="s">
        <v>50</v>
      </c>
      <c r="C145" s="19" t="s">
        <v>412</v>
      </c>
      <c r="D145" s="19" t="s">
        <v>413</v>
      </c>
      <c r="E145" s="20" t="s">
        <v>32</v>
      </c>
      <c r="F145" s="19" t="s">
        <v>412</v>
      </c>
      <c r="G145" s="19" t="s">
        <v>414</v>
      </c>
      <c r="H145" s="19" t="s">
        <v>32</v>
      </c>
      <c r="I145">
        <v>0</v>
      </c>
      <c r="J145">
        <v>127</v>
      </c>
      <c r="K145" s="1" t="s">
        <v>58</v>
      </c>
    </row>
    <row r="146" spans="1:11">
      <c r="A146" s="17" t="s">
        <v>350</v>
      </c>
      <c r="B146" s="19" t="s">
        <v>50</v>
      </c>
      <c r="C146" s="19" t="s">
        <v>412</v>
      </c>
      <c r="D146" s="19" t="s">
        <v>413</v>
      </c>
      <c r="E146" s="20" t="s">
        <v>32</v>
      </c>
      <c r="F146" s="19" t="s">
        <v>412</v>
      </c>
      <c r="G146" s="19" t="s">
        <v>414</v>
      </c>
      <c r="H146" s="19" t="s">
        <v>32</v>
      </c>
      <c r="I146">
        <v>0</v>
      </c>
      <c r="J146">
        <v>450</v>
      </c>
      <c r="K146" s="1" t="s">
        <v>59</v>
      </c>
    </row>
    <row r="147" spans="1:11">
      <c r="A147" s="17" t="s">
        <v>350</v>
      </c>
      <c r="B147" s="19" t="s">
        <v>50</v>
      </c>
      <c r="C147" s="19" t="s">
        <v>415</v>
      </c>
      <c r="D147" s="19" t="s">
        <v>416</v>
      </c>
      <c r="E147" s="20" t="s">
        <v>32</v>
      </c>
      <c r="F147" s="19" t="s">
        <v>415</v>
      </c>
      <c r="G147" s="19" t="s">
        <v>417</v>
      </c>
      <c r="H147" s="19" t="s">
        <v>32</v>
      </c>
      <c r="I147">
        <v>0</v>
      </c>
      <c r="J147">
        <v>212</v>
      </c>
      <c r="K147" s="1" t="s">
        <v>58</v>
      </c>
    </row>
    <row r="148" spans="1:11">
      <c r="A148" s="17" t="s">
        <v>350</v>
      </c>
      <c r="B148" s="19" t="s">
        <v>50</v>
      </c>
      <c r="C148" s="19" t="s">
        <v>415</v>
      </c>
      <c r="D148" s="19" t="s">
        <v>416</v>
      </c>
      <c r="E148" s="20" t="s">
        <v>32</v>
      </c>
      <c r="F148" s="19" t="s">
        <v>415</v>
      </c>
      <c r="G148" s="19" t="s">
        <v>417</v>
      </c>
      <c r="H148" s="19" t="s">
        <v>32</v>
      </c>
      <c r="I148">
        <v>0</v>
      </c>
      <c r="J148">
        <v>481</v>
      </c>
      <c r="K148" s="1" t="s">
        <v>59</v>
      </c>
    </row>
    <row r="149" spans="1:11">
      <c r="A149" s="17" t="s">
        <v>350</v>
      </c>
      <c r="B149" s="19" t="s">
        <v>50</v>
      </c>
      <c r="C149" s="19" t="s">
        <v>418</v>
      </c>
      <c r="D149" s="19" t="s">
        <v>419</v>
      </c>
      <c r="E149" s="20" t="s">
        <v>32</v>
      </c>
      <c r="F149" s="19" t="s">
        <v>418</v>
      </c>
      <c r="G149" s="19" t="s">
        <v>420</v>
      </c>
      <c r="H149" s="19" t="s">
        <v>32</v>
      </c>
      <c r="I149">
        <v>0</v>
      </c>
      <c r="J149">
        <v>1424</v>
      </c>
      <c r="K149" s="1" t="s">
        <v>58</v>
      </c>
    </row>
    <row r="150" spans="1:11">
      <c r="A150" s="17" t="s">
        <v>350</v>
      </c>
      <c r="B150" s="19" t="s">
        <v>50</v>
      </c>
      <c r="C150" s="19" t="s">
        <v>418</v>
      </c>
      <c r="D150" s="19" t="s">
        <v>419</v>
      </c>
      <c r="E150" s="20" t="s">
        <v>32</v>
      </c>
      <c r="F150" s="19" t="s">
        <v>418</v>
      </c>
      <c r="G150" s="19" t="s">
        <v>420</v>
      </c>
      <c r="H150" s="19" t="s">
        <v>32</v>
      </c>
      <c r="I150">
        <v>0</v>
      </c>
      <c r="J150">
        <v>23760</v>
      </c>
      <c r="K150" s="1" t="s">
        <v>59</v>
      </c>
    </row>
    <row r="151" spans="1:11">
      <c r="A151" s="17" t="s">
        <v>350</v>
      </c>
      <c r="B151" s="19" t="s">
        <v>50</v>
      </c>
      <c r="C151" s="19" t="s">
        <v>421</v>
      </c>
      <c r="D151" s="19" t="s">
        <v>422</v>
      </c>
      <c r="E151" s="20" t="s">
        <v>32</v>
      </c>
      <c r="F151" s="19" t="s">
        <v>421</v>
      </c>
      <c r="G151" s="19" t="s">
        <v>423</v>
      </c>
      <c r="H151" s="19" t="s">
        <v>32</v>
      </c>
      <c r="I151">
        <v>0</v>
      </c>
      <c r="J151">
        <v>187</v>
      </c>
      <c r="K151" s="1" t="s">
        <v>58</v>
      </c>
    </row>
    <row r="152" spans="1:11">
      <c r="A152" s="17" t="s">
        <v>350</v>
      </c>
      <c r="B152" s="19" t="s">
        <v>50</v>
      </c>
      <c r="C152" s="19" t="s">
        <v>421</v>
      </c>
      <c r="D152" s="19" t="s">
        <v>422</v>
      </c>
      <c r="E152" s="20" t="s">
        <v>32</v>
      </c>
      <c r="F152" s="19" t="s">
        <v>421</v>
      </c>
      <c r="G152" s="19" t="s">
        <v>423</v>
      </c>
      <c r="H152" s="19" t="s">
        <v>32</v>
      </c>
      <c r="I152">
        <v>0</v>
      </c>
      <c r="J152">
        <v>117</v>
      </c>
      <c r="K152" s="1" t="s">
        <v>59</v>
      </c>
    </row>
    <row r="153" spans="1:11">
      <c r="A153" s="17" t="s">
        <v>350</v>
      </c>
      <c r="B153" s="19" t="s">
        <v>50</v>
      </c>
      <c r="C153" s="19" t="s">
        <v>424</v>
      </c>
      <c r="D153" s="19" t="s">
        <v>425</v>
      </c>
      <c r="E153" s="20" t="s">
        <v>32</v>
      </c>
      <c r="F153" s="19" t="s">
        <v>424</v>
      </c>
      <c r="G153" s="19" t="s">
        <v>426</v>
      </c>
      <c r="H153" s="19" t="s">
        <v>32</v>
      </c>
      <c r="I153">
        <v>0</v>
      </c>
      <c r="J153">
        <v>2322</v>
      </c>
      <c r="K153" s="1" t="s">
        <v>58</v>
      </c>
    </row>
    <row r="154" spans="1:11">
      <c r="A154" s="17" t="s">
        <v>350</v>
      </c>
      <c r="B154" s="19" t="s">
        <v>50</v>
      </c>
      <c r="C154" s="19" t="s">
        <v>424</v>
      </c>
      <c r="D154" s="19" t="s">
        <v>425</v>
      </c>
      <c r="E154" s="20" t="s">
        <v>32</v>
      </c>
      <c r="F154" s="19" t="s">
        <v>424</v>
      </c>
      <c r="G154" s="19" t="s">
        <v>426</v>
      </c>
      <c r="H154" s="19" t="s">
        <v>32</v>
      </c>
      <c r="I154">
        <v>0</v>
      </c>
      <c r="J154">
        <v>250</v>
      </c>
      <c r="K154" s="1" t="s">
        <v>59</v>
      </c>
    </row>
    <row r="155" spans="1:11">
      <c r="A155" s="17" t="s">
        <v>350</v>
      </c>
      <c r="B155" s="19" t="s">
        <v>50</v>
      </c>
      <c r="C155" s="19" t="s">
        <v>427</v>
      </c>
      <c r="D155" s="19" t="s">
        <v>428</v>
      </c>
      <c r="E155" s="20" t="s">
        <v>32</v>
      </c>
      <c r="F155" s="19" t="s">
        <v>427</v>
      </c>
      <c r="G155" s="19" t="s">
        <v>429</v>
      </c>
      <c r="H155" s="19" t="s">
        <v>32</v>
      </c>
      <c r="I155">
        <v>0</v>
      </c>
      <c r="J155">
        <v>160</v>
      </c>
      <c r="K155" s="1" t="s">
        <v>58</v>
      </c>
    </row>
    <row r="156" spans="1:11">
      <c r="A156" s="17" t="s">
        <v>350</v>
      </c>
      <c r="B156" s="19" t="s">
        <v>50</v>
      </c>
      <c r="C156" s="19" t="s">
        <v>427</v>
      </c>
      <c r="D156" s="19" t="s">
        <v>428</v>
      </c>
      <c r="E156" s="20" t="s">
        <v>32</v>
      </c>
      <c r="F156" s="19" t="s">
        <v>427</v>
      </c>
      <c r="G156" s="19" t="s">
        <v>429</v>
      </c>
      <c r="H156" s="19" t="s">
        <v>32</v>
      </c>
      <c r="I156">
        <v>0</v>
      </c>
      <c r="J156">
        <v>830</v>
      </c>
      <c r="K156" s="1" t="s">
        <v>58</v>
      </c>
    </row>
    <row r="157" spans="1:11">
      <c r="A157" s="17" t="s">
        <v>350</v>
      </c>
      <c r="B157" s="19" t="s">
        <v>50</v>
      </c>
      <c r="C157" s="19" t="s">
        <v>430</v>
      </c>
      <c r="D157" s="19" t="s">
        <v>431</v>
      </c>
      <c r="E157" s="20" t="s">
        <v>32</v>
      </c>
      <c r="F157" s="19" t="s">
        <v>430</v>
      </c>
      <c r="G157" s="19" t="s">
        <v>432</v>
      </c>
      <c r="H157" s="19" t="s">
        <v>32</v>
      </c>
      <c r="I157">
        <v>0</v>
      </c>
      <c r="J157">
        <v>1032</v>
      </c>
      <c r="K157" s="1" t="s">
        <v>59</v>
      </c>
    </row>
    <row r="158" spans="1:11">
      <c r="A158" s="17" t="s">
        <v>350</v>
      </c>
      <c r="B158" s="19" t="s">
        <v>50</v>
      </c>
      <c r="C158" s="19" t="s">
        <v>430</v>
      </c>
      <c r="D158" s="19" t="s">
        <v>431</v>
      </c>
      <c r="E158" s="20" t="s">
        <v>32</v>
      </c>
      <c r="F158" s="19" t="s">
        <v>430</v>
      </c>
      <c r="G158" s="19" t="s">
        <v>432</v>
      </c>
      <c r="H158" s="19" t="s">
        <v>32</v>
      </c>
      <c r="I158">
        <v>0</v>
      </c>
      <c r="J158">
        <v>3</v>
      </c>
      <c r="K158" s="1" t="s">
        <v>58</v>
      </c>
    </row>
    <row r="159" spans="1:11">
      <c r="A159" s="17" t="s">
        <v>350</v>
      </c>
      <c r="B159" s="19" t="s">
        <v>50</v>
      </c>
      <c r="C159" s="19" t="s">
        <v>433</v>
      </c>
      <c r="D159" s="19" t="s">
        <v>434</v>
      </c>
      <c r="E159" s="20" t="s">
        <v>32</v>
      </c>
      <c r="F159" s="19" t="s">
        <v>433</v>
      </c>
      <c r="G159" s="19" t="s">
        <v>435</v>
      </c>
      <c r="H159" s="19" t="s">
        <v>32</v>
      </c>
      <c r="I159">
        <v>0</v>
      </c>
      <c r="J159">
        <v>6226</v>
      </c>
      <c r="K159" s="1" t="s">
        <v>59</v>
      </c>
    </row>
    <row r="160" spans="1:11">
      <c r="A160" s="17" t="s">
        <v>350</v>
      </c>
      <c r="B160" s="19" t="s">
        <v>50</v>
      </c>
      <c r="C160" s="19" t="s">
        <v>433</v>
      </c>
      <c r="D160" s="19" t="s">
        <v>434</v>
      </c>
      <c r="E160" s="20" t="s">
        <v>32</v>
      </c>
      <c r="F160" s="19" t="s">
        <v>433</v>
      </c>
      <c r="G160" s="19" t="s">
        <v>435</v>
      </c>
      <c r="H160" s="19" t="s">
        <v>32</v>
      </c>
      <c r="I160">
        <v>0</v>
      </c>
      <c r="J160">
        <v>6504</v>
      </c>
      <c r="K160" s="1" t="s">
        <v>58</v>
      </c>
    </row>
    <row r="161" spans="1:11">
      <c r="A161" s="17" t="s">
        <v>350</v>
      </c>
      <c r="B161" s="19" t="s">
        <v>50</v>
      </c>
      <c r="C161" s="19" t="s">
        <v>436</v>
      </c>
      <c r="D161" s="19" t="s">
        <v>437</v>
      </c>
      <c r="E161" s="20" t="s">
        <v>32</v>
      </c>
      <c r="F161" s="19" t="s">
        <v>436</v>
      </c>
      <c r="G161" s="19" t="s">
        <v>438</v>
      </c>
      <c r="H161" s="19" t="s">
        <v>32</v>
      </c>
      <c r="I161">
        <v>2</v>
      </c>
      <c r="J161">
        <v>3107</v>
      </c>
      <c r="K161" s="1" t="s">
        <v>59</v>
      </c>
    </row>
    <row r="162" spans="1:11">
      <c r="A162" s="17" t="s">
        <v>350</v>
      </c>
      <c r="B162" s="19" t="s">
        <v>50</v>
      </c>
      <c r="C162" s="19" t="s">
        <v>439</v>
      </c>
      <c r="D162" s="19" t="s">
        <v>440</v>
      </c>
      <c r="E162" s="20" t="s">
        <v>32</v>
      </c>
      <c r="F162" s="19" t="s">
        <v>439</v>
      </c>
      <c r="G162" s="19" t="s">
        <v>441</v>
      </c>
      <c r="H162" s="19" t="s">
        <v>32</v>
      </c>
      <c r="I162">
        <v>0</v>
      </c>
      <c r="J162">
        <v>1331</v>
      </c>
      <c r="K162" s="1" t="s">
        <v>58</v>
      </c>
    </row>
    <row r="163" spans="1:11">
      <c r="A163" s="17" t="s">
        <v>350</v>
      </c>
      <c r="B163" s="19" t="s">
        <v>50</v>
      </c>
      <c r="C163" s="19" t="s">
        <v>442</v>
      </c>
      <c r="D163" s="19" t="s">
        <v>443</v>
      </c>
      <c r="E163" s="20" t="s">
        <v>32</v>
      </c>
      <c r="F163" s="19" t="s">
        <v>442</v>
      </c>
      <c r="G163" s="19" t="s">
        <v>444</v>
      </c>
      <c r="H163" s="19" t="s">
        <v>32</v>
      </c>
      <c r="I163">
        <v>0</v>
      </c>
      <c r="J163">
        <v>4083</v>
      </c>
      <c r="K163" s="1" t="s">
        <v>59</v>
      </c>
    </row>
    <row r="164" spans="1:11">
      <c r="A164" s="17" t="s">
        <v>350</v>
      </c>
      <c r="B164" s="19" t="s">
        <v>50</v>
      </c>
      <c r="C164" s="19" t="s">
        <v>442</v>
      </c>
      <c r="D164" s="19" t="s">
        <v>443</v>
      </c>
      <c r="E164" s="20" t="s">
        <v>32</v>
      </c>
      <c r="F164" s="19" t="s">
        <v>442</v>
      </c>
      <c r="G164" s="19" t="s">
        <v>444</v>
      </c>
      <c r="H164" s="19" t="s">
        <v>32</v>
      </c>
      <c r="I164">
        <v>0</v>
      </c>
      <c r="J164">
        <v>3</v>
      </c>
      <c r="K164" s="1" t="s">
        <v>58</v>
      </c>
    </row>
    <row r="165" spans="1:11">
      <c r="A165" s="17" t="s">
        <v>350</v>
      </c>
      <c r="B165" s="19" t="s">
        <v>50</v>
      </c>
      <c r="C165" s="19" t="s">
        <v>445</v>
      </c>
      <c r="D165" s="19" t="s">
        <v>446</v>
      </c>
      <c r="E165" s="20" t="s">
        <v>32</v>
      </c>
      <c r="F165" s="19" t="s">
        <v>445</v>
      </c>
      <c r="G165" s="19" t="s">
        <v>447</v>
      </c>
      <c r="H165" s="19" t="s">
        <v>32</v>
      </c>
      <c r="I165">
        <v>0</v>
      </c>
      <c r="J165">
        <v>2339</v>
      </c>
      <c r="K165" s="1" t="s">
        <v>59</v>
      </c>
    </row>
    <row r="166" spans="1:11">
      <c r="A166" s="17" t="s">
        <v>350</v>
      </c>
      <c r="B166" s="19" t="s">
        <v>50</v>
      </c>
      <c r="C166" s="19" t="s">
        <v>445</v>
      </c>
      <c r="D166" s="19" t="s">
        <v>446</v>
      </c>
      <c r="E166" s="20" t="s">
        <v>32</v>
      </c>
      <c r="F166" s="19" t="s">
        <v>445</v>
      </c>
      <c r="G166" s="19" t="s">
        <v>447</v>
      </c>
      <c r="H166" s="19" t="s">
        <v>32</v>
      </c>
      <c r="I166">
        <v>0</v>
      </c>
      <c r="J166">
        <v>3</v>
      </c>
      <c r="K166" s="1" t="s">
        <v>58</v>
      </c>
    </row>
    <row r="167" spans="1:11">
      <c r="A167" s="17" t="s">
        <v>350</v>
      </c>
      <c r="B167" s="19" t="s">
        <v>50</v>
      </c>
      <c r="C167" s="19" t="s">
        <v>448</v>
      </c>
      <c r="D167" s="19" t="s">
        <v>449</v>
      </c>
      <c r="E167" s="20" t="s">
        <v>32</v>
      </c>
      <c r="F167" s="19" t="s">
        <v>448</v>
      </c>
      <c r="G167" s="19" t="s">
        <v>450</v>
      </c>
      <c r="H167" s="19" t="s">
        <v>32</v>
      </c>
      <c r="I167">
        <v>0</v>
      </c>
      <c r="J167">
        <v>2620</v>
      </c>
      <c r="K167" s="1" t="s">
        <v>59</v>
      </c>
    </row>
    <row r="168" spans="1:11">
      <c r="A168" s="17" t="s">
        <v>350</v>
      </c>
      <c r="B168" s="19" t="s">
        <v>50</v>
      </c>
      <c r="C168" s="19" t="s">
        <v>448</v>
      </c>
      <c r="D168" s="19" t="s">
        <v>449</v>
      </c>
      <c r="E168" s="20" t="s">
        <v>32</v>
      </c>
      <c r="F168" s="19" t="s">
        <v>448</v>
      </c>
      <c r="G168" s="19" t="s">
        <v>450</v>
      </c>
      <c r="H168" s="19" t="s">
        <v>32</v>
      </c>
      <c r="I168">
        <v>0</v>
      </c>
      <c r="J168">
        <v>3</v>
      </c>
      <c r="K168" s="1" t="s">
        <v>58</v>
      </c>
    </row>
    <row r="169" spans="1:11">
      <c r="A169" s="17" t="s">
        <v>350</v>
      </c>
      <c r="B169" s="19" t="s">
        <v>50</v>
      </c>
      <c r="C169" s="19" t="s">
        <v>451</v>
      </c>
      <c r="D169" s="19" t="s">
        <v>452</v>
      </c>
      <c r="E169" s="20" t="s">
        <v>32</v>
      </c>
      <c r="F169" s="19" t="s">
        <v>451</v>
      </c>
      <c r="G169" s="19" t="s">
        <v>453</v>
      </c>
      <c r="H169" s="19" t="s">
        <v>32</v>
      </c>
      <c r="I169">
        <v>0</v>
      </c>
      <c r="J169">
        <v>2</v>
      </c>
      <c r="K169" s="1" t="s">
        <v>59</v>
      </c>
    </row>
    <row r="170" spans="1:11">
      <c r="A170" s="17" t="s">
        <v>350</v>
      </c>
      <c r="B170" s="19" t="s">
        <v>50</v>
      </c>
      <c r="C170" s="19" t="s">
        <v>454</v>
      </c>
      <c r="D170" s="19" t="s">
        <v>455</v>
      </c>
      <c r="E170" s="20" t="s">
        <v>32</v>
      </c>
      <c r="F170" s="19" t="s">
        <v>454</v>
      </c>
      <c r="G170" s="19" t="s">
        <v>456</v>
      </c>
      <c r="H170" s="19" t="s">
        <v>32</v>
      </c>
      <c r="I170">
        <v>0</v>
      </c>
      <c r="J170">
        <v>10</v>
      </c>
      <c r="K170" s="1" t="s">
        <v>58</v>
      </c>
    </row>
    <row r="171" spans="1:11">
      <c r="A171" s="17" t="s">
        <v>350</v>
      </c>
      <c r="B171" s="19" t="s">
        <v>50</v>
      </c>
      <c r="C171" s="19" t="s">
        <v>454</v>
      </c>
      <c r="D171" s="19" t="s">
        <v>455</v>
      </c>
      <c r="E171" s="20" t="s">
        <v>32</v>
      </c>
      <c r="F171" s="19" t="s">
        <v>454</v>
      </c>
      <c r="G171" s="19" t="s">
        <v>456</v>
      </c>
      <c r="H171" s="19" t="s">
        <v>32</v>
      </c>
      <c r="I171">
        <v>0</v>
      </c>
      <c r="J171">
        <v>1</v>
      </c>
      <c r="K171" s="1" t="s">
        <v>59</v>
      </c>
    </row>
    <row r="172" spans="1:11">
      <c r="A172" s="17" t="s">
        <v>350</v>
      </c>
      <c r="B172" s="19" t="s">
        <v>50</v>
      </c>
      <c r="C172" s="19" t="s">
        <v>457</v>
      </c>
      <c r="D172" s="19" t="s">
        <v>458</v>
      </c>
      <c r="E172" s="20" t="s">
        <v>32</v>
      </c>
      <c r="F172" s="19" t="s">
        <v>457</v>
      </c>
      <c r="G172" s="19" t="s">
        <v>459</v>
      </c>
      <c r="H172" s="19" t="s">
        <v>32</v>
      </c>
      <c r="I172">
        <v>0</v>
      </c>
      <c r="J172">
        <v>336</v>
      </c>
      <c r="K172" s="1" t="s">
        <v>58</v>
      </c>
    </row>
    <row r="173" spans="1:11">
      <c r="A173" s="17" t="s">
        <v>350</v>
      </c>
      <c r="B173" s="19" t="s">
        <v>50</v>
      </c>
      <c r="C173" s="19" t="s">
        <v>457</v>
      </c>
      <c r="D173" s="19" t="s">
        <v>458</v>
      </c>
      <c r="E173" s="20" t="s">
        <v>32</v>
      </c>
      <c r="F173" s="19" t="s">
        <v>457</v>
      </c>
      <c r="G173" s="19" t="s">
        <v>459</v>
      </c>
      <c r="H173" s="19" t="s">
        <v>32</v>
      </c>
      <c r="I173">
        <v>0</v>
      </c>
      <c r="J173">
        <v>1</v>
      </c>
      <c r="K173" s="1" t="s">
        <v>59</v>
      </c>
    </row>
    <row r="174" spans="1:11">
      <c r="A174" s="17" t="s">
        <v>350</v>
      </c>
      <c r="B174" s="19" t="s">
        <v>50</v>
      </c>
      <c r="C174" s="19" t="s">
        <v>460</v>
      </c>
      <c r="D174" s="19" t="s">
        <v>461</v>
      </c>
      <c r="E174" s="20" t="s">
        <v>32</v>
      </c>
      <c r="F174" s="19" t="s">
        <v>460</v>
      </c>
      <c r="G174" s="19" t="s">
        <v>462</v>
      </c>
      <c r="H174" s="19" t="s">
        <v>32</v>
      </c>
      <c r="I174">
        <v>0</v>
      </c>
      <c r="J174">
        <v>47</v>
      </c>
      <c r="K174" s="1" t="s">
        <v>58</v>
      </c>
    </row>
    <row r="175" spans="1:11">
      <c r="A175" s="17" t="s">
        <v>350</v>
      </c>
      <c r="B175" s="19" t="s">
        <v>50</v>
      </c>
      <c r="C175" s="19" t="s">
        <v>460</v>
      </c>
      <c r="D175" s="19" t="s">
        <v>461</v>
      </c>
      <c r="E175" s="20" t="s">
        <v>32</v>
      </c>
      <c r="F175" s="19" t="s">
        <v>460</v>
      </c>
      <c r="G175" s="19" t="s">
        <v>462</v>
      </c>
      <c r="H175" s="19" t="s">
        <v>32</v>
      </c>
      <c r="I175">
        <v>0</v>
      </c>
      <c r="J175">
        <v>1</v>
      </c>
      <c r="K175" s="1" t="s">
        <v>59</v>
      </c>
    </row>
    <row r="176" spans="1:11">
      <c r="A176" s="17" t="s">
        <v>350</v>
      </c>
      <c r="B176" s="19" t="s">
        <v>50</v>
      </c>
      <c r="C176" s="19" t="s">
        <v>463</v>
      </c>
      <c r="D176" s="19" t="s">
        <v>464</v>
      </c>
      <c r="E176" s="20" t="s">
        <v>32</v>
      </c>
      <c r="F176" s="19" t="s">
        <v>463</v>
      </c>
      <c r="G176" s="19" t="s">
        <v>465</v>
      </c>
      <c r="H176" s="19" t="s">
        <v>32</v>
      </c>
      <c r="I176">
        <v>0</v>
      </c>
      <c r="J176">
        <v>7560</v>
      </c>
      <c r="K176" s="1" t="s">
        <v>58</v>
      </c>
    </row>
    <row r="177" spans="1:11">
      <c r="A177" s="17" t="s">
        <v>350</v>
      </c>
      <c r="B177" s="19" t="s">
        <v>49</v>
      </c>
      <c r="C177" s="19" t="s">
        <v>466</v>
      </c>
      <c r="D177" s="19" t="s">
        <v>467</v>
      </c>
      <c r="E177" s="20" t="s">
        <v>12</v>
      </c>
      <c r="F177" s="19" t="s">
        <v>466</v>
      </c>
      <c r="G177" s="19" t="s">
        <v>468</v>
      </c>
      <c r="H177" s="19" t="s">
        <v>31</v>
      </c>
      <c r="I177">
        <v>1</v>
      </c>
      <c r="J177">
        <v>0</v>
      </c>
      <c r="K177" s="1" t="s">
        <v>59</v>
      </c>
    </row>
    <row r="178" spans="1:11">
      <c r="A178" s="17" t="s">
        <v>350</v>
      </c>
      <c r="B178" s="19" t="s">
        <v>49</v>
      </c>
      <c r="C178" s="19" t="s">
        <v>469</v>
      </c>
      <c r="D178" s="19" t="s">
        <v>470</v>
      </c>
      <c r="E178" s="20" t="s">
        <v>12</v>
      </c>
      <c r="F178" s="19" t="s">
        <v>469</v>
      </c>
      <c r="G178" s="19" t="s">
        <v>471</v>
      </c>
      <c r="H178" s="19" t="s">
        <v>31</v>
      </c>
      <c r="I178">
        <v>1</v>
      </c>
      <c r="J178">
        <v>1</v>
      </c>
      <c r="K178" s="1" t="s">
        <v>58</v>
      </c>
    </row>
    <row r="179" spans="1:11">
      <c r="A179" s="17" t="s">
        <v>350</v>
      </c>
      <c r="B179" s="19" t="s">
        <v>49</v>
      </c>
      <c r="C179" s="19" t="s">
        <v>469</v>
      </c>
      <c r="D179" s="19" t="s">
        <v>470</v>
      </c>
      <c r="E179" s="20" t="s">
        <v>32</v>
      </c>
      <c r="F179" s="19" t="s">
        <v>472</v>
      </c>
      <c r="G179" s="19" t="s">
        <v>473</v>
      </c>
      <c r="H179" s="19" t="s">
        <v>32</v>
      </c>
      <c r="I179">
        <v>0</v>
      </c>
      <c r="J179">
        <v>1</v>
      </c>
      <c r="K179" s="1" t="s">
        <v>59</v>
      </c>
    </row>
    <row r="180" spans="1:11">
      <c r="A180" s="17" t="s">
        <v>350</v>
      </c>
      <c r="B180" s="19" t="s">
        <v>49</v>
      </c>
      <c r="C180" s="19" t="s">
        <v>474</v>
      </c>
      <c r="D180" s="19" t="s">
        <v>475</v>
      </c>
      <c r="E180" s="20" t="s">
        <v>12</v>
      </c>
      <c r="F180" s="19" t="s">
        <v>474</v>
      </c>
      <c r="G180" s="19" t="s">
        <v>476</v>
      </c>
      <c r="H180" s="19" t="s">
        <v>31</v>
      </c>
      <c r="I180">
        <v>526837</v>
      </c>
      <c r="J180">
        <v>963</v>
      </c>
      <c r="K180" s="1" t="s">
        <v>58</v>
      </c>
    </row>
    <row r="181" spans="1:11">
      <c r="A181" s="17" t="s">
        <v>350</v>
      </c>
      <c r="B181" s="19" t="s">
        <v>49</v>
      </c>
      <c r="C181" s="19" t="s">
        <v>477</v>
      </c>
      <c r="D181" s="19" t="s">
        <v>478</v>
      </c>
      <c r="E181" s="20" t="s">
        <v>12</v>
      </c>
      <c r="F181" s="19" t="s">
        <v>477</v>
      </c>
      <c r="G181" s="19" t="s">
        <v>479</v>
      </c>
      <c r="H181" s="19" t="s">
        <v>31</v>
      </c>
      <c r="I181">
        <v>435803</v>
      </c>
      <c r="J181">
        <v>1819</v>
      </c>
      <c r="K181" s="1" t="s">
        <v>59</v>
      </c>
    </row>
    <row r="182" spans="1:11">
      <c r="A182" s="17" t="s">
        <v>350</v>
      </c>
      <c r="B182" s="19" t="s">
        <v>49</v>
      </c>
      <c r="C182" s="19" t="s">
        <v>477</v>
      </c>
      <c r="D182" s="19" t="s">
        <v>478</v>
      </c>
      <c r="E182" s="20" t="s">
        <v>12</v>
      </c>
      <c r="F182" s="19" t="s">
        <v>477</v>
      </c>
      <c r="G182" s="19" t="s">
        <v>479</v>
      </c>
      <c r="H182" s="19" t="s">
        <v>31</v>
      </c>
      <c r="I182">
        <v>2</v>
      </c>
      <c r="J182">
        <v>2</v>
      </c>
      <c r="K182" s="1" t="s">
        <v>58</v>
      </c>
    </row>
    <row r="183" spans="1:11">
      <c r="A183" s="17" t="s">
        <v>350</v>
      </c>
      <c r="B183" s="19" t="s">
        <v>49</v>
      </c>
      <c r="C183" s="19" t="s">
        <v>480</v>
      </c>
      <c r="D183" s="19" t="s">
        <v>481</v>
      </c>
      <c r="E183" s="20" t="s">
        <v>12</v>
      </c>
      <c r="F183" s="19" t="s">
        <v>480</v>
      </c>
      <c r="G183" s="19" t="s">
        <v>482</v>
      </c>
      <c r="H183" s="19" t="s">
        <v>31</v>
      </c>
      <c r="I183">
        <v>165010</v>
      </c>
      <c r="J183">
        <v>63</v>
      </c>
      <c r="K183" s="1" t="s">
        <v>59</v>
      </c>
    </row>
    <row r="184" spans="1:11">
      <c r="A184" s="17" t="s">
        <v>350</v>
      </c>
      <c r="B184" s="19" t="s">
        <v>49</v>
      </c>
      <c r="C184" s="19" t="s">
        <v>483</v>
      </c>
      <c r="D184" s="19" t="s">
        <v>484</v>
      </c>
      <c r="E184" s="20" t="s">
        <v>12</v>
      </c>
      <c r="F184" s="19" t="s">
        <v>483</v>
      </c>
      <c r="G184" s="19" t="s">
        <v>485</v>
      </c>
      <c r="H184" s="19" t="s">
        <v>31</v>
      </c>
      <c r="I184">
        <v>12465</v>
      </c>
      <c r="J184">
        <v>37</v>
      </c>
      <c r="K184" s="1" t="s">
        <v>58</v>
      </c>
    </row>
    <row r="185" spans="1:11">
      <c r="A185" s="17" t="s">
        <v>350</v>
      </c>
      <c r="B185" s="19" t="s">
        <v>49</v>
      </c>
      <c r="C185" s="19" t="s">
        <v>486</v>
      </c>
      <c r="D185" s="19" t="s">
        <v>487</v>
      </c>
      <c r="E185" s="20" t="s">
        <v>12</v>
      </c>
      <c r="F185" s="19" t="s">
        <v>486</v>
      </c>
      <c r="G185" s="19" t="s">
        <v>488</v>
      </c>
      <c r="H185" s="19" t="s">
        <v>31</v>
      </c>
      <c r="I185">
        <v>606118</v>
      </c>
      <c r="J185">
        <v>6896</v>
      </c>
      <c r="K185" s="1" t="s">
        <v>59</v>
      </c>
    </row>
    <row r="186" spans="1:11">
      <c r="A186" s="17" t="s">
        <v>350</v>
      </c>
      <c r="B186" s="19" t="s">
        <v>49</v>
      </c>
      <c r="C186" s="19" t="s">
        <v>486</v>
      </c>
      <c r="D186" s="19" t="s">
        <v>487</v>
      </c>
      <c r="E186" s="20" t="s">
        <v>12</v>
      </c>
      <c r="F186" s="19" t="s">
        <v>486</v>
      </c>
      <c r="G186" s="19" t="s">
        <v>488</v>
      </c>
      <c r="H186" s="19" t="s">
        <v>31</v>
      </c>
      <c r="I186">
        <v>0</v>
      </c>
      <c r="J186">
        <v>10</v>
      </c>
      <c r="K186" s="1" t="s">
        <v>58</v>
      </c>
    </row>
    <row r="187" spans="1:11">
      <c r="A187" s="17" t="s">
        <v>350</v>
      </c>
      <c r="B187" s="19" t="s">
        <v>49</v>
      </c>
      <c r="C187" s="19" t="s">
        <v>489</v>
      </c>
      <c r="D187" s="19" t="s">
        <v>490</v>
      </c>
      <c r="E187" s="20" t="s">
        <v>12</v>
      </c>
      <c r="F187" s="19" t="s">
        <v>489</v>
      </c>
      <c r="G187" s="19" t="s">
        <v>491</v>
      </c>
      <c r="H187" s="19" t="s">
        <v>31</v>
      </c>
      <c r="I187">
        <v>52581</v>
      </c>
      <c r="J187">
        <v>2385</v>
      </c>
      <c r="K187" s="1" t="s">
        <v>59</v>
      </c>
    </row>
    <row r="188" spans="1:11">
      <c r="A188" s="17" t="s">
        <v>350</v>
      </c>
      <c r="B188" s="19" t="s">
        <v>49</v>
      </c>
      <c r="C188" s="19" t="s">
        <v>489</v>
      </c>
      <c r="D188" s="19" t="s">
        <v>490</v>
      </c>
      <c r="E188" s="20" t="s">
        <v>12</v>
      </c>
      <c r="F188" s="19" t="s">
        <v>489</v>
      </c>
      <c r="G188" s="19" t="s">
        <v>491</v>
      </c>
      <c r="H188" s="19" t="s">
        <v>31</v>
      </c>
      <c r="I188">
        <v>0</v>
      </c>
      <c r="J188">
        <v>20</v>
      </c>
      <c r="K188" s="1" t="s">
        <v>58</v>
      </c>
    </row>
    <row r="189" spans="1:11">
      <c r="A189" s="17" t="s">
        <v>350</v>
      </c>
      <c r="B189" s="19" t="s">
        <v>49</v>
      </c>
      <c r="C189" s="19" t="s">
        <v>492</v>
      </c>
      <c r="D189" s="19" t="s">
        <v>493</v>
      </c>
      <c r="E189" s="20" t="s">
        <v>12</v>
      </c>
      <c r="F189" s="19" t="s">
        <v>492</v>
      </c>
      <c r="G189" s="19" t="s">
        <v>494</v>
      </c>
      <c r="H189" s="19" t="s">
        <v>31</v>
      </c>
      <c r="I189">
        <v>17845</v>
      </c>
      <c r="J189">
        <v>22</v>
      </c>
      <c r="K189" s="1" t="s">
        <v>59</v>
      </c>
    </row>
    <row r="190" spans="1:11">
      <c r="A190" s="17" t="s">
        <v>350</v>
      </c>
      <c r="B190" s="19" t="s">
        <v>49</v>
      </c>
      <c r="C190" s="19" t="s">
        <v>495</v>
      </c>
      <c r="D190" s="19" t="s">
        <v>496</v>
      </c>
      <c r="E190" s="20" t="s">
        <v>12</v>
      </c>
      <c r="F190" s="19" t="s">
        <v>495</v>
      </c>
      <c r="G190" s="19" t="s">
        <v>497</v>
      </c>
      <c r="H190" s="19" t="s">
        <v>31</v>
      </c>
      <c r="I190">
        <v>11800</v>
      </c>
      <c r="J190">
        <v>18</v>
      </c>
      <c r="K190" s="1" t="s">
        <v>58</v>
      </c>
    </row>
    <row r="191" spans="1:11">
      <c r="A191" s="17" t="s">
        <v>350</v>
      </c>
      <c r="B191" s="19" t="s">
        <v>49</v>
      </c>
      <c r="C191" s="19" t="s">
        <v>495</v>
      </c>
      <c r="D191" s="19" t="s">
        <v>496</v>
      </c>
      <c r="E191" s="20" t="s">
        <v>12</v>
      </c>
      <c r="F191" s="19" t="s">
        <v>495</v>
      </c>
      <c r="G191" s="19" t="s">
        <v>497</v>
      </c>
      <c r="H191" s="19" t="s">
        <v>31</v>
      </c>
      <c r="I191">
        <v>1</v>
      </c>
      <c r="J191">
        <v>0</v>
      </c>
      <c r="K191" s="1" t="s">
        <v>59</v>
      </c>
    </row>
    <row r="192" spans="1:11">
      <c r="A192" s="17" t="s">
        <v>350</v>
      </c>
      <c r="B192" s="19" t="s">
        <v>49</v>
      </c>
      <c r="C192" s="19" t="s">
        <v>498</v>
      </c>
      <c r="D192" s="19" t="s">
        <v>499</v>
      </c>
      <c r="E192" s="20" t="s">
        <v>12</v>
      </c>
      <c r="F192" s="19" t="s">
        <v>498</v>
      </c>
      <c r="G192" s="19" t="s">
        <v>500</v>
      </c>
      <c r="H192" s="19" t="s">
        <v>31</v>
      </c>
      <c r="I192">
        <v>1498889</v>
      </c>
      <c r="J192">
        <v>18825</v>
      </c>
      <c r="K192" s="1" t="s">
        <v>58</v>
      </c>
    </row>
    <row r="193" spans="1:11">
      <c r="A193" s="17" t="s">
        <v>350</v>
      </c>
      <c r="B193" s="19" t="s">
        <v>49</v>
      </c>
      <c r="C193" s="19" t="s">
        <v>498</v>
      </c>
      <c r="D193" s="19" t="s">
        <v>499</v>
      </c>
      <c r="E193" s="20" t="s">
        <v>12</v>
      </c>
      <c r="F193" s="19" t="s">
        <v>498</v>
      </c>
      <c r="G193" s="19" t="s">
        <v>500</v>
      </c>
      <c r="H193" s="19" t="s">
        <v>31</v>
      </c>
      <c r="I193">
        <v>0</v>
      </c>
      <c r="J193">
        <v>85</v>
      </c>
      <c r="K193" s="1" t="s">
        <v>59</v>
      </c>
    </row>
    <row r="194" spans="1:11">
      <c r="A194" s="17" t="s">
        <v>350</v>
      </c>
      <c r="B194" s="19" t="s">
        <v>49</v>
      </c>
      <c r="C194" s="19" t="s">
        <v>501</v>
      </c>
      <c r="D194" s="19" t="s">
        <v>502</v>
      </c>
      <c r="E194" s="20" t="s">
        <v>12</v>
      </c>
      <c r="F194" s="19" t="s">
        <v>501</v>
      </c>
      <c r="G194" s="19" t="s">
        <v>503</v>
      </c>
      <c r="H194" s="19" t="s">
        <v>31</v>
      </c>
      <c r="I194">
        <v>20881</v>
      </c>
      <c r="J194">
        <v>635</v>
      </c>
      <c r="K194" s="1" t="s">
        <v>58</v>
      </c>
    </row>
    <row r="195" spans="1:11">
      <c r="A195" s="17" t="s">
        <v>350</v>
      </c>
      <c r="B195" s="19" t="s">
        <v>49</v>
      </c>
      <c r="C195" s="19" t="s">
        <v>501</v>
      </c>
      <c r="D195" s="19" t="s">
        <v>502</v>
      </c>
      <c r="E195" s="20" t="s">
        <v>12</v>
      </c>
      <c r="F195" s="19" t="s">
        <v>501</v>
      </c>
      <c r="G195" s="19" t="s">
        <v>503</v>
      </c>
      <c r="H195" s="19" t="s">
        <v>31</v>
      </c>
      <c r="I195">
        <v>0</v>
      </c>
      <c r="J195">
        <v>1</v>
      </c>
      <c r="K195" s="1" t="s">
        <v>59</v>
      </c>
    </row>
    <row r="196" spans="1:11">
      <c r="A196" s="17" t="s">
        <v>350</v>
      </c>
      <c r="B196" s="19" t="s">
        <v>49</v>
      </c>
      <c r="C196" s="19" t="s">
        <v>504</v>
      </c>
      <c r="D196" s="19" t="s">
        <v>505</v>
      </c>
      <c r="E196" s="20" t="s">
        <v>12</v>
      </c>
      <c r="F196" s="19" t="s">
        <v>504</v>
      </c>
      <c r="G196" s="19" t="s">
        <v>506</v>
      </c>
      <c r="H196" s="19" t="s">
        <v>31</v>
      </c>
      <c r="I196">
        <v>20851</v>
      </c>
      <c r="J196">
        <v>24</v>
      </c>
      <c r="K196" s="1" t="s">
        <v>58</v>
      </c>
    </row>
    <row r="197" spans="1:11">
      <c r="A197" s="17" t="s">
        <v>350</v>
      </c>
      <c r="B197" s="19" t="s">
        <v>49</v>
      </c>
      <c r="C197" s="19" t="s">
        <v>507</v>
      </c>
      <c r="D197" s="19" t="s">
        <v>508</v>
      </c>
      <c r="E197" s="20" t="s">
        <v>11</v>
      </c>
      <c r="F197" s="19" t="s">
        <v>55</v>
      </c>
      <c r="G197" s="19" t="s">
        <v>509</v>
      </c>
      <c r="H197" s="19" t="s">
        <v>31</v>
      </c>
      <c r="I197">
        <v>9322</v>
      </c>
      <c r="J197">
        <v>0</v>
      </c>
      <c r="K197" s="1" t="s">
        <v>59</v>
      </c>
    </row>
    <row r="198" spans="1:11">
      <c r="A198" s="17" t="s">
        <v>350</v>
      </c>
      <c r="B198" s="19" t="s">
        <v>49</v>
      </c>
      <c r="C198" s="19" t="s">
        <v>510</v>
      </c>
      <c r="D198" s="19" t="s">
        <v>511</v>
      </c>
      <c r="E198" s="20" t="s">
        <v>11</v>
      </c>
      <c r="F198" s="19" t="s">
        <v>55</v>
      </c>
      <c r="G198" s="19" t="s">
        <v>509</v>
      </c>
      <c r="H198" s="19" t="s">
        <v>31</v>
      </c>
      <c r="I198">
        <v>14115</v>
      </c>
      <c r="J198">
        <v>0</v>
      </c>
      <c r="K198" s="1" t="s">
        <v>58</v>
      </c>
    </row>
    <row r="199" spans="1:11">
      <c r="A199" s="17" t="s">
        <v>350</v>
      </c>
      <c r="B199" s="19" t="s">
        <v>49</v>
      </c>
      <c r="C199" s="19" t="s">
        <v>512</v>
      </c>
      <c r="D199" s="19" t="s">
        <v>513</v>
      </c>
      <c r="E199" s="20" t="s">
        <v>11</v>
      </c>
      <c r="F199" s="19" t="s">
        <v>55</v>
      </c>
      <c r="G199" s="19" t="s">
        <v>509</v>
      </c>
      <c r="H199" s="19" t="s">
        <v>31</v>
      </c>
      <c r="I199">
        <v>8789</v>
      </c>
      <c r="J199">
        <v>0</v>
      </c>
      <c r="K199" s="1" t="s">
        <v>59</v>
      </c>
    </row>
    <row r="200" spans="1:11">
      <c r="A200" s="17" t="s">
        <v>350</v>
      </c>
      <c r="B200" s="19" t="s">
        <v>49</v>
      </c>
      <c r="C200" s="19" t="s">
        <v>514</v>
      </c>
      <c r="D200" s="19" t="s">
        <v>515</v>
      </c>
      <c r="E200" s="20" t="s">
        <v>11</v>
      </c>
      <c r="F200" s="19" t="s">
        <v>55</v>
      </c>
      <c r="G200" s="19" t="s">
        <v>509</v>
      </c>
      <c r="H200" s="19" t="s">
        <v>31</v>
      </c>
      <c r="I200">
        <v>9567</v>
      </c>
      <c r="J200">
        <v>0</v>
      </c>
      <c r="K200" s="1" t="s">
        <v>58</v>
      </c>
    </row>
    <row r="201" spans="1:11">
      <c r="A201" s="17" t="s">
        <v>350</v>
      </c>
      <c r="B201" s="19" t="s">
        <v>49</v>
      </c>
      <c r="C201" s="19" t="s">
        <v>516</v>
      </c>
      <c r="D201" s="19" t="s">
        <v>517</v>
      </c>
      <c r="E201" s="20" t="s">
        <v>12</v>
      </c>
      <c r="F201" s="19" t="s">
        <v>516</v>
      </c>
      <c r="G201" s="19" t="s">
        <v>518</v>
      </c>
      <c r="H201" s="19" t="s">
        <v>31</v>
      </c>
      <c r="I201">
        <v>83673</v>
      </c>
      <c r="J201">
        <v>22</v>
      </c>
      <c r="K201" s="1" t="s">
        <v>59</v>
      </c>
    </row>
    <row r="202" spans="1:11">
      <c r="A202" s="17" t="s">
        <v>350</v>
      </c>
      <c r="B202" s="19" t="s">
        <v>49</v>
      </c>
      <c r="C202" s="19" t="s">
        <v>519</v>
      </c>
      <c r="D202" s="19" t="s">
        <v>520</v>
      </c>
      <c r="E202" s="20" t="s">
        <v>12</v>
      </c>
      <c r="F202" s="19" t="s">
        <v>519</v>
      </c>
      <c r="G202" s="19" t="s">
        <v>521</v>
      </c>
      <c r="H202" s="19" t="s">
        <v>31</v>
      </c>
      <c r="I202">
        <v>860277</v>
      </c>
      <c r="J202">
        <v>1525</v>
      </c>
      <c r="K202" s="1" t="s">
        <v>58</v>
      </c>
    </row>
    <row r="203" spans="1:11">
      <c r="A203" s="17" t="s">
        <v>350</v>
      </c>
      <c r="B203" s="19" t="s">
        <v>49</v>
      </c>
      <c r="C203" s="19" t="s">
        <v>522</v>
      </c>
      <c r="D203" s="19" t="s">
        <v>523</v>
      </c>
      <c r="E203" s="20" t="s">
        <v>12</v>
      </c>
      <c r="F203" s="19" t="s">
        <v>522</v>
      </c>
      <c r="G203" s="19" t="s">
        <v>524</v>
      </c>
      <c r="H203" s="19" t="s">
        <v>31</v>
      </c>
      <c r="I203">
        <v>206893</v>
      </c>
      <c r="J203">
        <v>672</v>
      </c>
      <c r="K203" s="1" t="s">
        <v>59</v>
      </c>
    </row>
    <row r="204" spans="1:11">
      <c r="A204" s="17" t="s">
        <v>350</v>
      </c>
      <c r="B204" s="19" t="s">
        <v>49</v>
      </c>
      <c r="C204" s="19" t="s">
        <v>525</v>
      </c>
      <c r="D204" s="19" t="s">
        <v>526</v>
      </c>
      <c r="E204" s="20" t="s">
        <v>12</v>
      </c>
      <c r="F204" s="19" t="s">
        <v>525</v>
      </c>
      <c r="G204" s="19" t="s">
        <v>527</v>
      </c>
      <c r="H204" s="19" t="s">
        <v>31</v>
      </c>
      <c r="I204">
        <v>61</v>
      </c>
      <c r="J204">
        <v>4</v>
      </c>
      <c r="K204" s="1" t="s">
        <v>58</v>
      </c>
    </row>
    <row r="205" spans="1:11">
      <c r="A205" s="17" t="s">
        <v>350</v>
      </c>
      <c r="B205" s="19" t="s">
        <v>49</v>
      </c>
      <c r="C205" s="19" t="s">
        <v>528</v>
      </c>
      <c r="D205" s="19" t="s">
        <v>529</v>
      </c>
      <c r="E205" s="20" t="s">
        <v>32</v>
      </c>
      <c r="F205" s="19" t="s">
        <v>528</v>
      </c>
      <c r="G205" s="19" t="s">
        <v>530</v>
      </c>
      <c r="H205" s="19" t="s">
        <v>32</v>
      </c>
      <c r="I205">
        <v>0</v>
      </c>
      <c r="J205">
        <v>2</v>
      </c>
      <c r="K205" s="1" t="s">
        <v>59</v>
      </c>
    </row>
    <row r="206" spans="1:11">
      <c r="A206" s="17" t="s">
        <v>350</v>
      </c>
      <c r="B206" s="19" t="s">
        <v>49</v>
      </c>
      <c r="C206" s="19" t="s">
        <v>531</v>
      </c>
      <c r="D206" s="19" t="s">
        <v>532</v>
      </c>
      <c r="E206" s="20" t="s">
        <v>32</v>
      </c>
      <c r="F206" s="19" t="s">
        <v>531</v>
      </c>
      <c r="G206" s="19" t="s">
        <v>533</v>
      </c>
      <c r="H206" s="19" t="s">
        <v>32</v>
      </c>
      <c r="I206">
        <v>0</v>
      </c>
      <c r="J206">
        <v>2</v>
      </c>
      <c r="K206" s="1" t="s">
        <v>58</v>
      </c>
    </row>
    <row r="207" spans="1:11">
      <c r="A207" s="17" t="s">
        <v>350</v>
      </c>
      <c r="B207" s="19" t="s">
        <v>49</v>
      </c>
      <c r="C207" s="19" t="s">
        <v>534</v>
      </c>
      <c r="D207" s="19" t="s">
        <v>535</v>
      </c>
      <c r="E207" s="20" t="s">
        <v>32</v>
      </c>
      <c r="F207" s="19" t="s">
        <v>534</v>
      </c>
      <c r="G207" s="19" t="s">
        <v>536</v>
      </c>
      <c r="H207" s="19" t="s">
        <v>32</v>
      </c>
      <c r="I207">
        <v>0</v>
      </c>
      <c r="J207">
        <v>2</v>
      </c>
      <c r="K207" s="1" t="s">
        <v>59</v>
      </c>
    </row>
    <row r="208" spans="1:11">
      <c r="A208" s="17" t="s">
        <v>350</v>
      </c>
      <c r="B208" s="19" t="s">
        <v>49</v>
      </c>
      <c r="C208" s="19" t="s">
        <v>537</v>
      </c>
      <c r="D208" s="19" t="s">
        <v>538</v>
      </c>
      <c r="E208" s="20" t="s">
        <v>32</v>
      </c>
      <c r="F208" s="19" t="s">
        <v>537</v>
      </c>
      <c r="G208" s="19" t="s">
        <v>539</v>
      </c>
      <c r="H208" s="19" t="s">
        <v>32</v>
      </c>
      <c r="I208">
        <v>0</v>
      </c>
      <c r="J208">
        <v>2</v>
      </c>
      <c r="K208" s="1" t="s">
        <v>58</v>
      </c>
    </row>
    <row r="209" spans="1:11">
      <c r="A209" s="17" t="s">
        <v>350</v>
      </c>
      <c r="B209" s="19" t="s">
        <v>49</v>
      </c>
      <c r="C209" s="19" t="s">
        <v>540</v>
      </c>
      <c r="D209" s="19" t="s">
        <v>541</v>
      </c>
      <c r="E209" s="20" t="s">
        <v>32</v>
      </c>
      <c r="F209" s="19" t="s">
        <v>540</v>
      </c>
      <c r="G209" s="19" t="s">
        <v>542</v>
      </c>
      <c r="H209" s="19" t="s">
        <v>32</v>
      </c>
      <c r="I209">
        <v>0</v>
      </c>
      <c r="J209">
        <v>2</v>
      </c>
      <c r="K209" s="1" t="s">
        <v>59</v>
      </c>
    </row>
    <row r="210" spans="1:11">
      <c r="A210" s="17" t="s">
        <v>350</v>
      </c>
      <c r="B210" s="19" t="s">
        <v>49</v>
      </c>
      <c r="C210" s="19" t="s">
        <v>543</v>
      </c>
      <c r="D210" s="19" t="s">
        <v>544</v>
      </c>
      <c r="E210" s="20" t="s">
        <v>32</v>
      </c>
      <c r="F210" s="19" t="s">
        <v>543</v>
      </c>
      <c r="G210" s="19" t="s">
        <v>545</v>
      </c>
      <c r="H210" s="19" t="s">
        <v>32</v>
      </c>
      <c r="I210">
        <v>0</v>
      </c>
      <c r="J210">
        <v>2</v>
      </c>
      <c r="K210" s="1" t="s">
        <v>58</v>
      </c>
    </row>
    <row r="211" spans="1:11">
      <c r="A211" s="17" t="s">
        <v>350</v>
      </c>
      <c r="B211" s="19" t="s">
        <v>49</v>
      </c>
      <c r="C211" s="19" t="s">
        <v>546</v>
      </c>
      <c r="D211" s="19" t="s">
        <v>547</v>
      </c>
      <c r="E211" s="20" t="s">
        <v>32</v>
      </c>
      <c r="F211" s="19" t="s">
        <v>546</v>
      </c>
      <c r="G211" s="19" t="s">
        <v>548</v>
      </c>
      <c r="H211" s="19" t="s">
        <v>32</v>
      </c>
      <c r="I211">
        <v>0</v>
      </c>
      <c r="J211">
        <v>3</v>
      </c>
      <c r="K211" s="1" t="s">
        <v>59</v>
      </c>
    </row>
    <row r="212" spans="1:11">
      <c r="A212" s="17" t="s">
        <v>350</v>
      </c>
      <c r="B212" s="19" t="s">
        <v>49</v>
      </c>
      <c r="C212" s="19" t="s">
        <v>549</v>
      </c>
      <c r="D212" s="19" t="s">
        <v>550</v>
      </c>
      <c r="E212" s="20" t="s">
        <v>32</v>
      </c>
      <c r="F212" s="19" t="s">
        <v>549</v>
      </c>
      <c r="G212" s="19" t="s">
        <v>551</v>
      </c>
      <c r="H212" s="19" t="s">
        <v>32</v>
      </c>
      <c r="I212">
        <v>0</v>
      </c>
      <c r="J212">
        <v>1</v>
      </c>
      <c r="K212" s="1" t="s">
        <v>58</v>
      </c>
    </row>
    <row r="213" spans="1:11">
      <c r="A213" s="17" t="s">
        <v>350</v>
      </c>
      <c r="B213" s="19" t="s">
        <v>49</v>
      </c>
      <c r="C213" s="19" t="s">
        <v>552</v>
      </c>
      <c r="D213" s="19" t="s">
        <v>553</v>
      </c>
      <c r="E213" s="20" t="s">
        <v>32</v>
      </c>
      <c r="F213" s="19" t="s">
        <v>552</v>
      </c>
      <c r="G213" s="19" t="s">
        <v>554</v>
      </c>
      <c r="H213" s="19" t="s">
        <v>32</v>
      </c>
      <c r="I213">
        <v>0</v>
      </c>
      <c r="J213">
        <v>1</v>
      </c>
      <c r="K213" s="1" t="s">
        <v>59</v>
      </c>
    </row>
    <row r="214" spans="1:11">
      <c r="A214" s="17" t="s">
        <v>350</v>
      </c>
      <c r="B214" s="19" t="s">
        <v>49</v>
      </c>
      <c r="C214" s="19" t="s">
        <v>555</v>
      </c>
      <c r="D214" s="19" t="s">
        <v>556</v>
      </c>
      <c r="E214" s="20" t="s">
        <v>32</v>
      </c>
      <c r="F214" s="19" t="s">
        <v>555</v>
      </c>
      <c r="G214" s="19" t="s">
        <v>557</v>
      </c>
      <c r="H214" s="19" t="s">
        <v>32</v>
      </c>
      <c r="I214">
        <v>0</v>
      </c>
      <c r="J214">
        <v>2</v>
      </c>
      <c r="K214" s="1" t="s">
        <v>58</v>
      </c>
    </row>
    <row r="215" spans="1:11">
      <c r="A215" s="17" t="s">
        <v>350</v>
      </c>
      <c r="B215" s="19" t="s">
        <v>49</v>
      </c>
      <c r="C215" s="19" t="s">
        <v>558</v>
      </c>
      <c r="D215" s="19" t="s">
        <v>559</v>
      </c>
      <c r="E215" s="20" t="s">
        <v>32</v>
      </c>
      <c r="F215" s="19" t="s">
        <v>558</v>
      </c>
      <c r="G215" s="19" t="s">
        <v>560</v>
      </c>
      <c r="H215" s="19" t="s">
        <v>32</v>
      </c>
      <c r="I215">
        <v>0</v>
      </c>
      <c r="J215">
        <v>1</v>
      </c>
      <c r="K215" s="1" t="s">
        <v>59</v>
      </c>
    </row>
    <row r="216" spans="1:11">
      <c r="A216" s="17" t="s">
        <v>350</v>
      </c>
      <c r="B216" s="19" t="s">
        <v>49</v>
      </c>
      <c r="C216" s="19" t="s">
        <v>561</v>
      </c>
      <c r="D216" s="19" t="s">
        <v>562</v>
      </c>
      <c r="E216" s="20" t="s">
        <v>32</v>
      </c>
      <c r="F216" s="19" t="s">
        <v>561</v>
      </c>
      <c r="G216" s="19" t="s">
        <v>563</v>
      </c>
      <c r="H216" s="19" t="s">
        <v>32</v>
      </c>
      <c r="I216">
        <v>0</v>
      </c>
      <c r="J216">
        <v>1</v>
      </c>
      <c r="K216" s="1" t="s">
        <v>58</v>
      </c>
    </row>
    <row r="217" spans="1:11">
      <c r="A217" s="17" t="s">
        <v>350</v>
      </c>
      <c r="B217" s="19" t="s">
        <v>49</v>
      </c>
      <c r="C217" s="19" t="s">
        <v>564</v>
      </c>
      <c r="D217" s="19" t="s">
        <v>565</v>
      </c>
      <c r="E217" s="20" t="s">
        <v>32</v>
      </c>
      <c r="F217" s="19" t="s">
        <v>564</v>
      </c>
      <c r="G217" s="19" t="s">
        <v>566</v>
      </c>
      <c r="H217" s="19" t="s">
        <v>32</v>
      </c>
      <c r="I217">
        <v>0</v>
      </c>
      <c r="J217">
        <v>3</v>
      </c>
      <c r="K217" s="1" t="s">
        <v>59</v>
      </c>
    </row>
    <row r="218" spans="1:11">
      <c r="A218" s="17" t="s">
        <v>350</v>
      </c>
      <c r="B218" s="19" t="s">
        <v>49</v>
      </c>
      <c r="C218" s="19" t="s">
        <v>567</v>
      </c>
      <c r="D218" s="19" t="s">
        <v>568</v>
      </c>
      <c r="E218" s="20" t="s">
        <v>32</v>
      </c>
      <c r="F218" s="19" t="s">
        <v>567</v>
      </c>
      <c r="G218" s="19" t="s">
        <v>569</v>
      </c>
      <c r="H218" s="19" t="s">
        <v>32</v>
      </c>
      <c r="I218">
        <v>0</v>
      </c>
      <c r="J218">
        <v>1</v>
      </c>
      <c r="K218" s="1" t="s">
        <v>58</v>
      </c>
    </row>
    <row r="219" spans="1:11">
      <c r="A219" s="17" t="s">
        <v>350</v>
      </c>
      <c r="B219" s="19" t="s">
        <v>49</v>
      </c>
      <c r="C219" s="19" t="s">
        <v>570</v>
      </c>
      <c r="D219" s="19" t="s">
        <v>571</v>
      </c>
      <c r="E219" s="20" t="s">
        <v>32</v>
      </c>
      <c r="F219" s="19" t="s">
        <v>570</v>
      </c>
      <c r="G219" s="19" t="s">
        <v>572</v>
      </c>
      <c r="H219" s="19" t="s">
        <v>32</v>
      </c>
      <c r="I219">
        <v>0</v>
      </c>
      <c r="J219">
        <v>1</v>
      </c>
      <c r="K219" s="1" t="s">
        <v>59</v>
      </c>
    </row>
    <row r="220" spans="1:11">
      <c r="A220" s="17" t="s">
        <v>350</v>
      </c>
      <c r="B220" s="19" t="s">
        <v>49</v>
      </c>
      <c r="C220" s="19" t="s">
        <v>573</v>
      </c>
      <c r="D220" s="19" t="s">
        <v>574</v>
      </c>
      <c r="E220" s="20" t="s">
        <v>32</v>
      </c>
      <c r="F220" s="19" t="s">
        <v>573</v>
      </c>
      <c r="G220" s="19" t="s">
        <v>575</v>
      </c>
      <c r="H220" s="19" t="s">
        <v>32</v>
      </c>
      <c r="I220">
        <v>0</v>
      </c>
      <c r="J220">
        <v>2</v>
      </c>
      <c r="K220" s="1" t="s">
        <v>58</v>
      </c>
    </row>
    <row r="221" spans="1:11">
      <c r="A221" s="17" t="s">
        <v>350</v>
      </c>
      <c r="B221" s="19" t="s">
        <v>49</v>
      </c>
      <c r="C221" s="19" t="s">
        <v>576</v>
      </c>
      <c r="D221" s="19" t="s">
        <v>577</v>
      </c>
      <c r="E221" s="20" t="s">
        <v>32</v>
      </c>
      <c r="F221" s="19" t="s">
        <v>576</v>
      </c>
      <c r="G221" s="19" t="s">
        <v>578</v>
      </c>
      <c r="H221" s="19" t="s">
        <v>32</v>
      </c>
      <c r="I221">
        <v>0</v>
      </c>
      <c r="J221">
        <v>1</v>
      </c>
      <c r="K221" s="1" t="s">
        <v>59</v>
      </c>
    </row>
    <row r="222" spans="1:11">
      <c r="A222" s="17" t="s">
        <v>350</v>
      </c>
      <c r="B222" s="19" t="s">
        <v>49</v>
      </c>
      <c r="C222" s="19" t="s">
        <v>579</v>
      </c>
      <c r="D222" s="19" t="s">
        <v>580</v>
      </c>
      <c r="E222" s="20" t="s">
        <v>32</v>
      </c>
      <c r="F222" s="19" t="s">
        <v>579</v>
      </c>
      <c r="G222" s="19" t="s">
        <v>581</v>
      </c>
      <c r="H222" s="19" t="s">
        <v>32</v>
      </c>
      <c r="I222">
        <v>0</v>
      </c>
      <c r="J222">
        <v>1</v>
      </c>
      <c r="K222" s="1" t="s">
        <v>58</v>
      </c>
    </row>
    <row r="223" spans="1:11">
      <c r="A223" s="17" t="s">
        <v>350</v>
      </c>
      <c r="B223" s="19" t="s">
        <v>49</v>
      </c>
      <c r="C223" s="19" t="s">
        <v>582</v>
      </c>
      <c r="D223" s="19" t="s">
        <v>583</v>
      </c>
      <c r="E223" s="20" t="s">
        <v>32</v>
      </c>
      <c r="F223" s="19" t="s">
        <v>582</v>
      </c>
      <c r="G223" s="19" t="s">
        <v>584</v>
      </c>
      <c r="H223" s="19" t="s">
        <v>32</v>
      </c>
      <c r="I223">
        <v>0</v>
      </c>
      <c r="J223">
        <v>1</v>
      </c>
      <c r="K223" s="1" t="s">
        <v>59</v>
      </c>
    </row>
    <row r="224" spans="1:11">
      <c r="A224" s="17" t="s">
        <v>350</v>
      </c>
      <c r="B224" s="19" t="s">
        <v>49</v>
      </c>
      <c r="C224" s="19" t="s">
        <v>585</v>
      </c>
      <c r="D224" s="19" t="s">
        <v>586</v>
      </c>
      <c r="E224" s="20" t="s">
        <v>32</v>
      </c>
      <c r="F224" s="19" t="s">
        <v>585</v>
      </c>
      <c r="G224" s="19" t="s">
        <v>587</v>
      </c>
      <c r="H224" s="19" t="s">
        <v>32</v>
      </c>
      <c r="I224">
        <v>0</v>
      </c>
      <c r="J224">
        <v>1</v>
      </c>
      <c r="K224" s="1" t="s">
        <v>58</v>
      </c>
    </row>
    <row r="225" spans="1:11">
      <c r="A225" s="17" t="s">
        <v>350</v>
      </c>
      <c r="B225" s="19" t="s">
        <v>49</v>
      </c>
      <c r="C225" s="19" t="s">
        <v>588</v>
      </c>
      <c r="D225" s="19" t="s">
        <v>589</v>
      </c>
      <c r="E225" s="20" t="s">
        <v>32</v>
      </c>
      <c r="F225" s="19" t="s">
        <v>588</v>
      </c>
      <c r="G225" s="19" t="s">
        <v>590</v>
      </c>
      <c r="H225" s="19" t="s">
        <v>32</v>
      </c>
      <c r="I225">
        <v>0</v>
      </c>
      <c r="J225">
        <v>1</v>
      </c>
      <c r="K225" s="1" t="s">
        <v>59</v>
      </c>
    </row>
    <row r="226" spans="1:11">
      <c r="A226" s="17" t="s">
        <v>350</v>
      </c>
      <c r="B226" s="19" t="s">
        <v>49</v>
      </c>
      <c r="C226" s="19" t="s">
        <v>591</v>
      </c>
      <c r="D226" s="19" t="s">
        <v>592</v>
      </c>
      <c r="E226" s="20" t="s">
        <v>32</v>
      </c>
      <c r="F226" s="19" t="s">
        <v>591</v>
      </c>
      <c r="G226" s="19" t="s">
        <v>593</v>
      </c>
      <c r="H226" s="19" t="s">
        <v>32</v>
      </c>
      <c r="I226">
        <v>0</v>
      </c>
      <c r="J226">
        <v>1</v>
      </c>
      <c r="K226" s="1" t="s">
        <v>58</v>
      </c>
    </row>
    <row r="227" spans="1:11">
      <c r="A227" s="17" t="s">
        <v>350</v>
      </c>
      <c r="B227" s="19" t="s">
        <v>49</v>
      </c>
      <c r="C227" s="19" t="s">
        <v>594</v>
      </c>
      <c r="D227" s="19" t="s">
        <v>595</v>
      </c>
      <c r="E227" s="20" t="s">
        <v>32</v>
      </c>
      <c r="F227" s="19" t="s">
        <v>594</v>
      </c>
      <c r="G227" s="19" t="s">
        <v>596</v>
      </c>
      <c r="H227" s="19" t="s">
        <v>32</v>
      </c>
      <c r="I227">
        <v>0</v>
      </c>
      <c r="J227">
        <v>1</v>
      </c>
      <c r="K227" s="1" t="s">
        <v>59</v>
      </c>
    </row>
    <row r="228" spans="1:11">
      <c r="A228" s="17" t="s">
        <v>350</v>
      </c>
      <c r="B228" s="19" t="s">
        <v>49</v>
      </c>
      <c r="C228" s="19" t="s">
        <v>597</v>
      </c>
      <c r="D228" s="19" t="s">
        <v>598</v>
      </c>
      <c r="E228" s="20" t="s">
        <v>32</v>
      </c>
      <c r="F228" s="19" t="s">
        <v>597</v>
      </c>
      <c r="G228" s="19" t="s">
        <v>599</v>
      </c>
      <c r="H228" s="19" t="s">
        <v>32</v>
      </c>
      <c r="I228">
        <v>0</v>
      </c>
      <c r="J228">
        <v>1</v>
      </c>
      <c r="K228" s="1" t="s">
        <v>58</v>
      </c>
    </row>
    <row r="229" spans="1:11">
      <c r="A229" s="17" t="s">
        <v>350</v>
      </c>
      <c r="B229" s="19" t="s">
        <v>49</v>
      </c>
      <c r="C229" s="19" t="s">
        <v>600</v>
      </c>
      <c r="D229" s="19" t="s">
        <v>601</v>
      </c>
      <c r="E229" s="20" t="s">
        <v>32</v>
      </c>
      <c r="F229" s="19" t="s">
        <v>600</v>
      </c>
      <c r="G229" s="19" t="s">
        <v>602</v>
      </c>
      <c r="H229" s="19" t="s">
        <v>32</v>
      </c>
      <c r="I229">
        <v>0</v>
      </c>
      <c r="J229">
        <v>1</v>
      </c>
      <c r="K229" s="1" t="s">
        <v>59</v>
      </c>
    </row>
    <row r="230" spans="1:11">
      <c r="A230" s="17" t="s">
        <v>350</v>
      </c>
      <c r="B230" s="19" t="s">
        <v>49</v>
      </c>
      <c r="C230" s="19" t="s">
        <v>603</v>
      </c>
      <c r="D230" s="19" t="s">
        <v>604</v>
      </c>
      <c r="E230" s="20" t="s">
        <v>32</v>
      </c>
      <c r="F230" s="19" t="s">
        <v>603</v>
      </c>
      <c r="G230" s="19" t="s">
        <v>605</v>
      </c>
      <c r="H230" s="19" t="s">
        <v>32</v>
      </c>
      <c r="I230">
        <v>3</v>
      </c>
      <c r="J230">
        <v>1</v>
      </c>
      <c r="K230" s="1" t="s">
        <v>58</v>
      </c>
    </row>
    <row r="231" spans="1:11">
      <c r="A231" s="17" t="s">
        <v>350</v>
      </c>
      <c r="B231" s="19" t="s">
        <v>49</v>
      </c>
      <c r="C231" s="19" t="s">
        <v>606</v>
      </c>
      <c r="D231" s="19" t="s">
        <v>607</v>
      </c>
      <c r="E231" s="20" t="s">
        <v>32</v>
      </c>
      <c r="F231" s="19" t="s">
        <v>606</v>
      </c>
      <c r="G231" s="19" t="s">
        <v>608</v>
      </c>
      <c r="H231" s="19" t="s">
        <v>32</v>
      </c>
      <c r="I231">
        <v>0</v>
      </c>
      <c r="J231">
        <v>1</v>
      </c>
      <c r="K231" s="1" t="s">
        <v>59</v>
      </c>
    </row>
    <row r="232" spans="1:11">
      <c r="A232" s="17" t="s">
        <v>350</v>
      </c>
      <c r="B232" s="19" t="s">
        <v>52</v>
      </c>
      <c r="C232" s="19" t="s">
        <v>609</v>
      </c>
      <c r="D232" s="19" t="s">
        <v>610</v>
      </c>
      <c r="E232" s="20" t="s">
        <v>12</v>
      </c>
      <c r="F232" s="19" t="s">
        <v>609</v>
      </c>
      <c r="G232" s="19" t="s">
        <v>611</v>
      </c>
      <c r="H232" s="19" t="s">
        <v>31</v>
      </c>
      <c r="I232">
        <v>329673</v>
      </c>
      <c r="J232">
        <v>267</v>
      </c>
      <c r="K232" s="1" t="s">
        <v>58</v>
      </c>
    </row>
    <row r="233" spans="1:11">
      <c r="A233" s="17" t="s">
        <v>350</v>
      </c>
      <c r="B233" s="19" t="s">
        <v>52</v>
      </c>
      <c r="C233" s="19" t="s">
        <v>612</v>
      </c>
      <c r="D233" s="19" t="s">
        <v>613</v>
      </c>
      <c r="E233" s="20" t="s">
        <v>12</v>
      </c>
      <c r="F233" s="19" t="s">
        <v>612</v>
      </c>
      <c r="G233" s="19" t="s">
        <v>614</v>
      </c>
      <c r="H233" s="19" t="s">
        <v>31</v>
      </c>
      <c r="I233">
        <v>514364</v>
      </c>
      <c r="J233">
        <v>201</v>
      </c>
      <c r="K233" s="1" t="s">
        <v>59</v>
      </c>
    </row>
    <row r="234" spans="1:11">
      <c r="A234" s="17" t="s">
        <v>350</v>
      </c>
      <c r="B234" s="19" t="s">
        <v>52</v>
      </c>
      <c r="C234" s="19" t="s">
        <v>615</v>
      </c>
      <c r="D234" s="19" t="s">
        <v>616</v>
      </c>
      <c r="E234" s="20" t="s">
        <v>12</v>
      </c>
      <c r="F234" s="19" t="s">
        <v>615</v>
      </c>
      <c r="G234" s="19" t="s">
        <v>617</v>
      </c>
      <c r="H234" s="19" t="s">
        <v>31</v>
      </c>
      <c r="I234">
        <v>71194</v>
      </c>
      <c r="J234">
        <v>46</v>
      </c>
      <c r="K234" s="1" t="s">
        <v>58</v>
      </c>
    </row>
    <row r="235" spans="1:11">
      <c r="A235" s="17" t="s">
        <v>350</v>
      </c>
      <c r="B235" s="19" t="s">
        <v>52</v>
      </c>
      <c r="C235" s="19" t="s">
        <v>618</v>
      </c>
      <c r="D235" s="19" t="s">
        <v>619</v>
      </c>
      <c r="E235" s="20" t="s">
        <v>12</v>
      </c>
      <c r="F235" s="19" t="s">
        <v>618</v>
      </c>
      <c r="G235" s="19" t="s">
        <v>620</v>
      </c>
      <c r="H235" s="19" t="s">
        <v>31</v>
      </c>
      <c r="I235">
        <v>44605</v>
      </c>
      <c r="J235">
        <v>21</v>
      </c>
      <c r="K235" s="1" t="s">
        <v>59</v>
      </c>
    </row>
    <row r="236" spans="1:11">
      <c r="A236" s="17" t="s">
        <v>350</v>
      </c>
      <c r="B236" s="19" t="s">
        <v>52</v>
      </c>
      <c r="C236" s="19" t="s">
        <v>618</v>
      </c>
      <c r="D236" s="19" t="s">
        <v>619</v>
      </c>
      <c r="E236" s="20" t="s">
        <v>32</v>
      </c>
      <c r="F236" s="19" t="s">
        <v>472</v>
      </c>
      <c r="G236" s="19" t="s">
        <v>621</v>
      </c>
      <c r="H236" s="19" t="s">
        <v>32</v>
      </c>
      <c r="I236">
        <v>0</v>
      </c>
      <c r="J236">
        <v>1</v>
      </c>
      <c r="K236" s="1" t="s">
        <v>58</v>
      </c>
    </row>
    <row r="237" spans="1:11">
      <c r="A237" s="17" t="s">
        <v>350</v>
      </c>
      <c r="B237" s="19" t="s">
        <v>52</v>
      </c>
      <c r="C237" s="19" t="s">
        <v>622</v>
      </c>
      <c r="D237" s="19" t="s">
        <v>623</v>
      </c>
      <c r="E237" s="20" t="s">
        <v>32</v>
      </c>
      <c r="F237" s="19" t="s">
        <v>622</v>
      </c>
      <c r="G237" s="19" t="s">
        <v>624</v>
      </c>
      <c r="H237" s="19" t="s">
        <v>32</v>
      </c>
      <c r="I237">
        <v>0</v>
      </c>
      <c r="J237">
        <v>75</v>
      </c>
      <c r="K237" s="1" t="s">
        <v>59</v>
      </c>
    </row>
    <row r="238" spans="1:11">
      <c r="A238" s="17" t="s">
        <v>350</v>
      </c>
      <c r="B238" s="19" t="s">
        <v>52</v>
      </c>
      <c r="C238" s="19" t="s">
        <v>625</v>
      </c>
      <c r="D238" s="19" t="s">
        <v>626</v>
      </c>
      <c r="E238" s="20" t="s">
        <v>32</v>
      </c>
      <c r="F238" s="19" t="s">
        <v>625</v>
      </c>
      <c r="G238" s="19" t="s">
        <v>627</v>
      </c>
      <c r="H238" s="19" t="s">
        <v>32</v>
      </c>
      <c r="I238">
        <v>0</v>
      </c>
      <c r="J238">
        <v>13793</v>
      </c>
      <c r="K238" s="1" t="s">
        <v>58</v>
      </c>
    </row>
    <row r="239" spans="1:11">
      <c r="A239" s="17" t="s">
        <v>350</v>
      </c>
      <c r="B239" s="19" t="s">
        <v>52</v>
      </c>
      <c r="C239" s="19" t="s">
        <v>628</v>
      </c>
      <c r="D239" s="19" t="s">
        <v>629</v>
      </c>
      <c r="E239" s="20" t="s">
        <v>32</v>
      </c>
      <c r="F239" s="19" t="s">
        <v>628</v>
      </c>
      <c r="G239" s="19" t="s">
        <v>630</v>
      </c>
      <c r="H239" s="19" t="s">
        <v>32</v>
      </c>
      <c r="I239">
        <v>0</v>
      </c>
      <c r="J239">
        <v>4732</v>
      </c>
      <c r="K239" s="1" t="s">
        <v>59</v>
      </c>
    </row>
    <row r="240" spans="1:11">
      <c r="A240" s="17" t="s">
        <v>350</v>
      </c>
      <c r="B240" s="19" t="s">
        <v>51</v>
      </c>
      <c r="C240" s="19" t="s">
        <v>631</v>
      </c>
      <c r="D240" s="19" t="s">
        <v>632</v>
      </c>
      <c r="E240" s="20" t="s">
        <v>32</v>
      </c>
      <c r="F240" s="19" t="s">
        <v>631</v>
      </c>
      <c r="G240" s="19" t="s">
        <v>633</v>
      </c>
      <c r="H240" s="19" t="s">
        <v>32</v>
      </c>
      <c r="I240">
        <v>0</v>
      </c>
      <c r="J240">
        <v>1166</v>
      </c>
      <c r="K240" s="1" t="s">
        <v>58</v>
      </c>
    </row>
    <row r="241" spans="1:11">
      <c r="A241" s="17" t="s">
        <v>350</v>
      </c>
      <c r="B241" s="19" t="s">
        <v>51</v>
      </c>
      <c r="C241" s="19" t="s">
        <v>634</v>
      </c>
      <c r="D241" s="19" t="s">
        <v>635</v>
      </c>
      <c r="E241" s="20" t="s">
        <v>32</v>
      </c>
      <c r="F241" s="19" t="s">
        <v>634</v>
      </c>
      <c r="G241" s="19" t="s">
        <v>636</v>
      </c>
      <c r="H241" s="19" t="s">
        <v>32</v>
      </c>
      <c r="I241">
        <v>0</v>
      </c>
      <c r="J241">
        <v>479</v>
      </c>
      <c r="K241" s="1" t="s">
        <v>59</v>
      </c>
    </row>
    <row r="242" spans="1:11">
      <c r="A242" s="17" t="s">
        <v>350</v>
      </c>
      <c r="B242" s="19" t="s">
        <v>51</v>
      </c>
      <c r="C242" s="19" t="s">
        <v>637</v>
      </c>
      <c r="D242" s="19" t="s">
        <v>638</v>
      </c>
      <c r="E242" s="20" t="s">
        <v>32</v>
      </c>
      <c r="F242" s="19" t="s">
        <v>637</v>
      </c>
      <c r="G242" s="19" t="s">
        <v>639</v>
      </c>
      <c r="H242" s="19" t="s">
        <v>32</v>
      </c>
      <c r="I242">
        <v>0</v>
      </c>
      <c r="J242">
        <v>25</v>
      </c>
      <c r="K242" s="1" t="s">
        <v>58</v>
      </c>
    </row>
    <row r="243" spans="1:11">
      <c r="A243" s="17" t="s">
        <v>350</v>
      </c>
      <c r="B243" s="19" t="s">
        <v>51</v>
      </c>
      <c r="C243" s="19" t="s">
        <v>640</v>
      </c>
      <c r="D243" s="19" t="s">
        <v>641</v>
      </c>
      <c r="E243" s="20" t="s">
        <v>32</v>
      </c>
      <c r="F243" s="19" t="s">
        <v>640</v>
      </c>
      <c r="G243" s="19" t="s">
        <v>642</v>
      </c>
      <c r="H243" s="19" t="s">
        <v>32</v>
      </c>
      <c r="I243">
        <v>0</v>
      </c>
      <c r="J243">
        <v>253</v>
      </c>
      <c r="K243" s="1" t="s">
        <v>59</v>
      </c>
    </row>
    <row r="244" spans="1:11">
      <c r="A244" s="17" t="s">
        <v>350</v>
      </c>
      <c r="B244" s="19" t="s">
        <v>51</v>
      </c>
      <c r="C244" s="19" t="s">
        <v>643</v>
      </c>
      <c r="D244" s="19" t="s">
        <v>644</v>
      </c>
      <c r="E244" s="20" t="s">
        <v>32</v>
      </c>
      <c r="F244" s="19" t="s">
        <v>643</v>
      </c>
      <c r="G244" s="19" t="s">
        <v>645</v>
      </c>
      <c r="H244" s="19" t="s">
        <v>32</v>
      </c>
      <c r="I244">
        <v>0</v>
      </c>
      <c r="J244">
        <v>857</v>
      </c>
      <c r="K244" s="1" t="s">
        <v>58</v>
      </c>
    </row>
    <row r="245" spans="1:11">
      <c r="A245" s="17" t="s">
        <v>350</v>
      </c>
      <c r="B245" s="19" t="s">
        <v>51</v>
      </c>
      <c r="C245" s="19" t="s">
        <v>646</v>
      </c>
      <c r="D245" s="19" t="s">
        <v>647</v>
      </c>
      <c r="E245" s="20" t="s">
        <v>32</v>
      </c>
      <c r="F245" s="19" t="s">
        <v>646</v>
      </c>
      <c r="G245" s="19" t="s">
        <v>648</v>
      </c>
      <c r="H245" s="19" t="s">
        <v>32</v>
      </c>
      <c r="I245">
        <v>0</v>
      </c>
      <c r="J245">
        <v>45</v>
      </c>
      <c r="K245" s="1" t="s">
        <v>59</v>
      </c>
    </row>
    <row r="246" spans="1:11">
      <c r="A246" s="17" t="s">
        <v>350</v>
      </c>
      <c r="B246" s="19" t="s">
        <v>51</v>
      </c>
      <c r="C246" s="19" t="s">
        <v>649</v>
      </c>
      <c r="D246" s="19" t="s">
        <v>650</v>
      </c>
      <c r="E246" s="20" t="s">
        <v>32</v>
      </c>
      <c r="F246" s="19" t="s">
        <v>649</v>
      </c>
      <c r="G246" s="19" t="s">
        <v>651</v>
      </c>
      <c r="H246" s="19" t="s">
        <v>32</v>
      </c>
      <c r="I246">
        <v>0</v>
      </c>
      <c r="J246">
        <v>65</v>
      </c>
      <c r="K246" s="1" t="s">
        <v>58</v>
      </c>
    </row>
    <row r="247" spans="1:11">
      <c r="A247" s="17" t="s">
        <v>350</v>
      </c>
      <c r="B247" s="19" t="s">
        <v>51</v>
      </c>
      <c r="C247" s="19" t="s">
        <v>652</v>
      </c>
      <c r="D247" s="19" t="s">
        <v>653</v>
      </c>
      <c r="E247" s="20" t="s">
        <v>32</v>
      </c>
      <c r="F247" s="19" t="s">
        <v>652</v>
      </c>
      <c r="G247" s="19" t="s">
        <v>654</v>
      </c>
      <c r="H247" s="19" t="s">
        <v>32</v>
      </c>
      <c r="I247">
        <v>0</v>
      </c>
      <c r="J247">
        <v>120</v>
      </c>
      <c r="K247" s="1" t="s">
        <v>59</v>
      </c>
    </row>
    <row r="248" spans="1:11">
      <c r="A248" s="17" t="s">
        <v>350</v>
      </c>
      <c r="B248" s="19" t="s">
        <v>51</v>
      </c>
      <c r="C248" s="19" t="s">
        <v>655</v>
      </c>
      <c r="D248" s="19" t="s">
        <v>656</v>
      </c>
      <c r="E248" s="20" t="s">
        <v>32</v>
      </c>
      <c r="F248" s="19" t="s">
        <v>655</v>
      </c>
      <c r="G248" s="19" t="s">
        <v>657</v>
      </c>
      <c r="H248" s="19" t="s">
        <v>32</v>
      </c>
      <c r="I248">
        <v>0</v>
      </c>
      <c r="J248">
        <v>412</v>
      </c>
      <c r="K248" s="1" t="s">
        <v>58</v>
      </c>
    </row>
    <row r="249" spans="1:11">
      <c r="A249" s="17" t="s">
        <v>350</v>
      </c>
      <c r="B249" s="19" t="s">
        <v>51</v>
      </c>
      <c r="C249" s="19" t="s">
        <v>655</v>
      </c>
      <c r="D249" s="19" t="s">
        <v>656</v>
      </c>
      <c r="E249" s="20" t="s">
        <v>32</v>
      </c>
      <c r="F249" s="19" t="s">
        <v>655</v>
      </c>
      <c r="G249" s="19" t="s">
        <v>657</v>
      </c>
      <c r="H249" s="19" t="s">
        <v>32</v>
      </c>
      <c r="I249">
        <v>0</v>
      </c>
      <c r="J249">
        <v>2</v>
      </c>
      <c r="K249" s="1" t="s">
        <v>59</v>
      </c>
    </row>
    <row r="250" spans="1:11">
      <c r="A250" s="17" t="s">
        <v>658</v>
      </c>
      <c r="B250" s="19" t="s">
        <v>50</v>
      </c>
      <c r="C250" s="19" t="s">
        <v>659</v>
      </c>
      <c r="D250" s="19" t="s">
        <v>660</v>
      </c>
      <c r="E250" s="20" t="s">
        <v>32</v>
      </c>
      <c r="F250" s="19" t="s">
        <v>659</v>
      </c>
      <c r="G250" s="19" t="s">
        <v>661</v>
      </c>
      <c r="H250" s="19" t="s">
        <v>32</v>
      </c>
      <c r="I250">
        <v>0</v>
      </c>
      <c r="J250">
        <v>4</v>
      </c>
      <c r="K250" s="1" t="s">
        <v>58</v>
      </c>
    </row>
    <row r="251" spans="1:11">
      <c r="A251" s="17" t="s">
        <v>658</v>
      </c>
      <c r="B251" s="19" t="s">
        <v>50</v>
      </c>
      <c r="C251" s="19" t="s">
        <v>662</v>
      </c>
      <c r="D251" s="19" t="s">
        <v>663</v>
      </c>
      <c r="E251" s="20" t="s">
        <v>32</v>
      </c>
      <c r="F251" s="19" t="s">
        <v>662</v>
      </c>
      <c r="G251" s="19" t="s">
        <v>664</v>
      </c>
      <c r="H251" s="19" t="s">
        <v>32</v>
      </c>
      <c r="I251">
        <v>0</v>
      </c>
      <c r="J251">
        <v>464</v>
      </c>
      <c r="K251" s="1" t="s">
        <v>59</v>
      </c>
    </row>
    <row r="252" spans="1:11">
      <c r="A252" s="17" t="s">
        <v>658</v>
      </c>
      <c r="B252" s="19" t="s">
        <v>50</v>
      </c>
      <c r="C252" s="19" t="s">
        <v>665</v>
      </c>
      <c r="D252" s="19" t="s">
        <v>666</v>
      </c>
      <c r="E252" s="20" t="s">
        <v>32</v>
      </c>
      <c r="F252" s="19" t="s">
        <v>665</v>
      </c>
      <c r="G252" s="19" t="s">
        <v>667</v>
      </c>
      <c r="H252" s="19" t="s">
        <v>32</v>
      </c>
      <c r="I252">
        <v>0</v>
      </c>
      <c r="J252">
        <v>361</v>
      </c>
      <c r="K252" s="1" t="s">
        <v>58</v>
      </c>
    </row>
    <row r="253" spans="1:11">
      <c r="A253" s="17" t="s">
        <v>658</v>
      </c>
      <c r="B253" s="19" t="s">
        <v>50</v>
      </c>
      <c r="C253" s="19" t="s">
        <v>668</v>
      </c>
      <c r="D253" s="19" t="s">
        <v>669</v>
      </c>
      <c r="E253" s="20" t="s">
        <v>32</v>
      </c>
      <c r="F253" s="19" t="s">
        <v>668</v>
      </c>
      <c r="G253" s="19" t="s">
        <v>670</v>
      </c>
      <c r="H253" s="19" t="s">
        <v>32</v>
      </c>
      <c r="I253">
        <v>0</v>
      </c>
      <c r="J253">
        <v>422</v>
      </c>
      <c r="K253" s="1" t="s">
        <v>59</v>
      </c>
    </row>
    <row r="254" spans="1:11">
      <c r="A254" s="17" t="s">
        <v>658</v>
      </c>
      <c r="B254" s="19" t="s">
        <v>50</v>
      </c>
      <c r="C254" s="19" t="s">
        <v>671</v>
      </c>
      <c r="D254" s="19" t="s">
        <v>672</v>
      </c>
      <c r="E254" s="20" t="s">
        <v>32</v>
      </c>
      <c r="F254" s="19" t="s">
        <v>671</v>
      </c>
      <c r="G254" s="19" t="s">
        <v>673</v>
      </c>
      <c r="H254" s="19" t="s">
        <v>32</v>
      </c>
      <c r="I254">
        <v>0</v>
      </c>
      <c r="J254">
        <v>432</v>
      </c>
      <c r="K254" s="1" t="s">
        <v>58</v>
      </c>
    </row>
    <row r="255" spans="1:11">
      <c r="A255" s="17" t="s">
        <v>658</v>
      </c>
      <c r="B255" s="19" t="s">
        <v>50</v>
      </c>
      <c r="C255" s="19" t="s">
        <v>674</v>
      </c>
      <c r="D255" s="19" t="s">
        <v>675</v>
      </c>
      <c r="E255" s="20" t="s">
        <v>32</v>
      </c>
      <c r="F255" s="19" t="s">
        <v>674</v>
      </c>
      <c r="G255" s="19" t="s">
        <v>676</v>
      </c>
      <c r="H255" s="19" t="s">
        <v>32</v>
      </c>
      <c r="I255">
        <v>0</v>
      </c>
      <c r="J255">
        <v>3</v>
      </c>
      <c r="K255" s="1" t="s">
        <v>59</v>
      </c>
    </row>
    <row r="256" spans="1:11">
      <c r="A256" s="17" t="s">
        <v>658</v>
      </c>
      <c r="B256" s="19" t="s">
        <v>50</v>
      </c>
      <c r="C256" s="19" t="s">
        <v>674</v>
      </c>
      <c r="D256" s="19" t="s">
        <v>675</v>
      </c>
      <c r="E256" s="20" t="s">
        <v>32</v>
      </c>
      <c r="F256" s="19" t="s">
        <v>674</v>
      </c>
      <c r="G256" s="19" t="s">
        <v>676</v>
      </c>
      <c r="H256" s="19" t="s">
        <v>32</v>
      </c>
      <c r="I256">
        <v>0</v>
      </c>
      <c r="J256">
        <v>1</v>
      </c>
      <c r="K256" s="1" t="s">
        <v>58</v>
      </c>
    </row>
    <row r="257" spans="1:11">
      <c r="A257" s="17" t="s">
        <v>658</v>
      </c>
      <c r="B257" s="19" t="s">
        <v>50</v>
      </c>
      <c r="C257" s="19" t="s">
        <v>677</v>
      </c>
      <c r="D257" s="19" t="s">
        <v>678</v>
      </c>
      <c r="E257" s="20" t="s">
        <v>32</v>
      </c>
      <c r="F257" s="19" t="s">
        <v>677</v>
      </c>
      <c r="G257" s="19" t="s">
        <v>679</v>
      </c>
      <c r="H257" s="19" t="s">
        <v>32</v>
      </c>
      <c r="I257">
        <v>0</v>
      </c>
      <c r="J257">
        <v>389</v>
      </c>
      <c r="K257" s="1" t="s">
        <v>59</v>
      </c>
    </row>
    <row r="258" spans="1:11">
      <c r="A258" s="17" t="s">
        <v>658</v>
      </c>
      <c r="B258" s="19" t="s">
        <v>50</v>
      </c>
      <c r="C258" s="19" t="s">
        <v>680</v>
      </c>
      <c r="D258" s="19" t="s">
        <v>681</v>
      </c>
      <c r="E258" s="20" t="s">
        <v>32</v>
      </c>
      <c r="F258" s="19" t="s">
        <v>680</v>
      </c>
      <c r="G258" s="19" t="s">
        <v>682</v>
      </c>
      <c r="H258" s="19" t="s">
        <v>32</v>
      </c>
      <c r="I258">
        <v>0</v>
      </c>
      <c r="J258">
        <v>102</v>
      </c>
      <c r="K258" s="1" t="s">
        <v>58</v>
      </c>
    </row>
    <row r="259" spans="1:11">
      <c r="A259" s="17" t="s">
        <v>658</v>
      </c>
      <c r="B259" s="19" t="s">
        <v>50</v>
      </c>
      <c r="C259" s="19" t="s">
        <v>683</v>
      </c>
      <c r="D259" s="19" t="s">
        <v>684</v>
      </c>
      <c r="E259" s="20" t="s">
        <v>32</v>
      </c>
      <c r="F259" s="19" t="s">
        <v>683</v>
      </c>
      <c r="G259" s="19" t="s">
        <v>685</v>
      </c>
      <c r="H259" s="19" t="s">
        <v>32</v>
      </c>
      <c r="I259">
        <v>0</v>
      </c>
      <c r="J259">
        <v>122</v>
      </c>
      <c r="K259" s="1" t="s">
        <v>59</v>
      </c>
    </row>
    <row r="260" spans="1:11">
      <c r="A260" s="17" t="s">
        <v>658</v>
      </c>
      <c r="B260" s="19" t="s">
        <v>50</v>
      </c>
      <c r="C260" s="19" t="s">
        <v>686</v>
      </c>
      <c r="D260" s="19" t="s">
        <v>687</v>
      </c>
      <c r="E260" s="20" t="s">
        <v>32</v>
      </c>
      <c r="F260" s="19" t="s">
        <v>686</v>
      </c>
      <c r="G260" s="19" t="s">
        <v>688</v>
      </c>
      <c r="H260" s="19" t="s">
        <v>32</v>
      </c>
      <c r="I260">
        <v>0</v>
      </c>
      <c r="J260">
        <v>275</v>
      </c>
      <c r="K260" s="1" t="s">
        <v>58</v>
      </c>
    </row>
    <row r="261" spans="1:11">
      <c r="A261" s="17" t="s">
        <v>658</v>
      </c>
      <c r="B261" s="19" t="s">
        <v>50</v>
      </c>
      <c r="C261" s="19" t="s">
        <v>689</v>
      </c>
      <c r="D261" s="19" t="s">
        <v>690</v>
      </c>
      <c r="E261" s="20" t="s">
        <v>32</v>
      </c>
      <c r="F261" s="19" t="s">
        <v>689</v>
      </c>
      <c r="G261" s="19" t="s">
        <v>691</v>
      </c>
      <c r="H261" s="19" t="s">
        <v>32</v>
      </c>
      <c r="I261">
        <v>0</v>
      </c>
      <c r="J261">
        <v>158</v>
      </c>
      <c r="K261" s="1" t="s">
        <v>59</v>
      </c>
    </row>
    <row r="262" spans="1:11">
      <c r="A262" s="17" t="s">
        <v>658</v>
      </c>
      <c r="B262" s="19" t="s">
        <v>50</v>
      </c>
      <c r="C262" s="19" t="s">
        <v>692</v>
      </c>
      <c r="D262" s="19" t="s">
        <v>693</v>
      </c>
      <c r="E262" s="20" t="s">
        <v>32</v>
      </c>
      <c r="F262" s="19" t="s">
        <v>692</v>
      </c>
      <c r="G262" s="19" t="s">
        <v>694</v>
      </c>
      <c r="H262" s="19" t="s">
        <v>32</v>
      </c>
      <c r="I262">
        <v>0</v>
      </c>
      <c r="J262">
        <v>108</v>
      </c>
      <c r="K262" s="1" t="s">
        <v>58</v>
      </c>
    </row>
    <row r="263" spans="1:11">
      <c r="A263" s="17" t="s">
        <v>658</v>
      </c>
      <c r="B263" s="19" t="s">
        <v>50</v>
      </c>
      <c r="C263" s="19" t="s">
        <v>695</v>
      </c>
      <c r="D263" s="19" t="s">
        <v>696</v>
      </c>
      <c r="E263" s="20" t="s">
        <v>32</v>
      </c>
      <c r="F263" s="19" t="s">
        <v>695</v>
      </c>
      <c r="G263" s="19" t="s">
        <v>697</v>
      </c>
      <c r="H263" s="19" t="s">
        <v>32</v>
      </c>
      <c r="I263">
        <v>0</v>
      </c>
      <c r="J263">
        <v>2</v>
      </c>
      <c r="K263" s="1" t="s">
        <v>59</v>
      </c>
    </row>
    <row r="264" spans="1:11">
      <c r="A264" s="17" t="s">
        <v>658</v>
      </c>
      <c r="B264" s="19" t="s">
        <v>50</v>
      </c>
      <c r="C264" s="19" t="s">
        <v>698</v>
      </c>
      <c r="D264" s="19" t="s">
        <v>699</v>
      </c>
      <c r="E264" s="20" t="s">
        <v>32</v>
      </c>
      <c r="F264" s="19" t="s">
        <v>698</v>
      </c>
      <c r="G264" s="19" t="s">
        <v>700</v>
      </c>
      <c r="H264" s="19" t="s">
        <v>32</v>
      </c>
      <c r="I264">
        <v>0</v>
      </c>
      <c r="J264">
        <v>8</v>
      </c>
      <c r="K264" s="1" t="s">
        <v>58</v>
      </c>
    </row>
    <row r="265" spans="1:11">
      <c r="A265" s="17" t="s">
        <v>658</v>
      </c>
      <c r="B265" s="19" t="s">
        <v>50</v>
      </c>
      <c r="C265" s="19" t="s">
        <v>701</v>
      </c>
      <c r="D265" s="19" t="s">
        <v>702</v>
      </c>
      <c r="E265" s="20" t="s">
        <v>32</v>
      </c>
      <c r="F265" s="19" t="s">
        <v>701</v>
      </c>
      <c r="G265" s="19" t="s">
        <v>703</v>
      </c>
      <c r="H265" s="19" t="s">
        <v>32</v>
      </c>
      <c r="I265">
        <v>0</v>
      </c>
      <c r="J265">
        <v>1365</v>
      </c>
      <c r="K265" s="1" t="s">
        <v>59</v>
      </c>
    </row>
    <row r="266" spans="1:11">
      <c r="A266" s="17" t="s">
        <v>658</v>
      </c>
      <c r="B266" s="19" t="s">
        <v>50</v>
      </c>
      <c r="C266" s="19" t="s">
        <v>704</v>
      </c>
      <c r="D266" s="19" t="s">
        <v>705</v>
      </c>
      <c r="E266" s="20" t="s">
        <v>32</v>
      </c>
      <c r="F266" s="19" t="s">
        <v>704</v>
      </c>
      <c r="G266" s="19" t="s">
        <v>706</v>
      </c>
      <c r="H266" s="19" t="s">
        <v>32</v>
      </c>
      <c r="I266">
        <v>0</v>
      </c>
      <c r="J266">
        <v>358</v>
      </c>
      <c r="K266" s="1" t="s">
        <v>58</v>
      </c>
    </row>
    <row r="267" spans="1:11">
      <c r="A267" s="17" t="s">
        <v>658</v>
      </c>
      <c r="B267" s="19" t="s">
        <v>50</v>
      </c>
      <c r="C267" s="19" t="s">
        <v>707</v>
      </c>
      <c r="D267" s="19" t="s">
        <v>708</v>
      </c>
      <c r="E267" s="20" t="s">
        <v>32</v>
      </c>
      <c r="F267" s="19" t="s">
        <v>707</v>
      </c>
      <c r="G267" s="19" t="s">
        <v>709</v>
      </c>
      <c r="H267" s="19" t="s">
        <v>32</v>
      </c>
      <c r="I267">
        <v>0</v>
      </c>
      <c r="J267">
        <v>147</v>
      </c>
      <c r="K267" s="1" t="s">
        <v>59</v>
      </c>
    </row>
    <row r="268" spans="1:11">
      <c r="A268" s="17" t="s">
        <v>658</v>
      </c>
      <c r="B268" s="19" t="s">
        <v>50</v>
      </c>
      <c r="C268" s="19" t="s">
        <v>710</v>
      </c>
      <c r="D268" s="19" t="s">
        <v>711</v>
      </c>
      <c r="E268" s="20" t="s">
        <v>32</v>
      </c>
      <c r="F268" s="19" t="s">
        <v>710</v>
      </c>
      <c r="G268" s="19" t="s">
        <v>712</v>
      </c>
      <c r="H268" s="19" t="s">
        <v>32</v>
      </c>
      <c r="I268">
        <v>0</v>
      </c>
      <c r="J268">
        <v>1410</v>
      </c>
      <c r="K268" s="1" t="s">
        <v>58</v>
      </c>
    </row>
    <row r="269" spans="1:11">
      <c r="A269" s="17" t="s">
        <v>658</v>
      </c>
      <c r="B269" s="19" t="s">
        <v>50</v>
      </c>
      <c r="C269" s="19" t="s">
        <v>713</v>
      </c>
      <c r="D269" s="19" t="s">
        <v>714</v>
      </c>
      <c r="E269" s="20" t="s">
        <v>32</v>
      </c>
      <c r="F269" s="19" t="s">
        <v>713</v>
      </c>
      <c r="G269" s="19" t="s">
        <v>715</v>
      </c>
      <c r="H269" s="19" t="s">
        <v>32</v>
      </c>
      <c r="I269">
        <v>0</v>
      </c>
      <c r="J269">
        <v>81</v>
      </c>
      <c r="K269" s="1" t="s">
        <v>59</v>
      </c>
    </row>
    <row r="270" spans="1:11">
      <c r="A270" s="17" t="s">
        <v>658</v>
      </c>
      <c r="B270" s="19" t="s">
        <v>50</v>
      </c>
      <c r="C270" s="19" t="s">
        <v>716</v>
      </c>
      <c r="D270" s="19" t="s">
        <v>717</v>
      </c>
      <c r="E270" s="20" t="s">
        <v>32</v>
      </c>
      <c r="F270" s="19" t="s">
        <v>716</v>
      </c>
      <c r="G270" s="19" t="s">
        <v>718</v>
      </c>
      <c r="H270" s="19" t="s">
        <v>32</v>
      </c>
      <c r="I270">
        <v>0</v>
      </c>
      <c r="J270">
        <v>889</v>
      </c>
      <c r="K270" s="1" t="s">
        <v>58</v>
      </c>
    </row>
    <row r="271" spans="1:11">
      <c r="A271" s="17" t="s">
        <v>658</v>
      </c>
      <c r="B271" s="19" t="s">
        <v>50</v>
      </c>
      <c r="C271" s="19" t="s">
        <v>719</v>
      </c>
      <c r="D271" s="19" t="s">
        <v>720</v>
      </c>
      <c r="E271" s="20" t="s">
        <v>32</v>
      </c>
      <c r="F271" s="19" t="s">
        <v>719</v>
      </c>
      <c r="G271" s="19" t="s">
        <v>721</v>
      </c>
      <c r="H271" s="19" t="s">
        <v>32</v>
      </c>
      <c r="I271">
        <v>0</v>
      </c>
      <c r="J271">
        <v>442</v>
      </c>
      <c r="K271" s="1" t="s">
        <v>59</v>
      </c>
    </row>
    <row r="272" spans="1:11">
      <c r="A272" s="17" t="s">
        <v>658</v>
      </c>
      <c r="B272" s="19" t="s">
        <v>50</v>
      </c>
      <c r="C272" s="19" t="s">
        <v>722</v>
      </c>
      <c r="D272" s="19" t="s">
        <v>723</v>
      </c>
      <c r="E272" s="20" t="s">
        <v>32</v>
      </c>
      <c r="F272" s="19" t="s">
        <v>722</v>
      </c>
      <c r="G272" s="19" t="s">
        <v>724</v>
      </c>
      <c r="H272" s="19" t="s">
        <v>32</v>
      </c>
      <c r="I272">
        <v>0</v>
      </c>
      <c r="J272">
        <v>602</v>
      </c>
      <c r="K272" s="1" t="s">
        <v>58</v>
      </c>
    </row>
    <row r="273" spans="1:11">
      <c r="A273" s="17" t="s">
        <v>658</v>
      </c>
      <c r="B273" s="19" t="s">
        <v>50</v>
      </c>
      <c r="C273" s="19" t="s">
        <v>725</v>
      </c>
      <c r="D273" s="19" t="s">
        <v>726</v>
      </c>
      <c r="E273" s="20" t="s">
        <v>32</v>
      </c>
      <c r="F273" s="19" t="s">
        <v>725</v>
      </c>
      <c r="G273" s="19" t="s">
        <v>727</v>
      </c>
      <c r="H273" s="19" t="s">
        <v>32</v>
      </c>
      <c r="I273">
        <v>0</v>
      </c>
      <c r="J273">
        <v>329</v>
      </c>
      <c r="K273" s="1" t="s">
        <v>59</v>
      </c>
    </row>
    <row r="274" spans="1:11">
      <c r="A274" s="17" t="s">
        <v>658</v>
      </c>
      <c r="B274" s="19" t="s">
        <v>50</v>
      </c>
      <c r="C274" s="19" t="s">
        <v>728</v>
      </c>
      <c r="D274" s="19" t="s">
        <v>729</v>
      </c>
      <c r="E274" s="20" t="s">
        <v>32</v>
      </c>
      <c r="F274" s="19" t="s">
        <v>728</v>
      </c>
      <c r="G274" s="19" t="s">
        <v>730</v>
      </c>
      <c r="H274" s="19" t="s">
        <v>32</v>
      </c>
      <c r="I274">
        <v>0</v>
      </c>
      <c r="J274">
        <v>7</v>
      </c>
      <c r="K274" s="1" t="s">
        <v>58</v>
      </c>
    </row>
    <row r="275" spans="1:11">
      <c r="A275" s="17" t="s">
        <v>658</v>
      </c>
      <c r="B275" s="19" t="s">
        <v>50</v>
      </c>
      <c r="C275" s="19" t="s">
        <v>731</v>
      </c>
      <c r="D275" s="19" t="s">
        <v>732</v>
      </c>
      <c r="E275" s="20" t="s">
        <v>32</v>
      </c>
      <c r="F275" s="19" t="s">
        <v>731</v>
      </c>
      <c r="G275" s="19" t="s">
        <v>733</v>
      </c>
      <c r="H275" s="19" t="s">
        <v>32</v>
      </c>
      <c r="I275">
        <v>0</v>
      </c>
      <c r="J275">
        <v>2</v>
      </c>
      <c r="K275" s="1" t="s">
        <v>59</v>
      </c>
    </row>
    <row r="276" spans="1:11">
      <c r="A276" s="17" t="s">
        <v>658</v>
      </c>
      <c r="B276" s="19" t="s">
        <v>50</v>
      </c>
      <c r="C276" s="19" t="s">
        <v>734</v>
      </c>
      <c r="D276" s="19" t="s">
        <v>735</v>
      </c>
      <c r="E276" s="20" t="s">
        <v>32</v>
      </c>
      <c r="F276" s="19" t="s">
        <v>734</v>
      </c>
      <c r="G276" s="19" t="s">
        <v>736</v>
      </c>
      <c r="H276" s="19" t="s">
        <v>32</v>
      </c>
      <c r="I276">
        <v>0</v>
      </c>
      <c r="J276">
        <v>2</v>
      </c>
      <c r="K276" s="1" t="s">
        <v>58</v>
      </c>
    </row>
    <row r="277" spans="1:11">
      <c r="A277" s="17" t="s">
        <v>658</v>
      </c>
      <c r="B277" s="19" t="s">
        <v>50</v>
      </c>
      <c r="C277" s="19" t="s">
        <v>737</v>
      </c>
      <c r="D277" s="19" t="s">
        <v>738</v>
      </c>
      <c r="E277" s="20" t="s">
        <v>32</v>
      </c>
      <c r="F277" s="19" t="s">
        <v>737</v>
      </c>
      <c r="G277" s="19" t="s">
        <v>739</v>
      </c>
      <c r="H277" s="19" t="s">
        <v>32</v>
      </c>
      <c r="I277">
        <v>0</v>
      </c>
      <c r="J277">
        <v>308</v>
      </c>
      <c r="K277" s="1" t="s">
        <v>59</v>
      </c>
    </row>
    <row r="278" spans="1:11">
      <c r="A278" s="17" t="s">
        <v>658</v>
      </c>
      <c r="B278" s="19" t="s">
        <v>50</v>
      </c>
      <c r="C278" s="19" t="s">
        <v>740</v>
      </c>
      <c r="D278" s="19" t="s">
        <v>741</v>
      </c>
      <c r="E278" s="20" t="s">
        <v>32</v>
      </c>
      <c r="F278" s="19" t="s">
        <v>740</v>
      </c>
      <c r="G278" s="19" t="s">
        <v>742</v>
      </c>
      <c r="H278" s="19" t="s">
        <v>32</v>
      </c>
      <c r="I278">
        <v>0</v>
      </c>
      <c r="J278">
        <v>133</v>
      </c>
      <c r="K278" s="1" t="s">
        <v>58</v>
      </c>
    </row>
    <row r="279" spans="1:11">
      <c r="A279" s="17" t="s">
        <v>658</v>
      </c>
      <c r="B279" s="19" t="s">
        <v>50</v>
      </c>
      <c r="C279" s="19" t="s">
        <v>743</v>
      </c>
      <c r="D279" s="19" t="s">
        <v>744</v>
      </c>
      <c r="E279" s="20" t="s">
        <v>32</v>
      </c>
      <c r="F279" s="19" t="s">
        <v>743</v>
      </c>
      <c r="G279" s="19" t="s">
        <v>745</v>
      </c>
      <c r="H279" s="19" t="s">
        <v>32</v>
      </c>
      <c r="I279">
        <v>0</v>
      </c>
      <c r="J279">
        <v>313</v>
      </c>
      <c r="K279" s="1" t="s">
        <v>59</v>
      </c>
    </row>
    <row r="280" spans="1:11">
      <c r="A280" s="17" t="s">
        <v>658</v>
      </c>
      <c r="B280" s="19" t="s">
        <v>50</v>
      </c>
      <c r="C280" s="19" t="s">
        <v>746</v>
      </c>
      <c r="D280" s="19" t="s">
        <v>747</v>
      </c>
      <c r="E280" s="20" t="s">
        <v>32</v>
      </c>
      <c r="F280" s="19" t="s">
        <v>746</v>
      </c>
      <c r="G280" s="19" t="s">
        <v>748</v>
      </c>
      <c r="H280" s="19" t="s">
        <v>32</v>
      </c>
      <c r="I280">
        <v>0</v>
      </c>
      <c r="J280">
        <v>581</v>
      </c>
      <c r="K280" s="1" t="s">
        <v>58</v>
      </c>
    </row>
    <row r="281" spans="1:11">
      <c r="A281" s="17" t="s">
        <v>658</v>
      </c>
      <c r="B281" s="19" t="s">
        <v>50</v>
      </c>
      <c r="C281" s="19" t="s">
        <v>749</v>
      </c>
      <c r="D281" s="19" t="s">
        <v>750</v>
      </c>
      <c r="E281" s="20" t="s">
        <v>32</v>
      </c>
      <c r="F281" s="19" t="s">
        <v>749</v>
      </c>
      <c r="G281" s="19" t="s">
        <v>751</v>
      </c>
      <c r="H281" s="19" t="s">
        <v>32</v>
      </c>
      <c r="I281">
        <v>0</v>
      </c>
      <c r="J281">
        <v>100</v>
      </c>
      <c r="K281" s="1" t="s">
        <v>59</v>
      </c>
    </row>
    <row r="282" spans="1:11">
      <c r="A282" s="17" t="s">
        <v>658</v>
      </c>
      <c r="B282" s="19" t="s">
        <v>50</v>
      </c>
      <c r="C282" s="19" t="s">
        <v>752</v>
      </c>
      <c r="D282" s="19" t="s">
        <v>753</v>
      </c>
      <c r="E282" s="20" t="s">
        <v>32</v>
      </c>
      <c r="F282" s="19" t="s">
        <v>752</v>
      </c>
      <c r="G282" s="19" t="s">
        <v>754</v>
      </c>
      <c r="H282" s="19" t="s">
        <v>32</v>
      </c>
      <c r="I282">
        <v>0</v>
      </c>
      <c r="J282">
        <v>142</v>
      </c>
      <c r="K282" s="1" t="s">
        <v>58</v>
      </c>
    </row>
    <row r="283" spans="1:11">
      <c r="A283" s="17" t="s">
        <v>658</v>
      </c>
      <c r="B283" s="19" t="s">
        <v>50</v>
      </c>
      <c r="C283" s="19" t="s">
        <v>755</v>
      </c>
      <c r="D283" s="19" t="s">
        <v>756</v>
      </c>
      <c r="E283" s="20" t="s">
        <v>32</v>
      </c>
      <c r="F283" s="19" t="s">
        <v>755</v>
      </c>
      <c r="G283" s="19" t="s">
        <v>757</v>
      </c>
      <c r="H283" s="19" t="s">
        <v>32</v>
      </c>
      <c r="I283">
        <v>0</v>
      </c>
      <c r="J283">
        <v>1</v>
      </c>
      <c r="K283" s="1" t="s">
        <v>59</v>
      </c>
    </row>
    <row r="284" spans="1:11">
      <c r="A284" s="17" t="s">
        <v>658</v>
      </c>
      <c r="B284" s="19" t="s">
        <v>50</v>
      </c>
      <c r="C284" s="19" t="s">
        <v>758</v>
      </c>
      <c r="D284" s="19" t="s">
        <v>759</v>
      </c>
      <c r="E284" s="20" t="s">
        <v>32</v>
      </c>
      <c r="F284" s="19" t="s">
        <v>758</v>
      </c>
      <c r="G284" s="19" t="s">
        <v>760</v>
      </c>
      <c r="H284" s="19" t="s">
        <v>32</v>
      </c>
      <c r="I284">
        <v>0</v>
      </c>
      <c r="J284">
        <v>2</v>
      </c>
      <c r="K284" s="1" t="s">
        <v>58</v>
      </c>
    </row>
    <row r="285" spans="1:11">
      <c r="A285" s="17" t="s">
        <v>658</v>
      </c>
      <c r="B285" s="19" t="s">
        <v>50</v>
      </c>
      <c r="C285" s="19" t="s">
        <v>761</v>
      </c>
      <c r="D285" s="19" t="s">
        <v>762</v>
      </c>
      <c r="E285" s="20" t="s">
        <v>32</v>
      </c>
      <c r="F285" s="19" t="s">
        <v>761</v>
      </c>
      <c r="G285" s="19" t="s">
        <v>763</v>
      </c>
      <c r="H285" s="19" t="s">
        <v>32</v>
      </c>
      <c r="I285">
        <v>0</v>
      </c>
      <c r="J285">
        <v>439</v>
      </c>
      <c r="K285" s="1" t="s">
        <v>59</v>
      </c>
    </row>
    <row r="286" spans="1:11">
      <c r="A286" s="17" t="s">
        <v>658</v>
      </c>
      <c r="B286" s="19" t="s">
        <v>50</v>
      </c>
      <c r="C286" s="19" t="s">
        <v>764</v>
      </c>
      <c r="D286" s="19" t="s">
        <v>765</v>
      </c>
      <c r="E286" s="20" t="s">
        <v>32</v>
      </c>
      <c r="F286" s="19" t="s">
        <v>764</v>
      </c>
      <c r="G286" s="19" t="s">
        <v>766</v>
      </c>
      <c r="H286" s="19" t="s">
        <v>32</v>
      </c>
      <c r="I286">
        <v>0</v>
      </c>
      <c r="J286">
        <v>2</v>
      </c>
      <c r="K286" s="1" t="s">
        <v>58</v>
      </c>
    </row>
    <row r="287" spans="1:11">
      <c r="A287" s="17" t="s">
        <v>658</v>
      </c>
      <c r="B287" s="19" t="s">
        <v>50</v>
      </c>
      <c r="C287" s="19" t="s">
        <v>767</v>
      </c>
      <c r="D287" s="19" t="s">
        <v>768</v>
      </c>
      <c r="E287" s="20" t="s">
        <v>32</v>
      </c>
      <c r="F287" s="19" t="s">
        <v>767</v>
      </c>
      <c r="G287" s="19" t="s">
        <v>769</v>
      </c>
      <c r="H287" s="19" t="s">
        <v>32</v>
      </c>
      <c r="I287">
        <v>0</v>
      </c>
      <c r="J287">
        <v>1</v>
      </c>
      <c r="K287" s="1" t="s">
        <v>59</v>
      </c>
    </row>
    <row r="288" spans="1:11">
      <c r="A288" s="17" t="s">
        <v>658</v>
      </c>
      <c r="B288" s="19" t="s">
        <v>50</v>
      </c>
      <c r="C288" s="19" t="s">
        <v>770</v>
      </c>
      <c r="D288" s="19" t="s">
        <v>771</v>
      </c>
      <c r="E288" s="20" t="s">
        <v>32</v>
      </c>
      <c r="F288" s="19" t="s">
        <v>770</v>
      </c>
      <c r="G288" s="19" t="s">
        <v>772</v>
      </c>
      <c r="H288" s="19" t="s">
        <v>32</v>
      </c>
      <c r="I288">
        <v>0</v>
      </c>
      <c r="J288">
        <v>2</v>
      </c>
      <c r="K288" s="1" t="s">
        <v>58</v>
      </c>
    </row>
    <row r="289" spans="1:11">
      <c r="A289" s="17" t="s">
        <v>658</v>
      </c>
      <c r="B289" s="19" t="s">
        <v>50</v>
      </c>
      <c r="C289" s="19" t="s">
        <v>773</v>
      </c>
      <c r="D289" s="19" t="s">
        <v>774</v>
      </c>
      <c r="E289" s="20" t="s">
        <v>32</v>
      </c>
      <c r="F289" s="19" t="s">
        <v>773</v>
      </c>
      <c r="G289" s="19" t="s">
        <v>775</v>
      </c>
      <c r="H289" s="19" t="s">
        <v>32</v>
      </c>
      <c r="I289">
        <v>0</v>
      </c>
      <c r="J289">
        <v>1</v>
      </c>
      <c r="K289" s="1" t="s">
        <v>58</v>
      </c>
    </row>
    <row r="290" spans="1:11">
      <c r="A290" s="17" t="s">
        <v>658</v>
      </c>
      <c r="B290" s="19" t="s">
        <v>50</v>
      </c>
      <c r="C290" s="19" t="s">
        <v>776</v>
      </c>
      <c r="D290" s="19" t="s">
        <v>777</v>
      </c>
      <c r="E290" s="20" t="s">
        <v>32</v>
      </c>
      <c r="F290" s="19" t="s">
        <v>776</v>
      </c>
      <c r="G290" s="19" t="s">
        <v>778</v>
      </c>
      <c r="H290" s="19" t="s">
        <v>32</v>
      </c>
      <c r="I290">
        <v>0</v>
      </c>
      <c r="J290">
        <v>2</v>
      </c>
      <c r="K290" s="1" t="s">
        <v>58</v>
      </c>
    </row>
    <row r="291" spans="1:11">
      <c r="A291" s="17" t="s">
        <v>658</v>
      </c>
      <c r="B291" s="19" t="s">
        <v>50</v>
      </c>
      <c r="C291" s="19" t="s">
        <v>779</v>
      </c>
      <c r="D291" s="19" t="s">
        <v>780</v>
      </c>
      <c r="E291" s="20" t="s">
        <v>32</v>
      </c>
      <c r="F291" s="19" t="s">
        <v>779</v>
      </c>
      <c r="G291" s="19" t="s">
        <v>781</v>
      </c>
      <c r="H291" s="19" t="s">
        <v>32</v>
      </c>
      <c r="I291">
        <v>0</v>
      </c>
      <c r="J291">
        <v>2</v>
      </c>
      <c r="K291" s="1" t="s">
        <v>58</v>
      </c>
    </row>
    <row r="292" spans="1:11">
      <c r="A292" s="17" t="s">
        <v>658</v>
      </c>
      <c r="B292" s="19" t="s">
        <v>50</v>
      </c>
      <c r="C292" s="19" t="s">
        <v>782</v>
      </c>
      <c r="D292" s="19" t="s">
        <v>783</v>
      </c>
      <c r="E292" s="20" t="s">
        <v>32</v>
      </c>
      <c r="F292" s="19" t="s">
        <v>782</v>
      </c>
      <c r="G292" s="19" t="s">
        <v>784</v>
      </c>
      <c r="H292" s="19" t="s">
        <v>32</v>
      </c>
      <c r="I292">
        <v>0</v>
      </c>
      <c r="J292">
        <v>2</v>
      </c>
      <c r="K292" s="1" t="s">
        <v>58</v>
      </c>
    </row>
    <row r="293" spans="1:11">
      <c r="A293" s="17" t="s">
        <v>658</v>
      </c>
      <c r="B293" s="19" t="s">
        <v>50</v>
      </c>
      <c r="C293" s="19" t="s">
        <v>785</v>
      </c>
      <c r="D293" s="19" t="s">
        <v>786</v>
      </c>
      <c r="E293" s="20" t="s">
        <v>32</v>
      </c>
      <c r="F293" s="19" t="s">
        <v>785</v>
      </c>
      <c r="G293" s="19" t="s">
        <v>787</v>
      </c>
      <c r="H293" s="19" t="s">
        <v>32</v>
      </c>
      <c r="I293">
        <v>0</v>
      </c>
      <c r="J293">
        <v>2</v>
      </c>
      <c r="K293" s="1" t="s">
        <v>58</v>
      </c>
    </row>
    <row r="294" spans="1:11">
      <c r="A294" s="17" t="s">
        <v>658</v>
      </c>
      <c r="B294" s="19" t="s">
        <v>50</v>
      </c>
      <c r="C294" s="19" t="s">
        <v>788</v>
      </c>
      <c r="D294" s="19" t="s">
        <v>789</v>
      </c>
      <c r="E294" s="20" t="s">
        <v>32</v>
      </c>
      <c r="F294" s="19" t="s">
        <v>788</v>
      </c>
      <c r="G294" s="19" t="s">
        <v>790</v>
      </c>
      <c r="H294" s="19" t="s">
        <v>32</v>
      </c>
      <c r="I294">
        <v>0</v>
      </c>
      <c r="J294">
        <v>2</v>
      </c>
      <c r="K294" s="1" t="s">
        <v>58</v>
      </c>
    </row>
    <row r="295" spans="1:11">
      <c r="A295" s="17" t="s">
        <v>658</v>
      </c>
      <c r="B295" s="19" t="s">
        <v>50</v>
      </c>
      <c r="C295" s="19" t="s">
        <v>791</v>
      </c>
      <c r="D295" s="19" t="s">
        <v>792</v>
      </c>
      <c r="E295" s="20" t="s">
        <v>32</v>
      </c>
      <c r="F295" s="19" t="s">
        <v>791</v>
      </c>
      <c r="G295" s="19" t="s">
        <v>793</v>
      </c>
      <c r="H295" s="19" t="s">
        <v>32</v>
      </c>
      <c r="I295">
        <v>0</v>
      </c>
      <c r="J295">
        <v>889</v>
      </c>
      <c r="K295" s="1" t="s">
        <v>58</v>
      </c>
    </row>
    <row r="296" spans="1:11">
      <c r="A296" s="17" t="s">
        <v>658</v>
      </c>
      <c r="B296" s="19" t="s">
        <v>50</v>
      </c>
      <c r="C296" s="19" t="s">
        <v>794</v>
      </c>
      <c r="D296" s="19" t="s">
        <v>795</v>
      </c>
      <c r="E296" s="20" t="s">
        <v>32</v>
      </c>
      <c r="F296" s="19" t="s">
        <v>794</v>
      </c>
      <c r="G296" s="19" t="s">
        <v>796</v>
      </c>
      <c r="H296" s="19" t="s">
        <v>32</v>
      </c>
      <c r="I296">
        <v>0</v>
      </c>
      <c r="J296">
        <v>1002</v>
      </c>
      <c r="K296" s="1" t="s">
        <v>58</v>
      </c>
    </row>
    <row r="297" spans="1:11">
      <c r="A297" s="17" t="s">
        <v>658</v>
      </c>
      <c r="B297" s="19" t="s">
        <v>50</v>
      </c>
      <c r="C297" s="19" t="s">
        <v>797</v>
      </c>
      <c r="D297" s="19" t="s">
        <v>798</v>
      </c>
      <c r="E297" s="20" t="s">
        <v>32</v>
      </c>
      <c r="F297" s="19" t="s">
        <v>797</v>
      </c>
      <c r="G297" s="19" t="s">
        <v>799</v>
      </c>
      <c r="H297" s="19" t="s">
        <v>32</v>
      </c>
      <c r="I297">
        <v>0</v>
      </c>
      <c r="J297">
        <v>914</v>
      </c>
      <c r="K297" s="1" t="s">
        <v>58</v>
      </c>
    </row>
    <row r="298" spans="1:11">
      <c r="A298" s="17" t="s">
        <v>658</v>
      </c>
      <c r="B298" s="19" t="s">
        <v>50</v>
      </c>
      <c r="C298" s="19" t="s">
        <v>800</v>
      </c>
      <c r="D298" s="19" t="s">
        <v>801</v>
      </c>
      <c r="E298" s="20" t="s">
        <v>32</v>
      </c>
      <c r="F298" s="19" t="s">
        <v>800</v>
      </c>
      <c r="G298" s="19" t="s">
        <v>802</v>
      </c>
      <c r="H298" s="19" t="s">
        <v>32</v>
      </c>
      <c r="I298">
        <v>0</v>
      </c>
      <c r="J298">
        <v>882</v>
      </c>
      <c r="K298" s="1" t="s">
        <v>59</v>
      </c>
    </row>
    <row r="299" spans="1:11">
      <c r="A299" s="17" t="s">
        <v>658</v>
      </c>
      <c r="B299" s="19" t="s">
        <v>49</v>
      </c>
      <c r="C299" s="19" t="s">
        <v>803</v>
      </c>
      <c r="D299" s="19" t="s">
        <v>804</v>
      </c>
      <c r="E299" s="20" t="s">
        <v>12</v>
      </c>
      <c r="F299" s="19" t="s">
        <v>803</v>
      </c>
      <c r="G299" s="19" t="s">
        <v>805</v>
      </c>
      <c r="H299" s="19" t="s">
        <v>31</v>
      </c>
      <c r="I299">
        <v>29</v>
      </c>
      <c r="J299">
        <v>30</v>
      </c>
      <c r="K299" s="1" t="s">
        <v>58</v>
      </c>
    </row>
    <row r="300" spans="1:11">
      <c r="A300" s="17" t="s">
        <v>658</v>
      </c>
      <c r="B300" s="19" t="s">
        <v>49</v>
      </c>
      <c r="C300" s="19" t="s">
        <v>806</v>
      </c>
      <c r="D300" s="19" t="s">
        <v>807</v>
      </c>
      <c r="E300" s="20" t="s">
        <v>12</v>
      </c>
      <c r="F300" s="19" t="s">
        <v>806</v>
      </c>
      <c r="G300" s="19" t="s">
        <v>808</v>
      </c>
      <c r="H300" s="19" t="s">
        <v>31</v>
      </c>
      <c r="I300">
        <v>0</v>
      </c>
      <c r="J300">
        <v>30</v>
      </c>
      <c r="K300" s="1" t="s">
        <v>59</v>
      </c>
    </row>
    <row r="301" spans="1:11">
      <c r="A301" s="17" t="s">
        <v>658</v>
      </c>
      <c r="B301" s="19" t="s">
        <v>49</v>
      </c>
      <c r="C301" s="19" t="s">
        <v>809</v>
      </c>
      <c r="D301" s="19" t="s">
        <v>810</v>
      </c>
      <c r="E301" s="20" t="s">
        <v>12</v>
      </c>
      <c r="F301" s="19" t="s">
        <v>809</v>
      </c>
      <c r="G301" s="19" t="s">
        <v>811</v>
      </c>
      <c r="H301" s="19" t="s">
        <v>31</v>
      </c>
      <c r="I301">
        <v>2</v>
      </c>
      <c r="J301">
        <v>0</v>
      </c>
      <c r="K301" s="1" t="s">
        <v>58</v>
      </c>
    </row>
    <row r="302" spans="1:11">
      <c r="A302" s="17" t="s">
        <v>658</v>
      </c>
      <c r="B302" s="19" t="s">
        <v>49</v>
      </c>
      <c r="C302" s="19" t="s">
        <v>812</v>
      </c>
      <c r="D302" s="19" t="s">
        <v>813</v>
      </c>
      <c r="E302" s="20" t="s">
        <v>12</v>
      </c>
      <c r="F302" s="19" t="s">
        <v>812</v>
      </c>
      <c r="G302" s="19" t="s">
        <v>814</v>
      </c>
      <c r="H302" s="19" t="s">
        <v>31</v>
      </c>
      <c r="I302">
        <v>22</v>
      </c>
      <c r="J302">
        <v>35</v>
      </c>
      <c r="K302" s="1" t="s">
        <v>59</v>
      </c>
    </row>
    <row r="303" spans="1:11">
      <c r="A303" s="17" t="s">
        <v>658</v>
      </c>
      <c r="B303" s="19" t="s">
        <v>49</v>
      </c>
      <c r="C303" s="19" t="s">
        <v>815</v>
      </c>
      <c r="D303" s="19" t="s">
        <v>816</v>
      </c>
      <c r="E303" s="20" t="s">
        <v>12</v>
      </c>
      <c r="F303" s="19" t="s">
        <v>815</v>
      </c>
      <c r="G303" s="19" t="s">
        <v>817</v>
      </c>
      <c r="H303" s="19" t="s">
        <v>31</v>
      </c>
      <c r="I303">
        <v>3</v>
      </c>
      <c r="J303">
        <v>49</v>
      </c>
      <c r="K303" s="1" t="s">
        <v>58</v>
      </c>
    </row>
    <row r="304" spans="1:11">
      <c r="A304" s="17" t="s">
        <v>658</v>
      </c>
      <c r="B304" s="19" t="s">
        <v>49</v>
      </c>
      <c r="C304" s="19" t="s">
        <v>818</v>
      </c>
      <c r="D304" s="19" t="s">
        <v>819</v>
      </c>
      <c r="E304" s="20" t="s">
        <v>12</v>
      </c>
      <c r="F304" s="19" t="s">
        <v>818</v>
      </c>
      <c r="G304" s="19" t="s">
        <v>820</v>
      </c>
      <c r="H304" s="19" t="s">
        <v>31</v>
      </c>
      <c r="I304">
        <v>0</v>
      </c>
      <c r="J304">
        <v>1</v>
      </c>
      <c r="K304" s="1" t="s">
        <v>59</v>
      </c>
    </row>
    <row r="305" spans="1:11">
      <c r="A305" s="17" t="s">
        <v>658</v>
      </c>
      <c r="B305" s="19" t="s">
        <v>49</v>
      </c>
      <c r="C305" s="19" t="s">
        <v>821</v>
      </c>
      <c r="D305" s="19" t="s">
        <v>822</v>
      </c>
      <c r="E305" s="20" t="s">
        <v>12</v>
      </c>
      <c r="F305" s="19" t="s">
        <v>821</v>
      </c>
      <c r="G305" s="19" t="s">
        <v>823</v>
      </c>
      <c r="H305" s="19" t="s">
        <v>31</v>
      </c>
      <c r="I305">
        <v>54</v>
      </c>
      <c r="J305">
        <v>66</v>
      </c>
      <c r="K305" s="1" t="s">
        <v>58</v>
      </c>
    </row>
    <row r="306" spans="1:11">
      <c r="A306" s="17" t="s">
        <v>658</v>
      </c>
      <c r="B306" s="19" t="s">
        <v>49</v>
      </c>
      <c r="C306" s="19" t="s">
        <v>824</v>
      </c>
      <c r="D306" s="19" t="s">
        <v>825</v>
      </c>
      <c r="E306" s="20" t="s">
        <v>12</v>
      </c>
      <c r="F306" s="19" t="s">
        <v>824</v>
      </c>
      <c r="G306" s="19" t="s">
        <v>826</v>
      </c>
      <c r="H306" s="19" t="s">
        <v>31</v>
      </c>
      <c r="I306">
        <v>4</v>
      </c>
      <c r="J306">
        <v>50</v>
      </c>
      <c r="K306" s="1" t="s">
        <v>59</v>
      </c>
    </row>
    <row r="307" spans="1:11">
      <c r="A307" s="17" t="s">
        <v>658</v>
      </c>
      <c r="B307" s="19" t="s">
        <v>49</v>
      </c>
      <c r="C307" s="19" t="s">
        <v>827</v>
      </c>
      <c r="D307" s="19" t="s">
        <v>828</v>
      </c>
      <c r="E307" s="20" t="s">
        <v>12</v>
      </c>
      <c r="F307" s="19" t="s">
        <v>827</v>
      </c>
      <c r="G307" s="19" t="s">
        <v>829</v>
      </c>
      <c r="H307" s="19" t="s">
        <v>31</v>
      </c>
      <c r="I307">
        <v>2</v>
      </c>
      <c r="J307">
        <v>2</v>
      </c>
      <c r="K307" s="1" t="s">
        <v>58</v>
      </c>
    </row>
    <row r="308" spans="1:11">
      <c r="A308" s="17" t="s">
        <v>658</v>
      </c>
      <c r="B308" s="19" t="s">
        <v>49</v>
      </c>
      <c r="C308" s="19" t="s">
        <v>830</v>
      </c>
      <c r="D308" s="19" t="s">
        <v>831</v>
      </c>
      <c r="E308" s="20" t="s">
        <v>12</v>
      </c>
      <c r="F308" s="19" t="s">
        <v>830</v>
      </c>
      <c r="G308" s="19" t="s">
        <v>832</v>
      </c>
      <c r="H308" s="19" t="s">
        <v>31</v>
      </c>
      <c r="I308">
        <v>10</v>
      </c>
      <c r="J308">
        <v>4</v>
      </c>
      <c r="K308" s="1" t="s">
        <v>59</v>
      </c>
    </row>
    <row r="309" spans="1:11">
      <c r="A309" s="17" t="s">
        <v>658</v>
      </c>
      <c r="B309" s="19" t="s">
        <v>49</v>
      </c>
      <c r="C309" s="19" t="s">
        <v>833</v>
      </c>
      <c r="D309" s="19" t="s">
        <v>834</v>
      </c>
      <c r="E309" s="20" t="s">
        <v>12</v>
      </c>
      <c r="F309" s="19" t="s">
        <v>833</v>
      </c>
      <c r="G309" s="19" t="s">
        <v>835</v>
      </c>
      <c r="H309" s="19" t="s">
        <v>31</v>
      </c>
      <c r="I309">
        <v>1</v>
      </c>
      <c r="J309">
        <v>12</v>
      </c>
      <c r="K309" s="1" t="s">
        <v>58</v>
      </c>
    </row>
    <row r="310" spans="1:11">
      <c r="A310" s="17" t="s">
        <v>658</v>
      </c>
      <c r="B310" s="19" t="s">
        <v>49</v>
      </c>
      <c r="C310" s="19" t="s">
        <v>836</v>
      </c>
      <c r="D310" s="19" t="s">
        <v>837</v>
      </c>
      <c r="E310" s="20" t="s">
        <v>12</v>
      </c>
      <c r="F310" s="19" t="s">
        <v>836</v>
      </c>
      <c r="G310" s="19" t="s">
        <v>838</v>
      </c>
      <c r="H310" s="19" t="s">
        <v>31</v>
      </c>
      <c r="I310">
        <v>12</v>
      </c>
      <c r="J310">
        <v>15</v>
      </c>
      <c r="K310" s="1" t="s">
        <v>59</v>
      </c>
    </row>
    <row r="311" spans="1:11">
      <c r="A311" s="17" t="s">
        <v>658</v>
      </c>
      <c r="B311" s="19" t="s">
        <v>49</v>
      </c>
      <c r="C311" s="19" t="s">
        <v>839</v>
      </c>
      <c r="D311" s="19" t="s">
        <v>840</v>
      </c>
      <c r="E311" s="20" t="s">
        <v>12</v>
      </c>
      <c r="F311" s="19" t="s">
        <v>839</v>
      </c>
      <c r="G311" s="19" t="s">
        <v>841</v>
      </c>
      <c r="H311" s="19" t="s">
        <v>31</v>
      </c>
      <c r="I311">
        <v>2</v>
      </c>
      <c r="J311">
        <v>23</v>
      </c>
      <c r="K311" s="1" t="s">
        <v>58</v>
      </c>
    </row>
    <row r="312" spans="1:11">
      <c r="A312" s="17" t="s">
        <v>658</v>
      </c>
      <c r="B312" s="19" t="s">
        <v>49</v>
      </c>
      <c r="C312" s="19" t="s">
        <v>842</v>
      </c>
      <c r="D312" s="19" t="s">
        <v>843</v>
      </c>
      <c r="E312" s="20" t="s">
        <v>12</v>
      </c>
      <c r="F312" s="19" t="s">
        <v>842</v>
      </c>
      <c r="G312" s="19" t="s">
        <v>844</v>
      </c>
      <c r="H312" s="19" t="s">
        <v>31</v>
      </c>
      <c r="I312">
        <v>73</v>
      </c>
      <c r="J312">
        <v>65</v>
      </c>
      <c r="K312" s="1" t="s">
        <v>59</v>
      </c>
    </row>
    <row r="313" spans="1:11">
      <c r="A313" s="17" t="s">
        <v>658</v>
      </c>
      <c r="B313" s="19" t="s">
        <v>49</v>
      </c>
      <c r="C313" s="19" t="s">
        <v>845</v>
      </c>
      <c r="D313" s="19" t="s">
        <v>846</v>
      </c>
      <c r="E313" s="20" t="s">
        <v>12</v>
      </c>
      <c r="F313" s="19" t="s">
        <v>845</v>
      </c>
      <c r="G313" s="19" t="s">
        <v>847</v>
      </c>
      <c r="H313" s="19" t="s">
        <v>31</v>
      </c>
      <c r="I313">
        <v>2</v>
      </c>
      <c r="J313">
        <v>58</v>
      </c>
      <c r="K313" s="1" t="s">
        <v>58</v>
      </c>
    </row>
    <row r="314" spans="1:11">
      <c r="A314" s="17" t="s">
        <v>658</v>
      </c>
      <c r="B314" s="19" t="s">
        <v>49</v>
      </c>
      <c r="C314" s="19" t="s">
        <v>848</v>
      </c>
      <c r="D314" s="19" t="s">
        <v>849</v>
      </c>
      <c r="E314" s="20" t="s">
        <v>12</v>
      </c>
      <c r="F314" s="19" t="s">
        <v>848</v>
      </c>
      <c r="G314" s="19" t="s">
        <v>850</v>
      </c>
      <c r="H314" s="19" t="s">
        <v>31</v>
      </c>
      <c r="I314">
        <v>0</v>
      </c>
      <c r="J314">
        <v>1</v>
      </c>
      <c r="K314" s="1" t="s">
        <v>59</v>
      </c>
    </row>
    <row r="315" spans="1:11">
      <c r="A315" s="17" t="s">
        <v>658</v>
      </c>
      <c r="B315" s="19" t="s">
        <v>49</v>
      </c>
      <c r="C315" s="19" t="s">
        <v>851</v>
      </c>
      <c r="D315" s="19" t="s">
        <v>852</v>
      </c>
      <c r="E315" s="20" t="s">
        <v>32</v>
      </c>
      <c r="F315" s="19" t="s">
        <v>851</v>
      </c>
      <c r="G315" s="19" t="s">
        <v>853</v>
      </c>
      <c r="H315" s="19" t="s">
        <v>32</v>
      </c>
      <c r="I315">
        <v>0</v>
      </c>
      <c r="J315">
        <v>1</v>
      </c>
      <c r="K315" s="1" t="s">
        <v>58</v>
      </c>
    </row>
    <row r="316" spans="1:11">
      <c r="A316" s="17" t="s">
        <v>658</v>
      </c>
      <c r="B316" s="19" t="s">
        <v>49</v>
      </c>
      <c r="C316" s="19" t="s">
        <v>854</v>
      </c>
      <c r="D316" s="19" t="s">
        <v>855</v>
      </c>
      <c r="E316" s="20" t="s">
        <v>32</v>
      </c>
      <c r="F316" s="19" t="s">
        <v>854</v>
      </c>
      <c r="G316" s="19" t="s">
        <v>856</v>
      </c>
      <c r="H316" s="19" t="s">
        <v>32</v>
      </c>
      <c r="I316">
        <v>0</v>
      </c>
      <c r="J316">
        <v>2</v>
      </c>
      <c r="K316" s="1" t="s">
        <v>59</v>
      </c>
    </row>
    <row r="317" spans="1:11">
      <c r="A317" s="17" t="s">
        <v>658</v>
      </c>
      <c r="B317" s="19" t="s">
        <v>49</v>
      </c>
      <c r="C317" s="19" t="s">
        <v>857</v>
      </c>
      <c r="D317" s="19" t="s">
        <v>858</v>
      </c>
      <c r="E317" s="20" t="s">
        <v>32</v>
      </c>
      <c r="F317" s="19" t="s">
        <v>857</v>
      </c>
      <c r="G317" s="19" t="s">
        <v>859</v>
      </c>
      <c r="H317" s="19" t="s">
        <v>32</v>
      </c>
      <c r="I317">
        <v>0</v>
      </c>
      <c r="J317">
        <v>2</v>
      </c>
      <c r="K317" s="1" t="s">
        <v>58</v>
      </c>
    </row>
    <row r="318" spans="1:11">
      <c r="A318" s="17" t="s">
        <v>658</v>
      </c>
      <c r="B318" s="19" t="s">
        <v>49</v>
      </c>
      <c r="C318" s="19" t="s">
        <v>860</v>
      </c>
      <c r="D318" s="19" t="s">
        <v>861</v>
      </c>
      <c r="E318" s="20" t="s">
        <v>32</v>
      </c>
      <c r="F318" s="19" t="s">
        <v>860</v>
      </c>
      <c r="G318" s="19" t="s">
        <v>862</v>
      </c>
      <c r="H318" s="19" t="s">
        <v>32</v>
      </c>
      <c r="I318">
        <v>0</v>
      </c>
      <c r="J318">
        <v>1</v>
      </c>
      <c r="K318" s="1" t="s">
        <v>59</v>
      </c>
    </row>
    <row r="319" spans="1:11">
      <c r="A319" s="17" t="s">
        <v>658</v>
      </c>
      <c r="B319" s="19" t="s">
        <v>49</v>
      </c>
      <c r="C319" s="19" t="s">
        <v>863</v>
      </c>
      <c r="D319" s="19" t="s">
        <v>864</v>
      </c>
      <c r="E319" s="20" t="s">
        <v>32</v>
      </c>
      <c r="F319" s="19" t="s">
        <v>863</v>
      </c>
      <c r="G319" s="19" t="s">
        <v>865</v>
      </c>
      <c r="H319" s="19" t="s">
        <v>32</v>
      </c>
      <c r="I319">
        <v>0</v>
      </c>
      <c r="J319">
        <v>3</v>
      </c>
      <c r="K319" s="1" t="s">
        <v>58</v>
      </c>
    </row>
    <row r="320" spans="1:11">
      <c r="A320" s="17" t="s">
        <v>658</v>
      </c>
      <c r="B320" s="19" t="s">
        <v>49</v>
      </c>
      <c r="C320" s="19" t="s">
        <v>866</v>
      </c>
      <c r="D320" s="19" t="s">
        <v>867</v>
      </c>
      <c r="E320" s="20" t="s">
        <v>32</v>
      </c>
      <c r="F320" s="19" t="s">
        <v>866</v>
      </c>
      <c r="G320" s="19" t="s">
        <v>868</v>
      </c>
      <c r="H320" s="19" t="s">
        <v>32</v>
      </c>
      <c r="I320">
        <v>0</v>
      </c>
      <c r="J320">
        <v>2</v>
      </c>
      <c r="K320" s="1" t="s">
        <v>59</v>
      </c>
    </row>
    <row r="321" spans="1:11">
      <c r="A321" s="17" t="s">
        <v>658</v>
      </c>
      <c r="B321" s="19" t="s">
        <v>49</v>
      </c>
      <c r="C321" s="19" t="s">
        <v>869</v>
      </c>
      <c r="D321" s="19" t="s">
        <v>870</v>
      </c>
      <c r="E321" s="20" t="s">
        <v>32</v>
      </c>
      <c r="F321" s="19" t="s">
        <v>869</v>
      </c>
      <c r="G321" s="19" t="s">
        <v>871</v>
      </c>
      <c r="H321" s="19" t="s">
        <v>32</v>
      </c>
      <c r="I321">
        <v>0</v>
      </c>
      <c r="J321">
        <v>2</v>
      </c>
      <c r="K321" s="1" t="s">
        <v>58</v>
      </c>
    </row>
    <row r="322" spans="1:11">
      <c r="A322" s="17" t="s">
        <v>658</v>
      </c>
      <c r="B322" s="19" t="s">
        <v>49</v>
      </c>
      <c r="C322" s="19" t="s">
        <v>872</v>
      </c>
      <c r="D322" s="19" t="s">
        <v>873</v>
      </c>
      <c r="E322" s="20" t="s">
        <v>32</v>
      </c>
      <c r="F322" s="19" t="s">
        <v>872</v>
      </c>
      <c r="G322" s="19" t="s">
        <v>874</v>
      </c>
      <c r="H322" s="19" t="s">
        <v>32</v>
      </c>
      <c r="I322">
        <v>0</v>
      </c>
      <c r="J322">
        <v>1</v>
      </c>
      <c r="K322" s="1" t="s">
        <v>58</v>
      </c>
    </row>
    <row r="323" spans="1:11">
      <c r="A323" s="17" t="s">
        <v>658</v>
      </c>
      <c r="B323" s="19" t="s">
        <v>49</v>
      </c>
      <c r="C323" s="19" t="s">
        <v>872</v>
      </c>
      <c r="D323" s="19" t="s">
        <v>873</v>
      </c>
      <c r="E323" s="20" t="s">
        <v>32</v>
      </c>
      <c r="F323" s="19" t="s">
        <v>872</v>
      </c>
      <c r="G323" s="19" t="s">
        <v>874</v>
      </c>
      <c r="H323" s="19" t="s">
        <v>32</v>
      </c>
      <c r="I323">
        <v>0</v>
      </c>
      <c r="J323">
        <v>1</v>
      </c>
      <c r="K323" s="1" t="s">
        <v>59</v>
      </c>
    </row>
    <row r="324" spans="1:11">
      <c r="A324" s="17" t="s">
        <v>658</v>
      </c>
      <c r="B324" s="19" t="s">
        <v>49</v>
      </c>
      <c r="C324" s="19" t="s">
        <v>875</v>
      </c>
      <c r="D324" s="19" t="s">
        <v>876</v>
      </c>
      <c r="E324" s="20" t="s">
        <v>32</v>
      </c>
      <c r="F324" s="19" t="s">
        <v>875</v>
      </c>
      <c r="G324" s="19" t="s">
        <v>877</v>
      </c>
      <c r="H324" s="19" t="s">
        <v>32</v>
      </c>
      <c r="I324">
        <v>0</v>
      </c>
      <c r="J324">
        <v>1</v>
      </c>
      <c r="K324" s="1" t="s">
        <v>58</v>
      </c>
    </row>
    <row r="325" spans="1:11">
      <c r="A325" s="17" t="s">
        <v>658</v>
      </c>
      <c r="B325" s="19" t="s">
        <v>49</v>
      </c>
      <c r="C325" s="19" t="s">
        <v>878</v>
      </c>
      <c r="D325" s="19" t="s">
        <v>879</v>
      </c>
      <c r="E325" s="20" t="s">
        <v>32</v>
      </c>
      <c r="F325" s="19" t="s">
        <v>878</v>
      </c>
      <c r="G325" s="19" t="s">
        <v>880</v>
      </c>
      <c r="H325" s="19" t="s">
        <v>32</v>
      </c>
      <c r="I325">
        <v>0</v>
      </c>
      <c r="J325">
        <v>1</v>
      </c>
      <c r="K325" s="1" t="s">
        <v>59</v>
      </c>
    </row>
    <row r="326" spans="1:11">
      <c r="A326" s="17" t="s">
        <v>658</v>
      </c>
      <c r="B326" s="19" t="s">
        <v>49</v>
      </c>
      <c r="C326" s="19" t="s">
        <v>881</v>
      </c>
      <c r="D326" s="19" t="s">
        <v>882</v>
      </c>
      <c r="E326" s="20" t="s">
        <v>32</v>
      </c>
      <c r="F326" s="19" t="s">
        <v>881</v>
      </c>
      <c r="G326" s="19" t="s">
        <v>883</v>
      </c>
      <c r="H326" s="19" t="s">
        <v>32</v>
      </c>
      <c r="I326">
        <v>0</v>
      </c>
      <c r="J326">
        <v>1</v>
      </c>
      <c r="K326" s="1" t="s">
        <v>58</v>
      </c>
    </row>
    <row r="327" spans="1:11">
      <c r="A327" s="17" t="s">
        <v>658</v>
      </c>
      <c r="B327" s="19" t="s">
        <v>49</v>
      </c>
      <c r="C327" s="19" t="s">
        <v>884</v>
      </c>
      <c r="D327" s="19" t="s">
        <v>885</v>
      </c>
      <c r="E327" s="20" t="s">
        <v>32</v>
      </c>
      <c r="F327" s="19" t="s">
        <v>884</v>
      </c>
      <c r="G327" s="19" t="s">
        <v>886</v>
      </c>
      <c r="H327" s="19" t="s">
        <v>32</v>
      </c>
      <c r="I327">
        <v>0</v>
      </c>
      <c r="J327">
        <v>1</v>
      </c>
      <c r="K327" s="1" t="s">
        <v>59</v>
      </c>
    </row>
    <row r="328" spans="1:11">
      <c r="A328" s="17" t="s">
        <v>658</v>
      </c>
      <c r="B328" s="19" t="s">
        <v>49</v>
      </c>
      <c r="C328" s="19" t="s">
        <v>887</v>
      </c>
      <c r="D328" s="19" t="s">
        <v>888</v>
      </c>
      <c r="E328" s="20" t="s">
        <v>32</v>
      </c>
      <c r="F328" s="19" t="s">
        <v>887</v>
      </c>
      <c r="G328" s="19" t="s">
        <v>889</v>
      </c>
      <c r="H328" s="19" t="s">
        <v>32</v>
      </c>
      <c r="I328">
        <v>0</v>
      </c>
      <c r="J328">
        <v>4</v>
      </c>
      <c r="K328" s="1" t="s">
        <v>58</v>
      </c>
    </row>
    <row r="329" spans="1:11">
      <c r="A329" s="17" t="s">
        <v>658</v>
      </c>
      <c r="B329" s="19" t="s">
        <v>49</v>
      </c>
      <c r="C329" s="19" t="s">
        <v>890</v>
      </c>
      <c r="D329" s="19" t="s">
        <v>891</v>
      </c>
      <c r="E329" s="20" t="s">
        <v>32</v>
      </c>
      <c r="F329" s="19" t="s">
        <v>890</v>
      </c>
      <c r="G329" s="19" t="s">
        <v>892</v>
      </c>
      <c r="H329" s="19" t="s">
        <v>32</v>
      </c>
      <c r="I329">
        <v>0</v>
      </c>
      <c r="J329">
        <v>1</v>
      </c>
      <c r="K329" s="1" t="s">
        <v>59</v>
      </c>
    </row>
    <row r="330" spans="1:11">
      <c r="A330" s="17" t="s">
        <v>658</v>
      </c>
      <c r="B330" s="19" t="s">
        <v>49</v>
      </c>
      <c r="C330" s="19" t="s">
        <v>893</v>
      </c>
      <c r="D330" s="19" t="s">
        <v>894</v>
      </c>
      <c r="E330" s="20" t="s">
        <v>32</v>
      </c>
      <c r="F330" s="19" t="s">
        <v>893</v>
      </c>
      <c r="G330" s="19" t="s">
        <v>895</v>
      </c>
      <c r="H330" s="19" t="s">
        <v>32</v>
      </c>
      <c r="I330">
        <v>0</v>
      </c>
      <c r="J330">
        <v>2</v>
      </c>
      <c r="K330" s="1" t="s">
        <v>58</v>
      </c>
    </row>
    <row r="331" spans="1:11">
      <c r="A331" s="17" t="s">
        <v>658</v>
      </c>
      <c r="B331" s="19" t="s">
        <v>49</v>
      </c>
      <c r="C331" s="19" t="s">
        <v>896</v>
      </c>
      <c r="D331" s="19" t="s">
        <v>897</v>
      </c>
      <c r="E331" s="20" t="s">
        <v>32</v>
      </c>
      <c r="F331" s="19" t="s">
        <v>896</v>
      </c>
      <c r="G331" s="19" t="s">
        <v>898</v>
      </c>
      <c r="H331" s="19" t="s">
        <v>32</v>
      </c>
      <c r="I331">
        <v>0</v>
      </c>
      <c r="J331">
        <v>1</v>
      </c>
      <c r="K331" s="1" t="s">
        <v>59</v>
      </c>
    </row>
    <row r="332" spans="1:11">
      <c r="A332" s="17" t="s">
        <v>658</v>
      </c>
      <c r="B332" s="19" t="s">
        <v>54</v>
      </c>
      <c r="C332" s="19" t="s">
        <v>899</v>
      </c>
      <c r="D332" s="19" t="s">
        <v>900</v>
      </c>
      <c r="E332" s="20" t="s">
        <v>32</v>
      </c>
      <c r="F332" s="19" t="s">
        <v>899</v>
      </c>
      <c r="G332" s="19" t="s">
        <v>901</v>
      </c>
      <c r="H332" s="19" t="s">
        <v>32</v>
      </c>
      <c r="I332">
        <v>113</v>
      </c>
      <c r="J332">
        <v>120</v>
      </c>
      <c r="K332" s="1" t="s">
        <v>58</v>
      </c>
    </row>
    <row r="333" spans="1:11">
      <c r="A333" s="17" t="s">
        <v>658</v>
      </c>
      <c r="B333" s="19" t="s">
        <v>54</v>
      </c>
      <c r="C333" s="19" t="s">
        <v>902</v>
      </c>
      <c r="D333" s="19" t="s">
        <v>903</v>
      </c>
      <c r="E333" s="20" t="s">
        <v>32</v>
      </c>
      <c r="F333" s="19" t="s">
        <v>902</v>
      </c>
      <c r="G333" s="19" t="s">
        <v>904</v>
      </c>
      <c r="H333" s="19" t="s">
        <v>32</v>
      </c>
      <c r="I333">
        <v>145</v>
      </c>
      <c r="J333">
        <v>99</v>
      </c>
      <c r="K333" s="1" t="s">
        <v>59</v>
      </c>
    </row>
    <row r="334" spans="1:11">
      <c r="A334" s="17" t="s">
        <v>658</v>
      </c>
      <c r="B334" s="19" t="s">
        <v>54</v>
      </c>
      <c r="C334" s="19" t="s">
        <v>905</v>
      </c>
      <c r="D334" s="19" t="s">
        <v>906</v>
      </c>
      <c r="E334" s="20" t="s">
        <v>32</v>
      </c>
      <c r="F334" s="19" t="s">
        <v>905</v>
      </c>
      <c r="G334" s="19" t="s">
        <v>907</v>
      </c>
      <c r="H334" s="19" t="s">
        <v>32</v>
      </c>
      <c r="I334">
        <v>33</v>
      </c>
      <c r="J334">
        <v>46</v>
      </c>
      <c r="K334" s="1" t="s">
        <v>58</v>
      </c>
    </row>
    <row r="335" spans="1:11">
      <c r="A335" s="17" t="s">
        <v>658</v>
      </c>
      <c r="B335" s="19" t="s">
        <v>54</v>
      </c>
      <c r="C335" s="19" t="s">
        <v>908</v>
      </c>
      <c r="D335" s="19" t="s">
        <v>909</v>
      </c>
      <c r="E335" s="20" t="s">
        <v>32</v>
      </c>
      <c r="F335" s="19" t="s">
        <v>908</v>
      </c>
      <c r="G335" s="19" t="s">
        <v>910</v>
      </c>
      <c r="H335" s="19" t="s">
        <v>32</v>
      </c>
      <c r="I335">
        <v>1</v>
      </c>
      <c r="J335">
        <v>285</v>
      </c>
      <c r="K335" s="1" t="s">
        <v>59</v>
      </c>
    </row>
    <row r="336" spans="1:11">
      <c r="A336" s="17" t="s">
        <v>658</v>
      </c>
      <c r="B336" s="19" t="s">
        <v>54</v>
      </c>
      <c r="C336" s="19" t="s">
        <v>908</v>
      </c>
      <c r="D336" s="19" t="s">
        <v>909</v>
      </c>
      <c r="E336" s="20" t="s">
        <v>32</v>
      </c>
      <c r="F336" s="19" t="s">
        <v>908</v>
      </c>
      <c r="G336" s="19" t="s">
        <v>910</v>
      </c>
      <c r="H336" s="19" t="s">
        <v>32</v>
      </c>
      <c r="I336">
        <v>0</v>
      </c>
      <c r="J336">
        <v>9</v>
      </c>
      <c r="K336" s="1" t="s">
        <v>58</v>
      </c>
    </row>
    <row r="337" spans="1:11">
      <c r="A337" s="17" t="s">
        <v>658</v>
      </c>
      <c r="B337" s="19" t="s">
        <v>911</v>
      </c>
      <c r="C337" s="19" t="s">
        <v>912</v>
      </c>
      <c r="D337" s="19" t="s">
        <v>913</v>
      </c>
      <c r="E337" s="20" t="s">
        <v>32</v>
      </c>
      <c r="F337" s="19" t="s">
        <v>912</v>
      </c>
      <c r="G337" s="19" t="s">
        <v>914</v>
      </c>
      <c r="H337" s="19" t="s">
        <v>32</v>
      </c>
      <c r="I337">
        <v>1647173</v>
      </c>
      <c r="J337">
        <v>899</v>
      </c>
      <c r="K337" s="1" t="s">
        <v>59</v>
      </c>
    </row>
    <row r="338" spans="1:11">
      <c r="A338" s="17" t="s">
        <v>658</v>
      </c>
      <c r="B338" s="19" t="s">
        <v>911</v>
      </c>
      <c r="C338" s="19" t="s">
        <v>915</v>
      </c>
      <c r="D338" s="19" t="s">
        <v>916</v>
      </c>
      <c r="E338" s="20" t="s">
        <v>32</v>
      </c>
      <c r="F338" s="19" t="s">
        <v>915</v>
      </c>
      <c r="G338" s="19" t="s">
        <v>917</v>
      </c>
      <c r="H338" s="19" t="s">
        <v>32</v>
      </c>
      <c r="I338">
        <v>1581478</v>
      </c>
      <c r="J338">
        <v>785</v>
      </c>
      <c r="K338" s="1" t="s">
        <v>58</v>
      </c>
    </row>
    <row r="339" spans="1:11">
      <c r="A339" s="17" t="s">
        <v>658</v>
      </c>
      <c r="B339" s="19" t="s">
        <v>911</v>
      </c>
      <c r="C339" s="19" t="s">
        <v>918</v>
      </c>
      <c r="D339" s="19" t="s">
        <v>919</v>
      </c>
      <c r="E339" s="20" t="s">
        <v>32</v>
      </c>
      <c r="F339" s="19" t="s">
        <v>918</v>
      </c>
      <c r="G339" s="19" t="s">
        <v>920</v>
      </c>
      <c r="H339" s="19" t="s">
        <v>32</v>
      </c>
      <c r="I339">
        <v>1944770</v>
      </c>
      <c r="J339">
        <v>959</v>
      </c>
      <c r="K339" s="1" t="s">
        <v>59</v>
      </c>
    </row>
    <row r="340" spans="1:11">
      <c r="A340" s="17" t="s">
        <v>658</v>
      </c>
      <c r="B340" s="19" t="s">
        <v>911</v>
      </c>
      <c r="C340" s="19" t="s">
        <v>921</v>
      </c>
      <c r="D340" s="19" t="s">
        <v>922</v>
      </c>
      <c r="E340" s="20" t="s">
        <v>32</v>
      </c>
      <c r="F340" s="19" t="s">
        <v>921</v>
      </c>
      <c r="G340" s="19" t="s">
        <v>923</v>
      </c>
      <c r="H340" s="19" t="s">
        <v>32</v>
      </c>
      <c r="I340">
        <v>3009155</v>
      </c>
      <c r="J340">
        <v>1577</v>
      </c>
      <c r="K340" s="1" t="s">
        <v>58</v>
      </c>
    </row>
    <row r="341" spans="1:11">
      <c r="A341" s="17" t="s">
        <v>658</v>
      </c>
      <c r="B341" s="19" t="s">
        <v>911</v>
      </c>
      <c r="C341" s="19" t="s">
        <v>924</v>
      </c>
      <c r="D341" s="19" t="s">
        <v>925</v>
      </c>
      <c r="E341" s="20" t="s">
        <v>32</v>
      </c>
      <c r="F341" s="19" t="s">
        <v>924</v>
      </c>
      <c r="G341" s="19" t="s">
        <v>926</v>
      </c>
      <c r="H341" s="19" t="s">
        <v>32</v>
      </c>
      <c r="I341">
        <v>0</v>
      </c>
      <c r="J341">
        <v>106</v>
      </c>
      <c r="K341" s="1" t="s">
        <v>59</v>
      </c>
    </row>
    <row r="342" spans="1:11">
      <c r="A342" s="17" t="s">
        <v>658</v>
      </c>
      <c r="B342" s="19" t="s">
        <v>911</v>
      </c>
      <c r="C342" s="19" t="s">
        <v>927</v>
      </c>
      <c r="D342" s="19" t="s">
        <v>928</v>
      </c>
      <c r="E342" s="20" t="s">
        <v>32</v>
      </c>
      <c r="F342" s="19" t="s">
        <v>927</v>
      </c>
      <c r="G342" s="19" t="s">
        <v>929</v>
      </c>
      <c r="H342" s="19" t="s">
        <v>32</v>
      </c>
      <c r="I342">
        <v>184366</v>
      </c>
      <c r="J342">
        <v>187</v>
      </c>
      <c r="K342" s="1" t="s">
        <v>58</v>
      </c>
    </row>
    <row r="343" spans="1:11">
      <c r="A343" s="17" t="s">
        <v>658</v>
      </c>
      <c r="B343" s="19" t="s">
        <v>911</v>
      </c>
      <c r="C343" s="19" t="s">
        <v>930</v>
      </c>
      <c r="D343" s="19" t="s">
        <v>931</v>
      </c>
      <c r="E343" s="20" t="s">
        <v>32</v>
      </c>
      <c r="F343" s="19" t="s">
        <v>930</v>
      </c>
      <c r="G343" s="19" t="s">
        <v>932</v>
      </c>
      <c r="H343" s="19" t="s">
        <v>32</v>
      </c>
      <c r="I343">
        <v>113304</v>
      </c>
      <c r="J343">
        <v>0</v>
      </c>
      <c r="K343" s="1" t="s">
        <v>59</v>
      </c>
    </row>
    <row r="344" spans="1:11">
      <c r="A344" s="17" t="s">
        <v>658</v>
      </c>
      <c r="B344" s="19" t="s">
        <v>911</v>
      </c>
      <c r="C344" s="19" t="s">
        <v>933</v>
      </c>
      <c r="D344" s="19" t="s">
        <v>934</v>
      </c>
      <c r="E344" s="20" t="s">
        <v>32</v>
      </c>
      <c r="F344" s="19" t="s">
        <v>933</v>
      </c>
      <c r="G344" s="19" t="s">
        <v>935</v>
      </c>
      <c r="H344" s="19" t="s">
        <v>32</v>
      </c>
      <c r="I344">
        <v>102413</v>
      </c>
      <c r="J344">
        <v>96</v>
      </c>
      <c r="K344" s="1" t="s">
        <v>58</v>
      </c>
    </row>
    <row r="345" spans="1:11">
      <c r="A345" s="17" t="s">
        <v>658</v>
      </c>
      <c r="B345" s="19" t="s">
        <v>911</v>
      </c>
      <c r="C345" s="19" t="s">
        <v>936</v>
      </c>
      <c r="D345" s="19" t="s">
        <v>937</v>
      </c>
      <c r="E345" s="20" t="s">
        <v>32</v>
      </c>
      <c r="F345" s="19" t="s">
        <v>936</v>
      </c>
      <c r="G345" s="19" t="s">
        <v>938</v>
      </c>
      <c r="H345" s="19" t="s">
        <v>32</v>
      </c>
      <c r="I345">
        <v>136826</v>
      </c>
      <c r="J345">
        <v>118</v>
      </c>
      <c r="K345" s="1" t="s">
        <v>59</v>
      </c>
    </row>
    <row r="346" spans="1:11">
      <c r="A346" s="17" t="s">
        <v>658</v>
      </c>
      <c r="B346" s="19" t="s">
        <v>51</v>
      </c>
      <c r="C346" s="19" t="s">
        <v>939</v>
      </c>
      <c r="D346" s="19" t="s">
        <v>940</v>
      </c>
      <c r="E346" s="20" t="s">
        <v>32</v>
      </c>
      <c r="F346" s="19" t="s">
        <v>939</v>
      </c>
      <c r="G346" s="19" t="s">
        <v>941</v>
      </c>
      <c r="H346" s="19" t="s">
        <v>32</v>
      </c>
      <c r="I346">
        <v>0</v>
      </c>
      <c r="J346">
        <v>1</v>
      </c>
      <c r="K346" s="1" t="s">
        <v>58</v>
      </c>
    </row>
    <row r="347" spans="1:11">
      <c r="A347" s="17" t="s">
        <v>942</v>
      </c>
      <c r="B347" s="19" t="s">
        <v>49</v>
      </c>
      <c r="C347" s="19" t="s">
        <v>943</v>
      </c>
      <c r="D347" s="19" t="s">
        <v>944</v>
      </c>
      <c r="E347" s="20" t="s">
        <v>12</v>
      </c>
      <c r="F347" s="19" t="s">
        <v>943</v>
      </c>
      <c r="G347" s="19" t="s">
        <v>945</v>
      </c>
      <c r="H347" s="19" t="s">
        <v>31</v>
      </c>
      <c r="I347">
        <v>63421</v>
      </c>
      <c r="J347">
        <v>18</v>
      </c>
      <c r="K347" s="1" t="s">
        <v>59</v>
      </c>
    </row>
    <row r="348" spans="1:11">
      <c r="A348" s="17" t="s">
        <v>942</v>
      </c>
      <c r="B348" s="19" t="s">
        <v>49</v>
      </c>
      <c r="C348" s="19" t="s">
        <v>946</v>
      </c>
      <c r="D348" s="19" t="s">
        <v>947</v>
      </c>
      <c r="E348" s="20" t="s">
        <v>12</v>
      </c>
      <c r="F348" s="19" t="s">
        <v>946</v>
      </c>
      <c r="G348" s="19" t="s">
        <v>948</v>
      </c>
      <c r="H348" s="19" t="s">
        <v>31</v>
      </c>
      <c r="I348">
        <v>485825</v>
      </c>
      <c r="J348">
        <v>2585</v>
      </c>
      <c r="K348" s="1" t="s">
        <v>58</v>
      </c>
    </row>
    <row r="349" spans="1:11">
      <c r="A349" s="17" t="s">
        <v>942</v>
      </c>
      <c r="B349" s="19" t="s">
        <v>49</v>
      </c>
      <c r="C349" s="19" t="s">
        <v>949</v>
      </c>
      <c r="D349" s="19" t="s">
        <v>950</v>
      </c>
      <c r="E349" s="20" t="s">
        <v>12</v>
      </c>
      <c r="F349" s="19" t="s">
        <v>949</v>
      </c>
      <c r="G349" s="19" t="s">
        <v>951</v>
      </c>
      <c r="H349" s="19" t="s">
        <v>31</v>
      </c>
      <c r="I349">
        <v>1310164</v>
      </c>
      <c r="J349">
        <v>6672</v>
      </c>
      <c r="K349" s="1" t="s">
        <v>59</v>
      </c>
    </row>
    <row r="350" spans="1:11">
      <c r="A350" s="17" t="s">
        <v>942</v>
      </c>
      <c r="B350" s="19" t="s">
        <v>49</v>
      </c>
      <c r="C350" s="19" t="s">
        <v>949</v>
      </c>
      <c r="D350" s="19" t="s">
        <v>950</v>
      </c>
      <c r="E350" s="20" t="s">
        <v>12</v>
      </c>
      <c r="F350" s="19" t="s">
        <v>949</v>
      </c>
      <c r="G350" s="19" t="s">
        <v>951</v>
      </c>
      <c r="H350" s="19" t="s">
        <v>31</v>
      </c>
      <c r="I350">
        <v>0</v>
      </c>
      <c r="J350">
        <v>1</v>
      </c>
      <c r="K350" s="1" t="s">
        <v>58</v>
      </c>
    </row>
    <row r="351" spans="1:11">
      <c r="A351" s="17" t="s">
        <v>942</v>
      </c>
      <c r="B351" s="19" t="s">
        <v>49</v>
      </c>
      <c r="C351" s="19" t="s">
        <v>952</v>
      </c>
      <c r="D351" s="19" t="s">
        <v>953</v>
      </c>
      <c r="E351" s="20" t="s">
        <v>12</v>
      </c>
      <c r="F351" s="19" t="s">
        <v>952</v>
      </c>
      <c r="G351" s="19" t="s">
        <v>954</v>
      </c>
      <c r="H351" s="19" t="s">
        <v>31</v>
      </c>
      <c r="I351">
        <v>178390</v>
      </c>
      <c r="J351">
        <v>92</v>
      </c>
      <c r="K351" s="1" t="s">
        <v>59</v>
      </c>
    </row>
    <row r="352" spans="1:11">
      <c r="A352" s="17" t="s">
        <v>942</v>
      </c>
      <c r="B352" s="19" t="s">
        <v>49</v>
      </c>
      <c r="C352" s="19" t="s">
        <v>955</v>
      </c>
      <c r="D352" s="19" t="s">
        <v>956</v>
      </c>
      <c r="E352" s="20" t="s">
        <v>12</v>
      </c>
      <c r="F352" s="19" t="s">
        <v>955</v>
      </c>
      <c r="G352" s="19" t="s">
        <v>957</v>
      </c>
      <c r="H352" s="19" t="s">
        <v>31</v>
      </c>
      <c r="I352">
        <v>76128</v>
      </c>
      <c r="J352">
        <v>31</v>
      </c>
      <c r="K352" s="1" t="s">
        <v>58</v>
      </c>
    </row>
    <row r="353" spans="1:11">
      <c r="A353" s="17" t="s">
        <v>942</v>
      </c>
      <c r="B353" s="19" t="s">
        <v>49</v>
      </c>
      <c r="C353" s="19" t="s">
        <v>955</v>
      </c>
      <c r="D353" s="19" t="s">
        <v>956</v>
      </c>
      <c r="E353" s="20" t="s">
        <v>12</v>
      </c>
      <c r="F353" s="19" t="s">
        <v>955</v>
      </c>
      <c r="G353" s="19" t="s">
        <v>957</v>
      </c>
      <c r="H353" s="19" t="s">
        <v>31</v>
      </c>
      <c r="I353">
        <v>1</v>
      </c>
      <c r="J353">
        <v>0</v>
      </c>
      <c r="K353" s="1" t="s">
        <v>59</v>
      </c>
    </row>
    <row r="354" spans="1:11">
      <c r="A354" s="17" t="s">
        <v>942</v>
      </c>
      <c r="B354" s="19" t="s">
        <v>49</v>
      </c>
      <c r="C354" s="19" t="s">
        <v>958</v>
      </c>
      <c r="D354" s="19" t="s">
        <v>959</v>
      </c>
      <c r="E354" s="20" t="s">
        <v>12</v>
      </c>
      <c r="F354" s="19" t="s">
        <v>958</v>
      </c>
      <c r="G354" s="19" t="s">
        <v>960</v>
      </c>
      <c r="H354" s="19" t="s">
        <v>31</v>
      </c>
      <c r="I354">
        <v>490982</v>
      </c>
      <c r="J354">
        <v>2524</v>
      </c>
      <c r="K354" s="1" t="s">
        <v>58</v>
      </c>
    </row>
    <row r="355" spans="1:11">
      <c r="A355" s="17" t="s">
        <v>942</v>
      </c>
      <c r="B355" s="19" t="s">
        <v>49</v>
      </c>
      <c r="C355" s="19" t="s">
        <v>958</v>
      </c>
      <c r="D355" s="19" t="s">
        <v>959</v>
      </c>
      <c r="E355" s="20" t="s">
        <v>12</v>
      </c>
      <c r="F355" s="19" t="s">
        <v>958</v>
      </c>
      <c r="G355" s="19" t="s">
        <v>960</v>
      </c>
      <c r="H355" s="19" t="s">
        <v>31</v>
      </c>
      <c r="I355">
        <v>282794</v>
      </c>
      <c r="J355">
        <v>740</v>
      </c>
      <c r="K355" s="1" t="s">
        <v>59</v>
      </c>
    </row>
    <row r="356" spans="1:11">
      <c r="A356" s="17" t="s">
        <v>942</v>
      </c>
      <c r="B356" s="19" t="s">
        <v>49</v>
      </c>
      <c r="C356" s="19" t="s">
        <v>961</v>
      </c>
      <c r="D356" s="19" t="s">
        <v>962</v>
      </c>
      <c r="E356" s="20" t="s">
        <v>12</v>
      </c>
      <c r="F356" s="19" t="s">
        <v>961</v>
      </c>
      <c r="G356" s="19" t="s">
        <v>963</v>
      </c>
      <c r="H356" s="19" t="s">
        <v>31</v>
      </c>
      <c r="I356">
        <v>1357007</v>
      </c>
      <c r="J356">
        <v>6661</v>
      </c>
      <c r="K356" s="1" t="s">
        <v>58</v>
      </c>
    </row>
    <row r="357" spans="1:11">
      <c r="A357" s="17" t="s">
        <v>942</v>
      </c>
      <c r="B357" s="19" t="s">
        <v>49</v>
      </c>
      <c r="C357" s="19" t="s">
        <v>964</v>
      </c>
      <c r="D357" s="19" t="s">
        <v>965</v>
      </c>
      <c r="E357" s="20" t="s">
        <v>12</v>
      </c>
      <c r="F357" s="19" t="s">
        <v>964</v>
      </c>
      <c r="G357" s="19" t="s">
        <v>966</v>
      </c>
      <c r="H357" s="19" t="s">
        <v>31</v>
      </c>
      <c r="I357">
        <v>163032</v>
      </c>
      <c r="J357">
        <v>87</v>
      </c>
      <c r="K357" s="1" t="s">
        <v>59</v>
      </c>
    </row>
    <row r="358" spans="1:11">
      <c r="A358" s="17" t="s">
        <v>942</v>
      </c>
      <c r="B358" s="19" t="s">
        <v>49</v>
      </c>
      <c r="C358" s="19" t="s">
        <v>964</v>
      </c>
      <c r="D358" s="19" t="s">
        <v>965</v>
      </c>
      <c r="E358" s="20" t="s">
        <v>12</v>
      </c>
      <c r="F358" s="19" t="s">
        <v>964</v>
      </c>
      <c r="G358" s="19" t="s">
        <v>966</v>
      </c>
      <c r="H358" s="19" t="s">
        <v>31</v>
      </c>
      <c r="I358">
        <v>4</v>
      </c>
      <c r="J358">
        <v>3</v>
      </c>
      <c r="K358" s="1" t="s">
        <v>58</v>
      </c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A1838" s="17"/>
      <c r="B1838" s="19"/>
      <c r="C1838" s="19"/>
      <c r="D1838" s="19"/>
      <c r="E1838" s="20"/>
      <c r="F1838" s="19"/>
      <c r="G1838" s="19"/>
      <c r="H1838" s="19"/>
      <c r="K1838" s="1"/>
    </row>
    <row r="1839" spans="1:11">
      <c r="A1839" s="17"/>
      <c r="B1839" s="19"/>
      <c r="C1839" s="19"/>
      <c r="D1839" s="19"/>
      <c r="E1839" s="20"/>
      <c r="F1839" s="19"/>
      <c r="G1839" s="19"/>
      <c r="H1839" s="19"/>
      <c r="K1839" s="1"/>
    </row>
    <row r="1840" spans="1:11">
      <c r="A1840" s="17"/>
      <c r="B1840" s="19"/>
      <c r="C1840" s="19"/>
      <c r="D1840" s="19"/>
      <c r="E1840" s="20"/>
      <c r="F1840" s="19"/>
      <c r="G1840" s="19"/>
      <c r="H1840" s="19"/>
      <c r="K1840" s="1"/>
    </row>
    <row r="1841" spans="1:11">
      <c r="A1841" s="17"/>
      <c r="B1841" s="19"/>
      <c r="C1841" s="19"/>
      <c r="D1841" s="19"/>
      <c r="E1841" s="20"/>
      <c r="F1841" s="19"/>
      <c r="G1841" s="19"/>
      <c r="H1841" s="19"/>
      <c r="K1841" s="1"/>
    </row>
    <row r="1842" spans="1:11">
      <c r="A1842" s="17"/>
      <c r="B1842" s="19"/>
      <c r="C1842" s="19"/>
      <c r="D1842" s="19"/>
      <c r="E1842" s="20"/>
      <c r="F1842" s="19"/>
      <c r="G1842" s="19"/>
      <c r="H1842" s="19"/>
      <c r="K1842" s="1"/>
    </row>
    <row r="1843" spans="1:11">
      <c r="A1843" s="17"/>
      <c r="B1843" s="19"/>
      <c r="C1843" s="19"/>
      <c r="D1843" s="19"/>
      <c r="E1843" s="20"/>
      <c r="F1843" s="19"/>
      <c r="G1843" s="19"/>
      <c r="H1843" s="19"/>
      <c r="K1843" s="1"/>
    </row>
    <row r="1844" spans="1:11">
      <c r="A1844" s="17"/>
      <c r="B1844" s="19"/>
      <c r="C1844" s="19"/>
      <c r="D1844" s="19"/>
      <c r="E1844" s="20"/>
      <c r="F1844" s="19"/>
      <c r="G1844" s="19"/>
      <c r="H1844" s="19"/>
      <c r="K1844" s="1"/>
    </row>
    <row r="1845" spans="1:11">
      <c r="A1845" s="17"/>
      <c r="B1845" s="19"/>
      <c r="C1845" s="19"/>
      <c r="D1845" s="19"/>
      <c r="E1845" s="20"/>
      <c r="F1845" s="19"/>
      <c r="G1845" s="19"/>
      <c r="H1845" s="19"/>
      <c r="K1845" s="1"/>
    </row>
    <row r="1846" spans="1:11">
      <c r="A1846" s="17"/>
      <c r="B1846" s="19"/>
      <c r="C1846" s="19"/>
      <c r="D1846" s="19"/>
      <c r="E1846" s="20"/>
      <c r="F1846" s="19"/>
      <c r="G1846" s="19"/>
      <c r="H1846" s="19"/>
      <c r="K1846" s="1"/>
    </row>
    <row r="1847" spans="1:11">
      <c r="A1847" s="17"/>
      <c r="B1847" s="19"/>
      <c r="C1847" s="19"/>
      <c r="D1847" s="19"/>
      <c r="E1847" s="20"/>
      <c r="F1847" s="19"/>
      <c r="G1847" s="19"/>
      <c r="H1847" s="19"/>
      <c r="K1847" s="1"/>
    </row>
    <row r="1848" spans="1:11">
      <c r="K1848" s="1"/>
    </row>
    <row r="1849" spans="1:11">
      <c r="K1849" s="1"/>
    </row>
    <row r="1850" spans="1:11">
      <c r="K1850" s="1"/>
    </row>
  </sheetData>
  <autoFilter ref="A1:J4199" xr:uid="{00000000-0009-0000-0000-000000000000}"/>
  <conditionalFormatting sqref="C1:C1847">
    <cfRule type="duplicateValues" dxfId="2" priority="3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3"/>
  <sheetViews>
    <sheetView workbookViewId="0">
      <selection activeCell="B22" sqref="B22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N2" sqref="N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MK~BR_CN~BRAND_REPUTATION_MN~NONE_YQ~19Q1Q4_CP~PO5020004141-7_OB~AWA_PK~NONE</v>
      </c>
      <c r="B2" t="str">
        <f t="shared" ref="B2:B65" si="1">bd_site</f>
        <v>Google Brasil</v>
      </c>
      <c r="C2" t="str">
        <f t="shared" ref="C2:C65" si="2">bd_placement</f>
        <v>CH~SEARCH_DT~MULTI_PB~GADS_FM~SEARCH_RT~CPC_PD~SEARCH_INSTITUCIONAL_CARTAOCREDITO_1X1_TG~BHVDEM_TS~NONE_SZ~1X1_SEARCH_MK~BR_IT~SEARCH_VV~NONE</v>
      </c>
      <c r="D2" t="str">
        <f t="shared" ref="D2:D65" si="3">bd_placementID</f>
        <v>238973080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CH~SEARCH_DT~MULTI_PB~GADS_FM~SEARCH_RT~CPC_PD~SEARCH_INSTITUCIONAL_CARTAOCREDITO_1X1_TG~BHVDEM_TS~NONE_SZ~1X1_SEARCH_MK~BR_IT~SEARCH_VV~NONE</v>
      </c>
      <c r="G2" t="str">
        <f t="shared" ref="G2:G65" si="6">bd_adid</f>
        <v>436130000</v>
      </c>
      <c r="H2" t="str">
        <f t="shared" ref="H2:H65" si="7">bd_creativetype</f>
        <v>Tracking</v>
      </c>
      <c r="I2">
        <f t="shared" ref="I2:I65" si="8">bd_impression</f>
        <v>0</v>
      </c>
      <c r="J2">
        <f t="shared" ref="J2:J65" si="9">bd_clicks</f>
        <v>1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3.5000000000000001E-3</v>
      </c>
      <c r="N2" s="4">
        <f>IF(E2="Dynamic Click",J2*L2,L2*$I2/1000)</f>
        <v>0.02</v>
      </c>
    </row>
    <row r="3" spans="1:14">
      <c r="A3" t="str">
        <f t="shared" si="0"/>
        <v>MK~BR_CN~BRAND_REPUTATION_MN~NONE_YQ~19Q1Q4_CP~PO5020004141-7_OB~AWA_PK~NONE</v>
      </c>
      <c r="B3" t="str">
        <f t="shared" si="1"/>
        <v>Google Brasil</v>
      </c>
      <c r="C3" t="str">
        <f t="shared" si="2"/>
        <v>CH~SEARCH_DT~MULTI_PB~GADS_FM~SEARCH_RT~CPC_PD~SEARCH_INSTITUCIONAL_CARTAODEBITO_1X1_TG~BHVDEM_TS~NONE_SZ~1X1_SEARCH_MK~BR_IT~SEARCH_VV~NONE</v>
      </c>
      <c r="D3" t="str">
        <f t="shared" si="3"/>
        <v>238882529</v>
      </c>
      <c r="E3" t="str">
        <f t="shared" si="4"/>
        <v>Dynamic Click</v>
      </c>
      <c r="F3" t="str">
        <f t="shared" si="5"/>
        <v>CH~SEARCH_DT~MULTI_PB~GADS_FM~SEARCH_RT~CPC_PD~SEARCH_INSTITUCIONAL_CARTAODEBITO_1X1_TG~BHVDEM_TS~NONE_SZ~1X1_SEARCH_MK~BR_IT~SEARCH_VV~NONE</v>
      </c>
      <c r="G3" t="str">
        <f t="shared" si="6"/>
        <v>436127243</v>
      </c>
      <c r="H3" t="str">
        <f t="shared" si="7"/>
        <v>Tracking</v>
      </c>
      <c r="I3">
        <f t="shared" si="8"/>
        <v>0</v>
      </c>
      <c r="J3">
        <f t="shared" si="9"/>
        <v>2</v>
      </c>
      <c r="K3" s="4">
        <f t="shared" si="10"/>
        <v>3.5000000000000001E-3</v>
      </c>
      <c r="L3">
        <f t="shared" si="11"/>
        <v>0.02</v>
      </c>
      <c r="M3" s="4">
        <f t="shared" si="12"/>
        <v>7.0000000000000001E-3</v>
      </c>
      <c r="N3" s="4">
        <f t="shared" ref="N2:N34" si="13">IF(E3="Dynamic Click",J3*L3,L3*$I3/1000)</f>
        <v>0.04</v>
      </c>
    </row>
    <row r="4" spans="1:14">
      <c r="A4" t="str">
        <f t="shared" si="0"/>
        <v>MK~BR_CN~BRAND_REPUTATION_MN~NONE_YQ~19Q1Q4_CP~PO5020004141-7_OB~AWA_PK~NONE</v>
      </c>
      <c r="B4" t="str">
        <f t="shared" si="1"/>
        <v>Google Brasil</v>
      </c>
      <c r="C4" t="str">
        <f t="shared" si="2"/>
        <v>CH~SEARCH_DT~MULTI_PB~GADS_FM~SEARCH_RT~CPC_PD~SEARCH_INSTITUCIONAL_CARTAOPREPAGO_1X1_TG~BHVDEM_TS~NONE_SZ~1X1_SEARCH_MK~BR_IT~SEARCH_VV~NONE</v>
      </c>
      <c r="D4" t="str">
        <f t="shared" si="3"/>
        <v>238882535</v>
      </c>
      <c r="E4" t="str">
        <f t="shared" si="4"/>
        <v>Dynamic Click</v>
      </c>
      <c r="F4" t="str">
        <f t="shared" si="5"/>
        <v>CH~SEARCH_DT~MULTI_PB~GADS_FM~SEARCH_RT~CPC_PD~SEARCH_INSTITUCIONAL_CARTAOPREPAGO_1X1_TG~BHVDEM_TS~NONE_SZ~1X1_SEARCH_MK~BR_IT~SEARCH_VV~NONE</v>
      </c>
      <c r="G4" t="str">
        <f t="shared" si="6"/>
        <v>436127249</v>
      </c>
      <c r="H4" t="str">
        <f t="shared" si="7"/>
        <v>Tracking</v>
      </c>
      <c r="I4">
        <f t="shared" si="8"/>
        <v>0</v>
      </c>
      <c r="J4">
        <f t="shared" si="9"/>
        <v>1</v>
      </c>
      <c r="K4" s="4">
        <f t="shared" si="10"/>
        <v>3.5000000000000001E-3</v>
      </c>
      <c r="L4">
        <f t="shared" si="11"/>
        <v>0.02</v>
      </c>
      <c r="M4" s="4">
        <f t="shared" si="12"/>
        <v>3.5000000000000001E-3</v>
      </c>
      <c r="N4" s="4">
        <f t="shared" si="13"/>
        <v>0.02</v>
      </c>
    </row>
    <row r="5" spans="1:14">
      <c r="A5" t="str">
        <f t="shared" si="0"/>
        <v>MK~BR_CN~BRAND_REPUTATION_MN~NONE_YQ~19Q1Q4_CP~PO5020004141-7_OB~AWA_PK~NONE</v>
      </c>
      <c r="B5" t="str">
        <f t="shared" si="1"/>
        <v>Google Brasil</v>
      </c>
      <c r="C5" t="str">
        <f t="shared" si="2"/>
        <v>CH~SEARCH_DT~MULTI_PB~GADS_FM~SEARCH_RT~CPC_PD~SEARCH_INSTITUCIONAL_HOMEPAGE_1X1_TG~BHVDEM_TS~NONE_SZ~1X1_SEARCH_MK~BR_IT~SEARCH_VV~NONE</v>
      </c>
      <c r="D5" t="str">
        <f t="shared" si="3"/>
        <v>238960916</v>
      </c>
      <c r="E5" t="str">
        <f t="shared" si="4"/>
        <v>Dynamic Click</v>
      </c>
      <c r="F5" t="str">
        <f t="shared" si="5"/>
        <v>CH~SEARCH_DT~MULTI_PB~GADS_FM~SEARCH_RT~CPC_PD~SEARCH_INSTITUCIONAL_HOMEPAGE_1X1_TG~BHVDEM_TS~NONE_SZ~1X1_SEARCH_MK~BR_IT~SEARCH_VV~NONE</v>
      </c>
      <c r="G5" t="str">
        <f t="shared" si="6"/>
        <v>436175426</v>
      </c>
      <c r="H5" t="str">
        <f t="shared" si="7"/>
        <v>Tracking</v>
      </c>
      <c r="I5">
        <f t="shared" si="8"/>
        <v>0</v>
      </c>
      <c r="J5">
        <f t="shared" si="9"/>
        <v>1</v>
      </c>
      <c r="K5" s="4">
        <f t="shared" si="10"/>
        <v>3.5000000000000001E-3</v>
      </c>
      <c r="L5">
        <f t="shared" si="11"/>
        <v>0.02</v>
      </c>
      <c r="M5" s="4">
        <f t="shared" si="12"/>
        <v>3.5000000000000001E-3</v>
      </c>
      <c r="N5" s="4">
        <f t="shared" si="13"/>
        <v>0.02</v>
      </c>
    </row>
    <row r="6" spans="1:14">
      <c r="A6" t="str">
        <f t="shared" si="0"/>
        <v>MK~BR_CN~BRAND_REPUTATION_MN~NONE_YQ~19Q1Q4_CP~PO5020004141-7_OB~AWA_PK~NONE</v>
      </c>
      <c r="B6" t="str">
        <f t="shared" si="1"/>
        <v>Google Brasil</v>
      </c>
      <c r="C6" t="str">
        <f t="shared" si="2"/>
        <v>CH~SEARCH_DT~MULTI_PB~GADS_FM~SEARCH_RT~CPC_PD~SEARCH_INSTITUCIONAL_HOMEPAGE_1X1_TG~BHVDEM_TS~NONE_SZ~1X1_SEARCH_MK~BR_IT~SEARCH_VV~NONE</v>
      </c>
      <c r="D6" t="str">
        <f t="shared" si="3"/>
        <v>238960916</v>
      </c>
      <c r="E6" t="str">
        <f t="shared" si="4"/>
        <v>Dynamic Click</v>
      </c>
      <c r="F6" t="str">
        <f t="shared" si="5"/>
        <v>CH~SEARCH_DT~MULTI_PB~GADS_FM~SEARCH_RT~CPC_PD~SEARCH_INSTITUCIONAL_HOMEPAGE_1X1_TG~BHVDEM_TS~NONE_SZ~1X1_SEARCH_MK~BR_IT~SEARCH_VV~NONE</v>
      </c>
      <c r="G6" t="str">
        <f t="shared" si="6"/>
        <v>436175426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0.02</v>
      </c>
      <c r="M6" s="4">
        <f t="shared" si="12"/>
        <v>3.5000000000000001E-3</v>
      </c>
      <c r="N6" s="4">
        <f t="shared" si="13"/>
        <v>0.02</v>
      </c>
    </row>
    <row r="7" spans="1:14">
      <c r="A7" t="str">
        <f t="shared" si="0"/>
        <v>MK~BR_CN~BRAND_REPUTATION_MN~NONE_YQ~19Q1Q4_CP~PO5020004141-7_OB~AWA_PK~NONE</v>
      </c>
      <c r="B7" t="str">
        <f t="shared" si="1"/>
        <v>Google Brasil</v>
      </c>
      <c r="C7" t="str">
        <f t="shared" si="2"/>
        <v>CH~SEARCH_DT~MULTI_PB~GADS_FM~SEARCH_RT~CPC_PD~SEARCH_INSTITUCIONAL_PARCEIROS_ACEITEVISA_1X1_TG~BHVDEM_TS~NONE_SZ~1X1_SEARCH_MK~BR_IT~SEARCH_VV~NONE</v>
      </c>
      <c r="D7" t="str">
        <f t="shared" si="3"/>
        <v>238882532</v>
      </c>
      <c r="E7" t="str">
        <f t="shared" si="4"/>
        <v>Dynamic Click</v>
      </c>
      <c r="F7" t="str">
        <f t="shared" si="5"/>
        <v>CH~SEARCH_DT~MULTI_PB~GADS_FM~SEARCH_RT~CPC_PD~SEARCH_INSTITUCIONAL_PARCEIROS_ACEITEVISA_1X1_TG~BHVDEM_TS~NONE_SZ~1X1_SEARCH_MK~BR_IT~SEARCH_VV~NONE</v>
      </c>
      <c r="G7" t="str">
        <f t="shared" si="6"/>
        <v>436127246</v>
      </c>
      <c r="H7" t="str">
        <f t="shared" si="7"/>
        <v>Tracking</v>
      </c>
      <c r="I7">
        <f t="shared" si="8"/>
        <v>0</v>
      </c>
      <c r="J7">
        <f t="shared" si="9"/>
        <v>1</v>
      </c>
      <c r="K7" s="4">
        <f t="shared" si="10"/>
        <v>3.5000000000000001E-3</v>
      </c>
      <c r="L7">
        <f t="shared" si="11"/>
        <v>0.02</v>
      </c>
      <c r="M7" s="4">
        <f t="shared" si="12"/>
        <v>3.5000000000000001E-3</v>
      </c>
      <c r="N7" s="4">
        <f t="shared" si="13"/>
        <v>0.02</v>
      </c>
    </row>
    <row r="8" spans="1:14">
      <c r="A8" t="str">
        <f t="shared" si="0"/>
        <v>MK~BR_CN~BRAND_REPUTATION_MN~NONE_YQ~19Q1Q4_CP~PO5020004141-7_OB~AWA_PK~NONE</v>
      </c>
      <c r="B8" t="str">
        <f t="shared" si="1"/>
        <v>Google Brasil</v>
      </c>
      <c r="C8" t="str">
        <f t="shared" si="2"/>
        <v>CH~SEARCH_DT~MULTI_PB~GADS_FM~SEARCH_RT~CPC_PD~SEARCH_INSTITUCIONAL_PARCEIROS_GRANDESEMPRESAS_1X1_TG~BHVDEM_TS~NONE_SZ~1X1_SEARCH_MK~BR_IT~SEARCH_VV~NONE</v>
      </c>
      <c r="D8" t="str">
        <f t="shared" si="3"/>
        <v>238882505</v>
      </c>
      <c r="E8" t="str">
        <f t="shared" si="4"/>
        <v>Dynamic Click</v>
      </c>
      <c r="F8" t="str">
        <f t="shared" si="5"/>
        <v>CH~SEARCH_DT~MULTI_PB~GADS_FM~SEARCH_RT~CPC_PD~SEARCH_INSTITUCIONAL_PARCEIROS_GRANDESEMPRESAS_1X1_TG~BHVDEM_TS~NONE_SZ~1X1_SEARCH_MK~BR_IT~SEARCH_VV~NONE</v>
      </c>
      <c r="G8" t="str">
        <f t="shared" si="6"/>
        <v>436127219</v>
      </c>
      <c r="H8" t="str">
        <f t="shared" si="7"/>
        <v>Tracking</v>
      </c>
      <c r="I8">
        <f t="shared" si="8"/>
        <v>0</v>
      </c>
      <c r="J8">
        <f t="shared" si="9"/>
        <v>1</v>
      </c>
      <c r="K8" s="4">
        <f t="shared" si="10"/>
        <v>3.5000000000000001E-3</v>
      </c>
      <c r="L8">
        <f t="shared" si="11"/>
        <v>0.02</v>
      </c>
      <c r="M8" s="4">
        <f t="shared" si="12"/>
        <v>3.5000000000000001E-3</v>
      </c>
      <c r="N8" s="4">
        <f t="shared" si="13"/>
        <v>0.02</v>
      </c>
    </row>
    <row r="9" spans="1:14">
      <c r="A9" t="str">
        <f t="shared" si="0"/>
        <v>MK~BR_CN~BRAND_REPUTATION_MN~NONE_YQ~19Q1Q4_CP~PO5020004141-7_OB~AWA_PK~NONE</v>
      </c>
      <c r="B9" t="str">
        <f t="shared" si="1"/>
        <v>Google Brasil</v>
      </c>
      <c r="C9" t="str">
        <f t="shared" si="2"/>
        <v>CH~SEARCH_DT~MULTI_PB~GADS_FM~SEARCH_RT~CPC_PD~SEARCH_INSTITUCIONAL_PARCEIROS_PEQUENASEMPRESAS_1X1_TG~BHVDEM_TS~NONE_SZ~1X1_SEARCH_MK~BR_IT~SEARCH_VV~NONE</v>
      </c>
      <c r="D9" t="str">
        <f t="shared" si="3"/>
        <v>238882508</v>
      </c>
      <c r="E9" t="str">
        <f t="shared" si="4"/>
        <v>Dynamic Click</v>
      </c>
      <c r="F9" t="str">
        <f t="shared" si="5"/>
        <v>CH~SEARCH_DT~MULTI_PB~GADS_FM~SEARCH_RT~CPC_PD~SEARCH_INSTITUCIONAL_PARCEIROS_PEQUENASEMPRESAS_1X1_TG~BHVDEM_TS~NONE_SZ~1X1_SEARCH_MK~BR_IT~SEARCH_VV~NONE</v>
      </c>
      <c r="G9" t="str">
        <f t="shared" si="6"/>
        <v>436127222</v>
      </c>
      <c r="H9" t="str">
        <f t="shared" si="7"/>
        <v>Tracking</v>
      </c>
      <c r="I9">
        <f t="shared" si="8"/>
        <v>0</v>
      </c>
      <c r="J9">
        <f t="shared" si="9"/>
        <v>1</v>
      </c>
      <c r="K9" s="4">
        <f t="shared" si="10"/>
        <v>3.5000000000000001E-3</v>
      </c>
      <c r="L9">
        <f t="shared" si="11"/>
        <v>0.02</v>
      </c>
      <c r="M9" s="4">
        <f t="shared" si="12"/>
        <v>3.5000000000000001E-3</v>
      </c>
      <c r="N9" s="4">
        <f t="shared" si="13"/>
        <v>0.02</v>
      </c>
    </row>
    <row r="10" spans="1:14">
      <c r="A10" t="str">
        <f t="shared" si="0"/>
        <v>MK~BR_CN~BRAND_REPUTATION_MN~NONE_YQ~19Q1Q4_CP~PO5020004141-7_OB~AWA_PK~NONE</v>
      </c>
      <c r="B10" t="str">
        <f t="shared" si="1"/>
        <v>Google Brasil</v>
      </c>
      <c r="C10" t="str">
        <f t="shared" si="2"/>
        <v>CH~SEARCH_DT~MULTI_PB~GADS_FM~SEARCH_RT~CPC_PD~SEARCH_INSTITUCIONAL_SOLICITESEUCARTAO_1X1_TG~BHVDEM_TS~NONE_SZ~1X1_SEARCH_MK~BR_IT~SEARCH_VV~NONE</v>
      </c>
      <c r="D10" t="str">
        <f t="shared" si="3"/>
        <v>238882523</v>
      </c>
      <c r="E10" t="str">
        <f t="shared" si="4"/>
        <v>Dynamic Click</v>
      </c>
      <c r="F10" t="str">
        <f t="shared" si="5"/>
        <v>CH~SEARCH_DT~MULTI_PB~GADS_FM~SEARCH_RT~CPC_PD~SEARCH_INSTITUCIONAL_SOLICITESEUCARTAO_1X1_TG~BHVDEM_TS~NONE_SZ~1X1_SEARCH_MK~BR_IT~SEARCH_VV~NONE</v>
      </c>
      <c r="G10" t="str">
        <f t="shared" si="6"/>
        <v>436127237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0.02</v>
      </c>
      <c r="M10" s="4">
        <f t="shared" si="12"/>
        <v>3.5000000000000001E-3</v>
      </c>
      <c r="N10" s="4">
        <f t="shared" si="13"/>
        <v>0.02</v>
      </c>
    </row>
    <row r="11" spans="1:14">
      <c r="A11" t="str">
        <f t="shared" si="0"/>
        <v>MK~BR_CN~BRAND_REPUTATION_MN~NONE_YQ~19Q1Q4_CP~PO5020004141-7_OB~AWA_PK~NONE</v>
      </c>
      <c r="B11" t="str">
        <f t="shared" si="1"/>
        <v>Google Brasil</v>
      </c>
      <c r="C11" t="str">
        <f t="shared" si="2"/>
        <v>CH~SEARCH_DT~MULTI_PB~GADS_FM~SEARCH_RT~CPC_PD~SEARCH_INSTITUCIONAL_VISACHECKOUT_1X1_TG~BHVDEM_TS~NONE_SZ~1X1_SEARCH_MK~BR_IT~SEARCH_VV~NONE</v>
      </c>
      <c r="D11" t="str">
        <f t="shared" si="3"/>
        <v>239850153</v>
      </c>
      <c r="E11" t="str">
        <f t="shared" si="4"/>
        <v>Dynamic Click</v>
      </c>
      <c r="F11" t="str">
        <f t="shared" si="5"/>
        <v>CH~SEARCH_DT~MULTI_PB~GADS_FM~SEARCH_RT~CPC_PD~SEARCH_INSTITUCIONAL_VISACHECKOUT_1X1_TG~BHVDEM_TS~NONE_SZ~1X1_SEARCH_MK~BR_IT~SEARCH_VV~NONE</v>
      </c>
      <c r="G11" t="str">
        <f t="shared" si="6"/>
        <v>436800229</v>
      </c>
      <c r="H11" t="str">
        <f t="shared" si="7"/>
        <v>Tracking</v>
      </c>
      <c r="I11">
        <f t="shared" si="8"/>
        <v>0</v>
      </c>
      <c r="J11">
        <f t="shared" si="9"/>
        <v>3</v>
      </c>
      <c r="K11" s="4">
        <f t="shared" si="10"/>
        <v>3.5000000000000001E-3</v>
      </c>
      <c r="L11">
        <f t="shared" si="11"/>
        <v>0.02</v>
      </c>
      <c r="M11" s="4">
        <f t="shared" si="12"/>
        <v>1.0500000000000001E-2</v>
      </c>
      <c r="N11" s="4">
        <f t="shared" si="13"/>
        <v>0.06</v>
      </c>
    </row>
    <row r="12" spans="1:14">
      <c r="A12" t="str">
        <f t="shared" si="0"/>
        <v>MK~BR_CN~Causas_MN~CCV_YQ~19Q1Q4_CP~NONE_OB~LDS_PK~NONE</v>
      </c>
      <c r="B12" t="str">
        <f t="shared" si="1"/>
        <v>Facebook</v>
      </c>
      <c r="C12" t="str">
        <f t="shared" si="2"/>
        <v>CH~SOCIAL_DT~MULTI_PB~FCBK_FM~CARROSSEL_RT~CPM_PD~CAUSAS_ICONES_FOTOS_ANIMAIS_CARROSSEL_1X1_TG~BHVDEM_TS~NONE_SZ~1X1_SOCIAL_MK~BR_IT~SOCIAL_VV~NONE</v>
      </c>
      <c r="D12" t="str">
        <f t="shared" si="3"/>
        <v>240115186</v>
      </c>
      <c r="E12" t="str">
        <f t="shared" si="4"/>
        <v>Dynamic Click</v>
      </c>
      <c r="F12" t="str">
        <f t="shared" si="5"/>
        <v>CH~SOCIAL_DT~MULTI_PB~FCBK_FM~CARROSSEL_RT~CPM_PD~CAUSAS_ICONES_FOTOS_ANIMAIS_CARROSSEL_1X1_TG~BHVDEM_TS~NONE_SZ~1X1_SOCIAL_MK~BR_IT~SOCIAL_VV~NONE</v>
      </c>
      <c r="G12" t="str">
        <f t="shared" si="6"/>
        <v>437114954</v>
      </c>
      <c r="H12" t="str">
        <f t="shared" si="7"/>
        <v>Tracking</v>
      </c>
      <c r="I12">
        <f t="shared" si="8"/>
        <v>0</v>
      </c>
      <c r="J12">
        <f t="shared" si="9"/>
        <v>25002</v>
      </c>
      <c r="K12" s="4">
        <f t="shared" si="10"/>
        <v>3.5000000000000001E-3</v>
      </c>
      <c r="L12">
        <f t="shared" si="11"/>
        <v>0.02</v>
      </c>
      <c r="M12" s="4">
        <f t="shared" si="12"/>
        <v>87.507000000000005</v>
      </c>
      <c r="N12" s="4">
        <f t="shared" si="13"/>
        <v>500.04</v>
      </c>
    </row>
    <row r="13" spans="1:14">
      <c r="A13" t="str">
        <f t="shared" si="0"/>
        <v>MK~BR_CN~Causas_MN~CCV_YQ~19Q1Q4_CP~NONE_OB~LDS_PK~NONE</v>
      </c>
      <c r="B13" t="str">
        <f t="shared" si="1"/>
        <v>Facebook</v>
      </c>
      <c r="C13" t="str">
        <f t="shared" si="2"/>
        <v>CH~SOCIAL_DT~MULTI_PB~FCBK_FM~CARROSSEL_RT~CPM_PD~CAUSAS_ICONES_FOTOS_CRIANÇAS_CARROSSEL_1X1_TG~BHVDEM_TS~NONE_SZ~1X1_SOCIAL_MK~BR_IT~SOCIAL_VV~NONE</v>
      </c>
      <c r="D13" t="str">
        <f t="shared" si="3"/>
        <v>240115180</v>
      </c>
      <c r="E13" t="str">
        <f t="shared" si="4"/>
        <v>Dynamic Click</v>
      </c>
      <c r="F13" t="str">
        <f t="shared" si="5"/>
        <v>CH~SOCIAL_DT~MULTI_PB~FCBK_FM~CARROSSEL_RT~CPM_PD~CAUSAS_ICONES_FOTOS_CRIANÇAS_CARROSSEL_1X1_TG~BHVDEM_TS~NONE_SZ~1X1_SOCIAL_MK~BR_IT~SOCIAL_VV~NONE</v>
      </c>
      <c r="G13" t="str">
        <f t="shared" si="6"/>
        <v>437114948</v>
      </c>
      <c r="H13" t="str">
        <f t="shared" si="7"/>
        <v>Tracking</v>
      </c>
      <c r="I13">
        <f t="shared" si="8"/>
        <v>0</v>
      </c>
      <c r="J13">
        <f t="shared" si="9"/>
        <v>42</v>
      </c>
      <c r="K13" s="4">
        <f t="shared" si="10"/>
        <v>3.5000000000000001E-3</v>
      </c>
      <c r="L13">
        <f t="shared" si="11"/>
        <v>0.02</v>
      </c>
      <c r="M13" s="4">
        <f t="shared" si="12"/>
        <v>0.14699999999999999</v>
      </c>
      <c r="N13" s="4">
        <f t="shared" si="13"/>
        <v>0.84</v>
      </c>
    </row>
    <row r="14" spans="1:14">
      <c r="A14" t="str">
        <f t="shared" si="0"/>
        <v>MK~BR_CN~Causas_MN~CCV_YQ~19Q1Q4_CP~NONE_OB~LDS_PK~NONE</v>
      </c>
      <c r="B14" t="str">
        <f t="shared" si="1"/>
        <v>Facebook</v>
      </c>
      <c r="C14" t="str">
        <f t="shared" si="2"/>
        <v>CH~SOCIAL_DT~MULTI_PB~FCBK_FM~CARROSSEL_RT~CPM_PD~CAUSAS_ICONES_FOTOS_EDUCAÇAO_CARROSSEL_1X1_TG~BHVDEM_TS~NONE_SZ~1X1_SOCIAL_MK~BR_IT~SOCIAL_VV~NONE</v>
      </c>
      <c r="D14" t="str">
        <f t="shared" si="3"/>
        <v>240115174</v>
      </c>
      <c r="E14" t="str">
        <f t="shared" si="4"/>
        <v>Dynamic Click</v>
      </c>
      <c r="F14" t="str">
        <f t="shared" si="5"/>
        <v>CH~SOCIAL_DT~MULTI_PB~FCBK_FM~CARROSSEL_RT~CPM_PD~CAUSAS_ICONES_FOTOS_EDUCAÇAO_CARROSSEL_1X1_TG~BHVDEM_TS~NONE_SZ~1X1_SOCIAL_MK~BR_IT~SOCIAL_VV~NONE</v>
      </c>
      <c r="G14" t="str">
        <f t="shared" si="6"/>
        <v>437114942</v>
      </c>
      <c r="H14" t="str">
        <f t="shared" si="7"/>
        <v>Tracking</v>
      </c>
      <c r="I14">
        <f t="shared" si="8"/>
        <v>0</v>
      </c>
      <c r="J14">
        <f t="shared" si="9"/>
        <v>13</v>
      </c>
      <c r="K14" s="4">
        <f t="shared" si="10"/>
        <v>3.5000000000000001E-3</v>
      </c>
      <c r="L14">
        <f t="shared" si="11"/>
        <v>0.02</v>
      </c>
      <c r="M14" s="4">
        <f t="shared" si="12"/>
        <v>4.5499999999999999E-2</v>
      </c>
      <c r="N14" s="4">
        <f t="shared" si="13"/>
        <v>0.26</v>
      </c>
    </row>
    <row r="15" spans="1:14">
      <c r="A15" t="str">
        <f t="shared" si="0"/>
        <v>MK~BR_CN~Causas_MN~CCV_YQ~19Q1Q4_CP~NONE_OB~LDS_PK~NONE</v>
      </c>
      <c r="B15" t="str">
        <f t="shared" si="1"/>
        <v>Facebook</v>
      </c>
      <c r="C15" t="str">
        <f t="shared" si="2"/>
        <v>CH~SOCIAL_DT~MULTI_PB~FCBK_FM~CARROSSEL_RT~CPM_PD~CAUSAS_ICONES_FOTOS_IDOSOS_CARROSSEL_1X1_TG~BHVDEM_TS~NONE_SZ~1X1_SOCIAL_MK~BR_IT~SOCIAL_VV~NONE</v>
      </c>
      <c r="D15" t="str">
        <f t="shared" si="3"/>
        <v>240115171</v>
      </c>
      <c r="E15" t="str">
        <f t="shared" si="4"/>
        <v>Dynamic Click</v>
      </c>
      <c r="F15" t="str">
        <f t="shared" si="5"/>
        <v>CH~SOCIAL_DT~MULTI_PB~FCBK_FM~CARROSSEL_RT~CPM_PD~CAUSAS_ICONES_FOTOS_IDOSOS_CARROSSEL_1X1_TG~BHVDEM_TS~NONE_SZ~1X1_SOCIAL_MK~BR_IT~SOCIAL_VV~NONE</v>
      </c>
      <c r="G15" t="str">
        <f t="shared" si="6"/>
        <v>437114939</v>
      </c>
      <c r="H15" t="str">
        <f t="shared" si="7"/>
        <v>Tracking</v>
      </c>
      <c r="I15">
        <f t="shared" si="8"/>
        <v>0</v>
      </c>
      <c r="J15">
        <f t="shared" si="9"/>
        <v>65</v>
      </c>
      <c r="K15" s="4">
        <f t="shared" si="10"/>
        <v>3.5000000000000001E-3</v>
      </c>
      <c r="L15">
        <f t="shared" si="11"/>
        <v>0.02</v>
      </c>
      <c r="M15" s="4">
        <f t="shared" si="12"/>
        <v>0.22750000000000001</v>
      </c>
      <c r="N15" s="4">
        <f t="shared" si="13"/>
        <v>1.3</v>
      </c>
    </row>
    <row r="16" spans="1:14">
      <c r="A16" t="str">
        <f t="shared" si="0"/>
        <v>MK~BR_CN~Causas_MN~CCV_YQ~19Q1Q4_CP~NONE_OB~LDS_PK~NONE</v>
      </c>
      <c r="B16" t="str">
        <f t="shared" si="1"/>
        <v>Facebook</v>
      </c>
      <c r="C16" t="str">
        <f t="shared" si="2"/>
        <v>CH~SOCIAL_DT~MULTI_PB~FCBK_FM~CARROSSEL_RT~CPM_PD~CAUSAS_ICONES_FOTOS_SAUDE_CARROSSEL_1X1_TG~BHVDEM_TS~NONE_SZ~1X1_SOCIAL_MK~BR_IT~SOCIAL_VV~NONE</v>
      </c>
      <c r="D16" t="str">
        <f t="shared" si="3"/>
        <v>240115168</v>
      </c>
      <c r="E16" t="str">
        <f t="shared" si="4"/>
        <v>Dynamic Click</v>
      </c>
      <c r="F16" t="str">
        <f t="shared" si="5"/>
        <v>CH~SOCIAL_DT~MULTI_PB~FCBK_FM~CARROSSEL_RT~CPM_PD~CAUSAS_ICONES_FOTOS_SAUDE_CARROSSEL_1X1_TG~BHVDEM_TS~NONE_SZ~1X1_SOCIAL_MK~BR_IT~SOCIAL_VV~NONE</v>
      </c>
      <c r="G16" t="str">
        <f t="shared" si="6"/>
        <v>437114936</v>
      </c>
      <c r="H16" t="str">
        <f t="shared" si="7"/>
        <v>Tracking</v>
      </c>
      <c r="I16">
        <f t="shared" si="8"/>
        <v>0</v>
      </c>
      <c r="J16">
        <f t="shared" si="9"/>
        <v>2</v>
      </c>
      <c r="K16" s="4">
        <f t="shared" si="10"/>
        <v>3.5000000000000001E-3</v>
      </c>
      <c r="L16">
        <f t="shared" si="11"/>
        <v>0.02</v>
      </c>
      <c r="M16" s="4">
        <f t="shared" si="12"/>
        <v>7.0000000000000001E-3</v>
      </c>
      <c r="N16" s="4">
        <f t="shared" si="13"/>
        <v>0.04</v>
      </c>
    </row>
    <row r="17" spans="1:14">
      <c r="A17" t="str">
        <f t="shared" si="0"/>
        <v>MK~BR_CN~Causas_MN~CCV_YQ~19Q1Q4_CP~NONE_OB~LDS_PK~NONE</v>
      </c>
      <c r="B17" t="str">
        <f t="shared" si="1"/>
        <v>Facebook</v>
      </c>
      <c r="C17" t="str">
        <f t="shared" si="2"/>
        <v>CH~SOCIAL_DT~MULTI_PB~FCBK_FM~CARROSSEL_RT~CPM_PD~CAUSAS_ICONES_LOGO_ANIMAIS_CARROSSEL_1X1_TG~BHVDEM_TS~NONE_SZ~1X1_SOCIAL_MK~BR_IT~SOCIAL_VV~NONE</v>
      </c>
      <c r="D17" t="str">
        <f t="shared" si="3"/>
        <v>240115165</v>
      </c>
      <c r="E17" t="str">
        <f t="shared" si="4"/>
        <v>Dynamic Click</v>
      </c>
      <c r="F17" t="str">
        <f t="shared" si="5"/>
        <v>CH~SOCIAL_DT~MULTI_PB~FCBK_FM~CARROSSEL_RT~CPM_PD~CAUSAS_ICONES_LOGO_ANIMAIS_CARROSSEL_1X1_TG~BHVDEM_TS~NONE_SZ~1X1_SOCIAL_MK~BR_IT~SOCIAL_VV~NONE</v>
      </c>
      <c r="G17" t="str">
        <f t="shared" si="6"/>
        <v>437114933</v>
      </c>
      <c r="H17" t="str">
        <f t="shared" si="7"/>
        <v>Tracking</v>
      </c>
      <c r="I17">
        <f t="shared" si="8"/>
        <v>0</v>
      </c>
      <c r="J17">
        <f t="shared" si="9"/>
        <v>3420</v>
      </c>
      <c r="K17" s="4">
        <f t="shared" si="10"/>
        <v>3.5000000000000001E-3</v>
      </c>
      <c r="L17">
        <f t="shared" si="11"/>
        <v>0.02</v>
      </c>
      <c r="M17" s="4">
        <f t="shared" si="12"/>
        <v>11.97</v>
      </c>
      <c r="N17" s="4">
        <f t="shared" si="13"/>
        <v>68.400000000000006</v>
      </c>
    </row>
    <row r="18" spans="1:14">
      <c r="A18" t="str">
        <f t="shared" si="0"/>
        <v>MK~BR_CN~Causas_MN~CCV_YQ~19Q1Q4_CP~NONE_OB~LDS_PK~NONE</v>
      </c>
      <c r="B18" t="str">
        <f t="shared" si="1"/>
        <v>Facebook</v>
      </c>
      <c r="C18" t="str">
        <f t="shared" si="2"/>
        <v>CH~SOCIAL_DT~MULTI_PB~FCBK_FM~CARROSSEL_RT~CPM_PD~CAUSAS_ICONES_LOGO_CRIANCAS_CARROSSEL_1X1_TG~BHVDEM_TS~NONE_SZ~1X1_SOCIAL_MK~BR_IT~SOCIAL_VV~NONE</v>
      </c>
      <c r="D18" t="str">
        <f t="shared" si="3"/>
        <v>240115162</v>
      </c>
      <c r="E18" t="str">
        <f t="shared" si="4"/>
        <v>Dynamic Click</v>
      </c>
      <c r="F18" t="str">
        <f t="shared" si="5"/>
        <v>CH~SOCIAL_DT~MULTI_PB~FCBK_FM~CARROSSEL_RT~CPM_PD~CAUSAS_ICONES_LOGO_CRIANCAS_CARROSSEL_1X1_TG~BHVDEM_TS~NONE_SZ~1X1_SOCIAL_MK~BR_IT~SOCIAL_VV~NONE</v>
      </c>
      <c r="G18" t="str">
        <f t="shared" si="6"/>
        <v>437114930</v>
      </c>
      <c r="H18" t="str">
        <f t="shared" si="7"/>
        <v>Tracking</v>
      </c>
      <c r="I18">
        <f t="shared" si="8"/>
        <v>0</v>
      </c>
      <c r="J18">
        <f t="shared" si="9"/>
        <v>26</v>
      </c>
      <c r="K18" s="4">
        <f t="shared" si="10"/>
        <v>3.5000000000000001E-3</v>
      </c>
      <c r="L18">
        <f t="shared" si="11"/>
        <v>0.02</v>
      </c>
      <c r="M18" s="4">
        <f t="shared" si="12"/>
        <v>9.0999999999999998E-2</v>
      </c>
      <c r="N18" s="4">
        <f t="shared" si="13"/>
        <v>0.52</v>
      </c>
    </row>
    <row r="19" spans="1:14">
      <c r="A19" t="str">
        <f t="shared" si="0"/>
        <v>MK~BR_CN~Causas_MN~CCV_YQ~19Q1Q4_CP~NONE_OB~LDS_PK~NONE</v>
      </c>
      <c r="B19" t="str">
        <f t="shared" si="1"/>
        <v>Facebook</v>
      </c>
      <c r="C19" t="str">
        <f t="shared" si="2"/>
        <v>CH~SOCIAL_DT~MULTI_PB~FCBK_FM~CARROSSEL_RT~CPM_PD~CAUSAS_ICONES_LOGO_EDUCAÇAO_CARROSSEL_1X1_TG~BHVDEM_TS~NONE_SZ~1X1_SOCIAL_MK~BR_IT~SOCIAL_VV~NONE</v>
      </c>
      <c r="D19" t="str">
        <f t="shared" si="3"/>
        <v>240115159</v>
      </c>
      <c r="E19" t="str">
        <f t="shared" si="4"/>
        <v>Dynamic Click</v>
      </c>
      <c r="F19" t="str">
        <f t="shared" si="5"/>
        <v>CH~SOCIAL_DT~MULTI_PB~FCBK_FM~CARROSSEL_RT~CPM_PD~CAUSAS_ICONES_LOGO_EDUCAÇAO_CARROSSEL_1X1_TG~BHVDEM_TS~NONE_SZ~1X1_SOCIAL_MK~BR_IT~SOCIAL_VV~NONE</v>
      </c>
      <c r="G19" t="str">
        <f t="shared" si="6"/>
        <v>437114927</v>
      </c>
      <c r="H19" t="str">
        <f t="shared" si="7"/>
        <v>Tracking</v>
      </c>
      <c r="I19">
        <f t="shared" si="8"/>
        <v>0</v>
      </c>
      <c r="J19">
        <f t="shared" si="9"/>
        <v>15</v>
      </c>
      <c r="K19" s="4">
        <f t="shared" si="10"/>
        <v>3.5000000000000001E-3</v>
      </c>
      <c r="L19">
        <f t="shared" si="11"/>
        <v>0.02</v>
      </c>
      <c r="M19" s="4">
        <f t="shared" si="12"/>
        <v>5.2499999999999998E-2</v>
      </c>
      <c r="N19" s="4">
        <f t="shared" si="13"/>
        <v>0.3</v>
      </c>
    </row>
    <row r="20" spans="1:14">
      <c r="A20" t="str">
        <f t="shared" si="0"/>
        <v>MK~BR_CN~Causas_MN~CCV_YQ~19Q1Q4_CP~NONE_OB~LDS_PK~NONE</v>
      </c>
      <c r="B20" t="str">
        <f t="shared" si="1"/>
        <v>Facebook</v>
      </c>
      <c r="C20" t="str">
        <f t="shared" si="2"/>
        <v>CH~SOCIAL_DT~MULTI_PB~FCBK_FM~CARROSSEL_RT~CPM_PD~CAUSAS_ICONES_LOGO_IDOSOS_CARROSSEL_1X1_TG~BHVDEM_TS~NONE_SZ~1X1_SOCIAL_MK~BR_IT~SOCIAL_VV~NONE</v>
      </c>
      <c r="D20" t="str">
        <f t="shared" si="3"/>
        <v>240115183</v>
      </c>
      <c r="E20" t="str">
        <f t="shared" si="4"/>
        <v>Dynamic Click</v>
      </c>
      <c r="F20" t="str">
        <f t="shared" si="5"/>
        <v>CH~SOCIAL_DT~MULTI_PB~FCBK_FM~CARROSSEL_RT~CPM_PD~CAUSAS_ICONES_LOGO_IDOSOS_CARROSSEL_1X1_TG~BHVDEM_TS~NONE_SZ~1X1_SOCIAL_MK~BR_IT~SOCIAL_VV~NONE</v>
      </c>
      <c r="G20" t="str">
        <f t="shared" si="6"/>
        <v>437114951</v>
      </c>
      <c r="H20" t="str">
        <f t="shared" si="7"/>
        <v>Tracking</v>
      </c>
      <c r="I20">
        <f t="shared" si="8"/>
        <v>0</v>
      </c>
      <c r="J20">
        <f t="shared" si="9"/>
        <v>38</v>
      </c>
      <c r="K20" s="4">
        <f t="shared" si="10"/>
        <v>3.5000000000000001E-3</v>
      </c>
      <c r="L20">
        <f t="shared" si="11"/>
        <v>0.02</v>
      </c>
      <c r="M20" s="4">
        <f t="shared" si="12"/>
        <v>0.13300000000000001</v>
      </c>
      <c r="N20" s="4">
        <f t="shared" si="13"/>
        <v>0.76</v>
      </c>
    </row>
    <row r="21" spans="1:14">
      <c r="A21" t="str">
        <f t="shared" si="0"/>
        <v>MK~BR_CN~Causas_MN~CCV_YQ~19Q1Q4_CP~NONE_OB~LDS_PK~NONE</v>
      </c>
      <c r="B21" t="str">
        <f t="shared" si="1"/>
        <v>Facebook</v>
      </c>
      <c r="C21" t="str">
        <f t="shared" si="2"/>
        <v>CH~SOCIAL_DT~MULTI_PB~FCBK_FM~LINKAD_RT~CPM_PD~CAUSAS_CADASTRE_SE_NATAL_LINKAD_ANIMADO_FB_1X1_TG~BHVDEM_TS~NONE_SZ~1X1_SOCIAL_MK~BR_IT~SOCIAL_VV~NONE</v>
      </c>
      <c r="D21" t="str">
        <f t="shared" si="3"/>
        <v>236524072</v>
      </c>
      <c r="E21" t="str">
        <f t="shared" si="4"/>
        <v>Dynamic Click</v>
      </c>
      <c r="F21" t="str">
        <f t="shared" si="5"/>
        <v>CH~SOCIAL_DT~MULTI_PB~FCBK_FM~LINKAD_RT~CPM_PD~CAUSAS_CADASTRE_SE_NATAL_LINKAD_ANIMADO_FB_1X1_TG~BHVDEM_TS~NONE_SZ~1X1_SOCIAL_MK~BR_IT~SOCIAL_VV~NONE</v>
      </c>
      <c r="G21" t="str">
        <f t="shared" si="6"/>
        <v>433986273</v>
      </c>
      <c r="H21" t="str">
        <f t="shared" si="7"/>
        <v>Tracking</v>
      </c>
      <c r="I21">
        <f t="shared" si="8"/>
        <v>0</v>
      </c>
      <c r="J21">
        <f t="shared" si="9"/>
        <v>80</v>
      </c>
      <c r="K21" s="4">
        <f t="shared" si="10"/>
        <v>3.5000000000000001E-3</v>
      </c>
      <c r="L21">
        <f t="shared" si="11"/>
        <v>0.02</v>
      </c>
      <c r="M21" s="4">
        <f t="shared" si="12"/>
        <v>0.28000000000000003</v>
      </c>
      <c r="N21" s="4">
        <f t="shared" si="13"/>
        <v>1.6</v>
      </c>
    </row>
    <row r="22" spans="1:14">
      <c r="A22" t="str">
        <f t="shared" si="0"/>
        <v>MK~BR_CN~Causas_MN~CCV_YQ~19Q1Q4_CP~NONE_OB~LDS_PK~NONE</v>
      </c>
      <c r="B22" t="str">
        <f t="shared" si="1"/>
        <v>Facebook</v>
      </c>
      <c r="C22" t="str">
        <f t="shared" si="2"/>
        <v>CH~SOCIAL_DT~MULTI_PB~FCBK_FM~LINKAD_RT~CPM_PD~CAUSAS_CADASTRE_SE_NATAL_LINKAD_ANIMADO_FB_1X1_TG~BHVDEM_TS~NONE_SZ~1X1_SOCIAL_MK~BR_IT~SOCIAL_VV~NONE</v>
      </c>
      <c r="D22" t="str">
        <f t="shared" si="3"/>
        <v>236524072</v>
      </c>
      <c r="E22" t="str">
        <f t="shared" si="4"/>
        <v>Dynamic Click</v>
      </c>
      <c r="F22" t="str">
        <f t="shared" si="5"/>
        <v>CH~SOCIAL_DT~MULTI_PB~FCBK_FM~LINKAD_RT~CPM_PD~CAUSAS_CADASTRE_SE_NATAL_LINKAD_ANIMADO_FB_1X1_TG~BHVDEM_TS~NONE_SZ~1X1_SOCIAL_MK~BR_IT~SOCIAL_VV~NONE</v>
      </c>
      <c r="G22" t="str">
        <f t="shared" si="6"/>
        <v>433986273</v>
      </c>
      <c r="H22" t="str">
        <f t="shared" si="7"/>
        <v>Tracking</v>
      </c>
      <c r="I22">
        <f t="shared" si="8"/>
        <v>0</v>
      </c>
      <c r="J22">
        <f t="shared" si="9"/>
        <v>17</v>
      </c>
      <c r="K22" s="4">
        <f t="shared" si="10"/>
        <v>3.5000000000000001E-3</v>
      </c>
      <c r="L22">
        <f t="shared" si="11"/>
        <v>0.02</v>
      </c>
      <c r="M22" s="4">
        <f t="shared" si="12"/>
        <v>5.9500000000000004E-2</v>
      </c>
      <c r="N22" s="4">
        <f t="shared" si="13"/>
        <v>0.34</v>
      </c>
    </row>
    <row r="23" spans="1:14">
      <c r="A23" t="str">
        <f t="shared" si="0"/>
        <v>MK~BR_CN~Causas_MN~CCV_YQ~19Q1Q4_CP~NONE_OB~LDS_PK~NONE</v>
      </c>
      <c r="B23" t="str">
        <f t="shared" si="1"/>
        <v>Facebook</v>
      </c>
      <c r="C23" t="str">
        <f t="shared" si="2"/>
        <v>CH~SOCIAL_DT~MULTI_PB~FCBK_FM~LINKAD_RT~CPM_PD~CAUSAS_ICONES_CADASTRAR_CARTAO_FB_1X1_TG~BHVDEM_TS~NONE_SZ~1X1_SOCIAL_MK~BR_IT~SOCIAL_VV~NONE</v>
      </c>
      <c r="D23" t="str">
        <f t="shared" si="3"/>
        <v>233326907</v>
      </c>
      <c r="E23" t="str">
        <f t="shared" si="4"/>
        <v>Dynamic Click</v>
      </c>
      <c r="F23" t="str">
        <f t="shared" si="5"/>
        <v>CH~SOCIAL_DT~MULTI_PB~FCBK_FM~LINKAD_RT~CPM_PD~CAUSAS_ICONES_CADASTRAR_CARTAO_FB_1X1_TG~BHVDEM_TS~NONE_SZ~1X1_SOCIAL_MK~BR_IT~SOCIAL_VV~NONE</v>
      </c>
      <c r="G23" t="str">
        <f t="shared" si="6"/>
        <v>431122051</v>
      </c>
      <c r="H23" t="str">
        <f t="shared" si="7"/>
        <v>Tracking</v>
      </c>
      <c r="I23">
        <f t="shared" si="8"/>
        <v>0</v>
      </c>
      <c r="J23">
        <f t="shared" si="9"/>
        <v>17945</v>
      </c>
      <c r="K23" s="4">
        <f t="shared" si="10"/>
        <v>3.5000000000000001E-3</v>
      </c>
      <c r="L23">
        <f t="shared" si="11"/>
        <v>0.02</v>
      </c>
      <c r="M23" s="4">
        <f t="shared" si="12"/>
        <v>62.807500000000005</v>
      </c>
      <c r="N23" s="4">
        <f t="shared" si="13"/>
        <v>358.90000000000003</v>
      </c>
    </row>
    <row r="24" spans="1:14">
      <c r="A24" t="str">
        <f t="shared" si="0"/>
        <v>MK~BR_CN~Causas_MN~CCV_YQ~19Q1Q4_CP~NONE_OB~LDS_PK~NONE</v>
      </c>
      <c r="B24" t="str">
        <f t="shared" si="1"/>
        <v>Facebook</v>
      </c>
      <c r="C24" t="str">
        <f t="shared" si="2"/>
        <v>CH~SOCIAL_DT~MULTI_PB~FCBK_FM~LINKAD_RT~CPM_PD~CAUSAS_ICONES_CADASTRAR_CARTAO_FB_1X1_TG~BHVDEM_TS~NONE_SZ~1X1_SOCIAL_MK~BR_IT~SOCIAL_VV~NONE</v>
      </c>
      <c r="D24" t="str">
        <f t="shared" si="3"/>
        <v>233326907</v>
      </c>
      <c r="E24" t="str">
        <f t="shared" si="4"/>
        <v>Dynamic Click</v>
      </c>
      <c r="F24" t="str">
        <f t="shared" si="5"/>
        <v>CH~SOCIAL_DT~MULTI_PB~FCBK_FM~LINKAD_RT~CPM_PD~CAUSAS_ICONES_CADASTRAR_CARTAO_FB_1X1_TG~BHVDEM_TS~NONE_SZ~1X1_SOCIAL_MK~BR_IT~SOCIAL_VV~NONE</v>
      </c>
      <c r="G24" t="str">
        <f t="shared" si="6"/>
        <v>431122051</v>
      </c>
      <c r="H24" t="str">
        <f t="shared" si="7"/>
        <v>Tracking</v>
      </c>
      <c r="I24">
        <f t="shared" si="8"/>
        <v>0</v>
      </c>
      <c r="J24">
        <f t="shared" si="9"/>
        <v>55568</v>
      </c>
      <c r="K24" s="4">
        <f t="shared" si="10"/>
        <v>3.5000000000000001E-3</v>
      </c>
      <c r="L24">
        <f t="shared" si="11"/>
        <v>0.02</v>
      </c>
      <c r="M24" s="4">
        <f t="shared" si="12"/>
        <v>194.488</v>
      </c>
      <c r="N24" s="4">
        <f t="shared" si="13"/>
        <v>1111.3600000000001</v>
      </c>
    </row>
    <row r="25" spans="1:14">
      <c r="A25" t="str">
        <f t="shared" si="0"/>
        <v>MK~BR_CN~Causas_MN~CCV_YQ~19Q1Q4_CP~NONE_OB~LDS_PK~NONE</v>
      </c>
      <c r="B25" t="str">
        <f t="shared" si="1"/>
        <v>Facebook</v>
      </c>
      <c r="C25" t="str">
        <f t="shared" si="2"/>
        <v>CH~SOCIAL_DT~MULTI_PB~FCBK_FM~VIDEO_RT~CPM_PD~CAUSAS_CAMERA_ESCONDIDA_CURTO_GERANDOFALCOES-ONG5-03_1X1_TG~BHVDEM_TS~NONE_SZ~1X1_SOCIAL_MK~BR_IT~SOCIAL_VV~NONE</v>
      </c>
      <c r="D25" t="str">
        <f t="shared" si="3"/>
        <v>236902913</v>
      </c>
      <c r="E25" t="str">
        <f t="shared" si="4"/>
        <v>Dynamic Click</v>
      </c>
      <c r="F25" t="str">
        <f t="shared" si="5"/>
        <v>CH~SOCIAL_DT~MULTI_PB~FCBK_FM~VIDEO_RT~CPM_PD~CAUSAS_CAMERA_ESCONDIDA_CURTO_GERANDOFALCOES-ONG5-03_1X1_TG~BHVDEM_TS~NONE_SZ~1X1_SOCIAL_MK~BR_IT~SOCIAL_VV~NONE</v>
      </c>
      <c r="G25" t="str">
        <f t="shared" si="6"/>
        <v>434283710</v>
      </c>
      <c r="H25" t="str">
        <f t="shared" si="7"/>
        <v>Tracking</v>
      </c>
      <c r="I25">
        <f t="shared" si="8"/>
        <v>0</v>
      </c>
      <c r="J25">
        <f t="shared" si="9"/>
        <v>21</v>
      </c>
      <c r="K25" s="4">
        <f t="shared" si="10"/>
        <v>3.5000000000000001E-3</v>
      </c>
      <c r="L25">
        <f t="shared" si="11"/>
        <v>0.02</v>
      </c>
      <c r="M25" s="4">
        <f t="shared" si="12"/>
        <v>7.3499999999999996E-2</v>
      </c>
      <c r="N25" s="4">
        <f t="shared" si="13"/>
        <v>0.42</v>
      </c>
    </row>
    <row r="26" spans="1:14">
      <c r="A26" t="str">
        <f t="shared" si="0"/>
        <v>MK~BR_CN~Causas_MN~CCV_YQ~19Q1Q4_CP~NONE_OB~LDS_PK~NONE</v>
      </c>
      <c r="B26" t="str">
        <f t="shared" si="1"/>
        <v>Facebook</v>
      </c>
      <c r="C26" t="str">
        <f t="shared" si="2"/>
        <v>CH~SOCIAL_DT~MULTI_PB~FCBK_FM~VIDEO_RT~CPM_PD~CAUSAS_CAMERA_ESCONDIDA_CURTO_LUISAMEL-ONG4-02-1_1X1_TG~BHVDEM_TS~NONE_SZ~1X1_SOCIAL_MK~BR_IT~SOCIAL_VV~NONE</v>
      </c>
      <c r="D26" t="str">
        <f t="shared" si="3"/>
        <v>236902925</v>
      </c>
      <c r="E26" t="str">
        <f t="shared" si="4"/>
        <v>Dynamic Click</v>
      </c>
      <c r="F26" t="str">
        <f t="shared" si="5"/>
        <v>CH~SOCIAL_DT~MULTI_PB~FCBK_FM~VIDEO_RT~CPM_PD~CAUSAS_CAMERA_ESCONDIDA_CURTO_LUISAMEL-ONG4-02-1_1X1_TG~BHVDEM_TS~NONE_SZ~1X1_SOCIAL_MK~BR_IT~SOCIAL_VV~NONE</v>
      </c>
      <c r="G26" t="str">
        <f t="shared" si="6"/>
        <v>434283722</v>
      </c>
      <c r="H26" t="str">
        <f t="shared" si="7"/>
        <v>Tracking</v>
      </c>
      <c r="I26">
        <f t="shared" si="8"/>
        <v>0</v>
      </c>
      <c r="J26">
        <f t="shared" si="9"/>
        <v>9</v>
      </c>
      <c r="K26" s="4">
        <f t="shared" si="10"/>
        <v>3.5000000000000001E-3</v>
      </c>
      <c r="L26">
        <f t="shared" si="11"/>
        <v>0.02</v>
      </c>
      <c r="M26" s="4">
        <f t="shared" si="12"/>
        <v>3.15E-2</v>
      </c>
      <c r="N26" s="4">
        <f t="shared" si="13"/>
        <v>0.18</v>
      </c>
    </row>
    <row r="27" spans="1:14">
      <c r="A27" t="str">
        <f t="shared" si="0"/>
        <v>MK~BR_CN~Causas_MN~CCV_YQ~19Q1Q4_CP~NONE_OB~LDS_PK~NONE</v>
      </c>
      <c r="B27" t="str">
        <f t="shared" si="1"/>
        <v>Facebook</v>
      </c>
      <c r="C27" t="str">
        <f t="shared" si="2"/>
        <v>CH~SOCIAL_DT~MULTI_PB~FCBK_FM~VIDEO_RT~CPM_PD~CAUSAS_CAMERA_ESCONDIDA_CURTO_RAI-ONG3-04_1X1_TG~BHVDEM_TS~NONE_SZ~1X1_SOCIAL_MK~BR_IT~SOCIAL_VV~NONE</v>
      </c>
      <c r="D27" t="str">
        <f t="shared" si="3"/>
        <v>236902922</v>
      </c>
      <c r="E27" t="str">
        <f t="shared" si="4"/>
        <v>Dynamic Click</v>
      </c>
      <c r="F27" t="str">
        <f t="shared" si="5"/>
        <v>CH~SOCIAL_DT~MULTI_PB~FCBK_FM~VIDEO_RT~CPM_PD~CAUSAS_CAMERA_ESCONDIDA_CURTO_RAI-ONG3-04_1X1_TG~BHVDEM_TS~NONE_SZ~1X1_SOCIAL_MK~BR_IT~SOCIAL_VV~NONE</v>
      </c>
      <c r="G27" t="str">
        <f t="shared" si="6"/>
        <v>434283719</v>
      </c>
      <c r="H27" t="str">
        <f t="shared" si="7"/>
        <v>Tracking</v>
      </c>
      <c r="I27">
        <f t="shared" si="8"/>
        <v>0</v>
      </c>
      <c r="J27">
        <f t="shared" si="9"/>
        <v>21</v>
      </c>
      <c r="K27" s="4">
        <f t="shared" si="10"/>
        <v>3.5000000000000001E-3</v>
      </c>
      <c r="L27">
        <f t="shared" si="11"/>
        <v>0.02</v>
      </c>
      <c r="M27" s="4">
        <f t="shared" si="12"/>
        <v>7.3499999999999996E-2</v>
      </c>
      <c r="N27" s="4">
        <f t="shared" si="13"/>
        <v>0.42</v>
      </c>
    </row>
    <row r="28" spans="1:14">
      <c r="A28" t="str">
        <f t="shared" si="0"/>
        <v>MK~BR_CN~Causas_MN~CCV_YQ~19Q1Q4_CP~NONE_OB~LDS_PK~NONE</v>
      </c>
      <c r="B28" t="str">
        <f t="shared" si="1"/>
        <v>Facebook</v>
      </c>
      <c r="C28" t="str">
        <f t="shared" si="2"/>
        <v>CH~SOCIAL_DT~MULTI_PB~FCBK_FM~VIDEO_RT~CPM_PD~CAUSAS_CAMERA_ESCONDIDA_CURTO_VELHOAMIGO-ONG1-05_1X1_TG~BHVDEM_TS~NONE_SZ~1X1_SOCIAL_MK~BR_IT~SOCIAL_VV~NONE</v>
      </c>
      <c r="D28" t="str">
        <f t="shared" si="3"/>
        <v>236902916</v>
      </c>
      <c r="E28" t="str">
        <f t="shared" si="4"/>
        <v>Dynamic Click</v>
      </c>
      <c r="F28" t="str">
        <f t="shared" si="5"/>
        <v>CH~SOCIAL_DT~MULTI_PB~FCBK_FM~VIDEO_RT~CPM_PD~CAUSAS_CAMERA_ESCONDIDA_CURTO_VELHOAMIGO-ONG1-05_1X1_TG~BHVDEM_TS~NONE_SZ~1X1_SOCIAL_MK~BR_IT~SOCIAL_VV~NONE</v>
      </c>
      <c r="G28" t="str">
        <f t="shared" si="6"/>
        <v>434283713</v>
      </c>
      <c r="H28" t="str">
        <f t="shared" si="7"/>
        <v>Tracking</v>
      </c>
      <c r="I28">
        <f t="shared" si="8"/>
        <v>0</v>
      </c>
      <c r="J28">
        <f t="shared" si="9"/>
        <v>16</v>
      </c>
      <c r="K28" s="4">
        <f t="shared" si="10"/>
        <v>3.5000000000000001E-3</v>
      </c>
      <c r="L28">
        <f t="shared" si="11"/>
        <v>0.02</v>
      </c>
      <c r="M28" s="4">
        <f t="shared" si="12"/>
        <v>5.6000000000000001E-2</v>
      </c>
      <c r="N28" s="4">
        <f t="shared" si="13"/>
        <v>0.32</v>
      </c>
    </row>
    <row r="29" spans="1:14">
      <c r="A29" t="str">
        <f t="shared" si="0"/>
        <v>MK~BR_CN~Causas_MN~CCV_YQ~19Q1Q4_CP~NONE_OB~LDS_PK~NONE</v>
      </c>
      <c r="B29" t="str">
        <f t="shared" si="1"/>
        <v>Facebook</v>
      </c>
      <c r="C29" t="str">
        <f t="shared" si="2"/>
        <v>CH~SOCIAL_DT~MULTI_PB~FCBK_FM~VIDEO_RT~CPM_PD~CAUSAS_CAMERA_ESCONDIDA_CURTO_VERTER-ONG2-7_1X1_TG~BHVDEM_TS~NONE_SZ~1X1_SOCIAL_MK~BR_IT~SOCIAL_VV~NONE</v>
      </c>
      <c r="D29" t="str">
        <f t="shared" si="3"/>
        <v>236902919</v>
      </c>
      <c r="E29" t="str">
        <f t="shared" si="4"/>
        <v>Dynamic Click</v>
      </c>
      <c r="F29" t="str">
        <f t="shared" si="5"/>
        <v>CH~SOCIAL_DT~MULTI_PB~FCBK_FM~VIDEO_RT~CPM_PD~CAUSAS_CAMERA_ESCONDIDA_CURTO_VERTER-ONG2-7_1X1_TG~BHVDEM_TS~NONE_SZ~1X1_SOCIAL_MK~BR_IT~SOCIAL_VV~NONE</v>
      </c>
      <c r="G29" t="str">
        <f t="shared" si="6"/>
        <v>434283716</v>
      </c>
      <c r="H29" t="str">
        <f t="shared" si="7"/>
        <v>Tracking</v>
      </c>
      <c r="I29">
        <f t="shared" si="8"/>
        <v>0</v>
      </c>
      <c r="J29">
        <f t="shared" si="9"/>
        <v>11</v>
      </c>
      <c r="K29" s="4">
        <f t="shared" si="10"/>
        <v>3.5000000000000001E-3</v>
      </c>
      <c r="L29">
        <f t="shared" si="11"/>
        <v>0.02</v>
      </c>
      <c r="M29" s="4">
        <f t="shared" si="12"/>
        <v>3.85E-2</v>
      </c>
      <c r="N29" s="4">
        <f t="shared" si="13"/>
        <v>0.22</v>
      </c>
    </row>
    <row r="30" spans="1:14">
      <c r="A30" t="str">
        <f t="shared" si="0"/>
        <v>MK~BR_CN~Causas_MN~CCV_YQ~19Q1Q4_CP~NONE_OB~LDS_PK~NONE</v>
      </c>
      <c r="B30" t="str">
        <f t="shared" si="1"/>
        <v>Facebook</v>
      </c>
      <c r="C30" t="str">
        <f t="shared" si="2"/>
        <v>CH~SOCIAL_DT~MULTI_PB~FCBK_FM~VIDEO_RT~CPM_PD~CAUSAS_CAMERA_ESCONDIDA_LONGO06-1-LEG_1X1_TG~BHVDEM_TS~NONE_SZ~1X1_SOCIAL_MK~BR_IT~SOCIAL_VV~NONE</v>
      </c>
      <c r="D30" t="str">
        <f t="shared" si="3"/>
        <v>236902928</v>
      </c>
      <c r="E30" t="str">
        <f t="shared" si="4"/>
        <v>Dynamic Click</v>
      </c>
      <c r="F30" t="str">
        <f t="shared" si="5"/>
        <v>CH~SOCIAL_DT~MULTI_PB~FCBK_FM~VIDEO_RT~CPM_PD~CAUSAS_CAMERA_ESCONDIDA_LONGO06-1-LEG_1X1_TG~BHVDEM_TS~NONE_SZ~1X1_SOCIAL_MK~BR_IT~SOCIAL_VV~NONE</v>
      </c>
      <c r="G30" t="str">
        <f t="shared" si="6"/>
        <v>434283725</v>
      </c>
      <c r="H30" t="str">
        <f t="shared" si="7"/>
        <v>Tracking</v>
      </c>
      <c r="I30">
        <f t="shared" si="8"/>
        <v>0</v>
      </c>
      <c r="J30">
        <f t="shared" si="9"/>
        <v>84</v>
      </c>
      <c r="K30" s="4">
        <f t="shared" si="10"/>
        <v>3.5000000000000001E-3</v>
      </c>
      <c r="L30">
        <f t="shared" si="11"/>
        <v>0.02</v>
      </c>
      <c r="M30" s="4">
        <f t="shared" si="12"/>
        <v>0.29399999999999998</v>
      </c>
      <c r="N30" s="4">
        <f t="shared" si="13"/>
        <v>1.68</v>
      </c>
    </row>
    <row r="31" spans="1:14">
      <c r="A31" t="str">
        <f t="shared" si="0"/>
        <v>MK~BR_CN~Causas_MN~CCV_YQ~19Q1Q4_CP~NONE_OB~LDS_PK~NONE</v>
      </c>
      <c r="B31" t="str">
        <f t="shared" si="1"/>
        <v>Facebook</v>
      </c>
      <c r="C31" t="str">
        <f t="shared" si="2"/>
        <v>CH~SOCIAL_DT~MULTI_PB~FCBK_FM~VIDEO_RT~CPM_PD~CAUSAS_CAMERA_ESCONDIDA_LONGO06-1-LEG_1X1_TG~BHVDEM_TS~NONE_SZ~1X1_SOCIAL_MK~BR_IT~SOCIAL_VV~NONE</v>
      </c>
      <c r="D31" t="str">
        <f t="shared" si="3"/>
        <v>236902928</v>
      </c>
      <c r="E31" t="str">
        <f t="shared" si="4"/>
        <v>Dynamic Click</v>
      </c>
      <c r="F31" t="str">
        <f t="shared" si="5"/>
        <v>CH~SOCIAL_DT~MULTI_PB~FCBK_FM~VIDEO_RT~CPM_PD~CAUSAS_CAMERA_ESCONDIDA_LONGO06-1-LEG_1X1_TG~BHVDEM_TS~NONE_SZ~1X1_SOCIAL_MK~BR_IT~SOCIAL_VV~NONE</v>
      </c>
      <c r="G31" t="str">
        <f t="shared" si="6"/>
        <v>434283725</v>
      </c>
      <c r="H31" t="str">
        <f t="shared" si="7"/>
        <v>Tracking</v>
      </c>
      <c r="I31">
        <f t="shared" si="8"/>
        <v>0</v>
      </c>
      <c r="J31">
        <f t="shared" si="9"/>
        <v>19</v>
      </c>
      <c r="K31" s="4">
        <f t="shared" si="10"/>
        <v>3.5000000000000001E-3</v>
      </c>
      <c r="L31">
        <f t="shared" si="11"/>
        <v>0.02</v>
      </c>
      <c r="M31" s="4">
        <f t="shared" si="12"/>
        <v>6.6500000000000004E-2</v>
      </c>
      <c r="N31" s="4">
        <f t="shared" si="13"/>
        <v>0.38</v>
      </c>
    </row>
    <row r="32" spans="1:14">
      <c r="A32" t="str">
        <f t="shared" si="0"/>
        <v>MK~BR_CN~Causas_MN~CCV_YQ~19Q1Q4_CP~NONE_OB~LDS_PK~NONE</v>
      </c>
      <c r="B32" t="str">
        <f t="shared" si="1"/>
        <v>Facebook</v>
      </c>
      <c r="C32" t="str">
        <f t="shared" si="2"/>
        <v>CH~SOCIAL_DT~MULTI_PB~FCBK_FM~VIDEO_RT~CPM_PD~CAUSAS_TINTURA2_15S_VIDEO_HORIZONTAL_FB_1X1_TG~BHVDEM_TS~NONE_SZ~1X1_SOCIAL_MK~BR_IT~SOCIAL_VV~NONE</v>
      </c>
      <c r="D32" t="str">
        <f t="shared" si="3"/>
        <v>233643533</v>
      </c>
      <c r="E32" t="str">
        <f t="shared" si="4"/>
        <v>Dynamic Click</v>
      </c>
      <c r="F32" t="str">
        <f t="shared" si="5"/>
        <v>CH~SOCIAL_DT~MULTI_PB~FCBK_FM~VIDEO_RT~CPM_PD~CAUSAS_TINTURA2_15S_VIDEO_HORIZONTAL_FB_1X1_TG~BHVDEM_TS~NONE_SZ~1X1_SOCIAL_MK~BR_IT~SOCIAL_VV~NONE</v>
      </c>
      <c r="G32" t="str">
        <f t="shared" si="6"/>
        <v>431463292</v>
      </c>
      <c r="H32" t="str">
        <f t="shared" si="7"/>
        <v>Tracking</v>
      </c>
      <c r="I32">
        <f t="shared" si="8"/>
        <v>0</v>
      </c>
      <c r="J32">
        <f t="shared" si="9"/>
        <v>1533</v>
      </c>
      <c r="K32" s="4">
        <f t="shared" si="10"/>
        <v>3.5000000000000001E-3</v>
      </c>
      <c r="L32">
        <f t="shared" si="11"/>
        <v>0.02</v>
      </c>
      <c r="M32" s="4">
        <f t="shared" si="12"/>
        <v>5.3654999999999999</v>
      </c>
      <c r="N32" s="4">
        <f t="shared" si="13"/>
        <v>30.66</v>
      </c>
    </row>
    <row r="33" spans="1:14">
      <c r="A33" t="str">
        <f t="shared" si="0"/>
        <v>MK~BR_CN~Causas_MN~CCV_YQ~19Q1Q4_CP~NONE_OB~LDS_PK~NONE</v>
      </c>
      <c r="B33" t="str">
        <f t="shared" si="1"/>
        <v>Facebook</v>
      </c>
      <c r="C33" t="str">
        <f t="shared" si="2"/>
        <v>CH~SOCIAL_DT~MULTI_PB~FCBK_FM~VIDEO_RT~CPM_PD~CAUSAS_TINTURA2_15S_VIDEO_HORIZONTAL_FB_1X1_TG~BHVDEM_TS~NONE_SZ~1X1_SOCIAL_MK~BR_IT~SOCIAL_VV~NONE</v>
      </c>
      <c r="D33" t="str">
        <f t="shared" si="3"/>
        <v>233643533</v>
      </c>
      <c r="E33" t="str">
        <f t="shared" si="4"/>
        <v>Dynamic Click</v>
      </c>
      <c r="F33" t="str">
        <f t="shared" si="5"/>
        <v>CH~SOCIAL_DT~MULTI_PB~FCBK_FM~VIDEO_RT~CPM_PD~CAUSAS_TINTURA2_15S_VIDEO_HORIZONTAL_FB_1X1_TG~BHVDEM_TS~NONE_SZ~1X1_SOCIAL_MK~BR_IT~SOCIAL_VV~NONE</v>
      </c>
      <c r="G33" t="str">
        <f t="shared" si="6"/>
        <v>431463292</v>
      </c>
      <c r="H33" t="str">
        <f t="shared" si="7"/>
        <v>Tracking</v>
      </c>
      <c r="I33">
        <f t="shared" si="8"/>
        <v>0</v>
      </c>
      <c r="J33">
        <f t="shared" si="9"/>
        <v>1</v>
      </c>
      <c r="K33" s="4">
        <f t="shared" si="10"/>
        <v>3.5000000000000001E-3</v>
      </c>
      <c r="L33">
        <f t="shared" si="11"/>
        <v>0.02</v>
      </c>
      <c r="M33" s="4">
        <f t="shared" si="12"/>
        <v>3.5000000000000001E-3</v>
      </c>
      <c r="N33" s="4">
        <f t="shared" si="13"/>
        <v>0.02</v>
      </c>
    </row>
    <row r="34" spans="1:14">
      <c r="A34" t="str">
        <f t="shared" si="0"/>
        <v>MK~BR_CN~Causas_MN~CCV_YQ~19Q1Q4_CP~NONE_OB~LDS_PK~NONE</v>
      </c>
      <c r="B34" t="str">
        <f t="shared" si="1"/>
        <v>Facebook</v>
      </c>
      <c r="C34" t="str">
        <f t="shared" si="2"/>
        <v>CH~SOCIAL_DT~MULTI_PB~FCBK_FM~VIDEO_RT~CPM_PD~CAUSAS_TINTURA2_15S_VIDEO_VERTICAL_FB_1X1_TG~BHVDEM_TS~NONE_SZ~1X1_SOCIAL_MK~BR_IT~SOCIAL_VV~NONE</v>
      </c>
      <c r="D34" t="str">
        <f t="shared" si="3"/>
        <v>233643530</v>
      </c>
      <c r="E34" t="str">
        <f t="shared" si="4"/>
        <v>Dynamic Click</v>
      </c>
      <c r="F34" t="str">
        <f t="shared" si="5"/>
        <v>CH~SOCIAL_DT~MULTI_PB~FCBK_FM~VIDEO_RT~CPM_PD~CAUSAS_TINTURA2_15S_VIDEO_VERTICAL_FB_1X1_TG~BHVDEM_TS~NONE_SZ~1X1_SOCIAL_MK~BR_IT~SOCIAL_VV~NONE</v>
      </c>
      <c r="G34" t="str">
        <f t="shared" si="6"/>
        <v>431463289</v>
      </c>
      <c r="H34" t="str">
        <f t="shared" si="7"/>
        <v>Tracking</v>
      </c>
      <c r="I34">
        <f t="shared" si="8"/>
        <v>0</v>
      </c>
      <c r="J34">
        <f t="shared" si="9"/>
        <v>1402</v>
      </c>
      <c r="K34" s="4">
        <f t="shared" si="10"/>
        <v>3.5000000000000001E-3</v>
      </c>
      <c r="L34">
        <f t="shared" si="11"/>
        <v>0.02</v>
      </c>
      <c r="M34" s="4">
        <f t="shared" si="12"/>
        <v>4.907</v>
      </c>
      <c r="N34" s="4">
        <f t="shared" si="13"/>
        <v>28.04</v>
      </c>
    </row>
    <row r="35" spans="1:14">
      <c r="A35" t="str">
        <f t="shared" si="0"/>
        <v>MK~BR_CN~Causas_MN~CCV_YQ~19Q1Q4_CP~NONE_OB~LDS_PK~NONE</v>
      </c>
      <c r="B35" t="str">
        <f t="shared" si="1"/>
        <v>Facebook</v>
      </c>
      <c r="C35" t="str">
        <f t="shared" si="2"/>
        <v>CH~SOCIAL_DT~MULTI_PB~FCBK_FM~VIDEO_RT~CPM_PD~CAUSAS_TINTURA2_30S_VIDEO_HORIZONTAL_FB_1X1_TG~BHVDEM_TS~NONE_SZ~1X1_SOCIAL_MK~BR_IT~SOCIAL_VV~NONE</v>
      </c>
      <c r="D35" t="str">
        <f t="shared" si="3"/>
        <v>233643539</v>
      </c>
      <c r="E35" t="str">
        <f t="shared" si="4"/>
        <v>Dynamic Click</v>
      </c>
      <c r="F35" t="str">
        <f t="shared" si="5"/>
        <v>CH~SOCIAL_DT~MULTI_PB~FCBK_FM~VIDEO_RT~CPM_PD~CAUSAS_TINTURA2_30S_VIDEO_HORIZONTAL_FB_1X1_TG~BHVDEM_TS~NONE_SZ~1X1_SOCIAL_MK~BR_IT~SOCIAL_VV~NONE</v>
      </c>
      <c r="G35" t="str">
        <f t="shared" si="6"/>
        <v>431463298</v>
      </c>
      <c r="H35" t="str">
        <f t="shared" si="7"/>
        <v>Tracking</v>
      </c>
      <c r="I35">
        <f t="shared" si="8"/>
        <v>0</v>
      </c>
      <c r="J35">
        <f t="shared" si="9"/>
        <v>5177</v>
      </c>
      <c r="K35" s="4">
        <f t="shared" si="10"/>
        <v>3.5000000000000001E-3</v>
      </c>
      <c r="L35">
        <f t="shared" si="11"/>
        <v>0.02</v>
      </c>
      <c r="M35" s="4">
        <f t="shared" ref="M35:M98" si="14">IF(E35="Dynamic Click",J35*K35,K35*$I35/1000)</f>
        <v>18.119499999999999</v>
      </c>
      <c r="N35" s="4">
        <f t="shared" ref="N35:N98" si="15">IF(E35="Dynamic Click",J35*L35,L35*$I35/1000)</f>
        <v>103.54</v>
      </c>
    </row>
    <row r="36" spans="1:14">
      <c r="A36" t="str">
        <f t="shared" si="0"/>
        <v>MK~BR_CN~Causas_MN~CCV_YQ~19Q1Q4_CP~NONE_OB~LDS_PK~NONE</v>
      </c>
      <c r="B36" t="str">
        <f t="shared" si="1"/>
        <v>Facebook</v>
      </c>
      <c r="C36" t="str">
        <f t="shared" si="2"/>
        <v>CH~SOCIAL_DT~MULTI_PB~FCBK_FM~VIDEO_RT~CPM_PD~CAUSAS_TINTURA2_30S_VIDEO_VERTICAL_FB_1X1_TG~BHVDEM_TS~NONE_SZ~1X1_SOCIAL_MK~BR_IT~SOCIAL_VV~NONE</v>
      </c>
      <c r="D36" t="str">
        <f t="shared" si="3"/>
        <v>233643536</v>
      </c>
      <c r="E36" t="str">
        <f t="shared" si="4"/>
        <v>Dynamic Click</v>
      </c>
      <c r="F36" t="str">
        <f t="shared" si="5"/>
        <v>CH~SOCIAL_DT~MULTI_PB~FCBK_FM~VIDEO_RT~CPM_PD~CAUSAS_TINTURA2_30S_VIDEO_VERTICAL_FB_1X1_TG~BHVDEM_TS~NONE_SZ~1X1_SOCIAL_MK~BR_IT~SOCIAL_VV~NONE</v>
      </c>
      <c r="G36" t="str">
        <f t="shared" si="6"/>
        <v>431463295</v>
      </c>
      <c r="H36" t="str">
        <f t="shared" si="7"/>
        <v>Tracking</v>
      </c>
      <c r="I36">
        <f t="shared" si="8"/>
        <v>0</v>
      </c>
      <c r="J36">
        <f t="shared" si="9"/>
        <v>801</v>
      </c>
      <c r="K36" s="4">
        <f t="shared" si="10"/>
        <v>3.5000000000000001E-3</v>
      </c>
      <c r="L36">
        <f t="shared" si="11"/>
        <v>0.02</v>
      </c>
      <c r="M36" s="4">
        <f t="shared" si="14"/>
        <v>2.8035000000000001</v>
      </c>
      <c r="N36" s="4">
        <f t="shared" si="15"/>
        <v>16.02</v>
      </c>
    </row>
    <row r="37" spans="1:14">
      <c r="A37" t="str">
        <f t="shared" si="0"/>
        <v>MK~BR_CN~Causas_MN~CCV_YQ~19Q1Q4_CP~NONE_OB~LDS_PK~NONE</v>
      </c>
      <c r="B37" t="str">
        <f t="shared" si="1"/>
        <v>Facebook</v>
      </c>
      <c r="C37" t="str">
        <f t="shared" si="2"/>
        <v>CH~SOCIAL_DT~MULTI_PB~FCBK_FM~VINHETA_RT~CPM_PD~CAUSAS_TINTURA2_HORIZONTAL_VINHETA1_1X1_TG~BHVDEM_TS~NONE_SZ~1X1_SOCIAL_MK~BR_IT~SOCIAL_VV~NONE</v>
      </c>
      <c r="D37" t="str">
        <f t="shared" si="3"/>
        <v>233643527</v>
      </c>
      <c r="E37" t="str">
        <f t="shared" si="4"/>
        <v>Dynamic Click</v>
      </c>
      <c r="F37" t="str">
        <f t="shared" si="5"/>
        <v>CH~SOCIAL_DT~MULTI_PB~FCBK_FM~VINHETA_RT~CPM_PD~CAUSAS_TINTURA2_HORIZONTAL_VINHETA1_1X1_TG~BHVDEM_TS~NONE_SZ~1X1_SOCIAL_MK~BR_IT~SOCIAL_VV~NONE</v>
      </c>
      <c r="G37" t="str">
        <f t="shared" si="6"/>
        <v>431463286</v>
      </c>
      <c r="H37" t="str">
        <f t="shared" si="7"/>
        <v>Tracking</v>
      </c>
      <c r="I37">
        <f t="shared" si="8"/>
        <v>0</v>
      </c>
      <c r="J37">
        <f t="shared" si="9"/>
        <v>5682</v>
      </c>
      <c r="K37" s="4">
        <f t="shared" si="10"/>
        <v>3.5000000000000001E-3</v>
      </c>
      <c r="L37">
        <f t="shared" si="11"/>
        <v>0.02</v>
      </c>
      <c r="M37" s="4">
        <f t="shared" si="14"/>
        <v>19.887</v>
      </c>
      <c r="N37" s="4">
        <f t="shared" si="15"/>
        <v>113.64</v>
      </c>
    </row>
    <row r="38" spans="1:14">
      <c r="A38" t="str">
        <f t="shared" si="0"/>
        <v>MK~BR_CN~Causas_MN~CCV_YQ~19Q1Q4_CP~NONE_OB~LDS_PK~NONE</v>
      </c>
      <c r="B38" t="str">
        <f t="shared" si="1"/>
        <v>Facebook</v>
      </c>
      <c r="C38" t="str">
        <f t="shared" si="2"/>
        <v>CH~SOCIAL_DT~MULTI_PB~FCBK_FM~VINHETA_RT~CPM_PD~CAUSAS_TINTURA2_HORIZONTAL_VINHETA2_1X1_TG~BHVDEM_TS~NONE_SZ~1X1_SOCIAL_MK~BR_IT~SOCIAL_VV~NONE</v>
      </c>
      <c r="D38" t="str">
        <f t="shared" si="3"/>
        <v>233643524</v>
      </c>
      <c r="E38" t="str">
        <f t="shared" si="4"/>
        <v>Dynamic Click</v>
      </c>
      <c r="F38" t="str">
        <f t="shared" si="5"/>
        <v>CH~SOCIAL_DT~MULTI_PB~FCBK_FM~VINHETA_RT~CPM_PD~CAUSAS_TINTURA2_HORIZONTAL_VINHETA2_1X1_TG~BHVDEM_TS~NONE_SZ~1X1_SOCIAL_MK~BR_IT~SOCIAL_VV~NONE</v>
      </c>
      <c r="G38" t="str">
        <f t="shared" si="6"/>
        <v>431463283</v>
      </c>
      <c r="H38" t="str">
        <f t="shared" si="7"/>
        <v>Tracking</v>
      </c>
      <c r="I38">
        <f t="shared" si="8"/>
        <v>0</v>
      </c>
      <c r="J38">
        <f t="shared" si="9"/>
        <v>3261</v>
      </c>
      <c r="K38" s="4">
        <f t="shared" si="10"/>
        <v>3.5000000000000001E-3</v>
      </c>
      <c r="L38">
        <f t="shared" si="11"/>
        <v>0.02</v>
      </c>
      <c r="M38" s="4">
        <f t="shared" si="14"/>
        <v>11.413500000000001</v>
      </c>
      <c r="N38" s="4">
        <f t="shared" si="15"/>
        <v>65.22</v>
      </c>
    </row>
    <row r="39" spans="1:14">
      <c r="A39" t="str">
        <f t="shared" si="0"/>
        <v>MK~BR_CN~Causas_MN~CCV_YQ~19Q1Q4_CP~NONE_OB~LDS_PK~NONE</v>
      </c>
      <c r="B39" t="str">
        <f t="shared" si="1"/>
        <v>Facebook</v>
      </c>
      <c r="C39" t="str">
        <f t="shared" si="2"/>
        <v>CH~SOCIAL_DT~MULTI_PB~FCBK_FM~VINHETA_RT~CPM_PD~CAUSAS_TINTURA2_HORIZONTAL_VINHETA3_1X1_TG~BHVDEM_TS~NONE_SZ~1X1_SOCIAL_MK~BR_IT~SOCIAL_VV~NONE</v>
      </c>
      <c r="D39" t="str">
        <f t="shared" si="3"/>
        <v>233643521</v>
      </c>
      <c r="E39" t="str">
        <f t="shared" si="4"/>
        <v>Dynamic Click</v>
      </c>
      <c r="F39" t="str">
        <f t="shared" si="5"/>
        <v>CH~SOCIAL_DT~MULTI_PB~FCBK_FM~VINHETA_RT~CPM_PD~CAUSAS_TINTURA2_HORIZONTAL_VINHETA3_1X1_TG~BHVDEM_TS~NONE_SZ~1X1_SOCIAL_MK~BR_IT~SOCIAL_VV~NONE</v>
      </c>
      <c r="G39" t="str">
        <f t="shared" si="6"/>
        <v>431463280</v>
      </c>
      <c r="H39" t="str">
        <f t="shared" si="7"/>
        <v>Tracking</v>
      </c>
      <c r="I39">
        <f t="shared" si="8"/>
        <v>0</v>
      </c>
      <c r="J39">
        <f t="shared" si="9"/>
        <v>9465</v>
      </c>
      <c r="K39" s="4">
        <f t="shared" si="10"/>
        <v>3.5000000000000001E-3</v>
      </c>
      <c r="L39">
        <f t="shared" si="11"/>
        <v>0.02</v>
      </c>
      <c r="M39" s="4">
        <f t="shared" si="14"/>
        <v>33.127499999999998</v>
      </c>
      <c r="N39" s="4">
        <f t="shared" si="15"/>
        <v>189.3</v>
      </c>
    </row>
    <row r="40" spans="1:14">
      <c r="A40" t="str">
        <f t="shared" si="0"/>
        <v>MK~BR_CN~Causas_MN~CCV_YQ~19Q1Q4_CP~NONE_OB~LDS_PK~NONE</v>
      </c>
      <c r="B40" t="str">
        <f t="shared" si="1"/>
        <v>Facebook</v>
      </c>
      <c r="C40" t="str">
        <f t="shared" si="2"/>
        <v>CH~SOCIAL_DT~MULTI_PB~FCBK_FM~VINHETA_RT~CPM_PD~CAUSAS_TINTURA2_HORIZONTAL_VINHETA4_1X1_TG~BHVDEM_TS~NONE_SZ~1X1_SOCIAL_MK~BR_IT~SOCIAL_VV~NONE</v>
      </c>
      <c r="D40" t="str">
        <f t="shared" si="3"/>
        <v>233643518</v>
      </c>
      <c r="E40" t="str">
        <f t="shared" si="4"/>
        <v>Dynamic Click</v>
      </c>
      <c r="F40" t="str">
        <f t="shared" si="5"/>
        <v>CH~SOCIAL_DT~MULTI_PB~FCBK_FM~VINHETA_RT~CPM_PD~CAUSAS_TINTURA2_HORIZONTAL_VINHETA4_1X1_TG~BHVDEM_TS~NONE_SZ~1X1_SOCIAL_MK~BR_IT~SOCIAL_VV~NONE</v>
      </c>
      <c r="G40" t="str">
        <f t="shared" si="6"/>
        <v>431463277</v>
      </c>
      <c r="H40" t="str">
        <f t="shared" si="7"/>
        <v>Tracking</v>
      </c>
      <c r="I40">
        <f t="shared" si="8"/>
        <v>0</v>
      </c>
      <c r="J40">
        <f t="shared" si="9"/>
        <v>2129</v>
      </c>
      <c r="K40" s="4">
        <f t="shared" si="10"/>
        <v>3.5000000000000001E-3</v>
      </c>
      <c r="L40">
        <f t="shared" si="11"/>
        <v>0.02</v>
      </c>
      <c r="M40" s="4">
        <f t="shared" si="14"/>
        <v>7.4515000000000002</v>
      </c>
      <c r="N40" s="4">
        <f t="shared" si="15"/>
        <v>42.58</v>
      </c>
    </row>
    <row r="41" spans="1:14">
      <c r="A41" t="str">
        <f t="shared" si="0"/>
        <v>MK~BR_CN~Causas_MN~CCV_YQ~19Q1Q4_CP~NONE_OB~LDS_PK~NONE</v>
      </c>
      <c r="B41" t="str">
        <f t="shared" si="1"/>
        <v>Facebook</v>
      </c>
      <c r="C41" t="str">
        <f t="shared" si="2"/>
        <v>CH~SOCIAL_DT~MULTI_PB~FCBK_FM~VINHETA_RT~CPM_PD~CAUSAS_TINTURA2_HORIZONTAL_VINHETA5_1X1_TG~BHVDEM_TS~NONE_SZ~1X1_SOCIAL_MK~BR_IT~SOCIAL_VV~NONE</v>
      </c>
      <c r="D41" t="str">
        <f t="shared" si="3"/>
        <v>233643515</v>
      </c>
      <c r="E41" t="str">
        <f t="shared" si="4"/>
        <v>Dynamic Click</v>
      </c>
      <c r="F41" t="str">
        <f t="shared" si="5"/>
        <v>CH~SOCIAL_DT~MULTI_PB~FCBK_FM~VINHETA_RT~CPM_PD~CAUSAS_TINTURA2_HORIZONTAL_VINHETA5_1X1_TG~BHVDEM_TS~NONE_SZ~1X1_SOCIAL_MK~BR_IT~SOCIAL_VV~NONE</v>
      </c>
      <c r="G41" t="str">
        <f t="shared" si="6"/>
        <v>431463274</v>
      </c>
      <c r="H41" t="str">
        <f t="shared" si="7"/>
        <v>Tracking</v>
      </c>
      <c r="I41">
        <f t="shared" si="8"/>
        <v>0</v>
      </c>
      <c r="J41">
        <f t="shared" si="9"/>
        <v>4655</v>
      </c>
      <c r="K41" s="4">
        <f t="shared" si="10"/>
        <v>3.5000000000000001E-3</v>
      </c>
      <c r="L41">
        <f t="shared" si="11"/>
        <v>0.02</v>
      </c>
      <c r="M41" s="4">
        <f t="shared" si="14"/>
        <v>16.2925</v>
      </c>
      <c r="N41" s="4">
        <f t="shared" si="15"/>
        <v>93.100000000000009</v>
      </c>
    </row>
    <row r="42" spans="1:14">
      <c r="A42" t="str">
        <f t="shared" si="0"/>
        <v>MK~BR_CN~Causas_MN~CCV_YQ~19Q1Q4_CP~NONE_OB~LDS_PK~NONE</v>
      </c>
      <c r="B42" t="str">
        <f t="shared" si="1"/>
        <v>Facebook</v>
      </c>
      <c r="C42" t="str">
        <f t="shared" si="2"/>
        <v>CH~SOCIAL_DT~MULTI_PB~FCBK_FM~VINHETA_RT~CPM_PD~CAUSAS_TINTURA2_HORIZONTAL_VINHETA5_1X1_TG~BHVDEM_TS~NONE_SZ~1X1_SOCIAL_MK~BR_IT~SOCIAL_VV~NONE</v>
      </c>
      <c r="D42" t="str">
        <f t="shared" si="3"/>
        <v>233643515</v>
      </c>
      <c r="E42" t="str">
        <f t="shared" si="4"/>
        <v>Dynamic Click</v>
      </c>
      <c r="F42" t="str">
        <f t="shared" si="5"/>
        <v>CH~SOCIAL_DT~MULTI_PB~FCBK_FM~VINHETA_RT~CPM_PD~CAUSAS_TINTURA2_HORIZONTAL_VINHETA5_1X1_TG~BHVDEM_TS~NONE_SZ~1X1_SOCIAL_MK~BR_IT~SOCIAL_VV~NONE</v>
      </c>
      <c r="G42" t="str">
        <f t="shared" si="6"/>
        <v>431463274</v>
      </c>
      <c r="H42" t="str">
        <f t="shared" si="7"/>
        <v>Tracking</v>
      </c>
      <c r="I42">
        <f t="shared" si="8"/>
        <v>0</v>
      </c>
      <c r="J42">
        <f t="shared" si="9"/>
        <v>2</v>
      </c>
      <c r="K42" s="4">
        <f t="shared" si="10"/>
        <v>3.5000000000000001E-3</v>
      </c>
      <c r="L42">
        <f t="shared" si="11"/>
        <v>0.02</v>
      </c>
      <c r="M42" s="4">
        <f t="shared" si="14"/>
        <v>7.0000000000000001E-3</v>
      </c>
      <c r="N42" s="4">
        <f t="shared" si="15"/>
        <v>0.04</v>
      </c>
    </row>
    <row r="43" spans="1:14">
      <c r="A43" t="str">
        <f t="shared" si="0"/>
        <v>MK~BR_CN~Causas_MN~CCV_YQ~19Q1Q4_CP~NONE_OB~LDS_PK~NONE</v>
      </c>
      <c r="B43" t="str">
        <f t="shared" si="1"/>
        <v>Facebook</v>
      </c>
      <c r="C43" t="str">
        <f t="shared" si="2"/>
        <v>CH~SOCIAL_DT~MULTI_PB~FCBK_FM~VINHETA_RT~CPM_PD~CAUSAS_TINTURA2_VERTICAL_VINHETA1_1X1_TG~BHVDEM_TS~NONE_SZ~1X1_SOCIAL_MK~BR_IT~SOCIAL_VV~NONE</v>
      </c>
      <c r="D43" t="str">
        <f t="shared" si="3"/>
        <v>233643512</v>
      </c>
      <c r="E43" t="str">
        <f t="shared" si="4"/>
        <v>Dynamic Click</v>
      </c>
      <c r="F43" t="str">
        <f t="shared" si="5"/>
        <v>CH~SOCIAL_DT~MULTI_PB~FCBK_FM~VINHETA_RT~CPM_PD~CAUSAS_TINTURA2_VERTICAL_VINHETA1_1X1_TG~BHVDEM_TS~NONE_SZ~1X1_SOCIAL_MK~BR_IT~SOCIAL_VV~NONE</v>
      </c>
      <c r="G43" t="str">
        <f t="shared" si="6"/>
        <v>431463271</v>
      </c>
      <c r="H43" t="str">
        <f t="shared" si="7"/>
        <v>Tracking</v>
      </c>
      <c r="I43">
        <f t="shared" si="8"/>
        <v>0</v>
      </c>
      <c r="J43">
        <f t="shared" si="9"/>
        <v>1</v>
      </c>
      <c r="K43" s="4">
        <f t="shared" si="10"/>
        <v>3.5000000000000001E-3</v>
      </c>
      <c r="L43">
        <f t="shared" si="11"/>
        <v>0.02</v>
      </c>
      <c r="M43" s="4">
        <f t="shared" si="14"/>
        <v>3.5000000000000001E-3</v>
      </c>
      <c r="N43" s="4">
        <f t="shared" si="15"/>
        <v>0.02</v>
      </c>
    </row>
    <row r="44" spans="1:14">
      <c r="A44" t="str">
        <f t="shared" si="0"/>
        <v>MK~BR_CN~Causas_MN~CCV_YQ~19Q1Q4_CP~NONE_OB~LDS_PK~NONE</v>
      </c>
      <c r="B44" t="str">
        <f t="shared" si="1"/>
        <v>Facebook</v>
      </c>
      <c r="C44" t="str">
        <f t="shared" si="2"/>
        <v>CH~SOCIAL_DT~MULTI_PB~FCBK_FM~VINHETA_RT~CPM_PD~CAUSAS_TINTURA2_VERTICAL_VINHETA2_1X1_TG~BHVDEM_TS~NONE_SZ~1X1_SOCIAL_MK~BR_IT~SOCIAL_VV~NONE</v>
      </c>
      <c r="D44" t="str">
        <f t="shared" si="3"/>
        <v>233643509</v>
      </c>
      <c r="E44" t="str">
        <f t="shared" si="4"/>
        <v>Dynamic Click</v>
      </c>
      <c r="F44" t="str">
        <f t="shared" si="5"/>
        <v>CH~SOCIAL_DT~MULTI_PB~FCBK_FM~VINHETA_RT~CPM_PD~CAUSAS_TINTURA2_VERTICAL_VINHETA2_1X1_TG~BHVDEM_TS~NONE_SZ~1X1_SOCIAL_MK~BR_IT~SOCIAL_VV~NONE</v>
      </c>
      <c r="G44" t="str">
        <f t="shared" si="6"/>
        <v>431463268</v>
      </c>
      <c r="H44" t="str">
        <f t="shared" si="7"/>
        <v>Tracking</v>
      </c>
      <c r="I44">
        <f t="shared" si="8"/>
        <v>0</v>
      </c>
      <c r="J44">
        <f t="shared" si="9"/>
        <v>1090</v>
      </c>
      <c r="K44" s="4">
        <f t="shared" ref="K44:K107" si="16">IF(LEFT(B44,3)="DBM",0,VLOOKUP(E44,tabela,2,FALSE))</f>
        <v>3.5000000000000001E-3</v>
      </c>
      <c r="L44">
        <f t="shared" ref="L44:L107" si="17">VLOOKUP(E44,tabela,3,FALSE)</f>
        <v>0.02</v>
      </c>
      <c r="M44" s="4">
        <f t="shared" si="14"/>
        <v>3.8149999999999999</v>
      </c>
      <c r="N44" s="4">
        <f t="shared" si="15"/>
        <v>21.8</v>
      </c>
    </row>
    <row r="45" spans="1:14">
      <c r="A45" t="str">
        <f t="shared" si="0"/>
        <v>MK~BR_CN~Causas_MN~CCV_YQ~19Q1Q4_CP~NONE_OB~LDS_PK~NONE</v>
      </c>
      <c r="B45" t="str">
        <f t="shared" si="1"/>
        <v>Facebook</v>
      </c>
      <c r="C45" t="str">
        <f t="shared" si="2"/>
        <v>CH~SOCIAL_DT~MULTI_PB~FCBK_FM~VINHETA_RT~CPM_PD~CAUSAS_TINTURA2_VERTICAL_VINHETA3_1X1_TG~BHVDEM_TS~NONE_SZ~1X1_SOCIAL_MK~BR_IT~SOCIAL_VV~NONE</v>
      </c>
      <c r="D45" t="str">
        <f t="shared" si="3"/>
        <v>233643506</v>
      </c>
      <c r="E45" t="str">
        <f t="shared" si="4"/>
        <v>Dynamic Click</v>
      </c>
      <c r="F45" t="str">
        <f t="shared" si="5"/>
        <v>CH~SOCIAL_DT~MULTI_PB~FCBK_FM~VINHETA_RT~CPM_PD~CAUSAS_TINTURA2_VERTICAL_VINHETA3_1X1_TG~BHVDEM_TS~NONE_SZ~1X1_SOCIAL_MK~BR_IT~SOCIAL_VV~NONE</v>
      </c>
      <c r="G45" t="str">
        <f t="shared" si="6"/>
        <v>431390367</v>
      </c>
      <c r="H45" t="str">
        <f t="shared" si="7"/>
        <v>Tracking</v>
      </c>
      <c r="I45">
        <f t="shared" si="8"/>
        <v>0</v>
      </c>
      <c r="J45">
        <f t="shared" si="9"/>
        <v>1572</v>
      </c>
      <c r="K45" s="4">
        <f t="shared" si="16"/>
        <v>3.5000000000000001E-3</v>
      </c>
      <c r="L45">
        <f t="shared" si="17"/>
        <v>0.02</v>
      </c>
      <c r="M45" s="4">
        <f t="shared" si="14"/>
        <v>5.5019999999999998</v>
      </c>
      <c r="N45" s="4">
        <f t="shared" si="15"/>
        <v>31.44</v>
      </c>
    </row>
    <row r="46" spans="1:14">
      <c r="A46" t="str">
        <f t="shared" si="0"/>
        <v>MK~BR_CN~Causas_MN~CCV_YQ~19Q1Q4_CP~NONE_OB~LDS_PK~NONE</v>
      </c>
      <c r="B46" t="str">
        <f t="shared" si="1"/>
        <v>Facebook</v>
      </c>
      <c r="C46" t="str">
        <f t="shared" si="2"/>
        <v>CH~SOCIAL_DT~MULTI_PB~FCBK_FM~VINHETA_RT~CPM_PD~CAUSAS_TINTURA2_VERTICAL_VINHETA4_1X1_TG~BHVDEM_TS~NONE_SZ~1X1_SOCIAL_MK~BR_IT~SOCIAL_VV~NONE</v>
      </c>
      <c r="D46" t="str">
        <f t="shared" si="3"/>
        <v>233643503</v>
      </c>
      <c r="E46" t="str">
        <f t="shared" si="4"/>
        <v>Dynamic Click</v>
      </c>
      <c r="F46" t="str">
        <f t="shared" si="5"/>
        <v>CH~SOCIAL_DT~MULTI_PB~FCBK_FM~VINHETA_RT~CPM_PD~CAUSAS_TINTURA2_VERTICAL_VINHETA4_1X1_TG~BHVDEM_TS~NONE_SZ~1X1_SOCIAL_MK~BR_IT~SOCIAL_VV~NONE</v>
      </c>
      <c r="G46" t="str">
        <f t="shared" si="6"/>
        <v>431390364</v>
      </c>
      <c r="H46" t="str">
        <f t="shared" si="7"/>
        <v>Tracking</v>
      </c>
      <c r="I46">
        <f t="shared" si="8"/>
        <v>0</v>
      </c>
      <c r="J46">
        <f t="shared" si="9"/>
        <v>1514</v>
      </c>
      <c r="K46" s="4">
        <f t="shared" si="16"/>
        <v>3.5000000000000001E-3</v>
      </c>
      <c r="L46">
        <f t="shared" si="17"/>
        <v>0.02</v>
      </c>
      <c r="M46" s="4">
        <f t="shared" si="14"/>
        <v>5.2990000000000004</v>
      </c>
      <c r="N46" s="4">
        <f t="shared" si="15"/>
        <v>30.28</v>
      </c>
    </row>
    <row r="47" spans="1:14">
      <c r="A47" t="str">
        <f t="shared" si="0"/>
        <v>MK~BR_CN~Causas_MN~CCV_YQ~19Q1Q4_CP~NONE_OB~LDS_PK~NONE</v>
      </c>
      <c r="B47" t="str">
        <f t="shared" si="1"/>
        <v>Facebook</v>
      </c>
      <c r="C47" t="str">
        <f t="shared" si="2"/>
        <v>CH~SOCIAL_DT~MULTI_PB~FCBK_FM~VINHETA_RT~CPM_PD~CAUSAS_TINTURA2_VERTICAL_VINHETA5_1X1_TG~BHVDEM_TS~NONE_SZ~1X1_SOCIAL_MK~BR_IT~SOCIAL_VV~NONE</v>
      </c>
      <c r="D47" t="str">
        <f t="shared" si="3"/>
        <v>233643500</v>
      </c>
      <c r="E47" t="str">
        <f t="shared" si="4"/>
        <v>Dynamic Click</v>
      </c>
      <c r="F47" t="str">
        <f t="shared" si="5"/>
        <v>CH~SOCIAL_DT~MULTI_PB~FCBK_FM~VINHETA_RT~CPM_PD~CAUSAS_TINTURA2_VERTICAL_VINHETA5_1X1_TG~BHVDEM_TS~NONE_SZ~1X1_SOCIAL_MK~BR_IT~SOCIAL_VV~NONE</v>
      </c>
      <c r="G47" t="str">
        <f t="shared" si="6"/>
        <v>431390361</v>
      </c>
      <c r="H47" t="str">
        <f t="shared" si="7"/>
        <v>Tracking</v>
      </c>
      <c r="I47">
        <f t="shared" si="8"/>
        <v>0</v>
      </c>
      <c r="J47">
        <f t="shared" si="9"/>
        <v>3542</v>
      </c>
      <c r="K47" s="4">
        <f t="shared" si="16"/>
        <v>3.5000000000000001E-3</v>
      </c>
      <c r="L47">
        <f t="shared" si="17"/>
        <v>0.02</v>
      </c>
      <c r="M47" s="4">
        <f t="shared" si="14"/>
        <v>12.397</v>
      </c>
      <c r="N47" s="4">
        <f t="shared" si="15"/>
        <v>70.84</v>
      </c>
    </row>
    <row r="48" spans="1:14">
      <c r="A48" t="str">
        <f t="shared" si="0"/>
        <v>MK~BR_CN~Causas_MN~CCV_YQ~19Q1Q4_CP~NONE_OB~LDS_PK~NONE</v>
      </c>
      <c r="B48" t="str">
        <f t="shared" si="1"/>
        <v>Google Brasil</v>
      </c>
      <c r="C48" t="str">
        <f t="shared" si="2"/>
        <v>CH~DISPLAY_DT~MULTI_PB~GDBM_FM~BANNER_RT~CPM_PD~CAUSAS_CADASTRE-SE_VISA_ICONES_120X600_120X600_TG~BHVDEM_TS~NONE_SZ~120X600_SOCIAL_MK~BR_IT~SOCIAL_VV~NONE</v>
      </c>
      <c r="D48" t="str">
        <f t="shared" si="3"/>
        <v>233800829</v>
      </c>
      <c r="E48" t="str">
        <f t="shared" si="4"/>
        <v>Standard</v>
      </c>
      <c r="F48" t="str">
        <f t="shared" si="5"/>
        <v>CH~DISPLAY_DT~MULTI_PB~GDBM_FM~BANNER_RT~CPM_PD~CAUSAS_CADASTRE-SE_VISA_ICONES_120X600_120X600_TG~BHVDEM_TS~NONE_SZ~120X600_SOCIAL_MK~BR_IT~SOCIAL_VV~NONE</v>
      </c>
      <c r="G48" t="str">
        <f t="shared" si="6"/>
        <v>431516400</v>
      </c>
      <c r="H48" t="str">
        <f t="shared" si="7"/>
        <v>Display</v>
      </c>
      <c r="I48">
        <f t="shared" si="8"/>
        <v>1788</v>
      </c>
      <c r="J48">
        <f t="shared" si="9"/>
        <v>0</v>
      </c>
      <c r="K48" s="4">
        <f t="shared" si="16"/>
        <v>3.8199999999999998E-2</v>
      </c>
      <c r="L48">
        <f t="shared" si="17"/>
        <v>0.09</v>
      </c>
      <c r="M48" s="4">
        <f t="shared" si="14"/>
        <v>6.830159999999999E-2</v>
      </c>
      <c r="N48" s="4">
        <f t="shared" si="15"/>
        <v>0.16091999999999998</v>
      </c>
    </row>
    <row r="49" spans="1:14">
      <c r="A49" t="str">
        <f t="shared" si="0"/>
        <v>MK~BR_CN~Causas_MN~CCV_YQ~19Q1Q4_CP~NONE_OB~LDS_PK~NONE</v>
      </c>
      <c r="B49" t="str">
        <f t="shared" si="1"/>
        <v>Google Brasil</v>
      </c>
      <c r="C49" t="str">
        <f t="shared" si="2"/>
        <v>CH~DISPLAY_DT~MULTI_PB~GDBM_FM~BANNER_RT~CPM_PD~CAUSAS_CADASTRE-SE_VISA_ICONES_160X600_160X600_TG~BHVDEM_TS~NONE_SZ~160X600_SOCIAL_MK~BR_IT~SOCIAL_VV~NONE</v>
      </c>
      <c r="D49" t="str">
        <f t="shared" si="3"/>
        <v>233800823</v>
      </c>
      <c r="E49" t="str">
        <f t="shared" si="4"/>
        <v>Default</v>
      </c>
      <c r="F49" t="str">
        <f t="shared" si="5"/>
        <v>160x600 Default Web Ad</v>
      </c>
      <c r="G49" t="str">
        <f t="shared" si="6"/>
        <v>431065207</v>
      </c>
      <c r="H49" t="str">
        <f t="shared" si="7"/>
        <v>Display</v>
      </c>
      <c r="I49">
        <f t="shared" si="8"/>
        <v>1</v>
      </c>
      <c r="J49">
        <f t="shared" si="9"/>
        <v>0</v>
      </c>
      <c r="K49" s="4">
        <f t="shared" si="16"/>
        <v>3.8199999999999998E-2</v>
      </c>
      <c r="L49">
        <f t="shared" si="17"/>
        <v>0.09</v>
      </c>
      <c r="M49" s="4">
        <f t="shared" si="14"/>
        <v>3.82E-5</v>
      </c>
      <c r="N49" s="4">
        <f t="shared" si="15"/>
        <v>8.9999999999999992E-5</v>
      </c>
    </row>
    <row r="50" spans="1:14">
      <c r="A50" t="str">
        <f t="shared" si="0"/>
        <v>MK~BR_CN~Causas_MN~CCV_YQ~19Q1Q4_CP~NONE_OB~LDS_PK~NONE</v>
      </c>
      <c r="B50" t="str">
        <f t="shared" si="1"/>
        <v>Google Brasil</v>
      </c>
      <c r="C50" t="str">
        <f t="shared" si="2"/>
        <v>CH~DISPLAY_DT~MULTI_PB~GDBM_FM~BANNER_RT~CPM_PD~CAUSAS_CADASTRE-SE_VISA_ICONES_160X600_160X600_TG~BHVDEM_TS~NONE_SZ~160X600_SOCIAL_MK~BR_IT~SOCIAL_VV~NONE</v>
      </c>
      <c r="D50" t="str">
        <f t="shared" si="3"/>
        <v>233800823</v>
      </c>
      <c r="E50" t="str">
        <f t="shared" si="4"/>
        <v>Standard</v>
      </c>
      <c r="F50" t="str">
        <f t="shared" si="5"/>
        <v>CH~DISPLAY_DT~MULTI_PB~GDBM_FM~BANNER_RT~CPM_PD~CAUSAS_CADASTRE-SE_VISA_ICONES_160X600_160X600_TG~BHVDEM_TS~NONE_SZ~160X600_SOCIAL_MK~BR_IT~SOCIAL_VV~NONE</v>
      </c>
      <c r="G50" t="str">
        <f t="shared" si="6"/>
        <v>431473400</v>
      </c>
      <c r="H50" t="str">
        <f t="shared" si="7"/>
        <v>Display</v>
      </c>
      <c r="I50">
        <f t="shared" si="8"/>
        <v>2398499</v>
      </c>
      <c r="J50">
        <f t="shared" si="9"/>
        <v>667</v>
      </c>
      <c r="K50" s="4">
        <f t="shared" si="16"/>
        <v>3.8199999999999998E-2</v>
      </c>
      <c r="L50">
        <f t="shared" si="17"/>
        <v>0.09</v>
      </c>
      <c r="M50" s="4">
        <f t="shared" si="14"/>
        <v>91.622661800000003</v>
      </c>
      <c r="N50" s="4">
        <f t="shared" si="15"/>
        <v>215.86491000000001</v>
      </c>
    </row>
    <row r="51" spans="1:14">
      <c r="A51" t="str">
        <f t="shared" si="0"/>
        <v>MK~BR_CN~Causas_MN~CCV_YQ~19Q1Q4_CP~NONE_OB~LDS_PK~NONE</v>
      </c>
      <c r="B51" t="str">
        <f t="shared" si="1"/>
        <v>Google Brasil</v>
      </c>
      <c r="C51" t="str">
        <f t="shared" si="2"/>
        <v>CH~DISPLAY_DT~MULTI_PB~GDBM_FM~BANNER_RT~CPM_PD~CAUSAS_CADASTRE-SE_VISA_ICONES_160X600_160X600_TG~BHVDEM_TS~NONE_SZ~160X600_SOCIAL_MK~BR_IT~SOCIAL_VV~NONE</v>
      </c>
      <c r="D51" t="str">
        <f t="shared" si="3"/>
        <v>233800823</v>
      </c>
      <c r="E51" t="str">
        <f t="shared" si="4"/>
        <v>Standard</v>
      </c>
      <c r="F51" t="str">
        <f t="shared" si="5"/>
        <v>CH~DISPLAY_DT~MULTI_PB~GDBM_FM~BANNER_RT~CPM_PD~CAUSAS_CADASTRE-SE_VISA_ICONES_160X600_160X600_TG~BHVDEM_TS~NONE_SZ~160X600_SOCIAL_MK~BR_IT~SOCIAL_VV~NONE</v>
      </c>
      <c r="G51" t="str">
        <f t="shared" si="6"/>
        <v>431473400</v>
      </c>
      <c r="H51" t="str">
        <f t="shared" si="7"/>
        <v>Display</v>
      </c>
      <c r="I51">
        <f t="shared" si="8"/>
        <v>5</v>
      </c>
      <c r="J51">
        <f t="shared" si="9"/>
        <v>0</v>
      </c>
      <c r="K51" s="4">
        <f t="shared" si="16"/>
        <v>3.8199999999999998E-2</v>
      </c>
      <c r="L51">
        <f t="shared" si="17"/>
        <v>0.09</v>
      </c>
      <c r="M51" s="4">
        <f t="shared" si="14"/>
        <v>1.9100000000000001E-4</v>
      </c>
      <c r="N51" s="4">
        <f t="shared" si="15"/>
        <v>4.4999999999999993E-4</v>
      </c>
    </row>
    <row r="52" spans="1:14">
      <c r="A52" t="str">
        <f t="shared" si="0"/>
        <v>MK~BR_CN~Causas_MN~CCV_YQ~19Q1Q4_CP~NONE_OB~LDS_PK~NONE</v>
      </c>
      <c r="B52" t="str">
        <f t="shared" si="1"/>
        <v>Google Brasil</v>
      </c>
      <c r="C52" t="str">
        <f t="shared" si="2"/>
        <v>CH~DISPLAY_DT~MULTI_PB~GDBM_FM~BANNER_RT~CPM_PD~CAUSAS_CADASTRE-SE_VISA_ICONES_300X250_300X250_TG~BHVDEM_TS~NONE_SZ~300X250_SOCIAL_MK~BR_IT~SOCIAL_VV~NONE</v>
      </c>
      <c r="D52" t="str">
        <f t="shared" si="3"/>
        <v>233800817</v>
      </c>
      <c r="E52" t="str">
        <f t="shared" si="4"/>
        <v>Standard</v>
      </c>
      <c r="F52" t="str">
        <f t="shared" si="5"/>
        <v>CH~DISPLAY_DT~MULTI_PB~GDBM_FM~BANNER_RT~CPM_PD~CAUSAS_CADASTRE-SE_VISA_ICONES_300X250_300X250_TG~BHVDEM_TS~NONE_SZ~300X250_SOCIAL_MK~BR_IT~SOCIAL_VV~NONE</v>
      </c>
      <c r="G52" t="str">
        <f t="shared" si="6"/>
        <v>431473388</v>
      </c>
      <c r="H52" t="str">
        <f t="shared" si="7"/>
        <v>Display</v>
      </c>
      <c r="I52">
        <f t="shared" si="8"/>
        <v>5732425</v>
      </c>
      <c r="J52">
        <f t="shared" si="9"/>
        <v>17381</v>
      </c>
      <c r="K52" s="4">
        <f t="shared" si="16"/>
        <v>3.8199999999999998E-2</v>
      </c>
      <c r="L52">
        <f t="shared" si="17"/>
        <v>0.09</v>
      </c>
      <c r="M52" s="4">
        <f t="shared" si="14"/>
        <v>218.97863499999997</v>
      </c>
      <c r="N52" s="4">
        <f t="shared" si="15"/>
        <v>515.91824999999994</v>
      </c>
    </row>
    <row r="53" spans="1:14">
      <c r="A53" t="str">
        <f t="shared" si="0"/>
        <v>MK~BR_CN~Causas_MN~CCV_YQ~19Q1Q4_CP~NONE_OB~LDS_PK~NONE</v>
      </c>
      <c r="B53" t="str">
        <f t="shared" si="1"/>
        <v>Google Brasil</v>
      </c>
      <c r="C53" t="str">
        <f t="shared" si="2"/>
        <v>CH~DISPLAY_DT~MULTI_PB~GDBM_FM~BANNER_RT~CPM_PD~CAUSAS_CADASTRE-SE_VISA_ICONES_300X250_300X250_TG~BHVDEM_TS~NONE_SZ~300X250_SOCIAL_MK~BR_IT~SOCIAL_VV~NONE</v>
      </c>
      <c r="D53" t="str">
        <f t="shared" si="3"/>
        <v>233800817</v>
      </c>
      <c r="E53" t="str">
        <f t="shared" si="4"/>
        <v>Standard</v>
      </c>
      <c r="F53" t="str">
        <f t="shared" si="5"/>
        <v>CH~DISPLAY_DT~MULTI_PB~GDBM_FM~BANNER_RT~CPM_PD~CAUSAS_CADASTRE-SE_VISA_ICONES_300X250_300X250_TG~BHVDEM_TS~NONE_SZ~300X250_SOCIAL_MK~BR_IT~SOCIAL_VV~NONE</v>
      </c>
      <c r="G53" t="str">
        <f t="shared" si="6"/>
        <v>431473388</v>
      </c>
      <c r="H53" t="str">
        <f t="shared" si="7"/>
        <v>Display</v>
      </c>
      <c r="I53">
        <f t="shared" si="8"/>
        <v>28</v>
      </c>
      <c r="J53">
        <f t="shared" si="9"/>
        <v>2</v>
      </c>
      <c r="K53" s="4">
        <f t="shared" si="16"/>
        <v>3.8199999999999998E-2</v>
      </c>
      <c r="L53">
        <f t="shared" si="17"/>
        <v>0.09</v>
      </c>
      <c r="M53" s="4">
        <f t="shared" si="14"/>
        <v>1.0696E-3</v>
      </c>
      <c r="N53" s="4">
        <f t="shared" si="15"/>
        <v>2.5200000000000001E-3</v>
      </c>
    </row>
    <row r="54" spans="1:14">
      <c r="A54" t="str">
        <f t="shared" si="0"/>
        <v>MK~BR_CN~Causas_MN~CCV_YQ~19Q1Q4_CP~NONE_OB~LDS_PK~NONE</v>
      </c>
      <c r="B54" t="str">
        <f t="shared" si="1"/>
        <v>Google Brasil</v>
      </c>
      <c r="C54" t="str">
        <f t="shared" si="2"/>
        <v>CH~DISPLAY_DT~MULTI_PB~GDBM_FM~BANNER_RT~CPM_PD~CAUSAS_CADASTRE-SE_VISA_ICONES_300X50_300X50_TG~BHVDEM_TS~NONE_SZ~300X50_SOCIAL_MK~BR_IT~SOCIAL_VV~NONE</v>
      </c>
      <c r="D54" t="str">
        <f t="shared" si="3"/>
        <v>233800820</v>
      </c>
      <c r="E54" t="str">
        <f t="shared" si="4"/>
        <v>Standard</v>
      </c>
      <c r="F54" t="str">
        <f t="shared" si="5"/>
        <v>CH~DISPLAY_DT~MULTI_PB~GDBM_FM~BANNER_RT~CPM_PD~CAUSAS_CADASTRE-SE_VISA_ICONES_300X50_300X50_TG~BHVDEM_TS~NONE_SZ~300X50_SOCIAL_MK~BR_IT~SOCIAL_VV~NONE</v>
      </c>
      <c r="G54" t="str">
        <f t="shared" si="6"/>
        <v>431473394</v>
      </c>
      <c r="H54" t="str">
        <f t="shared" si="7"/>
        <v>Display</v>
      </c>
      <c r="I54">
        <f t="shared" si="8"/>
        <v>847750</v>
      </c>
      <c r="J54">
        <f t="shared" si="9"/>
        <v>1454</v>
      </c>
      <c r="K54" s="4">
        <f t="shared" si="16"/>
        <v>3.8199999999999998E-2</v>
      </c>
      <c r="L54">
        <f t="shared" si="17"/>
        <v>0.09</v>
      </c>
      <c r="M54" s="4">
        <f t="shared" si="14"/>
        <v>32.384050000000002</v>
      </c>
      <c r="N54" s="4">
        <f t="shared" si="15"/>
        <v>76.297499999999999</v>
      </c>
    </row>
    <row r="55" spans="1:14">
      <c r="A55" t="str">
        <f t="shared" si="0"/>
        <v>MK~BR_CN~Causas_MN~CCV_YQ~19Q1Q4_CP~NONE_OB~LDS_PK~NONE</v>
      </c>
      <c r="B55" t="str">
        <f t="shared" si="1"/>
        <v>Google Brasil</v>
      </c>
      <c r="C55" t="str">
        <f t="shared" si="2"/>
        <v>CH~DISPLAY_DT~MULTI_PB~GDBM_FM~BANNER_RT~CPM_PD~CAUSAS_CADASTRE-SE_VISA_ICONES_300X50_300X50_TG~BHVDEM_TS~NONE_SZ~300X50_SOCIAL_MK~BR_IT~SOCIAL_VV~NONE</v>
      </c>
      <c r="D55" t="str">
        <f t="shared" si="3"/>
        <v>233800820</v>
      </c>
      <c r="E55" t="str">
        <f t="shared" si="4"/>
        <v>Standard</v>
      </c>
      <c r="F55" t="str">
        <f t="shared" si="5"/>
        <v>CH~DISPLAY_DT~MULTI_PB~GDBM_FM~BANNER_RT~CPM_PD~CAUSAS_CADASTRE-SE_VISA_ICONES_300X50_300X50_TG~BHVDEM_TS~NONE_SZ~300X50_SOCIAL_MK~BR_IT~SOCIAL_VV~NONE</v>
      </c>
      <c r="G55" t="str">
        <f t="shared" si="6"/>
        <v>431473394</v>
      </c>
      <c r="H55" t="str">
        <f t="shared" si="7"/>
        <v>Display</v>
      </c>
      <c r="I55">
        <f t="shared" si="8"/>
        <v>11</v>
      </c>
      <c r="J55">
        <f t="shared" si="9"/>
        <v>1</v>
      </c>
      <c r="K55" s="4">
        <f t="shared" si="16"/>
        <v>3.8199999999999998E-2</v>
      </c>
      <c r="L55">
        <f t="shared" si="17"/>
        <v>0.09</v>
      </c>
      <c r="M55" s="4">
        <f t="shared" si="14"/>
        <v>4.2019999999999997E-4</v>
      </c>
      <c r="N55" s="4">
        <f t="shared" si="15"/>
        <v>9.8999999999999999E-4</v>
      </c>
    </row>
    <row r="56" spans="1:14">
      <c r="A56" t="str">
        <f t="shared" si="0"/>
        <v>MK~BR_CN~Causas_MN~CCV_YQ~19Q1Q4_CP~NONE_OB~LDS_PK~NONE</v>
      </c>
      <c r="B56" t="str">
        <f t="shared" si="1"/>
        <v>Google Brasil</v>
      </c>
      <c r="C56" t="str">
        <f t="shared" si="2"/>
        <v>CH~DISPLAY_DT~MULTI_PB~GDBM_FM~BANNER_RT~CPM_PD~CAUSAS_CADASTRE-SE_VISA_ICONES_300X600_300X600_TG~BHVDEM_TS~NONE_SZ~300X600_SOCIAL_MK~BR_IT~SOCIAL_VV~NONE</v>
      </c>
      <c r="D56" t="str">
        <f t="shared" si="3"/>
        <v>233800814</v>
      </c>
      <c r="E56" t="str">
        <f t="shared" si="4"/>
        <v>Standard</v>
      </c>
      <c r="F56" t="str">
        <f t="shared" si="5"/>
        <v>CH~DISPLAY_DT~MULTI_PB~GDBM_FM~BANNER_RT~CPM_PD~CAUSAS_CADASTRE-SE_VISA_ICONES_300X600_300X600_TG~BHVDEM_TS~NONE_SZ~300X600_SOCIAL_MK~BR_IT~SOCIAL_VV~NONE</v>
      </c>
      <c r="G56" t="str">
        <f t="shared" si="6"/>
        <v>431473382</v>
      </c>
      <c r="H56" t="str">
        <f t="shared" si="7"/>
        <v>Display</v>
      </c>
      <c r="I56">
        <f t="shared" si="8"/>
        <v>74585</v>
      </c>
      <c r="J56">
        <f t="shared" si="9"/>
        <v>1589</v>
      </c>
      <c r="K56" s="4">
        <f t="shared" si="16"/>
        <v>3.8199999999999998E-2</v>
      </c>
      <c r="L56">
        <f t="shared" si="17"/>
        <v>0.09</v>
      </c>
      <c r="M56" s="4">
        <f t="shared" si="14"/>
        <v>2.8491469999999999</v>
      </c>
      <c r="N56" s="4">
        <f t="shared" si="15"/>
        <v>6.71265</v>
      </c>
    </row>
    <row r="57" spans="1:14">
      <c r="A57" t="str">
        <f t="shared" si="0"/>
        <v>MK~BR_CN~Causas_MN~CCV_YQ~19Q1Q4_CP~NONE_OB~LDS_PK~NONE</v>
      </c>
      <c r="B57" t="str">
        <f t="shared" si="1"/>
        <v>Google Brasil</v>
      </c>
      <c r="C57" t="str">
        <f t="shared" si="2"/>
        <v>CH~DISPLAY_DT~MULTI_PB~GDBM_FM~BANNER_RT~CPM_PD~CAUSAS_CADASTRE-SE_VISA_ICONES_300X600_300X600_TG~BHVDEM_TS~NONE_SZ~300X600_SOCIAL_MK~BR_IT~SOCIAL_VV~NONE</v>
      </c>
      <c r="D57" t="str">
        <f t="shared" si="3"/>
        <v>233800814</v>
      </c>
      <c r="E57" t="str">
        <f t="shared" si="4"/>
        <v>Standard</v>
      </c>
      <c r="F57" t="str">
        <f t="shared" si="5"/>
        <v>CH~DISPLAY_DT~MULTI_PB~GDBM_FM~BANNER_RT~CPM_PD~CAUSAS_CADASTRE-SE_VISA_ICONES_300X600_300X600_TG~BHVDEM_TS~NONE_SZ~300X600_SOCIAL_MK~BR_IT~SOCIAL_VV~NONE</v>
      </c>
      <c r="G57" t="str">
        <f t="shared" si="6"/>
        <v>431473382</v>
      </c>
      <c r="H57" t="str">
        <f t="shared" si="7"/>
        <v>Display</v>
      </c>
      <c r="I57">
        <f t="shared" si="8"/>
        <v>0</v>
      </c>
      <c r="J57">
        <f t="shared" si="9"/>
        <v>3</v>
      </c>
      <c r="K57" s="4">
        <f t="shared" si="16"/>
        <v>3.8199999999999998E-2</v>
      </c>
      <c r="L57">
        <f t="shared" si="17"/>
        <v>0.09</v>
      </c>
      <c r="M57" s="4">
        <f t="shared" si="14"/>
        <v>0</v>
      </c>
      <c r="N57" s="4">
        <f t="shared" si="15"/>
        <v>0</v>
      </c>
    </row>
    <row r="58" spans="1:14">
      <c r="A58" t="str">
        <f t="shared" si="0"/>
        <v>MK~BR_CN~Causas_MN~CCV_YQ~19Q1Q4_CP~NONE_OB~LDS_PK~NONE</v>
      </c>
      <c r="B58" t="str">
        <f t="shared" si="1"/>
        <v>Google Brasil</v>
      </c>
      <c r="C58" t="str">
        <f t="shared" si="2"/>
        <v>CH~DISPLAY_DT~MULTI_PB~GDBM_FM~BANNER_RT~CPM_PD~CAUSAS_CADASTRE-SE_VISA_ICONES_320X50_320X50_TG~BHVDEM_TS~NONE_SZ~320X50_SOCIAL_MK~BR_IT~SOCIAL_VV~NONE</v>
      </c>
      <c r="D58" t="str">
        <f t="shared" si="3"/>
        <v>233800811</v>
      </c>
      <c r="E58" t="str">
        <f t="shared" si="4"/>
        <v>Standard</v>
      </c>
      <c r="F58" t="str">
        <f t="shared" si="5"/>
        <v>CH~DISPLAY_DT~MULTI_PB~GDBM_FM~BANNER_RT~CPM_PD~CAUSAS_CADASTRE-SE_VISA_ICONES_320X50_320X50_TG~BHVDEM_TS~NONE_SZ~320X50_SOCIAL_MK~BR_IT~SOCIAL_VV~NONE</v>
      </c>
      <c r="G58" t="str">
        <f t="shared" si="6"/>
        <v>431473376</v>
      </c>
      <c r="H58" t="str">
        <f t="shared" si="7"/>
        <v>Display</v>
      </c>
      <c r="I58">
        <f t="shared" si="8"/>
        <v>17724725</v>
      </c>
      <c r="J58">
        <f t="shared" si="9"/>
        <v>100420</v>
      </c>
      <c r="K58" s="4">
        <f t="shared" si="16"/>
        <v>3.8199999999999998E-2</v>
      </c>
      <c r="L58">
        <f t="shared" si="17"/>
        <v>0.09</v>
      </c>
      <c r="M58" s="4">
        <f t="shared" si="14"/>
        <v>677.08449499999995</v>
      </c>
      <c r="N58" s="4">
        <f t="shared" si="15"/>
        <v>1595.22525</v>
      </c>
    </row>
    <row r="59" spans="1:14">
      <c r="A59" t="str">
        <f t="shared" si="0"/>
        <v>MK~BR_CN~Causas_MN~CCV_YQ~19Q1Q4_CP~NONE_OB~LDS_PK~NONE</v>
      </c>
      <c r="B59" t="str">
        <f t="shared" si="1"/>
        <v>Google Brasil</v>
      </c>
      <c r="C59" t="str">
        <f t="shared" si="2"/>
        <v>CH~DISPLAY_DT~MULTI_PB~GDBM_FM~BANNER_RT~CPM_PD~CAUSAS_CADASTRE-SE_VISA_ICONES_320X50_320X50_TG~BHVDEM_TS~NONE_SZ~320X50_SOCIAL_MK~BR_IT~SOCIAL_VV~NONE</v>
      </c>
      <c r="D59" t="str">
        <f t="shared" si="3"/>
        <v>233800811</v>
      </c>
      <c r="E59" t="str">
        <f t="shared" si="4"/>
        <v>Standard</v>
      </c>
      <c r="F59" t="str">
        <f t="shared" si="5"/>
        <v>CH~DISPLAY_DT~MULTI_PB~GDBM_FM~BANNER_RT~CPM_PD~CAUSAS_CADASTRE-SE_VISA_ICONES_320X50_320X50_TG~BHVDEM_TS~NONE_SZ~320X50_SOCIAL_MK~BR_IT~SOCIAL_VV~NONE</v>
      </c>
      <c r="G59" t="str">
        <f t="shared" si="6"/>
        <v>431473376</v>
      </c>
      <c r="H59" t="str">
        <f t="shared" si="7"/>
        <v>Display</v>
      </c>
      <c r="I59">
        <f t="shared" si="8"/>
        <v>47</v>
      </c>
      <c r="J59">
        <f t="shared" si="9"/>
        <v>18</v>
      </c>
      <c r="K59" s="4">
        <f t="shared" si="16"/>
        <v>3.8199999999999998E-2</v>
      </c>
      <c r="L59">
        <f t="shared" si="17"/>
        <v>0.09</v>
      </c>
      <c r="M59" s="4">
        <f t="shared" si="14"/>
        <v>1.7953999999999999E-3</v>
      </c>
      <c r="N59" s="4">
        <f t="shared" si="15"/>
        <v>4.2299999999999994E-3</v>
      </c>
    </row>
    <row r="60" spans="1:14">
      <c r="A60" t="str">
        <f t="shared" si="0"/>
        <v>MK~BR_CN~Causas_MN~CCV_YQ~19Q1Q4_CP~NONE_OB~LDS_PK~NONE</v>
      </c>
      <c r="B60" t="str">
        <f t="shared" si="1"/>
        <v>Google Brasil</v>
      </c>
      <c r="C60" t="str">
        <f t="shared" si="2"/>
        <v>CH~DISPLAY_DT~MULTI_PB~GDBM_FM~BANNER_RT~CPM_PD~CAUSAS_CADASTRE-SE_VISA_ICONES_728X90_728X90_TG~BHVDEM_TS~NONE_SZ~728X90_SOCIAL_MK~BR_IT~SOCIAL_VV~NONE</v>
      </c>
      <c r="D60" t="str">
        <f t="shared" si="3"/>
        <v>233800808</v>
      </c>
      <c r="E60" t="str">
        <f t="shared" si="4"/>
        <v>Standard</v>
      </c>
      <c r="F60" t="str">
        <f t="shared" si="5"/>
        <v>CH~DISPLAY_DT~MULTI_PB~GDBM_FM~BANNER_RT~CPM_PD~CAUSAS_CADASTRE-SE_VISA_ICONES_728X90_728X90_TG~BHVDEM_TS~NONE_SZ~728X90_SOCIAL_MK~BR_IT~SOCIAL_VV~NONE</v>
      </c>
      <c r="G60" t="str">
        <f t="shared" si="6"/>
        <v>431473370</v>
      </c>
      <c r="H60" t="str">
        <f t="shared" si="7"/>
        <v>Display</v>
      </c>
      <c r="I60">
        <f t="shared" si="8"/>
        <v>2054582</v>
      </c>
      <c r="J60">
        <f t="shared" si="9"/>
        <v>1135</v>
      </c>
      <c r="K60" s="4">
        <f t="shared" si="16"/>
        <v>3.8199999999999998E-2</v>
      </c>
      <c r="L60">
        <f t="shared" si="17"/>
        <v>0.09</v>
      </c>
      <c r="M60" s="4">
        <f t="shared" si="14"/>
        <v>78.485032399999994</v>
      </c>
      <c r="N60" s="4">
        <f t="shared" si="15"/>
        <v>184.91238000000001</v>
      </c>
    </row>
    <row r="61" spans="1:14">
      <c r="A61" t="str">
        <f t="shared" si="0"/>
        <v>MK~BR_CN~Causas_MN~CCV_YQ~19Q1Q4_CP~NONE_OB~LDS_PK~NONE</v>
      </c>
      <c r="B61" t="str">
        <f t="shared" si="1"/>
        <v>Google Brasil</v>
      </c>
      <c r="C61" t="str">
        <f t="shared" si="2"/>
        <v>CH~DISPLAY_DT~MULTI_PB~GDBM_FM~BANNER_RT~CPM_PD~CAUSAS_CADASTRE-SE_VISA_ICONES_970X250_970X250_TG~BHVDEM_TS~NONE_SZ~970X250_SOCIAL_MK~BR_IT~SOCIAL_VV~NONE</v>
      </c>
      <c r="D61" t="str">
        <f t="shared" si="3"/>
        <v>233800802</v>
      </c>
      <c r="E61" t="str">
        <f t="shared" si="4"/>
        <v>Standard</v>
      </c>
      <c r="F61" t="str">
        <f t="shared" si="5"/>
        <v>CH~DISPLAY_DT~MULTI_PB~GDBM_FM~BANNER_RT~CPM_PD~CAUSAS_CADASTRE-SE_VISA_ICONES_970X250_970X250_TG~BHVDEM_TS~NONE_SZ~970X250_SOCIAL_MK~BR_IT~SOCIAL_VV~NONE</v>
      </c>
      <c r="G61" t="str">
        <f t="shared" si="6"/>
        <v>431473355</v>
      </c>
      <c r="H61" t="str">
        <f t="shared" si="7"/>
        <v>Display</v>
      </c>
      <c r="I61">
        <f t="shared" si="8"/>
        <v>13218</v>
      </c>
      <c r="J61">
        <f t="shared" si="9"/>
        <v>11</v>
      </c>
      <c r="K61" s="4">
        <f t="shared" si="16"/>
        <v>3.8199999999999998E-2</v>
      </c>
      <c r="L61">
        <f t="shared" si="17"/>
        <v>0.09</v>
      </c>
      <c r="M61" s="4">
        <f t="shared" si="14"/>
        <v>0.50492760000000003</v>
      </c>
      <c r="N61" s="4">
        <f t="shared" si="15"/>
        <v>1.1896199999999999</v>
      </c>
    </row>
    <row r="62" spans="1:14">
      <c r="A62" t="str">
        <f t="shared" si="0"/>
        <v>MK~BR_CN~Causas_MN~CCV_YQ~19Q1Q4_CP~NONE_OB~LDS_PK~NONE</v>
      </c>
      <c r="B62" t="str">
        <f t="shared" si="1"/>
        <v>Google Brasil</v>
      </c>
      <c r="C62" t="str">
        <f t="shared" si="2"/>
        <v>CH~DISPLAY_DT~MULTI_PB~GDBM_FM~BANNER_RT~CPM_PD~CAUSAS_CADASTRE-SE_VISA_ICONES_970X90_970X90_TG~BHVDEM_TS~NONE_SZ~970X90_SOCIAL_MK~BR_IT~SOCIAL_VV~NONE</v>
      </c>
      <c r="D62" t="str">
        <f t="shared" si="3"/>
        <v>233800805</v>
      </c>
      <c r="E62" t="str">
        <f t="shared" si="4"/>
        <v>Standard</v>
      </c>
      <c r="F62" t="str">
        <f t="shared" si="5"/>
        <v>CH~DISPLAY_DT~MULTI_PB~GDBM_FM~BANNER_RT~CPM_PD~CAUSAS_CADASTRE-SE_VISA_ICONES_970X90_970X90_TG~BHVDEM_TS~NONE_SZ~970X90_SOCIAL_MK~BR_IT~SOCIAL_VV~NONE</v>
      </c>
      <c r="G62" t="str">
        <f t="shared" si="6"/>
        <v>431473364</v>
      </c>
      <c r="H62" t="str">
        <f t="shared" si="7"/>
        <v>Display</v>
      </c>
      <c r="I62">
        <f t="shared" si="8"/>
        <v>634681</v>
      </c>
      <c r="J62">
        <f t="shared" si="9"/>
        <v>260</v>
      </c>
      <c r="K62" s="4">
        <f t="shared" si="16"/>
        <v>3.8199999999999998E-2</v>
      </c>
      <c r="L62">
        <f t="shared" si="17"/>
        <v>0.09</v>
      </c>
      <c r="M62" s="4">
        <f t="shared" si="14"/>
        <v>24.244814199999997</v>
      </c>
      <c r="N62" s="4">
        <f t="shared" si="15"/>
        <v>57.121290000000002</v>
      </c>
    </row>
    <row r="63" spans="1:14">
      <c r="A63" t="str">
        <f t="shared" si="0"/>
        <v>MK~BR_CN~Causas_MN~CCV_YQ~19Q1Q4_CP~NONE_OB~LDS_PK~NONE</v>
      </c>
      <c r="B63" t="str">
        <f t="shared" si="1"/>
        <v>Google Brasil</v>
      </c>
      <c r="C63" t="str">
        <f t="shared" si="2"/>
        <v>CH~DISPLAY_DT~MULTI_PB~GDBM_FM~BANNER_RT~CPM_PD~CAUSAS_CADASTRE_SE_TINTURA_120X600_120X600_TG~BHVDEM_TS~NONE_SZ~120X600_SOCIAL_MK~BR_IT~SOCIAL_VV~NONE</v>
      </c>
      <c r="D63" t="str">
        <f t="shared" si="3"/>
        <v>233318416</v>
      </c>
      <c r="E63" t="str">
        <f t="shared" si="4"/>
        <v>Standard</v>
      </c>
      <c r="F63" t="str">
        <f t="shared" si="5"/>
        <v>CH~DISPLAY_DT~MULTI_PB~GDBM_FM~BANNER_RT~CPM_PD~CAUSAS_CADASTRE_SE_TINTURA_120X600_120X600_TG~BHVDEM_TS~NONE_SZ~120X600_SOCIAL_MK~BR_IT~SOCIAL_VV~NONE</v>
      </c>
      <c r="G63" t="str">
        <f t="shared" si="6"/>
        <v>430986707</v>
      </c>
      <c r="H63" t="str">
        <f t="shared" si="7"/>
        <v>Display</v>
      </c>
      <c r="I63">
        <f t="shared" si="8"/>
        <v>255741</v>
      </c>
      <c r="J63">
        <f t="shared" si="9"/>
        <v>68</v>
      </c>
      <c r="K63" s="4">
        <f t="shared" si="16"/>
        <v>3.8199999999999998E-2</v>
      </c>
      <c r="L63">
        <f t="shared" si="17"/>
        <v>0.09</v>
      </c>
      <c r="M63" s="4">
        <f t="shared" si="14"/>
        <v>9.7693061999999991</v>
      </c>
      <c r="N63" s="4">
        <f t="shared" si="15"/>
        <v>23.016689999999997</v>
      </c>
    </row>
    <row r="64" spans="1:14">
      <c r="A64" t="str">
        <f t="shared" si="0"/>
        <v>MK~BR_CN~Causas_MN~CCV_YQ~19Q1Q4_CP~NONE_OB~LDS_PK~NONE</v>
      </c>
      <c r="B64" t="str">
        <f t="shared" si="1"/>
        <v>Google Brasil</v>
      </c>
      <c r="C64" t="str">
        <f t="shared" si="2"/>
        <v>CH~DISPLAY_DT~MULTI_PB~GDBM_FM~BANNER_RT~CPM_PD~CAUSAS_CADASTRE_SE_TINTURA_160X600_160X600_TG~BHVDEM_TS~NONE_SZ~160X600_SOCIAL_MK~BR_IT~SOCIAL_VV~NONE</v>
      </c>
      <c r="D64" t="str">
        <f t="shared" si="3"/>
        <v>233318410</v>
      </c>
      <c r="E64" t="str">
        <f t="shared" si="4"/>
        <v>Standard</v>
      </c>
      <c r="F64" t="str">
        <f t="shared" si="5"/>
        <v>CH~DISPLAY_DT~MULTI_PB~GDBM_FM~BANNER_RT~CPM_PD~CAUSAS_CADASTRE_SE_TINTURA_160X600_160X600_TG~BHVDEM_TS~NONE_SZ~160X600_SOCIAL_MK~BR_IT~SOCIAL_VV~NONE</v>
      </c>
      <c r="G64" t="str">
        <f t="shared" si="6"/>
        <v>430986710</v>
      </c>
      <c r="H64" t="str">
        <f t="shared" si="7"/>
        <v>Display</v>
      </c>
      <c r="I64">
        <f t="shared" si="8"/>
        <v>1186386</v>
      </c>
      <c r="J64">
        <f t="shared" si="9"/>
        <v>399</v>
      </c>
      <c r="K64" s="4">
        <f t="shared" si="16"/>
        <v>3.8199999999999998E-2</v>
      </c>
      <c r="L64">
        <f t="shared" si="17"/>
        <v>0.09</v>
      </c>
      <c r="M64" s="4">
        <f t="shared" si="14"/>
        <v>45.319945199999992</v>
      </c>
      <c r="N64" s="4">
        <f t="shared" si="15"/>
        <v>106.77473999999999</v>
      </c>
    </row>
    <row r="65" spans="1:14">
      <c r="A65" t="str">
        <f t="shared" si="0"/>
        <v>MK~BR_CN~Causas_MN~CCV_YQ~19Q1Q4_CP~NONE_OB~LDS_PK~NONE</v>
      </c>
      <c r="B65" t="str">
        <f t="shared" si="1"/>
        <v>Google Brasil</v>
      </c>
      <c r="C65" t="str">
        <f t="shared" si="2"/>
        <v>CH~DISPLAY_DT~MULTI_PB~GDBM_FM~BANNER_RT~CPM_PD~CAUSAS_CADASTRE_SE_TINTURA_300X250_300X250_TG~BHVDEM_TS~NONE_SZ~300X250_SOCIAL_MK~BR_IT~SOCIAL_VV~NONE</v>
      </c>
      <c r="D65" t="str">
        <f t="shared" si="3"/>
        <v>233318398</v>
      </c>
      <c r="E65" t="str">
        <f t="shared" si="4"/>
        <v>Standard</v>
      </c>
      <c r="F65" t="str">
        <f t="shared" si="5"/>
        <v>CH~DISPLAY_DT~MULTI_PB~GDBM_FM~BANNER_RT~CPM_PD~CAUSAS_CADASTRE_SE_TINTURA_300X250_300X250_TG~BHVDEM_TS~NONE_SZ~300X250_SOCIAL_MK~BR_IT~SOCIAL_VV~NONE</v>
      </c>
      <c r="G65" t="str">
        <f t="shared" si="6"/>
        <v>430986716</v>
      </c>
      <c r="H65" t="str">
        <f t="shared" si="7"/>
        <v>Display</v>
      </c>
      <c r="I65">
        <f t="shared" si="8"/>
        <v>8652209</v>
      </c>
      <c r="J65">
        <f t="shared" si="9"/>
        <v>48788</v>
      </c>
      <c r="K65" s="4">
        <f t="shared" si="16"/>
        <v>3.8199999999999998E-2</v>
      </c>
      <c r="L65">
        <f t="shared" si="17"/>
        <v>0.09</v>
      </c>
      <c r="M65" s="4">
        <f t="shared" si="14"/>
        <v>330.51438379999996</v>
      </c>
      <c r="N65" s="4">
        <f t="shared" si="15"/>
        <v>778.69880999999998</v>
      </c>
    </row>
    <row r="66" spans="1:14">
      <c r="A66" t="str">
        <f t="shared" ref="A66:A129" si="18">bd_campaign</f>
        <v>MK~BR_CN~Causas_MN~CCV_YQ~19Q1Q4_CP~NONE_OB~LDS_PK~NONE</v>
      </c>
      <c r="B66" t="str">
        <f t="shared" ref="B66:B129" si="19">bd_site</f>
        <v>Google Brasil</v>
      </c>
      <c r="C66" t="str">
        <f t="shared" ref="C66:C129" si="20">bd_placement</f>
        <v>CH~DISPLAY_DT~MULTI_PB~GDBM_FM~BANNER_RT~CPM_PD~CAUSAS_CADASTRE_SE_TINTURA_300X250_300X250_TG~BHVDEM_TS~NONE_SZ~300X250_SOCIAL_MK~BR_IT~SOCIAL_VV~NONE</v>
      </c>
      <c r="D66" t="str">
        <f t="shared" ref="D66:D129" si="21">bd_placementID</f>
        <v>233318398</v>
      </c>
      <c r="E66" t="str">
        <f t="shared" ref="E66:E129" si="22">VLOOKUP(CONCATENATE(bd_adtype,"_",bd_creativetype),tabela,2,FALSE)</f>
        <v>Standard</v>
      </c>
      <c r="F66" t="str">
        <f t="shared" ref="F66:F129" si="23">bd_ad</f>
        <v>CH~DISPLAY_DT~MULTI_PB~GDBM_FM~BANNER_RT~CPM_PD~CAUSAS_CADASTRE_SE_TINTURA_300X250_300X250_TG~BHVDEM_TS~NONE_SZ~300X250_SOCIAL_MK~BR_IT~SOCIAL_VV~NONE</v>
      </c>
      <c r="G66" t="str">
        <f t="shared" ref="G66:G129" si="24">bd_adid</f>
        <v>430986716</v>
      </c>
      <c r="H66" t="str">
        <f t="shared" ref="H66:H129" si="25">bd_creativetype</f>
        <v>Display</v>
      </c>
      <c r="I66">
        <f t="shared" ref="I66:I129" si="26">bd_impression</f>
        <v>0</v>
      </c>
      <c r="J66">
        <f t="shared" ref="J66:J129" si="27">bd_clicks</f>
        <v>1</v>
      </c>
      <c r="K66" s="4">
        <f t="shared" si="16"/>
        <v>3.8199999999999998E-2</v>
      </c>
      <c r="L66">
        <f t="shared" si="17"/>
        <v>0.09</v>
      </c>
      <c r="M66" s="4">
        <f t="shared" si="14"/>
        <v>0</v>
      </c>
      <c r="N66" s="4">
        <f t="shared" si="15"/>
        <v>0</v>
      </c>
    </row>
    <row r="67" spans="1:14">
      <c r="A67" t="str">
        <f t="shared" si="18"/>
        <v>MK~BR_CN~Causas_MN~CCV_YQ~19Q1Q4_CP~NONE_OB~LDS_PK~NONE</v>
      </c>
      <c r="B67" t="str">
        <f t="shared" si="19"/>
        <v>Google Brasil</v>
      </c>
      <c r="C67" t="str">
        <f t="shared" si="20"/>
        <v>CH~DISPLAY_DT~MULTI_PB~GDBM_FM~BANNER_RT~CPM_PD~CAUSAS_CADASTRE_SE_TINTURA_300X50_300X50_TG~BHVDEM_TS~NONE_SZ~300X50_SOCIAL_MK~BR_IT~SOCIAL_VV~NONE</v>
      </c>
      <c r="D67" t="str">
        <f t="shared" si="21"/>
        <v>233318404</v>
      </c>
      <c r="E67" t="str">
        <f t="shared" si="22"/>
        <v>Standard</v>
      </c>
      <c r="F67" t="str">
        <f t="shared" si="23"/>
        <v>CH~DISPLAY_DT~MULTI_PB~GDBM_FM~BANNER_RT~CPM_PD~CAUSAS_CADASTRE_SE_TINTURA_300X50_300X50_TG~BHVDEM_TS~NONE_SZ~300X50_SOCIAL_MK~BR_IT~SOCIAL_VV~NONE</v>
      </c>
      <c r="G67" t="str">
        <f t="shared" si="24"/>
        <v>430986713</v>
      </c>
      <c r="H67" t="str">
        <f t="shared" si="25"/>
        <v>Display</v>
      </c>
      <c r="I67">
        <f t="shared" si="26"/>
        <v>1023497</v>
      </c>
      <c r="J67">
        <f t="shared" si="27"/>
        <v>1602</v>
      </c>
      <c r="K67" s="4">
        <f t="shared" si="16"/>
        <v>3.8199999999999998E-2</v>
      </c>
      <c r="L67">
        <f t="shared" si="17"/>
        <v>0.09</v>
      </c>
      <c r="M67" s="4">
        <f t="shared" si="14"/>
        <v>39.0975854</v>
      </c>
      <c r="N67" s="4">
        <f t="shared" si="15"/>
        <v>92.114729999999994</v>
      </c>
    </row>
    <row r="68" spans="1:14">
      <c r="A68" t="str">
        <f t="shared" si="18"/>
        <v>MK~BR_CN~Causas_MN~CCV_YQ~19Q1Q4_CP~NONE_OB~LDS_PK~NONE</v>
      </c>
      <c r="B68" t="str">
        <f t="shared" si="19"/>
        <v>Google Brasil</v>
      </c>
      <c r="C68" t="str">
        <f t="shared" si="20"/>
        <v>CH~DISPLAY_DT~MULTI_PB~GDBM_FM~BANNER_RT~CPM_PD~CAUSAS_CADASTRE_SE_TINTURA_300X600_300X600_TG~BHVDEM_TS~NONE_SZ~300X600_SOCIAL_MK~BR_IT~SOCIAL_VV~NONE</v>
      </c>
      <c r="D68" t="str">
        <f t="shared" si="21"/>
        <v>233318392</v>
      </c>
      <c r="E68" t="str">
        <f t="shared" si="22"/>
        <v>Standard</v>
      </c>
      <c r="F68" t="str">
        <f t="shared" si="23"/>
        <v>CH~DISPLAY_DT~MULTI_PB~GDBM_FM~BANNER_RT~CPM_PD~CAUSAS_CADASTRE_SE_TINTURA_300X600_300X600_TG~BHVDEM_TS~NONE_SZ~300X600_SOCIAL_MK~BR_IT~SOCIAL_VV~NONE</v>
      </c>
      <c r="G68" t="str">
        <f t="shared" si="24"/>
        <v>430986719</v>
      </c>
      <c r="H68" t="str">
        <f t="shared" si="25"/>
        <v>Display</v>
      </c>
      <c r="I68">
        <f t="shared" si="26"/>
        <v>536180</v>
      </c>
      <c r="J68">
        <f t="shared" si="27"/>
        <v>585</v>
      </c>
      <c r="K68" s="4">
        <f t="shared" si="16"/>
        <v>3.8199999999999998E-2</v>
      </c>
      <c r="L68">
        <f t="shared" si="17"/>
        <v>0.09</v>
      </c>
      <c r="M68" s="4">
        <f t="shared" si="14"/>
        <v>20.482075999999996</v>
      </c>
      <c r="N68" s="4">
        <f t="shared" si="15"/>
        <v>48.2562</v>
      </c>
    </row>
    <row r="69" spans="1:14">
      <c r="A69" t="str">
        <f t="shared" si="18"/>
        <v>MK~BR_CN~Causas_MN~CCV_YQ~19Q1Q4_CP~NONE_OB~LDS_PK~NONE</v>
      </c>
      <c r="B69" t="str">
        <f t="shared" si="19"/>
        <v>Google Brasil</v>
      </c>
      <c r="C69" t="str">
        <f t="shared" si="20"/>
        <v>CH~DISPLAY_DT~MULTI_PB~GDBM_FM~BANNER_RT~CPM_PD~CAUSAS_CADASTRE_SE_TINTURA_320X50_320X50_TG~BHVDEM_TS~NONE_SZ~320X50_SOCIAL_MK~BR_IT~SOCIAL_VV~NONE</v>
      </c>
      <c r="D69" t="str">
        <f t="shared" si="21"/>
        <v>233318389</v>
      </c>
      <c r="E69" t="str">
        <f t="shared" si="22"/>
        <v>Standard</v>
      </c>
      <c r="F69" t="str">
        <f t="shared" si="23"/>
        <v>CH~DISPLAY_DT~MULTI_PB~GDBM_FM~BANNER_RT~CPM_PD~CAUSAS_CADASTRE_SE_TINTURA_320X50_320X50_TG~BHVDEM_TS~NONE_SZ~320X50_SOCIAL_MK~BR_IT~SOCIAL_VV~NONE</v>
      </c>
      <c r="G69" t="str">
        <f t="shared" si="24"/>
        <v>430986722</v>
      </c>
      <c r="H69" t="str">
        <f t="shared" si="25"/>
        <v>Display</v>
      </c>
      <c r="I69">
        <f t="shared" si="26"/>
        <v>29472393</v>
      </c>
      <c r="J69">
        <f t="shared" si="27"/>
        <v>175213</v>
      </c>
      <c r="K69" s="4">
        <f t="shared" si="16"/>
        <v>3.8199999999999998E-2</v>
      </c>
      <c r="L69">
        <f t="shared" si="17"/>
        <v>0.09</v>
      </c>
      <c r="M69" s="4">
        <f t="shared" si="14"/>
        <v>1125.8454125999999</v>
      </c>
      <c r="N69" s="4">
        <f t="shared" si="15"/>
        <v>2652.5153700000001</v>
      </c>
    </row>
    <row r="70" spans="1:14">
      <c r="A70" t="str">
        <f t="shared" si="18"/>
        <v>MK~BR_CN~Causas_MN~CCV_YQ~19Q1Q4_CP~NONE_OB~LDS_PK~NONE</v>
      </c>
      <c r="B70" t="str">
        <f t="shared" si="19"/>
        <v>Google Brasil</v>
      </c>
      <c r="C70" t="str">
        <f t="shared" si="20"/>
        <v>CH~DISPLAY_DT~MULTI_PB~GDBM_FM~BANNER_RT~CPM_PD~CAUSAS_CADASTRE_SE_TINTURA_320X50_320X50_TG~BHVDEM_TS~NONE_SZ~320X50_SOCIAL_MK~BR_IT~SOCIAL_VV~NONE</v>
      </c>
      <c r="D70" t="str">
        <f t="shared" si="21"/>
        <v>233318389</v>
      </c>
      <c r="E70" t="str">
        <f t="shared" si="22"/>
        <v>Standard</v>
      </c>
      <c r="F70" t="str">
        <f t="shared" si="23"/>
        <v>CH~DISPLAY_DT~MULTI_PB~GDBM_FM~BANNER_RT~CPM_PD~CAUSAS_CADASTRE_SE_TINTURA_320X50_320X50_TG~BHVDEM_TS~NONE_SZ~320X50_SOCIAL_MK~BR_IT~SOCIAL_VV~NONE</v>
      </c>
      <c r="G70" t="str">
        <f t="shared" si="24"/>
        <v>430986722</v>
      </c>
      <c r="H70" t="str">
        <f t="shared" si="25"/>
        <v>Display</v>
      </c>
      <c r="I70">
        <f t="shared" si="26"/>
        <v>0</v>
      </c>
      <c r="J70">
        <f t="shared" si="27"/>
        <v>10</v>
      </c>
      <c r="K70" s="4">
        <f t="shared" si="16"/>
        <v>3.8199999999999998E-2</v>
      </c>
      <c r="L70">
        <f t="shared" si="17"/>
        <v>0.09</v>
      </c>
      <c r="M70" s="4">
        <f t="shared" si="14"/>
        <v>0</v>
      </c>
      <c r="N70" s="4">
        <f t="shared" si="15"/>
        <v>0</v>
      </c>
    </row>
    <row r="71" spans="1:14">
      <c r="A71" t="str">
        <f t="shared" si="18"/>
        <v>MK~BR_CN~Causas_MN~CCV_YQ~19Q1Q4_CP~NONE_OB~LDS_PK~NONE</v>
      </c>
      <c r="B71" t="str">
        <f t="shared" si="19"/>
        <v>Google Brasil</v>
      </c>
      <c r="C71" t="str">
        <f t="shared" si="20"/>
        <v>CH~DISPLAY_DT~MULTI_PB~GDBM_FM~BANNER_RT~CPM_PD~CAUSAS_CADASTRE_SE_TINTURA_728X90_728X90_TG~BHVDEM_TS~NONE_SZ~728X90_SOCIAL_MK~BR_IT~SOCIAL_VV~NONE</v>
      </c>
      <c r="D71" t="str">
        <f t="shared" si="21"/>
        <v>233318386</v>
      </c>
      <c r="E71" t="str">
        <f t="shared" si="22"/>
        <v>Standard</v>
      </c>
      <c r="F71" t="str">
        <f t="shared" si="23"/>
        <v>CH~DISPLAY_DT~MULTI_PB~GDBM_FM~BANNER_RT~CPM_PD~CAUSAS_CADASTRE_SE_TINTURA_728X90_728X90_TG~BHVDEM_TS~NONE_SZ~728X90_SOCIAL_MK~BR_IT~SOCIAL_VV~NONE</v>
      </c>
      <c r="G71" t="str">
        <f t="shared" si="24"/>
        <v>430986725</v>
      </c>
      <c r="H71" t="str">
        <f t="shared" si="25"/>
        <v>Display</v>
      </c>
      <c r="I71">
        <f t="shared" si="26"/>
        <v>3018775</v>
      </c>
      <c r="J71">
        <f t="shared" si="27"/>
        <v>1724</v>
      </c>
      <c r="K71" s="4">
        <f t="shared" si="16"/>
        <v>3.8199999999999998E-2</v>
      </c>
      <c r="L71">
        <f t="shared" si="17"/>
        <v>0.09</v>
      </c>
      <c r="M71" s="4">
        <f t="shared" si="14"/>
        <v>115.31720499999999</v>
      </c>
      <c r="N71" s="4">
        <f t="shared" si="15"/>
        <v>271.68975</v>
      </c>
    </row>
    <row r="72" spans="1:14">
      <c r="A72" t="str">
        <f t="shared" si="18"/>
        <v>MK~BR_CN~Causas_MN~CCV_YQ~19Q1Q4_CP~NONE_OB~LDS_PK~NONE</v>
      </c>
      <c r="B72" t="str">
        <f t="shared" si="19"/>
        <v>Google Brasil</v>
      </c>
      <c r="C72" t="str">
        <f t="shared" si="20"/>
        <v>CH~DISPLAY_DT~MULTI_PB~GDBM_FM~BANNER_RT~CPM_PD~CAUSAS_CADASTRE_SE_TINTURA_970X250_970X250_TG~BHVDEM_TS~NONE_SZ~970X250_SOCIAL_MK~BR_IT~SOCIAL_VV~NONE</v>
      </c>
      <c r="D72" t="str">
        <f t="shared" si="21"/>
        <v>233318380</v>
      </c>
      <c r="E72" t="str">
        <f t="shared" si="22"/>
        <v>Standard</v>
      </c>
      <c r="F72" t="str">
        <f t="shared" si="23"/>
        <v>CH~DISPLAY_DT~MULTI_PB~GDBM_FM~BANNER_RT~CPM_PD~CAUSAS_CADASTRE_SE_TINTURA_970X250_970X250_TG~BHVDEM_TS~NONE_SZ~970X250_SOCIAL_MK~BR_IT~SOCIAL_VV~NONE</v>
      </c>
      <c r="G72" t="str">
        <f t="shared" si="24"/>
        <v>430986728</v>
      </c>
      <c r="H72" t="str">
        <f t="shared" si="25"/>
        <v>Display</v>
      </c>
      <c r="I72">
        <f t="shared" si="26"/>
        <v>366522</v>
      </c>
      <c r="J72">
        <f t="shared" si="27"/>
        <v>405</v>
      </c>
      <c r="K72" s="4">
        <f t="shared" si="16"/>
        <v>3.8199999999999998E-2</v>
      </c>
      <c r="L72">
        <f t="shared" si="17"/>
        <v>0.09</v>
      </c>
      <c r="M72" s="4">
        <f t="shared" si="14"/>
        <v>14.001140399999999</v>
      </c>
      <c r="N72" s="4">
        <f t="shared" si="15"/>
        <v>32.986979999999996</v>
      </c>
    </row>
    <row r="73" spans="1:14">
      <c r="A73" t="str">
        <f t="shared" si="18"/>
        <v>MK~BR_CN~Causas_MN~CCV_YQ~19Q1Q4_CP~NONE_OB~LDS_PK~NONE</v>
      </c>
      <c r="B73" t="str">
        <f t="shared" si="19"/>
        <v>Google Brasil</v>
      </c>
      <c r="C73" t="str">
        <f t="shared" si="20"/>
        <v>CH~DISPLAY_DT~MULTI_PB~GDBM_FM~BANNER_RT~CPM_PD~CAUSAS_CADASTRE_SE_TINTURA_970X90_970X90_TG~BHVDEM_TS~NONE_SZ~970X90_SOCIAL_MK~BR_IT~SOCIAL_VV~NONE</v>
      </c>
      <c r="D73" t="str">
        <f t="shared" si="21"/>
        <v>233318383</v>
      </c>
      <c r="E73" t="str">
        <f t="shared" si="22"/>
        <v>Standard</v>
      </c>
      <c r="F73" t="str">
        <f t="shared" si="23"/>
        <v>CH~DISPLAY_DT~MULTI_PB~GDBM_FM~BANNER_RT~CPM_PD~CAUSAS_CADASTRE_SE_TINTURA_970X90_970X90_TG~BHVDEM_TS~NONE_SZ~970X90_SOCIAL_MK~BR_IT~SOCIAL_VV~NONE</v>
      </c>
      <c r="G73" t="str">
        <f t="shared" si="24"/>
        <v>431034078</v>
      </c>
      <c r="H73" t="str">
        <f t="shared" si="25"/>
        <v>Display</v>
      </c>
      <c r="I73">
        <f t="shared" si="26"/>
        <v>483597</v>
      </c>
      <c r="J73">
        <f t="shared" si="27"/>
        <v>212</v>
      </c>
      <c r="K73" s="4">
        <f t="shared" si="16"/>
        <v>3.8199999999999998E-2</v>
      </c>
      <c r="L73">
        <f t="shared" si="17"/>
        <v>0.09</v>
      </c>
      <c r="M73" s="4">
        <f t="shared" si="14"/>
        <v>18.473405400000001</v>
      </c>
      <c r="N73" s="4">
        <f t="shared" si="15"/>
        <v>43.523729999999993</v>
      </c>
    </row>
    <row r="74" spans="1:14">
      <c r="A74" t="str">
        <f t="shared" si="18"/>
        <v>MK~BR_CN~Causas_MN~CCV_YQ~19Q1Q4_CP~NONE_OB~LDS_PK~NONE</v>
      </c>
      <c r="B74" t="str">
        <f t="shared" si="19"/>
        <v>Google Brasil</v>
      </c>
      <c r="C74" t="str">
        <f t="shared" si="20"/>
        <v>CH~DISPLAY_DT~MULTI_PB~GDBM_FM~BANNER_RT~CPM_PD~CAUSAS_USE_MAIS_VISA_TINTURA_970X250_970X250_TG~BHVDEM_TS~NONE_SZ~970X250_SOCIAL_MK~BR_IT~SOCIAL_VV~NONE</v>
      </c>
      <c r="D74" t="str">
        <f t="shared" si="21"/>
        <v>233318353</v>
      </c>
      <c r="E74" t="str">
        <f t="shared" si="22"/>
        <v>Standard</v>
      </c>
      <c r="F74" t="str">
        <f t="shared" si="23"/>
        <v>CH~DISPLAY_DT~MULTI_PB~GDBM_FM~BANNER_RT~CPM_PD~CAUSAS_USE_MAIS_VISA_TINTURA_970X250_970X250_TG~BHVDEM_TS~NONE_SZ~970X250_SOCIAL_MK~BR_IT~SOCIAL_VV~NONE</v>
      </c>
      <c r="G74" t="str">
        <f t="shared" si="24"/>
        <v>430986749</v>
      </c>
      <c r="H74" t="str">
        <f t="shared" si="25"/>
        <v>Display</v>
      </c>
      <c r="I74">
        <f t="shared" si="26"/>
        <v>1</v>
      </c>
      <c r="J74">
        <f t="shared" si="27"/>
        <v>0</v>
      </c>
      <c r="K74" s="4">
        <f t="shared" si="16"/>
        <v>3.8199999999999998E-2</v>
      </c>
      <c r="L74">
        <f t="shared" si="17"/>
        <v>0.09</v>
      </c>
      <c r="M74" s="4">
        <f t="shared" si="14"/>
        <v>3.82E-5</v>
      </c>
      <c r="N74" s="4">
        <f t="shared" si="15"/>
        <v>8.9999999999999992E-5</v>
      </c>
    </row>
    <row r="75" spans="1:14">
      <c r="A75" t="str">
        <f t="shared" si="18"/>
        <v>MK~BR_CN~Causas_MN~CCV_YQ~19Q1Q4_CP~NONE_OB~LDS_PK~NONE</v>
      </c>
      <c r="B75" t="str">
        <f t="shared" si="19"/>
        <v>Google Brasil</v>
      </c>
      <c r="C75" t="str">
        <f t="shared" si="20"/>
        <v>CH~DISPLAY_DT~MULTI_PB~GDBM_FM~BANNER_RT~CPM_PD~CAUSAS_USE_MAIS_VISA_TINTURA_970X90_970X90_TG~BHVDEM_TS~NONE_SZ~970X90_SOCIAL_MK~BR_IT~SOCIAL_VV~NONE</v>
      </c>
      <c r="D75" t="str">
        <f t="shared" si="21"/>
        <v>233318356</v>
      </c>
      <c r="E75" t="str">
        <f t="shared" si="22"/>
        <v>Standard</v>
      </c>
      <c r="F75" t="str">
        <f t="shared" si="23"/>
        <v>CH~DISPLAY_DT~MULTI_PB~GDBM_FM~BANNER_RT~CPM_PD~CAUSAS_USE_MAIS_VISA_TINTURA_970X90_970X90_TG~BHVDEM_TS~NONE_SZ~970X90_SOCIAL_MK~BR_IT~SOCIAL_VV~NONE</v>
      </c>
      <c r="G75" t="str">
        <f t="shared" si="24"/>
        <v>430986746</v>
      </c>
      <c r="H75" t="str">
        <f t="shared" si="25"/>
        <v>Display</v>
      </c>
      <c r="I75">
        <f t="shared" si="26"/>
        <v>1</v>
      </c>
      <c r="J75">
        <f t="shared" si="27"/>
        <v>1</v>
      </c>
      <c r="K75" s="4">
        <f t="shared" si="16"/>
        <v>3.8199999999999998E-2</v>
      </c>
      <c r="L75">
        <f t="shared" si="17"/>
        <v>0.09</v>
      </c>
      <c r="M75" s="4">
        <f t="shared" si="14"/>
        <v>3.82E-5</v>
      </c>
      <c r="N75" s="4">
        <f t="shared" si="15"/>
        <v>8.9999999999999992E-5</v>
      </c>
    </row>
    <row r="76" spans="1:14">
      <c r="A76" t="str">
        <f t="shared" si="18"/>
        <v>MK~BR_CN~Causas_MN~CCV_YQ~19Q1Q4_CP~NONE_OB~LDS_PK~NONE</v>
      </c>
      <c r="B76" t="str">
        <f t="shared" si="19"/>
        <v>Google Brasil</v>
      </c>
      <c r="C76" t="str">
        <f t="shared" si="20"/>
        <v>CH~DISPLAY_DT~MULTI_PB~GDBM_FM~VIDEO_RT~CPM_PD~CAUSAS_CAMERA_ESCONDIDA_CURTO_GERANDOFALCOES-ONG5-03_VIDEO_TG~BHVDEM_TS~NONE_SZ~VIDEO_SOCIAL_MK~BR_IT~SOCIAL_VV~NONE</v>
      </c>
      <c r="D76" t="str">
        <f t="shared" si="21"/>
        <v>236939038</v>
      </c>
      <c r="E76" t="str">
        <f t="shared" si="22"/>
        <v>Rich Media display banner</v>
      </c>
      <c r="F76" t="str">
        <f t="shared" si="23"/>
        <v>CH~DISPLAY_DT~MULTI_PB~GDBM_FM~VIDEO_RT~CPM_PD~CAUSAS_CAMERA_ESCONDIDA_CURTO_GERANDOFALCOES-ONG5-03_VIDEO_TG~BHVDEM_TS~NONE_SZ~VIDEO_SOCIAL_MK~BR_IT~SOCIAL_VV~NONE</v>
      </c>
      <c r="G76" t="str">
        <f t="shared" si="24"/>
        <v>434291229</v>
      </c>
      <c r="H76" t="str">
        <f t="shared" si="25"/>
        <v>In-Stream Video</v>
      </c>
      <c r="I76">
        <f t="shared" si="26"/>
        <v>2</v>
      </c>
      <c r="J76">
        <f t="shared" si="27"/>
        <v>0</v>
      </c>
      <c r="K76" s="4">
        <f t="shared" si="16"/>
        <v>0.6</v>
      </c>
      <c r="L76">
        <f t="shared" si="17"/>
        <v>0.35</v>
      </c>
      <c r="M76" s="4">
        <f t="shared" si="14"/>
        <v>1.1999999999999999E-3</v>
      </c>
      <c r="N76" s="4">
        <f t="shared" si="15"/>
        <v>6.9999999999999999E-4</v>
      </c>
    </row>
    <row r="77" spans="1:14">
      <c r="A77" t="str">
        <f t="shared" si="18"/>
        <v>MK~BR_CN~Causas_MN~CCV_YQ~19Q1Q4_CP~NONE_OB~LDS_PK~NONE</v>
      </c>
      <c r="B77" t="str">
        <f t="shared" si="19"/>
        <v>Google Brasil</v>
      </c>
      <c r="C77" t="str">
        <f t="shared" si="20"/>
        <v>CH~DISPLAY_DT~MULTI_PB~GDBM_FM~VIDEO_RT~CPM_PD~CAUSAS_CAMERA_ESCONDIDA_CURTO_LUISAMEL-ONG4-02-1_VIDEO_TG~BHVDEM_TS~NONE_SZ~VIDEO_SOCIAL_MK~BR_IT~SOCIAL_VV~NONE</v>
      </c>
      <c r="D77" t="str">
        <f t="shared" si="21"/>
        <v>236921984</v>
      </c>
      <c r="E77" t="str">
        <f t="shared" si="22"/>
        <v>Rich Media display banner</v>
      </c>
      <c r="F77" t="str">
        <f t="shared" si="23"/>
        <v>CH~DISPLAY_DT~MULTI_PB~GDBM_FM~VIDEO_RT~CPM_PD~CAUSAS_CAMERA_ESCONDIDA_CURTO_LUISAMEL-ONG4-02-1_VIDEO_TG~BHVDEM_TS~NONE_SZ~VIDEO_SOCIAL_MK~BR_IT~SOCIAL_VV~NONE</v>
      </c>
      <c r="G77" t="str">
        <f t="shared" si="24"/>
        <v>434289174</v>
      </c>
      <c r="H77" t="str">
        <f t="shared" si="25"/>
        <v>In-Stream Video</v>
      </c>
      <c r="I77">
        <f t="shared" si="26"/>
        <v>1</v>
      </c>
      <c r="J77">
        <f t="shared" si="27"/>
        <v>0</v>
      </c>
      <c r="K77" s="4">
        <f t="shared" si="16"/>
        <v>0.6</v>
      </c>
      <c r="L77">
        <f t="shared" si="17"/>
        <v>0.35</v>
      </c>
      <c r="M77" s="4">
        <f t="shared" si="14"/>
        <v>5.9999999999999995E-4</v>
      </c>
      <c r="N77" s="4">
        <f t="shared" si="15"/>
        <v>3.5E-4</v>
      </c>
    </row>
    <row r="78" spans="1:14">
      <c r="A78" t="str">
        <f t="shared" si="18"/>
        <v>MK~BR_CN~Causas_MN~CCV_YQ~19Q1Q4_CP~NONE_OB~LDS_PK~NONE</v>
      </c>
      <c r="B78" t="str">
        <f t="shared" si="19"/>
        <v>Google Brasil</v>
      </c>
      <c r="C78" t="str">
        <f t="shared" si="20"/>
        <v>CH~DISPLAY_DT~MULTI_PB~GDBM_FM~VIDEO_RT~CPM_PD~CAUSAS_CAMERA_ESCONDIDA_CURTO_RAI-ONG3-04_VIDEO_TG~BHVDEM_TS~NONE_SZ~VIDEO_SOCIAL_MK~BR_IT~SOCIAL_VV~NONE</v>
      </c>
      <c r="D78" t="str">
        <f t="shared" si="21"/>
        <v>236940151</v>
      </c>
      <c r="E78" t="str">
        <f t="shared" si="22"/>
        <v>Rich Media display banner</v>
      </c>
      <c r="F78" t="str">
        <f t="shared" si="23"/>
        <v>CH~DISPLAY_DT~MULTI_PB~GDBM_FM~VIDEO_RT~CPM_PD~CAUSAS_CAMERA_ESCONDIDA_CURTO_RAI-ONG3-04_VIDEO_TG~BHVDEM_TS~NONE_SZ~VIDEO_SOCIAL_MK~BR_IT~SOCIAL_VV~NONE</v>
      </c>
      <c r="G78" t="str">
        <f t="shared" si="24"/>
        <v>434290260</v>
      </c>
      <c r="H78" t="str">
        <f t="shared" si="25"/>
        <v>In-Stream Video</v>
      </c>
      <c r="I78">
        <f t="shared" si="26"/>
        <v>29</v>
      </c>
      <c r="J78">
        <f t="shared" si="27"/>
        <v>9</v>
      </c>
      <c r="K78" s="4">
        <f t="shared" si="16"/>
        <v>0.6</v>
      </c>
      <c r="L78">
        <f t="shared" si="17"/>
        <v>0.35</v>
      </c>
      <c r="M78" s="4">
        <f t="shared" si="14"/>
        <v>1.7399999999999999E-2</v>
      </c>
      <c r="N78" s="4">
        <f t="shared" si="15"/>
        <v>1.0149999999999999E-2</v>
      </c>
    </row>
    <row r="79" spans="1:14">
      <c r="A79" t="str">
        <f t="shared" si="18"/>
        <v>MK~BR_CN~Causas_MN~CCV_YQ~19Q1Q4_CP~NONE_OB~LDS_PK~NONE</v>
      </c>
      <c r="B79" t="str">
        <f t="shared" si="19"/>
        <v>Google Brasil</v>
      </c>
      <c r="C79" t="str">
        <f t="shared" si="20"/>
        <v>CH~DISPLAY_DT~MULTI_PB~GDBM_FM~VIDEO_RT~CPM_PD~CAUSAS_CAMERA_ESCONDIDA_CURTO_VELHOAMIGO-ONG1-05_VIDEO_TG~BHVDEM_TS~NONE_SZ~VIDEO_SOCIAL_MK~BR_IT~SOCIAL_VV~NONE</v>
      </c>
      <c r="D79" t="str">
        <f t="shared" si="21"/>
        <v>236939701</v>
      </c>
      <c r="E79" t="str">
        <f t="shared" si="22"/>
        <v>Rich Media display banner</v>
      </c>
      <c r="F79" t="str">
        <f t="shared" si="23"/>
        <v>CH~DISPLAY_DT~MULTI_PB~GDBM_FM~VIDEO_RT~CPM_PD~CAUSAS_CAMERA_ESCONDIDA_CURTO_VELHOAMIGO-ONG1-05_VIDEO_TG~BHVDEM_TS~NONE_SZ~VIDEO_SOCIAL_MK~BR_IT~SOCIAL_VV~NONE</v>
      </c>
      <c r="G79" t="str">
        <f t="shared" si="24"/>
        <v>434291226</v>
      </c>
      <c r="H79" t="str">
        <f t="shared" si="25"/>
        <v>In-Stream Video</v>
      </c>
      <c r="I79">
        <f t="shared" si="26"/>
        <v>3</v>
      </c>
      <c r="J79">
        <f t="shared" si="27"/>
        <v>6</v>
      </c>
      <c r="K79" s="4">
        <f t="shared" si="16"/>
        <v>0.6</v>
      </c>
      <c r="L79">
        <f t="shared" si="17"/>
        <v>0.35</v>
      </c>
      <c r="M79" s="4">
        <f t="shared" si="14"/>
        <v>1.7999999999999997E-3</v>
      </c>
      <c r="N79" s="4">
        <f t="shared" si="15"/>
        <v>1.0499999999999997E-3</v>
      </c>
    </row>
    <row r="80" spans="1:14">
      <c r="A80" t="str">
        <f t="shared" si="18"/>
        <v>MK~BR_CN~Causas_MN~CCV_YQ~19Q1Q4_CP~NONE_OB~LDS_PK~NONE</v>
      </c>
      <c r="B80" t="str">
        <f t="shared" si="19"/>
        <v>Google Brasil</v>
      </c>
      <c r="C80" t="str">
        <f t="shared" si="20"/>
        <v>CH~DISPLAY_DT~MULTI_PB~GDBM_FM~VIDEO_RT~CPM_PD~CAUSAS_CAMERA_ESCONDIDA_CURTO_VELHOAMIGO-ONG1-05_VIDEO_TG~BHVDEM_TS~NONE_SZ~VIDEO_SOCIAL_MK~BR_IT~SOCIAL_VV~NONE</v>
      </c>
      <c r="D80" t="str">
        <f t="shared" si="21"/>
        <v>236939701</v>
      </c>
      <c r="E80" t="str">
        <f t="shared" si="22"/>
        <v>Rich Media display banner</v>
      </c>
      <c r="F80" t="str">
        <f t="shared" si="23"/>
        <v>CH~DISPLAY_DT~MULTI_PB~GDBM_FM~VIDEO_RT~CPM_PD~CAUSAS_CAMERA_ESCONDIDA_CURTO_VELHOAMIGO-ONG1-05_VIDEO_TG~BHVDEM_TS~NONE_SZ~VIDEO_SOCIAL_MK~BR_IT~SOCIAL_VV~NONE</v>
      </c>
      <c r="G80" t="str">
        <f t="shared" si="24"/>
        <v>434291226</v>
      </c>
      <c r="H80" t="str">
        <f t="shared" si="25"/>
        <v>In-Stream Video</v>
      </c>
      <c r="I80">
        <f t="shared" si="26"/>
        <v>1</v>
      </c>
      <c r="J80">
        <f t="shared" si="27"/>
        <v>0</v>
      </c>
      <c r="K80" s="4">
        <f t="shared" si="16"/>
        <v>0.6</v>
      </c>
      <c r="L80">
        <f t="shared" si="17"/>
        <v>0.35</v>
      </c>
      <c r="M80" s="4">
        <f t="shared" si="14"/>
        <v>5.9999999999999995E-4</v>
      </c>
      <c r="N80" s="4">
        <f t="shared" si="15"/>
        <v>3.5E-4</v>
      </c>
    </row>
    <row r="81" spans="1:14">
      <c r="A81" t="str">
        <f t="shared" si="18"/>
        <v>MK~BR_CN~Causas_MN~CCV_YQ~19Q1Q4_CP~NONE_OB~LDS_PK~NONE</v>
      </c>
      <c r="B81" t="str">
        <f t="shared" si="19"/>
        <v>Google Brasil</v>
      </c>
      <c r="C81" t="str">
        <f t="shared" si="20"/>
        <v>CH~DISPLAY_DT~MULTI_PB~GDBM_FM~VIDEO_RT~CPM_PD~CAUSAS_CAMERA_ESCONDIDA_CURTO_VERTER-ONG2-7_VIDEO_TG~BHVDEM_TS~NONE_SZ~VIDEO_SOCIAL_MK~BR_IT~SOCIAL_VV~NONE</v>
      </c>
      <c r="D81" t="str">
        <f t="shared" si="21"/>
        <v>236921987</v>
      </c>
      <c r="E81" t="str">
        <f t="shared" si="22"/>
        <v>Rich Media display banner</v>
      </c>
      <c r="F81" t="str">
        <f t="shared" si="23"/>
        <v>CH~DISPLAY_DT~MULTI_PB~GDBM_FM~VIDEO_RT~CPM_PD~CAUSAS_CAMERA_ESCONDIDA_CURTO_VERTER-ONG2-7_VIDEO_TG~BHVDEM_TS~NONE_SZ~VIDEO_SOCIAL_MK~BR_IT~SOCIAL_VV~NONE</v>
      </c>
      <c r="G81" t="str">
        <f t="shared" si="24"/>
        <v>434387476</v>
      </c>
      <c r="H81" t="str">
        <f t="shared" si="25"/>
        <v>In-Stream Video</v>
      </c>
      <c r="I81">
        <f t="shared" si="26"/>
        <v>4</v>
      </c>
      <c r="J81">
        <f t="shared" si="27"/>
        <v>4</v>
      </c>
      <c r="K81" s="4">
        <f t="shared" si="16"/>
        <v>0.6</v>
      </c>
      <c r="L81">
        <f t="shared" si="17"/>
        <v>0.35</v>
      </c>
      <c r="M81" s="4">
        <f t="shared" si="14"/>
        <v>2.3999999999999998E-3</v>
      </c>
      <c r="N81" s="4">
        <f t="shared" si="15"/>
        <v>1.4E-3</v>
      </c>
    </row>
    <row r="82" spans="1:14">
      <c r="A82" t="str">
        <f t="shared" si="18"/>
        <v>MK~BR_CN~Causas_MN~CCV_YQ~19Q1Q4_CP~NONE_OB~LDS_PK~NONE</v>
      </c>
      <c r="B82" t="str">
        <f t="shared" si="19"/>
        <v>Google Brasil</v>
      </c>
      <c r="C82" t="str">
        <f t="shared" si="20"/>
        <v>CH~DISPLAY_DT~MULTI_PB~GDBM_FM~VIDEO_RT~CPM_PD~CAUSAS_CAMERA_ESCONDIDA_LONGO06-1-LEG_VIDEO_TG~BHVDEM_TS~NONE_SZ~VIDEO_SOCIAL_MK~BR_IT~SOCIAL_VV~NONE</v>
      </c>
      <c r="D82" t="str">
        <f t="shared" si="21"/>
        <v>236939683</v>
      </c>
      <c r="E82" t="str">
        <f t="shared" si="22"/>
        <v>Rich Media display banner</v>
      </c>
      <c r="F82" t="str">
        <f t="shared" si="23"/>
        <v>CH~DISPLAY_DT~MULTI_PB~GDBM_FM~VIDEO_RT~CPM_PD~CAUSAS_CAMERA_ESCONDIDA_LONGO06-1-LEG_VIDEO_TG~BHVDEM_TS~NONE_SZ~VIDEO_SOCIAL_MK~BR_IT~SOCIAL_VV~NONE</v>
      </c>
      <c r="G82" t="str">
        <f t="shared" si="24"/>
        <v>434294333</v>
      </c>
      <c r="H82" t="str">
        <f t="shared" si="25"/>
        <v>In-Stream Video</v>
      </c>
      <c r="I82">
        <f t="shared" si="26"/>
        <v>1</v>
      </c>
      <c r="J82">
        <f t="shared" si="27"/>
        <v>0</v>
      </c>
      <c r="K82" s="4">
        <f t="shared" si="16"/>
        <v>0.6</v>
      </c>
      <c r="L82">
        <f t="shared" si="17"/>
        <v>0.35</v>
      </c>
      <c r="M82" s="4">
        <f t="shared" si="14"/>
        <v>5.9999999999999995E-4</v>
      </c>
      <c r="N82" s="4">
        <f t="shared" si="15"/>
        <v>3.5E-4</v>
      </c>
    </row>
    <row r="83" spans="1:14">
      <c r="A83" t="str">
        <f t="shared" si="18"/>
        <v>MK~BR_CN~Causas_MN~CCV_YQ~19Q1Q4_CP~NONE_OB~LDS_PK~NONE</v>
      </c>
      <c r="B83" t="str">
        <f t="shared" si="19"/>
        <v>Oath BR</v>
      </c>
      <c r="C83" t="str">
        <f t="shared" si="20"/>
        <v>CH~DISPLAY_DT~MULTI_PB~OAT_FM~BANNER_RT~CPM_PD~CAUSAS_CADASTRE_SE_TINTURA_120X600_120X600_TG~BHVDEM_TS~NONE_SZ~120X600_SOCIAL_MK~BR_IT~SOCIAL_VV~NONE</v>
      </c>
      <c r="D83" t="str">
        <f t="shared" si="21"/>
        <v>233318443</v>
      </c>
      <c r="E83" t="str">
        <f t="shared" si="22"/>
        <v>Standard</v>
      </c>
      <c r="F83" t="str">
        <f t="shared" si="23"/>
        <v>CH~DISPLAY_DT~MULTI_PB~OAT_FM~BANNER_RT~CPM_PD~CAUSAS_CADASTRE_SE_TINTURA_120X600_120X600_TG~BHVDEM_TS~NONE_SZ~120X600_SOCIAL_MK~BR_IT~SOCIAL_VV~NONE</v>
      </c>
      <c r="G83" t="str">
        <f t="shared" si="24"/>
        <v>431034069</v>
      </c>
      <c r="H83" t="str">
        <f t="shared" si="25"/>
        <v>Display</v>
      </c>
      <c r="I83">
        <f t="shared" si="26"/>
        <v>13063</v>
      </c>
      <c r="J83">
        <f t="shared" si="27"/>
        <v>4</v>
      </c>
      <c r="K83" s="4">
        <f t="shared" si="16"/>
        <v>3.8199999999999998E-2</v>
      </c>
      <c r="L83">
        <f t="shared" si="17"/>
        <v>0.09</v>
      </c>
      <c r="M83" s="4">
        <f t="shared" si="14"/>
        <v>0.49900659999999997</v>
      </c>
      <c r="N83" s="4">
        <f t="shared" si="15"/>
        <v>1.1756699999999998</v>
      </c>
    </row>
    <row r="84" spans="1:14">
      <c r="A84" t="str">
        <f t="shared" si="18"/>
        <v>MK~BR_CN~Causas_MN~CCV_YQ~19Q1Q4_CP~NONE_OB~LDS_PK~NONE</v>
      </c>
      <c r="B84" t="str">
        <f t="shared" si="19"/>
        <v>Oath BR</v>
      </c>
      <c r="C84" t="str">
        <f t="shared" si="20"/>
        <v>CH~DISPLAY_DT~MULTI_PB~OAT_FM~BANNER_RT~CPM_PD~CAUSAS_CADASTRE_SE_TINTURA_160X600_160X600_TG~BHVDEM_TS~NONE_SZ~160X600_SOCIAL_MK~BR_IT~SOCIAL_VV~NONE</v>
      </c>
      <c r="D84" t="str">
        <f t="shared" si="21"/>
        <v>233318437</v>
      </c>
      <c r="E84" t="str">
        <f t="shared" si="22"/>
        <v>Standard</v>
      </c>
      <c r="F84" t="str">
        <f t="shared" si="23"/>
        <v>CH~DISPLAY_DT~MULTI_PB~OAT_FM~BANNER_RT~CPM_PD~CAUSAS_CADASTRE_SE_TINTURA_160X600_160X600_TG~BHVDEM_TS~NONE_SZ~160X600_SOCIAL_MK~BR_IT~SOCIAL_VV~NONE</v>
      </c>
      <c r="G84" t="str">
        <f t="shared" si="24"/>
        <v>430986776</v>
      </c>
      <c r="H84" t="str">
        <f t="shared" si="25"/>
        <v>Display</v>
      </c>
      <c r="I84">
        <f t="shared" si="26"/>
        <v>1102803</v>
      </c>
      <c r="J84">
        <f t="shared" si="27"/>
        <v>254</v>
      </c>
      <c r="K84" s="4">
        <f t="shared" si="16"/>
        <v>3.8199999999999998E-2</v>
      </c>
      <c r="L84">
        <f t="shared" si="17"/>
        <v>0.09</v>
      </c>
      <c r="M84" s="4">
        <f t="shared" si="14"/>
        <v>42.1270746</v>
      </c>
      <c r="N84" s="4">
        <f t="shared" si="15"/>
        <v>99.252269999999996</v>
      </c>
    </row>
    <row r="85" spans="1:14">
      <c r="A85" t="str">
        <f t="shared" si="18"/>
        <v>MK~BR_CN~Causas_MN~CCV_YQ~19Q1Q4_CP~NONE_OB~LDS_PK~NONE</v>
      </c>
      <c r="B85" t="str">
        <f t="shared" si="19"/>
        <v>Oath BR</v>
      </c>
      <c r="C85" t="str">
        <f t="shared" si="20"/>
        <v>CH~DISPLAY_DT~MULTI_PB~OAT_FM~BANNER_RT~CPM_PD~CAUSAS_CADASTRE_SE_TINTURA_160X600_160X600_TG~BHVDEM_TS~NONE_SZ~160X600_SOCIAL_MK~BR_IT~SOCIAL_VV~NONE</v>
      </c>
      <c r="D85" t="str">
        <f t="shared" si="21"/>
        <v>233318437</v>
      </c>
      <c r="E85" t="str">
        <f t="shared" si="22"/>
        <v>Standard</v>
      </c>
      <c r="F85" t="str">
        <f t="shared" si="23"/>
        <v>CH~DISPLAY_DT~MULTI_PB~OAT_FM~BANNER_RT~CPM_PD~CAUSAS_CADASTRE_SE_TINTURA_160X600_160X600_TG~BHVDEM_TS~NONE_SZ~160X600_SOCIAL_MK~BR_IT~SOCIAL_VV~NONE</v>
      </c>
      <c r="G85" t="str">
        <f t="shared" si="24"/>
        <v>430986776</v>
      </c>
      <c r="H85" t="str">
        <f t="shared" si="25"/>
        <v>Display</v>
      </c>
      <c r="I85">
        <f t="shared" si="26"/>
        <v>1</v>
      </c>
      <c r="J85">
        <f t="shared" si="27"/>
        <v>0</v>
      </c>
      <c r="K85" s="4">
        <f t="shared" si="16"/>
        <v>3.8199999999999998E-2</v>
      </c>
      <c r="L85">
        <f t="shared" si="17"/>
        <v>0.09</v>
      </c>
      <c r="M85" s="4">
        <f t="shared" si="14"/>
        <v>3.82E-5</v>
      </c>
      <c r="N85" s="4">
        <f t="shared" si="15"/>
        <v>8.9999999999999992E-5</v>
      </c>
    </row>
    <row r="86" spans="1:14">
      <c r="A86" t="str">
        <f t="shared" si="18"/>
        <v>MK~BR_CN~Causas_MN~CCV_YQ~19Q1Q4_CP~NONE_OB~LDS_PK~NONE</v>
      </c>
      <c r="B86" t="str">
        <f t="shared" si="19"/>
        <v>Oath BR</v>
      </c>
      <c r="C86" t="str">
        <f t="shared" si="20"/>
        <v>CH~DISPLAY_DT~MULTI_PB~OAT_FM~BANNER_RT~CPM_PD~CAUSAS_CADASTRE_SE_TINTURA_300X250_300X250_TG~BHVDEM_TS~NONE_SZ~300X250_SOCIAL_MK~BR_IT~SOCIAL_VV~NONE</v>
      </c>
      <c r="D86" t="str">
        <f t="shared" si="21"/>
        <v>233318425</v>
      </c>
      <c r="E86" t="str">
        <f t="shared" si="22"/>
        <v>Standard</v>
      </c>
      <c r="F86" t="str">
        <f t="shared" si="23"/>
        <v>CH~DISPLAY_DT~MULTI_PB~OAT_FM~BANNER_RT~CPM_PD~CAUSAS_CADASTRE_SE_TINTURA_300X250_300X250_TG~BHVDEM_TS~NONE_SZ~300X250_SOCIAL_MK~BR_IT~SOCIAL_VV~NONE</v>
      </c>
      <c r="G86" t="str">
        <f t="shared" si="24"/>
        <v>430986782</v>
      </c>
      <c r="H86" t="str">
        <f t="shared" si="25"/>
        <v>Display</v>
      </c>
      <c r="I86">
        <f t="shared" si="26"/>
        <v>2406891</v>
      </c>
      <c r="J86">
        <f t="shared" si="27"/>
        <v>2392</v>
      </c>
      <c r="K86" s="4">
        <f t="shared" si="16"/>
        <v>3.8199999999999998E-2</v>
      </c>
      <c r="L86">
        <f t="shared" si="17"/>
        <v>0.09</v>
      </c>
      <c r="M86" s="4">
        <f t="shared" si="14"/>
        <v>91.943236200000001</v>
      </c>
      <c r="N86" s="4">
        <f t="shared" si="15"/>
        <v>216.62019000000001</v>
      </c>
    </row>
    <row r="87" spans="1:14">
      <c r="A87" t="str">
        <f t="shared" si="18"/>
        <v>MK~BR_CN~Causas_MN~CCV_YQ~19Q1Q4_CP~NONE_OB~LDS_PK~NONE</v>
      </c>
      <c r="B87" t="str">
        <f t="shared" si="19"/>
        <v>Oath BR</v>
      </c>
      <c r="C87" t="str">
        <f t="shared" si="20"/>
        <v>CH~DISPLAY_DT~MULTI_PB~OAT_FM~BANNER_RT~CPM_PD~CAUSAS_CADASTRE_SE_TINTURA_300X250_300X250_TG~BHVDEM_TS~NONE_SZ~300X250_SOCIAL_MK~BR_IT~SOCIAL_VV~NONE</v>
      </c>
      <c r="D87" t="str">
        <f t="shared" si="21"/>
        <v>233318425</v>
      </c>
      <c r="E87" t="str">
        <f t="shared" si="22"/>
        <v>Standard</v>
      </c>
      <c r="F87" t="str">
        <f t="shared" si="23"/>
        <v>CH~DISPLAY_DT~MULTI_PB~OAT_FM~BANNER_RT~CPM_PD~CAUSAS_CADASTRE_SE_TINTURA_300X250_300X250_TG~BHVDEM_TS~NONE_SZ~300X250_SOCIAL_MK~BR_IT~SOCIAL_VV~NONE</v>
      </c>
      <c r="G87" t="str">
        <f t="shared" si="24"/>
        <v>430986782</v>
      </c>
      <c r="H87" t="str">
        <f t="shared" si="25"/>
        <v>Display</v>
      </c>
      <c r="I87">
        <f t="shared" si="26"/>
        <v>1</v>
      </c>
      <c r="J87">
        <f t="shared" si="27"/>
        <v>0</v>
      </c>
      <c r="K87" s="4">
        <f t="shared" si="16"/>
        <v>3.8199999999999998E-2</v>
      </c>
      <c r="L87">
        <f t="shared" si="17"/>
        <v>0.09</v>
      </c>
      <c r="M87" s="4">
        <f t="shared" si="14"/>
        <v>3.82E-5</v>
      </c>
      <c r="N87" s="4">
        <f t="shared" si="15"/>
        <v>8.9999999999999992E-5</v>
      </c>
    </row>
    <row r="88" spans="1:14">
      <c r="A88" t="str">
        <f t="shared" si="18"/>
        <v>MK~BR_CN~Causas_MN~CCV_YQ~19Q1Q4_CP~NONE_OB~LDS_PK~NONE</v>
      </c>
      <c r="B88" t="str">
        <f t="shared" si="19"/>
        <v>Oath BR</v>
      </c>
      <c r="C88" t="str">
        <f t="shared" si="20"/>
        <v>CH~DISPLAY_DT~MULTI_PB~OAT_FM~BANNER_RT~CPM_PD~CAUSAS_CADASTRE_SE_TINTURA_300X50_300X50_TG~BHVDEM_TS~NONE_SZ~300X50_SOCIAL_MK~BR_IT~SOCIAL_VV~NONE</v>
      </c>
      <c r="D88" t="str">
        <f t="shared" si="21"/>
        <v>233318431</v>
      </c>
      <c r="E88" t="str">
        <f t="shared" si="22"/>
        <v>Standard</v>
      </c>
      <c r="F88" t="str">
        <f t="shared" si="23"/>
        <v>CH~DISPLAY_DT~MULTI_PB~OAT_FM~BANNER_RT~CPM_PD~CAUSAS_CADASTRE_SE_TINTURA_300X50_300X50_TG~BHVDEM_TS~NONE_SZ~300X50_SOCIAL_MK~BR_IT~SOCIAL_VV~NONE</v>
      </c>
      <c r="G88" t="str">
        <f t="shared" si="24"/>
        <v>430986779</v>
      </c>
      <c r="H88" t="str">
        <f t="shared" si="25"/>
        <v>Display</v>
      </c>
      <c r="I88">
        <f t="shared" si="26"/>
        <v>7662</v>
      </c>
      <c r="J88">
        <f t="shared" si="27"/>
        <v>12</v>
      </c>
      <c r="K88" s="4">
        <f t="shared" si="16"/>
        <v>3.8199999999999998E-2</v>
      </c>
      <c r="L88">
        <f t="shared" si="17"/>
        <v>0.09</v>
      </c>
      <c r="M88" s="4">
        <f t="shared" si="14"/>
        <v>0.29268840000000002</v>
      </c>
      <c r="N88" s="4">
        <f t="shared" si="15"/>
        <v>0.68957999999999997</v>
      </c>
    </row>
    <row r="89" spans="1:14">
      <c r="A89" t="str">
        <f t="shared" si="18"/>
        <v>MK~BR_CN~Causas_MN~CCV_YQ~19Q1Q4_CP~NONE_OB~LDS_PK~NONE</v>
      </c>
      <c r="B89" t="str">
        <f t="shared" si="19"/>
        <v>Oath BR</v>
      </c>
      <c r="C89" t="str">
        <f t="shared" si="20"/>
        <v>CH~DISPLAY_DT~MULTI_PB~OAT_FM~BANNER_RT~CPM_PD~CAUSAS_CADASTRE_SE_TINTURA_300X600_300X600_TG~BHVDEM_TS~NONE_SZ~300X600_SOCIAL_MK~BR_IT~SOCIAL_VV~NONE</v>
      </c>
      <c r="D89" t="str">
        <f t="shared" si="21"/>
        <v>233318419</v>
      </c>
      <c r="E89" t="str">
        <f t="shared" si="22"/>
        <v>Standard</v>
      </c>
      <c r="F89" t="str">
        <f t="shared" si="23"/>
        <v>CH~DISPLAY_DT~MULTI_PB~OAT_FM~BANNER_RT~CPM_PD~CAUSAS_CADASTRE_SE_TINTURA_300X600_300X600_TG~BHVDEM_TS~NONE_SZ~300X600_SOCIAL_MK~BR_IT~SOCIAL_VV~NONE</v>
      </c>
      <c r="G89" t="str">
        <f t="shared" si="24"/>
        <v>430986785</v>
      </c>
      <c r="H89" t="str">
        <f t="shared" si="25"/>
        <v>Display</v>
      </c>
      <c r="I89">
        <f t="shared" si="26"/>
        <v>469451</v>
      </c>
      <c r="J89">
        <f t="shared" si="27"/>
        <v>75</v>
      </c>
      <c r="K89" s="4">
        <f t="shared" si="16"/>
        <v>3.8199999999999998E-2</v>
      </c>
      <c r="L89">
        <f t="shared" si="17"/>
        <v>0.09</v>
      </c>
      <c r="M89" s="4">
        <f t="shared" si="14"/>
        <v>17.933028199999999</v>
      </c>
      <c r="N89" s="4">
        <f t="shared" si="15"/>
        <v>42.250589999999995</v>
      </c>
    </row>
    <row r="90" spans="1:14">
      <c r="A90" t="str">
        <f t="shared" si="18"/>
        <v>MK~BR_CN~Causas_MN~CCV_YQ~19Q1Q4_CP~NONE_OB~LDS_PK~NONE</v>
      </c>
      <c r="B90" t="str">
        <f t="shared" si="19"/>
        <v>Oath BR</v>
      </c>
      <c r="C90" t="str">
        <f t="shared" si="20"/>
        <v>CH~DISPLAY_DT~MULTI_PB~OAT_FM~BANNER_RT~CPM_PD~CAUSAS_CADASTRE_SE_TINTURA_300X600_300X600_TG~BHVDEM_TS~NONE_SZ~300X600_SOCIAL_MK~BR_IT~SOCIAL_VV~NONE</v>
      </c>
      <c r="D90" t="str">
        <f t="shared" si="21"/>
        <v>233318419</v>
      </c>
      <c r="E90" t="str">
        <f t="shared" si="22"/>
        <v>Standard</v>
      </c>
      <c r="F90" t="str">
        <f t="shared" si="23"/>
        <v>CH~DISPLAY_DT~MULTI_PB~OAT_FM~BANNER_RT~CPM_PD~CAUSAS_CADASTRE_SE_TINTURA_300X600_300X600_TG~BHVDEM_TS~NONE_SZ~300X600_SOCIAL_MK~BR_IT~SOCIAL_VV~NONE</v>
      </c>
      <c r="G90" t="str">
        <f t="shared" si="24"/>
        <v>430986785</v>
      </c>
      <c r="H90" t="str">
        <f t="shared" si="25"/>
        <v>Display</v>
      </c>
      <c r="I90">
        <f t="shared" si="26"/>
        <v>3</v>
      </c>
      <c r="J90">
        <f t="shared" si="27"/>
        <v>0</v>
      </c>
      <c r="K90" s="4">
        <f t="shared" si="16"/>
        <v>3.8199999999999998E-2</v>
      </c>
      <c r="L90">
        <f t="shared" si="17"/>
        <v>0.09</v>
      </c>
      <c r="M90" s="4">
        <f t="shared" si="14"/>
        <v>1.1459999999999999E-4</v>
      </c>
      <c r="N90" s="4">
        <f t="shared" si="15"/>
        <v>2.7E-4</v>
      </c>
    </row>
    <row r="91" spans="1:14">
      <c r="A91" t="str">
        <f t="shared" si="18"/>
        <v>MK~BR_CN~Causas_MN~CCV_YQ~19Q1Q4_CP~NONE_OB~LDS_PK~NONE</v>
      </c>
      <c r="B91" t="str">
        <f t="shared" si="19"/>
        <v>Oath BR</v>
      </c>
      <c r="C91" t="str">
        <f t="shared" si="20"/>
        <v>CH~DISPLAY_DT~MULTI_PB~OAT_FM~BANNER_RT~CPM_PD~CAUSAS_CADASTRE_SE_TINTURA_320X50_320X50_TG~BHVDEM_TS~NONE_SZ~320X50_SOCIAL_MK~BR_IT~SOCIAL_VV~NONE</v>
      </c>
      <c r="D91" t="str">
        <f t="shared" si="21"/>
        <v>233318413</v>
      </c>
      <c r="E91" t="str">
        <f t="shared" si="22"/>
        <v>Standard</v>
      </c>
      <c r="F91" t="str">
        <f t="shared" si="23"/>
        <v>CH~DISPLAY_DT~MULTI_PB~OAT_FM~BANNER_RT~CPM_PD~CAUSAS_CADASTRE_SE_TINTURA_320X50_320X50_TG~BHVDEM_TS~NONE_SZ~320X50_SOCIAL_MK~BR_IT~SOCIAL_VV~NONE</v>
      </c>
      <c r="G91" t="str">
        <f t="shared" si="24"/>
        <v>430986788</v>
      </c>
      <c r="H91" t="str">
        <f t="shared" si="25"/>
        <v>Display</v>
      </c>
      <c r="I91">
        <f t="shared" si="26"/>
        <v>295311</v>
      </c>
      <c r="J91">
        <f t="shared" si="27"/>
        <v>729</v>
      </c>
      <c r="K91" s="4">
        <f t="shared" si="16"/>
        <v>3.8199999999999998E-2</v>
      </c>
      <c r="L91">
        <f t="shared" si="17"/>
        <v>0.09</v>
      </c>
      <c r="M91" s="4">
        <f t="shared" si="14"/>
        <v>11.2808802</v>
      </c>
      <c r="N91" s="4">
        <f t="shared" si="15"/>
        <v>26.577989999999996</v>
      </c>
    </row>
    <row r="92" spans="1:14">
      <c r="A92" t="str">
        <f t="shared" si="18"/>
        <v>MK~BR_CN~Causas_MN~CCV_YQ~19Q1Q4_CP~NONE_OB~LDS_PK~NONE</v>
      </c>
      <c r="B92" t="str">
        <f t="shared" si="19"/>
        <v>Oath BR</v>
      </c>
      <c r="C92" t="str">
        <f t="shared" si="20"/>
        <v>CH~DISPLAY_DT~MULTI_PB~OAT_FM~BANNER_RT~CPM_PD~CAUSAS_CADASTRE_SE_TINTURA_320X50_320X50_TG~BHVDEM_TS~NONE_SZ~320X50_SOCIAL_MK~BR_IT~SOCIAL_VV~NONE</v>
      </c>
      <c r="D92" t="str">
        <f t="shared" si="21"/>
        <v>233318413</v>
      </c>
      <c r="E92" t="str">
        <f t="shared" si="22"/>
        <v>Standard</v>
      </c>
      <c r="F92" t="str">
        <f t="shared" si="23"/>
        <v>CH~DISPLAY_DT~MULTI_PB~OAT_FM~BANNER_RT~CPM_PD~CAUSAS_CADASTRE_SE_TINTURA_320X50_320X50_TG~BHVDEM_TS~NONE_SZ~320X50_SOCIAL_MK~BR_IT~SOCIAL_VV~NONE</v>
      </c>
      <c r="G92" t="str">
        <f t="shared" si="24"/>
        <v>430986788</v>
      </c>
      <c r="H92" t="str">
        <f t="shared" si="25"/>
        <v>Display</v>
      </c>
      <c r="I92">
        <f t="shared" si="26"/>
        <v>3</v>
      </c>
      <c r="J92">
        <f t="shared" si="27"/>
        <v>0</v>
      </c>
      <c r="K92" s="4">
        <f t="shared" si="16"/>
        <v>3.8199999999999998E-2</v>
      </c>
      <c r="L92">
        <f t="shared" si="17"/>
        <v>0.09</v>
      </c>
      <c r="M92" s="4">
        <f t="shared" si="14"/>
        <v>1.1459999999999999E-4</v>
      </c>
      <c r="N92" s="4">
        <f t="shared" si="15"/>
        <v>2.7E-4</v>
      </c>
    </row>
    <row r="93" spans="1:14">
      <c r="A93" t="str">
        <f t="shared" si="18"/>
        <v>MK~BR_CN~Causas_MN~CCV_YQ~19Q1Q4_CP~NONE_OB~LDS_PK~NONE</v>
      </c>
      <c r="B93" t="str">
        <f t="shared" si="19"/>
        <v>Oath BR</v>
      </c>
      <c r="C93" t="str">
        <f t="shared" si="20"/>
        <v>CH~DISPLAY_DT~MULTI_PB~OAT_FM~BANNER_RT~CPM_PD~CAUSAS_CADASTRE_SE_TINTURA_728X90_728X90_TG~BHVDEM_TS~NONE_SZ~728X90_SOCIAL_MK~BR_IT~SOCIAL_VV~NONE</v>
      </c>
      <c r="D93" t="str">
        <f t="shared" si="21"/>
        <v>233318407</v>
      </c>
      <c r="E93" t="str">
        <f t="shared" si="22"/>
        <v>Standard</v>
      </c>
      <c r="F93" t="str">
        <f t="shared" si="23"/>
        <v>CH~DISPLAY_DT~MULTI_PB~OAT_FM~BANNER_RT~CPM_PD~CAUSAS_CADASTRE_SE_TINTURA_728X90_728X90_TG~BHVDEM_TS~NONE_SZ~728X90_SOCIAL_MK~BR_IT~SOCIAL_VV~NONE</v>
      </c>
      <c r="G93" t="str">
        <f t="shared" si="24"/>
        <v>430986791</v>
      </c>
      <c r="H93" t="str">
        <f t="shared" si="25"/>
        <v>Display</v>
      </c>
      <c r="I93">
        <f t="shared" si="26"/>
        <v>459437</v>
      </c>
      <c r="J93">
        <f t="shared" si="27"/>
        <v>62</v>
      </c>
      <c r="K93" s="4">
        <f t="shared" si="16"/>
        <v>3.8199999999999998E-2</v>
      </c>
      <c r="L93">
        <f t="shared" si="17"/>
        <v>0.09</v>
      </c>
      <c r="M93" s="4">
        <f t="shared" si="14"/>
        <v>17.550493400000001</v>
      </c>
      <c r="N93" s="4">
        <f t="shared" si="15"/>
        <v>41.349330000000002</v>
      </c>
    </row>
    <row r="94" spans="1:14">
      <c r="A94" t="str">
        <f t="shared" si="18"/>
        <v>MK~BR_CN~Causas_MN~CCV_YQ~19Q1Q4_CP~NONE_OB~LDS_PK~NONE</v>
      </c>
      <c r="B94" t="str">
        <f t="shared" si="19"/>
        <v>Oath BR</v>
      </c>
      <c r="C94" t="str">
        <f t="shared" si="20"/>
        <v>CH~DISPLAY_DT~MULTI_PB~OAT_FM~BANNER_RT~CPM_PD~CAUSAS_CADASTRE_SE_TINTURA_970X250_970X250_TG~BHVDEM_TS~NONE_SZ~970X250_SOCIAL_MK~BR_IT~SOCIAL_VV~NONE</v>
      </c>
      <c r="D94" t="str">
        <f t="shared" si="21"/>
        <v>233318395</v>
      </c>
      <c r="E94" t="str">
        <f t="shared" si="22"/>
        <v>Standard</v>
      </c>
      <c r="F94" t="str">
        <f t="shared" si="23"/>
        <v>CH~DISPLAY_DT~MULTI_PB~OAT_FM~BANNER_RT~CPM_PD~CAUSAS_CADASTRE_SE_TINTURA_970X250_970X250_TG~BHVDEM_TS~NONE_SZ~970X250_SOCIAL_MK~BR_IT~SOCIAL_VV~NONE</v>
      </c>
      <c r="G94" t="str">
        <f t="shared" si="24"/>
        <v>430986797</v>
      </c>
      <c r="H94" t="str">
        <f t="shared" si="25"/>
        <v>Display</v>
      </c>
      <c r="I94">
        <f t="shared" si="26"/>
        <v>174732</v>
      </c>
      <c r="J94">
        <f t="shared" si="27"/>
        <v>56</v>
      </c>
      <c r="K94" s="4">
        <f t="shared" si="16"/>
        <v>3.8199999999999998E-2</v>
      </c>
      <c r="L94">
        <f t="shared" si="17"/>
        <v>0.09</v>
      </c>
      <c r="M94" s="4">
        <f t="shared" si="14"/>
        <v>6.6747623999999997</v>
      </c>
      <c r="N94" s="4">
        <f t="shared" si="15"/>
        <v>15.72588</v>
      </c>
    </row>
    <row r="95" spans="1:14">
      <c r="A95" t="str">
        <f t="shared" si="18"/>
        <v>MK~BR_CN~Causas_MN~CCV_YQ~19Q1Q4_CP~NONE_OB~LDS_PK~NONE</v>
      </c>
      <c r="B95" t="str">
        <f t="shared" si="19"/>
        <v>Oath BR</v>
      </c>
      <c r="C95" t="str">
        <f t="shared" si="20"/>
        <v>CH~DISPLAY_DT~MULTI_PB~OAT_FM~BANNER_RT~CPM_PD~CAUSAS_CADASTRE_SE_TINTURA_970X90_970X90_TG~BHVDEM_TS~NONE_SZ~970X90_SOCIAL_MK~BR_IT~SOCIAL_VV~NONE</v>
      </c>
      <c r="D95" t="str">
        <f t="shared" si="21"/>
        <v>233318401</v>
      </c>
      <c r="E95" t="str">
        <f t="shared" si="22"/>
        <v>Standard</v>
      </c>
      <c r="F95" t="str">
        <f t="shared" si="23"/>
        <v>CH~DISPLAY_DT~MULTI_PB~OAT_FM~BANNER_RT~CPM_PD~CAUSAS_CADASTRE_SE_TINTURA_970X90_970X90_TG~BHVDEM_TS~NONE_SZ~970X90_SOCIAL_MK~BR_IT~SOCIAL_VV~NONE</v>
      </c>
      <c r="G95" t="str">
        <f t="shared" si="24"/>
        <v>430986794</v>
      </c>
      <c r="H95" t="str">
        <f t="shared" si="25"/>
        <v>Display</v>
      </c>
      <c r="I95">
        <f t="shared" si="26"/>
        <v>142093</v>
      </c>
      <c r="J95">
        <f t="shared" si="27"/>
        <v>3</v>
      </c>
      <c r="K95" s="4">
        <f t="shared" si="16"/>
        <v>3.8199999999999998E-2</v>
      </c>
      <c r="L95">
        <f t="shared" si="17"/>
        <v>0.09</v>
      </c>
      <c r="M95" s="4">
        <f t="shared" si="14"/>
        <v>5.4279525999999994</v>
      </c>
      <c r="N95" s="4">
        <f t="shared" si="15"/>
        <v>12.788369999999999</v>
      </c>
    </row>
    <row r="96" spans="1:14">
      <c r="A96" t="str">
        <f t="shared" si="18"/>
        <v>MK~BR_CN~Causas_MN~CCV_YQ~19Q1Q4_CP~NONE_OB~LDS_PK~NONE</v>
      </c>
      <c r="B96" t="str">
        <f t="shared" si="19"/>
        <v>Oath BR</v>
      </c>
      <c r="C96" t="str">
        <f t="shared" si="20"/>
        <v>CH~DISPLAY_DT~MULTI_PB~OAT_FM~BANNER_RT~CPM_PD~CAUSAS_FINALIZE_CADASTRO_TINTURA_120X600_120X600_TG~BHVDEM_TS~NONE_SZ~120X600_SOCIAL_MK~BR_IT~SOCIAL_VV~NONE</v>
      </c>
      <c r="D96" t="str">
        <f t="shared" si="21"/>
        <v>233621658</v>
      </c>
      <c r="E96" t="str">
        <f t="shared" si="22"/>
        <v>Standard</v>
      </c>
      <c r="F96" t="str">
        <f t="shared" si="23"/>
        <v>CH~DISPLAY_DT~MULTI_PB~OAT_FM~BANNER_RT~CPM_PD~CAUSAS_FINALIZE_CADASTRO_TINTURA_120X600_120X600_TG~BHVDEM_TS~NONE_SZ~120X600_SOCIAL_MK~BR_IT~SOCIAL_VV~NONE</v>
      </c>
      <c r="G96" t="str">
        <f t="shared" si="24"/>
        <v>430986752</v>
      </c>
      <c r="H96" t="str">
        <f t="shared" si="25"/>
        <v>Display</v>
      </c>
      <c r="I96">
        <f t="shared" si="26"/>
        <v>5</v>
      </c>
      <c r="J96">
        <f t="shared" si="27"/>
        <v>0</v>
      </c>
      <c r="K96" s="4">
        <f t="shared" si="16"/>
        <v>3.8199999999999998E-2</v>
      </c>
      <c r="L96">
        <f t="shared" si="17"/>
        <v>0.09</v>
      </c>
      <c r="M96" s="4">
        <f t="shared" si="14"/>
        <v>1.9100000000000001E-4</v>
      </c>
      <c r="N96" s="4">
        <f t="shared" si="15"/>
        <v>4.4999999999999993E-4</v>
      </c>
    </row>
    <row r="97" spans="1:14">
      <c r="A97" t="str">
        <f t="shared" si="18"/>
        <v>MK~BR_CN~Causas_MN~CCV_YQ~19Q1Q4_CP~NONE_OB~LDS_PK~NONE</v>
      </c>
      <c r="B97" t="str">
        <f t="shared" si="19"/>
        <v>Oath BR</v>
      </c>
      <c r="C97" t="str">
        <f t="shared" si="20"/>
        <v>CH~DISPLAY_DT~MULTI_PB~OAT_FM~BANNER_RT~CPM_PD~CAUSAS_FINALIZE_CADASTRO_TINTURA_160X600_160X600_TG~BHVDEM_TS~NONE_SZ~160X600_SOCIAL_MK~BR_IT~SOCIAL_VV~NONE</v>
      </c>
      <c r="D97" t="str">
        <f t="shared" si="21"/>
        <v>233621208</v>
      </c>
      <c r="E97" t="str">
        <f t="shared" si="22"/>
        <v>Standard</v>
      </c>
      <c r="F97" t="str">
        <f t="shared" si="23"/>
        <v>CH~DISPLAY_DT~MULTI_PB~OAT_FM~BANNER_RT~CPM_PD~CAUSAS_FINALIZE_CADASTRO_TINTURA_160X600_160X600_TG~BHVDEM_TS~NONE_SZ~160X600_SOCIAL_MK~BR_IT~SOCIAL_VV~NONE</v>
      </c>
      <c r="G97" t="str">
        <f t="shared" si="24"/>
        <v>430986755</v>
      </c>
      <c r="H97" t="str">
        <f t="shared" si="25"/>
        <v>Display</v>
      </c>
      <c r="I97">
        <f t="shared" si="26"/>
        <v>12</v>
      </c>
      <c r="J97">
        <f t="shared" si="27"/>
        <v>3</v>
      </c>
      <c r="K97" s="4">
        <f t="shared" si="16"/>
        <v>3.8199999999999998E-2</v>
      </c>
      <c r="L97">
        <f t="shared" si="17"/>
        <v>0.09</v>
      </c>
      <c r="M97" s="4">
        <f t="shared" si="14"/>
        <v>4.5839999999999998E-4</v>
      </c>
      <c r="N97" s="4">
        <f t="shared" si="15"/>
        <v>1.08E-3</v>
      </c>
    </row>
    <row r="98" spans="1:14">
      <c r="A98" t="str">
        <f t="shared" si="18"/>
        <v>MK~BR_CN~Causas_MN~CCV_YQ~19Q1Q4_CP~NONE_OB~LDS_PK~NONE</v>
      </c>
      <c r="B98" t="str">
        <f t="shared" si="19"/>
        <v>Oath BR</v>
      </c>
      <c r="C98" t="str">
        <f t="shared" si="20"/>
        <v>CH~DISPLAY_DT~MULTI_PB~OAT_FM~BANNER_RT~CPM_PD~CAUSAS_FINALIZE_CADASTRO_TINTURA_300X250_300X250_TG~BHVDEM_TS~NONE_SZ~300X250_SOCIAL_MK~BR_IT~SOCIAL_VV~NONE</v>
      </c>
      <c r="D98" t="str">
        <f t="shared" si="21"/>
        <v>233318341</v>
      </c>
      <c r="E98" t="str">
        <f t="shared" si="22"/>
        <v>Standard</v>
      </c>
      <c r="F98" t="str">
        <f t="shared" si="23"/>
        <v>CH~DISPLAY_DT~MULTI_PB~OAT_FM~BANNER_RT~CPM_PD~CAUSAS_FINALIZE_CADASTRO_TINTURA_300X250_300X250_TG~BHVDEM_TS~NONE_SZ~300X250_SOCIAL_MK~BR_IT~SOCIAL_VV~NONE</v>
      </c>
      <c r="G98" t="str">
        <f t="shared" si="24"/>
        <v>430986761</v>
      </c>
      <c r="H98" t="str">
        <f t="shared" si="25"/>
        <v>Display</v>
      </c>
      <c r="I98">
        <f t="shared" si="26"/>
        <v>18</v>
      </c>
      <c r="J98">
        <f t="shared" si="27"/>
        <v>1</v>
      </c>
      <c r="K98" s="4">
        <f t="shared" si="16"/>
        <v>3.8199999999999998E-2</v>
      </c>
      <c r="L98">
        <f t="shared" si="17"/>
        <v>0.09</v>
      </c>
      <c r="M98" s="4">
        <f t="shared" si="14"/>
        <v>6.8760000000000002E-4</v>
      </c>
      <c r="N98" s="4">
        <f t="shared" si="15"/>
        <v>1.6199999999999999E-3</v>
      </c>
    </row>
    <row r="99" spans="1:14">
      <c r="A99" t="str">
        <f t="shared" si="18"/>
        <v>MK~BR_CN~Causas_MN~CCV_YQ~19Q1Q4_CP~NONE_OB~LDS_PK~NONE</v>
      </c>
      <c r="B99" t="str">
        <f t="shared" si="19"/>
        <v>Oath BR</v>
      </c>
      <c r="C99" t="str">
        <f t="shared" si="20"/>
        <v>CH~DISPLAY_DT~MULTI_PB~OAT_FM~BANNER_RT~CPM_PD~CAUSAS_FINALIZE_CADASTRO_TINTURA_300X50_300X50_TG~BHVDEM_TS~NONE_SZ~300X50_SOCIAL_MK~BR_IT~SOCIAL_VV~NONE</v>
      </c>
      <c r="D99" t="str">
        <f t="shared" si="21"/>
        <v>233318344</v>
      </c>
      <c r="E99" t="str">
        <f t="shared" si="22"/>
        <v>Standard</v>
      </c>
      <c r="F99" t="str">
        <f t="shared" si="23"/>
        <v>CH~DISPLAY_DT~MULTI_PB~OAT_FM~BANNER_RT~CPM_PD~CAUSAS_FINALIZE_CADASTRO_TINTURA_300X50_300X50_TG~BHVDEM_TS~NONE_SZ~300X50_SOCIAL_MK~BR_IT~SOCIAL_VV~NONE</v>
      </c>
      <c r="G99" t="str">
        <f t="shared" si="24"/>
        <v>430986758</v>
      </c>
      <c r="H99" t="str">
        <f t="shared" si="25"/>
        <v>Display</v>
      </c>
      <c r="I99">
        <f t="shared" si="26"/>
        <v>10</v>
      </c>
      <c r="J99">
        <f t="shared" si="27"/>
        <v>1</v>
      </c>
      <c r="K99" s="4">
        <f t="shared" si="16"/>
        <v>3.8199999999999998E-2</v>
      </c>
      <c r="L99">
        <f t="shared" si="17"/>
        <v>0.09</v>
      </c>
      <c r="M99" s="4">
        <f t="shared" ref="M99:M162" si="28">IF(E99="Dynamic Click",J99*K99,K99*$I99/1000)</f>
        <v>3.8200000000000002E-4</v>
      </c>
      <c r="N99" s="4">
        <f t="shared" ref="N99:N162" si="29">IF(E99="Dynamic Click",J99*L99,L99*$I99/1000)</f>
        <v>8.9999999999999987E-4</v>
      </c>
    </row>
    <row r="100" spans="1:14">
      <c r="A100" t="str">
        <f t="shared" si="18"/>
        <v>MK~BR_CN~Causas_MN~CCV_YQ~19Q1Q4_CP~NONE_OB~LDS_PK~NONE</v>
      </c>
      <c r="B100" t="str">
        <f t="shared" si="19"/>
        <v>Oath BR</v>
      </c>
      <c r="C100" t="str">
        <f t="shared" si="20"/>
        <v>CH~DISPLAY_DT~MULTI_PB~OAT_FM~BANNER_RT~CPM_PD~CAUSAS_FINALIZE_CADASTRO_TINTURA_300X600_300X600_TG~BHVDEM_TS~NONE_SZ~300X600_SOCIAL_MK~BR_IT~SOCIAL_VV~NONE</v>
      </c>
      <c r="D100" t="str">
        <f t="shared" si="21"/>
        <v>233318338</v>
      </c>
      <c r="E100" t="str">
        <f t="shared" si="22"/>
        <v>Standard</v>
      </c>
      <c r="F100" t="str">
        <f t="shared" si="23"/>
        <v>CH~DISPLAY_DT~MULTI_PB~OAT_FM~BANNER_RT~CPM_PD~CAUSAS_FINALIZE_CADASTRO_TINTURA_300X600_300X600_TG~BHVDEM_TS~NONE_SZ~300X600_SOCIAL_MK~BR_IT~SOCIAL_VV~NONE</v>
      </c>
      <c r="G100" t="str">
        <f t="shared" si="24"/>
        <v>430986764</v>
      </c>
      <c r="H100" t="str">
        <f t="shared" si="25"/>
        <v>Display</v>
      </c>
      <c r="I100">
        <f t="shared" si="26"/>
        <v>33</v>
      </c>
      <c r="J100">
        <f t="shared" si="27"/>
        <v>2</v>
      </c>
      <c r="K100" s="4">
        <f t="shared" si="16"/>
        <v>3.8199999999999998E-2</v>
      </c>
      <c r="L100">
        <f t="shared" si="17"/>
        <v>0.09</v>
      </c>
      <c r="M100" s="4">
        <f t="shared" si="28"/>
        <v>1.2606E-3</v>
      </c>
      <c r="N100" s="4">
        <f t="shared" si="29"/>
        <v>2.9699999999999996E-3</v>
      </c>
    </row>
    <row r="101" spans="1:14">
      <c r="A101" t="str">
        <f t="shared" si="18"/>
        <v>MK~BR_CN~Causas_MN~CCV_YQ~19Q1Q4_CP~NONE_OB~LDS_PK~NONE</v>
      </c>
      <c r="B101" t="str">
        <f t="shared" si="19"/>
        <v>Oath BR</v>
      </c>
      <c r="C101" t="str">
        <f t="shared" si="20"/>
        <v>CH~DISPLAY_DT~MULTI_PB~OAT_FM~BANNER_RT~CPM_PD~CAUSAS_FINALIZE_CADASTRO_TINTURA_300X600_300X600_TG~BHVDEM_TS~NONE_SZ~300X600_SOCIAL_MK~BR_IT~SOCIAL_VV~NONE</v>
      </c>
      <c r="D101" t="str">
        <f t="shared" si="21"/>
        <v>233318338</v>
      </c>
      <c r="E101" t="str">
        <f t="shared" si="22"/>
        <v>Standard</v>
      </c>
      <c r="F101" t="str">
        <f t="shared" si="23"/>
        <v>CH~DISPLAY_DT~MULTI_PB~OAT_FM~BANNER_RT~CPM_PD~CAUSAS_FINALIZE_CADASTRO_TINTURA_300X600_300X600_TG~BHVDEM_TS~NONE_SZ~300X600_SOCIAL_MK~BR_IT~SOCIAL_VV~NONE</v>
      </c>
      <c r="G101" t="str">
        <f t="shared" si="24"/>
        <v>430986764</v>
      </c>
      <c r="H101" t="str">
        <f t="shared" si="25"/>
        <v>Display</v>
      </c>
      <c r="I101">
        <f t="shared" si="26"/>
        <v>1</v>
      </c>
      <c r="J101">
        <f t="shared" si="27"/>
        <v>0</v>
      </c>
      <c r="K101" s="4">
        <f t="shared" si="16"/>
        <v>3.8199999999999998E-2</v>
      </c>
      <c r="L101">
        <f t="shared" si="17"/>
        <v>0.09</v>
      </c>
      <c r="M101" s="4">
        <f t="shared" si="28"/>
        <v>3.82E-5</v>
      </c>
      <c r="N101" s="4">
        <f t="shared" si="29"/>
        <v>8.9999999999999992E-5</v>
      </c>
    </row>
    <row r="102" spans="1:14">
      <c r="A102" t="str">
        <f t="shared" si="18"/>
        <v>MK~BR_CN~Causas_MN~CCV_YQ~19Q1Q4_CP~NONE_OB~LDS_PK~NONE</v>
      </c>
      <c r="B102" t="str">
        <f t="shared" si="19"/>
        <v>Oath BR</v>
      </c>
      <c r="C102" t="str">
        <f t="shared" si="20"/>
        <v>CH~DISPLAY_DT~MULTI_PB~OAT_FM~BANNER_RT~CPM_PD~CAUSAS_FINALIZE_CADASTRO_TINTURA_320X50_320X50_TG~BHVDEM_TS~NONE_SZ~320X50_SOCIAL_MK~BR_IT~SOCIAL_VV~NONE</v>
      </c>
      <c r="D102" t="str">
        <f t="shared" si="21"/>
        <v>233318467</v>
      </c>
      <c r="E102" t="str">
        <f t="shared" si="22"/>
        <v>Standard</v>
      </c>
      <c r="F102" t="str">
        <f t="shared" si="23"/>
        <v>CH~DISPLAY_DT~MULTI_PB~OAT_FM~BANNER_RT~CPM_PD~CAUSAS_FINALIZE_CADASTRO_TINTURA_320X50_320X50_TG~BHVDEM_TS~NONE_SZ~320X50_SOCIAL_MK~BR_IT~SOCIAL_VV~NONE</v>
      </c>
      <c r="G102" t="str">
        <f t="shared" si="24"/>
        <v>430986767</v>
      </c>
      <c r="H102" t="str">
        <f t="shared" si="25"/>
        <v>Display</v>
      </c>
      <c r="I102">
        <f t="shared" si="26"/>
        <v>6</v>
      </c>
      <c r="J102">
        <f t="shared" si="27"/>
        <v>0</v>
      </c>
      <c r="K102" s="4">
        <f t="shared" si="16"/>
        <v>3.8199999999999998E-2</v>
      </c>
      <c r="L102">
        <f t="shared" si="17"/>
        <v>0.09</v>
      </c>
      <c r="M102" s="4">
        <f t="shared" si="28"/>
        <v>2.2919999999999999E-4</v>
      </c>
      <c r="N102" s="4">
        <f t="shared" si="29"/>
        <v>5.4000000000000001E-4</v>
      </c>
    </row>
    <row r="103" spans="1:14">
      <c r="A103" t="str">
        <f t="shared" si="18"/>
        <v>MK~BR_CN~Causas_MN~CCV_YQ~19Q1Q4_CP~NONE_OB~LDS_PK~NONE</v>
      </c>
      <c r="B103" t="str">
        <f t="shared" si="19"/>
        <v>Oath BR</v>
      </c>
      <c r="C103" t="str">
        <f t="shared" si="20"/>
        <v>CH~DISPLAY_DT~MULTI_PB~OAT_FM~BANNER_RT~CPM_PD~CAUSAS_FINALIZE_CADASTRO_TINTURA_728X90_728X90_TG~BHVDEM_TS~NONE_SZ~728X90_SOCIAL_MK~BR_IT~SOCIAL_VV~NONE</v>
      </c>
      <c r="D103" t="str">
        <f t="shared" si="21"/>
        <v>233318461</v>
      </c>
      <c r="E103" t="str">
        <f t="shared" si="22"/>
        <v>Standard</v>
      </c>
      <c r="F103" t="str">
        <f t="shared" si="23"/>
        <v>CH~DISPLAY_DT~MULTI_PB~OAT_FM~BANNER_RT~CPM_PD~CAUSAS_FINALIZE_CADASTRO_TINTURA_728X90_728X90_TG~BHVDEM_TS~NONE_SZ~728X90_SOCIAL_MK~BR_IT~SOCIAL_VV~NONE</v>
      </c>
      <c r="G103" t="str">
        <f t="shared" si="24"/>
        <v>430986770</v>
      </c>
      <c r="H103" t="str">
        <f t="shared" si="25"/>
        <v>Display</v>
      </c>
      <c r="I103">
        <f t="shared" si="26"/>
        <v>4</v>
      </c>
      <c r="J103">
        <f t="shared" si="27"/>
        <v>0</v>
      </c>
      <c r="K103" s="4">
        <f t="shared" si="16"/>
        <v>3.8199999999999998E-2</v>
      </c>
      <c r="L103">
        <f t="shared" si="17"/>
        <v>0.09</v>
      </c>
      <c r="M103" s="4">
        <f t="shared" si="28"/>
        <v>1.528E-4</v>
      </c>
      <c r="N103" s="4">
        <f t="shared" si="29"/>
        <v>3.5999999999999997E-4</v>
      </c>
    </row>
    <row r="104" spans="1:14">
      <c r="A104" t="str">
        <f t="shared" si="18"/>
        <v>MK~BR_CN~Causas_MN~CCV_YQ~19Q1Q4_CP~NONE_OB~LDS_PK~NONE</v>
      </c>
      <c r="B104" t="str">
        <f t="shared" si="19"/>
        <v>Oath BR</v>
      </c>
      <c r="C104" t="str">
        <f t="shared" si="20"/>
        <v>CH~DISPLAY_DT~MULTI_PB~OAT_FM~BANNER_RT~CPM_PD~CAUSAS_FINALIZE_CADASTRO_TINTURA_970X250_970X250_TG~BHVDEM_TS~NONE_SZ~970X250_SOCIAL_MK~BR_IT~SOCIAL_VV~NONE</v>
      </c>
      <c r="D104" t="str">
        <f t="shared" si="21"/>
        <v>233318449</v>
      </c>
      <c r="E104" t="str">
        <f t="shared" si="22"/>
        <v>Standard</v>
      </c>
      <c r="F104" t="str">
        <f t="shared" si="23"/>
        <v>CH~DISPLAY_DT~MULTI_PB~OAT_FM~BANNER_RT~CPM_PD~CAUSAS_FINALIZE_CADASTRO_TINTURA_970X250_970X250_TG~BHVDEM_TS~NONE_SZ~970X250_SOCIAL_MK~BR_IT~SOCIAL_VV~NONE</v>
      </c>
      <c r="G104" t="str">
        <f t="shared" si="24"/>
        <v>430986773</v>
      </c>
      <c r="H104" t="str">
        <f t="shared" si="25"/>
        <v>Display</v>
      </c>
      <c r="I104">
        <f t="shared" si="26"/>
        <v>18</v>
      </c>
      <c r="J104">
        <f t="shared" si="27"/>
        <v>2</v>
      </c>
      <c r="K104" s="4">
        <f t="shared" si="16"/>
        <v>3.8199999999999998E-2</v>
      </c>
      <c r="L104">
        <f t="shared" si="17"/>
        <v>0.09</v>
      </c>
      <c r="M104" s="4">
        <f t="shared" si="28"/>
        <v>6.8760000000000002E-4</v>
      </c>
      <c r="N104" s="4">
        <f t="shared" si="29"/>
        <v>1.6199999999999999E-3</v>
      </c>
    </row>
    <row r="105" spans="1:14">
      <c r="A105" t="str">
        <f t="shared" si="18"/>
        <v>MK~BR_CN~Causas_MN~CCV_YQ~19Q1Q4_CP~NONE_OB~LDS_PK~NONE</v>
      </c>
      <c r="B105" t="str">
        <f t="shared" si="19"/>
        <v>Oath BR</v>
      </c>
      <c r="C105" t="str">
        <f t="shared" si="20"/>
        <v>CH~DISPLAY_DT~MULTI_PB~OAT_FM~BANNER_RT~CPM_PD~CAUSAS_FINALIZE_CADASTRO_TINTURA_970X90_970X90_TG~BHVDEM_TS~NONE_SZ~970X90_SOCIAL_MK~BR_IT~SOCIAL_VV~NONE</v>
      </c>
      <c r="D105" t="str">
        <f t="shared" si="21"/>
        <v>233318455</v>
      </c>
      <c r="E105" t="str">
        <f t="shared" si="22"/>
        <v>Standard</v>
      </c>
      <c r="F105" t="str">
        <f t="shared" si="23"/>
        <v>CH~DISPLAY_DT~MULTI_PB~OAT_FM~BANNER_RT~CPM_PD~CAUSAS_FINALIZE_CADASTRO_TINTURA_970X90_970X90_TG~BHVDEM_TS~NONE_SZ~970X90_SOCIAL_MK~BR_IT~SOCIAL_VV~NONE</v>
      </c>
      <c r="G105" t="str">
        <f t="shared" si="24"/>
        <v>431034072</v>
      </c>
      <c r="H105" t="str">
        <f t="shared" si="25"/>
        <v>Display</v>
      </c>
      <c r="I105">
        <f t="shared" si="26"/>
        <v>6</v>
      </c>
      <c r="J105">
        <f t="shared" si="27"/>
        <v>0</v>
      </c>
      <c r="K105" s="4">
        <f t="shared" si="16"/>
        <v>3.8199999999999998E-2</v>
      </c>
      <c r="L105">
        <f t="shared" si="17"/>
        <v>0.09</v>
      </c>
      <c r="M105" s="4">
        <f t="shared" si="28"/>
        <v>2.2919999999999999E-4</v>
      </c>
      <c r="N105" s="4">
        <f t="shared" si="29"/>
        <v>5.4000000000000001E-4</v>
      </c>
    </row>
    <row r="106" spans="1:14">
      <c r="A106" t="str">
        <f t="shared" si="18"/>
        <v>MK~BR_CN~Causas_MN~CCV_YQ~19Q1Q4_CP~NONE_OB~LDS_PK~NONE</v>
      </c>
      <c r="B106" t="str">
        <f t="shared" si="19"/>
        <v>Oath BR</v>
      </c>
      <c r="C106" t="str">
        <f t="shared" si="20"/>
        <v>CH~DISPLAY_DT~MULTI_PB~OAT_FM~NATIVE_AD_RT~CPM_PD~CAUSAS_ICONE_MAILAD_500X500_500X500_TG~BHVDEM_TS~NONE_SZ~500X500_SOCIAL_MK~BR_IT~SOCIAL_VV~NONE</v>
      </c>
      <c r="D106" t="str">
        <f t="shared" si="21"/>
        <v>233562480</v>
      </c>
      <c r="E106" t="str">
        <f t="shared" si="22"/>
        <v>Dynamic Click</v>
      </c>
      <c r="F106" t="str">
        <f t="shared" si="23"/>
        <v>CH~DISPLAY_DT~MULTI_PB~OAT_FM~NATIVE_AD_RT~CPM_PD~CAUSAS_ICONE_MAILAD_500X500_500X500_TG~BHVDEM_TS~NONE_SZ~500X500_SOCIAL_MK~BR_IT~SOCIAL_VV~NONE</v>
      </c>
      <c r="G106" t="str">
        <f t="shared" si="24"/>
        <v>431068495</v>
      </c>
      <c r="H106" t="str">
        <f t="shared" si="25"/>
        <v>Tracking</v>
      </c>
      <c r="I106">
        <f t="shared" si="26"/>
        <v>4891863</v>
      </c>
      <c r="J106">
        <f t="shared" si="27"/>
        <v>32605</v>
      </c>
      <c r="K106" s="4">
        <f t="shared" si="16"/>
        <v>3.5000000000000001E-3</v>
      </c>
      <c r="L106">
        <f t="shared" si="17"/>
        <v>0.02</v>
      </c>
      <c r="M106" s="4">
        <f t="shared" si="28"/>
        <v>114.11750000000001</v>
      </c>
      <c r="N106" s="4">
        <f t="shared" si="29"/>
        <v>652.1</v>
      </c>
    </row>
    <row r="107" spans="1:14">
      <c r="A107" t="str">
        <f t="shared" si="18"/>
        <v>MK~BR_CN~Causas_MN~CCV_YQ~19Q1Q4_CP~NONE_OB~LDS_PK~NONE</v>
      </c>
      <c r="B107" t="str">
        <f t="shared" si="19"/>
        <v>Oath BR</v>
      </c>
      <c r="C107" t="str">
        <f t="shared" si="20"/>
        <v>CH~DISPLAY_DT~MULTI_PB~OAT_FM~NATIVE_AD_RT~CPM_PD~CAUSAS_ICONE_MAILAD_500X500_500X500_TG~BHVDEM_TS~NONE_SZ~500X500_SOCIAL_MK~BR_IT~SOCIAL_VV~NONE</v>
      </c>
      <c r="D107" t="str">
        <f t="shared" si="21"/>
        <v>233562480</v>
      </c>
      <c r="E107" t="str">
        <f t="shared" si="22"/>
        <v>Dynamic Click</v>
      </c>
      <c r="F107" t="str">
        <f t="shared" si="23"/>
        <v>CH~DISPLAY_DT~MULTI_PB~OAT_FM~NATIVE_AD_RT~CPM_PD~CAUSAS_ICONE_MAILAD_500X500_500X500_TG~BHVDEM_TS~NONE_SZ~500X500_SOCIAL_MK~BR_IT~SOCIAL_VV~NONE</v>
      </c>
      <c r="G107" t="str">
        <f t="shared" si="24"/>
        <v>431068495</v>
      </c>
      <c r="H107" t="str">
        <f t="shared" si="25"/>
        <v>Tracking</v>
      </c>
      <c r="I107">
        <f t="shared" si="26"/>
        <v>339745</v>
      </c>
      <c r="J107">
        <f t="shared" si="27"/>
        <v>1386</v>
      </c>
      <c r="K107" s="4">
        <f t="shared" si="16"/>
        <v>3.5000000000000001E-3</v>
      </c>
      <c r="L107">
        <f t="shared" si="17"/>
        <v>0.02</v>
      </c>
      <c r="M107" s="4">
        <f t="shared" si="28"/>
        <v>4.851</v>
      </c>
      <c r="N107" s="4">
        <f t="shared" si="29"/>
        <v>27.72</v>
      </c>
    </row>
    <row r="108" spans="1:14">
      <c r="A108" t="str">
        <f t="shared" si="18"/>
        <v>MK~BR_CN~Causas_MN~CCV_YQ~19Q1Q4_CP~NONE_OB~LDS_PK~NONE</v>
      </c>
      <c r="B108" t="str">
        <f t="shared" si="19"/>
        <v>Oath BR</v>
      </c>
      <c r="C108" t="str">
        <f t="shared" si="20"/>
        <v>CH~DISPLAY_DT~MULTI_PB~OAT_FM~NATIVE_AD_RT~CPM_PD~CAUSAS_ICONE_MAILAD_FUNDOAZUL_500X500_500X500_TG~BHVDEM_TS~NONE_SZ~500X500_SOCIAL_MK~BR_IT~SOCIAL_VV~NONE</v>
      </c>
      <c r="D108" t="str">
        <f t="shared" si="21"/>
        <v>240908859</v>
      </c>
      <c r="E108" t="str">
        <f t="shared" si="22"/>
        <v>Dynamic Click</v>
      </c>
      <c r="F108" t="str">
        <f t="shared" si="23"/>
        <v>CH~DISPLAY_DT~MULTI_PB~OAT_FM~NATIVE_AD_RT~CPM_PD~CAUSAS_ICONE_MAILAD_FUNDOAZUL_500X500_500X500_TG~BHVDEM_TS~NONE_SZ~500X500_SOCIAL_MK~BR_IT~SOCIAL_VV~NONE</v>
      </c>
      <c r="G108" t="str">
        <f t="shared" si="24"/>
        <v>437679667</v>
      </c>
      <c r="H108" t="str">
        <f t="shared" si="25"/>
        <v>Tracking</v>
      </c>
      <c r="I108">
        <f t="shared" si="26"/>
        <v>74581</v>
      </c>
      <c r="J108">
        <f t="shared" si="27"/>
        <v>254</v>
      </c>
      <c r="K108" s="4">
        <f t="shared" ref="K108:K171" si="30">IF(LEFT(B108,3)="DBM",0,VLOOKUP(E108,tabela,2,FALSE))</f>
        <v>3.5000000000000001E-3</v>
      </c>
      <c r="L108">
        <f t="shared" ref="L108:L171" si="31">VLOOKUP(E108,tabela,3,FALSE)</f>
        <v>0.02</v>
      </c>
      <c r="M108" s="4">
        <f t="shared" si="28"/>
        <v>0.88900000000000001</v>
      </c>
      <c r="N108" s="4">
        <f t="shared" si="29"/>
        <v>5.08</v>
      </c>
    </row>
    <row r="109" spans="1:14">
      <c r="A109" t="str">
        <f t="shared" si="18"/>
        <v>MK~BR_CN~Causas_MN~CCV_YQ~19Q1Q4_CP~NONE_OB~LDS_PK~NONE</v>
      </c>
      <c r="B109" t="str">
        <f t="shared" si="19"/>
        <v>Oath BR</v>
      </c>
      <c r="C109" t="str">
        <f t="shared" si="20"/>
        <v>CH~DISPLAY_DT~MULTI_PB~OAT_FM~NATIVE_AD_RT~CPM_PD~CAUSAS_ICONE_STANDARAD_1200X627_970X250_TG~BHVDEM_TS~NONE_SZ~970X250_SOCIAL_MK~BR_IT~SOCIAL_VV~NONE</v>
      </c>
      <c r="D109" t="str">
        <f t="shared" si="21"/>
        <v>233562474</v>
      </c>
      <c r="E109" t="str">
        <f t="shared" si="22"/>
        <v>Default</v>
      </c>
      <c r="F109" t="str">
        <f t="shared" si="23"/>
        <v>1x1 Default Web Ad</v>
      </c>
      <c r="G109" t="str">
        <f t="shared" si="24"/>
        <v>431087211</v>
      </c>
      <c r="H109" t="str">
        <f t="shared" si="25"/>
        <v>Display</v>
      </c>
      <c r="I109">
        <f t="shared" si="26"/>
        <v>1</v>
      </c>
      <c r="J109">
        <f t="shared" si="27"/>
        <v>0</v>
      </c>
      <c r="K109" s="4">
        <f t="shared" si="30"/>
        <v>3.8199999999999998E-2</v>
      </c>
      <c r="L109">
        <f t="shared" si="31"/>
        <v>0.09</v>
      </c>
      <c r="M109" s="4">
        <f t="shared" si="28"/>
        <v>3.82E-5</v>
      </c>
      <c r="N109" s="4">
        <f t="shared" si="29"/>
        <v>8.9999999999999992E-5</v>
      </c>
    </row>
    <row r="110" spans="1:14">
      <c r="A110" t="str">
        <f t="shared" si="18"/>
        <v>MK~BR_CN~Causas_MN~CCV_YQ~19Q1Q4_CP~NONE_OB~LDS_PK~NONE</v>
      </c>
      <c r="B110" t="str">
        <f t="shared" si="19"/>
        <v>Oath BR</v>
      </c>
      <c r="C110" t="str">
        <f t="shared" si="20"/>
        <v>CH~DISPLAY_DT~MULTI_PB~OAT_FM~NATIVE_AD_RT~CPM_PD~CAUSAS_ICONE_STANDARAD_1200X627_970X250_TG~BHVDEM_TS~NONE_SZ~970X250_SOCIAL_MK~BR_IT~SOCIAL_VV~NONE</v>
      </c>
      <c r="D110" t="str">
        <f t="shared" si="21"/>
        <v>233562474</v>
      </c>
      <c r="E110" t="str">
        <f t="shared" si="22"/>
        <v>Dynamic Click</v>
      </c>
      <c r="F110" t="str">
        <f t="shared" si="23"/>
        <v>CH~DISPLAY_DT~MULTI_PB~OAT_FM~NATIVE_AD_RT~CPM_PD~CAUSAS_ICONE_STANDARAD_1200X627_970X250_TG~BHVDEM_TS~NONE_SZ~970X250_SOCIAL_MK~BR_IT~SOCIAL_VV~NONE</v>
      </c>
      <c r="G110" t="str">
        <f t="shared" si="24"/>
        <v>431068489</v>
      </c>
      <c r="H110" t="str">
        <f t="shared" si="25"/>
        <v>Tracking</v>
      </c>
      <c r="I110">
        <f t="shared" si="26"/>
        <v>10375369</v>
      </c>
      <c r="J110">
        <f t="shared" si="27"/>
        <v>138201</v>
      </c>
      <c r="K110" s="4">
        <f t="shared" si="30"/>
        <v>3.5000000000000001E-3</v>
      </c>
      <c r="L110">
        <f t="shared" si="31"/>
        <v>0.02</v>
      </c>
      <c r="M110" s="4">
        <f t="shared" si="28"/>
        <v>483.70350000000002</v>
      </c>
      <c r="N110" s="4">
        <f t="shared" si="29"/>
        <v>2764.02</v>
      </c>
    </row>
    <row r="111" spans="1:14">
      <c r="A111" t="str">
        <f t="shared" si="18"/>
        <v>MK~BR_CN~Causas_MN~CCV_YQ~19Q1Q4_CP~NONE_OB~LDS_PK~NONE</v>
      </c>
      <c r="B111" t="str">
        <f t="shared" si="19"/>
        <v>Oath BR</v>
      </c>
      <c r="C111" t="str">
        <f t="shared" si="20"/>
        <v>CH~DISPLAY_DT~MULTI_PB~OAT_FM~NATIVE_AD_RT~CPM_PD~CAUSAS_ICONE_STANDARAD_1200X627_970X250_TG~BHVDEM_TS~NONE_SZ~970X250_SOCIAL_MK~BR_IT~SOCIAL_VV~NONE</v>
      </c>
      <c r="D111" t="str">
        <f t="shared" si="21"/>
        <v>233562474</v>
      </c>
      <c r="E111" t="str">
        <f t="shared" si="22"/>
        <v>Dynamic Click</v>
      </c>
      <c r="F111" t="str">
        <f t="shared" si="23"/>
        <v>CH~DISPLAY_DT~MULTI_PB~OAT_FM~NATIVE_AD_RT~CPM_PD~CAUSAS_ICONE_STANDARAD_1200X627_970X250_TG~BHVDEM_TS~NONE_SZ~970X250_SOCIAL_MK~BR_IT~SOCIAL_VV~NONE</v>
      </c>
      <c r="G111" t="str">
        <f t="shared" si="24"/>
        <v>431068489</v>
      </c>
      <c r="H111" t="str">
        <f t="shared" si="25"/>
        <v>Tracking</v>
      </c>
      <c r="I111">
        <f t="shared" si="26"/>
        <v>2995327</v>
      </c>
      <c r="J111">
        <f t="shared" si="27"/>
        <v>26739</v>
      </c>
      <c r="K111" s="4">
        <f t="shared" si="30"/>
        <v>3.5000000000000001E-3</v>
      </c>
      <c r="L111">
        <f t="shared" si="31"/>
        <v>0.02</v>
      </c>
      <c r="M111" s="4">
        <f t="shared" si="28"/>
        <v>93.586500000000001</v>
      </c>
      <c r="N111" s="4">
        <f t="shared" si="29"/>
        <v>534.78</v>
      </c>
    </row>
    <row r="112" spans="1:14">
      <c r="A112" t="str">
        <f t="shared" si="18"/>
        <v>MK~BR_CN~Causas_MN~CCV_YQ~19Q1Q4_CP~NONE_OB~LDS_PK~NONE</v>
      </c>
      <c r="B112" t="str">
        <f t="shared" si="19"/>
        <v>Oath BR</v>
      </c>
      <c r="C112" t="str">
        <f t="shared" si="20"/>
        <v>CH~DISPLAY_DT~MULTI_PB~OAT_FM~NATIVE_AD_RT~CPM_PD~CAUSAS_ICONE_STREAMAD_FUNDOAZUL_1200X627_1200X627_TG~BHVDEM_TS~NONE_SZ~1200X627_SOCIAL_MK~BR_IT~SOCIAL_VV~NONE</v>
      </c>
      <c r="D112" t="str">
        <f t="shared" si="21"/>
        <v>240606020</v>
      </c>
      <c r="E112" t="str">
        <f t="shared" si="22"/>
        <v>Dynamic Click</v>
      </c>
      <c r="F112" t="str">
        <f t="shared" si="23"/>
        <v>CH~DISPLAY_DT~MULTI_PB~OAT_FM~NATIVE_AD_RT~CPM_PD~CAUSAS_ICONE_STREAMAD_FUNDOAZUL_1200X627_1200X627_TG~BHVDEM_TS~NONE_SZ~1200X627_SOCIAL_MK~BR_IT~SOCIAL_VV~NONE</v>
      </c>
      <c r="G112" t="str">
        <f t="shared" si="24"/>
        <v>437679655</v>
      </c>
      <c r="H112" t="str">
        <f t="shared" si="25"/>
        <v>Tracking</v>
      </c>
      <c r="I112">
        <f t="shared" si="26"/>
        <v>706058</v>
      </c>
      <c r="J112">
        <f t="shared" si="27"/>
        <v>5171</v>
      </c>
      <c r="K112" s="4">
        <f t="shared" si="30"/>
        <v>3.5000000000000001E-3</v>
      </c>
      <c r="L112">
        <f t="shared" si="31"/>
        <v>0.02</v>
      </c>
      <c r="M112" s="4">
        <f t="shared" si="28"/>
        <v>18.098500000000001</v>
      </c>
      <c r="N112" s="4">
        <f t="shared" si="29"/>
        <v>103.42</v>
      </c>
    </row>
    <row r="113" spans="1:14">
      <c r="A113" t="str">
        <f t="shared" si="18"/>
        <v>MK~BR_CN~Causas_MN~CCV_YQ~19Q1Q4_CP~NONE_OB~LDS_PK~NONE</v>
      </c>
      <c r="B113" t="str">
        <f t="shared" si="19"/>
        <v>Oath BR</v>
      </c>
      <c r="C113" t="str">
        <f t="shared" si="20"/>
        <v>CH~DISPLAY_DT~MULTI_PB~OAT_FM~NATIVE_AD_RT~CPM_PD~CAUSAS_ICONE_STREAMAD_FUNDOAZUL_180X180_180X180_TG~BHVDEM_TS~NONE_SZ~180X180_SOCIAL_MK~BR_IT~SOCIAL_VV~NONE</v>
      </c>
      <c r="D113" t="str">
        <f t="shared" si="21"/>
        <v>240607775</v>
      </c>
      <c r="E113" t="str">
        <f t="shared" si="22"/>
        <v>Dynamic Click</v>
      </c>
      <c r="F113" t="str">
        <f t="shared" si="23"/>
        <v>CH~DISPLAY_DT~MULTI_PB~OAT_FM~NATIVE_AD_RT~CPM_PD~CAUSAS_ICONE_STREAMAD_FUNDOAZUL_180X180_180X180_TG~BHVDEM_TS~NONE_SZ~180X180_SOCIAL_MK~BR_IT~SOCIAL_VV~NONE</v>
      </c>
      <c r="G113" t="str">
        <f t="shared" si="24"/>
        <v>437679661</v>
      </c>
      <c r="H113" t="str">
        <f t="shared" si="25"/>
        <v>Tracking</v>
      </c>
      <c r="I113">
        <f t="shared" si="26"/>
        <v>0</v>
      </c>
      <c r="J113">
        <f t="shared" si="27"/>
        <v>1</v>
      </c>
      <c r="K113" s="4">
        <f t="shared" si="30"/>
        <v>3.5000000000000001E-3</v>
      </c>
      <c r="L113">
        <f t="shared" si="31"/>
        <v>0.02</v>
      </c>
      <c r="M113" s="4">
        <f t="shared" si="28"/>
        <v>3.5000000000000001E-3</v>
      </c>
      <c r="N113" s="4">
        <f t="shared" si="29"/>
        <v>0.02</v>
      </c>
    </row>
    <row r="114" spans="1:14">
      <c r="A114" t="str">
        <f t="shared" si="18"/>
        <v>MK~BR_CN~Causas_MN~CCV_YQ~19Q1Q4_CP~NONE_OB~LDS_PK~NONE</v>
      </c>
      <c r="B114" t="str">
        <f t="shared" si="19"/>
        <v>Oath BR</v>
      </c>
      <c r="C114" t="str">
        <f t="shared" si="20"/>
        <v>CH~DISPLAY_DT~MULTI_PB~OAT_FM~NATIVE_AD_RT~CPM_PD~CAUSAS_ICONE_STREAMAD_FUNDOAZUL_627X627_627X627_TG~BHVDEM_TS~NONE_SZ~627X627_SOCIAL_MK~BR_IT~SOCIAL_VV~NONE</v>
      </c>
      <c r="D114" t="str">
        <f t="shared" si="21"/>
        <v>240908805</v>
      </c>
      <c r="E114" t="str">
        <f t="shared" si="22"/>
        <v>Dynamic Click</v>
      </c>
      <c r="F114" t="str">
        <f t="shared" si="23"/>
        <v>CH~DISPLAY_DT~MULTI_PB~OAT_FM~NATIVE_AD_RT~CPM_PD~CAUSAS_ICONE_STREAMAD_FUNDOAZUL_627X627_627X627_TG~BHVDEM_TS~NONE_SZ~627X627_SOCIAL_MK~BR_IT~SOCIAL_VV~NONE</v>
      </c>
      <c r="G114" t="str">
        <f t="shared" si="24"/>
        <v>437636981</v>
      </c>
      <c r="H114" t="str">
        <f t="shared" si="25"/>
        <v>Tracking</v>
      </c>
      <c r="I114">
        <f t="shared" si="26"/>
        <v>0</v>
      </c>
      <c r="J114">
        <f t="shared" si="27"/>
        <v>1</v>
      </c>
      <c r="K114" s="4">
        <f t="shared" si="30"/>
        <v>3.5000000000000001E-3</v>
      </c>
      <c r="L114">
        <f t="shared" si="31"/>
        <v>0.02</v>
      </c>
      <c r="M114" s="4">
        <f t="shared" si="28"/>
        <v>3.5000000000000001E-3</v>
      </c>
      <c r="N114" s="4">
        <f t="shared" si="29"/>
        <v>0.02</v>
      </c>
    </row>
    <row r="115" spans="1:14">
      <c r="A115" t="str">
        <f t="shared" si="18"/>
        <v>MK~BR_CN~Causas_MN~CCV_YQ~19Q1Q4_CP~NONE_OB~LDS_PK~NONE</v>
      </c>
      <c r="B115" t="str">
        <f t="shared" si="19"/>
        <v>Oath BR</v>
      </c>
      <c r="C115" t="str">
        <f t="shared" si="20"/>
        <v>CH~DISPLAY_DT~MULTI_PB~OAT_FM~NATIVE_AD_RT~CPM_PD~CAUSAS_TINTURA_MAILAD_500X500_500X500_TG~BHVDEM_TS~NONE_SZ~500X500_SOCIAL_MK~BR_IT~SOCIAL_VV~NONE</v>
      </c>
      <c r="D115" t="str">
        <f t="shared" si="21"/>
        <v>233562477</v>
      </c>
      <c r="E115" t="str">
        <f t="shared" si="22"/>
        <v>Dynamic Click</v>
      </c>
      <c r="F115" t="str">
        <f t="shared" si="23"/>
        <v>CH~DISPLAY_DT~MULTI_PB~OAT_FM~NATIVE_AD_RT~CPM_PD~CAUSAS_TINTURA_MAILAD_500X500_500X500_TG~BHVDEM_TS~NONE_SZ~500X500_SOCIAL_MK~BR_IT~SOCIAL_VV~NONE</v>
      </c>
      <c r="G115" t="str">
        <f t="shared" si="24"/>
        <v>431068492</v>
      </c>
      <c r="H115" t="str">
        <f t="shared" si="25"/>
        <v>Tracking</v>
      </c>
      <c r="I115">
        <f t="shared" si="26"/>
        <v>71069</v>
      </c>
      <c r="J115">
        <f t="shared" si="27"/>
        <v>697</v>
      </c>
      <c r="K115" s="4">
        <f t="shared" si="30"/>
        <v>3.5000000000000001E-3</v>
      </c>
      <c r="L115">
        <f t="shared" si="31"/>
        <v>0.02</v>
      </c>
      <c r="M115" s="4">
        <f t="shared" si="28"/>
        <v>2.4395000000000002</v>
      </c>
      <c r="N115" s="4">
        <f t="shared" si="29"/>
        <v>13.94</v>
      </c>
    </row>
    <row r="116" spans="1:14">
      <c r="A116" t="str">
        <f t="shared" si="18"/>
        <v>MK~BR_CN~Causas_MN~CCV_YQ~19Q1Q4_CP~NONE_OB~LDS_PK~NONE</v>
      </c>
      <c r="B116" t="str">
        <f t="shared" si="19"/>
        <v>Oath BR</v>
      </c>
      <c r="C116" t="str">
        <f t="shared" si="20"/>
        <v>CH~DISPLAY_DT~MULTI_PB~OAT_FM~NATIVE_AD_RT~CPM_PD~CAUSAS_TINTURA_MAILAD_500X500_500X500_TG~BHVDEM_TS~NONE_SZ~500X500_SOCIAL_MK~BR_IT~SOCIAL_VV~NONE</v>
      </c>
      <c r="D116" t="str">
        <f t="shared" si="21"/>
        <v>233562477</v>
      </c>
      <c r="E116" t="str">
        <f t="shared" si="22"/>
        <v>Dynamic Click</v>
      </c>
      <c r="F116" t="str">
        <f t="shared" si="23"/>
        <v>CH~DISPLAY_DT~MULTI_PB~OAT_FM~NATIVE_AD_RT~CPM_PD~CAUSAS_TINTURA_MAILAD_500X500_500X500_TG~BHVDEM_TS~NONE_SZ~500X500_SOCIAL_MK~BR_IT~SOCIAL_VV~NONE</v>
      </c>
      <c r="G116" t="str">
        <f t="shared" si="24"/>
        <v>431068492</v>
      </c>
      <c r="H116" t="str">
        <f t="shared" si="25"/>
        <v>Tracking</v>
      </c>
      <c r="I116">
        <f t="shared" si="26"/>
        <v>110107</v>
      </c>
      <c r="J116">
        <f t="shared" si="27"/>
        <v>714</v>
      </c>
      <c r="K116" s="4">
        <f t="shared" si="30"/>
        <v>3.5000000000000001E-3</v>
      </c>
      <c r="L116">
        <f t="shared" si="31"/>
        <v>0.02</v>
      </c>
      <c r="M116" s="4">
        <f t="shared" si="28"/>
        <v>2.4990000000000001</v>
      </c>
      <c r="N116" s="4">
        <f t="shared" si="29"/>
        <v>14.280000000000001</v>
      </c>
    </row>
    <row r="117" spans="1:14">
      <c r="A117" t="str">
        <f t="shared" si="18"/>
        <v>MK~BR_CN~Causas_MN~CCV_YQ~19Q1Q4_CP~NONE_OB~LDS_PK~NONE</v>
      </c>
      <c r="B117" t="str">
        <f t="shared" si="19"/>
        <v>Oath BR</v>
      </c>
      <c r="C117" t="str">
        <f t="shared" si="20"/>
        <v>CH~DISPLAY_DT~MULTI_PB~OAT_FM~NATIVE_AD_RT~CPM_PD~CAUSAS_TINTURA_STANDARAD_1200X627_1200X627_TG~BHVDEM_TS~NONE_SZ~1200X627_SOCIAL_MK~BR_IT~SOCIAL_VV~NONE</v>
      </c>
      <c r="D117" t="str">
        <f t="shared" si="21"/>
        <v>233562483</v>
      </c>
      <c r="E117" t="str">
        <f t="shared" si="22"/>
        <v>Dynamic Click</v>
      </c>
      <c r="F117" t="str">
        <f t="shared" si="23"/>
        <v>CH~DISPLAY_DT~MULTI_PB~OAT_FM~NATIVE_AD_RT~CPM_PD~CAUSAS_TINTURA_STANDARAD_1200X627_1200X627_TG~BHVDEM_TS~NONE_SZ~1200X627_SOCIAL_MK~BR_IT~SOCIAL_VV~NONE</v>
      </c>
      <c r="G117" t="str">
        <f t="shared" si="24"/>
        <v>431068498</v>
      </c>
      <c r="H117" t="str">
        <f t="shared" si="25"/>
        <v>Tracking</v>
      </c>
      <c r="I117">
        <f t="shared" si="26"/>
        <v>819755</v>
      </c>
      <c r="J117">
        <f t="shared" si="27"/>
        <v>14037</v>
      </c>
      <c r="K117" s="4">
        <f t="shared" si="30"/>
        <v>3.5000000000000001E-3</v>
      </c>
      <c r="L117">
        <f t="shared" si="31"/>
        <v>0.02</v>
      </c>
      <c r="M117" s="4">
        <f t="shared" si="28"/>
        <v>49.1295</v>
      </c>
      <c r="N117" s="4">
        <f t="shared" si="29"/>
        <v>280.74</v>
      </c>
    </row>
    <row r="118" spans="1:14">
      <c r="A118" t="str">
        <f t="shared" si="18"/>
        <v>MK~BR_CN~Causas_MN~CCV_YQ~19Q1Q4_CP~NONE_OB~LDS_PK~NONE</v>
      </c>
      <c r="B118" t="str">
        <f t="shared" si="19"/>
        <v>Oath BR</v>
      </c>
      <c r="C118" t="str">
        <f t="shared" si="20"/>
        <v>CH~DISPLAY_DT~MULTI_PB~OAT_FM~NATIVE_AD_RT~CPM_PD~CAUSAS_TINTURA_STANDARAD_1200X627_1200X627_TG~BHVDEM_TS~NONE_SZ~1200X627_SOCIAL_MK~BR_IT~SOCIAL_VV~NONE</v>
      </c>
      <c r="D118" t="str">
        <f t="shared" si="21"/>
        <v>233562483</v>
      </c>
      <c r="E118" t="str">
        <f t="shared" si="22"/>
        <v>Dynamic Click</v>
      </c>
      <c r="F118" t="str">
        <f t="shared" si="23"/>
        <v>CH~DISPLAY_DT~MULTI_PB~OAT_FM~NATIVE_AD_RT~CPM_PD~CAUSAS_TINTURA_STANDARAD_1200X627_1200X627_TG~BHVDEM_TS~NONE_SZ~1200X627_SOCIAL_MK~BR_IT~SOCIAL_VV~NONE</v>
      </c>
      <c r="G118" t="str">
        <f t="shared" si="24"/>
        <v>431068498</v>
      </c>
      <c r="H118" t="str">
        <f t="shared" si="25"/>
        <v>Tracking</v>
      </c>
      <c r="I118">
        <f t="shared" si="26"/>
        <v>612392</v>
      </c>
      <c r="J118">
        <f t="shared" si="27"/>
        <v>10765</v>
      </c>
      <c r="K118" s="4">
        <f t="shared" si="30"/>
        <v>3.5000000000000001E-3</v>
      </c>
      <c r="L118">
        <f t="shared" si="31"/>
        <v>0.02</v>
      </c>
      <c r="M118" s="4">
        <f t="shared" si="28"/>
        <v>37.677500000000002</v>
      </c>
      <c r="N118" s="4">
        <f t="shared" si="29"/>
        <v>215.3</v>
      </c>
    </row>
    <row r="119" spans="1:14">
      <c r="A119" t="str">
        <f t="shared" si="18"/>
        <v>MK~BR_CN~Causas_MN~CCV_YQ~19Q1Q4_CP~NONE_OB~LDS_PK~NONE</v>
      </c>
      <c r="B119" t="str">
        <f t="shared" si="19"/>
        <v>Shopback Brazil 1</v>
      </c>
      <c r="C119" t="str">
        <f t="shared" si="20"/>
        <v>CH~DISPLAY_DT~MULTI_PB~SPB_FM~POPUP_RT~CPL_PD~CAUSAS_SHOPBACK_1X1_TG~BHVDEM_TS~NONE_SZ~1X1_SOCIAL_MK~BR_IT~SOCIAL_VV~NONE</v>
      </c>
      <c r="D119" t="str">
        <f t="shared" si="21"/>
        <v>233444519</v>
      </c>
      <c r="E119" t="str">
        <f t="shared" si="22"/>
        <v>Dynamic Click</v>
      </c>
      <c r="F119" t="str">
        <f t="shared" si="23"/>
        <v>CH~DISPLAY_DT~MULTI_PB~SPB_FM~POPUP_RT~CPL_PD~CAUSAS_SHOPBACK_1X1_TG~BHVDEM_TS~NONE_SZ~1X1_SOCIAL_MK~BR_IT~SOCIAL_VV~NONE</v>
      </c>
      <c r="G119" t="str">
        <f t="shared" si="24"/>
        <v>431191476</v>
      </c>
      <c r="H119" t="str">
        <f t="shared" si="25"/>
        <v>Tracking</v>
      </c>
      <c r="I119">
        <f t="shared" si="26"/>
        <v>0</v>
      </c>
      <c r="J119">
        <f t="shared" si="27"/>
        <v>14469</v>
      </c>
      <c r="K119" s="4">
        <f t="shared" si="30"/>
        <v>3.5000000000000001E-3</v>
      </c>
      <c r="L119">
        <f t="shared" si="31"/>
        <v>0.02</v>
      </c>
      <c r="M119" s="4">
        <f t="shared" si="28"/>
        <v>50.641500000000001</v>
      </c>
      <c r="N119" s="4">
        <f t="shared" si="29"/>
        <v>289.38</v>
      </c>
    </row>
    <row r="120" spans="1:14">
      <c r="A120" t="str">
        <f t="shared" si="18"/>
        <v>MK~BR_CN~Causas_MN~CCV_YQ~19Q1Q4_CP~NONE_OB~LDS_PK~NONE</v>
      </c>
      <c r="B120" t="str">
        <f t="shared" si="19"/>
        <v>Shopback Brazil 1</v>
      </c>
      <c r="C120" t="str">
        <f t="shared" si="20"/>
        <v>CH~DISPLAY_DT~MULTI_PB~SPB_FM~POPUP_RT~CPL_PD~CAUSAS_SHOPBACK_1X1_TG~BHVDEM_TS~NONE_SZ~1X1_SOCIAL_MK~BR_IT~SOCIAL_VV~NONE</v>
      </c>
      <c r="D120" t="str">
        <f t="shared" si="21"/>
        <v>233444519</v>
      </c>
      <c r="E120" t="str">
        <f t="shared" si="22"/>
        <v>Dynamic Click</v>
      </c>
      <c r="F120" t="str">
        <f t="shared" si="23"/>
        <v>CH~DISPLAY_DT~MULTI_PB~SPB_FM~POPUP_RT~CPL_PD~CAUSAS_SHOPBACK_1X1_TG~BHVDEM_TS~NONE_SZ~1X1_SOCIAL_MK~BR_IT~SOCIAL_VV~NONE</v>
      </c>
      <c r="G120" t="str">
        <f t="shared" si="24"/>
        <v>431191476</v>
      </c>
      <c r="H120" t="str">
        <f t="shared" si="25"/>
        <v>Tracking</v>
      </c>
      <c r="I120">
        <f t="shared" si="26"/>
        <v>0</v>
      </c>
      <c r="J120">
        <f t="shared" si="27"/>
        <v>7114</v>
      </c>
      <c r="K120" s="4">
        <f t="shared" si="30"/>
        <v>3.5000000000000001E-3</v>
      </c>
      <c r="L120">
        <f t="shared" si="31"/>
        <v>0.02</v>
      </c>
      <c r="M120" s="4">
        <f t="shared" si="28"/>
        <v>24.899000000000001</v>
      </c>
      <c r="N120" s="4">
        <f t="shared" si="29"/>
        <v>142.28</v>
      </c>
    </row>
    <row r="121" spans="1:14">
      <c r="A121" t="str">
        <f t="shared" si="18"/>
        <v>MK~BR_CN~Causas_MN~CCV_YQ~19Q1Q4_CP~NONE_OB~LDS_PK~NONE</v>
      </c>
      <c r="B121" t="str">
        <f t="shared" si="19"/>
        <v>Twitter - Official</v>
      </c>
      <c r="C121" t="str">
        <f t="shared" si="20"/>
        <v>CH~SOCIAL_DT~MULTI_PB~TWTT_FM~PROMOTED_POST_RT~CPM_PD~CAUSAS_TWITTER_TINTURA_1X1_TG~BHVDEM_TS~NONE_SZ~1X1_SOCIAL_MK~BR_IT~SOCIAL_VV~NONE</v>
      </c>
      <c r="D121" t="str">
        <f t="shared" si="21"/>
        <v>233562393</v>
      </c>
      <c r="E121" t="str">
        <f t="shared" si="22"/>
        <v>Dynamic Click</v>
      </c>
      <c r="F121" t="str">
        <f t="shared" si="23"/>
        <v>CH~SOCIAL_DT~MULTI_PB~TWTT_FM~PROMOTED_POST_RT~CPM_PD~CAUSAS_TWITTER_TINTURA_1X1_TG~BHVDEM_TS~NONE_SZ~1X1_SOCIAL_MK~BR_IT~SOCIAL_VV~NONE</v>
      </c>
      <c r="G121" t="str">
        <f t="shared" si="24"/>
        <v>431068408</v>
      </c>
      <c r="H121" t="str">
        <f t="shared" si="25"/>
        <v>Tracking</v>
      </c>
      <c r="I121">
        <f t="shared" si="26"/>
        <v>1431068</v>
      </c>
      <c r="J121">
        <f t="shared" si="27"/>
        <v>4543</v>
      </c>
      <c r="K121" s="4">
        <f t="shared" si="30"/>
        <v>3.5000000000000001E-3</v>
      </c>
      <c r="L121">
        <f t="shared" si="31"/>
        <v>0.02</v>
      </c>
      <c r="M121" s="4">
        <f t="shared" si="28"/>
        <v>15.900500000000001</v>
      </c>
      <c r="N121" s="4">
        <f t="shared" si="29"/>
        <v>90.86</v>
      </c>
    </row>
    <row r="122" spans="1:14">
      <c r="A122" t="str">
        <f t="shared" si="18"/>
        <v>MK~BR_CN~Vai_de_Visa_MN~NONE_YQ~19Q1Q4_CP~NONE_OB~LDS_PK~NONE</v>
      </c>
      <c r="B122" t="str">
        <f t="shared" si="19"/>
        <v>Ads Movil</v>
      </c>
      <c r="C122" t="str">
        <f t="shared" si="20"/>
        <v>CH~DISPLAY_DT~MULTI_PB~ADSM_FM~BANNER_RT~CPM_PD~VDV_DECOLAR_ADSMOVIL_BANNER_STANDARD_300X250_300X250_TG~BHVDEM_TS~NONE_SZ~300X250_DISPLAY_MK~BR_IT~DISPLAY_VV~NONE</v>
      </c>
      <c r="D122" t="str">
        <f t="shared" si="21"/>
        <v>240771874</v>
      </c>
      <c r="E122" t="str">
        <f t="shared" si="22"/>
        <v>Dynamic Click</v>
      </c>
      <c r="F122" t="str">
        <f t="shared" si="23"/>
        <v>CH~DISPLAY_DT~MULTI_PB~ADSM_FM~BANNER_RT~CPM_PD~VDV_DECOLAR_ADSMOVIL_BANNER_STANDARD_300X250_300X250_TG~BHVDEM_TS~NONE_SZ~300X250_DISPLAY_MK~BR_IT~DISPLAY_VV~NONE</v>
      </c>
      <c r="G122" t="str">
        <f t="shared" si="24"/>
        <v>437765539</v>
      </c>
      <c r="H122" t="str">
        <f t="shared" si="25"/>
        <v>Tracking</v>
      </c>
      <c r="I122">
        <f t="shared" si="26"/>
        <v>0</v>
      </c>
      <c r="J122">
        <f t="shared" si="27"/>
        <v>908</v>
      </c>
      <c r="K122" s="4">
        <f t="shared" si="30"/>
        <v>3.5000000000000001E-3</v>
      </c>
      <c r="L122">
        <f t="shared" si="31"/>
        <v>0.02</v>
      </c>
      <c r="M122" s="4">
        <f t="shared" si="28"/>
        <v>3.1779999999999999</v>
      </c>
      <c r="N122" s="4">
        <f t="shared" si="29"/>
        <v>18.16</v>
      </c>
    </row>
    <row r="123" spans="1:14">
      <c r="A123" t="str">
        <f t="shared" si="18"/>
        <v>MK~BR_CN~Vai_de_Visa_MN~NONE_YQ~19Q1Q4_CP~NONE_OB~LDS_PK~NONE</v>
      </c>
      <c r="B123" t="str">
        <f t="shared" si="19"/>
        <v>Ads Movil</v>
      </c>
      <c r="C123" t="str">
        <f t="shared" si="20"/>
        <v>CH~DISPLAY_DT~MULTI_PB~ADSM_FM~BANNER_RT~CPM_PD~VDV_DECOLAR_ADSMOVIL_BANNER_STANDARD_320X50_320X50_TG~BHVDEM_TS~NONE_SZ~320X50_DISPLAY_MK~BR_IT~DISPLAY_VV~NONE</v>
      </c>
      <c r="D123" t="str">
        <f t="shared" si="21"/>
        <v>240771871</v>
      </c>
      <c r="E123" t="str">
        <f t="shared" si="22"/>
        <v>Dynamic Click</v>
      </c>
      <c r="F123" t="str">
        <f t="shared" si="23"/>
        <v>CH~DISPLAY_DT~MULTI_PB~ADSM_FM~BANNER_RT~CPM_PD~VDV_DECOLAR_ADSMOVIL_BANNER_STANDARD_320X50_320X50_TG~BHVDEM_TS~NONE_SZ~320X50_DISPLAY_MK~BR_IT~DISPLAY_VV~NONE</v>
      </c>
      <c r="G123" t="str">
        <f t="shared" si="24"/>
        <v>437765536</v>
      </c>
      <c r="H123" t="str">
        <f t="shared" si="25"/>
        <v>Tracking</v>
      </c>
      <c r="I123">
        <f t="shared" si="26"/>
        <v>0</v>
      </c>
      <c r="J123">
        <f t="shared" si="27"/>
        <v>3876</v>
      </c>
      <c r="K123" s="4">
        <f t="shared" si="30"/>
        <v>3.5000000000000001E-3</v>
      </c>
      <c r="L123">
        <f t="shared" si="31"/>
        <v>0.02</v>
      </c>
      <c r="M123" s="4">
        <f t="shared" si="28"/>
        <v>13.566000000000001</v>
      </c>
      <c r="N123" s="4">
        <f t="shared" si="29"/>
        <v>77.52</v>
      </c>
    </row>
    <row r="124" spans="1:14">
      <c r="A124" t="str">
        <f t="shared" si="18"/>
        <v>MK~BR_CN~Vai_de_Visa_MN~NONE_YQ~19Q1Q4_CP~NONE_OB~LDS_PK~NONE</v>
      </c>
      <c r="B124" t="str">
        <f t="shared" si="19"/>
        <v>Ads Movil</v>
      </c>
      <c r="C124" t="str">
        <f t="shared" si="20"/>
        <v>CH~DISPLAY_DT~MULTI_PB~ADSM_FM~BANNER_RT~CPM_PD~VDV_PAODEACUCAR_ADSMOVIL_BANNER_STANDARD_300X250_300X250_TG~BHVDEM_TS~NONE_SZ~300X250_DISPLAY_MK~BR_IT~DISPLAY_VV~NONE</v>
      </c>
      <c r="D124" t="str">
        <f t="shared" si="21"/>
        <v>240771892</v>
      </c>
      <c r="E124" t="str">
        <f t="shared" si="22"/>
        <v>Dynamic Click</v>
      </c>
      <c r="F124" t="str">
        <f t="shared" si="23"/>
        <v>CH~DISPLAY_DT~MULTI_PB~ADSM_FM~BANNER_RT~CPM_PD~VDV_PAODEACUCAR_ADSMOVIL_BANNER_STANDARD_300X250_300X250_TG~BHVDEM_TS~NONE_SZ~300X250_DISPLAY_MK~BR_IT~DISPLAY_VV~NONE</v>
      </c>
      <c r="G124" t="str">
        <f t="shared" si="24"/>
        <v>437765557</v>
      </c>
      <c r="H124" t="str">
        <f t="shared" si="25"/>
        <v>Tracking</v>
      </c>
      <c r="I124">
        <f t="shared" si="26"/>
        <v>0</v>
      </c>
      <c r="J124">
        <f t="shared" si="27"/>
        <v>2569</v>
      </c>
      <c r="K124" s="4">
        <f t="shared" si="30"/>
        <v>3.5000000000000001E-3</v>
      </c>
      <c r="L124">
        <f t="shared" si="31"/>
        <v>0.02</v>
      </c>
      <c r="M124" s="4">
        <f t="shared" si="28"/>
        <v>8.9915000000000003</v>
      </c>
      <c r="N124" s="4">
        <f t="shared" si="29"/>
        <v>51.38</v>
      </c>
    </row>
    <row r="125" spans="1:14">
      <c r="A125" t="str">
        <f t="shared" si="18"/>
        <v>MK~BR_CN~Vai_de_Visa_MN~NONE_YQ~19Q1Q4_CP~NONE_OB~LDS_PK~NONE</v>
      </c>
      <c r="B125" t="str">
        <f t="shared" si="19"/>
        <v>Ads Movil</v>
      </c>
      <c r="C125" t="str">
        <f t="shared" si="20"/>
        <v>CH~DISPLAY_DT~MULTI_PB~ADSM_FM~BANNER_RT~CPM_PD~VDV_PAODEACUCAR_ADSMOVIL_BANNER_STANDARD_300X50_300X50_TG~BHVDEM_TS~NONE_SZ~300X50_DISPLAY_MK~BR_IT~DISPLAY_VV~NONE</v>
      </c>
      <c r="D125" t="str">
        <f t="shared" si="21"/>
        <v>240771898</v>
      </c>
      <c r="E125" t="str">
        <f t="shared" si="22"/>
        <v>Dynamic Click</v>
      </c>
      <c r="F125" t="str">
        <f t="shared" si="23"/>
        <v>CH~DISPLAY_DT~MULTI_PB~ADSM_FM~BANNER_RT~CPM_PD~VDV_PAODEACUCAR_ADSMOVIL_BANNER_STANDARD_300X50_300X50_TG~BHVDEM_TS~NONE_SZ~300X50_DISPLAY_MK~BR_IT~DISPLAY_VV~NONE</v>
      </c>
      <c r="G125" t="str">
        <f t="shared" si="24"/>
        <v>437765563</v>
      </c>
      <c r="H125" t="str">
        <f t="shared" si="25"/>
        <v>Tracking</v>
      </c>
      <c r="I125">
        <f t="shared" si="26"/>
        <v>0</v>
      </c>
      <c r="J125">
        <f t="shared" si="27"/>
        <v>1</v>
      </c>
      <c r="K125" s="4">
        <f t="shared" si="30"/>
        <v>3.5000000000000001E-3</v>
      </c>
      <c r="L125">
        <f t="shared" si="31"/>
        <v>0.02</v>
      </c>
      <c r="M125" s="4">
        <f t="shared" si="28"/>
        <v>3.5000000000000001E-3</v>
      </c>
      <c r="N125" s="4">
        <f t="shared" si="29"/>
        <v>0.02</v>
      </c>
    </row>
    <row r="126" spans="1:14">
      <c r="A126" t="str">
        <f t="shared" si="18"/>
        <v>MK~BR_CN~Vai_de_Visa_MN~NONE_YQ~19Q1Q4_CP~NONE_OB~LDS_PK~NONE</v>
      </c>
      <c r="B126" t="str">
        <f t="shared" si="19"/>
        <v>Ads Movil</v>
      </c>
      <c r="C126" t="str">
        <f t="shared" si="20"/>
        <v>CH~DISPLAY_DT~MULTI_PB~ADSM_FM~BANNER_RT~CPM_PD~VDV_PAODEACUCAR_ADSMOVIL_BANNER_STANDARD_320X50_320X50_TG~BHVDEM_TS~NONE_SZ~320X50_DISPLAY_MK~BR_IT~DISPLAY_VV~NONE</v>
      </c>
      <c r="D126" t="str">
        <f t="shared" si="21"/>
        <v>240771886</v>
      </c>
      <c r="E126" t="str">
        <f t="shared" si="22"/>
        <v>Dynamic Click</v>
      </c>
      <c r="F126" t="str">
        <f t="shared" si="23"/>
        <v>CH~DISPLAY_DT~MULTI_PB~ADSM_FM~BANNER_RT~CPM_PD~VDV_PAODEACUCAR_ADSMOVIL_BANNER_STANDARD_320X50_320X50_TG~BHVDEM_TS~NONE_SZ~320X50_DISPLAY_MK~BR_IT~DISPLAY_VV~NONE</v>
      </c>
      <c r="G126" t="str">
        <f t="shared" si="24"/>
        <v>437765551</v>
      </c>
      <c r="H126" t="str">
        <f t="shared" si="25"/>
        <v>Tracking</v>
      </c>
      <c r="I126">
        <f t="shared" si="26"/>
        <v>0</v>
      </c>
      <c r="J126">
        <f t="shared" si="27"/>
        <v>8545</v>
      </c>
      <c r="K126" s="4">
        <f t="shared" si="30"/>
        <v>3.5000000000000001E-3</v>
      </c>
      <c r="L126">
        <f t="shared" si="31"/>
        <v>0.02</v>
      </c>
      <c r="M126" s="4">
        <f t="shared" si="28"/>
        <v>29.907499999999999</v>
      </c>
      <c r="N126" s="4">
        <f t="shared" si="29"/>
        <v>170.9</v>
      </c>
    </row>
    <row r="127" spans="1:14">
      <c r="A127" t="str">
        <f t="shared" si="18"/>
        <v>MK~BR_CN~Vai_de_Visa_MN~NONE_YQ~19Q1Q4_CP~NONE_OB~LDS_PK~NONE</v>
      </c>
      <c r="B127" t="str">
        <f t="shared" si="19"/>
        <v>Ads Movil</v>
      </c>
      <c r="C127" t="str">
        <f t="shared" si="20"/>
        <v>CH~DISPLAY_DT~MULTI_PB~ADSM_FM~PUSH_RT~CPM_PD~VDV_DECOLAR_ADSMOVIL_PUSH_FUNDO_BRANCO_1X1_TG~BHVDEM_TS~NONE_SZ~1X1_DISPLAY_MK~BR_IT~DISPLAY_VV~NONE</v>
      </c>
      <c r="D127" t="str">
        <f t="shared" si="21"/>
        <v>240771889</v>
      </c>
      <c r="E127" t="str">
        <f t="shared" si="22"/>
        <v>Dynamic Click</v>
      </c>
      <c r="F127" t="str">
        <f t="shared" si="23"/>
        <v>CH~DISPLAY_DT~MULTI_PB~ADSM_FM~PUSH_RT~CPM_PD~VDV_DECOLAR_ADSMOVIL_PUSH_FUNDO_BRANCO_1X1_TG~BHVDEM_TS~NONE_SZ~1X1_DISPLAY_MK~BR_IT~DISPLAY_VV~NONE</v>
      </c>
      <c r="G127" t="str">
        <f t="shared" si="24"/>
        <v>437765554</v>
      </c>
      <c r="H127" t="str">
        <f t="shared" si="25"/>
        <v>Tracking</v>
      </c>
      <c r="I127">
        <f t="shared" si="26"/>
        <v>0</v>
      </c>
      <c r="J127">
        <f t="shared" si="27"/>
        <v>2688</v>
      </c>
      <c r="K127" s="4">
        <f t="shared" si="30"/>
        <v>3.5000000000000001E-3</v>
      </c>
      <c r="L127">
        <f t="shared" si="31"/>
        <v>0.02</v>
      </c>
      <c r="M127" s="4">
        <f t="shared" si="28"/>
        <v>9.4079999999999995</v>
      </c>
      <c r="N127" s="4">
        <f t="shared" si="29"/>
        <v>53.76</v>
      </c>
    </row>
    <row r="128" spans="1:14">
      <c r="A128" t="str">
        <f t="shared" si="18"/>
        <v>MK~BR_CN~Vai_de_Visa_MN~NONE_YQ~19Q1Q4_CP~NONE_OB~LDS_PK~NONE</v>
      </c>
      <c r="B128" t="str">
        <f t="shared" si="19"/>
        <v>Ads Movil</v>
      </c>
      <c r="C128" t="str">
        <f t="shared" si="20"/>
        <v>CH~DISPLAY_DT~MULTI_PB~ADSM_FM~PUSH_RT~CPM_PD~VDV_DECOLAR_ADSMOVIL_PUSH_TRANSPARENTE_1X1_TG~BHVDEM_TS~NONE_SZ~1X1_DISPLAY_MK~BR_IT~DISPLAY_VV~NONE</v>
      </c>
      <c r="D128" t="str">
        <f t="shared" si="21"/>
        <v>240771895</v>
      </c>
      <c r="E128" t="str">
        <f t="shared" si="22"/>
        <v>Dynamic Click</v>
      </c>
      <c r="F128" t="str">
        <f t="shared" si="23"/>
        <v>CH~DISPLAY_DT~MULTI_PB~ADSM_FM~PUSH_RT~CPM_PD~VDV_DECOLAR_ADSMOVIL_PUSH_TRANSPARENTE_1X1_TG~BHVDEM_TS~NONE_SZ~1X1_DISPLAY_MK~BR_IT~DISPLAY_VV~NONE</v>
      </c>
      <c r="G128" t="str">
        <f t="shared" si="24"/>
        <v>437765560</v>
      </c>
      <c r="H128" t="str">
        <f t="shared" si="25"/>
        <v>Tracking</v>
      </c>
      <c r="I128">
        <f t="shared" si="26"/>
        <v>0</v>
      </c>
      <c r="J128">
        <f t="shared" si="27"/>
        <v>2749</v>
      </c>
      <c r="K128" s="4">
        <f t="shared" si="30"/>
        <v>3.5000000000000001E-3</v>
      </c>
      <c r="L128">
        <f t="shared" si="31"/>
        <v>0.02</v>
      </c>
      <c r="M128" s="4">
        <f t="shared" si="28"/>
        <v>9.6215000000000011</v>
      </c>
      <c r="N128" s="4">
        <f t="shared" si="29"/>
        <v>54.980000000000004</v>
      </c>
    </row>
    <row r="129" spans="1:14">
      <c r="A129" t="str">
        <f t="shared" si="18"/>
        <v>MK~BR_CN~Vai_de_Visa_MN~NONE_YQ~19Q1Q4_CP~NONE_OB~LDS_PK~NONE</v>
      </c>
      <c r="B129" t="str">
        <f t="shared" si="19"/>
        <v>Ads Movil</v>
      </c>
      <c r="C129" t="str">
        <f t="shared" si="20"/>
        <v>CH~DISPLAY_DT~MULTI_PB~ADSM_FM~PUSH_RT~CPM_PD~VDV_GOL_ADSMOVIL_PUSH_INTERNETGRATIS_FUNDOBRANCO_1X1_TG~BHVDEM_TS~NONE_SZ~1X1_DISPLAY_MK~BR_IT~DISPLAY_VV~NONE</v>
      </c>
      <c r="D129" t="str">
        <f t="shared" si="21"/>
        <v>240843181</v>
      </c>
      <c r="E129" t="str">
        <f t="shared" si="22"/>
        <v>Dynamic Click</v>
      </c>
      <c r="F129" t="str">
        <f t="shared" si="23"/>
        <v>CH~DISPLAY_DT~MULTI_PB~ADSM_FM~PUSH_RT~CPM_PD~VDV_GOL_ADSMOVIL_PUSH_INTERNETGRATIS_FUNDOBRANCO_1X1_TG~BHVDEM_TS~NONE_SZ~1X1_DISPLAY_MK~BR_IT~DISPLAY_VV~NONE</v>
      </c>
      <c r="G129" t="str">
        <f t="shared" si="24"/>
        <v>437838739</v>
      </c>
      <c r="H129" t="str">
        <f t="shared" si="25"/>
        <v>Tracking</v>
      </c>
      <c r="I129">
        <f t="shared" si="26"/>
        <v>0</v>
      </c>
      <c r="J129">
        <f t="shared" si="27"/>
        <v>4536</v>
      </c>
      <c r="K129" s="4">
        <f t="shared" si="30"/>
        <v>3.5000000000000001E-3</v>
      </c>
      <c r="L129">
        <f t="shared" si="31"/>
        <v>0.02</v>
      </c>
      <c r="M129" s="4">
        <f t="shared" si="28"/>
        <v>15.875999999999999</v>
      </c>
      <c r="N129" s="4">
        <f t="shared" si="29"/>
        <v>90.72</v>
      </c>
    </row>
    <row r="130" spans="1:14">
      <c r="A130" t="str">
        <f t="shared" ref="A130:A193" si="32">bd_campaign</f>
        <v>MK~BR_CN~Vai_de_Visa_MN~NONE_YQ~19Q1Q4_CP~NONE_OB~LDS_PK~NONE</v>
      </c>
      <c r="B130" t="str">
        <f t="shared" ref="B130:B193" si="33">bd_site</f>
        <v>Ads Movil</v>
      </c>
      <c r="C130" t="str">
        <f t="shared" ref="C130:C193" si="34">bd_placement</f>
        <v>CH~DISPLAY_DT~MULTI_PB~ADSM_FM~PUSH_RT~CPM_PD~VDV_GOL_ADSMOVIL_PUSH_INTERNETGRATIS_TRANSPARENTE_1X1_TG~BHVDEM_TS~NONE_SZ~1X1_DISPLAY_MK~BR_IT~DISPLAY_VV~NONE</v>
      </c>
      <c r="D130" t="str">
        <f t="shared" ref="D130:D193" si="35">bd_placementID</f>
        <v>240843184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CH~DISPLAY_DT~MULTI_PB~ADSM_FM~PUSH_RT~CPM_PD~VDV_GOL_ADSMOVIL_PUSH_INTERNETGRATIS_TRANSPARENTE_1X1_TG~BHVDEM_TS~NONE_SZ~1X1_DISPLAY_MK~BR_IT~DISPLAY_VV~NONE</v>
      </c>
      <c r="G130" t="str">
        <f t="shared" ref="G130:G193" si="38">bd_adid</f>
        <v>437838742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4450</v>
      </c>
      <c r="K130" s="4">
        <f t="shared" si="30"/>
        <v>3.5000000000000001E-3</v>
      </c>
      <c r="L130">
        <f t="shared" si="31"/>
        <v>0.02</v>
      </c>
      <c r="M130" s="4">
        <f t="shared" si="28"/>
        <v>15.575000000000001</v>
      </c>
      <c r="N130" s="4">
        <f t="shared" si="29"/>
        <v>89</v>
      </c>
    </row>
    <row r="131" spans="1:14">
      <c r="A131" t="str">
        <f t="shared" si="32"/>
        <v>MK~BR_CN~Vai_de_Visa_MN~NONE_YQ~19Q1Q4_CP~NONE_OB~LDS_PK~NONE</v>
      </c>
      <c r="B131" t="str">
        <f t="shared" si="33"/>
        <v>Ads Movil</v>
      </c>
      <c r="C131" t="str">
        <f t="shared" si="34"/>
        <v>CH~DISPLAY_DT~MULTI_PB~ADSM_FM~PUSH_RT~CPM_PD~VDV_MOVIDA_ADSMOVIL_PUSH_FUNDO_BRANCO_1X1_TG~BHVDEM_TS~NONE_SZ~1X1_DISPLAY_MK~BR_IT~DISPLAY_VV~NONE</v>
      </c>
      <c r="D131" t="str">
        <f t="shared" si="35"/>
        <v>240746255</v>
      </c>
      <c r="E131" t="str">
        <f t="shared" si="36"/>
        <v>Dynamic Click</v>
      </c>
      <c r="F131" t="str">
        <f t="shared" si="37"/>
        <v>CH~DISPLAY_DT~MULTI_PB~ADSM_FM~PUSH_RT~CPM_PD~VDV_MOVIDA_ADSMOVIL_PUSH_FUNDO_BRANCO_1X1_TG~BHVDEM_TS~NONE_SZ~1X1_DISPLAY_MK~BR_IT~DISPLAY_VV~NONE</v>
      </c>
      <c r="G131" t="str">
        <f t="shared" si="38"/>
        <v>437780822</v>
      </c>
      <c r="H131" t="str">
        <f t="shared" si="39"/>
        <v>Tracking</v>
      </c>
      <c r="I131">
        <f t="shared" si="40"/>
        <v>0</v>
      </c>
      <c r="J131">
        <f t="shared" si="41"/>
        <v>4879</v>
      </c>
      <c r="K131" s="4">
        <f t="shared" si="30"/>
        <v>3.5000000000000001E-3</v>
      </c>
      <c r="L131">
        <f t="shared" si="31"/>
        <v>0.02</v>
      </c>
      <c r="M131" s="4">
        <f t="shared" si="28"/>
        <v>17.076499999999999</v>
      </c>
      <c r="N131" s="4">
        <f t="shared" si="29"/>
        <v>97.58</v>
      </c>
    </row>
    <row r="132" spans="1:14">
      <c r="A132" t="str">
        <f t="shared" si="32"/>
        <v>MK~BR_CN~Vai_de_Visa_MN~NONE_YQ~19Q1Q4_CP~NONE_OB~LDS_PK~NONE</v>
      </c>
      <c r="B132" t="str">
        <f t="shared" si="33"/>
        <v>Ads Movil</v>
      </c>
      <c r="C132" t="str">
        <f t="shared" si="34"/>
        <v>CH~DISPLAY_DT~MULTI_PB~ADSM_FM~PUSH_RT~CPM_PD~VDV_MOVIDA_ADSMOVIL_PUSH_TRANSPARENTE_1X1_TG~BHVDEM_TS~NONE_SZ~1X1_DISPLAY_MK~BR_IT~DISPLAY_VV~NONE</v>
      </c>
      <c r="D132" t="str">
        <f t="shared" si="35"/>
        <v>240833329</v>
      </c>
      <c r="E132" t="str">
        <f t="shared" si="36"/>
        <v>Dynamic Click</v>
      </c>
      <c r="F132" t="str">
        <f t="shared" si="37"/>
        <v>CH~DISPLAY_DT~MULTI_PB~ADSM_FM~PUSH_RT~CPM_PD~VDV_MOVIDA_ADSMOVIL_PUSH_TRANSPARENTE_1X1_TG~BHVDEM_TS~NONE_SZ~1X1_DISPLAY_MK~BR_IT~DISPLAY_VV~NONE</v>
      </c>
      <c r="G132" t="str">
        <f t="shared" si="38"/>
        <v>437778887</v>
      </c>
      <c r="H132" t="str">
        <f t="shared" si="39"/>
        <v>Tracking</v>
      </c>
      <c r="I132">
        <f t="shared" si="40"/>
        <v>0</v>
      </c>
      <c r="J132">
        <f t="shared" si="41"/>
        <v>4997</v>
      </c>
      <c r="K132" s="4">
        <f t="shared" si="30"/>
        <v>3.5000000000000001E-3</v>
      </c>
      <c r="L132">
        <f t="shared" si="31"/>
        <v>0.02</v>
      </c>
      <c r="M132" s="4">
        <f t="shared" si="28"/>
        <v>17.4895</v>
      </c>
      <c r="N132" s="4">
        <f t="shared" si="29"/>
        <v>99.94</v>
      </c>
    </row>
    <row r="133" spans="1:14">
      <c r="A133" t="str">
        <f t="shared" si="32"/>
        <v>MK~BR_CN~Vai_de_Visa_MN~NONE_YQ~19Q1Q4_CP~NONE_OB~LDS_PK~NONE</v>
      </c>
      <c r="B133" t="str">
        <f t="shared" si="33"/>
        <v>Ads Movil</v>
      </c>
      <c r="C133" t="str">
        <f t="shared" si="34"/>
        <v>CH~DISPLAY_DT~MULTI_PB~ADSM_FM~PUSH_RT~CPM_PD~VDV_PAODEACUCAR_ADSMOVIL_PUSH_BRANCO_1X1_TG~BHVDEM_TS~NONE_SZ~1X1_DISPLAY_MK~BR_IT~DISPLAY_VV~NONE</v>
      </c>
      <c r="D133" t="str">
        <f t="shared" si="35"/>
        <v>240771883</v>
      </c>
      <c r="E133" t="str">
        <f t="shared" si="36"/>
        <v>Dynamic Click</v>
      </c>
      <c r="F133" t="str">
        <f t="shared" si="37"/>
        <v>CH~DISPLAY_DT~MULTI_PB~ADSM_FM~PUSH_RT~CPM_PD~VDV_PAODEACUCAR_ADSMOVIL_PUSH_BRANCO_1X1_TG~BHVDEM_TS~NONE_SZ~1X1_DISPLAY_MK~BR_IT~DISPLAY_VV~NONE</v>
      </c>
      <c r="G133" t="str">
        <f t="shared" si="38"/>
        <v>437765548</v>
      </c>
      <c r="H133" t="str">
        <f t="shared" si="39"/>
        <v>Tracking</v>
      </c>
      <c r="I133">
        <f t="shared" si="40"/>
        <v>0</v>
      </c>
      <c r="J133">
        <f t="shared" si="41"/>
        <v>3234</v>
      </c>
      <c r="K133" s="4">
        <f t="shared" si="30"/>
        <v>3.5000000000000001E-3</v>
      </c>
      <c r="L133">
        <f t="shared" si="31"/>
        <v>0.02</v>
      </c>
      <c r="M133" s="4">
        <f t="shared" si="28"/>
        <v>11.319000000000001</v>
      </c>
      <c r="N133" s="4">
        <f t="shared" si="29"/>
        <v>64.680000000000007</v>
      </c>
    </row>
    <row r="134" spans="1:14">
      <c r="A134" t="str">
        <f t="shared" si="32"/>
        <v>MK~BR_CN~Vai_de_Visa_MN~NONE_YQ~19Q1Q4_CP~NONE_OB~LDS_PK~NONE</v>
      </c>
      <c r="B134" t="str">
        <f t="shared" si="33"/>
        <v>Ads Movil</v>
      </c>
      <c r="C134" t="str">
        <f t="shared" si="34"/>
        <v>CH~DISPLAY_DT~MULTI_PB~ADSM_FM~PUSH_RT~CPM_PD~VDV_PAODEACUCAR_ADSMOVIL_PUSH_TRANSPARENTE_1X1_TG~BHVDEM_TS~NONE_SZ~1X1_DISPLAY_MK~BR_IT~DISPLAY_VV~NONE</v>
      </c>
      <c r="D134" t="str">
        <f t="shared" si="35"/>
        <v>240771880</v>
      </c>
      <c r="E134" t="str">
        <f t="shared" si="36"/>
        <v>Dynamic Click</v>
      </c>
      <c r="F134" t="str">
        <f t="shared" si="37"/>
        <v>CH~DISPLAY_DT~MULTI_PB~ADSM_FM~PUSH_RT~CPM_PD~VDV_PAODEACUCAR_ADSMOVIL_PUSH_TRANSPARENTE_1X1_TG~BHVDEM_TS~NONE_SZ~1X1_DISPLAY_MK~BR_IT~DISPLAY_VV~NONE</v>
      </c>
      <c r="G134" t="str">
        <f t="shared" si="38"/>
        <v>437765545</v>
      </c>
      <c r="H134" t="str">
        <f t="shared" si="39"/>
        <v>Tracking</v>
      </c>
      <c r="I134">
        <f t="shared" si="40"/>
        <v>0</v>
      </c>
      <c r="J134">
        <f t="shared" si="41"/>
        <v>3310</v>
      </c>
      <c r="K134" s="4">
        <f t="shared" si="30"/>
        <v>3.5000000000000001E-3</v>
      </c>
      <c r="L134">
        <f t="shared" si="31"/>
        <v>0.02</v>
      </c>
      <c r="M134" s="4">
        <f t="shared" si="28"/>
        <v>11.585000000000001</v>
      </c>
      <c r="N134" s="4">
        <f t="shared" si="29"/>
        <v>66.2</v>
      </c>
    </row>
    <row r="135" spans="1:14">
      <c r="A135" t="str">
        <f t="shared" si="32"/>
        <v>MK~BR_CN~Vai_de_Visa_MN~NONE_YQ~19Q1Q4_CP~NONE_OB~LDS_PK~NONE</v>
      </c>
      <c r="B135" t="str">
        <f t="shared" si="33"/>
        <v>Facebook</v>
      </c>
      <c r="C135" t="str">
        <f t="shared" si="34"/>
        <v>CH~SOCIAL_DT~MULTI_PB~FCBK_FM~CANVAS_RT~CPM_PD~VDV_GOL_CANVAS_ANIMADO_1X1_TG~BHVDEM_TS~NONE_SZ~1X1_SOCIAL_MK~BR_IT~SOCIAL_VV~NONE</v>
      </c>
      <c r="D135" t="str">
        <f t="shared" si="35"/>
        <v>239028852</v>
      </c>
      <c r="E135" t="str">
        <f t="shared" si="36"/>
        <v>Dynamic Click</v>
      </c>
      <c r="F135" t="str">
        <f t="shared" si="37"/>
        <v>CH~SOCIAL_DT~MULTI_PB~FCBK_FM~CANVAS_RT~CPM_PD~VDV_GOL_CANVAS_ANIMADO_1X1_TG~BHVDEM_TS~NONE_SZ~1X1_SOCIAL_MK~BR_IT~SOCIAL_VV~NONE</v>
      </c>
      <c r="G135" t="str">
        <f t="shared" si="38"/>
        <v>435947631</v>
      </c>
      <c r="H135" t="str">
        <f t="shared" si="39"/>
        <v>Tracking</v>
      </c>
      <c r="I135">
        <f t="shared" si="40"/>
        <v>0</v>
      </c>
      <c r="J135">
        <f t="shared" si="41"/>
        <v>28</v>
      </c>
      <c r="K135" s="4">
        <f t="shared" si="30"/>
        <v>3.5000000000000001E-3</v>
      </c>
      <c r="L135">
        <f t="shared" si="31"/>
        <v>0.02</v>
      </c>
      <c r="M135" s="4">
        <f t="shared" si="28"/>
        <v>9.8000000000000004E-2</v>
      </c>
      <c r="N135" s="4">
        <f t="shared" si="29"/>
        <v>0.56000000000000005</v>
      </c>
    </row>
    <row r="136" spans="1:14">
      <c r="A136" t="str">
        <f t="shared" si="32"/>
        <v>MK~BR_CN~Vai_de_Visa_MN~NONE_YQ~19Q1Q4_CP~NONE_OB~LDS_PK~NONE</v>
      </c>
      <c r="B136" t="str">
        <f t="shared" si="33"/>
        <v>Facebook</v>
      </c>
      <c r="C136" t="str">
        <f t="shared" si="34"/>
        <v>CH~SOCIAL_DT~MULTI_PB~FCBK_FM~CANVAS_RT~CPM_PD~VDV_GOL_CANVAS_ANIMADO_1X1_TG~BHVDEM_TS~NONE_SZ~1X1_SOCIAL_MK~BR_IT~SOCIAL_VV~NONE</v>
      </c>
      <c r="D136" t="str">
        <f t="shared" si="35"/>
        <v>239028852</v>
      </c>
      <c r="E136" t="str">
        <f t="shared" si="36"/>
        <v>Dynamic Click</v>
      </c>
      <c r="F136" t="str">
        <f t="shared" si="37"/>
        <v>CH~SOCIAL_DT~MULTI_PB~FCBK_FM~CANVAS_RT~CPM_PD~VDV_GOL_CANVAS_ANIMADO_1X1_TG~BHVDEM_TS~NONE_SZ~1X1_SOCIAL_MK~BR_IT~SOCIAL_VV~NONE</v>
      </c>
      <c r="G136" t="str">
        <f t="shared" si="38"/>
        <v>435947631</v>
      </c>
      <c r="H136" t="str">
        <f t="shared" si="39"/>
        <v>Tracking</v>
      </c>
      <c r="I136">
        <f t="shared" si="40"/>
        <v>0</v>
      </c>
      <c r="J136">
        <f t="shared" si="41"/>
        <v>2</v>
      </c>
      <c r="K136" s="4">
        <f t="shared" si="30"/>
        <v>3.5000000000000001E-3</v>
      </c>
      <c r="L136">
        <f t="shared" si="31"/>
        <v>0.02</v>
      </c>
      <c r="M136" s="4">
        <f t="shared" si="28"/>
        <v>7.0000000000000001E-3</v>
      </c>
      <c r="N136" s="4">
        <f t="shared" si="29"/>
        <v>0.04</v>
      </c>
    </row>
    <row r="137" spans="1:14">
      <c r="A137" t="str">
        <f t="shared" si="32"/>
        <v>MK~BR_CN~Vai_de_Visa_MN~NONE_YQ~19Q1Q4_CP~NONE_OB~LDS_PK~NONE</v>
      </c>
      <c r="B137" t="str">
        <f t="shared" si="33"/>
        <v>Facebook</v>
      </c>
      <c r="C137" t="str">
        <f t="shared" si="34"/>
        <v>CH~SOCIAL_DT~MULTI_PB~FCBK_FM~CANVAS_RT~CPM_PD~VDV_GOL_CANVAS_ESTATICO_1X1_TG~BHVDEM_TS~NONE_SZ~1X1_SOCIAL_MK~BR_IT~SOCIAL_VV~NONE</v>
      </c>
      <c r="D137" t="str">
        <f t="shared" si="35"/>
        <v>239028846</v>
      </c>
      <c r="E137" t="str">
        <f t="shared" si="36"/>
        <v>Dynamic Click</v>
      </c>
      <c r="F137" t="str">
        <f t="shared" si="37"/>
        <v>CH~SOCIAL_DT~MULTI_PB~FCBK_FM~CANVAS_RT~CPM_PD~VDV_GOL_CANVAS_ESTATICO_1X1_TG~BHVDEM_TS~NONE_SZ~1X1_SOCIAL_MK~BR_IT~SOCIAL_VV~NONE</v>
      </c>
      <c r="G137" t="str">
        <f t="shared" si="38"/>
        <v>435947628</v>
      </c>
      <c r="H137" t="str">
        <f t="shared" si="39"/>
        <v>Tracking</v>
      </c>
      <c r="I137">
        <f t="shared" si="40"/>
        <v>0</v>
      </c>
      <c r="J137">
        <f t="shared" si="41"/>
        <v>172</v>
      </c>
      <c r="K137" s="4">
        <f t="shared" si="30"/>
        <v>3.5000000000000001E-3</v>
      </c>
      <c r="L137">
        <f t="shared" si="31"/>
        <v>0.02</v>
      </c>
      <c r="M137" s="4">
        <f t="shared" si="28"/>
        <v>0.60199999999999998</v>
      </c>
      <c r="N137" s="4">
        <f t="shared" si="29"/>
        <v>3.44</v>
      </c>
    </row>
    <row r="138" spans="1:14">
      <c r="A138" t="str">
        <f t="shared" si="32"/>
        <v>MK~BR_CN~Vai_de_Visa_MN~NONE_YQ~19Q1Q4_CP~NONE_OB~LDS_PK~NONE</v>
      </c>
      <c r="B138" t="str">
        <f t="shared" si="33"/>
        <v>Facebook</v>
      </c>
      <c r="C138" t="str">
        <f t="shared" si="34"/>
        <v>CH~SOCIAL_DT~MULTI_PB~FCBK_FM~CARROSSEL_RT~CPM_PD~VDV_GOL_CARROSSEL_ACESSE_REDES_1X1_TG~BHVDEM_TS~NONE_SZ~1X1_SOCIAL_MK~BR_IT~SOCIAL_VV~NONE</v>
      </c>
      <c r="D138" t="str">
        <f t="shared" si="35"/>
        <v>240851812</v>
      </c>
      <c r="E138" t="str">
        <f t="shared" si="36"/>
        <v>Dynamic Click</v>
      </c>
      <c r="F138" t="str">
        <f t="shared" si="37"/>
        <v>CH~SOCIAL_DT~MULTI_PB~FCBK_FM~CARROSSEL_RT~CPM_PD~VDV_GOL_CARROSSEL_ACESSE_REDES_1X1_TG~BHVDEM_TS~NONE_SZ~1X1_SOCIAL_MK~BR_IT~SOCIAL_VV~NONE</v>
      </c>
      <c r="G138" t="str">
        <f t="shared" si="38"/>
        <v>437789456</v>
      </c>
      <c r="H138" t="str">
        <f t="shared" si="39"/>
        <v>Tracking</v>
      </c>
      <c r="I138">
        <f t="shared" si="40"/>
        <v>0</v>
      </c>
      <c r="J138">
        <f t="shared" si="41"/>
        <v>242</v>
      </c>
      <c r="K138" s="4">
        <f t="shared" si="30"/>
        <v>3.5000000000000001E-3</v>
      </c>
      <c r="L138">
        <f t="shared" si="31"/>
        <v>0.02</v>
      </c>
      <c r="M138" s="4">
        <f t="shared" si="28"/>
        <v>0.84699999999999998</v>
      </c>
      <c r="N138" s="4">
        <f t="shared" si="29"/>
        <v>4.84</v>
      </c>
    </row>
    <row r="139" spans="1:14">
      <c r="A139" t="str">
        <f t="shared" si="32"/>
        <v>MK~BR_CN~Vai_de_Visa_MN~NONE_YQ~19Q1Q4_CP~NONE_OB~LDS_PK~NONE</v>
      </c>
      <c r="B139" t="str">
        <f t="shared" si="33"/>
        <v>Facebook</v>
      </c>
      <c r="C139" t="str">
        <f t="shared" si="34"/>
        <v>CH~SOCIAL_DT~MULTI_PB~FCBK_FM~CARROSSEL_RT~CPM_PD~VDV_GOL_CARROSSEL_CONTINUE_O_PAPO_1X1_TG~BHVDEM_TS~NONE_SZ~1X1_SOCIAL_MK~BR_IT~SOCIAL_VV~NONE</v>
      </c>
      <c r="D139" t="str">
        <f t="shared" si="35"/>
        <v>241074321</v>
      </c>
      <c r="E139" t="str">
        <f t="shared" si="36"/>
        <v>Dynamic Click</v>
      </c>
      <c r="F139" t="str">
        <f t="shared" si="37"/>
        <v>CH~SOCIAL_DT~MULTI_PB~FCBK_FM~CARROSSEL_RT~CPM_PD~VDV_GOL_CARROSSEL_CONTINUE_O_PAPO_1X1_TG~BHVDEM_TS~NONE_SZ~1X1_SOCIAL_MK~BR_IT~SOCIAL_VV~NONE</v>
      </c>
      <c r="G139" t="str">
        <f t="shared" si="38"/>
        <v>437735733</v>
      </c>
      <c r="H139" t="str">
        <f t="shared" si="39"/>
        <v>Tracking</v>
      </c>
      <c r="I139">
        <f t="shared" si="40"/>
        <v>0</v>
      </c>
      <c r="J139">
        <f t="shared" si="41"/>
        <v>15381</v>
      </c>
      <c r="K139" s="4">
        <f t="shared" si="30"/>
        <v>3.5000000000000001E-3</v>
      </c>
      <c r="L139">
        <f t="shared" si="31"/>
        <v>0.02</v>
      </c>
      <c r="M139" s="4">
        <f t="shared" si="28"/>
        <v>53.833500000000001</v>
      </c>
      <c r="N139" s="4">
        <f t="shared" si="29"/>
        <v>307.62</v>
      </c>
    </row>
    <row r="140" spans="1:14">
      <c r="A140" t="str">
        <f t="shared" si="32"/>
        <v>MK~BR_CN~Vai_de_Visa_MN~NONE_YQ~19Q1Q4_CP~NONE_OB~LDS_PK~NONE</v>
      </c>
      <c r="B140" t="str">
        <f t="shared" si="33"/>
        <v>Facebook</v>
      </c>
      <c r="C140" t="str">
        <f t="shared" si="34"/>
        <v>CH~SOCIAL_DT~MULTI_PB~FCBK_FM~CARROSSEL_RT~CPM_PD~VDV_GOL_CARROSSEL_NOTICIAIS_1X1_TG~BHVDEM_TS~NONE_SZ~1X1_SOCIAL_MK~BR_IT~SOCIAL_VV~NONE</v>
      </c>
      <c r="D140" t="str">
        <f t="shared" si="35"/>
        <v>239028843</v>
      </c>
      <c r="E140" t="str">
        <f t="shared" si="36"/>
        <v>Dynamic Click</v>
      </c>
      <c r="F140" t="str">
        <f t="shared" si="37"/>
        <v>CH~SOCIAL_DT~MULTI_PB~FCBK_FM~CARROSSEL_RT~CPM_PD~VDV_GOL_CARROSSEL_NOTICIAIS_1X1_TG~BHVDEM_TS~NONE_SZ~1X1_SOCIAL_MK~BR_IT~SOCIAL_VV~NONE</v>
      </c>
      <c r="G140" t="str">
        <f t="shared" si="38"/>
        <v>435947625</v>
      </c>
      <c r="H140" t="str">
        <f t="shared" si="39"/>
        <v>Tracking</v>
      </c>
      <c r="I140">
        <f t="shared" si="40"/>
        <v>0</v>
      </c>
      <c r="J140">
        <f t="shared" si="41"/>
        <v>829</v>
      </c>
      <c r="K140" s="4">
        <f t="shared" si="30"/>
        <v>3.5000000000000001E-3</v>
      </c>
      <c r="L140">
        <f t="shared" si="31"/>
        <v>0.02</v>
      </c>
      <c r="M140" s="4">
        <f t="shared" si="28"/>
        <v>2.9015</v>
      </c>
      <c r="N140" s="4">
        <f t="shared" si="29"/>
        <v>16.580000000000002</v>
      </c>
    </row>
    <row r="141" spans="1:14">
      <c r="A141" t="str">
        <f t="shared" si="32"/>
        <v>MK~BR_CN~Vai_de_Visa_MN~NONE_YQ~19Q1Q4_CP~NONE_OB~LDS_PK~NONE</v>
      </c>
      <c r="B141" t="str">
        <f t="shared" si="33"/>
        <v>Facebook</v>
      </c>
      <c r="C141" t="str">
        <f t="shared" si="34"/>
        <v>CH~SOCIAL_DT~MULTI_PB~FCBK_FM~CARROSSEL_RT~CPM_PD~VDV_GOL_CARROSSEL_NOTICIAIS_1X1_TG~BHVDEM_TS~NONE_SZ~1X1_SOCIAL_MK~BR_IT~SOCIAL_VV~NONE</v>
      </c>
      <c r="D141" t="str">
        <f t="shared" si="35"/>
        <v>239028843</v>
      </c>
      <c r="E141" t="str">
        <f t="shared" si="36"/>
        <v>Dynamic Click</v>
      </c>
      <c r="F141" t="str">
        <f t="shared" si="37"/>
        <v>CH~SOCIAL_DT~MULTI_PB~FCBK_FM~CARROSSEL_RT~CPM_PD~VDV_GOL_CARROSSEL_NOTICIAIS_1X1_TG~BHVDEM_TS~NONE_SZ~1X1_SOCIAL_MK~BR_IT~SOCIAL_VV~NONE</v>
      </c>
      <c r="G141" t="str">
        <f t="shared" si="38"/>
        <v>435947625</v>
      </c>
      <c r="H141" t="str">
        <f t="shared" si="39"/>
        <v>Tracking</v>
      </c>
      <c r="I141">
        <f t="shared" si="40"/>
        <v>0</v>
      </c>
      <c r="J141">
        <f t="shared" si="41"/>
        <v>4</v>
      </c>
      <c r="K141" s="4">
        <f t="shared" si="30"/>
        <v>3.5000000000000001E-3</v>
      </c>
      <c r="L141">
        <f t="shared" si="31"/>
        <v>0.02</v>
      </c>
      <c r="M141" s="4">
        <f t="shared" si="28"/>
        <v>1.4E-2</v>
      </c>
      <c r="N141" s="4">
        <f t="shared" si="29"/>
        <v>0.08</v>
      </c>
    </row>
    <row r="142" spans="1:14">
      <c r="A142" t="str">
        <f t="shared" si="32"/>
        <v>MK~BR_CN~Vai_de_Visa_MN~NONE_YQ~19Q1Q4_CP~NONE_OB~LDS_PK~NONE</v>
      </c>
      <c r="B142" t="str">
        <f t="shared" si="33"/>
        <v>Facebook</v>
      </c>
      <c r="C142" t="str">
        <f t="shared" si="34"/>
        <v>CH~SOCIAL_DT~MULTI_PB~FCBK_FM~CARROSSEL_RT~CPM_PD~VDV_GOL_CARROSSEL_REDES_SOCIAIS_1X1_TG~BHVDEM_TS~NONE_SZ~1X1_SOCIAL_MK~BR_IT~SOCIAL_VV~NONE</v>
      </c>
      <c r="D142" t="str">
        <f t="shared" si="35"/>
        <v>239028840</v>
      </c>
      <c r="E142" t="str">
        <f t="shared" si="36"/>
        <v>Dynamic Click</v>
      </c>
      <c r="F142" t="str">
        <f t="shared" si="37"/>
        <v>CH~SOCIAL_DT~MULTI_PB~FCBK_FM~CARROSSEL_RT~CPM_PD~VDV_GOL_CARROSSEL_REDES_SOCIAIS_1X1_TG~BHVDEM_TS~NONE_SZ~1X1_SOCIAL_MK~BR_IT~SOCIAL_VV~NONE</v>
      </c>
      <c r="G142" t="str">
        <f t="shared" si="38"/>
        <v>435947622</v>
      </c>
      <c r="H142" t="str">
        <f t="shared" si="39"/>
        <v>Tracking</v>
      </c>
      <c r="I142">
        <f t="shared" si="40"/>
        <v>0</v>
      </c>
      <c r="J142">
        <f t="shared" si="41"/>
        <v>16</v>
      </c>
      <c r="K142" s="4">
        <f t="shared" si="30"/>
        <v>3.5000000000000001E-3</v>
      </c>
      <c r="L142">
        <f t="shared" si="31"/>
        <v>0.02</v>
      </c>
      <c r="M142" s="4">
        <f t="shared" si="28"/>
        <v>5.6000000000000001E-2</v>
      </c>
      <c r="N142" s="4">
        <f t="shared" si="29"/>
        <v>0.32</v>
      </c>
    </row>
    <row r="143" spans="1:14">
      <c r="A143" t="str">
        <f t="shared" si="32"/>
        <v>MK~BR_CN~Vai_de_Visa_MN~NONE_YQ~19Q1Q4_CP~NONE_OB~LDS_PK~NONE</v>
      </c>
      <c r="B143" t="str">
        <f t="shared" si="33"/>
        <v>Facebook</v>
      </c>
      <c r="C143" t="str">
        <f t="shared" si="34"/>
        <v>CH~SOCIAL_DT~MULTI_PB~FCBK_FM~LINKAD_RT~CPM_PD~VDV_CAMICADO_10OFF_FB_IG_1X1_TG~BHVDEM_TS~NONE_SZ~1X1_SOCIAL_MK~BR_IT~SOCIAL_VV~NONE</v>
      </c>
      <c r="D143" t="str">
        <f t="shared" si="35"/>
        <v>233509213</v>
      </c>
      <c r="E143" t="str">
        <f t="shared" si="36"/>
        <v>Dynamic Click</v>
      </c>
      <c r="F143" t="str">
        <f t="shared" si="37"/>
        <v>CH~SOCIAL_DT~MULTI_PB~FCBK_FM~LINKAD_RT~CPM_PD~VDV_CAMICADO_10OFF_FB_IG_1X1_TG~BHVDEM_TS~NONE_SZ~1X1_SOCIAL_MK~BR_IT~SOCIAL_VV~NONE</v>
      </c>
      <c r="G143" t="str">
        <f t="shared" si="38"/>
        <v>431181654</v>
      </c>
      <c r="H143" t="str">
        <f t="shared" si="39"/>
        <v>Tracking</v>
      </c>
      <c r="I143">
        <f t="shared" si="40"/>
        <v>0</v>
      </c>
      <c r="J143">
        <f t="shared" si="41"/>
        <v>1830</v>
      </c>
      <c r="K143" s="4">
        <f t="shared" si="30"/>
        <v>3.5000000000000001E-3</v>
      </c>
      <c r="L143">
        <f t="shared" si="31"/>
        <v>0.02</v>
      </c>
      <c r="M143" s="4">
        <f t="shared" si="28"/>
        <v>6.4050000000000002</v>
      </c>
      <c r="N143" s="4">
        <f t="shared" si="29"/>
        <v>36.6</v>
      </c>
    </row>
    <row r="144" spans="1:14">
      <c r="A144" t="str">
        <f t="shared" si="32"/>
        <v>MK~BR_CN~Vai_de_Visa_MN~NONE_YQ~19Q1Q4_CP~NONE_OB~LDS_PK~NONE</v>
      </c>
      <c r="B144" t="str">
        <f t="shared" si="33"/>
        <v>Facebook</v>
      </c>
      <c r="C144" t="str">
        <f t="shared" si="34"/>
        <v>CH~SOCIAL_DT~MULTI_PB~FCBK_FM~LINKAD_RT~CPM_PD~VDV_CAMICADO_10OFF_FB_IG_1X1_TG~BHVDEM_TS~NONE_SZ~1X1_SOCIAL_MK~BR_IT~SOCIAL_VV~NONE</v>
      </c>
      <c r="D144" t="str">
        <f t="shared" si="35"/>
        <v>233509213</v>
      </c>
      <c r="E144" t="str">
        <f t="shared" si="36"/>
        <v>Dynamic Click</v>
      </c>
      <c r="F144" t="str">
        <f t="shared" si="37"/>
        <v>CH~SOCIAL_DT~MULTI_PB~FCBK_FM~LINKAD_RT~CPM_PD~VDV_CAMICADO_10OFF_FB_IG_1X1_TG~BHVDEM_TS~NONE_SZ~1X1_SOCIAL_MK~BR_IT~SOCIAL_VV~NONE</v>
      </c>
      <c r="G144" t="str">
        <f t="shared" si="38"/>
        <v>431181654</v>
      </c>
      <c r="H144" t="str">
        <f t="shared" si="39"/>
        <v>Tracking</v>
      </c>
      <c r="I144">
        <f t="shared" si="40"/>
        <v>0</v>
      </c>
      <c r="J144">
        <f t="shared" si="41"/>
        <v>2</v>
      </c>
      <c r="K144" s="4">
        <f t="shared" si="30"/>
        <v>3.5000000000000001E-3</v>
      </c>
      <c r="L144">
        <f t="shared" si="31"/>
        <v>0.02</v>
      </c>
      <c r="M144" s="4">
        <f t="shared" si="28"/>
        <v>7.0000000000000001E-3</v>
      </c>
      <c r="N144" s="4">
        <f t="shared" si="29"/>
        <v>0.04</v>
      </c>
    </row>
    <row r="145" spans="1:14">
      <c r="A145" t="str">
        <f t="shared" si="32"/>
        <v>MK~BR_CN~Vai_de_Visa_MN~NONE_YQ~19Q1Q4_CP~NONE_OB~LDS_PK~NONE</v>
      </c>
      <c r="B145" t="str">
        <f t="shared" si="33"/>
        <v>Facebook</v>
      </c>
      <c r="C145" t="str">
        <f t="shared" si="34"/>
        <v>CH~SOCIAL_DT~MULTI_PB~FCBK_FM~LINKAD_RT~CPM_PD~VDV_DECOLAR_AMIGAS_FESTA_15OFF_LINKAD_FB__1X1_TG~BHVDEM_TS~NONE_SZ~1X1_SOCIAL_MK~BR_IT~SOCIAL_VV~NONE</v>
      </c>
      <c r="D145" t="str">
        <f t="shared" si="35"/>
        <v>235539728</v>
      </c>
      <c r="E145" t="str">
        <f t="shared" si="36"/>
        <v>Dynamic Click</v>
      </c>
      <c r="F145" t="str">
        <f t="shared" si="37"/>
        <v>CH~SOCIAL_DT~MULTI_PB~FCBK_FM~LINKAD_RT~CPM_PD~VDV_DECOLAR_AMIGAS_FESTA_15OFF_LINKAD_FB__1X1_TG~BHVDEM_TS~NONE_SZ~1X1_SOCIAL_MK~BR_IT~SOCIAL_VV~NONE</v>
      </c>
      <c r="G145" t="str">
        <f t="shared" si="38"/>
        <v>433178108</v>
      </c>
      <c r="H145" t="str">
        <f t="shared" si="39"/>
        <v>Tracking</v>
      </c>
      <c r="I145">
        <f t="shared" si="40"/>
        <v>0</v>
      </c>
      <c r="J145">
        <f t="shared" si="41"/>
        <v>127</v>
      </c>
      <c r="K145" s="4">
        <f t="shared" si="30"/>
        <v>3.5000000000000001E-3</v>
      </c>
      <c r="L145">
        <f t="shared" si="31"/>
        <v>0.02</v>
      </c>
      <c r="M145" s="4">
        <f t="shared" si="28"/>
        <v>0.44450000000000001</v>
      </c>
      <c r="N145" s="4">
        <f t="shared" si="29"/>
        <v>2.54</v>
      </c>
    </row>
    <row r="146" spans="1:14">
      <c r="A146" t="str">
        <f t="shared" si="32"/>
        <v>MK~BR_CN~Vai_de_Visa_MN~NONE_YQ~19Q1Q4_CP~NONE_OB~LDS_PK~NONE</v>
      </c>
      <c r="B146" t="str">
        <f t="shared" si="33"/>
        <v>Facebook</v>
      </c>
      <c r="C146" t="str">
        <f t="shared" si="34"/>
        <v>CH~SOCIAL_DT~MULTI_PB~FCBK_FM~LINKAD_RT~CPM_PD~VDV_DECOLAR_AMIGAS_FESTA_15OFF_LINKAD_FB__1X1_TG~BHVDEM_TS~NONE_SZ~1X1_SOCIAL_MK~BR_IT~SOCIAL_VV~NONE</v>
      </c>
      <c r="D146" t="str">
        <f t="shared" si="35"/>
        <v>235539728</v>
      </c>
      <c r="E146" t="str">
        <f t="shared" si="36"/>
        <v>Dynamic Click</v>
      </c>
      <c r="F146" t="str">
        <f t="shared" si="37"/>
        <v>CH~SOCIAL_DT~MULTI_PB~FCBK_FM~LINKAD_RT~CPM_PD~VDV_DECOLAR_AMIGAS_FESTA_15OFF_LINKAD_FB__1X1_TG~BHVDEM_TS~NONE_SZ~1X1_SOCIAL_MK~BR_IT~SOCIAL_VV~NONE</v>
      </c>
      <c r="G146" t="str">
        <f t="shared" si="38"/>
        <v>433178108</v>
      </c>
      <c r="H146" t="str">
        <f t="shared" si="39"/>
        <v>Tracking</v>
      </c>
      <c r="I146">
        <f t="shared" si="40"/>
        <v>0</v>
      </c>
      <c r="J146">
        <f t="shared" si="41"/>
        <v>450</v>
      </c>
      <c r="K146" s="4">
        <f t="shared" si="30"/>
        <v>3.5000000000000001E-3</v>
      </c>
      <c r="L146">
        <f t="shared" si="31"/>
        <v>0.02</v>
      </c>
      <c r="M146" s="4">
        <f t="shared" si="28"/>
        <v>1.575</v>
      </c>
      <c r="N146" s="4">
        <f t="shared" si="29"/>
        <v>9</v>
      </c>
    </row>
    <row r="147" spans="1:14">
      <c r="A147" t="str">
        <f t="shared" si="32"/>
        <v>MK~BR_CN~Vai_de_Visa_MN~NONE_YQ~19Q1Q4_CP~NONE_OB~LDS_PK~NONE</v>
      </c>
      <c r="B147" t="str">
        <f t="shared" si="33"/>
        <v>Facebook</v>
      </c>
      <c r="C147" t="str">
        <f t="shared" si="34"/>
        <v>CH~SOCIAL_DT~MULTI_PB~FCBK_FM~LINKAD_RT~CPM_PD~VDV_DECOLAR_CASAL_PULANDO_15OFF_LINKAD_FB__1X1_TG~BHVDEM_TS~NONE_SZ~1X1_SOCIAL_MK~BR_IT~SOCIAL_VV~NONE</v>
      </c>
      <c r="D147" t="str">
        <f t="shared" si="35"/>
        <v>235539671</v>
      </c>
      <c r="E147" t="str">
        <f t="shared" si="36"/>
        <v>Dynamic Click</v>
      </c>
      <c r="F147" t="str">
        <f t="shared" si="37"/>
        <v>CH~SOCIAL_DT~MULTI_PB~FCBK_FM~LINKAD_RT~CPM_PD~VDV_DECOLAR_CASAL_PULANDO_15OFF_LINKAD_FB__1X1_TG~BHVDEM_TS~NONE_SZ~1X1_SOCIAL_MK~BR_IT~SOCIAL_VV~NONE</v>
      </c>
      <c r="G147" t="str">
        <f t="shared" si="38"/>
        <v>433257118</v>
      </c>
      <c r="H147" t="str">
        <f t="shared" si="39"/>
        <v>Tracking</v>
      </c>
      <c r="I147">
        <f t="shared" si="40"/>
        <v>0</v>
      </c>
      <c r="J147">
        <f t="shared" si="41"/>
        <v>212</v>
      </c>
      <c r="K147" s="4">
        <f t="shared" si="30"/>
        <v>3.5000000000000001E-3</v>
      </c>
      <c r="L147">
        <f t="shared" si="31"/>
        <v>0.02</v>
      </c>
      <c r="M147" s="4">
        <f t="shared" si="28"/>
        <v>0.74199999999999999</v>
      </c>
      <c r="N147" s="4">
        <f t="shared" si="29"/>
        <v>4.24</v>
      </c>
    </row>
    <row r="148" spans="1:14">
      <c r="A148" t="str">
        <f t="shared" si="32"/>
        <v>MK~BR_CN~Vai_de_Visa_MN~NONE_YQ~19Q1Q4_CP~NONE_OB~LDS_PK~NONE</v>
      </c>
      <c r="B148" t="str">
        <f t="shared" si="33"/>
        <v>Facebook</v>
      </c>
      <c r="C148" t="str">
        <f t="shared" si="34"/>
        <v>CH~SOCIAL_DT~MULTI_PB~FCBK_FM~LINKAD_RT~CPM_PD~VDV_DECOLAR_CASAL_PULANDO_15OFF_LINKAD_FB__1X1_TG~BHVDEM_TS~NONE_SZ~1X1_SOCIAL_MK~BR_IT~SOCIAL_VV~NONE</v>
      </c>
      <c r="D148" t="str">
        <f t="shared" si="35"/>
        <v>235539671</v>
      </c>
      <c r="E148" t="str">
        <f t="shared" si="36"/>
        <v>Dynamic Click</v>
      </c>
      <c r="F148" t="str">
        <f t="shared" si="37"/>
        <v>CH~SOCIAL_DT~MULTI_PB~FCBK_FM~LINKAD_RT~CPM_PD~VDV_DECOLAR_CASAL_PULANDO_15OFF_LINKAD_FB__1X1_TG~BHVDEM_TS~NONE_SZ~1X1_SOCIAL_MK~BR_IT~SOCIAL_VV~NONE</v>
      </c>
      <c r="G148" t="str">
        <f t="shared" si="38"/>
        <v>433257118</v>
      </c>
      <c r="H148" t="str">
        <f t="shared" si="39"/>
        <v>Tracking</v>
      </c>
      <c r="I148">
        <f t="shared" si="40"/>
        <v>0</v>
      </c>
      <c r="J148">
        <f t="shared" si="41"/>
        <v>481</v>
      </c>
      <c r="K148" s="4">
        <f t="shared" si="30"/>
        <v>3.5000000000000001E-3</v>
      </c>
      <c r="L148">
        <f t="shared" si="31"/>
        <v>0.02</v>
      </c>
      <c r="M148" s="4">
        <f t="shared" si="28"/>
        <v>1.6835</v>
      </c>
      <c r="N148" s="4">
        <f t="shared" si="29"/>
        <v>9.620000000000001</v>
      </c>
    </row>
    <row r="149" spans="1:14">
      <c r="A149" t="str">
        <f t="shared" si="32"/>
        <v>MK~BR_CN~Vai_de_Visa_MN~NONE_YQ~19Q1Q4_CP~NONE_OB~LDS_PK~NONE</v>
      </c>
      <c r="B149" t="str">
        <f t="shared" si="33"/>
        <v>Facebook</v>
      </c>
      <c r="C149" t="str">
        <f t="shared" si="34"/>
        <v>CH~SOCIAL_DT~MULTI_PB~FCBK_FM~LINKAD_RT~CPM_PD~VDV_DECOLAR_FAMILIA_TRAPICHE_15OFF_LINKAD_FB__1X1_TG~BHVDEM_TS~NONE_SZ~1X1_SOCIAL_MK~BR_IT~SOCIAL_VV~NONE</v>
      </c>
      <c r="D149" t="str">
        <f t="shared" si="35"/>
        <v>235541867</v>
      </c>
      <c r="E149" t="str">
        <f t="shared" si="36"/>
        <v>Dynamic Click</v>
      </c>
      <c r="F149" t="str">
        <f t="shared" si="37"/>
        <v>CH~SOCIAL_DT~MULTI_PB~FCBK_FM~LINKAD_RT~CPM_PD~VDV_DECOLAR_FAMILIA_TRAPICHE_15OFF_LINKAD_FB__1X1_TG~BHVDEM_TS~NONE_SZ~1X1_SOCIAL_MK~BR_IT~SOCIAL_VV~NONE</v>
      </c>
      <c r="G149" t="str">
        <f t="shared" si="38"/>
        <v>433254913</v>
      </c>
      <c r="H149" t="str">
        <f t="shared" si="39"/>
        <v>Tracking</v>
      </c>
      <c r="I149">
        <f t="shared" si="40"/>
        <v>0</v>
      </c>
      <c r="J149">
        <f t="shared" si="41"/>
        <v>1424</v>
      </c>
      <c r="K149" s="4">
        <f t="shared" si="30"/>
        <v>3.5000000000000001E-3</v>
      </c>
      <c r="L149">
        <f t="shared" si="31"/>
        <v>0.02</v>
      </c>
      <c r="M149" s="4">
        <f t="shared" si="28"/>
        <v>4.984</v>
      </c>
      <c r="N149" s="4">
        <f t="shared" si="29"/>
        <v>28.48</v>
      </c>
    </row>
    <row r="150" spans="1:14">
      <c r="A150" t="str">
        <f t="shared" si="32"/>
        <v>MK~BR_CN~Vai_de_Visa_MN~NONE_YQ~19Q1Q4_CP~NONE_OB~LDS_PK~NONE</v>
      </c>
      <c r="B150" t="str">
        <f t="shared" si="33"/>
        <v>Facebook</v>
      </c>
      <c r="C150" t="str">
        <f t="shared" si="34"/>
        <v>CH~SOCIAL_DT~MULTI_PB~FCBK_FM~LINKAD_RT~CPM_PD~VDV_DECOLAR_FAMILIA_TRAPICHE_15OFF_LINKAD_FB__1X1_TG~BHVDEM_TS~NONE_SZ~1X1_SOCIAL_MK~BR_IT~SOCIAL_VV~NONE</v>
      </c>
      <c r="D150" t="str">
        <f t="shared" si="35"/>
        <v>235541867</v>
      </c>
      <c r="E150" t="str">
        <f t="shared" si="36"/>
        <v>Dynamic Click</v>
      </c>
      <c r="F150" t="str">
        <f t="shared" si="37"/>
        <v>CH~SOCIAL_DT~MULTI_PB~FCBK_FM~LINKAD_RT~CPM_PD~VDV_DECOLAR_FAMILIA_TRAPICHE_15OFF_LINKAD_FB__1X1_TG~BHVDEM_TS~NONE_SZ~1X1_SOCIAL_MK~BR_IT~SOCIAL_VV~NONE</v>
      </c>
      <c r="G150" t="str">
        <f t="shared" si="38"/>
        <v>433254913</v>
      </c>
      <c r="H150" t="str">
        <f t="shared" si="39"/>
        <v>Tracking</v>
      </c>
      <c r="I150">
        <f t="shared" si="40"/>
        <v>0</v>
      </c>
      <c r="J150">
        <f t="shared" si="41"/>
        <v>23760</v>
      </c>
      <c r="K150" s="4">
        <f t="shared" si="30"/>
        <v>3.5000000000000001E-3</v>
      </c>
      <c r="L150">
        <f t="shared" si="31"/>
        <v>0.02</v>
      </c>
      <c r="M150" s="4">
        <f t="shared" si="28"/>
        <v>83.16</v>
      </c>
      <c r="N150" s="4">
        <f t="shared" si="29"/>
        <v>475.2</v>
      </c>
    </row>
    <row r="151" spans="1:14">
      <c r="A151" t="str">
        <f t="shared" si="32"/>
        <v>MK~BR_CN~Vai_de_Visa_MN~NONE_YQ~19Q1Q4_CP~NONE_OB~LDS_PK~NONE</v>
      </c>
      <c r="B151" t="str">
        <f t="shared" si="33"/>
        <v>Facebook</v>
      </c>
      <c r="C151" t="str">
        <f t="shared" si="34"/>
        <v>CH~SOCIAL_DT~MULTI_PB~FCBK_FM~LINKAD_RT~CPM_PD~VDV_DECOLAR_GAROTO_TOBOAGUA_15OFF_LINKAD_FB__1X1_TG~BHVDEM_TS~NONE_SZ~1X1_SOCIAL_MK~BR_IT~SOCIAL_VV~NONE</v>
      </c>
      <c r="D151" t="str">
        <f t="shared" si="35"/>
        <v>235798707</v>
      </c>
      <c r="E151" t="str">
        <f t="shared" si="36"/>
        <v>Dynamic Click</v>
      </c>
      <c r="F151" t="str">
        <f t="shared" si="37"/>
        <v>CH~SOCIAL_DT~MULTI_PB~FCBK_FM~LINKAD_RT~CPM_PD~VDV_DECOLAR_GAROTO_TOBOAGUA_15OFF_LINKAD_FB__1X1_TG~BHVDEM_TS~NONE_SZ~1X1_SOCIAL_MK~BR_IT~SOCIAL_VV~NONE</v>
      </c>
      <c r="G151" t="str">
        <f t="shared" si="38"/>
        <v>433190367</v>
      </c>
      <c r="H151" t="str">
        <f t="shared" si="39"/>
        <v>Tracking</v>
      </c>
      <c r="I151">
        <f t="shared" si="40"/>
        <v>0</v>
      </c>
      <c r="J151">
        <f t="shared" si="41"/>
        <v>187</v>
      </c>
      <c r="K151" s="4">
        <f t="shared" si="30"/>
        <v>3.5000000000000001E-3</v>
      </c>
      <c r="L151">
        <f t="shared" si="31"/>
        <v>0.02</v>
      </c>
      <c r="M151" s="4">
        <f t="shared" si="28"/>
        <v>0.65449999999999997</v>
      </c>
      <c r="N151" s="4">
        <f t="shared" si="29"/>
        <v>3.74</v>
      </c>
    </row>
    <row r="152" spans="1:14">
      <c r="A152" t="str">
        <f t="shared" si="32"/>
        <v>MK~BR_CN~Vai_de_Visa_MN~NONE_YQ~19Q1Q4_CP~NONE_OB~LDS_PK~NONE</v>
      </c>
      <c r="B152" t="str">
        <f t="shared" si="33"/>
        <v>Facebook</v>
      </c>
      <c r="C152" t="str">
        <f t="shared" si="34"/>
        <v>CH~SOCIAL_DT~MULTI_PB~FCBK_FM~LINKAD_RT~CPM_PD~VDV_DECOLAR_GAROTO_TOBOAGUA_15OFF_LINKAD_FB__1X1_TG~BHVDEM_TS~NONE_SZ~1X1_SOCIAL_MK~BR_IT~SOCIAL_VV~NONE</v>
      </c>
      <c r="D152" t="str">
        <f t="shared" si="35"/>
        <v>235798707</v>
      </c>
      <c r="E152" t="str">
        <f t="shared" si="36"/>
        <v>Dynamic Click</v>
      </c>
      <c r="F152" t="str">
        <f t="shared" si="37"/>
        <v>CH~SOCIAL_DT~MULTI_PB~FCBK_FM~LINKAD_RT~CPM_PD~VDV_DECOLAR_GAROTO_TOBOAGUA_15OFF_LINKAD_FB__1X1_TG~BHVDEM_TS~NONE_SZ~1X1_SOCIAL_MK~BR_IT~SOCIAL_VV~NONE</v>
      </c>
      <c r="G152" t="str">
        <f t="shared" si="38"/>
        <v>433190367</v>
      </c>
      <c r="H152" t="str">
        <f t="shared" si="39"/>
        <v>Tracking</v>
      </c>
      <c r="I152">
        <f t="shared" si="40"/>
        <v>0</v>
      </c>
      <c r="J152">
        <f t="shared" si="41"/>
        <v>117</v>
      </c>
      <c r="K152" s="4">
        <f t="shared" si="30"/>
        <v>3.5000000000000001E-3</v>
      </c>
      <c r="L152">
        <f t="shared" si="31"/>
        <v>0.02</v>
      </c>
      <c r="M152" s="4">
        <f t="shared" si="28"/>
        <v>0.40950000000000003</v>
      </c>
      <c r="N152" s="4">
        <f t="shared" si="29"/>
        <v>2.34</v>
      </c>
    </row>
    <row r="153" spans="1:14">
      <c r="A153" t="str">
        <f t="shared" si="32"/>
        <v>MK~BR_CN~Vai_de_Visa_MN~NONE_YQ~19Q1Q4_CP~NONE_OB~LDS_PK~NONE</v>
      </c>
      <c r="B153" t="str">
        <f t="shared" si="33"/>
        <v>Facebook</v>
      </c>
      <c r="C153" t="str">
        <f t="shared" si="34"/>
        <v>CH~SOCIAL_DT~MULTI_PB~FCBK_FM~LINKAD_RT~CPM_PD~VDV_DECOLAR_LINKAD_FB_FERIADO_GENERICO_01_1X1_TG~BHVDEM_TS~NONE_SZ~1X1_SOCIAL_MK~BR_IT~SOCIAL_VV~NONE</v>
      </c>
      <c r="D153" t="str">
        <f t="shared" si="35"/>
        <v>236781700</v>
      </c>
      <c r="E153" t="str">
        <f t="shared" si="36"/>
        <v>Dynamic Click</v>
      </c>
      <c r="F153" t="str">
        <f t="shared" si="37"/>
        <v>CH~SOCIAL_DT~MULTI_PB~FCBK_FM~LINKAD_RT~CPM_PD~VDV_DECOLAR_LINKAD_FB_FERIADO_GENERICO_01_1X1_TG~BHVDEM_TS~NONE_SZ~1X1_SOCIAL_MK~BR_IT~SOCIAL_VV~NONE</v>
      </c>
      <c r="G153" t="str">
        <f t="shared" si="38"/>
        <v>434163074</v>
      </c>
      <c r="H153" t="str">
        <f t="shared" si="39"/>
        <v>Tracking</v>
      </c>
      <c r="I153">
        <f t="shared" si="40"/>
        <v>0</v>
      </c>
      <c r="J153">
        <f t="shared" si="41"/>
        <v>2322</v>
      </c>
      <c r="K153" s="4">
        <f t="shared" si="30"/>
        <v>3.5000000000000001E-3</v>
      </c>
      <c r="L153">
        <f t="shared" si="31"/>
        <v>0.02</v>
      </c>
      <c r="M153" s="4">
        <f t="shared" si="28"/>
        <v>8.1270000000000007</v>
      </c>
      <c r="N153" s="4">
        <f t="shared" si="29"/>
        <v>46.44</v>
      </c>
    </row>
    <row r="154" spans="1:14">
      <c r="A154" t="str">
        <f t="shared" si="32"/>
        <v>MK~BR_CN~Vai_de_Visa_MN~NONE_YQ~19Q1Q4_CP~NONE_OB~LDS_PK~NONE</v>
      </c>
      <c r="B154" t="str">
        <f t="shared" si="33"/>
        <v>Facebook</v>
      </c>
      <c r="C154" t="str">
        <f t="shared" si="34"/>
        <v>CH~SOCIAL_DT~MULTI_PB~FCBK_FM~LINKAD_RT~CPM_PD~VDV_DECOLAR_LINKAD_FB_FERIADO_GENERICO_01_1X1_TG~BHVDEM_TS~NONE_SZ~1X1_SOCIAL_MK~BR_IT~SOCIAL_VV~NONE</v>
      </c>
      <c r="D154" t="str">
        <f t="shared" si="35"/>
        <v>236781700</v>
      </c>
      <c r="E154" t="str">
        <f t="shared" si="36"/>
        <v>Dynamic Click</v>
      </c>
      <c r="F154" t="str">
        <f t="shared" si="37"/>
        <v>CH~SOCIAL_DT~MULTI_PB~FCBK_FM~LINKAD_RT~CPM_PD~VDV_DECOLAR_LINKAD_FB_FERIADO_GENERICO_01_1X1_TG~BHVDEM_TS~NONE_SZ~1X1_SOCIAL_MK~BR_IT~SOCIAL_VV~NONE</v>
      </c>
      <c r="G154" t="str">
        <f t="shared" si="38"/>
        <v>434163074</v>
      </c>
      <c r="H154" t="str">
        <f t="shared" si="39"/>
        <v>Tracking</v>
      </c>
      <c r="I154">
        <f t="shared" si="40"/>
        <v>0</v>
      </c>
      <c r="J154">
        <f t="shared" si="41"/>
        <v>250</v>
      </c>
      <c r="K154" s="4">
        <f t="shared" si="30"/>
        <v>3.5000000000000001E-3</v>
      </c>
      <c r="L154">
        <f t="shared" si="31"/>
        <v>0.02</v>
      </c>
      <c r="M154" s="4">
        <f t="shared" si="28"/>
        <v>0.875</v>
      </c>
      <c r="N154" s="4">
        <f t="shared" si="29"/>
        <v>5</v>
      </c>
    </row>
    <row r="155" spans="1:14">
      <c r="A155" t="str">
        <f t="shared" si="32"/>
        <v>MK~BR_CN~Vai_de_Visa_MN~NONE_YQ~19Q1Q4_CP~NONE_OB~LDS_PK~NONE</v>
      </c>
      <c r="B155" t="str">
        <f t="shared" si="33"/>
        <v>Facebook</v>
      </c>
      <c r="C155" t="str">
        <f t="shared" si="34"/>
        <v>CH~SOCIAL_DT~MULTI_PB~FCBK_FM~LINKAD_RT~CPM_PD~VDV_DECOLAR_LINKAD_FB_FERIADO_GENERICO_02_1X1_TG~BHVDEM_TS~NONE_SZ~1X1_SOCIAL_MK~BR_IT~SOCIAL_VV~NONE</v>
      </c>
      <c r="D155" t="str">
        <f t="shared" si="35"/>
        <v>236781694</v>
      </c>
      <c r="E155" t="str">
        <f t="shared" si="36"/>
        <v>Dynamic Click</v>
      </c>
      <c r="F155" t="str">
        <f t="shared" si="37"/>
        <v>CH~SOCIAL_DT~MULTI_PB~FCBK_FM~LINKAD_RT~CPM_PD~VDV_DECOLAR_LINKAD_FB_FERIADO_GENERICO_02_1X1_TG~BHVDEM_TS~NONE_SZ~1X1_SOCIAL_MK~BR_IT~SOCIAL_VV~NONE</v>
      </c>
      <c r="G155" t="str">
        <f t="shared" si="38"/>
        <v>434163068</v>
      </c>
      <c r="H155" t="str">
        <f t="shared" si="39"/>
        <v>Tracking</v>
      </c>
      <c r="I155">
        <f t="shared" si="40"/>
        <v>0</v>
      </c>
      <c r="J155">
        <f t="shared" si="41"/>
        <v>160</v>
      </c>
      <c r="K155" s="4">
        <f t="shared" si="30"/>
        <v>3.5000000000000001E-3</v>
      </c>
      <c r="L155">
        <f t="shared" si="31"/>
        <v>0.02</v>
      </c>
      <c r="M155" s="4">
        <f t="shared" si="28"/>
        <v>0.56000000000000005</v>
      </c>
      <c r="N155" s="4">
        <f t="shared" si="29"/>
        <v>3.2</v>
      </c>
    </row>
    <row r="156" spans="1:14">
      <c r="A156" t="str">
        <f t="shared" si="32"/>
        <v>MK~BR_CN~Vai_de_Visa_MN~NONE_YQ~19Q1Q4_CP~NONE_OB~LDS_PK~NONE</v>
      </c>
      <c r="B156" t="str">
        <f t="shared" si="33"/>
        <v>Facebook</v>
      </c>
      <c r="C156" t="str">
        <f t="shared" si="34"/>
        <v>CH~SOCIAL_DT~MULTI_PB~FCBK_FM~LINKAD_RT~CPM_PD~VDV_DECOLAR_LINKAD_FB_FERIADO_GENERICO_02_1X1_TG~BHVDEM_TS~NONE_SZ~1X1_SOCIAL_MK~BR_IT~SOCIAL_VV~NONE</v>
      </c>
      <c r="D156" t="str">
        <f t="shared" si="35"/>
        <v>236781694</v>
      </c>
      <c r="E156" t="str">
        <f t="shared" si="36"/>
        <v>Dynamic Click</v>
      </c>
      <c r="F156" t="str">
        <f t="shared" si="37"/>
        <v>CH~SOCIAL_DT~MULTI_PB~FCBK_FM~LINKAD_RT~CPM_PD~VDV_DECOLAR_LINKAD_FB_FERIADO_GENERICO_02_1X1_TG~BHVDEM_TS~NONE_SZ~1X1_SOCIAL_MK~BR_IT~SOCIAL_VV~NONE</v>
      </c>
      <c r="G156" t="str">
        <f t="shared" si="38"/>
        <v>434163068</v>
      </c>
      <c r="H156" t="str">
        <f t="shared" si="39"/>
        <v>Tracking</v>
      </c>
      <c r="I156">
        <f t="shared" si="40"/>
        <v>0</v>
      </c>
      <c r="J156">
        <f t="shared" si="41"/>
        <v>830</v>
      </c>
      <c r="K156" s="4">
        <f t="shared" si="30"/>
        <v>3.5000000000000001E-3</v>
      </c>
      <c r="L156">
        <f t="shared" si="31"/>
        <v>0.02</v>
      </c>
      <c r="M156" s="4">
        <f t="shared" si="28"/>
        <v>2.9050000000000002</v>
      </c>
      <c r="N156" s="4">
        <f t="shared" si="29"/>
        <v>16.600000000000001</v>
      </c>
    </row>
    <row r="157" spans="1:14">
      <c r="A157" t="str">
        <f t="shared" si="32"/>
        <v>MK~BR_CN~Vai_de_Visa_MN~NONE_YQ~19Q1Q4_CP~NONE_OB~LDS_PK~NONE</v>
      </c>
      <c r="B157" t="str">
        <f t="shared" si="33"/>
        <v>Facebook</v>
      </c>
      <c r="C157" t="str">
        <f t="shared" si="34"/>
        <v>CH~SOCIAL_DT~MULTI_PB~FCBK_FM~LINKAD_RT~CPM_PD~VDV_GOL_LINKAD_WIFI_1X1_TG~BHVDEM_TS~NONE_SZ~1X1_SOCIAL_MK~BR_IT~SOCIAL_VV~NONE</v>
      </c>
      <c r="D157" t="str">
        <f t="shared" si="35"/>
        <v>239028837</v>
      </c>
      <c r="E157" t="str">
        <f t="shared" si="36"/>
        <v>Dynamic Click</v>
      </c>
      <c r="F157" t="str">
        <f t="shared" si="37"/>
        <v>CH~SOCIAL_DT~MULTI_PB~FCBK_FM~LINKAD_RT~CPM_PD~VDV_GOL_LINKAD_WIFI_1X1_TG~BHVDEM_TS~NONE_SZ~1X1_SOCIAL_MK~BR_IT~SOCIAL_VV~NONE</v>
      </c>
      <c r="G157" t="str">
        <f t="shared" si="38"/>
        <v>435947619</v>
      </c>
      <c r="H157" t="str">
        <f t="shared" si="39"/>
        <v>Tracking</v>
      </c>
      <c r="I157">
        <f t="shared" si="40"/>
        <v>0</v>
      </c>
      <c r="J157">
        <f t="shared" si="41"/>
        <v>1032</v>
      </c>
      <c r="K157" s="4">
        <f t="shared" si="30"/>
        <v>3.5000000000000001E-3</v>
      </c>
      <c r="L157">
        <f t="shared" si="31"/>
        <v>0.02</v>
      </c>
      <c r="M157" s="4">
        <f t="shared" si="28"/>
        <v>3.6120000000000001</v>
      </c>
      <c r="N157" s="4">
        <f t="shared" si="29"/>
        <v>20.64</v>
      </c>
    </row>
    <row r="158" spans="1:14">
      <c r="A158" t="str">
        <f t="shared" si="32"/>
        <v>MK~BR_CN~Vai_de_Visa_MN~NONE_YQ~19Q1Q4_CP~NONE_OB~LDS_PK~NONE</v>
      </c>
      <c r="B158" t="str">
        <f t="shared" si="33"/>
        <v>Facebook</v>
      </c>
      <c r="C158" t="str">
        <f t="shared" si="34"/>
        <v>CH~SOCIAL_DT~MULTI_PB~FCBK_FM~LINKAD_RT~CPM_PD~VDV_GOL_LINKAD_WIFI_1X1_TG~BHVDEM_TS~NONE_SZ~1X1_SOCIAL_MK~BR_IT~SOCIAL_VV~NONE</v>
      </c>
      <c r="D158" t="str">
        <f t="shared" si="35"/>
        <v>239028837</v>
      </c>
      <c r="E158" t="str">
        <f t="shared" si="36"/>
        <v>Dynamic Click</v>
      </c>
      <c r="F158" t="str">
        <f t="shared" si="37"/>
        <v>CH~SOCIAL_DT~MULTI_PB~FCBK_FM~LINKAD_RT~CPM_PD~VDV_GOL_LINKAD_WIFI_1X1_TG~BHVDEM_TS~NONE_SZ~1X1_SOCIAL_MK~BR_IT~SOCIAL_VV~NONE</v>
      </c>
      <c r="G158" t="str">
        <f t="shared" si="38"/>
        <v>435947619</v>
      </c>
      <c r="H158" t="str">
        <f t="shared" si="39"/>
        <v>Tracking</v>
      </c>
      <c r="I158">
        <f t="shared" si="40"/>
        <v>0</v>
      </c>
      <c r="J158">
        <f t="shared" si="41"/>
        <v>3</v>
      </c>
      <c r="K158" s="4">
        <f t="shared" si="30"/>
        <v>3.5000000000000001E-3</v>
      </c>
      <c r="L158">
        <f t="shared" si="31"/>
        <v>0.02</v>
      </c>
      <c r="M158" s="4">
        <f t="shared" si="28"/>
        <v>1.0500000000000001E-2</v>
      </c>
      <c r="N158" s="4">
        <f t="shared" si="29"/>
        <v>0.06</v>
      </c>
    </row>
    <row r="159" spans="1:14">
      <c r="A159" t="str">
        <f t="shared" si="32"/>
        <v>MK~BR_CN~Vai_de_Visa_MN~NONE_YQ~19Q1Q4_CP~NONE_OB~LDS_PK~NONE</v>
      </c>
      <c r="B159" t="str">
        <f t="shared" si="33"/>
        <v>Facebook</v>
      </c>
      <c r="C159" t="str">
        <f t="shared" si="34"/>
        <v>CH~SOCIAL_DT~MULTI_PB~FCBK_FM~LINKAD_RT~CPM_PD~VDV_GPA_LINKAD_FB_GENERICO_02_1X1_TG~BHVDEM_TS~NONE_SZ~1X1_SOCIAL_MK~BR_IT~SOCIAL_VV~NONE</v>
      </c>
      <c r="D159" t="str">
        <f t="shared" si="35"/>
        <v>236795818</v>
      </c>
      <c r="E159" t="str">
        <f t="shared" si="36"/>
        <v>Dynamic Click</v>
      </c>
      <c r="F159" t="str">
        <f t="shared" si="37"/>
        <v>CH~SOCIAL_DT~MULTI_PB~FCBK_FM~LINKAD_RT~CPM_PD~VDV_GPA_LINKAD_FB_GENERICO_02_1X1_TG~BHVDEM_TS~NONE_SZ~1X1_SOCIAL_MK~BR_IT~SOCIAL_VV~NONE</v>
      </c>
      <c r="G159" t="str">
        <f t="shared" si="38"/>
        <v>434240473</v>
      </c>
      <c r="H159" t="str">
        <f t="shared" si="39"/>
        <v>Tracking</v>
      </c>
      <c r="I159">
        <f t="shared" si="40"/>
        <v>0</v>
      </c>
      <c r="J159">
        <f t="shared" si="41"/>
        <v>6226</v>
      </c>
      <c r="K159" s="4">
        <f t="shared" si="30"/>
        <v>3.5000000000000001E-3</v>
      </c>
      <c r="L159">
        <f t="shared" si="31"/>
        <v>0.02</v>
      </c>
      <c r="M159" s="4">
        <f t="shared" si="28"/>
        <v>21.791</v>
      </c>
      <c r="N159" s="4">
        <f t="shared" si="29"/>
        <v>124.52</v>
      </c>
    </row>
    <row r="160" spans="1:14">
      <c r="A160" t="str">
        <f t="shared" si="32"/>
        <v>MK~BR_CN~Vai_de_Visa_MN~NONE_YQ~19Q1Q4_CP~NONE_OB~LDS_PK~NONE</v>
      </c>
      <c r="B160" t="str">
        <f t="shared" si="33"/>
        <v>Facebook</v>
      </c>
      <c r="C160" t="str">
        <f t="shared" si="34"/>
        <v>CH~SOCIAL_DT~MULTI_PB~FCBK_FM~LINKAD_RT~CPM_PD~VDV_GPA_LINKAD_FB_GENERICO_02_1X1_TG~BHVDEM_TS~NONE_SZ~1X1_SOCIAL_MK~BR_IT~SOCIAL_VV~NONE</v>
      </c>
      <c r="D160" t="str">
        <f t="shared" si="35"/>
        <v>236795818</v>
      </c>
      <c r="E160" t="str">
        <f t="shared" si="36"/>
        <v>Dynamic Click</v>
      </c>
      <c r="F160" t="str">
        <f t="shared" si="37"/>
        <v>CH~SOCIAL_DT~MULTI_PB~FCBK_FM~LINKAD_RT~CPM_PD~VDV_GPA_LINKAD_FB_GENERICO_02_1X1_TG~BHVDEM_TS~NONE_SZ~1X1_SOCIAL_MK~BR_IT~SOCIAL_VV~NONE</v>
      </c>
      <c r="G160" t="str">
        <f t="shared" si="38"/>
        <v>434240473</v>
      </c>
      <c r="H160" t="str">
        <f t="shared" si="39"/>
        <v>Tracking</v>
      </c>
      <c r="I160">
        <f t="shared" si="40"/>
        <v>0</v>
      </c>
      <c r="J160">
        <f t="shared" si="41"/>
        <v>6504</v>
      </c>
      <c r="K160" s="4">
        <f t="shared" si="30"/>
        <v>3.5000000000000001E-3</v>
      </c>
      <c r="L160">
        <f t="shared" si="31"/>
        <v>0.02</v>
      </c>
      <c r="M160" s="4">
        <f t="shared" si="28"/>
        <v>22.763999999999999</v>
      </c>
      <c r="N160" s="4">
        <f t="shared" si="29"/>
        <v>130.08000000000001</v>
      </c>
    </row>
    <row r="161" spans="1:14">
      <c r="A161" t="str">
        <f t="shared" si="32"/>
        <v>MK~BR_CN~Vai_de_Visa_MN~NONE_YQ~19Q1Q4_CP~NONE_OB~LDS_PK~NONE</v>
      </c>
      <c r="B161" t="str">
        <f t="shared" si="33"/>
        <v>Facebook</v>
      </c>
      <c r="C161" t="str">
        <f t="shared" si="34"/>
        <v>CH~SOCIAL_DT~MULTI_PB~FCBK_FM~LINKAD_RT~CPM_PD~VDV_MOVIDA_LINKAD_15_OFF_CARRO_RELOGIO_1X1_TG~BHVDEM_TS~NONE_SZ~1X1_SOCIAL_MK~BR_IT~SOCIAL_VV~NONE</v>
      </c>
      <c r="D161" t="str">
        <f t="shared" si="35"/>
        <v>240049025</v>
      </c>
      <c r="E161" t="str">
        <f t="shared" si="36"/>
        <v>Dynamic Click</v>
      </c>
      <c r="F161" t="str">
        <f t="shared" si="37"/>
        <v>CH~SOCIAL_DT~MULTI_PB~FCBK_FM~LINKAD_RT~CPM_PD~VDV_MOVIDA_LINKAD_15_OFF_CARRO_RELOGIO_1X1_TG~BHVDEM_TS~NONE_SZ~1X1_SOCIAL_MK~BR_IT~SOCIAL_VV~NONE</v>
      </c>
      <c r="G161" t="str">
        <f t="shared" si="38"/>
        <v>437151374</v>
      </c>
      <c r="H161" t="str">
        <f t="shared" si="39"/>
        <v>Tracking</v>
      </c>
      <c r="I161">
        <f t="shared" si="40"/>
        <v>2</v>
      </c>
      <c r="J161">
        <f t="shared" si="41"/>
        <v>3107</v>
      </c>
      <c r="K161" s="4">
        <f t="shared" si="30"/>
        <v>3.5000000000000001E-3</v>
      </c>
      <c r="L161">
        <f t="shared" si="31"/>
        <v>0.02</v>
      </c>
      <c r="M161" s="4">
        <f t="shared" si="28"/>
        <v>10.874499999999999</v>
      </c>
      <c r="N161" s="4">
        <f t="shared" si="29"/>
        <v>62.14</v>
      </c>
    </row>
    <row r="162" spans="1:14">
      <c r="A162" t="str">
        <f t="shared" si="32"/>
        <v>MK~BR_CN~Vai_de_Visa_MN~NONE_YQ~19Q1Q4_CP~NONE_OB~LDS_PK~NONE</v>
      </c>
      <c r="B162" t="str">
        <f t="shared" si="33"/>
        <v>Facebook</v>
      </c>
      <c r="C162" t="str">
        <f t="shared" si="34"/>
        <v>CH~SOCIAL_DT~MULTI_PB~FCBK_FM~LINKAD_RT~CPM_PD~VDV_MOVIDA_LINKAD_15_OFF_RELOGIO_1X1_TG~BHVDEM_TS~NONE_SZ~1X1_SOCIAL_MK~BR_IT~SOCIAL_VV~NONE</v>
      </c>
      <c r="D162" t="str">
        <f t="shared" si="35"/>
        <v>236777473</v>
      </c>
      <c r="E162" t="str">
        <f t="shared" si="36"/>
        <v>Dynamic Click</v>
      </c>
      <c r="F162" t="str">
        <f t="shared" si="37"/>
        <v>CH~SOCIAL_DT~MULTI_PB~FCBK_FM~LINKAD_RT~CPM_PD~VDV_MOVIDA_LINKAD_15_OFF_RELOGIO_1X1_TG~BHVDEM_TS~NONE_SZ~1X1_SOCIAL_MK~BR_IT~SOCIAL_VV~NONE</v>
      </c>
      <c r="G162" t="str">
        <f t="shared" si="38"/>
        <v>434145618</v>
      </c>
      <c r="H162" t="str">
        <f t="shared" si="39"/>
        <v>Tracking</v>
      </c>
      <c r="I162">
        <f t="shared" si="40"/>
        <v>0</v>
      </c>
      <c r="J162">
        <f t="shared" si="41"/>
        <v>1331</v>
      </c>
      <c r="K162" s="4">
        <f t="shared" si="30"/>
        <v>3.5000000000000001E-3</v>
      </c>
      <c r="L162">
        <f t="shared" si="31"/>
        <v>0.02</v>
      </c>
      <c r="M162" s="4">
        <f t="shared" si="28"/>
        <v>4.6585000000000001</v>
      </c>
      <c r="N162" s="4">
        <f t="shared" si="29"/>
        <v>26.62</v>
      </c>
    </row>
    <row r="163" spans="1:14">
      <c r="A163" t="str">
        <f t="shared" si="32"/>
        <v>MK~BR_CN~Vai_de_Visa_MN~NONE_YQ~19Q1Q4_CP~NONE_OB~LDS_PK~NONE</v>
      </c>
      <c r="B163" t="str">
        <f t="shared" si="33"/>
        <v>Facebook</v>
      </c>
      <c r="C163" t="str">
        <f t="shared" si="34"/>
        <v>CH~SOCIAL_DT~MULTI_PB~FCBK_FM~LINKAD_RT~CPM_PD~VDV_MOVIDA_LINKAD_20_OFF_CARRO_RELOGIO_1X1_TG~BHVDEM_TS~NONE_SZ~1X1_SOCIAL_MK~BR_IT~SOCIAL_VV~NONE</v>
      </c>
      <c r="D163" t="str">
        <f t="shared" si="35"/>
        <v>238267393</v>
      </c>
      <c r="E163" t="str">
        <f t="shared" si="36"/>
        <v>Dynamic Click</v>
      </c>
      <c r="F163" t="str">
        <f t="shared" si="37"/>
        <v>CH~SOCIAL_DT~MULTI_PB~FCBK_FM~LINKAD_RT~CPM_PD~VDV_MOVIDA_LINKAD_20_OFF_CARRO_RELOGIO_1X1_TG~BHVDEM_TS~NONE_SZ~1X1_SOCIAL_MK~BR_IT~SOCIAL_VV~NONE</v>
      </c>
      <c r="G163" t="str">
        <f t="shared" si="38"/>
        <v>435557524</v>
      </c>
      <c r="H163" t="str">
        <f t="shared" si="39"/>
        <v>Tracking</v>
      </c>
      <c r="I163">
        <f t="shared" si="40"/>
        <v>0</v>
      </c>
      <c r="J163">
        <f t="shared" si="41"/>
        <v>4083</v>
      </c>
      <c r="K163" s="4">
        <f t="shared" si="30"/>
        <v>3.5000000000000001E-3</v>
      </c>
      <c r="L163">
        <f t="shared" si="31"/>
        <v>0.02</v>
      </c>
      <c r="M163" s="4">
        <f t="shared" ref="M163:M226" si="42">IF(E163="Dynamic Click",J163*K163,K163*$I163/1000)</f>
        <v>14.2905</v>
      </c>
      <c r="N163" s="4">
        <f t="shared" ref="N163:N226" si="43">IF(E163="Dynamic Click",J163*L163,L163*$I163/1000)</f>
        <v>81.66</v>
      </c>
    </row>
    <row r="164" spans="1:14">
      <c r="A164" t="str">
        <f t="shared" si="32"/>
        <v>MK~BR_CN~Vai_de_Visa_MN~NONE_YQ~19Q1Q4_CP~NONE_OB~LDS_PK~NONE</v>
      </c>
      <c r="B164" t="str">
        <f t="shared" si="33"/>
        <v>Facebook</v>
      </c>
      <c r="C164" t="str">
        <f t="shared" si="34"/>
        <v>CH~SOCIAL_DT~MULTI_PB~FCBK_FM~LINKAD_RT~CPM_PD~VDV_MOVIDA_LINKAD_20_OFF_CARRO_RELOGIO_1X1_TG~BHVDEM_TS~NONE_SZ~1X1_SOCIAL_MK~BR_IT~SOCIAL_VV~NONE</v>
      </c>
      <c r="D164" t="str">
        <f t="shared" si="35"/>
        <v>238267393</v>
      </c>
      <c r="E164" t="str">
        <f t="shared" si="36"/>
        <v>Dynamic Click</v>
      </c>
      <c r="F164" t="str">
        <f t="shared" si="37"/>
        <v>CH~SOCIAL_DT~MULTI_PB~FCBK_FM~LINKAD_RT~CPM_PD~VDV_MOVIDA_LINKAD_20_OFF_CARRO_RELOGIO_1X1_TG~BHVDEM_TS~NONE_SZ~1X1_SOCIAL_MK~BR_IT~SOCIAL_VV~NONE</v>
      </c>
      <c r="G164" t="str">
        <f t="shared" si="38"/>
        <v>435557524</v>
      </c>
      <c r="H164" t="str">
        <f t="shared" si="39"/>
        <v>Tracking</v>
      </c>
      <c r="I164">
        <f t="shared" si="40"/>
        <v>0</v>
      </c>
      <c r="J164">
        <f t="shared" si="41"/>
        <v>3</v>
      </c>
      <c r="K164" s="4">
        <f t="shared" si="30"/>
        <v>3.5000000000000001E-3</v>
      </c>
      <c r="L164">
        <f t="shared" si="31"/>
        <v>0.02</v>
      </c>
      <c r="M164" s="4">
        <f t="shared" si="42"/>
        <v>1.0500000000000001E-2</v>
      </c>
      <c r="N164" s="4">
        <f t="shared" si="43"/>
        <v>0.06</v>
      </c>
    </row>
    <row r="165" spans="1:14">
      <c r="A165" t="str">
        <f t="shared" si="32"/>
        <v>MK~BR_CN~Vai_de_Visa_MN~NONE_YQ~19Q1Q4_CP~NONE_OB~LDS_PK~NONE</v>
      </c>
      <c r="B165" t="str">
        <f t="shared" si="33"/>
        <v>Facebook</v>
      </c>
      <c r="C165" t="str">
        <f t="shared" si="34"/>
        <v>CH~SOCIAL_DT~MULTI_PB~FCBK_FM~LINKAD_RT~CPM_PD~VDV_YELLOWBIKE_5OFF_LINKAD_FB_V1_1X1_TG~BHVDEM_TS~NONE_SZ~1X1_SOCIAL_MK~BR_IT~SOCIAL_VV~NONE</v>
      </c>
      <c r="D165" t="str">
        <f t="shared" si="35"/>
        <v>238163475</v>
      </c>
      <c r="E165" t="str">
        <f t="shared" si="36"/>
        <v>Dynamic Click</v>
      </c>
      <c r="F165" t="str">
        <f t="shared" si="37"/>
        <v>CH~SOCIAL_DT~MULTI_PB~FCBK_FM~LINKAD_RT~CPM_PD~VDV_YELLOWBIKE_5OFF_LINKAD_FB_V1_1X1_TG~BHVDEM_TS~NONE_SZ~1X1_SOCIAL_MK~BR_IT~SOCIAL_VV~NONE</v>
      </c>
      <c r="G165" t="str">
        <f t="shared" si="38"/>
        <v>435187198</v>
      </c>
      <c r="H165" t="str">
        <f t="shared" si="39"/>
        <v>Tracking</v>
      </c>
      <c r="I165">
        <f t="shared" si="40"/>
        <v>0</v>
      </c>
      <c r="J165">
        <f t="shared" si="41"/>
        <v>2339</v>
      </c>
      <c r="K165" s="4">
        <f t="shared" si="30"/>
        <v>3.5000000000000001E-3</v>
      </c>
      <c r="L165">
        <f t="shared" si="31"/>
        <v>0.02</v>
      </c>
      <c r="M165" s="4">
        <f t="shared" si="42"/>
        <v>8.1865000000000006</v>
      </c>
      <c r="N165" s="4">
        <f t="shared" si="43"/>
        <v>46.78</v>
      </c>
    </row>
    <row r="166" spans="1:14">
      <c r="A166" t="str">
        <f t="shared" si="32"/>
        <v>MK~BR_CN~Vai_de_Visa_MN~NONE_YQ~19Q1Q4_CP~NONE_OB~LDS_PK~NONE</v>
      </c>
      <c r="B166" t="str">
        <f t="shared" si="33"/>
        <v>Facebook</v>
      </c>
      <c r="C166" t="str">
        <f t="shared" si="34"/>
        <v>CH~SOCIAL_DT~MULTI_PB~FCBK_FM~LINKAD_RT~CPM_PD~VDV_YELLOWBIKE_5OFF_LINKAD_FB_V1_1X1_TG~BHVDEM_TS~NONE_SZ~1X1_SOCIAL_MK~BR_IT~SOCIAL_VV~NONE</v>
      </c>
      <c r="D166" t="str">
        <f t="shared" si="35"/>
        <v>238163475</v>
      </c>
      <c r="E166" t="str">
        <f t="shared" si="36"/>
        <v>Dynamic Click</v>
      </c>
      <c r="F166" t="str">
        <f t="shared" si="37"/>
        <v>CH~SOCIAL_DT~MULTI_PB~FCBK_FM~LINKAD_RT~CPM_PD~VDV_YELLOWBIKE_5OFF_LINKAD_FB_V1_1X1_TG~BHVDEM_TS~NONE_SZ~1X1_SOCIAL_MK~BR_IT~SOCIAL_VV~NONE</v>
      </c>
      <c r="G166" t="str">
        <f t="shared" si="38"/>
        <v>435187198</v>
      </c>
      <c r="H166" t="str">
        <f t="shared" si="39"/>
        <v>Tracking</v>
      </c>
      <c r="I166">
        <f t="shared" si="40"/>
        <v>0</v>
      </c>
      <c r="J166">
        <f t="shared" si="41"/>
        <v>3</v>
      </c>
      <c r="K166" s="4">
        <f t="shared" si="30"/>
        <v>3.5000000000000001E-3</v>
      </c>
      <c r="L166">
        <f t="shared" si="31"/>
        <v>0.02</v>
      </c>
      <c r="M166" s="4">
        <f t="shared" si="42"/>
        <v>1.0500000000000001E-2</v>
      </c>
      <c r="N166" s="4">
        <f t="shared" si="43"/>
        <v>0.06</v>
      </c>
    </row>
    <row r="167" spans="1:14">
      <c r="A167" t="str">
        <f t="shared" si="32"/>
        <v>MK~BR_CN~Vai_de_Visa_MN~NONE_YQ~19Q1Q4_CP~NONE_OB~LDS_PK~NONE</v>
      </c>
      <c r="B167" t="str">
        <f t="shared" si="33"/>
        <v>Facebook</v>
      </c>
      <c r="C167" t="str">
        <f t="shared" si="34"/>
        <v>CH~SOCIAL_DT~MULTI_PB~FCBK_FM~LINKAD_RT~CPM_PD~VDV_YELLOWBIKE_5OFF_LINKAD_FB_V2_1X1_TG~BHVDEM_TS~NONE_SZ~1X1_SOCIAL_MK~BR_IT~SOCIAL_VV~NONE</v>
      </c>
      <c r="D167" t="str">
        <f t="shared" si="35"/>
        <v>237833602</v>
      </c>
      <c r="E167" t="str">
        <f t="shared" si="36"/>
        <v>Dynamic Click</v>
      </c>
      <c r="F167" t="str">
        <f t="shared" si="37"/>
        <v>CH~SOCIAL_DT~MULTI_PB~FCBK_FM~LINKAD_RT~CPM_PD~VDV_YELLOWBIKE_5OFF_LINKAD_FB_V2_1X1_TG~BHVDEM_TS~NONE_SZ~1X1_SOCIAL_MK~BR_IT~SOCIAL_VV~NONE</v>
      </c>
      <c r="G167" t="str">
        <f t="shared" si="38"/>
        <v>435080253</v>
      </c>
      <c r="H167" t="str">
        <f t="shared" si="39"/>
        <v>Tracking</v>
      </c>
      <c r="I167">
        <f t="shared" si="40"/>
        <v>0</v>
      </c>
      <c r="J167">
        <f t="shared" si="41"/>
        <v>2620</v>
      </c>
      <c r="K167" s="4">
        <f t="shared" si="30"/>
        <v>3.5000000000000001E-3</v>
      </c>
      <c r="L167">
        <f t="shared" si="31"/>
        <v>0.02</v>
      </c>
      <c r="M167" s="4">
        <f t="shared" si="42"/>
        <v>9.17</v>
      </c>
      <c r="N167" s="4">
        <f t="shared" si="43"/>
        <v>52.4</v>
      </c>
    </row>
    <row r="168" spans="1:14">
      <c r="A168" t="str">
        <f t="shared" si="32"/>
        <v>MK~BR_CN~Vai_de_Visa_MN~NONE_YQ~19Q1Q4_CP~NONE_OB~LDS_PK~NONE</v>
      </c>
      <c r="B168" t="str">
        <f t="shared" si="33"/>
        <v>Facebook</v>
      </c>
      <c r="C168" t="str">
        <f t="shared" si="34"/>
        <v>CH~SOCIAL_DT~MULTI_PB~FCBK_FM~LINKAD_RT~CPM_PD~VDV_YELLOWBIKE_5OFF_LINKAD_FB_V2_1X1_TG~BHVDEM_TS~NONE_SZ~1X1_SOCIAL_MK~BR_IT~SOCIAL_VV~NONE</v>
      </c>
      <c r="D168" t="str">
        <f t="shared" si="35"/>
        <v>237833602</v>
      </c>
      <c r="E168" t="str">
        <f t="shared" si="36"/>
        <v>Dynamic Click</v>
      </c>
      <c r="F168" t="str">
        <f t="shared" si="37"/>
        <v>CH~SOCIAL_DT~MULTI_PB~FCBK_FM~LINKAD_RT~CPM_PD~VDV_YELLOWBIKE_5OFF_LINKAD_FB_V2_1X1_TG~BHVDEM_TS~NONE_SZ~1X1_SOCIAL_MK~BR_IT~SOCIAL_VV~NONE</v>
      </c>
      <c r="G168" t="str">
        <f t="shared" si="38"/>
        <v>435080253</v>
      </c>
      <c r="H168" t="str">
        <f t="shared" si="39"/>
        <v>Tracking</v>
      </c>
      <c r="I168">
        <f t="shared" si="40"/>
        <v>0</v>
      </c>
      <c r="J168">
        <f t="shared" si="41"/>
        <v>3</v>
      </c>
      <c r="K168" s="4">
        <f t="shared" si="30"/>
        <v>3.5000000000000001E-3</v>
      </c>
      <c r="L168">
        <f t="shared" si="31"/>
        <v>0.02</v>
      </c>
      <c r="M168" s="4">
        <f t="shared" si="42"/>
        <v>1.0500000000000001E-2</v>
      </c>
      <c r="N168" s="4">
        <f t="shared" si="43"/>
        <v>0.06</v>
      </c>
    </row>
    <row r="169" spans="1:14">
      <c r="A169" t="str">
        <f t="shared" si="32"/>
        <v>MK~BR_CN~Vai_de_Visa_MN~NONE_YQ~19Q1Q4_CP~NONE_OB~LDS_PK~NONE</v>
      </c>
      <c r="B169" t="str">
        <f t="shared" si="33"/>
        <v>Facebook</v>
      </c>
      <c r="C169" t="str">
        <f t="shared" si="34"/>
        <v>CH~SOCIAL_DT~MULTI_PB~FCBK_FM~LINKAD_RT~CPM_PD~VDV_YELLOWBIKE_LINKAD_FB_V2_1X1_TG~BHVDEM_TS~NONE_SZ~1X1_SOCIAL_MK~BR_IT~SOCIAL_VV~NONE</v>
      </c>
      <c r="D169" t="str">
        <f t="shared" si="35"/>
        <v>234721720</v>
      </c>
      <c r="E169" t="str">
        <f t="shared" si="36"/>
        <v>Dynamic Click</v>
      </c>
      <c r="F169" t="str">
        <f t="shared" si="37"/>
        <v>CH~SOCIAL_DT~MULTI_PB~FCBK_FM~LINKAD_RT~CPM_PD~VDV_YELLOWBIKE_LINKAD_FB_V2_1X1_TG~BHVDEM_TS~NONE_SZ~1X1_SOCIAL_MK~BR_IT~SOCIAL_VV~NONE</v>
      </c>
      <c r="G169" t="str">
        <f t="shared" si="38"/>
        <v>432370085</v>
      </c>
      <c r="H169" t="str">
        <f t="shared" si="39"/>
        <v>Tracking</v>
      </c>
      <c r="I169">
        <f t="shared" si="40"/>
        <v>0</v>
      </c>
      <c r="J169">
        <f t="shared" si="41"/>
        <v>2</v>
      </c>
      <c r="K169" s="4">
        <f t="shared" si="30"/>
        <v>3.5000000000000001E-3</v>
      </c>
      <c r="L169">
        <f t="shared" si="31"/>
        <v>0.02</v>
      </c>
      <c r="M169" s="4">
        <f t="shared" si="42"/>
        <v>7.0000000000000001E-3</v>
      </c>
      <c r="N169" s="4">
        <f t="shared" si="43"/>
        <v>0.04</v>
      </c>
    </row>
    <row r="170" spans="1:14">
      <c r="A170" t="str">
        <f t="shared" si="32"/>
        <v>MK~BR_CN~Vai_de_Visa_MN~NONE_YQ~19Q1Q4_CP~NONE_OB~LDS_PK~NONE</v>
      </c>
      <c r="B170" t="str">
        <f t="shared" si="33"/>
        <v>Facebook</v>
      </c>
      <c r="C170" t="str">
        <f t="shared" si="34"/>
        <v>CH~SOCIAL_DT~MULTI_PB~FCBK_FM~PROMOTED_POST_RT~CPM_PD~VDV_GOL_VERTICAL_CHAT_1X1_TG~BHVDEM_TS~NONE_SZ~1X1_SOCIAL_MK~BR_IT~SOCIAL_VV~NONE</v>
      </c>
      <c r="D170" t="str">
        <f t="shared" si="35"/>
        <v>239028834</v>
      </c>
      <c r="E170" t="str">
        <f t="shared" si="36"/>
        <v>Dynamic Click</v>
      </c>
      <c r="F170" t="str">
        <f t="shared" si="37"/>
        <v>CH~SOCIAL_DT~MULTI_PB~FCBK_FM~PROMOTED_POST_RT~CPM_PD~VDV_GOL_VERTICAL_CHAT_1X1_TG~BHVDEM_TS~NONE_SZ~1X1_SOCIAL_MK~BR_IT~SOCIAL_VV~NONE</v>
      </c>
      <c r="G170" t="str">
        <f t="shared" si="38"/>
        <v>436054045</v>
      </c>
      <c r="H170" t="str">
        <f t="shared" si="39"/>
        <v>Tracking</v>
      </c>
      <c r="I170">
        <f t="shared" si="40"/>
        <v>0</v>
      </c>
      <c r="J170">
        <f t="shared" si="41"/>
        <v>10</v>
      </c>
      <c r="K170" s="4">
        <f t="shared" si="30"/>
        <v>3.5000000000000001E-3</v>
      </c>
      <c r="L170">
        <f t="shared" si="31"/>
        <v>0.02</v>
      </c>
      <c r="M170" s="4">
        <f t="shared" si="42"/>
        <v>3.5000000000000003E-2</v>
      </c>
      <c r="N170" s="4">
        <f t="shared" si="43"/>
        <v>0.2</v>
      </c>
    </row>
    <row r="171" spans="1:14">
      <c r="A171" t="str">
        <f t="shared" si="32"/>
        <v>MK~BR_CN~Vai_de_Visa_MN~NONE_YQ~19Q1Q4_CP~NONE_OB~LDS_PK~NONE</v>
      </c>
      <c r="B171" t="str">
        <f t="shared" si="33"/>
        <v>Facebook</v>
      </c>
      <c r="C171" t="str">
        <f t="shared" si="34"/>
        <v>CH~SOCIAL_DT~MULTI_PB~FCBK_FM~PROMOTED_POST_RT~CPM_PD~VDV_GOL_VERTICAL_CHAT_1X1_TG~BHVDEM_TS~NONE_SZ~1X1_SOCIAL_MK~BR_IT~SOCIAL_VV~NONE</v>
      </c>
      <c r="D171" t="str">
        <f t="shared" si="35"/>
        <v>239028834</v>
      </c>
      <c r="E171" t="str">
        <f t="shared" si="36"/>
        <v>Dynamic Click</v>
      </c>
      <c r="F171" t="str">
        <f t="shared" si="37"/>
        <v>CH~SOCIAL_DT~MULTI_PB~FCBK_FM~PROMOTED_POST_RT~CPM_PD~VDV_GOL_VERTICAL_CHAT_1X1_TG~BHVDEM_TS~NONE_SZ~1X1_SOCIAL_MK~BR_IT~SOCIAL_VV~NONE</v>
      </c>
      <c r="G171" t="str">
        <f t="shared" si="38"/>
        <v>436054045</v>
      </c>
      <c r="H171" t="str">
        <f t="shared" si="39"/>
        <v>Tracking</v>
      </c>
      <c r="I171">
        <f t="shared" si="40"/>
        <v>0</v>
      </c>
      <c r="J171">
        <f t="shared" si="41"/>
        <v>1</v>
      </c>
      <c r="K171" s="4">
        <f t="shared" si="30"/>
        <v>3.5000000000000001E-3</v>
      </c>
      <c r="L171">
        <f t="shared" si="31"/>
        <v>0.02</v>
      </c>
      <c r="M171" s="4">
        <f t="shared" si="42"/>
        <v>3.5000000000000001E-3</v>
      </c>
      <c r="N171" s="4">
        <f t="shared" si="43"/>
        <v>0.02</v>
      </c>
    </row>
    <row r="172" spans="1:14">
      <c r="A172" t="str">
        <f t="shared" si="32"/>
        <v>MK~BR_CN~Vai_de_Visa_MN~NONE_YQ~19Q1Q4_CP~NONE_OB~LDS_PK~NONE</v>
      </c>
      <c r="B172" t="str">
        <f t="shared" si="33"/>
        <v>Facebook</v>
      </c>
      <c r="C172" t="str">
        <f t="shared" si="34"/>
        <v>CH~SOCIAL_DT~MULTI_PB~FCBK_FM~PROMOTED_POST_RT~CPM_PD~VDV_GOL_VERTICAL_COMPLETO_1X1_TG~BHVDEM_TS~NONE_SZ~1X1_SOCIAL_MK~BR_IT~SOCIAL_VV~NONE</v>
      </c>
      <c r="D172" t="str">
        <f t="shared" si="35"/>
        <v>239028828</v>
      </c>
      <c r="E172" t="str">
        <f t="shared" si="36"/>
        <v>Dynamic Click</v>
      </c>
      <c r="F172" t="str">
        <f t="shared" si="37"/>
        <v>CH~SOCIAL_DT~MULTI_PB~FCBK_FM~PROMOTED_POST_RT~CPM_PD~VDV_GOL_VERTICAL_COMPLETO_1X1_TG~BHVDEM_TS~NONE_SZ~1X1_SOCIAL_MK~BR_IT~SOCIAL_VV~NONE</v>
      </c>
      <c r="G172" t="str">
        <f t="shared" si="38"/>
        <v>435946460</v>
      </c>
      <c r="H172" t="str">
        <f t="shared" si="39"/>
        <v>Tracking</v>
      </c>
      <c r="I172">
        <f t="shared" si="40"/>
        <v>0</v>
      </c>
      <c r="J172">
        <f t="shared" si="41"/>
        <v>336</v>
      </c>
      <c r="K172" s="4">
        <f t="shared" ref="K172:K235" si="44">IF(LEFT(B172,3)="DBM",0,VLOOKUP(E172,tabela,2,FALSE))</f>
        <v>3.5000000000000001E-3</v>
      </c>
      <c r="L172">
        <f t="shared" ref="L172:L235" si="45">VLOOKUP(E172,tabela,3,FALSE)</f>
        <v>0.02</v>
      </c>
      <c r="M172" s="4">
        <f t="shared" si="42"/>
        <v>1.1759999999999999</v>
      </c>
      <c r="N172" s="4">
        <f t="shared" si="43"/>
        <v>6.72</v>
      </c>
    </row>
    <row r="173" spans="1:14">
      <c r="A173" t="str">
        <f t="shared" si="32"/>
        <v>MK~BR_CN~Vai_de_Visa_MN~NONE_YQ~19Q1Q4_CP~NONE_OB~LDS_PK~NONE</v>
      </c>
      <c r="B173" t="str">
        <f t="shared" si="33"/>
        <v>Facebook</v>
      </c>
      <c r="C173" t="str">
        <f t="shared" si="34"/>
        <v>CH~SOCIAL_DT~MULTI_PB~FCBK_FM~PROMOTED_POST_RT~CPM_PD~VDV_GOL_VERTICAL_COMPLETO_1X1_TG~BHVDEM_TS~NONE_SZ~1X1_SOCIAL_MK~BR_IT~SOCIAL_VV~NONE</v>
      </c>
      <c r="D173" t="str">
        <f t="shared" si="35"/>
        <v>239028828</v>
      </c>
      <c r="E173" t="str">
        <f t="shared" si="36"/>
        <v>Dynamic Click</v>
      </c>
      <c r="F173" t="str">
        <f t="shared" si="37"/>
        <v>CH~SOCIAL_DT~MULTI_PB~FCBK_FM~PROMOTED_POST_RT~CPM_PD~VDV_GOL_VERTICAL_COMPLETO_1X1_TG~BHVDEM_TS~NONE_SZ~1X1_SOCIAL_MK~BR_IT~SOCIAL_VV~NONE</v>
      </c>
      <c r="G173" t="str">
        <f t="shared" si="38"/>
        <v>435946460</v>
      </c>
      <c r="H173" t="str">
        <f t="shared" si="39"/>
        <v>Tracking</v>
      </c>
      <c r="I173">
        <f t="shared" si="40"/>
        <v>0</v>
      </c>
      <c r="J173">
        <f t="shared" si="41"/>
        <v>1</v>
      </c>
      <c r="K173" s="4">
        <f t="shared" si="44"/>
        <v>3.5000000000000001E-3</v>
      </c>
      <c r="L173">
        <f t="shared" si="45"/>
        <v>0.02</v>
      </c>
      <c r="M173" s="4">
        <f t="shared" si="42"/>
        <v>3.5000000000000001E-3</v>
      </c>
      <c r="N173" s="4">
        <f t="shared" si="43"/>
        <v>0.02</v>
      </c>
    </row>
    <row r="174" spans="1:14">
      <c r="A174" t="str">
        <f t="shared" si="32"/>
        <v>MK~BR_CN~Vai_de_Visa_MN~NONE_YQ~19Q1Q4_CP~NONE_OB~LDS_PK~NONE</v>
      </c>
      <c r="B174" t="str">
        <f t="shared" si="33"/>
        <v>Facebook</v>
      </c>
      <c r="C174" t="str">
        <f t="shared" si="34"/>
        <v>CH~SOCIAL_DT~MULTI_PB~FCBK_FM~PROMOTED_POST_RT~CPM_PD~VDV_GOL_VERTICAL_EMAIL_1X1_TG~BHVDEM_TS~NONE_SZ~1X1_SOCIAL_MK~BR_IT~SOCIAL_VV~NONE</v>
      </c>
      <c r="D174" t="str">
        <f t="shared" si="35"/>
        <v>239028831</v>
      </c>
      <c r="E174" t="str">
        <f t="shared" si="36"/>
        <v>Dynamic Click</v>
      </c>
      <c r="F174" t="str">
        <f t="shared" si="37"/>
        <v>CH~SOCIAL_DT~MULTI_PB~FCBK_FM~PROMOTED_POST_RT~CPM_PD~VDV_GOL_VERTICAL_EMAIL_1X1_TG~BHVDEM_TS~NONE_SZ~1X1_SOCIAL_MK~BR_IT~SOCIAL_VV~NONE</v>
      </c>
      <c r="G174" t="str">
        <f t="shared" si="38"/>
        <v>435947585</v>
      </c>
      <c r="H174" t="str">
        <f t="shared" si="39"/>
        <v>Tracking</v>
      </c>
      <c r="I174">
        <f t="shared" si="40"/>
        <v>0</v>
      </c>
      <c r="J174">
        <f t="shared" si="41"/>
        <v>47</v>
      </c>
      <c r="K174" s="4">
        <f t="shared" si="44"/>
        <v>3.5000000000000001E-3</v>
      </c>
      <c r="L174">
        <f t="shared" si="45"/>
        <v>0.02</v>
      </c>
      <c r="M174" s="4">
        <f t="shared" si="42"/>
        <v>0.16450000000000001</v>
      </c>
      <c r="N174" s="4">
        <f t="shared" si="43"/>
        <v>0.94000000000000006</v>
      </c>
    </row>
    <row r="175" spans="1:14">
      <c r="A175" t="str">
        <f t="shared" si="32"/>
        <v>MK~BR_CN~Vai_de_Visa_MN~NONE_YQ~19Q1Q4_CP~NONE_OB~LDS_PK~NONE</v>
      </c>
      <c r="B175" t="str">
        <f t="shared" si="33"/>
        <v>Facebook</v>
      </c>
      <c r="C175" t="str">
        <f t="shared" si="34"/>
        <v>CH~SOCIAL_DT~MULTI_PB~FCBK_FM~PROMOTED_POST_RT~CPM_PD~VDV_GOL_VERTICAL_EMAIL_1X1_TG~BHVDEM_TS~NONE_SZ~1X1_SOCIAL_MK~BR_IT~SOCIAL_VV~NONE</v>
      </c>
      <c r="D175" t="str">
        <f t="shared" si="35"/>
        <v>239028831</v>
      </c>
      <c r="E175" t="str">
        <f t="shared" si="36"/>
        <v>Dynamic Click</v>
      </c>
      <c r="F175" t="str">
        <f t="shared" si="37"/>
        <v>CH~SOCIAL_DT~MULTI_PB~FCBK_FM~PROMOTED_POST_RT~CPM_PD~VDV_GOL_VERTICAL_EMAIL_1X1_TG~BHVDEM_TS~NONE_SZ~1X1_SOCIAL_MK~BR_IT~SOCIAL_VV~NONE</v>
      </c>
      <c r="G175" t="str">
        <f t="shared" si="38"/>
        <v>435947585</v>
      </c>
      <c r="H175" t="str">
        <f t="shared" si="39"/>
        <v>Tracking</v>
      </c>
      <c r="I175">
        <f t="shared" si="40"/>
        <v>0</v>
      </c>
      <c r="J175">
        <f t="shared" si="41"/>
        <v>1</v>
      </c>
      <c r="K175" s="4">
        <f t="shared" si="44"/>
        <v>3.5000000000000001E-3</v>
      </c>
      <c r="L175">
        <f t="shared" si="45"/>
        <v>0.02</v>
      </c>
      <c r="M175" s="4">
        <f t="shared" si="42"/>
        <v>3.5000000000000001E-3</v>
      </c>
      <c r="N175" s="4">
        <f t="shared" si="43"/>
        <v>0.02</v>
      </c>
    </row>
    <row r="176" spans="1:14">
      <c r="A176" t="str">
        <f t="shared" si="32"/>
        <v>MK~BR_CN~Vai_de_Visa_MN~NONE_YQ~19Q1Q4_CP~NONE_OB~LDS_PK~NONE</v>
      </c>
      <c r="B176" t="str">
        <f t="shared" si="33"/>
        <v>Facebook</v>
      </c>
      <c r="C176" t="str">
        <f t="shared" si="34"/>
        <v>CH~SOCIAL_DT~MULTI_PB~FCBK_FM~VIDEO_RT~CPM_PD~VDV_GOL_CARROSSEL_VIAJAR_CONECTADO_1X1_TG~BHVDEM_TS~NONE_SZ~1X1_SOCIAL_MK~BR_IT~SOCIAL_VV~NONE</v>
      </c>
      <c r="D176" t="str">
        <f t="shared" si="35"/>
        <v>240845011</v>
      </c>
      <c r="E176" t="str">
        <f t="shared" si="36"/>
        <v>Dynamic Click</v>
      </c>
      <c r="F176" t="str">
        <f t="shared" si="37"/>
        <v>CH~SOCIAL_DT~MULTI_PB~FCBK_FM~VIDEO_RT~CPM_PD~VDV_GOL_CARROSSEL_VIAJAR_CONECTADO_1X1_TG~BHVDEM_TS~NONE_SZ~1X1_SOCIAL_MK~BR_IT~SOCIAL_VV~NONE</v>
      </c>
      <c r="G176" t="str">
        <f t="shared" si="38"/>
        <v>437732691</v>
      </c>
      <c r="H176" t="str">
        <f t="shared" si="39"/>
        <v>Tracking</v>
      </c>
      <c r="I176">
        <f t="shared" si="40"/>
        <v>0</v>
      </c>
      <c r="J176">
        <f t="shared" si="41"/>
        <v>7560</v>
      </c>
      <c r="K176" s="4">
        <f t="shared" si="44"/>
        <v>3.5000000000000001E-3</v>
      </c>
      <c r="L176">
        <f t="shared" si="45"/>
        <v>0.02</v>
      </c>
      <c r="M176" s="4">
        <f t="shared" si="42"/>
        <v>26.46</v>
      </c>
      <c r="N176" s="4">
        <f t="shared" si="43"/>
        <v>151.20000000000002</v>
      </c>
    </row>
    <row r="177" spans="1:14">
      <c r="A177" t="str">
        <f t="shared" si="32"/>
        <v>MK~BR_CN~Vai_de_Visa_MN~NONE_YQ~19Q1Q4_CP~NONE_OB~LDS_PK~NONE</v>
      </c>
      <c r="B177" t="str">
        <f t="shared" si="33"/>
        <v>Google Brasil</v>
      </c>
      <c r="C177" t="str">
        <f t="shared" si="34"/>
        <v>CH~DISPLAY_DT~MULTI_PB~GDBM_FM~BANNER_RT~CPM_PD~VDV_CAMICADO_10OFF_RENOVE_DBM_300X250_300X250_TG~BHVDEM_TS~NONE_SZ~300X250_PROGRAMMATIC_MK~BR_IT~PROGRAMMATIC_VV~NONE</v>
      </c>
      <c r="D177" t="str">
        <f t="shared" si="35"/>
        <v>240362627</v>
      </c>
      <c r="E177" t="str">
        <f t="shared" si="36"/>
        <v>Standard</v>
      </c>
      <c r="F177" t="str">
        <f t="shared" si="37"/>
        <v>CH~DISPLAY_DT~MULTI_PB~GDBM_FM~BANNER_RT~CPM_PD~VDV_CAMICADO_10OFF_RENOVE_DBM_300X250_300X250_TG~BHVDEM_TS~NONE_SZ~300X250_PROGRAMMATIC_MK~BR_IT~PROGRAMMATIC_VV~NONE</v>
      </c>
      <c r="G177" t="str">
        <f t="shared" si="38"/>
        <v>437356293</v>
      </c>
      <c r="H177" t="str">
        <f t="shared" si="39"/>
        <v>Display</v>
      </c>
      <c r="I177">
        <f t="shared" si="40"/>
        <v>1</v>
      </c>
      <c r="J177">
        <f t="shared" si="41"/>
        <v>0</v>
      </c>
      <c r="K177" s="4">
        <f t="shared" si="44"/>
        <v>3.8199999999999998E-2</v>
      </c>
      <c r="L177">
        <f t="shared" si="45"/>
        <v>0.09</v>
      </c>
      <c r="M177" s="4">
        <f t="shared" si="42"/>
        <v>3.82E-5</v>
      </c>
      <c r="N177" s="4">
        <f t="shared" si="43"/>
        <v>8.9999999999999992E-5</v>
      </c>
    </row>
    <row r="178" spans="1:14">
      <c r="A178" t="str">
        <f t="shared" si="32"/>
        <v>MK~BR_CN~Vai_de_Visa_MN~NONE_YQ~19Q1Q4_CP~NONE_OB~LDS_PK~NONE</v>
      </c>
      <c r="B178" t="str">
        <f t="shared" si="33"/>
        <v>Google Brasil</v>
      </c>
      <c r="C178" t="str">
        <f t="shared" si="34"/>
        <v>CH~DISPLAY_DT~MULTI_PB~GDBM_FM~BANNER_RT~CPM_PD~VDV_CAMICADO_10OFF_RENOVE_DBM_970X250_970X250_TG~BHVDEM_TS~NONE_SZ~970X250_PROGRAMMATIC_MK~BR_IT~PROGRAMMATIC_VV~NONE</v>
      </c>
      <c r="D178" t="str">
        <f t="shared" si="35"/>
        <v>240362621</v>
      </c>
      <c r="E178" t="str">
        <f t="shared" si="36"/>
        <v>Standard</v>
      </c>
      <c r="F178" t="str">
        <f t="shared" si="37"/>
        <v>CH~DISPLAY_DT~MULTI_PB~GDBM_FM~BANNER_RT~CPM_PD~VDV_CAMICADO_10OFF_RENOVE_DBM_970X250_970X250_TG~BHVDEM_TS~NONE_SZ~970X250_PROGRAMMATIC_MK~BR_IT~PROGRAMMATIC_VV~NONE</v>
      </c>
      <c r="G178" t="str">
        <f t="shared" si="38"/>
        <v>437356287</v>
      </c>
      <c r="H178" t="str">
        <f t="shared" si="39"/>
        <v>Display</v>
      </c>
      <c r="I178">
        <f t="shared" si="40"/>
        <v>1</v>
      </c>
      <c r="J178">
        <f t="shared" si="41"/>
        <v>1</v>
      </c>
      <c r="K178" s="4">
        <f t="shared" si="44"/>
        <v>3.8199999999999998E-2</v>
      </c>
      <c r="L178">
        <f t="shared" si="45"/>
        <v>0.09</v>
      </c>
      <c r="M178" s="4">
        <f t="shared" si="42"/>
        <v>3.82E-5</v>
      </c>
      <c r="N178" s="4">
        <f t="shared" si="43"/>
        <v>8.9999999999999992E-5</v>
      </c>
    </row>
    <row r="179" spans="1:14">
      <c r="A179" t="str">
        <f t="shared" si="32"/>
        <v>MK~BR_CN~Vai_de_Visa_MN~NONE_YQ~19Q1Q4_CP~NONE_OB~LDS_PK~NONE</v>
      </c>
      <c r="B179" t="str">
        <f t="shared" si="33"/>
        <v>Google Brasil</v>
      </c>
      <c r="C179" t="str">
        <f t="shared" si="34"/>
        <v>CH~DISPLAY_DT~MULTI_PB~GDBM_FM~BANNER_RT~CPM_PD~VDV_CAMICADO_10OFF_RENOVE_DBM_970X250_970X250_TG~BHVDEM_TS~NONE_SZ~970X250_PROGRAMMATIC_MK~BR_IT~PROGRAMMATIC_VV~NONE</v>
      </c>
      <c r="D179" t="str">
        <f t="shared" si="35"/>
        <v>240362621</v>
      </c>
      <c r="E179" t="str">
        <f t="shared" si="36"/>
        <v>Dynamic Click</v>
      </c>
      <c r="F179" t="str">
        <f t="shared" si="37"/>
        <v>DESCONSIDERAR</v>
      </c>
      <c r="G179" t="str">
        <f t="shared" si="38"/>
        <v>437368278</v>
      </c>
      <c r="H179" t="str">
        <f t="shared" si="39"/>
        <v>Tracking</v>
      </c>
      <c r="I179">
        <f t="shared" si="40"/>
        <v>0</v>
      </c>
      <c r="J179">
        <f t="shared" si="41"/>
        <v>1</v>
      </c>
      <c r="K179" s="4">
        <f t="shared" si="44"/>
        <v>3.5000000000000001E-3</v>
      </c>
      <c r="L179">
        <f t="shared" si="45"/>
        <v>0.02</v>
      </c>
      <c r="M179" s="4">
        <f t="shared" si="42"/>
        <v>3.5000000000000001E-3</v>
      </c>
      <c r="N179" s="4">
        <f t="shared" si="43"/>
        <v>0.02</v>
      </c>
    </row>
    <row r="180" spans="1:14">
      <c r="A180" t="str">
        <f t="shared" si="32"/>
        <v>MK~BR_CN~Vai_de_Visa_MN~NONE_YQ~19Q1Q4_CP~NONE_OB~LDS_PK~NONE</v>
      </c>
      <c r="B180" t="str">
        <f t="shared" si="33"/>
        <v>Google Brasil</v>
      </c>
      <c r="C180" t="str">
        <f t="shared" si="34"/>
        <v>CH~DISPLAY_DT~MULTI_PB~GDBM_FM~BANNER_RT~CPM_PD~VDV_CAMICADO_BANNER_300X250_300X250_TG~BHVDEM_TS~NONE_SZ~300X250_DISPLAY_MK~BR_IT~DISPLAY_VV~NONE</v>
      </c>
      <c r="D180" t="str">
        <f t="shared" si="35"/>
        <v>237381040</v>
      </c>
      <c r="E180" t="str">
        <f t="shared" si="36"/>
        <v>Standard</v>
      </c>
      <c r="F180" t="str">
        <f t="shared" si="37"/>
        <v>CH~DISPLAY_DT~MULTI_PB~GDBM_FM~BANNER_RT~CPM_PD~VDV_CAMICADO_BANNER_300X250_300X250_TG~BHVDEM_TS~NONE_SZ~300X250_DISPLAY_MK~BR_IT~DISPLAY_VV~NONE</v>
      </c>
      <c r="G180" t="str">
        <f t="shared" si="38"/>
        <v>434711016</v>
      </c>
      <c r="H180" t="str">
        <f t="shared" si="39"/>
        <v>Display</v>
      </c>
      <c r="I180">
        <f t="shared" si="40"/>
        <v>526837</v>
      </c>
      <c r="J180">
        <f t="shared" si="41"/>
        <v>963</v>
      </c>
      <c r="K180" s="4">
        <f t="shared" si="44"/>
        <v>3.8199999999999998E-2</v>
      </c>
      <c r="L180">
        <f t="shared" si="45"/>
        <v>0.09</v>
      </c>
      <c r="M180" s="4">
        <f t="shared" si="42"/>
        <v>20.125173400000001</v>
      </c>
      <c r="N180" s="4">
        <f t="shared" si="43"/>
        <v>47.415330000000004</v>
      </c>
    </row>
    <row r="181" spans="1:14">
      <c r="A181" t="str">
        <f t="shared" si="32"/>
        <v>MK~BR_CN~Vai_de_Visa_MN~NONE_YQ~19Q1Q4_CP~NONE_OB~LDS_PK~NONE</v>
      </c>
      <c r="B181" t="str">
        <f t="shared" si="33"/>
        <v>Google Brasil</v>
      </c>
      <c r="C181" t="str">
        <f t="shared" si="34"/>
        <v>CH~DISPLAY_DT~MULTI_PB~GDBM_FM~BANNER_RT~CPM_PD~VDV_CAMICADO_BANNER_300X50_300X50_TG~BHVDEM_TS~NONE_SZ~300X50_DISPLAY_MK~BR_IT~DISPLAY_VV~NONE</v>
      </c>
      <c r="D181" t="str">
        <f t="shared" si="35"/>
        <v>237344174</v>
      </c>
      <c r="E181" t="str">
        <f t="shared" si="36"/>
        <v>Standard</v>
      </c>
      <c r="F181" t="str">
        <f t="shared" si="37"/>
        <v>CH~DISPLAY_DT~MULTI_PB~GDBM_FM~BANNER_RT~CPM_PD~VDV_CAMICADO_BANNER_300X50_300X50_TG~BHVDEM_TS~NONE_SZ~300X50_DISPLAY_MK~BR_IT~DISPLAY_VV~NONE</v>
      </c>
      <c r="G181" t="str">
        <f t="shared" si="38"/>
        <v>434711004</v>
      </c>
      <c r="H181" t="str">
        <f t="shared" si="39"/>
        <v>Display</v>
      </c>
      <c r="I181">
        <f t="shared" si="40"/>
        <v>435803</v>
      </c>
      <c r="J181">
        <f t="shared" si="41"/>
        <v>1819</v>
      </c>
      <c r="K181" s="4">
        <f t="shared" si="44"/>
        <v>3.8199999999999998E-2</v>
      </c>
      <c r="L181">
        <f t="shared" si="45"/>
        <v>0.09</v>
      </c>
      <c r="M181" s="4">
        <f t="shared" si="42"/>
        <v>16.647674599999998</v>
      </c>
      <c r="N181" s="4">
        <f t="shared" si="43"/>
        <v>39.222269999999995</v>
      </c>
    </row>
    <row r="182" spans="1:14">
      <c r="A182" t="str">
        <f t="shared" si="32"/>
        <v>MK~BR_CN~Vai_de_Visa_MN~NONE_YQ~19Q1Q4_CP~NONE_OB~LDS_PK~NONE</v>
      </c>
      <c r="B182" t="str">
        <f t="shared" si="33"/>
        <v>Google Brasil</v>
      </c>
      <c r="C182" t="str">
        <f t="shared" si="34"/>
        <v>CH~DISPLAY_DT~MULTI_PB~GDBM_FM~BANNER_RT~CPM_PD~VDV_CAMICADO_BANNER_300X50_300X50_TG~BHVDEM_TS~NONE_SZ~300X50_DISPLAY_MK~BR_IT~DISPLAY_VV~NONE</v>
      </c>
      <c r="D182" t="str">
        <f t="shared" si="35"/>
        <v>237344174</v>
      </c>
      <c r="E182" t="str">
        <f t="shared" si="36"/>
        <v>Standard</v>
      </c>
      <c r="F182" t="str">
        <f t="shared" si="37"/>
        <v>CH~DISPLAY_DT~MULTI_PB~GDBM_FM~BANNER_RT~CPM_PD~VDV_CAMICADO_BANNER_300X50_300X50_TG~BHVDEM_TS~NONE_SZ~300X50_DISPLAY_MK~BR_IT~DISPLAY_VV~NONE</v>
      </c>
      <c r="G182" t="str">
        <f t="shared" si="38"/>
        <v>434711004</v>
      </c>
      <c r="H182" t="str">
        <f t="shared" si="39"/>
        <v>Display</v>
      </c>
      <c r="I182">
        <f t="shared" si="40"/>
        <v>2</v>
      </c>
      <c r="J182">
        <f t="shared" si="41"/>
        <v>2</v>
      </c>
      <c r="K182" s="4">
        <f t="shared" si="44"/>
        <v>3.8199999999999998E-2</v>
      </c>
      <c r="L182">
        <f t="shared" si="45"/>
        <v>0.09</v>
      </c>
      <c r="M182" s="4">
        <f t="shared" si="42"/>
        <v>7.64E-5</v>
      </c>
      <c r="N182" s="4">
        <f t="shared" si="43"/>
        <v>1.7999999999999998E-4</v>
      </c>
    </row>
    <row r="183" spans="1:14">
      <c r="A183" t="str">
        <f t="shared" si="32"/>
        <v>MK~BR_CN~Vai_de_Visa_MN~NONE_YQ~19Q1Q4_CP~NONE_OB~LDS_PK~NONE</v>
      </c>
      <c r="B183" t="str">
        <f t="shared" si="33"/>
        <v>Google Brasil</v>
      </c>
      <c r="C183" t="str">
        <f t="shared" si="34"/>
        <v>CH~DISPLAY_DT~MULTI_PB~GDBM_FM~BANNER_RT~CPM_PD~VDV_CAMICADO_BANNER_728X90_728X90_TG~BHVDEM_TS~NONE_SZ~728X90_DISPLAY_MK~BR_IT~DISPLAY_VV~NONE</v>
      </c>
      <c r="D183" t="str">
        <f t="shared" si="35"/>
        <v>237651087</v>
      </c>
      <c r="E183" t="str">
        <f t="shared" si="36"/>
        <v>Standard</v>
      </c>
      <c r="F183" t="str">
        <f t="shared" si="37"/>
        <v>CH~DISPLAY_DT~MULTI_PB~GDBM_FM~BANNER_RT~CPM_PD~VDV_CAMICADO_BANNER_728X90_728X90_TG~BHVDEM_TS~NONE_SZ~728X90_DISPLAY_MK~BR_IT~DISPLAY_VV~NONE</v>
      </c>
      <c r="G183" t="str">
        <f t="shared" si="38"/>
        <v>434804911</v>
      </c>
      <c r="H183" t="str">
        <f t="shared" si="39"/>
        <v>Display</v>
      </c>
      <c r="I183">
        <f t="shared" si="40"/>
        <v>165010</v>
      </c>
      <c r="J183">
        <f t="shared" si="41"/>
        <v>63</v>
      </c>
      <c r="K183" s="4">
        <f t="shared" si="44"/>
        <v>3.8199999999999998E-2</v>
      </c>
      <c r="L183">
        <f t="shared" si="45"/>
        <v>0.09</v>
      </c>
      <c r="M183" s="4">
        <f t="shared" si="42"/>
        <v>6.303382</v>
      </c>
      <c r="N183" s="4">
        <f t="shared" si="43"/>
        <v>14.850899999999999</v>
      </c>
    </row>
    <row r="184" spans="1:14">
      <c r="A184" t="str">
        <f t="shared" si="32"/>
        <v>MK~BR_CN~Vai_de_Visa_MN~NONE_YQ~19Q1Q4_CP~NONE_OB~LDS_PK~NONE</v>
      </c>
      <c r="B184" t="str">
        <f t="shared" si="33"/>
        <v>Google Brasil</v>
      </c>
      <c r="C184" t="str">
        <f t="shared" si="34"/>
        <v>CH~DISPLAY_DT~MULTI_PB~GDBM_FM~BANNER_RT~CPM_PD~VDV_DECOLAR_15OFF_AMIGOS_120X600_120X600_TG~BHVDEM_TS~NONE_SZ~120X600_PROGRAMMATIC_MK~BR_IT~PROGRAMMATIC_VV~NONE</v>
      </c>
      <c r="D184" t="str">
        <f t="shared" si="35"/>
        <v>235786878</v>
      </c>
      <c r="E184" t="str">
        <f t="shared" si="36"/>
        <v>Standard</v>
      </c>
      <c r="F184" t="str">
        <f t="shared" si="37"/>
        <v>CH~DISPLAY_DT~MULTI_PB~GDBM_FM~BANNER_RT~CPM_PD~VDV_DECOLAR_15OFF_AMIGOS_120X600_120X600_TG~BHVDEM_TS~NONE_SZ~120X600_PROGRAMMATIC_MK~BR_IT~PROGRAMMATIC_VV~NONE</v>
      </c>
      <c r="G184" t="str">
        <f t="shared" si="38"/>
        <v>433174514</v>
      </c>
      <c r="H184" t="str">
        <f t="shared" si="39"/>
        <v>Display</v>
      </c>
      <c r="I184">
        <f t="shared" si="40"/>
        <v>12465</v>
      </c>
      <c r="J184">
        <f t="shared" si="41"/>
        <v>37</v>
      </c>
      <c r="K184" s="4">
        <f t="shared" si="44"/>
        <v>3.8199999999999998E-2</v>
      </c>
      <c r="L184">
        <f t="shared" si="45"/>
        <v>0.09</v>
      </c>
      <c r="M184" s="4">
        <f t="shared" si="42"/>
        <v>0.47616299999999995</v>
      </c>
      <c r="N184" s="4">
        <f t="shared" si="43"/>
        <v>1.12185</v>
      </c>
    </row>
    <row r="185" spans="1:14">
      <c r="A185" t="str">
        <f t="shared" si="32"/>
        <v>MK~BR_CN~Vai_de_Visa_MN~NONE_YQ~19Q1Q4_CP~NONE_OB~LDS_PK~NONE</v>
      </c>
      <c r="B185" t="str">
        <f t="shared" si="33"/>
        <v>Google Brasil</v>
      </c>
      <c r="C185" t="str">
        <f t="shared" si="34"/>
        <v>CH~DISPLAY_DT~MULTI_PB~GDBM_FM~BANNER_RT~CPM_PD~VDV_DECOLAR_15OFF_AMIGOS_300X250_300X250_TG~BHVDEM_TS~NONE_SZ~300X250_PROGRAMMATIC_MK~BR_IT~PROGRAMMATIC_VV~NONE</v>
      </c>
      <c r="D185" t="str">
        <f t="shared" si="35"/>
        <v>235533794</v>
      </c>
      <c r="E185" t="str">
        <f t="shared" si="36"/>
        <v>Standard</v>
      </c>
      <c r="F185" t="str">
        <f t="shared" si="37"/>
        <v>CH~DISPLAY_DT~MULTI_PB~GDBM_FM~BANNER_RT~CPM_PD~VDV_DECOLAR_15OFF_AMIGOS_300X250_300X250_TG~BHVDEM_TS~NONE_SZ~300X250_PROGRAMMATIC_MK~BR_IT~PROGRAMMATIC_VV~NONE</v>
      </c>
      <c r="G185" t="str">
        <f t="shared" si="38"/>
        <v>433182648</v>
      </c>
      <c r="H185" t="str">
        <f t="shared" si="39"/>
        <v>Display</v>
      </c>
      <c r="I185">
        <f t="shared" si="40"/>
        <v>606118</v>
      </c>
      <c r="J185">
        <f t="shared" si="41"/>
        <v>6896</v>
      </c>
      <c r="K185" s="4">
        <f t="shared" si="44"/>
        <v>3.8199999999999998E-2</v>
      </c>
      <c r="L185">
        <f t="shared" si="45"/>
        <v>0.09</v>
      </c>
      <c r="M185" s="4">
        <f t="shared" si="42"/>
        <v>23.153707599999997</v>
      </c>
      <c r="N185" s="4">
        <f t="shared" si="43"/>
        <v>54.550619999999995</v>
      </c>
    </row>
    <row r="186" spans="1:14">
      <c r="A186" t="str">
        <f t="shared" si="32"/>
        <v>MK~BR_CN~Vai_de_Visa_MN~NONE_YQ~19Q1Q4_CP~NONE_OB~LDS_PK~NONE</v>
      </c>
      <c r="B186" t="str">
        <f t="shared" si="33"/>
        <v>Google Brasil</v>
      </c>
      <c r="C186" t="str">
        <f t="shared" si="34"/>
        <v>CH~DISPLAY_DT~MULTI_PB~GDBM_FM~BANNER_RT~CPM_PD~VDV_DECOLAR_15OFF_AMIGOS_300X250_300X250_TG~BHVDEM_TS~NONE_SZ~300X250_PROGRAMMATIC_MK~BR_IT~PROGRAMMATIC_VV~NONE</v>
      </c>
      <c r="D186" t="str">
        <f t="shared" si="35"/>
        <v>235533794</v>
      </c>
      <c r="E186" t="str">
        <f t="shared" si="36"/>
        <v>Standard</v>
      </c>
      <c r="F186" t="str">
        <f t="shared" si="37"/>
        <v>CH~DISPLAY_DT~MULTI_PB~GDBM_FM~BANNER_RT~CPM_PD~VDV_DECOLAR_15OFF_AMIGOS_300X250_300X250_TG~BHVDEM_TS~NONE_SZ~300X250_PROGRAMMATIC_MK~BR_IT~PROGRAMMATIC_VV~NONE</v>
      </c>
      <c r="G186" t="str">
        <f t="shared" si="38"/>
        <v>433182648</v>
      </c>
      <c r="H186" t="str">
        <f t="shared" si="39"/>
        <v>Display</v>
      </c>
      <c r="I186">
        <f t="shared" si="40"/>
        <v>0</v>
      </c>
      <c r="J186">
        <f t="shared" si="41"/>
        <v>10</v>
      </c>
      <c r="K186" s="4">
        <f t="shared" si="44"/>
        <v>3.8199999999999998E-2</v>
      </c>
      <c r="L186">
        <f t="shared" si="45"/>
        <v>0.09</v>
      </c>
      <c r="M186" s="4">
        <f t="shared" si="42"/>
        <v>0</v>
      </c>
      <c r="N186" s="4">
        <f t="shared" si="43"/>
        <v>0</v>
      </c>
    </row>
    <row r="187" spans="1:14">
      <c r="A187" t="str">
        <f t="shared" si="32"/>
        <v>MK~BR_CN~Vai_de_Visa_MN~NONE_YQ~19Q1Q4_CP~NONE_OB~LDS_PK~NONE</v>
      </c>
      <c r="B187" t="str">
        <f t="shared" si="33"/>
        <v>Google Brasil</v>
      </c>
      <c r="C187" t="str">
        <f t="shared" si="34"/>
        <v>CH~DISPLAY_DT~MULTI_PB~GDBM_FM~BANNER_RT~CPM_PD~VDV_DECOLAR_15OFF_AMIGOS_300X600_300X600_TG~BHVDEM_TS~NONE_SZ~300X600_PROGRAMMATIC_MK~BR_IT~PROGRAMMATIC_VV~NONE</v>
      </c>
      <c r="D187" t="str">
        <f t="shared" si="35"/>
        <v>235555843</v>
      </c>
      <c r="E187" t="str">
        <f t="shared" si="36"/>
        <v>Standard</v>
      </c>
      <c r="F187" t="str">
        <f t="shared" si="37"/>
        <v>CH~DISPLAY_DT~MULTI_PB~GDBM_FM~BANNER_RT~CPM_PD~VDV_DECOLAR_15OFF_AMIGOS_300X600_300X600_TG~BHVDEM_TS~NONE_SZ~300X600_PROGRAMMATIC_MK~BR_IT~PROGRAMMATIC_VV~NONE</v>
      </c>
      <c r="G187" t="str">
        <f t="shared" si="38"/>
        <v>433186836</v>
      </c>
      <c r="H187" t="str">
        <f t="shared" si="39"/>
        <v>Display</v>
      </c>
      <c r="I187">
        <f t="shared" si="40"/>
        <v>52581</v>
      </c>
      <c r="J187">
        <f t="shared" si="41"/>
        <v>2385</v>
      </c>
      <c r="K187" s="4">
        <f t="shared" si="44"/>
        <v>3.8199999999999998E-2</v>
      </c>
      <c r="L187">
        <f t="shared" si="45"/>
        <v>0.09</v>
      </c>
      <c r="M187" s="4">
        <f t="shared" si="42"/>
        <v>2.0085941999999997</v>
      </c>
      <c r="N187" s="4">
        <f t="shared" si="43"/>
        <v>4.7322899999999999</v>
      </c>
    </row>
    <row r="188" spans="1:14">
      <c r="A188" t="str">
        <f t="shared" si="32"/>
        <v>MK~BR_CN~Vai_de_Visa_MN~NONE_YQ~19Q1Q4_CP~NONE_OB~LDS_PK~NONE</v>
      </c>
      <c r="B188" t="str">
        <f t="shared" si="33"/>
        <v>Google Brasil</v>
      </c>
      <c r="C188" t="str">
        <f t="shared" si="34"/>
        <v>CH~DISPLAY_DT~MULTI_PB~GDBM_FM~BANNER_RT~CPM_PD~VDV_DECOLAR_15OFF_AMIGOS_300X600_300X600_TG~BHVDEM_TS~NONE_SZ~300X600_PROGRAMMATIC_MK~BR_IT~PROGRAMMATIC_VV~NONE</v>
      </c>
      <c r="D188" t="str">
        <f t="shared" si="35"/>
        <v>235555843</v>
      </c>
      <c r="E188" t="str">
        <f t="shared" si="36"/>
        <v>Standard</v>
      </c>
      <c r="F188" t="str">
        <f t="shared" si="37"/>
        <v>CH~DISPLAY_DT~MULTI_PB~GDBM_FM~BANNER_RT~CPM_PD~VDV_DECOLAR_15OFF_AMIGOS_300X600_300X600_TG~BHVDEM_TS~NONE_SZ~300X600_PROGRAMMATIC_MK~BR_IT~PROGRAMMATIC_VV~NONE</v>
      </c>
      <c r="G188" t="str">
        <f t="shared" si="38"/>
        <v>433186836</v>
      </c>
      <c r="H188" t="str">
        <f t="shared" si="39"/>
        <v>Display</v>
      </c>
      <c r="I188">
        <f t="shared" si="40"/>
        <v>0</v>
      </c>
      <c r="J188">
        <f t="shared" si="41"/>
        <v>20</v>
      </c>
      <c r="K188" s="4">
        <f t="shared" si="44"/>
        <v>3.8199999999999998E-2</v>
      </c>
      <c r="L188">
        <f t="shared" si="45"/>
        <v>0.09</v>
      </c>
      <c r="M188" s="4">
        <f t="shared" si="42"/>
        <v>0</v>
      </c>
      <c r="N188" s="4">
        <f t="shared" si="43"/>
        <v>0</v>
      </c>
    </row>
    <row r="189" spans="1:14">
      <c r="A189" t="str">
        <f t="shared" si="32"/>
        <v>MK~BR_CN~Vai_de_Visa_MN~NONE_YQ~19Q1Q4_CP~NONE_OB~LDS_PK~NONE</v>
      </c>
      <c r="B189" t="str">
        <f t="shared" si="33"/>
        <v>Google Brasil</v>
      </c>
      <c r="C189" t="str">
        <f t="shared" si="34"/>
        <v>CH~DISPLAY_DT~MULTI_PB~GDBM_FM~BANNER_RT~CPM_PD~VDV_DECOLAR_15OFF_AMIGOS_728X90_728X90_TG~BHVDEM_TS~NONE_SZ~728X90_PROGRAMMATIC_MK~BR_IT~PROGRAMMATIC_VV~NONE</v>
      </c>
      <c r="D189" t="str">
        <f t="shared" si="35"/>
        <v>235533821</v>
      </c>
      <c r="E189" t="str">
        <f t="shared" si="36"/>
        <v>Standard</v>
      </c>
      <c r="F189" t="str">
        <f t="shared" si="37"/>
        <v>CH~DISPLAY_DT~MULTI_PB~GDBM_FM~BANNER_RT~CPM_PD~VDV_DECOLAR_15OFF_AMIGOS_728X90_728X90_TG~BHVDEM_TS~NONE_SZ~728X90_PROGRAMMATIC_MK~BR_IT~PROGRAMMATIC_VV~NONE</v>
      </c>
      <c r="G189" t="str">
        <f t="shared" si="38"/>
        <v>433251163</v>
      </c>
      <c r="H189" t="str">
        <f t="shared" si="39"/>
        <v>Display</v>
      </c>
      <c r="I189">
        <f t="shared" si="40"/>
        <v>17845</v>
      </c>
      <c r="J189">
        <f t="shared" si="41"/>
        <v>22</v>
      </c>
      <c r="K189" s="4">
        <f t="shared" si="44"/>
        <v>3.8199999999999998E-2</v>
      </c>
      <c r="L189">
        <f t="shared" si="45"/>
        <v>0.09</v>
      </c>
      <c r="M189" s="4">
        <f t="shared" si="42"/>
        <v>0.68167899999999992</v>
      </c>
      <c r="N189" s="4">
        <f t="shared" si="43"/>
        <v>1.60605</v>
      </c>
    </row>
    <row r="190" spans="1:14">
      <c r="A190" t="str">
        <f t="shared" si="32"/>
        <v>MK~BR_CN~Vai_de_Visa_MN~NONE_YQ~19Q1Q4_CP~NONE_OB~LDS_PK~NONE</v>
      </c>
      <c r="B190" t="str">
        <f t="shared" si="33"/>
        <v>Google Brasil</v>
      </c>
      <c r="C190" t="str">
        <f t="shared" si="34"/>
        <v>CH~DISPLAY_DT~MULTI_PB~GDBM_FM~BANNER_RT~CPM_PD~VDV_DECOLAR_15OFF_MULHER_MAR_120X600_120X600_TG~BHVDEM_TS~NONE_SZ~120X600_PROGRAMMATIC_MK~BR_IT~PROGRAMMATIC_VV~NONE</v>
      </c>
      <c r="D190" t="str">
        <f t="shared" si="35"/>
        <v>235802349</v>
      </c>
      <c r="E190" t="str">
        <f t="shared" si="36"/>
        <v>Standard</v>
      </c>
      <c r="F190" t="str">
        <f t="shared" si="37"/>
        <v>CH~DISPLAY_DT~MULTI_PB~GDBM_FM~BANNER_RT~CPM_PD~VDV_DECOLAR_15OFF_MULHER_MAR_120X600_120X600_TG~BHVDEM_TS~NONE_SZ~120X600_PROGRAMMATIC_MK~BR_IT~PROGRAMMATIC_VV~NONE</v>
      </c>
      <c r="G190" t="str">
        <f t="shared" si="38"/>
        <v>433186872</v>
      </c>
      <c r="H190" t="str">
        <f t="shared" si="39"/>
        <v>Display</v>
      </c>
      <c r="I190">
        <f t="shared" si="40"/>
        <v>11800</v>
      </c>
      <c r="J190">
        <f t="shared" si="41"/>
        <v>18</v>
      </c>
      <c r="K190" s="4">
        <f t="shared" si="44"/>
        <v>3.8199999999999998E-2</v>
      </c>
      <c r="L190">
        <f t="shared" si="45"/>
        <v>0.09</v>
      </c>
      <c r="M190" s="4">
        <f t="shared" si="42"/>
        <v>0.45075999999999999</v>
      </c>
      <c r="N190" s="4">
        <f t="shared" si="43"/>
        <v>1.0620000000000001</v>
      </c>
    </row>
    <row r="191" spans="1:14">
      <c r="A191" t="str">
        <f t="shared" si="32"/>
        <v>MK~BR_CN~Vai_de_Visa_MN~NONE_YQ~19Q1Q4_CP~NONE_OB~LDS_PK~NONE</v>
      </c>
      <c r="B191" t="str">
        <f t="shared" si="33"/>
        <v>Google Brasil</v>
      </c>
      <c r="C191" t="str">
        <f t="shared" si="34"/>
        <v>CH~DISPLAY_DT~MULTI_PB~GDBM_FM~BANNER_RT~CPM_PD~VDV_DECOLAR_15OFF_MULHER_MAR_120X600_120X600_TG~BHVDEM_TS~NONE_SZ~120X600_PROGRAMMATIC_MK~BR_IT~PROGRAMMATIC_VV~NONE</v>
      </c>
      <c r="D191" t="str">
        <f t="shared" si="35"/>
        <v>235802349</v>
      </c>
      <c r="E191" t="str">
        <f t="shared" si="36"/>
        <v>Standard</v>
      </c>
      <c r="F191" t="str">
        <f t="shared" si="37"/>
        <v>CH~DISPLAY_DT~MULTI_PB~GDBM_FM~BANNER_RT~CPM_PD~VDV_DECOLAR_15OFF_MULHER_MAR_120X600_120X600_TG~BHVDEM_TS~NONE_SZ~120X600_PROGRAMMATIC_MK~BR_IT~PROGRAMMATIC_VV~NONE</v>
      </c>
      <c r="G191" t="str">
        <f t="shared" si="38"/>
        <v>433186872</v>
      </c>
      <c r="H191" t="str">
        <f t="shared" si="39"/>
        <v>Display</v>
      </c>
      <c r="I191">
        <f t="shared" si="40"/>
        <v>1</v>
      </c>
      <c r="J191">
        <f t="shared" si="41"/>
        <v>0</v>
      </c>
      <c r="K191" s="4">
        <f t="shared" si="44"/>
        <v>3.8199999999999998E-2</v>
      </c>
      <c r="L191">
        <f t="shared" si="45"/>
        <v>0.09</v>
      </c>
      <c r="M191" s="4">
        <f t="shared" si="42"/>
        <v>3.82E-5</v>
      </c>
      <c r="N191" s="4">
        <f t="shared" si="43"/>
        <v>8.9999999999999992E-5</v>
      </c>
    </row>
    <row r="192" spans="1:14">
      <c r="A192" t="str">
        <f t="shared" si="32"/>
        <v>MK~BR_CN~Vai_de_Visa_MN~NONE_YQ~19Q1Q4_CP~NONE_OB~LDS_PK~NONE</v>
      </c>
      <c r="B192" t="str">
        <f t="shared" si="33"/>
        <v>Google Brasil</v>
      </c>
      <c r="C192" t="str">
        <f t="shared" si="34"/>
        <v>CH~DISPLAY_DT~MULTI_PB~GDBM_FM~BANNER_RT~CPM_PD~VDV_DECOLAR_15OFF_MULHER_MAR_300X250_300X250_TG~BHVDEM_TS~NONE_SZ~300X250_PROGRAMMATIC_MK~BR_IT~PROGRAMMATIC_VV~NONE</v>
      </c>
      <c r="D192" t="str">
        <f t="shared" si="35"/>
        <v>235786920</v>
      </c>
      <c r="E192" t="str">
        <f t="shared" si="36"/>
        <v>Standard</v>
      </c>
      <c r="F192" t="str">
        <f t="shared" si="37"/>
        <v>CH~DISPLAY_DT~MULTI_PB~GDBM_FM~BANNER_RT~CPM_PD~VDV_DECOLAR_15OFF_MULHER_MAR_300X250_300X250_TG~BHVDEM_TS~NONE_SZ~300X250_PROGRAMMATIC_MK~BR_IT~PROGRAMMATIC_VV~NONE</v>
      </c>
      <c r="G192" t="str">
        <f t="shared" si="38"/>
        <v>433244539</v>
      </c>
      <c r="H192" t="str">
        <f t="shared" si="39"/>
        <v>Display</v>
      </c>
      <c r="I192">
        <f t="shared" si="40"/>
        <v>1498889</v>
      </c>
      <c r="J192">
        <f t="shared" si="41"/>
        <v>18825</v>
      </c>
      <c r="K192" s="4">
        <f t="shared" si="44"/>
        <v>3.8199999999999998E-2</v>
      </c>
      <c r="L192">
        <f t="shared" si="45"/>
        <v>0.09</v>
      </c>
      <c r="M192" s="4">
        <f t="shared" si="42"/>
        <v>57.257559799999996</v>
      </c>
      <c r="N192" s="4">
        <f t="shared" si="43"/>
        <v>134.90001000000001</v>
      </c>
    </row>
    <row r="193" spans="1:14">
      <c r="A193" t="str">
        <f t="shared" si="32"/>
        <v>MK~BR_CN~Vai_de_Visa_MN~NONE_YQ~19Q1Q4_CP~NONE_OB~LDS_PK~NONE</v>
      </c>
      <c r="B193" t="str">
        <f t="shared" si="33"/>
        <v>Google Brasil</v>
      </c>
      <c r="C193" t="str">
        <f t="shared" si="34"/>
        <v>CH~DISPLAY_DT~MULTI_PB~GDBM_FM~BANNER_RT~CPM_PD~VDV_DECOLAR_15OFF_MULHER_MAR_300X250_300X250_TG~BHVDEM_TS~NONE_SZ~300X250_PROGRAMMATIC_MK~BR_IT~PROGRAMMATIC_VV~NONE</v>
      </c>
      <c r="D193" t="str">
        <f t="shared" si="35"/>
        <v>235786920</v>
      </c>
      <c r="E193" t="str">
        <f t="shared" si="36"/>
        <v>Standard</v>
      </c>
      <c r="F193" t="str">
        <f t="shared" si="37"/>
        <v>CH~DISPLAY_DT~MULTI_PB~GDBM_FM~BANNER_RT~CPM_PD~VDV_DECOLAR_15OFF_MULHER_MAR_300X250_300X250_TG~BHVDEM_TS~NONE_SZ~300X250_PROGRAMMATIC_MK~BR_IT~PROGRAMMATIC_VV~NONE</v>
      </c>
      <c r="G193" t="str">
        <f t="shared" si="38"/>
        <v>433244539</v>
      </c>
      <c r="H193" t="str">
        <f t="shared" si="39"/>
        <v>Display</v>
      </c>
      <c r="I193">
        <f t="shared" si="40"/>
        <v>0</v>
      </c>
      <c r="J193">
        <f t="shared" si="41"/>
        <v>85</v>
      </c>
      <c r="K193" s="4">
        <f t="shared" si="44"/>
        <v>3.8199999999999998E-2</v>
      </c>
      <c r="L193">
        <f t="shared" si="45"/>
        <v>0.09</v>
      </c>
      <c r="M193" s="4">
        <f t="shared" si="42"/>
        <v>0</v>
      </c>
      <c r="N193" s="4">
        <f t="shared" si="43"/>
        <v>0</v>
      </c>
    </row>
    <row r="194" spans="1:14">
      <c r="A194" t="str">
        <f t="shared" ref="A194:A257" si="46">bd_campaign</f>
        <v>MK~BR_CN~Vai_de_Visa_MN~NONE_YQ~19Q1Q4_CP~NONE_OB~LDS_PK~NONE</v>
      </c>
      <c r="B194" t="str">
        <f t="shared" ref="B194:B257" si="47">bd_site</f>
        <v>Google Brasil</v>
      </c>
      <c r="C194" t="str">
        <f t="shared" ref="C194:C257" si="48">bd_placement</f>
        <v>CH~DISPLAY_DT~MULTI_PB~GDBM_FM~BANNER_RT~CPM_PD~VDV_DECOLAR_15OFF_MULHER_MAR_300X600_300X600_TG~BHVDEM_TS~NONE_SZ~300X600_PROGRAMMATIC_MK~BR_IT~PROGRAMMATIC_VV~NONE</v>
      </c>
      <c r="D194" t="str">
        <f t="shared" ref="D194:D257" si="49">bd_placementID</f>
        <v>235541195</v>
      </c>
      <c r="E194" t="str">
        <f t="shared" ref="E194:E257" si="50">VLOOKUP(CONCATENATE(bd_adtype,"_",bd_creativetype),tabela,2,FALSE)</f>
        <v>Standard</v>
      </c>
      <c r="F194" t="str">
        <f t="shared" ref="F194:F257" si="51">bd_ad</f>
        <v>CH~DISPLAY_DT~MULTI_PB~GDBM_FM~BANNER_RT~CPM_PD~VDV_DECOLAR_15OFF_MULHER_MAR_300X600_300X600_TG~BHVDEM_TS~NONE_SZ~300X600_PROGRAMMATIC_MK~BR_IT~PROGRAMMATIC_VV~NONE</v>
      </c>
      <c r="G194" t="str">
        <f t="shared" ref="G194:G257" si="52">bd_adid</f>
        <v>433174577</v>
      </c>
      <c r="H194" t="str">
        <f t="shared" ref="H194:H257" si="53">bd_creativetype</f>
        <v>Display</v>
      </c>
      <c r="I194">
        <f t="shared" ref="I194:I257" si="54">bd_impression</f>
        <v>20881</v>
      </c>
      <c r="J194">
        <f t="shared" ref="J194:J257" si="55">bd_clicks</f>
        <v>635</v>
      </c>
      <c r="K194" s="4">
        <f t="shared" si="44"/>
        <v>3.8199999999999998E-2</v>
      </c>
      <c r="L194">
        <f t="shared" si="45"/>
        <v>0.09</v>
      </c>
      <c r="M194" s="4">
        <f t="shared" si="42"/>
        <v>0.79765419999999998</v>
      </c>
      <c r="N194" s="4">
        <f t="shared" si="43"/>
        <v>1.8792899999999999</v>
      </c>
    </row>
    <row r="195" spans="1:14">
      <c r="A195" t="str">
        <f t="shared" si="46"/>
        <v>MK~BR_CN~Vai_de_Visa_MN~NONE_YQ~19Q1Q4_CP~NONE_OB~LDS_PK~NONE</v>
      </c>
      <c r="B195" t="str">
        <f t="shared" si="47"/>
        <v>Google Brasil</v>
      </c>
      <c r="C195" t="str">
        <f t="shared" si="48"/>
        <v>CH~DISPLAY_DT~MULTI_PB~GDBM_FM~BANNER_RT~CPM_PD~VDV_DECOLAR_15OFF_MULHER_MAR_300X600_300X600_TG~BHVDEM_TS~NONE_SZ~300X600_PROGRAMMATIC_MK~BR_IT~PROGRAMMATIC_VV~NONE</v>
      </c>
      <c r="D195" t="str">
        <f t="shared" si="49"/>
        <v>235541195</v>
      </c>
      <c r="E195" t="str">
        <f t="shared" si="50"/>
        <v>Standard</v>
      </c>
      <c r="F195" t="str">
        <f t="shared" si="51"/>
        <v>CH~DISPLAY_DT~MULTI_PB~GDBM_FM~BANNER_RT~CPM_PD~VDV_DECOLAR_15OFF_MULHER_MAR_300X600_300X600_TG~BHVDEM_TS~NONE_SZ~300X600_PROGRAMMATIC_MK~BR_IT~PROGRAMMATIC_VV~NONE</v>
      </c>
      <c r="G195" t="str">
        <f t="shared" si="52"/>
        <v>433174577</v>
      </c>
      <c r="H195" t="str">
        <f t="shared" si="53"/>
        <v>Display</v>
      </c>
      <c r="I195">
        <f t="shared" si="54"/>
        <v>0</v>
      </c>
      <c r="J195">
        <f t="shared" si="55"/>
        <v>1</v>
      </c>
      <c r="K195" s="4">
        <f t="shared" si="44"/>
        <v>3.8199999999999998E-2</v>
      </c>
      <c r="L195">
        <f t="shared" si="45"/>
        <v>0.09</v>
      </c>
      <c r="M195" s="4">
        <f t="shared" si="42"/>
        <v>0</v>
      </c>
      <c r="N195" s="4">
        <f t="shared" si="43"/>
        <v>0</v>
      </c>
    </row>
    <row r="196" spans="1:14">
      <c r="A196" t="str">
        <f t="shared" si="46"/>
        <v>MK~BR_CN~Vai_de_Visa_MN~NONE_YQ~19Q1Q4_CP~NONE_OB~LDS_PK~NONE</v>
      </c>
      <c r="B196" t="str">
        <f t="shared" si="47"/>
        <v>Google Brasil</v>
      </c>
      <c r="C196" t="str">
        <f t="shared" si="48"/>
        <v>CH~DISPLAY_DT~MULTI_PB~GDBM_FM~BANNER_RT~CPM_PD~VDV_DECOLAR_15OFF_MULHER_MAR_728X90_728X90_TG~BHVDEM_TS~NONE_SZ~728X90_PROGRAMMATIC_MK~BR_IT~PROGRAMMATIC_VV~NONE</v>
      </c>
      <c r="D196" t="str">
        <f t="shared" si="49"/>
        <v>235533851</v>
      </c>
      <c r="E196" t="str">
        <f t="shared" si="50"/>
        <v>Standard</v>
      </c>
      <c r="F196" t="str">
        <f t="shared" si="51"/>
        <v>CH~DISPLAY_DT~MULTI_PB~GDBM_FM~BANNER_RT~CPM_PD~VDV_DECOLAR_15OFF_MULHER_MAR_728X90_728X90_TG~BHVDEM_TS~NONE_SZ~728X90_PROGRAMMATIC_MK~BR_IT~PROGRAMMATIC_VV~NONE</v>
      </c>
      <c r="G196" t="str">
        <f t="shared" si="52"/>
        <v>433176323</v>
      </c>
      <c r="H196" t="str">
        <f t="shared" si="53"/>
        <v>Display</v>
      </c>
      <c r="I196">
        <f t="shared" si="54"/>
        <v>20851</v>
      </c>
      <c r="J196">
        <f t="shared" si="55"/>
        <v>24</v>
      </c>
      <c r="K196" s="4">
        <f t="shared" si="44"/>
        <v>3.8199999999999998E-2</v>
      </c>
      <c r="L196">
        <f t="shared" si="45"/>
        <v>0.09</v>
      </c>
      <c r="M196" s="4">
        <f t="shared" si="42"/>
        <v>0.7965082</v>
      </c>
      <c r="N196" s="4">
        <f t="shared" si="43"/>
        <v>1.87659</v>
      </c>
    </row>
    <row r="197" spans="1:14">
      <c r="A197" t="str">
        <f t="shared" si="46"/>
        <v>MK~BR_CN~Vai_de_Visa_MN~NONE_YQ~19Q1Q4_CP~NONE_OB~LDS_PK~NONE</v>
      </c>
      <c r="B197" t="str">
        <f t="shared" si="47"/>
        <v>Google Brasil</v>
      </c>
      <c r="C197" t="str">
        <f t="shared" si="48"/>
        <v>CH~DISPLAY_DT~MULTI_PB~GDBM_FM~BANNER_RT~CPM_PD~VDV_DECOLAR_BANNER_120X600_1X1_TG~BHVDEM_TS~NONE_SZ~1X1_DISPLAY_MK~BR_IT~DISPLAY_VV~NONE</v>
      </c>
      <c r="D197" t="str">
        <f t="shared" si="49"/>
        <v>236781703</v>
      </c>
      <c r="E197" t="str">
        <f t="shared" si="50"/>
        <v>Default</v>
      </c>
      <c r="F197" t="str">
        <f t="shared" si="51"/>
        <v>1x1 Default Web Ad</v>
      </c>
      <c r="G197" t="str">
        <f t="shared" si="52"/>
        <v>431184438</v>
      </c>
      <c r="H197" t="str">
        <f t="shared" si="53"/>
        <v>Display</v>
      </c>
      <c r="I197">
        <f t="shared" si="54"/>
        <v>9322</v>
      </c>
      <c r="J197">
        <f t="shared" si="55"/>
        <v>0</v>
      </c>
      <c r="K197" s="4">
        <f t="shared" si="44"/>
        <v>3.8199999999999998E-2</v>
      </c>
      <c r="L197">
        <f t="shared" si="45"/>
        <v>0.09</v>
      </c>
      <c r="M197" s="4">
        <f t="shared" si="42"/>
        <v>0.35610039999999998</v>
      </c>
      <c r="N197" s="4">
        <f t="shared" si="43"/>
        <v>0.83898000000000006</v>
      </c>
    </row>
    <row r="198" spans="1:14">
      <c r="A198" t="str">
        <f t="shared" si="46"/>
        <v>MK~BR_CN~Vai_de_Visa_MN~NONE_YQ~19Q1Q4_CP~NONE_OB~LDS_PK~NONE</v>
      </c>
      <c r="B198" t="str">
        <f t="shared" si="47"/>
        <v>Google Brasil</v>
      </c>
      <c r="C198" t="str">
        <f t="shared" si="48"/>
        <v>CH~DISPLAY_DT~MULTI_PB~GDBM_FM~BANNER_RT~CPM_PD~VDV_DECOLAR_BANNER_300X250_1X1_TG~BHVDEM_TS~NONE_SZ~1X1_DISPLAY_MK~BR_IT~DISPLAY_VV~NONE</v>
      </c>
      <c r="D198" t="str">
        <f t="shared" si="49"/>
        <v>236781697</v>
      </c>
      <c r="E198" t="str">
        <f t="shared" si="50"/>
        <v>Default</v>
      </c>
      <c r="F198" t="str">
        <f t="shared" si="51"/>
        <v>1x1 Default Web Ad</v>
      </c>
      <c r="G198" t="str">
        <f t="shared" si="52"/>
        <v>431184438</v>
      </c>
      <c r="H198" t="str">
        <f t="shared" si="53"/>
        <v>Display</v>
      </c>
      <c r="I198">
        <f t="shared" si="54"/>
        <v>14115</v>
      </c>
      <c r="J198">
        <f t="shared" si="55"/>
        <v>0</v>
      </c>
      <c r="K198" s="4">
        <f t="shared" si="44"/>
        <v>3.8199999999999998E-2</v>
      </c>
      <c r="L198">
        <f t="shared" si="45"/>
        <v>0.09</v>
      </c>
      <c r="M198" s="4">
        <f t="shared" si="42"/>
        <v>0.53919300000000003</v>
      </c>
      <c r="N198" s="4">
        <f t="shared" si="43"/>
        <v>1.2703499999999999</v>
      </c>
    </row>
    <row r="199" spans="1:14">
      <c r="A199" t="str">
        <f t="shared" si="46"/>
        <v>MK~BR_CN~Vai_de_Visa_MN~NONE_YQ~19Q1Q4_CP~NONE_OB~LDS_PK~NONE</v>
      </c>
      <c r="B199" t="str">
        <f t="shared" si="47"/>
        <v>Google Brasil</v>
      </c>
      <c r="C199" t="str">
        <f t="shared" si="48"/>
        <v>CH~DISPLAY_DT~MULTI_PB~GDBM_FM~BANNER_RT~CPM_PD~VDV_DECOLAR_BANNER_300X600_1X1_TG~BHVDEM_TS~NONE_SZ~1X1_DISPLAY_MK~BR_IT~DISPLAY_VV~NONE</v>
      </c>
      <c r="D199" t="str">
        <f t="shared" si="49"/>
        <v>236781691</v>
      </c>
      <c r="E199" t="str">
        <f t="shared" si="50"/>
        <v>Default</v>
      </c>
      <c r="F199" t="str">
        <f t="shared" si="51"/>
        <v>1x1 Default Web Ad</v>
      </c>
      <c r="G199" t="str">
        <f t="shared" si="52"/>
        <v>431184438</v>
      </c>
      <c r="H199" t="str">
        <f t="shared" si="53"/>
        <v>Display</v>
      </c>
      <c r="I199">
        <f t="shared" si="54"/>
        <v>8789</v>
      </c>
      <c r="J199">
        <f t="shared" si="55"/>
        <v>0</v>
      </c>
      <c r="K199" s="4">
        <f t="shared" si="44"/>
        <v>3.8199999999999998E-2</v>
      </c>
      <c r="L199">
        <f t="shared" si="45"/>
        <v>0.09</v>
      </c>
      <c r="M199" s="4">
        <f t="shared" si="42"/>
        <v>0.33573979999999998</v>
      </c>
      <c r="N199" s="4">
        <f t="shared" si="43"/>
        <v>0.79100999999999999</v>
      </c>
    </row>
    <row r="200" spans="1:14">
      <c r="A200" t="str">
        <f t="shared" si="46"/>
        <v>MK~BR_CN~Vai_de_Visa_MN~NONE_YQ~19Q1Q4_CP~NONE_OB~LDS_PK~NONE</v>
      </c>
      <c r="B200" t="str">
        <f t="shared" si="47"/>
        <v>Google Brasil</v>
      </c>
      <c r="C200" t="str">
        <f t="shared" si="48"/>
        <v>CH~DISPLAY_DT~MULTI_PB~GDBM_FM~BANNER_RT~CPM_PD~VDV_DECOLAR_BANNER_728X90_1X1_TG~BHVDEM_TS~NONE_SZ~1X1_DISPLAY_MK~BR_IT~DISPLAY_VV~NONE</v>
      </c>
      <c r="D200" t="str">
        <f t="shared" si="49"/>
        <v>236781688</v>
      </c>
      <c r="E200" t="str">
        <f t="shared" si="50"/>
        <v>Default</v>
      </c>
      <c r="F200" t="str">
        <f t="shared" si="51"/>
        <v>1x1 Default Web Ad</v>
      </c>
      <c r="G200" t="str">
        <f t="shared" si="52"/>
        <v>431184438</v>
      </c>
      <c r="H200" t="str">
        <f t="shared" si="53"/>
        <v>Display</v>
      </c>
      <c r="I200">
        <f t="shared" si="54"/>
        <v>9567</v>
      </c>
      <c r="J200">
        <f t="shared" si="55"/>
        <v>0</v>
      </c>
      <c r="K200" s="4">
        <f t="shared" si="44"/>
        <v>3.8199999999999998E-2</v>
      </c>
      <c r="L200">
        <f t="shared" si="45"/>
        <v>0.09</v>
      </c>
      <c r="M200" s="4">
        <f t="shared" si="42"/>
        <v>0.36545939999999993</v>
      </c>
      <c r="N200" s="4">
        <f t="shared" si="43"/>
        <v>0.86102999999999996</v>
      </c>
    </row>
    <row r="201" spans="1:14">
      <c r="A201" t="str">
        <f t="shared" si="46"/>
        <v>MK~BR_CN~Vai_de_Visa_MN~NONE_YQ~19Q1Q4_CP~NONE_OB~LDS_PK~NONE</v>
      </c>
      <c r="B201" t="str">
        <f t="shared" si="47"/>
        <v>Google Brasil</v>
      </c>
      <c r="C201" t="str">
        <f t="shared" si="48"/>
        <v>CH~DISPLAY_DT~MULTI_PB~GDBM_FM~BANNER_RT~CPM_PD~VDV_PAODEACUCAR_DBM_BANNER_ESTATICO_160X600_160X600_TG~BHVDEM_TS~NONE_SZ~160X600_DISPLAY_MK~BR_IT~DISPLAY_VV~NONE</v>
      </c>
      <c r="D201" t="str">
        <f t="shared" si="49"/>
        <v>240834550</v>
      </c>
      <c r="E201" t="str">
        <f t="shared" si="50"/>
        <v>Standard</v>
      </c>
      <c r="F201" t="str">
        <f t="shared" si="51"/>
        <v>CH~DISPLAY_DT~MULTI_PB~GDBM_FM~BANNER_RT~CPM_PD~VDV_PAODEACUCAR_DBM_BANNER_ESTATICO_160X600_160X600_TG~BHVDEM_TS~NONE_SZ~160X600_DISPLAY_MK~BR_IT~DISPLAY_VV~NONE</v>
      </c>
      <c r="G201" t="str">
        <f t="shared" si="52"/>
        <v>437778899</v>
      </c>
      <c r="H201" t="str">
        <f t="shared" si="53"/>
        <v>Display</v>
      </c>
      <c r="I201">
        <f t="shared" si="54"/>
        <v>83673</v>
      </c>
      <c r="J201">
        <f t="shared" si="55"/>
        <v>22</v>
      </c>
      <c r="K201" s="4">
        <f t="shared" si="44"/>
        <v>3.8199999999999998E-2</v>
      </c>
      <c r="L201">
        <f t="shared" si="45"/>
        <v>0.09</v>
      </c>
      <c r="M201" s="4">
        <f t="shared" si="42"/>
        <v>3.1963086000000001</v>
      </c>
      <c r="N201" s="4">
        <f t="shared" si="43"/>
        <v>7.53057</v>
      </c>
    </row>
    <row r="202" spans="1:14">
      <c r="A202" t="str">
        <f t="shared" si="46"/>
        <v>MK~BR_CN~Vai_de_Visa_MN~NONE_YQ~19Q1Q4_CP~NONE_OB~LDS_PK~NONE</v>
      </c>
      <c r="B202" t="str">
        <f t="shared" si="47"/>
        <v>Google Brasil</v>
      </c>
      <c r="C202" t="str">
        <f t="shared" si="48"/>
        <v>CH~DISPLAY_DT~MULTI_PB~GDBM_FM~BANNER_RT~CPM_PD~VDV_PAODEACUCAR_DBM_BANNER_ESTATICO_300X250_300X250_TG~BHVDEM_TS~NONE_SZ~300X250_DISPLAY_MK~BR_IT~DISPLAY_VV~NONE</v>
      </c>
      <c r="D202" t="str">
        <f t="shared" si="49"/>
        <v>240834553</v>
      </c>
      <c r="E202" t="str">
        <f t="shared" si="50"/>
        <v>Standard</v>
      </c>
      <c r="F202" t="str">
        <f t="shared" si="51"/>
        <v>CH~DISPLAY_DT~MULTI_PB~GDBM_FM~BANNER_RT~CPM_PD~VDV_PAODEACUCAR_DBM_BANNER_ESTATICO_300X250_300X250_TG~BHVDEM_TS~NONE_SZ~300X250_DISPLAY_MK~BR_IT~DISPLAY_VV~NONE</v>
      </c>
      <c r="G202" t="str">
        <f t="shared" si="52"/>
        <v>437781920</v>
      </c>
      <c r="H202" t="str">
        <f t="shared" si="53"/>
        <v>Display</v>
      </c>
      <c r="I202">
        <f t="shared" si="54"/>
        <v>860277</v>
      </c>
      <c r="J202">
        <f t="shared" si="55"/>
        <v>1525</v>
      </c>
      <c r="K202" s="4">
        <f t="shared" si="44"/>
        <v>3.8199999999999998E-2</v>
      </c>
      <c r="L202">
        <f t="shared" si="45"/>
        <v>0.09</v>
      </c>
      <c r="M202" s="4">
        <f t="shared" si="42"/>
        <v>32.862581399999996</v>
      </c>
      <c r="N202" s="4">
        <f t="shared" si="43"/>
        <v>77.424929999999989</v>
      </c>
    </row>
    <row r="203" spans="1:14">
      <c r="A203" t="str">
        <f t="shared" si="46"/>
        <v>MK~BR_CN~Vai_de_Visa_MN~NONE_YQ~19Q1Q4_CP~NONE_OB~LDS_PK~NONE</v>
      </c>
      <c r="B203" t="str">
        <f t="shared" si="47"/>
        <v>Google Brasil</v>
      </c>
      <c r="C203" t="str">
        <f t="shared" si="48"/>
        <v>CH~DISPLAY_DT~MULTI_PB~GDBM_FM~BANNER_RT~CPM_PD~VDV_PAODEACUCAR_DBM_BANNER_ESTATICO_300X600_300X600_TG~BHVDEM_TS~NONE_SZ~300X600_DISPLAY_MK~BR_IT~DISPLAY_VV~NONE</v>
      </c>
      <c r="D203" t="str">
        <f t="shared" si="49"/>
        <v>241065219</v>
      </c>
      <c r="E203" t="str">
        <f t="shared" si="50"/>
        <v>Standard</v>
      </c>
      <c r="F203" t="str">
        <f t="shared" si="51"/>
        <v>CH~DISPLAY_DT~MULTI_PB~GDBM_FM~BANNER_RT~CPM_PD~VDV_PAODEACUCAR_DBM_BANNER_ESTATICO_300X600_300X600_TG~BHVDEM_TS~NONE_SZ~300X600_DISPLAY_MK~BR_IT~DISPLAY_VV~NONE</v>
      </c>
      <c r="G203" t="str">
        <f t="shared" si="52"/>
        <v>437832274</v>
      </c>
      <c r="H203" t="str">
        <f t="shared" si="53"/>
        <v>Display</v>
      </c>
      <c r="I203">
        <f t="shared" si="54"/>
        <v>206893</v>
      </c>
      <c r="J203">
        <f t="shared" si="55"/>
        <v>672</v>
      </c>
      <c r="K203" s="4">
        <f t="shared" si="44"/>
        <v>3.8199999999999998E-2</v>
      </c>
      <c r="L203">
        <f t="shared" si="45"/>
        <v>0.09</v>
      </c>
      <c r="M203" s="4">
        <f t="shared" si="42"/>
        <v>7.9033125999999996</v>
      </c>
      <c r="N203" s="4">
        <f t="shared" si="43"/>
        <v>18.620369999999998</v>
      </c>
    </row>
    <row r="204" spans="1:14">
      <c r="A204" t="str">
        <f t="shared" si="46"/>
        <v>MK~BR_CN~Vai_de_Visa_MN~NONE_YQ~19Q1Q4_CP~NONE_OB~LDS_PK~NONE</v>
      </c>
      <c r="B204" t="str">
        <f t="shared" si="47"/>
        <v>Google Brasil</v>
      </c>
      <c r="C204" t="str">
        <f t="shared" si="48"/>
        <v>CH~DISPLAY_DT~MULTI_PB~GDBM_FM~BANNER_RT~CPM_PD~VDV_PAODEACUCAR_DBM_BANNER_ESTATICO_970X250_970X250_TG~BHVDEM_TS~NONE_SZ~970X250_DISPLAY_MK~BR_IT~DISPLAY_VV~NONE</v>
      </c>
      <c r="D204" t="str">
        <f t="shared" si="49"/>
        <v>240746273</v>
      </c>
      <c r="E204" t="str">
        <f t="shared" si="50"/>
        <v>Standard</v>
      </c>
      <c r="F204" t="str">
        <f t="shared" si="51"/>
        <v>CH~DISPLAY_DT~MULTI_PB~GDBM_FM~BANNER_RT~CPM_PD~VDV_PAODEACUCAR_DBM_BANNER_ESTATICO_970X250_970X250_TG~BHVDEM_TS~NONE_SZ~970X250_DISPLAY_MK~BR_IT~DISPLAY_VV~NONE</v>
      </c>
      <c r="G204" t="str">
        <f t="shared" si="52"/>
        <v>437780186</v>
      </c>
      <c r="H204" t="str">
        <f t="shared" si="53"/>
        <v>Display</v>
      </c>
      <c r="I204">
        <f t="shared" si="54"/>
        <v>61</v>
      </c>
      <c r="J204">
        <f t="shared" si="55"/>
        <v>4</v>
      </c>
      <c r="K204" s="4">
        <f t="shared" si="44"/>
        <v>3.8199999999999998E-2</v>
      </c>
      <c r="L204">
        <f t="shared" si="45"/>
        <v>0.09</v>
      </c>
      <c r="M204" s="4">
        <f t="shared" si="42"/>
        <v>2.3302000000000002E-3</v>
      </c>
      <c r="N204" s="4">
        <f t="shared" si="43"/>
        <v>5.4900000000000001E-3</v>
      </c>
    </row>
    <row r="205" spans="1:14">
      <c r="A205" t="str">
        <f t="shared" si="46"/>
        <v>MK~BR_CN~Vai_de_Visa_MN~NONE_YQ~19Q1Q4_CP~NONE_OB~LDS_PK~NONE</v>
      </c>
      <c r="B205" t="str">
        <f t="shared" si="47"/>
        <v>Google Brasil</v>
      </c>
      <c r="C205" t="str">
        <f t="shared" si="48"/>
        <v>CH~SEARCH_DT~MULTI_PB~GADS_FM~SEARCH_RT~CPC_PD~VDV_CLICKBUS_SITELINK_SEARCH_1X1_TG~BHVDEM_TS~NONE_SZ~1X1_SEARCH_MK~BR_IT~SEARCH_VV~NONE</v>
      </c>
      <c r="D205" t="str">
        <f t="shared" si="49"/>
        <v>239739200</v>
      </c>
      <c r="E205" t="str">
        <f t="shared" si="50"/>
        <v>Dynamic Click</v>
      </c>
      <c r="F205" t="str">
        <f t="shared" si="51"/>
        <v>CH~SEARCH_DT~MULTI_PB~GADS_FM~SEARCH_RT~CPC_PD~VDV_CLICKBUS_SITELINK_SEARCH_1X1_TG~BHVDEM_TS~NONE_SZ~1X1_SEARCH_MK~BR_IT~SEARCH_VV~NONE</v>
      </c>
      <c r="G205" t="str">
        <f t="shared" si="52"/>
        <v>436969489</v>
      </c>
      <c r="H205" t="str">
        <f t="shared" si="53"/>
        <v>Tracking</v>
      </c>
      <c r="I205">
        <f t="shared" si="54"/>
        <v>0</v>
      </c>
      <c r="J205">
        <f t="shared" si="55"/>
        <v>2</v>
      </c>
      <c r="K205" s="4">
        <f t="shared" si="44"/>
        <v>3.5000000000000001E-3</v>
      </c>
      <c r="L205">
        <f t="shared" si="45"/>
        <v>0.02</v>
      </c>
      <c r="M205" s="4">
        <f t="shared" si="42"/>
        <v>7.0000000000000001E-3</v>
      </c>
      <c r="N205" s="4">
        <f t="shared" si="43"/>
        <v>0.04</v>
      </c>
    </row>
    <row r="206" spans="1:14">
      <c r="A206" t="str">
        <f t="shared" si="46"/>
        <v>MK~BR_CN~Vai_de_Visa_MN~NONE_YQ~19Q1Q4_CP~NONE_OB~LDS_PK~NONE</v>
      </c>
      <c r="B206" t="str">
        <f t="shared" si="47"/>
        <v>Google Brasil</v>
      </c>
      <c r="C206" t="str">
        <f t="shared" si="48"/>
        <v>CH~SEARCH_DT~MULTI_PB~GADS_FM~SEARCH_RT~CPC_PD~VDV_DECOLAR_SITELINK_SEARCH_1X1_TG~BHVDEM_TS~NONE_SZ~1X1_SEARCH_MK~BR_IT~SEARCH_VV~NONE</v>
      </c>
      <c r="D206" t="str">
        <f t="shared" si="49"/>
        <v>240050868</v>
      </c>
      <c r="E206" t="str">
        <f t="shared" si="50"/>
        <v>Dynamic Click</v>
      </c>
      <c r="F206" t="str">
        <f t="shared" si="51"/>
        <v>CH~SEARCH_DT~MULTI_PB~GADS_FM~SEARCH_RT~CPC_PD~VDV_DECOLAR_SITELINK_SEARCH_1X1_TG~BHVDEM_TS~NONE_SZ~1X1_SEARCH_MK~BR_IT~SEARCH_VV~NONE</v>
      </c>
      <c r="G206" t="str">
        <f t="shared" si="52"/>
        <v>436958962</v>
      </c>
      <c r="H206" t="str">
        <f t="shared" si="53"/>
        <v>Tracking</v>
      </c>
      <c r="I206">
        <f t="shared" si="54"/>
        <v>0</v>
      </c>
      <c r="J206">
        <f t="shared" si="55"/>
        <v>2</v>
      </c>
      <c r="K206" s="4">
        <f t="shared" si="44"/>
        <v>3.5000000000000001E-3</v>
      </c>
      <c r="L206">
        <f t="shared" si="45"/>
        <v>0.02</v>
      </c>
      <c r="M206" s="4">
        <f t="shared" si="42"/>
        <v>7.0000000000000001E-3</v>
      </c>
      <c r="N206" s="4">
        <f t="shared" si="43"/>
        <v>0.04</v>
      </c>
    </row>
    <row r="207" spans="1:14">
      <c r="A207" t="str">
        <f t="shared" si="46"/>
        <v>MK~BR_CN~Vai_de_Visa_MN~NONE_YQ~19Q1Q4_CP~NONE_OB~LDS_PK~NONE</v>
      </c>
      <c r="B207" t="str">
        <f t="shared" si="47"/>
        <v>Google Brasil</v>
      </c>
      <c r="C207" t="str">
        <f t="shared" si="48"/>
        <v>CH~SEARCH_DT~MULTI_PB~GADS_FM~SEARCH_RT~CPC_PD~VDV_GOL_SITELINK_SEARCH_1X1_TG~BHVDEM_TS~NONE_SZ~1X1_SEARCH_MK~BR_IT~SEARCH_VV~NONE</v>
      </c>
      <c r="D207" t="str">
        <f t="shared" si="49"/>
        <v>239826499</v>
      </c>
      <c r="E207" t="str">
        <f t="shared" si="50"/>
        <v>Dynamic Click</v>
      </c>
      <c r="F207" t="str">
        <f t="shared" si="51"/>
        <v>CH~SEARCH_DT~MULTI_PB~GADS_FM~SEARCH_RT~CPC_PD~VDV_GOL_SITELINK_SEARCH_1X1_TG~BHVDEM_TS~NONE_SZ~1X1_SEARCH_MK~BR_IT~SEARCH_VV~NONE</v>
      </c>
      <c r="G207" t="str">
        <f t="shared" si="52"/>
        <v>436959442</v>
      </c>
      <c r="H207" t="str">
        <f t="shared" si="53"/>
        <v>Tracking</v>
      </c>
      <c r="I207">
        <f t="shared" si="54"/>
        <v>0</v>
      </c>
      <c r="J207">
        <f t="shared" si="55"/>
        <v>2</v>
      </c>
      <c r="K207" s="4">
        <f t="shared" si="44"/>
        <v>3.5000000000000001E-3</v>
      </c>
      <c r="L207">
        <f t="shared" si="45"/>
        <v>0.02</v>
      </c>
      <c r="M207" s="4">
        <f t="shared" si="42"/>
        <v>7.0000000000000001E-3</v>
      </c>
      <c r="N207" s="4">
        <f t="shared" si="43"/>
        <v>0.04</v>
      </c>
    </row>
    <row r="208" spans="1:14">
      <c r="A208" t="str">
        <f t="shared" si="46"/>
        <v>MK~BR_CN~Vai_de_Visa_MN~NONE_YQ~19Q1Q4_CP~NONE_OB~LDS_PK~NONE</v>
      </c>
      <c r="B208" t="str">
        <f t="shared" si="47"/>
        <v>Google Brasil</v>
      </c>
      <c r="C208" t="str">
        <f t="shared" si="48"/>
        <v>CH~SEARCH_DT~MULTI_PB~GADS_FM~SEARCH_RT~CPC_PD~VDV_MOLESKINE_SITELINK_SEARCH_1X1_TG~BHVDEM_TS~NONE_SZ~1X1_SEARCH_MK~BR_IT~SEARCH_VV~NONE</v>
      </c>
      <c r="D208" t="str">
        <f t="shared" si="49"/>
        <v>240067842</v>
      </c>
      <c r="E208" t="str">
        <f t="shared" si="50"/>
        <v>Dynamic Click</v>
      </c>
      <c r="F208" t="str">
        <f t="shared" si="51"/>
        <v>CH~SEARCH_DT~MULTI_PB~GADS_FM~SEARCH_RT~CPC_PD~VDV_MOLESKINE_SITELINK_SEARCH_1X1_TG~BHVDEM_TS~NONE_SZ~1X1_SEARCH_MK~BR_IT~SEARCH_VV~NONE</v>
      </c>
      <c r="G208" t="str">
        <f t="shared" si="52"/>
        <v>436858599</v>
      </c>
      <c r="H208" t="str">
        <f t="shared" si="53"/>
        <v>Tracking</v>
      </c>
      <c r="I208">
        <f t="shared" si="54"/>
        <v>0</v>
      </c>
      <c r="J208">
        <f t="shared" si="55"/>
        <v>2</v>
      </c>
      <c r="K208" s="4">
        <f t="shared" si="44"/>
        <v>3.5000000000000001E-3</v>
      </c>
      <c r="L208">
        <f t="shared" si="45"/>
        <v>0.02</v>
      </c>
      <c r="M208" s="4">
        <f t="shared" si="42"/>
        <v>7.0000000000000001E-3</v>
      </c>
      <c r="N208" s="4">
        <f t="shared" si="43"/>
        <v>0.04</v>
      </c>
    </row>
    <row r="209" spans="1:14">
      <c r="A209" t="str">
        <f t="shared" si="46"/>
        <v>MK~BR_CN~Vai_de_Visa_MN~NONE_YQ~19Q1Q4_CP~NONE_OB~LDS_PK~NONE</v>
      </c>
      <c r="B209" t="str">
        <f t="shared" si="47"/>
        <v>Google Brasil</v>
      </c>
      <c r="C209" t="str">
        <f t="shared" si="48"/>
        <v>CH~SEARCH_DT~MULTI_PB~GADS_FM~SEARCH_RT~CPC_PD~VDV_PAODEACUCAR_SITELINK_SEARCH_1X1_TG~BHVDEM_TS~NONE_SZ~1X1_SEARCH_MK~BR_IT~SEARCH_VV~NONE</v>
      </c>
      <c r="D209" t="str">
        <f t="shared" si="49"/>
        <v>239735012</v>
      </c>
      <c r="E209" t="str">
        <f t="shared" si="50"/>
        <v>Dynamic Click</v>
      </c>
      <c r="F209" t="str">
        <f t="shared" si="51"/>
        <v>CH~SEARCH_DT~MULTI_PB~GADS_FM~SEARCH_RT~CPC_PD~VDV_PAODEACUCAR_SITELINK_SEARCH_1X1_TG~BHVDEM_TS~NONE_SZ~1X1_SEARCH_MK~BR_IT~SEARCH_VV~NONE</v>
      </c>
      <c r="G209" t="str">
        <f t="shared" si="52"/>
        <v>436958284</v>
      </c>
      <c r="H209" t="str">
        <f t="shared" si="53"/>
        <v>Tracking</v>
      </c>
      <c r="I209">
        <f t="shared" si="54"/>
        <v>0</v>
      </c>
      <c r="J209">
        <f t="shared" si="55"/>
        <v>2</v>
      </c>
      <c r="K209" s="4">
        <f t="shared" si="44"/>
        <v>3.5000000000000001E-3</v>
      </c>
      <c r="L209">
        <f t="shared" si="45"/>
        <v>0.02</v>
      </c>
      <c r="M209" s="4">
        <f t="shared" si="42"/>
        <v>7.0000000000000001E-3</v>
      </c>
      <c r="N209" s="4">
        <f t="shared" si="43"/>
        <v>0.04</v>
      </c>
    </row>
    <row r="210" spans="1:14">
      <c r="A210" t="str">
        <f t="shared" si="46"/>
        <v>MK~BR_CN~Vai_de_Visa_MN~NONE_YQ~19Q1Q4_CP~NONE_OB~LDS_PK~NONE</v>
      </c>
      <c r="B210" t="str">
        <f t="shared" si="47"/>
        <v>Google Brasil</v>
      </c>
      <c r="C210" t="str">
        <f t="shared" si="48"/>
        <v>CH~SOCIAL_DT~MULTI_PB~GADS_FM~SEARCH_RT~CPC_PD~VDV_10OFF_CAMICADO_SEARCH_1X1_TG~BHVDEM_TS~NONE_SZ~1X1_SOCIAL_MK~BR_IT~SOCIAL_VV~NONE</v>
      </c>
      <c r="D210" t="str">
        <f t="shared" si="49"/>
        <v>237807369</v>
      </c>
      <c r="E210" t="str">
        <f t="shared" si="50"/>
        <v>Dynamic Click</v>
      </c>
      <c r="F210" t="str">
        <f t="shared" si="51"/>
        <v>CH~SOCIAL_DT~MULTI_PB~GADS_FM~SEARCH_RT~CPC_PD~VDV_10OFF_CAMICADO_SEARCH_1X1_TG~BHVDEM_TS~NONE_SZ~1X1_SOCIAL_MK~BR_IT~SOCIAL_VV~NONE</v>
      </c>
      <c r="G210" t="str">
        <f t="shared" si="52"/>
        <v>434838141</v>
      </c>
      <c r="H210" t="str">
        <f t="shared" si="53"/>
        <v>Tracking</v>
      </c>
      <c r="I210">
        <f t="shared" si="54"/>
        <v>0</v>
      </c>
      <c r="J210">
        <f t="shared" si="55"/>
        <v>2</v>
      </c>
      <c r="K210" s="4">
        <f t="shared" si="44"/>
        <v>3.5000000000000001E-3</v>
      </c>
      <c r="L210">
        <f t="shared" si="45"/>
        <v>0.02</v>
      </c>
      <c r="M210" s="4">
        <f t="shared" si="42"/>
        <v>7.0000000000000001E-3</v>
      </c>
      <c r="N210" s="4">
        <f t="shared" si="43"/>
        <v>0.04</v>
      </c>
    </row>
    <row r="211" spans="1:14">
      <c r="A211" t="str">
        <f t="shared" si="46"/>
        <v>MK~BR_CN~Vai_de_Visa_MN~NONE_YQ~19Q1Q4_CP~NONE_OB~LDS_PK~NONE</v>
      </c>
      <c r="B211" t="str">
        <f t="shared" si="47"/>
        <v>Google Brasil</v>
      </c>
      <c r="C211" t="str">
        <f t="shared" si="48"/>
        <v>CH~SOCIAL_DT~MULTI_PB~GADS_FM~SEARCH_RT~CPC_PD~VDV_10OFF_MALWEE_SEARCH_1X1_TG~BHVDEM_TS~NONE_SZ~1X1_SOCIAL_MK~BR_IT~SOCIAL_VV~NONE</v>
      </c>
      <c r="D211" t="str">
        <f t="shared" si="49"/>
        <v>237807351</v>
      </c>
      <c r="E211" t="str">
        <f t="shared" si="50"/>
        <v>Dynamic Click</v>
      </c>
      <c r="F211" t="str">
        <f t="shared" si="51"/>
        <v>CH~SOCIAL_DT~MULTI_PB~GADS_FM~SEARCH_RT~CPC_PD~VDV_10OFF_MALWEE_SEARCH_1X1_TG~BHVDEM_TS~NONE_SZ~1X1_SOCIAL_MK~BR_IT~SOCIAL_VV~NONE</v>
      </c>
      <c r="G211" t="str">
        <f t="shared" si="52"/>
        <v>434838123</v>
      </c>
      <c r="H211" t="str">
        <f t="shared" si="53"/>
        <v>Tracking</v>
      </c>
      <c r="I211">
        <f t="shared" si="54"/>
        <v>0</v>
      </c>
      <c r="J211">
        <f t="shared" si="55"/>
        <v>3</v>
      </c>
      <c r="K211" s="4">
        <f t="shared" si="44"/>
        <v>3.5000000000000001E-3</v>
      </c>
      <c r="L211">
        <f t="shared" si="45"/>
        <v>0.02</v>
      </c>
      <c r="M211" s="4">
        <f t="shared" si="42"/>
        <v>1.0500000000000001E-2</v>
      </c>
      <c r="N211" s="4">
        <f t="shared" si="43"/>
        <v>0.06</v>
      </c>
    </row>
    <row r="212" spans="1:14">
      <c r="A212" t="str">
        <f t="shared" si="46"/>
        <v>MK~BR_CN~Vai_de_Visa_MN~NONE_YQ~19Q1Q4_CP~NONE_OB~LDS_PK~NONE</v>
      </c>
      <c r="B212" t="str">
        <f t="shared" si="47"/>
        <v>Google Brasil</v>
      </c>
      <c r="C212" t="str">
        <f t="shared" si="48"/>
        <v>CH~SOCIAL_DT~MULTI_PB~GADS_FM~SEARCH_RT~CPC_PD~VDV_10OFF_MARCYN_SEARCH_1X1_TG~BHVDEM_TS~NONE_SZ~1X1_SOCIAL_MK~BR_IT~SOCIAL_VV~NONE</v>
      </c>
      <c r="D212" t="str">
        <f t="shared" si="49"/>
        <v>237807333</v>
      </c>
      <c r="E212" t="str">
        <f t="shared" si="50"/>
        <v>Dynamic Click</v>
      </c>
      <c r="F212" t="str">
        <f t="shared" si="51"/>
        <v>CH~SOCIAL_DT~MULTI_PB~GADS_FM~SEARCH_RT~CPC_PD~VDV_10OFF_MARCYN_SEARCH_1X1_TG~BHVDEM_TS~NONE_SZ~1X1_SOCIAL_MK~BR_IT~SOCIAL_VV~NONE</v>
      </c>
      <c r="G212" t="str">
        <f t="shared" si="52"/>
        <v>434838105</v>
      </c>
      <c r="H212" t="str">
        <f t="shared" si="53"/>
        <v>Tracking</v>
      </c>
      <c r="I212">
        <f t="shared" si="54"/>
        <v>0</v>
      </c>
      <c r="J212">
        <f t="shared" si="55"/>
        <v>1</v>
      </c>
      <c r="K212" s="4">
        <f t="shared" si="44"/>
        <v>3.5000000000000001E-3</v>
      </c>
      <c r="L212">
        <f t="shared" si="45"/>
        <v>0.02</v>
      </c>
      <c r="M212" s="4">
        <f t="shared" si="42"/>
        <v>3.5000000000000001E-3</v>
      </c>
      <c r="N212" s="4">
        <f t="shared" si="43"/>
        <v>0.02</v>
      </c>
    </row>
    <row r="213" spans="1:14">
      <c r="A213" t="str">
        <f t="shared" si="46"/>
        <v>MK~BR_CN~Vai_de_Visa_MN~NONE_YQ~19Q1Q4_CP~NONE_OB~LDS_PK~NONE</v>
      </c>
      <c r="B213" t="str">
        <f t="shared" si="47"/>
        <v>Google Brasil</v>
      </c>
      <c r="C213" t="str">
        <f t="shared" si="48"/>
        <v>CH~SOCIAL_DT~MULTI_PB~GADS_FM~SEARCH_RT~CPC_PD~VDV_10OFF_NATURA_SEARCH_1X1_TG~BHVDEM_TS~NONE_SZ~1X1_SOCIAL_MK~BR_IT~SOCIAL_VV~NONE</v>
      </c>
      <c r="D213" t="str">
        <f t="shared" si="49"/>
        <v>237807336</v>
      </c>
      <c r="E213" t="str">
        <f t="shared" si="50"/>
        <v>Dynamic Click</v>
      </c>
      <c r="F213" t="str">
        <f t="shared" si="51"/>
        <v>CH~SOCIAL_DT~MULTI_PB~GADS_FM~SEARCH_RT~CPC_PD~VDV_10OFF_NATURA_SEARCH_1X1_TG~BHVDEM_TS~NONE_SZ~1X1_SOCIAL_MK~BR_IT~SOCIAL_VV~NONE</v>
      </c>
      <c r="G213" t="str">
        <f t="shared" si="52"/>
        <v>434838108</v>
      </c>
      <c r="H213" t="str">
        <f t="shared" si="53"/>
        <v>Tracking</v>
      </c>
      <c r="I213">
        <f t="shared" si="54"/>
        <v>0</v>
      </c>
      <c r="J213">
        <f t="shared" si="55"/>
        <v>1</v>
      </c>
      <c r="K213" s="4">
        <f t="shared" si="44"/>
        <v>3.5000000000000001E-3</v>
      </c>
      <c r="L213">
        <f t="shared" si="45"/>
        <v>0.02</v>
      </c>
      <c r="M213" s="4">
        <f t="shared" si="42"/>
        <v>3.5000000000000001E-3</v>
      </c>
      <c r="N213" s="4">
        <f t="shared" si="43"/>
        <v>0.02</v>
      </c>
    </row>
    <row r="214" spans="1:14">
      <c r="A214" t="str">
        <f t="shared" si="46"/>
        <v>MK~BR_CN~Vai_de_Visa_MN~NONE_YQ~19Q1Q4_CP~NONE_OB~LDS_PK~NONE</v>
      </c>
      <c r="B214" t="str">
        <f t="shared" si="47"/>
        <v>Google Brasil</v>
      </c>
      <c r="C214" t="str">
        <f t="shared" si="48"/>
        <v>CH~SOCIAL_DT~MULTI_PB~GADS_FM~SEARCH_RT~CPC_PD~VDV_10OFF_OBABOX_SEARCH_1X1_TG~BHVDEM_TS~NONE_SZ~1X1_SOCIAL_MK~BR_IT~SOCIAL_VV~NONE</v>
      </c>
      <c r="D214" t="str">
        <f t="shared" si="49"/>
        <v>237807348</v>
      </c>
      <c r="E214" t="str">
        <f t="shared" si="50"/>
        <v>Dynamic Click</v>
      </c>
      <c r="F214" t="str">
        <f t="shared" si="51"/>
        <v>CH~SOCIAL_DT~MULTI_PB~GADS_FM~SEARCH_RT~CPC_PD~VDV_10OFF_OBABOX_SEARCH_1X1_TG~BHVDEM_TS~NONE_SZ~1X1_SOCIAL_MK~BR_IT~SOCIAL_VV~NONE</v>
      </c>
      <c r="G214" t="str">
        <f t="shared" si="52"/>
        <v>434838120</v>
      </c>
      <c r="H214" t="str">
        <f t="shared" si="53"/>
        <v>Tracking</v>
      </c>
      <c r="I214">
        <f t="shared" si="54"/>
        <v>0</v>
      </c>
      <c r="J214">
        <f t="shared" si="55"/>
        <v>2</v>
      </c>
      <c r="K214" s="4">
        <f t="shared" si="44"/>
        <v>3.5000000000000001E-3</v>
      </c>
      <c r="L214">
        <f t="shared" si="45"/>
        <v>0.02</v>
      </c>
      <c r="M214" s="4">
        <f t="shared" si="42"/>
        <v>7.0000000000000001E-3</v>
      </c>
      <c r="N214" s="4">
        <f t="shared" si="43"/>
        <v>0.04</v>
      </c>
    </row>
    <row r="215" spans="1:14">
      <c r="A215" t="str">
        <f t="shared" si="46"/>
        <v>MK~BR_CN~Vai_de_Visa_MN~NONE_YQ~19Q1Q4_CP~NONE_OB~LDS_PK~NONE</v>
      </c>
      <c r="B215" t="str">
        <f t="shared" si="47"/>
        <v>Google Brasil</v>
      </c>
      <c r="C215" t="str">
        <f t="shared" si="48"/>
        <v>CH~SOCIAL_DT~MULTI_PB~GADS_FM~SEARCH_RT~CPC_PD~VDV_10OFF_RENTCARS_SEARCH_1X1_TG~BHVDEM_TS~NONE_SZ~1X1_SOCIAL_MK~BR_IT~SOCIAL_VV~NONE</v>
      </c>
      <c r="D215" t="str">
        <f t="shared" si="49"/>
        <v>237807372</v>
      </c>
      <c r="E215" t="str">
        <f t="shared" si="50"/>
        <v>Dynamic Click</v>
      </c>
      <c r="F215" t="str">
        <f t="shared" si="51"/>
        <v>CH~SOCIAL_DT~MULTI_PB~GADS_FM~SEARCH_RT~CPC_PD~VDV_10OFF_RENTCARS_SEARCH_1X1_TG~BHVDEM_TS~NONE_SZ~1X1_SOCIAL_MK~BR_IT~SOCIAL_VV~NONE</v>
      </c>
      <c r="G215" t="str">
        <f t="shared" si="52"/>
        <v>434838144</v>
      </c>
      <c r="H215" t="str">
        <f t="shared" si="53"/>
        <v>Tracking</v>
      </c>
      <c r="I215">
        <f t="shared" si="54"/>
        <v>0</v>
      </c>
      <c r="J215">
        <f t="shared" si="55"/>
        <v>1</v>
      </c>
      <c r="K215" s="4">
        <f t="shared" si="44"/>
        <v>3.5000000000000001E-3</v>
      </c>
      <c r="L215">
        <f t="shared" si="45"/>
        <v>0.02</v>
      </c>
      <c r="M215" s="4">
        <f t="shared" si="42"/>
        <v>3.5000000000000001E-3</v>
      </c>
      <c r="N215" s="4">
        <f t="shared" si="43"/>
        <v>0.02</v>
      </c>
    </row>
    <row r="216" spans="1:14">
      <c r="A216" t="str">
        <f t="shared" si="46"/>
        <v>MK~BR_CN~Vai_de_Visa_MN~NONE_YQ~19Q1Q4_CP~NONE_OB~LDS_PK~NONE</v>
      </c>
      <c r="B216" t="str">
        <f t="shared" si="47"/>
        <v>Google Brasil</v>
      </c>
      <c r="C216" t="str">
        <f t="shared" si="48"/>
        <v>CH~SOCIAL_DT~MULTI_PB~GADS_FM~SEARCH_RT~CPC_PD~VDV_12OFF_PUKET_SEARCH_1X1_TG~BHVDEM_TS~NONE_SZ~1X1_SOCIAL_MK~BR_IT~SOCIAL_VV~NONE</v>
      </c>
      <c r="D216" t="str">
        <f t="shared" si="49"/>
        <v>237807360</v>
      </c>
      <c r="E216" t="str">
        <f t="shared" si="50"/>
        <v>Dynamic Click</v>
      </c>
      <c r="F216" t="str">
        <f t="shared" si="51"/>
        <v>CH~SOCIAL_DT~MULTI_PB~GADS_FM~SEARCH_RT~CPC_PD~VDV_12OFF_PUKET_SEARCH_1X1_TG~BHVDEM_TS~NONE_SZ~1X1_SOCIAL_MK~BR_IT~SOCIAL_VV~NONE</v>
      </c>
      <c r="G216" t="str">
        <f t="shared" si="52"/>
        <v>434838132</v>
      </c>
      <c r="H216" t="str">
        <f t="shared" si="53"/>
        <v>Tracking</v>
      </c>
      <c r="I216">
        <f t="shared" si="54"/>
        <v>0</v>
      </c>
      <c r="J216">
        <f t="shared" si="55"/>
        <v>1</v>
      </c>
      <c r="K216" s="4">
        <f t="shared" si="44"/>
        <v>3.5000000000000001E-3</v>
      </c>
      <c r="L216">
        <f t="shared" si="45"/>
        <v>0.02</v>
      </c>
      <c r="M216" s="4">
        <f t="shared" si="42"/>
        <v>3.5000000000000001E-3</v>
      </c>
      <c r="N216" s="4">
        <f t="shared" si="43"/>
        <v>0.02</v>
      </c>
    </row>
    <row r="217" spans="1:14">
      <c r="A217" t="str">
        <f t="shared" si="46"/>
        <v>MK~BR_CN~Vai_de_Visa_MN~NONE_YQ~19Q1Q4_CP~NONE_OB~LDS_PK~NONE</v>
      </c>
      <c r="B217" t="str">
        <f t="shared" si="47"/>
        <v>Google Brasil</v>
      </c>
      <c r="C217" t="str">
        <f t="shared" si="48"/>
        <v>CH~SOCIAL_DT~MULTI_PB~GADS_FM~SEARCH_RT~CPC_PD~VDV_15OFF_ASUS_SEARCH_1X1_TG~BHVDEM_TS~NONE_SZ~1X1_SOCIAL_MK~BR_IT~SOCIAL_VV~NONE</v>
      </c>
      <c r="D217" t="str">
        <f t="shared" si="49"/>
        <v>237807375</v>
      </c>
      <c r="E217" t="str">
        <f t="shared" si="50"/>
        <v>Dynamic Click</v>
      </c>
      <c r="F217" t="str">
        <f t="shared" si="51"/>
        <v>CH~SOCIAL_DT~MULTI_PB~GADS_FM~SEARCH_RT~CPC_PD~VDV_15OFF_ASUS_SEARCH_1X1_TG~BHVDEM_TS~NONE_SZ~1X1_SOCIAL_MK~BR_IT~SOCIAL_VV~NONE</v>
      </c>
      <c r="G217" t="str">
        <f t="shared" si="52"/>
        <v>434838147</v>
      </c>
      <c r="H217" t="str">
        <f t="shared" si="53"/>
        <v>Tracking</v>
      </c>
      <c r="I217">
        <f t="shared" si="54"/>
        <v>0</v>
      </c>
      <c r="J217">
        <f t="shared" si="55"/>
        <v>3</v>
      </c>
      <c r="K217" s="4">
        <f t="shared" si="44"/>
        <v>3.5000000000000001E-3</v>
      </c>
      <c r="L217">
        <f t="shared" si="45"/>
        <v>0.02</v>
      </c>
      <c r="M217" s="4">
        <f t="shared" si="42"/>
        <v>1.0500000000000001E-2</v>
      </c>
      <c r="N217" s="4">
        <f t="shared" si="43"/>
        <v>0.06</v>
      </c>
    </row>
    <row r="218" spans="1:14">
      <c r="A218" t="str">
        <f t="shared" si="46"/>
        <v>MK~BR_CN~Vai_de_Visa_MN~NONE_YQ~19Q1Q4_CP~NONE_OB~LDS_PK~NONE</v>
      </c>
      <c r="B218" t="str">
        <f t="shared" si="47"/>
        <v>Google Brasil</v>
      </c>
      <c r="C218" t="str">
        <f t="shared" si="48"/>
        <v>CH~SOCIAL_DT~MULTI_PB~GADS_FM~SEARCH_RT~CPC_PD~VDV_15OFF_CESTASMICHELLI_SEARCH_1X1_TG~BHVDEM_TS~NONE_SZ~1X1_SOCIAL_MK~BR_IT~SOCIAL_VV~NONE</v>
      </c>
      <c r="D218" t="str">
        <f t="shared" si="49"/>
        <v>237807384</v>
      </c>
      <c r="E218" t="str">
        <f t="shared" si="50"/>
        <v>Dynamic Click</v>
      </c>
      <c r="F218" t="str">
        <f t="shared" si="51"/>
        <v>CH~SOCIAL_DT~MULTI_PB~GADS_FM~SEARCH_RT~CPC_PD~VDV_15OFF_CESTASMICHELLI_SEARCH_1X1_TG~BHVDEM_TS~NONE_SZ~1X1_SOCIAL_MK~BR_IT~SOCIAL_VV~NONE</v>
      </c>
      <c r="G218" t="str">
        <f t="shared" si="52"/>
        <v>434838156</v>
      </c>
      <c r="H218" t="str">
        <f t="shared" si="53"/>
        <v>Tracking</v>
      </c>
      <c r="I218">
        <f t="shared" si="54"/>
        <v>0</v>
      </c>
      <c r="J218">
        <f t="shared" si="55"/>
        <v>1</v>
      </c>
      <c r="K218" s="4">
        <f t="shared" si="44"/>
        <v>3.5000000000000001E-3</v>
      </c>
      <c r="L218">
        <f t="shared" si="45"/>
        <v>0.02</v>
      </c>
      <c r="M218" s="4">
        <f t="shared" si="42"/>
        <v>3.5000000000000001E-3</v>
      </c>
      <c r="N218" s="4">
        <f t="shared" si="43"/>
        <v>0.02</v>
      </c>
    </row>
    <row r="219" spans="1:14">
      <c r="A219" t="str">
        <f t="shared" si="46"/>
        <v>MK~BR_CN~Vai_de_Visa_MN~NONE_YQ~19Q1Q4_CP~NONE_OB~LDS_PK~NONE</v>
      </c>
      <c r="B219" t="str">
        <f t="shared" si="47"/>
        <v>Google Brasil</v>
      </c>
      <c r="C219" t="str">
        <f t="shared" si="48"/>
        <v>CH~SOCIAL_DT~MULTI_PB~GADS_FM~SEARCH_RT~CPC_PD~VDV_15OFF_DECOLAR_SEARCH_1X1_TG~BHVDEM_TS~NONE_SZ~1X1_SOCIAL_MK~BR_IT~SOCIAL_VV~NONE</v>
      </c>
      <c r="D219" t="str">
        <f t="shared" si="49"/>
        <v>237807381</v>
      </c>
      <c r="E219" t="str">
        <f t="shared" si="50"/>
        <v>Dynamic Click</v>
      </c>
      <c r="F219" t="str">
        <f t="shared" si="51"/>
        <v>CH~SOCIAL_DT~MULTI_PB~GADS_FM~SEARCH_RT~CPC_PD~VDV_15OFF_DECOLAR_SEARCH_1X1_TG~BHVDEM_TS~NONE_SZ~1X1_SOCIAL_MK~BR_IT~SOCIAL_VV~NONE</v>
      </c>
      <c r="G219" t="str">
        <f t="shared" si="52"/>
        <v>434838153</v>
      </c>
      <c r="H219" t="str">
        <f t="shared" si="53"/>
        <v>Tracking</v>
      </c>
      <c r="I219">
        <f t="shared" si="54"/>
        <v>0</v>
      </c>
      <c r="J219">
        <f t="shared" si="55"/>
        <v>1</v>
      </c>
      <c r="K219" s="4">
        <f t="shared" si="44"/>
        <v>3.5000000000000001E-3</v>
      </c>
      <c r="L219">
        <f t="shared" si="45"/>
        <v>0.02</v>
      </c>
      <c r="M219" s="4">
        <f t="shared" si="42"/>
        <v>3.5000000000000001E-3</v>
      </c>
      <c r="N219" s="4">
        <f t="shared" si="43"/>
        <v>0.02</v>
      </c>
    </row>
    <row r="220" spans="1:14">
      <c r="A220" t="str">
        <f t="shared" si="46"/>
        <v>MK~BR_CN~Vai_de_Visa_MN~NONE_YQ~19Q1Q4_CP~NONE_OB~LDS_PK~NONE</v>
      </c>
      <c r="B220" t="str">
        <f t="shared" si="47"/>
        <v>Google Brasil</v>
      </c>
      <c r="C220" t="str">
        <f t="shared" si="48"/>
        <v>CH~SOCIAL_DT~MULTI_PB~GADS_FM~SEARCH_RT~CPC_PD~VDV_15OFF_MOVIDA_SEARCH_1X1_TG~BHVDEM_TS~NONE_SZ~1X1_SOCIAL_MK~BR_IT~SOCIAL_VV~NONE</v>
      </c>
      <c r="D220" t="str">
        <f t="shared" si="49"/>
        <v>237807378</v>
      </c>
      <c r="E220" t="str">
        <f t="shared" si="50"/>
        <v>Dynamic Click</v>
      </c>
      <c r="F220" t="str">
        <f t="shared" si="51"/>
        <v>CH~SOCIAL_DT~MULTI_PB~GADS_FM~SEARCH_RT~CPC_PD~VDV_15OFF_MOVIDA_SEARCH_1X1_TG~BHVDEM_TS~NONE_SZ~1X1_SOCIAL_MK~BR_IT~SOCIAL_VV~NONE</v>
      </c>
      <c r="G220" t="str">
        <f t="shared" si="52"/>
        <v>434838150</v>
      </c>
      <c r="H220" t="str">
        <f t="shared" si="53"/>
        <v>Tracking</v>
      </c>
      <c r="I220">
        <f t="shared" si="54"/>
        <v>0</v>
      </c>
      <c r="J220">
        <f t="shared" si="55"/>
        <v>2</v>
      </c>
      <c r="K220" s="4">
        <f t="shared" si="44"/>
        <v>3.5000000000000001E-3</v>
      </c>
      <c r="L220">
        <f t="shared" si="45"/>
        <v>0.02</v>
      </c>
      <c r="M220" s="4">
        <f t="shared" si="42"/>
        <v>7.0000000000000001E-3</v>
      </c>
      <c r="N220" s="4">
        <f t="shared" si="43"/>
        <v>0.04</v>
      </c>
    </row>
    <row r="221" spans="1:14">
      <c r="A221" t="str">
        <f t="shared" si="46"/>
        <v>MK~BR_CN~Vai_de_Visa_MN~NONE_YQ~19Q1Q4_CP~NONE_OB~LDS_PK~NONE</v>
      </c>
      <c r="B221" t="str">
        <f t="shared" si="47"/>
        <v>Google Brasil</v>
      </c>
      <c r="C221" t="str">
        <f t="shared" si="48"/>
        <v>CH~SOCIAL_DT~MULTI_PB~GADS_FM~SEARCH_RT~CPC_PD~VDV_15OFF_TIMBERLAND_SEARCH_1X1_TG~BHVDEM_TS~NONE_SZ~1X1_SOCIAL_MK~BR_IT~SOCIAL_VV~NONE</v>
      </c>
      <c r="D221" t="str">
        <f t="shared" si="49"/>
        <v>237807345</v>
      </c>
      <c r="E221" t="str">
        <f t="shared" si="50"/>
        <v>Dynamic Click</v>
      </c>
      <c r="F221" t="str">
        <f t="shared" si="51"/>
        <v>CH~SOCIAL_DT~MULTI_PB~GADS_FM~SEARCH_RT~CPC_PD~VDV_15OFF_TIMBERLAND_SEARCH_1X1_TG~BHVDEM_TS~NONE_SZ~1X1_SOCIAL_MK~BR_IT~SOCIAL_VV~NONE</v>
      </c>
      <c r="G221" t="str">
        <f t="shared" si="52"/>
        <v>434838117</v>
      </c>
      <c r="H221" t="str">
        <f t="shared" si="53"/>
        <v>Tracking</v>
      </c>
      <c r="I221">
        <f t="shared" si="54"/>
        <v>0</v>
      </c>
      <c r="J221">
        <f t="shared" si="55"/>
        <v>1</v>
      </c>
      <c r="K221" s="4">
        <f t="shared" si="44"/>
        <v>3.5000000000000001E-3</v>
      </c>
      <c r="L221">
        <f t="shared" si="45"/>
        <v>0.02</v>
      </c>
      <c r="M221" s="4">
        <f t="shared" si="42"/>
        <v>3.5000000000000001E-3</v>
      </c>
      <c r="N221" s="4">
        <f t="shared" si="43"/>
        <v>0.02</v>
      </c>
    </row>
    <row r="222" spans="1:14">
      <c r="A222" t="str">
        <f t="shared" si="46"/>
        <v>MK~BR_CN~Vai_de_Visa_MN~NONE_YQ~19Q1Q4_CP~NONE_OB~LDS_PK~NONE</v>
      </c>
      <c r="B222" t="str">
        <f t="shared" si="47"/>
        <v>Google Brasil</v>
      </c>
      <c r="C222" t="str">
        <f t="shared" si="48"/>
        <v>CH~SOCIAL_DT~MULTI_PB~GADS_FM~SEARCH_RT~CPC_PD~VDV_20OFF_PHILIPS_SEARCH_1X1_TG~BHVDEM_TS~NONE_SZ~1X1_SOCIAL_MK~BR_IT~SOCIAL_VV~NONE</v>
      </c>
      <c r="D222" t="str">
        <f t="shared" si="49"/>
        <v>237807354</v>
      </c>
      <c r="E222" t="str">
        <f t="shared" si="50"/>
        <v>Dynamic Click</v>
      </c>
      <c r="F222" t="str">
        <f t="shared" si="51"/>
        <v>CH~SOCIAL_DT~MULTI_PB~GADS_FM~SEARCH_RT~CPC_PD~VDV_20OFF_PHILIPS_SEARCH_1X1_TG~BHVDEM_TS~NONE_SZ~1X1_SOCIAL_MK~BR_IT~SOCIAL_VV~NONE</v>
      </c>
      <c r="G222" t="str">
        <f t="shared" si="52"/>
        <v>434838126</v>
      </c>
      <c r="H222" t="str">
        <f t="shared" si="53"/>
        <v>Tracking</v>
      </c>
      <c r="I222">
        <f t="shared" si="54"/>
        <v>0</v>
      </c>
      <c r="J222">
        <f t="shared" si="55"/>
        <v>1</v>
      </c>
      <c r="K222" s="4">
        <f t="shared" si="44"/>
        <v>3.5000000000000001E-3</v>
      </c>
      <c r="L222">
        <f t="shared" si="45"/>
        <v>0.02</v>
      </c>
      <c r="M222" s="4">
        <f t="shared" si="42"/>
        <v>3.5000000000000001E-3</v>
      </c>
      <c r="N222" s="4">
        <f t="shared" si="43"/>
        <v>0.02</v>
      </c>
    </row>
    <row r="223" spans="1:14">
      <c r="A223" t="str">
        <f t="shared" si="46"/>
        <v>MK~BR_CN~Vai_de_Visa_MN~NONE_YQ~19Q1Q4_CP~NONE_OB~LDS_PK~NONE</v>
      </c>
      <c r="B223" t="str">
        <f t="shared" si="47"/>
        <v>Google Brasil</v>
      </c>
      <c r="C223" t="str">
        <f t="shared" si="48"/>
        <v>CH~SOCIAL_DT~MULTI_PB~GADS_FM~SEARCH_RT~CPC_PD~VDV_30OFF_FASTSHOP_SEARCH_1X1_TG~BHVDEM_TS~NONE_SZ~1X1_SOCIAL_MK~BR_IT~SOCIAL_VV~NONE</v>
      </c>
      <c r="D223" t="str">
        <f t="shared" si="49"/>
        <v>237807387</v>
      </c>
      <c r="E223" t="str">
        <f t="shared" si="50"/>
        <v>Dynamic Click</v>
      </c>
      <c r="F223" t="str">
        <f t="shared" si="51"/>
        <v>CH~SOCIAL_DT~MULTI_PB~GADS_FM~SEARCH_RT~CPC_PD~VDV_30OFF_FASTSHOP_SEARCH_1X1_TG~BHVDEM_TS~NONE_SZ~1X1_SOCIAL_MK~BR_IT~SOCIAL_VV~NONE</v>
      </c>
      <c r="G223" t="str">
        <f t="shared" si="52"/>
        <v>434838159</v>
      </c>
      <c r="H223" t="str">
        <f t="shared" si="53"/>
        <v>Tracking</v>
      </c>
      <c r="I223">
        <f t="shared" si="54"/>
        <v>0</v>
      </c>
      <c r="J223">
        <f t="shared" si="55"/>
        <v>1</v>
      </c>
      <c r="K223" s="4">
        <f t="shared" si="44"/>
        <v>3.5000000000000001E-3</v>
      </c>
      <c r="L223">
        <f t="shared" si="45"/>
        <v>0.02</v>
      </c>
      <c r="M223" s="4">
        <f t="shared" si="42"/>
        <v>3.5000000000000001E-3</v>
      </c>
      <c r="N223" s="4">
        <f t="shared" si="43"/>
        <v>0.02</v>
      </c>
    </row>
    <row r="224" spans="1:14">
      <c r="A224" t="str">
        <f t="shared" si="46"/>
        <v>MK~BR_CN~Vai_de_Visa_MN~NONE_YQ~19Q1Q4_CP~NONE_OB~LDS_PK~NONE</v>
      </c>
      <c r="B224" t="str">
        <f t="shared" si="47"/>
        <v>Google Brasil</v>
      </c>
      <c r="C224" t="str">
        <f t="shared" si="48"/>
        <v>CH~SOCIAL_DT~MULTI_PB~GADS_FM~SEARCH_RT~CPC_PD~VDV_40OFF_PREDIFY_SEARCH_1X1_TG~BHVDEM_TS~NONE_SZ~1X1_SOCIAL_MK~BR_IT~SOCIAL_VV~NONE</v>
      </c>
      <c r="D224" t="str">
        <f t="shared" si="49"/>
        <v>237807339</v>
      </c>
      <c r="E224" t="str">
        <f t="shared" si="50"/>
        <v>Dynamic Click</v>
      </c>
      <c r="F224" t="str">
        <f t="shared" si="51"/>
        <v>CH~SOCIAL_DT~MULTI_PB~GADS_FM~SEARCH_RT~CPC_PD~VDV_40OFF_PREDIFY_SEARCH_1X1_TG~BHVDEM_TS~NONE_SZ~1X1_SOCIAL_MK~BR_IT~SOCIAL_VV~NONE</v>
      </c>
      <c r="G224" t="str">
        <f t="shared" si="52"/>
        <v>434838111</v>
      </c>
      <c r="H224" t="str">
        <f t="shared" si="53"/>
        <v>Tracking</v>
      </c>
      <c r="I224">
        <f t="shared" si="54"/>
        <v>0</v>
      </c>
      <c r="J224">
        <f t="shared" si="55"/>
        <v>1</v>
      </c>
      <c r="K224" s="4">
        <f t="shared" si="44"/>
        <v>3.5000000000000001E-3</v>
      </c>
      <c r="L224">
        <f t="shared" si="45"/>
        <v>0.02</v>
      </c>
      <c r="M224" s="4">
        <f t="shared" si="42"/>
        <v>3.5000000000000001E-3</v>
      </c>
      <c r="N224" s="4">
        <f t="shared" si="43"/>
        <v>0.02</v>
      </c>
    </row>
    <row r="225" spans="1:14">
      <c r="A225" t="str">
        <f t="shared" si="46"/>
        <v>MK~BR_CN~Vai_de_Visa_MN~NONE_YQ~19Q1Q4_CP~NONE_OB~LDS_PK~NONE</v>
      </c>
      <c r="B225" t="str">
        <f t="shared" si="47"/>
        <v>Google Brasil</v>
      </c>
      <c r="C225" t="str">
        <f t="shared" si="48"/>
        <v>CH~SOCIAL_DT~MULTI_PB~GADS_FM~SEARCH_RT~CPC_PD~VDV_70OFF_SEPHORA_SEARCH_1X1_TG~BHVDEM_TS~NONE_SZ~1X1_SOCIAL_MK~BR_IT~SOCIAL_VV~NONE</v>
      </c>
      <c r="D225" t="str">
        <f t="shared" si="49"/>
        <v>237807363</v>
      </c>
      <c r="E225" t="str">
        <f t="shared" si="50"/>
        <v>Dynamic Click</v>
      </c>
      <c r="F225" t="str">
        <f t="shared" si="51"/>
        <v>CH~SOCIAL_DT~MULTI_PB~GADS_FM~SEARCH_RT~CPC_PD~VDV_70OFF_SEPHORA_SEARCH_1X1_TG~BHVDEM_TS~NONE_SZ~1X1_SOCIAL_MK~BR_IT~SOCIAL_VV~NONE</v>
      </c>
      <c r="G225" t="str">
        <f t="shared" si="52"/>
        <v>434838135</v>
      </c>
      <c r="H225" t="str">
        <f t="shared" si="53"/>
        <v>Tracking</v>
      </c>
      <c r="I225">
        <f t="shared" si="54"/>
        <v>0</v>
      </c>
      <c r="J225">
        <f t="shared" si="55"/>
        <v>1</v>
      </c>
      <c r="K225" s="4">
        <f t="shared" si="44"/>
        <v>3.5000000000000001E-3</v>
      </c>
      <c r="L225">
        <f t="shared" si="45"/>
        <v>0.02</v>
      </c>
      <c r="M225" s="4">
        <f t="shared" si="42"/>
        <v>3.5000000000000001E-3</v>
      </c>
      <c r="N225" s="4">
        <f t="shared" si="43"/>
        <v>0.02</v>
      </c>
    </row>
    <row r="226" spans="1:14">
      <c r="A226" t="str">
        <f t="shared" si="46"/>
        <v>MK~BR_CN~Vai_de_Visa_MN~NONE_YQ~19Q1Q4_CP~NONE_OB~LDS_PK~NONE</v>
      </c>
      <c r="B226" t="str">
        <f t="shared" si="47"/>
        <v>Google Brasil</v>
      </c>
      <c r="C226" t="str">
        <f t="shared" si="48"/>
        <v>CH~SOCIAL_DT~MULTI_PB~GADS_FM~SEARCH_RT~CPC_PD~VDV_7OFF_MOBLY_SEARCH_1X1_TG~BHVDEM_TS~NONE_SZ~1X1_SOCIAL_MK~BR_IT~SOCIAL_VV~NONE</v>
      </c>
      <c r="D226" t="str">
        <f t="shared" si="49"/>
        <v>237807357</v>
      </c>
      <c r="E226" t="str">
        <f t="shared" si="50"/>
        <v>Dynamic Click</v>
      </c>
      <c r="F226" t="str">
        <f t="shared" si="51"/>
        <v>CH~SOCIAL_DT~MULTI_PB~GADS_FM~SEARCH_RT~CPC_PD~VDV_7OFF_MOBLY_SEARCH_1X1_TG~BHVDEM_TS~NONE_SZ~1X1_SOCIAL_MK~BR_IT~SOCIAL_VV~NONE</v>
      </c>
      <c r="G226" t="str">
        <f t="shared" si="52"/>
        <v>434838129</v>
      </c>
      <c r="H226" t="str">
        <f t="shared" si="53"/>
        <v>Tracking</v>
      </c>
      <c r="I226">
        <f t="shared" si="54"/>
        <v>0</v>
      </c>
      <c r="J226">
        <f t="shared" si="55"/>
        <v>1</v>
      </c>
      <c r="K226" s="4">
        <f t="shared" si="44"/>
        <v>3.5000000000000001E-3</v>
      </c>
      <c r="L226">
        <f t="shared" si="45"/>
        <v>0.02</v>
      </c>
      <c r="M226" s="4">
        <f t="shared" si="42"/>
        <v>3.5000000000000001E-3</v>
      </c>
      <c r="N226" s="4">
        <f t="shared" si="43"/>
        <v>0.02</v>
      </c>
    </row>
    <row r="227" spans="1:14">
      <c r="A227" t="str">
        <f t="shared" si="46"/>
        <v>MK~BR_CN~Vai_de_Visa_MN~NONE_YQ~19Q1Q4_CP~NONE_OB~LDS_PK~NONE</v>
      </c>
      <c r="B227" t="str">
        <f t="shared" si="47"/>
        <v>Google Brasil</v>
      </c>
      <c r="C227" t="str">
        <f t="shared" si="48"/>
        <v>CH~SOCIAL_DT~MULTI_PB~GADS_FM~SEARCH_RT~CPC_PD~VDV_7OFF_PETZ_SEARCH_1X1_TG~BHVDEM_TS~NONE_SZ~1X1_SOCIAL_MK~BR_IT~SOCIAL_VV~NONE</v>
      </c>
      <c r="D227" t="str">
        <f t="shared" si="49"/>
        <v>237807366</v>
      </c>
      <c r="E227" t="str">
        <f t="shared" si="50"/>
        <v>Dynamic Click</v>
      </c>
      <c r="F227" t="str">
        <f t="shared" si="51"/>
        <v>CH~SOCIAL_DT~MULTI_PB~GADS_FM~SEARCH_RT~CPC_PD~VDV_7OFF_PETZ_SEARCH_1X1_TG~BHVDEM_TS~NONE_SZ~1X1_SOCIAL_MK~BR_IT~SOCIAL_VV~NONE</v>
      </c>
      <c r="G227" t="str">
        <f t="shared" si="52"/>
        <v>434838138</v>
      </c>
      <c r="H227" t="str">
        <f t="shared" si="53"/>
        <v>Tracking</v>
      </c>
      <c r="I227">
        <f t="shared" si="54"/>
        <v>0</v>
      </c>
      <c r="J227">
        <f t="shared" si="55"/>
        <v>1</v>
      </c>
      <c r="K227" s="4">
        <f t="shared" si="44"/>
        <v>3.5000000000000001E-3</v>
      </c>
      <c r="L227">
        <f t="shared" si="45"/>
        <v>0.02</v>
      </c>
      <c r="M227" s="4">
        <f t="shared" ref="M227:M290" si="56">IF(E227="Dynamic Click",J227*K227,K227*$I227/1000)</f>
        <v>3.5000000000000001E-3</v>
      </c>
      <c r="N227" s="4">
        <f t="shared" ref="N227:N290" si="57">IF(E227="Dynamic Click",J227*L227,L227*$I227/1000)</f>
        <v>0.02</v>
      </c>
    </row>
    <row r="228" spans="1:14">
      <c r="A228" t="str">
        <f t="shared" si="46"/>
        <v>MK~BR_CN~Vai_de_Visa_MN~NONE_YQ~19Q1Q4_CP~NONE_OB~LDS_PK~NONE</v>
      </c>
      <c r="B228" t="str">
        <f t="shared" si="47"/>
        <v>Google Brasil</v>
      </c>
      <c r="C228" t="str">
        <f t="shared" si="48"/>
        <v>CH~SOCIAL_DT~MULTI_PB~GADS_FM~SEARCH_RT~CPC_PD~VDV_8OFF_INTIMISSIMI_SEARCH_1X1_TG~BHVDEM_TS~NONE_SZ~1X1_SOCIAL_MK~BR_IT~SOCIAL_VV~NONE</v>
      </c>
      <c r="D228" t="str">
        <f t="shared" si="49"/>
        <v>237807342</v>
      </c>
      <c r="E228" t="str">
        <f t="shared" si="50"/>
        <v>Dynamic Click</v>
      </c>
      <c r="F228" t="str">
        <f t="shared" si="51"/>
        <v>CH~SOCIAL_DT~MULTI_PB~GADS_FM~SEARCH_RT~CPC_PD~VDV_8OFF_INTIMISSIMI_SEARCH_1X1_TG~BHVDEM_TS~NONE_SZ~1X1_SOCIAL_MK~BR_IT~SOCIAL_VV~NONE</v>
      </c>
      <c r="G228" t="str">
        <f t="shared" si="52"/>
        <v>434838114</v>
      </c>
      <c r="H228" t="str">
        <f t="shared" si="53"/>
        <v>Tracking</v>
      </c>
      <c r="I228">
        <f t="shared" si="54"/>
        <v>0</v>
      </c>
      <c r="J228">
        <f t="shared" si="55"/>
        <v>1</v>
      </c>
      <c r="K228" s="4">
        <f t="shared" si="44"/>
        <v>3.5000000000000001E-3</v>
      </c>
      <c r="L228">
        <f t="shared" si="45"/>
        <v>0.02</v>
      </c>
      <c r="M228" s="4">
        <f t="shared" si="56"/>
        <v>3.5000000000000001E-3</v>
      </c>
      <c r="N228" s="4">
        <f t="shared" si="57"/>
        <v>0.02</v>
      </c>
    </row>
    <row r="229" spans="1:14">
      <c r="A229" t="str">
        <f t="shared" si="46"/>
        <v>MK~BR_CN~Vai_de_Visa_MN~NONE_YQ~19Q1Q4_CP~NONE_OB~LDS_PK~NONE</v>
      </c>
      <c r="B229" t="str">
        <f t="shared" si="47"/>
        <v>Google Brasil</v>
      </c>
      <c r="C229" t="str">
        <f t="shared" si="48"/>
        <v>CH~SOCIAL_DT~MULTI_PB~GADS_FM~SEARCH_RT~CPC_PD~VDV_SEARCH_CADASTRO_1X1_TG~BHVDEM_TS~NONE_SZ~1X1_SOCIAL_MK~BR_IT~SOCIAL_VV~NONE</v>
      </c>
      <c r="D229" t="str">
        <f t="shared" si="49"/>
        <v>237496150</v>
      </c>
      <c r="E229" t="str">
        <f t="shared" si="50"/>
        <v>Dynamic Click</v>
      </c>
      <c r="F229" t="str">
        <f t="shared" si="51"/>
        <v>CH~SOCIAL_DT~MULTI_PB~GADS_FM~SEARCH_RT~CPC_PD~VDV_SEARCH_CADASTRO_1X1_TG~BHVDEM_TS~NONE_SZ~1X1_SOCIAL_MK~BR_IT~SOCIAL_VV~NONE</v>
      </c>
      <c r="G229" t="str">
        <f t="shared" si="52"/>
        <v>434915308</v>
      </c>
      <c r="H229" t="str">
        <f t="shared" si="53"/>
        <v>Tracking</v>
      </c>
      <c r="I229">
        <f t="shared" si="54"/>
        <v>0</v>
      </c>
      <c r="J229">
        <f t="shared" si="55"/>
        <v>1</v>
      </c>
      <c r="K229" s="4">
        <f t="shared" si="44"/>
        <v>3.5000000000000001E-3</v>
      </c>
      <c r="L229">
        <f t="shared" si="45"/>
        <v>0.02</v>
      </c>
      <c r="M229" s="4">
        <f t="shared" si="56"/>
        <v>3.5000000000000001E-3</v>
      </c>
      <c r="N229" s="4">
        <f t="shared" si="57"/>
        <v>0.02</v>
      </c>
    </row>
    <row r="230" spans="1:14">
      <c r="A230" t="str">
        <f t="shared" si="46"/>
        <v>MK~BR_CN~Vai_de_Visa_MN~NONE_YQ~19Q1Q4_CP~NONE_OB~LDS_PK~NONE</v>
      </c>
      <c r="B230" t="str">
        <f t="shared" si="47"/>
        <v>Google Brasil</v>
      </c>
      <c r="C230" t="str">
        <f t="shared" si="48"/>
        <v>CH~SOCIAL_DT~MULTI_PB~GADS_FM~SEARCH_RT~CPC_PD~VDV_SEARCH_INSTITUCIONAL_1X1_TG~BHVDEM_TS~NONE_SZ~1X1_SOCIAL_MK~BR_IT~SOCIAL_VV~NONE</v>
      </c>
      <c r="D230" t="str">
        <f t="shared" si="49"/>
        <v>237771408</v>
      </c>
      <c r="E230" t="str">
        <f t="shared" si="50"/>
        <v>Dynamic Click</v>
      </c>
      <c r="F230" t="str">
        <f t="shared" si="51"/>
        <v>CH~SOCIAL_DT~MULTI_PB~GADS_FM~SEARCH_RT~CPC_PD~VDV_SEARCH_INSTITUCIONAL_1X1_TG~BHVDEM_TS~NONE_SZ~1X1_SOCIAL_MK~BR_IT~SOCIAL_VV~NONE</v>
      </c>
      <c r="G230" t="str">
        <f t="shared" si="52"/>
        <v>434812314</v>
      </c>
      <c r="H230" t="str">
        <f t="shared" si="53"/>
        <v>Tracking</v>
      </c>
      <c r="I230">
        <f t="shared" si="54"/>
        <v>3</v>
      </c>
      <c r="J230">
        <f t="shared" si="55"/>
        <v>1</v>
      </c>
      <c r="K230" s="4">
        <f t="shared" si="44"/>
        <v>3.5000000000000001E-3</v>
      </c>
      <c r="L230">
        <f t="shared" si="45"/>
        <v>0.02</v>
      </c>
      <c r="M230" s="4">
        <f t="shared" si="56"/>
        <v>3.5000000000000001E-3</v>
      </c>
      <c r="N230" s="4">
        <f t="shared" si="57"/>
        <v>0.02</v>
      </c>
    </row>
    <row r="231" spans="1:14">
      <c r="A231" t="str">
        <f t="shared" si="46"/>
        <v>MK~BR_CN~Vai_de_Visa_MN~NONE_YQ~19Q1Q4_CP~NONE_OB~LDS_PK~NONE</v>
      </c>
      <c r="B231" t="str">
        <f t="shared" si="47"/>
        <v>Google Brasil</v>
      </c>
      <c r="C231" t="str">
        <f t="shared" si="48"/>
        <v>CH~SOCIAL_DT~MULTI_PB~GADS_FM~SEARCH_RT~CPC_PD~VDV_SEARCH_OFERTAS_1X1_TG~BHVDEM_TS~NONE_SZ~1X1_SOCIAL_MK~BR_IT~SOCIAL_VV~NONE</v>
      </c>
      <c r="D231" t="str">
        <f t="shared" si="49"/>
        <v>237771411</v>
      </c>
      <c r="E231" t="str">
        <f t="shared" si="50"/>
        <v>Dynamic Click</v>
      </c>
      <c r="F231" t="str">
        <f t="shared" si="51"/>
        <v>CH~SOCIAL_DT~MULTI_PB~GADS_FM~SEARCH_RT~CPC_PD~VDV_SEARCH_OFERTAS_1X1_TG~BHVDEM_TS~NONE_SZ~1X1_SOCIAL_MK~BR_IT~SOCIAL_VV~NONE</v>
      </c>
      <c r="G231" t="str">
        <f t="shared" si="52"/>
        <v>434803059</v>
      </c>
      <c r="H231" t="str">
        <f t="shared" si="53"/>
        <v>Tracking</v>
      </c>
      <c r="I231">
        <f t="shared" si="54"/>
        <v>0</v>
      </c>
      <c r="J231">
        <f t="shared" si="55"/>
        <v>1</v>
      </c>
      <c r="K231" s="4">
        <f t="shared" si="44"/>
        <v>3.5000000000000001E-3</v>
      </c>
      <c r="L231">
        <f t="shared" si="45"/>
        <v>0.02</v>
      </c>
      <c r="M231" s="4">
        <f t="shared" si="56"/>
        <v>3.5000000000000001E-3</v>
      </c>
      <c r="N231" s="4">
        <f t="shared" si="57"/>
        <v>0.02</v>
      </c>
    </row>
    <row r="232" spans="1:14">
      <c r="A232" t="str">
        <f t="shared" si="46"/>
        <v>MK~BR_CN~Vai_de_Visa_MN~NONE_YQ~19Q1Q4_CP~NONE_OB~LDS_PK~NONE</v>
      </c>
      <c r="B232" t="str">
        <f t="shared" si="47"/>
        <v>Oath BR</v>
      </c>
      <c r="C232" t="str">
        <f t="shared" si="48"/>
        <v>CH~DISPLAY_DT~MULTI_PB~OTH_FM~BANNER_RT~CPM_PD~VDV_CAMICADO_10OFF_RENOVE_OATH_160X600_160X600_TG~BHVDEM_TS~NONE_SZ~160X600_PROGRAMMATIC_MK~BR_IT~PROGRAMMATIC_VV~NONE</v>
      </c>
      <c r="D232" t="str">
        <f t="shared" si="49"/>
        <v>240362618</v>
      </c>
      <c r="E232" t="str">
        <f t="shared" si="50"/>
        <v>Standard</v>
      </c>
      <c r="F232" t="str">
        <f t="shared" si="51"/>
        <v>CH~DISPLAY_DT~MULTI_PB~OTH_FM~BANNER_RT~CPM_PD~VDV_CAMICADO_10OFF_RENOVE_OATH_160X600_160X600_TG~BHVDEM_TS~NONE_SZ~160X600_PROGRAMMATIC_MK~BR_IT~PROGRAMMATIC_VV~NONE</v>
      </c>
      <c r="G232" t="str">
        <f t="shared" si="52"/>
        <v>437356284</v>
      </c>
      <c r="H232" t="str">
        <f t="shared" si="53"/>
        <v>Display</v>
      </c>
      <c r="I232">
        <f t="shared" si="54"/>
        <v>329673</v>
      </c>
      <c r="J232">
        <f t="shared" si="55"/>
        <v>267</v>
      </c>
      <c r="K232" s="4">
        <f t="shared" si="44"/>
        <v>3.8199999999999998E-2</v>
      </c>
      <c r="L232">
        <f t="shared" si="45"/>
        <v>0.09</v>
      </c>
      <c r="M232" s="4">
        <f t="shared" si="56"/>
        <v>12.5935086</v>
      </c>
      <c r="N232" s="4">
        <f t="shared" si="57"/>
        <v>29.670570000000001</v>
      </c>
    </row>
    <row r="233" spans="1:14">
      <c r="A233" t="str">
        <f t="shared" si="46"/>
        <v>MK~BR_CN~Vai_de_Visa_MN~NONE_YQ~19Q1Q4_CP~NONE_OB~LDS_PK~NONE</v>
      </c>
      <c r="B233" t="str">
        <f t="shared" si="47"/>
        <v>Oath BR</v>
      </c>
      <c r="C233" t="str">
        <f t="shared" si="48"/>
        <v>CH~DISPLAY_DT~MULTI_PB~OTH_FM~BANNER_RT~CPM_PD~VDV_CAMICADO_10OFF_RENOVE_OATH_300X250_300X250_TG~BHVDEM_TS~NONE_SZ~300X250_PROGRAMMATIC_MK~BR_IT~PROGRAMMATIC_VV~NONE</v>
      </c>
      <c r="D233" t="str">
        <f t="shared" si="49"/>
        <v>240362615</v>
      </c>
      <c r="E233" t="str">
        <f t="shared" si="50"/>
        <v>Standard</v>
      </c>
      <c r="F233" t="str">
        <f t="shared" si="51"/>
        <v>CH~DISPLAY_DT~MULTI_PB~OTH_FM~BANNER_RT~CPM_PD~VDV_CAMICADO_10OFF_RENOVE_OATH_300X250_300X250_TG~BHVDEM_TS~NONE_SZ~300X250_PROGRAMMATIC_MK~BR_IT~PROGRAMMATIC_VV~NONE</v>
      </c>
      <c r="G233" t="str">
        <f t="shared" si="52"/>
        <v>437356281</v>
      </c>
      <c r="H233" t="str">
        <f t="shared" si="53"/>
        <v>Display</v>
      </c>
      <c r="I233">
        <f t="shared" si="54"/>
        <v>514364</v>
      </c>
      <c r="J233">
        <f t="shared" si="55"/>
        <v>201</v>
      </c>
      <c r="K233" s="4">
        <f t="shared" si="44"/>
        <v>3.8199999999999998E-2</v>
      </c>
      <c r="L233">
        <f t="shared" si="45"/>
        <v>0.09</v>
      </c>
      <c r="M233" s="4">
        <f t="shared" si="56"/>
        <v>19.648704800000001</v>
      </c>
      <c r="N233" s="4">
        <f t="shared" si="57"/>
        <v>46.292759999999994</v>
      </c>
    </row>
    <row r="234" spans="1:14">
      <c r="A234" t="str">
        <f t="shared" si="46"/>
        <v>MK~BR_CN~Vai_de_Visa_MN~NONE_YQ~19Q1Q4_CP~NONE_OB~LDS_PK~NONE</v>
      </c>
      <c r="B234" t="str">
        <f t="shared" si="47"/>
        <v>Oath BR</v>
      </c>
      <c r="C234" t="str">
        <f t="shared" si="48"/>
        <v>CH~DISPLAY_DT~MULTI_PB~OTH_FM~BANNER_RT~CPM_PD~VDV_CAMICADO_10OFF_RENOVE_OATH_300X600_300X600_TG~BHVDEM_TS~NONE_SZ~300X600_PROGRAMMATIC_MK~BR_IT~PROGRAMMATIC_VV~NONE</v>
      </c>
      <c r="D234" t="str">
        <f t="shared" si="49"/>
        <v>240362612</v>
      </c>
      <c r="E234" t="str">
        <f t="shared" si="50"/>
        <v>Standard</v>
      </c>
      <c r="F234" t="str">
        <f t="shared" si="51"/>
        <v>CH~DISPLAY_DT~MULTI_PB~OTH_FM~BANNER_RT~CPM_PD~VDV_CAMICADO_10OFF_RENOVE_OATH_300X600_300X600_TG~BHVDEM_TS~NONE_SZ~300X600_PROGRAMMATIC_MK~BR_IT~PROGRAMMATIC_VV~NONE</v>
      </c>
      <c r="G234" t="str">
        <f t="shared" si="52"/>
        <v>437356278</v>
      </c>
      <c r="H234" t="str">
        <f t="shared" si="53"/>
        <v>Display</v>
      </c>
      <c r="I234">
        <f t="shared" si="54"/>
        <v>71194</v>
      </c>
      <c r="J234">
        <f t="shared" si="55"/>
        <v>46</v>
      </c>
      <c r="K234" s="4">
        <f t="shared" si="44"/>
        <v>3.8199999999999998E-2</v>
      </c>
      <c r="L234">
        <f t="shared" si="45"/>
        <v>0.09</v>
      </c>
      <c r="M234" s="4">
        <f t="shared" si="56"/>
        <v>2.7196107999999999</v>
      </c>
      <c r="N234" s="4">
        <f t="shared" si="57"/>
        <v>6.4074600000000004</v>
      </c>
    </row>
    <row r="235" spans="1:14">
      <c r="A235" t="str">
        <f t="shared" si="46"/>
        <v>MK~BR_CN~Vai_de_Visa_MN~NONE_YQ~19Q1Q4_CP~NONE_OB~LDS_PK~NONE</v>
      </c>
      <c r="B235" t="str">
        <f t="shared" si="47"/>
        <v>Oath BR</v>
      </c>
      <c r="C235" t="str">
        <f t="shared" si="48"/>
        <v>CH~DISPLAY_DT~MULTI_PB~OTH_FM~BANNER_RT~CPM_PD~VDV_CAMICADO_10OFF_RENOVE_OATH_970X250_970X250_TG~BHVDEM_TS~NONE_SZ~970X250_PROGRAMMATIC_MK~BR_IT~PROGRAMMATIC_VV~NONE</v>
      </c>
      <c r="D235" t="str">
        <f t="shared" si="49"/>
        <v>240362609</v>
      </c>
      <c r="E235" t="str">
        <f t="shared" si="50"/>
        <v>Standard</v>
      </c>
      <c r="F235" t="str">
        <f t="shared" si="51"/>
        <v>CH~DISPLAY_DT~MULTI_PB~OTH_FM~BANNER_RT~CPM_PD~VDV_CAMICADO_10OFF_RENOVE_OATH_970X250_970X250_TG~BHVDEM_TS~NONE_SZ~970X250_PROGRAMMATIC_MK~BR_IT~PROGRAMMATIC_VV~NONE</v>
      </c>
      <c r="G235" t="str">
        <f t="shared" si="52"/>
        <v>437356275</v>
      </c>
      <c r="H235" t="str">
        <f t="shared" si="53"/>
        <v>Display</v>
      </c>
      <c r="I235">
        <f t="shared" si="54"/>
        <v>44605</v>
      </c>
      <c r="J235">
        <f t="shared" si="55"/>
        <v>21</v>
      </c>
      <c r="K235" s="4">
        <f t="shared" si="44"/>
        <v>3.8199999999999998E-2</v>
      </c>
      <c r="L235">
        <f t="shared" si="45"/>
        <v>0.09</v>
      </c>
      <c r="M235" s="4">
        <f t="shared" si="56"/>
        <v>1.7039109999999997</v>
      </c>
      <c r="N235" s="4">
        <f t="shared" si="57"/>
        <v>4.0144500000000001</v>
      </c>
    </row>
    <row r="236" spans="1:14">
      <c r="A236" t="str">
        <f t="shared" si="46"/>
        <v>MK~BR_CN~Vai_de_Visa_MN~NONE_YQ~19Q1Q4_CP~NONE_OB~LDS_PK~NONE</v>
      </c>
      <c r="B236" t="str">
        <f t="shared" si="47"/>
        <v>Oath BR</v>
      </c>
      <c r="C236" t="str">
        <f t="shared" si="48"/>
        <v>CH~DISPLAY_DT~MULTI_PB~OTH_FM~BANNER_RT~CPM_PD~VDV_CAMICADO_10OFF_RENOVE_OATH_970X250_970X250_TG~BHVDEM_TS~NONE_SZ~970X250_PROGRAMMATIC_MK~BR_IT~PROGRAMMATIC_VV~NONE</v>
      </c>
      <c r="D236" t="str">
        <f t="shared" si="49"/>
        <v>240362609</v>
      </c>
      <c r="E236" t="str">
        <f t="shared" si="50"/>
        <v>Dynamic Click</v>
      </c>
      <c r="F236" t="str">
        <f t="shared" si="51"/>
        <v>DESCONSIDERAR</v>
      </c>
      <c r="G236" t="str">
        <f t="shared" si="52"/>
        <v>437368266</v>
      </c>
      <c r="H236" t="str">
        <f t="shared" si="53"/>
        <v>Tracking</v>
      </c>
      <c r="I236">
        <f t="shared" si="54"/>
        <v>0</v>
      </c>
      <c r="J236">
        <f t="shared" si="55"/>
        <v>1</v>
      </c>
      <c r="K236" s="4">
        <f t="shared" ref="K236:K299" si="58">IF(LEFT(B236,3)="DBM",0,VLOOKUP(E236,tabela,2,FALSE))</f>
        <v>3.5000000000000001E-3</v>
      </c>
      <c r="L236">
        <f t="shared" ref="L236:L299" si="59">VLOOKUP(E236,tabela,3,FALSE)</f>
        <v>0.02</v>
      </c>
      <c r="M236" s="4">
        <f t="shared" si="56"/>
        <v>3.5000000000000001E-3</v>
      </c>
      <c r="N236" s="4">
        <f t="shared" si="57"/>
        <v>0.02</v>
      </c>
    </row>
    <row r="237" spans="1:14">
      <c r="A237" t="str">
        <f t="shared" si="46"/>
        <v>MK~BR_CN~Vai_de_Visa_MN~NONE_YQ~19Q1Q4_CP~NONE_OB~LDS_PK~NONE</v>
      </c>
      <c r="B237" t="str">
        <f t="shared" si="47"/>
        <v>Oath BR</v>
      </c>
      <c r="C237" t="str">
        <f t="shared" si="48"/>
        <v>CH~DISPLAY_DT~MULTI_PB~OTH_FM~BANNER_RT~CPM_PD~VDV_GOL_OATH_BANNER_1080X1920_1080X1920_TG~BHVDEM_TS~NONE_SZ~1080X1920_DISPLAY_MK~BR_IT~DISPLAY_VV~NONE</v>
      </c>
      <c r="D237" t="str">
        <f t="shared" si="49"/>
        <v>240843169</v>
      </c>
      <c r="E237" t="str">
        <f t="shared" si="50"/>
        <v>Dynamic Click</v>
      </c>
      <c r="F237" t="str">
        <f t="shared" si="51"/>
        <v>CH~DISPLAY_DT~MULTI_PB~OTH_FM~BANNER_RT~CPM_PD~VDV_GOL_OATH_BANNER_1080X1920_1080X1920_TG~BHVDEM_TS~NONE_SZ~1080X1920_DISPLAY_MK~BR_IT~DISPLAY_VV~NONE</v>
      </c>
      <c r="G237" t="str">
        <f t="shared" si="52"/>
        <v>437838727</v>
      </c>
      <c r="H237" t="str">
        <f t="shared" si="53"/>
        <v>Tracking</v>
      </c>
      <c r="I237">
        <f t="shared" si="54"/>
        <v>0</v>
      </c>
      <c r="J237">
        <f t="shared" si="55"/>
        <v>75</v>
      </c>
      <c r="K237" s="4">
        <f t="shared" si="58"/>
        <v>3.5000000000000001E-3</v>
      </c>
      <c r="L237">
        <f t="shared" si="59"/>
        <v>0.02</v>
      </c>
      <c r="M237" s="4">
        <f t="shared" si="56"/>
        <v>0.26250000000000001</v>
      </c>
      <c r="N237" s="4">
        <f t="shared" si="57"/>
        <v>1.5</v>
      </c>
    </row>
    <row r="238" spans="1:14">
      <c r="A238" t="str">
        <f t="shared" si="46"/>
        <v>MK~BR_CN~Vai_de_Visa_MN~NONE_YQ~19Q1Q4_CP~NONE_OB~LDS_PK~NONE</v>
      </c>
      <c r="B238" t="str">
        <f t="shared" si="47"/>
        <v>Oath BR</v>
      </c>
      <c r="C238" t="str">
        <f t="shared" si="48"/>
        <v>CH~DISPLAY_DT~MULTI_PB~OTH_FM~BANNER_RT~CPM_PD~VDV_GOL_OATH_BANNER_627X627_627X627_TG~BHVDEM_TS~NONE_SZ~627X627_DISPLAY_MK~BR_IT~DISPLAY_VV~NONE</v>
      </c>
      <c r="D238" t="str">
        <f t="shared" si="49"/>
        <v>240843175</v>
      </c>
      <c r="E238" t="str">
        <f t="shared" si="50"/>
        <v>Dynamic Click</v>
      </c>
      <c r="F238" t="str">
        <f t="shared" si="51"/>
        <v>CH~DISPLAY_DT~MULTI_PB~OTH_FM~BANNER_RT~CPM_PD~VDV_GOL_OATH_BANNER_627X627_627X627_TG~BHVDEM_TS~NONE_SZ~627X627_DISPLAY_MK~BR_IT~DISPLAY_VV~NONE</v>
      </c>
      <c r="G238" t="str">
        <f t="shared" si="52"/>
        <v>437838733</v>
      </c>
      <c r="H238" t="str">
        <f t="shared" si="53"/>
        <v>Tracking</v>
      </c>
      <c r="I238">
        <f t="shared" si="54"/>
        <v>0</v>
      </c>
      <c r="J238">
        <f t="shared" si="55"/>
        <v>13793</v>
      </c>
      <c r="K238" s="4">
        <f t="shared" si="58"/>
        <v>3.5000000000000001E-3</v>
      </c>
      <c r="L238">
        <f t="shared" si="59"/>
        <v>0.02</v>
      </c>
      <c r="M238" s="4">
        <f t="shared" si="56"/>
        <v>48.275500000000001</v>
      </c>
      <c r="N238" s="4">
        <f t="shared" si="57"/>
        <v>275.86</v>
      </c>
    </row>
    <row r="239" spans="1:14">
      <c r="A239" t="str">
        <f t="shared" si="46"/>
        <v>MK~BR_CN~Vai_de_Visa_MN~NONE_YQ~19Q1Q4_CP~NONE_OB~LDS_PK~NONE</v>
      </c>
      <c r="B239" t="str">
        <f t="shared" si="47"/>
        <v>Oath BR</v>
      </c>
      <c r="C239" t="str">
        <f t="shared" si="48"/>
        <v>CH~DISPLAY_DT~MULTI_PB~OTH_FM~BANNER_RT~CPM_PD~VDV_GOL_OATH_BANNER_720X1280_720X1280_TG~BHVDEM_TS~NONE_SZ~720X1280_DISPLAY_MK~BR_IT~DISPLAY_VV~NONE</v>
      </c>
      <c r="D239" t="str">
        <f t="shared" si="49"/>
        <v>240843172</v>
      </c>
      <c r="E239" t="str">
        <f t="shared" si="50"/>
        <v>Dynamic Click</v>
      </c>
      <c r="F239" t="str">
        <f t="shared" si="51"/>
        <v>CH~DISPLAY_DT~MULTI_PB~OTH_FM~BANNER_RT~CPM_PD~VDV_GOL_OATH_BANNER_720X1280_720X1280_TG~BHVDEM_TS~NONE_SZ~720X1280_DISPLAY_MK~BR_IT~DISPLAY_VV~NONE</v>
      </c>
      <c r="G239" t="str">
        <f t="shared" si="52"/>
        <v>437838730</v>
      </c>
      <c r="H239" t="str">
        <f t="shared" si="53"/>
        <v>Tracking</v>
      </c>
      <c r="I239">
        <f t="shared" si="54"/>
        <v>0</v>
      </c>
      <c r="J239">
        <f t="shared" si="55"/>
        <v>4732</v>
      </c>
      <c r="K239" s="4">
        <f t="shared" si="58"/>
        <v>3.5000000000000001E-3</v>
      </c>
      <c r="L239">
        <f t="shared" si="59"/>
        <v>0.02</v>
      </c>
      <c r="M239" s="4">
        <f t="shared" si="56"/>
        <v>16.562000000000001</v>
      </c>
      <c r="N239" s="4">
        <f t="shared" si="57"/>
        <v>94.64</v>
      </c>
    </row>
    <row r="240" spans="1:14">
      <c r="A240" t="str">
        <f t="shared" si="46"/>
        <v>MK~BR_CN~Vai_de_Visa_MN~NONE_YQ~19Q1Q4_CP~NONE_OB~LDS_PK~NONE</v>
      </c>
      <c r="B240" t="str">
        <f t="shared" si="47"/>
        <v>instagram.com</v>
      </c>
      <c r="C240" t="str">
        <f t="shared" si="48"/>
        <v>CH~SOCIAL_DT~MULTI_PB~IG_FM~STORIES_RT~CPM_PD~VDV_CAMICADO_10OFF_STORIES_1X1_TG~BHVDEM_TS~NONE_SZ~1X1_SOCIAL_MK~BR_IT~SOCIAL_VV~NONE</v>
      </c>
      <c r="D240" t="str">
        <f t="shared" si="49"/>
        <v>233734785</v>
      </c>
      <c r="E240" t="str">
        <f t="shared" si="50"/>
        <v>Dynamic Click</v>
      </c>
      <c r="F240" t="str">
        <f t="shared" si="51"/>
        <v>CH~SOCIAL_DT~MULTI_PB~IG_FM~STORIES_RT~CPM_PD~VDV_CAMICADO_10OFF_STORIES_1X1_TG~BHVDEM_TS~NONE_SZ~1X1_SOCIAL_MK~BR_IT~SOCIAL_VV~NONE</v>
      </c>
      <c r="G240" t="str">
        <f t="shared" si="52"/>
        <v>431137571</v>
      </c>
      <c r="H240" t="str">
        <f t="shared" si="53"/>
        <v>Tracking</v>
      </c>
      <c r="I240">
        <f t="shared" si="54"/>
        <v>0</v>
      </c>
      <c r="J240">
        <f t="shared" si="55"/>
        <v>1166</v>
      </c>
      <c r="K240" s="4">
        <f t="shared" si="58"/>
        <v>3.5000000000000001E-3</v>
      </c>
      <c r="L240">
        <f t="shared" si="59"/>
        <v>0.02</v>
      </c>
      <c r="M240" s="4">
        <f t="shared" si="56"/>
        <v>4.0810000000000004</v>
      </c>
      <c r="N240" s="4">
        <f t="shared" si="57"/>
        <v>23.32</v>
      </c>
    </row>
    <row r="241" spans="1:14">
      <c r="A241" t="str">
        <f t="shared" si="46"/>
        <v>MK~BR_CN~Vai_de_Visa_MN~NONE_YQ~19Q1Q4_CP~NONE_OB~LDS_PK~NONE</v>
      </c>
      <c r="B241" t="str">
        <f t="shared" si="47"/>
        <v>instagram.com</v>
      </c>
      <c r="C241" t="str">
        <f t="shared" si="48"/>
        <v>CH~SOCIAL_DT~MULTI_PB~IG_FM~STORIES_RT~CPM_PD~VDV_DECOLAR_STORIES_IG_ANO_NOVO_1X1_TG~BHVDEM_TS~NONE_SZ~1X1_SOCIAL_MK~BR_IT~SOCIAL_VV~NONE</v>
      </c>
      <c r="D241" t="str">
        <f t="shared" si="49"/>
        <v>236781667</v>
      </c>
      <c r="E241" t="str">
        <f t="shared" si="50"/>
        <v>Dynamic Click</v>
      </c>
      <c r="F241" t="str">
        <f t="shared" si="51"/>
        <v>CH~SOCIAL_DT~MULTI_PB~IG_FM~STORIES_RT~CPM_PD~VDV_DECOLAR_STORIES_IG_ANO_NOVO_1X1_TG~BHVDEM_TS~NONE_SZ~1X1_SOCIAL_MK~BR_IT~SOCIAL_VV~NONE</v>
      </c>
      <c r="G241" t="str">
        <f t="shared" si="52"/>
        <v>434163041</v>
      </c>
      <c r="H241" t="str">
        <f t="shared" si="53"/>
        <v>Tracking</v>
      </c>
      <c r="I241">
        <f t="shared" si="54"/>
        <v>0</v>
      </c>
      <c r="J241">
        <f t="shared" si="55"/>
        <v>479</v>
      </c>
      <c r="K241" s="4">
        <f t="shared" si="58"/>
        <v>3.5000000000000001E-3</v>
      </c>
      <c r="L241">
        <f t="shared" si="59"/>
        <v>0.02</v>
      </c>
      <c r="M241" s="4">
        <f t="shared" si="56"/>
        <v>1.6765000000000001</v>
      </c>
      <c r="N241" s="4">
        <f t="shared" si="57"/>
        <v>9.58</v>
      </c>
    </row>
    <row r="242" spans="1:14">
      <c r="A242" t="str">
        <f t="shared" si="46"/>
        <v>MK~BR_CN~Vai_de_Visa_MN~NONE_YQ~19Q1Q4_CP~NONE_OB~LDS_PK~NONE</v>
      </c>
      <c r="B242" t="str">
        <f t="shared" si="47"/>
        <v>instagram.com</v>
      </c>
      <c r="C242" t="str">
        <f t="shared" si="48"/>
        <v>CH~SOCIAL_DT~MULTI_PB~IG_FM~STORIES_RT~CPM_PD~VDV_DECOLAR_STORIES_IG_CRIANCAS_1X1_TG~BHVDEM_TS~NONE_SZ~1X1_SOCIAL_MK~BR_IT~SOCIAL_VV~NONE</v>
      </c>
      <c r="D242" t="str">
        <f t="shared" si="49"/>
        <v>236781664</v>
      </c>
      <c r="E242" t="str">
        <f t="shared" si="50"/>
        <v>Dynamic Click</v>
      </c>
      <c r="F242" t="str">
        <f t="shared" si="51"/>
        <v>CH~SOCIAL_DT~MULTI_PB~IG_FM~STORIES_RT~CPM_PD~VDV_DECOLAR_STORIES_IG_CRIANCAS_1X1_TG~BHVDEM_TS~NONE_SZ~1X1_SOCIAL_MK~BR_IT~SOCIAL_VV~NONE</v>
      </c>
      <c r="G242" t="str">
        <f t="shared" si="52"/>
        <v>434163038</v>
      </c>
      <c r="H242" t="str">
        <f t="shared" si="53"/>
        <v>Tracking</v>
      </c>
      <c r="I242">
        <f t="shared" si="54"/>
        <v>0</v>
      </c>
      <c r="J242">
        <f t="shared" si="55"/>
        <v>25</v>
      </c>
      <c r="K242" s="4">
        <f t="shared" si="58"/>
        <v>3.5000000000000001E-3</v>
      </c>
      <c r="L242">
        <f t="shared" si="59"/>
        <v>0.02</v>
      </c>
      <c r="M242" s="4">
        <f t="shared" si="56"/>
        <v>8.7500000000000008E-2</v>
      </c>
      <c r="N242" s="4">
        <f t="shared" si="57"/>
        <v>0.5</v>
      </c>
    </row>
    <row r="243" spans="1:14">
      <c r="A243" t="str">
        <f t="shared" si="46"/>
        <v>MK~BR_CN~Vai_de_Visa_MN~NONE_YQ~19Q1Q4_CP~NONE_OB~LDS_PK~NONE</v>
      </c>
      <c r="B243" t="str">
        <f t="shared" si="47"/>
        <v>instagram.com</v>
      </c>
      <c r="C243" t="str">
        <f t="shared" si="48"/>
        <v>CH~SOCIAL_DT~MULTI_PB~IG_FM~STORIES_RT~CPM_PD~VDV_DECOLAR_STORIES_IG_FERIADO_1X1_TG~BHVDEM_TS~NONE_SZ~1X1_SOCIAL_MK~BR_IT~SOCIAL_VV~NONE</v>
      </c>
      <c r="D243" t="str">
        <f t="shared" si="49"/>
        <v>236781661</v>
      </c>
      <c r="E243" t="str">
        <f t="shared" si="50"/>
        <v>Dynamic Click</v>
      </c>
      <c r="F243" t="str">
        <f t="shared" si="51"/>
        <v>CH~SOCIAL_DT~MULTI_PB~IG_FM~STORIES_RT~CPM_PD~VDV_DECOLAR_STORIES_IG_FERIADO_1X1_TG~BHVDEM_TS~NONE_SZ~1X1_SOCIAL_MK~BR_IT~SOCIAL_VV~NONE</v>
      </c>
      <c r="G243" t="str">
        <f t="shared" si="52"/>
        <v>434163035</v>
      </c>
      <c r="H243" t="str">
        <f t="shared" si="53"/>
        <v>Tracking</v>
      </c>
      <c r="I243">
        <f t="shared" si="54"/>
        <v>0</v>
      </c>
      <c r="J243">
        <f t="shared" si="55"/>
        <v>253</v>
      </c>
      <c r="K243" s="4">
        <f t="shared" si="58"/>
        <v>3.5000000000000001E-3</v>
      </c>
      <c r="L243">
        <f t="shared" si="59"/>
        <v>0.02</v>
      </c>
      <c r="M243" s="4">
        <f t="shared" si="56"/>
        <v>0.88550000000000006</v>
      </c>
      <c r="N243" s="4">
        <f t="shared" si="57"/>
        <v>5.0600000000000005</v>
      </c>
    </row>
    <row r="244" spans="1:14">
      <c r="A244" t="str">
        <f t="shared" si="46"/>
        <v>MK~BR_CN~Vai_de_Visa_MN~NONE_YQ~19Q1Q4_CP~NONE_OB~LDS_PK~NONE</v>
      </c>
      <c r="B244" t="str">
        <f t="shared" si="47"/>
        <v>instagram.com</v>
      </c>
      <c r="C244" t="str">
        <f t="shared" si="48"/>
        <v>CH~SOCIAL_DT~MULTI_PB~IG_FM~STORIES_RT~CPM_PD~VDV_DECOLAR_STORIES_IG_FERIADO_GENERICO_01_1X1_TG~BHVDEM_TS~NONE_SZ~1X1_SOCIAL_MK~BR_IT~SOCIAL_VV~NONE</v>
      </c>
      <c r="D244" t="str">
        <f t="shared" si="49"/>
        <v>236781655</v>
      </c>
      <c r="E244" t="str">
        <f t="shared" si="50"/>
        <v>Dynamic Click</v>
      </c>
      <c r="F244" t="str">
        <f t="shared" si="51"/>
        <v>CH~SOCIAL_DT~MULTI_PB~IG_FM~STORIES_RT~CPM_PD~VDV_DECOLAR_STORIES_IG_FERIADO_GENERICO_01_1X1_TG~BHVDEM_TS~NONE_SZ~1X1_SOCIAL_MK~BR_IT~SOCIAL_VV~NONE</v>
      </c>
      <c r="G244" t="str">
        <f t="shared" si="52"/>
        <v>434163029</v>
      </c>
      <c r="H244" t="str">
        <f t="shared" si="53"/>
        <v>Tracking</v>
      </c>
      <c r="I244">
        <f t="shared" si="54"/>
        <v>0</v>
      </c>
      <c r="J244">
        <f t="shared" si="55"/>
        <v>857</v>
      </c>
      <c r="K244" s="4">
        <f t="shared" si="58"/>
        <v>3.5000000000000001E-3</v>
      </c>
      <c r="L244">
        <f t="shared" si="59"/>
        <v>0.02</v>
      </c>
      <c r="M244" s="4">
        <f t="shared" si="56"/>
        <v>2.9995000000000003</v>
      </c>
      <c r="N244" s="4">
        <f t="shared" si="57"/>
        <v>17.14</v>
      </c>
    </row>
    <row r="245" spans="1:14">
      <c r="A245" t="str">
        <f t="shared" si="46"/>
        <v>MK~BR_CN~Vai_de_Visa_MN~NONE_YQ~19Q1Q4_CP~NONE_OB~LDS_PK~NONE</v>
      </c>
      <c r="B245" t="str">
        <f t="shared" si="47"/>
        <v>instagram.com</v>
      </c>
      <c r="C245" t="str">
        <f t="shared" si="48"/>
        <v>CH~SOCIAL_DT~MULTI_PB~IG_FM~STORIES_RT~CPM_PD~VDV_DECOLAR_STORIES_IG_FERIADO_GENERICO_02_1X1_TG~BHVDEM_TS~NONE_SZ~1X1_SOCIAL_MK~BR_IT~SOCIAL_VV~NONE</v>
      </c>
      <c r="D245" t="str">
        <f t="shared" si="49"/>
        <v>236781652</v>
      </c>
      <c r="E245" t="str">
        <f t="shared" si="50"/>
        <v>Dynamic Click</v>
      </c>
      <c r="F245" t="str">
        <f t="shared" si="51"/>
        <v>CH~SOCIAL_DT~MULTI_PB~IG_FM~STORIES_RT~CPM_PD~VDV_DECOLAR_STORIES_IG_FERIADO_GENERICO_02_1X1_TG~BHVDEM_TS~NONE_SZ~1X1_SOCIAL_MK~BR_IT~SOCIAL_VV~NONE</v>
      </c>
      <c r="G245" t="str">
        <f t="shared" si="52"/>
        <v>434163026</v>
      </c>
      <c r="H245" t="str">
        <f t="shared" si="53"/>
        <v>Tracking</v>
      </c>
      <c r="I245">
        <f t="shared" si="54"/>
        <v>0</v>
      </c>
      <c r="J245">
        <f t="shared" si="55"/>
        <v>45</v>
      </c>
      <c r="K245" s="4">
        <f t="shared" si="58"/>
        <v>3.5000000000000001E-3</v>
      </c>
      <c r="L245">
        <f t="shared" si="59"/>
        <v>0.02</v>
      </c>
      <c r="M245" s="4">
        <f t="shared" si="56"/>
        <v>0.1575</v>
      </c>
      <c r="N245" s="4">
        <f t="shared" si="57"/>
        <v>0.9</v>
      </c>
    </row>
    <row r="246" spans="1:14">
      <c r="A246" t="str">
        <f t="shared" si="46"/>
        <v>MK~BR_CN~Vai_de_Visa_MN~NONE_YQ~19Q1Q4_CP~NONE_OB~LDS_PK~NONE</v>
      </c>
      <c r="B246" t="str">
        <f t="shared" si="47"/>
        <v>instagram.com</v>
      </c>
      <c r="C246" t="str">
        <f t="shared" si="48"/>
        <v>CH~SOCIAL_DT~MULTI_PB~IG_FM~STORIES_RT~CPM_PD~VDV_DECOLAR_STORIES_IG_FERIADO_PROLONGADO_1X1_TG~BHVDEM_TS~NONE_SZ~1X1_SOCIAL_MK~BR_IT~SOCIAL_VV~NONE</v>
      </c>
      <c r="D246" t="str">
        <f t="shared" si="49"/>
        <v>236781658</v>
      </c>
      <c r="E246" t="str">
        <f t="shared" si="50"/>
        <v>Dynamic Click</v>
      </c>
      <c r="F246" t="str">
        <f t="shared" si="51"/>
        <v>CH~SOCIAL_DT~MULTI_PB~IG_FM~STORIES_RT~CPM_PD~VDV_DECOLAR_STORIES_IG_FERIADO_PROLONGADO_1X1_TG~BHVDEM_TS~NONE_SZ~1X1_SOCIAL_MK~BR_IT~SOCIAL_VV~NONE</v>
      </c>
      <c r="G246" t="str">
        <f t="shared" si="52"/>
        <v>434163032</v>
      </c>
      <c r="H246" t="str">
        <f t="shared" si="53"/>
        <v>Tracking</v>
      </c>
      <c r="I246">
        <f t="shared" si="54"/>
        <v>0</v>
      </c>
      <c r="J246">
        <f t="shared" si="55"/>
        <v>65</v>
      </c>
      <c r="K246" s="4">
        <f t="shared" si="58"/>
        <v>3.5000000000000001E-3</v>
      </c>
      <c r="L246">
        <f t="shared" si="59"/>
        <v>0.02</v>
      </c>
      <c r="M246" s="4">
        <f t="shared" si="56"/>
        <v>0.22750000000000001</v>
      </c>
      <c r="N246" s="4">
        <f t="shared" si="57"/>
        <v>1.3</v>
      </c>
    </row>
    <row r="247" spans="1:14">
      <c r="A247" t="str">
        <f t="shared" si="46"/>
        <v>MK~BR_CN~Vai_de_Visa_MN~NONE_YQ~19Q1Q4_CP~NONE_OB~LDS_PK~NONE</v>
      </c>
      <c r="B247" t="str">
        <f t="shared" si="47"/>
        <v>instagram.com</v>
      </c>
      <c r="C247" t="str">
        <f t="shared" si="48"/>
        <v>CH~SOCIAL_DT~MULTI_PB~IG_FM~STORIES_RT~CPM_PD~VDV_NATURA_STORIES_IG_ICONE_BELEZA_LIVRE_1X1_TG~BHVDEM_TS~NONE_SZ~1X1_SOCIAL_MK~BR_IT~SOCIAL_VV~NONE</v>
      </c>
      <c r="D247" t="str">
        <f t="shared" si="49"/>
        <v>236795812</v>
      </c>
      <c r="E247" t="str">
        <f t="shared" si="50"/>
        <v>Dynamic Click</v>
      </c>
      <c r="F247" t="str">
        <f t="shared" si="51"/>
        <v>CH~SOCIAL_DT~MULTI_PB~IG_FM~STORIES_RT~CPM_PD~VDV_NATURA_STORIES_IG_ICONE_BELEZA_LIVRE_1X1_TG~BHVDEM_TS~NONE_SZ~1X1_SOCIAL_MK~BR_IT~SOCIAL_VV~NONE</v>
      </c>
      <c r="G247" t="str">
        <f t="shared" si="52"/>
        <v>434240467</v>
      </c>
      <c r="H247" t="str">
        <f t="shared" si="53"/>
        <v>Tracking</v>
      </c>
      <c r="I247">
        <f t="shared" si="54"/>
        <v>0</v>
      </c>
      <c r="J247">
        <f t="shared" si="55"/>
        <v>120</v>
      </c>
      <c r="K247" s="4">
        <f t="shared" si="58"/>
        <v>3.5000000000000001E-3</v>
      </c>
      <c r="L247">
        <f t="shared" si="59"/>
        <v>0.02</v>
      </c>
      <c r="M247" s="4">
        <f t="shared" si="56"/>
        <v>0.42</v>
      </c>
      <c r="N247" s="4">
        <f t="shared" si="57"/>
        <v>2.4</v>
      </c>
    </row>
    <row r="248" spans="1:14">
      <c r="A248" t="str">
        <f t="shared" si="46"/>
        <v>MK~BR_CN~Vai_de_Visa_MN~NONE_YQ~19Q1Q4_CP~NONE_OB~LDS_PK~NONE</v>
      </c>
      <c r="B248" t="str">
        <f t="shared" si="47"/>
        <v>instagram.com</v>
      </c>
      <c r="C248" t="str">
        <f t="shared" si="48"/>
        <v>CH~SOCIAL_DT~MULTI_PB~IG_FM~STORIES_RT~CPM_PD~VDV_NATURA_STORIES_IG_MULHER_BELEZA_LIVRE_1X1_TG~BHVDEM_TS~NONE_SZ~1X1_SOCIAL_MK~BR_IT~SOCIAL_VV~NONE</v>
      </c>
      <c r="D248" t="str">
        <f t="shared" si="49"/>
        <v>236795815</v>
      </c>
      <c r="E248" t="str">
        <f t="shared" si="50"/>
        <v>Dynamic Click</v>
      </c>
      <c r="F248" t="str">
        <f t="shared" si="51"/>
        <v>CH~SOCIAL_DT~MULTI_PB~IG_FM~STORIES_RT~CPM_PD~VDV_NATURA_STORIES_IG_MULHER_BELEZA_LIVRE_1X1_TG~BHVDEM_TS~NONE_SZ~1X1_SOCIAL_MK~BR_IT~SOCIAL_VV~NONE</v>
      </c>
      <c r="G248" t="str">
        <f t="shared" si="52"/>
        <v>434240470</v>
      </c>
      <c r="H248" t="str">
        <f t="shared" si="53"/>
        <v>Tracking</v>
      </c>
      <c r="I248">
        <f t="shared" si="54"/>
        <v>0</v>
      </c>
      <c r="J248">
        <f t="shared" si="55"/>
        <v>412</v>
      </c>
      <c r="K248" s="4">
        <f t="shared" si="58"/>
        <v>3.5000000000000001E-3</v>
      </c>
      <c r="L248">
        <f t="shared" si="59"/>
        <v>0.02</v>
      </c>
      <c r="M248" s="4">
        <f t="shared" si="56"/>
        <v>1.4419999999999999</v>
      </c>
      <c r="N248" s="4">
        <f t="shared" si="57"/>
        <v>8.24</v>
      </c>
    </row>
    <row r="249" spans="1:14">
      <c r="A249" t="str">
        <f t="shared" si="46"/>
        <v>MK~BR_CN~Vai_de_Visa_MN~NONE_YQ~19Q1Q4_CP~NONE_OB~LDS_PK~NONE</v>
      </c>
      <c r="B249" t="str">
        <f t="shared" si="47"/>
        <v>instagram.com</v>
      </c>
      <c r="C249" t="str">
        <f t="shared" si="48"/>
        <v>CH~SOCIAL_DT~MULTI_PB~IG_FM~STORIES_RT~CPM_PD~VDV_NATURA_STORIES_IG_MULHER_BELEZA_LIVRE_1X1_TG~BHVDEM_TS~NONE_SZ~1X1_SOCIAL_MK~BR_IT~SOCIAL_VV~NONE</v>
      </c>
      <c r="D249" t="str">
        <f t="shared" si="49"/>
        <v>236795815</v>
      </c>
      <c r="E249" t="str">
        <f t="shared" si="50"/>
        <v>Dynamic Click</v>
      </c>
      <c r="F249" t="str">
        <f t="shared" si="51"/>
        <v>CH~SOCIAL_DT~MULTI_PB~IG_FM~STORIES_RT~CPM_PD~VDV_NATURA_STORIES_IG_MULHER_BELEZA_LIVRE_1X1_TG~BHVDEM_TS~NONE_SZ~1X1_SOCIAL_MK~BR_IT~SOCIAL_VV~NONE</v>
      </c>
      <c r="G249" t="str">
        <f t="shared" si="52"/>
        <v>434240470</v>
      </c>
      <c r="H249" t="str">
        <f t="shared" si="53"/>
        <v>Tracking</v>
      </c>
      <c r="I249">
        <f t="shared" si="54"/>
        <v>0</v>
      </c>
      <c r="J249">
        <f t="shared" si="55"/>
        <v>2</v>
      </c>
      <c r="K249" s="4">
        <f t="shared" si="58"/>
        <v>3.5000000000000001E-3</v>
      </c>
      <c r="L249">
        <f t="shared" si="59"/>
        <v>0.02</v>
      </c>
      <c r="M249" s="4">
        <f t="shared" si="56"/>
        <v>7.0000000000000001E-3</v>
      </c>
      <c r="N249" s="4">
        <f t="shared" si="57"/>
        <v>0.04</v>
      </c>
    </row>
    <row r="250" spans="1:14">
      <c r="A250" t="str">
        <f t="shared" si="46"/>
        <v>MK~LM_CN~AFFLUENT_MN~NONE_YQ~19Q1Q4_CP~PO5020004141-9_OB~TRAFFIC_PK~NONE</v>
      </c>
      <c r="B250" t="str">
        <f t="shared" si="47"/>
        <v>Facebook</v>
      </c>
      <c r="C250" t="str">
        <f t="shared" si="48"/>
        <v>CH~SOCIAL_DT~MULTI_PB~FCBK_FM~CARROSSEL_RT~CPM_PD~AFFLUENT_ALPHAVILLE_CARROSSEL_FB_1X1_TG~BHVDEM_TS~NONE_SZ~1X1_SOCIAL_MK~BR_IT~SOCIAL_VV~NONE</v>
      </c>
      <c r="D250" t="str">
        <f t="shared" si="49"/>
        <v>235649168</v>
      </c>
      <c r="E250" t="str">
        <f t="shared" si="50"/>
        <v>Dynamic Click</v>
      </c>
      <c r="F250" t="str">
        <f t="shared" si="51"/>
        <v>CH~SOCIAL_DT~MULTI_PB~FCBK_FM~CARROSSEL_RT~CPM_PD~AFFLUENT_ALPHAVILLE_CARROSSEL_FB_1X1_TG~BHVDEM_TS~NONE_SZ~1X1_SOCIAL_MK~BR_IT~SOCIAL_VV~NONE</v>
      </c>
      <c r="G250" t="str">
        <f t="shared" si="52"/>
        <v>433273934</v>
      </c>
      <c r="H250" t="str">
        <f t="shared" si="53"/>
        <v>Tracking</v>
      </c>
      <c r="I250">
        <f t="shared" si="54"/>
        <v>0</v>
      </c>
      <c r="J250">
        <f t="shared" si="55"/>
        <v>4</v>
      </c>
      <c r="K250" s="4">
        <f t="shared" si="58"/>
        <v>3.5000000000000001E-3</v>
      </c>
      <c r="L250">
        <f t="shared" si="59"/>
        <v>0.02</v>
      </c>
      <c r="M250" s="4">
        <f t="shared" si="56"/>
        <v>1.4E-2</v>
      </c>
      <c r="N250" s="4">
        <f t="shared" si="57"/>
        <v>0.08</v>
      </c>
    </row>
    <row r="251" spans="1:14">
      <c r="A251" t="str">
        <f t="shared" si="46"/>
        <v>MK~LM_CN~AFFLUENT_MN~NONE_YQ~19Q1Q4_CP~PO5020004141-9_OB~TRAFFIC_PK~NONE</v>
      </c>
      <c r="B251" t="str">
        <f t="shared" si="47"/>
        <v>Facebook</v>
      </c>
      <c r="C251" t="str">
        <f t="shared" si="48"/>
        <v>CH~SOCIAL_DT~MULTI_PB~FCBK_FM~CARROSSEL_RT~CPM_PD~AFFLUENT_DINNING_FREEVALET_CARROSSEL_ASIATICA_1X1_TG~BHVDEM_TS~NONE_SZ~1X1_SOCIAL_MK~BR_IT~SOCIAL_VV~NONE</v>
      </c>
      <c r="D251" t="str">
        <f t="shared" si="49"/>
        <v>240447814</v>
      </c>
      <c r="E251" t="str">
        <f t="shared" si="50"/>
        <v>Dynamic Click</v>
      </c>
      <c r="F251" t="str">
        <f t="shared" si="51"/>
        <v>CH~SOCIAL_DT~MULTI_PB~FCBK_FM~CARROSSEL_RT~CPM_PD~AFFLUENT_DINNING_FREEVALET_CARROSSEL_ASIATICA_1X1_TG~BHVDEM_TS~NONE_SZ~1X1_SOCIAL_MK~BR_IT~SOCIAL_VV~NONE</v>
      </c>
      <c r="G251" t="str">
        <f t="shared" si="52"/>
        <v>437412428</v>
      </c>
      <c r="H251" t="str">
        <f t="shared" si="53"/>
        <v>Tracking</v>
      </c>
      <c r="I251">
        <f t="shared" si="54"/>
        <v>0</v>
      </c>
      <c r="J251">
        <f t="shared" si="55"/>
        <v>464</v>
      </c>
      <c r="K251" s="4">
        <f t="shared" si="58"/>
        <v>3.5000000000000001E-3</v>
      </c>
      <c r="L251">
        <f t="shared" si="59"/>
        <v>0.02</v>
      </c>
      <c r="M251" s="4">
        <f t="shared" si="56"/>
        <v>1.6240000000000001</v>
      </c>
      <c r="N251" s="4">
        <f t="shared" si="57"/>
        <v>9.2799999999999994</v>
      </c>
    </row>
    <row r="252" spans="1:14">
      <c r="A252" t="str">
        <f t="shared" si="46"/>
        <v>MK~LM_CN~AFFLUENT_MN~NONE_YQ~19Q1Q4_CP~PO5020004141-9_OB~TRAFFIC_PK~NONE</v>
      </c>
      <c r="B252" t="str">
        <f t="shared" si="47"/>
        <v>Facebook</v>
      </c>
      <c r="C252" t="str">
        <f t="shared" si="48"/>
        <v>CH~SOCIAL_DT~MULTI_PB~FCBK_FM~CARROSSEL_RT~CPM_PD~AFFLUENT_DINNING_FREEVALET_CARROSSEL_MASSA_1X1_TG~BHVDEM_TS~NONE_SZ~1X1_SOCIAL_MK~BR_IT~SOCIAL_VV~NONE</v>
      </c>
      <c r="D252" t="str">
        <f t="shared" si="49"/>
        <v>240447808</v>
      </c>
      <c r="E252" t="str">
        <f t="shared" si="50"/>
        <v>Dynamic Click</v>
      </c>
      <c r="F252" t="str">
        <f t="shared" si="51"/>
        <v>CH~SOCIAL_DT~MULTI_PB~FCBK_FM~CARROSSEL_RT~CPM_PD~AFFLUENT_DINNING_FREEVALET_CARROSSEL_MASSA_1X1_TG~BHVDEM_TS~NONE_SZ~1X1_SOCIAL_MK~BR_IT~SOCIAL_VV~NONE</v>
      </c>
      <c r="G252" t="str">
        <f t="shared" si="52"/>
        <v>437412422</v>
      </c>
      <c r="H252" t="str">
        <f t="shared" si="53"/>
        <v>Tracking</v>
      </c>
      <c r="I252">
        <f t="shared" si="54"/>
        <v>0</v>
      </c>
      <c r="J252">
        <f t="shared" si="55"/>
        <v>361</v>
      </c>
      <c r="K252" s="4">
        <f t="shared" si="58"/>
        <v>3.5000000000000001E-3</v>
      </c>
      <c r="L252">
        <f t="shared" si="59"/>
        <v>0.02</v>
      </c>
      <c r="M252" s="4">
        <f t="shared" si="56"/>
        <v>1.2635000000000001</v>
      </c>
      <c r="N252" s="4">
        <f t="shared" si="57"/>
        <v>7.22</v>
      </c>
    </row>
    <row r="253" spans="1:14">
      <c r="A253" t="str">
        <f t="shared" si="46"/>
        <v>MK~LM_CN~AFFLUENT_MN~NONE_YQ~19Q1Q4_CP~PO5020004141-9_OB~TRAFFIC_PK~NONE</v>
      </c>
      <c r="B253" t="str">
        <f t="shared" si="47"/>
        <v>Facebook</v>
      </c>
      <c r="C253" t="str">
        <f t="shared" si="48"/>
        <v>CH~SOCIAL_DT~MULTI_PB~FCBK_FM~CARROSSEL_RT~CPM_PD~AFFLUENT_DINNING_FREEVALET_CARROSSEL_STEAK_1X1_TG~BHVDEM_TS~NONE_SZ~1X1_SOCIAL_MK~BR_IT~SOCIAL_VV~NONE</v>
      </c>
      <c r="D253" t="str">
        <f t="shared" si="49"/>
        <v>240447802</v>
      </c>
      <c r="E253" t="str">
        <f t="shared" si="50"/>
        <v>Dynamic Click</v>
      </c>
      <c r="F253" t="str">
        <f t="shared" si="51"/>
        <v>CH~SOCIAL_DT~MULTI_PB~FCBK_FM~CARROSSEL_RT~CPM_PD~AFFLUENT_DINNING_FREEVALET_CARROSSEL_STEAK_1X1_TG~BHVDEM_TS~NONE_SZ~1X1_SOCIAL_MK~BR_IT~SOCIAL_VV~NONE</v>
      </c>
      <c r="G253" t="str">
        <f t="shared" si="52"/>
        <v>437412416</v>
      </c>
      <c r="H253" t="str">
        <f t="shared" si="53"/>
        <v>Tracking</v>
      </c>
      <c r="I253">
        <f t="shared" si="54"/>
        <v>0</v>
      </c>
      <c r="J253">
        <f t="shared" si="55"/>
        <v>422</v>
      </c>
      <c r="K253" s="4">
        <f t="shared" si="58"/>
        <v>3.5000000000000001E-3</v>
      </c>
      <c r="L253">
        <f t="shared" si="59"/>
        <v>0.02</v>
      </c>
      <c r="M253" s="4">
        <f t="shared" si="56"/>
        <v>1.4770000000000001</v>
      </c>
      <c r="N253" s="4">
        <f t="shared" si="57"/>
        <v>8.44</v>
      </c>
    </row>
    <row r="254" spans="1:14">
      <c r="A254" t="str">
        <f t="shared" si="46"/>
        <v>MK~LM_CN~AFFLUENT_MN~NONE_YQ~19Q1Q4_CP~PO5020004141-9_OB~TRAFFIC_PK~NONE</v>
      </c>
      <c r="B254" t="str">
        <f t="shared" si="47"/>
        <v>Facebook</v>
      </c>
      <c r="C254" t="str">
        <f t="shared" si="48"/>
        <v>CH~SOCIAL_DT~MULTI_PB~FCBK_FM~CARROSSEL_RT~CPM_PD~AFFLUENT_DINNING_FREEVALET_CARROSSEL_VEGETARIANA_1X1_TG~BHVDEM_TS~NONE_SZ~1X1_SOCIAL_MK~BR_IT~SOCIAL_VV~NONE</v>
      </c>
      <c r="D254" t="str">
        <f t="shared" si="49"/>
        <v>240447796</v>
      </c>
      <c r="E254" t="str">
        <f t="shared" si="50"/>
        <v>Dynamic Click</v>
      </c>
      <c r="F254" t="str">
        <f t="shared" si="51"/>
        <v>CH~SOCIAL_DT~MULTI_PB~FCBK_FM~CARROSSEL_RT~CPM_PD~AFFLUENT_DINNING_FREEVALET_CARROSSEL_VEGETARIANA_1X1_TG~BHVDEM_TS~NONE_SZ~1X1_SOCIAL_MK~BR_IT~SOCIAL_VV~NONE</v>
      </c>
      <c r="G254" t="str">
        <f t="shared" si="52"/>
        <v>437412410</v>
      </c>
      <c r="H254" t="str">
        <f t="shared" si="53"/>
        <v>Tracking</v>
      </c>
      <c r="I254">
        <f t="shared" si="54"/>
        <v>0</v>
      </c>
      <c r="J254">
        <f t="shared" si="55"/>
        <v>432</v>
      </c>
      <c r="K254" s="4">
        <f t="shared" si="58"/>
        <v>3.5000000000000001E-3</v>
      </c>
      <c r="L254">
        <f t="shared" si="59"/>
        <v>0.02</v>
      </c>
      <c r="M254" s="4">
        <f t="shared" si="56"/>
        <v>1.512</v>
      </c>
      <c r="N254" s="4">
        <f t="shared" si="57"/>
        <v>8.64</v>
      </c>
    </row>
    <row r="255" spans="1:14">
      <c r="A255" t="str">
        <f t="shared" si="46"/>
        <v>MK~LM_CN~AFFLUENT_MN~NONE_YQ~19Q1Q4_CP~PO5020004141-9_OB~TRAFFIC_PK~NONE</v>
      </c>
      <c r="B255" t="str">
        <f t="shared" si="47"/>
        <v>Facebook</v>
      </c>
      <c r="C255" t="str">
        <f t="shared" si="48"/>
        <v>CH~SOCIAL_DT~MULTI_PB~FCBK_FM~CARROSSEL_RT~CPM_PD~AFFLUENT_JKIGUATEMI_CARROSSEL_FB_1X1_TG~BHVDEM_TS~NONE_SZ~1X1_SOCIAL_MK~BR_IT~SOCIAL_VV~NONE</v>
      </c>
      <c r="D255" t="str">
        <f t="shared" si="49"/>
        <v>235649159</v>
      </c>
      <c r="E255" t="str">
        <f t="shared" si="50"/>
        <v>Dynamic Click</v>
      </c>
      <c r="F255" t="str">
        <f t="shared" si="51"/>
        <v>CH~SOCIAL_DT~MULTI_PB~FCBK_FM~CARROSSEL_RT~CPM_PD~AFFLUENT_JKIGUATEMI_CARROSSEL_FB_1X1_TG~BHVDEM_TS~NONE_SZ~1X1_SOCIAL_MK~BR_IT~SOCIAL_VV~NONE</v>
      </c>
      <c r="G255" t="str">
        <f t="shared" si="52"/>
        <v>433273925</v>
      </c>
      <c r="H255" t="str">
        <f t="shared" si="53"/>
        <v>Tracking</v>
      </c>
      <c r="I255">
        <f t="shared" si="54"/>
        <v>0</v>
      </c>
      <c r="J255">
        <f t="shared" si="55"/>
        <v>3</v>
      </c>
      <c r="K255" s="4">
        <f t="shared" si="58"/>
        <v>3.5000000000000001E-3</v>
      </c>
      <c r="L255">
        <f t="shared" si="59"/>
        <v>0.02</v>
      </c>
      <c r="M255" s="4">
        <f t="shared" si="56"/>
        <v>1.0500000000000001E-2</v>
      </c>
      <c r="N255" s="4">
        <f t="shared" si="57"/>
        <v>0.06</v>
      </c>
    </row>
    <row r="256" spans="1:14">
      <c r="A256" t="str">
        <f t="shared" si="46"/>
        <v>MK~LM_CN~AFFLUENT_MN~NONE_YQ~19Q1Q4_CP~PO5020004141-9_OB~TRAFFIC_PK~NONE</v>
      </c>
      <c r="B256" t="str">
        <f t="shared" si="47"/>
        <v>Facebook</v>
      </c>
      <c r="C256" t="str">
        <f t="shared" si="48"/>
        <v>CH~SOCIAL_DT~MULTI_PB~FCBK_FM~CARROSSEL_RT~CPM_PD~AFFLUENT_JKIGUATEMI_CARROSSEL_FB_1X1_TG~BHVDEM_TS~NONE_SZ~1X1_SOCIAL_MK~BR_IT~SOCIAL_VV~NONE</v>
      </c>
      <c r="D256" t="str">
        <f t="shared" si="49"/>
        <v>235649159</v>
      </c>
      <c r="E256" t="str">
        <f t="shared" si="50"/>
        <v>Dynamic Click</v>
      </c>
      <c r="F256" t="str">
        <f t="shared" si="51"/>
        <v>CH~SOCIAL_DT~MULTI_PB~FCBK_FM~CARROSSEL_RT~CPM_PD~AFFLUENT_JKIGUATEMI_CARROSSEL_FB_1X1_TG~BHVDEM_TS~NONE_SZ~1X1_SOCIAL_MK~BR_IT~SOCIAL_VV~NONE</v>
      </c>
      <c r="G256" t="str">
        <f t="shared" si="52"/>
        <v>433273925</v>
      </c>
      <c r="H256" t="str">
        <f t="shared" si="53"/>
        <v>Tracking</v>
      </c>
      <c r="I256">
        <f t="shared" si="54"/>
        <v>0</v>
      </c>
      <c r="J256">
        <f t="shared" si="55"/>
        <v>1</v>
      </c>
      <c r="K256" s="4">
        <f t="shared" si="58"/>
        <v>3.5000000000000001E-3</v>
      </c>
      <c r="L256">
        <f t="shared" si="59"/>
        <v>0.02</v>
      </c>
      <c r="M256" s="4">
        <f t="shared" si="56"/>
        <v>3.5000000000000001E-3</v>
      </c>
      <c r="N256" s="4">
        <f t="shared" si="57"/>
        <v>0.02</v>
      </c>
    </row>
    <row r="257" spans="1:14">
      <c r="A257" t="str">
        <f t="shared" si="46"/>
        <v>MK~LM_CN~AFFLUENT_MN~NONE_YQ~19Q1Q4_CP~PO5020004141-9_OB~TRAFFIC_PK~NONE</v>
      </c>
      <c r="B257" t="str">
        <f t="shared" si="47"/>
        <v>Facebook</v>
      </c>
      <c r="C257" t="str">
        <f t="shared" si="48"/>
        <v>CH~SOCIAL_DT~MULTI_PB~FCBK_FM~CARROSSEL_RT~CPM_PD~AFFLUENT_MALLS_FREEVALET_CARROSSEL_CIDADEJARDIM_1X1_TG~BHVDEM_TS~NONE_SZ~1X1_SOCIAL_MK~BR_IT~SOCIAL_VV~NONE</v>
      </c>
      <c r="D257" t="str">
        <f t="shared" si="49"/>
        <v>240515485</v>
      </c>
      <c r="E257" t="str">
        <f t="shared" si="50"/>
        <v>Dynamic Click</v>
      </c>
      <c r="F257" t="str">
        <f t="shared" si="51"/>
        <v>CH~SOCIAL_DT~MULTI_PB~FCBK_FM~CARROSSEL_RT~CPM_PD~AFFLUENT_MALLS_FREEVALET_CARROSSEL_CIDADEJARDIM_1X1_TG~BHVDEM_TS~NONE_SZ~1X1_SOCIAL_MK~BR_IT~SOCIAL_VV~NONE</v>
      </c>
      <c r="G257" t="str">
        <f t="shared" si="52"/>
        <v>437498843</v>
      </c>
      <c r="H257" t="str">
        <f t="shared" si="53"/>
        <v>Tracking</v>
      </c>
      <c r="I257">
        <f t="shared" si="54"/>
        <v>0</v>
      </c>
      <c r="J257">
        <f t="shared" si="55"/>
        <v>389</v>
      </c>
      <c r="K257" s="4">
        <f t="shared" si="58"/>
        <v>3.5000000000000001E-3</v>
      </c>
      <c r="L257">
        <f t="shared" si="59"/>
        <v>0.02</v>
      </c>
      <c r="M257" s="4">
        <f t="shared" si="56"/>
        <v>1.3614999999999999</v>
      </c>
      <c r="N257" s="4">
        <f t="shared" si="57"/>
        <v>7.78</v>
      </c>
    </row>
    <row r="258" spans="1:14">
      <c r="A258" t="str">
        <f t="shared" ref="A258:A321" si="60">bd_campaign</f>
        <v>MK~LM_CN~AFFLUENT_MN~NONE_YQ~19Q1Q4_CP~PO5020004141-9_OB~TRAFFIC_PK~NONE</v>
      </c>
      <c r="B258" t="str">
        <f t="shared" ref="B258:B321" si="61">bd_site</f>
        <v>Facebook</v>
      </c>
      <c r="C258" t="str">
        <f t="shared" ref="C258:C321" si="62">bd_placement</f>
        <v>CH~SOCIAL_DT~MULTI_PB~FCBK_FM~CARROSSEL_RT~CPM_PD~AFFLUENT_MALLS_FREEVALET_CARROSSEL_IGUATEMIBSB_1X1_TG~BHVDEM_TS~NONE_SZ~1X1_SOCIAL_MK~BR_IT~SOCIAL_VV~NONE</v>
      </c>
      <c r="D258" t="str">
        <f t="shared" ref="D258:D321" si="63">bd_placementID</f>
        <v>240515503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CH~SOCIAL_DT~MULTI_PB~FCBK_FM~CARROSSEL_RT~CPM_PD~AFFLUENT_MALLS_FREEVALET_CARROSSEL_IGUATEMIBSB_1X1_TG~BHVDEM_TS~NONE_SZ~1X1_SOCIAL_MK~BR_IT~SOCIAL_VV~NONE</v>
      </c>
      <c r="G258" t="str">
        <f t="shared" ref="G258:G321" si="66">bd_adid</f>
        <v>437498861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102</v>
      </c>
      <c r="K258" s="4">
        <f t="shared" si="58"/>
        <v>3.5000000000000001E-3</v>
      </c>
      <c r="L258">
        <f t="shared" si="59"/>
        <v>0.02</v>
      </c>
      <c r="M258" s="4">
        <f t="shared" si="56"/>
        <v>0.35699999999999998</v>
      </c>
      <c r="N258" s="4">
        <f t="shared" si="57"/>
        <v>2.04</v>
      </c>
    </row>
    <row r="259" spans="1:14">
      <c r="A259" t="str">
        <f t="shared" si="60"/>
        <v>MK~LM_CN~AFFLUENT_MN~NONE_YQ~19Q1Q4_CP~PO5020004141-9_OB~TRAFFIC_PK~NONE</v>
      </c>
      <c r="B259" t="str">
        <f t="shared" si="61"/>
        <v>Facebook</v>
      </c>
      <c r="C259" t="str">
        <f t="shared" si="62"/>
        <v>CH~SOCIAL_DT~MULTI_PB~FCBK_FM~CARROSSEL_RT~CPM_PD~AFFLUENT_MALLS_FREEVALET_CARROSSEL_IGUATEMISP_1X1_TG~BHVDEM_TS~NONE_SZ~1X1_SOCIAL_MK~BR_IT~SOCIAL_VV~NONE</v>
      </c>
      <c r="D259" t="str">
        <f t="shared" si="63"/>
        <v>240515515</v>
      </c>
      <c r="E259" t="str">
        <f t="shared" si="64"/>
        <v>Dynamic Click</v>
      </c>
      <c r="F259" t="str">
        <f t="shared" si="65"/>
        <v>CH~SOCIAL_DT~MULTI_PB~FCBK_FM~CARROSSEL_RT~CPM_PD~AFFLUENT_MALLS_FREEVALET_CARROSSEL_IGUATEMISP_1X1_TG~BHVDEM_TS~NONE_SZ~1X1_SOCIAL_MK~BR_IT~SOCIAL_VV~NONE</v>
      </c>
      <c r="G259" t="str">
        <f t="shared" si="66"/>
        <v>437498873</v>
      </c>
      <c r="H259" t="str">
        <f t="shared" si="67"/>
        <v>Tracking</v>
      </c>
      <c r="I259">
        <f t="shared" si="68"/>
        <v>0</v>
      </c>
      <c r="J259">
        <f t="shared" si="69"/>
        <v>122</v>
      </c>
      <c r="K259" s="4">
        <f t="shared" si="58"/>
        <v>3.5000000000000001E-3</v>
      </c>
      <c r="L259">
        <f t="shared" si="59"/>
        <v>0.02</v>
      </c>
      <c r="M259" s="4">
        <f t="shared" si="56"/>
        <v>0.42699999999999999</v>
      </c>
      <c r="N259" s="4">
        <f t="shared" si="57"/>
        <v>2.44</v>
      </c>
    </row>
    <row r="260" spans="1:14">
      <c r="A260" t="str">
        <f t="shared" si="60"/>
        <v>MK~LM_CN~AFFLUENT_MN~NONE_YQ~19Q1Q4_CP~PO5020004141-9_OB~TRAFFIC_PK~NONE</v>
      </c>
      <c r="B260" t="str">
        <f t="shared" si="61"/>
        <v>Facebook</v>
      </c>
      <c r="C260" t="str">
        <f t="shared" si="62"/>
        <v>CH~SOCIAL_DT~MULTI_PB~FCBK_FM~CARROSSEL_RT~CPM_PD~AFFLUENT_MALLS_FREEVALET_CARROSSEL_PATIO_1X1_TG~BHVDEM_TS~NONE_SZ~1X1_SOCIAL_MK~BR_IT~SOCIAL_VV~NONE</v>
      </c>
      <c r="D260" t="str">
        <f t="shared" si="63"/>
        <v>240515509</v>
      </c>
      <c r="E260" t="str">
        <f t="shared" si="64"/>
        <v>Dynamic Click</v>
      </c>
      <c r="F260" t="str">
        <f t="shared" si="65"/>
        <v>CH~SOCIAL_DT~MULTI_PB~FCBK_FM~CARROSSEL_RT~CPM_PD~AFFLUENT_MALLS_FREEVALET_CARROSSEL_PATIO_1X1_TG~BHVDEM_TS~NONE_SZ~1X1_SOCIAL_MK~BR_IT~SOCIAL_VV~NONE</v>
      </c>
      <c r="G260" t="str">
        <f t="shared" si="66"/>
        <v>437498867</v>
      </c>
      <c r="H260" t="str">
        <f t="shared" si="67"/>
        <v>Tracking</v>
      </c>
      <c r="I260">
        <f t="shared" si="68"/>
        <v>0</v>
      </c>
      <c r="J260">
        <f t="shared" si="69"/>
        <v>275</v>
      </c>
      <c r="K260" s="4">
        <f t="shared" si="58"/>
        <v>3.5000000000000001E-3</v>
      </c>
      <c r="L260">
        <f t="shared" si="59"/>
        <v>0.02</v>
      </c>
      <c r="M260" s="4">
        <f t="shared" si="56"/>
        <v>0.96250000000000002</v>
      </c>
      <c r="N260" s="4">
        <f t="shared" si="57"/>
        <v>5.5</v>
      </c>
    </row>
    <row r="261" spans="1:14">
      <c r="A261" t="str">
        <f t="shared" si="60"/>
        <v>MK~LM_CN~AFFLUENT_MN~NONE_YQ~19Q1Q4_CP~PO5020004141-9_OB~TRAFFIC_PK~NONE</v>
      </c>
      <c r="B261" t="str">
        <f t="shared" si="61"/>
        <v>Facebook</v>
      </c>
      <c r="C261" t="str">
        <f t="shared" si="62"/>
        <v>CH~SOCIAL_DT~MULTI_PB~FCBK_FM~CARROSSEL_RT~CPM_PD~AFFLUENT_MALLS_FREEVALET_CARROSSEL_RIODESIGNBARRA_1X1_TG~BHVDEM_TS~NONE_SZ~1X1_SOCIAL_MK~BR_IT~SOCIAL_VV~NONE</v>
      </c>
      <c r="D261" t="str">
        <f t="shared" si="63"/>
        <v>240515497</v>
      </c>
      <c r="E261" t="str">
        <f t="shared" si="64"/>
        <v>Dynamic Click</v>
      </c>
      <c r="F261" t="str">
        <f t="shared" si="65"/>
        <v>CH~SOCIAL_DT~MULTI_PB~FCBK_FM~CARROSSEL_RT~CPM_PD~AFFLUENT_MALLS_FREEVALET_CARROSSEL_RIODESIGNBARRA_1X1_TG~BHVDEM_TS~NONE_SZ~1X1_SOCIAL_MK~BR_IT~SOCIAL_VV~NONE</v>
      </c>
      <c r="G261" t="str">
        <f t="shared" si="66"/>
        <v>437498855</v>
      </c>
      <c r="H261" t="str">
        <f t="shared" si="67"/>
        <v>Tracking</v>
      </c>
      <c r="I261">
        <f t="shared" si="68"/>
        <v>0</v>
      </c>
      <c r="J261">
        <f t="shared" si="69"/>
        <v>158</v>
      </c>
      <c r="K261" s="4">
        <f t="shared" si="58"/>
        <v>3.5000000000000001E-3</v>
      </c>
      <c r="L261">
        <f t="shared" si="59"/>
        <v>0.02</v>
      </c>
      <c r="M261" s="4">
        <f t="shared" si="56"/>
        <v>0.55300000000000005</v>
      </c>
      <c r="N261" s="4">
        <f t="shared" si="57"/>
        <v>3.16</v>
      </c>
    </row>
    <row r="262" spans="1:14">
      <c r="A262" t="str">
        <f t="shared" si="60"/>
        <v>MK~LM_CN~AFFLUENT_MN~NONE_YQ~19Q1Q4_CP~PO5020004141-9_OB~TRAFFIC_PK~NONE</v>
      </c>
      <c r="B262" t="str">
        <f t="shared" si="61"/>
        <v>Facebook</v>
      </c>
      <c r="C262" t="str">
        <f t="shared" si="62"/>
        <v>CH~SOCIAL_DT~MULTI_PB~FCBK_FM~CARROSSEL_RT~CPM_PD~AFFLUENT_MALLS_FREEVALET_CARROSSEL_RIODESIGNLEBLON_1X1_TG~BHVDEM_TS~NONE_SZ~1X1_SOCIAL_MK~BR_IT~SOCIAL_VV~NONE</v>
      </c>
      <c r="D262" t="str">
        <f t="shared" si="63"/>
        <v>240515491</v>
      </c>
      <c r="E262" t="str">
        <f t="shared" si="64"/>
        <v>Dynamic Click</v>
      </c>
      <c r="F262" t="str">
        <f t="shared" si="65"/>
        <v>CH~SOCIAL_DT~MULTI_PB~FCBK_FM~CARROSSEL_RT~CPM_PD~AFFLUENT_MALLS_FREEVALET_CARROSSEL_RIODESIGNLEBLON_1X1_TG~BHVDEM_TS~NONE_SZ~1X1_SOCIAL_MK~BR_IT~SOCIAL_VV~NONE</v>
      </c>
      <c r="G262" t="str">
        <f t="shared" si="66"/>
        <v>437498849</v>
      </c>
      <c r="H262" t="str">
        <f t="shared" si="67"/>
        <v>Tracking</v>
      </c>
      <c r="I262">
        <f t="shared" si="68"/>
        <v>0</v>
      </c>
      <c r="J262">
        <f t="shared" si="69"/>
        <v>108</v>
      </c>
      <c r="K262" s="4">
        <f t="shared" si="58"/>
        <v>3.5000000000000001E-3</v>
      </c>
      <c r="L262">
        <f t="shared" si="59"/>
        <v>0.02</v>
      </c>
      <c r="M262" s="4">
        <f t="shared" si="56"/>
        <v>0.378</v>
      </c>
      <c r="N262" s="4">
        <f t="shared" si="57"/>
        <v>2.16</v>
      </c>
    </row>
    <row r="263" spans="1:14">
      <c r="A263" t="str">
        <f t="shared" si="60"/>
        <v>MK~LM_CN~AFFLUENT_MN~NONE_YQ~19Q1Q4_CP~PO5020004141-9_OB~TRAFFIC_PK~NONE</v>
      </c>
      <c r="B263" t="str">
        <f t="shared" si="61"/>
        <v>Facebook</v>
      </c>
      <c r="C263" t="str">
        <f t="shared" si="62"/>
        <v>CH~SOCIAL_DT~MULTI_PB~FCBK_FM~CARROSSEL_RT~CPM_PD~AFFLUENT_PATIOHIGIENOPOLIS_CARROSSEL_FB_1X1_TG~BHVDEM_TS~NONE_SZ~1X1_SOCIAL_MK~BR_IT~SOCIAL_VV~NONE</v>
      </c>
      <c r="D263" t="str">
        <f t="shared" si="63"/>
        <v>235649165</v>
      </c>
      <c r="E263" t="str">
        <f t="shared" si="64"/>
        <v>Dynamic Click</v>
      </c>
      <c r="F263" t="str">
        <f t="shared" si="65"/>
        <v>CH~SOCIAL_DT~MULTI_PB~FCBK_FM~CARROSSEL_RT~CPM_PD~AFFLUENT_PATIOHIGIENOPOLIS_CARROSSEL_FB_1X1_TG~BHVDEM_TS~NONE_SZ~1X1_SOCIAL_MK~BR_IT~SOCIAL_VV~NONE</v>
      </c>
      <c r="G263" t="str">
        <f t="shared" si="66"/>
        <v>433273931</v>
      </c>
      <c r="H263" t="str">
        <f t="shared" si="67"/>
        <v>Tracking</v>
      </c>
      <c r="I263">
        <f t="shared" si="68"/>
        <v>0</v>
      </c>
      <c r="J263">
        <f t="shared" si="69"/>
        <v>2</v>
      </c>
      <c r="K263" s="4">
        <f t="shared" si="58"/>
        <v>3.5000000000000001E-3</v>
      </c>
      <c r="L263">
        <f t="shared" si="59"/>
        <v>0.02</v>
      </c>
      <c r="M263" s="4">
        <f t="shared" si="56"/>
        <v>7.0000000000000001E-3</v>
      </c>
      <c r="N263" s="4">
        <f t="shared" si="57"/>
        <v>0.04</v>
      </c>
    </row>
    <row r="264" spans="1:14">
      <c r="A264" t="str">
        <f t="shared" si="60"/>
        <v>MK~LM_CN~AFFLUENT_MN~NONE_YQ~19Q1Q4_CP~PO5020004141-9_OB~TRAFFIC_PK~NONE</v>
      </c>
      <c r="B264" t="str">
        <f t="shared" si="61"/>
        <v>Facebook</v>
      </c>
      <c r="C264" t="str">
        <f t="shared" si="62"/>
        <v>CH~SOCIAL_DT~MULTI_PB~FCBK_FM~CARROSSEL_RT~CPM_PD~AFFLUENT_RIO_BARRA_CARROSSEL_FB_1X1_TG~BHVDEM_TS~NONE_SZ~1X1_SOCIAL_MK~BR_IT~SOCIAL_VV~NONE</v>
      </c>
      <c r="D264" t="str">
        <f t="shared" si="63"/>
        <v>235649162</v>
      </c>
      <c r="E264" t="str">
        <f t="shared" si="64"/>
        <v>Dynamic Click</v>
      </c>
      <c r="F264" t="str">
        <f t="shared" si="65"/>
        <v>CH~SOCIAL_DT~MULTI_PB~FCBK_FM~CARROSSEL_RT~CPM_PD~AFFLUENT_RIO_BARRA_CARROSSEL_FB_1X1_TG~BHVDEM_TS~NONE_SZ~1X1_SOCIAL_MK~BR_IT~SOCIAL_VV~NONE</v>
      </c>
      <c r="G264" t="str">
        <f t="shared" si="66"/>
        <v>433273928</v>
      </c>
      <c r="H264" t="str">
        <f t="shared" si="67"/>
        <v>Tracking</v>
      </c>
      <c r="I264">
        <f t="shared" si="68"/>
        <v>0</v>
      </c>
      <c r="J264">
        <f t="shared" si="69"/>
        <v>8</v>
      </c>
      <c r="K264" s="4">
        <f t="shared" si="58"/>
        <v>3.5000000000000001E-3</v>
      </c>
      <c r="L264">
        <f t="shared" si="59"/>
        <v>0.02</v>
      </c>
      <c r="M264" s="4">
        <f t="shared" si="56"/>
        <v>2.8000000000000001E-2</v>
      </c>
      <c r="N264" s="4">
        <f t="shared" si="57"/>
        <v>0.16</v>
      </c>
    </row>
    <row r="265" spans="1:14">
      <c r="A265" t="str">
        <f t="shared" si="60"/>
        <v>MK~LM_CN~AFFLUENT_MN~NONE_YQ~19Q1Q4_CP~PO5020004141-9_OB~TRAFFIC_PK~NONE</v>
      </c>
      <c r="B265" t="str">
        <f t="shared" si="61"/>
        <v>Facebook</v>
      </c>
      <c r="C265" t="str">
        <f t="shared" si="62"/>
        <v>CH~SOCIAL_DT~MULTI_PB~FCBK_FM~GIF_RT~CPM_PD~AFFLUENT_MALLS_FREEVALET_GIF_CIDADEJARDIM_1X1_TG~BHVDEM_TS~NONE_SZ~1X1_SOCIAL_MK~BR_IT~SOCIAL_VV~NONE</v>
      </c>
      <c r="D265" t="str">
        <f t="shared" si="63"/>
        <v>240515458</v>
      </c>
      <c r="E265" t="str">
        <f t="shared" si="64"/>
        <v>Dynamic Click</v>
      </c>
      <c r="F265" t="str">
        <f t="shared" si="65"/>
        <v>CH~SOCIAL_DT~MULTI_PB~FCBK_FM~GIF_RT~CPM_PD~AFFLUENT_MALLS_FREEVALET_GIF_CIDADEJARDIM_1X1_TG~BHVDEM_TS~NONE_SZ~1X1_SOCIAL_MK~BR_IT~SOCIAL_VV~NONE</v>
      </c>
      <c r="G265" t="str">
        <f t="shared" si="66"/>
        <v>437498816</v>
      </c>
      <c r="H265" t="str">
        <f t="shared" si="67"/>
        <v>Tracking</v>
      </c>
      <c r="I265">
        <f t="shared" si="68"/>
        <v>0</v>
      </c>
      <c r="J265">
        <f t="shared" si="69"/>
        <v>1365</v>
      </c>
      <c r="K265" s="4">
        <f t="shared" si="58"/>
        <v>3.5000000000000001E-3</v>
      </c>
      <c r="L265">
        <f t="shared" si="59"/>
        <v>0.02</v>
      </c>
      <c r="M265" s="4">
        <f t="shared" si="56"/>
        <v>4.7774999999999999</v>
      </c>
      <c r="N265" s="4">
        <f t="shared" si="57"/>
        <v>27.3</v>
      </c>
    </row>
    <row r="266" spans="1:14">
      <c r="A266" t="str">
        <f t="shared" si="60"/>
        <v>MK~LM_CN~AFFLUENT_MN~NONE_YQ~19Q1Q4_CP~PO5020004141-9_OB~TRAFFIC_PK~NONE</v>
      </c>
      <c r="B266" t="str">
        <f t="shared" si="61"/>
        <v>Facebook</v>
      </c>
      <c r="C266" t="str">
        <f t="shared" si="62"/>
        <v>CH~SOCIAL_DT~MULTI_PB~FCBK_FM~GIF_RT~CPM_PD~AFFLUENT_MALLS_FREEVALET_GIF_IGUATEMIBSB_1X1_TG~BHVDEM_TS~NONE_SZ~1X1_SOCIAL_MK~BR_IT~SOCIAL_VV~NONE</v>
      </c>
      <c r="D266" t="str">
        <f t="shared" si="63"/>
        <v>240515467</v>
      </c>
      <c r="E266" t="str">
        <f t="shared" si="64"/>
        <v>Dynamic Click</v>
      </c>
      <c r="F266" t="str">
        <f t="shared" si="65"/>
        <v>CH~SOCIAL_DT~MULTI_PB~FCBK_FM~GIF_RT~CPM_PD~AFFLUENT_MALLS_FREEVALET_GIF_IGUATEMIBSB_1X1_TG~BHVDEM_TS~NONE_SZ~1X1_SOCIAL_MK~BR_IT~SOCIAL_VV~NONE</v>
      </c>
      <c r="G266" t="str">
        <f t="shared" si="66"/>
        <v>437498825</v>
      </c>
      <c r="H266" t="str">
        <f t="shared" si="67"/>
        <v>Tracking</v>
      </c>
      <c r="I266">
        <f t="shared" si="68"/>
        <v>0</v>
      </c>
      <c r="J266">
        <f t="shared" si="69"/>
        <v>358</v>
      </c>
      <c r="K266" s="4">
        <f t="shared" si="58"/>
        <v>3.5000000000000001E-3</v>
      </c>
      <c r="L266">
        <f t="shared" si="59"/>
        <v>0.02</v>
      </c>
      <c r="M266" s="4">
        <f t="shared" si="56"/>
        <v>1.2530000000000001</v>
      </c>
      <c r="N266" s="4">
        <f t="shared" si="57"/>
        <v>7.16</v>
      </c>
    </row>
    <row r="267" spans="1:14">
      <c r="A267" t="str">
        <f t="shared" si="60"/>
        <v>MK~LM_CN~AFFLUENT_MN~NONE_YQ~19Q1Q4_CP~PO5020004141-9_OB~TRAFFIC_PK~NONE</v>
      </c>
      <c r="B267" t="str">
        <f t="shared" si="61"/>
        <v>Facebook</v>
      </c>
      <c r="C267" t="str">
        <f t="shared" si="62"/>
        <v>CH~SOCIAL_DT~MULTI_PB~FCBK_FM~GIF_RT~CPM_PD~AFFLUENT_MALLS_FREEVALET_GIF_IGUATEMISP_1X1_TG~BHVDEM_TS~NONE_SZ~1X1_SOCIAL_MK~BR_IT~SOCIAL_VV~NONE</v>
      </c>
      <c r="D267" t="str">
        <f t="shared" si="63"/>
        <v>240515479</v>
      </c>
      <c r="E267" t="str">
        <f t="shared" si="64"/>
        <v>Dynamic Click</v>
      </c>
      <c r="F267" t="str">
        <f t="shared" si="65"/>
        <v>CH~SOCIAL_DT~MULTI_PB~FCBK_FM~GIF_RT~CPM_PD~AFFLUENT_MALLS_FREEVALET_GIF_IGUATEMISP_1X1_TG~BHVDEM_TS~NONE_SZ~1X1_SOCIAL_MK~BR_IT~SOCIAL_VV~NONE</v>
      </c>
      <c r="G267" t="str">
        <f t="shared" si="66"/>
        <v>437498837</v>
      </c>
      <c r="H267" t="str">
        <f t="shared" si="67"/>
        <v>Tracking</v>
      </c>
      <c r="I267">
        <f t="shared" si="68"/>
        <v>0</v>
      </c>
      <c r="J267">
        <f t="shared" si="69"/>
        <v>147</v>
      </c>
      <c r="K267" s="4">
        <f t="shared" si="58"/>
        <v>3.5000000000000001E-3</v>
      </c>
      <c r="L267">
        <f t="shared" si="59"/>
        <v>0.02</v>
      </c>
      <c r="M267" s="4">
        <f t="shared" si="56"/>
        <v>0.51449999999999996</v>
      </c>
      <c r="N267" s="4">
        <f t="shared" si="57"/>
        <v>2.94</v>
      </c>
    </row>
    <row r="268" spans="1:14">
      <c r="A268" t="str">
        <f t="shared" si="60"/>
        <v>MK~LM_CN~AFFLUENT_MN~NONE_YQ~19Q1Q4_CP~PO5020004141-9_OB~TRAFFIC_PK~NONE</v>
      </c>
      <c r="B268" t="str">
        <f t="shared" si="61"/>
        <v>Facebook</v>
      </c>
      <c r="C268" t="str">
        <f t="shared" si="62"/>
        <v>CH~SOCIAL_DT~MULTI_PB~FCBK_FM~GIF_RT~CPM_PD~AFFLUENT_MALLS_FREEVALET_GIF_PATIO_1X1_TG~BHVDEM_TS~NONE_SZ~1X1_SOCIAL_MK~BR_IT~SOCIAL_VV~NONE</v>
      </c>
      <c r="D268" t="str">
        <f t="shared" si="63"/>
        <v>240515473</v>
      </c>
      <c r="E268" t="str">
        <f t="shared" si="64"/>
        <v>Dynamic Click</v>
      </c>
      <c r="F268" t="str">
        <f t="shared" si="65"/>
        <v>CH~SOCIAL_DT~MULTI_PB~FCBK_FM~GIF_RT~CPM_PD~AFFLUENT_MALLS_FREEVALET_GIF_PATIO_1X1_TG~BHVDEM_TS~NONE_SZ~1X1_SOCIAL_MK~BR_IT~SOCIAL_VV~NONE</v>
      </c>
      <c r="G268" t="str">
        <f t="shared" si="66"/>
        <v>437498831</v>
      </c>
      <c r="H268" t="str">
        <f t="shared" si="67"/>
        <v>Tracking</v>
      </c>
      <c r="I268">
        <f t="shared" si="68"/>
        <v>0</v>
      </c>
      <c r="J268">
        <f t="shared" si="69"/>
        <v>1410</v>
      </c>
      <c r="K268" s="4">
        <f t="shared" si="58"/>
        <v>3.5000000000000001E-3</v>
      </c>
      <c r="L268">
        <f t="shared" si="59"/>
        <v>0.02</v>
      </c>
      <c r="M268" s="4">
        <f t="shared" si="56"/>
        <v>4.9350000000000005</v>
      </c>
      <c r="N268" s="4">
        <f t="shared" si="57"/>
        <v>28.2</v>
      </c>
    </row>
    <row r="269" spans="1:14">
      <c r="A269" t="str">
        <f t="shared" si="60"/>
        <v>MK~LM_CN~AFFLUENT_MN~NONE_YQ~19Q1Q4_CP~PO5020004141-9_OB~TRAFFIC_PK~NONE</v>
      </c>
      <c r="B269" t="str">
        <f t="shared" si="61"/>
        <v>Facebook</v>
      </c>
      <c r="C269" t="str">
        <f t="shared" si="62"/>
        <v>CH~SOCIAL_DT~MULTI_PB~FCBK_FM~GIF_RT~CPM_PD~AFFLUENT_MALLS_FREEVALET_GIF_RIODESIGNBARRA_1X1_TG~BHVDEM_TS~NONE_SZ~1X1_SOCIAL_MK~BR_IT~SOCIAL_VV~NONE</v>
      </c>
      <c r="D269" t="str">
        <f t="shared" si="63"/>
        <v>240515464</v>
      </c>
      <c r="E269" t="str">
        <f t="shared" si="64"/>
        <v>Dynamic Click</v>
      </c>
      <c r="F269" t="str">
        <f t="shared" si="65"/>
        <v>CH~SOCIAL_DT~MULTI_PB~FCBK_FM~GIF_RT~CPM_PD~AFFLUENT_MALLS_FREEVALET_GIF_RIODESIGNBARRA_1X1_TG~BHVDEM_TS~NONE_SZ~1X1_SOCIAL_MK~BR_IT~SOCIAL_VV~NONE</v>
      </c>
      <c r="G269" t="str">
        <f t="shared" si="66"/>
        <v>437498822</v>
      </c>
      <c r="H269" t="str">
        <f t="shared" si="67"/>
        <v>Tracking</v>
      </c>
      <c r="I269">
        <f t="shared" si="68"/>
        <v>0</v>
      </c>
      <c r="J269">
        <f t="shared" si="69"/>
        <v>81</v>
      </c>
      <c r="K269" s="4">
        <f t="shared" si="58"/>
        <v>3.5000000000000001E-3</v>
      </c>
      <c r="L269">
        <f t="shared" si="59"/>
        <v>0.02</v>
      </c>
      <c r="M269" s="4">
        <f t="shared" si="56"/>
        <v>0.28350000000000003</v>
      </c>
      <c r="N269" s="4">
        <f t="shared" si="57"/>
        <v>1.62</v>
      </c>
    </row>
    <row r="270" spans="1:14">
      <c r="A270" t="str">
        <f t="shared" si="60"/>
        <v>MK~LM_CN~AFFLUENT_MN~NONE_YQ~19Q1Q4_CP~PO5020004141-9_OB~TRAFFIC_PK~NONE</v>
      </c>
      <c r="B270" t="str">
        <f t="shared" si="61"/>
        <v>Facebook</v>
      </c>
      <c r="C270" t="str">
        <f t="shared" si="62"/>
        <v>CH~SOCIAL_DT~MULTI_PB~FCBK_FM~GIF_RT~CPM_PD~AFFLUENT_MALLS_FREEVALET_GIF_RIODESIGNLEBLON_1X1_TG~BHVDEM_TS~NONE_SZ~1X1_SOCIAL_MK~BR_IT~SOCIAL_VV~NONE</v>
      </c>
      <c r="D270" t="str">
        <f t="shared" si="63"/>
        <v>240515461</v>
      </c>
      <c r="E270" t="str">
        <f t="shared" si="64"/>
        <v>Dynamic Click</v>
      </c>
      <c r="F270" t="str">
        <f t="shared" si="65"/>
        <v>CH~SOCIAL_DT~MULTI_PB~FCBK_FM~GIF_RT~CPM_PD~AFFLUENT_MALLS_FREEVALET_GIF_RIODESIGNLEBLON_1X1_TG~BHVDEM_TS~NONE_SZ~1X1_SOCIAL_MK~BR_IT~SOCIAL_VV~NONE</v>
      </c>
      <c r="G270" t="str">
        <f t="shared" si="66"/>
        <v>437498819</v>
      </c>
      <c r="H270" t="str">
        <f t="shared" si="67"/>
        <v>Tracking</v>
      </c>
      <c r="I270">
        <f t="shared" si="68"/>
        <v>0</v>
      </c>
      <c r="J270">
        <f t="shared" si="69"/>
        <v>889</v>
      </c>
      <c r="K270" s="4">
        <f t="shared" si="58"/>
        <v>3.5000000000000001E-3</v>
      </c>
      <c r="L270">
        <f t="shared" si="59"/>
        <v>0.02</v>
      </c>
      <c r="M270" s="4">
        <f t="shared" si="56"/>
        <v>3.1114999999999999</v>
      </c>
      <c r="N270" s="4">
        <f t="shared" si="57"/>
        <v>17.78</v>
      </c>
    </row>
    <row r="271" spans="1:14">
      <c r="A271" t="str">
        <f t="shared" si="60"/>
        <v>MK~LM_CN~AFFLUENT_MN~NONE_YQ~19Q1Q4_CP~PO5020004141-9_OB~TRAFFIC_PK~NONE</v>
      </c>
      <c r="B271" t="str">
        <f t="shared" si="61"/>
        <v>Facebook</v>
      </c>
      <c r="C271" t="str">
        <f t="shared" si="62"/>
        <v>CH~SOCIAL_DT~MULTI_PB~FCBK_FM~LINKAD_RT~CPM_PD~AFFLUENT_DINNING_FREEVALET_LINKAD_MASSA_1X1_TG~BHVDEM_TS~NONE_SZ~1X1_SOCIAL_MK~BR_IT~SOCIAL_VV~NONE</v>
      </c>
      <c r="D271" t="str">
        <f t="shared" si="63"/>
        <v>240447784</v>
      </c>
      <c r="E271" t="str">
        <f t="shared" si="64"/>
        <v>Dynamic Click</v>
      </c>
      <c r="F271" t="str">
        <f t="shared" si="65"/>
        <v>CH~SOCIAL_DT~MULTI_PB~FCBK_FM~LINKAD_RT~CPM_PD~AFFLUENT_DINNING_FREEVALET_LINKAD_MASSA_1X1_TG~BHVDEM_TS~NONE_SZ~1X1_SOCIAL_MK~BR_IT~SOCIAL_VV~NONE</v>
      </c>
      <c r="G271" t="str">
        <f t="shared" si="66"/>
        <v>437412398</v>
      </c>
      <c r="H271" t="str">
        <f t="shared" si="67"/>
        <v>Tracking</v>
      </c>
      <c r="I271">
        <f t="shared" si="68"/>
        <v>0</v>
      </c>
      <c r="J271">
        <f t="shared" si="69"/>
        <v>442</v>
      </c>
      <c r="K271" s="4">
        <f t="shared" si="58"/>
        <v>3.5000000000000001E-3</v>
      </c>
      <c r="L271">
        <f t="shared" si="59"/>
        <v>0.02</v>
      </c>
      <c r="M271" s="4">
        <f t="shared" si="56"/>
        <v>1.5469999999999999</v>
      </c>
      <c r="N271" s="4">
        <f t="shared" si="57"/>
        <v>8.84</v>
      </c>
    </row>
    <row r="272" spans="1:14">
      <c r="A272" t="str">
        <f t="shared" si="60"/>
        <v>MK~LM_CN~AFFLUENT_MN~NONE_YQ~19Q1Q4_CP~PO5020004141-9_OB~TRAFFIC_PK~NONE</v>
      </c>
      <c r="B272" t="str">
        <f t="shared" si="61"/>
        <v>Facebook</v>
      </c>
      <c r="C272" t="str">
        <f t="shared" si="62"/>
        <v>CH~SOCIAL_DT~MULTI_PB~FCBK_FM~LINKAD_RT~CPM_PD~AFFLUENT_DINNING_FREEVALET_LINKAD_STEAK_1X1_TG~BHVDEM_TS~NONE_SZ~1X1_SOCIAL_MK~BR_IT~SOCIAL_VV~NONE</v>
      </c>
      <c r="D272" t="str">
        <f t="shared" si="63"/>
        <v>240447778</v>
      </c>
      <c r="E272" t="str">
        <f t="shared" si="64"/>
        <v>Dynamic Click</v>
      </c>
      <c r="F272" t="str">
        <f t="shared" si="65"/>
        <v>CH~SOCIAL_DT~MULTI_PB~FCBK_FM~LINKAD_RT~CPM_PD~AFFLUENT_DINNING_FREEVALET_LINKAD_STEAK_1X1_TG~BHVDEM_TS~NONE_SZ~1X1_SOCIAL_MK~BR_IT~SOCIAL_VV~NONE</v>
      </c>
      <c r="G272" t="str">
        <f t="shared" si="66"/>
        <v>437412392</v>
      </c>
      <c r="H272" t="str">
        <f t="shared" si="67"/>
        <v>Tracking</v>
      </c>
      <c r="I272">
        <f t="shared" si="68"/>
        <v>0</v>
      </c>
      <c r="J272">
        <f t="shared" si="69"/>
        <v>602</v>
      </c>
      <c r="K272" s="4">
        <f t="shared" si="58"/>
        <v>3.5000000000000001E-3</v>
      </c>
      <c r="L272">
        <f t="shared" si="59"/>
        <v>0.02</v>
      </c>
      <c r="M272" s="4">
        <f t="shared" si="56"/>
        <v>2.1070000000000002</v>
      </c>
      <c r="N272" s="4">
        <f t="shared" si="57"/>
        <v>12.040000000000001</v>
      </c>
    </row>
    <row r="273" spans="1:14">
      <c r="A273" t="str">
        <f t="shared" si="60"/>
        <v>MK~LM_CN~AFFLUENT_MN~NONE_YQ~19Q1Q4_CP~PO5020004141-9_OB~TRAFFIC_PK~NONE</v>
      </c>
      <c r="B273" t="str">
        <f t="shared" si="61"/>
        <v>Facebook</v>
      </c>
      <c r="C273" t="str">
        <f t="shared" si="62"/>
        <v>CH~SOCIAL_DT~MULTI_PB~FCBK_FM~LINKAD_RT~CPM_PD~AFFLUENT_DINNING_FREEVALET_LINKAD_VEGETARIANA_1X1_TG~BHVDEM_TS~NONE_SZ~1X1_SOCIAL_MK~BR_IT~SOCIAL_VV~NONE</v>
      </c>
      <c r="D273" t="str">
        <f t="shared" si="63"/>
        <v>240447772</v>
      </c>
      <c r="E273" t="str">
        <f t="shared" si="64"/>
        <v>Dynamic Click</v>
      </c>
      <c r="F273" t="str">
        <f t="shared" si="65"/>
        <v>CH~SOCIAL_DT~MULTI_PB~FCBK_FM~LINKAD_RT~CPM_PD~AFFLUENT_DINNING_FREEVALET_LINKAD_VEGETARIANA_1X1_TG~BHVDEM_TS~NONE_SZ~1X1_SOCIAL_MK~BR_IT~SOCIAL_VV~NONE</v>
      </c>
      <c r="G273" t="str">
        <f t="shared" si="66"/>
        <v>437412386</v>
      </c>
      <c r="H273" t="str">
        <f t="shared" si="67"/>
        <v>Tracking</v>
      </c>
      <c r="I273">
        <f t="shared" si="68"/>
        <v>0</v>
      </c>
      <c r="J273">
        <f t="shared" si="69"/>
        <v>329</v>
      </c>
      <c r="K273" s="4">
        <f t="shared" si="58"/>
        <v>3.5000000000000001E-3</v>
      </c>
      <c r="L273">
        <f t="shared" si="59"/>
        <v>0.02</v>
      </c>
      <c r="M273" s="4">
        <f t="shared" si="56"/>
        <v>1.1515</v>
      </c>
      <c r="N273" s="4">
        <f t="shared" si="57"/>
        <v>6.58</v>
      </c>
    </row>
    <row r="274" spans="1:14">
      <c r="A274" t="str">
        <f t="shared" si="60"/>
        <v>MK~LM_CN~AFFLUENT_MN~NONE_YQ~19Q1Q4_CP~PO5020004141-9_OB~TRAFFIC_PK~NONE</v>
      </c>
      <c r="B274" t="str">
        <f t="shared" si="61"/>
        <v>Facebook</v>
      </c>
      <c r="C274" t="str">
        <f t="shared" si="62"/>
        <v>CH~SOCIAL_DT~MULTI_PB~FCBK_FM~LINKAD_RT~CPM_PD~AFFLUENT_GALLERIA_PANETTONE_LINKAD_FB_1X1_TG~BHVDEM_TS~NONE_SZ~1X1_SOCIAL_MK~BR_IT~SOCIAL_VV~NONE</v>
      </c>
      <c r="D274" t="str">
        <f t="shared" si="63"/>
        <v>235773840</v>
      </c>
      <c r="E274" t="str">
        <f t="shared" si="64"/>
        <v>Dynamic Click</v>
      </c>
      <c r="F274" t="str">
        <f t="shared" si="65"/>
        <v>CH~SOCIAL_DT~MULTI_PB~FCBK_FM~LINKAD_RT~CPM_PD~AFFLUENT_GALLERIA_PANETTONE_LINKAD_FB_1X1_TG~BHVDEM_TS~NONE_SZ~1X1_SOCIAL_MK~BR_IT~SOCIAL_VV~NONE</v>
      </c>
      <c r="G274" t="str">
        <f t="shared" si="66"/>
        <v>433170882</v>
      </c>
      <c r="H274" t="str">
        <f t="shared" si="67"/>
        <v>Tracking</v>
      </c>
      <c r="I274">
        <f t="shared" si="68"/>
        <v>0</v>
      </c>
      <c r="J274">
        <f t="shared" si="69"/>
        <v>7</v>
      </c>
      <c r="K274" s="4">
        <f t="shared" si="58"/>
        <v>3.5000000000000001E-3</v>
      </c>
      <c r="L274">
        <f t="shared" si="59"/>
        <v>0.02</v>
      </c>
      <c r="M274" s="4">
        <f t="shared" si="56"/>
        <v>2.4500000000000001E-2</v>
      </c>
      <c r="N274" s="4">
        <f t="shared" si="57"/>
        <v>0.14000000000000001</v>
      </c>
    </row>
    <row r="275" spans="1:14">
      <c r="A275" t="str">
        <f t="shared" si="60"/>
        <v>MK~LM_CN~AFFLUENT_MN~NONE_YQ~19Q1Q4_CP~PO5020004141-9_OB~TRAFFIC_PK~NONE</v>
      </c>
      <c r="B275" t="str">
        <f t="shared" si="61"/>
        <v>Facebook</v>
      </c>
      <c r="C275" t="str">
        <f t="shared" si="62"/>
        <v>CH~SOCIAL_DT~MULTI_PB~FCBK_FM~LINKAD_RT~CPM_PD~AFFLUENT_IGUATEMIALPHAVILLE_CHOCOPANE_LINKAD_FB_1X1_TG~BHVDEM_TS~NONE_SZ~1X1_SOCIAL_MK~BR_IT~SOCIAL_VV~NONE</v>
      </c>
      <c r="D275" t="str">
        <f t="shared" si="63"/>
        <v>235663814</v>
      </c>
      <c r="E275" t="str">
        <f t="shared" si="64"/>
        <v>Dynamic Click</v>
      </c>
      <c r="F275" t="str">
        <f t="shared" si="65"/>
        <v>CH~SOCIAL_DT~MULTI_PB~FCBK_FM~LINKAD_RT~CPM_PD~AFFLUENT_IGUATEMIALPHAVILLE_CHOCOPANE_LINKAD_FB_1X1_TG~BHVDEM_TS~NONE_SZ~1X1_SOCIAL_MK~BR_IT~SOCIAL_VV~NONE</v>
      </c>
      <c r="G275" t="str">
        <f t="shared" si="66"/>
        <v>433289894</v>
      </c>
      <c r="H275" t="str">
        <f t="shared" si="67"/>
        <v>Tracking</v>
      </c>
      <c r="I275">
        <f t="shared" si="68"/>
        <v>0</v>
      </c>
      <c r="J275">
        <f t="shared" si="69"/>
        <v>2</v>
      </c>
      <c r="K275" s="4">
        <f t="shared" si="58"/>
        <v>3.5000000000000001E-3</v>
      </c>
      <c r="L275">
        <f t="shared" si="59"/>
        <v>0.02</v>
      </c>
      <c r="M275" s="4">
        <f t="shared" si="56"/>
        <v>7.0000000000000001E-3</v>
      </c>
      <c r="N275" s="4">
        <f t="shared" si="57"/>
        <v>0.04</v>
      </c>
    </row>
    <row r="276" spans="1:14">
      <c r="A276" t="str">
        <f t="shared" si="60"/>
        <v>MK~LM_CN~AFFLUENT_MN~NONE_YQ~19Q1Q4_CP~PO5020004141-9_OB~TRAFFIC_PK~NONE</v>
      </c>
      <c r="B276" t="str">
        <f t="shared" si="61"/>
        <v>Facebook</v>
      </c>
      <c r="C276" t="str">
        <f t="shared" si="62"/>
        <v>CH~SOCIAL_DT~MULTI_PB~FCBK_FM~LINKAD_RT~CPM_PD~AFFLUENT_JKIGUATEMI_CHOCOPANE_LINKAD_FB_1X1_TG~BHVDEM_TS~NONE_SZ~1X1_SOCIAL_MK~BR_IT~SOCIAL_VV~NONE</v>
      </c>
      <c r="D276" t="str">
        <f t="shared" si="63"/>
        <v>235773837</v>
      </c>
      <c r="E276" t="str">
        <f t="shared" si="64"/>
        <v>Dynamic Click</v>
      </c>
      <c r="F276" t="str">
        <f t="shared" si="65"/>
        <v>CH~SOCIAL_DT~MULTI_PB~FCBK_FM~LINKAD_RT~CPM_PD~AFFLUENT_JKIGUATEMI_CHOCOPANE_LINKAD_FB_1X1_TG~BHVDEM_TS~NONE_SZ~1X1_SOCIAL_MK~BR_IT~SOCIAL_VV~NONE</v>
      </c>
      <c r="G276" t="str">
        <f t="shared" si="66"/>
        <v>433170879</v>
      </c>
      <c r="H276" t="str">
        <f t="shared" si="67"/>
        <v>Tracking</v>
      </c>
      <c r="I276">
        <f t="shared" si="68"/>
        <v>0</v>
      </c>
      <c r="J276">
        <f t="shared" si="69"/>
        <v>2</v>
      </c>
      <c r="K276" s="4">
        <f t="shared" si="58"/>
        <v>3.5000000000000001E-3</v>
      </c>
      <c r="L276">
        <f t="shared" si="59"/>
        <v>0.02</v>
      </c>
      <c r="M276" s="4">
        <f t="shared" si="56"/>
        <v>7.0000000000000001E-3</v>
      </c>
      <c r="N276" s="4">
        <f t="shared" si="57"/>
        <v>0.04</v>
      </c>
    </row>
    <row r="277" spans="1:14">
      <c r="A277" t="str">
        <f t="shared" si="60"/>
        <v>MK~LM_CN~AFFLUENT_MN~NONE_YQ~19Q1Q4_CP~PO5020004141-9_OB~TRAFFIC_PK~NONE</v>
      </c>
      <c r="B277" t="str">
        <f t="shared" si="61"/>
        <v>Facebook</v>
      </c>
      <c r="C277" t="str">
        <f t="shared" si="62"/>
        <v>CH~SOCIAL_DT~MULTI_PB~FCBK_FM~LINKAD_RT~CPM_PD~AFFLUENT_MALLS_FREEVALET_LINKAD_CIDADEJARDIM_1X1_TG~BHVDEM_TS~NONE_SZ~1X1_SOCIAL_MK~BR_IT~SOCIAL_VV~NONE</v>
      </c>
      <c r="D277" t="str">
        <f t="shared" si="63"/>
        <v>240515506</v>
      </c>
      <c r="E277" t="str">
        <f t="shared" si="64"/>
        <v>Dynamic Click</v>
      </c>
      <c r="F277" t="str">
        <f t="shared" si="65"/>
        <v>CH~SOCIAL_DT~MULTI_PB~FCBK_FM~LINKAD_RT~CPM_PD~AFFLUENT_MALLS_FREEVALET_LINKAD_CIDADEJARDIM_1X1_TG~BHVDEM_TS~NONE_SZ~1X1_SOCIAL_MK~BR_IT~SOCIAL_VV~NONE</v>
      </c>
      <c r="G277" t="str">
        <f t="shared" si="66"/>
        <v>437498864</v>
      </c>
      <c r="H277" t="str">
        <f t="shared" si="67"/>
        <v>Tracking</v>
      </c>
      <c r="I277">
        <f t="shared" si="68"/>
        <v>0</v>
      </c>
      <c r="J277">
        <f t="shared" si="69"/>
        <v>308</v>
      </c>
      <c r="K277" s="4">
        <f t="shared" si="58"/>
        <v>3.5000000000000001E-3</v>
      </c>
      <c r="L277">
        <f t="shared" si="59"/>
        <v>0.02</v>
      </c>
      <c r="M277" s="4">
        <f t="shared" si="56"/>
        <v>1.0780000000000001</v>
      </c>
      <c r="N277" s="4">
        <f t="shared" si="57"/>
        <v>6.16</v>
      </c>
    </row>
    <row r="278" spans="1:14">
      <c r="A278" t="str">
        <f t="shared" si="60"/>
        <v>MK~LM_CN~AFFLUENT_MN~NONE_YQ~19Q1Q4_CP~PO5020004141-9_OB~TRAFFIC_PK~NONE</v>
      </c>
      <c r="B278" t="str">
        <f t="shared" si="61"/>
        <v>Facebook</v>
      </c>
      <c r="C278" t="str">
        <f t="shared" si="62"/>
        <v>CH~SOCIAL_DT~MULTI_PB~FCBK_FM~LINKAD_RT~CPM_PD~AFFLUENT_MALLS_FREEVALET_LINKAD_IGUATEMIBSB_1X1_TG~BHVDEM_TS~NONE_SZ~1X1_SOCIAL_MK~BR_IT~SOCIAL_VV~NONE</v>
      </c>
      <c r="D278" t="str">
        <f t="shared" si="63"/>
        <v>240515449</v>
      </c>
      <c r="E278" t="str">
        <f t="shared" si="64"/>
        <v>Dynamic Click</v>
      </c>
      <c r="F278" t="str">
        <f t="shared" si="65"/>
        <v>CH~SOCIAL_DT~MULTI_PB~FCBK_FM~LINKAD_RT~CPM_PD~AFFLUENT_MALLS_FREEVALET_LINKAD_IGUATEMIBSB_1X1_TG~BHVDEM_TS~NONE_SZ~1X1_SOCIAL_MK~BR_IT~SOCIAL_VV~NONE</v>
      </c>
      <c r="G278" t="str">
        <f t="shared" si="66"/>
        <v>437498807</v>
      </c>
      <c r="H278" t="str">
        <f t="shared" si="67"/>
        <v>Tracking</v>
      </c>
      <c r="I278">
        <f t="shared" si="68"/>
        <v>0</v>
      </c>
      <c r="J278">
        <f t="shared" si="69"/>
        <v>133</v>
      </c>
      <c r="K278" s="4">
        <f t="shared" si="58"/>
        <v>3.5000000000000001E-3</v>
      </c>
      <c r="L278">
        <f t="shared" si="59"/>
        <v>0.02</v>
      </c>
      <c r="M278" s="4">
        <f t="shared" si="56"/>
        <v>0.46550000000000002</v>
      </c>
      <c r="N278" s="4">
        <f t="shared" si="57"/>
        <v>2.66</v>
      </c>
    </row>
    <row r="279" spans="1:14">
      <c r="A279" t="str">
        <f t="shared" si="60"/>
        <v>MK~LM_CN~AFFLUENT_MN~NONE_YQ~19Q1Q4_CP~PO5020004141-9_OB~TRAFFIC_PK~NONE</v>
      </c>
      <c r="B279" t="str">
        <f t="shared" si="61"/>
        <v>Facebook</v>
      </c>
      <c r="C279" t="str">
        <f t="shared" si="62"/>
        <v>CH~SOCIAL_DT~MULTI_PB~FCBK_FM~LINKAD_RT~CPM_PD~AFFLUENT_MALLS_FREEVALET_LINKAD_IGUATEMISP_1X1_TG~BHVDEM_TS~NONE_SZ~1X1_SOCIAL_MK~BR_IT~SOCIAL_VV~NONE</v>
      </c>
      <c r="D279" t="str">
        <f t="shared" si="63"/>
        <v>240515455</v>
      </c>
      <c r="E279" t="str">
        <f t="shared" si="64"/>
        <v>Dynamic Click</v>
      </c>
      <c r="F279" t="str">
        <f t="shared" si="65"/>
        <v>CH~SOCIAL_DT~MULTI_PB~FCBK_FM~LINKAD_RT~CPM_PD~AFFLUENT_MALLS_FREEVALET_LINKAD_IGUATEMISP_1X1_TG~BHVDEM_TS~NONE_SZ~1X1_SOCIAL_MK~BR_IT~SOCIAL_VV~NONE</v>
      </c>
      <c r="G279" t="str">
        <f t="shared" si="66"/>
        <v>437498813</v>
      </c>
      <c r="H279" t="str">
        <f t="shared" si="67"/>
        <v>Tracking</v>
      </c>
      <c r="I279">
        <f t="shared" si="68"/>
        <v>0</v>
      </c>
      <c r="J279">
        <f t="shared" si="69"/>
        <v>313</v>
      </c>
      <c r="K279" s="4">
        <f t="shared" si="58"/>
        <v>3.5000000000000001E-3</v>
      </c>
      <c r="L279">
        <f t="shared" si="59"/>
        <v>0.02</v>
      </c>
      <c r="M279" s="4">
        <f t="shared" si="56"/>
        <v>1.0954999999999999</v>
      </c>
      <c r="N279" s="4">
        <f t="shared" si="57"/>
        <v>6.26</v>
      </c>
    </row>
    <row r="280" spans="1:14">
      <c r="A280" t="str">
        <f t="shared" si="60"/>
        <v>MK~LM_CN~AFFLUENT_MN~NONE_YQ~19Q1Q4_CP~PO5020004141-9_OB~TRAFFIC_PK~NONE</v>
      </c>
      <c r="B280" t="str">
        <f t="shared" si="61"/>
        <v>Facebook</v>
      </c>
      <c r="C280" t="str">
        <f t="shared" si="62"/>
        <v>CH~SOCIAL_DT~MULTI_PB~FCBK_FM~LINKAD_RT~CPM_PD~AFFLUENT_MALLS_FREEVALET_LINKAD_PATIO_1X1_TG~BHVDEM_TS~NONE_SZ~1X1_SOCIAL_MK~BR_IT~SOCIAL_VV~NONE</v>
      </c>
      <c r="D280" t="str">
        <f t="shared" si="63"/>
        <v>240515452</v>
      </c>
      <c r="E280" t="str">
        <f t="shared" si="64"/>
        <v>Dynamic Click</v>
      </c>
      <c r="F280" t="str">
        <f t="shared" si="65"/>
        <v>CH~SOCIAL_DT~MULTI_PB~FCBK_FM~LINKAD_RT~CPM_PD~AFFLUENT_MALLS_FREEVALET_LINKAD_PATIO_1X1_TG~BHVDEM_TS~NONE_SZ~1X1_SOCIAL_MK~BR_IT~SOCIAL_VV~NONE</v>
      </c>
      <c r="G280" t="str">
        <f t="shared" si="66"/>
        <v>437498810</v>
      </c>
      <c r="H280" t="str">
        <f t="shared" si="67"/>
        <v>Tracking</v>
      </c>
      <c r="I280">
        <f t="shared" si="68"/>
        <v>0</v>
      </c>
      <c r="J280">
        <f t="shared" si="69"/>
        <v>581</v>
      </c>
      <c r="K280" s="4">
        <f t="shared" si="58"/>
        <v>3.5000000000000001E-3</v>
      </c>
      <c r="L280">
        <f t="shared" si="59"/>
        <v>0.02</v>
      </c>
      <c r="M280" s="4">
        <f t="shared" si="56"/>
        <v>2.0335000000000001</v>
      </c>
      <c r="N280" s="4">
        <f t="shared" si="57"/>
        <v>11.620000000000001</v>
      </c>
    </row>
    <row r="281" spans="1:14">
      <c r="A281" t="str">
        <f t="shared" si="60"/>
        <v>MK~LM_CN~AFFLUENT_MN~NONE_YQ~19Q1Q4_CP~PO5020004141-9_OB~TRAFFIC_PK~NONE</v>
      </c>
      <c r="B281" t="str">
        <f t="shared" si="61"/>
        <v>Facebook</v>
      </c>
      <c r="C281" t="str">
        <f t="shared" si="62"/>
        <v>CH~SOCIAL_DT~MULTI_PB~FCBK_FM~LINKAD_RT~CPM_PD~AFFLUENT_MALLS_FREEVALET_LINKAD_RIODESIGNBARRA_1X1_TG~BHVDEM_TS~NONE_SZ~1X1_SOCIAL_MK~BR_IT~SOCIAL_VV~NONE</v>
      </c>
      <c r="D281" t="str">
        <f t="shared" si="63"/>
        <v>240515446</v>
      </c>
      <c r="E281" t="str">
        <f t="shared" si="64"/>
        <v>Dynamic Click</v>
      </c>
      <c r="F281" t="str">
        <f t="shared" si="65"/>
        <v>CH~SOCIAL_DT~MULTI_PB~FCBK_FM~LINKAD_RT~CPM_PD~AFFLUENT_MALLS_FREEVALET_LINKAD_RIODESIGNBARRA_1X1_TG~BHVDEM_TS~NONE_SZ~1X1_SOCIAL_MK~BR_IT~SOCIAL_VV~NONE</v>
      </c>
      <c r="G281" t="str">
        <f t="shared" si="66"/>
        <v>437498804</v>
      </c>
      <c r="H281" t="str">
        <f t="shared" si="67"/>
        <v>Tracking</v>
      </c>
      <c r="I281">
        <f t="shared" si="68"/>
        <v>0</v>
      </c>
      <c r="J281">
        <f t="shared" si="69"/>
        <v>100</v>
      </c>
      <c r="K281" s="4">
        <f t="shared" si="58"/>
        <v>3.5000000000000001E-3</v>
      </c>
      <c r="L281">
        <f t="shared" si="59"/>
        <v>0.02</v>
      </c>
      <c r="M281" s="4">
        <f t="shared" si="56"/>
        <v>0.35000000000000003</v>
      </c>
      <c r="N281" s="4">
        <f t="shared" si="57"/>
        <v>2</v>
      </c>
    </row>
    <row r="282" spans="1:14">
      <c r="A282" t="str">
        <f t="shared" si="60"/>
        <v>MK~LM_CN~AFFLUENT_MN~NONE_YQ~19Q1Q4_CP~PO5020004141-9_OB~TRAFFIC_PK~NONE</v>
      </c>
      <c r="B282" t="str">
        <f t="shared" si="61"/>
        <v>Facebook</v>
      </c>
      <c r="C282" t="str">
        <f t="shared" si="62"/>
        <v>CH~SOCIAL_DT~MULTI_PB~FCBK_FM~LINKAD_RT~CPM_PD~AFFLUENT_MALLS_FREEVALET_LINKAD_RIODESIGNLEBLON_1X1_TG~BHVDEM_TS~NONE_SZ~1X1_SOCIAL_MK~BR_IT~SOCIAL_VV~NONE</v>
      </c>
      <c r="D282" t="str">
        <f t="shared" si="63"/>
        <v>240515512</v>
      </c>
      <c r="E282" t="str">
        <f t="shared" si="64"/>
        <v>Dynamic Click</v>
      </c>
      <c r="F282" t="str">
        <f t="shared" si="65"/>
        <v>CH~SOCIAL_DT~MULTI_PB~FCBK_FM~LINKAD_RT~CPM_PD~AFFLUENT_MALLS_FREEVALET_LINKAD_RIODESIGNLEBLON_1X1_TG~BHVDEM_TS~NONE_SZ~1X1_SOCIAL_MK~BR_IT~SOCIAL_VV~NONE</v>
      </c>
      <c r="G282" t="str">
        <f t="shared" si="66"/>
        <v>437498870</v>
      </c>
      <c r="H282" t="str">
        <f t="shared" si="67"/>
        <v>Tracking</v>
      </c>
      <c r="I282">
        <f t="shared" si="68"/>
        <v>0</v>
      </c>
      <c r="J282">
        <f t="shared" si="69"/>
        <v>142</v>
      </c>
      <c r="K282" s="4">
        <f t="shared" si="58"/>
        <v>3.5000000000000001E-3</v>
      </c>
      <c r="L282">
        <f t="shared" si="59"/>
        <v>0.02</v>
      </c>
      <c r="M282" s="4">
        <f t="shared" si="56"/>
        <v>0.497</v>
      </c>
      <c r="N282" s="4">
        <f t="shared" si="57"/>
        <v>2.84</v>
      </c>
    </row>
    <row r="283" spans="1:14">
      <c r="A283" t="str">
        <f t="shared" si="60"/>
        <v>MK~LM_CN~AFFLUENT_MN~NONE_YQ~19Q1Q4_CP~PO5020004141-9_OB~TRAFFIC_PK~NONE</v>
      </c>
      <c r="B283" t="str">
        <f t="shared" si="61"/>
        <v>Facebook</v>
      </c>
      <c r="C283" t="str">
        <f t="shared" si="62"/>
        <v>CH~SOCIAL_DT~MULTI_PB~FCBK_FM~LINKAD_RT~CPM_PD~AFFLUENT_MARKETPLACE_CHOCOTTONE_LINKAD_FB_1X1_TG~BHVDEM_TS~NONE_SZ~1X1_SOCIAL_MK~BR_IT~SOCIAL_VV~NONE</v>
      </c>
      <c r="D283" t="str">
        <f t="shared" si="63"/>
        <v>235773843</v>
      </c>
      <c r="E283" t="str">
        <f t="shared" si="64"/>
        <v>Dynamic Click</v>
      </c>
      <c r="F283" t="str">
        <f t="shared" si="65"/>
        <v>CH~SOCIAL_DT~MULTI_PB~FCBK_FM~LINKAD_RT~CPM_PD~AFFLUENT_MARKETPLACE_CHOCOTTONE_LINKAD_FB_1X1_TG~BHVDEM_TS~NONE_SZ~1X1_SOCIAL_MK~BR_IT~SOCIAL_VV~NONE</v>
      </c>
      <c r="G283" t="str">
        <f t="shared" si="66"/>
        <v>433170885</v>
      </c>
      <c r="H283" t="str">
        <f t="shared" si="67"/>
        <v>Tracking</v>
      </c>
      <c r="I283">
        <f t="shared" si="68"/>
        <v>0</v>
      </c>
      <c r="J283">
        <f t="shared" si="69"/>
        <v>1</v>
      </c>
      <c r="K283" s="4">
        <f t="shared" si="58"/>
        <v>3.5000000000000001E-3</v>
      </c>
      <c r="L283">
        <f t="shared" si="59"/>
        <v>0.02</v>
      </c>
      <c r="M283" s="4">
        <f t="shared" si="56"/>
        <v>3.5000000000000001E-3</v>
      </c>
      <c r="N283" s="4">
        <f t="shared" si="57"/>
        <v>0.02</v>
      </c>
    </row>
    <row r="284" spans="1:14">
      <c r="A284" t="str">
        <f t="shared" si="60"/>
        <v>MK~LM_CN~AFFLUENT_MN~NONE_YQ~19Q1Q4_CP~PO5020004141-9_OB~TRAFFIC_PK~NONE</v>
      </c>
      <c r="B284" t="str">
        <f t="shared" si="61"/>
        <v>Facebook</v>
      </c>
      <c r="C284" t="str">
        <f t="shared" si="62"/>
        <v>CH~SOCIAL_DT~MULTI_PB~FCBK_FM~LINKAD_RT~CPM_PD~AFFLUENT_RIODESIGNLEBLON_DOMPERIGNON_LINKAD_FB_1X1_TG~BHVDEM_TS~NONE_SZ~1X1_SOCIAL_MK~BR_IT~SOCIAL_VV~NONE</v>
      </c>
      <c r="D284" t="str">
        <f t="shared" si="63"/>
        <v>235773831</v>
      </c>
      <c r="E284" t="str">
        <f t="shared" si="64"/>
        <v>Dynamic Click</v>
      </c>
      <c r="F284" t="str">
        <f t="shared" si="65"/>
        <v>CH~SOCIAL_DT~MULTI_PB~FCBK_FM~LINKAD_RT~CPM_PD~AFFLUENT_RIODESIGNLEBLON_DOMPERIGNON_LINKAD_FB_1X1_TG~BHVDEM_TS~NONE_SZ~1X1_SOCIAL_MK~BR_IT~SOCIAL_VV~NONE</v>
      </c>
      <c r="G284" t="str">
        <f t="shared" si="66"/>
        <v>433170873</v>
      </c>
      <c r="H284" t="str">
        <f t="shared" si="67"/>
        <v>Tracking</v>
      </c>
      <c r="I284">
        <f t="shared" si="68"/>
        <v>0</v>
      </c>
      <c r="J284">
        <f t="shared" si="69"/>
        <v>2</v>
      </c>
      <c r="K284" s="4">
        <f t="shared" si="58"/>
        <v>3.5000000000000001E-3</v>
      </c>
      <c r="L284">
        <f t="shared" si="59"/>
        <v>0.02</v>
      </c>
      <c r="M284" s="4">
        <f t="shared" si="56"/>
        <v>7.0000000000000001E-3</v>
      </c>
      <c r="N284" s="4">
        <f t="shared" si="57"/>
        <v>0.04</v>
      </c>
    </row>
    <row r="285" spans="1:14">
      <c r="A285" t="str">
        <f t="shared" si="60"/>
        <v>MK~LM_CN~AFFLUENT_MN~NONE_YQ~19Q1Q4_CP~PO5020004141-9_OB~TRAFFIC_PK~NONE</v>
      </c>
      <c r="B285" t="str">
        <f t="shared" si="61"/>
        <v>Facebook</v>
      </c>
      <c r="C285" t="str">
        <f t="shared" si="62"/>
        <v>CH~SOCIAL_DT~MULTI_PB~FCBK_FM~STORIES_RT~CPM_PD~AFFLUENT_DINNING_FREEVALET_STORIES_ASIATICA_1X1_TG~BHVDEM_TS~NONE_SZ~1X1_SOCIAL_MK~BR_IT~SOCIAL_VV~NONE</v>
      </c>
      <c r="D285" t="str">
        <f t="shared" si="63"/>
        <v>240447766</v>
      </c>
      <c r="E285" t="str">
        <f t="shared" si="64"/>
        <v>Dynamic Click</v>
      </c>
      <c r="F285" t="str">
        <f t="shared" si="65"/>
        <v>CH~SOCIAL_DT~MULTI_PB~FCBK_FM~STORIES_RT~CPM_PD~AFFLUENT_DINNING_FREEVALET_STORIES_ASIATICA_1X1_TG~BHVDEM_TS~NONE_SZ~1X1_SOCIAL_MK~BR_IT~SOCIAL_VV~NONE</v>
      </c>
      <c r="G285" t="str">
        <f t="shared" si="66"/>
        <v>437412380</v>
      </c>
      <c r="H285" t="str">
        <f t="shared" si="67"/>
        <v>Tracking</v>
      </c>
      <c r="I285">
        <f t="shared" si="68"/>
        <v>0</v>
      </c>
      <c r="J285">
        <f t="shared" si="69"/>
        <v>439</v>
      </c>
      <c r="K285" s="4">
        <f t="shared" si="58"/>
        <v>3.5000000000000001E-3</v>
      </c>
      <c r="L285">
        <f t="shared" si="59"/>
        <v>0.02</v>
      </c>
      <c r="M285" s="4">
        <f t="shared" si="56"/>
        <v>1.5365</v>
      </c>
      <c r="N285" s="4">
        <f t="shared" si="57"/>
        <v>8.7799999999999994</v>
      </c>
    </row>
    <row r="286" spans="1:14">
      <c r="A286" t="str">
        <f t="shared" si="60"/>
        <v>MK~LM_CN~AFFLUENT_MN~NONE_YQ~19Q1Q4_CP~PO5020004141-9_OB~TRAFFIC_PK~NONE</v>
      </c>
      <c r="B286" t="str">
        <f t="shared" si="61"/>
        <v>Facebook</v>
      </c>
      <c r="C286" t="str">
        <f t="shared" si="62"/>
        <v>CH~SOCIAL_DT~MULTI_PB~FCBK_FM~STORIES_RT~CPM_PD~AFFLUENT_DINNING_FREEVALET_STORIES_MASSA_1X1_TG~BHVDEM_TS~NONE_SZ~1X1_SOCIAL_MK~BR_IT~SOCIAL_VV~NONE</v>
      </c>
      <c r="D286" t="str">
        <f t="shared" si="63"/>
        <v>240447763</v>
      </c>
      <c r="E286" t="str">
        <f t="shared" si="64"/>
        <v>Dynamic Click</v>
      </c>
      <c r="F286" t="str">
        <f t="shared" si="65"/>
        <v>CH~SOCIAL_DT~MULTI_PB~FCBK_FM~STORIES_RT~CPM_PD~AFFLUENT_DINNING_FREEVALET_STORIES_MASSA_1X1_TG~BHVDEM_TS~NONE_SZ~1X1_SOCIAL_MK~BR_IT~SOCIAL_VV~NONE</v>
      </c>
      <c r="G286" t="str">
        <f t="shared" si="66"/>
        <v>437412377</v>
      </c>
      <c r="H286" t="str">
        <f t="shared" si="67"/>
        <v>Tracking</v>
      </c>
      <c r="I286">
        <f t="shared" si="68"/>
        <v>0</v>
      </c>
      <c r="J286">
        <f t="shared" si="69"/>
        <v>2</v>
      </c>
      <c r="K286" s="4">
        <f t="shared" si="58"/>
        <v>3.5000000000000001E-3</v>
      </c>
      <c r="L286">
        <f t="shared" si="59"/>
        <v>0.02</v>
      </c>
      <c r="M286" s="4">
        <f t="shared" si="56"/>
        <v>7.0000000000000001E-3</v>
      </c>
      <c r="N286" s="4">
        <f t="shared" si="57"/>
        <v>0.04</v>
      </c>
    </row>
    <row r="287" spans="1:14">
      <c r="A287" t="str">
        <f t="shared" si="60"/>
        <v>MK~LM_CN~AFFLUENT_MN~NONE_YQ~19Q1Q4_CP~PO5020004141-9_OB~TRAFFIC_PK~NONE</v>
      </c>
      <c r="B287" t="str">
        <f t="shared" si="61"/>
        <v>Facebook</v>
      </c>
      <c r="C287" t="str">
        <f t="shared" si="62"/>
        <v>CH~SOCIAL_DT~MULTI_PB~FCBK_FM~STORIES_RT~CPM_PD~AFFLUENT_DINNING_FREEVALET_STORIES_STEAK_1X1_TG~BHVDEM_TS~NONE_SZ~1X1_SOCIAL_MK~BR_IT~SOCIAL_VV~NONE</v>
      </c>
      <c r="D287" t="str">
        <f t="shared" si="63"/>
        <v>240447760</v>
      </c>
      <c r="E287" t="str">
        <f t="shared" si="64"/>
        <v>Dynamic Click</v>
      </c>
      <c r="F287" t="str">
        <f t="shared" si="65"/>
        <v>CH~SOCIAL_DT~MULTI_PB~FCBK_FM~STORIES_RT~CPM_PD~AFFLUENT_DINNING_FREEVALET_STORIES_STEAK_1X1_TG~BHVDEM_TS~NONE_SZ~1X1_SOCIAL_MK~BR_IT~SOCIAL_VV~NONE</v>
      </c>
      <c r="G287" t="str">
        <f t="shared" si="66"/>
        <v>437412374</v>
      </c>
      <c r="H287" t="str">
        <f t="shared" si="67"/>
        <v>Tracking</v>
      </c>
      <c r="I287">
        <f t="shared" si="68"/>
        <v>0</v>
      </c>
      <c r="J287">
        <f t="shared" si="69"/>
        <v>1</v>
      </c>
      <c r="K287" s="4">
        <f t="shared" si="58"/>
        <v>3.5000000000000001E-3</v>
      </c>
      <c r="L287">
        <f t="shared" si="59"/>
        <v>0.02</v>
      </c>
      <c r="M287" s="4">
        <f t="shared" si="56"/>
        <v>3.5000000000000001E-3</v>
      </c>
      <c r="N287" s="4">
        <f t="shared" si="57"/>
        <v>0.02</v>
      </c>
    </row>
    <row r="288" spans="1:14">
      <c r="A288" t="str">
        <f t="shared" si="60"/>
        <v>MK~LM_CN~AFFLUENT_MN~NONE_YQ~19Q1Q4_CP~PO5020004141-9_OB~TRAFFIC_PK~NONE</v>
      </c>
      <c r="B288" t="str">
        <f t="shared" si="61"/>
        <v>Facebook</v>
      </c>
      <c r="C288" t="str">
        <f t="shared" si="62"/>
        <v>CH~SOCIAL_DT~MULTI_PB~FCBK_FM~STORIES_RT~CPM_PD~AFFLUENT_DINNING_FREEVALET_STORIES_VEGETARIANA_1X1_TG~BHVDEM_TS~NONE_SZ~1X1_SOCIAL_MK~BR_IT~SOCIAL_VV~NONE</v>
      </c>
      <c r="D288" t="str">
        <f t="shared" si="63"/>
        <v>240447757</v>
      </c>
      <c r="E288" t="str">
        <f t="shared" si="64"/>
        <v>Dynamic Click</v>
      </c>
      <c r="F288" t="str">
        <f t="shared" si="65"/>
        <v>CH~SOCIAL_DT~MULTI_PB~FCBK_FM~STORIES_RT~CPM_PD~AFFLUENT_DINNING_FREEVALET_STORIES_VEGETARIANA_1X1_TG~BHVDEM_TS~NONE_SZ~1X1_SOCIAL_MK~BR_IT~SOCIAL_VV~NONE</v>
      </c>
      <c r="G288" t="str">
        <f t="shared" si="66"/>
        <v>437412371</v>
      </c>
      <c r="H288" t="str">
        <f t="shared" si="67"/>
        <v>Tracking</v>
      </c>
      <c r="I288">
        <f t="shared" si="68"/>
        <v>0</v>
      </c>
      <c r="J288">
        <f t="shared" si="69"/>
        <v>2</v>
      </c>
      <c r="K288" s="4">
        <f t="shared" si="58"/>
        <v>3.5000000000000001E-3</v>
      </c>
      <c r="L288">
        <f t="shared" si="59"/>
        <v>0.02</v>
      </c>
      <c r="M288" s="4">
        <f t="shared" si="56"/>
        <v>7.0000000000000001E-3</v>
      </c>
      <c r="N288" s="4">
        <f t="shared" si="57"/>
        <v>0.04</v>
      </c>
    </row>
    <row r="289" spans="1:14">
      <c r="A289" t="str">
        <f t="shared" si="60"/>
        <v>MK~LM_CN~AFFLUENT_MN~NONE_YQ~19Q1Q4_CP~PO5020004141-9_OB~TRAFFIC_PK~NONE</v>
      </c>
      <c r="B289" t="str">
        <f t="shared" si="61"/>
        <v>Facebook</v>
      </c>
      <c r="C289" t="str">
        <f t="shared" si="62"/>
        <v>CH~SOCIAL_DT~MULTI_PB~FCBK_FM~STORIES_RT~CPM_PD~AFFLUENT_MALLS_FREEVALET_STORIES_CIDADEJARDIM_1X1_TG~BHVDEM_TS~NONE_SZ~1X1_SOCIAL_MK~BR_IT~SOCIAL_VV~NONE</v>
      </c>
      <c r="D289" t="str">
        <f t="shared" si="63"/>
        <v>240515470</v>
      </c>
      <c r="E289" t="str">
        <f t="shared" si="64"/>
        <v>Dynamic Click</v>
      </c>
      <c r="F289" t="str">
        <f t="shared" si="65"/>
        <v>CH~SOCIAL_DT~MULTI_PB~FCBK_FM~STORIES_RT~CPM_PD~AFFLUENT_MALLS_FREEVALET_STORIES_CIDADEJARDIM_1X1_TG~BHVDEM_TS~NONE_SZ~1X1_SOCIAL_MK~BR_IT~SOCIAL_VV~NONE</v>
      </c>
      <c r="G289" t="str">
        <f t="shared" si="66"/>
        <v>437498828</v>
      </c>
      <c r="H289" t="str">
        <f t="shared" si="67"/>
        <v>Tracking</v>
      </c>
      <c r="I289">
        <f t="shared" si="68"/>
        <v>0</v>
      </c>
      <c r="J289">
        <f t="shared" si="69"/>
        <v>1</v>
      </c>
      <c r="K289" s="4">
        <f t="shared" si="58"/>
        <v>3.5000000000000001E-3</v>
      </c>
      <c r="L289">
        <f t="shared" si="59"/>
        <v>0.02</v>
      </c>
      <c r="M289" s="4">
        <f t="shared" si="56"/>
        <v>3.5000000000000001E-3</v>
      </c>
      <c r="N289" s="4">
        <f t="shared" si="57"/>
        <v>0.02</v>
      </c>
    </row>
    <row r="290" spans="1:14">
      <c r="A290" t="str">
        <f t="shared" si="60"/>
        <v>MK~LM_CN~AFFLUENT_MN~NONE_YQ~19Q1Q4_CP~PO5020004141-9_OB~TRAFFIC_PK~NONE</v>
      </c>
      <c r="B290" t="str">
        <f t="shared" si="61"/>
        <v>Facebook</v>
      </c>
      <c r="C290" t="str">
        <f t="shared" si="62"/>
        <v>CH~SOCIAL_DT~MULTI_PB~FCBK_FM~STORIES_RT~CPM_PD~AFFLUENT_MALLS_FREEVALET_STORIES_IGUATEMIBSB_1X1_TG~BHVDEM_TS~NONE_SZ~1X1_SOCIAL_MK~BR_IT~SOCIAL_VV~NONE</v>
      </c>
      <c r="D290" t="str">
        <f t="shared" si="63"/>
        <v>240515488</v>
      </c>
      <c r="E290" t="str">
        <f t="shared" si="64"/>
        <v>Dynamic Click</v>
      </c>
      <c r="F290" t="str">
        <f t="shared" si="65"/>
        <v>CH~SOCIAL_DT~MULTI_PB~FCBK_FM~STORIES_RT~CPM_PD~AFFLUENT_MALLS_FREEVALET_STORIES_IGUATEMIBSB_1X1_TG~BHVDEM_TS~NONE_SZ~1X1_SOCIAL_MK~BR_IT~SOCIAL_VV~NONE</v>
      </c>
      <c r="G290" t="str">
        <f t="shared" si="66"/>
        <v>437498846</v>
      </c>
      <c r="H290" t="str">
        <f t="shared" si="67"/>
        <v>Tracking</v>
      </c>
      <c r="I290">
        <f t="shared" si="68"/>
        <v>0</v>
      </c>
      <c r="J290">
        <f t="shared" si="69"/>
        <v>2</v>
      </c>
      <c r="K290" s="4">
        <f t="shared" si="58"/>
        <v>3.5000000000000001E-3</v>
      </c>
      <c r="L290">
        <f t="shared" si="59"/>
        <v>0.02</v>
      </c>
      <c r="M290" s="4">
        <f t="shared" si="56"/>
        <v>7.0000000000000001E-3</v>
      </c>
      <c r="N290" s="4">
        <f t="shared" si="57"/>
        <v>0.04</v>
      </c>
    </row>
    <row r="291" spans="1:14">
      <c r="A291" t="str">
        <f t="shared" si="60"/>
        <v>MK~LM_CN~AFFLUENT_MN~NONE_YQ~19Q1Q4_CP~PO5020004141-9_OB~TRAFFIC_PK~NONE</v>
      </c>
      <c r="B291" t="str">
        <f t="shared" si="61"/>
        <v>Facebook</v>
      </c>
      <c r="C291" t="str">
        <f t="shared" si="62"/>
        <v>CH~SOCIAL_DT~MULTI_PB~FCBK_FM~STORIES_RT~CPM_PD~AFFLUENT_MALLS_FREEVALET_STORIES_IGUATEMISP_1X1_TG~BHVDEM_TS~NONE_SZ~1X1_SOCIAL_MK~BR_IT~SOCIAL_VV~NONE</v>
      </c>
      <c r="D291" t="str">
        <f t="shared" si="63"/>
        <v>240515500</v>
      </c>
      <c r="E291" t="str">
        <f t="shared" si="64"/>
        <v>Dynamic Click</v>
      </c>
      <c r="F291" t="str">
        <f t="shared" si="65"/>
        <v>CH~SOCIAL_DT~MULTI_PB~FCBK_FM~STORIES_RT~CPM_PD~AFFLUENT_MALLS_FREEVALET_STORIES_IGUATEMISP_1X1_TG~BHVDEM_TS~NONE_SZ~1X1_SOCIAL_MK~BR_IT~SOCIAL_VV~NONE</v>
      </c>
      <c r="G291" t="str">
        <f t="shared" si="66"/>
        <v>437498858</v>
      </c>
      <c r="H291" t="str">
        <f t="shared" si="67"/>
        <v>Tracking</v>
      </c>
      <c r="I291">
        <f t="shared" si="68"/>
        <v>0</v>
      </c>
      <c r="J291">
        <f t="shared" si="69"/>
        <v>2</v>
      </c>
      <c r="K291" s="4">
        <f t="shared" si="58"/>
        <v>3.5000000000000001E-3</v>
      </c>
      <c r="L291">
        <f t="shared" si="59"/>
        <v>0.02</v>
      </c>
      <c r="M291" s="4">
        <f t="shared" ref="M291:M354" si="70">IF(E291="Dynamic Click",J291*K291,K291*$I291/1000)</f>
        <v>7.0000000000000001E-3</v>
      </c>
      <c r="N291" s="4">
        <f t="shared" ref="N291:N354" si="71">IF(E291="Dynamic Click",J291*L291,L291*$I291/1000)</f>
        <v>0.04</v>
      </c>
    </row>
    <row r="292" spans="1:14">
      <c r="A292" t="str">
        <f t="shared" si="60"/>
        <v>MK~LM_CN~AFFLUENT_MN~NONE_YQ~19Q1Q4_CP~PO5020004141-9_OB~TRAFFIC_PK~NONE</v>
      </c>
      <c r="B292" t="str">
        <f t="shared" si="61"/>
        <v>Facebook</v>
      </c>
      <c r="C292" t="str">
        <f t="shared" si="62"/>
        <v>CH~SOCIAL_DT~MULTI_PB~FCBK_FM~STORIES_RT~CPM_PD~AFFLUENT_MALLS_FREEVALET_STORIES_PATIO_1X1_TG~BHVDEM_TS~NONE_SZ~1X1_SOCIAL_MK~BR_IT~SOCIAL_VV~NONE</v>
      </c>
      <c r="D292" t="str">
        <f t="shared" si="63"/>
        <v>240515494</v>
      </c>
      <c r="E292" t="str">
        <f t="shared" si="64"/>
        <v>Dynamic Click</v>
      </c>
      <c r="F292" t="str">
        <f t="shared" si="65"/>
        <v>CH~SOCIAL_DT~MULTI_PB~FCBK_FM~STORIES_RT~CPM_PD~AFFLUENT_MALLS_FREEVALET_STORIES_PATIO_1X1_TG~BHVDEM_TS~NONE_SZ~1X1_SOCIAL_MK~BR_IT~SOCIAL_VV~NONE</v>
      </c>
      <c r="G292" t="str">
        <f t="shared" si="66"/>
        <v>437498852</v>
      </c>
      <c r="H292" t="str">
        <f t="shared" si="67"/>
        <v>Tracking</v>
      </c>
      <c r="I292">
        <f t="shared" si="68"/>
        <v>0</v>
      </c>
      <c r="J292">
        <f t="shared" si="69"/>
        <v>2</v>
      </c>
      <c r="K292" s="4">
        <f t="shared" si="58"/>
        <v>3.5000000000000001E-3</v>
      </c>
      <c r="L292">
        <f t="shared" si="59"/>
        <v>0.02</v>
      </c>
      <c r="M292" s="4">
        <f t="shared" si="70"/>
        <v>7.0000000000000001E-3</v>
      </c>
      <c r="N292" s="4">
        <f t="shared" si="71"/>
        <v>0.04</v>
      </c>
    </row>
    <row r="293" spans="1:14">
      <c r="A293" t="str">
        <f t="shared" si="60"/>
        <v>MK~LM_CN~AFFLUENT_MN~NONE_YQ~19Q1Q4_CP~PO5020004141-9_OB~TRAFFIC_PK~NONE</v>
      </c>
      <c r="B293" t="str">
        <f t="shared" si="61"/>
        <v>Facebook</v>
      </c>
      <c r="C293" t="str">
        <f t="shared" si="62"/>
        <v>CH~SOCIAL_DT~MULTI_PB~FCBK_FM~STORIES_RT~CPM_PD~AFFLUENT_MALLS_FREEVALET_STORIES_RIODESIGNBARRA_1X1_TG~BHVDEM_TS~NONE_SZ~1X1_SOCIAL_MK~BR_IT~SOCIAL_VV~NONE</v>
      </c>
      <c r="D293" t="str">
        <f t="shared" si="63"/>
        <v>240515482</v>
      </c>
      <c r="E293" t="str">
        <f t="shared" si="64"/>
        <v>Dynamic Click</v>
      </c>
      <c r="F293" t="str">
        <f t="shared" si="65"/>
        <v>CH~SOCIAL_DT~MULTI_PB~FCBK_FM~STORIES_RT~CPM_PD~AFFLUENT_MALLS_FREEVALET_STORIES_RIODESIGNBARRA_1X1_TG~BHVDEM_TS~NONE_SZ~1X1_SOCIAL_MK~BR_IT~SOCIAL_VV~NONE</v>
      </c>
      <c r="G293" t="str">
        <f t="shared" si="66"/>
        <v>437498840</v>
      </c>
      <c r="H293" t="str">
        <f t="shared" si="67"/>
        <v>Tracking</v>
      </c>
      <c r="I293">
        <f t="shared" si="68"/>
        <v>0</v>
      </c>
      <c r="J293">
        <f t="shared" si="69"/>
        <v>2</v>
      </c>
      <c r="K293" s="4">
        <f t="shared" si="58"/>
        <v>3.5000000000000001E-3</v>
      </c>
      <c r="L293">
        <f t="shared" si="59"/>
        <v>0.02</v>
      </c>
      <c r="M293" s="4">
        <f t="shared" si="70"/>
        <v>7.0000000000000001E-3</v>
      </c>
      <c r="N293" s="4">
        <f t="shared" si="71"/>
        <v>0.04</v>
      </c>
    </row>
    <row r="294" spans="1:14">
      <c r="A294" t="str">
        <f t="shared" si="60"/>
        <v>MK~LM_CN~AFFLUENT_MN~NONE_YQ~19Q1Q4_CP~PO5020004141-9_OB~TRAFFIC_PK~NONE</v>
      </c>
      <c r="B294" t="str">
        <f t="shared" si="61"/>
        <v>Facebook</v>
      </c>
      <c r="C294" t="str">
        <f t="shared" si="62"/>
        <v>CH~SOCIAL_DT~MULTI_PB~FCBK_FM~STORIES_RT~CPM_PD~AFFLUENT_MALLS_FREEVALET_STORIES_RIODESIGNLEBLON_1X1_TG~BHVDEM_TS~NONE_SZ~1X1_SOCIAL_MK~BR_IT~SOCIAL_VV~NONE</v>
      </c>
      <c r="D294" t="str">
        <f t="shared" si="63"/>
        <v>240515476</v>
      </c>
      <c r="E294" t="str">
        <f t="shared" si="64"/>
        <v>Dynamic Click</v>
      </c>
      <c r="F294" t="str">
        <f t="shared" si="65"/>
        <v>CH~SOCIAL_DT~MULTI_PB~FCBK_FM~STORIES_RT~CPM_PD~AFFLUENT_MALLS_FREEVALET_STORIES_RIODESIGNLEBLON_1X1_TG~BHVDEM_TS~NONE_SZ~1X1_SOCIAL_MK~BR_IT~SOCIAL_VV~NONE</v>
      </c>
      <c r="G294" t="str">
        <f t="shared" si="66"/>
        <v>437498834</v>
      </c>
      <c r="H294" t="str">
        <f t="shared" si="67"/>
        <v>Tracking</v>
      </c>
      <c r="I294">
        <f t="shared" si="68"/>
        <v>0</v>
      </c>
      <c r="J294">
        <f t="shared" si="69"/>
        <v>2</v>
      </c>
      <c r="K294" s="4">
        <f t="shared" si="58"/>
        <v>3.5000000000000001E-3</v>
      </c>
      <c r="L294">
        <f t="shared" si="59"/>
        <v>0.02</v>
      </c>
      <c r="M294" s="4">
        <f t="shared" si="70"/>
        <v>7.0000000000000001E-3</v>
      </c>
      <c r="N294" s="4">
        <f t="shared" si="71"/>
        <v>0.04</v>
      </c>
    </row>
    <row r="295" spans="1:14">
      <c r="A295" t="str">
        <f t="shared" si="60"/>
        <v>MK~LM_CN~AFFLUENT_MN~NONE_YQ~19Q1Q4_CP~PO5020004141-9_OB~TRAFFIC_PK~NONE</v>
      </c>
      <c r="B295" t="str">
        <f t="shared" si="61"/>
        <v>Facebook</v>
      </c>
      <c r="C295" t="str">
        <f t="shared" si="62"/>
        <v>CH~SOCIAL_DT~MULTI_PB~FCBK_FM~VERTICAL_RT~CPM_PD~AFFLUENT_DINNING_FREEVALET_VERTICAL_ASIATICA_1X1_TG~BHVDEM_TS~NONE_SZ~1X1_SOCIAL_MK~BR_IT~SOCIAL_VV~NONE</v>
      </c>
      <c r="D295" t="str">
        <f t="shared" si="63"/>
        <v>240447754</v>
      </c>
      <c r="E295" t="str">
        <f t="shared" si="64"/>
        <v>Dynamic Click</v>
      </c>
      <c r="F295" t="str">
        <f t="shared" si="65"/>
        <v>CH~SOCIAL_DT~MULTI_PB~FCBK_FM~VERTICAL_RT~CPM_PD~AFFLUENT_DINNING_FREEVALET_VERTICAL_ASIATICA_1X1_TG~BHVDEM_TS~NONE_SZ~1X1_SOCIAL_MK~BR_IT~SOCIAL_VV~NONE</v>
      </c>
      <c r="G295" t="str">
        <f t="shared" si="66"/>
        <v>437412368</v>
      </c>
      <c r="H295" t="str">
        <f t="shared" si="67"/>
        <v>Tracking</v>
      </c>
      <c r="I295">
        <f t="shared" si="68"/>
        <v>0</v>
      </c>
      <c r="J295">
        <f t="shared" si="69"/>
        <v>889</v>
      </c>
      <c r="K295" s="4">
        <f t="shared" si="58"/>
        <v>3.5000000000000001E-3</v>
      </c>
      <c r="L295">
        <f t="shared" si="59"/>
        <v>0.02</v>
      </c>
      <c r="M295" s="4">
        <f t="shared" si="70"/>
        <v>3.1114999999999999</v>
      </c>
      <c r="N295" s="4">
        <f t="shared" si="71"/>
        <v>17.78</v>
      </c>
    </row>
    <row r="296" spans="1:14">
      <c r="A296" t="str">
        <f t="shared" si="60"/>
        <v>MK~LM_CN~AFFLUENT_MN~NONE_YQ~19Q1Q4_CP~PO5020004141-9_OB~TRAFFIC_PK~NONE</v>
      </c>
      <c r="B296" t="str">
        <f t="shared" si="61"/>
        <v>Facebook</v>
      </c>
      <c r="C296" t="str">
        <f t="shared" si="62"/>
        <v>CH~SOCIAL_DT~MULTI_PB~FCBK_FM~VERTICAL_RT~CPM_PD~AFFLUENT_DINNING_FREEVALET_VERTICAL_MASSA_1X1_TG~BHVDEM_TS~NONE_SZ~1X1_SOCIAL_MK~BR_IT~SOCIAL_VV~NONE</v>
      </c>
      <c r="D296" t="str">
        <f t="shared" si="63"/>
        <v>240447751</v>
      </c>
      <c r="E296" t="str">
        <f t="shared" si="64"/>
        <v>Dynamic Click</v>
      </c>
      <c r="F296" t="str">
        <f t="shared" si="65"/>
        <v>CH~SOCIAL_DT~MULTI_PB~FCBK_FM~VERTICAL_RT~CPM_PD~AFFLUENT_DINNING_FREEVALET_VERTICAL_MASSA_1X1_TG~BHVDEM_TS~NONE_SZ~1X1_SOCIAL_MK~BR_IT~SOCIAL_VV~NONE</v>
      </c>
      <c r="G296" t="str">
        <f t="shared" si="66"/>
        <v>437412365</v>
      </c>
      <c r="H296" t="str">
        <f t="shared" si="67"/>
        <v>Tracking</v>
      </c>
      <c r="I296">
        <f t="shared" si="68"/>
        <v>0</v>
      </c>
      <c r="J296">
        <f t="shared" si="69"/>
        <v>1002</v>
      </c>
      <c r="K296" s="4">
        <f t="shared" si="58"/>
        <v>3.5000000000000001E-3</v>
      </c>
      <c r="L296">
        <f t="shared" si="59"/>
        <v>0.02</v>
      </c>
      <c r="M296" s="4">
        <f t="shared" si="70"/>
        <v>3.5070000000000001</v>
      </c>
      <c r="N296" s="4">
        <f t="shared" si="71"/>
        <v>20.04</v>
      </c>
    </row>
    <row r="297" spans="1:14">
      <c r="A297" t="str">
        <f t="shared" si="60"/>
        <v>MK~LM_CN~AFFLUENT_MN~NONE_YQ~19Q1Q4_CP~PO5020004141-9_OB~TRAFFIC_PK~NONE</v>
      </c>
      <c r="B297" t="str">
        <f t="shared" si="61"/>
        <v>Facebook</v>
      </c>
      <c r="C297" t="str">
        <f t="shared" si="62"/>
        <v>CH~SOCIAL_DT~MULTI_PB~FCBK_FM~VERTICAL_RT~CPM_PD~AFFLUENT_DINNING_FREEVALET_VERTICAL_STEAK_1X1_TG~BHVDEM_TS~NONE_SZ~1X1_SOCIAL_MK~BR_IT~SOCIAL_VV~NONE</v>
      </c>
      <c r="D297" t="str">
        <f t="shared" si="63"/>
        <v>240447748</v>
      </c>
      <c r="E297" t="str">
        <f t="shared" si="64"/>
        <v>Dynamic Click</v>
      </c>
      <c r="F297" t="str">
        <f t="shared" si="65"/>
        <v>CH~SOCIAL_DT~MULTI_PB~FCBK_FM~VERTICAL_RT~CPM_PD~AFFLUENT_DINNING_FREEVALET_VERTICAL_STEAK_1X1_TG~BHVDEM_TS~NONE_SZ~1X1_SOCIAL_MK~BR_IT~SOCIAL_VV~NONE</v>
      </c>
      <c r="G297" t="str">
        <f t="shared" si="66"/>
        <v>437412362</v>
      </c>
      <c r="H297" t="str">
        <f t="shared" si="67"/>
        <v>Tracking</v>
      </c>
      <c r="I297">
        <f t="shared" si="68"/>
        <v>0</v>
      </c>
      <c r="J297">
        <f t="shared" si="69"/>
        <v>914</v>
      </c>
      <c r="K297" s="4">
        <f t="shared" si="58"/>
        <v>3.5000000000000001E-3</v>
      </c>
      <c r="L297">
        <f t="shared" si="59"/>
        <v>0.02</v>
      </c>
      <c r="M297" s="4">
        <f t="shared" si="70"/>
        <v>3.1990000000000003</v>
      </c>
      <c r="N297" s="4">
        <f t="shared" si="71"/>
        <v>18.28</v>
      </c>
    </row>
    <row r="298" spans="1:14">
      <c r="A298" t="str">
        <f t="shared" si="60"/>
        <v>MK~LM_CN~AFFLUENT_MN~NONE_YQ~19Q1Q4_CP~PO5020004141-9_OB~TRAFFIC_PK~NONE</v>
      </c>
      <c r="B298" t="str">
        <f t="shared" si="61"/>
        <v>Facebook</v>
      </c>
      <c r="C298" t="str">
        <f t="shared" si="62"/>
        <v>CH~SOCIAL_DT~MULTI_PB~FCBK_FM~VERTICAL_RT~CPM_PD~AFFLUENT_DINNING_FREEVALET_VERTICAL_VEGETARIANA_1X1_TG~BHVDEM_TS~NONE_SZ~1X1_SOCIAL_MK~BR_IT~SOCIAL_VV~NONE</v>
      </c>
      <c r="D298" t="str">
        <f t="shared" si="63"/>
        <v>240447745</v>
      </c>
      <c r="E298" t="str">
        <f t="shared" si="64"/>
        <v>Dynamic Click</v>
      </c>
      <c r="F298" t="str">
        <f t="shared" si="65"/>
        <v>CH~SOCIAL_DT~MULTI_PB~FCBK_FM~VERTICAL_RT~CPM_PD~AFFLUENT_DINNING_FREEVALET_VERTICAL_VEGETARIANA_1X1_TG~BHVDEM_TS~NONE_SZ~1X1_SOCIAL_MK~BR_IT~SOCIAL_VV~NONE</v>
      </c>
      <c r="G298" t="str">
        <f t="shared" si="66"/>
        <v>437412359</v>
      </c>
      <c r="H298" t="str">
        <f t="shared" si="67"/>
        <v>Tracking</v>
      </c>
      <c r="I298">
        <f t="shared" si="68"/>
        <v>0</v>
      </c>
      <c r="J298">
        <f t="shared" si="69"/>
        <v>882</v>
      </c>
      <c r="K298" s="4">
        <f t="shared" si="58"/>
        <v>3.5000000000000001E-3</v>
      </c>
      <c r="L298">
        <f t="shared" si="59"/>
        <v>0.02</v>
      </c>
      <c r="M298" s="4">
        <f t="shared" si="70"/>
        <v>3.0870000000000002</v>
      </c>
      <c r="N298" s="4">
        <f t="shared" si="71"/>
        <v>17.64</v>
      </c>
    </row>
    <row r="299" spans="1:14">
      <c r="A299" t="str">
        <f t="shared" si="60"/>
        <v>MK~LM_CN~AFFLUENT_MN~NONE_YQ~19Q1Q4_CP~PO5020004141-9_OB~TRAFFIC_PK~NONE</v>
      </c>
      <c r="B299" t="str">
        <f t="shared" si="61"/>
        <v>Google Brasil</v>
      </c>
      <c r="C299" t="str">
        <f t="shared" si="62"/>
        <v>CH~DISPLAY_DT~MULTI_PB~GDBM_FM~BANNER_RT~CPM_PD~AFFLUENT_IGUATEMI_SP_300X250_300X250_TG~BHVDEM_TS~NONE_SZ~300X250_PROGRAMMATIC_MK~BR_IT~PROGRAMMATIC_VV~NONE</v>
      </c>
      <c r="D299" t="str">
        <f t="shared" si="63"/>
        <v>236764225</v>
      </c>
      <c r="E299" t="str">
        <f t="shared" si="64"/>
        <v>Standard</v>
      </c>
      <c r="F299" t="str">
        <f t="shared" si="65"/>
        <v>CH~DISPLAY_DT~MULTI_PB~GDBM_FM~BANNER_RT~CPM_PD~AFFLUENT_IGUATEMI_SP_300X250_300X250_TG~BHVDEM_TS~NONE_SZ~300X250_PROGRAMMATIC_MK~BR_IT~PROGRAMMATIC_VV~NONE</v>
      </c>
      <c r="G299" t="str">
        <f t="shared" si="66"/>
        <v>434122899</v>
      </c>
      <c r="H299" t="str">
        <f t="shared" si="67"/>
        <v>Display</v>
      </c>
      <c r="I299">
        <f t="shared" si="68"/>
        <v>29</v>
      </c>
      <c r="J299">
        <f t="shared" si="69"/>
        <v>30</v>
      </c>
      <c r="K299" s="4">
        <f t="shared" si="58"/>
        <v>3.8199999999999998E-2</v>
      </c>
      <c r="L299">
        <f t="shared" si="59"/>
        <v>0.09</v>
      </c>
      <c r="M299" s="4">
        <f t="shared" si="70"/>
        <v>1.1077999999999999E-3</v>
      </c>
      <c r="N299" s="4">
        <f t="shared" si="71"/>
        <v>2.6099999999999999E-3</v>
      </c>
    </row>
    <row r="300" spans="1:14">
      <c r="A300" t="str">
        <f t="shared" si="60"/>
        <v>MK~LM_CN~AFFLUENT_MN~NONE_YQ~19Q1Q4_CP~PO5020004141-9_OB~TRAFFIC_PK~NONE</v>
      </c>
      <c r="B300" t="str">
        <f t="shared" si="61"/>
        <v>Google Brasil</v>
      </c>
      <c r="C300" t="str">
        <f t="shared" si="62"/>
        <v>CH~DISPLAY_DT~MULTI_PB~GDBM_FM~BANNER_RT~CPM_PD~AFFLUENT_IGUATEMI_SP_300X600_300X600_TG~BHVDEM_TS~NONE_SZ~300X600_PROGRAMMATIC_MK~BR_IT~PROGRAMMATIC_VV~NONE</v>
      </c>
      <c r="D300" t="str">
        <f t="shared" si="63"/>
        <v>236764222</v>
      </c>
      <c r="E300" t="str">
        <f t="shared" si="64"/>
        <v>Standard</v>
      </c>
      <c r="F300" t="str">
        <f t="shared" si="65"/>
        <v>CH~DISPLAY_DT~MULTI_PB~GDBM_FM~BANNER_RT~CPM_PD~AFFLUENT_IGUATEMI_SP_300X600_300X600_TG~BHVDEM_TS~NONE_SZ~300X600_PROGRAMMATIC_MK~BR_IT~PROGRAMMATIC_VV~NONE</v>
      </c>
      <c r="G300" t="str">
        <f t="shared" si="66"/>
        <v>434122896</v>
      </c>
      <c r="H300" t="str">
        <f t="shared" si="67"/>
        <v>Display</v>
      </c>
      <c r="I300">
        <f t="shared" si="68"/>
        <v>0</v>
      </c>
      <c r="J300">
        <f t="shared" si="69"/>
        <v>30</v>
      </c>
      <c r="K300" s="4">
        <f t="shared" ref="K300:K363" si="72">IF(LEFT(B300,3)="DBM",0,VLOOKUP(E300,tabela,2,FALSE))</f>
        <v>3.8199999999999998E-2</v>
      </c>
      <c r="L300">
        <f t="shared" ref="L300:L363" si="73">VLOOKUP(E300,tabela,3,FALSE)</f>
        <v>0.09</v>
      </c>
      <c r="M300" s="4">
        <f t="shared" si="70"/>
        <v>0</v>
      </c>
      <c r="N300" s="4">
        <f t="shared" si="71"/>
        <v>0</v>
      </c>
    </row>
    <row r="301" spans="1:14">
      <c r="A301" t="str">
        <f t="shared" si="60"/>
        <v>MK~LM_CN~AFFLUENT_MN~NONE_YQ~19Q1Q4_CP~PO5020004141-9_OB~TRAFFIC_PK~NONE</v>
      </c>
      <c r="B301" t="str">
        <f t="shared" si="61"/>
        <v>Google Brasil</v>
      </c>
      <c r="C301" t="str">
        <f t="shared" si="62"/>
        <v>CH~DISPLAY_DT~MULTI_PB~GDBM_FM~BANNER_RT~CPM_PD~AFFLUENT_IGUATEMI_SP_728X90_728X90_TG~BHVDEM_TS~NONE_SZ~728X90_PROGRAMMATIC_MK~BR_IT~PROGRAMMATIC_VV~NONE</v>
      </c>
      <c r="D301" t="str">
        <f t="shared" si="63"/>
        <v>236764219</v>
      </c>
      <c r="E301" t="str">
        <f t="shared" si="64"/>
        <v>Standard</v>
      </c>
      <c r="F301" t="str">
        <f t="shared" si="65"/>
        <v>CH~DISPLAY_DT~MULTI_PB~GDBM_FM~BANNER_RT~CPM_PD~AFFLUENT_IGUATEMI_SP_728X90_728X90_TG~BHVDEM_TS~NONE_SZ~728X90_PROGRAMMATIC_MK~BR_IT~PROGRAMMATIC_VV~NONE</v>
      </c>
      <c r="G301" t="str">
        <f t="shared" si="66"/>
        <v>434122893</v>
      </c>
      <c r="H301" t="str">
        <f t="shared" si="67"/>
        <v>Display</v>
      </c>
      <c r="I301">
        <f t="shared" si="68"/>
        <v>2</v>
      </c>
      <c r="J301">
        <f t="shared" si="69"/>
        <v>0</v>
      </c>
      <c r="K301" s="4">
        <f t="shared" si="72"/>
        <v>3.8199999999999998E-2</v>
      </c>
      <c r="L301">
        <f t="shared" si="73"/>
        <v>0.09</v>
      </c>
      <c r="M301" s="4">
        <f t="shared" si="70"/>
        <v>7.64E-5</v>
      </c>
      <c r="N301" s="4">
        <f t="shared" si="71"/>
        <v>1.7999999999999998E-4</v>
      </c>
    </row>
    <row r="302" spans="1:14">
      <c r="A302" t="str">
        <f t="shared" si="60"/>
        <v>MK~LM_CN~AFFLUENT_MN~NONE_YQ~19Q1Q4_CP~PO5020004141-9_OB~TRAFFIC_PK~NONE</v>
      </c>
      <c r="B302" t="str">
        <f t="shared" si="61"/>
        <v>Google Brasil</v>
      </c>
      <c r="C302" t="str">
        <f t="shared" si="62"/>
        <v>CH~DISPLAY_DT~MULTI_PB~GDBM_FM~BANNER_RT~CPM_PD~AFFLUENT_MALLS_NATAL_CIDADEJARDIM_DBM_300X250_300X250_TG~BHVDEM_TS~NONE_SZ~300X250_PROGRAMMATIC_MK~BR_IT~PROGRAMMATIC_VV~NONE</v>
      </c>
      <c r="D302" t="str">
        <f t="shared" si="63"/>
        <v>236144893</v>
      </c>
      <c r="E302" t="str">
        <f t="shared" si="64"/>
        <v>Standard</v>
      </c>
      <c r="F302" t="str">
        <f t="shared" si="65"/>
        <v>CH~DISPLAY_DT~MULTI_PB~GDBM_FM~BANNER_RT~CPM_PD~AFFLUENT_MALLS_NATAL_CIDADEJARDIM_DBM_300X250_300X250_TG~BHVDEM_TS~NONE_SZ~300X250_PROGRAMMATIC_MK~BR_IT~PROGRAMMATIC_VV~NONE</v>
      </c>
      <c r="G302" t="str">
        <f t="shared" si="66"/>
        <v>433717534</v>
      </c>
      <c r="H302" t="str">
        <f t="shared" si="67"/>
        <v>Display</v>
      </c>
      <c r="I302">
        <f t="shared" si="68"/>
        <v>22</v>
      </c>
      <c r="J302">
        <f t="shared" si="69"/>
        <v>35</v>
      </c>
      <c r="K302" s="4">
        <f t="shared" si="72"/>
        <v>3.8199999999999998E-2</v>
      </c>
      <c r="L302">
        <f t="shared" si="73"/>
        <v>0.09</v>
      </c>
      <c r="M302" s="4">
        <f t="shared" si="70"/>
        <v>8.4039999999999994E-4</v>
      </c>
      <c r="N302" s="4">
        <f t="shared" si="71"/>
        <v>1.98E-3</v>
      </c>
    </row>
    <row r="303" spans="1:14">
      <c r="A303" t="str">
        <f t="shared" si="60"/>
        <v>MK~LM_CN~AFFLUENT_MN~NONE_YQ~19Q1Q4_CP~PO5020004141-9_OB~TRAFFIC_PK~NONE</v>
      </c>
      <c r="B303" t="str">
        <f t="shared" si="61"/>
        <v>Google Brasil</v>
      </c>
      <c r="C303" t="str">
        <f t="shared" si="62"/>
        <v>CH~DISPLAY_DT~MULTI_PB~GDBM_FM~BANNER_RT~CPM_PD~AFFLUENT_MALLS_NATAL_CIDADEJARDIM_DBM_300X600_300X600_TG~BHVDEM_TS~NONE_SZ~300X600_PROGRAMMATIC_MK~BR_IT~PROGRAMMATIC_VV~NONE</v>
      </c>
      <c r="D303" t="str">
        <f t="shared" si="63"/>
        <v>236144887</v>
      </c>
      <c r="E303" t="str">
        <f t="shared" si="64"/>
        <v>Standard</v>
      </c>
      <c r="F303" t="str">
        <f t="shared" si="65"/>
        <v>CH~DISPLAY_DT~MULTI_PB~GDBM_FM~BANNER_RT~CPM_PD~AFFLUENT_MALLS_NATAL_CIDADEJARDIM_DBM_300X600_300X600_TG~BHVDEM_TS~NONE_SZ~300X600_PROGRAMMATIC_MK~BR_IT~PROGRAMMATIC_VV~NONE</v>
      </c>
      <c r="G303" t="str">
        <f t="shared" si="66"/>
        <v>433717528</v>
      </c>
      <c r="H303" t="str">
        <f t="shared" si="67"/>
        <v>Display</v>
      </c>
      <c r="I303">
        <f t="shared" si="68"/>
        <v>3</v>
      </c>
      <c r="J303">
        <f t="shared" si="69"/>
        <v>49</v>
      </c>
      <c r="K303" s="4">
        <f t="shared" si="72"/>
        <v>3.8199999999999998E-2</v>
      </c>
      <c r="L303">
        <f t="shared" si="73"/>
        <v>0.09</v>
      </c>
      <c r="M303" s="4">
        <f t="shared" si="70"/>
        <v>1.1459999999999999E-4</v>
      </c>
      <c r="N303" s="4">
        <f t="shared" si="71"/>
        <v>2.7E-4</v>
      </c>
    </row>
    <row r="304" spans="1:14">
      <c r="A304" t="str">
        <f t="shared" si="60"/>
        <v>MK~LM_CN~AFFLUENT_MN~NONE_YQ~19Q1Q4_CP~PO5020004141-9_OB~TRAFFIC_PK~NONE</v>
      </c>
      <c r="B304" t="str">
        <f t="shared" si="61"/>
        <v>Google Brasil</v>
      </c>
      <c r="C304" t="str">
        <f t="shared" si="62"/>
        <v>CH~DISPLAY_DT~MULTI_PB~GDBM_FM~BANNER_RT~CPM_PD~AFFLUENT_MALLS_NATAL_CIDADEJARDIM_DBM_728X90_728X90_TG~BHVDEM_TS~NONE_SZ~728X90_PROGRAMMATIC_MK~BR_IT~PROGRAMMATIC_VV~NONE</v>
      </c>
      <c r="D304" t="str">
        <f t="shared" si="63"/>
        <v>236144881</v>
      </c>
      <c r="E304" t="str">
        <f t="shared" si="64"/>
        <v>Standard</v>
      </c>
      <c r="F304" t="str">
        <f t="shared" si="65"/>
        <v>CH~DISPLAY_DT~MULTI_PB~GDBM_FM~BANNER_RT~CPM_PD~AFFLUENT_MALLS_NATAL_CIDADEJARDIM_DBM_728X90_728X90_TG~BHVDEM_TS~NONE_SZ~728X90_PROGRAMMATIC_MK~BR_IT~PROGRAMMATIC_VV~NONE</v>
      </c>
      <c r="G304" t="str">
        <f t="shared" si="66"/>
        <v>433717522</v>
      </c>
      <c r="H304" t="str">
        <f t="shared" si="67"/>
        <v>Display</v>
      </c>
      <c r="I304">
        <f t="shared" si="68"/>
        <v>0</v>
      </c>
      <c r="J304">
        <f t="shared" si="69"/>
        <v>1</v>
      </c>
      <c r="K304" s="4">
        <f t="shared" si="72"/>
        <v>3.8199999999999998E-2</v>
      </c>
      <c r="L304">
        <f t="shared" si="73"/>
        <v>0.09</v>
      </c>
      <c r="M304" s="4">
        <f t="shared" si="70"/>
        <v>0</v>
      </c>
      <c r="N304" s="4">
        <f t="shared" si="71"/>
        <v>0</v>
      </c>
    </row>
    <row r="305" spans="1:14">
      <c r="A305" t="str">
        <f t="shared" si="60"/>
        <v>MK~LM_CN~AFFLUENT_MN~NONE_YQ~19Q1Q4_CP~PO5020004141-9_OB~TRAFFIC_PK~NONE</v>
      </c>
      <c r="B305" t="str">
        <f t="shared" si="61"/>
        <v>Google Brasil</v>
      </c>
      <c r="C305" t="str">
        <f t="shared" si="62"/>
        <v>CH~DISPLAY_DT~MULTI_PB~GDBM_FM~BANNER_RT~CPM_PD~AFFLUENT_MALLS_NATAL_IGUATEMIALPHAVILLE_DBM_300X250_300X250_TG~BHVDEM_TS~NONE_SZ~300X250_PROGRAMMATIC_MK~BR_IT~PROGRAMMATIC_VV~NONE</v>
      </c>
      <c r="D305" t="str">
        <f t="shared" si="63"/>
        <v>236144890</v>
      </c>
      <c r="E305" t="str">
        <f t="shared" si="64"/>
        <v>Standard</v>
      </c>
      <c r="F305" t="str">
        <f t="shared" si="65"/>
        <v>CH~DISPLAY_DT~MULTI_PB~GDBM_FM~BANNER_RT~CPM_PD~AFFLUENT_MALLS_NATAL_IGUATEMIALPHAVILLE_DBM_300X250_300X250_TG~BHVDEM_TS~NONE_SZ~300X250_PROGRAMMATIC_MK~BR_IT~PROGRAMMATIC_VV~NONE</v>
      </c>
      <c r="G305" t="str">
        <f t="shared" si="66"/>
        <v>433717531</v>
      </c>
      <c r="H305" t="str">
        <f t="shared" si="67"/>
        <v>Display</v>
      </c>
      <c r="I305">
        <f t="shared" si="68"/>
        <v>54</v>
      </c>
      <c r="J305">
        <f t="shared" si="69"/>
        <v>66</v>
      </c>
      <c r="K305" s="4">
        <f t="shared" si="72"/>
        <v>3.8199999999999998E-2</v>
      </c>
      <c r="L305">
        <f t="shared" si="73"/>
        <v>0.09</v>
      </c>
      <c r="M305" s="4">
        <f t="shared" si="70"/>
        <v>2.0627999999999996E-3</v>
      </c>
      <c r="N305" s="4">
        <f t="shared" si="71"/>
        <v>4.8599999999999997E-3</v>
      </c>
    </row>
    <row r="306" spans="1:14">
      <c r="A306" t="str">
        <f t="shared" si="60"/>
        <v>MK~LM_CN~AFFLUENT_MN~NONE_YQ~19Q1Q4_CP~PO5020004141-9_OB~TRAFFIC_PK~NONE</v>
      </c>
      <c r="B306" t="str">
        <f t="shared" si="61"/>
        <v>Google Brasil</v>
      </c>
      <c r="C306" t="str">
        <f t="shared" si="62"/>
        <v>CH~DISPLAY_DT~MULTI_PB~GDBM_FM~BANNER_RT~CPM_PD~AFFLUENT_MALLS_NATAL_IGUATEMIALPHAVILLE_DBM_300X600_300X600_TG~BHVDEM_TS~NONE_SZ~300X600_PROGRAMMATIC_MK~BR_IT~PROGRAMMATIC_VV~NONE</v>
      </c>
      <c r="D306" t="str">
        <f t="shared" si="63"/>
        <v>236144884</v>
      </c>
      <c r="E306" t="str">
        <f t="shared" si="64"/>
        <v>Standard</v>
      </c>
      <c r="F306" t="str">
        <f t="shared" si="65"/>
        <v>CH~DISPLAY_DT~MULTI_PB~GDBM_FM~BANNER_RT~CPM_PD~AFFLUENT_MALLS_NATAL_IGUATEMIALPHAVILLE_DBM_300X600_300X600_TG~BHVDEM_TS~NONE_SZ~300X600_PROGRAMMATIC_MK~BR_IT~PROGRAMMATIC_VV~NONE</v>
      </c>
      <c r="G306" t="str">
        <f t="shared" si="66"/>
        <v>433717525</v>
      </c>
      <c r="H306" t="str">
        <f t="shared" si="67"/>
        <v>Display</v>
      </c>
      <c r="I306">
        <f t="shared" si="68"/>
        <v>4</v>
      </c>
      <c r="J306">
        <f t="shared" si="69"/>
        <v>50</v>
      </c>
      <c r="K306" s="4">
        <f t="shared" si="72"/>
        <v>3.8199999999999998E-2</v>
      </c>
      <c r="L306">
        <f t="shared" si="73"/>
        <v>0.09</v>
      </c>
      <c r="M306" s="4">
        <f t="shared" si="70"/>
        <v>1.528E-4</v>
      </c>
      <c r="N306" s="4">
        <f t="shared" si="71"/>
        <v>3.5999999999999997E-4</v>
      </c>
    </row>
    <row r="307" spans="1:14">
      <c r="A307" t="str">
        <f t="shared" si="60"/>
        <v>MK~LM_CN~AFFLUENT_MN~NONE_YQ~19Q1Q4_CP~PO5020004141-9_OB~TRAFFIC_PK~NONE</v>
      </c>
      <c r="B307" t="str">
        <f t="shared" si="61"/>
        <v>Google Brasil</v>
      </c>
      <c r="C307" t="str">
        <f t="shared" si="62"/>
        <v>CH~DISPLAY_DT~MULTI_PB~GDBM_FM~BANNER_RT~CPM_PD~AFFLUENT_MALLS_NATAL_IGUATEMIALPHAVILLE_DBM_728X90_728X90_TG~BHVDEM_TS~NONE_SZ~728X90_PROGRAMMATIC_MK~BR_IT~PROGRAMMATIC_VV~NONE</v>
      </c>
      <c r="D307" t="str">
        <f t="shared" si="63"/>
        <v>236144878</v>
      </c>
      <c r="E307" t="str">
        <f t="shared" si="64"/>
        <v>Standard</v>
      </c>
      <c r="F307" t="str">
        <f t="shared" si="65"/>
        <v>CH~DISPLAY_DT~MULTI_PB~GDBM_FM~BANNER_RT~CPM_PD~AFFLUENT_MALLS_NATAL_IGUATEMIALPHAVILLE_DBM_728X90_728X90_TG~BHVDEM_TS~NONE_SZ~728X90_PROGRAMMATIC_MK~BR_IT~PROGRAMMATIC_VV~NONE</v>
      </c>
      <c r="G307" t="str">
        <f t="shared" si="66"/>
        <v>433717519</v>
      </c>
      <c r="H307" t="str">
        <f t="shared" si="67"/>
        <v>Display</v>
      </c>
      <c r="I307">
        <f t="shared" si="68"/>
        <v>2</v>
      </c>
      <c r="J307">
        <f t="shared" si="69"/>
        <v>2</v>
      </c>
      <c r="K307" s="4">
        <f t="shared" si="72"/>
        <v>3.8199999999999998E-2</v>
      </c>
      <c r="L307">
        <f t="shared" si="73"/>
        <v>0.09</v>
      </c>
      <c r="M307" s="4">
        <f t="shared" si="70"/>
        <v>7.64E-5</v>
      </c>
      <c r="N307" s="4">
        <f t="shared" si="71"/>
        <v>1.7999999999999998E-4</v>
      </c>
    </row>
    <row r="308" spans="1:14">
      <c r="A308" t="str">
        <f t="shared" si="60"/>
        <v>MK~LM_CN~AFFLUENT_MN~NONE_YQ~19Q1Q4_CP~PO5020004141-9_OB~TRAFFIC_PK~NONE</v>
      </c>
      <c r="B308" t="str">
        <f t="shared" si="61"/>
        <v>Google Brasil</v>
      </c>
      <c r="C308" t="str">
        <f t="shared" si="62"/>
        <v>CH~DISPLAY_DT~MULTI_PB~GDBM_FM~BANNER_RT~CPM_PD~AFFLUENT_MALLS_NATAL_IGUATEMIBRASILIA_DBM_300X250_300X250_TG~BHVDEM_TS~NONE_SZ~300X250_PROGRAMMATIC_MK~BR_IT~PROGRAMMATIC_VV~NONE</v>
      </c>
      <c r="D308" t="str">
        <f t="shared" si="63"/>
        <v>236144872</v>
      </c>
      <c r="E308" t="str">
        <f t="shared" si="64"/>
        <v>Standard</v>
      </c>
      <c r="F308" t="str">
        <f t="shared" si="65"/>
        <v>CH~DISPLAY_DT~MULTI_PB~GDBM_FM~BANNER_RT~CPM_PD~AFFLUENT_MALLS_NATAL_IGUATEMIBRASILIA_DBM_300X250_300X250_TG~BHVDEM_TS~NONE_SZ~300X250_PROGRAMMATIC_MK~BR_IT~PROGRAMMATIC_VV~NONE</v>
      </c>
      <c r="G308" t="str">
        <f t="shared" si="66"/>
        <v>433717513</v>
      </c>
      <c r="H308" t="str">
        <f t="shared" si="67"/>
        <v>Display</v>
      </c>
      <c r="I308">
        <f t="shared" si="68"/>
        <v>10</v>
      </c>
      <c r="J308">
        <f t="shared" si="69"/>
        <v>4</v>
      </c>
      <c r="K308" s="4">
        <f t="shared" si="72"/>
        <v>3.8199999999999998E-2</v>
      </c>
      <c r="L308">
        <f t="shared" si="73"/>
        <v>0.09</v>
      </c>
      <c r="M308" s="4">
        <f t="shared" si="70"/>
        <v>3.8200000000000002E-4</v>
      </c>
      <c r="N308" s="4">
        <f t="shared" si="71"/>
        <v>8.9999999999999987E-4</v>
      </c>
    </row>
    <row r="309" spans="1:14">
      <c r="A309" t="str">
        <f t="shared" si="60"/>
        <v>MK~LM_CN~AFFLUENT_MN~NONE_YQ~19Q1Q4_CP~PO5020004141-9_OB~TRAFFIC_PK~NONE</v>
      </c>
      <c r="B309" t="str">
        <f t="shared" si="61"/>
        <v>Google Brasil</v>
      </c>
      <c r="C309" t="str">
        <f t="shared" si="62"/>
        <v>CH~DISPLAY_DT~MULTI_PB~GDBM_FM~BANNER_RT~CPM_PD~AFFLUENT_MALLS_NATAL_IGUATEMIBRASILIA_DBM_300X600_300X600_TG~BHVDEM_TS~NONE_SZ~300X600_PROGRAMMATIC_MK~BR_IT~PROGRAMMATIC_VV~NONE</v>
      </c>
      <c r="D309" t="str">
        <f t="shared" si="63"/>
        <v>236144869</v>
      </c>
      <c r="E309" t="str">
        <f t="shared" si="64"/>
        <v>Standard</v>
      </c>
      <c r="F309" t="str">
        <f t="shared" si="65"/>
        <v>CH~DISPLAY_DT~MULTI_PB~GDBM_FM~BANNER_RT~CPM_PD~AFFLUENT_MALLS_NATAL_IGUATEMIBRASILIA_DBM_300X600_300X600_TG~BHVDEM_TS~NONE_SZ~300X600_PROGRAMMATIC_MK~BR_IT~PROGRAMMATIC_VV~NONE</v>
      </c>
      <c r="G309" t="str">
        <f t="shared" si="66"/>
        <v>433717510</v>
      </c>
      <c r="H309" t="str">
        <f t="shared" si="67"/>
        <v>Display</v>
      </c>
      <c r="I309">
        <f t="shared" si="68"/>
        <v>1</v>
      </c>
      <c r="J309">
        <f t="shared" si="69"/>
        <v>12</v>
      </c>
      <c r="K309" s="4">
        <f t="shared" si="72"/>
        <v>3.8199999999999998E-2</v>
      </c>
      <c r="L309">
        <f t="shared" si="73"/>
        <v>0.09</v>
      </c>
      <c r="M309" s="4">
        <f t="shared" si="70"/>
        <v>3.82E-5</v>
      </c>
      <c r="N309" s="4">
        <f t="shared" si="71"/>
        <v>8.9999999999999992E-5</v>
      </c>
    </row>
    <row r="310" spans="1:14">
      <c r="A310" t="str">
        <f t="shared" si="60"/>
        <v>MK~LM_CN~AFFLUENT_MN~NONE_YQ~19Q1Q4_CP~PO5020004141-9_OB~TRAFFIC_PK~NONE</v>
      </c>
      <c r="B310" t="str">
        <f t="shared" si="61"/>
        <v>Google Brasil</v>
      </c>
      <c r="C310" t="str">
        <f t="shared" si="62"/>
        <v>CH~DISPLAY_DT~MULTI_PB~GDBM_FM~BANNER_RT~CPM_PD~AFFLUENT_RIO_BARRA_300X250_300X250_TG~BHVDEM_TS~NONE_SZ~300X250_PROGRAMMATIC_MK~BR_IT~PROGRAMMATIC_VV~NONE</v>
      </c>
      <c r="D310" t="str">
        <f t="shared" si="63"/>
        <v>236764243</v>
      </c>
      <c r="E310" t="str">
        <f t="shared" si="64"/>
        <v>Standard</v>
      </c>
      <c r="F310" t="str">
        <f t="shared" si="65"/>
        <v>CH~DISPLAY_DT~MULTI_PB~GDBM_FM~BANNER_RT~CPM_PD~AFFLUENT_RIO_BARRA_300X250_300X250_TG~BHVDEM_TS~NONE_SZ~300X250_PROGRAMMATIC_MK~BR_IT~PROGRAMMATIC_VV~NONE</v>
      </c>
      <c r="G310" t="str">
        <f t="shared" si="66"/>
        <v>434122917</v>
      </c>
      <c r="H310" t="str">
        <f t="shared" si="67"/>
        <v>Display</v>
      </c>
      <c r="I310">
        <f t="shared" si="68"/>
        <v>12</v>
      </c>
      <c r="J310">
        <f t="shared" si="69"/>
        <v>15</v>
      </c>
      <c r="K310" s="4">
        <f t="shared" si="72"/>
        <v>3.8199999999999998E-2</v>
      </c>
      <c r="L310">
        <f t="shared" si="73"/>
        <v>0.09</v>
      </c>
      <c r="M310" s="4">
        <f t="shared" si="70"/>
        <v>4.5839999999999998E-4</v>
      </c>
      <c r="N310" s="4">
        <f t="shared" si="71"/>
        <v>1.08E-3</v>
      </c>
    </row>
    <row r="311" spans="1:14">
      <c r="A311" t="str">
        <f t="shared" si="60"/>
        <v>MK~LM_CN~AFFLUENT_MN~NONE_YQ~19Q1Q4_CP~PO5020004141-9_OB~TRAFFIC_PK~NONE</v>
      </c>
      <c r="B311" t="str">
        <f t="shared" si="61"/>
        <v>Google Brasil</v>
      </c>
      <c r="C311" t="str">
        <f t="shared" si="62"/>
        <v>CH~DISPLAY_DT~MULTI_PB~GDBM_FM~BANNER_RT~CPM_PD~AFFLUENT_RIO_BARRA_300X600_300X600_TG~BHVDEM_TS~NONE_SZ~300X600_PROGRAMMATIC_MK~BR_IT~PROGRAMMATIC_VV~NONE</v>
      </c>
      <c r="D311" t="str">
        <f t="shared" si="63"/>
        <v>236764237</v>
      </c>
      <c r="E311" t="str">
        <f t="shared" si="64"/>
        <v>Standard</v>
      </c>
      <c r="F311" t="str">
        <f t="shared" si="65"/>
        <v>CH~DISPLAY_DT~MULTI_PB~GDBM_FM~BANNER_RT~CPM_PD~AFFLUENT_RIO_BARRA_300X600_300X600_TG~BHVDEM_TS~NONE_SZ~300X600_PROGRAMMATIC_MK~BR_IT~PROGRAMMATIC_VV~NONE</v>
      </c>
      <c r="G311" t="str">
        <f t="shared" si="66"/>
        <v>434122911</v>
      </c>
      <c r="H311" t="str">
        <f t="shared" si="67"/>
        <v>Display</v>
      </c>
      <c r="I311">
        <f t="shared" si="68"/>
        <v>2</v>
      </c>
      <c r="J311">
        <f t="shared" si="69"/>
        <v>23</v>
      </c>
      <c r="K311" s="4">
        <f t="shared" si="72"/>
        <v>3.8199999999999998E-2</v>
      </c>
      <c r="L311">
        <f t="shared" si="73"/>
        <v>0.09</v>
      </c>
      <c r="M311" s="4">
        <f t="shared" si="70"/>
        <v>7.64E-5</v>
      </c>
      <c r="N311" s="4">
        <f t="shared" si="71"/>
        <v>1.7999999999999998E-4</v>
      </c>
    </row>
    <row r="312" spans="1:14">
      <c r="A312" t="str">
        <f t="shared" si="60"/>
        <v>MK~LM_CN~AFFLUENT_MN~NONE_YQ~19Q1Q4_CP~PO5020004141-9_OB~TRAFFIC_PK~NONE</v>
      </c>
      <c r="B312" t="str">
        <f t="shared" si="61"/>
        <v>Google Brasil</v>
      </c>
      <c r="C312" t="str">
        <f t="shared" si="62"/>
        <v>CH~DISPLAY_DT~MULTI_PB~GDBM_FM~BANNER_RT~CPM_PD~AFFLUENT_RIO_LEBLON_300X250_300X250_TG~BHVDEM_TS~NONE_SZ~300X250_PROGRAMMATIC_MK~BR_IT~PROGRAMMATIC_VV~NONE</v>
      </c>
      <c r="D312" t="str">
        <f t="shared" si="63"/>
        <v>236764246</v>
      </c>
      <c r="E312" t="str">
        <f t="shared" si="64"/>
        <v>Standard</v>
      </c>
      <c r="F312" t="str">
        <f t="shared" si="65"/>
        <v>CH~DISPLAY_DT~MULTI_PB~GDBM_FM~BANNER_RT~CPM_PD~AFFLUENT_RIO_LEBLON_300X250_300X250_TG~BHVDEM_TS~NONE_SZ~300X250_PROGRAMMATIC_MK~BR_IT~PROGRAMMATIC_VV~NONE</v>
      </c>
      <c r="G312" t="str">
        <f t="shared" si="66"/>
        <v>434122920</v>
      </c>
      <c r="H312" t="str">
        <f t="shared" si="67"/>
        <v>Display</v>
      </c>
      <c r="I312">
        <f t="shared" si="68"/>
        <v>73</v>
      </c>
      <c r="J312">
        <f t="shared" si="69"/>
        <v>65</v>
      </c>
      <c r="K312" s="4">
        <f t="shared" si="72"/>
        <v>3.8199999999999998E-2</v>
      </c>
      <c r="L312">
        <f t="shared" si="73"/>
        <v>0.09</v>
      </c>
      <c r="M312" s="4">
        <f t="shared" si="70"/>
        <v>2.7885999999999996E-3</v>
      </c>
      <c r="N312" s="4">
        <f t="shared" si="71"/>
        <v>6.5699999999999995E-3</v>
      </c>
    </row>
    <row r="313" spans="1:14">
      <c r="A313" t="str">
        <f t="shared" si="60"/>
        <v>MK~LM_CN~AFFLUENT_MN~NONE_YQ~19Q1Q4_CP~PO5020004141-9_OB~TRAFFIC_PK~NONE</v>
      </c>
      <c r="B313" t="str">
        <f t="shared" si="61"/>
        <v>Google Brasil</v>
      </c>
      <c r="C313" t="str">
        <f t="shared" si="62"/>
        <v>CH~DISPLAY_DT~MULTI_PB~GDBM_FM~BANNER_RT~CPM_PD~AFFLUENT_RIO_LEBLON_300X600_300X600_TG~BHVDEM_TS~NONE_SZ~300X600_PROGRAMMATIC_MK~BR_IT~PROGRAMMATIC_VV~NONE</v>
      </c>
      <c r="D313" t="str">
        <f t="shared" si="63"/>
        <v>236764240</v>
      </c>
      <c r="E313" t="str">
        <f t="shared" si="64"/>
        <v>Standard</v>
      </c>
      <c r="F313" t="str">
        <f t="shared" si="65"/>
        <v>CH~DISPLAY_DT~MULTI_PB~GDBM_FM~BANNER_RT~CPM_PD~AFFLUENT_RIO_LEBLON_300X600_300X600_TG~BHVDEM_TS~NONE_SZ~300X600_PROGRAMMATIC_MK~BR_IT~PROGRAMMATIC_VV~NONE</v>
      </c>
      <c r="G313" t="str">
        <f t="shared" si="66"/>
        <v>434122914</v>
      </c>
      <c r="H313" t="str">
        <f t="shared" si="67"/>
        <v>Display</v>
      </c>
      <c r="I313">
        <f t="shared" si="68"/>
        <v>2</v>
      </c>
      <c r="J313">
        <f t="shared" si="69"/>
        <v>58</v>
      </c>
      <c r="K313" s="4">
        <f t="shared" si="72"/>
        <v>3.8199999999999998E-2</v>
      </c>
      <c r="L313">
        <f t="shared" si="73"/>
        <v>0.09</v>
      </c>
      <c r="M313" s="4">
        <f t="shared" si="70"/>
        <v>7.64E-5</v>
      </c>
      <c r="N313" s="4">
        <f t="shared" si="71"/>
        <v>1.7999999999999998E-4</v>
      </c>
    </row>
    <row r="314" spans="1:14">
      <c r="A314" t="str">
        <f t="shared" si="60"/>
        <v>MK~LM_CN~AFFLUENT_MN~NONE_YQ~19Q1Q4_CP~PO5020004141-9_OB~TRAFFIC_PK~NONE</v>
      </c>
      <c r="B314" t="str">
        <f t="shared" si="61"/>
        <v>Google Brasil</v>
      </c>
      <c r="C314" t="str">
        <f t="shared" si="62"/>
        <v>CH~DISPLAY_DT~MULTI_PB~GDBM_FM~BANNER_RT~CPM_PD~AFFLUENT_RIO_LEBLON_728X90_728X90_TG~BHVDEM_TS~NONE_SZ~728X90_PROGRAMMATIC_MK~BR_IT~PROGRAMMATIC_VV~NONE</v>
      </c>
      <c r="D314" t="str">
        <f t="shared" si="63"/>
        <v>236764234</v>
      </c>
      <c r="E314" t="str">
        <f t="shared" si="64"/>
        <v>Standard</v>
      </c>
      <c r="F314" t="str">
        <f t="shared" si="65"/>
        <v>CH~DISPLAY_DT~MULTI_PB~GDBM_FM~BANNER_RT~CPM_PD~AFFLUENT_RIO_LEBLON_728X90_728X90_TG~BHVDEM_TS~NONE_SZ~728X90_PROGRAMMATIC_MK~BR_IT~PROGRAMMATIC_VV~NONE</v>
      </c>
      <c r="G314" t="str">
        <f t="shared" si="66"/>
        <v>434122908</v>
      </c>
      <c r="H314" t="str">
        <f t="shared" si="67"/>
        <v>Display</v>
      </c>
      <c r="I314">
        <f t="shared" si="68"/>
        <v>0</v>
      </c>
      <c r="J314">
        <f t="shared" si="69"/>
        <v>1</v>
      </c>
      <c r="K314" s="4">
        <f t="shared" si="72"/>
        <v>3.8199999999999998E-2</v>
      </c>
      <c r="L314">
        <f t="shared" si="73"/>
        <v>0.09</v>
      </c>
      <c r="M314" s="4">
        <f t="shared" si="70"/>
        <v>0</v>
      </c>
      <c r="N314" s="4">
        <f t="shared" si="71"/>
        <v>0</v>
      </c>
    </row>
    <row r="315" spans="1:14">
      <c r="A315" t="str">
        <f t="shared" si="60"/>
        <v>MK~LM_CN~AFFLUENT_MN~NONE_YQ~19Q1Q4_CP~PO5020004141-9_OB~TRAFFIC_PK~NONE</v>
      </c>
      <c r="B315" t="str">
        <f t="shared" si="61"/>
        <v>Google Brasil</v>
      </c>
      <c r="C315" t="str">
        <f t="shared" si="62"/>
        <v>CH~SEARCH_DT~MULTI_PB~GADS_FM~SEARCH_RT~CPC_PD~AFFLUENT_DINNING_SEARCH_1X1_TG~BHVDEM_TS~NONE_SZ~1X1_SEARCH_MK~BR_IT~SEARCH_VV~NONE</v>
      </c>
      <c r="D315" t="str">
        <f t="shared" si="63"/>
        <v>237712888</v>
      </c>
      <c r="E315" t="str">
        <f t="shared" si="64"/>
        <v>Dynamic Click</v>
      </c>
      <c r="F315" t="str">
        <f t="shared" si="65"/>
        <v>CH~SEARCH_DT~MULTI_PB~GADS_FM~SEARCH_RT~CPC_PD~AFFLUENT_DINNING_SEARCH_1X1_TG~BHVDEM_TS~NONE_SZ~1X1_SEARCH_MK~BR_IT~SEARCH_VV~NONE</v>
      </c>
      <c r="G315" t="str">
        <f t="shared" si="66"/>
        <v>435014483</v>
      </c>
      <c r="H315" t="str">
        <f t="shared" si="67"/>
        <v>Tracking</v>
      </c>
      <c r="I315">
        <f t="shared" si="68"/>
        <v>0</v>
      </c>
      <c r="J315">
        <f t="shared" si="69"/>
        <v>1</v>
      </c>
      <c r="K315" s="4">
        <f t="shared" si="72"/>
        <v>3.5000000000000001E-3</v>
      </c>
      <c r="L315">
        <f t="shared" si="73"/>
        <v>0.02</v>
      </c>
      <c r="M315" s="4">
        <f t="shared" si="70"/>
        <v>3.5000000000000001E-3</v>
      </c>
      <c r="N315" s="4">
        <f t="shared" si="71"/>
        <v>0.02</v>
      </c>
    </row>
    <row r="316" spans="1:14">
      <c r="A316" t="str">
        <f t="shared" si="60"/>
        <v>MK~LM_CN~AFFLUENT_MN~NONE_YQ~19Q1Q4_CP~PO5020004141-9_OB~TRAFFIC_PK~NONE</v>
      </c>
      <c r="B316" t="str">
        <f t="shared" si="61"/>
        <v>Google Brasil</v>
      </c>
      <c r="C316" t="str">
        <f t="shared" si="62"/>
        <v>CH~SEARCH_DT~MULTI_PB~GADS_FM~SEARCH_RT~CPC_PD~AFFLUENT_INSTITUCIONAL_INFINITE_SEARCH_1X1_TG~BHVDEM_TS~NONE_SZ~1X1_SEARCH_MK~BR_IT~SEARCH_VV~NONE</v>
      </c>
      <c r="D316" t="str">
        <f t="shared" si="63"/>
        <v>237718156</v>
      </c>
      <c r="E316" t="str">
        <f t="shared" si="64"/>
        <v>Dynamic Click</v>
      </c>
      <c r="F316" t="str">
        <f t="shared" si="65"/>
        <v>CH~SEARCH_DT~MULTI_PB~GADS_FM~SEARCH_RT~CPC_PD~AFFLUENT_INSTITUCIONAL_INFINITE_SEARCH_1X1_TG~BHVDEM_TS~NONE_SZ~1X1_SEARCH_MK~BR_IT~SEARCH_VV~NONE</v>
      </c>
      <c r="G316" t="str">
        <f t="shared" si="66"/>
        <v>435122434</v>
      </c>
      <c r="H316" t="str">
        <f t="shared" si="67"/>
        <v>Tracking</v>
      </c>
      <c r="I316">
        <f t="shared" si="68"/>
        <v>0</v>
      </c>
      <c r="J316">
        <f t="shared" si="69"/>
        <v>2</v>
      </c>
      <c r="K316" s="4">
        <f t="shared" si="72"/>
        <v>3.5000000000000001E-3</v>
      </c>
      <c r="L316">
        <f t="shared" si="73"/>
        <v>0.02</v>
      </c>
      <c r="M316" s="4">
        <f t="shared" si="70"/>
        <v>7.0000000000000001E-3</v>
      </c>
      <c r="N316" s="4">
        <f t="shared" si="71"/>
        <v>0.04</v>
      </c>
    </row>
    <row r="317" spans="1:14">
      <c r="A317" t="str">
        <f t="shared" si="60"/>
        <v>MK~LM_CN~AFFLUENT_MN~NONE_YQ~19Q1Q4_CP~PO5020004141-9_OB~TRAFFIC_PK~NONE</v>
      </c>
      <c r="B317" t="str">
        <f t="shared" si="61"/>
        <v>Google Brasil</v>
      </c>
      <c r="C317" t="str">
        <f t="shared" si="62"/>
        <v>CH~SEARCH_DT~MULTI_PB~GADS_FM~SEARCH_RT~CPC_PD~AFFLUENT_INSTITUCIONAL_LOUGEKEY_INFINITE_SEARCH_1X1_TG~BHVDEM_TS~NONE_SZ~1X1_SEARCH_MK~BR_IT~SEARCH_VV~NONE</v>
      </c>
      <c r="D317" t="str">
        <f t="shared" si="63"/>
        <v>238195701</v>
      </c>
      <c r="E317" t="str">
        <f t="shared" si="64"/>
        <v>Dynamic Click</v>
      </c>
      <c r="F317" t="str">
        <f t="shared" si="65"/>
        <v>CH~SEARCH_DT~MULTI_PB~GADS_FM~SEARCH_RT~CPC_PD~AFFLUENT_INSTITUCIONAL_LOUGEKEY_INFINITE_SEARCH_1X1_TG~BHVDEM_TS~NONE_SZ~1X1_SEARCH_MK~BR_IT~SEARCH_VV~NONE</v>
      </c>
      <c r="G317" t="str">
        <f t="shared" si="66"/>
        <v>435120389</v>
      </c>
      <c r="H317" t="str">
        <f t="shared" si="67"/>
        <v>Tracking</v>
      </c>
      <c r="I317">
        <f t="shared" si="68"/>
        <v>0</v>
      </c>
      <c r="J317">
        <f t="shared" si="69"/>
        <v>2</v>
      </c>
      <c r="K317" s="4">
        <f t="shared" si="72"/>
        <v>3.5000000000000001E-3</v>
      </c>
      <c r="L317">
        <f t="shared" si="73"/>
        <v>0.02</v>
      </c>
      <c r="M317" s="4">
        <f t="shared" si="70"/>
        <v>7.0000000000000001E-3</v>
      </c>
      <c r="N317" s="4">
        <f t="shared" si="71"/>
        <v>0.04</v>
      </c>
    </row>
    <row r="318" spans="1:14">
      <c r="A318" t="str">
        <f t="shared" si="60"/>
        <v>MK~LM_CN~AFFLUENT_MN~NONE_YQ~19Q1Q4_CP~PO5020004141-9_OB~TRAFFIC_PK~NONE</v>
      </c>
      <c r="B318" t="str">
        <f t="shared" si="61"/>
        <v>Google Brasil</v>
      </c>
      <c r="C318" t="str">
        <f t="shared" si="62"/>
        <v>CH~SEARCH_DT~MULTI_PB~GADS_FM~SEARCH_RT~CPC_PD~AFFLUENT_INSTITUCIONAL_LUXURYHOTEL_INFINITE_SEARCH_1X1_TG~BHVDEM_TS~NONE_SZ~1X1_SEARCH_MK~BR_IT~SEARCH_VV~NONE</v>
      </c>
      <c r="D318" t="str">
        <f t="shared" si="63"/>
        <v>237888889</v>
      </c>
      <c r="E318" t="str">
        <f t="shared" si="64"/>
        <v>Dynamic Click</v>
      </c>
      <c r="F318" t="str">
        <f t="shared" si="65"/>
        <v>CH~SEARCH_DT~MULTI_PB~GADS_FM~SEARCH_RT~CPC_PD~AFFLUENT_INSTITUCIONAL_LUXURYHOTEL_INFINITE_SEARCH_1X1_TG~BHVDEM_TS~NONE_SZ~1X1_SEARCH_MK~BR_IT~SEARCH_VV~NONE</v>
      </c>
      <c r="G318" t="str">
        <f t="shared" si="66"/>
        <v>435210088</v>
      </c>
      <c r="H318" t="str">
        <f t="shared" si="67"/>
        <v>Tracking</v>
      </c>
      <c r="I318">
        <f t="shared" si="68"/>
        <v>0</v>
      </c>
      <c r="J318">
        <f t="shared" si="69"/>
        <v>1</v>
      </c>
      <c r="K318" s="4">
        <f t="shared" si="72"/>
        <v>3.5000000000000001E-3</v>
      </c>
      <c r="L318">
        <f t="shared" si="73"/>
        <v>0.02</v>
      </c>
      <c r="M318" s="4">
        <f t="shared" si="70"/>
        <v>3.5000000000000001E-3</v>
      </c>
      <c r="N318" s="4">
        <f t="shared" si="71"/>
        <v>0.02</v>
      </c>
    </row>
    <row r="319" spans="1:14">
      <c r="A319" t="str">
        <f t="shared" si="60"/>
        <v>MK~LM_CN~AFFLUENT_MN~NONE_YQ~19Q1Q4_CP~PO5020004141-9_OB~TRAFFIC_PK~NONE</v>
      </c>
      <c r="B319" t="str">
        <f t="shared" si="61"/>
        <v>Google Brasil</v>
      </c>
      <c r="C319" t="str">
        <f t="shared" si="62"/>
        <v>CH~SEARCH_DT~MULTI_PB~GADS_FM~SEARCH_RT~CPC_PD~AFFLUENT_INSTITUCIONAL_PLATINUM_SEARCH_1X1_TG~BHVDEM_TS~NONE_SZ~1X1_SEARCH_MK~BR_IT~SEARCH_VV~NONE</v>
      </c>
      <c r="D319" t="str">
        <f t="shared" si="63"/>
        <v>237718159</v>
      </c>
      <c r="E319" t="str">
        <f t="shared" si="64"/>
        <v>Dynamic Click</v>
      </c>
      <c r="F319" t="str">
        <f t="shared" si="65"/>
        <v>CH~SEARCH_DT~MULTI_PB~GADS_FM~SEARCH_RT~CPC_PD~AFFLUENT_INSTITUCIONAL_PLATINUM_SEARCH_1X1_TG~BHVDEM_TS~NONE_SZ~1X1_SEARCH_MK~BR_IT~SEARCH_VV~NONE</v>
      </c>
      <c r="G319" t="str">
        <f t="shared" si="66"/>
        <v>435020351</v>
      </c>
      <c r="H319" t="str">
        <f t="shared" si="67"/>
        <v>Tracking</v>
      </c>
      <c r="I319">
        <f t="shared" si="68"/>
        <v>0</v>
      </c>
      <c r="J319">
        <f t="shared" si="69"/>
        <v>3</v>
      </c>
      <c r="K319" s="4">
        <f t="shared" si="72"/>
        <v>3.5000000000000001E-3</v>
      </c>
      <c r="L319">
        <f t="shared" si="73"/>
        <v>0.02</v>
      </c>
      <c r="M319" s="4">
        <f t="shared" si="70"/>
        <v>1.0500000000000001E-2</v>
      </c>
      <c r="N319" s="4">
        <f t="shared" si="71"/>
        <v>0.06</v>
      </c>
    </row>
    <row r="320" spans="1:14">
      <c r="A320" t="str">
        <f t="shared" si="60"/>
        <v>MK~LM_CN~AFFLUENT_MN~NONE_YQ~19Q1Q4_CP~PO5020004141-9_OB~TRAFFIC_PK~NONE</v>
      </c>
      <c r="B320" t="str">
        <f t="shared" si="61"/>
        <v>Google Brasil</v>
      </c>
      <c r="C320" t="str">
        <f t="shared" si="62"/>
        <v>CH~SEARCH_DT~MULTI_PB~GADS_FM~SEARCH_RT~CPC_PD~AFFLUENT_INSTITUCIONAL_SEGUROEMERGENCIAMEDICA_INFINITE_SEARCH_1X1_TG~BHVDEM_TS~NONE_SZ~1X1_SEARCH_MK~BR_IT~SEARCH_VV~NONE</v>
      </c>
      <c r="D320" t="str">
        <f t="shared" si="63"/>
        <v>238506305</v>
      </c>
      <c r="E320" t="str">
        <f t="shared" si="64"/>
        <v>Dynamic Click</v>
      </c>
      <c r="F320" t="str">
        <f t="shared" si="65"/>
        <v>CH~SEARCH_DT~MULTI_PB~GADS_FM~SEARCH_RT~CPC_PD~AFFLUENT_INSTITUCIONAL_SEGUROEMERGENCIAMEDICA_INFINITE_SEARCH_1X1_TG~BHVDEM_TS~NONE_SZ~1X1_SEARCH_MK~BR_IT~SEARCH_VV~NONE</v>
      </c>
      <c r="G320" t="str">
        <f t="shared" si="66"/>
        <v>435884251</v>
      </c>
      <c r="H320" t="str">
        <f t="shared" si="67"/>
        <v>Tracking</v>
      </c>
      <c r="I320">
        <f t="shared" si="68"/>
        <v>0</v>
      </c>
      <c r="J320">
        <f t="shared" si="69"/>
        <v>2</v>
      </c>
      <c r="K320" s="4">
        <f t="shared" si="72"/>
        <v>3.5000000000000001E-3</v>
      </c>
      <c r="L320">
        <f t="shared" si="73"/>
        <v>0.02</v>
      </c>
      <c r="M320" s="4">
        <f t="shared" si="70"/>
        <v>7.0000000000000001E-3</v>
      </c>
      <c r="N320" s="4">
        <f t="shared" si="71"/>
        <v>0.04</v>
      </c>
    </row>
    <row r="321" spans="1:14">
      <c r="A321" t="str">
        <f t="shared" si="60"/>
        <v>MK~LM_CN~AFFLUENT_MN~NONE_YQ~19Q1Q4_CP~PO5020004141-9_OB~TRAFFIC_PK~NONE</v>
      </c>
      <c r="B321" t="str">
        <f t="shared" si="61"/>
        <v>Google Brasil</v>
      </c>
      <c r="C321" t="str">
        <f t="shared" si="62"/>
        <v>CH~SEARCH_DT~MULTI_PB~GADS_FM~SEARCH_RT~CPC_PD~AFFLUENT_INSTITUCIONAL_VISACONCIERGE_INFINITE_SEARCH_1X1_TG~BHVDEM_TS~NONE_SZ~1X1_SEARCH_MK~BR_IT~SEARCH_VV~NONE</v>
      </c>
      <c r="D321" t="str">
        <f t="shared" si="63"/>
        <v>238593673</v>
      </c>
      <c r="E321" t="str">
        <f t="shared" si="64"/>
        <v>Dynamic Click</v>
      </c>
      <c r="F321" t="str">
        <f t="shared" si="65"/>
        <v>CH~SEARCH_DT~MULTI_PB~GADS_FM~SEARCH_RT~CPC_PD~AFFLUENT_INSTITUCIONAL_VISACONCIERGE_INFINITE_SEARCH_1X1_TG~BHVDEM_TS~NONE_SZ~1X1_SEARCH_MK~BR_IT~SEARCH_VV~NONE</v>
      </c>
      <c r="G321" t="str">
        <f t="shared" si="66"/>
        <v>435884227</v>
      </c>
      <c r="H321" t="str">
        <f t="shared" si="67"/>
        <v>Tracking</v>
      </c>
      <c r="I321">
        <f t="shared" si="68"/>
        <v>0</v>
      </c>
      <c r="J321">
        <f t="shared" si="69"/>
        <v>2</v>
      </c>
      <c r="K321" s="4">
        <f t="shared" si="72"/>
        <v>3.5000000000000001E-3</v>
      </c>
      <c r="L321">
        <f t="shared" si="73"/>
        <v>0.02</v>
      </c>
      <c r="M321" s="4">
        <f t="shared" si="70"/>
        <v>7.0000000000000001E-3</v>
      </c>
      <c r="N321" s="4">
        <f t="shared" si="71"/>
        <v>0.04</v>
      </c>
    </row>
    <row r="322" spans="1:14">
      <c r="A322" t="str">
        <f t="shared" ref="A322:A385" si="74">bd_campaign</f>
        <v>MK~LM_CN~AFFLUENT_MN~NONE_YQ~19Q1Q4_CP~PO5020004141-9_OB~TRAFFIC_PK~NONE</v>
      </c>
      <c r="B322" t="str">
        <f t="shared" ref="B322:B385" si="75">bd_site</f>
        <v>Google Brasil</v>
      </c>
      <c r="C322" t="str">
        <f t="shared" ref="C322:C385" si="76">bd_placement</f>
        <v>CH~SEARCH_DT~MULTI_PB~GADS_FM~SEARCH_RT~CPC_PD~AFFLUENT_MALLS_SEARCH_1X1_TG~BHVDEM_TS~NONE_SZ~1X1_SEARCH_MK~BR_IT~SEARCH_VV~NONE</v>
      </c>
      <c r="D322" t="str">
        <f t="shared" ref="D322:D385" si="77">bd_placementID</f>
        <v>238004055</v>
      </c>
      <c r="E322" t="str">
        <f t="shared" ref="E322:E385" si="78">VLOOKUP(CONCATENATE(bd_adtype,"_",bd_creativetype),tabela,2,FALSE)</f>
        <v>Dynamic Click</v>
      </c>
      <c r="F322" t="str">
        <f t="shared" ref="F322:F385" si="79">bd_ad</f>
        <v>CH~SEARCH_DT~MULTI_PB~GADS_FM~SEARCH_RT~CPC_PD~AFFLUENT_MALLS_SEARCH_1X1_TG~BHVDEM_TS~NONE_SZ~1X1_SEARCH_MK~BR_IT~SEARCH_VV~NONE</v>
      </c>
      <c r="G322" t="str">
        <f t="shared" ref="G322:G385" si="80">bd_adid</f>
        <v>435122221</v>
      </c>
      <c r="H322" t="str">
        <f t="shared" ref="H322:H385" si="81">bd_creativetype</f>
        <v>Tracking</v>
      </c>
      <c r="I322">
        <f t="shared" ref="I322:I385" si="82">bd_impression</f>
        <v>0</v>
      </c>
      <c r="J322">
        <f t="shared" ref="J322:J385" si="83">bd_clicks</f>
        <v>1</v>
      </c>
      <c r="K322" s="4">
        <f t="shared" si="72"/>
        <v>3.5000000000000001E-3</v>
      </c>
      <c r="L322">
        <f t="shared" si="73"/>
        <v>0.02</v>
      </c>
      <c r="M322" s="4">
        <f t="shared" si="70"/>
        <v>3.5000000000000001E-3</v>
      </c>
      <c r="N322" s="4">
        <f t="shared" si="71"/>
        <v>0.02</v>
      </c>
    </row>
    <row r="323" spans="1:14">
      <c r="A323" t="str">
        <f t="shared" si="74"/>
        <v>MK~LM_CN~AFFLUENT_MN~NONE_YQ~19Q1Q4_CP~PO5020004141-9_OB~TRAFFIC_PK~NONE</v>
      </c>
      <c r="B323" t="str">
        <f t="shared" si="75"/>
        <v>Google Brasil</v>
      </c>
      <c r="C323" t="str">
        <f t="shared" si="76"/>
        <v>CH~SEARCH_DT~MULTI_PB~GADS_FM~SEARCH_RT~CPC_PD~AFFLUENT_MALLS_SEARCH_1X1_TG~BHVDEM_TS~NONE_SZ~1X1_SEARCH_MK~BR_IT~SEARCH_VV~NONE</v>
      </c>
      <c r="D323" t="str">
        <f t="shared" si="77"/>
        <v>238004055</v>
      </c>
      <c r="E323" t="str">
        <f t="shared" si="78"/>
        <v>Dynamic Click</v>
      </c>
      <c r="F323" t="str">
        <f t="shared" si="79"/>
        <v>CH~SEARCH_DT~MULTI_PB~GADS_FM~SEARCH_RT~CPC_PD~AFFLUENT_MALLS_SEARCH_1X1_TG~BHVDEM_TS~NONE_SZ~1X1_SEARCH_MK~BR_IT~SEARCH_VV~NONE</v>
      </c>
      <c r="G323" t="str">
        <f t="shared" si="80"/>
        <v>435122221</v>
      </c>
      <c r="H323" t="str">
        <f t="shared" si="81"/>
        <v>Tracking</v>
      </c>
      <c r="I323">
        <f t="shared" si="82"/>
        <v>0</v>
      </c>
      <c r="J323">
        <f t="shared" si="83"/>
        <v>1</v>
      </c>
      <c r="K323" s="4">
        <f t="shared" si="72"/>
        <v>3.5000000000000001E-3</v>
      </c>
      <c r="L323">
        <f t="shared" si="73"/>
        <v>0.02</v>
      </c>
      <c r="M323" s="4">
        <f t="shared" si="70"/>
        <v>3.5000000000000001E-3</v>
      </c>
      <c r="N323" s="4">
        <f t="shared" si="71"/>
        <v>0.02</v>
      </c>
    </row>
    <row r="324" spans="1:14">
      <c r="A324" t="str">
        <f t="shared" si="74"/>
        <v>MK~LM_CN~AFFLUENT_MN~NONE_YQ~19Q1Q4_CP~PO5020004141-9_OB~TRAFFIC_PK~NONE</v>
      </c>
      <c r="B324" t="str">
        <f t="shared" si="75"/>
        <v>Google Brasil</v>
      </c>
      <c r="C324" t="str">
        <f t="shared" si="76"/>
        <v>CH~SEARCH_DT~MULTI_PB~GADS_FM~SEARCH_RT~CPC_PD~AFFLUENT_MALLS_SHOPPINGCIDADEJARDIM_SEARCH_1X1_TG~BHVDEM_TS~NONE_SZ~1X1_SEARCH_MK~BR_IT~SEARCH_VV~NONE</v>
      </c>
      <c r="D324" t="str">
        <f t="shared" si="77"/>
        <v>239837254</v>
      </c>
      <c r="E324" t="str">
        <f t="shared" si="78"/>
        <v>Dynamic Click</v>
      </c>
      <c r="F324" t="str">
        <f t="shared" si="79"/>
        <v>CH~SEARCH_DT~MULTI_PB~GADS_FM~SEARCH_RT~CPC_PD~AFFLUENT_MALLS_SHOPPINGCIDADEJARDIM_SEARCH_1X1_TG~BHVDEM_TS~NONE_SZ~1X1_SEARCH_MK~BR_IT~SEARCH_VV~NONE</v>
      </c>
      <c r="G324" t="str">
        <f t="shared" si="80"/>
        <v>436976227</v>
      </c>
      <c r="H324" t="str">
        <f t="shared" si="81"/>
        <v>Tracking</v>
      </c>
      <c r="I324">
        <f t="shared" si="82"/>
        <v>0</v>
      </c>
      <c r="J324">
        <f t="shared" si="83"/>
        <v>1</v>
      </c>
      <c r="K324" s="4">
        <f t="shared" si="72"/>
        <v>3.5000000000000001E-3</v>
      </c>
      <c r="L324">
        <f t="shared" si="73"/>
        <v>0.02</v>
      </c>
      <c r="M324" s="4">
        <f t="shared" si="70"/>
        <v>3.5000000000000001E-3</v>
      </c>
      <c r="N324" s="4">
        <f t="shared" si="71"/>
        <v>0.02</v>
      </c>
    </row>
    <row r="325" spans="1:14">
      <c r="A325" t="str">
        <f t="shared" si="74"/>
        <v>MK~LM_CN~AFFLUENT_MN~NONE_YQ~19Q1Q4_CP~PO5020004141-9_OB~TRAFFIC_PK~NONE</v>
      </c>
      <c r="B325" t="str">
        <f t="shared" si="75"/>
        <v>Google Brasil</v>
      </c>
      <c r="C325" t="str">
        <f t="shared" si="76"/>
        <v>CH~SEARCH_DT~MULTI_PB~GADS_FM~SEARCH_RT~CPC_PD~AFFLUENT_MALLS_SHOPPINGHIGIENOPOLIS_SEARCH_1X1_TG~BHVDEM_TS~NONE_SZ~1X1_SEARCH_MK~BR_IT~SEARCH_VV~NONE</v>
      </c>
      <c r="D325" t="str">
        <f t="shared" si="77"/>
        <v>239837245</v>
      </c>
      <c r="E325" t="str">
        <f t="shared" si="78"/>
        <v>Dynamic Click</v>
      </c>
      <c r="F325" t="str">
        <f t="shared" si="79"/>
        <v>CH~SEARCH_DT~MULTI_PB~GADS_FM~SEARCH_RT~CPC_PD~AFFLUENT_MALLS_SHOPPINGHIGIENOPOLIS_SEARCH_1X1_TG~BHVDEM_TS~NONE_SZ~1X1_SEARCH_MK~BR_IT~SEARCH_VV~NONE</v>
      </c>
      <c r="G325" t="str">
        <f t="shared" si="80"/>
        <v>436976218</v>
      </c>
      <c r="H325" t="str">
        <f t="shared" si="81"/>
        <v>Tracking</v>
      </c>
      <c r="I325">
        <f t="shared" si="82"/>
        <v>0</v>
      </c>
      <c r="J325">
        <f t="shared" si="83"/>
        <v>1</v>
      </c>
      <c r="K325" s="4">
        <f t="shared" si="72"/>
        <v>3.5000000000000001E-3</v>
      </c>
      <c r="L325">
        <f t="shared" si="73"/>
        <v>0.02</v>
      </c>
      <c r="M325" s="4">
        <f t="shared" si="70"/>
        <v>3.5000000000000001E-3</v>
      </c>
      <c r="N325" s="4">
        <f t="shared" si="71"/>
        <v>0.02</v>
      </c>
    </row>
    <row r="326" spans="1:14">
      <c r="A326" t="str">
        <f t="shared" si="74"/>
        <v>MK~LM_CN~AFFLUENT_MN~NONE_YQ~19Q1Q4_CP~PO5020004141-9_OB~TRAFFIC_PK~NONE</v>
      </c>
      <c r="B326" t="str">
        <f t="shared" si="75"/>
        <v>Google Brasil</v>
      </c>
      <c r="C326" t="str">
        <f t="shared" si="76"/>
        <v>CH~SEARCH_DT~MULTI_PB~GADS_FM~SEARCH_RT~CPC_PD~AFFLUENT_MALLS_SHOPPINGIGUATEMIBRASILIA_SEARCH_1X1_TG~BHVDEM_TS~NONE_SZ~1X1_SEARCH_MK~BR_IT~SEARCH_VV~NONE</v>
      </c>
      <c r="D326" t="str">
        <f t="shared" si="77"/>
        <v>239837248</v>
      </c>
      <c r="E326" t="str">
        <f t="shared" si="78"/>
        <v>Dynamic Click</v>
      </c>
      <c r="F326" t="str">
        <f t="shared" si="79"/>
        <v>CH~SEARCH_DT~MULTI_PB~GADS_FM~SEARCH_RT~CPC_PD~AFFLUENT_MALLS_SHOPPINGIGUATEMIBRASILIA_SEARCH_1X1_TG~BHVDEM_TS~NONE_SZ~1X1_SEARCH_MK~BR_IT~SEARCH_VV~NONE</v>
      </c>
      <c r="G326" t="str">
        <f t="shared" si="80"/>
        <v>436976221</v>
      </c>
      <c r="H326" t="str">
        <f t="shared" si="81"/>
        <v>Tracking</v>
      </c>
      <c r="I326">
        <f t="shared" si="82"/>
        <v>0</v>
      </c>
      <c r="J326">
        <f t="shared" si="83"/>
        <v>1</v>
      </c>
      <c r="K326" s="4">
        <f t="shared" si="72"/>
        <v>3.5000000000000001E-3</v>
      </c>
      <c r="L326">
        <f t="shared" si="73"/>
        <v>0.02</v>
      </c>
      <c r="M326" s="4">
        <f t="shared" si="70"/>
        <v>3.5000000000000001E-3</v>
      </c>
      <c r="N326" s="4">
        <f t="shared" si="71"/>
        <v>0.02</v>
      </c>
    </row>
    <row r="327" spans="1:14">
      <c r="A327" t="str">
        <f t="shared" si="74"/>
        <v>MK~LM_CN~AFFLUENT_MN~NONE_YQ~19Q1Q4_CP~PO5020004141-9_OB~TRAFFIC_PK~NONE</v>
      </c>
      <c r="B327" t="str">
        <f t="shared" si="75"/>
        <v>Google Brasil</v>
      </c>
      <c r="C327" t="str">
        <f t="shared" si="76"/>
        <v>CH~SEARCH_DT~MULTI_PB~GADS_FM~SEARCH_RT~CPC_PD~AFFLUENT_MALLS_SHOPPINGIGUATEMISP_SEARCH_1X1_TG~BHVDEM_TS~NONE_SZ~1X1_SEARCH_MK~BR_IT~SEARCH_VV~NONE</v>
      </c>
      <c r="D327" t="str">
        <f t="shared" si="77"/>
        <v>239837251</v>
      </c>
      <c r="E327" t="str">
        <f t="shared" si="78"/>
        <v>Dynamic Click</v>
      </c>
      <c r="F327" t="str">
        <f t="shared" si="79"/>
        <v>CH~SEARCH_DT~MULTI_PB~GADS_FM~SEARCH_RT~CPC_PD~AFFLUENT_MALLS_SHOPPINGIGUATEMISP_SEARCH_1X1_TG~BHVDEM_TS~NONE_SZ~1X1_SEARCH_MK~BR_IT~SEARCH_VV~NONE</v>
      </c>
      <c r="G327" t="str">
        <f t="shared" si="80"/>
        <v>436976224</v>
      </c>
      <c r="H327" t="str">
        <f t="shared" si="81"/>
        <v>Tracking</v>
      </c>
      <c r="I327">
        <f t="shared" si="82"/>
        <v>0</v>
      </c>
      <c r="J327">
        <f t="shared" si="83"/>
        <v>1</v>
      </c>
      <c r="K327" s="4">
        <f t="shared" si="72"/>
        <v>3.5000000000000001E-3</v>
      </c>
      <c r="L327">
        <f t="shared" si="73"/>
        <v>0.02</v>
      </c>
      <c r="M327" s="4">
        <f t="shared" si="70"/>
        <v>3.5000000000000001E-3</v>
      </c>
      <c r="N327" s="4">
        <f t="shared" si="71"/>
        <v>0.02</v>
      </c>
    </row>
    <row r="328" spans="1:14">
      <c r="A328" t="str">
        <f t="shared" si="74"/>
        <v>MK~LM_CN~AFFLUENT_MN~NONE_YQ~19Q1Q4_CP~PO5020004141-9_OB~TRAFFIC_PK~NONE</v>
      </c>
      <c r="B328" t="str">
        <f t="shared" si="75"/>
        <v>Google Brasil</v>
      </c>
      <c r="C328" t="str">
        <f t="shared" si="76"/>
        <v>CH~SEARCH_DT~MULTI_PB~GADS_FM~SEARCH_RT~CPC_PD~AFFLUENT_MALLS_SHOPPINGRIODESIGNBARRA_SEARCH_1X1_TG~BHVDEM_TS~NONE_SZ~1X1_SEARCH_MK~BR_IT~SEARCH_VV~NONE</v>
      </c>
      <c r="D328" t="str">
        <f t="shared" si="77"/>
        <v>239837239</v>
      </c>
      <c r="E328" t="str">
        <f t="shared" si="78"/>
        <v>Dynamic Click</v>
      </c>
      <c r="F328" t="str">
        <f t="shared" si="79"/>
        <v>CH~SEARCH_DT~MULTI_PB~GADS_FM~SEARCH_RT~CPC_PD~AFFLUENT_MALLS_SHOPPINGRIODESIGNBARRA_SEARCH_1X1_TG~BHVDEM_TS~NONE_SZ~1X1_SEARCH_MK~BR_IT~SEARCH_VV~NONE</v>
      </c>
      <c r="G328" t="str">
        <f t="shared" si="80"/>
        <v>436976212</v>
      </c>
      <c r="H328" t="str">
        <f t="shared" si="81"/>
        <v>Tracking</v>
      </c>
      <c r="I328">
        <f t="shared" si="82"/>
        <v>0</v>
      </c>
      <c r="J328">
        <f t="shared" si="83"/>
        <v>4</v>
      </c>
      <c r="K328" s="4">
        <f t="shared" si="72"/>
        <v>3.5000000000000001E-3</v>
      </c>
      <c r="L328">
        <f t="shared" si="73"/>
        <v>0.02</v>
      </c>
      <c r="M328" s="4">
        <f t="shared" si="70"/>
        <v>1.4E-2</v>
      </c>
      <c r="N328" s="4">
        <f t="shared" si="71"/>
        <v>0.08</v>
      </c>
    </row>
    <row r="329" spans="1:14">
      <c r="A329" t="str">
        <f t="shared" si="74"/>
        <v>MK~LM_CN~AFFLUENT_MN~NONE_YQ~19Q1Q4_CP~PO5020004141-9_OB~TRAFFIC_PK~NONE</v>
      </c>
      <c r="B329" t="str">
        <f t="shared" si="75"/>
        <v>Google Brasil</v>
      </c>
      <c r="C329" t="str">
        <f t="shared" si="76"/>
        <v>CH~SEARCH_DT~MULTI_PB~GADS_FM~SEARCH_RT~CPC_PD~AFFLUENT_MALLS_SHOPPINGRIODESIGNLEBLON_SEARCH_1X1_TG~BHVDEM_TS~NONE_SZ~1X1_SEARCH_MK~BR_IT~SEARCH_VV~NONE</v>
      </c>
      <c r="D329" t="str">
        <f t="shared" si="77"/>
        <v>239837242</v>
      </c>
      <c r="E329" t="str">
        <f t="shared" si="78"/>
        <v>Dynamic Click</v>
      </c>
      <c r="F329" t="str">
        <f t="shared" si="79"/>
        <v>CH~SEARCH_DT~MULTI_PB~GADS_FM~SEARCH_RT~CPC_PD~AFFLUENT_MALLS_SHOPPINGRIODESIGNLEBLON_SEARCH_1X1_TG~BHVDEM_TS~NONE_SZ~1X1_SEARCH_MK~BR_IT~SEARCH_VV~NONE</v>
      </c>
      <c r="G329" t="str">
        <f t="shared" si="80"/>
        <v>436976215</v>
      </c>
      <c r="H329" t="str">
        <f t="shared" si="81"/>
        <v>Tracking</v>
      </c>
      <c r="I329">
        <f t="shared" si="82"/>
        <v>0</v>
      </c>
      <c r="J329">
        <f t="shared" si="83"/>
        <v>1</v>
      </c>
      <c r="K329" s="4">
        <f t="shared" si="72"/>
        <v>3.5000000000000001E-3</v>
      </c>
      <c r="L329">
        <f t="shared" si="73"/>
        <v>0.02</v>
      </c>
      <c r="M329" s="4">
        <f t="shared" si="70"/>
        <v>3.5000000000000001E-3</v>
      </c>
      <c r="N329" s="4">
        <f t="shared" si="71"/>
        <v>0.02</v>
      </c>
    </row>
    <row r="330" spans="1:14">
      <c r="A330" t="str">
        <f t="shared" si="74"/>
        <v>MK~LM_CN~AFFLUENT_MN~NONE_YQ~19Q1Q4_CP~PO5020004141-9_OB~TRAFFIC_PK~NONE</v>
      </c>
      <c r="B330" t="str">
        <f t="shared" si="75"/>
        <v>Google Brasil</v>
      </c>
      <c r="C330" t="str">
        <f t="shared" si="76"/>
        <v>CH~SEARCH_DT~MULTI_PB~GADS_FM~SEARCH_RT~CPC_PD~AFFLUENT_TRAVELPLAN_BENEFICIOS_INFINITE_SEARCH_1X1_TG~BHVDEM_TS~NONE_SZ~1X1_SEARCH_MK~BR_IT~SEARCH_VV~NONE</v>
      </c>
      <c r="D330" t="str">
        <f t="shared" si="77"/>
        <v>237698225</v>
      </c>
      <c r="E330" t="str">
        <f t="shared" si="78"/>
        <v>Dynamic Click</v>
      </c>
      <c r="F330" t="str">
        <f t="shared" si="79"/>
        <v>CH~SEARCH_DT~MULTI_PB~GADS_FM~SEARCH_RT~CPC_PD~AFFLUENT_TRAVELPLAN_BENEFICIOS_INFINITE_SEARCH_1X1_TG~BHVDEM_TS~NONE_SZ~1X1_SEARCH_MK~BR_IT~SEARCH_VV~NONE</v>
      </c>
      <c r="G330" t="str">
        <f t="shared" si="80"/>
        <v>435020357</v>
      </c>
      <c r="H330" t="str">
        <f t="shared" si="81"/>
        <v>Tracking</v>
      </c>
      <c r="I330">
        <f t="shared" si="82"/>
        <v>0</v>
      </c>
      <c r="J330">
        <f t="shared" si="83"/>
        <v>2</v>
      </c>
      <c r="K330" s="4">
        <f t="shared" si="72"/>
        <v>3.5000000000000001E-3</v>
      </c>
      <c r="L330">
        <f t="shared" si="73"/>
        <v>0.02</v>
      </c>
      <c r="M330" s="4">
        <f t="shared" si="70"/>
        <v>7.0000000000000001E-3</v>
      </c>
      <c r="N330" s="4">
        <f t="shared" si="71"/>
        <v>0.04</v>
      </c>
    </row>
    <row r="331" spans="1:14">
      <c r="A331" t="str">
        <f t="shared" si="74"/>
        <v>MK~LM_CN~AFFLUENT_MN~NONE_YQ~19Q1Q4_CP~PO5020004141-9_OB~TRAFFIC_PK~NONE</v>
      </c>
      <c r="B331" t="str">
        <f t="shared" si="75"/>
        <v>Google Brasil</v>
      </c>
      <c r="C331" t="str">
        <f t="shared" si="76"/>
        <v>CH~SEARCH_DT~MULTI_PB~GADS_FM~SEARCH_RT~CPC_PD~AFFLUENT_TRAVELPLAN_BENEFICIOS_PLATINUM_SEARCH_1X1_TG~BHVDEM_TS~NONE_SZ~1X1_SEARCH_MK~BR_IT~SEARCH_VV~NONE</v>
      </c>
      <c r="D331" t="str">
        <f t="shared" si="77"/>
        <v>237731854</v>
      </c>
      <c r="E331" t="str">
        <f t="shared" si="78"/>
        <v>Dynamic Click</v>
      </c>
      <c r="F331" t="str">
        <f t="shared" si="79"/>
        <v>CH~SEARCH_DT~MULTI_PB~GADS_FM~SEARCH_RT~CPC_PD~AFFLUENT_TRAVELPLAN_BENEFICIOS_PLATINUM_SEARCH_1X1_TG~BHVDEM_TS~NONE_SZ~1X1_SEARCH_MK~BR_IT~SEARCH_VV~NONE</v>
      </c>
      <c r="G331" t="str">
        <f t="shared" si="80"/>
        <v>435014585</v>
      </c>
      <c r="H331" t="str">
        <f t="shared" si="81"/>
        <v>Tracking</v>
      </c>
      <c r="I331">
        <f t="shared" si="82"/>
        <v>0</v>
      </c>
      <c r="J331">
        <f t="shared" si="83"/>
        <v>1</v>
      </c>
      <c r="K331" s="4">
        <f t="shared" si="72"/>
        <v>3.5000000000000001E-3</v>
      </c>
      <c r="L331">
        <f t="shared" si="73"/>
        <v>0.02</v>
      </c>
      <c r="M331" s="4">
        <f t="shared" si="70"/>
        <v>3.5000000000000001E-3</v>
      </c>
      <c r="N331" s="4">
        <f t="shared" si="71"/>
        <v>0.02</v>
      </c>
    </row>
    <row r="332" spans="1:14">
      <c r="A332" t="str">
        <f t="shared" si="74"/>
        <v>MK~LM_CN~AFFLUENT_MN~NONE_YQ~19Q1Q4_CP~PO5020004141-9_OB~TRAFFIC_PK~NONE</v>
      </c>
      <c r="B332" t="str">
        <f t="shared" si="75"/>
        <v>In Loco Media</v>
      </c>
      <c r="C332" t="str">
        <f t="shared" si="76"/>
        <v>CH~DISPLAY_DT~MOBILE_PB~ILC_FM~BANNER_RT~CPM_PD~AFFLUENT_FREEVALET_RESTAURANTES_INTERSTITIAL_INLOCO_1X1_TG~BHVDEM_TS~NONE_SZ~1X1_DSIPLAY_MK~BR_IT~DSIPLAY_VV~NONE</v>
      </c>
      <c r="D332" t="str">
        <f t="shared" si="77"/>
        <v>236957551</v>
      </c>
      <c r="E332" t="str">
        <f t="shared" si="78"/>
        <v>Dynamic Click</v>
      </c>
      <c r="F332" t="str">
        <f t="shared" si="79"/>
        <v>CH~DISPLAY_DT~MOBILE_PB~ILC_FM~BANNER_RT~CPM_PD~AFFLUENT_FREEVALET_RESTAURANTES_INTERSTITIAL_INLOCO_1X1_TG~BHVDEM_TS~NONE_SZ~1X1_DSIPLAY_MK~BR_IT~DSIPLAY_VV~NONE</v>
      </c>
      <c r="G332" t="str">
        <f t="shared" si="80"/>
        <v>434299215</v>
      </c>
      <c r="H332" t="str">
        <f t="shared" si="81"/>
        <v>Tracking</v>
      </c>
      <c r="I332">
        <f t="shared" si="82"/>
        <v>113</v>
      </c>
      <c r="J332">
        <f t="shared" si="83"/>
        <v>120</v>
      </c>
      <c r="K332" s="4">
        <f t="shared" si="72"/>
        <v>3.5000000000000001E-3</v>
      </c>
      <c r="L332">
        <f t="shared" si="73"/>
        <v>0.02</v>
      </c>
      <c r="M332" s="4">
        <f t="shared" si="70"/>
        <v>0.42</v>
      </c>
      <c r="N332" s="4">
        <f t="shared" si="71"/>
        <v>2.4</v>
      </c>
    </row>
    <row r="333" spans="1:14">
      <c r="A333" t="str">
        <f t="shared" si="74"/>
        <v>MK~LM_CN~AFFLUENT_MN~NONE_YQ~19Q1Q4_CP~PO5020004141-9_OB~TRAFFIC_PK~NONE</v>
      </c>
      <c r="B333" t="str">
        <f t="shared" si="75"/>
        <v>In Loco Media</v>
      </c>
      <c r="C333" t="str">
        <f t="shared" si="76"/>
        <v>CH~DISPLAY_DT~MOBILE_PB~ILC_FM~BANNER_RT~CPM_PD~AFFLUENT_FREEVALET_RESTAURANTES_RETANGULO_INLOCO_1X1_TG~BHVDEM_TS~NONE_SZ~1X1_DSIPLAY_MK~BR_IT~DSIPLAY_VV~NONE</v>
      </c>
      <c r="D333" t="str">
        <f t="shared" si="77"/>
        <v>236930075</v>
      </c>
      <c r="E333" t="str">
        <f t="shared" si="78"/>
        <v>Dynamic Click</v>
      </c>
      <c r="F333" t="str">
        <f t="shared" si="79"/>
        <v>CH~DISPLAY_DT~MOBILE_PB~ILC_FM~BANNER_RT~CPM_PD~AFFLUENT_FREEVALET_RESTAURANTES_RETANGULO_INLOCO_1X1_TG~BHVDEM_TS~NONE_SZ~1X1_DSIPLAY_MK~BR_IT~DSIPLAY_VV~NONE</v>
      </c>
      <c r="G333" t="str">
        <f t="shared" si="80"/>
        <v>434306967</v>
      </c>
      <c r="H333" t="str">
        <f t="shared" si="81"/>
        <v>Tracking</v>
      </c>
      <c r="I333">
        <f t="shared" si="82"/>
        <v>145</v>
      </c>
      <c r="J333">
        <f t="shared" si="83"/>
        <v>99</v>
      </c>
      <c r="K333" s="4">
        <f t="shared" si="72"/>
        <v>3.5000000000000001E-3</v>
      </c>
      <c r="L333">
        <f t="shared" si="73"/>
        <v>0.02</v>
      </c>
      <c r="M333" s="4">
        <f t="shared" si="70"/>
        <v>0.34650000000000003</v>
      </c>
      <c r="N333" s="4">
        <f t="shared" si="71"/>
        <v>1.98</v>
      </c>
    </row>
    <row r="334" spans="1:14">
      <c r="A334" t="str">
        <f t="shared" si="74"/>
        <v>MK~LM_CN~AFFLUENT_MN~NONE_YQ~19Q1Q4_CP~PO5020004141-9_OB~TRAFFIC_PK~NONE</v>
      </c>
      <c r="B334" t="str">
        <f t="shared" si="75"/>
        <v>In Loco Media</v>
      </c>
      <c r="C334" t="str">
        <f t="shared" si="76"/>
        <v>CH~DISPLAY_DT~MOBILE_PB~ILC_FM~BANNER_RT~CPM_PD~AFFLUENT_FREEVALET_RESTAURANTES_SMALLBANNER_INLOCO_1X1_TG~BHVDEM_TS~NONE_SZ~1X1_DSIPLAY_MK~BR_IT~DSIPLAY_VV~NONE</v>
      </c>
      <c r="D334" t="str">
        <f t="shared" si="77"/>
        <v>236920337</v>
      </c>
      <c r="E334" t="str">
        <f t="shared" si="78"/>
        <v>Dynamic Click</v>
      </c>
      <c r="F334" t="str">
        <f t="shared" si="79"/>
        <v>CH~DISPLAY_DT~MOBILE_PB~ILC_FM~BANNER_RT~CPM_PD~AFFLUENT_FREEVALET_RESTAURANTES_SMALLBANNER_INLOCO_1X1_TG~BHVDEM_TS~NONE_SZ~1X1_DSIPLAY_MK~BR_IT~DSIPLAY_VV~NONE</v>
      </c>
      <c r="G334" t="str">
        <f t="shared" si="80"/>
        <v>434306970</v>
      </c>
      <c r="H334" t="str">
        <f t="shared" si="81"/>
        <v>Tracking</v>
      </c>
      <c r="I334">
        <f t="shared" si="82"/>
        <v>33</v>
      </c>
      <c r="J334">
        <f t="shared" si="83"/>
        <v>46</v>
      </c>
      <c r="K334" s="4">
        <f t="shared" si="72"/>
        <v>3.5000000000000001E-3</v>
      </c>
      <c r="L334">
        <f t="shared" si="73"/>
        <v>0.02</v>
      </c>
      <c r="M334" s="4">
        <f t="shared" si="70"/>
        <v>0.161</v>
      </c>
      <c r="N334" s="4">
        <f t="shared" si="71"/>
        <v>0.92</v>
      </c>
    </row>
    <row r="335" spans="1:14">
      <c r="A335" t="str">
        <f t="shared" si="74"/>
        <v>MK~LM_CN~AFFLUENT_MN~NONE_YQ~19Q1Q4_CP~PO5020004141-9_OB~TRAFFIC_PK~NONE</v>
      </c>
      <c r="B335" t="str">
        <f t="shared" si="75"/>
        <v>In Loco Media</v>
      </c>
      <c r="C335" t="str">
        <f t="shared" si="76"/>
        <v>CH~DISPLAY_DT~MOBILE_PB~ILC_FM~NATIVE_RT~CPM_PD~AFFLUENT_FREEVALET_RESTAURANTES_NATIVE_INLOCO_1X1_TG~BHVDEM_TS~NONE_SZ~1X1_DSIPLAY_MK~BR_IT~DSIPLAY_VV~NONE</v>
      </c>
      <c r="D335" t="str">
        <f t="shared" si="77"/>
        <v>236957596</v>
      </c>
      <c r="E335" t="str">
        <f t="shared" si="78"/>
        <v>Dynamic Click</v>
      </c>
      <c r="F335" t="str">
        <f t="shared" si="79"/>
        <v>CH~DISPLAY_DT~MOBILE_PB~ILC_FM~NATIVE_RT~CPM_PD~AFFLUENT_FREEVALET_RESTAURANTES_NATIVE_INLOCO_1X1_TG~BHVDEM_TS~NONE_SZ~1X1_DSIPLAY_MK~BR_IT~DSIPLAY_VV~NONE</v>
      </c>
      <c r="G335" t="str">
        <f t="shared" si="80"/>
        <v>434312882</v>
      </c>
      <c r="H335" t="str">
        <f t="shared" si="81"/>
        <v>Tracking</v>
      </c>
      <c r="I335">
        <f t="shared" si="82"/>
        <v>1</v>
      </c>
      <c r="J335">
        <f t="shared" si="83"/>
        <v>285</v>
      </c>
      <c r="K335" s="4">
        <f t="shared" si="72"/>
        <v>3.5000000000000001E-3</v>
      </c>
      <c r="L335">
        <f t="shared" si="73"/>
        <v>0.02</v>
      </c>
      <c r="M335" s="4">
        <f t="shared" si="70"/>
        <v>0.99750000000000005</v>
      </c>
      <c r="N335" s="4">
        <f t="shared" si="71"/>
        <v>5.7</v>
      </c>
    </row>
    <row r="336" spans="1:14">
      <c r="A336" t="str">
        <f t="shared" si="74"/>
        <v>MK~LM_CN~AFFLUENT_MN~NONE_YQ~19Q1Q4_CP~PO5020004141-9_OB~TRAFFIC_PK~NONE</v>
      </c>
      <c r="B336" t="str">
        <f t="shared" si="75"/>
        <v>In Loco Media</v>
      </c>
      <c r="C336" t="str">
        <f t="shared" si="76"/>
        <v>CH~DISPLAY_DT~MOBILE_PB~ILC_FM~NATIVE_RT~CPM_PD~AFFLUENT_FREEVALET_RESTAURANTES_NATIVE_INLOCO_1X1_TG~BHVDEM_TS~NONE_SZ~1X1_DSIPLAY_MK~BR_IT~DSIPLAY_VV~NONE</v>
      </c>
      <c r="D336" t="str">
        <f t="shared" si="77"/>
        <v>236957596</v>
      </c>
      <c r="E336" t="str">
        <f t="shared" si="78"/>
        <v>Dynamic Click</v>
      </c>
      <c r="F336" t="str">
        <f t="shared" si="79"/>
        <v>CH~DISPLAY_DT~MOBILE_PB~ILC_FM~NATIVE_RT~CPM_PD~AFFLUENT_FREEVALET_RESTAURANTES_NATIVE_INLOCO_1X1_TG~BHVDEM_TS~NONE_SZ~1X1_DSIPLAY_MK~BR_IT~DSIPLAY_VV~NONE</v>
      </c>
      <c r="G336" t="str">
        <f t="shared" si="80"/>
        <v>434312882</v>
      </c>
      <c r="H336" t="str">
        <f t="shared" si="81"/>
        <v>Tracking</v>
      </c>
      <c r="I336">
        <f t="shared" si="82"/>
        <v>0</v>
      </c>
      <c r="J336">
        <f t="shared" si="83"/>
        <v>9</v>
      </c>
      <c r="K336" s="4">
        <f t="shared" si="72"/>
        <v>3.5000000000000001E-3</v>
      </c>
      <c r="L336">
        <f t="shared" si="73"/>
        <v>0.02</v>
      </c>
      <c r="M336" s="4">
        <f t="shared" si="70"/>
        <v>3.15E-2</v>
      </c>
      <c r="N336" s="4">
        <f t="shared" si="71"/>
        <v>0.18</v>
      </c>
    </row>
    <row r="337" spans="1:14">
      <c r="A337" t="str">
        <f t="shared" si="74"/>
        <v>MK~LM_CN~AFFLUENT_MN~NONE_YQ~19Q1Q4_CP~PO5020004141-9_OB~TRAFFIC_PK~NONE</v>
      </c>
      <c r="B337" t="str">
        <f t="shared" si="75"/>
        <v>Waze, Inc</v>
      </c>
      <c r="C337" t="str">
        <f t="shared" si="76"/>
        <v>CH~DISPLAY_DT~MULTI_PB~WAZE_FM~PIN_RT~CPM_PD~AFFLUENT_DINNING_FREEVALET_PIN_ASIATICA_608X240_608X240_TG~BHVDEM_TS~NONE_SZ~608X240_DISPLAY_MK~BR_IT~DISPLAY_VV~NONE</v>
      </c>
      <c r="D337" t="str">
        <f t="shared" si="77"/>
        <v>240447811</v>
      </c>
      <c r="E337" t="str">
        <f t="shared" si="78"/>
        <v>Dynamic Click</v>
      </c>
      <c r="F337" t="str">
        <f t="shared" si="79"/>
        <v>CH~DISPLAY_DT~MULTI_PB~WAZE_FM~PIN_RT~CPM_PD~AFFLUENT_DINNING_FREEVALET_PIN_ASIATICA_608X240_608X240_TG~BHVDEM_TS~NONE_SZ~608X240_DISPLAY_MK~BR_IT~DISPLAY_VV~NONE</v>
      </c>
      <c r="G337" t="str">
        <f t="shared" si="80"/>
        <v>437412425</v>
      </c>
      <c r="H337" t="str">
        <f t="shared" si="81"/>
        <v>Tracking</v>
      </c>
      <c r="I337">
        <f t="shared" si="82"/>
        <v>1647173</v>
      </c>
      <c r="J337">
        <f t="shared" si="83"/>
        <v>899</v>
      </c>
      <c r="K337" s="4">
        <f t="shared" si="72"/>
        <v>3.5000000000000001E-3</v>
      </c>
      <c r="L337">
        <f t="shared" si="73"/>
        <v>0.02</v>
      </c>
      <c r="M337" s="4">
        <f t="shared" si="70"/>
        <v>3.1465000000000001</v>
      </c>
      <c r="N337" s="4">
        <f t="shared" si="71"/>
        <v>17.98</v>
      </c>
    </row>
    <row r="338" spans="1:14">
      <c r="A338" t="str">
        <f t="shared" si="74"/>
        <v>MK~LM_CN~AFFLUENT_MN~NONE_YQ~19Q1Q4_CP~PO5020004141-9_OB~TRAFFIC_PK~NONE</v>
      </c>
      <c r="B338" t="str">
        <f t="shared" si="75"/>
        <v>Waze, Inc</v>
      </c>
      <c r="C338" t="str">
        <f t="shared" si="76"/>
        <v>CH~DISPLAY_DT~MULTI_PB~WAZE_FM~PIN_RT~CPM_PD~AFFLUENT_DINNING_FREEVALET_PIN_MASSA_608X240_608X240_TG~BHVDEM_TS~NONE_SZ~608X240_DISPLAY_MK~BR_IT~DISPLAY_VV~NONE</v>
      </c>
      <c r="D338" t="str">
        <f t="shared" si="77"/>
        <v>240447805</v>
      </c>
      <c r="E338" t="str">
        <f t="shared" si="78"/>
        <v>Dynamic Click</v>
      </c>
      <c r="F338" t="str">
        <f t="shared" si="79"/>
        <v>CH~DISPLAY_DT~MULTI_PB~WAZE_FM~PIN_RT~CPM_PD~AFFLUENT_DINNING_FREEVALET_PIN_MASSA_608X240_608X240_TG~BHVDEM_TS~NONE_SZ~608X240_DISPLAY_MK~BR_IT~DISPLAY_VV~NONE</v>
      </c>
      <c r="G338" t="str">
        <f t="shared" si="80"/>
        <v>437412419</v>
      </c>
      <c r="H338" t="str">
        <f t="shared" si="81"/>
        <v>Tracking</v>
      </c>
      <c r="I338">
        <f t="shared" si="82"/>
        <v>1581478</v>
      </c>
      <c r="J338">
        <f t="shared" si="83"/>
        <v>785</v>
      </c>
      <c r="K338" s="4">
        <f t="shared" si="72"/>
        <v>3.5000000000000001E-3</v>
      </c>
      <c r="L338">
        <f t="shared" si="73"/>
        <v>0.02</v>
      </c>
      <c r="M338" s="4">
        <f t="shared" si="70"/>
        <v>2.7475000000000001</v>
      </c>
      <c r="N338" s="4">
        <f t="shared" si="71"/>
        <v>15.700000000000001</v>
      </c>
    </row>
    <row r="339" spans="1:14">
      <c r="A339" t="str">
        <f t="shared" si="74"/>
        <v>MK~LM_CN~AFFLUENT_MN~NONE_YQ~19Q1Q4_CP~PO5020004141-9_OB~TRAFFIC_PK~NONE</v>
      </c>
      <c r="B339" t="str">
        <f t="shared" si="75"/>
        <v>Waze, Inc</v>
      </c>
      <c r="C339" t="str">
        <f t="shared" si="76"/>
        <v>CH~DISPLAY_DT~MULTI_PB~WAZE_FM~PIN_RT~CPM_PD~AFFLUENT_DINNING_FREEVALET_PIN_STEAK_608X240_608X240_TG~BHVDEM_TS~NONE_SZ~608X240_DISPLAY_MK~BR_IT~DISPLAY_VV~NONE</v>
      </c>
      <c r="D339" t="str">
        <f t="shared" si="77"/>
        <v>240447799</v>
      </c>
      <c r="E339" t="str">
        <f t="shared" si="78"/>
        <v>Dynamic Click</v>
      </c>
      <c r="F339" t="str">
        <f t="shared" si="79"/>
        <v>CH~DISPLAY_DT~MULTI_PB~WAZE_FM~PIN_RT~CPM_PD~AFFLUENT_DINNING_FREEVALET_PIN_STEAK_608X240_608X240_TG~BHVDEM_TS~NONE_SZ~608X240_DISPLAY_MK~BR_IT~DISPLAY_VV~NONE</v>
      </c>
      <c r="G339" t="str">
        <f t="shared" si="80"/>
        <v>437412413</v>
      </c>
      <c r="H339" t="str">
        <f t="shared" si="81"/>
        <v>Tracking</v>
      </c>
      <c r="I339">
        <f t="shared" si="82"/>
        <v>1944770</v>
      </c>
      <c r="J339">
        <f t="shared" si="83"/>
        <v>959</v>
      </c>
      <c r="K339" s="4">
        <f t="shared" si="72"/>
        <v>3.5000000000000001E-3</v>
      </c>
      <c r="L339">
        <f t="shared" si="73"/>
        <v>0.02</v>
      </c>
      <c r="M339" s="4">
        <f t="shared" si="70"/>
        <v>3.3565</v>
      </c>
      <c r="N339" s="4">
        <f t="shared" si="71"/>
        <v>19.18</v>
      </c>
    </row>
    <row r="340" spans="1:14">
      <c r="A340" t="str">
        <f t="shared" si="74"/>
        <v>MK~LM_CN~AFFLUENT_MN~NONE_YQ~19Q1Q4_CP~PO5020004141-9_OB~TRAFFIC_PK~NONE</v>
      </c>
      <c r="B340" t="str">
        <f t="shared" si="75"/>
        <v>Waze, Inc</v>
      </c>
      <c r="C340" t="str">
        <f t="shared" si="76"/>
        <v>CH~DISPLAY_DT~MULTI_PB~WAZE_FM~PIN_RT~CPM_PD~AFFLUENT_DINNING_FREEVALET_PIN_VEGAN_608X240_608X240_TG~BHVDEM_TS~NONE_SZ~608X240_DISPLAY_MK~BR_IT~DISPLAY_VV~NONE</v>
      </c>
      <c r="D340" t="str">
        <f t="shared" si="77"/>
        <v>240963063</v>
      </c>
      <c r="E340" t="str">
        <f t="shared" si="78"/>
        <v>Dynamic Click</v>
      </c>
      <c r="F340" t="str">
        <f t="shared" si="79"/>
        <v>CH~DISPLAY_DT~MULTI_PB~WAZE_FM~PIN_RT~CPM_PD~AFFLUENT_DINNING_FREEVALET_PIN_VEGAN_608X240_608X240_TG~BHVDEM_TS~NONE_SZ~608X240_DISPLAY_MK~BR_IT~DISPLAY_VV~NONE</v>
      </c>
      <c r="G340" t="str">
        <f t="shared" si="80"/>
        <v>437622345</v>
      </c>
      <c r="H340" t="str">
        <f t="shared" si="81"/>
        <v>Tracking</v>
      </c>
      <c r="I340">
        <f t="shared" si="82"/>
        <v>3009155</v>
      </c>
      <c r="J340">
        <f t="shared" si="83"/>
        <v>1577</v>
      </c>
      <c r="K340" s="4">
        <f t="shared" si="72"/>
        <v>3.5000000000000001E-3</v>
      </c>
      <c r="L340">
        <f t="shared" si="73"/>
        <v>0.02</v>
      </c>
      <c r="M340" s="4">
        <f t="shared" si="70"/>
        <v>5.5194999999999999</v>
      </c>
      <c r="N340" s="4">
        <f t="shared" si="71"/>
        <v>31.54</v>
      </c>
    </row>
    <row r="341" spans="1:14">
      <c r="A341" t="str">
        <f t="shared" si="74"/>
        <v>MK~LM_CN~AFFLUENT_MN~NONE_YQ~19Q1Q4_CP~PO5020004141-9_OB~TRAFFIC_PK~NONE</v>
      </c>
      <c r="B341" t="str">
        <f t="shared" si="75"/>
        <v>Waze, Inc</v>
      </c>
      <c r="C341" t="str">
        <f t="shared" si="76"/>
        <v>CH~DISPLAY_DT~MULTI_PB~WAZE_FM~PIN_RT~CPM_PD~AFFLUENT_DINNING_FREEVALET_PIN_VEGETARIANA_608X240_608X240_TG~BHVDEM_TS~NONE_SZ~608X240_DISPLAY_MK~BR_IT~DISPLAY_VV~NONE</v>
      </c>
      <c r="D341" t="str">
        <f t="shared" si="77"/>
        <v>240447793</v>
      </c>
      <c r="E341" t="str">
        <f t="shared" si="78"/>
        <v>Dynamic Click</v>
      </c>
      <c r="F341" t="str">
        <f t="shared" si="79"/>
        <v>CH~DISPLAY_DT~MULTI_PB~WAZE_FM~PIN_RT~CPM_PD~AFFLUENT_DINNING_FREEVALET_PIN_VEGETARIANA_608X240_608X240_TG~BHVDEM_TS~NONE_SZ~608X240_DISPLAY_MK~BR_IT~DISPLAY_VV~NONE</v>
      </c>
      <c r="G341" t="str">
        <f t="shared" si="80"/>
        <v>437412407</v>
      </c>
      <c r="H341" t="str">
        <f t="shared" si="81"/>
        <v>Tracking</v>
      </c>
      <c r="I341">
        <f t="shared" si="82"/>
        <v>0</v>
      </c>
      <c r="J341">
        <f t="shared" si="83"/>
        <v>106</v>
      </c>
      <c r="K341" s="4">
        <f t="shared" si="72"/>
        <v>3.5000000000000001E-3</v>
      </c>
      <c r="L341">
        <f t="shared" si="73"/>
        <v>0.02</v>
      </c>
      <c r="M341" s="4">
        <f t="shared" si="70"/>
        <v>0.371</v>
      </c>
      <c r="N341" s="4">
        <f t="shared" si="71"/>
        <v>2.12</v>
      </c>
    </row>
    <row r="342" spans="1:14">
      <c r="A342" t="str">
        <f t="shared" si="74"/>
        <v>MK~LM_CN~AFFLUENT_MN~NONE_YQ~19Q1Q4_CP~PO5020004141-9_OB~TRAFFIC_PK~NONE</v>
      </c>
      <c r="B342" t="str">
        <f t="shared" si="75"/>
        <v>Waze, Inc</v>
      </c>
      <c r="C342" t="str">
        <f t="shared" si="76"/>
        <v>CH~DISPLAY_DT~MULTI_PB~WAZE_FM~PIN_RT~CPM_PD~AFFLUENT_DINNING_FREEVALET_TAKEOVER_VEGAN_7888X240_608X240_TG~BHVDEM_TS~NONE_SZ~608X240_DISPLAY_MK~BR_IT~DISPLAY_VV~NONE</v>
      </c>
      <c r="D342" t="str">
        <f t="shared" si="77"/>
        <v>240641366</v>
      </c>
      <c r="E342" t="str">
        <f t="shared" si="78"/>
        <v>Dynamic Click</v>
      </c>
      <c r="F342" t="str">
        <f t="shared" si="79"/>
        <v>CH~DISPLAY_DT~MULTI_PB~WAZE_FM~PIN_RT~CPM_PD~AFFLUENT_DINNING_FREEVALET_TAKEOVER_VEGAN_7888X240_608X240_TG~BHVDEM_TS~NONE_SZ~608X240_DISPLAY_MK~BR_IT~DISPLAY_VV~NONE</v>
      </c>
      <c r="G342" t="str">
        <f t="shared" si="80"/>
        <v>437635872</v>
      </c>
      <c r="H342" t="str">
        <f t="shared" si="81"/>
        <v>Tracking</v>
      </c>
      <c r="I342">
        <f t="shared" si="82"/>
        <v>184366</v>
      </c>
      <c r="J342">
        <f t="shared" si="83"/>
        <v>187</v>
      </c>
      <c r="K342" s="4">
        <f t="shared" si="72"/>
        <v>3.5000000000000001E-3</v>
      </c>
      <c r="L342">
        <f t="shared" si="73"/>
        <v>0.02</v>
      </c>
      <c r="M342" s="4">
        <f t="shared" si="70"/>
        <v>0.65449999999999997</v>
      </c>
      <c r="N342" s="4">
        <f t="shared" si="71"/>
        <v>3.74</v>
      </c>
    </row>
    <row r="343" spans="1:14">
      <c r="A343" t="str">
        <f t="shared" si="74"/>
        <v>MK~LM_CN~AFFLUENT_MN~NONE_YQ~19Q1Q4_CP~PO5020004141-9_OB~TRAFFIC_PK~NONE</v>
      </c>
      <c r="B343" t="str">
        <f t="shared" si="75"/>
        <v>Waze, Inc</v>
      </c>
      <c r="C343" t="str">
        <f t="shared" si="76"/>
        <v>CH~DISPLAY_DT~MULTI_PB~WAZE_FM~TAKEOVER_RT~CPM_PD~AFFLUENT_DINNING_FREEVALET_TAKEOVER_ASIATICA_788X240_788X240_TG~BHVDEM_TS~NONE_SZ~788X240_DISPLAY_MK~BR_IT~DISPLAY_VV~NONE</v>
      </c>
      <c r="D343" t="str">
        <f t="shared" si="77"/>
        <v>240447787</v>
      </c>
      <c r="E343" t="str">
        <f t="shared" si="78"/>
        <v>Dynamic Click</v>
      </c>
      <c r="F343" t="str">
        <f t="shared" si="79"/>
        <v>CH~DISPLAY_DT~MULTI_PB~WAZE_FM~TAKEOVER_RT~CPM_PD~AFFLUENT_DINNING_FREEVALET_TAKEOVER_ASIATICA_788X240_788X240_TG~BHVDEM_TS~NONE_SZ~788X240_DISPLAY_MK~BR_IT~DISPLAY_VV~NONE</v>
      </c>
      <c r="G343" t="str">
        <f t="shared" si="80"/>
        <v>437412401</v>
      </c>
      <c r="H343" t="str">
        <f t="shared" si="81"/>
        <v>Tracking</v>
      </c>
      <c r="I343">
        <f t="shared" si="82"/>
        <v>113304</v>
      </c>
      <c r="J343">
        <f t="shared" si="83"/>
        <v>0</v>
      </c>
      <c r="K343" s="4">
        <f t="shared" si="72"/>
        <v>3.5000000000000001E-3</v>
      </c>
      <c r="L343">
        <f t="shared" si="73"/>
        <v>0.02</v>
      </c>
      <c r="M343" s="4">
        <f t="shared" si="70"/>
        <v>0</v>
      </c>
      <c r="N343" s="4">
        <f t="shared" si="71"/>
        <v>0</v>
      </c>
    </row>
    <row r="344" spans="1:14">
      <c r="A344" t="str">
        <f t="shared" si="74"/>
        <v>MK~LM_CN~AFFLUENT_MN~NONE_YQ~19Q1Q4_CP~PO5020004141-9_OB~TRAFFIC_PK~NONE</v>
      </c>
      <c r="B344" t="str">
        <f t="shared" si="75"/>
        <v>Waze, Inc</v>
      </c>
      <c r="C344" t="str">
        <f t="shared" si="76"/>
        <v>CH~DISPLAY_DT~MULTI_PB~WAZE_FM~TAKEOVER_RT~CPM_PD~AFFLUENT_DINNING_FREEVALET_TAKEOVER_MASSA_788X240_788X240_TG~BHVDEM_TS~NONE_SZ~788X240_DISPLAY_MK~BR_IT~DISPLAY_VV~NONE</v>
      </c>
      <c r="D344" t="str">
        <f t="shared" si="77"/>
        <v>240447781</v>
      </c>
      <c r="E344" t="str">
        <f t="shared" si="78"/>
        <v>Dynamic Click</v>
      </c>
      <c r="F344" t="str">
        <f t="shared" si="79"/>
        <v>CH~DISPLAY_DT~MULTI_PB~WAZE_FM~TAKEOVER_RT~CPM_PD~AFFLUENT_DINNING_FREEVALET_TAKEOVER_MASSA_788X240_788X240_TG~BHVDEM_TS~NONE_SZ~788X240_DISPLAY_MK~BR_IT~DISPLAY_VV~NONE</v>
      </c>
      <c r="G344" t="str">
        <f t="shared" si="80"/>
        <v>437412395</v>
      </c>
      <c r="H344" t="str">
        <f t="shared" si="81"/>
        <v>Tracking</v>
      </c>
      <c r="I344">
        <f t="shared" si="82"/>
        <v>102413</v>
      </c>
      <c r="J344">
        <f t="shared" si="83"/>
        <v>96</v>
      </c>
      <c r="K344" s="4">
        <f t="shared" si="72"/>
        <v>3.5000000000000001E-3</v>
      </c>
      <c r="L344">
        <f t="shared" si="73"/>
        <v>0.02</v>
      </c>
      <c r="M344" s="4">
        <f t="shared" si="70"/>
        <v>0.33600000000000002</v>
      </c>
      <c r="N344" s="4">
        <f t="shared" si="71"/>
        <v>1.92</v>
      </c>
    </row>
    <row r="345" spans="1:14">
      <c r="A345" t="str">
        <f t="shared" si="74"/>
        <v>MK~LM_CN~AFFLUENT_MN~NONE_YQ~19Q1Q4_CP~PO5020004141-9_OB~TRAFFIC_PK~NONE</v>
      </c>
      <c r="B345" t="str">
        <f t="shared" si="75"/>
        <v>Waze, Inc</v>
      </c>
      <c r="C345" t="str">
        <f t="shared" si="76"/>
        <v>CH~DISPLAY_DT~MULTI_PB~WAZE_FM~TAKEOVER_RT~CPM_PD~AFFLUENT_DINNING_FREEVALET_TAKEOVER_STEAK_788X240_788X240_TG~BHVDEM_TS~NONE_SZ~788X240_DISPLAY_MK~BR_IT~DISPLAY_VV~NONE</v>
      </c>
      <c r="D345" t="str">
        <f t="shared" si="77"/>
        <v>240447775</v>
      </c>
      <c r="E345" t="str">
        <f t="shared" si="78"/>
        <v>Dynamic Click</v>
      </c>
      <c r="F345" t="str">
        <f t="shared" si="79"/>
        <v>CH~DISPLAY_DT~MULTI_PB~WAZE_FM~TAKEOVER_RT~CPM_PD~AFFLUENT_DINNING_FREEVALET_TAKEOVER_STEAK_788X240_788X240_TG~BHVDEM_TS~NONE_SZ~788X240_DISPLAY_MK~BR_IT~DISPLAY_VV~NONE</v>
      </c>
      <c r="G345" t="str">
        <f t="shared" si="80"/>
        <v>437412389</v>
      </c>
      <c r="H345" t="str">
        <f t="shared" si="81"/>
        <v>Tracking</v>
      </c>
      <c r="I345">
        <f t="shared" si="82"/>
        <v>136826</v>
      </c>
      <c r="J345">
        <f t="shared" si="83"/>
        <v>118</v>
      </c>
      <c r="K345" s="4">
        <f t="shared" si="72"/>
        <v>3.5000000000000001E-3</v>
      </c>
      <c r="L345">
        <f t="shared" si="73"/>
        <v>0.02</v>
      </c>
      <c r="M345" s="4">
        <f t="shared" si="70"/>
        <v>0.41300000000000003</v>
      </c>
      <c r="N345" s="4">
        <f t="shared" si="71"/>
        <v>2.36</v>
      </c>
    </row>
    <row r="346" spans="1:14">
      <c r="A346" t="str">
        <f t="shared" si="74"/>
        <v>MK~LM_CN~AFFLUENT_MN~NONE_YQ~19Q1Q4_CP~PO5020004141-9_OB~TRAFFIC_PK~NONE</v>
      </c>
      <c r="B346" t="str">
        <f t="shared" si="75"/>
        <v>instagram.com</v>
      </c>
      <c r="C346" t="str">
        <f t="shared" si="76"/>
        <v>CH~SOCIAL_DT~MULTI_PB~IG_FM~STORIES_RT~CPM_PD~AFFLUENT_MALLS_HIGIENOPOLIS_1_STORIES_1X1_TG~BHVDEM_TS~NONE_SZ~1X1_SOCIAL_MK~BR_IT~SOCIAL_VV~NONE</v>
      </c>
      <c r="D346" t="str">
        <f t="shared" si="77"/>
        <v>236963176</v>
      </c>
      <c r="E346" t="str">
        <f t="shared" si="78"/>
        <v>Dynamic Click</v>
      </c>
      <c r="F346" t="str">
        <f t="shared" si="79"/>
        <v>CH~SOCIAL_DT~MULTI_PB~IG_FM~STORIES_RT~CPM_PD~AFFLUENT_MALLS_HIGIENOPOLIS_1_STORIES_1X1_TG~BHVDEM_TS~NONE_SZ~1X1_SOCIAL_MK~BR_IT~SOCIAL_VV~NONE</v>
      </c>
      <c r="G346" t="str">
        <f t="shared" si="80"/>
        <v>434316585</v>
      </c>
      <c r="H346" t="str">
        <f t="shared" si="81"/>
        <v>Tracking</v>
      </c>
      <c r="I346">
        <f t="shared" si="82"/>
        <v>0</v>
      </c>
      <c r="J346">
        <f t="shared" si="83"/>
        <v>1</v>
      </c>
      <c r="K346" s="4">
        <f t="shared" si="72"/>
        <v>3.5000000000000001E-3</v>
      </c>
      <c r="L346">
        <f t="shared" si="73"/>
        <v>0.02</v>
      </c>
      <c r="M346" s="4">
        <f t="shared" si="70"/>
        <v>3.5000000000000001E-3</v>
      </c>
      <c r="N346" s="4">
        <f t="shared" si="71"/>
        <v>0.02</v>
      </c>
    </row>
    <row r="347" spans="1:14">
      <c r="A347" t="str">
        <f t="shared" si="74"/>
        <v>MK~LM_CN~CROSS_BORDER_PREMIUM_MN~NONE_YQ~19Q1Q4_CP~PO5020004141-13_OB~AWA_PK~NONE</v>
      </c>
      <c r="B347" t="str">
        <f t="shared" si="75"/>
        <v>Google Brasil</v>
      </c>
      <c r="C347" t="str">
        <f t="shared" si="76"/>
        <v>CH~DISPLAY_DT~MULTI_PB~GDBM_FM~BANNER_RT~CPM_PD~CROSSBORDER_CASHBACK_NAOCADASTRADOS_DNA_GOURMET_DBM_160X600_160X600_TG~BHVDEM_TS~NONE_SZ~160X600_PROGRAMMATIC_MK~BR_IT~PROGRAMMATIC_VV~NONE</v>
      </c>
      <c r="D347" t="str">
        <f t="shared" si="77"/>
        <v>238517627</v>
      </c>
      <c r="E347" t="str">
        <f t="shared" si="78"/>
        <v>Standard</v>
      </c>
      <c r="F347" t="str">
        <f t="shared" si="79"/>
        <v>CH~DISPLAY_DT~MULTI_PB~GDBM_FM~BANNER_RT~CPM_PD~CROSSBORDER_CASHBACK_NAOCADASTRADOS_DNA_GOURMET_DBM_160X600_160X600_TG~BHVDEM_TS~NONE_SZ~160X600_PROGRAMMATIC_MK~BR_IT~PROGRAMMATIC_VV~NONE</v>
      </c>
      <c r="G347" t="str">
        <f t="shared" si="80"/>
        <v>435795066</v>
      </c>
      <c r="H347" t="str">
        <f t="shared" si="81"/>
        <v>Display</v>
      </c>
      <c r="I347">
        <f t="shared" si="82"/>
        <v>63421</v>
      </c>
      <c r="J347">
        <f t="shared" si="83"/>
        <v>18</v>
      </c>
      <c r="K347" s="4">
        <f t="shared" si="72"/>
        <v>3.8199999999999998E-2</v>
      </c>
      <c r="L347">
        <f t="shared" si="73"/>
        <v>0.09</v>
      </c>
      <c r="M347" s="4">
        <f t="shared" si="70"/>
        <v>2.4226821999999997</v>
      </c>
      <c r="N347" s="4">
        <f t="shared" si="71"/>
        <v>5.707889999999999</v>
      </c>
    </row>
    <row r="348" spans="1:14">
      <c r="A348" t="str">
        <f t="shared" si="74"/>
        <v>MK~LM_CN~CROSS_BORDER_PREMIUM_MN~NONE_YQ~19Q1Q4_CP~PO5020004141-13_OB~AWA_PK~NONE</v>
      </c>
      <c r="B348" t="str">
        <f t="shared" si="75"/>
        <v>Google Brasil</v>
      </c>
      <c r="C348" t="str">
        <f t="shared" si="76"/>
        <v>CH~DISPLAY_DT~MULTI_PB~GDBM_FM~BANNER_RT~CPM_PD~CROSSBORDER_CASHBACK_NAOCADASTRADOS_DNA_GOURMET_DBM_300X250_300X250_TG~BHVDEM_TS~NONE_SZ~300X250_PROGRAMMATIC_MK~BR_IT~PROGRAMMATIC_VV~NONE</v>
      </c>
      <c r="D348" t="str">
        <f t="shared" si="77"/>
        <v>238517615</v>
      </c>
      <c r="E348" t="str">
        <f t="shared" si="78"/>
        <v>Standard</v>
      </c>
      <c r="F348" t="str">
        <f t="shared" si="79"/>
        <v>CH~DISPLAY_DT~MULTI_PB~GDBM_FM~BANNER_RT~CPM_PD~CROSSBORDER_CASHBACK_NAOCADASTRADOS_DNA_GOURMET_DBM_300X250_300X250_TG~BHVDEM_TS~NONE_SZ~300X250_PROGRAMMATIC_MK~BR_IT~PROGRAMMATIC_VV~NONE</v>
      </c>
      <c r="G348" t="str">
        <f t="shared" si="80"/>
        <v>435795054</v>
      </c>
      <c r="H348" t="str">
        <f t="shared" si="81"/>
        <v>Display</v>
      </c>
      <c r="I348">
        <f t="shared" si="82"/>
        <v>485825</v>
      </c>
      <c r="J348">
        <f t="shared" si="83"/>
        <v>2585</v>
      </c>
      <c r="K348" s="4">
        <f t="shared" si="72"/>
        <v>3.8199999999999998E-2</v>
      </c>
      <c r="L348">
        <f t="shared" si="73"/>
        <v>0.09</v>
      </c>
      <c r="M348" s="4">
        <f t="shared" si="70"/>
        <v>18.558515</v>
      </c>
      <c r="N348" s="4">
        <f t="shared" si="71"/>
        <v>43.724249999999998</v>
      </c>
    </row>
    <row r="349" spans="1:14">
      <c r="A349" t="str">
        <f t="shared" si="74"/>
        <v>MK~LM_CN~CROSS_BORDER_PREMIUM_MN~NONE_YQ~19Q1Q4_CP~PO5020004141-13_OB~AWA_PK~NONE</v>
      </c>
      <c r="B349" t="str">
        <f t="shared" si="75"/>
        <v>Google Brasil</v>
      </c>
      <c r="C349" t="str">
        <f t="shared" si="76"/>
        <v>CH~DISPLAY_DT~MULTI_PB~GDBM_FM~BANNER_RT~CPM_PD~CROSSBORDER_CASHBACK_NAOCADASTRADOS_DNA_GOURMET_DBM_300X50_300X50_TG~BHVDEM_TS~NONE_SZ~300X50_PROGRAMMATIC_MK~BR_IT~PROGRAMMATIC_VV~NONE</v>
      </c>
      <c r="D349" t="str">
        <f t="shared" si="77"/>
        <v>238517621</v>
      </c>
      <c r="E349" t="str">
        <f t="shared" si="78"/>
        <v>Standard</v>
      </c>
      <c r="F349" t="str">
        <f t="shared" si="79"/>
        <v>CH~DISPLAY_DT~MULTI_PB~GDBM_FM~BANNER_RT~CPM_PD~CROSSBORDER_CASHBACK_NAOCADASTRADOS_DNA_GOURMET_DBM_300X50_300X50_TG~BHVDEM_TS~NONE_SZ~300X50_PROGRAMMATIC_MK~BR_IT~PROGRAMMATIC_VV~NONE</v>
      </c>
      <c r="G349" t="str">
        <f t="shared" si="80"/>
        <v>435795060</v>
      </c>
      <c r="H349" t="str">
        <f t="shared" si="81"/>
        <v>Display</v>
      </c>
      <c r="I349">
        <f t="shared" si="82"/>
        <v>1310164</v>
      </c>
      <c r="J349">
        <f t="shared" si="83"/>
        <v>6672</v>
      </c>
      <c r="K349" s="4">
        <f t="shared" si="72"/>
        <v>3.8199999999999998E-2</v>
      </c>
      <c r="L349">
        <f t="shared" si="73"/>
        <v>0.09</v>
      </c>
      <c r="M349" s="4">
        <f t="shared" si="70"/>
        <v>50.048264799999998</v>
      </c>
      <c r="N349" s="4">
        <f t="shared" si="71"/>
        <v>117.91476</v>
      </c>
    </row>
    <row r="350" spans="1:14">
      <c r="A350" t="str">
        <f t="shared" si="74"/>
        <v>MK~LM_CN~CROSS_BORDER_PREMIUM_MN~NONE_YQ~19Q1Q4_CP~PO5020004141-13_OB~AWA_PK~NONE</v>
      </c>
      <c r="B350" t="str">
        <f t="shared" si="75"/>
        <v>Google Brasil</v>
      </c>
      <c r="C350" t="str">
        <f t="shared" si="76"/>
        <v>CH~DISPLAY_DT~MULTI_PB~GDBM_FM~BANNER_RT~CPM_PD~CROSSBORDER_CASHBACK_NAOCADASTRADOS_DNA_GOURMET_DBM_300X50_300X50_TG~BHVDEM_TS~NONE_SZ~300X50_PROGRAMMATIC_MK~BR_IT~PROGRAMMATIC_VV~NONE</v>
      </c>
      <c r="D350" t="str">
        <f t="shared" si="77"/>
        <v>238517621</v>
      </c>
      <c r="E350" t="str">
        <f t="shared" si="78"/>
        <v>Standard</v>
      </c>
      <c r="F350" t="str">
        <f t="shared" si="79"/>
        <v>CH~DISPLAY_DT~MULTI_PB~GDBM_FM~BANNER_RT~CPM_PD~CROSSBORDER_CASHBACK_NAOCADASTRADOS_DNA_GOURMET_DBM_300X50_300X50_TG~BHVDEM_TS~NONE_SZ~300X50_PROGRAMMATIC_MK~BR_IT~PROGRAMMATIC_VV~NONE</v>
      </c>
      <c r="G350" t="str">
        <f t="shared" si="80"/>
        <v>435795060</v>
      </c>
      <c r="H350" t="str">
        <f t="shared" si="81"/>
        <v>Display</v>
      </c>
      <c r="I350">
        <f t="shared" si="82"/>
        <v>0</v>
      </c>
      <c r="J350">
        <f t="shared" si="83"/>
        <v>1</v>
      </c>
      <c r="K350" s="4">
        <f t="shared" si="72"/>
        <v>3.8199999999999998E-2</v>
      </c>
      <c r="L350">
        <f t="shared" si="73"/>
        <v>0.09</v>
      </c>
      <c r="M350" s="4">
        <f t="shared" si="70"/>
        <v>0</v>
      </c>
      <c r="N350" s="4">
        <f t="shared" si="71"/>
        <v>0</v>
      </c>
    </row>
    <row r="351" spans="1:14">
      <c r="A351" t="str">
        <f t="shared" si="74"/>
        <v>MK~LM_CN~CROSS_BORDER_PREMIUM_MN~NONE_YQ~19Q1Q4_CP~PO5020004141-13_OB~AWA_PK~NONE</v>
      </c>
      <c r="B351" t="str">
        <f t="shared" si="75"/>
        <v>Google Brasil</v>
      </c>
      <c r="C351" t="str">
        <f t="shared" si="76"/>
        <v>CH~DISPLAY_DT~MULTI_PB~GDBM_FM~BANNER_RT~CPM_PD~CROSSBORDER_CASHBACK_NAOCADASTRADOS_DNA_GOURMET_DBM_728X90_728X90_TG~BHVDEM_TS~NONE_SZ~728X90_PROGRAMMATIC_MK~BR_IT~PROGRAMMATIC_VV~NONE</v>
      </c>
      <c r="D351" t="str">
        <f t="shared" si="77"/>
        <v>238517609</v>
      </c>
      <c r="E351" t="str">
        <f t="shared" si="78"/>
        <v>Standard</v>
      </c>
      <c r="F351" t="str">
        <f t="shared" si="79"/>
        <v>CH~DISPLAY_DT~MULTI_PB~GDBM_FM~BANNER_RT~CPM_PD~CROSSBORDER_CASHBACK_NAOCADASTRADOS_DNA_GOURMET_DBM_728X90_728X90_TG~BHVDEM_TS~NONE_SZ~728X90_PROGRAMMATIC_MK~BR_IT~PROGRAMMATIC_VV~NONE</v>
      </c>
      <c r="G351" t="str">
        <f t="shared" si="80"/>
        <v>435795048</v>
      </c>
      <c r="H351" t="str">
        <f t="shared" si="81"/>
        <v>Display</v>
      </c>
      <c r="I351">
        <f t="shared" si="82"/>
        <v>178390</v>
      </c>
      <c r="J351">
        <f t="shared" si="83"/>
        <v>92</v>
      </c>
      <c r="K351" s="4">
        <f t="shared" si="72"/>
        <v>3.8199999999999998E-2</v>
      </c>
      <c r="L351">
        <f t="shared" si="73"/>
        <v>0.09</v>
      </c>
      <c r="M351" s="4">
        <f t="shared" si="70"/>
        <v>6.8144979999999995</v>
      </c>
      <c r="N351" s="4">
        <f t="shared" si="71"/>
        <v>16.055099999999999</v>
      </c>
    </row>
    <row r="352" spans="1:14">
      <c r="A352" t="str">
        <f t="shared" si="74"/>
        <v>MK~LM_CN~CROSS_BORDER_PREMIUM_MN~NONE_YQ~19Q1Q4_CP~PO5020004141-13_OB~AWA_PK~NONE</v>
      </c>
      <c r="B352" t="str">
        <f t="shared" si="75"/>
        <v>Google Brasil</v>
      </c>
      <c r="C352" t="str">
        <f t="shared" si="76"/>
        <v>CH~DISPLAY_DT~MULTI_PB~GDBM_FM~BANNER_RT~CPM_PD~CROSSBORDER_CASHBACK_NAOCADASTRADOS_DNA_VIAJANTES_DBM_160X600_160X600_TG~BHVDEM_TS~NONE_SZ~160X600_PROGRAMMATIC_MK~BR_IT~PROGRAMMATIC_VV~NONE</v>
      </c>
      <c r="D352" t="str">
        <f t="shared" si="77"/>
        <v>238517624</v>
      </c>
      <c r="E352" t="str">
        <f t="shared" si="78"/>
        <v>Standard</v>
      </c>
      <c r="F352" t="str">
        <f t="shared" si="79"/>
        <v>CH~DISPLAY_DT~MULTI_PB~GDBM_FM~BANNER_RT~CPM_PD~CROSSBORDER_CASHBACK_NAOCADASTRADOS_DNA_VIAJANTES_DBM_160X600_160X600_TG~BHVDEM_TS~NONE_SZ~160X600_PROGRAMMATIC_MK~BR_IT~PROGRAMMATIC_VV~NONE</v>
      </c>
      <c r="G352" t="str">
        <f t="shared" si="80"/>
        <v>435795063</v>
      </c>
      <c r="H352" t="str">
        <f t="shared" si="81"/>
        <v>Display</v>
      </c>
      <c r="I352">
        <f t="shared" si="82"/>
        <v>76128</v>
      </c>
      <c r="J352">
        <f t="shared" si="83"/>
        <v>31</v>
      </c>
      <c r="K352" s="4">
        <f t="shared" si="72"/>
        <v>3.8199999999999998E-2</v>
      </c>
      <c r="L352">
        <f t="shared" si="73"/>
        <v>0.09</v>
      </c>
      <c r="M352" s="4">
        <f t="shared" si="70"/>
        <v>2.9080895999999998</v>
      </c>
      <c r="N352" s="4">
        <f t="shared" si="71"/>
        <v>6.8515199999999998</v>
      </c>
    </row>
    <row r="353" spans="1:14">
      <c r="A353" t="str">
        <f t="shared" si="74"/>
        <v>MK~LM_CN~CROSS_BORDER_PREMIUM_MN~NONE_YQ~19Q1Q4_CP~PO5020004141-13_OB~AWA_PK~NONE</v>
      </c>
      <c r="B353" t="str">
        <f t="shared" si="75"/>
        <v>Google Brasil</v>
      </c>
      <c r="C353" t="str">
        <f t="shared" si="76"/>
        <v>CH~DISPLAY_DT~MULTI_PB~GDBM_FM~BANNER_RT~CPM_PD~CROSSBORDER_CASHBACK_NAOCADASTRADOS_DNA_VIAJANTES_DBM_160X600_160X600_TG~BHVDEM_TS~NONE_SZ~160X600_PROGRAMMATIC_MK~BR_IT~PROGRAMMATIC_VV~NONE</v>
      </c>
      <c r="D353" t="str">
        <f t="shared" si="77"/>
        <v>238517624</v>
      </c>
      <c r="E353" t="str">
        <f t="shared" si="78"/>
        <v>Standard</v>
      </c>
      <c r="F353" t="str">
        <f t="shared" si="79"/>
        <v>CH~DISPLAY_DT~MULTI_PB~GDBM_FM~BANNER_RT~CPM_PD~CROSSBORDER_CASHBACK_NAOCADASTRADOS_DNA_VIAJANTES_DBM_160X600_160X600_TG~BHVDEM_TS~NONE_SZ~160X600_PROGRAMMATIC_MK~BR_IT~PROGRAMMATIC_VV~NONE</v>
      </c>
      <c r="G353" t="str">
        <f t="shared" si="80"/>
        <v>435795063</v>
      </c>
      <c r="H353" t="str">
        <f t="shared" si="81"/>
        <v>Display</v>
      </c>
      <c r="I353">
        <f t="shared" si="82"/>
        <v>1</v>
      </c>
      <c r="J353">
        <f t="shared" si="83"/>
        <v>0</v>
      </c>
      <c r="K353" s="4">
        <f t="shared" si="72"/>
        <v>3.8199999999999998E-2</v>
      </c>
      <c r="L353">
        <f t="shared" si="73"/>
        <v>0.09</v>
      </c>
      <c r="M353" s="4">
        <f t="shared" si="70"/>
        <v>3.82E-5</v>
      </c>
      <c r="N353" s="4">
        <f t="shared" si="71"/>
        <v>8.9999999999999992E-5</v>
      </c>
    </row>
    <row r="354" spans="1:14">
      <c r="A354" t="str">
        <f t="shared" si="74"/>
        <v>MK~LM_CN~CROSS_BORDER_PREMIUM_MN~NONE_YQ~19Q1Q4_CP~PO5020004141-13_OB~AWA_PK~NONE</v>
      </c>
      <c r="B354" t="str">
        <f t="shared" si="75"/>
        <v>Google Brasil</v>
      </c>
      <c r="C354" t="str">
        <f t="shared" si="76"/>
        <v>CH~DISPLAY_DT~MULTI_PB~GDBM_FM~BANNER_RT~CPM_PD~CROSSBORDER_CASHBACK_NAOCADASTRADOS_DNA_VIAJANTES_DBM_300X250_300X250_TG~BHVDEM_TS~NONE_SZ~300X250_PROGRAMMATIC_MK~BR_IT~PROGRAMMATIC_VV~NONE</v>
      </c>
      <c r="D354" t="str">
        <f t="shared" si="77"/>
        <v>238517612</v>
      </c>
      <c r="E354" t="str">
        <f t="shared" si="78"/>
        <v>Standard</v>
      </c>
      <c r="F354" t="str">
        <f t="shared" si="79"/>
        <v>CH~DISPLAY_DT~MULTI_PB~GDBM_FM~BANNER_RT~CPM_PD~CROSSBORDER_CASHBACK_NAOCADASTRADOS_DNA_VIAJANTES_DBM_300X250_300X250_TG~BHVDEM_TS~NONE_SZ~300X250_PROGRAMMATIC_MK~BR_IT~PROGRAMMATIC_VV~NONE</v>
      </c>
      <c r="G354" t="str">
        <f t="shared" si="80"/>
        <v>435795051</v>
      </c>
      <c r="H354" t="str">
        <f t="shared" si="81"/>
        <v>Display</v>
      </c>
      <c r="I354">
        <f t="shared" si="82"/>
        <v>490982</v>
      </c>
      <c r="J354">
        <f t="shared" si="83"/>
        <v>2524</v>
      </c>
      <c r="K354" s="4">
        <f t="shared" si="72"/>
        <v>3.8199999999999998E-2</v>
      </c>
      <c r="L354">
        <f t="shared" si="73"/>
        <v>0.09</v>
      </c>
      <c r="M354" s="4">
        <f t="shared" si="70"/>
        <v>18.755512400000001</v>
      </c>
      <c r="N354" s="4">
        <f t="shared" si="71"/>
        <v>44.188379999999995</v>
      </c>
    </row>
    <row r="355" spans="1:14">
      <c r="A355" t="str">
        <f t="shared" si="74"/>
        <v>MK~LM_CN~CROSS_BORDER_PREMIUM_MN~NONE_YQ~19Q1Q4_CP~PO5020004141-13_OB~AWA_PK~NONE</v>
      </c>
      <c r="B355" t="str">
        <f t="shared" si="75"/>
        <v>Google Brasil</v>
      </c>
      <c r="C355" t="str">
        <f t="shared" si="76"/>
        <v>CH~DISPLAY_DT~MULTI_PB~GDBM_FM~BANNER_RT~CPM_PD~CROSSBORDER_CASHBACK_NAOCADASTRADOS_DNA_VIAJANTES_DBM_300X250_300X250_TG~BHVDEM_TS~NONE_SZ~300X250_PROGRAMMATIC_MK~BR_IT~PROGRAMMATIC_VV~NONE</v>
      </c>
      <c r="D355" t="str">
        <f t="shared" si="77"/>
        <v>238517612</v>
      </c>
      <c r="E355" t="str">
        <f t="shared" si="78"/>
        <v>Standard</v>
      </c>
      <c r="F355" t="str">
        <f t="shared" si="79"/>
        <v>CH~DISPLAY_DT~MULTI_PB~GDBM_FM~BANNER_RT~CPM_PD~CROSSBORDER_CASHBACK_NAOCADASTRADOS_DNA_VIAJANTES_DBM_300X250_300X250_TG~BHVDEM_TS~NONE_SZ~300X250_PROGRAMMATIC_MK~BR_IT~PROGRAMMATIC_VV~NONE</v>
      </c>
      <c r="G355" t="str">
        <f t="shared" si="80"/>
        <v>435795051</v>
      </c>
      <c r="H355" t="str">
        <f t="shared" si="81"/>
        <v>Display</v>
      </c>
      <c r="I355">
        <f t="shared" si="82"/>
        <v>282794</v>
      </c>
      <c r="J355">
        <f t="shared" si="83"/>
        <v>740</v>
      </c>
      <c r="K355" s="4">
        <f t="shared" si="72"/>
        <v>3.8199999999999998E-2</v>
      </c>
      <c r="L355">
        <f t="shared" si="73"/>
        <v>0.09</v>
      </c>
      <c r="M355" s="4">
        <f t="shared" ref="M355:M417" si="84">IF(E355="Dynamic Click",J355*K355,K355*$I355/1000)</f>
        <v>10.802730799999999</v>
      </c>
      <c r="N355" s="4">
        <f t="shared" ref="N355:N417" si="85">IF(E355="Dynamic Click",J355*L355,L355*$I355/1000)</f>
        <v>25.451460000000001</v>
      </c>
    </row>
    <row r="356" spans="1:14">
      <c r="A356" t="str">
        <f t="shared" si="74"/>
        <v>MK~LM_CN~CROSS_BORDER_PREMIUM_MN~NONE_YQ~19Q1Q4_CP~PO5020004141-13_OB~AWA_PK~NONE</v>
      </c>
      <c r="B356" t="str">
        <f t="shared" si="75"/>
        <v>Google Brasil</v>
      </c>
      <c r="C356" t="str">
        <f t="shared" si="76"/>
        <v>CH~DISPLAY_DT~MULTI_PB~GDBM_FM~BANNER_RT~CPM_PD~CROSSBORDER_CASHBACK_NAOCADASTRADOS_DNA_VIAJANTES_DBM_300X50_300X50_TG~BHVDEM_TS~NONE_SZ~300X50_PROGRAMMATIC_MK~BR_IT~PROGRAMMATIC_VV~NONE</v>
      </c>
      <c r="D356" t="str">
        <f t="shared" si="77"/>
        <v>238517618</v>
      </c>
      <c r="E356" t="str">
        <f t="shared" si="78"/>
        <v>Standard</v>
      </c>
      <c r="F356" t="str">
        <f t="shared" si="79"/>
        <v>CH~DISPLAY_DT~MULTI_PB~GDBM_FM~BANNER_RT~CPM_PD~CROSSBORDER_CASHBACK_NAOCADASTRADOS_DNA_VIAJANTES_DBM_300X50_300X50_TG~BHVDEM_TS~NONE_SZ~300X50_PROGRAMMATIC_MK~BR_IT~PROGRAMMATIC_VV~NONE</v>
      </c>
      <c r="G356" t="str">
        <f t="shared" si="80"/>
        <v>435795057</v>
      </c>
      <c r="H356" t="str">
        <f t="shared" si="81"/>
        <v>Display</v>
      </c>
      <c r="I356">
        <f t="shared" si="82"/>
        <v>1357007</v>
      </c>
      <c r="J356">
        <f t="shared" si="83"/>
        <v>6661</v>
      </c>
      <c r="K356" s="4">
        <f t="shared" si="72"/>
        <v>3.8199999999999998E-2</v>
      </c>
      <c r="L356">
        <f t="shared" si="73"/>
        <v>0.09</v>
      </c>
      <c r="M356" s="4">
        <f t="shared" si="84"/>
        <v>51.837667400000001</v>
      </c>
      <c r="N356" s="4">
        <f t="shared" si="85"/>
        <v>122.13063</v>
      </c>
    </row>
    <row r="357" spans="1:14">
      <c r="A357" t="str">
        <f t="shared" si="74"/>
        <v>MK~LM_CN~CROSS_BORDER_PREMIUM_MN~NONE_YQ~19Q1Q4_CP~PO5020004141-13_OB~AWA_PK~NONE</v>
      </c>
      <c r="B357" t="str">
        <f t="shared" si="75"/>
        <v>Google Brasil</v>
      </c>
      <c r="C357" t="str">
        <f t="shared" si="76"/>
        <v>CH~DISPLAY_DT~MULTI_PB~GDBM_FM~BANNER_RT~CPM_PD~CROSSBORDER_CASHBACK_NAOCADASTRADOS_DNA_VIAJANTES_DBM_728X90_728X90_TG~BHVDEM_TS~NONE_SZ~728X90_PROGRAMMATIC_MK~BR_IT~PROGRAMMATIC_VV~NONE</v>
      </c>
      <c r="D357" t="str">
        <f t="shared" si="77"/>
        <v>238517606</v>
      </c>
      <c r="E357" t="str">
        <f t="shared" si="78"/>
        <v>Standard</v>
      </c>
      <c r="F357" t="str">
        <f t="shared" si="79"/>
        <v>CH~DISPLAY_DT~MULTI_PB~GDBM_FM~BANNER_RT~CPM_PD~CROSSBORDER_CASHBACK_NAOCADASTRADOS_DNA_VIAJANTES_DBM_728X90_728X90_TG~BHVDEM_TS~NONE_SZ~728X90_PROGRAMMATIC_MK~BR_IT~PROGRAMMATIC_VV~NONE</v>
      </c>
      <c r="G357" t="str">
        <f t="shared" si="80"/>
        <v>435795045</v>
      </c>
      <c r="H357" t="str">
        <f t="shared" si="81"/>
        <v>Display</v>
      </c>
      <c r="I357">
        <f t="shared" si="82"/>
        <v>163032</v>
      </c>
      <c r="J357">
        <f t="shared" si="83"/>
        <v>87</v>
      </c>
      <c r="K357" s="4">
        <f t="shared" si="72"/>
        <v>3.8199999999999998E-2</v>
      </c>
      <c r="L357">
        <f t="shared" si="73"/>
        <v>0.09</v>
      </c>
      <c r="M357" s="4">
        <f t="shared" si="84"/>
        <v>6.2278224</v>
      </c>
      <c r="N357" s="4">
        <f t="shared" si="85"/>
        <v>14.672879999999999</v>
      </c>
    </row>
    <row r="358" spans="1:14">
      <c r="A358" t="str">
        <f t="shared" si="74"/>
        <v>MK~LM_CN~CROSS_BORDER_PREMIUM_MN~NONE_YQ~19Q1Q4_CP~PO5020004141-13_OB~AWA_PK~NONE</v>
      </c>
      <c r="B358" t="str">
        <f t="shared" si="75"/>
        <v>Google Brasil</v>
      </c>
      <c r="C358" t="str">
        <f t="shared" si="76"/>
        <v>CH~DISPLAY_DT~MULTI_PB~GDBM_FM~BANNER_RT~CPM_PD~CROSSBORDER_CASHBACK_NAOCADASTRADOS_DNA_VIAJANTES_DBM_728X90_728X90_TG~BHVDEM_TS~NONE_SZ~728X90_PROGRAMMATIC_MK~BR_IT~PROGRAMMATIC_VV~NONE</v>
      </c>
      <c r="D358" t="str">
        <f t="shared" si="77"/>
        <v>238517606</v>
      </c>
      <c r="E358" t="str">
        <f t="shared" si="78"/>
        <v>Standard</v>
      </c>
      <c r="F358" t="str">
        <f t="shared" si="79"/>
        <v>CH~DISPLAY_DT~MULTI_PB~GDBM_FM~BANNER_RT~CPM_PD~CROSSBORDER_CASHBACK_NAOCADASTRADOS_DNA_VIAJANTES_DBM_728X90_728X90_TG~BHVDEM_TS~NONE_SZ~728X90_PROGRAMMATIC_MK~BR_IT~PROGRAMMATIC_VV~NONE</v>
      </c>
      <c r="G358" t="str">
        <f t="shared" si="80"/>
        <v>435795045</v>
      </c>
      <c r="H358" t="str">
        <f t="shared" si="81"/>
        <v>Display</v>
      </c>
      <c r="I358">
        <f t="shared" si="82"/>
        <v>4</v>
      </c>
      <c r="J358">
        <f t="shared" si="83"/>
        <v>3</v>
      </c>
      <c r="K358" s="4">
        <f t="shared" si="72"/>
        <v>3.8199999999999998E-2</v>
      </c>
      <c r="L358">
        <f t="shared" si="73"/>
        <v>0.09</v>
      </c>
      <c r="M358" s="4">
        <f t="shared" si="84"/>
        <v>1.528E-4</v>
      </c>
      <c r="N358" s="4">
        <f t="shared" si="85"/>
        <v>3.5999999999999997E-4</v>
      </c>
    </row>
    <row r="359" spans="1:14">
      <c r="A359">
        <f t="shared" si="74"/>
        <v>0</v>
      </c>
      <c r="B359">
        <f t="shared" si="75"/>
        <v>0</v>
      </c>
      <c r="C359">
        <f t="shared" si="76"/>
        <v>0</v>
      </c>
      <c r="D359">
        <f t="shared" si="77"/>
        <v>0</v>
      </c>
      <c r="E359" t="e">
        <f t="shared" si="78"/>
        <v>#N/A</v>
      </c>
      <c r="F359">
        <f t="shared" si="79"/>
        <v>0</v>
      </c>
      <c r="G359">
        <f t="shared" si="80"/>
        <v>0</v>
      </c>
      <c r="H359">
        <f t="shared" si="81"/>
        <v>0</v>
      </c>
      <c r="I359">
        <f t="shared" si="82"/>
        <v>0</v>
      </c>
      <c r="J359">
        <f t="shared" si="83"/>
        <v>0</v>
      </c>
      <c r="K359" s="4" t="e">
        <f t="shared" si="72"/>
        <v>#N/A</v>
      </c>
      <c r="L359" t="e">
        <f t="shared" si="73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4"/>
        <v>0</v>
      </c>
      <c r="B360">
        <f t="shared" si="75"/>
        <v>0</v>
      </c>
      <c r="C360">
        <f t="shared" si="76"/>
        <v>0</v>
      </c>
      <c r="D360">
        <f t="shared" si="77"/>
        <v>0</v>
      </c>
      <c r="E360" t="e">
        <f t="shared" si="78"/>
        <v>#N/A</v>
      </c>
      <c r="F360">
        <f t="shared" si="79"/>
        <v>0</v>
      </c>
      <c r="G360">
        <f t="shared" si="80"/>
        <v>0</v>
      </c>
      <c r="H360">
        <f t="shared" si="81"/>
        <v>0</v>
      </c>
      <c r="I360">
        <f t="shared" si="82"/>
        <v>0</v>
      </c>
      <c r="J360">
        <f t="shared" si="83"/>
        <v>0</v>
      </c>
      <c r="K360" s="4" t="e">
        <f t="shared" si="72"/>
        <v>#N/A</v>
      </c>
      <c r="L360" t="e">
        <f t="shared" si="73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4"/>
        <v>0</v>
      </c>
      <c r="B361">
        <f t="shared" si="75"/>
        <v>0</v>
      </c>
      <c r="C361">
        <f t="shared" si="76"/>
        <v>0</v>
      </c>
      <c r="D361">
        <f t="shared" si="77"/>
        <v>0</v>
      </c>
      <c r="E361" t="e">
        <f t="shared" si="78"/>
        <v>#N/A</v>
      </c>
      <c r="F361">
        <f t="shared" si="79"/>
        <v>0</v>
      </c>
      <c r="G361">
        <f t="shared" si="80"/>
        <v>0</v>
      </c>
      <c r="H361">
        <f t="shared" si="81"/>
        <v>0</v>
      </c>
      <c r="I361">
        <f t="shared" si="82"/>
        <v>0</v>
      </c>
      <c r="J361">
        <f t="shared" si="83"/>
        <v>0</v>
      </c>
      <c r="K361" s="4" t="e">
        <f t="shared" si="72"/>
        <v>#N/A</v>
      </c>
      <c r="L361" t="e">
        <f t="shared" si="73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4"/>
        <v>0</v>
      </c>
      <c r="B362">
        <f t="shared" si="75"/>
        <v>0</v>
      </c>
      <c r="C362">
        <f t="shared" si="76"/>
        <v>0</v>
      </c>
      <c r="D362">
        <f t="shared" si="77"/>
        <v>0</v>
      </c>
      <c r="E362" t="e">
        <f t="shared" si="78"/>
        <v>#N/A</v>
      </c>
      <c r="F362">
        <f t="shared" si="79"/>
        <v>0</v>
      </c>
      <c r="G362">
        <f t="shared" si="80"/>
        <v>0</v>
      </c>
      <c r="H362">
        <f t="shared" si="81"/>
        <v>0</v>
      </c>
      <c r="I362">
        <f t="shared" si="82"/>
        <v>0</v>
      </c>
      <c r="J362">
        <f t="shared" si="83"/>
        <v>0</v>
      </c>
      <c r="K362" s="4" t="e">
        <f t="shared" si="72"/>
        <v>#N/A</v>
      </c>
      <c r="L362" t="e">
        <f t="shared" si="73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4"/>
        <v>0</v>
      </c>
      <c r="B363">
        <f t="shared" si="75"/>
        <v>0</v>
      </c>
      <c r="C363">
        <f t="shared" si="76"/>
        <v>0</v>
      </c>
      <c r="D363">
        <f t="shared" si="77"/>
        <v>0</v>
      </c>
      <c r="E363" t="e">
        <f t="shared" si="78"/>
        <v>#N/A</v>
      </c>
      <c r="F363">
        <f t="shared" si="79"/>
        <v>0</v>
      </c>
      <c r="G363">
        <f t="shared" si="80"/>
        <v>0</v>
      </c>
      <c r="H363">
        <f t="shared" si="81"/>
        <v>0</v>
      </c>
      <c r="I363">
        <f t="shared" si="82"/>
        <v>0</v>
      </c>
      <c r="J363">
        <f t="shared" si="83"/>
        <v>0</v>
      </c>
      <c r="K363" s="4" t="e">
        <f t="shared" si="72"/>
        <v>#N/A</v>
      </c>
      <c r="L363" t="e">
        <f t="shared" si="73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4"/>
        <v>0</v>
      </c>
      <c r="B364">
        <f t="shared" si="75"/>
        <v>0</v>
      </c>
      <c r="C364">
        <f t="shared" si="76"/>
        <v>0</v>
      </c>
      <c r="D364">
        <f t="shared" si="77"/>
        <v>0</v>
      </c>
      <c r="E364" t="e">
        <f t="shared" si="78"/>
        <v>#N/A</v>
      </c>
      <c r="F364">
        <f t="shared" si="79"/>
        <v>0</v>
      </c>
      <c r="G364">
        <f t="shared" si="80"/>
        <v>0</v>
      </c>
      <c r="H364">
        <f t="shared" si="81"/>
        <v>0</v>
      </c>
      <c r="I364">
        <f t="shared" si="82"/>
        <v>0</v>
      </c>
      <c r="J364">
        <f t="shared" si="83"/>
        <v>0</v>
      </c>
      <c r="K364" s="4" t="e">
        <f t="shared" ref="K364:K427" si="86">IF(LEFT(B364,3)="DBM",0,VLOOKUP(E364,tabela,2,FALSE))</f>
        <v>#N/A</v>
      </c>
      <c r="L364" t="e">
        <f t="shared" ref="L364:L427" si="87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4"/>
        <v>0</v>
      </c>
      <c r="B365">
        <f t="shared" si="75"/>
        <v>0</v>
      </c>
      <c r="C365">
        <f t="shared" si="76"/>
        <v>0</v>
      </c>
      <c r="D365">
        <f t="shared" si="77"/>
        <v>0</v>
      </c>
      <c r="E365" t="e">
        <f t="shared" si="78"/>
        <v>#N/A</v>
      </c>
      <c r="F365">
        <f t="shared" si="79"/>
        <v>0</v>
      </c>
      <c r="G365">
        <f t="shared" si="80"/>
        <v>0</v>
      </c>
      <c r="H365">
        <f t="shared" si="81"/>
        <v>0</v>
      </c>
      <c r="I365">
        <f t="shared" si="82"/>
        <v>0</v>
      </c>
      <c r="J365">
        <f t="shared" si="83"/>
        <v>0</v>
      </c>
      <c r="K365" s="4" t="e">
        <f t="shared" si="86"/>
        <v>#N/A</v>
      </c>
      <c r="L365" t="e">
        <f t="shared" si="87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4"/>
        <v>0</v>
      </c>
      <c r="B366">
        <f t="shared" si="75"/>
        <v>0</v>
      </c>
      <c r="C366">
        <f t="shared" si="76"/>
        <v>0</v>
      </c>
      <c r="D366">
        <f t="shared" si="77"/>
        <v>0</v>
      </c>
      <c r="E366" t="e">
        <f t="shared" si="78"/>
        <v>#N/A</v>
      </c>
      <c r="F366">
        <f t="shared" si="79"/>
        <v>0</v>
      </c>
      <c r="G366">
        <f t="shared" si="80"/>
        <v>0</v>
      </c>
      <c r="H366">
        <f t="shared" si="81"/>
        <v>0</v>
      </c>
      <c r="I366">
        <f t="shared" si="82"/>
        <v>0</v>
      </c>
      <c r="J366">
        <f t="shared" si="83"/>
        <v>0</v>
      </c>
      <c r="K366" s="4" t="e">
        <f t="shared" si="86"/>
        <v>#N/A</v>
      </c>
      <c r="L366" t="e">
        <f t="shared" si="87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4"/>
        <v>0</v>
      </c>
      <c r="B367">
        <f t="shared" si="75"/>
        <v>0</v>
      </c>
      <c r="C367">
        <f t="shared" si="76"/>
        <v>0</v>
      </c>
      <c r="D367">
        <f t="shared" si="77"/>
        <v>0</v>
      </c>
      <c r="E367" t="e">
        <f t="shared" si="78"/>
        <v>#N/A</v>
      </c>
      <c r="F367">
        <f t="shared" si="79"/>
        <v>0</v>
      </c>
      <c r="G367">
        <f t="shared" si="80"/>
        <v>0</v>
      </c>
      <c r="H367">
        <f t="shared" si="81"/>
        <v>0</v>
      </c>
      <c r="I367">
        <f t="shared" si="82"/>
        <v>0</v>
      </c>
      <c r="J367">
        <f t="shared" si="83"/>
        <v>0</v>
      </c>
      <c r="K367" s="4" t="e">
        <f t="shared" si="86"/>
        <v>#N/A</v>
      </c>
      <c r="L367" t="e">
        <f t="shared" si="87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4"/>
        <v>0</v>
      </c>
      <c r="B368">
        <f t="shared" si="75"/>
        <v>0</v>
      </c>
      <c r="C368">
        <f t="shared" si="76"/>
        <v>0</v>
      </c>
      <c r="D368">
        <f t="shared" si="77"/>
        <v>0</v>
      </c>
      <c r="E368" t="e">
        <f t="shared" si="78"/>
        <v>#N/A</v>
      </c>
      <c r="F368">
        <f t="shared" si="79"/>
        <v>0</v>
      </c>
      <c r="G368">
        <f t="shared" si="80"/>
        <v>0</v>
      </c>
      <c r="H368">
        <f t="shared" si="81"/>
        <v>0</v>
      </c>
      <c r="I368">
        <f t="shared" si="82"/>
        <v>0</v>
      </c>
      <c r="J368">
        <f t="shared" si="83"/>
        <v>0</v>
      </c>
      <c r="K368" s="4" t="e">
        <f t="shared" si="86"/>
        <v>#N/A</v>
      </c>
      <c r="L368" t="e">
        <f t="shared" si="87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4"/>
        <v>0</v>
      </c>
      <c r="B369">
        <f t="shared" si="75"/>
        <v>0</v>
      </c>
      <c r="C369">
        <f t="shared" si="76"/>
        <v>0</v>
      </c>
      <c r="D369">
        <f t="shared" si="77"/>
        <v>0</v>
      </c>
      <c r="E369" t="e">
        <f t="shared" si="78"/>
        <v>#N/A</v>
      </c>
      <c r="F369">
        <f t="shared" si="79"/>
        <v>0</v>
      </c>
      <c r="G369">
        <f t="shared" si="80"/>
        <v>0</v>
      </c>
      <c r="H369">
        <f t="shared" si="81"/>
        <v>0</v>
      </c>
      <c r="I369">
        <f t="shared" si="82"/>
        <v>0</v>
      </c>
      <c r="J369">
        <f t="shared" si="83"/>
        <v>0</v>
      </c>
      <c r="K369" s="4" t="e">
        <f t="shared" si="86"/>
        <v>#N/A</v>
      </c>
      <c r="L369" t="e">
        <f t="shared" si="87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4"/>
        <v>0</v>
      </c>
      <c r="B370">
        <f t="shared" si="75"/>
        <v>0</v>
      </c>
      <c r="C370">
        <f t="shared" si="76"/>
        <v>0</v>
      </c>
      <c r="D370">
        <f t="shared" si="77"/>
        <v>0</v>
      </c>
      <c r="E370" t="e">
        <f t="shared" si="78"/>
        <v>#N/A</v>
      </c>
      <c r="F370">
        <f t="shared" si="79"/>
        <v>0</v>
      </c>
      <c r="G370">
        <f t="shared" si="80"/>
        <v>0</v>
      </c>
      <c r="H370">
        <f t="shared" si="81"/>
        <v>0</v>
      </c>
      <c r="I370">
        <f t="shared" si="82"/>
        <v>0</v>
      </c>
      <c r="J370">
        <f t="shared" si="83"/>
        <v>0</v>
      </c>
      <c r="K370" s="4" t="e">
        <f t="shared" si="86"/>
        <v>#N/A</v>
      </c>
      <c r="L370" t="e">
        <f t="shared" si="87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4"/>
        <v>0</v>
      </c>
      <c r="B371">
        <f t="shared" si="75"/>
        <v>0</v>
      </c>
      <c r="C371">
        <f t="shared" si="76"/>
        <v>0</v>
      </c>
      <c r="D371">
        <f t="shared" si="77"/>
        <v>0</v>
      </c>
      <c r="E371" t="e">
        <f t="shared" si="78"/>
        <v>#N/A</v>
      </c>
      <c r="F371">
        <f t="shared" si="79"/>
        <v>0</v>
      </c>
      <c r="G371">
        <f t="shared" si="80"/>
        <v>0</v>
      </c>
      <c r="H371">
        <f t="shared" si="81"/>
        <v>0</v>
      </c>
      <c r="I371">
        <f t="shared" si="82"/>
        <v>0</v>
      </c>
      <c r="J371">
        <f t="shared" si="83"/>
        <v>0</v>
      </c>
      <c r="K371" s="4" t="e">
        <f t="shared" si="86"/>
        <v>#N/A</v>
      </c>
      <c r="L371" t="e">
        <f t="shared" si="87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4"/>
        <v>0</v>
      </c>
      <c r="B372">
        <f t="shared" si="75"/>
        <v>0</v>
      </c>
      <c r="C372">
        <f t="shared" si="76"/>
        <v>0</v>
      </c>
      <c r="D372">
        <f t="shared" si="77"/>
        <v>0</v>
      </c>
      <c r="E372" t="e">
        <f t="shared" si="78"/>
        <v>#N/A</v>
      </c>
      <c r="F372">
        <f t="shared" si="79"/>
        <v>0</v>
      </c>
      <c r="G372">
        <f t="shared" si="80"/>
        <v>0</v>
      </c>
      <c r="H372">
        <f t="shared" si="81"/>
        <v>0</v>
      </c>
      <c r="I372">
        <f t="shared" si="82"/>
        <v>0</v>
      </c>
      <c r="J372">
        <f t="shared" si="83"/>
        <v>0</v>
      </c>
      <c r="K372" s="4" t="e">
        <f t="shared" si="86"/>
        <v>#N/A</v>
      </c>
      <c r="L372" t="e">
        <f t="shared" si="87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4"/>
        <v>0</v>
      </c>
      <c r="B373">
        <f t="shared" si="75"/>
        <v>0</v>
      </c>
      <c r="C373">
        <f t="shared" si="76"/>
        <v>0</v>
      </c>
      <c r="D373">
        <f t="shared" si="77"/>
        <v>0</v>
      </c>
      <c r="E373" t="e">
        <f t="shared" si="78"/>
        <v>#N/A</v>
      </c>
      <c r="F373">
        <f t="shared" si="79"/>
        <v>0</v>
      </c>
      <c r="G373">
        <f t="shared" si="80"/>
        <v>0</v>
      </c>
      <c r="H373">
        <f t="shared" si="81"/>
        <v>0</v>
      </c>
      <c r="I373">
        <f t="shared" si="82"/>
        <v>0</v>
      </c>
      <c r="J373">
        <f t="shared" si="83"/>
        <v>0</v>
      </c>
      <c r="K373" s="4" t="e">
        <f t="shared" si="86"/>
        <v>#N/A</v>
      </c>
      <c r="L373" t="e">
        <f t="shared" si="87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4"/>
        <v>0</v>
      </c>
      <c r="B374">
        <f t="shared" si="75"/>
        <v>0</v>
      </c>
      <c r="C374">
        <f t="shared" si="76"/>
        <v>0</v>
      </c>
      <c r="D374">
        <f t="shared" si="77"/>
        <v>0</v>
      </c>
      <c r="E374" t="e">
        <f t="shared" si="78"/>
        <v>#N/A</v>
      </c>
      <c r="F374">
        <f t="shared" si="79"/>
        <v>0</v>
      </c>
      <c r="G374">
        <f t="shared" si="80"/>
        <v>0</v>
      </c>
      <c r="H374">
        <f t="shared" si="81"/>
        <v>0</v>
      </c>
      <c r="I374">
        <f t="shared" si="82"/>
        <v>0</v>
      </c>
      <c r="J374">
        <f t="shared" si="83"/>
        <v>0</v>
      </c>
      <c r="K374" s="4" t="e">
        <f t="shared" si="86"/>
        <v>#N/A</v>
      </c>
      <c r="L374" t="e">
        <f t="shared" si="87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4"/>
        <v>0</v>
      </c>
      <c r="B375">
        <f t="shared" si="75"/>
        <v>0</v>
      </c>
      <c r="C375">
        <f t="shared" si="76"/>
        <v>0</v>
      </c>
      <c r="D375">
        <f t="shared" si="77"/>
        <v>0</v>
      </c>
      <c r="E375" t="e">
        <f t="shared" si="78"/>
        <v>#N/A</v>
      </c>
      <c r="F375">
        <f t="shared" si="79"/>
        <v>0</v>
      </c>
      <c r="G375">
        <f t="shared" si="80"/>
        <v>0</v>
      </c>
      <c r="H375">
        <f t="shared" si="81"/>
        <v>0</v>
      </c>
      <c r="I375">
        <f t="shared" si="82"/>
        <v>0</v>
      </c>
      <c r="J375">
        <f t="shared" si="83"/>
        <v>0</v>
      </c>
      <c r="K375" s="4" t="e">
        <f t="shared" si="86"/>
        <v>#N/A</v>
      </c>
      <c r="L375" t="e">
        <f t="shared" si="87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4"/>
        <v>0</v>
      </c>
      <c r="B376">
        <f t="shared" si="75"/>
        <v>0</v>
      </c>
      <c r="C376">
        <f t="shared" si="76"/>
        <v>0</v>
      </c>
      <c r="D376">
        <f t="shared" si="77"/>
        <v>0</v>
      </c>
      <c r="E376" t="e">
        <f t="shared" si="78"/>
        <v>#N/A</v>
      </c>
      <c r="F376">
        <f t="shared" si="79"/>
        <v>0</v>
      </c>
      <c r="G376">
        <f t="shared" si="80"/>
        <v>0</v>
      </c>
      <c r="H376">
        <f t="shared" si="81"/>
        <v>0</v>
      </c>
      <c r="I376">
        <f t="shared" si="82"/>
        <v>0</v>
      </c>
      <c r="J376">
        <f t="shared" si="83"/>
        <v>0</v>
      </c>
      <c r="K376" s="4" t="e">
        <f t="shared" si="86"/>
        <v>#N/A</v>
      </c>
      <c r="L376" t="e">
        <f t="shared" si="87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4"/>
        <v>0</v>
      </c>
      <c r="B377">
        <f t="shared" si="75"/>
        <v>0</v>
      </c>
      <c r="C377">
        <f t="shared" si="76"/>
        <v>0</v>
      </c>
      <c r="D377">
        <f t="shared" si="77"/>
        <v>0</v>
      </c>
      <c r="E377" t="e">
        <f t="shared" si="78"/>
        <v>#N/A</v>
      </c>
      <c r="F377">
        <f t="shared" si="79"/>
        <v>0</v>
      </c>
      <c r="G377">
        <f t="shared" si="80"/>
        <v>0</v>
      </c>
      <c r="H377">
        <f t="shared" si="81"/>
        <v>0</v>
      </c>
      <c r="I377">
        <f t="shared" si="82"/>
        <v>0</v>
      </c>
      <c r="J377">
        <f t="shared" si="83"/>
        <v>0</v>
      </c>
      <c r="K377" s="4" t="e">
        <f t="shared" si="86"/>
        <v>#N/A</v>
      </c>
      <c r="L377" t="e">
        <f t="shared" si="87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4"/>
        <v>0</v>
      </c>
      <c r="B378">
        <f t="shared" si="75"/>
        <v>0</v>
      </c>
      <c r="C378">
        <f t="shared" si="76"/>
        <v>0</v>
      </c>
      <c r="D378">
        <f t="shared" si="77"/>
        <v>0</v>
      </c>
      <c r="E378" t="e">
        <f t="shared" si="78"/>
        <v>#N/A</v>
      </c>
      <c r="F378">
        <f t="shared" si="79"/>
        <v>0</v>
      </c>
      <c r="G378">
        <f t="shared" si="80"/>
        <v>0</v>
      </c>
      <c r="H378">
        <f t="shared" si="81"/>
        <v>0</v>
      </c>
      <c r="I378">
        <f t="shared" si="82"/>
        <v>0</v>
      </c>
      <c r="J378">
        <f t="shared" si="83"/>
        <v>0</v>
      </c>
      <c r="K378" s="4" t="e">
        <f t="shared" si="86"/>
        <v>#N/A</v>
      </c>
      <c r="L378" t="e">
        <f t="shared" si="87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4"/>
        <v>0</v>
      </c>
      <c r="B379">
        <f t="shared" si="75"/>
        <v>0</v>
      </c>
      <c r="C379">
        <f t="shared" si="76"/>
        <v>0</v>
      </c>
      <c r="D379">
        <f t="shared" si="77"/>
        <v>0</v>
      </c>
      <c r="E379" t="e">
        <f t="shared" si="78"/>
        <v>#N/A</v>
      </c>
      <c r="F379">
        <f t="shared" si="79"/>
        <v>0</v>
      </c>
      <c r="G379">
        <f t="shared" si="80"/>
        <v>0</v>
      </c>
      <c r="H379">
        <f t="shared" si="81"/>
        <v>0</v>
      </c>
      <c r="I379">
        <f t="shared" si="82"/>
        <v>0</v>
      </c>
      <c r="J379">
        <f t="shared" si="83"/>
        <v>0</v>
      </c>
      <c r="K379" s="4" t="e">
        <f t="shared" si="86"/>
        <v>#N/A</v>
      </c>
      <c r="L379" t="e">
        <f t="shared" si="87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4"/>
        <v>0</v>
      </c>
      <c r="B380">
        <f t="shared" si="75"/>
        <v>0</v>
      </c>
      <c r="C380">
        <f t="shared" si="76"/>
        <v>0</v>
      </c>
      <c r="D380">
        <f t="shared" si="77"/>
        <v>0</v>
      </c>
      <c r="E380" t="e">
        <f t="shared" si="78"/>
        <v>#N/A</v>
      </c>
      <c r="F380">
        <f t="shared" si="79"/>
        <v>0</v>
      </c>
      <c r="G380">
        <f t="shared" si="80"/>
        <v>0</v>
      </c>
      <c r="H380">
        <f t="shared" si="81"/>
        <v>0</v>
      </c>
      <c r="I380">
        <f t="shared" si="82"/>
        <v>0</v>
      </c>
      <c r="J380">
        <f t="shared" si="83"/>
        <v>0</v>
      </c>
      <c r="K380" s="4" t="e">
        <f t="shared" si="86"/>
        <v>#N/A</v>
      </c>
      <c r="L380" t="e">
        <f t="shared" si="87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4"/>
        <v>0</v>
      </c>
      <c r="B381">
        <f t="shared" si="75"/>
        <v>0</v>
      </c>
      <c r="C381">
        <f t="shared" si="76"/>
        <v>0</v>
      </c>
      <c r="D381">
        <f t="shared" si="77"/>
        <v>0</v>
      </c>
      <c r="E381" t="e">
        <f t="shared" si="78"/>
        <v>#N/A</v>
      </c>
      <c r="F381">
        <f t="shared" si="79"/>
        <v>0</v>
      </c>
      <c r="G381">
        <f t="shared" si="80"/>
        <v>0</v>
      </c>
      <c r="H381">
        <f t="shared" si="81"/>
        <v>0</v>
      </c>
      <c r="I381">
        <f t="shared" si="82"/>
        <v>0</v>
      </c>
      <c r="J381">
        <f t="shared" si="83"/>
        <v>0</v>
      </c>
      <c r="K381" s="4" t="e">
        <f t="shared" si="86"/>
        <v>#N/A</v>
      </c>
      <c r="L381" t="e">
        <f t="shared" si="87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4"/>
        <v>0</v>
      </c>
      <c r="B382">
        <f t="shared" si="75"/>
        <v>0</v>
      </c>
      <c r="C382">
        <f t="shared" si="76"/>
        <v>0</v>
      </c>
      <c r="D382">
        <f t="shared" si="77"/>
        <v>0</v>
      </c>
      <c r="E382" t="e">
        <f t="shared" si="78"/>
        <v>#N/A</v>
      </c>
      <c r="F382">
        <f t="shared" si="79"/>
        <v>0</v>
      </c>
      <c r="G382">
        <f t="shared" si="80"/>
        <v>0</v>
      </c>
      <c r="H382">
        <f t="shared" si="81"/>
        <v>0</v>
      </c>
      <c r="I382">
        <f t="shared" si="82"/>
        <v>0</v>
      </c>
      <c r="J382">
        <f t="shared" si="83"/>
        <v>0</v>
      </c>
      <c r="K382" s="4" t="e">
        <f t="shared" si="86"/>
        <v>#N/A</v>
      </c>
      <c r="L382" t="e">
        <f t="shared" si="87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4"/>
        <v>0</v>
      </c>
      <c r="B383">
        <f t="shared" si="75"/>
        <v>0</v>
      </c>
      <c r="C383">
        <f t="shared" si="76"/>
        <v>0</v>
      </c>
      <c r="D383">
        <f t="shared" si="77"/>
        <v>0</v>
      </c>
      <c r="E383" t="e">
        <f t="shared" si="78"/>
        <v>#N/A</v>
      </c>
      <c r="F383">
        <f t="shared" si="79"/>
        <v>0</v>
      </c>
      <c r="G383">
        <f t="shared" si="80"/>
        <v>0</v>
      </c>
      <c r="H383">
        <f t="shared" si="81"/>
        <v>0</v>
      </c>
      <c r="I383">
        <f t="shared" si="82"/>
        <v>0</v>
      </c>
      <c r="J383">
        <f t="shared" si="83"/>
        <v>0</v>
      </c>
      <c r="K383" s="4" t="e">
        <f t="shared" si="86"/>
        <v>#N/A</v>
      </c>
      <c r="L383" t="e">
        <f t="shared" si="87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4"/>
        <v>0</v>
      </c>
      <c r="B384">
        <f t="shared" si="75"/>
        <v>0</v>
      </c>
      <c r="C384">
        <f t="shared" si="76"/>
        <v>0</v>
      </c>
      <c r="D384">
        <f t="shared" si="77"/>
        <v>0</v>
      </c>
      <c r="E384" t="e">
        <f t="shared" si="78"/>
        <v>#N/A</v>
      </c>
      <c r="F384">
        <f t="shared" si="79"/>
        <v>0</v>
      </c>
      <c r="G384">
        <f t="shared" si="80"/>
        <v>0</v>
      </c>
      <c r="H384">
        <f t="shared" si="81"/>
        <v>0</v>
      </c>
      <c r="I384">
        <f t="shared" si="82"/>
        <v>0</v>
      </c>
      <c r="J384">
        <f t="shared" si="83"/>
        <v>0</v>
      </c>
      <c r="K384" s="4" t="e">
        <f t="shared" si="86"/>
        <v>#N/A</v>
      </c>
      <c r="L384" t="e">
        <f t="shared" si="87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4"/>
        <v>0</v>
      </c>
      <c r="B385">
        <f t="shared" si="75"/>
        <v>0</v>
      </c>
      <c r="C385">
        <f t="shared" si="76"/>
        <v>0</v>
      </c>
      <c r="D385">
        <f t="shared" si="77"/>
        <v>0</v>
      </c>
      <c r="E385" t="e">
        <f t="shared" si="78"/>
        <v>#N/A</v>
      </c>
      <c r="F385">
        <f t="shared" si="79"/>
        <v>0</v>
      </c>
      <c r="G385">
        <f t="shared" si="80"/>
        <v>0</v>
      </c>
      <c r="H385">
        <f t="shared" si="81"/>
        <v>0</v>
      </c>
      <c r="I385">
        <f t="shared" si="82"/>
        <v>0</v>
      </c>
      <c r="J385">
        <f t="shared" si="83"/>
        <v>0</v>
      </c>
      <c r="K385" s="4" t="e">
        <f t="shared" si="86"/>
        <v>#N/A</v>
      </c>
      <c r="L385" t="e">
        <f t="shared" si="87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8">bd_campaign</f>
        <v>0</v>
      </c>
      <c r="B386">
        <f t="shared" ref="B386:B449" si="89">bd_site</f>
        <v>0</v>
      </c>
      <c r="C386">
        <f t="shared" ref="C386:C449" si="90">bd_placement</f>
        <v>0</v>
      </c>
      <c r="D386">
        <f t="shared" ref="D386:D449" si="91">bd_placementID</f>
        <v>0</v>
      </c>
      <c r="E386" t="e">
        <f t="shared" ref="E386:E449" si="92">VLOOKUP(CONCATENATE(bd_adtype,"_",bd_creativetype),tabela,2,FALSE)</f>
        <v>#N/A</v>
      </c>
      <c r="F386">
        <f t="shared" ref="F386:F449" si="93">bd_ad</f>
        <v>0</v>
      </c>
      <c r="G386">
        <f t="shared" ref="G386:G449" si="94">bd_adid</f>
        <v>0</v>
      </c>
      <c r="H386">
        <f t="shared" ref="H386:H449" si="95">bd_creativetype</f>
        <v>0</v>
      </c>
      <c r="I386">
        <f t="shared" ref="I386:I449" si="96">bd_impression</f>
        <v>0</v>
      </c>
      <c r="J386">
        <f t="shared" ref="J386:J449" si="97">bd_clicks</f>
        <v>0</v>
      </c>
      <c r="K386" s="4" t="e">
        <f t="shared" si="86"/>
        <v>#N/A</v>
      </c>
      <c r="L386" t="e">
        <f t="shared" si="87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8"/>
        <v>0</v>
      </c>
      <c r="B387">
        <f t="shared" si="89"/>
        <v>0</v>
      </c>
      <c r="C387">
        <f t="shared" si="90"/>
        <v>0</v>
      </c>
      <c r="D387">
        <f t="shared" si="91"/>
        <v>0</v>
      </c>
      <c r="E387" t="e">
        <f t="shared" si="92"/>
        <v>#N/A</v>
      </c>
      <c r="F387">
        <f t="shared" si="93"/>
        <v>0</v>
      </c>
      <c r="G387">
        <f t="shared" si="94"/>
        <v>0</v>
      </c>
      <c r="H387">
        <f t="shared" si="95"/>
        <v>0</v>
      </c>
      <c r="I387">
        <f t="shared" si="96"/>
        <v>0</v>
      </c>
      <c r="J387">
        <f t="shared" si="97"/>
        <v>0</v>
      </c>
      <c r="K387" s="4" t="e">
        <f t="shared" si="86"/>
        <v>#N/A</v>
      </c>
      <c r="L387" t="e">
        <f t="shared" si="87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8"/>
        <v>0</v>
      </c>
      <c r="B388">
        <f t="shared" si="89"/>
        <v>0</v>
      </c>
      <c r="C388">
        <f t="shared" si="90"/>
        <v>0</v>
      </c>
      <c r="D388">
        <f t="shared" si="91"/>
        <v>0</v>
      </c>
      <c r="E388" t="e">
        <f t="shared" si="92"/>
        <v>#N/A</v>
      </c>
      <c r="F388">
        <f t="shared" si="93"/>
        <v>0</v>
      </c>
      <c r="G388">
        <f t="shared" si="94"/>
        <v>0</v>
      </c>
      <c r="H388">
        <f t="shared" si="95"/>
        <v>0</v>
      </c>
      <c r="I388">
        <f t="shared" si="96"/>
        <v>0</v>
      </c>
      <c r="J388">
        <f t="shared" si="97"/>
        <v>0</v>
      </c>
      <c r="K388" s="4" t="e">
        <f t="shared" si="86"/>
        <v>#N/A</v>
      </c>
      <c r="L388" t="e">
        <f t="shared" si="87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8"/>
        <v>0</v>
      </c>
      <c r="B389">
        <f t="shared" si="89"/>
        <v>0</v>
      </c>
      <c r="C389">
        <f t="shared" si="90"/>
        <v>0</v>
      </c>
      <c r="D389">
        <f t="shared" si="91"/>
        <v>0</v>
      </c>
      <c r="E389" t="e">
        <f t="shared" si="92"/>
        <v>#N/A</v>
      </c>
      <c r="F389">
        <f t="shared" si="93"/>
        <v>0</v>
      </c>
      <c r="G389">
        <f t="shared" si="94"/>
        <v>0</v>
      </c>
      <c r="H389">
        <f t="shared" si="95"/>
        <v>0</v>
      </c>
      <c r="I389">
        <f t="shared" si="96"/>
        <v>0</v>
      </c>
      <c r="J389">
        <f t="shared" si="97"/>
        <v>0</v>
      </c>
      <c r="K389" s="4" t="e">
        <f t="shared" si="86"/>
        <v>#N/A</v>
      </c>
      <c r="L389" t="e">
        <f t="shared" si="87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8"/>
        <v>0</v>
      </c>
      <c r="B390">
        <f t="shared" si="89"/>
        <v>0</v>
      </c>
      <c r="C390">
        <f t="shared" si="90"/>
        <v>0</v>
      </c>
      <c r="D390">
        <f t="shared" si="91"/>
        <v>0</v>
      </c>
      <c r="E390" t="e">
        <f t="shared" si="92"/>
        <v>#N/A</v>
      </c>
      <c r="F390">
        <f t="shared" si="93"/>
        <v>0</v>
      </c>
      <c r="G390">
        <f t="shared" si="94"/>
        <v>0</v>
      </c>
      <c r="H390">
        <f t="shared" si="95"/>
        <v>0</v>
      </c>
      <c r="I390">
        <f t="shared" si="96"/>
        <v>0</v>
      </c>
      <c r="J390">
        <f t="shared" si="97"/>
        <v>0</v>
      </c>
      <c r="K390" s="4" t="e">
        <f t="shared" si="86"/>
        <v>#N/A</v>
      </c>
      <c r="L390" t="e">
        <f t="shared" si="87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8"/>
        <v>0</v>
      </c>
      <c r="B391">
        <f t="shared" si="89"/>
        <v>0</v>
      </c>
      <c r="C391">
        <f t="shared" si="90"/>
        <v>0</v>
      </c>
      <c r="D391">
        <f t="shared" si="91"/>
        <v>0</v>
      </c>
      <c r="E391" t="e">
        <f t="shared" si="92"/>
        <v>#N/A</v>
      </c>
      <c r="F391">
        <f t="shared" si="93"/>
        <v>0</v>
      </c>
      <c r="G391">
        <f t="shared" si="94"/>
        <v>0</v>
      </c>
      <c r="H391">
        <f t="shared" si="95"/>
        <v>0</v>
      </c>
      <c r="I391">
        <f t="shared" si="96"/>
        <v>0</v>
      </c>
      <c r="J391">
        <f t="shared" si="97"/>
        <v>0</v>
      </c>
      <c r="K391" s="4" t="e">
        <f t="shared" si="86"/>
        <v>#N/A</v>
      </c>
      <c r="L391" t="e">
        <f t="shared" si="87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8"/>
        <v>0</v>
      </c>
      <c r="B392">
        <f t="shared" si="89"/>
        <v>0</v>
      </c>
      <c r="C392">
        <f t="shared" si="90"/>
        <v>0</v>
      </c>
      <c r="D392">
        <f t="shared" si="91"/>
        <v>0</v>
      </c>
      <c r="E392" t="e">
        <f t="shared" si="92"/>
        <v>#N/A</v>
      </c>
      <c r="F392">
        <f t="shared" si="93"/>
        <v>0</v>
      </c>
      <c r="G392">
        <f t="shared" si="94"/>
        <v>0</v>
      </c>
      <c r="H392">
        <f t="shared" si="95"/>
        <v>0</v>
      </c>
      <c r="I392">
        <f t="shared" si="96"/>
        <v>0</v>
      </c>
      <c r="J392">
        <f t="shared" si="97"/>
        <v>0</v>
      </c>
      <c r="K392" s="4" t="e">
        <f t="shared" si="86"/>
        <v>#N/A</v>
      </c>
      <c r="L392" t="e">
        <f t="shared" si="87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8"/>
        <v>0</v>
      </c>
      <c r="B393">
        <f t="shared" si="89"/>
        <v>0</v>
      </c>
      <c r="C393">
        <f t="shared" si="90"/>
        <v>0</v>
      </c>
      <c r="D393">
        <f t="shared" si="91"/>
        <v>0</v>
      </c>
      <c r="E393" t="e">
        <f t="shared" si="92"/>
        <v>#N/A</v>
      </c>
      <c r="F393">
        <f t="shared" si="93"/>
        <v>0</v>
      </c>
      <c r="G393">
        <f t="shared" si="94"/>
        <v>0</v>
      </c>
      <c r="H393">
        <f t="shared" si="95"/>
        <v>0</v>
      </c>
      <c r="I393">
        <f t="shared" si="96"/>
        <v>0</v>
      </c>
      <c r="J393">
        <f t="shared" si="97"/>
        <v>0</v>
      </c>
      <c r="K393" s="4" t="e">
        <f t="shared" si="86"/>
        <v>#N/A</v>
      </c>
      <c r="L393" t="e">
        <f t="shared" si="87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8"/>
        <v>0</v>
      </c>
      <c r="B394">
        <f t="shared" si="89"/>
        <v>0</v>
      </c>
      <c r="C394">
        <f t="shared" si="90"/>
        <v>0</v>
      </c>
      <c r="D394">
        <f t="shared" si="91"/>
        <v>0</v>
      </c>
      <c r="E394" t="e">
        <f t="shared" si="92"/>
        <v>#N/A</v>
      </c>
      <c r="F394">
        <f t="shared" si="93"/>
        <v>0</v>
      </c>
      <c r="G394">
        <f t="shared" si="94"/>
        <v>0</v>
      </c>
      <c r="H394">
        <f t="shared" si="95"/>
        <v>0</v>
      </c>
      <c r="I394">
        <f t="shared" si="96"/>
        <v>0</v>
      </c>
      <c r="J394">
        <f t="shared" si="97"/>
        <v>0</v>
      </c>
      <c r="K394" s="4" t="e">
        <f t="shared" si="86"/>
        <v>#N/A</v>
      </c>
      <c r="L394" t="e">
        <f t="shared" si="87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8"/>
        <v>0</v>
      </c>
      <c r="B395">
        <f t="shared" si="89"/>
        <v>0</v>
      </c>
      <c r="C395">
        <f t="shared" si="90"/>
        <v>0</v>
      </c>
      <c r="D395">
        <f t="shared" si="91"/>
        <v>0</v>
      </c>
      <c r="E395" t="e">
        <f t="shared" si="92"/>
        <v>#N/A</v>
      </c>
      <c r="F395">
        <f t="shared" si="93"/>
        <v>0</v>
      </c>
      <c r="G395">
        <f t="shared" si="94"/>
        <v>0</v>
      </c>
      <c r="H395">
        <f t="shared" si="95"/>
        <v>0</v>
      </c>
      <c r="I395">
        <f t="shared" si="96"/>
        <v>0</v>
      </c>
      <c r="J395">
        <f t="shared" si="97"/>
        <v>0</v>
      </c>
      <c r="K395" s="4" t="e">
        <f t="shared" si="86"/>
        <v>#N/A</v>
      </c>
      <c r="L395" t="e">
        <f t="shared" si="87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8"/>
        <v>0</v>
      </c>
      <c r="B396">
        <f t="shared" si="89"/>
        <v>0</v>
      </c>
      <c r="C396">
        <f t="shared" si="90"/>
        <v>0</v>
      </c>
      <c r="D396">
        <f t="shared" si="91"/>
        <v>0</v>
      </c>
      <c r="E396" t="e">
        <f t="shared" si="92"/>
        <v>#N/A</v>
      </c>
      <c r="F396">
        <f t="shared" si="93"/>
        <v>0</v>
      </c>
      <c r="G396">
        <f t="shared" si="94"/>
        <v>0</v>
      </c>
      <c r="H396">
        <f t="shared" si="95"/>
        <v>0</v>
      </c>
      <c r="I396">
        <f t="shared" si="96"/>
        <v>0</v>
      </c>
      <c r="J396">
        <f t="shared" si="97"/>
        <v>0</v>
      </c>
      <c r="K396" s="4" t="e">
        <f t="shared" si="86"/>
        <v>#N/A</v>
      </c>
      <c r="L396" t="e">
        <f t="shared" si="87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8"/>
        <v>0</v>
      </c>
      <c r="B397">
        <f t="shared" si="89"/>
        <v>0</v>
      </c>
      <c r="C397">
        <f t="shared" si="90"/>
        <v>0</v>
      </c>
      <c r="D397">
        <f t="shared" si="91"/>
        <v>0</v>
      </c>
      <c r="E397" t="e">
        <f t="shared" si="92"/>
        <v>#N/A</v>
      </c>
      <c r="F397">
        <f t="shared" si="93"/>
        <v>0</v>
      </c>
      <c r="G397">
        <f t="shared" si="94"/>
        <v>0</v>
      </c>
      <c r="H397">
        <f t="shared" si="95"/>
        <v>0</v>
      </c>
      <c r="I397">
        <f t="shared" si="96"/>
        <v>0</v>
      </c>
      <c r="J397">
        <f t="shared" si="97"/>
        <v>0</v>
      </c>
      <c r="K397" s="4" t="e">
        <f t="shared" si="86"/>
        <v>#N/A</v>
      </c>
      <c r="L397" t="e">
        <f t="shared" si="87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8"/>
        <v>0</v>
      </c>
      <c r="B398">
        <f t="shared" si="89"/>
        <v>0</v>
      </c>
      <c r="C398">
        <f t="shared" si="90"/>
        <v>0</v>
      </c>
      <c r="D398">
        <f t="shared" si="91"/>
        <v>0</v>
      </c>
      <c r="E398" t="e">
        <f t="shared" si="92"/>
        <v>#N/A</v>
      </c>
      <c r="F398">
        <f t="shared" si="93"/>
        <v>0</v>
      </c>
      <c r="G398">
        <f t="shared" si="94"/>
        <v>0</v>
      </c>
      <c r="H398">
        <f t="shared" si="95"/>
        <v>0</v>
      </c>
      <c r="I398">
        <f t="shared" si="96"/>
        <v>0</v>
      </c>
      <c r="J398">
        <f t="shared" si="97"/>
        <v>0</v>
      </c>
      <c r="K398" s="4" t="e">
        <f t="shared" si="86"/>
        <v>#N/A</v>
      </c>
      <c r="L398" t="e">
        <f t="shared" si="87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8"/>
        <v>0</v>
      </c>
      <c r="B399">
        <f t="shared" si="89"/>
        <v>0</v>
      </c>
      <c r="C399">
        <f t="shared" si="90"/>
        <v>0</v>
      </c>
      <c r="D399">
        <f t="shared" si="91"/>
        <v>0</v>
      </c>
      <c r="E399" t="e">
        <f t="shared" si="92"/>
        <v>#N/A</v>
      </c>
      <c r="F399">
        <f t="shared" si="93"/>
        <v>0</v>
      </c>
      <c r="G399">
        <f t="shared" si="94"/>
        <v>0</v>
      </c>
      <c r="H399">
        <f t="shared" si="95"/>
        <v>0</v>
      </c>
      <c r="I399">
        <f t="shared" si="96"/>
        <v>0</v>
      </c>
      <c r="J399">
        <f t="shared" si="97"/>
        <v>0</v>
      </c>
      <c r="K399" s="4" t="e">
        <f t="shared" si="86"/>
        <v>#N/A</v>
      </c>
      <c r="L399" t="e">
        <f t="shared" si="87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8"/>
        <v>0</v>
      </c>
      <c r="B400">
        <f t="shared" si="89"/>
        <v>0</v>
      </c>
      <c r="C400">
        <f t="shared" si="90"/>
        <v>0</v>
      </c>
      <c r="D400">
        <f t="shared" si="91"/>
        <v>0</v>
      </c>
      <c r="E400" t="e">
        <f t="shared" si="92"/>
        <v>#N/A</v>
      </c>
      <c r="F400">
        <f t="shared" si="93"/>
        <v>0</v>
      </c>
      <c r="G400">
        <f t="shared" si="94"/>
        <v>0</v>
      </c>
      <c r="H400">
        <f t="shared" si="95"/>
        <v>0</v>
      </c>
      <c r="I400">
        <f t="shared" si="96"/>
        <v>0</v>
      </c>
      <c r="J400">
        <f t="shared" si="97"/>
        <v>0</v>
      </c>
      <c r="K400" s="4" t="e">
        <f t="shared" si="86"/>
        <v>#N/A</v>
      </c>
      <c r="L400" t="e">
        <f t="shared" si="87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8"/>
        <v>0</v>
      </c>
      <c r="B401">
        <f t="shared" si="89"/>
        <v>0</v>
      </c>
      <c r="C401">
        <f t="shared" si="90"/>
        <v>0</v>
      </c>
      <c r="D401">
        <f t="shared" si="91"/>
        <v>0</v>
      </c>
      <c r="E401" t="e">
        <f t="shared" si="92"/>
        <v>#N/A</v>
      </c>
      <c r="F401">
        <f t="shared" si="93"/>
        <v>0</v>
      </c>
      <c r="G401">
        <f t="shared" si="94"/>
        <v>0</v>
      </c>
      <c r="H401">
        <f t="shared" si="95"/>
        <v>0</v>
      </c>
      <c r="I401">
        <f t="shared" si="96"/>
        <v>0</v>
      </c>
      <c r="J401">
        <f t="shared" si="97"/>
        <v>0</v>
      </c>
      <c r="K401" s="4" t="e">
        <f t="shared" si="86"/>
        <v>#N/A</v>
      </c>
      <c r="L401" t="e">
        <f t="shared" si="87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8"/>
        <v>0</v>
      </c>
      <c r="B402">
        <f t="shared" si="89"/>
        <v>0</v>
      </c>
      <c r="C402">
        <f t="shared" si="90"/>
        <v>0</v>
      </c>
      <c r="D402">
        <f t="shared" si="91"/>
        <v>0</v>
      </c>
      <c r="E402" t="e">
        <f t="shared" si="92"/>
        <v>#N/A</v>
      </c>
      <c r="F402">
        <f t="shared" si="93"/>
        <v>0</v>
      </c>
      <c r="G402">
        <f t="shared" si="94"/>
        <v>0</v>
      </c>
      <c r="H402">
        <f t="shared" si="95"/>
        <v>0</v>
      </c>
      <c r="I402">
        <f t="shared" si="96"/>
        <v>0</v>
      </c>
      <c r="J402">
        <f t="shared" si="97"/>
        <v>0</v>
      </c>
      <c r="K402" s="4" t="e">
        <f t="shared" si="86"/>
        <v>#N/A</v>
      </c>
      <c r="L402" t="e">
        <f t="shared" si="87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8"/>
        <v>0</v>
      </c>
      <c r="B403">
        <f t="shared" si="89"/>
        <v>0</v>
      </c>
      <c r="C403">
        <f t="shared" si="90"/>
        <v>0</v>
      </c>
      <c r="D403">
        <f t="shared" si="91"/>
        <v>0</v>
      </c>
      <c r="E403" t="e">
        <f t="shared" si="92"/>
        <v>#N/A</v>
      </c>
      <c r="F403">
        <f t="shared" si="93"/>
        <v>0</v>
      </c>
      <c r="G403">
        <f t="shared" si="94"/>
        <v>0</v>
      </c>
      <c r="H403">
        <f t="shared" si="95"/>
        <v>0</v>
      </c>
      <c r="I403">
        <f t="shared" si="96"/>
        <v>0</v>
      </c>
      <c r="J403">
        <f t="shared" si="97"/>
        <v>0</v>
      </c>
      <c r="K403" s="4" t="e">
        <f t="shared" si="86"/>
        <v>#N/A</v>
      </c>
      <c r="L403" t="e">
        <f t="shared" si="87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8"/>
        <v>0</v>
      </c>
      <c r="B404">
        <f t="shared" si="89"/>
        <v>0</v>
      </c>
      <c r="C404">
        <f t="shared" si="90"/>
        <v>0</v>
      </c>
      <c r="D404">
        <f t="shared" si="91"/>
        <v>0</v>
      </c>
      <c r="E404" t="e">
        <f t="shared" si="92"/>
        <v>#N/A</v>
      </c>
      <c r="F404">
        <f t="shared" si="93"/>
        <v>0</v>
      </c>
      <c r="G404">
        <f t="shared" si="94"/>
        <v>0</v>
      </c>
      <c r="H404">
        <f t="shared" si="95"/>
        <v>0</v>
      </c>
      <c r="I404">
        <f t="shared" si="96"/>
        <v>0</v>
      </c>
      <c r="J404">
        <f t="shared" si="97"/>
        <v>0</v>
      </c>
      <c r="K404" s="4" t="e">
        <f t="shared" si="86"/>
        <v>#N/A</v>
      </c>
      <c r="L404" t="e">
        <f t="shared" si="87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8"/>
        <v>0</v>
      </c>
      <c r="B405">
        <f t="shared" si="89"/>
        <v>0</v>
      </c>
      <c r="C405">
        <f t="shared" si="90"/>
        <v>0</v>
      </c>
      <c r="D405">
        <f t="shared" si="91"/>
        <v>0</v>
      </c>
      <c r="E405" t="e">
        <f t="shared" si="92"/>
        <v>#N/A</v>
      </c>
      <c r="F405">
        <f t="shared" si="93"/>
        <v>0</v>
      </c>
      <c r="G405">
        <f t="shared" si="94"/>
        <v>0</v>
      </c>
      <c r="H405">
        <f t="shared" si="95"/>
        <v>0</v>
      </c>
      <c r="I405">
        <f t="shared" si="96"/>
        <v>0</v>
      </c>
      <c r="J405">
        <f t="shared" si="97"/>
        <v>0</v>
      </c>
      <c r="K405" s="4" t="e">
        <f t="shared" si="86"/>
        <v>#N/A</v>
      </c>
      <c r="L405" t="e">
        <f t="shared" si="87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8"/>
        <v>0</v>
      </c>
      <c r="B406">
        <f t="shared" si="89"/>
        <v>0</v>
      </c>
      <c r="C406">
        <f t="shared" si="90"/>
        <v>0</v>
      </c>
      <c r="D406">
        <f t="shared" si="91"/>
        <v>0</v>
      </c>
      <c r="E406" t="e">
        <f t="shared" si="92"/>
        <v>#N/A</v>
      </c>
      <c r="F406">
        <f t="shared" si="93"/>
        <v>0</v>
      </c>
      <c r="G406">
        <f t="shared" si="94"/>
        <v>0</v>
      </c>
      <c r="H406">
        <f t="shared" si="95"/>
        <v>0</v>
      </c>
      <c r="I406">
        <f t="shared" si="96"/>
        <v>0</v>
      </c>
      <c r="J406">
        <f t="shared" si="97"/>
        <v>0</v>
      </c>
      <c r="K406" s="4" t="e">
        <f t="shared" si="86"/>
        <v>#N/A</v>
      </c>
      <c r="L406" t="e">
        <f t="shared" si="87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8"/>
        <v>0</v>
      </c>
      <c r="B407">
        <f t="shared" si="89"/>
        <v>0</v>
      </c>
      <c r="C407">
        <f t="shared" si="90"/>
        <v>0</v>
      </c>
      <c r="D407">
        <f t="shared" si="91"/>
        <v>0</v>
      </c>
      <c r="E407" t="e">
        <f t="shared" si="92"/>
        <v>#N/A</v>
      </c>
      <c r="F407">
        <f t="shared" si="93"/>
        <v>0</v>
      </c>
      <c r="G407">
        <f t="shared" si="94"/>
        <v>0</v>
      </c>
      <c r="H407">
        <f t="shared" si="95"/>
        <v>0</v>
      </c>
      <c r="I407">
        <f t="shared" si="96"/>
        <v>0</v>
      </c>
      <c r="J407">
        <f t="shared" si="97"/>
        <v>0</v>
      </c>
      <c r="K407" s="4" t="e">
        <f t="shared" si="86"/>
        <v>#N/A</v>
      </c>
      <c r="L407" t="e">
        <f t="shared" si="87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8"/>
        <v>0</v>
      </c>
      <c r="B408">
        <f t="shared" si="89"/>
        <v>0</v>
      </c>
      <c r="C408">
        <f t="shared" si="90"/>
        <v>0</v>
      </c>
      <c r="D408">
        <f t="shared" si="91"/>
        <v>0</v>
      </c>
      <c r="E408" t="e">
        <f t="shared" si="92"/>
        <v>#N/A</v>
      </c>
      <c r="F408">
        <f t="shared" si="93"/>
        <v>0</v>
      </c>
      <c r="G408">
        <f t="shared" si="94"/>
        <v>0</v>
      </c>
      <c r="H408">
        <f t="shared" si="95"/>
        <v>0</v>
      </c>
      <c r="I408">
        <f t="shared" si="96"/>
        <v>0</v>
      </c>
      <c r="J408">
        <f t="shared" si="97"/>
        <v>0</v>
      </c>
      <c r="K408" s="4" t="e">
        <f t="shared" si="86"/>
        <v>#N/A</v>
      </c>
      <c r="L408" t="e">
        <f t="shared" si="87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8"/>
        <v>0</v>
      </c>
      <c r="B409">
        <f t="shared" si="89"/>
        <v>0</v>
      </c>
      <c r="C409">
        <f t="shared" si="90"/>
        <v>0</v>
      </c>
      <c r="D409">
        <f t="shared" si="91"/>
        <v>0</v>
      </c>
      <c r="E409" t="e">
        <f t="shared" si="92"/>
        <v>#N/A</v>
      </c>
      <c r="F409">
        <f t="shared" si="93"/>
        <v>0</v>
      </c>
      <c r="G409">
        <f t="shared" si="94"/>
        <v>0</v>
      </c>
      <c r="H409">
        <f t="shared" si="95"/>
        <v>0</v>
      </c>
      <c r="I409">
        <f t="shared" si="96"/>
        <v>0</v>
      </c>
      <c r="J409">
        <f t="shared" si="97"/>
        <v>0</v>
      </c>
      <c r="K409" s="4" t="e">
        <f t="shared" si="86"/>
        <v>#N/A</v>
      </c>
      <c r="L409" t="e">
        <f t="shared" si="87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8"/>
        <v>0</v>
      </c>
      <c r="B410">
        <f t="shared" si="89"/>
        <v>0</v>
      </c>
      <c r="C410">
        <f t="shared" si="90"/>
        <v>0</v>
      </c>
      <c r="D410">
        <f t="shared" si="91"/>
        <v>0</v>
      </c>
      <c r="E410" t="e">
        <f t="shared" si="92"/>
        <v>#N/A</v>
      </c>
      <c r="F410">
        <f t="shared" si="93"/>
        <v>0</v>
      </c>
      <c r="G410">
        <f t="shared" si="94"/>
        <v>0</v>
      </c>
      <c r="H410">
        <f t="shared" si="95"/>
        <v>0</v>
      </c>
      <c r="I410">
        <f t="shared" si="96"/>
        <v>0</v>
      </c>
      <c r="J410">
        <f t="shared" si="97"/>
        <v>0</v>
      </c>
      <c r="K410" s="4" t="e">
        <f t="shared" si="86"/>
        <v>#N/A</v>
      </c>
      <c r="L410" t="e">
        <f t="shared" si="87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8"/>
        <v>0</v>
      </c>
      <c r="B411">
        <f t="shared" si="89"/>
        <v>0</v>
      </c>
      <c r="C411">
        <f t="shared" si="90"/>
        <v>0</v>
      </c>
      <c r="D411">
        <f t="shared" si="91"/>
        <v>0</v>
      </c>
      <c r="E411" t="e">
        <f t="shared" si="92"/>
        <v>#N/A</v>
      </c>
      <c r="F411">
        <f t="shared" si="93"/>
        <v>0</v>
      </c>
      <c r="G411">
        <f t="shared" si="94"/>
        <v>0</v>
      </c>
      <c r="H411">
        <f t="shared" si="95"/>
        <v>0</v>
      </c>
      <c r="I411">
        <f t="shared" si="96"/>
        <v>0</v>
      </c>
      <c r="J411">
        <f t="shared" si="97"/>
        <v>0</v>
      </c>
      <c r="K411" s="4" t="e">
        <f t="shared" si="86"/>
        <v>#N/A</v>
      </c>
      <c r="L411" t="e">
        <f t="shared" si="87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8"/>
        <v>0</v>
      </c>
      <c r="B412">
        <f t="shared" si="89"/>
        <v>0</v>
      </c>
      <c r="C412">
        <f t="shared" si="90"/>
        <v>0</v>
      </c>
      <c r="D412">
        <f t="shared" si="91"/>
        <v>0</v>
      </c>
      <c r="E412" t="e">
        <f t="shared" si="92"/>
        <v>#N/A</v>
      </c>
      <c r="F412">
        <f t="shared" si="93"/>
        <v>0</v>
      </c>
      <c r="G412">
        <f t="shared" si="94"/>
        <v>0</v>
      </c>
      <c r="H412">
        <f t="shared" si="95"/>
        <v>0</v>
      </c>
      <c r="I412">
        <f t="shared" si="96"/>
        <v>0</v>
      </c>
      <c r="J412">
        <f t="shared" si="97"/>
        <v>0</v>
      </c>
      <c r="K412" s="4" t="e">
        <f t="shared" si="86"/>
        <v>#N/A</v>
      </c>
      <c r="L412" t="e">
        <f t="shared" si="87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8"/>
        <v>0</v>
      </c>
      <c r="B413">
        <f t="shared" si="89"/>
        <v>0</v>
      </c>
      <c r="C413">
        <f t="shared" si="90"/>
        <v>0</v>
      </c>
      <c r="D413">
        <f t="shared" si="91"/>
        <v>0</v>
      </c>
      <c r="E413" t="e">
        <f t="shared" si="92"/>
        <v>#N/A</v>
      </c>
      <c r="F413">
        <f t="shared" si="93"/>
        <v>0</v>
      </c>
      <c r="G413">
        <f t="shared" si="94"/>
        <v>0</v>
      </c>
      <c r="H413">
        <f t="shared" si="95"/>
        <v>0</v>
      </c>
      <c r="I413">
        <f t="shared" si="96"/>
        <v>0</v>
      </c>
      <c r="J413">
        <f t="shared" si="97"/>
        <v>0</v>
      </c>
      <c r="K413" s="4" t="e">
        <f t="shared" si="86"/>
        <v>#N/A</v>
      </c>
      <c r="L413" t="e">
        <f t="shared" si="87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8"/>
        <v>0</v>
      </c>
      <c r="B414">
        <f t="shared" si="89"/>
        <v>0</v>
      </c>
      <c r="C414">
        <f t="shared" si="90"/>
        <v>0</v>
      </c>
      <c r="D414">
        <f t="shared" si="91"/>
        <v>0</v>
      </c>
      <c r="E414" t="e">
        <f t="shared" si="92"/>
        <v>#N/A</v>
      </c>
      <c r="F414">
        <f t="shared" si="93"/>
        <v>0</v>
      </c>
      <c r="G414">
        <f t="shared" si="94"/>
        <v>0</v>
      </c>
      <c r="H414">
        <f t="shared" si="95"/>
        <v>0</v>
      </c>
      <c r="I414">
        <f t="shared" si="96"/>
        <v>0</v>
      </c>
      <c r="J414">
        <f t="shared" si="97"/>
        <v>0</v>
      </c>
      <c r="K414" s="4" t="e">
        <f t="shared" si="86"/>
        <v>#N/A</v>
      </c>
      <c r="L414" t="e">
        <f t="shared" si="87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8"/>
        <v>0</v>
      </c>
      <c r="B415">
        <f t="shared" si="89"/>
        <v>0</v>
      </c>
      <c r="C415">
        <f t="shared" si="90"/>
        <v>0</v>
      </c>
      <c r="D415">
        <f t="shared" si="91"/>
        <v>0</v>
      </c>
      <c r="E415" t="e">
        <f t="shared" si="92"/>
        <v>#N/A</v>
      </c>
      <c r="F415">
        <f t="shared" si="93"/>
        <v>0</v>
      </c>
      <c r="G415">
        <f t="shared" si="94"/>
        <v>0</v>
      </c>
      <c r="H415">
        <f t="shared" si="95"/>
        <v>0</v>
      </c>
      <c r="I415">
        <f t="shared" si="96"/>
        <v>0</v>
      </c>
      <c r="J415">
        <f t="shared" si="97"/>
        <v>0</v>
      </c>
      <c r="K415" s="4" t="e">
        <f t="shared" si="86"/>
        <v>#N/A</v>
      </c>
      <c r="L415" t="e">
        <f t="shared" si="87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8"/>
        <v>0</v>
      </c>
      <c r="B416">
        <f t="shared" si="89"/>
        <v>0</v>
      </c>
      <c r="C416">
        <f t="shared" si="90"/>
        <v>0</v>
      </c>
      <c r="D416">
        <f t="shared" si="91"/>
        <v>0</v>
      </c>
      <c r="E416" t="e">
        <f t="shared" si="92"/>
        <v>#N/A</v>
      </c>
      <c r="F416">
        <f t="shared" si="93"/>
        <v>0</v>
      </c>
      <c r="G416">
        <f t="shared" si="94"/>
        <v>0</v>
      </c>
      <c r="H416">
        <f t="shared" si="95"/>
        <v>0</v>
      </c>
      <c r="I416">
        <f t="shared" si="96"/>
        <v>0</v>
      </c>
      <c r="J416">
        <f t="shared" si="97"/>
        <v>0</v>
      </c>
      <c r="K416" s="4" t="e">
        <f t="shared" si="86"/>
        <v>#N/A</v>
      </c>
      <c r="L416" t="e">
        <f t="shared" si="87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8"/>
        <v>0</v>
      </c>
      <c r="B417">
        <f t="shared" si="89"/>
        <v>0</v>
      </c>
      <c r="C417">
        <f t="shared" si="90"/>
        <v>0</v>
      </c>
      <c r="D417">
        <f t="shared" si="91"/>
        <v>0</v>
      </c>
      <c r="E417" t="e">
        <f t="shared" si="92"/>
        <v>#N/A</v>
      </c>
      <c r="F417">
        <f t="shared" si="93"/>
        <v>0</v>
      </c>
      <c r="G417">
        <f t="shared" si="94"/>
        <v>0</v>
      </c>
      <c r="H417">
        <f t="shared" si="95"/>
        <v>0</v>
      </c>
      <c r="I417">
        <f t="shared" si="96"/>
        <v>0</v>
      </c>
      <c r="J417">
        <f t="shared" si="97"/>
        <v>0</v>
      </c>
      <c r="K417" s="4" t="e">
        <f t="shared" si="86"/>
        <v>#N/A</v>
      </c>
      <c r="L417" t="e">
        <f t="shared" si="87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8"/>
        <v>0</v>
      </c>
      <c r="B418">
        <f t="shared" si="89"/>
        <v>0</v>
      </c>
      <c r="C418">
        <f t="shared" si="90"/>
        <v>0</v>
      </c>
      <c r="D418">
        <f t="shared" si="91"/>
        <v>0</v>
      </c>
      <c r="E418" t="e">
        <f t="shared" si="92"/>
        <v>#N/A</v>
      </c>
      <c r="F418">
        <f t="shared" si="93"/>
        <v>0</v>
      </c>
      <c r="G418">
        <f t="shared" si="94"/>
        <v>0</v>
      </c>
      <c r="H418">
        <f t="shared" si="95"/>
        <v>0</v>
      </c>
      <c r="I418">
        <f t="shared" si="96"/>
        <v>0</v>
      </c>
      <c r="J418">
        <f t="shared" si="97"/>
        <v>0</v>
      </c>
      <c r="K418" s="4" t="e">
        <f t="shared" si="86"/>
        <v>#N/A</v>
      </c>
      <c r="L418" t="e">
        <f t="shared" si="87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8"/>
        <v>0</v>
      </c>
      <c r="B419">
        <f t="shared" si="89"/>
        <v>0</v>
      </c>
      <c r="C419">
        <f t="shared" si="90"/>
        <v>0</v>
      </c>
      <c r="D419">
        <f t="shared" si="91"/>
        <v>0</v>
      </c>
      <c r="E419" t="e">
        <f t="shared" si="92"/>
        <v>#N/A</v>
      </c>
      <c r="F419">
        <f t="shared" si="93"/>
        <v>0</v>
      </c>
      <c r="G419">
        <f t="shared" si="94"/>
        <v>0</v>
      </c>
      <c r="H419">
        <f t="shared" si="95"/>
        <v>0</v>
      </c>
      <c r="I419">
        <f t="shared" si="96"/>
        <v>0</v>
      </c>
      <c r="J419">
        <f t="shared" si="97"/>
        <v>0</v>
      </c>
      <c r="K419" s="4" t="e">
        <f t="shared" si="86"/>
        <v>#N/A</v>
      </c>
      <c r="L419" t="e">
        <f t="shared" si="87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8"/>
        <v>0</v>
      </c>
      <c r="B420">
        <f t="shared" si="89"/>
        <v>0</v>
      </c>
      <c r="C420">
        <f t="shared" si="90"/>
        <v>0</v>
      </c>
      <c r="D420">
        <f t="shared" si="91"/>
        <v>0</v>
      </c>
      <c r="E420" t="e">
        <f t="shared" si="92"/>
        <v>#N/A</v>
      </c>
      <c r="F420">
        <f t="shared" si="93"/>
        <v>0</v>
      </c>
      <c r="G420">
        <f t="shared" si="94"/>
        <v>0</v>
      </c>
      <c r="H420">
        <f t="shared" si="95"/>
        <v>0</v>
      </c>
      <c r="I420">
        <f t="shared" si="96"/>
        <v>0</v>
      </c>
      <c r="J420">
        <f t="shared" si="97"/>
        <v>0</v>
      </c>
      <c r="K420" s="4" t="e">
        <f t="shared" si="86"/>
        <v>#N/A</v>
      </c>
      <c r="L420" t="e">
        <f t="shared" si="87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8"/>
        <v>0</v>
      </c>
      <c r="B421">
        <f t="shared" si="89"/>
        <v>0</v>
      </c>
      <c r="C421">
        <f t="shared" si="90"/>
        <v>0</v>
      </c>
      <c r="D421">
        <f t="shared" si="91"/>
        <v>0</v>
      </c>
      <c r="E421" t="e">
        <f t="shared" si="92"/>
        <v>#N/A</v>
      </c>
      <c r="F421">
        <f t="shared" si="93"/>
        <v>0</v>
      </c>
      <c r="G421">
        <f t="shared" si="94"/>
        <v>0</v>
      </c>
      <c r="H421">
        <f t="shared" si="95"/>
        <v>0</v>
      </c>
      <c r="I421">
        <f t="shared" si="96"/>
        <v>0</v>
      </c>
      <c r="J421">
        <f t="shared" si="97"/>
        <v>0</v>
      </c>
      <c r="K421" s="4" t="e">
        <f t="shared" si="86"/>
        <v>#N/A</v>
      </c>
      <c r="L421" t="e">
        <f t="shared" si="87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8"/>
        <v>0</v>
      </c>
      <c r="B422">
        <f t="shared" si="89"/>
        <v>0</v>
      </c>
      <c r="C422">
        <f t="shared" si="90"/>
        <v>0</v>
      </c>
      <c r="D422">
        <f t="shared" si="91"/>
        <v>0</v>
      </c>
      <c r="E422" t="e">
        <f t="shared" si="92"/>
        <v>#N/A</v>
      </c>
      <c r="F422">
        <f t="shared" si="93"/>
        <v>0</v>
      </c>
      <c r="G422">
        <f t="shared" si="94"/>
        <v>0</v>
      </c>
      <c r="H422">
        <f t="shared" si="95"/>
        <v>0</v>
      </c>
      <c r="I422">
        <f t="shared" si="96"/>
        <v>0</v>
      </c>
      <c r="J422">
        <f t="shared" si="97"/>
        <v>0</v>
      </c>
      <c r="K422" s="4" t="e">
        <f t="shared" si="86"/>
        <v>#N/A</v>
      </c>
      <c r="L422" t="e">
        <f t="shared" si="87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8"/>
        <v>0</v>
      </c>
      <c r="B423">
        <f t="shared" si="89"/>
        <v>0</v>
      </c>
      <c r="C423">
        <f t="shared" si="90"/>
        <v>0</v>
      </c>
      <c r="D423">
        <f t="shared" si="91"/>
        <v>0</v>
      </c>
      <c r="E423" t="e">
        <f t="shared" si="92"/>
        <v>#N/A</v>
      </c>
      <c r="F423">
        <f t="shared" si="93"/>
        <v>0</v>
      </c>
      <c r="G423">
        <f t="shared" si="94"/>
        <v>0</v>
      </c>
      <c r="H423">
        <f t="shared" si="95"/>
        <v>0</v>
      </c>
      <c r="I423">
        <f t="shared" si="96"/>
        <v>0</v>
      </c>
      <c r="J423">
        <f t="shared" si="97"/>
        <v>0</v>
      </c>
      <c r="K423" s="4" t="e">
        <f t="shared" si="86"/>
        <v>#N/A</v>
      </c>
      <c r="L423" t="e">
        <f t="shared" si="87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8"/>
        <v>0</v>
      </c>
      <c r="B424">
        <f t="shared" si="89"/>
        <v>0</v>
      </c>
      <c r="C424">
        <f t="shared" si="90"/>
        <v>0</v>
      </c>
      <c r="D424">
        <f t="shared" si="91"/>
        <v>0</v>
      </c>
      <c r="E424" t="e">
        <f t="shared" si="92"/>
        <v>#N/A</v>
      </c>
      <c r="F424">
        <f t="shared" si="93"/>
        <v>0</v>
      </c>
      <c r="G424">
        <f t="shared" si="94"/>
        <v>0</v>
      </c>
      <c r="H424">
        <f t="shared" si="95"/>
        <v>0</v>
      </c>
      <c r="I424">
        <f t="shared" si="96"/>
        <v>0</v>
      </c>
      <c r="J424">
        <f t="shared" si="97"/>
        <v>0</v>
      </c>
      <c r="K424" s="4" t="e">
        <f t="shared" si="86"/>
        <v>#N/A</v>
      </c>
      <c r="L424" t="e">
        <f t="shared" si="87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8"/>
        <v>0</v>
      </c>
      <c r="B425">
        <f t="shared" si="89"/>
        <v>0</v>
      </c>
      <c r="C425">
        <f t="shared" si="90"/>
        <v>0</v>
      </c>
      <c r="D425">
        <f t="shared" si="91"/>
        <v>0</v>
      </c>
      <c r="E425" t="e">
        <f t="shared" si="92"/>
        <v>#N/A</v>
      </c>
      <c r="F425">
        <f t="shared" si="93"/>
        <v>0</v>
      </c>
      <c r="G425">
        <f t="shared" si="94"/>
        <v>0</v>
      </c>
      <c r="H425">
        <f t="shared" si="95"/>
        <v>0</v>
      </c>
      <c r="I425">
        <f t="shared" si="96"/>
        <v>0</v>
      </c>
      <c r="J425">
        <f t="shared" si="97"/>
        <v>0</v>
      </c>
      <c r="K425" s="4" t="e">
        <f t="shared" si="86"/>
        <v>#N/A</v>
      </c>
      <c r="L425" t="e">
        <f t="shared" si="87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8"/>
        <v>0</v>
      </c>
      <c r="B426">
        <f t="shared" si="89"/>
        <v>0</v>
      </c>
      <c r="C426">
        <f t="shared" si="90"/>
        <v>0</v>
      </c>
      <c r="D426">
        <f t="shared" si="91"/>
        <v>0</v>
      </c>
      <c r="E426" t="e">
        <f t="shared" si="92"/>
        <v>#N/A</v>
      </c>
      <c r="F426">
        <f t="shared" si="93"/>
        <v>0</v>
      </c>
      <c r="G426">
        <f t="shared" si="94"/>
        <v>0</v>
      </c>
      <c r="H426">
        <f t="shared" si="95"/>
        <v>0</v>
      </c>
      <c r="I426">
        <f t="shared" si="96"/>
        <v>0</v>
      </c>
      <c r="J426">
        <f t="shared" si="97"/>
        <v>0</v>
      </c>
      <c r="K426" s="4" t="e">
        <f t="shared" si="86"/>
        <v>#N/A</v>
      </c>
      <c r="L426" t="e">
        <f t="shared" si="87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8"/>
        <v>0</v>
      </c>
      <c r="B427">
        <f t="shared" si="89"/>
        <v>0</v>
      </c>
      <c r="C427">
        <f t="shared" si="90"/>
        <v>0</v>
      </c>
      <c r="D427">
        <f t="shared" si="91"/>
        <v>0</v>
      </c>
      <c r="E427" t="e">
        <f t="shared" si="92"/>
        <v>#N/A</v>
      </c>
      <c r="F427">
        <f t="shared" si="93"/>
        <v>0</v>
      </c>
      <c r="G427">
        <f t="shared" si="94"/>
        <v>0</v>
      </c>
      <c r="H427">
        <f t="shared" si="95"/>
        <v>0</v>
      </c>
      <c r="I427">
        <f t="shared" si="96"/>
        <v>0</v>
      </c>
      <c r="J427">
        <f t="shared" si="97"/>
        <v>0</v>
      </c>
      <c r="K427" s="4" t="e">
        <f t="shared" si="86"/>
        <v>#N/A</v>
      </c>
      <c r="L427" t="e">
        <f t="shared" si="87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8"/>
        <v>0</v>
      </c>
      <c r="B428">
        <f t="shared" si="89"/>
        <v>0</v>
      </c>
      <c r="C428">
        <f t="shared" si="90"/>
        <v>0</v>
      </c>
      <c r="D428">
        <f t="shared" si="91"/>
        <v>0</v>
      </c>
      <c r="E428" t="e">
        <f t="shared" si="92"/>
        <v>#N/A</v>
      </c>
      <c r="F428">
        <f t="shared" si="93"/>
        <v>0</v>
      </c>
      <c r="G428">
        <f t="shared" si="94"/>
        <v>0</v>
      </c>
      <c r="H428">
        <f t="shared" si="95"/>
        <v>0</v>
      </c>
      <c r="I428">
        <f t="shared" si="96"/>
        <v>0</v>
      </c>
      <c r="J428">
        <f t="shared" si="97"/>
        <v>0</v>
      </c>
      <c r="K428" s="4" t="e">
        <f t="shared" ref="K428:K491" si="100">IF(LEFT(B428,3)="DBM",0,VLOOKUP(E428,tabela,2,FALSE))</f>
        <v>#N/A</v>
      </c>
      <c r="L428" t="e">
        <f t="shared" ref="L428:L491" si="101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8"/>
        <v>0</v>
      </c>
      <c r="B429">
        <f t="shared" si="89"/>
        <v>0</v>
      </c>
      <c r="C429">
        <f t="shared" si="90"/>
        <v>0</v>
      </c>
      <c r="D429">
        <f t="shared" si="91"/>
        <v>0</v>
      </c>
      <c r="E429" t="e">
        <f t="shared" si="92"/>
        <v>#N/A</v>
      </c>
      <c r="F429">
        <f t="shared" si="93"/>
        <v>0</v>
      </c>
      <c r="G429">
        <f t="shared" si="94"/>
        <v>0</v>
      </c>
      <c r="H429">
        <f t="shared" si="95"/>
        <v>0</v>
      </c>
      <c r="I429">
        <f t="shared" si="96"/>
        <v>0</v>
      </c>
      <c r="J429">
        <f t="shared" si="97"/>
        <v>0</v>
      </c>
      <c r="K429" s="4" t="e">
        <f t="shared" si="100"/>
        <v>#N/A</v>
      </c>
      <c r="L429" t="e">
        <f t="shared" si="101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8"/>
        <v>0</v>
      </c>
      <c r="B430">
        <f t="shared" si="89"/>
        <v>0</v>
      </c>
      <c r="C430">
        <f t="shared" si="90"/>
        <v>0</v>
      </c>
      <c r="D430">
        <f t="shared" si="91"/>
        <v>0</v>
      </c>
      <c r="E430" t="e">
        <f t="shared" si="92"/>
        <v>#N/A</v>
      </c>
      <c r="F430">
        <f t="shared" si="93"/>
        <v>0</v>
      </c>
      <c r="G430">
        <f t="shared" si="94"/>
        <v>0</v>
      </c>
      <c r="H430">
        <f t="shared" si="95"/>
        <v>0</v>
      </c>
      <c r="I430">
        <f t="shared" si="96"/>
        <v>0</v>
      </c>
      <c r="J430">
        <f t="shared" si="97"/>
        <v>0</v>
      </c>
      <c r="K430" s="4" t="e">
        <f t="shared" si="100"/>
        <v>#N/A</v>
      </c>
      <c r="L430" t="e">
        <f t="shared" si="101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8"/>
        <v>0</v>
      </c>
      <c r="B431">
        <f t="shared" si="89"/>
        <v>0</v>
      </c>
      <c r="C431">
        <f t="shared" si="90"/>
        <v>0</v>
      </c>
      <c r="D431">
        <f t="shared" si="91"/>
        <v>0</v>
      </c>
      <c r="E431" t="e">
        <f t="shared" si="92"/>
        <v>#N/A</v>
      </c>
      <c r="F431">
        <f t="shared" si="93"/>
        <v>0</v>
      </c>
      <c r="G431">
        <f t="shared" si="94"/>
        <v>0</v>
      </c>
      <c r="H431">
        <f t="shared" si="95"/>
        <v>0</v>
      </c>
      <c r="I431">
        <f t="shared" si="96"/>
        <v>0</v>
      </c>
      <c r="J431">
        <f t="shared" si="97"/>
        <v>0</v>
      </c>
      <c r="K431" s="4" t="e">
        <f t="shared" si="100"/>
        <v>#N/A</v>
      </c>
      <c r="L431" t="e">
        <f t="shared" si="101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8"/>
        <v>0</v>
      </c>
      <c r="B432">
        <f t="shared" si="89"/>
        <v>0</v>
      </c>
      <c r="C432">
        <f t="shared" si="90"/>
        <v>0</v>
      </c>
      <c r="D432">
        <f t="shared" si="91"/>
        <v>0</v>
      </c>
      <c r="E432" t="e">
        <f t="shared" si="92"/>
        <v>#N/A</v>
      </c>
      <c r="F432">
        <f t="shared" si="93"/>
        <v>0</v>
      </c>
      <c r="G432">
        <f t="shared" si="94"/>
        <v>0</v>
      </c>
      <c r="H432">
        <f t="shared" si="95"/>
        <v>0</v>
      </c>
      <c r="I432">
        <f t="shared" si="96"/>
        <v>0</v>
      </c>
      <c r="J432">
        <f t="shared" si="97"/>
        <v>0</v>
      </c>
      <c r="K432" s="4" t="e">
        <f t="shared" si="100"/>
        <v>#N/A</v>
      </c>
      <c r="L432" t="e">
        <f t="shared" si="101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8"/>
        <v>0</v>
      </c>
      <c r="B433">
        <f t="shared" si="89"/>
        <v>0</v>
      </c>
      <c r="C433">
        <f t="shared" si="90"/>
        <v>0</v>
      </c>
      <c r="D433">
        <f t="shared" si="91"/>
        <v>0</v>
      </c>
      <c r="E433" t="e">
        <f t="shared" si="92"/>
        <v>#N/A</v>
      </c>
      <c r="F433">
        <f t="shared" si="93"/>
        <v>0</v>
      </c>
      <c r="G433">
        <f t="shared" si="94"/>
        <v>0</v>
      </c>
      <c r="H433">
        <f t="shared" si="95"/>
        <v>0</v>
      </c>
      <c r="I433">
        <f t="shared" si="96"/>
        <v>0</v>
      </c>
      <c r="J433">
        <f t="shared" si="97"/>
        <v>0</v>
      </c>
      <c r="K433" s="4" t="e">
        <f t="shared" si="100"/>
        <v>#N/A</v>
      </c>
      <c r="L433" t="e">
        <f t="shared" si="101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8"/>
        <v>0</v>
      </c>
      <c r="B434">
        <f t="shared" si="89"/>
        <v>0</v>
      </c>
      <c r="C434">
        <f t="shared" si="90"/>
        <v>0</v>
      </c>
      <c r="D434">
        <f t="shared" si="91"/>
        <v>0</v>
      </c>
      <c r="E434" t="e">
        <f t="shared" si="92"/>
        <v>#N/A</v>
      </c>
      <c r="F434">
        <f t="shared" si="93"/>
        <v>0</v>
      </c>
      <c r="G434">
        <f t="shared" si="94"/>
        <v>0</v>
      </c>
      <c r="H434">
        <f t="shared" si="95"/>
        <v>0</v>
      </c>
      <c r="I434">
        <f t="shared" si="96"/>
        <v>0</v>
      </c>
      <c r="J434">
        <f t="shared" si="97"/>
        <v>0</v>
      </c>
      <c r="K434" s="4" t="e">
        <f t="shared" si="100"/>
        <v>#N/A</v>
      </c>
      <c r="L434" t="e">
        <f t="shared" si="101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8"/>
        <v>0</v>
      </c>
      <c r="B435">
        <f t="shared" si="89"/>
        <v>0</v>
      </c>
      <c r="C435">
        <f t="shared" si="90"/>
        <v>0</v>
      </c>
      <c r="D435">
        <f t="shared" si="91"/>
        <v>0</v>
      </c>
      <c r="E435" t="e">
        <f t="shared" si="92"/>
        <v>#N/A</v>
      </c>
      <c r="F435">
        <f t="shared" si="93"/>
        <v>0</v>
      </c>
      <c r="G435">
        <f t="shared" si="94"/>
        <v>0</v>
      </c>
      <c r="H435">
        <f t="shared" si="95"/>
        <v>0</v>
      </c>
      <c r="I435">
        <f t="shared" si="96"/>
        <v>0</v>
      </c>
      <c r="J435">
        <f t="shared" si="97"/>
        <v>0</v>
      </c>
      <c r="K435" s="4" t="e">
        <f t="shared" si="100"/>
        <v>#N/A</v>
      </c>
      <c r="L435" t="e">
        <f t="shared" si="101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8"/>
        <v>0</v>
      </c>
      <c r="B436">
        <f t="shared" si="89"/>
        <v>0</v>
      </c>
      <c r="C436">
        <f t="shared" si="90"/>
        <v>0</v>
      </c>
      <c r="D436">
        <f t="shared" si="91"/>
        <v>0</v>
      </c>
      <c r="E436" t="e">
        <f t="shared" si="92"/>
        <v>#N/A</v>
      </c>
      <c r="F436">
        <f t="shared" si="93"/>
        <v>0</v>
      </c>
      <c r="G436">
        <f t="shared" si="94"/>
        <v>0</v>
      </c>
      <c r="H436">
        <f t="shared" si="95"/>
        <v>0</v>
      </c>
      <c r="I436">
        <f t="shared" si="96"/>
        <v>0</v>
      </c>
      <c r="J436">
        <f t="shared" si="97"/>
        <v>0</v>
      </c>
      <c r="K436" s="4" t="e">
        <f t="shared" si="100"/>
        <v>#N/A</v>
      </c>
      <c r="L436" t="e">
        <f t="shared" si="101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8"/>
        <v>0</v>
      </c>
      <c r="B437">
        <f t="shared" si="89"/>
        <v>0</v>
      </c>
      <c r="C437">
        <f t="shared" si="90"/>
        <v>0</v>
      </c>
      <c r="D437">
        <f t="shared" si="91"/>
        <v>0</v>
      </c>
      <c r="E437" t="e">
        <f t="shared" si="92"/>
        <v>#N/A</v>
      </c>
      <c r="F437">
        <f t="shared" si="93"/>
        <v>0</v>
      </c>
      <c r="G437">
        <f t="shared" si="94"/>
        <v>0</v>
      </c>
      <c r="H437">
        <f t="shared" si="95"/>
        <v>0</v>
      </c>
      <c r="I437">
        <f t="shared" si="96"/>
        <v>0</v>
      </c>
      <c r="J437">
        <f t="shared" si="97"/>
        <v>0</v>
      </c>
      <c r="K437" s="4" t="e">
        <f t="shared" si="100"/>
        <v>#N/A</v>
      </c>
      <c r="L437" t="e">
        <f t="shared" si="101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8"/>
        <v>0</v>
      </c>
      <c r="B438">
        <f t="shared" si="89"/>
        <v>0</v>
      </c>
      <c r="C438">
        <f t="shared" si="90"/>
        <v>0</v>
      </c>
      <c r="D438">
        <f t="shared" si="91"/>
        <v>0</v>
      </c>
      <c r="E438" t="e">
        <f t="shared" si="92"/>
        <v>#N/A</v>
      </c>
      <c r="F438">
        <f t="shared" si="93"/>
        <v>0</v>
      </c>
      <c r="G438">
        <f t="shared" si="94"/>
        <v>0</v>
      </c>
      <c r="H438">
        <f t="shared" si="95"/>
        <v>0</v>
      </c>
      <c r="I438">
        <f t="shared" si="96"/>
        <v>0</v>
      </c>
      <c r="J438">
        <f t="shared" si="97"/>
        <v>0</v>
      </c>
      <c r="K438" s="4" t="e">
        <f t="shared" si="100"/>
        <v>#N/A</v>
      </c>
      <c r="L438" t="e">
        <f t="shared" si="101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8"/>
        <v>0</v>
      </c>
      <c r="B439">
        <f t="shared" si="89"/>
        <v>0</v>
      </c>
      <c r="C439">
        <f t="shared" si="90"/>
        <v>0</v>
      </c>
      <c r="D439">
        <f t="shared" si="91"/>
        <v>0</v>
      </c>
      <c r="E439" t="e">
        <f t="shared" si="92"/>
        <v>#N/A</v>
      </c>
      <c r="F439">
        <f t="shared" si="93"/>
        <v>0</v>
      </c>
      <c r="G439">
        <f t="shared" si="94"/>
        <v>0</v>
      </c>
      <c r="H439">
        <f t="shared" si="95"/>
        <v>0</v>
      </c>
      <c r="I439">
        <f t="shared" si="96"/>
        <v>0</v>
      </c>
      <c r="J439">
        <f t="shared" si="97"/>
        <v>0</v>
      </c>
      <c r="K439" s="4" t="e">
        <f t="shared" si="100"/>
        <v>#N/A</v>
      </c>
      <c r="L439" t="e">
        <f t="shared" si="101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8"/>
        <v>0</v>
      </c>
      <c r="B440">
        <f t="shared" si="89"/>
        <v>0</v>
      </c>
      <c r="C440">
        <f t="shared" si="90"/>
        <v>0</v>
      </c>
      <c r="D440">
        <f t="shared" si="91"/>
        <v>0</v>
      </c>
      <c r="E440" t="e">
        <f t="shared" si="92"/>
        <v>#N/A</v>
      </c>
      <c r="F440">
        <f t="shared" si="93"/>
        <v>0</v>
      </c>
      <c r="G440">
        <f t="shared" si="94"/>
        <v>0</v>
      </c>
      <c r="H440">
        <f t="shared" si="95"/>
        <v>0</v>
      </c>
      <c r="I440">
        <f t="shared" si="96"/>
        <v>0</v>
      </c>
      <c r="J440">
        <f t="shared" si="97"/>
        <v>0</v>
      </c>
      <c r="K440" s="4" t="e">
        <f t="shared" si="100"/>
        <v>#N/A</v>
      </c>
      <c r="L440" t="e">
        <f t="shared" si="101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8"/>
        <v>0</v>
      </c>
      <c r="B441">
        <f t="shared" si="89"/>
        <v>0</v>
      </c>
      <c r="C441">
        <f t="shared" si="90"/>
        <v>0</v>
      </c>
      <c r="D441">
        <f t="shared" si="91"/>
        <v>0</v>
      </c>
      <c r="E441" t="e">
        <f t="shared" si="92"/>
        <v>#N/A</v>
      </c>
      <c r="F441">
        <f t="shared" si="93"/>
        <v>0</v>
      </c>
      <c r="G441">
        <f t="shared" si="94"/>
        <v>0</v>
      </c>
      <c r="H441">
        <f t="shared" si="95"/>
        <v>0</v>
      </c>
      <c r="I441">
        <f t="shared" si="96"/>
        <v>0</v>
      </c>
      <c r="J441">
        <f t="shared" si="97"/>
        <v>0</v>
      </c>
      <c r="K441" s="4" t="e">
        <f t="shared" si="100"/>
        <v>#N/A</v>
      </c>
      <c r="L441" t="e">
        <f t="shared" si="101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8"/>
        <v>0</v>
      </c>
      <c r="B442">
        <f t="shared" si="89"/>
        <v>0</v>
      </c>
      <c r="C442">
        <f t="shared" si="90"/>
        <v>0</v>
      </c>
      <c r="D442">
        <f t="shared" si="91"/>
        <v>0</v>
      </c>
      <c r="E442" t="e">
        <f t="shared" si="92"/>
        <v>#N/A</v>
      </c>
      <c r="F442">
        <f t="shared" si="93"/>
        <v>0</v>
      </c>
      <c r="G442">
        <f t="shared" si="94"/>
        <v>0</v>
      </c>
      <c r="H442">
        <f t="shared" si="95"/>
        <v>0</v>
      </c>
      <c r="I442">
        <f t="shared" si="96"/>
        <v>0</v>
      </c>
      <c r="J442">
        <f t="shared" si="97"/>
        <v>0</v>
      </c>
      <c r="K442" s="4" t="e">
        <f t="shared" si="100"/>
        <v>#N/A</v>
      </c>
      <c r="L442" t="e">
        <f t="shared" si="101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8"/>
        <v>0</v>
      </c>
      <c r="B443">
        <f t="shared" si="89"/>
        <v>0</v>
      </c>
      <c r="C443">
        <f t="shared" si="90"/>
        <v>0</v>
      </c>
      <c r="D443">
        <f t="shared" si="91"/>
        <v>0</v>
      </c>
      <c r="E443" t="e">
        <f t="shared" si="92"/>
        <v>#N/A</v>
      </c>
      <c r="F443">
        <f t="shared" si="93"/>
        <v>0</v>
      </c>
      <c r="G443">
        <f t="shared" si="94"/>
        <v>0</v>
      </c>
      <c r="H443">
        <f t="shared" si="95"/>
        <v>0</v>
      </c>
      <c r="I443">
        <f t="shared" si="96"/>
        <v>0</v>
      </c>
      <c r="J443">
        <f t="shared" si="97"/>
        <v>0</v>
      </c>
      <c r="K443" s="4" t="e">
        <f t="shared" si="100"/>
        <v>#N/A</v>
      </c>
      <c r="L443" t="e">
        <f t="shared" si="101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8"/>
        <v>0</v>
      </c>
      <c r="B444">
        <f t="shared" si="89"/>
        <v>0</v>
      </c>
      <c r="C444">
        <f t="shared" si="90"/>
        <v>0</v>
      </c>
      <c r="D444">
        <f t="shared" si="91"/>
        <v>0</v>
      </c>
      <c r="E444" t="e">
        <f t="shared" si="92"/>
        <v>#N/A</v>
      </c>
      <c r="F444">
        <f t="shared" si="93"/>
        <v>0</v>
      </c>
      <c r="G444">
        <f t="shared" si="94"/>
        <v>0</v>
      </c>
      <c r="H444">
        <f t="shared" si="95"/>
        <v>0</v>
      </c>
      <c r="I444">
        <f t="shared" si="96"/>
        <v>0</v>
      </c>
      <c r="J444">
        <f t="shared" si="97"/>
        <v>0</v>
      </c>
      <c r="K444" s="4" t="e">
        <f t="shared" si="100"/>
        <v>#N/A</v>
      </c>
      <c r="L444" t="e">
        <f t="shared" si="101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8"/>
        <v>0</v>
      </c>
      <c r="B445">
        <f t="shared" si="89"/>
        <v>0</v>
      </c>
      <c r="C445">
        <f t="shared" si="90"/>
        <v>0</v>
      </c>
      <c r="D445">
        <f t="shared" si="91"/>
        <v>0</v>
      </c>
      <c r="E445" t="e">
        <f t="shared" si="92"/>
        <v>#N/A</v>
      </c>
      <c r="F445">
        <f t="shared" si="93"/>
        <v>0</v>
      </c>
      <c r="G445">
        <f t="shared" si="94"/>
        <v>0</v>
      </c>
      <c r="H445">
        <f t="shared" si="95"/>
        <v>0</v>
      </c>
      <c r="I445">
        <f t="shared" si="96"/>
        <v>0</v>
      </c>
      <c r="J445">
        <f t="shared" si="97"/>
        <v>0</v>
      </c>
      <c r="K445" s="4" t="e">
        <f t="shared" si="100"/>
        <v>#N/A</v>
      </c>
      <c r="L445" t="e">
        <f t="shared" si="101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8"/>
        <v>0</v>
      </c>
      <c r="B446">
        <f t="shared" si="89"/>
        <v>0</v>
      </c>
      <c r="C446">
        <f t="shared" si="90"/>
        <v>0</v>
      </c>
      <c r="D446">
        <f t="shared" si="91"/>
        <v>0</v>
      </c>
      <c r="E446" t="e">
        <f t="shared" si="92"/>
        <v>#N/A</v>
      </c>
      <c r="F446">
        <f t="shared" si="93"/>
        <v>0</v>
      </c>
      <c r="G446">
        <f t="shared" si="94"/>
        <v>0</v>
      </c>
      <c r="H446">
        <f t="shared" si="95"/>
        <v>0</v>
      </c>
      <c r="I446">
        <f t="shared" si="96"/>
        <v>0</v>
      </c>
      <c r="J446">
        <f t="shared" si="97"/>
        <v>0</v>
      </c>
      <c r="K446" s="4" t="e">
        <f t="shared" si="100"/>
        <v>#N/A</v>
      </c>
      <c r="L446" t="e">
        <f t="shared" si="101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8"/>
        <v>0</v>
      </c>
      <c r="B447">
        <f t="shared" si="89"/>
        <v>0</v>
      </c>
      <c r="C447">
        <f t="shared" si="90"/>
        <v>0</v>
      </c>
      <c r="D447">
        <f t="shared" si="91"/>
        <v>0</v>
      </c>
      <c r="E447" t="e">
        <f t="shared" si="92"/>
        <v>#N/A</v>
      </c>
      <c r="F447">
        <f t="shared" si="93"/>
        <v>0</v>
      </c>
      <c r="G447">
        <f t="shared" si="94"/>
        <v>0</v>
      </c>
      <c r="H447">
        <f t="shared" si="95"/>
        <v>0</v>
      </c>
      <c r="I447">
        <f t="shared" si="96"/>
        <v>0</v>
      </c>
      <c r="J447">
        <f t="shared" si="97"/>
        <v>0</v>
      </c>
      <c r="K447" s="4" t="e">
        <f t="shared" si="100"/>
        <v>#N/A</v>
      </c>
      <c r="L447" t="e">
        <f t="shared" si="101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8"/>
        <v>0</v>
      </c>
      <c r="B448">
        <f t="shared" si="89"/>
        <v>0</v>
      </c>
      <c r="C448">
        <f t="shared" si="90"/>
        <v>0</v>
      </c>
      <c r="D448">
        <f t="shared" si="91"/>
        <v>0</v>
      </c>
      <c r="E448" t="e">
        <f t="shared" si="92"/>
        <v>#N/A</v>
      </c>
      <c r="F448">
        <f t="shared" si="93"/>
        <v>0</v>
      </c>
      <c r="G448">
        <f t="shared" si="94"/>
        <v>0</v>
      </c>
      <c r="H448">
        <f t="shared" si="95"/>
        <v>0</v>
      </c>
      <c r="I448">
        <f t="shared" si="96"/>
        <v>0</v>
      </c>
      <c r="J448">
        <f t="shared" si="97"/>
        <v>0</v>
      </c>
      <c r="K448" s="4" t="e">
        <f t="shared" si="100"/>
        <v>#N/A</v>
      </c>
      <c r="L448" t="e">
        <f t="shared" si="101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8"/>
        <v>0</v>
      </c>
      <c r="B449">
        <f t="shared" si="89"/>
        <v>0</v>
      </c>
      <c r="C449">
        <f t="shared" si="90"/>
        <v>0</v>
      </c>
      <c r="D449">
        <f t="shared" si="91"/>
        <v>0</v>
      </c>
      <c r="E449" t="e">
        <f t="shared" si="92"/>
        <v>#N/A</v>
      </c>
      <c r="F449">
        <f t="shared" si="93"/>
        <v>0</v>
      </c>
      <c r="G449">
        <f t="shared" si="94"/>
        <v>0</v>
      </c>
      <c r="H449">
        <f t="shared" si="95"/>
        <v>0</v>
      </c>
      <c r="I449">
        <f t="shared" si="96"/>
        <v>0</v>
      </c>
      <c r="J449">
        <f t="shared" si="97"/>
        <v>0</v>
      </c>
      <c r="K449" s="4" t="e">
        <f t="shared" si="100"/>
        <v>#N/A</v>
      </c>
      <c r="L449" t="e">
        <f t="shared" si="101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2">bd_campaign</f>
        <v>0</v>
      </c>
      <c r="B450">
        <f t="shared" ref="B450:B513" si="103">bd_site</f>
        <v>0</v>
      </c>
      <c r="C450">
        <f t="shared" ref="C450:C513" si="104">bd_placement</f>
        <v>0</v>
      </c>
      <c r="D450">
        <f t="shared" ref="D450:D513" si="105">bd_placementID</f>
        <v>0</v>
      </c>
      <c r="E450" t="e">
        <f t="shared" ref="E450:E513" si="106">VLOOKUP(CONCATENATE(bd_adtype,"_",bd_creativetype),tabela,2,FALSE)</f>
        <v>#N/A</v>
      </c>
      <c r="F450">
        <f t="shared" ref="F450:F513" si="107">bd_ad</f>
        <v>0</v>
      </c>
      <c r="G450">
        <f t="shared" ref="G450:G513" si="108">bd_adid</f>
        <v>0</v>
      </c>
      <c r="H450">
        <f t="shared" ref="H450:H513" si="109">bd_creativetype</f>
        <v>0</v>
      </c>
      <c r="I450">
        <f t="shared" ref="I450:I513" si="110">bd_impression</f>
        <v>0</v>
      </c>
      <c r="J450">
        <f t="shared" ref="J450:J513" si="111">bd_clicks</f>
        <v>0</v>
      </c>
      <c r="K450" s="4" t="e">
        <f t="shared" si="100"/>
        <v>#N/A</v>
      </c>
      <c r="L450" t="e">
        <f t="shared" si="101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2"/>
        <v>0</v>
      </c>
      <c r="B451">
        <f t="shared" si="103"/>
        <v>0</v>
      </c>
      <c r="C451">
        <f t="shared" si="104"/>
        <v>0</v>
      </c>
      <c r="D451">
        <f t="shared" si="105"/>
        <v>0</v>
      </c>
      <c r="E451" t="e">
        <f t="shared" si="106"/>
        <v>#N/A</v>
      </c>
      <c r="F451">
        <f t="shared" si="107"/>
        <v>0</v>
      </c>
      <c r="G451">
        <f t="shared" si="108"/>
        <v>0</v>
      </c>
      <c r="H451">
        <f t="shared" si="109"/>
        <v>0</v>
      </c>
      <c r="I451">
        <f t="shared" si="110"/>
        <v>0</v>
      </c>
      <c r="J451">
        <f t="shared" si="111"/>
        <v>0</v>
      </c>
      <c r="K451" s="4" t="e">
        <f t="shared" si="100"/>
        <v>#N/A</v>
      </c>
      <c r="L451" t="e">
        <f t="shared" si="101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2"/>
        <v>0</v>
      </c>
      <c r="B452">
        <f t="shared" si="103"/>
        <v>0</v>
      </c>
      <c r="C452">
        <f t="shared" si="104"/>
        <v>0</v>
      </c>
      <c r="D452">
        <f t="shared" si="105"/>
        <v>0</v>
      </c>
      <c r="E452" t="e">
        <f t="shared" si="106"/>
        <v>#N/A</v>
      </c>
      <c r="F452">
        <f t="shared" si="107"/>
        <v>0</v>
      </c>
      <c r="G452">
        <f t="shared" si="108"/>
        <v>0</v>
      </c>
      <c r="H452">
        <f t="shared" si="109"/>
        <v>0</v>
      </c>
      <c r="I452">
        <f t="shared" si="110"/>
        <v>0</v>
      </c>
      <c r="J452">
        <f t="shared" si="111"/>
        <v>0</v>
      </c>
      <c r="K452" s="4" t="e">
        <f t="shared" si="100"/>
        <v>#N/A</v>
      </c>
      <c r="L452" t="e">
        <f t="shared" si="101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2"/>
        <v>0</v>
      </c>
      <c r="B453">
        <f t="shared" si="103"/>
        <v>0</v>
      </c>
      <c r="C453">
        <f t="shared" si="104"/>
        <v>0</v>
      </c>
      <c r="D453">
        <f t="shared" si="105"/>
        <v>0</v>
      </c>
      <c r="E453" t="e">
        <f t="shared" si="106"/>
        <v>#N/A</v>
      </c>
      <c r="F453">
        <f t="shared" si="107"/>
        <v>0</v>
      </c>
      <c r="G453">
        <f t="shared" si="108"/>
        <v>0</v>
      </c>
      <c r="H453">
        <f t="shared" si="109"/>
        <v>0</v>
      </c>
      <c r="I453">
        <f t="shared" si="110"/>
        <v>0</v>
      </c>
      <c r="J453">
        <f t="shared" si="111"/>
        <v>0</v>
      </c>
      <c r="K453" s="4" t="e">
        <f t="shared" si="100"/>
        <v>#N/A</v>
      </c>
      <c r="L453" t="e">
        <f t="shared" si="101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2"/>
        <v>0</v>
      </c>
      <c r="B454">
        <f t="shared" si="103"/>
        <v>0</v>
      </c>
      <c r="C454">
        <f t="shared" si="104"/>
        <v>0</v>
      </c>
      <c r="D454">
        <f t="shared" si="105"/>
        <v>0</v>
      </c>
      <c r="E454" t="e">
        <f t="shared" si="106"/>
        <v>#N/A</v>
      </c>
      <c r="F454">
        <f t="shared" si="107"/>
        <v>0</v>
      </c>
      <c r="G454">
        <f t="shared" si="108"/>
        <v>0</v>
      </c>
      <c r="H454">
        <f t="shared" si="109"/>
        <v>0</v>
      </c>
      <c r="I454">
        <f t="shared" si="110"/>
        <v>0</v>
      </c>
      <c r="J454">
        <f t="shared" si="111"/>
        <v>0</v>
      </c>
      <c r="K454" s="4" t="e">
        <f t="shared" si="100"/>
        <v>#N/A</v>
      </c>
      <c r="L454" t="e">
        <f t="shared" si="101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2"/>
        <v>0</v>
      </c>
      <c r="B455">
        <f t="shared" si="103"/>
        <v>0</v>
      </c>
      <c r="C455">
        <f t="shared" si="104"/>
        <v>0</v>
      </c>
      <c r="D455">
        <f t="shared" si="105"/>
        <v>0</v>
      </c>
      <c r="E455" t="e">
        <f t="shared" si="106"/>
        <v>#N/A</v>
      </c>
      <c r="F455">
        <f t="shared" si="107"/>
        <v>0</v>
      </c>
      <c r="G455">
        <f t="shared" si="108"/>
        <v>0</v>
      </c>
      <c r="H455">
        <f t="shared" si="109"/>
        <v>0</v>
      </c>
      <c r="I455">
        <f t="shared" si="110"/>
        <v>0</v>
      </c>
      <c r="J455">
        <f t="shared" si="111"/>
        <v>0</v>
      </c>
      <c r="K455" s="4" t="e">
        <f t="shared" si="100"/>
        <v>#N/A</v>
      </c>
      <c r="L455" t="e">
        <f t="shared" si="101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2"/>
        <v>0</v>
      </c>
      <c r="B456">
        <f t="shared" si="103"/>
        <v>0</v>
      </c>
      <c r="C456">
        <f t="shared" si="104"/>
        <v>0</v>
      </c>
      <c r="D456">
        <f t="shared" si="105"/>
        <v>0</v>
      </c>
      <c r="E456" t="e">
        <f t="shared" si="106"/>
        <v>#N/A</v>
      </c>
      <c r="F456">
        <f t="shared" si="107"/>
        <v>0</v>
      </c>
      <c r="G456">
        <f t="shared" si="108"/>
        <v>0</v>
      </c>
      <c r="H456">
        <f t="shared" si="109"/>
        <v>0</v>
      </c>
      <c r="I456">
        <f t="shared" si="110"/>
        <v>0</v>
      </c>
      <c r="J456">
        <f t="shared" si="111"/>
        <v>0</v>
      </c>
      <c r="K456" s="4" t="e">
        <f t="shared" si="100"/>
        <v>#N/A</v>
      </c>
      <c r="L456" t="e">
        <f t="shared" si="101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2"/>
        <v>0</v>
      </c>
      <c r="B457">
        <f t="shared" si="103"/>
        <v>0</v>
      </c>
      <c r="C457">
        <f t="shared" si="104"/>
        <v>0</v>
      </c>
      <c r="D457">
        <f t="shared" si="105"/>
        <v>0</v>
      </c>
      <c r="E457" t="e">
        <f t="shared" si="106"/>
        <v>#N/A</v>
      </c>
      <c r="F457">
        <f t="shared" si="107"/>
        <v>0</v>
      </c>
      <c r="G457">
        <f t="shared" si="108"/>
        <v>0</v>
      </c>
      <c r="H457">
        <f t="shared" si="109"/>
        <v>0</v>
      </c>
      <c r="I457">
        <f t="shared" si="110"/>
        <v>0</v>
      </c>
      <c r="J457">
        <f t="shared" si="111"/>
        <v>0</v>
      </c>
      <c r="K457" s="4" t="e">
        <f t="shared" si="100"/>
        <v>#N/A</v>
      </c>
      <c r="L457" t="e">
        <f t="shared" si="101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2"/>
        <v>0</v>
      </c>
      <c r="B458">
        <f t="shared" si="103"/>
        <v>0</v>
      </c>
      <c r="C458">
        <f t="shared" si="104"/>
        <v>0</v>
      </c>
      <c r="D458">
        <f t="shared" si="105"/>
        <v>0</v>
      </c>
      <c r="E458" t="e">
        <f t="shared" si="106"/>
        <v>#N/A</v>
      </c>
      <c r="F458">
        <f t="shared" si="107"/>
        <v>0</v>
      </c>
      <c r="G458">
        <f t="shared" si="108"/>
        <v>0</v>
      </c>
      <c r="H458">
        <f t="shared" si="109"/>
        <v>0</v>
      </c>
      <c r="I458">
        <f t="shared" si="110"/>
        <v>0</v>
      </c>
      <c r="J458">
        <f t="shared" si="111"/>
        <v>0</v>
      </c>
      <c r="K458" s="4" t="e">
        <f t="shared" si="100"/>
        <v>#N/A</v>
      </c>
      <c r="L458" t="e">
        <f t="shared" si="101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2"/>
        <v>0</v>
      </c>
      <c r="B459">
        <f t="shared" si="103"/>
        <v>0</v>
      </c>
      <c r="C459">
        <f t="shared" si="104"/>
        <v>0</v>
      </c>
      <c r="D459">
        <f t="shared" si="105"/>
        <v>0</v>
      </c>
      <c r="E459" t="e">
        <f t="shared" si="106"/>
        <v>#N/A</v>
      </c>
      <c r="F459">
        <f t="shared" si="107"/>
        <v>0</v>
      </c>
      <c r="G459">
        <f t="shared" si="108"/>
        <v>0</v>
      </c>
      <c r="H459">
        <f t="shared" si="109"/>
        <v>0</v>
      </c>
      <c r="I459">
        <f t="shared" si="110"/>
        <v>0</v>
      </c>
      <c r="J459">
        <f t="shared" si="111"/>
        <v>0</v>
      </c>
      <c r="K459" s="4" t="e">
        <f t="shared" si="100"/>
        <v>#N/A</v>
      </c>
      <c r="L459" t="e">
        <f t="shared" si="101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2"/>
        <v>0</v>
      </c>
      <c r="B460">
        <f t="shared" si="103"/>
        <v>0</v>
      </c>
      <c r="C460">
        <f t="shared" si="104"/>
        <v>0</v>
      </c>
      <c r="D460">
        <f t="shared" si="105"/>
        <v>0</v>
      </c>
      <c r="E460" t="e">
        <f t="shared" si="106"/>
        <v>#N/A</v>
      </c>
      <c r="F460">
        <f t="shared" si="107"/>
        <v>0</v>
      </c>
      <c r="G460">
        <f t="shared" si="108"/>
        <v>0</v>
      </c>
      <c r="H460">
        <f t="shared" si="109"/>
        <v>0</v>
      </c>
      <c r="I460">
        <f t="shared" si="110"/>
        <v>0</v>
      </c>
      <c r="J460">
        <f t="shared" si="111"/>
        <v>0</v>
      </c>
      <c r="K460" s="4" t="e">
        <f t="shared" si="100"/>
        <v>#N/A</v>
      </c>
      <c r="L460" t="e">
        <f t="shared" si="101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2"/>
        <v>0</v>
      </c>
      <c r="B461">
        <f t="shared" si="103"/>
        <v>0</v>
      </c>
      <c r="C461">
        <f t="shared" si="104"/>
        <v>0</v>
      </c>
      <c r="D461">
        <f t="shared" si="105"/>
        <v>0</v>
      </c>
      <c r="E461" t="e">
        <f t="shared" si="106"/>
        <v>#N/A</v>
      </c>
      <c r="F461">
        <f t="shared" si="107"/>
        <v>0</v>
      </c>
      <c r="G461">
        <f t="shared" si="108"/>
        <v>0</v>
      </c>
      <c r="H461">
        <f t="shared" si="109"/>
        <v>0</v>
      </c>
      <c r="I461">
        <f t="shared" si="110"/>
        <v>0</v>
      </c>
      <c r="J461">
        <f t="shared" si="111"/>
        <v>0</v>
      </c>
      <c r="K461" s="4" t="e">
        <f t="shared" si="100"/>
        <v>#N/A</v>
      </c>
      <c r="L461" t="e">
        <f t="shared" si="101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2"/>
        <v>0</v>
      </c>
      <c r="B462">
        <f t="shared" si="103"/>
        <v>0</v>
      </c>
      <c r="C462">
        <f t="shared" si="104"/>
        <v>0</v>
      </c>
      <c r="D462">
        <f t="shared" si="105"/>
        <v>0</v>
      </c>
      <c r="E462" t="e">
        <f t="shared" si="106"/>
        <v>#N/A</v>
      </c>
      <c r="F462">
        <f t="shared" si="107"/>
        <v>0</v>
      </c>
      <c r="G462">
        <f t="shared" si="108"/>
        <v>0</v>
      </c>
      <c r="H462">
        <f t="shared" si="109"/>
        <v>0</v>
      </c>
      <c r="I462">
        <f t="shared" si="110"/>
        <v>0</v>
      </c>
      <c r="J462">
        <f t="shared" si="111"/>
        <v>0</v>
      </c>
      <c r="K462" s="4" t="e">
        <f t="shared" si="100"/>
        <v>#N/A</v>
      </c>
      <c r="L462" t="e">
        <f t="shared" si="101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2"/>
        <v>0</v>
      </c>
      <c r="B463">
        <f t="shared" si="103"/>
        <v>0</v>
      </c>
      <c r="C463">
        <f t="shared" si="104"/>
        <v>0</v>
      </c>
      <c r="D463">
        <f t="shared" si="105"/>
        <v>0</v>
      </c>
      <c r="E463" t="e">
        <f t="shared" si="106"/>
        <v>#N/A</v>
      </c>
      <c r="F463">
        <f t="shared" si="107"/>
        <v>0</v>
      </c>
      <c r="G463">
        <f t="shared" si="108"/>
        <v>0</v>
      </c>
      <c r="H463">
        <f t="shared" si="109"/>
        <v>0</v>
      </c>
      <c r="I463">
        <f t="shared" si="110"/>
        <v>0</v>
      </c>
      <c r="J463">
        <f t="shared" si="111"/>
        <v>0</v>
      </c>
      <c r="K463" s="4" t="e">
        <f t="shared" si="100"/>
        <v>#N/A</v>
      </c>
      <c r="L463" t="e">
        <f t="shared" si="101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2"/>
        <v>0</v>
      </c>
      <c r="B464">
        <f t="shared" si="103"/>
        <v>0</v>
      </c>
      <c r="C464">
        <f t="shared" si="104"/>
        <v>0</v>
      </c>
      <c r="D464">
        <f t="shared" si="105"/>
        <v>0</v>
      </c>
      <c r="E464" t="e">
        <f t="shared" si="106"/>
        <v>#N/A</v>
      </c>
      <c r="F464">
        <f t="shared" si="107"/>
        <v>0</v>
      </c>
      <c r="G464">
        <f t="shared" si="108"/>
        <v>0</v>
      </c>
      <c r="H464">
        <f t="shared" si="109"/>
        <v>0</v>
      </c>
      <c r="I464">
        <f t="shared" si="110"/>
        <v>0</v>
      </c>
      <c r="J464">
        <f t="shared" si="111"/>
        <v>0</v>
      </c>
      <c r="K464" s="4" t="e">
        <f t="shared" si="100"/>
        <v>#N/A</v>
      </c>
      <c r="L464" t="e">
        <f t="shared" si="101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2"/>
        <v>0</v>
      </c>
      <c r="B465">
        <f t="shared" si="103"/>
        <v>0</v>
      </c>
      <c r="C465">
        <f t="shared" si="104"/>
        <v>0</v>
      </c>
      <c r="D465">
        <f t="shared" si="105"/>
        <v>0</v>
      </c>
      <c r="E465" t="e">
        <f t="shared" si="106"/>
        <v>#N/A</v>
      </c>
      <c r="F465">
        <f t="shared" si="107"/>
        <v>0</v>
      </c>
      <c r="G465">
        <f t="shared" si="108"/>
        <v>0</v>
      </c>
      <c r="H465">
        <f t="shared" si="109"/>
        <v>0</v>
      </c>
      <c r="I465">
        <f t="shared" si="110"/>
        <v>0</v>
      </c>
      <c r="J465">
        <f t="shared" si="111"/>
        <v>0</v>
      </c>
      <c r="K465" s="4" t="e">
        <f t="shared" si="100"/>
        <v>#N/A</v>
      </c>
      <c r="L465" t="e">
        <f t="shared" si="101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2"/>
        <v>0</v>
      </c>
      <c r="B466">
        <f t="shared" si="103"/>
        <v>0</v>
      </c>
      <c r="C466">
        <f t="shared" si="104"/>
        <v>0</v>
      </c>
      <c r="D466">
        <f t="shared" si="105"/>
        <v>0</v>
      </c>
      <c r="E466" t="e">
        <f t="shared" si="106"/>
        <v>#N/A</v>
      </c>
      <c r="F466">
        <f t="shared" si="107"/>
        <v>0</v>
      </c>
      <c r="G466">
        <f t="shared" si="108"/>
        <v>0</v>
      </c>
      <c r="H466">
        <f t="shared" si="109"/>
        <v>0</v>
      </c>
      <c r="I466">
        <f t="shared" si="110"/>
        <v>0</v>
      </c>
      <c r="J466">
        <f t="shared" si="111"/>
        <v>0</v>
      </c>
      <c r="K466" s="4" t="e">
        <f t="shared" si="100"/>
        <v>#N/A</v>
      </c>
      <c r="L466" t="e">
        <f t="shared" si="101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2"/>
        <v>0</v>
      </c>
      <c r="B467">
        <f t="shared" si="103"/>
        <v>0</v>
      </c>
      <c r="C467">
        <f t="shared" si="104"/>
        <v>0</v>
      </c>
      <c r="D467">
        <f t="shared" si="105"/>
        <v>0</v>
      </c>
      <c r="E467" t="e">
        <f t="shared" si="106"/>
        <v>#N/A</v>
      </c>
      <c r="F467">
        <f t="shared" si="107"/>
        <v>0</v>
      </c>
      <c r="G467">
        <f t="shared" si="108"/>
        <v>0</v>
      </c>
      <c r="H467">
        <f t="shared" si="109"/>
        <v>0</v>
      </c>
      <c r="I467">
        <f t="shared" si="110"/>
        <v>0</v>
      </c>
      <c r="J467">
        <f t="shared" si="111"/>
        <v>0</v>
      </c>
      <c r="K467" s="4" t="e">
        <f t="shared" si="100"/>
        <v>#N/A</v>
      </c>
      <c r="L467" t="e">
        <f t="shared" si="101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2"/>
        <v>0</v>
      </c>
      <c r="B468">
        <f t="shared" si="103"/>
        <v>0</v>
      </c>
      <c r="C468">
        <f t="shared" si="104"/>
        <v>0</v>
      </c>
      <c r="D468">
        <f t="shared" si="105"/>
        <v>0</v>
      </c>
      <c r="E468" t="e">
        <f t="shared" si="106"/>
        <v>#N/A</v>
      </c>
      <c r="F468">
        <f t="shared" si="107"/>
        <v>0</v>
      </c>
      <c r="G468">
        <f t="shared" si="108"/>
        <v>0</v>
      </c>
      <c r="H468">
        <f t="shared" si="109"/>
        <v>0</v>
      </c>
      <c r="I468">
        <f t="shared" si="110"/>
        <v>0</v>
      </c>
      <c r="J468">
        <f t="shared" si="111"/>
        <v>0</v>
      </c>
      <c r="K468" s="4" t="e">
        <f t="shared" si="100"/>
        <v>#N/A</v>
      </c>
      <c r="L468" t="e">
        <f t="shared" si="101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2"/>
        <v>0</v>
      </c>
      <c r="B469">
        <f t="shared" si="103"/>
        <v>0</v>
      </c>
      <c r="C469">
        <f t="shared" si="104"/>
        <v>0</v>
      </c>
      <c r="D469">
        <f t="shared" si="105"/>
        <v>0</v>
      </c>
      <c r="E469" t="e">
        <f t="shared" si="106"/>
        <v>#N/A</v>
      </c>
      <c r="F469">
        <f t="shared" si="107"/>
        <v>0</v>
      </c>
      <c r="G469">
        <f t="shared" si="108"/>
        <v>0</v>
      </c>
      <c r="H469">
        <f t="shared" si="109"/>
        <v>0</v>
      </c>
      <c r="I469">
        <f t="shared" si="110"/>
        <v>0</v>
      </c>
      <c r="J469">
        <f t="shared" si="111"/>
        <v>0</v>
      </c>
      <c r="K469" s="4" t="e">
        <f t="shared" si="100"/>
        <v>#N/A</v>
      </c>
      <c r="L469" t="e">
        <f t="shared" si="101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2"/>
        <v>0</v>
      </c>
      <c r="B470">
        <f t="shared" si="103"/>
        <v>0</v>
      </c>
      <c r="C470">
        <f t="shared" si="104"/>
        <v>0</v>
      </c>
      <c r="D470">
        <f t="shared" si="105"/>
        <v>0</v>
      </c>
      <c r="E470" t="e">
        <f t="shared" si="106"/>
        <v>#N/A</v>
      </c>
      <c r="F470">
        <f t="shared" si="107"/>
        <v>0</v>
      </c>
      <c r="G470">
        <f t="shared" si="108"/>
        <v>0</v>
      </c>
      <c r="H470">
        <f t="shared" si="109"/>
        <v>0</v>
      </c>
      <c r="I470">
        <f t="shared" si="110"/>
        <v>0</v>
      </c>
      <c r="J470">
        <f t="shared" si="111"/>
        <v>0</v>
      </c>
      <c r="K470" s="4" t="e">
        <f t="shared" si="100"/>
        <v>#N/A</v>
      </c>
      <c r="L470" t="e">
        <f t="shared" si="101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2"/>
        <v>0</v>
      </c>
      <c r="B471">
        <f t="shared" si="103"/>
        <v>0</v>
      </c>
      <c r="C471">
        <f t="shared" si="104"/>
        <v>0</v>
      </c>
      <c r="D471">
        <f t="shared" si="105"/>
        <v>0</v>
      </c>
      <c r="E471" t="e">
        <f t="shared" si="106"/>
        <v>#N/A</v>
      </c>
      <c r="F471">
        <f t="shared" si="107"/>
        <v>0</v>
      </c>
      <c r="G471">
        <f t="shared" si="108"/>
        <v>0</v>
      </c>
      <c r="H471">
        <f t="shared" si="109"/>
        <v>0</v>
      </c>
      <c r="I471">
        <f t="shared" si="110"/>
        <v>0</v>
      </c>
      <c r="J471">
        <f t="shared" si="111"/>
        <v>0</v>
      </c>
      <c r="K471" s="4" t="e">
        <f t="shared" si="100"/>
        <v>#N/A</v>
      </c>
      <c r="L471" t="e">
        <f t="shared" si="101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2"/>
        <v>0</v>
      </c>
      <c r="B472">
        <f t="shared" si="103"/>
        <v>0</v>
      </c>
      <c r="C472">
        <f t="shared" si="104"/>
        <v>0</v>
      </c>
      <c r="D472">
        <f t="shared" si="105"/>
        <v>0</v>
      </c>
      <c r="E472" t="e">
        <f t="shared" si="106"/>
        <v>#N/A</v>
      </c>
      <c r="F472">
        <f t="shared" si="107"/>
        <v>0</v>
      </c>
      <c r="G472">
        <f t="shared" si="108"/>
        <v>0</v>
      </c>
      <c r="H472">
        <f t="shared" si="109"/>
        <v>0</v>
      </c>
      <c r="I472">
        <f t="shared" si="110"/>
        <v>0</v>
      </c>
      <c r="J472">
        <f t="shared" si="111"/>
        <v>0</v>
      </c>
      <c r="K472" s="4" t="e">
        <f t="shared" si="100"/>
        <v>#N/A</v>
      </c>
      <c r="L472" t="e">
        <f t="shared" si="101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2"/>
        <v>0</v>
      </c>
      <c r="B473">
        <f t="shared" si="103"/>
        <v>0</v>
      </c>
      <c r="C473">
        <f t="shared" si="104"/>
        <v>0</v>
      </c>
      <c r="D473">
        <f t="shared" si="105"/>
        <v>0</v>
      </c>
      <c r="E473" t="e">
        <f t="shared" si="106"/>
        <v>#N/A</v>
      </c>
      <c r="F473">
        <f t="shared" si="107"/>
        <v>0</v>
      </c>
      <c r="G473">
        <f t="shared" si="108"/>
        <v>0</v>
      </c>
      <c r="H473">
        <f t="shared" si="109"/>
        <v>0</v>
      </c>
      <c r="I473">
        <f t="shared" si="110"/>
        <v>0</v>
      </c>
      <c r="J473">
        <f t="shared" si="111"/>
        <v>0</v>
      </c>
      <c r="K473" s="4" t="e">
        <f t="shared" si="100"/>
        <v>#N/A</v>
      </c>
      <c r="L473" t="e">
        <f t="shared" si="101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2"/>
        <v>0</v>
      </c>
      <c r="B474">
        <f t="shared" si="103"/>
        <v>0</v>
      </c>
      <c r="C474">
        <f t="shared" si="104"/>
        <v>0</v>
      </c>
      <c r="D474">
        <f t="shared" si="105"/>
        <v>0</v>
      </c>
      <c r="E474" t="e">
        <f t="shared" si="106"/>
        <v>#N/A</v>
      </c>
      <c r="F474">
        <f t="shared" si="107"/>
        <v>0</v>
      </c>
      <c r="G474">
        <f t="shared" si="108"/>
        <v>0</v>
      </c>
      <c r="H474">
        <f t="shared" si="109"/>
        <v>0</v>
      </c>
      <c r="I474">
        <f t="shared" si="110"/>
        <v>0</v>
      </c>
      <c r="J474">
        <f t="shared" si="111"/>
        <v>0</v>
      </c>
      <c r="K474" s="4" t="e">
        <f t="shared" si="100"/>
        <v>#N/A</v>
      </c>
      <c r="L474" t="e">
        <f t="shared" si="101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2"/>
        <v>0</v>
      </c>
      <c r="B475">
        <f t="shared" si="103"/>
        <v>0</v>
      </c>
      <c r="C475">
        <f t="shared" si="104"/>
        <v>0</v>
      </c>
      <c r="D475">
        <f t="shared" si="105"/>
        <v>0</v>
      </c>
      <c r="E475" t="e">
        <f t="shared" si="106"/>
        <v>#N/A</v>
      </c>
      <c r="F475">
        <f t="shared" si="107"/>
        <v>0</v>
      </c>
      <c r="G475">
        <f t="shared" si="108"/>
        <v>0</v>
      </c>
      <c r="H475">
        <f t="shared" si="109"/>
        <v>0</v>
      </c>
      <c r="I475">
        <f t="shared" si="110"/>
        <v>0</v>
      </c>
      <c r="J475">
        <f t="shared" si="111"/>
        <v>0</v>
      </c>
      <c r="K475" s="4" t="e">
        <f t="shared" si="100"/>
        <v>#N/A</v>
      </c>
      <c r="L475" t="e">
        <f t="shared" si="101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2"/>
        <v>0</v>
      </c>
      <c r="B476">
        <f t="shared" si="103"/>
        <v>0</v>
      </c>
      <c r="C476">
        <f t="shared" si="104"/>
        <v>0</v>
      </c>
      <c r="D476">
        <f t="shared" si="105"/>
        <v>0</v>
      </c>
      <c r="E476" t="e">
        <f t="shared" si="106"/>
        <v>#N/A</v>
      </c>
      <c r="F476">
        <f t="shared" si="107"/>
        <v>0</v>
      </c>
      <c r="G476">
        <f t="shared" si="108"/>
        <v>0</v>
      </c>
      <c r="H476">
        <f t="shared" si="109"/>
        <v>0</v>
      </c>
      <c r="I476">
        <f t="shared" si="110"/>
        <v>0</v>
      </c>
      <c r="J476">
        <f t="shared" si="111"/>
        <v>0</v>
      </c>
      <c r="K476" s="4" t="e">
        <f t="shared" si="100"/>
        <v>#N/A</v>
      </c>
      <c r="L476" t="e">
        <f t="shared" si="101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2"/>
        <v>0</v>
      </c>
      <c r="B477">
        <f t="shared" si="103"/>
        <v>0</v>
      </c>
      <c r="C477">
        <f t="shared" si="104"/>
        <v>0</v>
      </c>
      <c r="D477">
        <f t="shared" si="105"/>
        <v>0</v>
      </c>
      <c r="E477" t="e">
        <f t="shared" si="106"/>
        <v>#N/A</v>
      </c>
      <c r="F477">
        <f t="shared" si="107"/>
        <v>0</v>
      </c>
      <c r="G477">
        <f t="shared" si="108"/>
        <v>0</v>
      </c>
      <c r="H477">
        <f t="shared" si="109"/>
        <v>0</v>
      </c>
      <c r="I477">
        <f t="shared" si="110"/>
        <v>0</v>
      </c>
      <c r="J477">
        <f t="shared" si="111"/>
        <v>0</v>
      </c>
      <c r="K477" s="4" t="e">
        <f t="shared" si="100"/>
        <v>#N/A</v>
      </c>
      <c r="L477" t="e">
        <f t="shared" si="101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2"/>
        <v>0</v>
      </c>
      <c r="B478">
        <f t="shared" si="103"/>
        <v>0</v>
      </c>
      <c r="C478">
        <f t="shared" si="104"/>
        <v>0</v>
      </c>
      <c r="D478">
        <f t="shared" si="105"/>
        <v>0</v>
      </c>
      <c r="E478" t="e">
        <f t="shared" si="106"/>
        <v>#N/A</v>
      </c>
      <c r="F478">
        <f t="shared" si="107"/>
        <v>0</v>
      </c>
      <c r="G478">
        <f t="shared" si="108"/>
        <v>0</v>
      </c>
      <c r="H478">
        <f t="shared" si="109"/>
        <v>0</v>
      </c>
      <c r="I478">
        <f t="shared" si="110"/>
        <v>0</v>
      </c>
      <c r="J478">
        <f t="shared" si="111"/>
        <v>0</v>
      </c>
      <c r="K478" s="4" t="e">
        <f t="shared" si="100"/>
        <v>#N/A</v>
      </c>
      <c r="L478" t="e">
        <f t="shared" si="101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2"/>
        <v>0</v>
      </c>
      <c r="B479">
        <f t="shared" si="103"/>
        <v>0</v>
      </c>
      <c r="C479">
        <f t="shared" si="104"/>
        <v>0</v>
      </c>
      <c r="D479">
        <f t="shared" si="105"/>
        <v>0</v>
      </c>
      <c r="E479" t="e">
        <f t="shared" si="106"/>
        <v>#N/A</v>
      </c>
      <c r="F479">
        <f t="shared" si="107"/>
        <v>0</v>
      </c>
      <c r="G479">
        <f t="shared" si="108"/>
        <v>0</v>
      </c>
      <c r="H479">
        <f t="shared" si="109"/>
        <v>0</v>
      </c>
      <c r="I479">
        <f t="shared" si="110"/>
        <v>0</v>
      </c>
      <c r="J479">
        <f t="shared" si="111"/>
        <v>0</v>
      </c>
      <c r="K479" s="4" t="e">
        <f t="shared" si="100"/>
        <v>#N/A</v>
      </c>
      <c r="L479" t="e">
        <f t="shared" si="101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2"/>
        <v>0</v>
      </c>
      <c r="B480">
        <f t="shared" si="103"/>
        <v>0</v>
      </c>
      <c r="C480">
        <f t="shared" si="104"/>
        <v>0</v>
      </c>
      <c r="D480">
        <f t="shared" si="105"/>
        <v>0</v>
      </c>
      <c r="E480" t="e">
        <f t="shared" si="106"/>
        <v>#N/A</v>
      </c>
      <c r="F480">
        <f t="shared" si="107"/>
        <v>0</v>
      </c>
      <c r="G480">
        <f t="shared" si="108"/>
        <v>0</v>
      </c>
      <c r="H480">
        <f t="shared" si="109"/>
        <v>0</v>
      </c>
      <c r="I480">
        <f t="shared" si="110"/>
        <v>0</v>
      </c>
      <c r="J480">
        <f t="shared" si="111"/>
        <v>0</v>
      </c>
      <c r="K480" s="4" t="e">
        <f t="shared" si="100"/>
        <v>#N/A</v>
      </c>
      <c r="L480" t="e">
        <f t="shared" si="101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2"/>
        <v>0</v>
      </c>
      <c r="B481">
        <f t="shared" si="103"/>
        <v>0</v>
      </c>
      <c r="C481">
        <f t="shared" si="104"/>
        <v>0</v>
      </c>
      <c r="D481">
        <f t="shared" si="105"/>
        <v>0</v>
      </c>
      <c r="E481" t="e">
        <f t="shared" si="106"/>
        <v>#N/A</v>
      </c>
      <c r="F481">
        <f t="shared" si="107"/>
        <v>0</v>
      </c>
      <c r="G481">
        <f t="shared" si="108"/>
        <v>0</v>
      </c>
      <c r="H481">
        <f t="shared" si="109"/>
        <v>0</v>
      </c>
      <c r="I481">
        <f t="shared" si="110"/>
        <v>0</v>
      </c>
      <c r="J481">
        <f t="shared" si="111"/>
        <v>0</v>
      </c>
      <c r="K481" s="4" t="e">
        <f t="shared" si="100"/>
        <v>#N/A</v>
      </c>
      <c r="L481" t="e">
        <f t="shared" si="101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2"/>
        <v>0</v>
      </c>
      <c r="B482">
        <f t="shared" si="103"/>
        <v>0</v>
      </c>
      <c r="C482">
        <f t="shared" si="104"/>
        <v>0</v>
      </c>
      <c r="D482">
        <f t="shared" si="105"/>
        <v>0</v>
      </c>
      <c r="E482" t="e">
        <f t="shared" si="106"/>
        <v>#N/A</v>
      </c>
      <c r="F482">
        <f t="shared" si="107"/>
        <v>0</v>
      </c>
      <c r="G482">
        <f t="shared" si="108"/>
        <v>0</v>
      </c>
      <c r="H482">
        <f t="shared" si="109"/>
        <v>0</v>
      </c>
      <c r="I482">
        <f t="shared" si="110"/>
        <v>0</v>
      </c>
      <c r="J482">
        <f t="shared" si="111"/>
        <v>0</v>
      </c>
      <c r="K482" s="4" t="e">
        <f t="shared" si="100"/>
        <v>#N/A</v>
      </c>
      <c r="L482" t="e">
        <f t="shared" si="101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2"/>
        <v>0</v>
      </c>
      <c r="B483">
        <f t="shared" si="103"/>
        <v>0</v>
      </c>
      <c r="C483">
        <f t="shared" si="104"/>
        <v>0</v>
      </c>
      <c r="D483">
        <f t="shared" si="105"/>
        <v>0</v>
      </c>
      <c r="E483" t="e">
        <f t="shared" si="106"/>
        <v>#N/A</v>
      </c>
      <c r="F483">
        <f t="shared" si="107"/>
        <v>0</v>
      </c>
      <c r="G483">
        <f t="shared" si="108"/>
        <v>0</v>
      </c>
      <c r="H483">
        <f t="shared" si="109"/>
        <v>0</v>
      </c>
      <c r="I483">
        <f t="shared" si="110"/>
        <v>0</v>
      </c>
      <c r="J483">
        <f t="shared" si="111"/>
        <v>0</v>
      </c>
      <c r="K483" s="4" t="e">
        <f t="shared" si="100"/>
        <v>#N/A</v>
      </c>
      <c r="L483" t="e">
        <f t="shared" si="101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2"/>
        <v>0</v>
      </c>
      <c r="B484">
        <f t="shared" si="103"/>
        <v>0</v>
      </c>
      <c r="C484">
        <f t="shared" si="104"/>
        <v>0</v>
      </c>
      <c r="D484">
        <f t="shared" si="105"/>
        <v>0</v>
      </c>
      <c r="E484" t="e">
        <f t="shared" si="106"/>
        <v>#N/A</v>
      </c>
      <c r="F484">
        <f t="shared" si="107"/>
        <v>0</v>
      </c>
      <c r="G484">
        <f t="shared" si="108"/>
        <v>0</v>
      </c>
      <c r="H484">
        <f t="shared" si="109"/>
        <v>0</v>
      </c>
      <c r="I484">
        <f t="shared" si="110"/>
        <v>0</v>
      </c>
      <c r="J484">
        <f t="shared" si="111"/>
        <v>0</v>
      </c>
      <c r="K484" s="4" t="e">
        <f t="shared" si="100"/>
        <v>#N/A</v>
      </c>
      <c r="L484" t="e">
        <f t="shared" si="101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2"/>
        <v>0</v>
      </c>
      <c r="B485">
        <f t="shared" si="103"/>
        <v>0</v>
      </c>
      <c r="C485">
        <f t="shared" si="104"/>
        <v>0</v>
      </c>
      <c r="D485">
        <f t="shared" si="105"/>
        <v>0</v>
      </c>
      <c r="E485" t="e">
        <f t="shared" si="106"/>
        <v>#N/A</v>
      </c>
      <c r="F485">
        <f t="shared" si="107"/>
        <v>0</v>
      </c>
      <c r="G485">
        <f t="shared" si="108"/>
        <v>0</v>
      </c>
      <c r="H485">
        <f t="shared" si="109"/>
        <v>0</v>
      </c>
      <c r="I485">
        <f t="shared" si="110"/>
        <v>0</v>
      </c>
      <c r="J485">
        <f t="shared" si="111"/>
        <v>0</v>
      </c>
      <c r="K485" s="4" t="e">
        <f t="shared" si="100"/>
        <v>#N/A</v>
      </c>
      <c r="L485" t="e">
        <f t="shared" si="101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2"/>
        <v>0</v>
      </c>
      <c r="B486">
        <f t="shared" si="103"/>
        <v>0</v>
      </c>
      <c r="C486">
        <f t="shared" si="104"/>
        <v>0</v>
      </c>
      <c r="D486">
        <f t="shared" si="105"/>
        <v>0</v>
      </c>
      <c r="E486" t="e">
        <f t="shared" si="106"/>
        <v>#N/A</v>
      </c>
      <c r="F486">
        <f t="shared" si="107"/>
        <v>0</v>
      </c>
      <c r="G486">
        <f t="shared" si="108"/>
        <v>0</v>
      </c>
      <c r="H486">
        <f t="shared" si="109"/>
        <v>0</v>
      </c>
      <c r="I486">
        <f t="shared" si="110"/>
        <v>0</v>
      </c>
      <c r="J486">
        <f t="shared" si="111"/>
        <v>0</v>
      </c>
      <c r="K486" s="4" t="e">
        <f t="shared" si="100"/>
        <v>#N/A</v>
      </c>
      <c r="L486" t="e">
        <f t="shared" si="101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2"/>
        <v>0</v>
      </c>
      <c r="B487">
        <f t="shared" si="103"/>
        <v>0</v>
      </c>
      <c r="C487">
        <f t="shared" si="104"/>
        <v>0</v>
      </c>
      <c r="D487">
        <f t="shared" si="105"/>
        <v>0</v>
      </c>
      <c r="E487" t="e">
        <f t="shared" si="106"/>
        <v>#N/A</v>
      </c>
      <c r="F487">
        <f t="shared" si="107"/>
        <v>0</v>
      </c>
      <c r="G487">
        <f t="shared" si="108"/>
        <v>0</v>
      </c>
      <c r="H487">
        <f t="shared" si="109"/>
        <v>0</v>
      </c>
      <c r="I487">
        <f t="shared" si="110"/>
        <v>0</v>
      </c>
      <c r="J487">
        <f t="shared" si="111"/>
        <v>0</v>
      </c>
      <c r="K487" s="4" t="e">
        <f t="shared" si="100"/>
        <v>#N/A</v>
      </c>
      <c r="L487" t="e">
        <f t="shared" si="101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2"/>
        <v>0</v>
      </c>
      <c r="B488">
        <f t="shared" si="103"/>
        <v>0</v>
      </c>
      <c r="C488">
        <f t="shared" si="104"/>
        <v>0</v>
      </c>
      <c r="D488">
        <f t="shared" si="105"/>
        <v>0</v>
      </c>
      <c r="E488" t="e">
        <f t="shared" si="106"/>
        <v>#N/A</v>
      </c>
      <c r="F488">
        <f t="shared" si="107"/>
        <v>0</v>
      </c>
      <c r="G488">
        <f t="shared" si="108"/>
        <v>0</v>
      </c>
      <c r="H488">
        <f t="shared" si="109"/>
        <v>0</v>
      </c>
      <c r="I488">
        <f t="shared" si="110"/>
        <v>0</v>
      </c>
      <c r="J488">
        <f t="shared" si="111"/>
        <v>0</v>
      </c>
      <c r="K488" s="4" t="e">
        <f t="shared" si="100"/>
        <v>#N/A</v>
      </c>
      <c r="L488" t="e">
        <f t="shared" si="101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2"/>
        <v>0</v>
      </c>
      <c r="B489">
        <f t="shared" si="103"/>
        <v>0</v>
      </c>
      <c r="C489">
        <f t="shared" si="104"/>
        <v>0</v>
      </c>
      <c r="D489">
        <f t="shared" si="105"/>
        <v>0</v>
      </c>
      <c r="E489" t="e">
        <f t="shared" si="106"/>
        <v>#N/A</v>
      </c>
      <c r="F489">
        <f t="shared" si="107"/>
        <v>0</v>
      </c>
      <c r="G489">
        <f t="shared" si="108"/>
        <v>0</v>
      </c>
      <c r="H489">
        <f t="shared" si="109"/>
        <v>0</v>
      </c>
      <c r="I489">
        <f t="shared" si="110"/>
        <v>0</v>
      </c>
      <c r="J489">
        <f t="shared" si="111"/>
        <v>0</v>
      </c>
      <c r="K489" s="4" t="e">
        <f t="shared" si="100"/>
        <v>#N/A</v>
      </c>
      <c r="L489" t="e">
        <f t="shared" si="101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2"/>
        <v>0</v>
      </c>
      <c r="B490">
        <f t="shared" si="103"/>
        <v>0</v>
      </c>
      <c r="C490">
        <f t="shared" si="104"/>
        <v>0</v>
      </c>
      <c r="D490">
        <f t="shared" si="105"/>
        <v>0</v>
      </c>
      <c r="E490" t="e">
        <f t="shared" si="106"/>
        <v>#N/A</v>
      </c>
      <c r="F490">
        <f t="shared" si="107"/>
        <v>0</v>
      </c>
      <c r="G490">
        <f t="shared" si="108"/>
        <v>0</v>
      </c>
      <c r="H490">
        <f t="shared" si="109"/>
        <v>0</v>
      </c>
      <c r="I490">
        <f t="shared" si="110"/>
        <v>0</v>
      </c>
      <c r="J490">
        <f t="shared" si="111"/>
        <v>0</v>
      </c>
      <c r="K490" s="4" t="e">
        <f t="shared" si="100"/>
        <v>#N/A</v>
      </c>
      <c r="L490" t="e">
        <f t="shared" si="101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2"/>
        <v>0</v>
      </c>
      <c r="B491">
        <f t="shared" si="103"/>
        <v>0</v>
      </c>
      <c r="C491">
        <f t="shared" si="104"/>
        <v>0</v>
      </c>
      <c r="D491">
        <f t="shared" si="105"/>
        <v>0</v>
      </c>
      <c r="E491" t="e">
        <f t="shared" si="106"/>
        <v>#N/A</v>
      </c>
      <c r="F491">
        <f t="shared" si="107"/>
        <v>0</v>
      </c>
      <c r="G491">
        <f t="shared" si="108"/>
        <v>0</v>
      </c>
      <c r="H491">
        <f t="shared" si="109"/>
        <v>0</v>
      </c>
      <c r="I491">
        <f t="shared" si="110"/>
        <v>0</v>
      </c>
      <c r="J491">
        <f t="shared" si="111"/>
        <v>0</v>
      </c>
      <c r="K491" s="4" t="e">
        <f t="shared" si="100"/>
        <v>#N/A</v>
      </c>
      <c r="L491" t="e">
        <f t="shared" si="101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2"/>
        <v>0</v>
      </c>
      <c r="B492">
        <f t="shared" si="103"/>
        <v>0</v>
      </c>
      <c r="C492">
        <f t="shared" si="104"/>
        <v>0</v>
      </c>
      <c r="D492">
        <f t="shared" si="105"/>
        <v>0</v>
      </c>
      <c r="E492" t="e">
        <f t="shared" si="106"/>
        <v>#N/A</v>
      </c>
      <c r="F492">
        <f t="shared" si="107"/>
        <v>0</v>
      </c>
      <c r="G492">
        <f t="shared" si="108"/>
        <v>0</v>
      </c>
      <c r="H492">
        <f t="shared" si="109"/>
        <v>0</v>
      </c>
      <c r="I492">
        <f t="shared" si="110"/>
        <v>0</v>
      </c>
      <c r="J492">
        <f t="shared" si="111"/>
        <v>0</v>
      </c>
      <c r="K492" s="4" t="e">
        <f t="shared" ref="K492:K555" si="114">IF(LEFT(B492,3)="DBM",0,VLOOKUP(E492,tabela,2,FALSE))</f>
        <v>#N/A</v>
      </c>
      <c r="L492" t="e">
        <f t="shared" ref="L492:L555" si="115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2"/>
        <v>0</v>
      </c>
      <c r="B493">
        <f t="shared" si="103"/>
        <v>0</v>
      </c>
      <c r="C493">
        <f t="shared" si="104"/>
        <v>0</v>
      </c>
      <c r="D493">
        <f t="shared" si="105"/>
        <v>0</v>
      </c>
      <c r="E493" t="e">
        <f t="shared" si="106"/>
        <v>#N/A</v>
      </c>
      <c r="F493">
        <f t="shared" si="107"/>
        <v>0</v>
      </c>
      <c r="G493">
        <f t="shared" si="108"/>
        <v>0</v>
      </c>
      <c r="H493">
        <f t="shared" si="109"/>
        <v>0</v>
      </c>
      <c r="I493">
        <f t="shared" si="110"/>
        <v>0</v>
      </c>
      <c r="J493">
        <f t="shared" si="111"/>
        <v>0</v>
      </c>
      <c r="K493" s="4" t="e">
        <f t="shared" si="114"/>
        <v>#N/A</v>
      </c>
      <c r="L493" t="e">
        <f t="shared" si="115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2"/>
        <v>0</v>
      </c>
      <c r="B494">
        <f t="shared" si="103"/>
        <v>0</v>
      </c>
      <c r="C494">
        <f t="shared" si="104"/>
        <v>0</v>
      </c>
      <c r="D494">
        <f t="shared" si="105"/>
        <v>0</v>
      </c>
      <c r="E494" t="e">
        <f t="shared" si="106"/>
        <v>#N/A</v>
      </c>
      <c r="F494">
        <f t="shared" si="107"/>
        <v>0</v>
      </c>
      <c r="G494">
        <f t="shared" si="108"/>
        <v>0</v>
      </c>
      <c r="H494">
        <f t="shared" si="109"/>
        <v>0</v>
      </c>
      <c r="I494">
        <f t="shared" si="110"/>
        <v>0</v>
      </c>
      <c r="J494">
        <f t="shared" si="111"/>
        <v>0</v>
      </c>
      <c r="K494" s="4" t="e">
        <f t="shared" si="114"/>
        <v>#N/A</v>
      </c>
      <c r="L494" t="e">
        <f t="shared" si="115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2"/>
        <v>0</v>
      </c>
      <c r="B495">
        <f t="shared" si="103"/>
        <v>0</v>
      </c>
      <c r="C495">
        <f t="shared" si="104"/>
        <v>0</v>
      </c>
      <c r="D495">
        <f t="shared" si="105"/>
        <v>0</v>
      </c>
      <c r="E495" t="e">
        <f t="shared" si="106"/>
        <v>#N/A</v>
      </c>
      <c r="F495">
        <f t="shared" si="107"/>
        <v>0</v>
      </c>
      <c r="G495">
        <f t="shared" si="108"/>
        <v>0</v>
      </c>
      <c r="H495">
        <f t="shared" si="109"/>
        <v>0</v>
      </c>
      <c r="I495">
        <f t="shared" si="110"/>
        <v>0</v>
      </c>
      <c r="J495">
        <f t="shared" si="111"/>
        <v>0</v>
      </c>
      <c r="K495" s="4" t="e">
        <f t="shared" si="114"/>
        <v>#N/A</v>
      </c>
      <c r="L495" t="e">
        <f t="shared" si="115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2"/>
        <v>0</v>
      </c>
      <c r="B496">
        <f t="shared" si="103"/>
        <v>0</v>
      </c>
      <c r="C496">
        <f t="shared" si="104"/>
        <v>0</v>
      </c>
      <c r="D496">
        <f t="shared" si="105"/>
        <v>0</v>
      </c>
      <c r="E496" t="e">
        <f t="shared" si="106"/>
        <v>#N/A</v>
      </c>
      <c r="F496">
        <f t="shared" si="107"/>
        <v>0</v>
      </c>
      <c r="G496">
        <f t="shared" si="108"/>
        <v>0</v>
      </c>
      <c r="H496">
        <f t="shared" si="109"/>
        <v>0</v>
      </c>
      <c r="I496">
        <f t="shared" si="110"/>
        <v>0</v>
      </c>
      <c r="J496">
        <f t="shared" si="111"/>
        <v>0</v>
      </c>
      <c r="K496" s="4" t="e">
        <f t="shared" si="114"/>
        <v>#N/A</v>
      </c>
      <c r="L496" t="e">
        <f t="shared" si="115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2"/>
        <v>0</v>
      </c>
      <c r="B497">
        <f t="shared" si="103"/>
        <v>0</v>
      </c>
      <c r="C497">
        <f t="shared" si="104"/>
        <v>0</v>
      </c>
      <c r="D497">
        <f t="shared" si="105"/>
        <v>0</v>
      </c>
      <c r="E497" t="e">
        <f t="shared" si="106"/>
        <v>#N/A</v>
      </c>
      <c r="F497">
        <f t="shared" si="107"/>
        <v>0</v>
      </c>
      <c r="G497">
        <f t="shared" si="108"/>
        <v>0</v>
      </c>
      <c r="H497">
        <f t="shared" si="109"/>
        <v>0</v>
      </c>
      <c r="I497">
        <f t="shared" si="110"/>
        <v>0</v>
      </c>
      <c r="J497">
        <f t="shared" si="111"/>
        <v>0</v>
      </c>
      <c r="K497" s="4" t="e">
        <f t="shared" si="114"/>
        <v>#N/A</v>
      </c>
      <c r="L497" t="e">
        <f t="shared" si="115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2"/>
        <v>0</v>
      </c>
      <c r="B498">
        <f t="shared" si="103"/>
        <v>0</v>
      </c>
      <c r="C498">
        <f t="shared" si="104"/>
        <v>0</v>
      </c>
      <c r="D498">
        <f t="shared" si="105"/>
        <v>0</v>
      </c>
      <c r="E498" t="e">
        <f t="shared" si="106"/>
        <v>#N/A</v>
      </c>
      <c r="F498">
        <f t="shared" si="107"/>
        <v>0</v>
      </c>
      <c r="G498">
        <f t="shared" si="108"/>
        <v>0</v>
      </c>
      <c r="H498">
        <f t="shared" si="109"/>
        <v>0</v>
      </c>
      <c r="I498">
        <f t="shared" si="110"/>
        <v>0</v>
      </c>
      <c r="J498">
        <f t="shared" si="111"/>
        <v>0</v>
      </c>
      <c r="K498" s="4" t="e">
        <f t="shared" si="114"/>
        <v>#N/A</v>
      </c>
      <c r="L498" t="e">
        <f t="shared" si="115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2"/>
        <v>0</v>
      </c>
      <c r="B499">
        <f t="shared" si="103"/>
        <v>0</v>
      </c>
      <c r="C499">
        <f t="shared" si="104"/>
        <v>0</v>
      </c>
      <c r="D499">
        <f t="shared" si="105"/>
        <v>0</v>
      </c>
      <c r="E499" t="e">
        <f t="shared" si="106"/>
        <v>#N/A</v>
      </c>
      <c r="F499">
        <f t="shared" si="107"/>
        <v>0</v>
      </c>
      <c r="G499">
        <f t="shared" si="108"/>
        <v>0</v>
      </c>
      <c r="H499">
        <f t="shared" si="109"/>
        <v>0</v>
      </c>
      <c r="I499">
        <f t="shared" si="110"/>
        <v>0</v>
      </c>
      <c r="J499">
        <f t="shared" si="111"/>
        <v>0</v>
      </c>
      <c r="K499" s="4" t="e">
        <f t="shared" si="114"/>
        <v>#N/A</v>
      </c>
      <c r="L499" t="e">
        <f t="shared" si="115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2"/>
        <v>0</v>
      </c>
      <c r="B500">
        <f t="shared" si="103"/>
        <v>0</v>
      </c>
      <c r="C500">
        <f t="shared" si="104"/>
        <v>0</v>
      </c>
      <c r="D500">
        <f t="shared" si="105"/>
        <v>0</v>
      </c>
      <c r="E500" t="e">
        <f t="shared" si="106"/>
        <v>#N/A</v>
      </c>
      <c r="F500">
        <f t="shared" si="107"/>
        <v>0</v>
      </c>
      <c r="G500">
        <f t="shared" si="108"/>
        <v>0</v>
      </c>
      <c r="H500">
        <f t="shared" si="109"/>
        <v>0</v>
      </c>
      <c r="I500">
        <f t="shared" si="110"/>
        <v>0</v>
      </c>
      <c r="J500">
        <f t="shared" si="111"/>
        <v>0</v>
      </c>
      <c r="K500" s="4" t="e">
        <f t="shared" si="114"/>
        <v>#N/A</v>
      </c>
      <c r="L500" t="e">
        <f t="shared" si="115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2"/>
        <v>0</v>
      </c>
      <c r="B501">
        <f t="shared" si="103"/>
        <v>0</v>
      </c>
      <c r="C501">
        <f t="shared" si="104"/>
        <v>0</v>
      </c>
      <c r="D501">
        <f t="shared" si="105"/>
        <v>0</v>
      </c>
      <c r="E501" t="e">
        <f t="shared" si="106"/>
        <v>#N/A</v>
      </c>
      <c r="F501">
        <f t="shared" si="107"/>
        <v>0</v>
      </c>
      <c r="G501">
        <f t="shared" si="108"/>
        <v>0</v>
      </c>
      <c r="H501">
        <f t="shared" si="109"/>
        <v>0</v>
      </c>
      <c r="I501">
        <f t="shared" si="110"/>
        <v>0</v>
      </c>
      <c r="J501">
        <f t="shared" si="111"/>
        <v>0</v>
      </c>
      <c r="K501" s="4" t="e">
        <f t="shared" si="114"/>
        <v>#N/A</v>
      </c>
      <c r="L501" t="e">
        <f t="shared" si="115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2"/>
        <v>0</v>
      </c>
      <c r="B502">
        <f t="shared" si="103"/>
        <v>0</v>
      </c>
      <c r="C502">
        <f t="shared" si="104"/>
        <v>0</v>
      </c>
      <c r="D502">
        <f t="shared" si="105"/>
        <v>0</v>
      </c>
      <c r="E502" t="e">
        <f t="shared" si="106"/>
        <v>#N/A</v>
      </c>
      <c r="F502">
        <f t="shared" si="107"/>
        <v>0</v>
      </c>
      <c r="G502">
        <f t="shared" si="108"/>
        <v>0</v>
      </c>
      <c r="H502">
        <f t="shared" si="109"/>
        <v>0</v>
      </c>
      <c r="I502">
        <f t="shared" si="110"/>
        <v>0</v>
      </c>
      <c r="J502">
        <f t="shared" si="111"/>
        <v>0</v>
      </c>
      <c r="K502" s="4" t="e">
        <f t="shared" si="114"/>
        <v>#N/A</v>
      </c>
      <c r="L502" t="e">
        <f t="shared" si="115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2"/>
        <v>0</v>
      </c>
      <c r="B503">
        <f t="shared" si="103"/>
        <v>0</v>
      </c>
      <c r="C503">
        <f t="shared" si="104"/>
        <v>0</v>
      </c>
      <c r="D503">
        <f t="shared" si="105"/>
        <v>0</v>
      </c>
      <c r="E503" t="e">
        <f t="shared" si="106"/>
        <v>#N/A</v>
      </c>
      <c r="F503">
        <f t="shared" si="107"/>
        <v>0</v>
      </c>
      <c r="G503">
        <f t="shared" si="108"/>
        <v>0</v>
      </c>
      <c r="H503">
        <f t="shared" si="109"/>
        <v>0</v>
      </c>
      <c r="I503">
        <f t="shared" si="110"/>
        <v>0</v>
      </c>
      <c r="J503">
        <f t="shared" si="111"/>
        <v>0</v>
      </c>
      <c r="K503" s="4" t="e">
        <f t="shared" si="114"/>
        <v>#N/A</v>
      </c>
      <c r="L503" t="e">
        <f t="shared" si="115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2"/>
        <v>0</v>
      </c>
      <c r="B504">
        <f t="shared" si="103"/>
        <v>0</v>
      </c>
      <c r="C504">
        <f t="shared" si="104"/>
        <v>0</v>
      </c>
      <c r="D504">
        <f t="shared" si="105"/>
        <v>0</v>
      </c>
      <c r="E504" t="e">
        <f t="shared" si="106"/>
        <v>#N/A</v>
      </c>
      <c r="F504">
        <f t="shared" si="107"/>
        <v>0</v>
      </c>
      <c r="G504">
        <f t="shared" si="108"/>
        <v>0</v>
      </c>
      <c r="H504">
        <f t="shared" si="109"/>
        <v>0</v>
      </c>
      <c r="I504">
        <f t="shared" si="110"/>
        <v>0</v>
      </c>
      <c r="J504">
        <f t="shared" si="111"/>
        <v>0</v>
      </c>
      <c r="K504" s="4" t="e">
        <f t="shared" si="114"/>
        <v>#N/A</v>
      </c>
      <c r="L504" t="e">
        <f t="shared" si="115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2"/>
        <v>0</v>
      </c>
      <c r="B505">
        <f t="shared" si="103"/>
        <v>0</v>
      </c>
      <c r="C505">
        <f t="shared" si="104"/>
        <v>0</v>
      </c>
      <c r="D505">
        <f t="shared" si="105"/>
        <v>0</v>
      </c>
      <c r="E505" t="e">
        <f t="shared" si="106"/>
        <v>#N/A</v>
      </c>
      <c r="F505">
        <f t="shared" si="107"/>
        <v>0</v>
      </c>
      <c r="G505">
        <f t="shared" si="108"/>
        <v>0</v>
      </c>
      <c r="H505">
        <f t="shared" si="109"/>
        <v>0</v>
      </c>
      <c r="I505">
        <f t="shared" si="110"/>
        <v>0</v>
      </c>
      <c r="J505">
        <f t="shared" si="111"/>
        <v>0</v>
      </c>
      <c r="K505" s="4" t="e">
        <f t="shared" si="114"/>
        <v>#N/A</v>
      </c>
      <c r="L505" t="e">
        <f t="shared" si="115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2"/>
        <v>0</v>
      </c>
      <c r="B506">
        <f t="shared" si="103"/>
        <v>0</v>
      </c>
      <c r="C506">
        <f t="shared" si="104"/>
        <v>0</v>
      </c>
      <c r="D506">
        <f t="shared" si="105"/>
        <v>0</v>
      </c>
      <c r="E506" t="e">
        <f t="shared" si="106"/>
        <v>#N/A</v>
      </c>
      <c r="F506">
        <f t="shared" si="107"/>
        <v>0</v>
      </c>
      <c r="G506">
        <f t="shared" si="108"/>
        <v>0</v>
      </c>
      <c r="H506">
        <f t="shared" si="109"/>
        <v>0</v>
      </c>
      <c r="I506">
        <f t="shared" si="110"/>
        <v>0</v>
      </c>
      <c r="J506">
        <f t="shared" si="111"/>
        <v>0</v>
      </c>
      <c r="K506" s="4" t="e">
        <f t="shared" si="114"/>
        <v>#N/A</v>
      </c>
      <c r="L506" t="e">
        <f t="shared" si="115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2"/>
        <v>0</v>
      </c>
      <c r="B507">
        <f t="shared" si="103"/>
        <v>0</v>
      </c>
      <c r="C507">
        <f t="shared" si="104"/>
        <v>0</v>
      </c>
      <c r="D507">
        <f t="shared" si="105"/>
        <v>0</v>
      </c>
      <c r="E507" t="e">
        <f t="shared" si="106"/>
        <v>#N/A</v>
      </c>
      <c r="F507">
        <f t="shared" si="107"/>
        <v>0</v>
      </c>
      <c r="G507">
        <f t="shared" si="108"/>
        <v>0</v>
      </c>
      <c r="H507">
        <f t="shared" si="109"/>
        <v>0</v>
      </c>
      <c r="I507">
        <f t="shared" si="110"/>
        <v>0</v>
      </c>
      <c r="J507">
        <f t="shared" si="111"/>
        <v>0</v>
      </c>
      <c r="K507" s="4" t="e">
        <f t="shared" si="114"/>
        <v>#N/A</v>
      </c>
      <c r="L507" t="e">
        <f t="shared" si="115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2"/>
        <v>0</v>
      </c>
      <c r="B508">
        <f t="shared" si="103"/>
        <v>0</v>
      </c>
      <c r="C508">
        <f t="shared" si="104"/>
        <v>0</v>
      </c>
      <c r="D508">
        <f t="shared" si="105"/>
        <v>0</v>
      </c>
      <c r="E508" t="e">
        <f t="shared" si="106"/>
        <v>#N/A</v>
      </c>
      <c r="F508">
        <f t="shared" si="107"/>
        <v>0</v>
      </c>
      <c r="G508">
        <f t="shared" si="108"/>
        <v>0</v>
      </c>
      <c r="H508">
        <f t="shared" si="109"/>
        <v>0</v>
      </c>
      <c r="I508">
        <f t="shared" si="110"/>
        <v>0</v>
      </c>
      <c r="J508">
        <f t="shared" si="111"/>
        <v>0</v>
      </c>
      <c r="K508" s="4" t="e">
        <f t="shared" si="114"/>
        <v>#N/A</v>
      </c>
      <c r="L508" t="e">
        <f t="shared" si="115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2"/>
        <v>0</v>
      </c>
      <c r="B509">
        <f t="shared" si="103"/>
        <v>0</v>
      </c>
      <c r="C509">
        <f t="shared" si="104"/>
        <v>0</v>
      </c>
      <c r="D509">
        <f t="shared" si="105"/>
        <v>0</v>
      </c>
      <c r="E509" t="e">
        <f t="shared" si="106"/>
        <v>#N/A</v>
      </c>
      <c r="F509">
        <f t="shared" si="107"/>
        <v>0</v>
      </c>
      <c r="G509">
        <f t="shared" si="108"/>
        <v>0</v>
      </c>
      <c r="H509">
        <f t="shared" si="109"/>
        <v>0</v>
      </c>
      <c r="I509">
        <f t="shared" si="110"/>
        <v>0</v>
      </c>
      <c r="J509">
        <f t="shared" si="111"/>
        <v>0</v>
      </c>
      <c r="K509" s="4" t="e">
        <f t="shared" si="114"/>
        <v>#N/A</v>
      </c>
      <c r="L509" t="e">
        <f t="shared" si="115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2"/>
        <v>0</v>
      </c>
      <c r="B510">
        <f t="shared" si="103"/>
        <v>0</v>
      </c>
      <c r="C510">
        <f t="shared" si="104"/>
        <v>0</v>
      </c>
      <c r="D510">
        <f t="shared" si="105"/>
        <v>0</v>
      </c>
      <c r="E510" t="e">
        <f t="shared" si="106"/>
        <v>#N/A</v>
      </c>
      <c r="F510">
        <f t="shared" si="107"/>
        <v>0</v>
      </c>
      <c r="G510">
        <f t="shared" si="108"/>
        <v>0</v>
      </c>
      <c r="H510">
        <f t="shared" si="109"/>
        <v>0</v>
      </c>
      <c r="I510">
        <f t="shared" si="110"/>
        <v>0</v>
      </c>
      <c r="J510">
        <f t="shared" si="111"/>
        <v>0</v>
      </c>
      <c r="K510" s="4" t="e">
        <f t="shared" si="114"/>
        <v>#N/A</v>
      </c>
      <c r="L510" t="e">
        <f t="shared" si="115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2"/>
        <v>0</v>
      </c>
      <c r="B511">
        <f t="shared" si="103"/>
        <v>0</v>
      </c>
      <c r="C511">
        <f t="shared" si="104"/>
        <v>0</v>
      </c>
      <c r="D511">
        <f t="shared" si="105"/>
        <v>0</v>
      </c>
      <c r="E511" t="e">
        <f t="shared" si="106"/>
        <v>#N/A</v>
      </c>
      <c r="F511">
        <f t="shared" si="107"/>
        <v>0</v>
      </c>
      <c r="G511">
        <f t="shared" si="108"/>
        <v>0</v>
      </c>
      <c r="H511">
        <f t="shared" si="109"/>
        <v>0</v>
      </c>
      <c r="I511">
        <f t="shared" si="110"/>
        <v>0</v>
      </c>
      <c r="J511">
        <f t="shared" si="111"/>
        <v>0</v>
      </c>
      <c r="K511" s="4" t="e">
        <f t="shared" si="114"/>
        <v>#N/A</v>
      </c>
      <c r="L511" t="e">
        <f t="shared" si="115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2"/>
        <v>0</v>
      </c>
      <c r="B512">
        <f t="shared" si="103"/>
        <v>0</v>
      </c>
      <c r="C512">
        <f t="shared" si="104"/>
        <v>0</v>
      </c>
      <c r="D512">
        <f t="shared" si="105"/>
        <v>0</v>
      </c>
      <c r="E512" t="e">
        <f t="shared" si="106"/>
        <v>#N/A</v>
      </c>
      <c r="F512">
        <f t="shared" si="107"/>
        <v>0</v>
      </c>
      <c r="G512">
        <f t="shared" si="108"/>
        <v>0</v>
      </c>
      <c r="H512">
        <f t="shared" si="109"/>
        <v>0</v>
      </c>
      <c r="I512">
        <f t="shared" si="110"/>
        <v>0</v>
      </c>
      <c r="J512">
        <f t="shared" si="111"/>
        <v>0</v>
      </c>
      <c r="K512" s="4" t="e">
        <f t="shared" si="114"/>
        <v>#N/A</v>
      </c>
      <c r="L512" t="e">
        <f t="shared" si="115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2"/>
        <v>0</v>
      </c>
      <c r="B513">
        <f t="shared" si="103"/>
        <v>0</v>
      </c>
      <c r="C513">
        <f t="shared" si="104"/>
        <v>0</v>
      </c>
      <c r="D513">
        <f t="shared" si="105"/>
        <v>0</v>
      </c>
      <c r="E513" t="e">
        <f t="shared" si="106"/>
        <v>#N/A</v>
      </c>
      <c r="F513">
        <f t="shared" si="107"/>
        <v>0</v>
      </c>
      <c r="G513">
        <f t="shared" si="108"/>
        <v>0</v>
      </c>
      <c r="H513">
        <f t="shared" si="109"/>
        <v>0</v>
      </c>
      <c r="I513">
        <f t="shared" si="110"/>
        <v>0</v>
      </c>
      <c r="J513">
        <f t="shared" si="111"/>
        <v>0</v>
      </c>
      <c r="K513" s="4" t="e">
        <f t="shared" si="114"/>
        <v>#N/A</v>
      </c>
      <c r="L513" t="e">
        <f t="shared" si="115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6">bd_campaign</f>
        <v>0</v>
      </c>
      <c r="B514">
        <f t="shared" ref="B514:B577" si="117">bd_site</f>
        <v>0</v>
      </c>
      <c r="C514">
        <f t="shared" ref="C514:C577" si="118">bd_placement</f>
        <v>0</v>
      </c>
      <c r="D514">
        <f t="shared" ref="D514:D577" si="119">bd_placementID</f>
        <v>0</v>
      </c>
      <c r="E514" t="e">
        <f t="shared" ref="E514:E577" si="120">VLOOKUP(CONCATENATE(bd_adtype,"_",bd_creativetype),tabela,2,FALSE)</f>
        <v>#N/A</v>
      </c>
      <c r="F514">
        <f t="shared" ref="F514:F577" si="121">bd_ad</f>
        <v>0</v>
      </c>
      <c r="G514">
        <f t="shared" ref="G514:G577" si="122">bd_adid</f>
        <v>0</v>
      </c>
      <c r="H514">
        <f t="shared" ref="H514:H577" si="123">bd_creativetype</f>
        <v>0</v>
      </c>
      <c r="I514">
        <f t="shared" ref="I514:I577" si="124">bd_impression</f>
        <v>0</v>
      </c>
      <c r="J514">
        <f t="shared" ref="J514:J577" si="125">bd_clicks</f>
        <v>0</v>
      </c>
      <c r="K514" s="4" t="e">
        <f t="shared" si="114"/>
        <v>#N/A</v>
      </c>
      <c r="L514" t="e">
        <f t="shared" si="115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6"/>
        <v>0</v>
      </c>
      <c r="B515">
        <f t="shared" si="117"/>
        <v>0</v>
      </c>
      <c r="C515">
        <f t="shared" si="118"/>
        <v>0</v>
      </c>
      <c r="D515">
        <f t="shared" si="119"/>
        <v>0</v>
      </c>
      <c r="E515" t="e">
        <f t="shared" si="120"/>
        <v>#N/A</v>
      </c>
      <c r="F515">
        <f t="shared" si="121"/>
        <v>0</v>
      </c>
      <c r="G515">
        <f t="shared" si="122"/>
        <v>0</v>
      </c>
      <c r="H515">
        <f t="shared" si="123"/>
        <v>0</v>
      </c>
      <c r="I515">
        <f t="shared" si="124"/>
        <v>0</v>
      </c>
      <c r="J515">
        <f t="shared" si="125"/>
        <v>0</v>
      </c>
      <c r="K515" s="4" t="e">
        <f t="shared" si="114"/>
        <v>#N/A</v>
      </c>
      <c r="L515" t="e">
        <f t="shared" si="115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6"/>
        <v>0</v>
      </c>
      <c r="B516">
        <f t="shared" si="117"/>
        <v>0</v>
      </c>
      <c r="C516">
        <f t="shared" si="118"/>
        <v>0</v>
      </c>
      <c r="D516">
        <f t="shared" si="119"/>
        <v>0</v>
      </c>
      <c r="E516" t="e">
        <f t="shared" si="120"/>
        <v>#N/A</v>
      </c>
      <c r="F516">
        <f t="shared" si="121"/>
        <v>0</v>
      </c>
      <c r="G516">
        <f t="shared" si="122"/>
        <v>0</v>
      </c>
      <c r="H516">
        <f t="shared" si="123"/>
        <v>0</v>
      </c>
      <c r="I516">
        <f t="shared" si="124"/>
        <v>0</v>
      </c>
      <c r="J516">
        <f t="shared" si="125"/>
        <v>0</v>
      </c>
      <c r="K516" s="4" t="e">
        <f t="shared" si="114"/>
        <v>#N/A</v>
      </c>
      <c r="L516" t="e">
        <f t="shared" si="115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6"/>
        <v>0</v>
      </c>
      <c r="B517">
        <f t="shared" si="117"/>
        <v>0</v>
      </c>
      <c r="C517">
        <f t="shared" si="118"/>
        <v>0</v>
      </c>
      <c r="D517">
        <f t="shared" si="119"/>
        <v>0</v>
      </c>
      <c r="E517" t="e">
        <f t="shared" si="120"/>
        <v>#N/A</v>
      </c>
      <c r="F517">
        <f t="shared" si="121"/>
        <v>0</v>
      </c>
      <c r="G517">
        <f t="shared" si="122"/>
        <v>0</v>
      </c>
      <c r="H517">
        <f t="shared" si="123"/>
        <v>0</v>
      </c>
      <c r="I517">
        <f t="shared" si="124"/>
        <v>0</v>
      </c>
      <c r="J517">
        <f t="shared" si="125"/>
        <v>0</v>
      </c>
      <c r="K517" s="4" t="e">
        <f t="shared" si="114"/>
        <v>#N/A</v>
      </c>
      <c r="L517" t="e">
        <f t="shared" si="115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6"/>
        <v>0</v>
      </c>
      <c r="B518">
        <f t="shared" si="117"/>
        <v>0</v>
      </c>
      <c r="C518">
        <f t="shared" si="118"/>
        <v>0</v>
      </c>
      <c r="D518">
        <f t="shared" si="119"/>
        <v>0</v>
      </c>
      <c r="E518" t="e">
        <f t="shared" si="120"/>
        <v>#N/A</v>
      </c>
      <c r="F518">
        <f t="shared" si="121"/>
        <v>0</v>
      </c>
      <c r="G518">
        <f t="shared" si="122"/>
        <v>0</v>
      </c>
      <c r="H518">
        <f t="shared" si="123"/>
        <v>0</v>
      </c>
      <c r="I518">
        <f t="shared" si="124"/>
        <v>0</v>
      </c>
      <c r="J518">
        <f t="shared" si="125"/>
        <v>0</v>
      </c>
      <c r="K518" s="4" t="e">
        <f t="shared" si="114"/>
        <v>#N/A</v>
      </c>
      <c r="L518" t="e">
        <f t="shared" si="115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6"/>
        <v>0</v>
      </c>
      <c r="B519">
        <f t="shared" si="117"/>
        <v>0</v>
      </c>
      <c r="C519">
        <f t="shared" si="118"/>
        <v>0</v>
      </c>
      <c r="D519">
        <f t="shared" si="119"/>
        <v>0</v>
      </c>
      <c r="E519" t="e">
        <f t="shared" si="120"/>
        <v>#N/A</v>
      </c>
      <c r="F519">
        <f t="shared" si="121"/>
        <v>0</v>
      </c>
      <c r="G519">
        <f t="shared" si="122"/>
        <v>0</v>
      </c>
      <c r="H519">
        <f t="shared" si="123"/>
        <v>0</v>
      </c>
      <c r="I519">
        <f t="shared" si="124"/>
        <v>0</v>
      </c>
      <c r="J519">
        <f t="shared" si="125"/>
        <v>0</v>
      </c>
      <c r="K519" s="4" t="e">
        <f t="shared" si="114"/>
        <v>#N/A</v>
      </c>
      <c r="L519" t="e">
        <f t="shared" si="115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6"/>
        <v>0</v>
      </c>
      <c r="B520">
        <f t="shared" si="117"/>
        <v>0</v>
      </c>
      <c r="C520">
        <f t="shared" si="118"/>
        <v>0</v>
      </c>
      <c r="D520">
        <f t="shared" si="119"/>
        <v>0</v>
      </c>
      <c r="E520" t="e">
        <f t="shared" si="120"/>
        <v>#N/A</v>
      </c>
      <c r="F520">
        <f t="shared" si="121"/>
        <v>0</v>
      </c>
      <c r="G520">
        <f t="shared" si="122"/>
        <v>0</v>
      </c>
      <c r="H520">
        <f t="shared" si="123"/>
        <v>0</v>
      </c>
      <c r="I520">
        <f t="shared" si="124"/>
        <v>0</v>
      </c>
      <c r="J520">
        <f t="shared" si="125"/>
        <v>0</v>
      </c>
      <c r="K520" s="4" t="e">
        <f t="shared" si="114"/>
        <v>#N/A</v>
      </c>
      <c r="L520" t="e">
        <f t="shared" si="115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6"/>
        <v>0</v>
      </c>
      <c r="B521">
        <f t="shared" si="117"/>
        <v>0</v>
      </c>
      <c r="C521">
        <f t="shared" si="118"/>
        <v>0</v>
      </c>
      <c r="D521">
        <f t="shared" si="119"/>
        <v>0</v>
      </c>
      <c r="E521" t="e">
        <f t="shared" si="120"/>
        <v>#N/A</v>
      </c>
      <c r="F521">
        <f t="shared" si="121"/>
        <v>0</v>
      </c>
      <c r="G521">
        <f t="shared" si="122"/>
        <v>0</v>
      </c>
      <c r="H521">
        <f t="shared" si="123"/>
        <v>0</v>
      </c>
      <c r="I521">
        <f t="shared" si="124"/>
        <v>0</v>
      </c>
      <c r="J521">
        <f t="shared" si="125"/>
        <v>0</v>
      </c>
      <c r="K521" s="4" t="e">
        <f t="shared" si="114"/>
        <v>#N/A</v>
      </c>
      <c r="L521" t="e">
        <f t="shared" si="115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6"/>
        <v>0</v>
      </c>
      <c r="B522">
        <f t="shared" si="117"/>
        <v>0</v>
      </c>
      <c r="C522">
        <f t="shared" si="118"/>
        <v>0</v>
      </c>
      <c r="D522">
        <f t="shared" si="119"/>
        <v>0</v>
      </c>
      <c r="E522" t="e">
        <f t="shared" si="120"/>
        <v>#N/A</v>
      </c>
      <c r="F522">
        <f t="shared" si="121"/>
        <v>0</v>
      </c>
      <c r="G522">
        <f t="shared" si="122"/>
        <v>0</v>
      </c>
      <c r="H522">
        <f t="shared" si="123"/>
        <v>0</v>
      </c>
      <c r="I522">
        <f t="shared" si="124"/>
        <v>0</v>
      </c>
      <c r="J522">
        <f t="shared" si="125"/>
        <v>0</v>
      </c>
      <c r="K522" s="4" t="e">
        <f t="shared" si="114"/>
        <v>#N/A</v>
      </c>
      <c r="L522" t="e">
        <f t="shared" si="115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6"/>
        <v>0</v>
      </c>
      <c r="B523">
        <f t="shared" si="117"/>
        <v>0</v>
      </c>
      <c r="C523">
        <f t="shared" si="118"/>
        <v>0</v>
      </c>
      <c r="D523">
        <f t="shared" si="119"/>
        <v>0</v>
      </c>
      <c r="E523" t="e">
        <f t="shared" si="120"/>
        <v>#N/A</v>
      </c>
      <c r="F523">
        <f t="shared" si="121"/>
        <v>0</v>
      </c>
      <c r="G523">
        <f t="shared" si="122"/>
        <v>0</v>
      </c>
      <c r="H523">
        <f t="shared" si="123"/>
        <v>0</v>
      </c>
      <c r="I523">
        <f t="shared" si="124"/>
        <v>0</v>
      </c>
      <c r="J523">
        <f t="shared" si="125"/>
        <v>0</v>
      </c>
      <c r="K523" s="4" t="e">
        <f t="shared" si="114"/>
        <v>#N/A</v>
      </c>
      <c r="L523" t="e">
        <f t="shared" si="115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6"/>
        <v>0</v>
      </c>
      <c r="B524">
        <f t="shared" si="117"/>
        <v>0</v>
      </c>
      <c r="C524">
        <f t="shared" si="118"/>
        <v>0</v>
      </c>
      <c r="D524">
        <f t="shared" si="119"/>
        <v>0</v>
      </c>
      <c r="E524" t="e">
        <f t="shared" si="120"/>
        <v>#N/A</v>
      </c>
      <c r="F524">
        <f t="shared" si="121"/>
        <v>0</v>
      </c>
      <c r="G524">
        <f t="shared" si="122"/>
        <v>0</v>
      </c>
      <c r="H524">
        <f t="shared" si="123"/>
        <v>0</v>
      </c>
      <c r="I524">
        <f t="shared" si="124"/>
        <v>0</v>
      </c>
      <c r="J524">
        <f t="shared" si="125"/>
        <v>0</v>
      </c>
      <c r="K524" s="4" t="e">
        <f t="shared" si="114"/>
        <v>#N/A</v>
      </c>
      <c r="L524" t="e">
        <f t="shared" si="115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6"/>
        <v>0</v>
      </c>
      <c r="B525">
        <f t="shared" si="117"/>
        <v>0</v>
      </c>
      <c r="C525">
        <f t="shared" si="118"/>
        <v>0</v>
      </c>
      <c r="D525">
        <f t="shared" si="119"/>
        <v>0</v>
      </c>
      <c r="E525" t="e">
        <f t="shared" si="120"/>
        <v>#N/A</v>
      </c>
      <c r="F525">
        <f t="shared" si="121"/>
        <v>0</v>
      </c>
      <c r="G525">
        <f t="shared" si="122"/>
        <v>0</v>
      </c>
      <c r="H525">
        <f t="shared" si="123"/>
        <v>0</v>
      </c>
      <c r="I525">
        <f t="shared" si="124"/>
        <v>0</v>
      </c>
      <c r="J525">
        <f t="shared" si="125"/>
        <v>0</v>
      </c>
      <c r="K525" s="4" t="e">
        <f t="shared" si="114"/>
        <v>#N/A</v>
      </c>
      <c r="L525" t="e">
        <f t="shared" si="115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6"/>
        <v>0</v>
      </c>
      <c r="B526">
        <f t="shared" si="117"/>
        <v>0</v>
      </c>
      <c r="C526">
        <f t="shared" si="118"/>
        <v>0</v>
      </c>
      <c r="D526">
        <f t="shared" si="119"/>
        <v>0</v>
      </c>
      <c r="E526" t="e">
        <f t="shared" si="120"/>
        <v>#N/A</v>
      </c>
      <c r="F526">
        <f t="shared" si="121"/>
        <v>0</v>
      </c>
      <c r="G526">
        <f t="shared" si="122"/>
        <v>0</v>
      </c>
      <c r="H526">
        <f t="shared" si="123"/>
        <v>0</v>
      </c>
      <c r="I526">
        <f t="shared" si="124"/>
        <v>0</v>
      </c>
      <c r="J526">
        <f t="shared" si="125"/>
        <v>0</v>
      </c>
      <c r="K526" s="4" t="e">
        <f t="shared" si="114"/>
        <v>#N/A</v>
      </c>
      <c r="L526" t="e">
        <f t="shared" si="115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6"/>
        <v>0</v>
      </c>
      <c r="B527">
        <f t="shared" si="117"/>
        <v>0</v>
      </c>
      <c r="C527">
        <f t="shared" si="118"/>
        <v>0</v>
      </c>
      <c r="D527">
        <f t="shared" si="119"/>
        <v>0</v>
      </c>
      <c r="E527" t="e">
        <f t="shared" si="120"/>
        <v>#N/A</v>
      </c>
      <c r="F527">
        <f t="shared" si="121"/>
        <v>0</v>
      </c>
      <c r="G527">
        <f t="shared" si="122"/>
        <v>0</v>
      </c>
      <c r="H527">
        <f t="shared" si="123"/>
        <v>0</v>
      </c>
      <c r="I527">
        <f t="shared" si="124"/>
        <v>0</v>
      </c>
      <c r="J527">
        <f t="shared" si="125"/>
        <v>0</v>
      </c>
      <c r="K527" s="4" t="e">
        <f t="shared" si="114"/>
        <v>#N/A</v>
      </c>
      <c r="L527" t="e">
        <f t="shared" si="115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6"/>
        <v>0</v>
      </c>
      <c r="B528">
        <f t="shared" si="117"/>
        <v>0</v>
      </c>
      <c r="C528">
        <f t="shared" si="118"/>
        <v>0</v>
      </c>
      <c r="D528">
        <f t="shared" si="119"/>
        <v>0</v>
      </c>
      <c r="E528" t="e">
        <f t="shared" si="120"/>
        <v>#N/A</v>
      </c>
      <c r="F528">
        <f t="shared" si="121"/>
        <v>0</v>
      </c>
      <c r="G528">
        <f t="shared" si="122"/>
        <v>0</v>
      </c>
      <c r="H528">
        <f t="shared" si="123"/>
        <v>0</v>
      </c>
      <c r="I528">
        <f t="shared" si="124"/>
        <v>0</v>
      </c>
      <c r="J528">
        <f t="shared" si="125"/>
        <v>0</v>
      </c>
      <c r="K528" s="4" t="e">
        <f t="shared" si="114"/>
        <v>#N/A</v>
      </c>
      <c r="L528" t="e">
        <f t="shared" si="115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6"/>
        <v>0</v>
      </c>
      <c r="B529">
        <f t="shared" si="117"/>
        <v>0</v>
      </c>
      <c r="C529">
        <f t="shared" si="118"/>
        <v>0</v>
      </c>
      <c r="D529">
        <f t="shared" si="119"/>
        <v>0</v>
      </c>
      <c r="E529" t="e">
        <f t="shared" si="120"/>
        <v>#N/A</v>
      </c>
      <c r="F529">
        <f t="shared" si="121"/>
        <v>0</v>
      </c>
      <c r="G529">
        <f t="shared" si="122"/>
        <v>0</v>
      </c>
      <c r="H529">
        <f t="shared" si="123"/>
        <v>0</v>
      </c>
      <c r="I529">
        <f t="shared" si="124"/>
        <v>0</v>
      </c>
      <c r="J529">
        <f t="shared" si="125"/>
        <v>0</v>
      </c>
      <c r="K529" s="4" t="e">
        <f t="shared" si="114"/>
        <v>#N/A</v>
      </c>
      <c r="L529" t="e">
        <f t="shared" si="115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6"/>
        <v>0</v>
      </c>
      <c r="B530">
        <f t="shared" si="117"/>
        <v>0</v>
      </c>
      <c r="C530">
        <f t="shared" si="118"/>
        <v>0</v>
      </c>
      <c r="D530">
        <f t="shared" si="119"/>
        <v>0</v>
      </c>
      <c r="E530" t="e">
        <f t="shared" si="120"/>
        <v>#N/A</v>
      </c>
      <c r="F530">
        <f t="shared" si="121"/>
        <v>0</v>
      </c>
      <c r="G530">
        <f t="shared" si="122"/>
        <v>0</v>
      </c>
      <c r="H530">
        <f t="shared" si="123"/>
        <v>0</v>
      </c>
      <c r="I530">
        <f t="shared" si="124"/>
        <v>0</v>
      </c>
      <c r="J530">
        <f t="shared" si="125"/>
        <v>0</v>
      </c>
      <c r="K530" s="4" t="e">
        <f t="shared" si="114"/>
        <v>#N/A</v>
      </c>
      <c r="L530" t="e">
        <f t="shared" si="115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6"/>
        <v>0</v>
      </c>
      <c r="B531">
        <f t="shared" si="117"/>
        <v>0</v>
      </c>
      <c r="C531">
        <f t="shared" si="118"/>
        <v>0</v>
      </c>
      <c r="D531">
        <f t="shared" si="119"/>
        <v>0</v>
      </c>
      <c r="E531" t="e">
        <f t="shared" si="120"/>
        <v>#N/A</v>
      </c>
      <c r="F531">
        <f t="shared" si="121"/>
        <v>0</v>
      </c>
      <c r="G531">
        <f t="shared" si="122"/>
        <v>0</v>
      </c>
      <c r="H531">
        <f t="shared" si="123"/>
        <v>0</v>
      </c>
      <c r="I531">
        <f t="shared" si="124"/>
        <v>0</v>
      </c>
      <c r="J531">
        <f t="shared" si="125"/>
        <v>0</v>
      </c>
      <c r="K531" s="4" t="e">
        <f t="shared" si="114"/>
        <v>#N/A</v>
      </c>
      <c r="L531" t="e">
        <f t="shared" si="115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6"/>
        <v>0</v>
      </c>
      <c r="B532">
        <f t="shared" si="117"/>
        <v>0</v>
      </c>
      <c r="C532">
        <f t="shared" si="118"/>
        <v>0</v>
      </c>
      <c r="D532">
        <f t="shared" si="119"/>
        <v>0</v>
      </c>
      <c r="E532" t="e">
        <f t="shared" si="120"/>
        <v>#N/A</v>
      </c>
      <c r="F532">
        <f t="shared" si="121"/>
        <v>0</v>
      </c>
      <c r="G532">
        <f t="shared" si="122"/>
        <v>0</v>
      </c>
      <c r="H532">
        <f t="shared" si="123"/>
        <v>0</v>
      </c>
      <c r="I532">
        <f t="shared" si="124"/>
        <v>0</v>
      </c>
      <c r="J532">
        <f t="shared" si="125"/>
        <v>0</v>
      </c>
      <c r="K532" s="4" t="e">
        <f t="shared" si="114"/>
        <v>#N/A</v>
      </c>
      <c r="L532" t="e">
        <f t="shared" si="115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6"/>
        <v>0</v>
      </c>
      <c r="B533">
        <f t="shared" si="117"/>
        <v>0</v>
      </c>
      <c r="C533">
        <f t="shared" si="118"/>
        <v>0</v>
      </c>
      <c r="D533">
        <f t="shared" si="119"/>
        <v>0</v>
      </c>
      <c r="E533" t="e">
        <f t="shared" si="120"/>
        <v>#N/A</v>
      </c>
      <c r="F533">
        <f t="shared" si="121"/>
        <v>0</v>
      </c>
      <c r="G533">
        <f t="shared" si="122"/>
        <v>0</v>
      </c>
      <c r="H533">
        <f t="shared" si="123"/>
        <v>0</v>
      </c>
      <c r="I533">
        <f t="shared" si="124"/>
        <v>0</v>
      </c>
      <c r="J533">
        <f t="shared" si="125"/>
        <v>0</v>
      </c>
      <c r="K533" s="4" t="e">
        <f t="shared" si="114"/>
        <v>#N/A</v>
      </c>
      <c r="L533" t="e">
        <f t="shared" si="115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6"/>
        <v>0</v>
      </c>
      <c r="B534">
        <f t="shared" si="117"/>
        <v>0</v>
      </c>
      <c r="C534">
        <f t="shared" si="118"/>
        <v>0</v>
      </c>
      <c r="D534">
        <f t="shared" si="119"/>
        <v>0</v>
      </c>
      <c r="E534" t="e">
        <f t="shared" si="120"/>
        <v>#N/A</v>
      </c>
      <c r="F534">
        <f t="shared" si="121"/>
        <v>0</v>
      </c>
      <c r="G534">
        <f t="shared" si="122"/>
        <v>0</v>
      </c>
      <c r="H534">
        <f t="shared" si="123"/>
        <v>0</v>
      </c>
      <c r="I534">
        <f t="shared" si="124"/>
        <v>0</v>
      </c>
      <c r="J534">
        <f t="shared" si="125"/>
        <v>0</v>
      </c>
      <c r="K534" s="4" t="e">
        <f t="shared" si="114"/>
        <v>#N/A</v>
      </c>
      <c r="L534" t="e">
        <f t="shared" si="115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6"/>
        <v>0</v>
      </c>
      <c r="B535">
        <f t="shared" si="117"/>
        <v>0</v>
      </c>
      <c r="C535">
        <f t="shared" si="118"/>
        <v>0</v>
      </c>
      <c r="D535">
        <f t="shared" si="119"/>
        <v>0</v>
      </c>
      <c r="E535" t="e">
        <f t="shared" si="120"/>
        <v>#N/A</v>
      </c>
      <c r="F535">
        <f t="shared" si="121"/>
        <v>0</v>
      </c>
      <c r="G535">
        <f t="shared" si="122"/>
        <v>0</v>
      </c>
      <c r="H535">
        <f t="shared" si="123"/>
        <v>0</v>
      </c>
      <c r="I535">
        <f t="shared" si="124"/>
        <v>0</v>
      </c>
      <c r="J535">
        <f t="shared" si="125"/>
        <v>0</v>
      </c>
      <c r="K535" s="4" t="e">
        <f t="shared" si="114"/>
        <v>#N/A</v>
      </c>
      <c r="L535" t="e">
        <f t="shared" si="115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6"/>
        <v>0</v>
      </c>
      <c r="B536">
        <f t="shared" si="117"/>
        <v>0</v>
      </c>
      <c r="C536">
        <f t="shared" si="118"/>
        <v>0</v>
      </c>
      <c r="D536">
        <f t="shared" si="119"/>
        <v>0</v>
      </c>
      <c r="E536" t="e">
        <f t="shared" si="120"/>
        <v>#N/A</v>
      </c>
      <c r="F536">
        <f t="shared" si="121"/>
        <v>0</v>
      </c>
      <c r="G536">
        <f t="shared" si="122"/>
        <v>0</v>
      </c>
      <c r="H536">
        <f t="shared" si="123"/>
        <v>0</v>
      </c>
      <c r="I536">
        <f t="shared" si="124"/>
        <v>0</v>
      </c>
      <c r="J536">
        <f t="shared" si="125"/>
        <v>0</v>
      </c>
      <c r="K536" s="4" t="e">
        <f t="shared" si="114"/>
        <v>#N/A</v>
      </c>
      <c r="L536" t="e">
        <f t="shared" si="115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6"/>
        <v>0</v>
      </c>
      <c r="B537">
        <f t="shared" si="117"/>
        <v>0</v>
      </c>
      <c r="C537">
        <f t="shared" si="118"/>
        <v>0</v>
      </c>
      <c r="D537">
        <f t="shared" si="119"/>
        <v>0</v>
      </c>
      <c r="E537" t="e">
        <f t="shared" si="120"/>
        <v>#N/A</v>
      </c>
      <c r="F537">
        <f t="shared" si="121"/>
        <v>0</v>
      </c>
      <c r="G537">
        <f t="shared" si="122"/>
        <v>0</v>
      </c>
      <c r="H537">
        <f t="shared" si="123"/>
        <v>0</v>
      </c>
      <c r="I537">
        <f t="shared" si="124"/>
        <v>0</v>
      </c>
      <c r="J537">
        <f t="shared" si="125"/>
        <v>0</v>
      </c>
      <c r="K537" s="4" t="e">
        <f t="shared" si="114"/>
        <v>#N/A</v>
      </c>
      <c r="L537" t="e">
        <f t="shared" si="115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6"/>
        <v>0</v>
      </c>
      <c r="B538">
        <f t="shared" si="117"/>
        <v>0</v>
      </c>
      <c r="C538">
        <f t="shared" si="118"/>
        <v>0</v>
      </c>
      <c r="D538">
        <f t="shared" si="119"/>
        <v>0</v>
      </c>
      <c r="E538" t="e">
        <f t="shared" si="120"/>
        <v>#N/A</v>
      </c>
      <c r="F538">
        <f t="shared" si="121"/>
        <v>0</v>
      </c>
      <c r="G538">
        <f t="shared" si="122"/>
        <v>0</v>
      </c>
      <c r="H538">
        <f t="shared" si="123"/>
        <v>0</v>
      </c>
      <c r="I538">
        <f t="shared" si="124"/>
        <v>0</v>
      </c>
      <c r="J538">
        <f t="shared" si="125"/>
        <v>0</v>
      </c>
      <c r="K538" s="4" t="e">
        <f t="shared" si="114"/>
        <v>#N/A</v>
      </c>
      <c r="L538" t="e">
        <f t="shared" si="115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6"/>
        <v>0</v>
      </c>
      <c r="B539">
        <f t="shared" si="117"/>
        <v>0</v>
      </c>
      <c r="C539">
        <f t="shared" si="118"/>
        <v>0</v>
      </c>
      <c r="D539">
        <f t="shared" si="119"/>
        <v>0</v>
      </c>
      <c r="E539" t="e">
        <f t="shared" si="120"/>
        <v>#N/A</v>
      </c>
      <c r="F539">
        <f t="shared" si="121"/>
        <v>0</v>
      </c>
      <c r="G539">
        <f t="shared" si="122"/>
        <v>0</v>
      </c>
      <c r="H539">
        <f t="shared" si="123"/>
        <v>0</v>
      </c>
      <c r="I539">
        <f t="shared" si="124"/>
        <v>0</v>
      </c>
      <c r="J539">
        <f t="shared" si="125"/>
        <v>0</v>
      </c>
      <c r="K539" s="4" t="e">
        <f t="shared" si="114"/>
        <v>#N/A</v>
      </c>
      <c r="L539" t="e">
        <f t="shared" si="115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6"/>
        <v>0</v>
      </c>
      <c r="B540">
        <f t="shared" si="117"/>
        <v>0</v>
      </c>
      <c r="C540">
        <f t="shared" si="118"/>
        <v>0</v>
      </c>
      <c r="D540">
        <f t="shared" si="119"/>
        <v>0</v>
      </c>
      <c r="E540" t="e">
        <f t="shared" si="120"/>
        <v>#N/A</v>
      </c>
      <c r="F540">
        <f t="shared" si="121"/>
        <v>0</v>
      </c>
      <c r="G540">
        <f t="shared" si="122"/>
        <v>0</v>
      </c>
      <c r="H540">
        <f t="shared" si="123"/>
        <v>0</v>
      </c>
      <c r="I540">
        <f t="shared" si="124"/>
        <v>0</v>
      </c>
      <c r="J540">
        <f t="shared" si="125"/>
        <v>0</v>
      </c>
      <c r="K540" s="4" t="e">
        <f t="shared" si="114"/>
        <v>#N/A</v>
      </c>
      <c r="L540" t="e">
        <f t="shared" si="115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6"/>
        <v>0</v>
      </c>
      <c r="B541">
        <f t="shared" si="117"/>
        <v>0</v>
      </c>
      <c r="C541">
        <f t="shared" si="118"/>
        <v>0</v>
      </c>
      <c r="D541">
        <f t="shared" si="119"/>
        <v>0</v>
      </c>
      <c r="E541" t="e">
        <f t="shared" si="120"/>
        <v>#N/A</v>
      </c>
      <c r="F541">
        <f t="shared" si="121"/>
        <v>0</v>
      </c>
      <c r="G541">
        <f t="shared" si="122"/>
        <v>0</v>
      </c>
      <c r="H541">
        <f t="shared" si="123"/>
        <v>0</v>
      </c>
      <c r="I541">
        <f t="shared" si="124"/>
        <v>0</v>
      </c>
      <c r="J541">
        <f t="shared" si="125"/>
        <v>0</v>
      </c>
      <c r="K541" s="4" t="e">
        <f t="shared" si="114"/>
        <v>#N/A</v>
      </c>
      <c r="L541" t="e">
        <f t="shared" si="115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6"/>
        <v>0</v>
      </c>
      <c r="B542">
        <f t="shared" si="117"/>
        <v>0</v>
      </c>
      <c r="C542">
        <f t="shared" si="118"/>
        <v>0</v>
      </c>
      <c r="D542">
        <f t="shared" si="119"/>
        <v>0</v>
      </c>
      <c r="E542" t="e">
        <f t="shared" si="120"/>
        <v>#N/A</v>
      </c>
      <c r="F542">
        <f t="shared" si="121"/>
        <v>0</v>
      </c>
      <c r="G542">
        <f t="shared" si="122"/>
        <v>0</v>
      </c>
      <c r="H542">
        <f t="shared" si="123"/>
        <v>0</v>
      </c>
      <c r="I542">
        <f t="shared" si="124"/>
        <v>0</v>
      </c>
      <c r="J542">
        <f t="shared" si="125"/>
        <v>0</v>
      </c>
      <c r="K542" s="4" t="e">
        <f t="shared" si="114"/>
        <v>#N/A</v>
      </c>
      <c r="L542" t="e">
        <f t="shared" si="115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6"/>
        <v>0</v>
      </c>
      <c r="B543">
        <f t="shared" si="117"/>
        <v>0</v>
      </c>
      <c r="C543">
        <f t="shared" si="118"/>
        <v>0</v>
      </c>
      <c r="D543">
        <f t="shared" si="119"/>
        <v>0</v>
      </c>
      <c r="E543" t="e">
        <f t="shared" si="120"/>
        <v>#N/A</v>
      </c>
      <c r="F543">
        <f t="shared" si="121"/>
        <v>0</v>
      </c>
      <c r="G543">
        <f t="shared" si="122"/>
        <v>0</v>
      </c>
      <c r="H543">
        <f t="shared" si="123"/>
        <v>0</v>
      </c>
      <c r="I543">
        <f t="shared" si="124"/>
        <v>0</v>
      </c>
      <c r="J543">
        <f t="shared" si="125"/>
        <v>0</v>
      </c>
      <c r="K543" s="4" t="e">
        <f t="shared" si="114"/>
        <v>#N/A</v>
      </c>
      <c r="L543" t="e">
        <f t="shared" si="115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6"/>
        <v>0</v>
      </c>
      <c r="B544">
        <f t="shared" si="117"/>
        <v>0</v>
      </c>
      <c r="C544">
        <f t="shared" si="118"/>
        <v>0</v>
      </c>
      <c r="D544">
        <f t="shared" si="119"/>
        <v>0</v>
      </c>
      <c r="E544" t="e">
        <f t="shared" si="120"/>
        <v>#N/A</v>
      </c>
      <c r="F544">
        <f t="shared" si="121"/>
        <v>0</v>
      </c>
      <c r="G544">
        <f t="shared" si="122"/>
        <v>0</v>
      </c>
      <c r="H544">
        <f t="shared" si="123"/>
        <v>0</v>
      </c>
      <c r="I544">
        <f t="shared" si="124"/>
        <v>0</v>
      </c>
      <c r="J544">
        <f t="shared" si="125"/>
        <v>0</v>
      </c>
      <c r="K544" s="4" t="e">
        <f t="shared" si="114"/>
        <v>#N/A</v>
      </c>
      <c r="L544" t="e">
        <f t="shared" si="115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6"/>
        <v>0</v>
      </c>
      <c r="B545">
        <f t="shared" si="117"/>
        <v>0</v>
      </c>
      <c r="C545">
        <f t="shared" si="118"/>
        <v>0</v>
      </c>
      <c r="D545">
        <f t="shared" si="119"/>
        <v>0</v>
      </c>
      <c r="E545" t="e">
        <f t="shared" si="120"/>
        <v>#N/A</v>
      </c>
      <c r="F545">
        <f t="shared" si="121"/>
        <v>0</v>
      </c>
      <c r="G545">
        <f t="shared" si="122"/>
        <v>0</v>
      </c>
      <c r="H545">
        <f t="shared" si="123"/>
        <v>0</v>
      </c>
      <c r="I545">
        <f t="shared" si="124"/>
        <v>0</v>
      </c>
      <c r="J545">
        <f t="shared" si="125"/>
        <v>0</v>
      </c>
      <c r="K545" s="4" t="e">
        <f t="shared" si="114"/>
        <v>#N/A</v>
      </c>
      <c r="L545" t="e">
        <f t="shared" si="115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6"/>
        <v>0</v>
      </c>
      <c r="B546">
        <f t="shared" si="117"/>
        <v>0</v>
      </c>
      <c r="C546">
        <f t="shared" si="118"/>
        <v>0</v>
      </c>
      <c r="D546">
        <f t="shared" si="119"/>
        <v>0</v>
      </c>
      <c r="E546" t="e">
        <f t="shared" si="120"/>
        <v>#N/A</v>
      </c>
      <c r="F546">
        <f t="shared" si="121"/>
        <v>0</v>
      </c>
      <c r="G546">
        <f t="shared" si="122"/>
        <v>0</v>
      </c>
      <c r="H546">
        <f t="shared" si="123"/>
        <v>0</v>
      </c>
      <c r="I546">
        <f t="shared" si="124"/>
        <v>0</v>
      </c>
      <c r="J546">
        <f t="shared" si="125"/>
        <v>0</v>
      </c>
      <c r="K546" s="4" t="e">
        <f t="shared" si="114"/>
        <v>#N/A</v>
      </c>
      <c r="L546" t="e">
        <f t="shared" si="115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6"/>
        <v>0</v>
      </c>
      <c r="B547">
        <f t="shared" si="117"/>
        <v>0</v>
      </c>
      <c r="C547">
        <f t="shared" si="118"/>
        <v>0</v>
      </c>
      <c r="D547">
        <f t="shared" si="119"/>
        <v>0</v>
      </c>
      <c r="E547" t="e">
        <f t="shared" si="120"/>
        <v>#N/A</v>
      </c>
      <c r="F547">
        <f t="shared" si="121"/>
        <v>0</v>
      </c>
      <c r="G547">
        <f t="shared" si="122"/>
        <v>0</v>
      </c>
      <c r="H547">
        <f t="shared" si="123"/>
        <v>0</v>
      </c>
      <c r="I547">
        <f t="shared" si="124"/>
        <v>0</v>
      </c>
      <c r="J547">
        <f t="shared" si="125"/>
        <v>0</v>
      </c>
      <c r="K547" s="4" t="e">
        <f t="shared" si="114"/>
        <v>#N/A</v>
      </c>
      <c r="L547" t="e">
        <f t="shared" si="115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6"/>
        <v>0</v>
      </c>
      <c r="B548">
        <f t="shared" si="117"/>
        <v>0</v>
      </c>
      <c r="C548">
        <f t="shared" si="118"/>
        <v>0</v>
      </c>
      <c r="D548">
        <f t="shared" si="119"/>
        <v>0</v>
      </c>
      <c r="E548" t="e">
        <f t="shared" si="120"/>
        <v>#N/A</v>
      </c>
      <c r="F548">
        <f t="shared" si="121"/>
        <v>0</v>
      </c>
      <c r="G548">
        <f t="shared" si="122"/>
        <v>0</v>
      </c>
      <c r="H548">
        <f t="shared" si="123"/>
        <v>0</v>
      </c>
      <c r="I548">
        <f t="shared" si="124"/>
        <v>0</v>
      </c>
      <c r="J548">
        <f t="shared" si="125"/>
        <v>0</v>
      </c>
      <c r="K548" s="4" t="e">
        <f t="shared" si="114"/>
        <v>#N/A</v>
      </c>
      <c r="L548" t="e">
        <f t="shared" si="115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6"/>
        <v>0</v>
      </c>
      <c r="B549">
        <f t="shared" si="117"/>
        <v>0</v>
      </c>
      <c r="C549">
        <f t="shared" si="118"/>
        <v>0</v>
      </c>
      <c r="D549">
        <f t="shared" si="119"/>
        <v>0</v>
      </c>
      <c r="E549" t="e">
        <f t="shared" si="120"/>
        <v>#N/A</v>
      </c>
      <c r="F549">
        <f t="shared" si="121"/>
        <v>0</v>
      </c>
      <c r="G549">
        <f t="shared" si="122"/>
        <v>0</v>
      </c>
      <c r="H549">
        <f t="shared" si="123"/>
        <v>0</v>
      </c>
      <c r="I549">
        <f t="shared" si="124"/>
        <v>0</v>
      </c>
      <c r="J549">
        <f t="shared" si="125"/>
        <v>0</v>
      </c>
      <c r="K549" s="4" t="e">
        <f t="shared" si="114"/>
        <v>#N/A</v>
      </c>
      <c r="L549" t="e">
        <f t="shared" si="115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6"/>
        <v>0</v>
      </c>
      <c r="B550">
        <f t="shared" si="117"/>
        <v>0</v>
      </c>
      <c r="C550">
        <f t="shared" si="118"/>
        <v>0</v>
      </c>
      <c r="D550">
        <f t="shared" si="119"/>
        <v>0</v>
      </c>
      <c r="E550" t="e">
        <f t="shared" si="120"/>
        <v>#N/A</v>
      </c>
      <c r="F550">
        <f t="shared" si="121"/>
        <v>0</v>
      </c>
      <c r="G550">
        <f t="shared" si="122"/>
        <v>0</v>
      </c>
      <c r="H550">
        <f t="shared" si="123"/>
        <v>0</v>
      </c>
      <c r="I550">
        <f t="shared" si="124"/>
        <v>0</v>
      </c>
      <c r="J550">
        <f t="shared" si="125"/>
        <v>0</v>
      </c>
      <c r="K550" s="4" t="e">
        <f t="shared" si="114"/>
        <v>#N/A</v>
      </c>
      <c r="L550" t="e">
        <f t="shared" si="115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6"/>
        <v>0</v>
      </c>
      <c r="B551">
        <f t="shared" si="117"/>
        <v>0</v>
      </c>
      <c r="C551">
        <f t="shared" si="118"/>
        <v>0</v>
      </c>
      <c r="D551">
        <f t="shared" si="119"/>
        <v>0</v>
      </c>
      <c r="E551" t="e">
        <f t="shared" si="120"/>
        <v>#N/A</v>
      </c>
      <c r="F551">
        <f t="shared" si="121"/>
        <v>0</v>
      </c>
      <c r="G551">
        <f t="shared" si="122"/>
        <v>0</v>
      </c>
      <c r="H551">
        <f t="shared" si="123"/>
        <v>0</v>
      </c>
      <c r="I551">
        <f t="shared" si="124"/>
        <v>0</v>
      </c>
      <c r="J551">
        <f t="shared" si="125"/>
        <v>0</v>
      </c>
      <c r="K551" s="4" t="e">
        <f t="shared" si="114"/>
        <v>#N/A</v>
      </c>
      <c r="L551" t="e">
        <f t="shared" si="115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6"/>
        <v>0</v>
      </c>
      <c r="B552">
        <f t="shared" si="117"/>
        <v>0</v>
      </c>
      <c r="C552">
        <f t="shared" si="118"/>
        <v>0</v>
      </c>
      <c r="D552">
        <f t="shared" si="119"/>
        <v>0</v>
      </c>
      <c r="E552" t="e">
        <f t="shared" si="120"/>
        <v>#N/A</v>
      </c>
      <c r="F552">
        <f t="shared" si="121"/>
        <v>0</v>
      </c>
      <c r="G552">
        <f t="shared" si="122"/>
        <v>0</v>
      </c>
      <c r="H552">
        <f t="shared" si="123"/>
        <v>0</v>
      </c>
      <c r="I552">
        <f t="shared" si="124"/>
        <v>0</v>
      </c>
      <c r="J552">
        <f t="shared" si="125"/>
        <v>0</v>
      </c>
      <c r="K552" s="4" t="e">
        <f t="shared" si="114"/>
        <v>#N/A</v>
      </c>
      <c r="L552" t="e">
        <f t="shared" si="115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6"/>
        <v>0</v>
      </c>
      <c r="B553">
        <f t="shared" si="117"/>
        <v>0</v>
      </c>
      <c r="C553">
        <f t="shared" si="118"/>
        <v>0</v>
      </c>
      <c r="D553">
        <f t="shared" si="119"/>
        <v>0</v>
      </c>
      <c r="E553" t="e">
        <f t="shared" si="120"/>
        <v>#N/A</v>
      </c>
      <c r="F553">
        <f t="shared" si="121"/>
        <v>0</v>
      </c>
      <c r="G553">
        <f t="shared" si="122"/>
        <v>0</v>
      </c>
      <c r="H553">
        <f t="shared" si="123"/>
        <v>0</v>
      </c>
      <c r="I553">
        <f t="shared" si="124"/>
        <v>0</v>
      </c>
      <c r="J553">
        <f t="shared" si="125"/>
        <v>0</v>
      </c>
      <c r="K553" s="4" t="e">
        <f t="shared" si="114"/>
        <v>#N/A</v>
      </c>
      <c r="L553" t="e">
        <f t="shared" si="115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6"/>
        <v>0</v>
      </c>
      <c r="B554">
        <f t="shared" si="117"/>
        <v>0</v>
      </c>
      <c r="C554">
        <f t="shared" si="118"/>
        <v>0</v>
      </c>
      <c r="D554">
        <f t="shared" si="119"/>
        <v>0</v>
      </c>
      <c r="E554" t="e">
        <f t="shared" si="120"/>
        <v>#N/A</v>
      </c>
      <c r="F554">
        <f t="shared" si="121"/>
        <v>0</v>
      </c>
      <c r="G554">
        <f t="shared" si="122"/>
        <v>0</v>
      </c>
      <c r="H554">
        <f t="shared" si="123"/>
        <v>0</v>
      </c>
      <c r="I554">
        <f t="shared" si="124"/>
        <v>0</v>
      </c>
      <c r="J554">
        <f t="shared" si="125"/>
        <v>0</v>
      </c>
      <c r="K554" s="4" t="e">
        <f t="shared" si="114"/>
        <v>#N/A</v>
      </c>
      <c r="L554" t="e">
        <f t="shared" si="115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6"/>
        <v>0</v>
      </c>
      <c r="B555">
        <f t="shared" si="117"/>
        <v>0</v>
      </c>
      <c r="C555">
        <f t="shared" si="118"/>
        <v>0</v>
      </c>
      <c r="D555">
        <f t="shared" si="119"/>
        <v>0</v>
      </c>
      <c r="E555" t="e">
        <f t="shared" si="120"/>
        <v>#N/A</v>
      </c>
      <c r="F555">
        <f t="shared" si="121"/>
        <v>0</v>
      </c>
      <c r="G555">
        <f t="shared" si="122"/>
        <v>0</v>
      </c>
      <c r="H555">
        <f t="shared" si="123"/>
        <v>0</v>
      </c>
      <c r="I555">
        <f t="shared" si="124"/>
        <v>0</v>
      </c>
      <c r="J555">
        <f t="shared" si="125"/>
        <v>0</v>
      </c>
      <c r="K555" s="4" t="e">
        <f t="shared" si="114"/>
        <v>#N/A</v>
      </c>
      <c r="L555" t="e">
        <f t="shared" si="115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6"/>
        <v>0</v>
      </c>
      <c r="B556">
        <f t="shared" si="117"/>
        <v>0</v>
      </c>
      <c r="C556">
        <f t="shared" si="118"/>
        <v>0</v>
      </c>
      <c r="D556">
        <f t="shared" si="119"/>
        <v>0</v>
      </c>
      <c r="E556" t="e">
        <f t="shared" si="120"/>
        <v>#N/A</v>
      </c>
      <c r="F556">
        <f t="shared" si="121"/>
        <v>0</v>
      </c>
      <c r="G556">
        <f t="shared" si="122"/>
        <v>0</v>
      </c>
      <c r="H556">
        <f t="shared" si="123"/>
        <v>0</v>
      </c>
      <c r="I556">
        <f t="shared" si="124"/>
        <v>0</v>
      </c>
      <c r="J556">
        <f t="shared" si="125"/>
        <v>0</v>
      </c>
      <c r="K556" s="4" t="e">
        <f t="shared" ref="K556:K619" si="128">IF(LEFT(B556,3)="DBM",0,VLOOKUP(E556,tabela,2,FALSE))</f>
        <v>#N/A</v>
      </c>
      <c r="L556" t="e">
        <f t="shared" ref="L556:L619" si="129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6"/>
        <v>0</v>
      </c>
      <c r="B557">
        <f t="shared" si="117"/>
        <v>0</v>
      </c>
      <c r="C557">
        <f t="shared" si="118"/>
        <v>0</v>
      </c>
      <c r="D557">
        <f t="shared" si="119"/>
        <v>0</v>
      </c>
      <c r="E557" t="e">
        <f t="shared" si="120"/>
        <v>#N/A</v>
      </c>
      <c r="F557">
        <f t="shared" si="121"/>
        <v>0</v>
      </c>
      <c r="G557">
        <f t="shared" si="122"/>
        <v>0</v>
      </c>
      <c r="H557">
        <f t="shared" si="123"/>
        <v>0</v>
      </c>
      <c r="I557">
        <f t="shared" si="124"/>
        <v>0</v>
      </c>
      <c r="J557">
        <f t="shared" si="125"/>
        <v>0</v>
      </c>
      <c r="K557" s="4" t="e">
        <f t="shared" si="128"/>
        <v>#N/A</v>
      </c>
      <c r="L557" t="e">
        <f t="shared" si="129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6"/>
        <v>0</v>
      </c>
      <c r="B558">
        <f t="shared" si="117"/>
        <v>0</v>
      </c>
      <c r="C558">
        <f t="shared" si="118"/>
        <v>0</v>
      </c>
      <c r="D558">
        <f t="shared" si="119"/>
        <v>0</v>
      </c>
      <c r="E558" t="e">
        <f t="shared" si="120"/>
        <v>#N/A</v>
      </c>
      <c r="F558">
        <f t="shared" si="121"/>
        <v>0</v>
      </c>
      <c r="G558">
        <f t="shared" si="122"/>
        <v>0</v>
      </c>
      <c r="H558">
        <f t="shared" si="123"/>
        <v>0</v>
      </c>
      <c r="I558">
        <f t="shared" si="124"/>
        <v>0</v>
      </c>
      <c r="J558">
        <f t="shared" si="125"/>
        <v>0</v>
      </c>
      <c r="K558" s="4" t="e">
        <f t="shared" si="128"/>
        <v>#N/A</v>
      </c>
      <c r="L558" t="e">
        <f t="shared" si="129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6"/>
        <v>0</v>
      </c>
      <c r="B559">
        <f t="shared" si="117"/>
        <v>0</v>
      </c>
      <c r="C559">
        <f t="shared" si="118"/>
        <v>0</v>
      </c>
      <c r="D559">
        <f t="shared" si="119"/>
        <v>0</v>
      </c>
      <c r="E559" t="e">
        <f t="shared" si="120"/>
        <v>#N/A</v>
      </c>
      <c r="F559">
        <f t="shared" si="121"/>
        <v>0</v>
      </c>
      <c r="G559">
        <f t="shared" si="122"/>
        <v>0</v>
      </c>
      <c r="H559">
        <f t="shared" si="123"/>
        <v>0</v>
      </c>
      <c r="I559">
        <f t="shared" si="124"/>
        <v>0</v>
      </c>
      <c r="J559">
        <f t="shared" si="125"/>
        <v>0</v>
      </c>
      <c r="K559" s="4" t="e">
        <f t="shared" si="128"/>
        <v>#N/A</v>
      </c>
      <c r="L559" t="e">
        <f t="shared" si="129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6"/>
        <v>0</v>
      </c>
      <c r="B560">
        <f t="shared" si="117"/>
        <v>0</v>
      </c>
      <c r="C560">
        <f t="shared" si="118"/>
        <v>0</v>
      </c>
      <c r="D560">
        <f t="shared" si="119"/>
        <v>0</v>
      </c>
      <c r="E560" t="e">
        <f t="shared" si="120"/>
        <v>#N/A</v>
      </c>
      <c r="F560">
        <f t="shared" si="121"/>
        <v>0</v>
      </c>
      <c r="G560">
        <f t="shared" si="122"/>
        <v>0</v>
      </c>
      <c r="H560">
        <f t="shared" si="123"/>
        <v>0</v>
      </c>
      <c r="I560">
        <f t="shared" si="124"/>
        <v>0</v>
      </c>
      <c r="J560">
        <f t="shared" si="125"/>
        <v>0</v>
      </c>
      <c r="K560" s="4" t="e">
        <f t="shared" si="128"/>
        <v>#N/A</v>
      </c>
      <c r="L560" t="e">
        <f t="shared" si="129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6"/>
        <v>0</v>
      </c>
      <c r="B561">
        <f t="shared" si="117"/>
        <v>0</v>
      </c>
      <c r="C561">
        <f t="shared" si="118"/>
        <v>0</v>
      </c>
      <c r="D561">
        <f t="shared" si="119"/>
        <v>0</v>
      </c>
      <c r="E561" t="e">
        <f t="shared" si="120"/>
        <v>#N/A</v>
      </c>
      <c r="F561">
        <f t="shared" si="121"/>
        <v>0</v>
      </c>
      <c r="G561">
        <f t="shared" si="122"/>
        <v>0</v>
      </c>
      <c r="H561">
        <f t="shared" si="123"/>
        <v>0</v>
      </c>
      <c r="I561">
        <f t="shared" si="124"/>
        <v>0</v>
      </c>
      <c r="J561">
        <f t="shared" si="125"/>
        <v>0</v>
      </c>
      <c r="K561" s="4" t="e">
        <f t="shared" si="128"/>
        <v>#N/A</v>
      </c>
      <c r="L561" t="e">
        <f t="shared" si="129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6"/>
        <v>0</v>
      </c>
      <c r="B562">
        <f t="shared" si="117"/>
        <v>0</v>
      </c>
      <c r="C562">
        <f t="shared" si="118"/>
        <v>0</v>
      </c>
      <c r="D562">
        <f t="shared" si="119"/>
        <v>0</v>
      </c>
      <c r="E562" t="e">
        <f t="shared" si="120"/>
        <v>#N/A</v>
      </c>
      <c r="F562">
        <f t="shared" si="121"/>
        <v>0</v>
      </c>
      <c r="G562">
        <f t="shared" si="122"/>
        <v>0</v>
      </c>
      <c r="H562">
        <f t="shared" si="123"/>
        <v>0</v>
      </c>
      <c r="I562">
        <f t="shared" si="124"/>
        <v>0</v>
      </c>
      <c r="J562">
        <f t="shared" si="125"/>
        <v>0</v>
      </c>
      <c r="K562" s="4" t="e">
        <f t="shared" si="128"/>
        <v>#N/A</v>
      </c>
      <c r="L562" t="e">
        <f t="shared" si="129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6"/>
        <v>0</v>
      </c>
      <c r="B563">
        <f t="shared" si="117"/>
        <v>0</v>
      </c>
      <c r="C563">
        <f t="shared" si="118"/>
        <v>0</v>
      </c>
      <c r="D563">
        <f t="shared" si="119"/>
        <v>0</v>
      </c>
      <c r="E563" t="e">
        <f t="shared" si="120"/>
        <v>#N/A</v>
      </c>
      <c r="F563">
        <f t="shared" si="121"/>
        <v>0</v>
      </c>
      <c r="G563">
        <f t="shared" si="122"/>
        <v>0</v>
      </c>
      <c r="H563">
        <f t="shared" si="123"/>
        <v>0</v>
      </c>
      <c r="I563">
        <f t="shared" si="124"/>
        <v>0</v>
      </c>
      <c r="J563">
        <f t="shared" si="125"/>
        <v>0</v>
      </c>
      <c r="K563" s="4" t="e">
        <f t="shared" si="128"/>
        <v>#N/A</v>
      </c>
      <c r="L563" t="e">
        <f t="shared" si="129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6"/>
        <v>0</v>
      </c>
      <c r="B564">
        <f t="shared" si="117"/>
        <v>0</v>
      </c>
      <c r="C564">
        <f t="shared" si="118"/>
        <v>0</v>
      </c>
      <c r="D564">
        <f t="shared" si="119"/>
        <v>0</v>
      </c>
      <c r="E564" t="e">
        <f t="shared" si="120"/>
        <v>#N/A</v>
      </c>
      <c r="F564">
        <f t="shared" si="121"/>
        <v>0</v>
      </c>
      <c r="G564">
        <f t="shared" si="122"/>
        <v>0</v>
      </c>
      <c r="H564">
        <f t="shared" si="123"/>
        <v>0</v>
      </c>
      <c r="I564">
        <f t="shared" si="124"/>
        <v>0</v>
      </c>
      <c r="J564">
        <f t="shared" si="125"/>
        <v>0</v>
      </c>
      <c r="K564" s="4" t="e">
        <f t="shared" si="128"/>
        <v>#N/A</v>
      </c>
      <c r="L564" t="e">
        <f t="shared" si="129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6"/>
        <v>0</v>
      </c>
      <c r="B565">
        <f t="shared" si="117"/>
        <v>0</v>
      </c>
      <c r="C565">
        <f t="shared" si="118"/>
        <v>0</v>
      </c>
      <c r="D565">
        <f t="shared" si="119"/>
        <v>0</v>
      </c>
      <c r="E565" t="e">
        <f t="shared" si="120"/>
        <v>#N/A</v>
      </c>
      <c r="F565">
        <f t="shared" si="121"/>
        <v>0</v>
      </c>
      <c r="G565">
        <f t="shared" si="122"/>
        <v>0</v>
      </c>
      <c r="H565">
        <f t="shared" si="123"/>
        <v>0</v>
      </c>
      <c r="I565">
        <f t="shared" si="124"/>
        <v>0</v>
      </c>
      <c r="J565">
        <f t="shared" si="125"/>
        <v>0</v>
      </c>
      <c r="K565" s="4" t="e">
        <f t="shared" si="128"/>
        <v>#N/A</v>
      </c>
      <c r="L565" t="e">
        <f t="shared" si="129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6"/>
        <v>0</v>
      </c>
      <c r="B566">
        <f t="shared" si="117"/>
        <v>0</v>
      </c>
      <c r="C566">
        <f t="shared" si="118"/>
        <v>0</v>
      </c>
      <c r="D566">
        <f t="shared" si="119"/>
        <v>0</v>
      </c>
      <c r="E566" t="e">
        <f t="shared" si="120"/>
        <v>#N/A</v>
      </c>
      <c r="F566">
        <f t="shared" si="121"/>
        <v>0</v>
      </c>
      <c r="G566">
        <f t="shared" si="122"/>
        <v>0</v>
      </c>
      <c r="H566">
        <f t="shared" si="123"/>
        <v>0</v>
      </c>
      <c r="I566">
        <f t="shared" si="124"/>
        <v>0</v>
      </c>
      <c r="J566">
        <f t="shared" si="125"/>
        <v>0</v>
      </c>
      <c r="K566" s="4" t="e">
        <f t="shared" si="128"/>
        <v>#N/A</v>
      </c>
      <c r="L566" t="e">
        <f t="shared" si="129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6"/>
        <v>0</v>
      </c>
      <c r="B567">
        <f t="shared" si="117"/>
        <v>0</v>
      </c>
      <c r="C567">
        <f t="shared" si="118"/>
        <v>0</v>
      </c>
      <c r="D567">
        <f t="shared" si="119"/>
        <v>0</v>
      </c>
      <c r="E567" t="e">
        <f t="shared" si="120"/>
        <v>#N/A</v>
      </c>
      <c r="F567">
        <f t="shared" si="121"/>
        <v>0</v>
      </c>
      <c r="G567">
        <f t="shared" si="122"/>
        <v>0</v>
      </c>
      <c r="H567">
        <f t="shared" si="123"/>
        <v>0</v>
      </c>
      <c r="I567">
        <f t="shared" si="124"/>
        <v>0</v>
      </c>
      <c r="J567">
        <f t="shared" si="125"/>
        <v>0</v>
      </c>
      <c r="K567" s="4" t="e">
        <f t="shared" si="128"/>
        <v>#N/A</v>
      </c>
      <c r="L567" t="e">
        <f t="shared" si="129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6"/>
        <v>0</v>
      </c>
      <c r="B568">
        <f t="shared" si="117"/>
        <v>0</v>
      </c>
      <c r="C568">
        <f t="shared" si="118"/>
        <v>0</v>
      </c>
      <c r="D568">
        <f t="shared" si="119"/>
        <v>0</v>
      </c>
      <c r="E568" t="e">
        <f t="shared" si="120"/>
        <v>#N/A</v>
      </c>
      <c r="F568">
        <f t="shared" si="121"/>
        <v>0</v>
      </c>
      <c r="G568">
        <f t="shared" si="122"/>
        <v>0</v>
      </c>
      <c r="H568">
        <f t="shared" si="123"/>
        <v>0</v>
      </c>
      <c r="I568">
        <f t="shared" si="124"/>
        <v>0</v>
      </c>
      <c r="J568">
        <f t="shared" si="125"/>
        <v>0</v>
      </c>
      <c r="K568" s="4" t="e">
        <f t="shared" si="128"/>
        <v>#N/A</v>
      </c>
      <c r="L568" t="e">
        <f t="shared" si="129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6"/>
        <v>0</v>
      </c>
      <c r="B569">
        <f t="shared" si="117"/>
        <v>0</v>
      </c>
      <c r="C569">
        <f t="shared" si="118"/>
        <v>0</v>
      </c>
      <c r="D569">
        <f t="shared" si="119"/>
        <v>0</v>
      </c>
      <c r="E569" t="e">
        <f t="shared" si="120"/>
        <v>#N/A</v>
      </c>
      <c r="F569">
        <f t="shared" si="121"/>
        <v>0</v>
      </c>
      <c r="G569">
        <f t="shared" si="122"/>
        <v>0</v>
      </c>
      <c r="H569">
        <f t="shared" si="123"/>
        <v>0</v>
      </c>
      <c r="I569">
        <f t="shared" si="124"/>
        <v>0</v>
      </c>
      <c r="J569">
        <f t="shared" si="125"/>
        <v>0</v>
      </c>
      <c r="K569" s="4" t="e">
        <f t="shared" si="128"/>
        <v>#N/A</v>
      </c>
      <c r="L569" t="e">
        <f t="shared" si="129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6"/>
        <v>0</v>
      </c>
      <c r="B570">
        <f t="shared" si="117"/>
        <v>0</v>
      </c>
      <c r="C570">
        <f t="shared" si="118"/>
        <v>0</v>
      </c>
      <c r="D570">
        <f t="shared" si="119"/>
        <v>0</v>
      </c>
      <c r="E570" t="e">
        <f t="shared" si="120"/>
        <v>#N/A</v>
      </c>
      <c r="F570">
        <f t="shared" si="121"/>
        <v>0</v>
      </c>
      <c r="G570">
        <f t="shared" si="122"/>
        <v>0</v>
      </c>
      <c r="H570">
        <f t="shared" si="123"/>
        <v>0</v>
      </c>
      <c r="I570">
        <f t="shared" si="124"/>
        <v>0</v>
      </c>
      <c r="J570">
        <f t="shared" si="125"/>
        <v>0</v>
      </c>
      <c r="K570" s="4" t="e">
        <f t="shared" si="128"/>
        <v>#N/A</v>
      </c>
      <c r="L570" t="e">
        <f t="shared" si="129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6"/>
        <v>0</v>
      </c>
      <c r="B571">
        <f t="shared" si="117"/>
        <v>0</v>
      </c>
      <c r="C571">
        <f t="shared" si="118"/>
        <v>0</v>
      </c>
      <c r="D571">
        <f t="shared" si="119"/>
        <v>0</v>
      </c>
      <c r="E571" t="e">
        <f t="shared" si="120"/>
        <v>#N/A</v>
      </c>
      <c r="F571">
        <f t="shared" si="121"/>
        <v>0</v>
      </c>
      <c r="G571">
        <f t="shared" si="122"/>
        <v>0</v>
      </c>
      <c r="H571">
        <f t="shared" si="123"/>
        <v>0</v>
      </c>
      <c r="I571">
        <f t="shared" si="124"/>
        <v>0</v>
      </c>
      <c r="J571">
        <f t="shared" si="125"/>
        <v>0</v>
      </c>
      <c r="K571" s="4" t="e">
        <f t="shared" si="128"/>
        <v>#N/A</v>
      </c>
      <c r="L571" t="e">
        <f t="shared" si="129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6"/>
        <v>0</v>
      </c>
      <c r="B572">
        <f t="shared" si="117"/>
        <v>0</v>
      </c>
      <c r="C572">
        <f t="shared" si="118"/>
        <v>0</v>
      </c>
      <c r="D572">
        <f t="shared" si="119"/>
        <v>0</v>
      </c>
      <c r="E572" t="e">
        <f t="shared" si="120"/>
        <v>#N/A</v>
      </c>
      <c r="F572">
        <f t="shared" si="121"/>
        <v>0</v>
      </c>
      <c r="G572">
        <f t="shared" si="122"/>
        <v>0</v>
      </c>
      <c r="H572">
        <f t="shared" si="123"/>
        <v>0</v>
      </c>
      <c r="I572">
        <f t="shared" si="124"/>
        <v>0</v>
      </c>
      <c r="J572">
        <f t="shared" si="125"/>
        <v>0</v>
      </c>
      <c r="K572" s="4" t="e">
        <f t="shared" si="128"/>
        <v>#N/A</v>
      </c>
      <c r="L572" t="e">
        <f t="shared" si="129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6"/>
        <v>0</v>
      </c>
      <c r="B573">
        <f t="shared" si="117"/>
        <v>0</v>
      </c>
      <c r="C573">
        <f t="shared" si="118"/>
        <v>0</v>
      </c>
      <c r="D573">
        <f t="shared" si="119"/>
        <v>0</v>
      </c>
      <c r="E573" t="e">
        <f t="shared" si="120"/>
        <v>#N/A</v>
      </c>
      <c r="F573">
        <f t="shared" si="121"/>
        <v>0</v>
      </c>
      <c r="G573">
        <f t="shared" si="122"/>
        <v>0</v>
      </c>
      <c r="H573">
        <f t="shared" si="123"/>
        <v>0</v>
      </c>
      <c r="I573">
        <f t="shared" si="124"/>
        <v>0</v>
      </c>
      <c r="J573">
        <f t="shared" si="125"/>
        <v>0</v>
      </c>
      <c r="K573" s="4" t="e">
        <f t="shared" si="128"/>
        <v>#N/A</v>
      </c>
      <c r="L573" t="e">
        <f t="shared" si="129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6"/>
        <v>0</v>
      </c>
      <c r="B574">
        <f t="shared" si="117"/>
        <v>0</v>
      </c>
      <c r="C574">
        <f t="shared" si="118"/>
        <v>0</v>
      </c>
      <c r="D574">
        <f t="shared" si="119"/>
        <v>0</v>
      </c>
      <c r="E574" t="e">
        <f t="shared" si="120"/>
        <v>#N/A</v>
      </c>
      <c r="F574">
        <f t="shared" si="121"/>
        <v>0</v>
      </c>
      <c r="G574">
        <f t="shared" si="122"/>
        <v>0</v>
      </c>
      <c r="H574">
        <f t="shared" si="123"/>
        <v>0</v>
      </c>
      <c r="I574">
        <f t="shared" si="124"/>
        <v>0</v>
      </c>
      <c r="J574">
        <f t="shared" si="125"/>
        <v>0</v>
      </c>
      <c r="K574" s="4" t="e">
        <f t="shared" si="128"/>
        <v>#N/A</v>
      </c>
      <c r="L574" t="e">
        <f t="shared" si="129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6"/>
        <v>0</v>
      </c>
      <c r="B575">
        <f t="shared" si="117"/>
        <v>0</v>
      </c>
      <c r="C575">
        <f t="shared" si="118"/>
        <v>0</v>
      </c>
      <c r="D575">
        <f t="shared" si="119"/>
        <v>0</v>
      </c>
      <c r="E575" t="e">
        <f t="shared" si="120"/>
        <v>#N/A</v>
      </c>
      <c r="F575">
        <f t="shared" si="121"/>
        <v>0</v>
      </c>
      <c r="G575">
        <f t="shared" si="122"/>
        <v>0</v>
      </c>
      <c r="H575">
        <f t="shared" si="123"/>
        <v>0</v>
      </c>
      <c r="I575">
        <f t="shared" si="124"/>
        <v>0</v>
      </c>
      <c r="J575">
        <f t="shared" si="125"/>
        <v>0</v>
      </c>
      <c r="K575" s="4" t="e">
        <f t="shared" si="128"/>
        <v>#N/A</v>
      </c>
      <c r="L575" t="e">
        <f t="shared" si="129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6"/>
        <v>0</v>
      </c>
      <c r="B576">
        <f t="shared" si="117"/>
        <v>0</v>
      </c>
      <c r="C576">
        <f t="shared" si="118"/>
        <v>0</v>
      </c>
      <c r="D576">
        <f t="shared" si="119"/>
        <v>0</v>
      </c>
      <c r="E576" t="e">
        <f t="shared" si="120"/>
        <v>#N/A</v>
      </c>
      <c r="F576">
        <f t="shared" si="121"/>
        <v>0</v>
      </c>
      <c r="G576">
        <f t="shared" si="122"/>
        <v>0</v>
      </c>
      <c r="H576">
        <f t="shared" si="123"/>
        <v>0</v>
      </c>
      <c r="I576">
        <f t="shared" si="124"/>
        <v>0</v>
      </c>
      <c r="J576">
        <f t="shared" si="125"/>
        <v>0</v>
      </c>
      <c r="K576" s="4" t="e">
        <f t="shared" si="128"/>
        <v>#N/A</v>
      </c>
      <c r="L576" t="e">
        <f t="shared" si="129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6"/>
        <v>0</v>
      </c>
      <c r="B577">
        <f t="shared" si="117"/>
        <v>0</v>
      </c>
      <c r="C577">
        <f t="shared" si="118"/>
        <v>0</v>
      </c>
      <c r="D577">
        <f t="shared" si="119"/>
        <v>0</v>
      </c>
      <c r="E577" t="e">
        <f t="shared" si="120"/>
        <v>#N/A</v>
      </c>
      <c r="F577">
        <f t="shared" si="121"/>
        <v>0</v>
      </c>
      <c r="G577">
        <f t="shared" si="122"/>
        <v>0</v>
      </c>
      <c r="H577">
        <f t="shared" si="123"/>
        <v>0</v>
      </c>
      <c r="I577">
        <f t="shared" si="124"/>
        <v>0</v>
      </c>
      <c r="J577">
        <f t="shared" si="125"/>
        <v>0</v>
      </c>
      <c r="K577" s="4" t="e">
        <f t="shared" si="128"/>
        <v>#N/A</v>
      </c>
      <c r="L577" t="e">
        <f t="shared" si="129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30">bd_campaign</f>
        <v>0</v>
      </c>
      <c r="B578">
        <f t="shared" ref="B578:B641" si="131">bd_site</f>
        <v>0</v>
      </c>
      <c r="C578">
        <f t="shared" ref="C578:C641" si="132">bd_placement</f>
        <v>0</v>
      </c>
      <c r="D578">
        <f t="shared" ref="D578:D641" si="133">bd_placementID</f>
        <v>0</v>
      </c>
      <c r="E578" t="e">
        <f t="shared" ref="E578:E641" si="134">VLOOKUP(CONCATENATE(bd_adtype,"_",bd_creativetype),tabela,2,FALSE)</f>
        <v>#N/A</v>
      </c>
      <c r="F578">
        <f t="shared" ref="F578:F641" si="135">bd_ad</f>
        <v>0</v>
      </c>
      <c r="G578">
        <f t="shared" ref="G578:G641" si="136">bd_adid</f>
        <v>0</v>
      </c>
      <c r="H578">
        <f t="shared" ref="H578:H641" si="137">bd_creativetype</f>
        <v>0</v>
      </c>
      <c r="I578">
        <f t="shared" ref="I578:I641" si="138">bd_impression</f>
        <v>0</v>
      </c>
      <c r="J578">
        <f t="shared" ref="J578:J641" si="139">bd_clicks</f>
        <v>0</v>
      </c>
      <c r="K578" s="4" t="e">
        <f t="shared" si="128"/>
        <v>#N/A</v>
      </c>
      <c r="L578" t="e">
        <f t="shared" si="129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30"/>
        <v>0</v>
      </c>
      <c r="B579">
        <f t="shared" si="131"/>
        <v>0</v>
      </c>
      <c r="C579">
        <f t="shared" si="132"/>
        <v>0</v>
      </c>
      <c r="D579">
        <f t="shared" si="133"/>
        <v>0</v>
      </c>
      <c r="E579" t="e">
        <f t="shared" si="134"/>
        <v>#N/A</v>
      </c>
      <c r="F579">
        <f t="shared" si="135"/>
        <v>0</v>
      </c>
      <c r="G579">
        <f t="shared" si="136"/>
        <v>0</v>
      </c>
      <c r="H579">
        <f t="shared" si="137"/>
        <v>0</v>
      </c>
      <c r="I579">
        <f t="shared" si="138"/>
        <v>0</v>
      </c>
      <c r="J579">
        <f t="shared" si="139"/>
        <v>0</v>
      </c>
      <c r="K579" s="4" t="e">
        <f t="shared" si="128"/>
        <v>#N/A</v>
      </c>
      <c r="L579" t="e">
        <f t="shared" si="129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30"/>
        <v>0</v>
      </c>
      <c r="B580">
        <f t="shared" si="131"/>
        <v>0</v>
      </c>
      <c r="C580">
        <f t="shared" si="132"/>
        <v>0</v>
      </c>
      <c r="D580">
        <f t="shared" si="133"/>
        <v>0</v>
      </c>
      <c r="E580" t="e">
        <f t="shared" si="134"/>
        <v>#N/A</v>
      </c>
      <c r="F580">
        <f t="shared" si="135"/>
        <v>0</v>
      </c>
      <c r="G580">
        <f t="shared" si="136"/>
        <v>0</v>
      </c>
      <c r="H580">
        <f t="shared" si="137"/>
        <v>0</v>
      </c>
      <c r="I580">
        <f t="shared" si="138"/>
        <v>0</v>
      </c>
      <c r="J580">
        <f t="shared" si="139"/>
        <v>0</v>
      </c>
      <c r="K580" s="4" t="e">
        <f t="shared" si="128"/>
        <v>#N/A</v>
      </c>
      <c r="L580" t="e">
        <f t="shared" si="129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30"/>
        <v>0</v>
      </c>
      <c r="B581">
        <f t="shared" si="131"/>
        <v>0</v>
      </c>
      <c r="C581">
        <f t="shared" si="132"/>
        <v>0</v>
      </c>
      <c r="D581">
        <f t="shared" si="133"/>
        <v>0</v>
      </c>
      <c r="E581" t="e">
        <f t="shared" si="134"/>
        <v>#N/A</v>
      </c>
      <c r="F581">
        <f t="shared" si="135"/>
        <v>0</v>
      </c>
      <c r="G581">
        <f t="shared" si="136"/>
        <v>0</v>
      </c>
      <c r="H581">
        <f t="shared" si="137"/>
        <v>0</v>
      </c>
      <c r="I581">
        <f t="shared" si="138"/>
        <v>0</v>
      </c>
      <c r="J581">
        <f t="shared" si="139"/>
        <v>0</v>
      </c>
      <c r="K581" s="4" t="e">
        <f t="shared" si="128"/>
        <v>#N/A</v>
      </c>
      <c r="L581" t="e">
        <f t="shared" si="129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30"/>
        <v>0</v>
      </c>
      <c r="B582">
        <f t="shared" si="131"/>
        <v>0</v>
      </c>
      <c r="C582">
        <f t="shared" si="132"/>
        <v>0</v>
      </c>
      <c r="D582">
        <f t="shared" si="133"/>
        <v>0</v>
      </c>
      <c r="E582" t="e">
        <f t="shared" si="134"/>
        <v>#N/A</v>
      </c>
      <c r="F582">
        <f t="shared" si="135"/>
        <v>0</v>
      </c>
      <c r="G582">
        <f t="shared" si="136"/>
        <v>0</v>
      </c>
      <c r="H582">
        <f t="shared" si="137"/>
        <v>0</v>
      </c>
      <c r="I582">
        <f t="shared" si="138"/>
        <v>0</v>
      </c>
      <c r="J582">
        <f t="shared" si="139"/>
        <v>0</v>
      </c>
      <c r="K582" s="4" t="e">
        <f t="shared" si="128"/>
        <v>#N/A</v>
      </c>
      <c r="L582" t="e">
        <f t="shared" si="129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30"/>
        <v>0</v>
      </c>
      <c r="B583">
        <f t="shared" si="131"/>
        <v>0</v>
      </c>
      <c r="C583">
        <f t="shared" si="132"/>
        <v>0</v>
      </c>
      <c r="D583">
        <f t="shared" si="133"/>
        <v>0</v>
      </c>
      <c r="E583" t="e">
        <f t="shared" si="134"/>
        <v>#N/A</v>
      </c>
      <c r="F583">
        <f t="shared" si="135"/>
        <v>0</v>
      </c>
      <c r="G583">
        <f t="shared" si="136"/>
        <v>0</v>
      </c>
      <c r="H583">
        <f t="shared" si="137"/>
        <v>0</v>
      </c>
      <c r="I583">
        <f t="shared" si="138"/>
        <v>0</v>
      </c>
      <c r="J583">
        <f t="shared" si="139"/>
        <v>0</v>
      </c>
      <c r="K583" s="4" t="e">
        <f t="shared" si="128"/>
        <v>#N/A</v>
      </c>
      <c r="L583" t="e">
        <f t="shared" si="129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30"/>
        <v>0</v>
      </c>
      <c r="B584">
        <f t="shared" si="131"/>
        <v>0</v>
      </c>
      <c r="C584">
        <f t="shared" si="132"/>
        <v>0</v>
      </c>
      <c r="D584">
        <f t="shared" si="133"/>
        <v>0</v>
      </c>
      <c r="E584" t="e">
        <f t="shared" si="134"/>
        <v>#N/A</v>
      </c>
      <c r="F584">
        <f t="shared" si="135"/>
        <v>0</v>
      </c>
      <c r="G584">
        <f t="shared" si="136"/>
        <v>0</v>
      </c>
      <c r="H584">
        <f t="shared" si="137"/>
        <v>0</v>
      </c>
      <c r="I584">
        <f t="shared" si="138"/>
        <v>0</v>
      </c>
      <c r="J584">
        <f t="shared" si="139"/>
        <v>0</v>
      </c>
      <c r="K584" s="4" t="e">
        <f t="shared" si="128"/>
        <v>#N/A</v>
      </c>
      <c r="L584" t="e">
        <f t="shared" si="129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30"/>
        <v>0</v>
      </c>
      <c r="B585">
        <f t="shared" si="131"/>
        <v>0</v>
      </c>
      <c r="C585">
        <f t="shared" si="132"/>
        <v>0</v>
      </c>
      <c r="D585">
        <f t="shared" si="133"/>
        <v>0</v>
      </c>
      <c r="E585" t="e">
        <f t="shared" si="134"/>
        <v>#N/A</v>
      </c>
      <c r="F585">
        <f t="shared" si="135"/>
        <v>0</v>
      </c>
      <c r="G585">
        <f t="shared" si="136"/>
        <v>0</v>
      </c>
      <c r="H585">
        <f t="shared" si="137"/>
        <v>0</v>
      </c>
      <c r="I585">
        <f t="shared" si="138"/>
        <v>0</v>
      </c>
      <c r="J585">
        <f t="shared" si="139"/>
        <v>0</v>
      </c>
      <c r="K585" s="4" t="e">
        <f t="shared" si="128"/>
        <v>#N/A</v>
      </c>
      <c r="L585" t="e">
        <f t="shared" si="129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30"/>
        <v>0</v>
      </c>
      <c r="B586">
        <f t="shared" si="131"/>
        <v>0</v>
      </c>
      <c r="C586">
        <f t="shared" si="132"/>
        <v>0</v>
      </c>
      <c r="D586">
        <f t="shared" si="133"/>
        <v>0</v>
      </c>
      <c r="E586" t="e">
        <f t="shared" si="134"/>
        <v>#N/A</v>
      </c>
      <c r="F586">
        <f t="shared" si="135"/>
        <v>0</v>
      </c>
      <c r="G586">
        <f t="shared" si="136"/>
        <v>0</v>
      </c>
      <c r="H586">
        <f t="shared" si="137"/>
        <v>0</v>
      </c>
      <c r="I586">
        <f t="shared" si="138"/>
        <v>0</v>
      </c>
      <c r="J586">
        <f t="shared" si="139"/>
        <v>0</v>
      </c>
      <c r="K586" s="4" t="e">
        <f t="shared" si="128"/>
        <v>#N/A</v>
      </c>
      <c r="L586" t="e">
        <f t="shared" si="129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30"/>
        <v>0</v>
      </c>
      <c r="B587">
        <f t="shared" si="131"/>
        <v>0</v>
      </c>
      <c r="C587">
        <f t="shared" si="132"/>
        <v>0</v>
      </c>
      <c r="D587">
        <f t="shared" si="133"/>
        <v>0</v>
      </c>
      <c r="E587" t="e">
        <f t="shared" si="134"/>
        <v>#N/A</v>
      </c>
      <c r="F587">
        <f t="shared" si="135"/>
        <v>0</v>
      </c>
      <c r="G587">
        <f t="shared" si="136"/>
        <v>0</v>
      </c>
      <c r="H587">
        <f t="shared" si="137"/>
        <v>0</v>
      </c>
      <c r="I587">
        <f t="shared" si="138"/>
        <v>0</v>
      </c>
      <c r="J587">
        <f t="shared" si="139"/>
        <v>0</v>
      </c>
      <c r="K587" s="4" t="e">
        <f t="shared" si="128"/>
        <v>#N/A</v>
      </c>
      <c r="L587" t="e">
        <f t="shared" si="129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30"/>
        <v>0</v>
      </c>
      <c r="B588">
        <f t="shared" si="131"/>
        <v>0</v>
      </c>
      <c r="C588">
        <f t="shared" si="132"/>
        <v>0</v>
      </c>
      <c r="D588">
        <f t="shared" si="133"/>
        <v>0</v>
      </c>
      <c r="E588" t="e">
        <f t="shared" si="134"/>
        <v>#N/A</v>
      </c>
      <c r="F588">
        <f t="shared" si="135"/>
        <v>0</v>
      </c>
      <c r="G588">
        <f t="shared" si="136"/>
        <v>0</v>
      </c>
      <c r="H588">
        <f t="shared" si="137"/>
        <v>0</v>
      </c>
      <c r="I588">
        <f t="shared" si="138"/>
        <v>0</v>
      </c>
      <c r="J588">
        <f t="shared" si="139"/>
        <v>0</v>
      </c>
      <c r="K588" s="4" t="e">
        <f t="shared" si="128"/>
        <v>#N/A</v>
      </c>
      <c r="L588" t="e">
        <f t="shared" si="129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30"/>
        <v>0</v>
      </c>
      <c r="B589">
        <f t="shared" si="131"/>
        <v>0</v>
      </c>
      <c r="C589">
        <f t="shared" si="132"/>
        <v>0</v>
      </c>
      <c r="D589">
        <f t="shared" si="133"/>
        <v>0</v>
      </c>
      <c r="E589" t="e">
        <f t="shared" si="134"/>
        <v>#N/A</v>
      </c>
      <c r="F589">
        <f t="shared" si="135"/>
        <v>0</v>
      </c>
      <c r="G589">
        <f t="shared" si="136"/>
        <v>0</v>
      </c>
      <c r="H589">
        <f t="shared" si="137"/>
        <v>0</v>
      </c>
      <c r="I589">
        <f t="shared" si="138"/>
        <v>0</v>
      </c>
      <c r="J589">
        <f t="shared" si="139"/>
        <v>0</v>
      </c>
      <c r="K589" s="4" t="e">
        <f t="shared" si="128"/>
        <v>#N/A</v>
      </c>
      <c r="L589" t="e">
        <f t="shared" si="129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30"/>
        <v>0</v>
      </c>
      <c r="B590">
        <f t="shared" si="131"/>
        <v>0</v>
      </c>
      <c r="C590">
        <f t="shared" si="132"/>
        <v>0</v>
      </c>
      <c r="D590">
        <f t="shared" si="133"/>
        <v>0</v>
      </c>
      <c r="E590" t="e">
        <f t="shared" si="134"/>
        <v>#N/A</v>
      </c>
      <c r="F590">
        <f t="shared" si="135"/>
        <v>0</v>
      </c>
      <c r="G590">
        <f t="shared" si="136"/>
        <v>0</v>
      </c>
      <c r="H590">
        <f t="shared" si="137"/>
        <v>0</v>
      </c>
      <c r="I590">
        <f t="shared" si="138"/>
        <v>0</v>
      </c>
      <c r="J590">
        <f t="shared" si="139"/>
        <v>0</v>
      </c>
      <c r="K590" s="4" t="e">
        <f t="shared" si="128"/>
        <v>#N/A</v>
      </c>
      <c r="L590" t="e">
        <f t="shared" si="129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30"/>
        <v>0</v>
      </c>
      <c r="B591">
        <f t="shared" si="131"/>
        <v>0</v>
      </c>
      <c r="C591">
        <f t="shared" si="132"/>
        <v>0</v>
      </c>
      <c r="D591">
        <f t="shared" si="133"/>
        <v>0</v>
      </c>
      <c r="E591" t="e">
        <f t="shared" si="134"/>
        <v>#N/A</v>
      </c>
      <c r="F591">
        <f t="shared" si="135"/>
        <v>0</v>
      </c>
      <c r="G591">
        <f t="shared" si="136"/>
        <v>0</v>
      </c>
      <c r="H591">
        <f t="shared" si="137"/>
        <v>0</v>
      </c>
      <c r="I591">
        <f t="shared" si="138"/>
        <v>0</v>
      </c>
      <c r="J591">
        <f t="shared" si="139"/>
        <v>0</v>
      </c>
      <c r="K591" s="4" t="e">
        <f t="shared" si="128"/>
        <v>#N/A</v>
      </c>
      <c r="L591" t="e">
        <f t="shared" si="129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30"/>
        <v>0</v>
      </c>
      <c r="B592">
        <f t="shared" si="131"/>
        <v>0</v>
      </c>
      <c r="C592">
        <f t="shared" si="132"/>
        <v>0</v>
      </c>
      <c r="D592">
        <f t="shared" si="133"/>
        <v>0</v>
      </c>
      <c r="E592" t="e">
        <f t="shared" si="134"/>
        <v>#N/A</v>
      </c>
      <c r="F592">
        <f t="shared" si="135"/>
        <v>0</v>
      </c>
      <c r="G592">
        <f t="shared" si="136"/>
        <v>0</v>
      </c>
      <c r="H592">
        <f t="shared" si="137"/>
        <v>0</v>
      </c>
      <c r="I592">
        <f t="shared" si="138"/>
        <v>0</v>
      </c>
      <c r="J592">
        <f t="shared" si="139"/>
        <v>0</v>
      </c>
      <c r="K592" s="4" t="e">
        <f t="shared" si="128"/>
        <v>#N/A</v>
      </c>
      <c r="L592" t="e">
        <f t="shared" si="129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30"/>
        <v>0</v>
      </c>
      <c r="B593">
        <f t="shared" si="131"/>
        <v>0</v>
      </c>
      <c r="C593">
        <f t="shared" si="132"/>
        <v>0</v>
      </c>
      <c r="D593">
        <f t="shared" si="133"/>
        <v>0</v>
      </c>
      <c r="E593" t="e">
        <f t="shared" si="134"/>
        <v>#N/A</v>
      </c>
      <c r="F593">
        <f t="shared" si="135"/>
        <v>0</v>
      </c>
      <c r="G593">
        <f t="shared" si="136"/>
        <v>0</v>
      </c>
      <c r="H593">
        <f t="shared" si="137"/>
        <v>0</v>
      </c>
      <c r="I593">
        <f t="shared" si="138"/>
        <v>0</v>
      </c>
      <c r="J593">
        <f t="shared" si="139"/>
        <v>0</v>
      </c>
      <c r="K593" s="4" t="e">
        <f t="shared" si="128"/>
        <v>#N/A</v>
      </c>
      <c r="L593" t="e">
        <f t="shared" si="129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30"/>
        <v>0</v>
      </c>
      <c r="B594">
        <f t="shared" si="131"/>
        <v>0</v>
      </c>
      <c r="C594">
        <f t="shared" si="132"/>
        <v>0</v>
      </c>
      <c r="D594">
        <f t="shared" si="133"/>
        <v>0</v>
      </c>
      <c r="E594" t="e">
        <f t="shared" si="134"/>
        <v>#N/A</v>
      </c>
      <c r="F594">
        <f t="shared" si="135"/>
        <v>0</v>
      </c>
      <c r="G594">
        <f t="shared" si="136"/>
        <v>0</v>
      </c>
      <c r="H594">
        <f t="shared" si="137"/>
        <v>0</v>
      </c>
      <c r="I594">
        <f t="shared" si="138"/>
        <v>0</v>
      </c>
      <c r="J594">
        <f t="shared" si="139"/>
        <v>0</v>
      </c>
      <c r="K594" s="4" t="e">
        <f t="shared" si="128"/>
        <v>#N/A</v>
      </c>
      <c r="L594" t="e">
        <f t="shared" si="129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30"/>
        <v>0</v>
      </c>
      <c r="B595">
        <f t="shared" si="131"/>
        <v>0</v>
      </c>
      <c r="C595">
        <f t="shared" si="132"/>
        <v>0</v>
      </c>
      <c r="D595">
        <f t="shared" si="133"/>
        <v>0</v>
      </c>
      <c r="E595" t="e">
        <f t="shared" si="134"/>
        <v>#N/A</v>
      </c>
      <c r="F595">
        <f t="shared" si="135"/>
        <v>0</v>
      </c>
      <c r="G595">
        <f t="shared" si="136"/>
        <v>0</v>
      </c>
      <c r="H595">
        <f t="shared" si="137"/>
        <v>0</v>
      </c>
      <c r="I595">
        <f t="shared" si="138"/>
        <v>0</v>
      </c>
      <c r="J595">
        <f t="shared" si="139"/>
        <v>0</v>
      </c>
      <c r="K595" s="4" t="e">
        <f t="shared" si="128"/>
        <v>#N/A</v>
      </c>
      <c r="L595" t="e">
        <f t="shared" si="129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30"/>
        <v>0</v>
      </c>
      <c r="B596">
        <f t="shared" si="131"/>
        <v>0</v>
      </c>
      <c r="C596">
        <f t="shared" si="132"/>
        <v>0</v>
      </c>
      <c r="D596">
        <f t="shared" si="133"/>
        <v>0</v>
      </c>
      <c r="E596" t="e">
        <f t="shared" si="134"/>
        <v>#N/A</v>
      </c>
      <c r="F596">
        <f t="shared" si="135"/>
        <v>0</v>
      </c>
      <c r="G596">
        <f t="shared" si="136"/>
        <v>0</v>
      </c>
      <c r="H596">
        <f t="shared" si="137"/>
        <v>0</v>
      </c>
      <c r="I596">
        <f t="shared" si="138"/>
        <v>0</v>
      </c>
      <c r="J596">
        <f t="shared" si="139"/>
        <v>0</v>
      </c>
      <c r="K596" s="4" t="e">
        <f t="shared" si="128"/>
        <v>#N/A</v>
      </c>
      <c r="L596" t="e">
        <f t="shared" si="129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30"/>
        <v>0</v>
      </c>
      <c r="B597">
        <f t="shared" si="131"/>
        <v>0</v>
      </c>
      <c r="C597">
        <f t="shared" si="132"/>
        <v>0</v>
      </c>
      <c r="D597">
        <f t="shared" si="133"/>
        <v>0</v>
      </c>
      <c r="E597" t="e">
        <f t="shared" si="134"/>
        <v>#N/A</v>
      </c>
      <c r="F597">
        <f t="shared" si="135"/>
        <v>0</v>
      </c>
      <c r="G597">
        <f t="shared" si="136"/>
        <v>0</v>
      </c>
      <c r="H597">
        <f t="shared" si="137"/>
        <v>0</v>
      </c>
      <c r="I597">
        <f t="shared" si="138"/>
        <v>0</v>
      </c>
      <c r="J597">
        <f t="shared" si="139"/>
        <v>0</v>
      </c>
      <c r="K597" s="4" t="e">
        <f t="shared" si="128"/>
        <v>#N/A</v>
      </c>
      <c r="L597" t="e">
        <f t="shared" si="129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30"/>
        <v>0</v>
      </c>
      <c r="B598">
        <f t="shared" si="131"/>
        <v>0</v>
      </c>
      <c r="C598">
        <f t="shared" si="132"/>
        <v>0</v>
      </c>
      <c r="D598">
        <f t="shared" si="133"/>
        <v>0</v>
      </c>
      <c r="E598" t="e">
        <f t="shared" si="134"/>
        <v>#N/A</v>
      </c>
      <c r="F598">
        <f t="shared" si="135"/>
        <v>0</v>
      </c>
      <c r="G598">
        <f t="shared" si="136"/>
        <v>0</v>
      </c>
      <c r="H598">
        <f t="shared" si="137"/>
        <v>0</v>
      </c>
      <c r="I598">
        <f t="shared" si="138"/>
        <v>0</v>
      </c>
      <c r="J598">
        <f t="shared" si="139"/>
        <v>0</v>
      </c>
      <c r="K598" s="4" t="e">
        <f t="shared" si="128"/>
        <v>#N/A</v>
      </c>
      <c r="L598" t="e">
        <f t="shared" si="129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30"/>
        <v>0</v>
      </c>
      <c r="B599">
        <f t="shared" si="131"/>
        <v>0</v>
      </c>
      <c r="C599">
        <f t="shared" si="132"/>
        <v>0</v>
      </c>
      <c r="D599">
        <f t="shared" si="133"/>
        <v>0</v>
      </c>
      <c r="E599" t="e">
        <f t="shared" si="134"/>
        <v>#N/A</v>
      </c>
      <c r="F599">
        <f t="shared" si="135"/>
        <v>0</v>
      </c>
      <c r="G599">
        <f t="shared" si="136"/>
        <v>0</v>
      </c>
      <c r="H599">
        <f t="shared" si="137"/>
        <v>0</v>
      </c>
      <c r="I599">
        <f t="shared" si="138"/>
        <v>0</v>
      </c>
      <c r="J599">
        <f t="shared" si="139"/>
        <v>0</v>
      </c>
      <c r="K599" s="4" t="e">
        <f t="shared" si="128"/>
        <v>#N/A</v>
      </c>
      <c r="L599" t="e">
        <f t="shared" si="129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30"/>
        <v>0</v>
      </c>
      <c r="B600">
        <f t="shared" si="131"/>
        <v>0</v>
      </c>
      <c r="C600">
        <f t="shared" si="132"/>
        <v>0</v>
      </c>
      <c r="D600">
        <f t="shared" si="133"/>
        <v>0</v>
      </c>
      <c r="E600" t="e">
        <f t="shared" si="134"/>
        <v>#N/A</v>
      </c>
      <c r="F600">
        <f t="shared" si="135"/>
        <v>0</v>
      </c>
      <c r="G600">
        <f t="shared" si="136"/>
        <v>0</v>
      </c>
      <c r="H600">
        <f t="shared" si="137"/>
        <v>0</v>
      </c>
      <c r="I600">
        <f t="shared" si="138"/>
        <v>0</v>
      </c>
      <c r="J600">
        <f t="shared" si="139"/>
        <v>0</v>
      </c>
      <c r="K600" s="4" t="e">
        <f t="shared" si="128"/>
        <v>#N/A</v>
      </c>
      <c r="L600" t="e">
        <f t="shared" si="129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30"/>
        <v>0</v>
      </c>
      <c r="B601">
        <f t="shared" si="131"/>
        <v>0</v>
      </c>
      <c r="C601">
        <f t="shared" si="132"/>
        <v>0</v>
      </c>
      <c r="D601">
        <f t="shared" si="133"/>
        <v>0</v>
      </c>
      <c r="E601" t="e">
        <f t="shared" si="134"/>
        <v>#N/A</v>
      </c>
      <c r="F601">
        <f t="shared" si="135"/>
        <v>0</v>
      </c>
      <c r="G601">
        <f t="shared" si="136"/>
        <v>0</v>
      </c>
      <c r="H601">
        <f t="shared" si="137"/>
        <v>0</v>
      </c>
      <c r="I601">
        <f t="shared" si="138"/>
        <v>0</v>
      </c>
      <c r="J601">
        <f t="shared" si="139"/>
        <v>0</v>
      </c>
      <c r="K601" s="4" t="e">
        <f t="shared" si="128"/>
        <v>#N/A</v>
      </c>
      <c r="L601" t="e">
        <f t="shared" si="129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30"/>
        <v>0</v>
      </c>
      <c r="B602">
        <f t="shared" si="131"/>
        <v>0</v>
      </c>
      <c r="C602">
        <f t="shared" si="132"/>
        <v>0</v>
      </c>
      <c r="D602">
        <f t="shared" si="133"/>
        <v>0</v>
      </c>
      <c r="E602" t="e">
        <f t="shared" si="134"/>
        <v>#N/A</v>
      </c>
      <c r="F602">
        <f t="shared" si="135"/>
        <v>0</v>
      </c>
      <c r="G602">
        <f t="shared" si="136"/>
        <v>0</v>
      </c>
      <c r="H602">
        <f t="shared" si="137"/>
        <v>0</v>
      </c>
      <c r="I602">
        <f t="shared" si="138"/>
        <v>0</v>
      </c>
      <c r="J602">
        <f t="shared" si="139"/>
        <v>0</v>
      </c>
      <c r="K602" s="4" t="e">
        <f t="shared" si="128"/>
        <v>#N/A</v>
      </c>
      <c r="L602" t="e">
        <f t="shared" si="129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30"/>
        <v>0</v>
      </c>
      <c r="B603">
        <f t="shared" si="131"/>
        <v>0</v>
      </c>
      <c r="C603">
        <f t="shared" si="132"/>
        <v>0</v>
      </c>
      <c r="D603">
        <f t="shared" si="133"/>
        <v>0</v>
      </c>
      <c r="E603" t="e">
        <f t="shared" si="134"/>
        <v>#N/A</v>
      </c>
      <c r="F603">
        <f t="shared" si="135"/>
        <v>0</v>
      </c>
      <c r="G603">
        <f t="shared" si="136"/>
        <v>0</v>
      </c>
      <c r="H603">
        <f t="shared" si="137"/>
        <v>0</v>
      </c>
      <c r="I603">
        <f t="shared" si="138"/>
        <v>0</v>
      </c>
      <c r="J603">
        <f t="shared" si="139"/>
        <v>0</v>
      </c>
      <c r="K603" s="4" t="e">
        <f t="shared" si="128"/>
        <v>#N/A</v>
      </c>
      <c r="L603" t="e">
        <f t="shared" si="129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30"/>
        <v>0</v>
      </c>
      <c r="B604">
        <f t="shared" si="131"/>
        <v>0</v>
      </c>
      <c r="C604">
        <f t="shared" si="132"/>
        <v>0</v>
      </c>
      <c r="D604">
        <f t="shared" si="133"/>
        <v>0</v>
      </c>
      <c r="E604" t="e">
        <f t="shared" si="134"/>
        <v>#N/A</v>
      </c>
      <c r="F604">
        <f t="shared" si="135"/>
        <v>0</v>
      </c>
      <c r="G604">
        <f t="shared" si="136"/>
        <v>0</v>
      </c>
      <c r="H604">
        <f t="shared" si="137"/>
        <v>0</v>
      </c>
      <c r="I604">
        <f t="shared" si="138"/>
        <v>0</v>
      </c>
      <c r="J604">
        <f t="shared" si="139"/>
        <v>0</v>
      </c>
      <c r="K604" s="4" t="e">
        <f t="shared" si="128"/>
        <v>#N/A</v>
      </c>
      <c r="L604" t="e">
        <f t="shared" si="129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30"/>
        <v>0</v>
      </c>
      <c r="B605">
        <f t="shared" si="131"/>
        <v>0</v>
      </c>
      <c r="C605">
        <f t="shared" si="132"/>
        <v>0</v>
      </c>
      <c r="D605">
        <f t="shared" si="133"/>
        <v>0</v>
      </c>
      <c r="E605" t="e">
        <f t="shared" si="134"/>
        <v>#N/A</v>
      </c>
      <c r="F605">
        <f t="shared" si="135"/>
        <v>0</v>
      </c>
      <c r="G605">
        <f t="shared" si="136"/>
        <v>0</v>
      </c>
      <c r="H605">
        <f t="shared" si="137"/>
        <v>0</v>
      </c>
      <c r="I605">
        <f t="shared" si="138"/>
        <v>0</v>
      </c>
      <c r="J605">
        <f t="shared" si="139"/>
        <v>0</v>
      </c>
      <c r="K605" s="4" t="e">
        <f t="shared" si="128"/>
        <v>#N/A</v>
      </c>
      <c r="L605" t="e">
        <f t="shared" si="129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30"/>
        <v>0</v>
      </c>
      <c r="B606">
        <f t="shared" si="131"/>
        <v>0</v>
      </c>
      <c r="C606">
        <f t="shared" si="132"/>
        <v>0</v>
      </c>
      <c r="D606">
        <f t="shared" si="133"/>
        <v>0</v>
      </c>
      <c r="E606" t="e">
        <f t="shared" si="134"/>
        <v>#N/A</v>
      </c>
      <c r="F606">
        <f t="shared" si="135"/>
        <v>0</v>
      </c>
      <c r="G606">
        <f t="shared" si="136"/>
        <v>0</v>
      </c>
      <c r="H606">
        <f t="shared" si="137"/>
        <v>0</v>
      </c>
      <c r="I606">
        <f t="shared" si="138"/>
        <v>0</v>
      </c>
      <c r="J606">
        <f t="shared" si="139"/>
        <v>0</v>
      </c>
      <c r="K606" s="4" t="e">
        <f t="shared" si="128"/>
        <v>#N/A</v>
      </c>
      <c r="L606" t="e">
        <f t="shared" si="129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30"/>
        <v>0</v>
      </c>
      <c r="B607">
        <f t="shared" si="131"/>
        <v>0</v>
      </c>
      <c r="C607">
        <f t="shared" si="132"/>
        <v>0</v>
      </c>
      <c r="D607">
        <f t="shared" si="133"/>
        <v>0</v>
      </c>
      <c r="E607" t="e">
        <f t="shared" si="134"/>
        <v>#N/A</v>
      </c>
      <c r="F607">
        <f t="shared" si="135"/>
        <v>0</v>
      </c>
      <c r="G607">
        <f t="shared" si="136"/>
        <v>0</v>
      </c>
      <c r="H607">
        <f t="shared" si="137"/>
        <v>0</v>
      </c>
      <c r="I607">
        <f t="shared" si="138"/>
        <v>0</v>
      </c>
      <c r="J607">
        <f t="shared" si="139"/>
        <v>0</v>
      </c>
      <c r="K607" s="4" t="e">
        <f t="shared" si="128"/>
        <v>#N/A</v>
      </c>
      <c r="L607" t="e">
        <f t="shared" si="129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30"/>
        <v>0</v>
      </c>
      <c r="B608">
        <f t="shared" si="131"/>
        <v>0</v>
      </c>
      <c r="C608">
        <f t="shared" si="132"/>
        <v>0</v>
      </c>
      <c r="D608">
        <f t="shared" si="133"/>
        <v>0</v>
      </c>
      <c r="E608" t="e">
        <f t="shared" si="134"/>
        <v>#N/A</v>
      </c>
      <c r="F608">
        <f t="shared" si="135"/>
        <v>0</v>
      </c>
      <c r="G608">
        <f t="shared" si="136"/>
        <v>0</v>
      </c>
      <c r="H608">
        <f t="shared" si="137"/>
        <v>0</v>
      </c>
      <c r="I608">
        <f t="shared" si="138"/>
        <v>0</v>
      </c>
      <c r="J608">
        <f t="shared" si="139"/>
        <v>0</v>
      </c>
      <c r="K608" s="4" t="e">
        <f t="shared" si="128"/>
        <v>#N/A</v>
      </c>
      <c r="L608" t="e">
        <f t="shared" si="129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30"/>
        <v>0</v>
      </c>
      <c r="B609">
        <f t="shared" si="131"/>
        <v>0</v>
      </c>
      <c r="C609">
        <f t="shared" si="132"/>
        <v>0</v>
      </c>
      <c r="D609">
        <f t="shared" si="133"/>
        <v>0</v>
      </c>
      <c r="E609" t="e">
        <f t="shared" si="134"/>
        <v>#N/A</v>
      </c>
      <c r="F609">
        <f t="shared" si="135"/>
        <v>0</v>
      </c>
      <c r="G609">
        <f t="shared" si="136"/>
        <v>0</v>
      </c>
      <c r="H609">
        <f t="shared" si="137"/>
        <v>0</v>
      </c>
      <c r="I609">
        <f t="shared" si="138"/>
        <v>0</v>
      </c>
      <c r="J609">
        <f t="shared" si="139"/>
        <v>0</v>
      </c>
      <c r="K609" s="4" t="e">
        <f t="shared" si="128"/>
        <v>#N/A</v>
      </c>
      <c r="L609" t="e">
        <f t="shared" si="129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30"/>
        <v>0</v>
      </c>
      <c r="B610">
        <f t="shared" si="131"/>
        <v>0</v>
      </c>
      <c r="C610">
        <f t="shared" si="132"/>
        <v>0</v>
      </c>
      <c r="D610">
        <f t="shared" si="133"/>
        <v>0</v>
      </c>
      <c r="E610" t="e">
        <f t="shared" si="134"/>
        <v>#N/A</v>
      </c>
      <c r="F610">
        <f t="shared" si="135"/>
        <v>0</v>
      </c>
      <c r="G610">
        <f t="shared" si="136"/>
        <v>0</v>
      </c>
      <c r="H610">
        <f t="shared" si="137"/>
        <v>0</v>
      </c>
      <c r="I610">
        <f t="shared" si="138"/>
        <v>0</v>
      </c>
      <c r="J610">
        <f t="shared" si="139"/>
        <v>0</v>
      </c>
      <c r="K610" s="4" t="e">
        <f t="shared" si="128"/>
        <v>#N/A</v>
      </c>
      <c r="L610" t="e">
        <f t="shared" si="129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30"/>
        <v>0</v>
      </c>
      <c r="B611">
        <f t="shared" si="131"/>
        <v>0</v>
      </c>
      <c r="C611">
        <f t="shared" si="132"/>
        <v>0</v>
      </c>
      <c r="D611">
        <f t="shared" si="133"/>
        <v>0</v>
      </c>
      <c r="E611" t="e">
        <f t="shared" si="134"/>
        <v>#N/A</v>
      </c>
      <c r="F611">
        <f t="shared" si="135"/>
        <v>0</v>
      </c>
      <c r="G611">
        <f t="shared" si="136"/>
        <v>0</v>
      </c>
      <c r="H611">
        <f t="shared" si="137"/>
        <v>0</v>
      </c>
      <c r="I611">
        <f t="shared" si="138"/>
        <v>0</v>
      </c>
      <c r="J611">
        <f t="shared" si="139"/>
        <v>0</v>
      </c>
      <c r="K611" s="4" t="e">
        <f t="shared" si="128"/>
        <v>#N/A</v>
      </c>
      <c r="L611" t="e">
        <f t="shared" si="129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30"/>
        <v>0</v>
      </c>
      <c r="B612">
        <f t="shared" si="131"/>
        <v>0</v>
      </c>
      <c r="C612">
        <f t="shared" si="132"/>
        <v>0</v>
      </c>
      <c r="D612">
        <f t="shared" si="133"/>
        <v>0</v>
      </c>
      <c r="E612" t="e">
        <f t="shared" si="134"/>
        <v>#N/A</v>
      </c>
      <c r="F612">
        <f t="shared" si="135"/>
        <v>0</v>
      </c>
      <c r="G612">
        <f t="shared" si="136"/>
        <v>0</v>
      </c>
      <c r="H612">
        <f t="shared" si="137"/>
        <v>0</v>
      </c>
      <c r="I612">
        <f t="shared" si="138"/>
        <v>0</v>
      </c>
      <c r="J612">
        <f t="shared" si="139"/>
        <v>0</v>
      </c>
      <c r="K612" s="4" t="e">
        <f t="shared" si="128"/>
        <v>#N/A</v>
      </c>
      <c r="L612" t="e">
        <f t="shared" si="129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30"/>
        <v>0</v>
      </c>
      <c r="B613">
        <f t="shared" si="131"/>
        <v>0</v>
      </c>
      <c r="C613">
        <f t="shared" si="132"/>
        <v>0</v>
      </c>
      <c r="D613">
        <f t="shared" si="133"/>
        <v>0</v>
      </c>
      <c r="E613" t="e">
        <f t="shared" si="134"/>
        <v>#N/A</v>
      </c>
      <c r="F613">
        <f t="shared" si="135"/>
        <v>0</v>
      </c>
      <c r="G613">
        <f t="shared" si="136"/>
        <v>0</v>
      </c>
      <c r="H613">
        <f t="shared" si="137"/>
        <v>0</v>
      </c>
      <c r="I613">
        <f t="shared" si="138"/>
        <v>0</v>
      </c>
      <c r="J613">
        <f t="shared" si="139"/>
        <v>0</v>
      </c>
      <c r="K613" s="4" t="e">
        <f t="shared" si="128"/>
        <v>#N/A</v>
      </c>
      <c r="L613" t="e">
        <f t="shared" si="129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30"/>
        <v>0</v>
      </c>
      <c r="B614">
        <f t="shared" si="131"/>
        <v>0</v>
      </c>
      <c r="C614">
        <f t="shared" si="132"/>
        <v>0</v>
      </c>
      <c r="D614">
        <f t="shared" si="133"/>
        <v>0</v>
      </c>
      <c r="E614" t="e">
        <f t="shared" si="134"/>
        <v>#N/A</v>
      </c>
      <c r="F614">
        <f t="shared" si="135"/>
        <v>0</v>
      </c>
      <c r="G614">
        <f t="shared" si="136"/>
        <v>0</v>
      </c>
      <c r="H614">
        <f t="shared" si="137"/>
        <v>0</v>
      </c>
      <c r="I614">
        <f t="shared" si="138"/>
        <v>0</v>
      </c>
      <c r="J614">
        <f t="shared" si="139"/>
        <v>0</v>
      </c>
      <c r="K614" s="4" t="e">
        <f t="shared" si="128"/>
        <v>#N/A</v>
      </c>
      <c r="L614" t="e">
        <f t="shared" si="129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30"/>
        <v>0</v>
      </c>
      <c r="B615">
        <f t="shared" si="131"/>
        <v>0</v>
      </c>
      <c r="C615">
        <f t="shared" si="132"/>
        <v>0</v>
      </c>
      <c r="D615">
        <f t="shared" si="133"/>
        <v>0</v>
      </c>
      <c r="E615" t="e">
        <f t="shared" si="134"/>
        <v>#N/A</v>
      </c>
      <c r="F615">
        <f t="shared" si="135"/>
        <v>0</v>
      </c>
      <c r="G615">
        <f t="shared" si="136"/>
        <v>0</v>
      </c>
      <c r="H615">
        <f t="shared" si="137"/>
        <v>0</v>
      </c>
      <c r="I615">
        <f t="shared" si="138"/>
        <v>0</v>
      </c>
      <c r="J615">
        <f t="shared" si="139"/>
        <v>0</v>
      </c>
      <c r="K615" s="4" t="e">
        <f t="shared" si="128"/>
        <v>#N/A</v>
      </c>
      <c r="L615" t="e">
        <f t="shared" si="129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30"/>
        <v>0</v>
      </c>
      <c r="B616">
        <f t="shared" si="131"/>
        <v>0</v>
      </c>
      <c r="C616">
        <f t="shared" si="132"/>
        <v>0</v>
      </c>
      <c r="D616">
        <f t="shared" si="133"/>
        <v>0</v>
      </c>
      <c r="E616" t="e">
        <f t="shared" si="134"/>
        <v>#N/A</v>
      </c>
      <c r="F616">
        <f t="shared" si="135"/>
        <v>0</v>
      </c>
      <c r="G616">
        <f t="shared" si="136"/>
        <v>0</v>
      </c>
      <c r="H616">
        <f t="shared" si="137"/>
        <v>0</v>
      </c>
      <c r="I616">
        <f t="shared" si="138"/>
        <v>0</v>
      </c>
      <c r="J616">
        <f t="shared" si="139"/>
        <v>0</v>
      </c>
      <c r="K616" s="4" t="e">
        <f t="shared" si="128"/>
        <v>#N/A</v>
      </c>
      <c r="L616" t="e">
        <f t="shared" si="129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30"/>
        <v>0</v>
      </c>
      <c r="B617">
        <f t="shared" si="131"/>
        <v>0</v>
      </c>
      <c r="C617">
        <f t="shared" si="132"/>
        <v>0</v>
      </c>
      <c r="D617">
        <f t="shared" si="133"/>
        <v>0</v>
      </c>
      <c r="E617" t="e">
        <f t="shared" si="134"/>
        <v>#N/A</v>
      </c>
      <c r="F617">
        <f t="shared" si="135"/>
        <v>0</v>
      </c>
      <c r="G617">
        <f t="shared" si="136"/>
        <v>0</v>
      </c>
      <c r="H617">
        <f t="shared" si="137"/>
        <v>0</v>
      </c>
      <c r="I617">
        <f t="shared" si="138"/>
        <v>0</v>
      </c>
      <c r="J617">
        <f t="shared" si="139"/>
        <v>0</v>
      </c>
      <c r="K617" s="4" t="e">
        <f t="shared" si="128"/>
        <v>#N/A</v>
      </c>
      <c r="L617" t="e">
        <f t="shared" si="129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30"/>
        <v>0</v>
      </c>
      <c r="B618">
        <f t="shared" si="131"/>
        <v>0</v>
      </c>
      <c r="C618">
        <f t="shared" si="132"/>
        <v>0</v>
      </c>
      <c r="D618">
        <f t="shared" si="133"/>
        <v>0</v>
      </c>
      <c r="E618" t="e">
        <f t="shared" si="134"/>
        <v>#N/A</v>
      </c>
      <c r="F618">
        <f t="shared" si="135"/>
        <v>0</v>
      </c>
      <c r="G618">
        <f t="shared" si="136"/>
        <v>0</v>
      </c>
      <c r="H618">
        <f t="shared" si="137"/>
        <v>0</v>
      </c>
      <c r="I618">
        <f t="shared" si="138"/>
        <v>0</v>
      </c>
      <c r="J618">
        <f t="shared" si="139"/>
        <v>0</v>
      </c>
      <c r="K618" s="4" t="e">
        <f t="shared" si="128"/>
        <v>#N/A</v>
      </c>
      <c r="L618" t="e">
        <f t="shared" si="129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30"/>
        <v>0</v>
      </c>
      <c r="B619">
        <f t="shared" si="131"/>
        <v>0</v>
      </c>
      <c r="C619">
        <f t="shared" si="132"/>
        <v>0</v>
      </c>
      <c r="D619">
        <f t="shared" si="133"/>
        <v>0</v>
      </c>
      <c r="E619" t="e">
        <f t="shared" si="134"/>
        <v>#N/A</v>
      </c>
      <c r="F619">
        <f t="shared" si="135"/>
        <v>0</v>
      </c>
      <c r="G619">
        <f t="shared" si="136"/>
        <v>0</v>
      </c>
      <c r="H619">
        <f t="shared" si="137"/>
        <v>0</v>
      </c>
      <c r="I619">
        <f t="shared" si="138"/>
        <v>0</v>
      </c>
      <c r="J619">
        <f t="shared" si="139"/>
        <v>0</v>
      </c>
      <c r="K619" s="4" t="e">
        <f t="shared" si="128"/>
        <v>#N/A</v>
      </c>
      <c r="L619" t="e">
        <f t="shared" si="129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30"/>
        <v>0</v>
      </c>
      <c r="B620">
        <f t="shared" si="131"/>
        <v>0</v>
      </c>
      <c r="C620">
        <f t="shared" si="132"/>
        <v>0</v>
      </c>
      <c r="D620">
        <f t="shared" si="133"/>
        <v>0</v>
      </c>
      <c r="E620" t="e">
        <f t="shared" si="134"/>
        <v>#N/A</v>
      </c>
      <c r="F620">
        <f t="shared" si="135"/>
        <v>0</v>
      </c>
      <c r="G620">
        <f t="shared" si="136"/>
        <v>0</v>
      </c>
      <c r="H620">
        <f t="shared" si="137"/>
        <v>0</v>
      </c>
      <c r="I620">
        <f t="shared" si="138"/>
        <v>0</v>
      </c>
      <c r="J620">
        <f t="shared" si="139"/>
        <v>0</v>
      </c>
      <c r="K620" s="4" t="e">
        <f t="shared" ref="K620:K683" si="142">IF(LEFT(B620,3)="DBM",0,VLOOKUP(E620,tabela,2,FALSE))</f>
        <v>#N/A</v>
      </c>
      <c r="L620" t="e">
        <f t="shared" ref="L620:L683" si="143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30"/>
        <v>0</v>
      </c>
      <c r="B621">
        <f t="shared" si="131"/>
        <v>0</v>
      </c>
      <c r="C621">
        <f t="shared" si="132"/>
        <v>0</v>
      </c>
      <c r="D621">
        <f t="shared" si="133"/>
        <v>0</v>
      </c>
      <c r="E621" t="e">
        <f t="shared" si="134"/>
        <v>#N/A</v>
      </c>
      <c r="F621">
        <f t="shared" si="135"/>
        <v>0</v>
      </c>
      <c r="G621">
        <f t="shared" si="136"/>
        <v>0</v>
      </c>
      <c r="H621">
        <f t="shared" si="137"/>
        <v>0</v>
      </c>
      <c r="I621">
        <f t="shared" si="138"/>
        <v>0</v>
      </c>
      <c r="J621">
        <f t="shared" si="139"/>
        <v>0</v>
      </c>
      <c r="K621" s="4" t="e">
        <f t="shared" si="142"/>
        <v>#N/A</v>
      </c>
      <c r="L621" t="e">
        <f t="shared" si="143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30"/>
        <v>0</v>
      </c>
      <c r="B622">
        <f t="shared" si="131"/>
        <v>0</v>
      </c>
      <c r="C622">
        <f t="shared" si="132"/>
        <v>0</v>
      </c>
      <c r="D622">
        <f t="shared" si="133"/>
        <v>0</v>
      </c>
      <c r="E622" t="e">
        <f t="shared" si="134"/>
        <v>#N/A</v>
      </c>
      <c r="F622">
        <f t="shared" si="135"/>
        <v>0</v>
      </c>
      <c r="G622">
        <f t="shared" si="136"/>
        <v>0</v>
      </c>
      <c r="H622">
        <f t="shared" si="137"/>
        <v>0</v>
      </c>
      <c r="I622">
        <f t="shared" si="138"/>
        <v>0</v>
      </c>
      <c r="J622">
        <f t="shared" si="139"/>
        <v>0</v>
      </c>
      <c r="K622" s="4" t="e">
        <f t="shared" si="142"/>
        <v>#N/A</v>
      </c>
      <c r="L622" t="e">
        <f t="shared" si="143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30"/>
        <v>0</v>
      </c>
      <c r="B623">
        <f t="shared" si="131"/>
        <v>0</v>
      </c>
      <c r="C623">
        <f t="shared" si="132"/>
        <v>0</v>
      </c>
      <c r="D623">
        <f t="shared" si="133"/>
        <v>0</v>
      </c>
      <c r="E623" t="e">
        <f t="shared" si="134"/>
        <v>#N/A</v>
      </c>
      <c r="F623">
        <f t="shared" si="135"/>
        <v>0</v>
      </c>
      <c r="G623">
        <f t="shared" si="136"/>
        <v>0</v>
      </c>
      <c r="H623">
        <f t="shared" si="137"/>
        <v>0</v>
      </c>
      <c r="I623">
        <f t="shared" si="138"/>
        <v>0</v>
      </c>
      <c r="J623">
        <f t="shared" si="139"/>
        <v>0</v>
      </c>
      <c r="K623" s="4" t="e">
        <f t="shared" si="142"/>
        <v>#N/A</v>
      </c>
      <c r="L623" t="e">
        <f t="shared" si="143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30"/>
        <v>0</v>
      </c>
      <c r="B624">
        <f t="shared" si="131"/>
        <v>0</v>
      </c>
      <c r="C624">
        <f t="shared" si="132"/>
        <v>0</v>
      </c>
      <c r="D624">
        <f t="shared" si="133"/>
        <v>0</v>
      </c>
      <c r="E624" t="e">
        <f t="shared" si="134"/>
        <v>#N/A</v>
      </c>
      <c r="F624">
        <f t="shared" si="135"/>
        <v>0</v>
      </c>
      <c r="G624">
        <f t="shared" si="136"/>
        <v>0</v>
      </c>
      <c r="H624">
        <f t="shared" si="137"/>
        <v>0</v>
      </c>
      <c r="I624">
        <f t="shared" si="138"/>
        <v>0</v>
      </c>
      <c r="J624">
        <f t="shared" si="139"/>
        <v>0</v>
      </c>
      <c r="K624" s="4" t="e">
        <f t="shared" si="142"/>
        <v>#N/A</v>
      </c>
      <c r="L624" t="e">
        <f t="shared" si="143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30"/>
        <v>0</v>
      </c>
      <c r="B625">
        <f t="shared" si="131"/>
        <v>0</v>
      </c>
      <c r="C625">
        <f t="shared" si="132"/>
        <v>0</v>
      </c>
      <c r="D625">
        <f t="shared" si="133"/>
        <v>0</v>
      </c>
      <c r="E625" t="e">
        <f t="shared" si="134"/>
        <v>#N/A</v>
      </c>
      <c r="F625">
        <f t="shared" si="135"/>
        <v>0</v>
      </c>
      <c r="G625">
        <f t="shared" si="136"/>
        <v>0</v>
      </c>
      <c r="H625">
        <f t="shared" si="137"/>
        <v>0</v>
      </c>
      <c r="I625">
        <f t="shared" si="138"/>
        <v>0</v>
      </c>
      <c r="J625">
        <f t="shared" si="139"/>
        <v>0</v>
      </c>
      <c r="K625" s="4" t="e">
        <f t="shared" si="142"/>
        <v>#N/A</v>
      </c>
      <c r="L625" t="e">
        <f t="shared" si="143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30"/>
        <v>0</v>
      </c>
      <c r="B626">
        <f t="shared" si="131"/>
        <v>0</v>
      </c>
      <c r="C626">
        <f t="shared" si="132"/>
        <v>0</v>
      </c>
      <c r="D626">
        <f t="shared" si="133"/>
        <v>0</v>
      </c>
      <c r="E626" t="e">
        <f t="shared" si="134"/>
        <v>#N/A</v>
      </c>
      <c r="F626">
        <f t="shared" si="135"/>
        <v>0</v>
      </c>
      <c r="G626">
        <f t="shared" si="136"/>
        <v>0</v>
      </c>
      <c r="H626">
        <f t="shared" si="137"/>
        <v>0</v>
      </c>
      <c r="I626">
        <f t="shared" si="138"/>
        <v>0</v>
      </c>
      <c r="J626">
        <f t="shared" si="139"/>
        <v>0</v>
      </c>
      <c r="K626" s="4" t="e">
        <f t="shared" si="142"/>
        <v>#N/A</v>
      </c>
      <c r="L626" t="e">
        <f t="shared" si="143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30"/>
        <v>0</v>
      </c>
      <c r="B627">
        <f t="shared" si="131"/>
        <v>0</v>
      </c>
      <c r="C627">
        <f t="shared" si="132"/>
        <v>0</v>
      </c>
      <c r="D627">
        <f t="shared" si="133"/>
        <v>0</v>
      </c>
      <c r="E627" t="e">
        <f t="shared" si="134"/>
        <v>#N/A</v>
      </c>
      <c r="F627">
        <f t="shared" si="135"/>
        <v>0</v>
      </c>
      <c r="G627">
        <f t="shared" si="136"/>
        <v>0</v>
      </c>
      <c r="H627">
        <f t="shared" si="137"/>
        <v>0</v>
      </c>
      <c r="I627">
        <f t="shared" si="138"/>
        <v>0</v>
      </c>
      <c r="J627">
        <f t="shared" si="139"/>
        <v>0</v>
      </c>
      <c r="K627" s="4" t="e">
        <f t="shared" si="142"/>
        <v>#N/A</v>
      </c>
      <c r="L627" t="e">
        <f t="shared" si="143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30"/>
        <v>0</v>
      </c>
      <c r="B628">
        <f t="shared" si="131"/>
        <v>0</v>
      </c>
      <c r="C628">
        <f t="shared" si="132"/>
        <v>0</v>
      </c>
      <c r="D628">
        <f t="shared" si="133"/>
        <v>0</v>
      </c>
      <c r="E628" t="e">
        <f t="shared" si="134"/>
        <v>#N/A</v>
      </c>
      <c r="F628">
        <f t="shared" si="135"/>
        <v>0</v>
      </c>
      <c r="G628">
        <f t="shared" si="136"/>
        <v>0</v>
      </c>
      <c r="H628">
        <f t="shared" si="137"/>
        <v>0</v>
      </c>
      <c r="I628">
        <f t="shared" si="138"/>
        <v>0</v>
      </c>
      <c r="J628">
        <f t="shared" si="139"/>
        <v>0</v>
      </c>
      <c r="K628" s="4" t="e">
        <f t="shared" si="142"/>
        <v>#N/A</v>
      </c>
      <c r="L628" t="e">
        <f t="shared" si="143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30"/>
        <v>0</v>
      </c>
      <c r="B629">
        <f t="shared" si="131"/>
        <v>0</v>
      </c>
      <c r="C629">
        <f t="shared" si="132"/>
        <v>0</v>
      </c>
      <c r="D629">
        <f t="shared" si="133"/>
        <v>0</v>
      </c>
      <c r="E629" t="e">
        <f t="shared" si="134"/>
        <v>#N/A</v>
      </c>
      <c r="F629">
        <f t="shared" si="135"/>
        <v>0</v>
      </c>
      <c r="G629">
        <f t="shared" si="136"/>
        <v>0</v>
      </c>
      <c r="H629">
        <f t="shared" si="137"/>
        <v>0</v>
      </c>
      <c r="I629">
        <f t="shared" si="138"/>
        <v>0</v>
      </c>
      <c r="J629">
        <f t="shared" si="139"/>
        <v>0</v>
      </c>
      <c r="K629" s="4" t="e">
        <f t="shared" si="142"/>
        <v>#N/A</v>
      </c>
      <c r="L629" t="e">
        <f t="shared" si="143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30"/>
        <v>0</v>
      </c>
      <c r="B630">
        <f t="shared" si="131"/>
        <v>0</v>
      </c>
      <c r="C630">
        <f t="shared" si="132"/>
        <v>0</v>
      </c>
      <c r="D630">
        <f t="shared" si="133"/>
        <v>0</v>
      </c>
      <c r="E630" t="e">
        <f t="shared" si="134"/>
        <v>#N/A</v>
      </c>
      <c r="F630">
        <f t="shared" si="135"/>
        <v>0</v>
      </c>
      <c r="G630">
        <f t="shared" si="136"/>
        <v>0</v>
      </c>
      <c r="H630">
        <f t="shared" si="137"/>
        <v>0</v>
      </c>
      <c r="I630">
        <f t="shared" si="138"/>
        <v>0</v>
      </c>
      <c r="J630">
        <f t="shared" si="139"/>
        <v>0</v>
      </c>
      <c r="K630" s="4" t="e">
        <f t="shared" si="142"/>
        <v>#N/A</v>
      </c>
      <c r="L630" t="e">
        <f t="shared" si="143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30"/>
        <v>0</v>
      </c>
      <c r="B631">
        <f t="shared" si="131"/>
        <v>0</v>
      </c>
      <c r="C631">
        <f t="shared" si="132"/>
        <v>0</v>
      </c>
      <c r="D631">
        <f t="shared" si="133"/>
        <v>0</v>
      </c>
      <c r="E631" t="e">
        <f t="shared" si="134"/>
        <v>#N/A</v>
      </c>
      <c r="F631">
        <f t="shared" si="135"/>
        <v>0</v>
      </c>
      <c r="G631">
        <f t="shared" si="136"/>
        <v>0</v>
      </c>
      <c r="H631">
        <f t="shared" si="137"/>
        <v>0</v>
      </c>
      <c r="I631">
        <f t="shared" si="138"/>
        <v>0</v>
      </c>
      <c r="J631">
        <f t="shared" si="139"/>
        <v>0</v>
      </c>
      <c r="K631" s="4" t="e">
        <f t="shared" si="142"/>
        <v>#N/A</v>
      </c>
      <c r="L631" t="e">
        <f t="shared" si="143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30"/>
        <v>0</v>
      </c>
      <c r="B632">
        <f t="shared" si="131"/>
        <v>0</v>
      </c>
      <c r="C632">
        <f t="shared" si="132"/>
        <v>0</v>
      </c>
      <c r="D632">
        <f t="shared" si="133"/>
        <v>0</v>
      </c>
      <c r="E632" t="e">
        <f t="shared" si="134"/>
        <v>#N/A</v>
      </c>
      <c r="F632">
        <f t="shared" si="135"/>
        <v>0</v>
      </c>
      <c r="G632">
        <f t="shared" si="136"/>
        <v>0</v>
      </c>
      <c r="H632">
        <f t="shared" si="137"/>
        <v>0</v>
      </c>
      <c r="I632">
        <f t="shared" si="138"/>
        <v>0</v>
      </c>
      <c r="J632">
        <f t="shared" si="139"/>
        <v>0</v>
      </c>
      <c r="K632" s="4" t="e">
        <f t="shared" si="142"/>
        <v>#N/A</v>
      </c>
      <c r="L632" t="e">
        <f t="shared" si="143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30"/>
        <v>0</v>
      </c>
      <c r="B633">
        <f t="shared" si="131"/>
        <v>0</v>
      </c>
      <c r="C633">
        <f t="shared" si="132"/>
        <v>0</v>
      </c>
      <c r="D633">
        <f t="shared" si="133"/>
        <v>0</v>
      </c>
      <c r="E633" t="e">
        <f t="shared" si="134"/>
        <v>#N/A</v>
      </c>
      <c r="F633">
        <f t="shared" si="135"/>
        <v>0</v>
      </c>
      <c r="G633">
        <f t="shared" si="136"/>
        <v>0</v>
      </c>
      <c r="H633">
        <f t="shared" si="137"/>
        <v>0</v>
      </c>
      <c r="I633">
        <f t="shared" si="138"/>
        <v>0</v>
      </c>
      <c r="J633">
        <f t="shared" si="139"/>
        <v>0</v>
      </c>
      <c r="K633" s="4" t="e">
        <f t="shared" si="142"/>
        <v>#N/A</v>
      </c>
      <c r="L633" t="e">
        <f t="shared" si="143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30"/>
        <v>0</v>
      </c>
      <c r="B634">
        <f t="shared" si="131"/>
        <v>0</v>
      </c>
      <c r="C634">
        <f t="shared" si="132"/>
        <v>0</v>
      </c>
      <c r="D634">
        <f t="shared" si="133"/>
        <v>0</v>
      </c>
      <c r="E634" t="e">
        <f t="shared" si="134"/>
        <v>#N/A</v>
      </c>
      <c r="F634">
        <f t="shared" si="135"/>
        <v>0</v>
      </c>
      <c r="G634">
        <f t="shared" si="136"/>
        <v>0</v>
      </c>
      <c r="H634">
        <f t="shared" si="137"/>
        <v>0</v>
      </c>
      <c r="I634">
        <f t="shared" si="138"/>
        <v>0</v>
      </c>
      <c r="J634">
        <f t="shared" si="139"/>
        <v>0</v>
      </c>
      <c r="K634" s="4" t="e">
        <f t="shared" si="142"/>
        <v>#N/A</v>
      </c>
      <c r="L634" t="e">
        <f t="shared" si="143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30"/>
        <v>0</v>
      </c>
      <c r="B635">
        <f t="shared" si="131"/>
        <v>0</v>
      </c>
      <c r="C635">
        <f t="shared" si="132"/>
        <v>0</v>
      </c>
      <c r="D635">
        <f t="shared" si="133"/>
        <v>0</v>
      </c>
      <c r="E635" t="e">
        <f t="shared" si="134"/>
        <v>#N/A</v>
      </c>
      <c r="F635">
        <f t="shared" si="135"/>
        <v>0</v>
      </c>
      <c r="G635">
        <f t="shared" si="136"/>
        <v>0</v>
      </c>
      <c r="H635">
        <f t="shared" si="137"/>
        <v>0</v>
      </c>
      <c r="I635">
        <f t="shared" si="138"/>
        <v>0</v>
      </c>
      <c r="J635">
        <f t="shared" si="139"/>
        <v>0</v>
      </c>
      <c r="K635" s="4" t="e">
        <f t="shared" si="142"/>
        <v>#N/A</v>
      </c>
      <c r="L635" t="e">
        <f t="shared" si="143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30"/>
        <v>0</v>
      </c>
      <c r="B636">
        <f t="shared" si="131"/>
        <v>0</v>
      </c>
      <c r="C636">
        <f t="shared" si="132"/>
        <v>0</v>
      </c>
      <c r="D636">
        <f t="shared" si="133"/>
        <v>0</v>
      </c>
      <c r="E636" t="e">
        <f t="shared" si="134"/>
        <v>#N/A</v>
      </c>
      <c r="F636">
        <f t="shared" si="135"/>
        <v>0</v>
      </c>
      <c r="G636">
        <f t="shared" si="136"/>
        <v>0</v>
      </c>
      <c r="H636">
        <f t="shared" si="137"/>
        <v>0</v>
      </c>
      <c r="I636">
        <f t="shared" si="138"/>
        <v>0</v>
      </c>
      <c r="J636">
        <f t="shared" si="139"/>
        <v>0</v>
      </c>
      <c r="K636" s="4" t="e">
        <f t="shared" si="142"/>
        <v>#N/A</v>
      </c>
      <c r="L636" t="e">
        <f t="shared" si="143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30"/>
        <v>0</v>
      </c>
      <c r="B637">
        <f t="shared" si="131"/>
        <v>0</v>
      </c>
      <c r="C637">
        <f t="shared" si="132"/>
        <v>0</v>
      </c>
      <c r="D637">
        <f t="shared" si="133"/>
        <v>0</v>
      </c>
      <c r="E637" t="e">
        <f t="shared" si="134"/>
        <v>#N/A</v>
      </c>
      <c r="F637">
        <f t="shared" si="135"/>
        <v>0</v>
      </c>
      <c r="G637">
        <f t="shared" si="136"/>
        <v>0</v>
      </c>
      <c r="H637">
        <f t="shared" si="137"/>
        <v>0</v>
      </c>
      <c r="I637">
        <f t="shared" si="138"/>
        <v>0</v>
      </c>
      <c r="J637">
        <f t="shared" si="139"/>
        <v>0</v>
      </c>
      <c r="K637" s="4" t="e">
        <f t="shared" si="142"/>
        <v>#N/A</v>
      </c>
      <c r="L637" t="e">
        <f t="shared" si="143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30"/>
        <v>0</v>
      </c>
      <c r="B638">
        <f t="shared" si="131"/>
        <v>0</v>
      </c>
      <c r="C638">
        <f t="shared" si="132"/>
        <v>0</v>
      </c>
      <c r="D638">
        <f t="shared" si="133"/>
        <v>0</v>
      </c>
      <c r="E638" t="e">
        <f t="shared" si="134"/>
        <v>#N/A</v>
      </c>
      <c r="F638">
        <f t="shared" si="135"/>
        <v>0</v>
      </c>
      <c r="G638">
        <f t="shared" si="136"/>
        <v>0</v>
      </c>
      <c r="H638">
        <f t="shared" si="137"/>
        <v>0</v>
      </c>
      <c r="I638">
        <f t="shared" si="138"/>
        <v>0</v>
      </c>
      <c r="J638">
        <f t="shared" si="139"/>
        <v>0</v>
      </c>
      <c r="K638" s="4" t="e">
        <f t="shared" si="142"/>
        <v>#N/A</v>
      </c>
      <c r="L638" t="e">
        <f t="shared" si="143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30"/>
        <v>0</v>
      </c>
      <c r="B639">
        <f t="shared" si="131"/>
        <v>0</v>
      </c>
      <c r="C639">
        <f t="shared" si="132"/>
        <v>0</v>
      </c>
      <c r="D639">
        <f t="shared" si="133"/>
        <v>0</v>
      </c>
      <c r="E639" t="e">
        <f t="shared" si="134"/>
        <v>#N/A</v>
      </c>
      <c r="F639">
        <f t="shared" si="135"/>
        <v>0</v>
      </c>
      <c r="G639">
        <f t="shared" si="136"/>
        <v>0</v>
      </c>
      <c r="H639">
        <f t="shared" si="137"/>
        <v>0</v>
      </c>
      <c r="I639">
        <f t="shared" si="138"/>
        <v>0</v>
      </c>
      <c r="J639">
        <f t="shared" si="139"/>
        <v>0</v>
      </c>
      <c r="K639" s="4" t="e">
        <f t="shared" si="142"/>
        <v>#N/A</v>
      </c>
      <c r="L639" t="e">
        <f t="shared" si="143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30"/>
        <v>0</v>
      </c>
      <c r="B640">
        <f t="shared" si="131"/>
        <v>0</v>
      </c>
      <c r="C640">
        <f t="shared" si="132"/>
        <v>0</v>
      </c>
      <c r="D640">
        <f t="shared" si="133"/>
        <v>0</v>
      </c>
      <c r="E640" t="e">
        <f t="shared" si="134"/>
        <v>#N/A</v>
      </c>
      <c r="F640">
        <f t="shared" si="135"/>
        <v>0</v>
      </c>
      <c r="G640">
        <f t="shared" si="136"/>
        <v>0</v>
      </c>
      <c r="H640">
        <f t="shared" si="137"/>
        <v>0</v>
      </c>
      <c r="I640">
        <f t="shared" si="138"/>
        <v>0</v>
      </c>
      <c r="J640">
        <f t="shared" si="139"/>
        <v>0</v>
      </c>
      <c r="K640" s="4" t="e">
        <f t="shared" si="142"/>
        <v>#N/A</v>
      </c>
      <c r="L640" t="e">
        <f t="shared" si="143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30"/>
        <v>0</v>
      </c>
      <c r="B641">
        <f t="shared" si="131"/>
        <v>0</v>
      </c>
      <c r="C641">
        <f t="shared" si="132"/>
        <v>0</v>
      </c>
      <c r="D641">
        <f t="shared" si="133"/>
        <v>0</v>
      </c>
      <c r="E641" t="e">
        <f t="shared" si="134"/>
        <v>#N/A</v>
      </c>
      <c r="F641">
        <f t="shared" si="135"/>
        <v>0</v>
      </c>
      <c r="G641">
        <f t="shared" si="136"/>
        <v>0</v>
      </c>
      <c r="H641">
        <f t="shared" si="137"/>
        <v>0</v>
      </c>
      <c r="I641">
        <f t="shared" si="138"/>
        <v>0</v>
      </c>
      <c r="J641">
        <f t="shared" si="139"/>
        <v>0</v>
      </c>
      <c r="K641" s="4" t="e">
        <f t="shared" si="142"/>
        <v>#N/A</v>
      </c>
      <c r="L641" t="e">
        <f t="shared" si="143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4">bd_campaign</f>
        <v>0</v>
      </c>
      <c r="B642">
        <f t="shared" ref="B642:B705" si="145">bd_site</f>
        <v>0</v>
      </c>
      <c r="C642">
        <f t="shared" ref="C642:C705" si="146">bd_placement</f>
        <v>0</v>
      </c>
      <c r="D642">
        <f t="shared" ref="D642:D705" si="147">bd_placementID</f>
        <v>0</v>
      </c>
      <c r="E642" t="e">
        <f t="shared" ref="E642:E705" si="148">VLOOKUP(CONCATENATE(bd_adtype,"_",bd_creativetype),tabela,2,FALSE)</f>
        <v>#N/A</v>
      </c>
      <c r="F642">
        <f t="shared" ref="F642:F705" si="149">bd_ad</f>
        <v>0</v>
      </c>
      <c r="G642">
        <f t="shared" ref="G642:G705" si="150">bd_adid</f>
        <v>0</v>
      </c>
      <c r="H642">
        <f t="shared" ref="H642:H705" si="151">bd_creativetype</f>
        <v>0</v>
      </c>
      <c r="I642">
        <f t="shared" ref="I642:I705" si="152">bd_impression</f>
        <v>0</v>
      </c>
      <c r="J642">
        <f t="shared" ref="J642:J705" si="153">bd_clicks</f>
        <v>0</v>
      </c>
      <c r="K642" s="4" t="e">
        <f t="shared" si="142"/>
        <v>#N/A</v>
      </c>
      <c r="L642" t="e">
        <f t="shared" si="143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4"/>
        <v>0</v>
      </c>
      <c r="B643">
        <f t="shared" si="145"/>
        <v>0</v>
      </c>
      <c r="C643">
        <f t="shared" si="146"/>
        <v>0</v>
      </c>
      <c r="D643">
        <f t="shared" si="147"/>
        <v>0</v>
      </c>
      <c r="E643" t="e">
        <f t="shared" si="148"/>
        <v>#N/A</v>
      </c>
      <c r="F643">
        <f t="shared" si="149"/>
        <v>0</v>
      </c>
      <c r="G643">
        <f t="shared" si="150"/>
        <v>0</v>
      </c>
      <c r="H643">
        <f t="shared" si="151"/>
        <v>0</v>
      </c>
      <c r="I643">
        <f t="shared" si="152"/>
        <v>0</v>
      </c>
      <c r="J643">
        <f t="shared" si="153"/>
        <v>0</v>
      </c>
      <c r="K643" s="4" t="e">
        <f t="shared" si="142"/>
        <v>#N/A</v>
      </c>
      <c r="L643" t="e">
        <f t="shared" si="143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4"/>
        <v>0</v>
      </c>
      <c r="B644">
        <f t="shared" si="145"/>
        <v>0</v>
      </c>
      <c r="C644">
        <f t="shared" si="146"/>
        <v>0</v>
      </c>
      <c r="D644">
        <f t="shared" si="147"/>
        <v>0</v>
      </c>
      <c r="E644" t="e">
        <f t="shared" si="148"/>
        <v>#N/A</v>
      </c>
      <c r="F644">
        <f t="shared" si="149"/>
        <v>0</v>
      </c>
      <c r="G644">
        <f t="shared" si="150"/>
        <v>0</v>
      </c>
      <c r="H644">
        <f t="shared" si="151"/>
        <v>0</v>
      </c>
      <c r="I644">
        <f t="shared" si="152"/>
        <v>0</v>
      </c>
      <c r="J644">
        <f t="shared" si="153"/>
        <v>0</v>
      </c>
      <c r="K644" s="4" t="e">
        <f t="shared" si="142"/>
        <v>#N/A</v>
      </c>
      <c r="L644" t="e">
        <f t="shared" si="143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4"/>
        <v>0</v>
      </c>
      <c r="B645">
        <f t="shared" si="145"/>
        <v>0</v>
      </c>
      <c r="C645">
        <f t="shared" si="146"/>
        <v>0</v>
      </c>
      <c r="D645">
        <f t="shared" si="147"/>
        <v>0</v>
      </c>
      <c r="E645" t="e">
        <f t="shared" si="148"/>
        <v>#N/A</v>
      </c>
      <c r="F645">
        <f t="shared" si="149"/>
        <v>0</v>
      </c>
      <c r="G645">
        <f t="shared" si="150"/>
        <v>0</v>
      </c>
      <c r="H645">
        <f t="shared" si="151"/>
        <v>0</v>
      </c>
      <c r="I645">
        <f t="shared" si="152"/>
        <v>0</v>
      </c>
      <c r="J645">
        <f t="shared" si="153"/>
        <v>0</v>
      </c>
      <c r="K645" s="4" t="e">
        <f t="shared" si="142"/>
        <v>#N/A</v>
      </c>
      <c r="L645" t="e">
        <f t="shared" si="143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4"/>
        <v>0</v>
      </c>
      <c r="B646">
        <f t="shared" si="145"/>
        <v>0</v>
      </c>
      <c r="C646">
        <f t="shared" si="146"/>
        <v>0</v>
      </c>
      <c r="D646">
        <f t="shared" si="147"/>
        <v>0</v>
      </c>
      <c r="E646" t="e">
        <f t="shared" si="148"/>
        <v>#N/A</v>
      </c>
      <c r="F646">
        <f t="shared" si="149"/>
        <v>0</v>
      </c>
      <c r="G646">
        <f t="shared" si="150"/>
        <v>0</v>
      </c>
      <c r="H646">
        <f t="shared" si="151"/>
        <v>0</v>
      </c>
      <c r="I646">
        <f t="shared" si="152"/>
        <v>0</v>
      </c>
      <c r="J646">
        <f t="shared" si="153"/>
        <v>0</v>
      </c>
      <c r="K646" s="4" t="e">
        <f t="shared" si="142"/>
        <v>#N/A</v>
      </c>
      <c r="L646" t="e">
        <f t="shared" si="143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4"/>
        <v>0</v>
      </c>
      <c r="B647">
        <f t="shared" si="145"/>
        <v>0</v>
      </c>
      <c r="C647">
        <f t="shared" si="146"/>
        <v>0</v>
      </c>
      <c r="D647">
        <f t="shared" si="147"/>
        <v>0</v>
      </c>
      <c r="E647" t="e">
        <f t="shared" si="148"/>
        <v>#N/A</v>
      </c>
      <c r="F647">
        <f t="shared" si="149"/>
        <v>0</v>
      </c>
      <c r="G647">
        <f t="shared" si="150"/>
        <v>0</v>
      </c>
      <c r="H647">
        <f t="shared" si="151"/>
        <v>0</v>
      </c>
      <c r="I647">
        <f t="shared" si="152"/>
        <v>0</v>
      </c>
      <c r="J647">
        <f t="shared" si="153"/>
        <v>0</v>
      </c>
      <c r="K647" s="4" t="e">
        <f t="shared" si="142"/>
        <v>#N/A</v>
      </c>
      <c r="L647" t="e">
        <f t="shared" si="143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4"/>
        <v>0</v>
      </c>
      <c r="B648">
        <f t="shared" si="145"/>
        <v>0</v>
      </c>
      <c r="C648">
        <f t="shared" si="146"/>
        <v>0</v>
      </c>
      <c r="D648">
        <f t="shared" si="147"/>
        <v>0</v>
      </c>
      <c r="E648" t="e">
        <f t="shared" si="148"/>
        <v>#N/A</v>
      </c>
      <c r="F648">
        <f t="shared" si="149"/>
        <v>0</v>
      </c>
      <c r="G648">
        <f t="shared" si="150"/>
        <v>0</v>
      </c>
      <c r="H648">
        <f t="shared" si="151"/>
        <v>0</v>
      </c>
      <c r="I648">
        <f t="shared" si="152"/>
        <v>0</v>
      </c>
      <c r="J648">
        <f t="shared" si="153"/>
        <v>0</v>
      </c>
      <c r="K648" s="4" t="e">
        <f t="shared" si="142"/>
        <v>#N/A</v>
      </c>
      <c r="L648" t="e">
        <f t="shared" si="143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4"/>
        <v>0</v>
      </c>
      <c r="B649">
        <f t="shared" si="145"/>
        <v>0</v>
      </c>
      <c r="C649">
        <f t="shared" si="146"/>
        <v>0</v>
      </c>
      <c r="D649">
        <f t="shared" si="147"/>
        <v>0</v>
      </c>
      <c r="E649" t="e">
        <f t="shared" si="148"/>
        <v>#N/A</v>
      </c>
      <c r="F649">
        <f t="shared" si="149"/>
        <v>0</v>
      </c>
      <c r="G649">
        <f t="shared" si="150"/>
        <v>0</v>
      </c>
      <c r="H649">
        <f t="shared" si="151"/>
        <v>0</v>
      </c>
      <c r="I649">
        <f t="shared" si="152"/>
        <v>0</v>
      </c>
      <c r="J649">
        <f t="shared" si="153"/>
        <v>0</v>
      </c>
      <c r="K649" s="4" t="e">
        <f t="shared" si="142"/>
        <v>#N/A</v>
      </c>
      <c r="L649" t="e">
        <f t="shared" si="143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4"/>
        <v>0</v>
      </c>
      <c r="B650">
        <f t="shared" si="145"/>
        <v>0</v>
      </c>
      <c r="C650">
        <f t="shared" si="146"/>
        <v>0</v>
      </c>
      <c r="D650">
        <f t="shared" si="147"/>
        <v>0</v>
      </c>
      <c r="E650" t="e">
        <f t="shared" si="148"/>
        <v>#N/A</v>
      </c>
      <c r="F650">
        <f t="shared" si="149"/>
        <v>0</v>
      </c>
      <c r="G650">
        <f t="shared" si="150"/>
        <v>0</v>
      </c>
      <c r="H650">
        <f t="shared" si="151"/>
        <v>0</v>
      </c>
      <c r="I650">
        <f t="shared" si="152"/>
        <v>0</v>
      </c>
      <c r="J650">
        <f t="shared" si="153"/>
        <v>0</v>
      </c>
      <c r="K650" s="4" t="e">
        <f t="shared" si="142"/>
        <v>#N/A</v>
      </c>
      <c r="L650" t="e">
        <f t="shared" si="143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4"/>
        <v>0</v>
      </c>
      <c r="B651">
        <f t="shared" si="145"/>
        <v>0</v>
      </c>
      <c r="C651">
        <f t="shared" si="146"/>
        <v>0</v>
      </c>
      <c r="D651">
        <f t="shared" si="147"/>
        <v>0</v>
      </c>
      <c r="E651" t="e">
        <f t="shared" si="148"/>
        <v>#N/A</v>
      </c>
      <c r="F651">
        <f t="shared" si="149"/>
        <v>0</v>
      </c>
      <c r="G651">
        <f t="shared" si="150"/>
        <v>0</v>
      </c>
      <c r="H651">
        <f t="shared" si="151"/>
        <v>0</v>
      </c>
      <c r="I651">
        <f t="shared" si="152"/>
        <v>0</v>
      </c>
      <c r="J651">
        <f t="shared" si="153"/>
        <v>0</v>
      </c>
      <c r="K651" s="4" t="e">
        <f t="shared" si="142"/>
        <v>#N/A</v>
      </c>
      <c r="L651" t="e">
        <f t="shared" si="143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4"/>
        <v>0</v>
      </c>
      <c r="B652">
        <f t="shared" si="145"/>
        <v>0</v>
      </c>
      <c r="C652">
        <f t="shared" si="146"/>
        <v>0</v>
      </c>
      <c r="D652">
        <f t="shared" si="147"/>
        <v>0</v>
      </c>
      <c r="E652" t="e">
        <f t="shared" si="148"/>
        <v>#N/A</v>
      </c>
      <c r="F652">
        <f t="shared" si="149"/>
        <v>0</v>
      </c>
      <c r="G652">
        <f t="shared" si="150"/>
        <v>0</v>
      </c>
      <c r="H652">
        <f t="shared" si="151"/>
        <v>0</v>
      </c>
      <c r="I652">
        <f t="shared" si="152"/>
        <v>0</v>
      </c>
      <c r="J652">
        <f t="shared" si="153"/>
        <v>0</v>
      </c>
      <c r="K652" s="4" t="e">
        <f t="shared" si="142"/>
        <v>#N/A</v>
      </c>
      <c r="L652" t="e">
        <f t="shared" si="143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4"/>
        <v>0</v>
      </c>
      <c r="B653">
        <f t="shared" si="145"/>
        <v>0</v>
      </c>
      <c r="C653">
        <f t="shared" si="146"/>
        <v>0</v>
      </c>
      <c r="D653">
        <f t="shared" si="147"/>
        <v>0</v>
      </c>
      <c r="E653" t="e">
        <f t="shared" si="148"/>
        <v>#N/A</v>
      </c>
      <c r="F653">
        <f t="shared" si="149"/>
        <v>0</v>
      </c>
      <c r="G653">
        <f t="shared" si="150"/>
        <v>0</v>
      </c>
      <c r="H653">
        <f t="shared" si="151"/>
        <v>0</v>
      </c>
      <c r="I653">
        <f t="shared" si="152"/>
        <v>0</v>
      </c>
      <c r="J653">
        <f t="shared" si="153"/>
        <v>0</v>
      </c>
      <c r="K653" s="4" t="e">
        <f t="shared" si="142"/>
        <v>#N/A</v>
      </c>
      <c r="L653" t="e">
        <f t="shared" si="143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4"/>
        <v>0</v>
      </c>
      <c r="B654">
        <f t="shared" si="145"/>
        <v>0</v>
      </c>
      <c r="C654">
        <f t="shared" si="146"/>
        <v>0</v>
      </c>
      <c r="D654">
        <f t="shared" si="147"/>
        <v>0</v>
      </c>
      <c r="E654" t="e">
        <f t="shared" si="148"/>
        <v>#N/A</v>
      </c>
      <c r="F654">
        <f t="shared" si="149"/>
        <v>0</v>
      </c>
      <c r="G654">
        <f t="shared" si="150"/>
        <v>0</v>
      </c>
      <c r="H654">
        <f t="shared" si="151"/>
        <v>0</v>
      </c>
      <c r="I654">
        <f t="shared" si="152"/>
        <v>0</v>
      </c>
      <c r="J654">
        <f t="shared" si="153"/>
        <v>0</v>
      </c>
      <c r="K654" s="4" t="e">
        <f t="shared" si="142"/>
        <v>#N/A</v>
      </c>
      <c r="L654" t="e">
        <f t="shared" si="143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4"/>
        <v>0</v>
      </c>
      <c r="B655">
        <f t="shared" si="145"/>
        <v>0</v>
      </c>
      <c r="C655">
        <f t="shared" si="146"/>
        <v>0</v>
      </c>
      <c r="D655">
        <f t="shared" si="147"/>
        <v>0</v>
      </c>
      <c r="E655" t="e">
        <f t="shared" si="148"/>
        <v>#N/A</v>
      </c>
      <c r="F655">
        <f t="shared" si="149"/>
        <v>0</v>
      </c>
      <c r="G655">
        <f t="shared" si="150"/>
        <v>0</v>
      </c>
      <c r="H655">
        <f t="shared" si="151"/>
        <v>0</v>
      </c>
      <c r="I655">
        <f t="shared" si="152"/>
        <v>0</v>
      </c>
      <c r="J655">
        <f t="shared" si="153"/>
        <v>0</v>
      </c>
      <c r="K655" s="4" t="e">
        <f t="shared" si="142"/>
        <v>#N/A</v>
      </c>
      <c r="L655" t="e">
        <f t="shared" si="143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4"/>
        <v>0</v>
      </c>
      <c r="B656">
        <f t="shared" si="145"/>
        <v>0</v>
      </c>
      <c r="C656">
        <f t="shared" si="146"/>
        <v>0</v>
      </c>
      <c r="D656">
        <f t="shared" si="147"/>
        <v>0</v>
      </c>
      <c r="E656" t="e">
        <f t="shared" si="148"/>
        <v>#N/A</v>
      </c>
      <c r="F656">
        <f t="shared" si="149"/>
        <v>0</v>
      </c>
      <c r="G656">
        <f t="shared" si="150"/>
        <v>0</v>
      </c>
      <c r="H656">
        <f t="shared" si="151"/>
        <v>0</v>
      </c>
      <c r="I656">
        <f t="shared" si="152"/>
        <v>0</v>
      </c>
      <c r="J656">
        <f t="shared" si="153"/>
        <v>0</v>
      </c>
      <c r="K656" s="4" t="e">
        <f t="shared" si="142"/>
        <v>#N/A</v>
      </c>
      <c r="L656" t="e">
        <f t="shared" si="143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4"/>
        <v>0</v>
      </c>
      <c r="B657">
        <f t="shared" si="145"/>
        <v>0</v>
      </c>
      <c r="C657">
        <f t="shared" si="146"/>
        <v>0</v>
      </c>
      <c r="D657">
        <f t="shared" si="147"/>
        <v>0</v>
      </c>
      <c r="E657" t="e">
        <f t="shared" si="148"/>
        <v>#N/A</v>
      </c>
      <c r="F657">
        <f t="shared" si="149"/>
        <v>0</v>
      </c>
      <c r="G657">
        <f t="shared" si="150"/>
        <v>0</v>
      </c>
      <c r="H657">
        <f t="shared" si="151"/>
        <v>0</v>
      </c>
      <c r="I657">
        <f t="shared" si="152"/>
        <v>0</v>
      </c>
      <c r="J657">
        <f t="shared" si="153"/>
        <v>0</v>
      </c>
      <c r="K657" s="4" t="e">
        <f t="shared" si="142"/>
        <v>#N/A</v>
      </c>
      <c r="L657" t="e">
        <f t="shared" si="143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4"/>
        <v>0</v>
      </c>
      <c r="B658">
        <f t="shared" si="145"/>
        <v>0</v>
      </c>
      <c r="C658">
        <f t="shared" si="146"/>
        <v>0</v>
      </c>
      <c r="D658">
        <f t="shared" si="147"/>
        <v>0</v>
      </c>
      <c r="E658" t="e">
        <f t="shared" si="148"/>
        <v>#N/A</v>
      </c>
      <c r="F658">
        <f t="shared" si="149"/>
        <v>0</v>
      </c>
      <c r="G658">
        <f t="shared" si="150"/>
        <v>0</v>
      </c>
      <c r="H658">
        <f t="shared" si="151"/>
        <v>0</v>
      </c>
      <c r="I658">
        <f t="shared" si="152"/>
        <v>0</v>
      </c>
      <c r="J658">
        <f t="shared" si="153"/>
        <v>0</v>
      </c>
      <c r="K658" s="4" t="e">
        <f t="shared" si="142"/>
        <v>#N/A</v>
      </c>
      <c r="L658" t="e">
        <f t="shared" si="143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4"/>
        <v>0</v>
      </c>
      <c r="B659">
        <f t="shared" si="145"/>
        <v>0</v>
      </c>
      <c r="C659">
        <f t="shared" si="146"/>
        <v>0</v>
      </c>
      <c r="D659">
        <f t="shared" si="147"/>
        <v>0</v>
      </c>
      <c r="E659" t="e">
        <f t="shared" si="148"/>
        <v>#N/A</v>
      </c>
      <c r="F659">
        <f t="shared" si="149"/>
        <v>0</v>
      </c>
      <c r="G659">
        <f t="shared" si="150"/>
        <v>0</v>
      </c>
      <c r="H659">
        <f t="shared" si="151"/>
        <v>0</v>
      </c>
      <c r="I659">
        <f t="shared" si="152"/>
        <v>0</v>
      </c>
      <c r="J659">
        <f t="shared" si="153"/>
        <v>0</v>
      </c>
      <c r="K659" s="4" t="e">
        <f t="shared" si="142"/>
        <v>#N/A</v>
      </c>
      <c r="L659" t="e">
        <f t="shared" si="143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4"/>
        <v>0</v>
      </c>
      <c r="B660">
        <f t="shared" si="145"/>
        <v>0</v>
      </c>
      <c r="C660">
        <f t="shared" si="146"/>
        <v>0</v>
      </c>
      <c r="D660">
        <f t="shared" si="147"/>
        <v>0</v>
      </c>
      <c r="E660" t="e">
        <f t="shared" si="148"/>
        <v>#N/A</v>
      </c>
      <c r="F660">
        <f t="shared" si="149"/>
        <v>0</v>
      </c>
      <c r="G660">
        <f t="shared" si="150"/>
        <v>0</v>
      </c>
      <c r="H660">
        <f t="shared" si="151"/>
        <v>0</v>
      </c>
      <c r="I660">
        <f t="shared" si="152"/>
        <v>0</v>
      </c>
      <c r="J660">
        <f t="shared" si="153"/>
        <v>0</v>
      </c>
      <c r="K660" s="4" t="e">
        <f t="shared" si="142"/>
        <v>#N/A</v>
      </c>
      <c r="L660" t="e">
        <f t="shared" si="143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4"/>
        <v>0</v>
      </c>
      <c r="B661">
        <f t="shared" si="145"/>
        <v>0</v>
      </c>
      <c r="C661">
        <f t="shared" si="146"/>
        <v>0</v>
      </c>
      <c r="D661">
        <f t="shared" si="147"/>
        <v>0</v>
      </c>
      <c r="E661" t="e">
        <f t="shared" si="148"/>
        <v>#N/A</v>
      </c>
      <c r="F661">
        <f t="shared" si="149"/>
        <v>0</v>
      </c>
      <c r="G661">
        <f t="shared" si="150"/>
        <v>0</v>
      </c>
      <c r="H661">
        <f t="shared" si="151"/>
        <v>0</v>
      </c>
      <c r="I661">
        <f t="shared" si="152"/>
        <v>0</v>
      </c>
      <c r="J661">
        <f t="shared" si="153"/>
        <v>0</v>
      </c>
      <c r="K661" s="4" t="e">
        <f t="shared" si="142"/>
        <v>#N/A</v>
      </c>
      <c r="L661" t="e">
        <f t="shared" si="143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4"/>
        <v>0</v>
      </c>
      <c r="B662">
        <f t="shared" si="145"/>
        <v>0</v>
      </c>
      <c r="C662">
        <f t="shared" si="146"/>
        <v>0</v>
      </c>
      <c r="D662">
        <f t="shared" si="147"/>
        <v>0</v>
      </c>
      <c r="E662" t="e">
        <f t="shared" si="148"/>
        <v>#N/A</v>
      </c>
      <c r="F662">
        <f t="shared" si="149"/>
        <v>0</v>
      </c>
      <c r="G662">
        <f t="shared" si="150"/>
        <v>0</v>
      </c>
      <c r="H662">
        <f t="shared" si="151"/>
        <v>0</v>
      </c>
      <c r="I662">
        <f t="shared" si="152"/>
        <v>0</v>
      </c>
      <c r="J662">
        <f t="shared" si="153"/>
        <v>0</v>
      </c>
      <c r="K662" s="4" t="e">
        <f t="shared" si="142"/>
        <v>#N/A</v>
      </c>
      <c r="L662" t="e">
        <f t="shared" si="143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4"/>
        <v>0</v>
      </c>
      <c r="B663">
        <f t="shared" si="145"/>
        <v>0</v>
      </c>
      <c r="C663">
        <f t="shared" si="146"/>
        <v>0</v>
      </c>
      <c r="D663">
        <f t="shared" si="147"/>
        <v>0</v>
      </c>
      <c r="E663" t="e">
        <f t="shared" si="148"/>
        <v>#N/A</v>
      </c>
      <c r="F663">
        <f t="shared" si="149"/>
        <v>0</v>
      </c>
      <c r="G663">
        <f t="shared" si="150"/>
        <v>0</v>
      </c>
      <c r="H663">
        <f t="shared" si="151"/>
        <v>0</v>
      </c>
      <c r="I663">
        <f t="shared" si="152"/>
        <v>0</v>
      </c>
      <c r="J663">
        <f t="shared" si="153"/>
        <v>0</v>
      </c>
      <c r="K663" s="4" t="e">
        <f t="shared" si="142"/>
        <v>#N/A</v>
      </c>
      <c r="L663" t="e">
        <f t="shared" si="143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4"/>
        <v>0</v>
      </c>
      <c r="B664">
        <f t="shared" si="145"/>
        <v>0</v>
      </c>
      <c r="C664">
        <f t="shared" si="146"/>
        <v>0</v>
      </c>
      <c r="D664">
        <f t="shared" si="147"/>
        <v>0</v>
      </c>
      <c r="E664" t="e">
        <f t="shared" si="148"/>
        <v>#N/A</v>
      </c>
      <c r="F664">
        <f t="shared" si="149"/>
        <v>0</v>
      </c>
      <c r="G664">
        <f t="shared" si="150"/>
        <v>0</v>
      </c>
      <c r="H664">
        <f t="shared" si="151"/>
        <v>0</v>
      </c>
      <c r="I664">
        <f t="shared" si="152"/>
        <v>0</v>
      </c>
      <c r="J664">
        <f t="shared" si="153"/>
        <v>0</v>
      </c>
      <c r="K664" s="4" t="e">
        <f t="shared" si="142"/>
        <v>#N/A</v>
      </c>
      <c r="L664" t="e">
        <f t="shared" si="143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4"/>
        <v>0</v>
      </c>
      <c r="B665">
        <f t="shared" si="145"/>
        <v>0</v>
      </c>
      <c r="C665">
        <f t="shared" si="146"/>
        <v>0</v>
      </c>
      <c r="D665">
        <f t="shared" si="147"/>
        <v>0</v>
      </c>
      <c r="E665" t="e">
        <f t="shared" si="148"/>
        <v>#N/A</v>
      </c>
      <c r="F665">
        <f t="shared" si="149"/>
        <v>0</v>
      </c>
      <c r="G665">
        <f t="shared" si="150"/>
        <v>0</v>
      </c>
      <c r="H665">
        <f t="shared" si="151"/>
        <v>0</v>
      </c>
      <c r="I665">
        <f t="shared" si="152"/>
        <v>0</v>
      </c>
      <c r="J665">
        <f t="shared" si="153"/>
        <v>0</v>
      </c>
      <c r="K665" s="4" t="e">
        <f t="shared" si="142"/>
        <v>#N/A</v>
      </c>
      <c r="L665" t="e">
        <f t="shared" si="143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4"/>
        <v>0</v>
      </c>
      <c r="B666">
        <f t="shared" si="145"/>
        <v>0</v>
      </c>
      <c r="C666">
        <f t="shared" si="146"/>
        <v>0</v>
      </c>
      <c r="D666">
        <f t="shared" si="147"/>
        <v>0</v>
      </c>
      <c r="E666" t="e">
        <f t="shared" si="148"/>
        <v>#N/A</v>
      </c>
      <c r="F666">
        <f t="shared" si="149"/>
        <v>0</v>
      </c>
      <c r="G666">
        <f t="shared" si="150"/>
        <v>0</v>
      </c>
      <c r="H666">
        <f t="shared" si="151"/>
        <v>0</v>
      </c>
      <c r="I666">
        <f t="shared" si="152"/>
        <v>0</v>
      </c>
      <c r="J666">
        <f t="shared" si="153"/>
        <v>0</v>
      </c>
      <c r="K666" s="4" t="e">
        <f t="shared" si="142"/>
        <v>#N/A</v>
      </c>
      <c r="L666" t="e">
        <f t="shared" si="143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4"/>
        <v>0</v>
      </c>
      <c r="B667">
        <f t="shared" si="145"/>
        <v>0</v>
      </c>
      <c r="C667">
        <f t="shared" si="146"/>
        <v>0</v>
      </c>
      <c r="D667">
        <f t="shared" si="147"/>
        <v>0</v>
      </c>
      <c r="E667" t="e">
        <f t="shared" si="148"/>
        <v>#N/A</v>
      </c>
      <c r="F667">
        <f t="shared" si="149"/>
        <v>0</v>
      </c>
      <c r="G667">
        <f t="shared" si="150"/>
        <v>0</v>
      </c>
      <c r="H667">
        <f t="shared" si="151"/>
        <v>0</v>
      </c>
      <c r="I667">
        <f t="shared" si="152"/>
        <v>0</v>
      </c>
      <c r="J667">
        <f t="shared" si="153"/>
        <v>0</v>
      </c>
      <c r="K667" s="4" t="e">
        <f t="shared" si="142"/>
        <v>#N/A</v>
      </c>
      <c r="L667" t="e">
        <f t="shared" si="143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4"/>
        <v>0</v>
      </c>
      <c r="B668">
        <f t="shared" si="145"/>
        <v>0</v>
      </c>
      <c r="C668">
        <f t="shared" si="146"/>
        <v>0</v>
      </c>
      <c r="D668">
        <f t="shared" si="147"/>
        <v>0</v>
      </c>
      <c r="E668" t="e">
        <f t="shared" si="148"/>
        <v>#N/A</v>
      </c>
      <c r="F668">
        <f t="shared" si="149"/>
        <v>0</v>
      </c>
      <c r="G668">
        <f t="shared" si="150"/>
        <v>0</v>
      </c>
      <c r="H668">
        <f t="shared" si="151"/>
        <v>0</v>
      </c>
      <c r="I668">
        <f t="shared" si="152"/>
        <v>0</v>
      </c>
      <c r="J668">
        <f t="shared" si="153"/>
        <v>0</v>
      </c>
      <c r="K668" s="4" t="e">
        <f t="shared" si="142"/>
        <v>#N/A</v>
      </c>
      <c r="L668" t="e">
        <f t="shared" si="143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4"/>
        <v>0</v>
      </c>
      <c r="B669">
        <f t="shared" si="145"/>
        <v>0</v>
      </c>
      <c r="C669">
        <f t="shared" si="146"/>
        <v>0</v>
      </c>
      <c r="D669">
        <f t="shared" si="147"/>
        <v>0</v>
      </c>
      <c r="E669" t="e">
        <f t="shared" si="148"/>
        <v>#N/A</v>
      </c>
      <c r="F669">
        <f t="shared" si="149"/>
        <v>0</v>
      </c>
      <c r="G669">
        <f t="shared" si="150"/>
        <v>0</v>
      </c>
      <c r="H669">
        <f t="shared" si="151"/>
        <v>0</v>
      </c>
      <c r="I669">
        <f t="shared" si="152"/>
        <v>0</v>
      </c>
      <c r="J669">
        <f t="shared" si="153"/>
        <v>0</v>
      </c>
      <c r="K669" s="4" t="e">
        <f t="shared" si="142"/>
        <v>#N/A</v>
      </c>
      <c r="L669" t="e">
        <f t="shared" si="143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4"/>
        <v>0</v>
      </c>
      <c r="B670">
        <f t="shared" si="145"/>
        <v>0</v>
      </c>
      <c r="C670">
        <f t="shared" si="146"/>
        <v>0</v>
      </c>
      <c r="D670">
        <f t="shared" si="147"/>
        <v>0</v>
      </c>
      <c r="E670" t="e">
        <f t="shared" si="148"/>
        <v>#N/A</v>
      </c>
      <c r="F670">
        <f t="shared" si="149"/>
        <v>0</v>
      </c>
      <c r="G670">
        <f t="shared" si="150"/>
        <v>0</v>
      </c>
      <c r="H670">
        <f t="shared" si="151"/>
        <v>0</v>
      </c>
      <c r="I670">
        <f t="shared" si="152"/>
        <v>0</v>
      </c>
      <c r="J670">
        <f t="shared" si="153"/>
        <v>0</v>
      </c>
      <c r="K670" s="4" t="e">
        <f t="shared" si="142"/>
        <v>#N/A</v>
      </c>
      <c r="L670" t="e">
        <f t="shared" si="143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4"/>
        <v>0</v>
      </c>
      <c r="B671">
        <f t="shared" si="145"/>
        <v>0</v>
      </c>
      <c r="C671">
        <f t="shared" si="146"/>
        <v>0</v>
      </c>
      <c r="D671">
        <f t="shared" si="147"/>
        <v>0</v>
      </c>
      <c r="E671" t="e">
        <f t="shared" si="148"/>
        <v>#N/A</v>
      </c>
      <c r="F671">
        <f t="shared" si="149"/>
        <v>0</v>
      </c>
      <c r="G671">
        <f t="shared" si="150"/>
        <v>0</v>
      </c>
      <c r="H671">
        <f t="shared" si="151"/>
        <v>0</v>
      </c>
      <c r="I671">
        <f t="shared" si="152"/>
        <v>0</v>
      </c>
      <c r="J671">
        <f t="shared" si="153"/>
        <v>0</v>
      </c>
      <c r="K671" s="4" t="e">
        <f t="shared" si="142"/>
        <v>#N/A</v>
      </c>
      <c r="L671" t="e">
        <f t="shared" si="143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4"/>
        <v>0</v>
      </c>
      <c r="B672">
        <f t="shared" si="145"/>
        <v>0</v>
      </c>
      <c r="C672">
        <f t="shared" si="146"/>
        <v>0</v>
      </c>
      <c r="D672">
        <f t="shared" si="147"/>
        <v>0</v>
      </c>
      <c r="E672" t="e">
        <f t="shared" si="148"/>
        <v>#N/A</v>
      </c>
      <c r="F672">
        <f t="shared" si="149"/>
        <v>0</v>
      </c>
      <c r="G672">
        <f t="shared" si="150"/>
        <v>0</v>
      </c>
      <c r="H672">
        <f t="shared" si="151"/>
        <v>0</v>
      </c>
      <c r="I672">
        <f t="shared" si="152"/>
        <v>0</v>
      </c>
      <c r="J672">
        <f t="shared" si="153"/>
        <v>0</v>
      </c>
      <c r="K672" s="4" t="e">
        <f t="shared" si="142"/>
        <v>#N/A</v>
      </c>
      <c r="L672" t="e">
        <f t="shared" si="143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4"/>
        <v>0</v>
      </c>
      <c r="B673">
        <f t="shared" si="145"/>
        <v>0</v>
      </c>
      <c r="C673">
        <f t="shared" si="146"/>
        <v>0</v>
      </c>
      <c r="D673">
        <f t="shared" si="147"/>
        <v>0</v>
      </c>
      <c r="E673" t="e">
        <f t="shared" si="148"/>
        <v>#N/A</v>
      </c>
      <c r="F673">
        <f t="shared" si="149"/>
        <v>0</v>
      </c>
      <c r="G673">
        <f t="shared" si="150"/>
        <v>0</v>
      </c>
      <c r="H673">
        <f t="shared" si="151"/>
        <v>0</v>
      </c>
      <c r="I673">
        <f t="shared" si="152"/>
        <v>0</v>
      </c>
      <c r="J673">
        <f t="shared" si="153"/>
        <v>0</v>
      </c>
      <c r="K673" s="4" t="e">
        <f t="shared" si="142"/>
        <v>#N/A</v>
      </c>
      <c r="L673" t="e">
        <f t="shared" si="143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4"/>
        <v>0</v>
      </c>
      <c r="B674">
        <f t="shared" si="145"/>
        <v>0</v>
      </c>
      <c r="C674">
        <f t="shared" si="146"/>
        <v>0</v>
      </c>
      <c r="D674">
        <f t="shared" si="147"/>
        <v>0</v>
      </c>
      <c r="E674" t="e">
        <f t="shared" si="148"/>
        <v>#N/A</v>
      </c>
      <c r="F674">
        <f t="shared" si="149"/>
        <v>0</v>
      </c>
      <c r="G674">
        <f t="shared" si="150"/>
        <v>0</v>
      </c>
      <c r="H674">
        <f t="shared" si="151"/>
        <v>0</v>
      </c>
      <c r="I674">
        <f t="shared" si="152"/>
        <v>0</v>
      </c>
      <c r="J674">
        <f t="shared" si="153"/>
        <v>0</v>
      </c>
      <c r="K674" s="4" t="e">
        <f t="shared" si="142"/>
        <v>#N/A</v>
      </c>
      <c r="L674" t="e">
        <f t="shared" si="143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4"/>
        <v>0</v>
      </c>
      <c r="B675">
        <f t="shared" si="145"/>
        <v>0</v>
      </c>
      <c r="C675">
        <f t="shared" si="146"/>
        <v>0</v>
      </c>
      <c r="D675">
        <f t="shared" si="147"/>
        <v>0</v>
      </c>
      <c r="E675" t="e">
        <f t="shared" si="148"/>
        <v>#N/A</v>
      </c>
      <c r="F675">
        <f t="shared" si="149"/>
        <v>0</v>
      </c>
      <c r="G675">
        <f t="shared" si="150"/>
        <v>0</v>
      </c>
      <c r="H675">
        <f t="shared" si="151"/>
        <v>0</v>
      </c>
      <c r="I675">
        <f t="shared" si="152"/>
        <v>0</v>
      </c>
      <c r="J675">
        <f t="shared" si="153"/>
        <v>0</v>
      </c>
      <c r="K675" s="4" t="e">
        <f t="shared" si="142"/>
        <v>#N/A</v>
      </c>
      <c r="L675" t="e">
        <f t="shared" si="143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4"/>
        <v>0</v>
      </c>
      <c r="B676">
        <f t="shared" si="145"/>
        <v>0</v>
      </c>
      <c r="C676">
        <f t="shared" si="146"/>
        <v>0</v>
      </c>
      <c r="D676">
        <f t="shared" si="147"/>
        <v>0</v>
      </c>
      <c r="E676" t="e">
        <f t="shared" si="148"/>
        <v>#N/A</v>
      </c>
      <c r="F676">
        <f t="shared" si="149"/>
        <v>0</v>
      </c>
      <c r="G676">
        <f t="shared" si="150"/>
        <v>0</v>
      </c>
      <c r="H676">
        <f t="shared" si="151"/>
        <v>0</v>
      </c>
      <c r="I676">
        <f t="shared" si="152"/>
        <v>0</v>
      </c>
      <c r="J676">
        <f t="shared" si="153"/>
        <v>0</v>
      </c>
      <c r="K676" s="4" t="e">
        <f t="shared" si="142"/>
        <v>#N/A</v>
      </c>
      <c r="L676" t="e">
        <f t="shared" si="143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4"/>
        <v>0</v>
      </c>
      <c r="B677">
        <f t="shared" si="145"/>
        <v>0</v>
      </c>
      <c r="C677">
        <f t="shared" si="146"/>
        <v>0</v>
      </c>
      <c r="D677">
        <f t="shared" si="147"/>
        <v>0</v>
      </c>
      <c r="E677" t="e">
        <f t="shared" si="148"/>
        <v>#N/A</v>
      </c>
      <c r="F677">
        <f t="shared" si="149"/>
        <v>0</v>
      </c>
      <c r="G677">
        <f t="shared" si="150"/>
        <v>0</v>
      </c>
      <c r="H677">
        <f t="shared" si="151"/>
        <v>0</v>
      </c>
      <c r="I677">
        <f t="shared" si="152"/>
        <v>0</v>
      </c>
      <c r="J677">
        <f t="shared" si="153"/>
        <v>0</v>
      </c>
      <c r="K677" s="4" t="e">
        <f t="shared" si="142"/>
        <v>#N/A</v>
      </c>
      <c r="L677" t="e">
        <f t="shared" si="143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4"/>
        <v>0</v>
      </c>
      <c r="B678">
        <f t="shared" si="145"/>
        <v>0</v>
      </c>
      <c r="C678">
        <f t="shared" si="146"/>
        <v>0</v>
      </c>
      <c r="D678">
        <f t="shared" si="147"/>
        <v>0</v>
      </c>
      <c r="E678" t="e">
        <f t="shared" si="148"/>
        <v>#N/A</v>
      </c>
      <c r="F678">
        <f t="shared" si="149"/>
        <v>0</v>
      </c>
      <c r="G678">
        <f t="shared" si="150"/>
        <v>0</v>
      </c>
      <c r="H678">
        <f t="shared" si="151"/>
        <v>0</v>
      </c>
      <c r="I678">
        <f t="shared" si="152"/>
        <v>0</v>
      </c>
      <c r="J678">
        <f t="shared" si="153"/>
        <v>0</v>
      </c>
      <c r="K678" s="4" t="e">
        <f t="shared" si="142"/>
        <v>#N/A</v>
      </c>
      <c r="L678" t="e">
        <f t="shared" si="143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4"/>
        <v>0</v>
      </c>
      <c r="B679">
        <f t="shared" si="145"/>
        <v>0</v>
      </c>
      <c r="C679">
        <f t="shared" si="146"/>
        <v>0</v>
      </c>
      <c r="D679">
        <f t="shared" si="147"/>
        <v>0</v>
      </c>
      <c r="E679" t="e">
        <f t="shared" si="148"/>
        <v>#N/A</v>
      </c>
      <c r="F679">
        <f t="shared" si="149"/>
        <v>0</v>
      </c>
      <c r="G679">
        <f t="shared" si="150"/>
        <v>0</v>
      </c>
      <c r="H679">
        <f t="shared" si="151"/>
        <v>0</v>
      </c>
      <c r="I679">
        <f t="shared" si="152"/>
        <v>0</v>
      </c>
      <c r="J679">
        <f t="shared" si="153"/>
        <v>0</v>
      </c>
      <c r="K679" s="4" t="e">
        <f t="shared" si="142"/>
        <v>#N/A</v>
      </c>
      <c r="L679" t="e">
        <f t="shared" si="143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4"/>
        <v>0</v>
      </c>
      <c r="B680">
        <f t="shared" si="145"/>
        <v>0</v>
      </c>
      <c r="C680">
        <f t="shared" si="146"/>
        <v>0</v>
      </c>
      <c r="D680">
        <f t="shared" si="147"/>
        <v>0</v>
      </c>
      <c r="E680" t="e">
        <f t="shared" si="148"/>
        <v>#N/A</v>
      </c>
      <c r="F680">
        <f t="shared" si="149"/>
        <v>0</v>
      </c>
      <c r="G680">
        <f t="shared" si="150"/>
        <v>0</v>
      </c>
      <c r="H680">
        <f t="shared" si="151"/>
        <v>0</v>
      </c>
      <c r="I680">
        <f t="shared" si="152"/>
        <v>0</v>
      </c>
      <c r="J680">
        <f t="shared" si="153"/>
        <v>0</v>
      </c>
      <c r="K680" s="4" t="e">
        <f t="shared" si="142"/>
        <v>#N/A</v>
      </c>
      <c r="L680" t="e">
        <f t="shared" si="143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4"/>
        <v>0</v>
      </c>
      <c r="B681">
        <f t="shared" si="145"/>
        <v>0</v>
      </c>
      <c r="C681">
        <f t="shared" si="146"/>
        <v>0</v>
      </c>
      <c r="D681">
        <f t="shared" si="147"/>
        <v>0</v>
      </c>
      <c r="E681" t="e">
        <f t="shared" si="148"/>
        <v>#N/A</v>
      </c>
      <c r="F681">
        <f t="shared" si="149"/>
        <v>0</v>
      </c>
      <c r="G681">
        <f t="shared" si="150"/>
        <v>0</v>
      </c>
      <c r="H681">
        <f t="shared" si="151"/>
        <v>0</v>
      </c>
      <c r="I681">
        <f t="shared" si="152"/>
        <v>0</v>
      </c>
      <c r="J681">
        <f t="shared" si="153"/>
        <v>0</v>
      </c>
      <c r="K681" s="4" t="e">
        <f t="shared" si="142"/>
        <v>#N/A</v>
      </c>
      <c r="L681" t="e">
        <f t="shared" si="143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4"/>
        <v>0</v>
      </c>
      <c r="B682">
        <f t="shared" si="145"/>
        <v>0</v>
      </c>
      <c r="C682">
        <f t="shared" si="146"/>
        <v>0</v>
      </c>
      <c r="D682">
        <f t="shared" si="147"/>
        <v>0</v>
      </c>
      <c r="E682" t="e">
        <f t="shared" si="148"/>
        <v>#N/A</v>
      </c>
      <c r="F682">
        <f t="shared" si="149"/>
        <v>0</v>
      </c>
      <c r="G682">
        <f t="shared" si="150"/>
        <v>0</v>
      </c>
      <c r="H682">
        <f t="shared" si="151"/>
        <v>0</v>
      </c>
      <c r="I682">
        <f t="shared" si="152"/>
        <v>0</v>
      </c>
      <c r="J682">
        <f t="shared" si="153"/>
        <v>0</v>
      </c>
      <c r="K682" s="4" t="e">
        <f t="shared" si="142"/>
        <v>#N/A</v>
      </c>
      <c r="L682" t="e">
        <f t="shared" si="143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4"/>
        <v>0</v>
      </c>
      <c r="B683">
        <f t="shared" si="145"/>
        <v>0</v>
      </c>
      <c r="C683">
        <f t="shared" si="146"/>
        <v>0</v>
      </c>
      <c r="D683">
        <f t="shared" si="147"/>
        <v>0</v>
      </c>
      <c r="E683" t="e">
        <f t="shared" si="148"/>
        <v>#N/A</v>
      </c>
      <c r="F683">
        <f t="shared" si="149"/>
        <v>0</v>
      </c>
      <c r="G683">
        <f t="shared" si="150"/>
        <v>0</v>
      </c>
      <c r="H683">
        <f t="shared" si="151"/>
        <v>0</v>
      </c>
      <c r="I683">
        <f t="shared" si="152"/>
        <v>0</v>
      </c>
      <c r="J683">
        <f t="shared" si="153"/>
        <v>0</v>
      </c>
      <c r="K683" s="4" t="e">
        <f t="shared" si="142"/>
        <v>#N/A</v>
      </c>
      <c r="L683" t="e">
        <f t="shared" si="143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4"/>
        <v>0</v>
      </c>
      <c r="B684">
        <f t="shared" si="145"/>
        <v>0</v>
      </c>
      <c r="C684">
        <f t="shared" si="146"/>
        <v>0</v>
      </c>
      <c r="D684">
        <f t="shared" si="147"/>
        <v>0</v>
      </c>
      <c r="E684" t="e">
        <f t="shared" si="148"/>
        <v>#N/A</v>
      </c>
      <c r="F684">
        <f t="shared" si="149"/>
        <v>0</v>
      </c>
      <c r="G684">
        <f t="shared" si="150"/>
        <v>0</v>
      </c>
      <c r="H684">
        <f t="shared" si="151"/>
        <v>0</v>
      </c>
      <c r="I684">
        <f t="shared" si="152"/>
        <v>0</v>
      </c>
      <c r="J684">
        <f t="shared" si="153"/>
        <v>0</v>
      </c>
      <c r="K684" s="4" t="e">
        <f t="shared" ref="K684:K747" si="156">IF(LEFT(B684,3)="DBM",0,VLOOKUP(E684,tabela,2,FALSE))</f>
        <v>#N/A</v>
      </c>
      <c r="L684" t="e">
        <f t="shared" ref="L684:L747" si="157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4"/>
        <v>0</v>
      </c>
      <c r="B685">
        <f t="shared" si="145"/>
        <v>0</v>
      </c>
      <c r="C685">
        <f t="shared" si="146"/>
        <v>0</v>
      </c>
      <c r="D685">
        <f t="shared" si="147"/>
        <v>0</v>
      </c>
      <c r="E685" t="e">
        <f t="shared" si="148"/>
        <v>#N/A</v>
      </c>
      <c r="F685">
        <f t="shared" si="149"/>
        <v>0</v>
      </c>
      <c r="G685">
        <f t="shared" si="150"/>
        <v>0</v>
      </c>
      <c r="H685">
        <f t="shared" si="151"/>
        <v>0</v>
      </c>
      <c r="I685">
        <f t="shared" si="152"/>
        <v>0</v>
      </c>
      <c r="J685">
        <f t="shared" si="153"/>
        <v>0</v>
      </c>
      <c r="K685" s="4" t="e">
        <f t="shared" si="156"/>
        <v>#N/A</v>
      </c>
      <c r="L685" t="e">
        <f t="shared" si="157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4"/>
        <v>0</v>
      </c>
      <c r="B686">
        <f t="shared" si="145"/>
        <v>0</v>
      </c>
      <c r="C686">
        <f t="shared" si="146"/>
        <v>0</v>
      </c>
      <c r="D686">
        <f t="shared" si="147"/>
        <v>0</v>
      </c>
      <c r="E686" t="e">
        <f t="shared" si="148"/>
        <v>#N/A</v>
      </c>
      <c r="F686">
        <f t="shared" si="149"/>
        <v>0</v>
      </c>
      <c r="G686">
        <f t="shared" si="150"/>
        <v>0</v>
      </c>
      <c r="H686">
        <f t="shared" si="151"/>
        <v>0</v>
      </c>
      <c r="I686">
        <f t="shared" si="152"/>
        <v>0</v>
      </c>
      <c r="J686">
        <f t="shared" si="153"/>
        <v>0</v>
      </c>
      <c r="K686" s="4" t="e">
        <f t="shared" si="156"/>
        <v>#N/A</v>
      </c>
      <c r="L686" t="e">
        <f t="shared" si="157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4"/>
        <v>0</v>
      </c>
      <c r="B687">
        <f t="shared" si="145"/>
        <v>0</v>
      </c>
      <c r="C687">
        <f t="shared" si="146"/>
        <v>0</v>
      </c>
      <c r="D687">
        <f t="shared" si="147"/>
        <v>0</v>
      </c>
      <c r="E687" t="e">
        <f t="shared" si="148"/>
        <v>#N/A</v>
      </c>
      <c r="F687">
        <f t="shared" si="149"/>
        <v>0</v>
      </c>
      <c r="G687">
        <f t="shared" si="150"/>
        <v>0</v>
      </c>
      <c r="H687">
        <f t="shared" si="151"/>
        <v>0</v>
      </c>
      <c r="I687">
        <f t="shared" si="152"/>
        <v>0</v>
      </c>
      <c r="J687">
        <f t="shared" si="153"/>
        <v>0</v>
      </c>
      <c r="K687" s="4" t="e">
        <f t="shared" si="156"/>
        <v>#N/A</v>
      </c>
      <c r="L687" t="e">
        <f t="shared" si="157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4"/>
        <v>0</v>
      </c>
      <c r="B688">
        <f t="shared" si="145"/>
        <v>0</v>
      </c>
      <c r="C688">
        <f t="shared" si="146"/>
        <v>0</v>
      </c>
      <c r="D688">
        <f t="shared" si="147"/>
        <v>0</v>
      </c>
      <c r="E688" t="e">
        <f t="shared" si="148"/>
        <v>#N/A</v>
      </c>
      <c r="F688">
        <f t="shared" si="149"/>
        <v>0</v>
      </c>
      <c r="G688">
        <f t="shared" si="150"/>
        <v>0</v>
      </c>
      <c r="H688">
        <f t="shared" si="151"/>
        <v>0</v>
      </c>
      <c r="I688">
        <f t="shared" si="152"/>
        <v>0</v>
      </c>
      <c r="J688">
        <f t="shared" si="153"/>
        <v>0</v>
      </c>
      <c r="K688" s="4" t="e">
        <f t="shared" si="156"/>
        <v>#N/A</v>
      </c>
      <c r="L688" t="e">
        <f t="shared" si="157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4"/>
        <v>0</v>
      </c>
      <c r="B689">
        <f t="shared" si="145"/>
        <v>0</v>
      </c>
      <c r="C689">
        <f t="shared" si="146"/>
        <v>0</v>
      </c>
      <c r="D689">
        <f t="shared" si="147"/>
        <v>0</v>
      </c>
      <c r="E689" t="e">
        <f t="shared" si="148"/>
        <v>#N/A</v>
      </c>
      <c r="F689">
        <f t="shared" si="149"/>
        <v>0</v>
      </c>
      <c r="G689">
        <f t="shared" si="150"/>
        <v>0</v>
      </c>
      <c r="H689">
        <f t="shared" si="151"/>
        <v>0</v>
      </c>
      <c r="I689">
        <f t="shared" si="152"/>
        <v>0</v>
      </c>
      <c r="J689">
        <f t="shared" si="153"/>
        <v>0</v>
      </c>
      <c r="K689" s="4" t="e">
        <f t="shared" si="156"/>
        <v>#N/A</v>
      </c>
      <c r="L689" t="e">
        <f t="shared" si="157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4"/>
        <v>0</v>
      </c>
      <c r="B690">
        <f t="shared" si="145"/>
        <v>0</v>
      </c>
      <c r="C690">
        <f t="shared" si="146"/>
        <v>0</v>
      </c>
      <c r="D690">
        <f t="shared" si="147"/>
        <v>0</v>
      </c>
      <c r="E690" t="e">
        <f t="shared" si="148"/>
        <v>#N/A</v>
      </c>
      <c r="F690">
        <f t="shared" si="149"/>
        <v>0</v>
      </c>
      <c r="G690">
        <f t="shared" si="150"/>
        <v>0</v>
      </c>
      <c r="H690">
        <f t="shared" si="151"/>
        <v>0</v>
      </c>
      <c r="I690">
        <f t="shared" si="152"/>
        <v>0</v>
      </c>
      <c r="J690">
        <f t="shared" si="153"/>
        <v>0</v>
      </c>
      <c r="K690" s="4" t="e">
        <f t="shared" si="156"/>
        <v>#N/A</v>
      </c>
      <c r="L690" t="e">
        <f t="shared" si="157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4"/>
        <v>0</v>
      </c>
      <c r="B691">
        <f t="shared" si="145"/>
        <v>0</v>
      </c>
      <c r="C691">
        <f t="shared" si="146"/>
        <v>0</v>
      </c>
      <c r="D691">
        <f t="shared" si="147"/>
        <v>0</v>
      </c>
      <c r="E691" t="e">
        <f t="shared" si="148"/>
        <v>#N/A</v>
      </c>
      <c r="F691">
        <f t="shared" si="149"/>
        <v>0</v>
      </c>
      <c r="G691">
        <f t="shared" si="150"/>
        <v>0</v>
      </c>
      <c r="H691">
        <f t="shared" si="151"/>
        <v>0</v>
      </c>
      <c r="I691">
        <f t="shared" si="152"/>
        <v>0</v>
      </c>
      <c r="J691">
        <f t="shared" si="153"/>
        <v>0</v>
      </c>
      <c r="K691" s="4" t="e">
        <f t="shared" si="156"/>
        <v>#N/A</v>
      </c>
      <c r="L691" t="e">
        <f t="shared" si="157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4"/>
        <v>0</v>
      </c>
      <c r="B692">
        <f t="shared" si="145"/>
        <v>0</v>
      </c>
      <c r="C692">
        <f t="shared" si="146"/>
        <v>0</v>
      </c>
      <c r="D692">
        <f t="shared" si="147"/>
        <v>0</v>
      </c>
      <c r="E692" t="e">
        <f t="shared" si="148"/>
        <v>#N/A</v>
      </c>
      <c r="F692">
        <f t="shared" si="149"/>
        <v>0</v>
      </c>
      <c r="G692">
        <f t="shared" si="150"/>
        <v>0</v>
      </c>
      <c r="H692">
        <f t="shared" si="151"/>
        <v>0</v>
      </c>
      <c r="I692">
        <f t="shared" si="152"/>
        <v>0</v>
      </c>
      <c r="J692">
        <f t="shared" si="153"/>
        <v>0</v>
      </c>
      <c r="K692" s="4" t="e">
        <f t="shared" si="156"/>
        <v>#N/A</v>
      </c>
      <c r="L692" t="e">
        <f t="shared" si="157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4"/>
        <v>0</v>
      </c>
      <c r="B693">
        <f t="shared" si="145"/>
        <v>0</v>
      </c>
      <c r="C693">
        <f t="shared" si="146"/>
        <v>0</v>
      </c>
      <c r="D693">
        <f t="shared" si="147"/>
        <v>0</v>
      </c>
      <c r="E693" t="e">
        <f t="shared" si="148"/>
        <v>#N/A</v>
      </c>
      <c r="F693">
        <f t="shared" si="149"/>
        <v>0</v>
      </c>
      <c r="G693">
        <f t="shared" si="150"/>
        <v>0</v>
      </c>
      <c r="H693">
        <f t="shared" si="151"/>
        <v>0</v>
      </c>
      <c r="I693">
        <f t="shared" si="152"/>
        <v>0</v>
      </c>
      <c r="J693">
        <f t="shared" si="153"/>
        <v>0</v>
      </c>
      <c r="K693" s="4" t="e">
        <f t="shared" si="156"/>
        <v>#N/A</v>
      </c>
      <c r="L693" t="e">
        <f t="shared" si="157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4"/>
        <v>0</v>
      </c>
      <c r="B694">
        <f t="shared" si="145"/>
        <v>0</v>
      </c>
      <c r="C694">
        <f t="shared" si="146"/>
        <v>0</v>
      </c>
      <c r="D694">
        <f t="shared" si="147"/>
        <v>0</v>
      </c>
      <c r="E694" t="e">
        <f t="shared" si="148"/>
        <v>#N/A</v>
      </c>
      <c r="F694">
        <f t="shared" si="149"/>
        <v>0</v>
      </c>
      <c r="G694">
        <f t="shared" si="150"/>
        <v>0</v>
      </c>
      <c r="H694">
        <f t="shared" si="151"/>
        <v>0</v>
      </c>
      <c r="I694">
        <f t="shared" si="152"/>
        <v>0</v>
      </c>
      <c r="J694">
        <f t="shared" si="153"/>
        <v>0</v>
      </c>
      <c r="K694" s="4" t="e">
        <f t="shared" si="156"/>
        <v>#N/A</v>
      </c>
      <c r="L694" t="e">
        <f t="shared" si="157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4"/>
        <v>0</v>
      </c>
      <c r="B695">
        <f t="shared" si="145"/>
        <v>0</v>
      </c>
      <c r="C695">
        <f t="shared" si="146"/>
        <v>0</v>
      </c>
      <c r="D695">
        <f t="shared" si="147"/>
        <v>0</v>
      </c>
      <c r="E695" t="e">
        <f t="shared" si="148"/>
        <v>#N/A</v>
      </c>
      <c r="F695">
        <f t="shared" si="149"/>
        <v>0</v>
      </c>
      <c r="G695">
        <f t="shared" si="150"/>
        <v>0</v>
      </c>
      <c r="H695">
        <f t="shared" si="151"/>
        <v>0</v>
      </c>
      <c r="I695">
        <f t="shared" si="152"/>
        <v>0</v>
      </c>
      <c r="J695">
        <f t="shared" si="153"/>
        <v>0</v>
      </c>
      <c r="K695" s="4" t="e">
        <f t="shared" si="156"/>
        <v>#N/A</v>
      </c>
      <c r="L695" t="e">
        <f t="shared" si="157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4"/>
        <v>0</v>
      </c>
      <c r="B696">
        <f t="shared" si="145"/>
        <v>0</v>
      </c>
      <c r="C696">
        <f t="shared" si="146"/>
        <v>0</v>
      </c>
      <c r="D696">
        <f t="shared" si="147"/>
        <v>0</v>
      </c>
      <c r="E696" t="e">
        <f t="shared" si="148"/>
        <v>#N/A</v>
      </c>
      <c r="F696">
        <f t="shared" si="149"/>
        <v>0</v>
      </c>
      <c r="G696">
        <f t="shared" si="150"/>
        <v>0</v>
      </c>
      <c r="H696">
        <f t="shared" si="151"/>
        <v>0</v>
      </c>
      <c r="I696">
        <f t="shared" si="152"/>
        <v>0</v>
      </c>
      <c r="J696">
        <f t="shared" si="153"/>
        <v>0</v>
      </c>
      <c r="K696" s="4" t="e">
        <f t="shared" si="156"/>
        <v>#N/A</v>
      </c>
      <c r="L696" t="e">
        <f t="shared" si="157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4"/>
        <v>0</v>
      </c>
      <c r="B697">
        <f t="shared" si="145"/>
        <v>0</v>
      </c>
      <c r="C697">
        <f t="shared" si="146"/>
        <v>0</v>
      </c>
      <c r="D697">
        <f t="shared" si="147"/>
        <v>0</v>
      </c>
      <c r="E697" t="e">
        <f t="shared" si="148"/>
        <v>#N/A</v>
      </c>
      <c r="F697">
        <f t="shared" si="149"/>
        <v>0</v>
      </c>
      <c r="G697">
        <f t="shared" si="150"/>
        <v>0</v>
      </c>
      <c r="H697">
        <f t="shared" si="151"/>
        <v>0</v>
      </c>
      <c r="I697">
        <f t="shared" si="152"/>
        <v>0</v>
      </c>
      <c r="J697">
        <f t="shared" si="153"/>
        <v>0</v>
      </c>
      <c r="K697" s="4" t="e">
        <f t="shared" si="156"/>
        <v>#N/A</v>
      </c>
      <c r="L697" t="e">
        <f t="shared" si="157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4"/>
        <v>0</v>
      </c>
      <c r="B698">
        <f t="shared" si="145"/>
        <v>0</v>
      </c>
      <c r="C698">
        <f t="shared" si="146"/>
        <v>0</v>
      </c>
      <c r="D698">
        <f t="shared" si="147"/>
        <v>0</v>
      </c>
      <c r="E698" t="e">
        <f t="shared" si="148"/>
        <v>#N/A</v>
      </c>
      <c r="F698">
        <f t="shared" si="149"/>
        <v>0</v>
      </c>
      <c r="G698">
        <f t="shared" si="150"/>
        <v>0</v>
      </c>
      <c r="H698">
        <f t="shared" si="151"/>
        <v>0</v>
      </c>
      <c r="I698">
        <f t="shared" si="152"/>
        <v>0</v>
      </c>
      <c r="J698">
        <f t="shared" si="153"/>
        <v>0</v>
      </c>
      <c r="K698" s="4" t="e">
        <f t="shared" si="156"/>
        <v>#N/A</v>
      </c>
      <c r="L698" t="e">
        <f t="shared" si="157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4"/>
        <v>0</v>
      </c>
      <c r="B699">
        <f t="shared" si="145"/>
        <v>0</v>
      </c>
      <c r="C699">
        <f t="shared" si="146"/>
        <v>0</v>
      </c>
      <c r="D699">
        <f t="shared" si="147"/>
        <v>0</v>
      </c>
      <c r="E699" t="e">
        <f t="shared" si="148"/>
        <v>#N/A</v>
      </c>
      <c r="F699">
        <f t="shared" si="149"/>
        <v>0</v>
      </c>
      <c r="G699">
        <f t="shared" si="150"/>
        <v>0</v>
      </c>
      <c r="H699">
        <f t="shared" si="151"/>
        <v>0</v>
      </c>
      <c r="I699">
        <f t="shared" si="152"/>
        <v>0</v>
      </c>
      <c r="J699">
        <f t="shared" si="153"/>
        <v>0</v>
      </c>
      <c r="K699" s="4" t="e">
        <f t="shared" si="156"/>
        <v>#N/A</v>
      </c>
      <c r="L699" t="e">
        <f t="shared" si="157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4"/>
        <v>0</v>
      </c>
      <c r="B700">
        <f t="shared" si="145"/>
        <v>0</v>
      </c>
      <c r="C700">
        <f t="shared" si="146"/>
        <v>0</v>
      </c>
      <c r="D700">
        <f t="shared" si="147"/>
        <v>0</v>
      </c>
      <c r="E700" t="e">
        <f t="shared" si="148"/>
        <v>#N/A</v>
      </c>
      <c r="F700">
        <f t="shared" si="149"/>
        <v>0</v>
      </c>
      <c r="G700">
        <f t="shared" si="150"/>
        <v>0</v>
      </c>
      <c r="H700">
        <f t="shared" si="151"/>
        <v>0</v>
      </c>
      <c r="I700">
        <f t="shared" si="152"/>
        <v>0</v>
      </c>
      <c r="J700">
        <f t="shared" si="153"/>
        <v>0</v>
      </c>
      <c r="K700" s="4" t="e">
        <f t="shared" si="156"/>
        <v>#N/A</v>
      </c>
      <c r="L700" t="e">
        <f t="shared" si="157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4"/>
        <v>0</v>
      </c>
      <c r="B701">
        <f t="shared" si="145"/>
        <v>0</v>
      </c>
      <c r="C701">
        <f t="shared" si="146"/>
        <v>0</v>
      </c>
      <c r="D701">
        <f t="shared" si="147"/>
        <v>0</v>
      </c>
      <c r="E701" t="e">
        <f t="shared" si="148"/>
        <v>#N/A</v>
      </c>
      <c r="F701">
        <f t="shared" si="149"/>
        <v>0</v>
      </c>
      <c r="G701">
        <f t="shared" si="150"/>
        <v>0</v>
      </c>
      <c r="H701">
        <f t="shared" si="151"/>
        <v>0</v>
      </c>
      <c r="I701">
        <f t="shared" si="152"/>
        <v>0</v>
      </c>
      <c r="J701">
        <f t="shared" si="153"/>
        <v>0</v>
      </c>
      <c r="K701" s="4" t="e">
        <f t="shared" si="156"/>
        <v>#N/A</v>
      </c>
      <c r="L701" t="e">
        <f t="shared" si="157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4"/>
        <v>0</v>
      </c>
      <c r="B702">
        <f t="shared" si="145"/>
        <v>0</v>
      </c>
      <c r="C702">
        <f t="shared" si="146"/>
        <v>0</v>
      </c>
      <c r="D702">
        <f t="shared" si="147"/>
        <v>0</v>
      </c>
      <c r="E702" t="e">
        <f t="shared" si="148"/>
        <v>#N/A</v>
      </c>
      <c r="F702">
        <f t="shared" si="149"/>
        <v>0</v>
      </c>
      <c r="G702">
        <f t="shared" si="150"/>
        <v>0</v>
      </c>
      <c r="H702">
        <f t="shared" si="151"/>
        <v>0</v>
      </c>
      <c r="I702">
        <f t="shared" si="152"/>
        <v>0</v>
      </c>
      <c r="J702">
        <f t="shared" si="153"/>
        <v>0</v>
      </c>
      <c r="K702" s="4" t="e">
        <f t="shared" si="156"/>
        <v>#N/A</v>
      </c>
      <c r="L702" t="e">
        <f t="shared" si="157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4"/>
        <v>0</v>
      </c>
      <c r="B703">
        <f t="shared" si="145"/>
        <v>0</v>
      </c>
      <c r="C703">
        <f t="shared" si="146"/>
        <v>0</v>
      </c>
      <c r="D703">
        <f t="shared" si="147"/>
        <v>0</v>
      </c>
      <c r="E703" t="e">
        <f t="shared" si="148"/>
        <v>#N/A</v>
      </c>
      <c r="F703">
        <f t="shared" si="149"/>
        <v>0</v>
      </c>
      <c r="G703">
        <f t="shared" si="150"/>
        <v>0</v>
      </c>
      <c r="H703">
        <f t="shared" si="151"/>
        <v>0</v>
      </c>
      <c r="I703">
        <f t="shared" si="152"/>
        <v>0</v>
      </c>
      <c r="J703">
        <f t="shared" si="153"/>
        <v>0</v>
      </c>
      <c r="K703" s="4" t="e">
        <f t="shared" si="156"/>
        <v>#N/A</v>
      </c>
      <c r="L703" t="e">
        <f t="shared" si="157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4"/>
        <v>0</v>
      </c>
      <c r="B704">
        <f t="shared" si="145"/>
        <v>0</v>
      </c>
      <c r="C704">
        <f t="shared" si="146"/>
        <v>0</v>
      </c>
      <c r="D704">
        <f t="shared" si="147"/>
        <v>0</v>
      </c>
      <c r="E704" t="e">
        <f t="shared" si="148"/>
        <v>#N/A</v>
      </c>
      <c r="F704">
        <f t="shared" si="149"/>
        <v>0</v>
      </c>
      <c r="G704">
        <f t="shared" si="150"/>
        <v>0</v>
      </c>
      <c r="H704">
        <f t="shared" si="151"/>
        <v>0</v>
      </c>
      <c r="I704">
        <f t="shared" si="152"/>
        <v>0</v>
      </c>
      <c r="J704">
        <f t="shared" si="153"/>
        <v>0</v>
      </c>
      <c r="K704" s="4" t="e">
        <f t="shared" si="156"/>
        <v>#N/A</v>
      </c>
      <c r="L704" t="e">
        <f t="shared" si="157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4"/>
        <v>0</v>
      </c>
      <c r="B705">
        <f t="shared" si="145"/>
        <v>0</v>
      </c>
      <c r="C705">
        <f t="shared" si="146"/>
        <v>0</v>
      </c>
      <c r="D705">
        <f t="shared" si="147"/>
        <v>0</v>
      </c>
      <c r="E705" t="e">
        <f t="shared" si="148"/>
        <v>#N/A</v>
      </c>
      <c r="F705">
        <f t="shared" si="149"/>
        <v>0</v>
      </c>
      <c r="G705">
        <f t="shared" si="150"/>
        <v>0</v>
      </c>
      <c r="H705">
        <f t="shared" si="151"/>
        <v>0</v>
      </c>
      <c r="I705">
        <f t="shared" si="152"/>
        <v>0</v>
      </c>
      <c r="J705">
        <f t="shared" si="153"/>
        <v>0</v>
      </c>
      <c r="K705" s="4" t="e">
        <f t="shared" si="156"/>
        <v>#N/A</v>
      </c>
      <c r="L705" t="e">
        <f t="shared" si="157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8">bd_campaign</f>
        <v>0</v>
      </c>
      <c r="B706">
        <f t="shared" ref="B706:B769" si="159">bd_site</f>
        <v>0</v>
      </c>
      <c r="C706">
        <f t="shared" ref="C706:C769" si="160">bd_placement</f>
        <v>0</v>
      </c>
      <c r="D706">
        <f t="shared" ref="D706:D769" si="161">bd_placementID</f>
        <v>0</v>
      </c>
      <c r="E706" t="e">
        <f t="shared" ref="E706:E769" si="162">VLOOKUP(CONCATENATE(bd_adtype,"_",bd_creativetype),tabela,2,FALSE)</f>
        <v>#N/A</v>
      </c>
      <c r="F706">
        <f t="shared" ref="F706:F769" si="163">bd_ad</f>
        <v>0</v>
      </c>
      <c r="G706">
        <f t="shared" ref="G706:G769" si="164">bd_adid</f>
        <v>0</v>
      </c>
      <c r="H706">
        <f t="shared" ref="H706:H769" si="165">bd_creativetype</f>
        <v>0</v>
      </c>
      <c r="I706">
        <f t="shared" ref="I706:I769" si="166">bd_impression</f>
        <v>0</v>
      </c>
      <c r="J706">
        <f t="shared" ref="J706:J769" si="167">bd_clicks</f>
        <v>0</v>
      </c>
      <c r="K706" s="4" t="e">
        <f t="shared" si="156"/>
        <v>#N/A</v>
      </c>
      <c r="L706" t="e">
        <f t="shared" si="157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8"/>
        <v>0</v>
      </c>
      <c r="B707">
        <f t="shared" si="159"/>
        <v>0</v>
      </c>
      <c r="C707">
        <f t="shared" si="160"/>
        <v>0</v>
      </c>
      <c r="D707">
        <f t="shared" si="161"/>
        <v>0</v>
      </c>
      <c r="E707" t="e">
        <f t="shared" si="162"/>
        <v>#N/A</v>
      </c>
      <c r="F707">
        <f t="shared" si="163"/>
        <v>0</v>
      </c>
      <c r="G707">
        <f t="shared" si="164"/>
        <v>0</v>
      </c>
      <c r="H707">
        <f t="shared" si="165"/>
        <v>0</v>
      </c>
      <c r="I707">
        <f t="shared" si="166"/>
        <v>0</v>
      </c>
      <c r="J707">
        <f t="shared" si="167"/>
        <v>0</v>
      </c>
      <c r="K707" s="4" t="e">
        <f t="shared" si="156"/>
        <v>#N/A</v>
      </c>
      <c r="L707" t="e">
        <f t="shared" si="157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8"/>
        <v>0</v>
      </c>
      <c r="B708">
        <f t="shared" si="159"/>
        <v>0</v>
      </c>
      <c r="C708">
        <f t="shared" si="160"/>
        <v>0</v>
      </c>
      <c r="D708">
        <f t="shared" si="161"/>
        <v>0</v>
      </c>
      <c r="E708" t="e">
        <f t="shared" si="162"/>
        <v>#N/A</v>
      </c>
      <c r="F708">
        <f t="shared" si="163"/>
        <v>0</v>
      </c>
      <c r="G708">
        <f t="shared" si="164"/>
        <v>0</v>
      </c>
      <c r="H708">
        <f t="shared" si="165"/>
        <v>0</v>
      </c>
      <c r="I708">
        <f t="shared" si="166"/>
        <v>0</v>
      </c>
      <c r="J708">
        <f t="shared" si="167"/>
        <v>0</v>
      </c>
      <c r="K708" s="4" t="e">
        <f t="shared" si="156"/>
        <v>#N/A</v>
      </c>
      <c r="L708" t="e">
        <f t="shared" si="157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8"/>
        <v>0</v>
      </c>
      <c r="B709">
        <f t="shared" si="159"/>
        <v>0</v>
      </c>
      <c r="C709">
        <f t="shared" si="160"/>
        <v>0</v>
      </c>
      <c r="D709">
        <f t="shared" si="161"/>
        <v>0</v>
      </c>
      <c r="E709" t="e">
        <f t="shared" si="162"/>
        <v>#N/A</v>
      </c>
      <c r="F709">
        <f t="shared" si="163"/>
        <v>0</v>
      </c>
      <c r="G709">
        <f t="shared" si="164"/>
        <v>0</v>
      </c>
      <c r="H709">
        <f t="shared" si="165"/>
        <v>0</v>
      </c>
      <c r="I709">
        <f t="shared" si="166"/>
        <v>0</v>
      </c>
      <c r="J709">
        <f t="shared" si="167"/>
        <v>0</v>
      </c>
      <c r="K709" s="4" t="e">
        <f t="shared" si="156"/>
        <v>#N/A</v>
      </c>
      <c r="L709" t="e">
        <f t="shared" si="157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8"/>
        <v>0</v>
      </c>
      <c r="B710">
        <f t="shared" si="159"/>
        <v>0</v>
      </c>
      <c r="C710">
        <f t="shared" si="160"/>
        <v>0</v>
      </c>
      <c r="D710">
        <f t="shared" si="161"/>
        <v>0</v>
      </c>
      <c r="E710" t="e">
        <f t="shared" si="162"/>
        <v>#N/A</v>
      </c>
      <c r="F710">
        <f t="shared" si="163"/>
        <v>0</v>
      </c>
      <c r="G710">
        <f t="shared" si="164"/>
        <v>0</v>
      </c>
      <c r="H710">
        <f t="shared" si="165"/>
        <v>0</v>
      </c>
      <c r="I710">
        <f t="shared" si="166"/>
        <v>0</v>
      </c>
      <c r="J710">
        <f t="shared" si="167"/>
        <v>0</v>
      </c>
      <c r="K710" s="4" t="e">
        <f t="shared" si="156"/>
        <v>#N/A</v>
      </c>
      <c r="L710" t="e">
        <f t="shared" si="157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8"/>
        <v>0</v>
      </c>
      <c r="B711">
        <f t="shared" si="159"/>
        <v>0</v>
      </c>
      <c r="C711">
        <f t="shared" si="160"/>
        <v>0</v>
      </c>
      <c r="D711">
        <f t="shared" si="161"/>
        <v>0</v>
      </c>
      <c r="E711" t="e">
        <f t="shared" si="162"/>
        <v>#N/A</v>
      </c>
      <c r="F711">
        <f t="shared" si="163"/>
        <v>0</v>
      </c>
      <c r="G711">
        <f t="shared" si="164"/>
        <v>0</v>
      </c>
      <c r="H711">
        <f t="shared" si="165"/>
        <v>0</v>
      </c>
      <c r="I711">
        <f t="shared" si="166"/>
        <v>0</v>
      </c>
      <c r="J711">
        <f t="shared" si="167"/>
        <v>0</v>
      </c>
      <c r="K711" s="4" t="e">
        <f t="shared" si="156"/>
        <v>#N/A</v>
      </c>
      <c r="L711" t="e">
        <f t="shared" si="157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8"/>
        <v>0</v>
      </c>
      <c r="B712">
        <f t="shared" si="159"/>
        <v>0</v>
      </c>
      <c r="C712">
        <f t="shared" si="160"/>
        <v>0</v>
      </c>
      <c r="D712">
        <f t="shared" si="161"/>
        <v>0</v>
      </c>
      <c r="E712" t="e">
        <f t="shared" si="162"/>
        <v>#N/A</v>
      </c>
      <c r="F712">
        <f t="shared" si="163"/>
        <v>0</v>
      </c>
      <c r="G712">
        <f t="shared" si="164"/>
        <v>0</v>
      </c>
      <c r="H712">
        <f t="shared" si="165"/>
        <v>0</v>
      </c>
      <c r="I712">
        <f t="shared" si="166"/>
        <v>0</v>
      </c>
      <c r="J712">
        <f t="shared" si="167"/>
        <v>0</v>
      </c>
      <c r="K712" s="4" t="e">
        <f t="shared" si="156"/>
        <v>#N/A</v>
      </c>
      <c r="L712" t="e">
        <f t="shared" si="157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8"/>
        <v>0</v>
      </c>
      <c r="B713">
        <f t="shared" si="159"/>
        <v>0</v>
      </c>
      <c r="C713">
        <f t="shared" si="160"/>
        <v>0</v>
      </c>
      <c r="D713">
        <f t="shared" si="161"/>
        <v>0</v>
      </c>
      <c r="E713" t="e">
        <f t="shared" si="162"/>
        <v>#N/A</v>
      </c>
      <c r="F713">
        <f t="shared" si="163"/>
        <v>0</v>
      </c>
      <c r="G713">
        <f t="shared" si="164"/>
        <v>0</v>
      </c>
      <c r="H713">
        <f t="shared" si="165"/>
        <v>0</v>
      </c>
      <c r="I713">
        <f t="shared" si="166"/>
        <v>0</v>
      </c>
      <c r="J713">
        <f t="shared" si="167"/>
        <v>0</v>
      </c>
      <c r="K713" s="4" t="e">
        <f t="shared" si="156"/>
        <v>#N/A</v>
      </c>
      <c r="L713" t="e">
        <f t="shared" si="157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8"/>
        <v>0</v>
      </c>
      <c r="B714">
        <f t="shared" si="159"/>
        <v>0</v>
      </c>
      <c r="C714">
        <f t="shared" si="160"/>
        <v>0</v>
      </c>
      <c r="D714">
        <f t="shared" si="161"/>
        <v>0</v>
      </c>
      <c r="E714" t="e">
        <f t="shared" si="162"/>
        <v>#N/A</v>
      </c>
      <c r="F714">
        <f t="shared" si="163"/>
        <v>0</v>
      </c>
      <c r="G714">
        <f t="shared" si="164"/>
        <v>0</v>
      </c>
      <c r="H714">
        <f t="shared" si="165"/>
        <v>0</v>
      </c>
      <c r="I714">
        <f t="shared" si="166"/>
        <v>0</v>
      </c>
      <c r="J714">
        <f t="shared" si="167"/>
        <v>0</v>
      </c>
      <c r="K714" s="4" t="e">
        <f t="shared" si="156"/>
        <v>#N/A</v>
      </c>
      <c r="L714" t="e">
        <f t="shared" si="157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8"/>
        <v>0</v>
      </c>
      <c r="B715">
        <f t="shared" si="159"/>
        <v>0</v>
      </c>
      <c r="C715">
        <f t="shared" si="160"/>
        <v>0</v>
      </c>
      <c r="D715">
        <f t="shared" si="161"/>
        <v>0</v>
      </c>
      <c r="E715" t="e">
        <f t="shared" si="162"/>
        <v>#N/A</v>
      </c>
      <c r="F715">
        <f t="shared" si="163"/>
        <v>0</v>
      </c>
      <c r="G715">
        <f t="shared" si="164"/>
        <v>0</v>
      </c>
      <c r="H715">
        <f t="shared" si="165"/>
        <v>0</v>
      </c>
      <c r="I715">
        <f t="shared" si="166"/>
        <v>0</v>
      </c>
      <c r="J715">
        <f t="shared" si="167"/>
        <v>0</v>
      </c>
      <c r="K715" s="4" t="e">
        <f t="shared" si="156"/>
        <v>#N/A</v>
      </c>
      <c r="L715" t="e">
        <f t="shared" si="157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8"/>
        <v>0</v>
      </c>
      <c r="B716">
        <f t="shared" si="159"/>
        <v>0</v>
      </c>
      <c r="C716">
        <f t="shared" si="160"/>
        <v>0</v>
      </c>
      <c r="D716">
        <f t="shared" si="161"/>
        <v>0</v>
      </c>
      <c r="E716" t="e">
        <f t="shared" si="162"/>
        <v>#N/A</v>
      </c>
      <c r="F716">
        <f t="shared" si="163"/>
        <v>0</v>
      </c>
      <c r="G716">
        <f t="shared" si="164"/>
        <v>0</v>
      </c>
      <c r="H716">
        <f t="shared" si="165"/>
        <v>0</v>
      </c>
      <c r="I716">
        <f t="shared" si="166"/>
        <v>0</v>
      </c>
      <c r="J716">
        <f t="shared" si="167"/>
        <v>0</v>
      </c>
      <c r="K716" s="4" t="e">
        <f t="shared" si="156"/>
        <v>#N/A</v>
      </c>
      <c r="L716" t="e">
        <f t="shared" si="157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8"/>
        <v>0</v>
      </c>
      <c r="B717">
        <f t="shared" si="159"/>
        <v>0</v>
      </c>
      <c r="C717">
        <f t="shared" si="160"/>
        <v>0</v>
      </c>
      <c r="D717">
        <f t="shared" si="161"/>
        <v>0</v>
      </c>
      <c r="E717" t="e">
        <f t="shared" si="162"/>
        <v>#N/A</v>
      </c>
      <c r="F717">
        <f t="shared" si="163"/>
        <v>0</v>
      </c>
      <c r="G717">
        <f t="shared" si="164"/>
        <v>0</v>
      </c>
      <c r="H717">
        <f t="shared" si="165"/>
        <v>0</v>
      </c>
      <c r="I717">
        <f t="shared" si="166"/>
        <v>0</v>
      </c>
      <c r="J717">
        <f t="shared" si="167"/>
        <v>0</v>
      </c>
      <c r="K717" s="4" t="e">
        <f t="shared" si="156"/>
        <v>#N/A</v>
      </c>
      <c r="L717" t="e">
        <f t="shared" si="157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8"/>
        <v>0</v>
      </c>
      <c r="B718">
        <f t="shared" si="159"/>
        <v>0</v>
      </c>
      <c r="C718">
        <f t="shared" si="160"/>
        <v>0</v>
      </c>
      <c r="D718">
        <f t="shared" si="161"/>
        <v>0</v>
      </c>
      <c r="E718" t="e">
        <f t="shared" si="162"/>
        <v>#N/A</v>
      </c>
      <c r="F718">
        <f t="shared" si="163"/>
        <v>0</v>
      </c>
      <c r="G718">
        <f t="shared" si="164"/>
        <v>0</v>
      </c>
      <c r="H718">
        <f t="shared" si="165"/>
        <v>0</v>
      </c>
      <c r="I718">
        <f t="shared" si="166"/>
        <v>0</v>
      </c>
      <c r="J718">
        <f t="shared" si="167"/>
        <v>0</v>
      </c>
      <c r="K718" s="4" t="e">
        <f t="shared" si="156"/>
        <v>#N/A</v>
      </c>
      <c r="L718" t="e">
        <f t="shared" si="157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8"/>
        <v>0</v>
      </c>
      <c r="B719">
        <f t="shared" si="159"/>
        <v>0</v>
      </c>
      <c r="C719">
        <f t="shared" si="160"/>
        <v>0</v>
      </c>
      <c r="D719">
        <f t="shared" si="161"/>
        <v>0</v>
      </c>
      <c r="E719" t="e">
        <f t="shared" si="162"/>
        <v>#N/A</v>
      </c>
      <c r="F719">
        <f t="shared" si="163"/>
        <v>0</v>
      </c>
      <c r="G719">
        <f t="shared" si="164"/>
        <v>0</v>
      </c>
      <c r="H719">
        <f t="shared" si="165"/>
        <v>0</v>
      </c>
      <c r="I719">
        <f t="shared" si="166"/>
        <v>0</v>
      </c>
      <c r="J719">
        <f t="shared" si="167"/>
        <v>0</v>
      </c>
      <c r="K719" s="4" t="e">
        <f t="shared" si="156"/>
        <v>#N/A</v>
      </c>
      <c r="L719" t="e">
        <f t="shared" si="157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8"/>
        <v>0</v>
      </c>
      <c r="B720">
        <f t="shared" si="159"/>
        <v>0</v>
      </c>
      <c r="C720">
        <f t="shared" si="160"/>
        <v>0</v>
      </c>
      <c r="D720">
        <f t="shared" si="161"/>
        <v>0</v>
      </c>
      <c r="E720" t="e">
        <f t="shared" si="162"/>
        <v>#N/A</v>
      </c>
      <c r="F720">
        <f t="shared" si="163"/>
        <v>0</v>
      </c>
      <c r="G720">
        <f t="shared" si="164"/>
        <v>0</v>
      </c>
      <c r="H720">
        <f t="shared" si="165"/>
        <v>0</v>
      </c>
      <c r="I720">
        <f t="shared" si="166"/>
        <v>0</v>
      </c>
      <c r="J720">
        <f t="shared" si="167"/>
        <v>0</v>
      </c>
      <c r="K720" s="4" t="e">
        <f t="shared" si="156"/>
        <v>#N/A</v>
      </c>
      <c r="L720" t="e">
        <f t="shared" si="157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8"/>
        <v>0</v>
      </c>
      <c r="B721">
        <f t="shared" si="159"/>
        <v>0</v>
      </c>
      <c r="C721">
        <f t="shared" si="160"/>
        <v>0</v>
      </c>
      <c r="D721">
        <f t="shared" si="161"/>
        <v>0</v>
      </c>
      <c r="E721" t="e">
        <f t="shared" si="162"/>
        <v>#N/A</v>
      </c>
      <c r="F721">
        <f t="shared" si="163"/>
        <v>0</v>
      </c>
      <c r="G721">
        <f t="shared" si="164"/>
        <v>0</v>
      </c>
      <c r="H721">
        <f t="shared" si="165"/>
        <v>0</v>
      </c>
      <c r="I721">
        <f t="shared" si="166"/>
        <v>0</v>
      </c>
      <c r="J721">
        <f t="shared" si="167"/>
        <v>0</v>
      </c>
      <c r="K721" s="4" t="e">
        <f t="shared" si="156"/>
        <v>#N/A</v>
      </c>
      <c r="L721" t="e">
        <f t="shared" si="157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8"/>
        <v>0</v>
      </c>
      <c r="B722">
        <f t="shared" si="159"/>
        <v>0</v>
      </c>
      <c r="C722">
        <f t="shared" si="160"/>
        <v>0</v>
      </c>
      <c r="D722">
        <f t="shared" si="161"/>
        <v>0</v>
      </c>
      <c r="E722" t="e">
        <f t="shared" si="162"/>
        <v>#N/A</v>
      </c>
      <c r="F722">
        <f t="shared" si="163"/>
        <v>0</v>
      </c>
      <c r="G722">
        <f t="shared" si="164"/>
        <v>0</v>
      </c>
      <c r="H722">
        <f t="shared" si="165"/>
        <v>0</v>
      </c>
      <c r="I722">
        <f t="shared" si="166"/>
        <v>0</v>
      </c>
      <c r="J722">
        <f t="shared" si="167"/>
        <v>0</v>
      </c>
      <c r="K722" s="4" t="e">
        <f t="shared" si="156"/>
        <v>#N/A</v>
      </c>
      <c r="L722" t="e">
        <f t="shared" si="157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8"/>
        <v>0</v>
      </c>
      <c r="B723">
        <f t="shared" si="159"/>
        <v>0</v>
      </c>
      <c r="C723">
        <f t="shared" si="160"/>
        <v>0</v>
      </c>
      <c r="D723">
        <f t="shared" si="161"/>
        <v>0</v>
      </c>
      <c r="E723" t="e">
        <f t="shared" si="162"/>
        <v>#N/A</v>
      </c>
      <c r="F723">
        <f t="shared" si="163"/>
        <v>0</v>
      </c>
      <c r="G723">
        <f t="shared" si="164"/>
        <v>0</v>
      </c>
      <c r="H723">
        <f t="shared" si="165"/>
        <v>0</v>
      </c>
      <c r="I723">
        <f t="shared" si="166"/>
        <v>0</v>
      </c>
      <c r="J723">
        <f t="shared" si="167"/>
        <v>0</v>
      </c>
      <c r="K723" s="4" t="e">
        <f t="shared" si="156"/>
        <v>#N/A</v>
      </c>
      <c r="L723" t="e">
        <f t="shared" si="157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8"/>
        <v>0</v>
      </c>
      <c r="B724">
        <f t="shared" si="159"/>
        <v>0</v>
      </c>
      <c r="C724">
        <f t="shared" si="160"/>
        <v>0</v>
      </c>
      <c r="D724">
        <f t="shared" si="161"/>
        <v>0</v>
      </c>
      <c r="E724" t="e">
        <f t="shared" si="162"/>
        <v>#N/A</v>
      </c>
      <c r="F724">
        <f t="shared" si="163"/>
        <v>0</v>
      </c>
      <c r="G724">
        <f t="shared" si="164"/>
        <v>0</v>
      </c>
      <c r="H724">
        <f t="shared" si="165"/>
        <v>0</v>
      </c>
      <c r="I724">
        <f t="shared" si="166"/>
        <v>0</v>
      </c>
      <c r="J724">
        <f t="shared" si="167"/>
        <v>0</v>
      </c>
      <c r="K724" s="4" t="e">
        <f t="shared" si="156"/>
        <v>#N/A</v>
      </c>
      <c r="L724" t="e">
        <f t="shared" si="157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8"/>
        <v>0</v>
      </c>
      <c r="B725">
        <f t="shared" si="159"/>
        <v>0</v>
      </c>
      <c r="C725">
        <f t="shared" si="160"/>
        <v>0</v>
      </c>
      <c r="D725">
        <f t="shared" si="161"/>
        <v>0</v>
      </c>
      <c r="E725" t="e">
        <f t="shared" si="162"/>
        <v>#N/A</v>
      </c>
      <c r="F725">
        <f t="shared" si="163"/>
        <v>0</v>
      </c>
      <c r="G725">
        <f t="shared" si="164"/>
        <v>0</v>
      </c>
      <c r="H725">
        <f t="shared" si="165"/>
        <v>0</v>
      </c>
      <c r="I725">
        <f t="shared" si="166"/>
        <v>0</v>
      </c>
      <c r="J725">
        <f t="shared" si="167"/>
        <v>0</v>
      </c>
      <c r="K725" s="4" t="e">
        <f t="shared" si="156"/>
        <v>#N/A</v>
      </c>
      <c r="L725" t="e">
        <f t="shared" si="157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8"/>
        <v>0</v>
      </c>
      <c r="B726">
        <f t="shared" si="159"/>
        <v>0</v>
      </c>
      <c r="C726">
        <f t="shared" si="160"/>
        <v>0</v>
      </c>
      <c r="D726">
        <f t="shared" si="161"/>
        <v>0</v>
      </c>
      <c r="E726" t="e">
        <f t="shared" si="162"/>
        <v>#N/A</v>
      </c>
      <c r="F726">
        <f t="shared" si="163"/>
        <v>0</v>
      </c>
      <c r="G726">
        <f t="shared" si="164"/>
        <v>0</v>
      </c>
      <c r="H726">
        <f t="shared" si="165"/>
        <v>0</v>
      </c>
      <c r="I726">
        <f t="shared" si="166"/>
        <v>0</v>
      </c>
      <c r="J726">
        <f t="shared" si="167"/>
        <v>0</v>
      </c>
      <c r="K726" s="4" t="e">
        <f t="shared" si="156"/>
        <v>#N/A</v>
      </c>
      <c r="L726" t="e">
        <f t="shared" si="157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8"/>
        <v>0</v>
      </c>
      <c r="B727">
        <f t="shared" si="159"/>
        <v>0</v>
      </c>
      <c r="C727">
        <f t="shared" si="160"/>
        <v>0</v>
      </c>
      <c r="D727">
        <f t="shared" si="161"/>
        <v>0</v>
      </c>
      <c r="E727" t="e">
        <f t="shared" si="162"/>
        <v>#N/A</v>
      </c>
      <c r="F727">
        <f t="shared" si="163"/>
        <v>0</v>
      </c>
      <c r="G727">
        <f t="shared" si="164"/>
        <v>0</v>
      </c>
      <c r="H727">
        <f t="shared" si="165"/>
        <v>0</v>
      </c>
      <c r="I727">
        <f t="shared" si="166"/>
        <v>0</v>
      </c>
      <c r="J727">
        <f t="shared" si="167"/>
        <v>0</v>
      </c>
      <c r="K727" s="4" t="e">
        <f t="shared" si="156"/>
        <v>#N/A</v>
      </c>
      <c r="L727" t="e">
        <f t="shared" si="157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8"/>
        <v>0</v>
      </c>
      <c r="B728">
        <f t="shared" si="159"/>
        <v>0</v>
      </c>
      <c r="C728">
        <f t="shared" si="160"/>
        <v>0</v>
      </c>
      <c r="D728">
        <f t="shared" si="161"/>
        <v>0</v>
      </c>
      <c r="E728" t="e">
        <f t="shared" si="162"/>
        <v>#N/A</v>
      </c>
      <c r="F728">
        <f t="shared" si="163"/>
        <v>0</v>
      </c>
      <c r="G728">
        <f t="shared" si="164"/>
        <v>0</v>
      </c>
      <c r="H728">
        <f t="shared" si="165"/>
        <v>0</v>
      </c>
      <c r="I728">
        <f t="shared" si="166"/>
        <v>0</v>
      </c>
      <c r="J728">
        <f t="shared" si="167"/>
        <v>0</v>
      </c>
      <c r="K728" s="4" t="e">
        <f t="shared" si="156"/>
        <v>#N/A</v>
      </c>
      <c r="L728" t="e">
        <f t="shared" si="157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8"/>
        <v>0</v>
      </c>
      <c r="B729">
        <f t="shared" si="159"/>
        <v>0</v>
      </c>
      <c r="C729">
        <f t="shared" si="160"/>
        <v>0</v>
      </c>
      <c r="D729">
        <f t="shared" si="161"/>
        <v>0</v>
      </c>
      <c r="E729" t="e">
        <f t="shared" si="162"/>
        <v>#N/A</v>
      </c>
      <c r="F729">
        <f t="shared" si="163"/>
        <v>0</v>
      </c>
      <c r="G729">
        <f t="shared" si="164"/>
        <v>0</v>
      </c>
      <c r="H729">
        <f t="shared" si="165"/>
        <v>0</v>
      </c>
      <c r="I729">
        <f t="shared" si="166"/>
        <v>0</v>
      </c>
      <c r="J729">
        <f t="shared" si="167"/>
        <v>0</v>
      </c>
      <c r="K729" s="4" t="e">
        <f t="shared" si="156"/>
        <v>#N/A</v>
      </c>
      <c r="L729" t="e">
        <f t="shared" si="157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8"/>
        <v>0</v>
      </c>
      <c r="B730">
        <f t="shared" si="159"/>
        <v>0</v>
      </c>
      <c r="C730">
        <f t="shared" si="160"/>
        <v>0</v>
      </c>
      <c r="D730">
        <f t="shared" si="161"/>
        <v>0</v>
      </c>
      <c r="E730" t="e">
        <f t="shared" si="162"/>
        <v>#N/A</v>
      </c>
      <c r="F730">
        <f t="shared" si="163"/>
        <v>0</v>
      </c>
      <c r="G730">
        <f t="shared" si="164"/>
        <v>0</v>
      </c>
      <c r="H730">
        <f t="shared" si="165"/>
        <v>0</v>
      </c>
      <c r="I730">
        <f t="shared" si="166"/>
        <v>0</v>
      </c>
      <c r="J730">
        <f t="shared" si="167"/>
        <v>0</v>
      </c>
      <c r="K730" s="4" t="e">
        <f t="shared" si="156"/>
        <v>#N/A</v>
      </c>
      <c r="L730" t="e">
        <f t="shared" si="157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8"/>
        <v>0</v>
      </c>
      <c r="B731">
        <f t="shared" si="159"/>
        <v>0</v>
      </c>
      <c r="C731">
        <f t="shared" si="160"/>
        <v>0</v>
      </c>
      <c r="D731">
        <f t="shared" si="161"/>
        <v>0</v>
      </c>
      <c r="E731" t="e">
        <f t="shared" si="162"/>
        <v>#N/A</v>
      </c>
      <c r="F731">
        <f t="shared" si="163"/>
        <v>0</v>
      </c>
      <c r="G731">
        <f t="shared" si="164"/>
        <v>0</v>
      </c>
      <c r="H731">
        <f t="shared" si="165"/>
        <v>0</v>
      </c>
      <c r="I731">
        <f t="shared" si="166"/>
        <v>0</v>
      </c>
      <c r="J731">
        <f t="shared" si="167"/>
        <v>0</v>
      </c>
      <c r="K731" s="4" t="e">
        <f t="shared" si="156"/>
        <v>#N/A</v>
      </c>
      <c r="L731" t="e">
        <f t="shared" si="157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8"/>
        <v>0</v>
      </c>
      <c r="B732">
        <f t="shared" si="159"/>
        <v>0</v>
      </c>
      <c r="C732">
        <f t="shared" si="160"/>
        <v>0</v>
      </c>
      <c r="D732">
        <f t="shared" si="161"/>
        <v>0</v>
      </c>
      <c r="E732" t="e">
        <f t="shared" si="162"/>
        <v>#N/A</v>
      </c>
      <c r="F732">
        <f t="shared" si="163"/>
        <v>0</v>
      </c>
      <c r="G732">
        <f t="shared" si="164"/>
        <v>0</v>
      </c>
      <c r="H732">
        <f t="shared" si="165"/>
        <v>0</v>
      </c>
      <c r="I732">
        <f t="shared" si="166"/>
        <v>0</v>
      </c>
      <c r="J732">
        <f t="shared" si="167"/>
        <v>0</v>
      </c>
      <c r="K732" s="4" t="e">
        <f t="shared" si="156"/>
        <v>#N/A</v>
      </c>
      <c r="L732" t="e">
        <f t="shared" si="157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8"/>
        <v>0</v>
      </c>
      <c r="B733">
        <f t="shared" si="159"/>
        <v>0</v>
      </c>
      <c r="C733">
        <f t="shared" si="160"/>
        <v>0</v>
      </c>
      <c r="D733">
        <f t="shared" si="161"/>
        <v>0</v>
      </c>
      <c r="E733" t="e">
        <f t="shared" si="162"/>
        <v>#N/A</v>
      </c>
      <c r="F733">
        <f t="shared" si="163"/>
        <v>0</v>
      </c>
      <c r="G733">
        <f t="shared" si="164"/>
        <v>0</v>
      </c>
      <c r="H733">
        <f t="shared" si="165"/>
        <v>0</v>
      </c>
      <c r="I733">
        <f t="shared" si="166"/>
        <v>0</v>
      </c>
      <c r="J733">
        <f t="shared" si="167"/>
        <v>0</v>
      </c>
      <c r="K733" s="4" t="e">
        <f t="shared" si="156"/>
        <v>#N/A</v>
      </c>
      <c r="L733" t="e">
        <f t="shared" si="157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8"/>
        <v>0</v>
      </c>
      <c r="B734">
        <f t="shared" si="159"/>
        <v>0</v>
      </c>
      <c r="C734">
        <f t="shared" si="160"/>
        <v>0</v>
      </c>
      <c r="D734">
        <f t="shared" si="161"/>
        <v>0</v>
      </c>
      <c r="E734" t="e">
        <f t="shared" si="162"/>
        <v>#N/A</v>
      </c>
      <c r="F734">
        <f t="shared" si="163"/>
        <v>0</v>
      </c>
      <c r="G734">
        <f t="shared" si="164"/>
        <v>0</v>
      </c>
      <c r="H734">
        <f t="shared" si="165"/>
        <v>0</v>
      </c>
      <c r="I734">
        <f t="shared" si="166"/>
        <v>0</v>
      </c>
      <c r="J734">
        <f t="shared" si="167"/>
        <v>0</v>
      </c>
      <c r="K734" s="4" t="e">
        <f t="shared" si="156"/>
        <v>#N/A</v>
      </c>
      <c r="L734" t="e">
        <f t="shared" si="157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8"/>
        <v>0</v>
      </c>
      <c r="B735">
        <f t="shared" si="159"/>
        <v>0</v>
      </c>
      <c r="C735">
        <f t="shared" si="160"/>
        <v>0</v>
      </c>
      <c r="D735">
        <f t="shared" si="161"/>
        <v>0</v>
      </c>
      <c r="E735" t="e">
        <f t="shared" si="162"/>
        <v>#N/A</v>
      </c>
      <c r="F735">
        <f t="shared" si="163"/>
        <v>0</v>
      </c>
      <c r="G735">
        <f t="shared" si="164"/>
        <v>0</v>
      </c>
      <c r="H735">
        <f t="shared" si="165"/>
        <v>0</v>
      </c>
      <c r="I735">
        <f t="shared" si="166"/>
        <v>0</v>
      </c>
      <c r="J735">
        <f t="shared" si="167"/>
        <v>0</v>
      </c>
      <c r="K735" s="4" t="e">
        <f t="shared" si="156"/>
        <v>#N/A</v>
      </c>
      <c r="L735" t="e">
        <f t="shared" si="157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8"/>
        <v>0</v>
      </c>
      <c r="B736">
        <f t="shared" si="159"/>
        <v>0</v>
      </c>
      <c r="C736">
        <f t="shared" si="160"/>
        <v>0</v>
      </c>
      <c r="D736">
        <f t="shared" si="161"/>
        <v>0</v>
      </c>
      <c r="E736" t="e">
        <f t="shared" si="162"/>
        <v>#N/A</v>
      </c>
      <c r="F736">
        <f t="shared" si="163"/>
        <v>0</v>
      </c>
      <c r="G736">
        <f t="shared" si="164"/>
        <v>0</v>
      </c>
      <c r="H736">
        <f t="shared" si="165"/>
        <v>0</v>
      </c>
      <c r="I736">
        <f t="shared" si="166"/>
        <v>0</v>
      </c>
      <c r="J736">
        <f t="shared" si="167"/>
        <v>0</v>
      </c>
      <c r="K736" s="4" t="e">
        <f t="shared" si="156"/>
        <v>#N/A</v>
      </c>
      <c r="L736" t="e">
        <f t="shared" si="157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8"/>
        <v>0</v>
      </c>
      <c r="B737">
        <f t="shared" si="159"/>
        <v>0</v>
      </c>
      <c r="C737">
        <f t="shared" si="160"/>
        <v>0</v>
      </c>
      <c r="D737">
        <f t="shared" si="161"/>
        <v>0</v>
      </c>
      <c r="E737" t="e">
        <f t="shared" si="162"/>
        <v>#N/A</v>
      </c>
      <c r="F737">
        <f t="shared" si="163"/>
        <v>0</v>
      </c>
      <c r="G737">
        <f t="shared" si="164"/>
        <v>0</v>
      </c>
      <c r="H737">
        <f t="shared" si="165"/>
        <v>0</v>
      </c>
      <c r="I737">
        <f t="shared" si="166"/>
        <v>0</v>
      </c>
      <c r="J737">
        <f t="shared" si="167"/>
        <v>0</v>
      </c>
      <c r="K737" s="4" t="e">
        <f t="shared" si="156"/>
        <v>#N/A</v>
      </c>
      <c r="L737" t="e">
        <f t="shared" si="157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8"/>
        <v>0</v>
      </c>
      <c r="B738">
        <f t="shared" si="159"/>
        <v>0</v>
      </c>
      <c r="C738">
        <f t="shared" si="160"/>
        <v>0</v>
      </c>
      <c r="D738">
        <f t="shared" si="161"/>
        <v>0</v>
      </c>
      <c r="E738" t="e">
        <f t="shared" si="162"/>
        <v>#N/A</v>
      </c>
      <c r="F738">
        <f t="shared" si="163"/>
        <v>0</v>
      </c>
      <c r="G738">
        <f t="shared" si="164"/>
        <v>0</v>
      </c>
      <c r="H738">
        <f t="shared" si="165"/>
        <v>0</v>
      </c>
      <c r="I738">
        <f t="shared" si="166"/>
        <v>0</v>
      </c>
      <c r="J738">
        <f t="shared" si="167"/>
        <v>0</v>
      </c>
      <c r="K738" s="4" t="e">
        <f t="shared" si="156"/>
        <v>#N/A</v>
      </c>
      <c r="L738" t="e">
        <f t="shared" si="157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8"/>
        <v>0</v>
      </c>
      <c r="B739">
        <f t="shared" si="159"/>
        <v>0</v>
      </c>
      <c r="C739">
        <f t="shared" si="160"/>
        <v>0</v>
      </c>
      <c r="D739">
        <f t="shared" si="161"/>
        <v>0</v>
      </c>
      <c r="E739" t="e">
        <f t="shared" si="162"/>
        <v>#N/A</v>
      </c>
      <c r="F739">
        <f t="shared" si="163"/>
        <v>0</v>
      </c>
      <c r="G739">
        <f t="shared" si="164"/>
        <v>0</v>
      </c>
      <c r="H739">
        <f t="shared" si="165"/>
        <v>0</v>
      </c>
      <c r="I739">
        <f t="shared" si="166"/>
        <v>0</v>
      </c>
      <c r="J739">
        <f t="shared" si="167"/>
        <v>0</v>
      </c>
      <c r="K739" s="4" t="e">
        <f t="shared" si="156"/>
        <v>#N/A</v>
      </c>
      <c r="L739" t="e">
        <f t="shared" si="157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8"/>
        <v>0</v>
      </c>
      <c r="B740">
        <f t="shared" si="159"/>
        <v>0</v>
      </c>
      <c r="C740">
        <f t="shared" si="160"/>
        <v>0</v>
      </c>
      <c r="D740">
        <f t="shared" si="161"/>
        <v>0</v>
      </c>
      <c r="E740" t="e">
        <f t="shared" si="162"/>
        <v>#N/A</v>
      </c>
      <c r="F740">
        <f t="shared" si="163"/>
        <v>0</v>
      </c>
      <c r="G740">
        <f t="shared" si="164"/>
        <v>0</v>
      </c>
      <c r="H740">
        <f t="shared" si="165"/>
        <v>0</v>
      </c>
      <c r="I740">
        <f t="shared" si="166"/>
        <v>0</v>
      </c>
      <c r="J740">
        <f t="shared" si="167"/>
        <v>0</v>
      </c>
      <c r="K740" s="4" t="e">
        <f t="shared" si="156"/>
        <v>#N/A</v>
      </c>
      <c r="L740" t="e">
        <f t="shared" si="157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8"/>
        <v>0</v>
      </c>
      <c r="B741">
        <f t="shared" si="159"/>
        <v>0</v>
      </c>
      <c r="C741">
        <f t="shared" si="160"/>
        <v>0</v>
      </c>
      <c r="D741">
        <f t="shared" si="161"/>
        <v>0</v>
      </c>
      <c r="E741" t="e">
        <f t="shared" si="162"/>
        <v>#N/A</v>
      </c>
      <c r="F741">
        <f t="shared" si="163"/>
        <v>0</v>
      </c>
      <c r="G741">
        <f t="shared" si="164"/>
        <v>0</v>
      </c>
      <c r="H741">
        <f t="shared" si="165"/>
        <v>0</v>
      </c>
      <c r="I741">
        <f t="shared" si="166"/>
        <v>0</v>
      </c>
      <c r="J741">
        <f t="shared" si="167"/>
        <v>0</v>
      </c>
      <c r="K741" s="4" t="e">
        <f t="shared" si="156"/>
        <v>#N/A</v>
      </c>
      <c r="L741" t="e">
        <f t="shared" si="157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8"/>
        <v>0</v>
      </c>
      <c r="B742">
        <f t="shared" si="159"/>
        <v>0</v>
      </c>
      <c r="C742">
        <f t="shared" si="160"/>
        <v>0</v>
      </c>
      <c r="D742">
        <f t="shared" si="161"/>
        <v>0</v>
      </c>
      <c r="E742" t="e">
        <f t="shared" si="162"/>
        <v>#N/A</v>
      </c>
      <c r="F742">
        <f t="shared" si="163"/>
        <v>0</v>
      </c>
      <c r="G742">
        <f t="shared" si="164"/>
        <v>0</v>
      </c>
      <c r="H742">
        <f t="shared" si="165"/>
        <v>0</v>
      </c>
      <c r="I742">
        <f t="shared" si="166"/>
        <v>0</v>
      </c>
      <c r="J742">
        <f t="shared" si="167"/>
        <v>0</v>
      </c>
      <c r="K742" s="4" t="e">
        <f t="shared" si="156"/>
        <v>#N/A</v>
      </c>
      <c r="L742" t="e">
        <f t="shared" si="157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8"/>
        <v>0</v>
      </c>
      <c r="B743">
        <f t="shared" si="159"/>
        <v>0</v>
      </c>
      <c r="C743">
        <f t="shared" si="160"/>
        <v>0</v>
      </c>
      <c r="D743">
        <f t="shared" si="161"/>
        <v>0</v>
      </c>
      <c r="E743" t="e">
        <f t="shared" si="162"/>
        <v>#N/A</v>
      </c>
      <c r="F743">
        <f t="shared" si="163"/>
        <v>0</v>
      </c>
      <c r="G743">
        <f t="shared" si="164"/>
        <v>0</v>
      </c>
      <c r="H743">
        <f t="shared" si="165"/>
        <v>0</v>
      </c>
      <c r="I743">
        <f t="shared" si="166"/>
        <v>0</v>
      </c>
      <c r="J743">
        <f t="shared" si="167"/>
        <v>0</v>
      </c>
      <c r="K743" s="4" t="e">
        <f t="shared" si="156"/>
        <v>#N/A</v>
      </c>
      <c r="L743" t="e">
        <f t="shared" si="157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8"/>
        <v>0</v>
      </c>
      <c r="B744">
        <f t="shared" si="159"/>
        <v>0</v>
      </c>
      <c r="C744">
        <f t="shared" si="160"/>
        <v>0</v>
      </c>
      <c r="D744">
        <f t="shared" si="161"/>
        <v>0</v>
      </c>
      <c r="E744" t="e">
        <f t="shared" si="162"/>
        <v>#N/A</v>
      </c>
      <c r="F744">
        <f t="shared" si="163"/>
        <v>0</v>
      </c>
      <c r="G744">
        <f t="shared" si="164"/>
        <v>0</v>
      </c>
      <c r="H744">
        <f t="shared" si="165"/>
        <v>0</v>
      </c>
      <c r="I744">
        <f t="shared" si="166"/>
        <v>0</v>
      </c>
      <c r="J744">
        <f t="shared" si="167"/>
        <v>0</v>
      </c>
      <c r="K744" s="4" t="e">
        <f t="shared" si="156"/>
        <v>#N/A</v>
      </c>
      <c r="L744" t="e">
        <f t="shared" si="157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8"/>
        <v>0</v>
      </c>
      <c r="B745">
        <f t="shared" si="159"/>
        <v>0</v>
      </c>
      <c r="C745">
        <f t="shared" si="160"/>
        <v>0</v>
      </c>
      <c r="D745">
        <f t="shared" si="161"/>
        <v>0</v>
      </c>
      <c r="E745" t="e">
        <f t="shared" si="162"/>
        <v>#N/A</v>
      </c>
      <c r="F745">
        <f t="shared" si="163"/>
        <v>0</v>
      </c>
      <c r="G745">
        <f t="shared" si="164"/>
        <v>0</v>
      </c>
      <c r="H745">
        <f t="shared" si="165"/>
        <v>0</v>
      </c>
      <c r="I745">
        <f t="shared" si="166"/>
        <v>0</v>
      </c>
      <c r="J745">
        <f t="shared" si="167"/>
        <v>0</v>
      </c>
      <c r="K745" s="4" t="e">
        <f t="shared" si="156"/>
        <v>#N/A</v>
      </c>
      <c r="L745" t="e">
        <f t="shared" si="157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8"/>
        <v>0</v>
      </c>
      <c r="B746">
        <f t="shared" si="159"/>
        <v>0</v>
      </c>
      <c r="C746">
        <f t="shared" si="160"/>
        <v>0</v>
      </c>
      <c r="D746">
        <f t="shared" si="161"/>
        <v>0</v>
      </c>
      <c r="E746" t="e">
        <f t="shared" si="162"/>
        <v>#N/A</v>
      </c>
      <c r="F746">
        <f t="shared" si="163"/>
        <v>0</v>
      </c>
      <c r="G746">
        <f t="shared" si="164"/>
        <v>0</v>
      </c>
      <c r="H746">
        <f t="shared" si="165"/>
        <v>0</v>
      </c>
      <c r="I746">
        <f t="shared" si="166"/>
        <v>0</v>
      </c>
      <c r="J746">
        <f t="shared" si="167"/>
        <v>0</v>
      </c>
      <c r="K746" s="4" t="e">
        <f t="shared" si="156"/>
        <v>#N/A</v>
      </c>
      <c r="L746" t="e">
        <f t="shared" si="157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8"/>
        <v>0</v>
      </c>
      <c r="B747">
        <f t="shared" si="159"/>
        <v>0</v>
      </c>
      <c r="C747">
        <f t="shared" si="160"/>
        <v>0</v>
      </c>
      <c r="D747">
        <f t="shared" si="161"/>
        <v>0</v>
      </c>
      <c r="E747" t="e">
        <f t="shared" si="162"/>
        <v>#N/A</v>
      </c>
      <c r="F747">
        <f t="shared" si="163"/>
        <v>0</v>
      </c>
      <c r="G747">
        <f t="shared" si="164"/>
        <v>0</v>
      </c>
      <c r="H747">
        <f t="shared" si="165"/>
        <v>0</v>
      </c>
      <c r="I747">
        <f t="shared" si="166"/>
        <v>0</v>
      </c>
      <c r="J747">
        <f t="shared" si="167"/>
        <v>0</v>
      </c>
      <c r="K747" s="4" t="e">
        <f t="shared" si="156"/>
        <v>#N/A</v>
      </c>
      <c r="L747" t="e">
        <f t="shared" si="157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8"/>
        <v>0</v>
      </c>
      <c r="B748">
        <f t="shared" si="159"/>
        <v>0</v>
      </c>
      <c r="C748">
        <f t="shared" si="160"/>
        <v>0</v>
      </c>
      <c r="D748">
        <f t="shared" si="161"/>
        <v>0</v>
      </c>
      <c r="E748" t="e">
        <f t="shared" si="162"/>
        <v>#N/A</v>
      </c>
      <c r="F748">
        <f t="shared" si="163"/>
        <v>0</v>
      </c>
      <c r="G748">
        <f t="shared" si="164"/>
        <v>0</v>
      </c>
      <c r="H748">
        <f t="shared" si="165"/>
        <v>0</v>
      </c>
      <c r="I748">
        <f t="shared" si="166"/>
        <v>0</v>
      </c>
      <c r="J748">
        <f t="shared" si="167"/>
        <v>0</v>
      </c>
      <c r="K748" s="4" t="e">
        <f t="shared" ref="K748:K811" si="170">IF(LEFT(B748,3)="DBM",0,VLOOKUP(E748,tabela,2,FALSE))</f>
        <v>#N/A</v>
      </c>
      <c r="L748" t="e">
        <f t="shared" ref="L748:L811" si="171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8"/>
        <v>0</v>
      </c>
      <c r="B749">
        <f t="shared" si="159"/>
        <v>0</v>
      </c>
      <c r="C749">
        <f t="shared" si="160"/>
        <v>0</v>
      </c>
      <c r="D749">
        <f t="shared" si="161"/>
        <v>0</v>
      </c>
      <c r="E749" t="e">
        <f t="shared" si="162"/>
        <v>#N/A</v>
      </c>
      <c r="F749">
        <f t="shared" si="163"/>
        <v>0</v>
      </c>
      <c r="G749">
        <f t="shared" si="164"/>
        <v>0</v>
      </c>
      <c r="H749">
        <f t="shared" si="165"/>
        <v>0</v>
      </c>
      <c r="I749">
        <f t="shared" si="166"/>
        <v>0</v>
      </c>
      <c r="J749">
        <f t="shared" si="167"/>
        <v>0</v>
      </c>
      <c r="K749" s="4" t="e">
        <f t="shared" si="170"/>
        <v>#N/A</v>
      </c>
      <c r="L749" t="e">
        <f t="shared" si="171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8"/>
        <v>0</v>
      </c>
      <c r="B750">
        <f t="shared" si="159"/>
        <v>0</v>
      </c>
      <c r="C750">
        <f t="shared" si="160"/>
        <v>0</v>
      </c>
      <c r="D750">
        <f t="shared" si="161"/>
        <v>0</v>
      </c>
      <c r="E750" t="e">
        <f t="shared" si="162"/>
        <v>#N/A</v>
      </c>
      <c r="F750">
        <f t="shared" si="163"/>
        <v>0</v>
      </c>
      <c r="G750">
        <f t="shared" si="164"/>
        <v>0</v>
      </c>
      <c r="H750">
        <f t="shared" si="165"/>
        <v>0</v>
      </c>
      <c r="I750">
        <f t="shared" si="166"/>
        <v>0</v>
      </c>
      <c r="J750">
        <f t="shared" si="167"/>
        <v>0</v>
      </c>
      <c r="K750" s="4" t="e">
        <f t="shared" si="170"/>
        <v>#N/A</v>
      </c>
      <c r="L750" t="e">
        <f t="shared" si="171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8"/>
        <v>0</v>
      </c>
      <c r="B751">
        <f t="shared" si="159"/>
        <v>0</v>
      </c>
      <c r="C751">
        <f t="shared" si="160"/>
        <v>0</v>
      </c>
      <c r="D751">
        <f t="shared" si="161"/>
        <v>0</v>
      </c>
      <c r="E751" t="e">
        <f t="shared" si="162"/>
        <v>#N/A</v>
      </c>
      <c r="F751">
        <f t="shared" si="163"/>
        <v>0</v>
      </c>
      <c r="G751">
        <f t="shared" si="164"/>
        <v>0</v>
      </c>
      <c r="H751">
        <f t="shared" si="165"/>
        <v>0</v>
      </c>
      <c r="I751">
        <f t="shared" si="166"/>
        <v>0</v>
      </c>
      <c r="J751">
        <f t="shared" si="167"/>
        <v>0</v>
      </c>
      <c r="K751" s="4" t="e">
        <f t="shared" si="170"/>
        <v>#N/A</v>
      </c>
      <c r="L751" t="e">
        <f t="shared" si="171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8"/>
        <v>0</v>
      </c>
      <c r="B752">
        <f t="shared" si="159"/>
        <v>0</v>
      </c>
      <c r="C752">
        <f t="shared" si="160"/>
        <v>0</v>
      </c>
      <c r="D752">
        <f t="shared" si="161"/>
        <v>0</v>
      </c>
      <c r="E752" t="e">
        <f t="shared" si="162"/>
        <v>#N/A</v>
      </c>
      <c r="F752">
        <f t="shared" si="163"/>
        <v>0</v>
      </c>
      <c r="G752">
        <f t="shared" si="164"/>
        <v>0</v>
      </c>
      <c r="H752">
        <f t="shared" si="165"/>
        <v>0</v>
      </c>
      <c r="I752">
        <f t="shared" si="166"/>
        <v>0</v>
      </c>
      <c r="J752">
        <f t="shared" si="167"/>
        <v>0</v>
      </c>
      <c r="K752" s="4" t="e">
        <f t="shared" si="170"/>
        <v>#N/A</v>
      </c>
      <c r="L752" t="e">
        <f t="shared" si="171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8"/>
        <v>0</v>
      </c>
      <c r="B753">
        <f t="shared" si="159"/>
        <v>0</v>
      </c>
      <c r="C753">
        <f t="shared" si="160"/>
        <v>0</v>
      </c>
      <c r="D753">
        <f t="shared" si="161"/>
        <v>0</v>
      </c>
      <c r="E753" t="e">
        <f t="shared" si="162"/>
        <v>#N/A</v>
      </c>
      <c r="F753">
        <f t="shared" si="163"/>
        <v>0</v>
      </c>
      <c r="G753">
        <f t="shared" si="164"/>
        <v>0</v>
      </c>
      <c r="H753">
        <f t="shared" si="165"/>
        <v>0</v>
      </c>
      <c r="I753">
        <f t="shared" si="166"/>
        <v>0</v>
      </c>
      <c r="J753">
        <f t="shared" si="167"/>
        <v>0</v>
      </c>
      <c r="K753" s="4" t="e">
        <f t="shared" si="170"/>
        <v>#N/A</v>
      </c>
      <c r="L753" t="e">
        <f t="shared" si="171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8"/>
        <v>0</v>
      </c>
      <c r="B754">
        <f t="shared" si="159"/>
        <v>0</v>
      </c>
      <c r="C754">
        <f t="shared" si="160"/>
        <v>0</v>
      </c>
      <c r="D754">
        <f t="shared" si="161"/>
        <v>0</v>
      </c>
      <c r="E754" t="e">
        <f t="shared" si="162"/>
        <v>#N/A</v>
      </c>
      <c r="F754">
        <f t="shared" si="163"/>
        <v>0</v>
      </c>
      <c r="G754">
        <f t="shared" si="164"/>
        <v>0</v>
      </c>
      <c r="H754">
        <f t="shared" si="165"/>
        <v>0</v>
      </c>
      <c r="I754">
        <f t="shared" si="166"/>
        <v>0</v>
      </c>
      <c r="J754">
        <f t="shared" si="167"/>
        <v>0</v>
      </c>
      <c r="K754" s="4" t="e">
        <f t="shared" si="170"/>
        <v>#N/A</v>
      </c>
      <c r="L754" t="e">
        <f t="shared" si="171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8"/>
        <v>0</v>
      </c>
      <c r="B755">
        <f t="shared" si="159"/>
        <v>0</v>
      </c>
      <c r="C755">
        <f t="shared" si="160"/>
        <v>0</v>
      </c>
      <c r="D755">
        <f t="shared" si="161"/>
        <v>0</v>
      </c>
      <c r="E755" t="e">
        <f t="shared" si="162"/>
        <v>#N/A</v>
      </c>
      <c r="F755">
        <f t="shared" si="163"/>
        <v>0</v>
      </c>
      <c r="G755">
        <f t="shared" si="164"/>
        <v>0</v>
      </c>
      <c r="H755">
        <f t="shared" si="165"/>
        <v>0</v>
      </c>
      <c r="I755">
        <f t="shared" si="166"/>
        <v>0</v>
      </c>
      <c r="J755">
        <f t="shared" si="167"/>
        <v>0</v>
      </c>
      <c r="K755" s="4" t="e">
        <f t="shared" si="170"/>
        <v>#N/A</v>
      </c>
      <c r="L755" t="e">
        <f t="shared" si="171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8"/>
        <v>0</v>
      </c>
      <c r="B756">
        <f t="shared" si="159"/>
        <v>0</v>
      </c>
      <c r="C756">
        <f t="shared" si="160"/>
        <v>0</v>
      </c>
      <c r="D756">
        <f t="shared" si="161"/>
        <v>0</v>
      </c>
      <c r="E756" t="e">
        <f t="shared" si="162"/>
        <v>#N/A</v>
      </c>
      <c r="F756">
        <f t="shared" si="163"/>
        <v>0</v>
      </c>
      <c r="G756">
        <f t="shared" si="164"/>
        <v>0</v>
      </c>
      <c r="H756">
        <f t="shared" si="165"/>
        <v>0</v>
      </c>
      <c r="I756">
        <f t="shared" si="166"/>
        <v>0</v>
      </c>
      <c r="J756">
        <f t="shared" si="167"/>
        <v>0</v>
      </c>
      <c r="K756" s="4" t="e">
        <f t="shared" si="170"/>
        <v>#N/A</v>
      </c>
      <c r="L756" t="e">
        <f t="shared" si="171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8"/>
        <v>0</v>
      </c>
      <c r="B757">
        <f t="shared" si="159"/>
        <v>0</v>
      </c>
      <c r="C757">
        <f t="shared" si="160"/>
        <v>0</v>
      </c>
      <c r="D757">
        <f t="shared" si="161"/>
        <v>0</v>
      </c>
      <c r="E757" t="e">
        <f t="shared" si="162"/>
        <v>#N/A</v>
      </c>
      <c r="F757">
        <f t="shared" si="163"/>
        <v>0</v>
      </c>
      <c r="G757">
        <f t="shared" si="164"/>
        <v>0</v>
      </c>
      <c r="H757">
        <f t="shared" si="165"/>
        <v>0</v>
      </c>
      <c r="I757">
        <f t="shared" si="166"/>
        <v>0</v>
      </c>
      <c r="J757">
        <f t="shared" si="167"/>
        <v>0</v>
      </c>
      <c r="K757" s="4" t="e">
        <f t="shared" si="170"/>
        <v>#N/A</v>
      </c>
      <c r="L757" t="e">
        <f t="shared" si="171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8"/>
        <v>0</v>
      </c>
      <c r="B758">
        <f t="shared" si="159"/>
        <v>0</v>
      </c>
      <c r="C758">
        <f t="shared" si="160"/>
        <v>0</v>
      </c>
      <c r="D758">
        <f t="shared" si="161"/>
        <v>0</v>
      </c>
      <c r="E758" t="e">
        <f t="shared" si="162"/>
        <v>#N/A</v>
      </c>
      <c r="F758">
        <f t="shared" si="163"/>
        <v>0</v>
      </c>
      <c r="G758">
        <f t="shared" si="164"/>
        <v>0</v>
      </c>
      <c r="H758">
        <f t="shared" si="165"/>
        <v>0</v>
      </c>
      <c r="I758">
        <f t="shared" si="166"/>
        <v>0</v>
      </c>
      <c r="J758">
        <f t="shared" si="167"/>
        <v>0</v>
      </c>
      <c r="K758" s="4" t="e">
        <f t="shared" si="170"/>
        <v>#N/A</v>
      </c>
      <c r="L758" t="e">
        <f t="shared" si="171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8"/>
        <v>0</v>
      </c>
      <c r="B759">
        <f t="shared" si="159"/>
        <v>0</v>
      </c>
      <c r="C759">
        <f t="shared" si="160"/>
        <v>0</v>
      </c>
      <c r="D759">
        <f t="shared" si="161"/>
        <v>0</v>
      </c>
      <c r="E759" t="e">
        <f t="shared" si="162"/>
        <v>#N/A</v>
      </c>
      <c r="F759">
        <f t="shared" si="163"/>
        <v>0</v>
      </c>
      <c r="G759">
        <f t="shared" si="164"/>
        <v>0</v>
      </c>
      <c r="H759">
        <f t="shared" si="165"/>
        <v>0</v>
      </c>
      <c r="I759">
        <f t="shared" si="166"/>
        <v>0</v>
      </c>
      <c r="J759">
        <f t="shared" si="167"/>
        <v>0</v>
      </c>
      <c r="K759" s="4" t="e">
        <f t="shared" si="170"/>
        <v>#N/A</v>
      </c>
      <c r="L759" t="e">
        <f t="shared" si="171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8"/>
        <v>0</v>
      </c>
      <c r="B760">
        <f t="shared" si="159"/>
        <v>0</v>
      </c>
      <c r="C760">
        <f t="shared" si="160"/>
        <v>0</v>
      </c>
      <c r="D760">
        <f t="shared" si="161"/>
        <v>0</v>
      </c>
      <c r="E760" t="e">
        <f t="shared" si="162"/>
        <v>#N/A</v>
      </c>
      <c r="F760">
        <f t="shared" si="163"/>
        <v>0</v>
      </c>
      <c r="G760">
        <f t="shared" si="164"/>
        <v>0</v>
      </c>
      <c r="H760">
        <f t="shared" si="165"/>
        <v>0</v>
      </c>
      <c r="I760">
        <f t="shared" si="166"/>
        <v>0</v>
      </c>
      <c r="J760">
        <f t="shared" si="167"/>
        <v>0</v>
      </c>
      <c r="K760" s="4" t="e">
        <f t="shared" si="170"/>
        <v>#N/A</v>
      </c>
      <c r="L760" t="e">
        <f t="shared" si="171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8"/>
        <v>0</v>
      </c>
      <c r="B761">
        <f t="shared" si="159"/>
        <v>0</v>
      </c>
      <c r="C761">
        <f t="shared" si="160"/>
        <v>0</v>
      </c>
      <c r="D761">
        <f t="shared" si="161"/>
        <v>0</v>
      </c>
      <c r="E761" t="e">
        <f t="shared" si="162"/>
        <v>#N/A</v>
      </c>
      <c r="F761">
        <f t="shared" si="163"/>
        <v>0</v>
      </c>
      <c r="G761">
        <f t="shared" si="164"/>
        <v>0</v>
      </c>
      <c r="H761">
        <f t="shared" si="165"/>
        <v>0</v>
      </c>
      <c r="I761">
        <f t="shared" si="166"/>
        <v>0</v>
      </c>
      <c r="J761">
        <f t="shared" si="167"/>
        <v>0</v>
      </c>
      <c r="K761" s="4" t="e">
        <f t="shared" si="170"/>
        <v>#N/A</v>
      </c>
      <c r="L761" t="e">
        <f t="shared" si="171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8"/>
        <v>0</v>
      </c>
      <c r="B762">
        <f t="shared" si="159"/>
        <v>0</v>
      </c>
      <c r="C762">
        <f t="shared" si="160"/>
        <v>0</v>
      </c>
      <c r="D762">
        <f t="shared" si="161"/>
        <v>0</v>
      </c>
      <c r="E762" t="e">
        <f t="shared" si="162"/>
        <v>#N/A</v>
      </c>
      <c r="F762">
        <f t="shared" si="163"/>
        <v>0</v>
      </c>
      <c r="G762">
        <f t="shared" si="164"/>
        <v>0</v>
      </c>
      <c r="H762">
        <f t="shared" si="165"/>
        <v>0</v>
      </c>
      <c r="I762">
        <f t="shared" si="166"/>
        <v>0</v>
      </c>
      <c r="J762">
        <f t="shared" si="167"/>
        <v>0</v>
      </c>
      <c r="K762" s="4" t="e">
        <f t="shared" si="170"/>
        <v>#N/A</v>
      </c>
      <c r="L762" t="e">
        <f t="shared" si="171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8"/>
        <v>0</v>
      </c>
      <c r="B763">
        <f t="shared" si="159"/>
        <v>0</v>
      </c>
      <c r="C763">
        <f t="shared" si="160"/>
        <v>0</v>
      </c>
      <c r="D763">
        <f t="shared" si="161"/>
        <v>0</v>
      </c>
      <c r="E763" t="e">
        <f t="shared" si="162"/>
        <v>#N/A</v>
      </c>
      <c r="F763">
        <f t="shared" si="163"/>
        <v>0</v>
      </c>
      <c r="G763">
        <f t="shared" si="164"/>
        <v>0</v>
      </c>
      <c r="H763">
        <f t="shared" si="165"/>
        <v>0</v>
      </c>
      <c r="I763">
        <f t="shared" si="166"/>
        <v>0</v>
      </c>
      <c r="J763">
        <f t="shared" si="167"/>
        <v>0</v>
      </c>
      <c r="K763" s="4" t="e">
        <f t="shared" si="170"/>
        <v>#N/A</v>
      </c>
      <c r="L763" t="e">
        <f t="shared" si="171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8"/>
        <v>0</v>
      </c>
      <c r="B764">
        <f t="shared" si="159"/>
        <v>0</v>
      </c>
      <c r="C764">
        <f t="shared" si="160"/>
        <v>0</v>
      </c>
      <c r="D764">
        <f t="shared" si="161"/>
        <v>0</v>
      </c>
      <c r="E764" t="e">
        <f t="shared" si="162"/>
        <v>#N/A</v>
      </c>
      <c r="F764">
        <f t="shared" si="163"/>
        <v>0</v>
      </c>
      <c r="G764">
        <f t="shared" si="164"/>
        <v>0</v>
      </c>
      <c r="H764">
        <f t="shared" si="165"/>
        <v>0</v>
      </c>
      <c r="I764">
        <f t="shared" si="166"/>
        <v>0</v>
      </c>
      <c r="J764">
        <f t="shared" si="167"/>
        <v>0</v>
      </c>
      <c r="K764" s="4" t="e">
        <f t="shared" si="170"/>
        <v>#N/A</v>
      </c>
      <c r="L764" t="e">
        <f t="shared" si="171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8"/>
        <v>0</v>
      </c>
      <c r="B765">
        <f t="shared" si="159"/>
        <v>0</v>
      </c>
      <c r="C765">
        <f t="shared" si="160"/>
        <v>0</v>
      </c>
      <c r="D765">
        <f t="shared" si="161"/>
        <v>0</v>
      </c>
      <c r="E765" t="e">
        <f t="shared" si="162"/>
        <v>#N/A</v>
      </c>
      <c r="F765">
        <f t="shared" si="163"/>
        <v>0</v>
      </c>
      <c r="G765">
        <f t="shared" si="164"/>
        <v>0</v>
      </c>
      <c r="H765">
        <f t="shared" si="165"/>
        <v>0</v>
      </c>
      <c r="I765">
        <f t="shared" si="166"/>
        <v>0</v>
      </c>
      <c r="J765">
        <f t="shared" si="167"/>
        <v>0</v>
      </c>
      <c r="K765" s="4" t="e">
        <f t="shared" si="170"/>
        <v>#N/A</v>
      </c>
      <c r="L765" t="e">
        <f t="shared" si="171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8"/>
        <v>0</v>
      </c>
      <c r="B766">
        <f t="shared" si="159"/>
        <v>0</v>
      </c>
      <c r="C766">
        <f t="shared" si="160"/>
        <v>0</v>
      </c>
      <c r="D766">
        <f t="shared" si="161"/>
        <v>0</v>
      </c>
      <c r="E766" t="e">
        <f t="shared" si="162"/>
        <v>#N/A</v>
      </c>
      <c r="F766">
        <f t="shared" si="163"/>
        <v>0</v>
      </c>
      <c r="G766">
        <f t="shared" si="164"/>
        <v>0</v>
      </c>
      <c r="H766">
        <f t="shared" si="165"/>
        <v>0</v>
      </c>
      <c r="I766">
        <f t="shared" si="166"/>
        <v>0</v>
      </c>
      <c r="J766">
        <f t="shared" si="167"/>
        <v>0</v>
      </c>
      <c r="K766" s="4" t="e">
        <f t="shared" si="170"/>
        <v>#N/A</v>
      </c>
      <c r="L766" t="e">
        <f t="shared" si="171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8"/>
        <v>0</v>
      </c>
      <c r="B767">
        <f t="shared" si="159"/>
        <v>0</v>
      </c>
      <c r="C767">
        <f t="shared" si="160"/>
        <v>0</v>
      </c>
      <c r="D767">
        <f t="shared" si="161"/>
        <v>0</v>
      </c>
      <c r="E767" t="e">
        <f t="shared" si="162"/>
        <v>#N/A</v>
      </c>
      <c r="F767">
        <f t="shared" si="163"/>
        <v>0</v>
      </c>
      <c r="G767">
        <f t="shared" si="164"/>
        <v>0</v>
      </c>
      <c r="H767">
        <f t="shared" si="165"/>
        <v>0</v>
      </c>
      <c r="I767">
        <f t="shared" si="166"/>
        <v>0</v>
      </c>
      <c r="J767">
        <f t="shared" si="167"/>
        <v>0</v>
      </c>
      <c r="K767" s="4" t="e">
        <f t="shared" si="170"/>
        <v>#N/A</v>
      </c>
      <c r="L767" t="e">
        <f t="shared" si="171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8"/>
        <v>0</v>
      </c>
      <c r="B768">
        <f t="shared" si="159"/>
        <v>0</v>
      </c>
      <c r="C768">
        <f t="shared" si="160"/>
        <v>0</v>
      </c>
      <c r="D768">
        <f t="shared" si="161"/>
        <v>0</v>
      </c>
      <c r="E768" t="e">
        <f t="shared" si="162"/>
        <v>#N/A</v>
      </c>
      <c r="F768">
        <f t="shared" si="163"/>
        <v>0</v>
      </c>
      <c r="G768">
        <f t="shared" si="164"/>
        <v>0</v>
      </c>
      <c r="H768">
        <f t="shared" si="165"/>
        <v>0</v>
      </c>
      <c r="I768">
        <f t="shared" si="166"/>
        <v>0</v>
      </c>
      <c r="J768">
        <f t="shared" si="167"/>
        <v>0</v>
      </c>
      <c r="K768" s="4" t="e">
        <f t="shared" si="170"/>
        <v>#N/A</v>
      </c>
      <c r="L768" t="e">
        <f t="shared" si="171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8"/>
        <v>0</v>
      </c>
      <c r="B769">
        <f t="shared" si="159"/>
        <v>0</v>
      </c>
      <c r="C769">
        <f t="shared" si="160"/>
        <v>0</v>
      </c>
      <c r="D769">
        <f t="shared" si="161"/>
        <v>0</v>
      </c>
      <c r="E769" t="e">
        <f t="shared" si="162"/>
        <v>#N/A</v>
      </c>
      <c r="F769">
        <f t="shared" si="163"/>
        <v>0</v>
      </c>
      <c r="G769">
        <f t="shared" si="164"/>
        <v>0</v>
      </c>
      <c r="H769">
        <f t="shared" si="165"/>
        <v>0</v>
      </c>
      <c r="I769">
        <f t="shared" si="166"/>
        <v>0</v>
      </c>
      <c r="J769">
        <f t="shared" si="167"/>
        <v>0</v>
      </c>
      <c r="K769" s="4" t="e">
        <f t="shared" si="170"/>
        <v>#N/A</v>
      </c>
      <c r="L769" t="e">
        <f t="shared" si="171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2">bd_campaign</f>
        <v>0</v>
      </c>
      <c r="B770">
        <f t="shared" ref="B770:B833" si="173">bd_site</f>
        <v>0</v>
      </c>
      <c r="C770">
        <f t="shared" ref="C770:C833" si="174">bd_placement</f>
        <v>0</v>
      </c>
      <c r="D770">
        <f t="shared" ref="D770:D833" si="175">bd_placementID</f>
        <v>0</v>
      </c>
      <c r="E770" t="e">
        <f t="shared" ref="E770:E833" si="176">VLOOKUP(CONCATENATE(bd_adtype,"_",bd_creativetype),tabela,2,FALSE)</f>
        <v>#N/A</v>
      </c>
      <c r="F770">
        <f t="shared" ref="F770:F833" si="177">bd_ad</f>
        <v>0</v>
      </c>
      <c r="G770">
        <f t="shared" ref="G770:G833" si="178">bd_adid</f>
        <v>0</v>
      </c>
      <c r="H770">
        <f t="shared" ref="H770:H833" si="179">bd_creativetype</f>
        <v>0</v>
      </c>
      <c r="I770">
        <f t="shared" ref="I770:I833" si="180">bd_impression</f>
        <v>0</v>
      </c>
      <c r="J770">
        <f t="shared" ref="J770:J833" si="181">bd_clicks</f>
        <v>0</v>
      </c>
      <c r="K770" s="4" t="e">
        <f t="shared" si="170"/>
        <v>#N/A</v>
      </c>
      <c r="L770" t="e">
        <f t="shared" si="171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2"/>
        <v>0</v>
      </c>
      <c r="B771">
        <f t="shared" si="173"/>
        <v>0</v>
      </c>
      <c r="C771">
        <f t="shared" si="174"/>
        <v>0</v>
      </c>
      <c r="D771">
        <f t="shared" si="175"/>
        <v>0</v>
      </c>
      <c r="E771" t="e">
        <f t="shared" si="176"/>
        <v>#N/A</v>
      </c>
      <c r="F771">
        <f t="shared" si="177"/>
        <v>0</v>
      </c>
      <c r="G771">
        <f t="shared" si="178"/>
        <v>0</v>
      </c>
      <c r="H771">
        <f t="shared" si="179"/>
        <v>0</v>
      </c>
      <c r="I771">
        <f t="shared" si="180"/>
        <v>0</v>
      </c>
      <c r="J771">
        <f t="shared" si="181"/>
        <v>0</v>
      </c>
      <c r="K771" s="4" t="e">
        <f t="shared" si="170"/>
        <v>#N/A</v>
      </c>
      <c r="L771" t="e">
        <f t="shared" si="171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2"/>
        <v>0</v>
      </c>
      <c r="B772">
        <f t="shared" si="173"/>
        <v>0</v>
      </c>
      <c r="C772">
        <f t="shared" si="174"/>
        <v>0</v>
      </c>
      <c r="D772">
        <f t="shared" si="175"/>
        <v>0</v>
      </c>
      <c r="E772" t="e">
        <f t="shared" si="176"/>
        <v>#N/A</v>
      </c>
      <c r="F772">
        <f t="shared" si="177"/>
        <v>0</v>
      </c>
      <c r="G772">
        <f t="shared" si="178"/>
        <v>0</v>
      </c>
      <c r="H772">
        <f t="shared" si="179"/>
        <v>0</v>
      </c>
      <c r="I772">
        <f t="shared" si="180"/>
        <v>0</v>
      </c>
      <c r="J772">
        <f t="shared" si="181"/>
        <v>0</v>
      </c>
      <c r="K772" s="4" t="e">
        <f t="shared" si="170"/>
        <v>#N/A</v>
      </c>
      <c r="L772" t="e">
        <f t="shared" si="171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2"/>
        <v>0</v>
      </c>
      <c r="B773">
        <f t="shared" si="173"/>
        <v>0</v>
      </c>
      <c r="C773">
        <f t="shared" si="174"/>
        <v>0</v>
      </c>
      <c r="D773">
        <f t="shared" si="175"/>
        <v>0</v>
      </c>
      <c r="E773" t="e">
        <f t="shared" si="176"/>
        <v>#N/A</v>
      </c>
      <c r="F773">
        <f t="shared" si="177"/>
        <v>0</v>
      </c>
      <c r="G773">
        <f t="shared" si="178"/>
        <v>0</v>
      </c>
      <c r="H773">
        <f t="shared" si="179"/>
        <v>0</v>
      </c>
      <c r="I773">
        <f t="shared" si="180"/>
        <v>0</v>
      </c>
      <c r="J773">
        <f t="shared" si="181"/>
        <v>0</v>
      </c>
      <c r="K773" s="4" t="e">
        <f t="shared" si="170"/>
        <v>#N/A</v>
      </c>
      <c r="L773" t="e">
        <f t="shared" si="171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2"/>
        <v>0</v>
      </c>
      <c r="B774">
        <f t="shared" si="173"/>
        <v>0</v>
      </c>
      <c r="C774">
        <f t="shared" si="174"/>
        <v>0</v>
      </c>
      <c r="D774">
        <f t="shared" si="175"/>
        <v>0</v>
      </c>
      <c r="E774" t="e">
        <f t="shared" si="176"/>
        <v>#N/A</v>
      </c>
      <c r="F774">
        <f t="shared" si="177"/>
        <v>0</v>
      </c>
      <c r="G774">
        <f t="shared" si="178"/>
        <v>0</v>
      </c>
      <c r="H774">
        <f t="shared" si="179"/>
        <v>0</v>
      </c>
      <c r="I774">
        <f t="shared" si="180"/>
        <v>0</v>
      </c>
      <c r="J774">
        <f t="shared" si="181"/>
        <v>0</v>
      </c>
      <c r="K774" s="4" t="e">
        <f t="shared" si="170"/>
        <v>#N/A</v>
      </c>
      <c r="L774" t="e">
        <f t="shared" si="171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2"/>
        <v>0</v>
      </c>
      <c r="B775">
        <f t="shared" si="173"/>
        <v>0</v>
      </c>
      <c r="C775">
        <f t="shared" si="174"/>
        <v>0</v>
      </c>
      <c r="D775">
        <f t="shared" si="175"/>
        <v>0</v>
      </c>
      <c r="E775" t="e">
        <f t="shared" si="176"/>
        <v>#N/A</v>
      </c>
      <c r="F775">
        <f t="shared" si="177"/>
        <v>0</v>
      </c>
      <c r="G775">
        <f t="shared" si="178"/>
        <v>0</v>
      </c>
      <c r="H775">
        <f t="shared" si="179"/>
        <v>0</v>
      </c>
      <c r="I775">
        <f t="shared" si="180"/>
        <v>0</v>
      </c>
      <c r="J775">
        <f t="shared" si="181"/>
        <v>0</v>
      </c>
      <c r="K775" s="4" t="e">
        <f t="shared" si="170"/>
        <v>#N/A</v>
      </c>
      <c r="L775" t="e">
        <f t="shared" si="171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2"/>
        <v>0</v>
      </c>
      <c r="B776">
        <f t="shared" si="173"/>
        <v>0</v>
      </c>
      <c r="C776">
        <f t="shared" si="174"/>
        <v>0</v>
      </c>
      <c r="D776">
        <f t="shared" si="175"/>
        <v>0</v>
      </c>
      <c r="E776" t="e">
        <f t="shared" si="176"/>
        <v>#N/A</v>
      </c>
      <c r="F776">
        <f t="shared" si="177"/>
        <v>0</v>
      </c>
      <c r="G776">
        <f t="shared" si="178"/>
        <v>0</v>
      </c>
      <c r="H776">
        <f t="shared" si="179"/>
        <v>0</v>
      </c>
      <c r="I776">
        <f t="shared" si="180"/>
        <v>0</v>
      </c>
      <c r="J776">
        <f t="shared" si="181"/>
        <v>0</v>
      </c>
      <c r="K776" s="4" t="e">
        <f t="shared" si="170"/>
        <v>#N/A</v>
      </c>
      <c r="L776" t="e">
        <f t="shared" si="171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2"/>
        <v>0</v>
      </c>
      <c r="B777">
        <f t="shared" si="173"/>
        <v>0</v>
      </c>
      <c r="C777">
        <f t="shared" si="174"/>
        <v>0</v>
      </c>
      <c r="D777">
        <f t="shared" si="175"/>
        <v>0</v>
      </c>
      <c r="E777" t="e">
        <f t="shared" si="176"/>
        <v>#N/A</v>
      </c>
      <c r="F777">
        <f t="shared" si="177"/>
        <v>0</v>
      </c>
      <c r="G777">
        <f t="shared" si="178"/>
        <v>0</v>
      </c>
      <c r="H777">
        <f t="shared" si="179"/>
        <v>0</v>
      </c>
      <c r="I777">
        <f t="shared" si="180"/>
        <v>0</v>
      </c>
      <c r="J777">
        <f t="shared" si="181"/>
        <v>0</v>
      </c>
      <c r="K777" s="4" t="e">
        <f t="shared" si="170"/>
        <v>#N/A</v>
      </c>
      <c r="L777" t="e">
        <f t="shared" si="171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2"/>
        <v>0</v>
      </c>
      <c r="B778">
        <f t="shared" si="173"/>
        <v>0</v>
      </c>
      <c r="C778">
        <f t="shared" si="174"/>
        <v>0</v>
      </c>
      <c r="D778">
        <f t="shared" si="175"/>
        <v>0</v>
      </c>
      <c r="E778" t="e">
        <f t="shared" si="176"/>
        <v>#N/A</v>
      </c>
      <c r="F778">
        <f t="shared" si="177"/>
        <v>0</v>
      </c>
      <c r="G778">
        <f t="shared" si="178"/>
        <v>0</v>
      </c>
      <c r="H778">
        <f t="shared" si="179"/>
        <v>0</v>
      </c>
      <c r="I778">
        <f t="shared" si="180"/>
        <v>0</v>
      </c>
      <c r="J778">
        <f t="shared" si="181"/>
        <v>0</v>
      </c>
      <c r="K778" s="4" t="e">
        <f t="shared" si="170"/>
        <v>#N/A</v>
      </c>
      <c r="L778" t="e">
        <f t="shared" si="171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2"/>
        <v>0</v>
      </c>
      <c r="B779">
        <f t="shared" si="173"/>
        <v>0</v>
      </c>
      <c r="C779">
        <f t="shared" si="174"/>
        <v>0</v>
      </c>
      <c r="D779">
        <f t="shared" si="175"/>
        <v>0</v>
      </c>
      <c r="E779" t="e">
        <f t="shared" si="176"/>
        <v>#N/A</v>
      </c>
      <c r="F779">
        <f t="shared" si="177"/>
        <v>0</v>
      </c>
      <c r="G779">
        <f t="shared" si="178"/>
        <v>0</v>
      </c>
      <c r="H779">
        <f t="shared" si="179"/>
        <v>0</v>
      </c>
      <c r="I779">
        <f t="shared" si="180"/>
        <v>0</v>
      </c>
      <c r="J779">
        <f t="shared" si="181"/>
        <v>0</v>
      </c>
      <c r="K779" s="4" t="e">
        <f t="shared" si="170"/>
        <v>#N/A</v>
      </c>
      <c r="L779" t="e">
        <f t="shared" si="171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2"/>
        <v>0</v>
      </c>
      <c r="B780">
        <f t="shared" si="173"/>
        <v>0</v>
      </c>
      <c r="C780">
        <f t="shared" si="174"/>
        <v>0</v>
      </c>
      <c r="D780">
        <f t="shared" si="175"/>
        <v>0</v>
      </c>
      <c r="E780" t="e">
        <f t="shared" si="176"/>
        <v>#N/A</v>
      </c>
      <c r="F780">
        <f t="shared" si="177"/>
        <v>0</v>
      </c>
      <c r="G780">
        <f t="shared" si="178"/>
        <v>0</v>
      </c>
      <c r="H780">
        <f t="shared" si="179"/>
        <v>0</v>
      </c>
      <c r="I780">
        <f t="shared" si="180"/>
        <v>0</v>
      </c>
      <c r="J780">
        <f t="shared" si="181"/>
        <v>0</v>
      </c>
      <c r="K780" s="4" t="e">
        <f t="shared" si="170"/>
        <v>#N/A</v>
      </c>
      <c r="L780" t="e">
        <f t="shared" si="171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2"/>
        <v>0</v>
      </c>
      <c r="B781">
        <f t="shared" si="173"/>
        <v>0</v>
      </c>
      <c r="C781">
        <f t="shared" si="174"/>
        <v>0</v>
      </c>
      <c r="D781">
        <f t="shared" si="175"/>
        <v>0</v>
      </c>
      <c r="E781" t="e">
        <f t="shared" si="176"/>
        <v>#N/A</v>
      </c>
      <c r="F781">
        <f t="shared" si="177"/>
        <v>0</v>
      </c>
      <c r="G781">
        <f t="shared" si="178"/>
        <v>0</v>
      </c>
      <c r="H781">
        <f t="shared" si="179"/>
        <v>0</v>
      </c>
      <c r="I781">
        <f t="shared" si="180"/>
        <v>0</v>
      </c>
      <c r="J781">
        <f t="shared" si="181"/>
        <v>0</v>
      </c>
      <c r="K781" s="4" t="e">
        <f t="shared" si="170"/>
        <v>#N/A</v>
      </c>
      <c r="L781" t="e">
        <f t="shared" si="171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2"/>
        <v>0</v>
      </c>
      <c r="B782">
        <f t="shared" si="173"/>
        <v>0</v>
      </c>
      <c r="C782">
        <f t="shared" si="174"/>
        <v>0</v>
      </c>
      <c r="D782">
        <f t="shared" si="175"/>
        <v>0</v>
      </c>
      <c r="E782" t="e">
        <f t="shared" si="176"/>
        <v>#N/A</v>
      </c>
      <c r="F782">
        <f t="shared" si="177"/>
        <v>0</v>
      </c>
      <c r="G782">
        <f t="shared" si="178"/>
        <v>0</v>
      </c>
      <c r="H782">
        <f t="shared" si="179"/>
        <v>0</v>
      </c>
      <c r="I782">
        <f t="shared" si="180"/>
        <v>0</v>
      </c>
      <c r="J782">
        <f t="shared" si="181"/>
        <v>0</v>
      </c>
      <c r="K782" s="4" t="e">
        <f t="shared" si="170"/>
        <v>#N/A</v>
      </c>
      <c r="L782" t="e">
        <f t="shared" si="171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2"/>
        <v>0</v>
      </c>
      <c r="B783">
        <f t="shared" si="173"/>
        <v>0</v>
      </c>
      <c r="C783">
        <f t="shared" si="174"/>
        <v>0</v>
      </c>
      <c r="D783">
        <f t="shared" si="175"/>
        <v>0</v>
      </c>
      <c r="E783" t="e">
        <f t="shared" si="176"/>
        <v>#N/A</v>
      </c>
      <c r="F783">
        <f t="shared" si="177"/>
        <v>0</v>
      </c>
      <c r="G783">
        <f t="shared" si="178"/>
        <v>0</v>
      </c>
      <c r="H783">
        <f t="shared" si="179"/>
        <v>0</v>
      </c>
      <c r="I783">
        <f t="shared" si="180"/>
        <v>0</v>
      </c>
      <c r="J783">
        <f t="shared" si="181"/>
        <v>0</v>
      </c>
      <c r="K783" s="4" t="e">
        <f t="shared" si="170"/>
        <v>#N/A</v>
      </c>
      <c r="L783" t="e">
        <f t="shared" si="171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2"/>
        <v>0</v>
      </c>
      <c r="B784">
        <f t="shared" si="173"/>
        <v>0</v>
      </c>
      <c r="C784">
        <f t="shared" si="174"/>
        <v>0</v>
      </c>
      <c r="D784">
        <f t="shared" si="175"/>
        <v>0</v>
      </c>
      <c r="E784" t="e">
        <f t="shared" si="176"/>
        <v>#N/A</v>
      </c>
      <c r="F784">
        <f t="shared" si="177"/>
        <v>0</v>
      </c>
      <c r="G784">
        <f t="shared" si="178"/>
        <v>0</v>
      </c>
      <c r="H784">
        <f t="shared" si="179"/>
        <v>0</v>
      </c>
      <c r="I784">
        <f t="shared" si="180"/>
        <v>0</v>
      </c>
      <c r="J784">
        <f t="shared" si="181"/>
        <v>0</v>
      </c>
      <c r="K784" s="4" t="e">
        <f t="shared" si="170"/>
        <v>#N/A</v>
      </c>
      <c r="L784" t="e">
        <f t="shared" si="171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2"/>
        <v>0</v>
      </c>
      <c r="B785">
        <f t="shared" si="173"/>
        <v>0</v>
      </c>
      <c r="C785">
        <f t="shared" si="174"/>
        <v>0</v>
      </c>
      <c r="D785">
        <f t="shared" si="175"/>
        <v>0</v>
      </c>
      <c r="E785" t="e">
        <f t="shared" si="176"/>
        <v>#N/A</v>
      </c>
      <c r="F785">
        <f t="shared" si="177"/>
        <v>0</v>
      </c>
      <c r="G785">
        <f t="shared" si="178"/>
        <v>0</v>
      </c>
      <c r="H785">
        <f t="shared" si="179"/>
        <v>0</v>
      </c>
      <c r="I785">
        <f t="shared" si="180"/>
        <v>0</v>
      </c>
      <c r="J785">
        <f t="shared" si="181"/>
        <v>0</v>
      </c>
      <c r="K785" s="4" t="e">
        <f t="shared" si="170"/>
        <v>#N/A</v>
      </c>
      <c r="L785" t="e">
        <f t="shared" si="171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2"/>
        <v>0</v>
      </c>
      <c r="B786">
        <f t="shared" si="173"/>
        <v>0</v>
      </c>
      <c r="C786">
        <f t="shared" si="174"/>
        <v>0</v>
      </c>
      <c r="D786">
        <f t="shared" si="175"/>
        <v>0</v>
      </c>
      <c r="E786" t="e">
        <f t="shared" si="176"/>
        <v>#N/A</v>
      </c>
      <c r="F786">
        <f t="shared" si="177"/>
        <v>0</v>
      </c>
      <c r="G786">
        <f t="shared" si="178"/>
        <v>0</v>
      </c>
      <c r="H786">
        <f t="shared" si="179"/>
        <v>0</v>
      </c>
      <c r="I786">
        <f t="shared" si="180"/>
        <v>0</v>
      </c>
      <c r="J786">
        <f t="shared" si="181"/>
        <v>0</v>
      </c>
      <c r="K786" s="4" t="e">
        <f t="shared" si="170"/>
        <v>#N/A</v>
      </c>
      <c r="L786" t="e">
        <f t="shared" si="171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2"/>
        <v>0</v>
      </c>
      <c r="B787">
        <f t="shared" si="173"/>
        <v>0</v>
      </c>
      <c r="C787">
        <f t="shared" si="174"/>
        <v>0</v>
      </c>
      <c r="D787">
        <f t="shared" si="175"/>
        <v>0</v>
      </c>
      <c r="E787" t="e">
        <f t="shared" si="176"/>
        <v>#N/A</v>
      </c>
      <c r="F787">
        <f t="shared" si="177"/>
        <v>0</v>
      </c>
      <c r="G787">
        <f t="shared" si="178"/>
        <v>0</v>
      </c>
      <c r="H787">
        <f t="shared" si="179"/>
        <v>0</v>
      </c>
      <c r="I787">
        <f t="shared" si="180"/>
        <v>0</v>
      </c>
      <c r="J787">
        <f t="shared" si="181"/>
        <v>0</v>
      </c>
      <c r="K787" s="4" t="e">
        <f t="shared" si="170"/>
        <v>#N/A</v>
      </c>
      <c r="L787" t="e">
        <f t="shared" si="171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2"/>
        <v>0</v>
      </c>
      <c r="B788">
        <f t="shared" si="173"/>
        <v>0</v>
      </c>
      <c r="C788">
        <f t="shared" si="174"/>
        <v>0</v>
      </c>
      <c r="D788">
        <f t="shared" si="175"/>
        <v>0</v>
      </c>
      <c r="E788" t="e">
        <f t="shared" si="176"/>
        <v>#N/A</v>
      </c>
      <c r="F788">
        <f t="shared" si="177"/>
        <v>0</v>
      </c>
      <c r="G788">
        <f t="shared" si="178"/>
        <v>0</v>
      </c>
      <c r="H788">
        <f t="shared" si="179"/>
        <v>0</v>
      </c>
      <c r="I788">
        <f t="shared" si="180"/>
        <v>0</v>
      </c>
      <c r="J788">
        <f t="shared" si="181"/>
        <v>0</v>
      </c>
      <c r="K788" s="4" t="e">
        <f t="shared" si="170"/>
        <v>#N/A</v>
      </c>
      <c r="L788" t="e">
        <f t="shared" si="171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2"/>
        <v>0</v>
      </c>
      <c r="B789">
        <f t="shared" si="173"/>
        <v>0</v>
      </c>
      <c r="C789">
        <f t="shared" si="174"/>
        <v>0</v>
      </c>
      <c r="D789">
        <f t="shared" si="175"/>
        <v>0</v>
      </c>
      <c r="E789" t="e">
        <f t="shared" si="176"/>
        <v>#N/A</v>
      </c>
      <c r="F789">
        <f t="shared" si="177"/>
        <v>0</v>
      </c>
      <c r="G789">
        <f t="shared" si="178"/>
        <v>0</v>
      </c>
      <c r="H789">
        <f t="shared" si="179"/>
        <v>0</v>
      </c>
      <c r="I789">
        <f t="shared" si="180"/>
        <v>0</v>
      </c>
      <c r="J789">
        <f t="shared" si="181"/>
        <v>0</v>
      </c>
      <c r="K789" s="4" t="e">
        <f t="shared" si="170"/>
        <v>#N/A</v>
      </c>
      <c r="L789" t="e">
        <f t="shared" si="171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2"/>
        <v>0</v>
      </c>
      <c r="B790">
        <f t="shared" si="173"/>
        <v>0</v>
      </c>
      <c r="C790">
        <f t="shared" si="174"/>
        <v>0</v>
      </c>
      <c r="D790">
        <f t="shared" si="175"/>
        <v>0</v>
      </c>
      <c r="E790" t="e">
        <f t="shared" si="176"/>
        <v>#N/A</v>
      </c>
      <c r="F790">
        <f t="shared" si="177"/>
        <v>0</v>
      </c>
      <c r="G790">
        <f t="shared" si="178"/>
        <v>0</v>
      </c>
      <c r="H790">
        <f t="shared" si="179"/>
        <v>0</v>
      </c>
      <c r="I790">
        <f t="shared" si="180"/>
        <v>0</v>
      </c>
      <c r="J790">
        <f t="shared" si="181"/>
        <v>0</v>
      </c>
      <c r="K790" s="4" t="e">
        <f t="shared" si="170"/>
        <v>#N/A</v>
      </c>
      <c r="L790" t="e">
        <f t="shared" si="171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2"/>
        <v>0</v>
      </c>
      <c r="B791">
        <f t="shared" si="173"/>
        <v>0</v>
      </c>
      <c r="C791">
        <f t="shared" si="174"/>
        <v>0</v>
      </c>
      <c r="D791">
        <f t="shared" si="175"/>
        <v>0</v>
      </c>
      <c r="E791" t="e">
        <f t="shared" si="176"/>
        <v>#N/A</v>
      </c>
      <c r="F791">
        <f t="shared" si="177"/>
        <v>0</v>
      </c>
      <c r="G791">
        <f t="shared" si="178"/>
        <v>0</v>
      </c>
      <c r="H791">
        <f t="shared" si="179"/>
        <v>0</v>
      </c>
      <c r="I791">
        <f t="shared" si="180"/>
        <v>0</v>
      </c>
      <c r="J791">
        <f t="shared" si="181"/>
        <v>0</v>
      </c>
      <c r="K791" s="4" t="e">
        <f t="shared" si="170"/>
        <v>#N/A</v>
      </c>
      <c r="L791" t="e">
        <f t="shared" si="171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2"/>
        <v>0</v>
      </c>
      <c r="B792">
        <f t="shared" si="173"/>
        <v>0</v>
      </c>
      <c r="C792">
        <f t="shared" si="174"/>
        <v>0</v>
      </c>
      <c r="D792">
        <f t="shared" si="175"/>
        <v>0</v>
      </c>
      <c r="E792" t="e">
        <f t="shared" si="176"/>
        <v>#N/A</v>
      </c>
      <c r="F792">
        <f t="shared" si="177"/>
        <v>0</v>
      </c>
      <c r="G792">
        <f t="shared" si="178"/>
        <v>0</v>
      </c>
      <c r="H792">
        <f t="shared" si="179"/>
        <v>0</v>
      </c>
      <c r="I792">
        <f t="shared" si="180"/>
        <v>0</v>
      </c>
      <c r="J792">
        <f t="shared" si="181"/>
        <v>0</v>
      </c>
      <c r="K792" s="4" t="e">
        <f t="shared" si="170"/>
        <v>#N/A</v>
      </c>
      <c r="L792" t="e">
        <f t="shared" si="171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2"/>
        <v>0</v>
      </c>
      <c r="B793">
        <f t="shared" si="173"/>
        <v>0</v>
      </c>
      <c r="C793">
        <f t="shared" si="174"/>
        <v>0</v>
      </c>
      <c r="D793">
        <f t="shared" si="175"/>
        <v>0</v>
      </c>
      <c r="E793" t="e">
        <f t="shared" si="176"/>
        <v>#N/A</v>
      </c>
      <c r="F793">
        <f t="shared" si="177"/>
        <v>0</v>
      </c>
      <c r="G793">
        <f t="shared" si="178"/>
        <v>0</v>
      </c>
      <c r="H793">
        <f t="shared" si="179"/>
        <v>0</v>
      </c>
      <c r="I793">
        <f t="shared" si="180"/>
        <v>0</v>
      </c>
      <c r="J793">
        <f t="shared" si="181"/>
        <v>0</v>
      </c>
      <c r="K793" s="4" t="e">
        <f t="shared" si="170"/>
        <v>#N/A</v>
      </c>
      <c r="L793" t="e">
        <f t="shared" si="171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2"/>
        <v>0</v>
      </c>
      <c r="B794">
        <f t="shared" si="173"/>
        <v>0</v>
      </c>
      <c r="C794">
        <f t="shared" si="174"/>
        <v>0</v>
      </c>
      <c r="D794">
        <f t="shared" si="175"/>
        <v>0</v>
      </c>
      <c r="E794" t="e">
        <f t="shared" si="176"/>
        <v>#N/A</v>
      </c>
      <c r="F794">
        <f t="shared" si="177"/>
        <v>0</v>
      </c>
      <c r="G794">
        <f t="shared" si="178"/>
        <v>0</v>
      </c>
      <c r="H794">
        <f t="shared" si="179"/>
        <v>0</v>
      </c>
      <c r="I794">
        <f t="shared" si="180"/>
        <v>0</v>
      </c>
      <c r="J794">
        <f t="shared" si="181"/>
        <v>0</v>
      </c>
      <c r="K794" s="4" t="e">
        <f t="shared" si="170"/>
        <v>#N/A</v>
      </c>
      <c r="L794" t="e">
        <f t="shared" si="171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2"/>
        <v>0</v>
      </c>
      <c r="B795">
        <f t="shared" si="173"/>
        <v>0</v>
      </c>
      <c r="C795">
        <f t="shared" si="174"/>
        <v>0</v>
      </c>
      <c r="D795">
        <f t="shared" si="175"/>
        <v>0</v>
      </c>
      <c r="E795" t="e">
        <f t="shared" si="176"/>
        <v>#N/A</v>
      </c>
      <c r="F795">
        <f t="shared" si="177"/>
        <v>0</v>
      </c>
      <c r="G795">
        <f t="shared" si="178"/>
        <v>0</v>
      </c>
      <c r="H795">
        <f t="shared" si="179"/>
        <v>0</v>
      </c>
      <c r="I795">
        <f t="shared" si="180"/>
        <v>0</v>
      </c>
      <c r="J795">
        <f t="shared" si="181"/>
        <v>0</v>
      </c>
      <c r="K795" s="4" t="e">
        <f t="shared" si="170"/>
        <v>#N/A</v>
      </c>
      <c r="L795" t="e">
        <f t="shared" si="171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2"/>
        <v>0</v>
      </c>
      <c r="B796">
        <f t="shared" si="173"/>
        <v>0</v>
      </c>
      <c r="C796">
        <f t="shared" si="174"/>
        <v>0</v>
      </c>
      <c r="D796">
        <f t="shared" si="175"/>
        <v>0</v>
      </c>
      <c r="E796" t="e">
        <f t="shared" si="176"/>
        <v>#N/A</v>
      </c>
      <c r="F796">
        <f t="shared" si="177"/>
        <v>0</v>
      </c>
      <c r="G796">
        <f t="shared" si="178"/>
        <v>0</v>
      </c>
      <c r="H796">
        <f t="shared" si="179"/>
        <v>0</v>
      </c>
      <c r="I796">
        <f t="shared" si="180"/>
        <v>0</v>
      </c>
      <c r="J796">
        <f t="shared" si="181"/>
        <v>0</v>
      </c>
      <c r="K796" s="4" t="e">
        <f t="shared" si="170"/>
        <v>#N/A</v>
      </c>
      <c r="L796" t="e">
        <f t="shared" si="171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2"/>
        <v>0</v>
      </c>
      <c r="B797">
        <f t="shared" si="173"/>
        <v>0</v>
      </c>
      <c r="C797">
        <f t="shared" si="174"/>
        <v>0</v>
      </c>
      <c r="D797">
        <f t="shared" si="175"/>
        <v>0</v>
      </c>
      <c r="E797" t="e">
        <f t="shared" si="176"/>
        <v>#N/A</v>
      </c>
      <c r="F797">
        <f t="shared" si="177"/>
        <v>0</v>
      </c>
      <c r="G797">
        <f t="shared" si="178"/>
        <v>0</v>
      </c>
      <c r="H797">
        <f t="shared" si="179"/>
        <v>0</v>
      </c>
      <c r="I797">
        <f t="shared" si="180"/>
        <v>0</v>
      </c>
      <c r="J797">
        <f t="shared" si="181"/>
        <v>0</v>
      </c>
      <c r="K797" s="4" t="e">
        <f t="shared" si="170"/>
        <v>#N/A</v>
      </c>
      <c r="L797" t="e">
        <f t="shared" si="171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2"/>
        <v>0</v>
      </c>
      <c r="B798">
        <f t="shared" si="173"/>
        <v>0</v>
      </c>
      <c r="C798">
        <f t="shared" si="174"/>
        <v>0</v>
      </c>
      <c r="D798">
        <f t="shared" si="175"/>
        <v>0</v>
      </c>
      <c r="E798" t="e">
        <f t="shared" si="176"/>
        <v>#N/A</v>
      </c>
      <c r="F798">
        <f t="shared" si="177"/>
        <v>0</v>
      </c>
      <c r="G798">
        <f t="shared" si="178"/>
        <v>0</v>
      </c>
      <c r="H798">
        <f t="shared" si="179"/>
        <v>0</v>
      </c>
      <c r="I798">
        <f t="shared" si="180"/>
        <v>0</v>
      </c>
      <c r="J798">
        <f t="shared" si="181"/>
        <v>0</v>
      </c>
      <c r="K798" s="4" t="e">
        <f t="shared" si="170"/>
        <v>#N/A</v>
      </c>
      <c r="L798" t="e">
        <f t="shared" si="171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2"/>
        <v>0</v>
      </c>
      <c r="B799">
        <f t="shared" si="173"/>
        <v>0</v>
      </c>
      <c r="C799">
        <f t="shared" si="174"/>
        <v>0</v>
      </c>
      <c r="D799">
        <f t="shared" si="175"/>
        <v>0</v>
      </c>
      <c r="E799" t="e">
        <f t="shared" si="176"/>
        <v>#N/A</v>
      </c>
      <c r="F799">
        <f t="shared" si="177"/>
        <v>0</v>
      </c>
      <c r="G799">
        <f t="shared" si="178"/>
        <v>0</v>
      </c>
      <c r="H799">
        <f t="shared" si="179"/>
        <v>0</v>
      </c>
      <c r="I799">
        <f t="shared" si="180"/>
        <v>0</v>
      </c>
      <c r="J799">
        <f t="shared" si="181"/>
        <v>0</v>
      </c>
      <c r="K799" s="4" t="e">
        <f t="shared" si="170"/>
        <v>#N/A</v>
      </c>
      <c r="L799" t="e">
        <f t="shared" si="171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2"/>
        <v>0</v>
      </c>
      <c r="B800">
        <f t="shared" si="173"/>
        <v>0</v>
      </c>
      <c r="C800">
        <f t="shared" si="174"/>
        <v>0</v>
      </c>
      <c r="D800">
        <f t="shared" si="175"/>
        <v>0</v>
      </c>
      <c r="E800" t="e">
        <f t="shared" si="176"/>
        <v>#N/A</v>
      </c>
      <c r="F800">
        <f t="shared" si="177"/>
        <v>0</v>
      </c>
      <c r="G800">
        <f t="shared" si="178"/>
        <v>0</v>
      </c>
      <c r="H800">
        <f t="shared" si="179"/>
        <v>0</v>
      </c>
      <c r="I800">
        <f t="shared" si="180"/>
        <v>0</v>
      </c>
      <c r="J800">
        <f t="shared" si="181"/>
        <v>0</v>
      </c>
      <c r="K800" s="4" t="e">
        <f t="shared" si="170"/>
        <v>#N/A</v>
      </c>
      <c r="L800" t="e">
        <f t="shared" si="171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2"/>
        <v>0</v>
      </c>
      <c r="B801">
        <f t="shared" si="173"/>
        <v>0</v>
      </c>
      <c r="C801">
        <f t="shared" si="174"/>
        <v>0</v>
      </c>
      <c r="D801">
        <f t="shared" si="175"/>
        <v>0</v>
      </c>
      <c r="E801" t="e">
        <f>VLOOKUP(CONCATENATE(bd_adtype,"_",bd_creativetype),tabela,2,FALSE)</f>
        <v>#N/A</v>
      </c>
      <c r="F801">
        <f t="shared" si="177"/>
        <v>0</v>
      </c>
      <c r="G801">
        <f t="shared" si="178"/>
        <v>0</v>
      </c>
      <c r="H801">
        <f t="shared" si="179"/>
        <v>0</v>
      </c>
      <c r="I801">
        <f t="shared" si="180"/>
        <v>0</v>
      </c>
      <c r="J801">
        <f t="shared" si="181"/>
        <v>0</v>
      </c>
      <c r="K801" s="4" t="e">
        <f t="shared" si="170"/>
        <v>#N/A</v>
      </c>
      <c r="L801" t="e">
        <f t="shared" si="171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2"/>
        <v>0</v>
      </c>
      <c r="B802">
        <f t="shared" si="173"/>
        <v>0</v>
      </c>
      <c r="C802">
        <f t="shared" si="174"/>
        <v>0</v>
      </c>
      <c r="D802">
        <f t="shared" si="175"/>
        <v>0</v>
      </c>
      <c r="E802" t="e">
        <f t="shared" si="176"/>
        <v>#N/A</v>
      </c>
      <c r="F802">
        <f t="shared" si="177"/>
        <v>0</v>
      </c>
      <c r="G802">
        <f t="shared" si="178"/>
        <v>0</v>
      </c>
      <c r="H802">
        <f t="shared" si="179"/>
        <v>0</v>
      </c>
      <c r="I802">
        <f t="shared" si="180"/>
        <v>0</v>
      </c>
      <c r="J802">
        <f t="shared" si="181"/>
        <v>0</v>
      </c>
      <c r="K802" s="4" t="e">
        <f t="shared" si="170"/>
        <v>#N/A</v>
      </c>
      <c r="L802" t="e">
        <f t="shared" si="171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2"/>
        <v>0</v>
      </c>
      <c r="B803">
        <f t="shared" si="173"/>
        <v>0</v>
      </c>
      <c r="C803">
        <f t="shared" si="174"/>
        <v>0</v>
      </c>
      <c r="D803">
        <f t="shared" si="175"/>
        <v>0</v>
      </c>
      <c r="E803" t="e">
        <f t="shared" si="176"/>
        <v>#N/A</v>
      </c>
      <c r="F803">
        <f t="shared" si="177"/>
        <v>0</v>
      </c>
      <c r="G803">
        <f t="shared" si="178"/>
        <v>0</v>
      </c>
      <c r="H803">
        <f t="shared" si="179"/>
        <v>0</v>
      </c>
      <c r="I803">
        <f t="shared" si="180"/>
        <v>0</v>
      </c>
      <c r="J803">
        <f t="shared" si="181"/>
        <v>0</v>
      </c>
      <c r="K803" s="4" t="e">
        <f t="shared" si="170"/>
        <v>#N/A</v>
      </c>
      <c r="L803" t="e">
        <f t="shared" si="171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2"/>
        <v>0</v>
      </c>
      <c r="B804">
        <f t="shared" si="173"/>
        <v>0</v>
      </c>
      <c r="C804">
        <f t="shared" si="174"/>
        <v>0</v>
      </c>
      <c r="D804">
        <f t="shared" si="175"/>
        <v>0</v>
      </c>
      <c r="E804" t="e">
        <f t="shared" si="176"/>
        <v>#N/A</v>
      </c>
      <c r="F804">
        <f t="shared" si="177"/>
        <v>0</v>
      </c>
      <c r="G804">
        <f t="shared" si="178"/>
        <v>0</v>
      </c>
      <c r="H804">
        <f t="shared" si="179"/>
        <v>0</v>
      </c>
      <c r="I804">
        <f t="shared" si="180"/>
        <v>0</v>
      </c>
      <c r="J804">
        <f t="shared" si="181"/>
        <v>0</v>
      </c>
      <c r="K804" s="4" t="e">
        <f t="shared" si="170"/>
        <v>#N/A</v>
      </c>
      <c r="L804" t="e">
        <f t="shared" si="171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2"/>
        <v>0</v>
      </c>
      <c r="B805">
        <f t="shared" si="173"/>
        <v>0</v>
      </c>
      <c r="C805">
        <f t="shared" si="174"/>
        <v>0</v>
      </c>
      <c r="D805">
        <f t="shared" si="175"/>
        <v>0</v>
      </c>
      <c r="E805" t="e">
        <f t="shared" si="176"/>
        <v>#N/A</v>
      </c>
      <c r="F805">
        <f t="shared" si="177"/>
        <v>0</v>
      </c>
      <c r="G805">
        <f t="shared" si="178"/>
        <v>0</v>
      </c>
      <c r="H805">
        <f t="shared" si="179"/>
        <v>0</v>
      </c>
      <c r="I805">
        <f t="shared" si="180"/>
        <v>0</v>
      </c>
      <c r="J805">
        <f t="shared" si="181"/>
        <v>0</v>
      </c>
      <c r="K805" s="4" t="e">
        <f t="shared" si="170"/>
        <v>#N/A</v>
      </c>
      <c r="L805" t="e">
        <f t="shared" si="171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2"/>
        <v>0</v>
      </c>
      <c r="B806">
        <f t="shared" si="173"/>
        <v>0</v>
      </c>
      <c r="C806">
        <f t="shared" si="174"/>
        <v>0</v>
      </c>
      <c r="D806">
        <f t="shared" si="175"/>
        <v>0</v>
      </c>
      <c r="E806" t="e">
        <f t="shared" si="176"/>
        <v>#N/A</v>
      </c>
      <c r="F806">
        <f t="shared" si="177"/>
        <v>0</v>
      </c>
      <c r="G806">
        <f t="shared" si="178"/>
        <v>0</v>
      </c>
      <c r="H806">
        <f t="shared" si="179"/>
        <v>0</v>
      </c>
      <c r="I806">
        <f t="shared" si="180"/>
        <v>0</v>
      </c>
      <c r="J806">
        <f t="shared" si="181"/>
        <v>0</v>
      </c>
      <c r="K806" s="4" t="e">
        <f t="shared" si="170"/>
        <v>#N/A</v>
      </c>
      <c r="L806" t="e">
        <f t="shared" si="171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2"/>
        <v>0</v>
      </c>
      <c r="B807">
        <f t="shared" si="173"/>
        <v>0</v>
      </c>
      <c r="C807">
        <f t="shared" si="174"/>
        <v>0</v>
      </c>
      <c r="D807">
        <f t="shared" si="175"/>
        <v>0</v>
      </c>
      <c r="E807" t="e">
        <f t="shared" si="176"/>
        <v>#N/A</v>
      </c>
      <c r="F807">
        <f t="shared" si="177"/>
        <v>0</v>
      </c>
      <c r="G807">
        <f t="shared" si="178"/>
        <v>0</v>
      </c>
      <c r="H807">
        <f t="shared" si="179"/>
        <v>0</v>
      </c>
      <c r="I807">
        <f t="shared" si="180"/>
        <v>0</v>
      </c>
      <c r="J807">
        <f t="shared" si="181"/>
        <v>0</v>
      </c>
      <c r="K807" s="4" t="e">
        <f t="shared" si="170"/>
        <v>#N/A</v>
      </c>
      <c r="L807" t="e">
        <f t="shared" si="171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2"/>
        <v>0</v>
      </c>
      <c r="B808">
        <f t="shared" si="173"/>
        <v>0</v>
      </c>
      <c r="C808">
        <f t="shared" si="174"/>
        <v>0</v>
      </c>
      <c r="D808">
        <f t="shared" si="175"/>
        <v>0</v>
      </c>
      <c r="E808" t="e">
        <f t="shared" si="176"/>
        <v>#N/A</v>
      </c>
      <c r="F808">
        <f t="shared" si="177"/>
        <v>0</v>
      </c>
      <c r="G808">
        <f t="shared" si="178"/>
        <v>0</v>
      </c>
      <c r="H808">
        <f t="shared" si="179"/>
        <v>0</v>
      </c>
      <c r="I808">
        <f t="shared" si="180"/>
        <v>0</v>
      </c>
      <c r="J808">
        <f t="shared" si="181"/>
        <v>0</v>
      </c>
      <c r="K808" s="4" t="e">
        <f t="shared" si="170"/>
        <v>#N/A</v>
      </c>
      <c r="L808" t="e">
        <f t="shared" si="171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2"/>
        <v>0</v>
      </c>
      <c r="B809">
        <f t="shared" si="173"/>
        <v>0</v>
      </c>
      <c r="C809">
        <f t="shared" si="174"/>
        <v>0</v>
      </c>
      <c r="D809">
        <f t="shared" si="175"/>
        <v>0</v>
      </c>
      <c r="E809" t="e">
        <f t="shared" si="176"/>
        <v>#N/A</v>
      </c>
      <c r="F809">
        <f t="shared" si="177"/>
        <v>0</v>
      </c>
      <c r="G809">
        <f t="shared" si="178"/>
        <v>0</v>
      </c>
      <c r="H809">
        <f t="shared" si="179"/>
        <v>0</v>
      </c>
      <c r="I809">
        <f t="shared" si="180"/>
        <v>0</v>
      </c>
      <c r="J809">
        <f t="shared" si="181"/>
        <v>0</v>
      </c>
      <c r="K809" s="4" t="e">
        <f t="shared" si="170"/>
        <v>#N/A</v>
      </c>
      <c r="L809" t="e">
        <f t="shared" si="171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2"/>
        <v>0</v>
      </c>
      <c r="B810">
        <f t="shared" si="173"/>
        <v>0</v>
      </c>
      <c r="C810">
        <f t="shared" si="174"/>
        <v>0</v>
      </c>
      <c r="D810">
        <f t="shared" si="175"/>
        <v>0</v>
      </c>
      <c r="E810" t="e">
        <f t="shared" si="176"/>
        <v>#N/A</v>
      </c>
      <c r="F810">
        <f t="shared" si="177"/>
        <v>0</v>
      </c>
      <c r="G810">
        <f t="shared" si="178"/>
        <v>0</v>
      </c>
      <c r="H810">
        <f t="shared" si="179"/>
        <v>0</v>
      </c>
      <c r="I810">
        <f t="shared" si="180"/>
        <v>0</v>
      </c>
      <c r="J810">
        <f t="shared" si="181"/>
        <v>0</v>
      </c>
      <c r="K810" s="4" t="e">
        <f t="shared" si="170"/>
        <v>#N/A</v>
      </c>
      <c r="L810" t="e">
        <f t="shared" si="171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2"/>
        <v>0</v>
      </c>
      <c r="B811">
        <f t="shared" si="173"/>
        <v>0</v>
      </c>
      <c r="C811">
        <f t="shared" si="174"/>
        <v>0</v>
      </c>
      <c r="D811">
        <f t="shared" si="175"/>
        <v>0</v>
      </c>
      <c r="E811" t="e">
        <f t="shared" si="176"/>
        <v>#N/A</v>
      </c>
      <c r="F811">
        <f t="shared" si="177"/>
        <v>0</v>
      </c>
      <c r="G811">
        <f t="shared" si="178"/>
        <v>0</v>
      </c>
      <c r="H811">
        <f t="shared" si="179"/>
        <v>0</v>
      </c>
      <c r="I811">
        <f t="shared" si="180"/>
        <v>0</v>
      </c>
      <c r="J811">
        <f t="shared" si="181"/>
        <v>0</v>
      </c>
      <c r="K811" s="4" t="e">
        <f t="shared" si="170"/>
        <v>#N/A</v>
      </c>
      <c r="L811" t="e">
        <f t="shared" si="171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2"/>
        <v>0</v>
      </c>
      <c r="B812">
        <f t="shared" si="173"/>
        <v>0</v>
      </c>
      <c r="C812">
        <f t="shared" si="174"/>
        <v>0</v>
      </c>
      <c r="D812">
        <f t="shared" si="175"/>
        <v>0</v>
      </c>
      <c r="E812" t="e">
        <f t="shared" si="176"/>
        <v>#N/A</v>
      </c>
      <c r="F812">
        <f t="shared" si="177"/>
        <v>0</v>
      </c>
      <c r="G812">
        <f t="shared" si="178"/>
        <v>0</v>
      </c>
      <c r="H812">
        <f t="shared" si="179"/>
        <v>0</v>
      </c>
      <c r="I812">
        <f t="shared" si="180"/>
        <v>0</v>
      </c>
      <c r="J812">
        <f t="shared" si="181"/>
        <v>0</v>
      </c>
      <c r="K812" s="4" t="e">
        <f t="shared" ref="K812:K875" si="184">IF(LEFT(B812,3)="DBM",0,VLOOKUP(E812,tabela,2,FALSE))</f>
        <v>#N/A</v>
      </c>
      <c r="L812" t="e">
        <f t="shared" ref="L812:L875" si="185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2"/>
        <v>0</v>
      </c>
      <c r="B813">
        <f t="shared" si="173"/>
        <v>0</v>
      </c>
      <c r="C813">
        <f t="shared" si="174"/>
        <v>0</v>
      </c>
      <c r="D813">
        <f t="shared" si="175"/>
        <v>0</v>
      </c>
      <c r="E813" t="e">
        <f t="shared" si="176"/>
        <v>#N/A</v>
      </c>
      <c r="F813">
        <f t="shared" si="177"/>
        <v>0</v>
      </c>
      <c r="G813">
        <f t="shared" si="178"/>
        <v>0</v>
      </c>
      <c r="H813">
        <f t="shared" si="179"/>
        <v>0</v>
      </c>
      <c r="I813">
        <f t="shared" si="180"/>
        <v>0</v>
      </c>
      <c r="J813">
        <f t="shared" si="181"/>
        <v>0</v>
      </c>
      <c r="K813" s="4" t="e">
        <f t="shared" si="184"/>
        <v>#N/A</v>
      </c>
      <c r="L813" t="e">
        <f t="shared" si="185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2"/>
        <v>0</v>
      </c>
      <c r="B814">
        <f t="shared" si="173"/>
        <v>0</v>
      </c>
      <c r="C814">
        <f t="shared" si="174"/>
        <v>0</v>
      </c>
      <c r="D814">
        <f t="shared" si="175"/>
        <v>0</v>
      </c>
      <c r="E814" t="e">
        <f t="shared" si="176"/>
        <v>#N/A</v>
      </c>
      <c r="F814">
        <f t="shared" si="177"/>
        <v>0</v>
      </c>
      <c r="G814">
        <f t="shared" si="178"/>
        <v>0</v>
      </c>
      <c r="H814">
        <f t="shared" si="179"/>
        <v>0</v>
      </c>
      <c r="I814">
        <f t="shared" si="180"/>
        <v>0</v>
      </c>
      <c r="J814">
        <f t="shared" si="181"/>
        <v>0</v>
      </c>
      <c r="K814" s="4" t="e">
        <f t="shared" si="184"/>
        <v>#N/A</v>
      </c>
      <c r="L814" t="e">
        <f t="shared" si="185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2"/>
        <v>0</v>
      </c>
      <c r="B815">
        <f t="shared" si="173"/>
        <v>0</v>
      </c>
      <c r="C815">
        <f t="shared" si="174"/>
        <v>0</v>
      </c>
      <c r="D815">
        <f t="shared" si="175"/>
        <v>0</v>
      </c>
      <c r="E815" t="e">
        <f t="shared" si="176"/>
        <v>#N/A</v>
      </c>
      <c r="F815">
        <f t="shared" si="177"/>
        <v>0</v>
      </c>
      <c r="G815">
        <f t="shared" si="178"/>
        <v>0</v>
      </c>
      <c r="H815">
        <f t="shared" si="179"/>
        <v>0</v>
      </c>
      <c r="I815">
        <f t="shared" si="180"/>
        <v>0</v>
      </c>
      <c r="J815">
        <f t="shared" si="181"/>
        <v>0</v>
      </c>
      <c r="K815" s="4" t="e">
        <f t="shared" si="184"/>
        <v>#N/A</v>
      </c>
      <c r="L815" t="e">
        <f t="shared" si="185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2"/>
        <v>0</v>
      </c>
      <c r="B816">
        <f t="shared" si="173"/>
        <v>0</v>
      </c>
      <c r="C816">
        <f t="shared" si="174"/>
        <v>0</v>
      </c>
      <c r="D816">
        <f t="shared" si="175"/>
        <v>0</v>
      </c>
      <c r="E816" t="e">
        <f t="shared" si="176"/>
        <v>#N/A</v>
      </c>
      <c r="F816">
        <f t="shared" si="177"/>
        <v>0</v>
      </c>
      <c r="G816">
        <f t="shared" si="178"/>
        <v>0</v>
      </c>
      <c r="H816">
        <f t="shared" si="179"/>
        <v>0</v>
      </c>
      <c r="I816">
        <f t="shared" si="180"/>
        <v>0</v>
      </c>
      <c r="J816">
        <f t="shared" si="181"/>
        <v>0</v>
      </c>
      <c r="K816" s="4" t="e">
        <f t="shared" si="184"/>
        <v>#N/A</v>
      </c>
      <c r="L816" t="e">
        <f t="shared" si="185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2"/>
        <v>0</v>
      </c>
      <c r="B817">
        <f t="shared" si="173"/>
        <v>0</v>
      </c>
      <c r="C817">
        <f t="shared" si="174"/>
        <v>0</v>
      </c>
      <c r="D817">
        <f t="shared" si="175"/>
        <v>0</v>
      </c>
      <c r="E817" t="e">
        <f t="shared" si="176"/>
        <v>#N/A</v>
      </c>
      <c r="F817">
        <f t="shared" si="177"/>
        <v>0</v>
      </c>
      <c r="G817">
        <f t="shared" si="178"/>
        <v>0</v>
      </c>
      <c r="H817">
        <f t="shared" si="179"/>
        <v>0</v>
      </c>
      <c r="I817">
        <f t="shared" si="180"/>
        <v>0</v>
      </c>
      <c r="J817">
        <f t="shared" si="181"/>
        <v>0</v>
      </c>
      <c r="K817" s="4" t="e">
        <f t="shared" si="184"/>
        <v>#N/A</v>
      </c>
      <c r="L817" t="e">
        <f t="shared" si="185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2"/>
        <v>0</v>
      </c>
      <c r="B818">
        <f t="shared" si="173"/>
        <v>0</v>
      </c>
      <c r="C818">
        <f t="shared" si="174"/>
        <v>0</v>
      </c>
      <c r="D818">
        <f t="shared" si="175"/>
        <v>0</v>
      </c>
      <c r="E818" t="e">
        <f t="shared" si="176"/>
        <v>#N/A</v>
      </c>
      <c r="F818">
        <f t="shared" si="177"/>
        <v>0</v>
      </c>
      <c r="G818">
        <f t="shared" si="178"/>
        <v>0</v>
      </c>
      <c r="H818">
        <f t="shared" si="179"/>
        <v>0</v>
      </c>
      <c r="I818">
        <f t="shared" si="180"/>
        <v>0</v>
      </c>
      <c r="J818">
        <f t="shared" si="181"/>
        <v>0</v>
      </c>
      <c r="K818" s="4" t="e">
        <f t="shared" si="184"/>
        <v>#N/A</v>
      </c>
      <c r="L818" t="e">
        <f t="shared" si="185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2"/>
        <v>0</v>
      </c>
      <c r="B819">
        <f t="shared" si="173"/>
        <v>0</v>
      </c>
      <c r="C819">
        <f t="shared" si="174"/>
        <v>0</v>
      </c>
      <c r="D819">
        <f t="shared" si="175"/>
        <v>0</v>
      </c>
      <c r="E819" t="e">
        <f t="shared" si="176"/>
        <v>#N/A</v>
      </c>
      <c r="F819">
        <f t="shared" si="177"/>
        <v>0</v>
      </c>
      <c r="G819">
        <f t="shared" si="178"/>
        <v>0</v>
      </c>
      <c r="H819">
        <f t="shared" si="179"/>
        <v>0</v>
      </c>
      <c r="I819">
        <f t="shared" si="180"/>
        <v>0</v>
      </c>
      <c r="J819">
        <f t="shared" si="181"/>
        <v>0</v>
      </c>
      <c r="K819" s="4" t="e">
        <f t="shared" si="184"/>
        <v>#N/A</v>
      </c>
      <c r="L819" t="e">
        <f t="shared" si="185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2"/>
        <v>0</v>
      </c>
      <c r="B820">
        <f t="shared" si="173"/>
        <v>0</v>
      </c>
      <c r="C820">
        <f t="shared" si="174"/>
        <v>0</v>
      </c>
      <c r="D820">
        <f t="shared" si="175"/>
        <v>0</v>
      </c>
      <c r="E820" t="e">
        <f t="shared" si="176"/>
        <v>#N/A</v>
      </c>
      <c r="F820">
        <f t="shared" si="177"/>
        <v>0</v>
      </c>
      <c r="G820">
        <f t="shared" si="178"/>
        <v>0</v>
      </c>
      <c r="H820">
        <f t="shared" si="179"/>
        <v>0</v>
      </c>
      <c r="I820">
        <f t="shared" si="180"/>
        <v>0</v>
      </c>
      <c r="J820">
        <f t="shared" si="181"/>
        <v>0</v>
      </c>
      <c r="K820" s="4" t="e">
        <f t="shared" si="184"/>
        <v>#N/A</v>
      </c>
      <c r="L820" t="e">
        <f t="shared" si="185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2"/>
        <v>0</v>
      </c>
      <c r="B821">
        <f t="shared" si="173"/>
        <v>0</v>
      </c>
      <c r="C821">
        <f t="shared" si="174"/>
        <v>0</v>
      </c>
      <c r="D821">
        <f t="shared" si="175"/>
        <v>0</v>
      </c>
      <c r="E821" t="e">
        <f t="shared" si="176"/>
        <v>#N/A</v>
      </c>
      <c r="F821">
        <f t="shared" si="177"/>
        <v>0</v>
      </c>
      <c r="G821">
        <f t="shared" si="178"/>
        <v>0</v>
      </c>
      <c r="H821">
        <f t="shared" si="179"/>
        <v>0</v>
      </c>
      <c r="I821">
        <f t="shared" si="180"/>
        <v>0</v>
      </c>
      <c r="J821">
        <f t="shared" si="181"/>
        <v>0</v>
      </c>
      <c r="K821" s="4" t="e">
        <f t="shared" si="184"/>
        <v>#N/A</v>
      </c>
      <c r="L821" t="e">
        <f t="shared" si="185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2"/>
        <v>0</v>
      </c>
      <c r="B822">
        <f t="shared" si="173"/>
        <v>0</v>
      </c>
      <c r="C822">
        <f t="shared" si="174"/>
        <v>0</v>
      </c>
      <c r="D822">
        <f t="shared" si="175"/>
        <v>0</v>
      </c>
      <c r="E822" t="e">
        <f t="shared" si="176"/>
        <v>#N/A</v>
      </c>
      <c r="F822">
        <f t="shared" si="177"/>
        <v>0</v>
      </c>
      <c r="G822">
        <f t="shared" si="178"/>
        <v>0</v>
      </c>
      <c r="H822">
        <f t="shared" si="179"/>
        <v>0</v>
      </c>
      <c r="I822">
        <f t="shared" si="180"/>
        <v>0</v>
      </c>
      <c r="J822">
        <f t="shared" si="181"/>
        <v>0</v>
      </c>
      <c r="K822" s="4" t="e">
        <f t="shared" si="184"/>
        <v>#N/A</v>
      </c>
      <c r="L822" t="e">
        <f t="shared" si="185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2"/>
        <v>0</v>
      </c>
      <c r="B823">
        <f t="shared" si="173"/>
        <v>0</v>
      </c>
      <c r="C823">
        <f t="shared" si="174"/>
        <v>0</v>
      </c>
      <c r="D823">
        <f t="shared" si="175"/>
        <v>0</v>
      </c>
      <c r="E823" t="e">
        <f t="shared" si="176"/>
        <v>#N/A</v>
      </c>
      <c r="F823">
        <f t="shared" si="177"/>
        <v>0</v>
      </c>
      <c r="G823">
        <f t="shared" si="178"/>
        <v>0</v>
      </c>
      <c r="H823">
        <f t="shared" si="179"/>
        <v>0</v>
      </c>
      <c r="I823">
        <f t="shared" si="180"/>
        <v>0</v>
      </c>
      <c r="J823">
        <f t="shared" si="181"/>
        <v>0</v>
      </c>
      <c r="K823" s="4" t="e">
        <f t="shared" si="184"/>
        <v>#N/A</v>
      </c>
      <c r="L823" t="e">
        <f t="shared" si="185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2"/>
        <v>0</v>
      </c>
      <c r="B824">
        <f t="shared" si="173"/>
        <v>0</v>
      </c>
      <c r="C824">
        <f t="shared" si="174"/>
        <v>0</v>
      </c>
      <c r="D824">
        <f t="shared" si="175"/>
        <v>0</v>
      </c>
      <c r="E824" t="e">
        <f t="shared" si="176"/>
        <v>#N/A</v>
      </c>
      <c r="F824">
        <f t="shared" si="177"/>
        <v>0</v>
      </c>
      <c r="G824">
        <f t="shared" si="178"/>
        <v>0</v>
      </c>
      <c r="H824">
        <f t="shared" si="179"/>
        <v>0</v>
      </c>
      <c r="I824">
        <f t="shared" si="180"/>
        <v>0</v>
      </c>
      <c r="J824">
        <f t="shared" si="181"/>
        <v>0</v>
      </c>
      <c r="K824" s="4" t="e">
        <f t="shared" si="184"/>
        <v>#N/A</v>
      </c>
      <c r="L824" t="e">
        <f t="shared" si="185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2"/>
        <v>0</v>
      </c>
      <c r="B825">
        <f t="shared" si="173"/>
        <v>0</v>
      </c>
      <c r="C825">
        <f t="shared" si="174"/>
        <v>0</v>
      </c>
      <c r="D825">
        <f t="shared" si="175"/>
        <v>0</v>
      </c>
      <c r="E825" t="e">
        <f t="shared" si="176"/>
        <v>#N/A</v>
      </c>
      <c r="F825">
        <f t="shared" si="177"/>
        <v>0</v>
      </c>
      <c r="G825">
        <f t="shared" si="178"/>
        <v>0</v>
      </c>
      <c r="H825">
        <f t="shared" si="179"/>
        <v>0</v>
      </c>
      <c r="I825">
        <f t="shared" si="180"/>
        <v>0</v>
      </c>
      <c r="J825">
        <f t="shared" si="181"/>
        <v>0</v>
      </c>
      <c r="K825" s="4" t="e">
        <f t="shared" si="184"/>
        <v>#N/A</v>
      </c>
      <c r="L825" t="e">
        <f t="shared" si="185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2"/>
        <v>0</v>
      </c>
      <c r="B826">
        <f t="shared" si="173"/>
        <v>0</v>
      </c>
      <c r="C826">
        <f t="shared" si="174"/>
        <v>0</v>
      </c>
      <c r="D826">
        <f t="shared" si="175"/>
        <v>0</v>
      </c>
      <c r="E826" t="e">
        <f t="shared" si="176"/>
        <v>#N/A</v>
      </c>
      <c r="F826">
        <f t="shared" si="177"/>
        <v>0</v>
      </c>
      <c r="G826">
        <f t="shared" si="178"/>
        <v>0</v>
      </c>
      <c r="H826">
        <f t="shared" si="179"/>
        <v>0</v>
      </c>
      <c r="I826">
        <f t="shared" si="180"/>
        <v>0</v>
      </c>
      <c r="J826">
        <f t="shared" si="181"/>
        <v>0</v>
      </c>
      <c r="K826" s="4" t="e">
        <f t="shared" si="184"/>
        <v>#N/A</v>
      </c>
      <c r="L826" t="e">
        <f t="shared" si="185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2"/>
        <v>0</v>
      </c>
      <c r="B827">
        <f t="shared" si="173"/>
        <v>0</v>
      </c>
      <c r="C827">
        <f t="shared" si="174"/>
        <v>0</v>
      </c>
      <c r="D827">
        <f t="shared" si="175"/>
        <v>0</v>
      </c>
      <c r="E827" t="e">
        <f t="shared" si="176"/>
        <v>#N/A</v>
      </c>
      <c r="F827">
        <f t="shared" si="177"/>
        <v>0</v>
      </c>
      <c r="G827">
        <f t="shared" si="178"/>
        <v>0</v>
      </c>
      <c r="H827">
        <f t="shared" si="179"/>
        <v>0</v>
      </c>
      <c r="I827">
        <f t="shared" si="180"/>
        <v>0</v>
      </c>
      <c r="J827">
        <f t="shared" si="181"/>
        <v>0</v>
      </c>
      <c r="K827" s="4" t="e">
        <f t="shared" si="184"/>
        <v>#N/A</v>
      </c>
      <c r="L827" t="e">
        <f t="shared" si="185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2"/>
        <v>0</v>
      </c>
      <c r="B828">
        <f t="shared" si="173"/>
        <v>0</v>
      </c>
      <c r="C828">
        <f t="shared" si="174"/>
        <v>0</v>
      </c>
      <c r="D828">
        <f t="shared" si="175"/>
        <v>0</v>
      </c>
      <c r="E828" t="e">
        <f t="shared" si="176"/>
        <v>#N/A</v>
      </c>
      <c r="F828">
        <f t="shared" si="177"/>
        <v>0</v>
      </c>
      <c r="G828">
        <f t="shared" si="178"/>
        <v>0</v>
      </c>
      <c r="H828">
        <f t="shared" si="179"/>
        <v>0</v>
      </c>
      <c r="I828">
        <f t="shared" si="180"/>
        <v>0</v>
      </c>
      <c r="J828">
        <f t="shared" si="181"/>
        <v>0</v>
      </c>
      <c r="K828" s="4" t="e">
        <f t="shared" si="184"/>
        <v>#N/A</v>
      </c>
      <c r="L828" t="e">
        <f t="shared" si="185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2"/>
        <v>0</v>
      </c>
      <c r="B829">
        <f t="shared" si="173"/>
        <v>0</v>
      </c>
      <c r="C829">
        <f t="shared" si="174"/>
        <v>0</v>
      </c>
      <c r="D829">
        <f t="shared" si="175"/>
        <v>0</v>
      </c>
      <c r="E829" t="e">
        <f t="shared" si="176"/>
        <v>#N/A</v>
      </c>
      <c r="F829">
        <f t="shared" si="177"/>
        <v>0</v>
      </c>
      <c r="G829">
        <f t="shared" si="178"/>
        <v>0</v>
      </c>
      <c r="H829">
        <f t="shared" si="179"/>
        <v>0</v>
      </c>
      <c r="I829">
        <f t="shared" si="180"/>
        <v>0</v>
      </c>
      <c r="J829">
        <f t="shared" si="181"/>
        <v>0</v>
      </c>
      <c r="K829" s="4" t="e">
        <f t="shared" si="184"/>
        <v>#N/A</v>
      </c>
      <c r="L829" t="e">
        <f t="shared" si="185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2"/>
        <v>0</v>
      </c>
      <c r="B830">
        <f t="shared" si="173"/>
        <v>0</v>
      </c>
      <c r="C830">
        <f t="shared" si="174"/>
        <v>0</v>
      </c>
      <c r="D830">
        <f t="shared" si="175"/>
        <v>0</v>
      </c>
      <c r="E830" t="e">
        <f t="shared" si="176"/>
        <v>#N/A</v>
      </c>
      <c r="F830">
        <f t="shared" si="177"/>
        <v>0</v>
      </c>
      <c r="G830">
        <f t="shared" si="178"/>
        <v>0</v>
      </c>
      <c r="H830">
        <f t="shared" si="179"/>
        <v>0</v>
      </c>
      <c r="I830">
        <f t="shared" si="180"/>
        <v>0</v>
      </c>
      <c r="J830">
        <f t="shared" si="181"/>
        <v>0</v>
      </c>
      <c r="K830" s="4" t="e">
        <f t="shared" si="184"/>
        <v>#N/A</v>
      </c>
      <c r="L830" t="e">
        <f t="shared" si="185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2"/>
        <v>0</v>
      </c>
      <c r="B831">
        <f t="shared" si="173"/>
        <v>0</v>
      </c>
      <c r="C831">
        <f t="shared" si="174"/>
        <v>0</v>
      </c>
      <c r="D831">
        <f t="shared" si="175"/>
        <v>0</v>
      </c>
      <c r="E831" t="e">
        <f t="shared" si="176"/>
        <v>#N/A</v>
      </c>
      <c r="F831">
        <f t="shared" si="177"/>
        <v>0</v>
      </c>
      <c r="G831">
        <f t="shared" si="178"/>
        <v>0</v>
      </c>
      <c r="H831">
        <f t="shared" si="179"/>
        <v>0</v>
      </c>
      <c r="I831">
        <f t="shared" si="180"/>
        <v>0</v>
      </c>
      <c r="J831">
        <f t="shared" si="181"/>
        <v>0</v>
      </c>
      <c r="K831" s="4" t="e">
        <f t="shared" si="184"/>
        <v>#N/A</v>
      </c>
      <c r="L831" t="e">
        <f t="shared" si="185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2"/>
        <v>0</v>
      </c>
      <c r="B832">
        <f t="shared" si="173"/>
        <v>0</v>
      </c>
      <c r="C832">
        <f t="shared" si="174"/>
        <v>0</v>
      </c>
      <c r="D832">
        <f t="shared" si="175"/>
        <v>0</v>
      </c>
      <c r="E832" t="e">
        <f t="shared" si="176"/>
        <v>#N/A</v>
      </c>
      <c r="F832">
        <f t="shared" si="177"/>
        <v>0</v>
      </c>
      <c r="G832">
        <f t="shared" si="178"/>
        <v>0</v>
      </c>
      <c r="H832">
        <f t="shared" si="179"/>
        <v>0</v>
      </c>
      <c r="I832">
        <f t="shared" si="180"/>
        <v>0</v>
      </c>
      <c r="J832">
        <f t="shared" si="181"/>
        <v>0</v>
      </c>
      <c r="K832" s="4" t="e">
        <f t="shared" si="184"/>
        <v>#N/A</v>
      </c>
      <c r="L832" t="e">
        <f t="shared" si="185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2"/>
        <v>0</v>
      </c>
      <c r="B833">
        <f t="shared" si="173"/>
        <v>0</v>
      </c>
      <c r="C833">
        <f t="shared" si="174"/>
        <v>0</v>
      </c>
      <c r="D833">
        <f t="shared" si="175"/>
        <v>0</v>
      </c>
      <c r="E833" t="e">
        <f t="shared" si="176"/>
        <v>#N/A</v>
      </c>
      <c r="F833">
        <f t="shared" si="177"/>
        <v>0</v>
      </c>
      <c r="G833">
        <f t="shared" si="178"/>
        <v>0</v>
      </c>
      <c r="H833">
        <f t="shared" si="179"/>
        <v>0</v>
      </c>
      <c r="I833">
        <f t="shared" si="180"/>
        <v>0</v>
      </c>
      <c r="J833">
        <f t="shared" si="181"/>
        <v>0</v>
      </c>
      <c r="K833" s="4" t="e">
        <f t="shared" si="184"/>
        <v>#N/A</v>
      </c>
      <c r="L833" t="e">
        <f t="shared" si="185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6">bd_campaign</f>
        <v>0</v>
      </c>
      <c r="B834">
        <f t="shared" ref="B834:B897" si="187">bd_site</f>
        <v>0</v>
      </c>
      <c r="C834">
        <f t="shared" ref="C834:C897" si="188">bd_placement</f>
        <v>0</v>
      </c>
      <c r="D834">
        <f t="shared" ref="D834:D897" si="189">bd_placementID</f>
        <v>0</v>
      </c>
      <c r="E834" t="e">
        <f t="shared" ref="E834:E897" si="190">VLOOKUP(CONCATENATE(bd_adtype,"_",bd_creativetype),tabela,2,FALSE)</f>
        <v>#N/A</v>
      </c>
      <c r="F834">
        <f t="shared" ref="F834:F897" si="191">bd_ad</f>
        <v>0</v>
      </c>
      <c r="G834">
        <f t="shared" ref="G834:G897" si="192">bd_adid</f>
        <v>0</v>
      </c>
      <c r="H834">
        <f t="shared" ref="H834:H897" si="193">bd_creativetype</f>
        <v>0</v>
      </c>
      <c r="I834">
        <f t="shared" ref="I834:I897" si="194">bd_impression</f>
        <v>0</v>
      </c>
      <c r="J834">
        <f t="shared" ref="J834:J897" si="195">bd_clicks</f>
        <v>0</v>
      </c>
      <c r="K834" s="4" t="e">
        <f t="shared" si="184"/>
        <v>#N/A</v>
      </c>
      <c r="L834" t="e">
        <f t="shared" si="185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6"/>
        <v>0</v>
      </c>
      <c r="B835">
        <f t="shared" si="187"/>
        <v>0</v>
      </c>
      <c r="C835">
        <f t="shared" si="188"/>
        <v>0</v>
      </c>
      <c r="D835">
        <f t="shared" si="189"/>
        <v>0</v>
      </c>
      <c r="E835" t="e">
        <f t="shared" si="190"/>
        <v>#N/A</v>
      </c>
      <c r="F835">
        <f t="shared" si="191"/>
        <v>0</v>
      </c>
      <c r="G835">
        <f t="shared" si="192"/>
        <v>0</v>
      </c>
      <c r="H835">
        <f t="shared" si="193"/>
        <v>0</v>
      </c>
      <c r="I835">
        <f t="shared" si="194"/>
        <v>0</v>
      </c>
      <c r="J835">
        <f t="shared" si="195"/>
        <v>0</v>
      </c>
      <c r="K835" s="4" t="e">
        <f t="shared" si="184"/>
        <v>#N/A</v>
      </c>
      <c r="L835" t="e">
        <f t="shared" si="185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6"/>
        <v>0</v>
      </c>
      <c r="B836">
        <f t="shared" si="187"/>
        <v>0</v>
      </c>
      <c r="C836">
        <f t="shared" si="188"/>
        <v>0</v>
      </c>
      <c r="D836">
        <f t="shared" si="189"/>
        <v>0</v>
      </c>
      <c r="E836" t="e">
        <f t="shared" si="190"/>
        <v>#N/A</v>
      </c>
      <c r="F836">
        <f t="shared" si="191"/>
        <v>0</v>
      </c>
      <c r="G836">
        <f t="shared" si="192"/>
        <v>0</v>
      </c>
      <c r="H836">
        <f t="shared" si="193"/>
        <v>0</v>
      </c>
      <c r="I836">
        <f t="shared" si="194"/>
        <v>0</v>
      </c>
      <c r="J836">
        <f t="shared" si="195"/>
        <v>0</v>
      </c>
      <c r="K836" s="4" t="e">
        <f t="shared" si="184"/>
        <v>#N/A</v>
      </c>
      <c r="L836" t="e">
        <f t="shared" si="185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6"/>
        <v>0</v>
      </c>
      <c r="B837">
        <f t="shared" si="187"/>
        <v>0</v>
      </c>
      <c r="C837">
        <f t="shared" si="188"/>
        <v>0</v>
      </c>
      <c r="D837">
        <f t="shared" si="189"/>
        <v>0</v>
      </c>
      <c r="E837" t="e">
        <f t="shared" si="190"/>
        <v>#N/A</v>
      </c>
      <c r="F837">
        <f t="shared" si="191"/>
        <v>0</v>
      </c>
      <c r="G837">
        <f t="shared" si="192"/>
        <v>0</v>
      </c>
      <c r="H837">
        <f t="shared" si="193"/>
        <v>0</v>
      </c>
      <c r="I837">
        <f t="shared" si="194"/>
        <v>0</v>
      </c>
      <c r="J837">
        <f t="shared" si="195"/>
        <v>0</v>
      </c>
      <c r="K837" s="4" t="e">
        <f t="shared" si="184"/>
        <v>#N/A</v>
      </c>
      <c r="L837" t="e">
        <f t="shared" si="185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6"/>
        <v>0</v>
      </c>
      <c r="B838">
        <f t="shared" si="187"/>
        <v>0</v>
      </c>
      <c r="C838">
        <f t="shared" si="188"/>
        <v>0</v>
      </c>
      <c r="D838">
        <f t="shared" si="189"/>
        <v>0</v>
      </c>
      <c r="E838" t="e">
        <f t="shared" si="190"/>
        <v>#N/A</v>
      </c>
      <c r="F838">
        <f t="shared" si="191"/>
        <v>0</v>
      </c>
      <c r="G838">
        <f t="shared" si="192"/>
        <v>0</v>
      </c>
      <c r="H838">
        <f t="shared" si="193"/>
        <v>0</v>
      </c>
      <c r="I838">
        <f t="shared" si="194"/>
        <v>0</v>
      </c>
      <c r="J838">
        <f t="shared" si="195"/>
        <v>0</v>
      </c>
      <c r="K838" s="4" t="e">
        <f t="shared" si="184"/>
        <v>#N/A</v>
      </c>
      <c r="L838" t="e">
        <f t="shared" si="185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6"/>
        <v>0</v>
      </c>
      <c r="B839">
        <f t="shared" si="187"/>
        <v>0</v>
      </c>
      <c r="C839">
        <f t="shared" si="188"/>
        <v>0</v>
      </c>
      <c r="D839">
        <f t="shared" si="189"/>
        <v>0</v>
      </c>
      <c r="E839" t="e">
        <f t="shared" si="190"/>
        <v>#N/A</v>
      </c>
      <c r="F839">
        <f t="shared" si="191"/>
        <v>0</v>
      </c>
      <c r="G839">
        <f t="shared" si="192"/>
        <v>0</v>
      </c>
      <c r="H839">
        <f t="shared" si="193"/>
        <v>0</v>
      </c>
      <c r="I839">
        <f t="shared" si="194"/>
        <v>0</v>
      </c>
      <c r="J839">
        <f t="shared" si="195"/>
        <v>0</v>
      </c>
      <c r="K839" s="4" t="e">
        <f t="shared" si="184"/>
        <v>#N/A</v>
      </c>
      <c r="L839" t="e">
        <f t="shared" si="185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6"/>
        <v>0</v>
      </c>
      <c r="B840">
        <f t="shared" si="187"/>
        <v>0</v>
      </c>
      <c r="C840">
        <f t="shared" si="188"/>
        <v>0</v>
      </c>
      <c r="D840">
        <f t="shared" si="189"/>
        <v>0</v>
      </c>
      <c r="E840" t="e">
        <f t="shared" si="190"/>
        <v>#N/A</v>
      </c>
      <c r="F840">
        <f t="shared" si="191"/>
        <v>0</v>
      </c>
      <c r="G840">
        <f t="shared" si="192"/>
        <v>0</v>
      </c>
      <c r="H840">
        <f t="shared" si="193"/>
        <v>0</v>
      </c>
      <c r="I840">
        <f t="shared" si="194"/>
        <v>0</v>
      </c>
      <c r="J840">
        <f t="shared" si="195"/>
        <v>0</v>
      </c>
      <c r="K840" s="4" t="e">
        <f t="shared" si="184"/>
        <v>#N/A</v>
      </c>
      <c r="L840" t="e">
        <f t="shared" si="185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6"/>
        <v>0</v>
      </c>
      <c r="B841">
        <f t="shared" si="187"/>
        <v>0</v>
      </c>
      <c r="C841">
        <f t="shared" si="188"/>
        <v>0</v>
      </c>
      <c r="D841">
        <f t="shared" si="189"/>
        <v>0</v>
      </c>
      <c r="E841" t="e">
        <f t="shared" si="190"/>
        <v>#N/A</v>
      </c>
      <c r="F841">
        <f t="shared" si="191"/>
        <v>0</v>
      </c>
      <c r="G841">
        <f t="shared" si="192"/>
        <v>0</v>
      </c>
      <c r="H841">
        <f t="shared" si="193"/>
        <v>0</v>
      </c>
      <c r="I841">
        <f t="shared" si="194"/>
        <v>0</v>
      </c>
      <c r="J841">
        <f t="shared" si="195"/>
        <v>0</v>
      </c>
      <c r="K841" s="4" t="e">
        <f t="shared" si="184"/>
        <v>#N/A</v>
      </c>
      <c r="L841" t="e">
        <f t="shared" si="185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6"/>
        <v>0</v>
      </c>
      <c r="B842">
        <f t="shared" si="187"/>
        <v>0</v>
      </c>
      <c r="C842">
        <f t="shared" si="188"/>
        <v>0</v>
      </c>
      <c r="D842">
        <f t="shared" si="189"/>
        <v>0</v>
      </c>
      <c r="E842" t="e">
        <f t="shared" si="190"/>
        <v>#N/A</v>
      </c>
      <c r="F842">
        <f t="shared" si="191"/>
        <v>0</v>
      </c>
      <c r="G842">
        <f t="shared" si="192"/>
        <v>0</v>
      </c>
      <c r="H842">
        <f t="shared" si="193"/>
        <v>0</v>
      </c>
      <c r="I842">
        <f t="shared" si="194"/>
        <v>0</v>
      </c>
      <c r="J842">
        <f t="shared" si="195"/>
        <v>0</v>
      </c>
      <c r="K842" s="4" t="e">
        <f t="shared" si="184"/>
        <v>#N/A</v>
      </c>
      <c r="L842" t="e">
        <f t="shared" si="185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6"/>
        <v>0</v>
      </c>
      <c r="B843">
        <f t="shared" si="187"/>
        <v>0</v>
      </c>
      <c r="C843">
        <f t="shared" si="188"/>
        <v>0</v>
      </c>
      <c r="D843">
        <f t="shared" si="189"/>
        <v>0</v>
      </c>
      <c r="E843" t="e">
        <f t="shared" si="190"/>
        <v>#N/A</v>
      </c>
      <c r="F843">
        <f t="shared" si="191"/>
        <v>0</v>
      </c>
      <c r="G843">
        <f t="shared" si="192"/>
        <v>0</v>
      </c>
      <c r="H843">
        <f t="shared" si="193"/>
        <v>0</v>
      </c>
      <c r="I843">
        <f t="shared" si="194"/>
        <v>0</v>
      </c>
      <c r="J843">
        <f t="shared" si="195"/>
        <v>0</v>
      </c>
      <c r="K843" s="4" t="e">
        <f t="shared" si="184"/>
        <v>#N/A</v>
      </c>
      <c r="L843" t="e">
        <f t="shared" si="185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6"/>
        <v>0</v>
      </c>
      <c r="B844">
        <f t="shared" si="187"/>
        <v>0</v>
      </c>
      <c r="C844">
        <f t="shared" si="188"/>
        <v>0</v>
      </c>
      <c r="D844">
        <f t="shared" si="189"/>
        <v>0</v>
      </c>
      <c r="E844" t="e">
        <f t="shared" si="190"/>
        <v>#N/A</v>
      </c>
      <c r="F844">
        <f t="shared" si="191"/>
        <v>0</v>
      </c>
      <c r="G844">
        <f t="shared" si="192"/>
        <v>0</v>
      </c>
      <c r="H844">
        <f t="shared" si="193"/>
        <v>0</v>
      </c>
      <c r="I844">
        <f t="shared" si="194"/>
        <v>0</v>
      </c>
      <c r="J844">
        <f t="shared" si="195"/>
        <v>0</v>
      </c>
      <c r="K844" s="4" t="e">
        <f t="shared" si="184"/>
        <v>#N/A</v>
      </c>
      <c r="L844" t="e">
        <f t="shared" si="185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6"/>
        <v>0</v>
      </c>
      <c r="B845">
        <f t="shared" si="187"/>
        <v>0</v>
      </c>
      <c r="C845">
        <f t="shared" si="188"/>
        <v>0</v>
      </c>
      <c r="D845">
        <f t="shared" si="189"/>
        <v>0</v>
      </c>
      <c r="E845" t="e">
        <f t="shared" si="190"/>
        <v>#N/A</v>
      </c>
      <c r="F845">
        <f t="shared" si="191"/>
        <v>0</v>
      </c>
      <c r="G845">
        <f t="shared" si="192"/>
        <v>0</v>
      </c>
      <c r="H845">
        <f t="shared" si="193"/>
        <v>0</v>
      </c>
      <c r="I845">
        <f t="shared" si="194"/>
        <v>0</v>
      </c>
      <c r="J845">
        <f t="shared" si="195"/>
        <v>0</v>
      </c>
      <c r="K845" s="4" t="e">
        <f t="shared" si="184"/>
        <v>#N/A</v>
      </c>
      <c r="L845" t="e">
        <f t="shared" si="185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6"/>
        <v>0</v>
      </c>
      <c r="B846">
        <f t="shared" si="187"/>
        <v>0</v>
      </c>
      <c r="C846">
        <f t="shared" si="188"/>
        <v>0</v>
      </c>
      <c r="D846">
        <f t="shared" si="189"/>
        <v>0</v>
      </c>
      <c r="E846" t="e">
        <f t="shared" si="190"/>
        <v>#N/A</v>
      </c>
      <c r="F846">
        <f t="shared" si="191"/>
        <v>0</v>
      </c>
      <c r="G846">
        <f t="shared" si="192"/>
        <v>0</v>
      </c>
      <c r="H846">
        <f t="shared" si="193"/>
        <v>0</v>
      </c>
      <c r="I846">
        <f t="shared" si="194"/>
        <v>0</v>
      </c>
      <c r="J846">
        <f t="shared" si="195"/>
        <v>0</v>
      </c>
      <c r="K846" s="4" t="e">
        <f t="shared" si="184"/>
        <v>#N/A</v>
      </c>
      <c r="L846" t="e">
        <f t="shared" si="185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6"/>
        <v>0</v>
      </c>
      <c r="B847">
        <f t="shared" si="187"/>
        <v>0</v>
      </c>
      <c r="C847">
        <f t="shared" si="188"/>
        <v>0</v>
      </c>
      <c r="D847">
        <f t="shared" si="189"/>
        <v>0</v>
      </c>
      <c r="E847" t="e">
        <f t="shared" si="190"/>
        <v>#N/A</v>
      </c>
      <c r="F847">
        <f t="shared" si="191"/>
        <v>0</v>
      </c>
      <c r="G847">
        <f t="shared" si="192"/>
        <v>0</v>
      </c>
      <c r="H847">
        <f t="shared" si="193"/>
        <v>0</v>
      </c>
      <c r="I847">
        <f t="shared" si="194"/>
        <v>0</v>
      </c>
      <c r="J847">
        <f t="shared" si="195"/>
        <v>0</v>
      </c>
      <c r="K847" s="4" t="e">
        <f t="shared" si="184"/>
        <v>#N/A</v>
      </c>
      <c r="L847" t="e">
        <f t="shared" si="185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6"/>
        <v>0</v>
      </c>
      <c r="B848">
        <f t="shared" si="187"/>
        <v>0</v>
      </c>
      <c r="C848">
        <f t="shared" si="188"/>
        <v>0</v>
      </c>
      <c r="D848">
        <f t="shared" si="189"/>
        <v>0</v>
      </c>
      <c r="E848" t="e">
        <f t="shared" si="190"/>
        <v>#N/A</v>
      </c>
      <c r="F848">
        <f t="shared" si="191"/>
        <v>0</v>
      </c>
      <c r="G848">
        <f t="shared" si="192"/>
        <v>0</v>
      </c>
      <c r="H848">
        <f t="shared" si="193"/>
        <v>0</v>
      </c>
      <c r="I848">
        <f t="shared" si="194"/>
        <v>0</v>
      </c>
      <c r="J848">
        <f t="shared" si="195"/>
        <v>0</v>
      </c>
      <c r="K848" s="4" t="e">
        <f t="shared" si="184"/>
        <v>#N/A</v>
      </c>
      <c r="L848" t="e">
        <f t="shared" si="185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6"/>
        <v>0</v>
      </c>
      <c r="B849">
        <f t="shared" si="187"/>
        <v>0</v>
      </c>
      <c r="C849">
        <f t="shared" si="188"/>
        <v>0</v>
      </c>
      <c r="D849">
        <f t="shared" si="189"/>
        <v>0</v>
      </c>
      <c r="E849" t="e">
        <f t="shared" si="190"/>
        <v>#N/A</v>
      </c>
      <c r="F849">
        <f t="shared" si="191"/>
        <v>0</v>
      </c>
      <c r="G849">
        <f t="shared" si="192"/>
        <v>0</v>
      </c>
      <c r="H849">
        <f t="shared" si="193"/>
        <v>0</v>
      </c>
      <c r="I849">
        <f t="shared" si="194"/>
        <v>0</v>
      </c>
      <c r="J849">
        <f t="shared" si="195"/>
        <v>0</v>
      </c>
      <c r="K849" s="4" t="e">
        <f t="shared" si="184"/>
        <v>#N/A</v>
      </c>
      <c r="L849" t="e">
        <f t="shared" si="185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6"/>
        <v>0</v>
      </c>
      <c r="B850">
        <f t="shared" si="187"/>
        <v>0</v>
      </c>
      <c r="C850">
        <f t="shared" si="188"/>
        <v>0</v>
      </c>
      <c r="D850">
        <f t="shared" si="189"/>
        <v>0</v>
      </c>
      <c r="E850" t="e">
        <f t="shared" si="190"/>
        <v>#N/A</v>
      </c>
      <c r="F850">
        <f t="shared" si="191"/>
        <v>0</v>
      </c>
      <c r="G850">
        <f t="shared" si="192"/>
        <v>0</v>
      </c>
      <c r="H850">
        <f t="shared" si="193"/>
        <v>0</v>
      </c>
      <c r="I850">
        <f t="shared" si="194"/>
        <v>0</v>
      </c>
      <c r="J850">
        <f t="shared" si="195"/>
        <v>0</v>
      </c>
      <c r="K850" s="4" t="e">
        <f t="shared" si="184"/>
        <v>#N/A</v>
      </c>
      <c r="L850" t="e">
        <f t="shared" si="185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6"/>
        <v>0</v>
      </c>
      <c r="B851">
        <f t="shared" si="187"/>
        <v>0</v>
      </c>
      <c r="C851">
        <f t="shared" si="188"/>
        <v>0</v>
      </c>
      <c r="D851">
        <f t="shared" si="189"/>
        <v>0</v>
      </c>
      <c r="E851" t="e">
        <f t="shared" si="190"/>
        <v>#N/A</v>
      </c>
      <c r="F851">
        <f t="shared" si="191"/>
        <v>0</v>
      </c>
      <c r="G851">
        <f t="shared" si="192"/>
        <v>0</v>
      </c>
      <c r="H851">
        <f t="shared" si="193"/>
        <v>0</v>
      </c>
      <c r="I851">
        <f t="shared" si="194"/>
        <v>0</v>
      </c>
      <c r="J851">
        <f t="shared" si="195"/>
        <v>0</v>
      </c>
      <c r="K851" s="4" t="e">
        <f t="shared" si="184"/>
        <v>#N/A</v>
      </c>
      <c r="L851" t="e">
        <f t="shared" si="185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6"/>
        <v>0</v>
      </c>
      <c r="B852">
        <f t="shared" si="187"/>
        <v>0</v>
      </c>
      <c r="C852">
        <f t="shared" si="188"/>
        <v>0</v>
      </c>
      <c r="D852">
        <f t="shared" si="189"/>
        <v>0</v>
      </c>
      <c r="E852" t="e">
        <f t="shared" si="190"/>
        <v>#N/A</v>
      </c>
      <c r="F852">
        <f t="shared" si="191"/>
        <v>0</v>
      </c>
      <c r="G852">
        <f t="shared" si="192"/>
        <v>0</v>
      </c>
      <c r="H852">
        <f t="shared" si="193"/>
        <v>0</v>
      </c>
      <c r="I852">
        <f t="shared" si="194"/>
        <v>0</v>
      </c>
      <c r="J852">
        <f t="shared" si="195"/>
        <v>0</v>
      </c>
      <c r="K852" s="4" t="e">
        <f t="shared" si="184"/>
        <v>#N/A</v>
      </c>
      <c r="L852" t="e">
        <f t="shared" si="185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6"/>
        <v>0</v>
      </c>
      <c r="B853">
        <f t="shared" si="187"/>
        <v>0</v>
      </c>
      <c r="C853">
        <f t="shared" si="188"/>
        <v>0</v>
      </c>
      <c r="D853">
        <f t="shared" si="189"/>
        <v>0</v>
      </c>
      <c r="E853" t="e">
        <f t="shared" si="190"/>
        <v>#N/A</v>
      </c>
      <c r="F853">
        <f t="shared" si="191"/>
        <v>0</v>
      </c>
      <c r="G853">
        <f t="shared" si="192"/>
        <v>0</v>
      </c>
      <c r="H853">
        <f t="shared" si="193"/>
        <v>0</v>
      </c>
      <c r="I853">
        <f t="shared" si="194"/>
        <v>0</v>
      </c>
      <c r="J853">
        <f t="shared" si="195"/>
        <v>0</v>
      </c>
      <c r="K853" s="4" t="e">
        <f t="shared" si="184"/>
        <v>#N/A</v>
      </c>
      <c r="L853" t="e">
        <f t="shared" si="185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6"/>
        <v>0</v>
      </c>
      <c r="B854">
        <f t="shared" si="187"/>
        <v>0</v>
      </c>
      <c r="C854">
        <f t="shared" si="188"/>
        <v>0</v>
      </c>
      <c r="D854">
        <f t="shared" si="189"/>
        <v>0</v>
      </c>
      <c r="E854" t="e">
        <f t="shared" si="190"/>
        <v>#N/A</v>
      </c>
      <c r="F854">
        <f t="shared" si="191"/>
        <v>0</v>
      </c>
      <c r="G854">
        <f t="shared" si="192"/>
        <v>0</v>
      </c>
      <c r="H854">
        <f t="shared" si="193"/>
        <v>0</v>
      </c>
      <c r="I854">
        <f t="shared" si="194"/>
        <v>0</v>
      </c>
      <c r="J854">
        <f t="shared" si="195"/>
        <v>0</v>
      </c>
      <c r="K854" s="4" t="e">
        <f t="shared" si="184"/>
        <v>#N/A</v>
      </c>
      <c r="L854" t="e">
        <f t="shared" si="185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6"/>
        <v>0</v>
      </c>
      <c r="B855">
        <f t="shared" si="187"/>
        <v>0</v>
      </c>
      <c r="C855">
        <f t="shared" si="188"/>
        <v>0</v>
      </c>
      <c r="D855">
        <f t="shared" si="189"/>
        <v>0</v>
      </c>
      <c r="E855" t="e">
        <f t="shared" si="190"/>
        <v>#N/A</v>
      </c>
      <c r="F855">
        <f t="shared" si="191"/>
        <v>0</v>
      </c>
      <c r="G855">
        <f t="shared" si="192"/>
        <v>0</v>
      </c>
      <c r="H855">
        <f t="shared" si="193"/>
        <v>0</v>
      </c>
      <c r="I855">
        <f t="shared" si="194"/>
        <v>0</v>
      </c>
      <c r="J855">
        <f t="shared" si="195"/>
        <v>0</v>
      </c>
      <c r="K855" s="4" t="e">
        <f t="shared" si="184"/>
        <v>#N/A</v>
      </c>
      <c r="L855" t="e">
        <f t="shared" si="185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6"/>
        <v>0</v>
      </c>
      <c r="B856">
        <f t="shared" si="187"/>
        <v>0</v>
      </c>
      <c r="C856">
        <f t="shared" si="188"/>
        <v>0</v>
      </c>
      <c r="D856">
        <f t="shared" si="189"/>
        <v>0</v>
      </c>
      <c r="E856" t="e">
        <f t="shared" si="190"/>
        <v>#N/A</v>
      </c>
      <c r="F856">
        <f t="shared" si="191"/>
        <v>0</v>
      </c>
      <c r="G856">
        <f t="shared" si="192"/>
        <v>0</v>
      </c>
      <c r="H856">
        <f t="shared" si="193"/>
        <v>0</v>
      </c>
      <c r="I856">
        <f t="shared" si="194"/>
        <v>0</v>
      </c>
      <c r="J856">
        <f t="shared" si="195"/>
        <v>0</v>
      </c>
      <c r="K856" s="4" t="e">
        <f t="shared" si="184"/>
        <v>#N/A</v>
      </c>
      <c r="L856" t="e">
        <f t="shared" si="185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6"/>
        <v>0</v>
      </c>
      <c r="B857">
        <f t="shared" si="187"/>
        <v>0</v>
      </c>
      <c r="C857">
        <f t="shared" si="188"/>
        <v>0</v>
      </c>
      <c r="D857">
        <f t="shared" si="189"/>
        <v>0</v>
      </c>
      <c r="E857" t="e">
        <f t="shared" si="190"/>
        <v>#N/A</v>
      </c>
      <c r="F857">
        <f t="shared" si="191"/>
        <v>0</v>
      </c>
      <c r="G857">
        <f t="shared" si="192"/>
        <v>0</v>
      </c>
      <c r="H857">
        <f t="shared" si="193"/>
        <v>0</v>
      </c>
      <c r="I857">
        <f t="shared" si="194"/>
        <v>0</v>
      </c>
      <c r="J857">
        <f t="shared" si="195"/>
        <v>0</v>
      </c>
      <c r="K857" s="4" t="e">
        <f t="shared" si="184"/>
        <v>#N/A</v>
      </c>
      <c r="L857" t="e">
        <f t="shared" si="185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6"/>
        <v>0</v>
      </c>
      <c r="B858">
        <f t="shared" si="187"/>
        <v>0</v>
      </c>
      <c r="C858">
        <f t="shared" si="188"/>
        <v>0</v>
      </c>
      <c r="D858">
        <f t="shared" si="189"/>
        <v>0</v>
      </c>
      <c r="E858" t="e">
        <f t="shared" si="190"/>
        <v>#N/A</v>
      </c>
      <c r="F858">
        <f t="shared" si="191"/>
        <v>0</v>
      </c>
      <c r="G858">
        <f t="shared" si="192"/>
        <v>0</v>
      </c>
      <c r="H858">
        <f t="shared" si="193"/>
        <v>0</v>
      </c>
      <c r="I858">
        <f t="shared" si="194"/>
        <v>0</v>
      </c>
      <c r="J858">
        <f t="shared" si="195"/>
        <v>0</v>
      </c>
      <c r="K858" s="4" t="e">
        <f t="shared" si="184"/>
        <v>#N/A</v>
      </c>
      <c r="L858" t="e">
        <f t="shared" si="185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6"/>
        <v>0</v>
      </c>
      <c r="B859">
        <f t="shared" si="187"/>
        <v>0</v>
      </c>
      <c r="C859">
        <f t="shared" si="188"/>
        <v>0</v>
      </c>
      <c r="D859">
        <f t="shared" si="189"/>
        <v>0</v>
      </c>
      <c r="E859" t="e">
        <f t="shared" si="190"/>
        <v>#N/A</v>
      </c>
      <c r="F859">
        <f t="shared" si="191"/>
        <v>0</v>
      </c>
      <c r="G859">
        <f t="shared" si="192"/>
        <v>0</v>
      </c>
      <c r="H859">
        <f t="shared" si="193"/>
        <v>0</v>
      </c>
      <c r="I859">
        <f t="shared" si="194"/>
        <v>0</v>
      </c>
      <c r="J859">
        <f t="shared" si="195"/>
        <v>0</v>
      </c>
      <c r="K859" s="4" t="e">
        <f t="shared" si="184"/>
        <v>#N/A</v>
      </c>
      <c r="L859" t="e">
        <f t="shared" si="185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6"/>
        <v>0</v>
      </c>
      <c r="B860">
        <f t="shared" si="187"/>
        <v>0</v>
      </c>
      <c r="C860">
        <f t="shared" si="188"/>
        <v>0</v>
      </c>
      <c r="D860">
        <f t="shared" si="189"/>
        <v>0</v>
      </c>
      <c r="E860" t="e">
        <f t="shared" si="190"/>
        <v>#N/A</v>
      </c>
      <c r="F860">
        <f t="shared" si="191"/>
        <v>0</v>
      </c>
      <c r="G860">
        <f t="shared" si="192"/>
        <v>0</v>
      </c>
      <c r="H860">
        <f t="shared" si="193"/>
        <v>0</v>
      </c>
      <c r="I860">
        <f t="shared" si="194"/>
        <v>0</v>
      </c>
      <c r="J860">
        <f t="shared" si="195"/>
        <v>0</v>
      </c>
      <c r="K860" s="4" t="e">
        <f t="shared" si="184"/>
        <v>#N/A</v>
      </c>
      <c r="L860" t="e">
        <f t="shared" si="185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6"/>
        <v>0</v>
      </c>
      <c r="B861">
        <f t="shared" si="187"/>
        <v>0</v>
      </c>
      <c r="C861">
        <f t="shared" si="188"/>
        <v>0</v>
      </c>
      <c r="D861">
        <f t="shared" si="189"/>
        <v>0</v>
      </c>
      <c r="E861" t="e">
        <f t="shared" si="190"/>
        <v>#N/A</v>
      </c>
      <c r="F861">
        <f t="shared" si="191"/>
        <v>0</v>
      </c>
      <c r="G861">
        <f t="shared" si="192"/>
        <v>0</v>
      </c>
      <c r="H861">
        <f t="shared" si="193"/>
        <v>0</v>
      </c>
      <c r="I861">
        <f t="shared" si="194"/>
        <v>0</v>
      </c>
      <c r="J861">
        <f t="shared" si="195"/>
        <v>0</v>
      </c>
      <c r="K861" s="4" t="e">
        <f t="shared" si="184"/>
        <v>#N/A</v>
      </c>
      <c r="L861" t="e">
        <f t="shared" si="185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6"/>
        <v>0</v>
      </c>
      <c r="B862">
        <f t="shared" si="187"/>
        <v>0</v>
      </c>
      <c r="C862">
        <f t="shared" si="188"/>
        <v>0</v>
      </c>
      <c r="D862">
        <f t="shared" si="189"/>
        <v>0</v>
      </c>
      <c r="E862" t="e">
        <f t="shared" si="190"/>
        <v>#N/A</v>
      </c>
      <c r="F862">
        <f t="shared" si="191"/>
        <v>0</v>
      </c>
      <c r="G862">
        <f t="shared" si="192"/>
        <v>0</v>
      </c>
      <c r="H862">
        <f t="shared" si="193"/>
        <v>0</v>
      </c>
      <c r="I862">
        <f t="shared" si="194"/>
        <v>0</v>
      </c>
      <c r="J862">
        <f t="shared" si="195"/>
        <v>0</v>
      </c>
      <c r="K862" s="4" t="e">
        <f t="shared" si="184"/>
        <v>#N/A</v>
      </c>
      <c r="L862" t="e">
        <f t="shared" si="185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6"/>
        <v>0</v>
      </c>
      <c r="B863">
        <f t="shared" si="187"/>
        <v>0</v>
      </c>
      <c r="C863">
        <f t="shared" si="188"/>
        <v>0</v>
      </c>
      <c r="D863">
        <f t="shared" si="189"/>
        <v>0</v>
      </c>
      <c r="E863" t="e">
        <f t="shared" si="190"/>
        <v>#N/A</v>
      </c>
      <c r="F863">
        <f t="shared" si="191"/>
        <v>0</v>
      </c>
      <c r="G863">
        <f t="shared" si="192"/>
        <v>0</v>
      </c>
      <c r="H863">
        <f t="shared" si="193"/>
        <v>0</v>
      </c>
      <c r="I863">
        <f t="shared" si="194"/>
        <v>0</v>
      </c>
      <c r="J863">
        <f t="shared" si="195"/>
        <v>0</v>
      </c>
      <c r="K863" s="4" t="e">
        <f t="shared" si="184"/>
        <v>#N/A</v>
      </c>
      <c r="L863" t="e">
        <f t="shared" si="185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6"/>
        <v>0</v>
      </c>
      <c r="B864">
        <f t="shared" si="187"/>
        <v>0</v>
      </c>
      <c r="C864">
        <f t="shared" si="188"/>
        <v>0</v>
      </c>
      <c r="D864">
        <f t="shared" si="189"/>
        <v>0</v>
      </c>
      <c r="E864" t="e">
        <f t="shared" si="190"/>
        <v>#N/A</v>
      </c>
      <c r="F864">
        <f t="shared" si="191"/>
        <v>0</v>
      </c>
      <c r="G864">
        <f t="shared" si="192"/>
        <v>0</v>
      </c>
      <c r="H864">
        <f t="shared" si="193"/>
        <v>0</v>
      </c>
      <c r="I864">
        <f t="shared" si="194"/>
        <v>0</v>
      </c>
      <c r="J864">
        <f t="shared" si="195"/>
        <v>0</v>
      </c>
      <c r="K864" s="4" t="e">
        <f t="shared" si="184"/>
        <v>#N/A</v>
      </c>
      <c r="L864" t="e">
        <f t="shared" si="185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6"/>
        <v>0</v>
      </c>
      <c r="B865">
        <f t="shared" si="187"/>
        <v>0</v>
      </c>
      <c r="C865">
        <f t="shared" si="188"/>
        <v>0</v>
      </c>
      <c r="D865">
        <f t="shared" si="189"/>
        <v>0</v>
      </c>
      <c r="E865" t="e">
        <f t="shared" si="190"/>
        <v>#N/A</v>
      </c>
      <c r="F865">
        <f t="shared" si="191"/>
        <v>0</v>
      </c>
      <c r="G865">
        <f t="shared" si="192"/>
        <v>0</v>
      </c>
      <c r="H865">
        <f t="shared" si="193"/>
        <v>0</v>
      </c>
      <c r="I865">
        <f t="shared" si="194"/>
        <v>0</v>
      </c>
      <c r="J865">
        <f t="shared" si="195"/>
        <v>0</v>
      </c>
      <c r="K865" s="4" t="e">
        <f t="shared" si="184"/>
        <v>#N/A</v>
      </c>
      <c r="L865" t="e">
        <f t="shared" si="185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6"/>
        <v>0</v>
      </c>
      <c r="B866">
        <f t="shared" si="187"/>
        <v>0</v>
      </c>
      <c r="C866">
        <f t="shared" si="188"/>
        <v>0</v>
      </c>
      <c r="D866">
        <f t="shared" si="189"/>
        <v>0</v>
      </c>
      <c r="E866" t="e">
        <f t="shared" si="190"/>
        <v>#N/A</v>
      </c>
      <c r="F866">
        <f t="shared" si="191"/>
        <v>0</v>
      </c>
      <c r="G866">
        <f t="shared" si="192"/>
        <v>0</v>
      </c>
      <c r="H866">
        <f t="shared" si="193"/>
        <v>0</v>
      </c>
      <c r="I866">
        <f t="shared" si="194"/>
        <v>0</v>
      </c>
      <c r="J866">
        <f t="shared" si="195"/>
        <v>0</v>
      </c>
      <c r="K866" s="4" t="e">
        <f t="shared" si="184"/>
        <v>#N/A</v>
      </c>
      <c r="L866" t="e">
        <f t="shared" si="185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6"/>
        <v>0</v>
      </c>
      <c r="B867">
        <f t="shared" si="187"/>
        <v>0</v>
      </c>
      <c r="C867">
        <f t="shared" si="188"/>
        <v>0</v>
      </c>
      <c r="D867">
        <f t="shared" si="189"/>
        <v>0</v>
      </c>
      <c r="E867" t="e">
        <f t="shared" si="190"/>
        <v>#N/A</v>
      </c>
      <c r="F867">
        <f t="shared" si="191"/>
        <v>0</v>
      </c>
      <c r="G867">
        <f t="shared" si="192"/>
        <v>0</v>
      </c>
      <c r="H867">
        <f t="shared" si="193"/>
        <v>0</v>
      </c>
      <c r="I867">
        <f t="shared" si="194"/>
        <v>0</v>
      </c>
      <c r="J867">
        <f t="shared" si="195"/>
        <v>0</v>
      </c>
      <c r="K867" s="4" t="e">
        <f t="shared" si="184"/>
        <v>#N/A</v>
      </c>
      <c r="L867" t="e">
        <f t="shared" si="185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6"/>
        <v>0</v>
      </c>
      <c r="B868">
        <f t="shared" si="187"/>
        <v>0</v>
      </c>
      <c r="C868">
        <f t="shared" si="188"/>
        <v>0</v>
      </c>
      <c r="D868">
        <f t="shared" si="189"/>
        <v>0</v>
      </c>
      <c r="E868" t="e">
        <f t="shared" si="190"/>
        <v>#N/A</v>
      </c>
      <c r="F868">
        <f t="shared" si="191"/>
        <v>0</v>
      </c>
      <c r="G868">
        <f t="shared" si="192"/>
        <v>0</v>
      </c>
      <c r="H868">
        <f t="shared" si="193"/>
        <v>0</v>
      </c>
      <c r="I868">
        <f t="shared" si="194"/>
        <v>0</v>
      </c>
      <c r="J868">
        <f t="shared" si="195"/>
        <v>0</v>
      </c>
      <c r="K868" s="4" t="e">
        <f t="shared" si="184"/>
        <v>#N/A</v>
      </c>
      <c r="L868" t="e">
        <f t="shared" si="185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6"/>
        <v>0</v>
      </c>
      <c r="B869">
        <f t="shared" si="187"/>
        <v>0</v>
      </c>
      <c r="C869">
        <f t="shared" si="188"/>
        <v>0</v>
      </c>
      <c r="D869">
        <f t="shared" si="189"/>
        <v>0</v>
      </c>
      <c r="E869" t="e">
        <f t="shared" si="190"/>
        <v>#N/A</v>
      </c>
      <c r="F869">
        <f t="shared" si="191"/>
        <v>0</v>
      </c>
      <c r="G869">
        <f t="shared" si="192"/>
        <v>0</v>
      </c>
      <c r="H869">
        <f t="shared" si="193"/>
        <v>0</v>
      </c>
      <c r="I869">
        <f t="shared" si="194"/>
        <v>0</v>
      </c>
      <c r="J869">
        <f t="shared" si="195"/>
        <v>0</v>
      </c>
      <c r="K869" s="4" t="e">
        <f t="shared" si="184"/>
        <v>#N/A</v>
      </c>
      <c r="L869" t="e">
        <f t="shared" si="185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6"/>
        <v>0</v>
      </c>
      <c r="B870">
        <f t="shared" si="187"/>
        <v>0</v>
      </c>
      <c r="C870">
        <f t="shared" si="188"/>
        <v>0</v>
      </c>
      <c r="D870">
        <f t="shared" si="189"/>
        <v>0</v>
      </c>
      <c r="E870" t="e">
        <f t="shared" si="190"/>
        <v>#N/A</v>
      </c>
      <c r="F870">
        <f t="shared" si="191"/>
        <v>0</v>
      </c>
      <c r="G870">
        <f t="shared" si="192"/>
        <v>0</v>
      </c>
      <c r="H870">
        <f t="shared" si="193"/>
        <v>0</v>
      </c>
      <c r="I870">
        <f t="shared" si="194"/>
        <v>0</v>
      </c>
      <c r="J870">
        <f t="shared" si="195"/>
        <v>0</v>
      </c>
      <c r="K870" s="4" t="e">
        <f t="shared" si="184"/>
        <v>#N/A</v>
      </c>
      <c r="L870" t="e">
        <f t="shared" si="185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6"/>
        <v>0</v>
      </c>
      <c r="B871">
        <f t="shared" si="187"/>
        <v>0</v>
      </c>
      <c r="C871">
        <f t="shared" si="188"/>
        <v>0</v>
      </c>
      <c r="D871">
        <f t="shared" si="189"/>
        <v>0</v>
      </c>
      <c r="E871" t="e">
        <f t="shared" si="190"/>
        <v>#N/A</v>
      </c>
      <c r="F871">
        <f t="shared" si="191"/>
        <v>0</v>
      </c>
      <c r="G871">
        <f t="shared" si="192"/>
        <v>0</v>
      </c>
      <c r="H871">
        <f t="shared" si="193"/>
        <v>0</v>
      </c>
      <c r="I871">
        <f t="shared" si="194"/>
        <v>0</v>
      </c>
      <c r="J871">
        <f t="shared" si="195"/>
        <v>0</v>
      </c>
      <c r="K871" s="4" t="e">
        <f t="shared" si="184"/>
        <v>#N/A</v>
      </c>
      <c r="L871" t="e">
        <f t="shared" si="185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6"/>
        <v>0</v>
      </c>
      <c r="B872">
        <f t="shared" si="187"/>
        <v>0</v>
      </c>
      <c r="C872">
        <f t="shared" si="188"/>
        <v>0</v>
      </c>
      <c r="D872">
        <f t="shared" si="189"/>
        <v>0</v>
      </c>
      <c r="E872" t="e">
        <f t="shared" si="190"/>
        <v>#N/A</v>
      </c>
      <c r="F872">
        <f t="shared" si="191"/>
        <v>0</v>
      </c>
      <c r="G872">
        <f t="shared" si="192"/>
        <v>0</v>
      </c>
      <c r="H872">
        <f t="shared" si="193"/>
        <v>0</v>
      </c>
      <c r="I872">
        <f t="shared" si="194"/>
        <v>0</v>
      </c>
      <c r="J872">
        <f t="shared" si="195"/>
        <v>0</v>
      </c>
      <c r="K872" s="4" t="e">
        <f t="shared" si="184"/>
        <v>#N/A</v>
      </c>
      <c r="L872" t="e">
        <f t="shared" si="185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6"/>
        <v>0</v>
      </c>
      <c r="B873">
        <f t="shared" si="187"/>
        <v>0</v>
      </c>
      <c r="C873">
        <f t="shared" si="188"/>
        <v>0</v>
      </c>
      <c r="D873">
        <f t="shared" si="189"/>
        <v>0</v>
      </c>
      <c r="E873" t="e">
        <f t="shared" si="190"/>
        <v>#N/A</v>
      </c>
      <c r="F873">
        <f t="shared" si="191"/>
        <v>0</v>
      </c>
      <c r="G873">
        <f t="shared" si="192"/>
        <v>0</v>
      </c>
      <c r="H873">
        <f t="shared" si="193"/>
        <v>0</v>
      </c>
      <c r="I873">
        <f t="shared" si="194"/>
        <v>0</v>
      </c>
      <c r="J873">
        <f t="shared" si="195"/>
        <v>0</v>
      </c>
      <c r="K873" s="4" t="e">
        <f t="shared" si="184"/>
        <v>#N/A</v>
      </c>
      <c r="L873" t="e">
        <f t="shared" si="185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6"/>
        <v>0</v>
      </c>
      <c r="B874">
        <f t="shared" si="187"/>
        <v>0</v>
      </c>
      <c r="C874">
        <f t="shared" si="188"/>
        <v>0</v>
      </c>
      <c r="D874">
        <f t="shared" si="189"/>
        <v>0</v>
      </c>
      <c r="E874" t="e">
        <f t="shared" si="190"/>
        <v>#N/A</v>
      </c>
      <c r="F874">
        <f t="shared" si="191"/>
        <v>0</v>
      </c>
      <c r="G874">
        <f t="shared" si="192"/>
        <v>0</v>
      </c>
      <c r="H874">
        <f t="shared" si="193"/>
        <v>0</v>
      </c>
      <c r="I874">
        <f t="shared" si="194"/>
        <v>0</v>
      </c>
      <c r="J874">
        <f t="shared" si="195"/>
        <v>0</v>
      </c>
      <c r="K874" s="4" t="e">
        <f t="shared" si="184"/>
        <v>#N/A</v>
      </c>
      <c r="L874" t="e">
        <f t="shared" si="185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6"/>
        <v>0</v>
      </c>
      <c r="B875">
        <f t="shared" si="187"/>
        <v>0</v>
      </c>
      <c r="C875">
        <f t="shared" si="188"/>
        <v>0</v>
      </c>
      <c r="D875">
        <f t="shared" si="189"/>
        <v>0</v>
      </c>
      <c r="E875" t="e">
        <f t="shared" si="190"/>
        <v>#N/A</v>
      </c>
      <c r="F875">
        <f t="shared" si="191"/>
        <v>0</v>
      </c>
      <c r="G875">
        <f t="shared" si="192"/>
        <v>0</v>
      </c>
      <c r="H875">
        <f t="shared" si="193"/>
        <v>0</v>
      </c>
      <c r="I875">
        <f t="shared" si="194"/>
        <v>0</v>
      </c>
      <c r="J875">
        <f t="shared" si="195"/>
        <v>0</v>
      </c>
      <c r="K875" s="4" t="e">
        <f t="shared" si="184"/>
        <v>#N/A</v>
      </c>
      <c r="L875" t="e">
        <f t="shared" si="185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6"/>
        <v>0</v>
      </c>
      <c r="B876">
        <f t="shared" si="187"/>
        <v>0</v>
      </c>
      <c r="C876">
        <f t="shared" si="188"/>
        <v>0</v>
      </c>
      <c r="D876">
        <f t="shared" si="189"/>
        <v>0</v>
      </c>
      <c r="E876" t="e">
        <f t="shared" si="190"/>
        <v>#N/A</v>
      </c>
      <c r="F876">
        <f t="shared" si="191"/>
        <v>0</v>
      </c>
      <c r="G876">
        <f t="shared" si="192"/>
        <v>0</v>
      </c>
      <c r="H876">
        <f t="shared" si="193"/>
        <v>0</v>
      </c>
      <c r="I876">
        <f t="shared" si="194"/>
        <v>0</v>
      </c>
      <c r="J876">
        <f t="shared" si="195"/>
        <v>0</v>
      </c>
      <c r="K876" s="4" t="e">
        <f t="shared" ref="K876:K939" si="198">IF(LEFT(B876,3)="DBM",0,VLOOKUP(E876,tabela,2,FALSE))</f>
        <v>#N/A</v>
      </c>
      <c r="L876" t="e">
        <f t="shared" ref="L876:L939" si="199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6"/>
        <v>0</v>
      </c>
      <c r="B877">
        <f t="shared" si="187"/>
        <v>0</v>
      </c>
      <c r="C877">
        <f t="shared" si="188"/>
        <v>0</v>
      </c>
      <c r="D877">
        <f t="shared" si="189"/>
        <v>0</v>
      </c>
      <c r="E877" t="e">
        <f t="shared" si="190"/>
        <v>#N/A</v>
      </c>
      <c r="F877">
        <f t="shared" si="191"/>
        <v>0</v>
      </c>
      <c r="G877">
        <f t="shared" si="192"/>
        <v>0</v>
      </c>
      <c r="H877">
        <f t="shared" si="193"/>
        <v>0</v>
      </c>
      <c r="I877">
        <f t="shared" si="194"/>
        <v>0</v>
      </c>
      <c r="J877">
        <f t="shared" si="195"/>
        <v>0</v>
      </c>
      <c r="K877" s="4" t="e">
        <f t="shared" si="198"/>
        <v>#N/A</v>
      </c>
      <c r="L877" t="e">
        <f t="shared" si="199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6"/>
        <v>0</v>
      </c>
      <c r="B878">
        <f t="shared" si="187"/>
        <v>0</v>
      </c>
      <c r="C878">
        <f t="shared" si="188"/>
        <v>0</v>
      </c>
      <c r="D878">
        <f t="shared" si="189"/>
        <v>0</v>
      </c>
      <c r="E878" t="e">
        <f t="shared" si="190"/>
        <v>#N/A</v>
      </c>
      <c r="F878">
        <f t="shared" si="191"/>
        <v>0</v>
      </c>
      <c r="G878">
        <f t="shared" si="192"/>
        <v>0</v>
      </c>
      <c r="H878">
        <f t="shared" si="193"/>
        <v>0</v>
      </c>
      <c r="I878">
        <f t="shared" si="194"/>
        <v>0</v>
      </c>
      <c r="J878">
        <f t="shared" si="195"/>
        <v>0</v>
      </c>
      <c r="K878" s="4" t="e">
        <f t="shared" si="198"/>
        <v>#N/A</v>
      </c>
      <c r="L878" t="e">
        <f t="shared" si="199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6"/>
        <v>0</v>
      </c>
      <c r="B879">
        <f t="shared" si="187"/>
        <v>0</v>
      </c>
      <c r="C879">
        <f t="shared" si="188"/>
        <v>0</v>
      </c>
      <c r="D879">
        <f t="shared" si="189"/>
        <v>0</v>
      </c>
      <c r="E879" t="e">
        <f t="shared" si="190"/>
        <v>#N/A</v>
      </c>
      <c r="F879">
        <f t="shared" si="191"/>
        <v>0</v>
      </c>
      <c r="G879">
        <f t="shared" si="192"/>
        <v>0</v>
      </c>
      <c r="H879">
        <f t="shared" si="193"/>
        <v>0</v>
      </c>
      <c r="I879">
        <f t="shared" si="194"/>
        <v>0</v>
      </c>
      <c r="J879">
        <f t="shared" si="195"/>
        <v>0</v>
      </c>
      <c r="K879" s="4" t="e">
        <f t="shared" si="198"/>
        <v>#N/A</v>
      </c>
      <c r="L879" t="e">
        <f t="shared" si="199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6"/>
        <v>0</v>
      </c>
      <c r="B880">
        <f t="shared" si="187"/>
        <v>0</v>
      </c>
      <c r="C880">
        <f t="shared" si="188"/>
        <v>0</v>
      </c>
      <c r="D880">
        <f t="shared" si="189"/>
        <v>0</v>
      </c>
      <c r="E880" t="e">
        <f t="shared" si="190"/>
        <v>#N/A</v>
      </c>
      <c r="F880">
        <f t="shared" si="191"/>
        <v>0</v>
      </c>
      <c r="G880">
        <f t="shared" si="192"/>
        <v>0</v>
      </c>
      <c r="H880">
        <f t="shared" si="193"/>
        <v>0</v>
      </c>
      <c r="I880">
        <f t="shared" si="194"/>
        <v>0</v>
      </c>
      <c r="J880">
        <f t="shared" si="195"/>
        <v>0</v>
      </c>
      <c r="K880" s="4" t="e">
        <f t="shared" si="198"/>
        <v>#N/A</v>
      </c>
      <c r="L880" t="e">
        <f t="shared" si="199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6"/>
        <v>0</v>
      </c>
      <c r="B881">
        <f t="shared" si="187"/>
        <v>0</v>
      </c>
      <c r="C881">
        <f t="shared" si="188"/>
        <v>0</v>
      </c>
      <c r="D881">
        <f t="shared" si="189"/>
        <v>0</v>
      </c>
      <c r="E881" t="e">
        <f t="shared" si="190"/>
        <v>#N/A</v>
      </c>
      <c r="F881">
        <f t="shared" si="191"/>
        <v>0</v>
      </c>
      <c r="G881">
        <f t="shared" si="192"/>
        <v>0</v>
      </c>
      <c r="H881">
        <f t="shared" si="193"/>
        <v>0</v>
      </c>
      <c r="I881">
        <f t="shared" si="194"/>
        <v>0</v>
      </c>
      <c r="J881">
        <f t="shared" si="195"/>
        <v>0</v>
      </c>
      <c r="K881" s="4" t="e">
        <f t="shared" si="198"/>
        <v>#N/A</v>
      </c>
      <c r="L881" t="e">
        <f t="shared" si="199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6"/>
        <v>0</v>
      </c>
      <c r="B882">
        <f t="shared" si="187"/>
        <v>0</v>
      </c>
      <c r="C882">
        <f t="shared" si="188"/>
        <v>0</v>
      </c>
      <c r="D882">
        <f t="shared" si="189"/>
        <v>0</v>
      </c>
      <c r="E882" t="e">
        <f t="shared" si="190"/>
        <v>#N/A</v>
      </c>
      <c r="F882">
        <f t="shared" si="191"/>
        <v>0</v>
      </c>
      <c r="G882">
        <f t="shared" si="192"/>
        <v>0</v>
      </c>
      <c r="H882">
        <f t="shared" si="193"/>
        <v>0</v>
      </c>
      <c r="I882">
        <f t="shared" si="194"/>
        <v>0</v>
      </c>
      <c r="J882">
        <f t="shared" si="195"/>
        <v>0</v>
      </c>
      <c r="K882" s="4" t="e">
        <f t="shared" si="198"/>
        <v>#N/A</v>
      </c>
      <c r="L882" t="e">
        <f t="shared" si="199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6"/>
        <v>0</v>
      </c>
      <c r="B883">
        <f t="shared" si="187"/>
        <v>0</v>
      </c>
      <c r="C883">
        <f t="shared" si="188"/>
        <v>0</v>
      </c>
      <c r="D883">
        <f t="shared" si="189"/>
        <v>0</v>
      </c>
      <c r="E883" t="e">
        <f t="shared" si="190"/>
        <v>#N/A</v>
      </c>
      <c r="F883">
        <f t="shared" si="191"/>
        <v>0</v>
      </c>
      <c r="G883">
        <f t="shared" si="192"/>
        <v>0</v>
      </c>
      <c r="H883">
        <f t="shared" si="193"/>
        <v>0</v>
      </c>
      <c r="I883">
        <f t="shared" si="194"/>
        <v>0</v>
      </c>
      <c r="J883">
        <f t="shared" si="195"/>
        <v>0</v>
      </c>
      <c r="K883" s="4" t="e">
        <f t="shared" si="198"/>
        <v>#N/A</v>
      </c>
      <c r="L883" t="e">
        <f t="shared" si="199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6"/>
        <v>0</v>
      </c>
      <c r="B884">
        <f t="shared" si="187"/>
        <v>0</v>
      </c>
      <c r="C884">
        <f t="shared" si="188"/>
        <v>0</v>
      </c>
      <c r="D884">
        <f t="shared" si="189"/>
        <v>0</v>
      </c>
      <c r="E884" t="e">
        <f t="shared" si="190"/>
        <v>#N/A</v>
      </c>
      <c r="F884">
        <f t="shared" si="191"/>
        <v>0</v>
      </c>
      <c r="G884">
        <f t="shared" si="192"/>
        <v>0</v>
      </c>
      <c r="H884">
        <f t="shared" si="193"/>
        <v>0</v>
      </c>
      <c r="I884">
        <f t="shared" si="194"/>
        <v>0</v>
      </c>
      <c r="J884">
        <f t="shared" si="195"/>
        <v>0</v>
      </c>
      <c r="K884" s="4" t="e">
        <f t="shared" si="198"/>
        <v>#N/A</v>
      </c>
      <c r="L884" t="e">
        <f t="shared" si="199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6"/>
        <v>0</v>
      </c>
      <c r="B885">
        <f t="shared" si="187"/>
        <v>0</v>
      </c>
      <c r="C885">
        <f t="shared" si="188"/>
        <v>0</v>
      </c>
      <c r="D885">
        <f t="shared" si="189"/>
        <v>0</v>
      </c>
      <c r="E885" t="e">
        <f t="shared" si="190"/>
        <v>#N/A</v>
      </c>
      <c r="F885">
        <f t="shared" si="191"/>
        <v>0</v>
      </c>
      <c r="G885">
        <f t="shared" si="192"/>
        <v>0</v>
      </c>
      <c r="H885">
        <f t="shared" si="193"/>
        <v>0</v>
      </c>
      <c r="I885">
        <f t="shared" si="194"/>
        <v>0</v>
      </c>
      <c r="J885">
        <f t="shared" si="195"/>
        <v>0</v>
      </c>
      <c r="K885" s="4" t="e">
        <f t="shared" si="198"/>
        <v>#N/A</v>
      </c>
      <c r="L885" t="e">
        <f t="shared" si="199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6"/>
        <v>0</v>
      </c>
      <c r="B886">
        <f t="shared" si="187"/>
        <v>0</v>
      </c>
      <c r="C886">
        <f t="shared" si="188"/>
        <v>0</v>
      </c>
      <c r="D886">
        <f t="shared" si="189"/>
        <v>0</v>
      </c>
      <c r="E886" t="e">
        <f t="shared" si="190"/>
        <v>#N/A</v>
      </c>
      <c r="F886">
        <f t="shared" si="191"/>
        <v>0</v>
      </c>
      <c r="G886">
        <f t="shared" si="192"/>
        <v>0</v>
      </c>
      <c r="H886">
        <f t="shared" si="193"/>
        <v>0</v>
      </c>
      <c r="I886">
        <f t="shared" si="194"/>
        <v>0</v>
      </c>
      <c r="J886">
        <f t="shared" si="195"/>
        <v>0</v>
      </c>
      <c r="K886" s="4" t="e">
        <f t="shared" si="198"/>
        <v>#N/A</v>
      </c>
      <c r="L886" t="e">
        <f t="shared" si="199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6"/>
        <v>0</v>
      </c>
      <c r="B887">
        <f t="shared" si="187"/>
        <v>0</v>
      </c>
      <c r="C887">
        <f t="shared" si="188"/>
        <v>0</v>
      </c>
      <c r="D887">
        <f t="shared" si="189"/>
        <v>0</v>
      </c>
      <c r="E887" t="e">
        <f t="shared" si="190"/>
        <v>#N/A</v>
      </c>
      <c r="F887">
        <f t="shared" si="191"/>
        <v>0</v>
      </c>
      <c r="G887">
        <f t="shared" si="192"/>
        <v>0</v>
      </c>
      <c r="H887">
        <f t="shared" si="193"/>
        <v>0</v>
      </c>
      <c r="I887">
        <f t="shared" si="194"/>
        <v>0</v>
      </c>
      <c r="J887">
        <f t="shared" si="195"/>
        <v>0</v>
      </c>
      <c r="K887" s="4" t="e">
        <f t="shared" si="198"/>
        <v>#N/A</v>
      </c>
      <c r="L887" t="e">
        <f t="shared" si="199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6"/>
        <v>0</v>
      </c>
      <c r="B888">
        <f t="shared" si="187"/>
        <v>0</v>
      </c>
      <c r="C888">
        <f t="shared" si="188"/>
        <v>0</v>
      </c>
      <c r="D888">
        <f t="shared" si="189"/>
        <v>0</v>
      </c>
      <c r="E888" t="e">
        <f t="shared" si="190"/>
        <v>#N/A</v>
      </c>
      <c r="F888">
        <f t="shared" si="191"/>
        <v>0</v>
      </c>
      <c r="G888">
        <f t="shared" si="192"/>
        <v>0</v>
      </c>
      <c r="H888">
        <f t="shared" si="193"/>
        <v>0</v>
      </c>
      <c r="I888">
        <f t="shared" si="194"/>
        <v>0</v>
      </c>
      <c r="J888">
        <f t="shared" si="195"/>
        <v>0</v>
      </c>
      <c r="K888" s="4" t="e">
        <f t="shared" si="198"/>
        <v>#N/A</v>
      </c>
      <c r="L888" t="e">
        <f t="shared" si="199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6"/>
        <v>0</v>
      </c>
      <c r="B889">
        <f t="shared" si="187"/>
        <v>0</v>
      </c>
      <c r="C889">
        <f t="shared" si="188"/>
        <v>0</v>
      </c>
      <c r="D889">
        <f t="shared" si="189"/>
        <v>0</v>
      </c>
      <c r="E889" t="e">
        <f t="shared" si="190"/>
        <v>#N/A</v>
      </c>
      <c r="F889">
        <f t="shared" si="191"/>
        <v>0</v>
      </c>
      <c r="G889">
        <f t="shared" si="192"/>
        <v>0</v>
      </c>
      <c r="H889">
        <f t="shared" si="193"/>
        <v>0</v>
      </c>
      <c r="I889">
        <f t="shared" si="194"/>
        <v>0</v>
      </c>
      <c r="J889">
        <f t="shared" si="195"/>
        <v>0</v>
      </c>
      <c r="K889" s="4" t="e">
        <f t="shared" si="198"/>
        <v>#N/A</v>
      </c>
      <c r="L889" t="e">
        <f t="shared" si="199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6"/>
        <v>0</v>
      </c>
      <c r="B890">
        <f t="shared" si="187"/>
        <v>0</v>
      </c>
      <c r="C890">
        <f t="shared" si="188"/>
        <v>0</v>
      </c>
      <c r="D890">
        <f t="shared" si="189"/>
        <v>0</v>
      </c>
      <c r="E890" t="e">
        <f t="shared" si="190"/>
        <v>#N/A</v>
      </c>
      <c r="F890">
        <f t="shared" si="191"/>
        <v>0</v>
      </c>
      <c r="G890">
        <f t="shared" si="192"/>
        <v>0</v>
      </c>
      <c r="H890">
        <f t="shared" si="193"/>
        <v>0</v>
      </c>
      <c r="I890">
        <f t="shared" si="194"/>
        <v>0</v>
      </c>
      <c r="J890">
        <f t="shared" si="195"/>
        <v>0</v>
      </c>
      <c r="K890" s="4" t="e">
        <f t="shared" si="198"/>
        <v>#N/A</v>
      </c>
      <c r="L890" t="e">
        <f t="shared" si="199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6"/>
        <v>0</v>
      </c>
      <c r="B891">
        <f t="shared" si="187"/>
        <v>0</v>
      </c>
      <c r="C891">
        <f t="shared" si="188"/>
        <v>0</v>
      </c>
      <c r="D891">
        <f t="shared" si="189"/>
        <v>0</v>
      </c>
      <c r="E891" t="e">
        <f t="shared" si="190"/>
        <v>#N/A</v>
      </c>
      <c r="F891">
        <f t="shared" si="191"/>
        <v>0</v>
      </c>
      <c r="G891">
        <f t="shared" si="192"/>
        <v>0</v>
      </c>
      <c r="H891">
        <f t="shared" si="193"/>
        <v>0</v>
      </c>
      <c r="I891">
        <f t="shared" si="194"/>
        <v>0</v>
      </c>
      <c r="J891">
        <f t="shared" si="195"/>
        <v>0</v>
      </c>
      <c r="K891" s="4" t="e">
        <f t="shared" si="198"/>
        <v>#N/A</v>
      </c>
      <c r="L891" t="e">
        <f t="shared" si="199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6"/>
        <v>0</v>
      </c>
      <c r="B892">
        <f t="shared" si="187"/>
        <v>0</v>
      </c>
      <c r="C892">
        <f t="shared" si="188"/>
        <v>0</v>
      </c>
      <c r="D892">
        <f t="shared" si="189"/>
        <v>0</v>
      </c>
      <c r="E892" t="e">
        <f t="shared" si="190"/>
        <v>#N/A</v>
      </c>
      <c r="F892">
        <f t="shared" si="191"/>
        <v>0</v>
      </c>
      <c r="G892">
        <f t="shared" si="192"/>
        <v>0</v>
      </c>
      <c r="H892">
        <f t="shared" si="193"/>
        <v>0</v>
      </c>
      <c r="I892">
        <f t="shared" si="194"/>
        <v>0</v>
      </c>
      <c r="J892">
        <f t="shared" si="195"/>
        <v>0</v>
      </c>
      <c r="K892" s="4" t="e">
        <f t="shared" si="198"/>
        <v>#N/A</v>
      </c>
      <c r="L892" t="e">
        <f t="shared" si="199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6"/>
        <v>0</v>
      </c>
      <c r="B893">
        <f t="shared" si="187"/>
        <v>0</v>
      </c>
      <c r="C893">
        <f t="shared" si="188"/>
        <v>0</v>
      </c>
      <c r="D893">
        <f t="shared" si="189"/>
        <v>0</v>
      </c>
      <c r="E893" t="e">
        <f t="shared" si="190"/>
        <v>#N/A</v>
      </c>
      <c r="F893">
        <f t="shared" si="191"/>
        <v>0</v>
      </c>
      <c r="G893">
        <f t="shared" si="192"/>
        <v>0</v>
      </c>
      <c r="H893">
        <f t="shared" si="193"/>
        <v>0</v>
      </c>
      <c r="I893">
        <f t="shared" si="194"/>
        <v>0</v>
      </c>
      <c r="J893">
        <f t="shared" si="195"/>
        <v>0</v>
      </c>
      <c r="K893" s="4" t="e">
        <f t="shared" si="198"/>
        <v>#N/A</v>
      </c>
      <c r="L893" t="e">
        <f t="shared" si="199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6"/>
        <v>0</v>
      </c>
      <c r="B894">
        <f t="shared" si="187"/>
        <v>0</v>
      </c>
      <c r="C894">
        <f t="shared" si="188"/>
        <v>0</v>
      </c>
      <c r="D894">
        <f t="shared" si="189"/>
        <v>0</v>
      </c>
      <c r="E894" t="e">
        <f t="shared" si="190"/>
        <v>#N/A</v>
      </c>
      <c r="F894">
        <f t="shared" si="191"/>
        <v>0</v>
      </c>
      <c r="G894">
        <f t="shared" si="192"/>
        <v>0</v>
      </c>
      <c r="H894">
        <f t="shared" si="193"/>
        <v>0</v>
      </c>
      <c r="I894">
        <f t="shared" si="194"/>
        <v>0</v>
      </c>
      <c r="J894">
        <f t="shared" si="195"/>
        <v>0</v>
      </c>
      <c r="K894" s="4" t="e">
        <f t="shared" si="198"/>
        <v>#N/A</v>
      </c>
      <c r="L894" t="e">
        <f t="shared" si="199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6"/>
        <v>0</v>
      </c>
      <c r="B895">
        <f t="shared" si="187"/>
        <v>0</v>
      </c>
      <c r="C895">
        <f t="shared" si="188"/>
        <v>0</v>
      </c>
      <c r="D895">
        <f t="shared" si="189"/>
        <v>0</v>
      </c>
      <c r="E895" t="e">
        <f t="shared" si="190"/>
        <v>#N/A</v>
      </c>
      <c r="F895">
        <f t="shared" si="191"/>
        <v>0</v>
      </c>
      <c r="G895">
        <f t="shared" si="192"/>
        <v>0</v>
      </c>
      <c r="H895">
        <f t="shared" si="193"/>
        <v>0</v>
      </c>
      <c r="I895">
        <f t="shared" si="194"/>
        <v>0</v>
      </c>
      <c r="J895">
        <f t="shared" si="195"/>
        <v>0</v>
      </c>
      <c r="K895" s="4" t="e">
        <f t="shared" si="198"/>
        <v>#N/A</v>
      </c>
      <c r="L895" t="e">
        <f t="shared" si="199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6"/>
        <v>0</v>
      </c>
      <c r="B896">
        <f t="shared" si="187"/>
        <v>0</v>
      </c>
      <c r="C896">
        <f t="shared" si="188"/>
        <v>0</v>
      </c>
      <c r="D896">
        <f t="shared" si="189"/>
        <v>0</v>
      </c>
      <c r="E896" t="e">
        <f t="shared" si="190"/>
        <v>#N/A</v>
      </c>
      <c r="F896">
        <f t="shared" si="191"/>
        <v>0</v>
      </c>
      <c r="G896">
        <f t="shared" si="192"/>
        <v>0</v>
      </c>
      <c r="H896">
        <f t="shared" si="193"/>
        <v>0</v>
      </c>
      <c r="I896">
        <f t="shared" si="194"/>
        <v>0</v>
      </c>
      <c r="J896">
        <f t="shared" si="195"/>
        <v>0</v>
      </c>
      <c r="K896" s="4" t="e">
        <f t="shared" si="198"/>
        <v>#N/A</v>
      </c>
      <c r="L896" t="e">
        <f t="shared" si="199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6"/>
        <v>0</v>
      </c>
      <c r="B897">
        <f t="shared" si="187"/>
        <v>0</v>
      </c>
      <c r="C897">
        <f t="shared" si="188"/>
        <v>0</v>
      </c>
      <c r="D897">
        <f t="shared" si="189"/>
        <v>0</v>
      </c>
      <c r="E897" t="e">
        <f t="shared" si="190"/>
        <v>#N/A</v>
      </c>
      <c r="F897">
        <f t="shared" si="191"/>
        <v>0</v>
      </c>
      <c r="G897">
        <f t="shared" si="192"/>
        <v>0</v>
      </c>
      <c r="H897">
        <f t="shared" si="193"/>
        <v>0</v>
      </c>
      <c r="I897">
        <f t="shared" si="194"/>
        <v>0</v>
      </c>
      <c r="J897">
        <f t="shared" si="195"/>
        <v>0</v>
      </c>
      <c r="K897" s="4" t="e">
        <f t="shared" si="198"/>
        <v>#N/A</v>
      </c>
      <c r="L897" t="e">
        <f t="shared" si="199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200">bd_campaign</f>
        <v>0</v>
      </c>
      <c r="B898">
        <f t="shared" ref="B898:B961" si="201">bd_site</f>
        <v>0</v>
      </c>
      <c r="C898">
        <f t="shared" ref="C898:C961" si="202">bd_placement</f>
        <v>0</v>
      </c>
      <c r="D898">
        <f t="shared" ref="D898:D961" si="203">bd_placementID</f>
        <v>0</v>
      </c>
      <c r="E898" t="e">
        <f t="shared" ref="E898:E961" si="204">VLOOKUP(CONCATENATE(bd_adtype,"_",bd_creativetype),tabela,2,FALSE)</f>
        <v>#N/A</v>
      </c>
      <c r="F898">
        <f t="shared" ref="F898:F961" si="205">bd_ad</f>
        <v>0</v>
      </c>
      <c r="G898">
        <f t="shared" ref="G898:G961" si="206">bd_adid</f>
        <v>0</v>
      </c>
      <c r="H898">
        <f t="shared" ref="H898:H961" si="207">bd_creativetype</f>
        <v>0</v>
      </c>
      <c r="I898">
        <f t="shared" ref="I898:I961" si="208">bd_impression</f>
        <v>0</v>
      </c>
      <c r="J898">
        <f t="shared" ref="J898:J961" si="209">bd_clicks</f>
        <v>0</v>
      </c>
      <c r="K898" s="4" t="e">
        <f t="shared" si="198"/>
        <v>#N/A</v>
      </c>
      <c r="L898" t="e">
        <f t="shared" si="199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200"/>
        <v>0</v>
      </c>
      <c r="B899">
        <f t="shared" si="201"/>
        <v>0</v>
      </c>
      <c r="C899">
        <f t="shared" si="202"/>
        <v>0</v>
      </c>
      <c r="D899">
        <f t="shared" si="203"/>
        <v>0</v>
      </c>
      <c r="E899" t="e">
        <f t="shared" si="204"/>
        <v>#N/A</v>
      </c>
      <c r="F899">
        <f t="shared" si="205"/>
        <v>0</v>
      </c>
      <c r="G899">
        <f t="shared" si="206"/>
        <v>0</v>
      </c>
      <c r="H899">
        <f t="shared" si="207"/>
        <v>0</v>
      </c>
      <c r="I899">
        <f t="shared" si="208"/>
        <v>0</v>
      </c>
      <c r="J899">
        <f t="shared" si="209"/>
        <v>0</v>
      </c>
      <c r="K899" s="4" t="e">
        <f t="shared" si="198"/>
        <v>#N/A</v>
      </c>
      <c r="L899" t="e">
        <f t="shared" si="199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200"/>
        <v>0</v>
      </c>
      <c r="B900">
        <f t="shared" si="201"/>
        <v>0</v>
      </c>
      <c r="C900">
        <f t="shared" si="202"/>
        <v>0</v>
      </c>
      <c r="D900">
        <f t="shared" si="203"/>
        <v>0</v>
      </c>
      <c r="E900" t="e">
        <f t="shared" si="204"/>
        <v>#N/A</v>
      </c>
      <c r="F900">
        <f t="shared" si="205"/>
        <v>0</v>
      </c>
      <c r="G900">
        <f t="shared" si="206"/>
        <v>0</v>
      </c>
      <c r="H900">
        <f t="shared" si="207"/>
        <v>0</v>
      </c>
      <c r="I900">
        <f t="shared" si="208"/>
        <v>0</v>
      </c>
      <c r="J900">
        <f t="shared" si="209"/>
        <v>0</v>
      </c>
      <c r="K900" s="4" t="e">
        <f t="shared" si="198"/>
        <v>#N/A</v>
      </c>
      <c r="L900" t="e">
        <f t="shared" si="199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200"/>
        <v>0</v>
      </c>
      <c r="B901">
        <f t="shared" si="201"/>
        <v>0</v>
      </c>
      <c r="C901">
        <f t="shared" si="202"/>
        <v>0</v>
      </c>
      <c r="D901">
        <f t="shared" si="203"/>
        <v>0</v>
      </c>
      <c r="E901" t="e">
        <f t="shared" si="204"/>
        <v>#N/A</v>
      </c>
      <c r="F901">
        <f t="shared" si="205"/>
        <v>0</v>
      </c>
      <c r="G901">
        <f t="shared" si="206"/>
        <v>0</v>
      </c>
      <c r="H901">
        <f t="shared" si="207"/>
        <v>0</v>
      </c>
      <c r="I901">
        <f t="shared" si="208"/>
        <v>0</v>
      </c>
      <c r="J901">
        <f t="shared" si="209"/>
        <v>0</v>
      </c>
      <c r="K901" s="4" t="e">
        <f t="shared" si="198"/>
        <v>#N/A</v>
      </c>
      <c r="L901" t="e">
        <f t="shared" si="199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200"/>
        <v>0</v>
      </c>
      <c r="B902">
        <f t="shared" si="201"/>
        <v>0</v>
      </c>
      <c r="C902">
        <f t="shared" si="202"/>
        <v>0</v>
      </c>
      <c r="D902">
        <f t="shared" si="203"/>
        <v>0</v>
      </c>
      <c r="E902" t="e">
        <f t="shared" si="204"/>
        <v>#N/A</v>
      </c>
      <c r="F902">
        <f t="shared" si="205"/>
        <v>0</v>
      </c>
      <c r="G902">
        <f t="shared" si="206"/>
        <v>0</v>
      </c>
      <c r="H902">
        <f t="shared" si="207"/>
        <v>0</v>
      </c>
      <c r="I902">
        <f t="shared" si="208"/>
        <v>0</v>
      </c>
      <c r="J902">
        <f t="shared" si="209"/>
        <v>0</v>
      </c>
      <c r="K902" s="4" t="e">
        <f t="shared" si="198"/>
        <v>#N/A</v>
      </c>
      <c r="L902" t="e">
        <f t="shared" si="199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200"/>
        <v>0</v>
      </c>
      <c r="B903">
        <f t="shared" si="201"/>
        <v>0</v>
      </c>
      <c r="C903">
        <f t="shared" si="202"/>
        <v>0</v>
      </c>
      <c r="D903">
        <f t="shared" si="203"/>
        <v>0</v>
      </c>
      <c r="E903" t="e">
        <f t="shared" si="204"/>
        <v>#N/A</v>
      </c>
      <c r="F903">
        <f t="shared" si="205"/>
        <v>0</v>
      </c>
      <c r="G903">
        <f t="shared" si="206"/>
        <v>0</v>
      </c>
      <c r="H903">
        <f t="shared" si="207"/>
        <v>0</v>
      </c>
      <c r="I903">
        <f t="shared" si="208"/>
        <v>0</v>
      </c>
      <c r="J903">
        <f t="shared" si="209"/>
        <v>0</v>
      </c>
      <c r="K903" s="4" t="e">
        <f t="shared" si="198"/>
        <v>#N/A</v>
      </c>
      <c r="L903" t="e">
        <f t="shared" si="199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200"/>
        <v>0</v>
      </c>
      <c r="B904">
        <f t="shared" si="201"/>
        <v>0</v>
      </c>
      <c r="C904">
        <f t="shared" si="202"/>
        <v>0</v>
      </c>
      <c r="D904">
        <f t="shared" si="203"/>
        <v>0</v>
      </c>
      <c r="E904" t="e">
        <f t="shared" si="204"/>
        <v>#N/A</v>
      </c>
      <c r="F904">
        <f t="shared" si="205"/>
        <v>0</v>
      </c>
      <c r="G904">
        <f t="shared" si="206"/>
        <v>0</v>
      </c>
      <c r="H904">
        <f t="shared" si="207"/>
        <v>0</v>
      </c>
      <c r="I904">
        <f t="shared" si="208"/>
        <v>0</v>
      </c>
      <c r="J904">
        <f t="shared" si="209"/>
        <v>0</v>
      </c>
      <c r="K904" s="4" t="e">
        <f t="shared" si="198"/>
        <v>#N/A</v>
      </c>
      <c r="L904" t="e">
        <f t="shared" si="199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200"/>
        <v>0</v>
      </c>
      <c r="B905">
        <f t="shared" si="201"/>
        <v>0</v>
      </c>
      <c r="C905">
        <f t="shared" si="202"/>
        <v>0</v>
      </c>
      <c r="D905">
        <f t="shared" si="203"/>
        <v>0</v>
      </c>
      <c r="E905" t="e">
        <f t="shared" si="204"/>
        <v>#N/A</v>
      </c>
      <c r="F905">
        <f t="shared" si="205"/>
        <v>0</v>
      </c>
      <c r="G905">
        <f t="shared" si="206"/>
        <v>0</v>
      </c>
      <c r="H905">
        <f t="shared" si="207"/>
        <v>0</v>
      </c>
      <c r="I905">
        <f t="shared" si="208"/>
        <v>0</v>
      </c>
      <c r="J905">
        <f t="shared" si="209"/>
        <v>0</v>
      </c>
      <c r="K905" s="4" t="e">
        <f t="shared" si="198"/>
        <v>#N/A</v>
      </c>
      <c r="L905" t="e">
        <f t="shared" si="199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200"/>
        <v>0</v>
      </c>
      <c r="B906">
        <f t="shared" si="201"/>
        <v>0</v>
      </c>
      <c r="C906">
        <f t="shared" si="202"/>
        <v>0</v>
      </c>
      <c r="D906">
        <f t="shared" si="203"/>
        <v>0</v>
      </c>
      <c r="E906" t="e">
        <f t="shared" si="204"/>
        <v>#N/A</v>
      </c>
      <c r="F906">
        <f t="shared" si="205"/>
        <v>0</v>
      </c>
      <c r="G906">
        <f t="shared" si="206"/>
        <v>0</v>
      </c>
      <c r="H906">
        <f t="shared" si="207"/>
        <v>0</v>
      </c>
      <c r="I906">
        <f t="shared" si="208"/>
        <v>0</v>
      </c>
      <c r="J906">
        <f t="shared" si="209"/>
        <v>0</v>
      </c>
      <c r="K906" s="4" t="e">
        <f t="shared" si="198"/>
        <v>#N/A</v>
      </c>
      <c r="L906" t="e">
        <f t="shared" si="199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200"/>
        <v>0</v>
      </c>
      <c r="B907">
        <f t="shared" si="201"/>
        <v>0</v>
      </c>
      <c r="C907">
        <f t="shared" si="202"/>
        <v>0</v>
      </c>
      <c r="D907">
        <f t="shared" si="203"/>
        <v>0</v>
      </c>
      <c r="E907" t="e">
        <f t="shared" si="204"/>
        <v>#N/A</v>
      </c>
      <c r="F907">
        <f t="shared" si="205"/>
        <v>0</v>
      </c>
      <c r="G907">
        <f t="shared" si="206"/>
        <v>0</v>
      </c>
      <c r="H907">
        <f t="shared" si="207"/>
        <v>0</v>
      </c>
      <c r="I907">
        <f t="shared" si="208"/>
        <v>0</v>
      </c>
      <c r="J907">
        <f t="shared" si="209"/>
        <v>0</v>
      </c>
      <c r="K907" s="4" t="e">
        <f t="shared" si="198"/>
        <v>#N/A</v>
      </c>
      <c r="L907" t="e">
        <f t="shared" si="199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200"/>
        <v>0</v>
      </c>
      <c r="B908">
        <f t="shared" si="201"/>
        <v>0</v>
      </c>
      <c r="C908">
        <f t="shared" si="202"/>
        <v>0</v>
      </c>
      <c r="D908">
        <f t="shared" si="203"/>
        <v>0</v>
      </c>
      <c r="E908" t="e">
        <f t="shared" si="204"/>
        <v>#N/A</v>
      </c>
      <c r="F908">
        <f t="shared" si="205"/>
        <v>0</v>
      </c>
      <c r="G908">
        <f t="shared" si="206"/>
        <v>0</v>
      </c>
      <c r="H908">
        <f t="shared" si="207"/>
        <v>0</v>
      </c>
      <c r="I908">
        <f t="shared" si="208"/>
        <v>0</v>
      </c>
      <c r="J908">
        <f t="shared" si="209"/>
        <v>0</v>
      </c>
      <c r="K908" s="4" t="e">
        <f t="shared" si="198"/>
        <v>#N/A</v>
      </c>
      <c r="L908" t="e">
        <f t="shared" si="199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200"/>
        <v>0</v>
      </c>
      <c r="B909">
        <f t="shared" si="201"/>
        <v>0</v>
      </c>
      <c r="C909">
        <f t="shared" si="202"/>
        <v>0</v>
      </c>
      <c r="D909">
        <f t="shared" si="203"/>
        <v>0</v>
      </c>
      <c r="E909" t="e">
        <f t="shared" si="204"/>
        <v>#N/A</v>
      </c>
      <c r="F909">
        <f t="shared" si="205"/>
        <v>0</v>
      </c>
      <c r="G909">
        <f t="shared" si="206"/>
        <v>0</v>
      </c>
      <c r="H909">
        <f t="shared" si="207"/>
        <v>0</v>
      </c>
      <c r="I909">
        <f t="shared" si="208"/>
        <v>0</v>
      </c>
      <c r="J909">
        <f t="shared" si="209"/>
        <v>0</v>
      </c>
      <c r="K909" s="4" t="e">
        <f t="shared" si="198"/>
        <v>#N/A</v>
      </c>
      <c r="L909" t="e">
        <f t="shared" si="199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200"/>
        <v>0</v>
      </c>
      <c r="B910">
        <f t="shared" si="201"/>
        <v>0</v>
      </c>
      <c r="C910">
        <f t="shared" si="202"/>
        <v>0</v>
      </c>
      <c r="D910">
        <f t="shared" si="203"/>
        <v>0</v>
      </c>
      <c r="E910" t="e">
        <f t="shared" si="204"/>
        <v>#N/A</v>
      </c>
      <c r="F910">
        <f t="shared" si="205"/>
        <v>0</v>
      </c>
      <c r="G910">
        <f t="shared" si="206"/>
        <v>0</v>
      </c>
      <c r="H910">
        <f t="shared" si="207"/>
        <v>0</v>
      </c>
      <c r="I910">
        <f t="shared" si="208"/>
        <v>0</v>
      </c>
      <c r="J910">
        <f t="shared" si="209"/>
        <v>0</v>
      </c>
      <c r="K910" s="4" t="e">
        <f t="shared" si="198"/>
        <v>#N/A</v>
      </c>
      <c r="L910" t="e">
        <f t="shared" si="199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200"/>
        <v>0</v>
      </c>
      <c r="B911">
        <f t="shared" si="201"/>
        <v>0</v>
      </c>
      <c r="C911">
        <f t="shared" si="202"/>
        <v>0</v>
      </c>
      <c r="D911">
        <f t="shared" si="203"/>
        <v>0</v>
      </c>
      <c r="E911" t="e">
        <f t="shared" si="204"/>
        <v>#N/A</v>
      </c>
      <c r="F911">
        <f t="shared" si="205"/>
        <v>0</v>
      </c>
      <c r="G911">
        <f t="shared" si="206"/>
        <v>0</v>
      </c>
      <c r="H911">
        <f t="shared" si="207"/>
        <v>0</v>
      </c>
      <c r="I911">
        <f t="shared" si="208"/>
        <v>0</v>
      </c>
      <c r="J911">
        <f t="shared" si="209"/>
        <v>0</v>
      </c>
      <c r="K911" s="4" t="e">
        <f t="shared" si="198"/>
        <v>#N/A</v>
      </c>
      <c r="L911" t="e">
        <f t="shared" si="199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200"/>
        <v>0</v>
      </c>
      <c r="B912">
        <f t="shared" si="201"/>
        <v>0</v>
      </c>
      <c r="C912">
        <f t="shared" si="202"/>
        <v>0</v>
      </c>
      <c r="D912">
        <f t="shared" si="203"/>
        <v>0</v>
      </c>
      <c r="E912" t="e">
        <f t="shared" si="204"/>
        <v>#N/A</v>
      </c>
      <c r="F912">
        <f t="shared" si="205"/>
        <v>0</v>
      </c>
      <c r="G912">
        <f t="shared" si="206"/>
        <v>0</v>
      </c>
      <c r="H912">
        <f t="shared" si="207"/>
        <v>0</v>
      </c>
      <c r="I912">
        <f t="shared" si="208"/>
        <v>0</v>
      </c>
      <c r="J912">
        <f t="shared" si="209"/>
        <v>0</v>
      </c>
      <c r="K912" s="4" t="e">
        <f t="shared" si="198"/>
        <v>#N/A</v>
      </c>
      <c r="L912" t="e">
        <f t="shared" si="199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200"/>
        <v>0</v>
      </c>
      <c r="B913">
        <f t="shared" si="201"/>
        <v>0</v>
      </c>
      <c r="C913">
        <f t="shared" si="202"/>
        <v>0</v>
      </c>
      <c r="D913">
        <f t="shared" si="203"/>
        <v>0</v>
      </c>
      <c r="E913" t="e">
        <f t="shared" si="204"/>
        <v>#N/A</v>
      </c>
      <c r="F913">
        <f t="shared" si="205"/>
        <v>0</v>
      </c>
      <c r="G913">
        <f t="shared" si="206"/>
        <v>0</v>
      </c>
      <c r="H913">
        <f t="shared" si="207"/>
        <v>0</v>
      </c>
      <c r="I913">
        <f t="shared" si="208"/>
        <v>0</v>
      </c>
      <c r="J913">
        <f t="shared" si="209"/>
        <v>0</v>
      </c>
      <c r="K913" s="4" t="e">
        <f t="shared" si="198"/>
        <v>#N/A</v>
      </c>
      <c r="L913" t="e">
        <f t="shared" si="199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200"/>
        <v>0</v>
      </c>
      <c r="B914">
        <f t="shared" si="201"/>
        <v>0</v>
      </c>
      <c r="C914">
        <f t="shared" si="202"/>
        <v>0</v>
      </c>
      <c r="D914">
        <f t="shared" si="203"/>
        <v>0</v>
      </c>
      <c r="E914" t="e">
        <f t="shared" si="204"/>
        <v>#N/A</v>
      </c>
      <c r="F914">
        <f t="shared" si="205"/>
        <v>0</v>
      </c>
      <c r="G914">
        <f t="shared" si="206"/>
        <v>0</v>
      </c>
      <c r="H914">
        <f t="shared" si="207"/>
        <v>0</v>
      </c>
      <c r="I914">
        <f t="shared" si="208"/>
        <v>0</v>
      </c>
      <c r="J914">
        <f t="shared" si="209"/>
        <v>0</v>
      </c>
      <c r="K914" s="4" t="e">
        <f t="shared" si="198"/>
        <v>#N/A</v>
      </c>
      <c r="L914" t="e">
        <f t="shared" si="199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200"/>
        <v>0</v>
      </c>
      <c r="B915">
        <f t="shared" si="201"/>
        <v>0</v>
      </c>
      <c r="C915">
        <f t="shared" si="202"/>
        <v>0</v>
      </c>
      <c r="D915">
        <f t="shared" si="203"/>
        <v>0</v>
      </c>
      <c r="E915" t="e">
        <f t="shared" si="204"/>
        <v>#N/A</v>
      </c>
      <c r="F915">
        <f t="shared" si="205"/>
        <v>0</v>
      </c>
      <c r="G915">
        <f t="shared" si="206"/>
        <v>0</v>
      </c>
      <c r="H915">
        <f t="shared" si="207"/>
        <v>0</v>
      </c>
      <c r="I915">
        <f t="shared" si="208"/>
        <v>0</v>
      </c>
      <c r="J915">
        <f t="shared" si="209"/>
        <v>0</v>
      </c>
      <c r="K915" s="4" t="e">
        <f t="shared" si="198"/>
        <v>#N/A</v>
      </c>
      <c r="L915" t="e">
        <f t="shared" si="199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200"/>
        <v>0</v>
      </c>
      <c r="B916">
        <f t="shared" si="201"/>
        <v>0</v>
      </c>
      <c r="C916">
        <f t="shared" si="202"/>
        <v>0</v>
      </c>
      <c r="D916">
        <f t="shared" si="203"/>
        <v>0</v>
      </c>
      <c r="E916" t="e">
        <f t="shared" si="204"/>
        <v>#N/A</v>
      </c>
      <c r="F916">
        <f t="shared" si="205"/>
        <v>0</v>
      </c>
      <c r="G916">
        <f t="shared" si="206"/>
        <v>0</v>
      </c>
      <c r="H916">
        <f t="shared" si="207"/>
        <v>0</v>
      </c>
      <c r="I916">
        <f t="shared" si="208"/>
        <v>0</v>
      </c>
      <c r="J916">
        <f t="shared" si="209"/>
        <v>0</v>
      </c>
      <c r="K916" s="4" t="e">
        <f t="shared" si="198"/>
        <v>#N/A</v>
      </c>
      <c r="L916" t="e">
        <f t="shared" si="199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200"/>
        <v>0</v>
      </c>
      <c r="B917">
        <f t="shared" si="201"/>
        <v>0</v>
      </c>
      <c r="C917">
        <f t="shared" si="202"/>
        <v>0</v>
      </c>
      <c r="D917">
        <f t="shared" si="203"/>
        <v>0</v>
      </c>
      <c r="E917" t="e">
        <f t="shared" si="204"/>
        <v>#N/A</v>
      </c>
      <c r="F917">
        <f t="shared" si="205"/>
        <v>0</v>
      </c>
      <c r="G917">
        <f t="shared" si="206"/>
        <v>0</v>
      </c>
      <c r="H917">
        <f t="shared" si="207"/>
        <v>0</v>
      </c>
      <c r="I917">
        <f t="shared" si="208"/>
        <v>0</v>
      </c>
      <c r="J917">
        <f t="shared" si="209"/>
        <v>0</v>
      </c>
      <c r="K917" s="4" t="e">
        <f t="shared" si="198"/>
        <v>#N/A</v>
      </c>
      <c r="L917" t="e">
        <f t="shared" si="199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200"/>
        <v>0</v>
      </c>
      <c r="B918">
        <f t="shared" si="201"/>
        <v>0</v>
      </c>
      <c r="C918">
        <f t="shared" si="202"/>
        <v>0</v>
      </c>
      <c r="D918">
        <f t="shared" si="203"/>
        <v>0</v>
      </c>
      <c r="E918" t="e">
        <f t="shared" si="204"/>
        <v>#N/A</v>
      </c>
      <c r="F918">
        <f t="shared" si="205"/>
        <v>0</v>
      </c>
      <c r="G918">
        <f t="shared" si="206"/>
        <v>0</v>
      </c>
      <c r="H918">
        <f t="shared" si="207"/>
        <v>0</v>
      </c>
      <c r="I918">
        <f t="shared" si="208"/>
        <v>0</v>
      </c>
      <c r="J918">
        <f t="shared" si="209"/>
        <v>0</v>
      </c>
      <c r="K918" s="4" t="e">
        <f t="shared" si="198"/>
        <v>#N/A</v>
      </c>
      <c r="L918" t="e">
        <f t="shared" si="199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200"/>
        <v>0</v>
      </c>
      <c r="B919">
        <f t="shared" si="201"/>
        <v>0</v>
      </c>
      <c r="C919">
        <f t="shared" si="202"/>
        <v>0</v>
      </c>
      <c r="D919">
        <f t="shared" si="203"/>
        <v>0</v>
      </c>
      <c r="E919" t="e">
        <f t="shared" si="204"/>
        <v>#N/A</v>
      </c>
      <c r="F919">
        <f t="shared" si="205"/>
        <v>0</v>
      </c>
      <c r="G919">
        <f t="shared" si="206"/>
        <v>0</v>
      </c>
      <c r="H919">
        <f t="shared" si="207"/>
        <v>0</v>
      </c>
      <c r="I919">
        <f t="shared" si="208"/>
        <v>0</v>
      </c>
      <c r="J919">
        <f t="shared" si="209"/>
        <v>0</v>
      </c>
      <c r="K919" s="4" t="e">
        <f t="shared" si="198"/>
        <v>#N/A</v>
      </c>
      <c r="L919" t="e">
        <f t="shared" si="199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200"/>
        <v>0</v>
      </c>
      <c r="B920">
        <f t="shared" si="201"/>
        <v>0</v>
      </c>
      <c r="C920">
        <f t="shared" si="202"/>
        <v>0</v>
      </c>
      <c r="D920">
        <f t="shared" si="203"/>
        <v>0</v>
      </c>
      <c r="E920" t="e">
        <f t="shared" si="204"/>
        <v>#N/A</v>
      </c>
      <c r="F920">
        <f t="shared" si="205"/>
        <v>0</v>
      </c>
      <c r="G920">
        <f t="shared" si="206"/>
        <v>0</v>
      </c>
      <c r="H920">
        <f t="shared" si="207"/>
        <v>0</v>
      </c>
      <c r="I920">
        <f t="shared" si="208"/>
        <v>0</v>
      </c>
      <c r="J920">
        <f t="shared" si="209"/>
        <v>0</v>
      </c>
      <c r="K920" s="4" t="e">
        <f t="shared" si="198"/>
        <v>#N/A</v>
      </c>
      <c r="L920" t="e">
        <f t="shared" si="199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200"/>
        <v>0</v>
      </c>
      <c r="B921">
        <f t="shared" si="201"/>
        <v>0</v>
      </c>
      <c r="C921">
        <f t="shared" si="202"/>
        <v>0</v>
      </c>
      <c r="D921">
        <f t="shared" si="203"/>
        <v>0</v>
      </c>
      <c r="E921" t="e">
        <f t="shared" si="204"/>
        <v>#N/A</v>
      </c>
      <c r="F921">
        <f t="shared" si="205"/>
        <v>0</v>
      </c>
      <c r="G921">
        <f t="shared" si="206"/>
        <v>0</v>
      </c>
      <c r="H921">
        <f t="shared" si="207"/>
        <v>0</v>
      </c>
      <c r="I921">
        <f t="shared" si="208"/>
        <v>0</v>
      </c>
      <c r="J921">
        <f t="shared" si="209"/>
        <v>0</v>
      </c>
      <c r="K921" s="4" t="e">
        <f t="shared" si="198"/>
        <v>#N/A</v>
      </c>
      <c r="L921" t="e">
        <f t="shared" si="199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200"/>
        <v>0</v>
      </c>
      <c r="B922">
        <f t="shared" si="201"/>
        <v>0</v>
      </c>
      <c r="C922">
        <f t="shared" si="202"/>
        <v>0</v>
      </c>
      <c r="D922">
        <f t="shared" si="203"/>
        <v>0</v>
      </c>
      <c r="E922" t="e">
        <f t="shared" si="204"/>
        <v>#N/A</v>
      </c>
      <c r="F922">
        <f t="shared" si="205"/>
        <v>0</v>
      </c>
      <c r="G922">
        <f t="shared" si="206"/>
        <v>0</v>
      </c>
      <c r="H922">
        <f t="shared" si="207"/>
        <v>0</v>
      </c>
      <c r="I922">
        <f t="shared" si="208"/>
        <v>0</v>
      </c>
      <c r="J922">
        <f t="shared" si="209"/>
        <v>0</v>
      </c>
      <c r="K922" s="4" t="e">
        <f t="shared" si="198"/>
        <v>#N/A</v>
      </c>
      <c r="L922" t="e">
        <f t="shared" si="199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200"/>
        <v>0</v>
      </c>
      <c r="B923">
        <f t="shared" si="201"/>
        <v>0</v>
      </c>
      <c r="C923">
        <f t="shared" si="202"/>
        <v>0</v>
      </c>
      <c r="D923">
        <f t="shared" si="203"/>
        <v>0</v>
      </c>
      <c r="E923" t="e">
        <f t="shared" si="204"/>
        <v>#N/A</v>
      </c>
      <c r="F923">
        <f t="shared" si="205"/>
        <v>0</v>
      </c>
      <c r="G923">
        <f t="shared" si="206"/>
        <v>0</v>
      </c>
      <c r="H923">
        <f t="shared" si="207"/>
        <v>0</v>
      </c>
      <c r="I923">
        <f t="shared" si="208"/>
        <v>0</v>
      </c>
      <c r="J923">
        <f t="shared" si="209"/>
        <v>0</v>
      </c>
      <c r="K923" s="4" t="e">
        <f t="shared" si="198"/>
        <v>#N/A</v>
      </c>
      <c r="L923" t="e">
        <f t="shared" si="199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200"/>
        <v>0</v>
      </c>
      <c r="B924">
        <f t="shared" si="201"/>
        <v>0</v>
      </c>
      <c r="C924">
        <f t="shared" si="202"/>
        <v>0</v>
      </c>
      <c r="D924">
        <f t="shared" si="203"/>
        <v>0</v>
      </c>
      <c r="E924" t="e">
        <f t="shared" si="204"/>
        <v>#N/A</v>
      </c>
      <c r="F924">
        <f t="shared" si="205"/>
        <v>0</v>
      </c>
      <c r="G924">
        <f t="shared" si="206"/>
        <v>0</v>
      </c>
      <c r="H924">
        <f t="shared" si="207"/>
        <v>0</v>
      </c>
      <c r="I924">
        <f t="shared" si="208"/>
        <v>0</v>
      </c>
      <c r="J924">
        <f t="shared" si="209"/>
        <v>0</v>
      </c>
      <c r="K924" s="4" t="e">
        <f t="shared" si="198"/>
        <v>#N/A</v>
      </c>
      <c r="L924" t="e">
        <f t="shared" si="199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200"/>
        <v>0</v>
      </c>
      <c r="B925">
        <f t="shared" si="201"/>
        <v>0</v>
      </c>
      <c r="C925">
        <f t="shared" si="202"/>
        <v>0</v>
      </c>
      <c r="D925">
        <f t="shared" si="203"/>
        <v>0</v>
      </c>
      <c r="E925" t="e">
        <f t="shared" si="204"/>
        <v>#N/A</v>
      </c>
      <c r="F925">
        <f t="shared" si="205"/>
        <v>0</v>
      </c>
      <c r="G925">
        <f t="shared" si="206"/>
        <v>0</v>
      </c>
      <c r="H925">
        <f t="shared" si="207"/>
        <v>0</v>
      </c>
      <c r="I925">
        <f t="shared" si="208"/>
        <v>0</v>
      </c>
      <c r="J925">
        <f t="shared" si="209"/>
        <v>0</v>
      </c>
      <c r="K925" s="4" t="e">
        <f t="shared" si="198"/>
        <v>#N/A</v>
      </c>
      <c r="L925" t="e">
        <f t="shared" si="199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200"/>
        <v>0</v>
      </c>
      <c r="B926">
        <f t="shared" si="201"/>
        <v>0</v>
      </c>
      <c r="C926">
        <f t="shared" si="202"/>
        <v>0</v>
      </c>
      <c r="D926">
        <f t="shared" si="203"/>
        <v>0</v>
      </c>
      <c r="E926" t="e">
        <f t="shared" si="204"/>
        <v>#N/A</v>
      </c>
      <c r="F926">
        <f t="shared" si="205"/>
        <v>0</v>
      </c>
      <c r="G926">
        <f t="shared" si="206"/>
        <v>0</v>
      </c>
      <c r="H926">
        <f t="shared" si="207"/>
        <v>0</v>
      </c>
      <c r="I926">
        <f t="shared" si="208"/>
        <v>0</v>
      </c>
      <c r="J926">
        <f t="shared" si="209"/>
        <v>0</v>
      </c>
      <c r="K926" s="4" t="e">
        <f t="shared" si="198"/>
        <v>#N/A</v>
      </c>
      <c r="L926" t="e">
        <f t="shared" si="199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200"/>
        <v>0</v>
      </c>
      <c r="B927">
        <f t="shared" si="201"/>
        <v>0</v>
      </c>
      <c r="C927">
        <f t="shared" si="202"/>
        <v>0</v>
      </c>
      <c r="D927">
        <f t="shared" si="203"/>
        <v>0</v>
      </c>
      <c r="E927" t="e">
        <f t="shared" si="204"/>
        <v>#N/A</v>
      </c>
      <c r="F927">
        <f t="shared" si="205"/>
        <v>0</v>
      </c>
      <c r="G927">
        <f t="shared" si="206"/>
        <v>0</v>
      </c>
      <c r="H927">
        <f t="shared" si="207"/>
        <v>0</v>
      </c>
      <c r="I927">
        <f t="shared" si="208"/>
        <v>0</v>
      </c>
      <c r="J927">
        <f t="shared" si="209"/>
        <v>0</v>
      </c>
      <c r="K927" s="4" t="e">
        <f t="shared" si="198"/>
        <v>#N/A</v>
      </c>
      <c r="L927" t="e">
        <f t="shared" si="199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200"/>
        <v>0</v>
      </c>
      <c r="B928">
        <f t="shared" si="201"/>
        <v>0</v>
      </c>
      <c r="C928">
        <f t="shared" si="202"/>
        <v>0</v>
      </c>
      <c r="D928">
        <f t="shared" si="203"/>
        <v>0</v>
      </c>
      <c r="E928" t="e">
        <f t="shared" si="204"/>
        <v>#N/A</v>
      </c>
      <c r="F928">
        <f t="shared" si="205"/>
        <v>0</v>
      </c>
      <c r="G928">
        <f t="shared" si="206"/>
        <v>0</v>
      </c>
      <c r="H928">
        <f t="shared" si="207"/>
        <v>0</v>
      </c>
      <c r="I928">
        <f t="shared" si="208"/>
        <v>0</v>
      </c>
      <c r="J928">
        <f t="shared" si="209"/>
        <v>0</v>
      </c>
      <c r="K928" s="4" t="e">
        <f t="shared" si="198"/>
        <v>#N/A</v>
      </c>
      <c r="L928" t="e">
        <f t="shared" si="199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200"/>
        <v>0</v>
      </c>
      <c r="B929">
        <f t="shared" si="201"/>
        <v>0</v>
      </c>
      <c r="C929">
        <f t="shared" si="202"/>
        <v>0</v>
      </c>
      <c r="D929">
        <f t="shared" si="203"/>
        <v>0</v>
      </c>
      <c r="E929" t="e">
        <f t="shared" si="204"/>
        <v>#N/A</v>
      </c>
      <c r="F929">
        <f t="shared" si="205"/>
        <v>0</v>
      </c>
      <c r="G929">
        <f t="shared" si="206"/>
        <v>0</v>
      </c>
      <c r="H929">
        <f t="shared" si="207"/>
        <v>0</v>
      </c>
      <c r="I929">
        <f t="shared" si="208"/>
        <v>0</v>
      </c>
      <c r="J929">
        <f t="shared" si="209"/>
        <v>0</v>
      </c>
      <c r="K929" s="4" t="e">
        <f t="shared" si="198"/>
        <v>#N/A</v>
      </c>
      <c r="L929" t="e">
        <f t="shared" si="199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200"/>
        <v>0</v>
      </c>
      <c r="B930">
        <f t="shared" si="201"/>
        <v>0</v>
      </c>
      <c r="C930">
        <f t="shared" si="202"/>
        <v>0</v>
      </c>
      <c r="D930">
        <f t="shared" si="203"/>
        <v>0</v>
      </c>
      <c r="E930" t="e">
        <f t="shared" si="204"/>
        <v>#N/A</v>
      </c>
      <c r="F930">
        <f t="shared" si="205"/>
        <v>0</v>
      </c>
      <c r="G930">
        <f t="shared" si="206"/>
        <v>0</v>
      </c>
      <c r="H930">
        <f t="shared" si="207"/>
        <v>0</v>
      </c>
      <c r="I930">
        <f t="shared" si="208"/>
        <v>0</v>
      </c>
      <c r="J930">
        <f t="shared" si="209"/>
        <v>0</v>
      </c>
      <c r="K930" s="4" t="e">
        <f t="shared" si="198"/>
        <v>#N/A</v>
      </c>
      <c r="L930" t="e">
        <f t="shared" si="199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200"/>
        <v>0</v>
      </c>
      <c r="B931">
        <f t="shared" si="201"/>
        <v>0</v>
      </c>
      <c r="C931">
        <f t="shared" si="202"/>
        <v>0</v>
      </c>
      <c r="D931">
        <f t="shared" si="203"/>
        <v>0</v>
      </c>
      <c r="E931" t="e">
        <f t="shared" si="204"/>
        <v>#N/A</v>
      </c>
      <c r="F931">
        <f t="shared" si="205"/>
        <v>0</v>
      </c>
      <c r="G931">
        <f t="shared" si="206"/>
        <v>0</v>
      </c>
      <c r="H931">
        <f t="shared" si="207"/>
        <v>0</v>
      </c>
      <c r="I931">
        <f t="shared" si="208"/>
        <v>0</v>
      </c>
      <c r="J931">
        <f t="shared" si="209"/>
        <v>0</v>
      </c>
      <c r="K931" s="4" t="e">
        <f t="shared" si="198"/>
        <v>#N/A</v>
      </c>
      <c r="L931" t="e">
        <f t="shared" si="199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200"/>
        <v>0</v>
      </c>
      <c r="B932">
        <f t="shared" si="201"/>
        <v>0</v>
      </c>
      <c r="C932">
        <f t="shared" si="202"/>
        <v>0</v>
      </c>
      <c r="D932">
        <f t="shared" si="203"/>
        <v>0</v>
      </c>
      <c r="E932" t="e">
        <f t="shared" si="204"/>
        <v>#N/A</v>
      </c>
      <c r="F932">
        <f t="shared" si="205"/>
        <v>0</v>
      </c>
      <c r="G932">
        <f t="shared" si="206"/>
        <v>0</v>
      </c>
      <c r="H932">
        <f t="shared" si="207"/>
        <v>0</v>
      </c>
      <c r="I932">
        <f t="shared" si="208"/>
        <v>0</v>
      </c>
      <c r="J932">
        <f t="shared" si="209"/>
        <v>0</v>
      </c>
      <c r="K932" s="4" t="e">
        <f t="shared" si="198"/>
        <v>#N/A</v>
      </c>
      <c r="L932" t="e">
        <f t="shared" si="199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200"/>
        <v>0</v>
      </c>
      <c r="B933">
        <f t="shared" si="201"/>
        <v>0</v>
      </c>
      <c r="C933">
        <f t="shared" si="202"/>
        <v>0</v>
      </c>
      <c r="D933">
        <f t="shared" si="203"/>
        <v>0</v>
      </c>
      <c r="E933" t="e">
        <f t="shared" si="204"/>
        <v>#N/A</v>
      </c>
      <c r="F933">
        <f t="shared" si="205"/>
        <v>0</v>
      </c>
      <c r="G933">
        <f t="shared" si="206"/>
        <v>0</v>
      </c>
      <c r="H933">
        <f t="shared" si="207"/>
        <v>0</v>
      </c>
      <c r="I933">
        <f t="shared" si="208"/>
        <v>0</v>
      </c>
      <c r="J933">
        <f t="shared" si="209"/>
        <v>0</v>
      </c>
      <c r="K933" s="4" t="e">
        <f t="shared" si="198"/>
        <v>#N/A</v>
      </c>
      <c r="L933" t="e">
        <f t="shared" si="199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200"/>
        <v>0</v>
      </c>
      <c r="B934">
        <f t="shared" si="201"/>
        <v>0</v>
      </c>
      <c r="C934">
        <f t="shared" si="202"/>
        <v>0</v>
      </c>
      <c r="D934">
        <f t="shared" si="203"/>
        <v>0</v>
      </c>
      <c r="E934" t="e">
        <f t="shared" si="204"/>
        <v>#N/A</v>
      </c>
      <c r="F934">
        <f t="shared" si="205"/>
        <v>0</v>
      </c>
      <c r="G934">
        <f t="shared" si="206"/>
        <v>0</v>
      </c>
      <c r="H934">
        <f t="shared" si="207"/>
        <v>0</v>
      </c>
      <c r="I934">
        <f t="shared" si="208"/>
        <v>0</v>
      </c>
      <c r="J934">
        <f t="shared" si="209"/>
        <v>0</v>
      </c>
      <c r="K934" s="4" t="e">
        <f t="shared" si="198"/>
        <v>#N/A</v>
      </c>
      <c r="L934" t="e">
        <f t="shared" si="199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200"/>
        <v>0</v>
      </c>
      <c r="B935">
        <f t="shared" si="201"/>
        <v>0</v>
      </c>
      <c r="C935">
        <f t="shared" si="202"/>
        <v>0</v>
      </c>
      <c r="D935">
        <f t="shared" si="203"/>
        <v>0</v>
      </c>
      <c r="E935" t="e">
        <f t="shared" si="204"/>
        <v>#N/A</v>
      </c>
      <c r="F935">
        <f t="shared" si="205"/>
        <v>0</v>
      </c>
      <c r="G935">
        <f t="shared" si="206"/>
        <v>0</v>
      </c>
      <c r="H935">
        <f t="shared" si="207"/>
        <v>0</v>
      </c>
      <c r="I935">
        <f t="shared" si="208"/>
        <v>0</v>
      </c>
      <c r="J935">
        <f t="shared" si="209"/>
        <v>0</v>
      </c>
      <c r="K935" s="4" t="e">
        <f t="shared" si="198"/>
        <v>#N/A</v>
      </c>
      <c r="L935" t="e">
        <f t="shared" si="199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200"/>
        <v>0</v>
      </c>
      <c r="B936">
        <f t="shared" si="201"/>
        <v>0</v>
      </c>
      <c r="C936">
        <f t="shared" si="202"/>
        <v>0</v>
      </c>
      <c r="D936">
        <f t="shared" si="203"/>
        <v>0</v>
      </c>
      <c r="E936" t="e">
        <f t="shared" si="204"/>
        <v>#N/A</v>
      </c>
      <c r="F936">
        <f t="shared" si="205"/>
        <v>0</v>
      </c>
      <c r="G936">
        <f t="shared" si="206"/>
        <v>0</v>
      </c>
      <c r="H936">
        <f t="shared" si="207"/>
        <v>0</v>
      </c>
      <c r="I936">
        <f t="shared" si="208"/>
        <v>0</v>
      </c>
      <c r="J936">
        <f t="shared" si="209"/>
        <v>0</v>
      </c>
      <c r="K936" s="4" t="e">
        <f t="shared" si="198"/>
        <v>#N/A</v>
      </c>
      <c r="L936" t="e">
        <f t="shared" si="199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200"/>
        <v>0</v>
      </c>
      <c r="B937">
        <f t="shared" si="201"/>
        <v>0</v>
      </c>
      <c r="C937">
        <f t="shared" si="202"/>
        <v>0</v>
      </c>
      <c r="D937">
        <f t="shared" si="203"/>
        <v>0</v>
      </c>
      <c r="E937" t="e">
        <f t="shared" si="204"/>
        <v>#N/A</v>
      </c>
      <c r="F937">
        <f t="shared" si="205"/>
        <v>0</v>
      </c>
      <c r="G937">
        <f t="shared" si="206"/>
        <v>0</v>
      </c>
      <c r="H937">
        <f t="shared" si="207"/>
        <v>0</v>
      </c>
      <c r="I937">
        <f t="shared" si="208"/>
        <v>0</v>
      </c>
      <c r="J937">
        <f t="shared" si="209"/>
        <v>0</v>
      </c>
      <c r="K937" s="4" t="e">
        <f t="shared" si="198"/>
        <v>#N/A</v>
      </c>
      <c r="L937" t="e">
        <f t="shared" si="199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200"/>
        <v>0</v>
      </c>
      <c r="B938">
        <f t="shared" si="201"/>
        <v>0</v>
      </c>
      <c r="C938">
        <f t="shared" si="202"/>
        <v>0</v>
      </c>
      <c r="D938">
        <f t="shared" si="203"/>
        <v>0</v>
      </c>
      <c r="E938" t="e">
        <f t="shared" si="204"/>
        <v>#N/A</v>
      </c>
      <c r="F938">
        <f t="shared" si="205"/>
        <v>0</v>
      </c>
      <c r="G938">
        <f t="shared" si="206"/>
        <v>0</v>
      </c>
      <c r="H938">
        <f t="shared" si="207"/>
        <v>0</v>
      </c>
      <c r="I938">
        <f t="shared" si="208"/>
        <v>0</v>
      </c>
      <c r="J938">
        <f t="shared" si="209"/>
        <v>0</v>
      </c>
      <c r="K938" s="4" t="e">
        <f t="shared" si="198"/>
        <v>#N/A</v>
      </c>
      <c r="L938" t="e">
        <f t="shared" si="199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200"/>
        <v>0</v>
      </c>
      <c r="B939">
        <f t="shared" si="201"/>
        <v>0</v>
      </c>
      <c r="C939">
        <f t="shared" si="202"/>
        <v>0</v>
      </c>
      <c r="D939">
        <f t="shared" si="203"/>
        <v>0</v>
      </c>
      <c r="E939" t="e">
        <f t="shared" si="204"/>
        <v>#N/A</v>
      </c>
      <c r="F939">
        <f t="shared" si="205"/>
        <v>0</v>
      </c>
      <c r="G939">
        <f t="shared" si="206"/>
        <v>0</v>
      </c>
      <c r="H939">
        <f t="shared" si="207"/>
        <v>0</v>
      </c>
      <c r="I939">
        <f t="shared" si="208"/>
        <v>0</v>
      </c>
      <c r="J939">
        <f t="shared" si="209"/>
        <v>0</v>
      </c>
      <c r="K939" s="4" t="e">
        <f t="shared" si="198"/>
        <v>#N/A</v>
      </c>
      <c r="L939" t="e">
        <f t="shared" si="199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200"/>
        <v>0</v>
      </c>
      <c r="B940">
        <f t="shared" si="201"/>
        <v>0</v>
      </c>
      <c r="C940">
        <f t="shared" si="202"/>
        <v>0</v>
      </c>
      <c r="D940">
        <f t="shared" si="203"/>
        <v>0</v>
      </c>
      <c r="E940" t="e">
        <f t="shared" si="204"/>
        <v>#N/A</v>
      </c>
      <c r="F940">
        <f t="shared" si="205"/>
        <v>0</v>
      </c>
      <c r="G940">
        <f t="shared" si="206"/>
        <v>0</v>
      </c>
      <c r="H940">
        <f t="shared" si="207"/>
        <v>0</v>
      </c>
      <c r="I940">
        <f t="shared" si="208"/>
        <v>0</v>
      </c>
      <c r="J940">
        <f t="shared" si="209"/>
        <v>0</v>
      </c>
      <c r="K940" s="4" t="e">
        <f t="shared" ref="K940:K1003" si="212">IF(LEFT(B940,3)="DBM",0,VLOOKUP(E940,tabela,2,FALSE))</f>
        <v>#N/A</v>
      </c>
      <c r="L940" t="e">
        <f t="shared" ref="L940:L1003" si="213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200"/>
        <v>0</v>
      </c>
      <c r="B941">
        <f t="shared" si="201"/>
        <v>0</v>
      </c>
      <c r="C941">
        <f t="shared" si="202"/>
        <v>0</v>
      </c>
      <c r="D941">
        <f t="shared" si="203"/>
        <v>0</v>
      </c>
      <c r="E941" t="e">
        <f t="shared" si="204"/>
        <v>#N/A</v>
      </c>
      <c r="F941">
        <f t="shared" si="205"/>
        <v>0</v>
      </c>
      <c r="G941">
        <f t="shared" si="206"/>
        <v>0</v>
      </c>
      <c r="H941">
        <f t="shared" si="207"/>
        <v>0</v>
      </c>
      <c r="I941">
        <f t="shared" si="208"/>
        <v>0</v>
      </c>
      <c r="J941">
        <f t="shared" si="209"/>
        <v>0</v>
      </c>
      <c r="K941" s="4" t="e">
        <f t="shared" si="212"/>
        <v>#N/A</v>
      </c>
      <c r="L941" t="e">
        <f t="shared" si="213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200"/>
        <v>0</v>
      </c>
      <c r="B942">
        <f t="shared" si="201"/>
        <v>0</v>
      </c>
      <c r="C942">
        <f t="shared" si="202"/>
        <v>0</v>
      </c>
      <c r="D942">
        <f t="shared" si="203"/>
        <v>0</v>
      </c>
      <c r="E942" t="e">
        <f t="shared" si="204"/>
        <v>#N/A</v>
      </c>
      <c r="F942">
        <f t="shared" si="205"/>
        <v>0</v>
      </c>
      <c r="G942">
        <f t="shared" si="206"/>
        <v>0</v>
      </c>
      <c r="H942">
        <f t="shared" si="207"/>
        <v>0</v>
      </c>
      <c r="I942">
        <f t="shared" si="208"/>
        <v>0</v>
      </c>
      <c r="J942">
        <f t="shared" si="209"/>
        <v>0</v>
      </c>
      <c r="K942" s="4" t="e">
        <f t="shared" si="212"/>
        <v>#N/A</v>
      </c>
      <c r="L942" t="e">
        <f t="shared" si="213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200"/>
        <v>0</v>
      </c>
      <c r="B943">
        <f t="shared" si="201"/>
        <v>0</v>
      </c>
      <c r="C943">
        <f t="shared" si="202"/>
        <v>0</v>
      </c>
      <c r="D943">
        <f t="shared" si="203"/>
        <v>0</v>
      </c>
      <c r="E943" t="e">
        <f t="shared" si="204"/>
        <v>#N/A</v>
      </c>
      <c r="F943">
        <f t="shared" si="205"/>
        <v>0</v>
      </c>
      <c r="G943">
        <f t="shared" si="206"/>
        <v>0</v>
      </c>
      <c r="H943">
        <f t="shared" si="207"/>
        <v>0</v>
      </c>
      <c r="I943">
        <f t="shared" si="208"/>
        <v>0</v>
      </c>
      <c r="J943">
        <f t="shared" si="209"/>
        <v>0</v>
      </c>
      <c r="K943" s="4" t="e">
        <f t="shared" si="212"/>
        <v>#N/A</v>
      </c>
      <c r="L943" t="e">
        <f t="shared" si="213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200"/>
        <v>0</v>
      </c>
      <c r="B944">
        <f t="shared" si="201"/>
        <v>0</v>
      </c>
      <c r="C944">
        <f t="shared" si="202"/>
        <v>0</v>
      </c>
      <c r="D944">
        <f t="shared" si="203"/>
        <v>0</v>
      </c>
      <c r="E944" t="e">
        <f t="shared" si="204"/>
        <v>#N/A</v>
      </c>
      <c r="F944">
        <f t="shared" si="205"/>
        <v>0</v>
      </c>
      <c r="G944">
        <f t="shared" si="206"/>
        <v>0</v>
      </c>
      <c r="H944">
        <f t="shared" si="207"/>
        <v>0</v>
      </c>
      <c r="I944">
        <f t="shared" si="208"/>
        <v>0</v>
      </c>
      <c r="J944">
        <f t="shared" si="209"/>
        <v>0</v>
      </c>
      <c r="K944" s="4" t="e">
        <f t="shared" si="212"/>
        <v>#N/A</v>
      </c>
      <c r="L944" t="e">
        <f t="shared" si="213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200"/>
        <v>0</v>
      </c>
      <c r="B945">
        <f t="shared" si="201"/>
        <v>0</v>
      </c>
      <c r="C945">
        <f t="shared" si="202"/>
        <v>0</v>
      </c>
      <c r="D945">
        <f t="shared" si="203"/>
        <v>0</v>
      </c>
      <c r="E945" t="e">
        <f t="shared" si="204"/>
        <v>#N/A</v>
      </c>
      <c r="F945">
        <f t="shared" si="205"/>
        <v>0</v>
      </c>
      <c r="G945">
        <f t="shared" si="206"/>
        <v>0</v>
      </c>
      <c r="H945">
        <f t="shared" si="207"/>
        <v>0</v>
      </c>
      <c r="I945">
        <f t="shared" si="208"/>
        <v>0</v>
      </c>
      <c r="J945">
        <f t="shared" si="209"/>
        <v>0</v>
      </c>
      <c r="K945" s="4" t="e">
        <f t="shared" si="212"/>
        <v>#N/A</v>
      </c>
      <c r="L945" t="e">
        <f t="shared" si="213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200"/>
        <v>0</v>
      </c>
      <c r="B946">
        <f t="shared" si="201"/>
        <v>0</v>
      </c>
      <c r="C946">
        <f t="shared" si="202"/>
        <v>0</v>
      </c>
      <c r="D946">
        <f t="shared" si="203"/>
        <v>0</v>
      </c>
      <c r="E946" t="e">
        <f t="shared" si="204"/>
        <v>#N/A</v>
      </c>
      <c r="F946">
        <f t="shared" si="205"/>
        <v>0</v>
      </c>
      <c r="G946">
        <f t="shared" si="206"/>
        <v>0</v>
      </c>
      <c r="H946">
        <f t="shared" si="207"/>
        <v>0</v>
      </c>
      <c r="I946">
        <f t="shared" si="208"/>
        <v>0</v>
      </c>
      <c r="J946">
        <f t="shared" si="209"/>
        <v>0</v>
      </c>
      <c r="K946" s="4" t="e">
        <f t="shared" si="212"/>
        <v>#N/A</v>
      </c>
      <c r="L946" t="e">
        <f t="shared" si="213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200"/>
        <v>0</v>
      </c>
      <c r="B947">
        <f t="shared" si="201"/>
        <v>0</v>
      </c>
      <c r="C947">
        <f t="shared" si="202"/>
        <v>0</v>
      </c>
      <c r="D947">
        <f t="shared" si="203"/>
        <v>0</v>
      </c>
      <c r="E947" t="e">
        <f t="shared" si="204"/>
        <v>#N/A</v>
      </c>
      <c r="F947">
        <f t="shared" si="205"/>
        <v>0</v>
      </c>
      <c r="G947">
        <f t="shared" si="206"/>
        <v>0</v>
      </c>
      <c r="H947">
        <f t="shared" si="207"/>
        <v>0</v>
      </c>
      <c r="I947">
        <f t="shared" si="208"/>
        <v>0</v>
      </c>
      <c r="J947">
        <f t="shared" si="209"/>
        <v>0</v>
      </c>
      <c r="K947" s="4" t="e">
        <f t="shared" si="212"/>
        <v>#N/A</v>
      </c>
      <c r="L947" t="e">
        <f t="shared" si="213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200"/>
        <v>0</v>
      </c>
      <c r="B948">
        <f t="shared" si="201"/>
        <v>0</v>
      </c>
      <c r="C948">
        <f t="shared" si="202"/>
        <v>0</v>
      </c>
      <c r="D948">
        <f t="shared" si="203"/>
        <v>0</v>
      </c>
      <c r="E948" t="e">
        <f t="shared" si="204"/>
        <v>#N/A</v>
      </c>
      <c r="F948">
        <f t="shared" si="205"/>
        <v>0</v>
      </c>
      <c r="G948">
        <f t="shared" si="206"/>
        <v>0</v>
      </c>
      <c r="H948">
        <f t="shared" si="207"/>
        <v>0</v>
      </c>
      <c r="I948">
        <f t="shared" si="208"/>
        <v>0</v>
      </c>
      <c r="J948">
        <f t="shared" si="209"/>
        <v>0</v>
      </c>
      <c r="K948" s="4" t="e">
        <f t="shared" si="212"/>
        <v>#N/A</v>
      </c>
      <c r="L948" t="e">
        <f t="shared" si="213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200"/>
        <v>0</v>
      </c>
      <c r="B949">
        <f t="shared" si="201"/>
        <v>0</v>
      </c>
      <c r="C949">
        <f t="shared" si="202"/>
        <v>0</v>
      </c>
      <c r="D949">
        <f t="shared" si="203"/>
        <v>0</v>
      </c>
      <c r="E949" t="e">
        <f t="shared" si="204"/>
        <v>#N/A</v>
      </c>
      <c r="F949">
        <f t="shared" si="205"/>
        <v>0</v>
      </c>
      <c r="G949">
        <f t="shared" si="206"/>
        <v>0</v>
      </c>
      <c r="H949">
        <f t="shared" si="207"/>
        <v>0</v>
      </c>
      <c r="I949">
        <f t="shared" si="208"/>
        <v>0</v>
      </c>
      <c r="J949">
        <f t="shared" si="209"/>
        <v>0</v>
      </c>
      <c r="K949" s="4" t="e">
        <f t="shared" si="212"/>
        <v>#N/A</v>
      </c>
      <c r="L949" t="e">
        <f t="shared" si="213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200"/>
        <v>0</v>
      </c>
      <c r="B950">
        <f t="shared" si="201"/>
        <v>0</v>
      </c>
      <c r="C950">
        <f t="shared" si="202"/>
        <v>0</v>
      </c>
      <c r="D950">
        <f t="shared" si="203"/>
        <v>0</v>
      </c>
      <c r="E950" t="e">
        <f t="shared" si="204"/>
        <v>#N/A</v>
      </c>
      <c r="F950">
        <f t="shared" si="205"/>
        <v>0</v>
      </c>
      <c r="G950">
        <f t="shared" si="206"/>
        <v>0</v>
      </c>
      <c r="H950">
        <f t="shared" si="207"/>
        <v>0</v>
      </c>
      <c r="I950">
        <f t="shared" si="208"/>
        <v>0</v>
      </c>
      <c r="J950">
        <f t="shared" si="209"/>
        <v>0</v>
      </c>
      <c r="K950" s="4" t="e">
        <f t="shared" si="212"/>
        <v>#N/A</v>
      </c>
      <c r="L950" t="e">
        <f t="shared" si="213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200"/>
        <v>0</v>
      </c>
      <c r="B951">
        <f t="shared" si="201"/>
        <v>0</v>
      </c>
      <c r="C951">
        <f t="shared" si="202"/>
        <v>0</v>
      </c>
      <c r="D951">
        <f t="shared" si="203"/>
        <v>0</v>
      </c>
      <c r="E951" t="e">
        <f t="shared" si="204"/>
        <v>#N/A</v>
      </c>
      <c r="F951">
        <f t="shared" si="205"/>
        <v>0</v>
      </c>
      <c r="G951">
        <f t="shared" si="206"/>
        <v>0</v>
      </c>
      <c r="H951">
        <f t="shared" si="207"/>
        <v>0</v>
      </c>
      <c r="I951">
        <f t="shared" si="208"/>
        <v>0</v>
      </c>
      <c r="J951">
        <f t="shared" si="209"/>
        <v>0</v>
      </c>
      <c r="K951" s="4" t="e">
        <f t="shared" si="212"/>
        <v>#N/A</v>
      </c>
      <c r="L951" t="e">
        <f t="shared" si="213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200"/>
        <v>0</v>
      </c>
      <c r="B952">
        <f t="shared" si="201"/>
        <v>0</v>
      </c>
      <c r="C952">
        <f t="shared" si="202"/>
        <v>0</v>
      </c>
      <c r="D952">
        <f t="shared" si="203"/>
        <v>0</v>
      </c>
      <c r="E952" t="e">
        <f t="shared" si="204"/>
        <v>#N/A</v>
      </c>
      <c r="F952">
        <f t="shared" si="205"/>
        <v>0</v>
      </c>
      <c r="G952">
        <f t="shared" si="206"/>
        <v>0</v>
      </c>
      <c r="H952">
        <f t="shared" si="207"/>
        <v>0</v>
      </c>
      <c r="I952">
        <f t="shared" si="208"/>
        <v>0</v>
      </c>
      <c r="J952">
        <f t="shared" si="209"/>
        <v>0</v>
      </c>
      <c r="K952" s="4" t="e">
        <f t="shared" si="212"/>
        <v>#N/A</v>
      </c>
      <c r="L952" t="e">
        <f t="shared" si="213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200"/>
        <v>0</v>
      </c>
      <c r="B953">
        <f t="shared" si="201"/>
        <v>0</v>
      </c>
      <c r="C953">
        <f t="shared" si="202"/>
        <v>0</v>
      </c>
      <c r="D953">
        <f t="shared" si="203"/>
        <v>0</v>
      </c>
      <c r="E953" t="e">
        <f t="shared" si="204"/>
        <v>#N/A</v>
      </c>
      <c r="F953">
        <f t="shared" si="205"/>
        <v>0</v>
      </c>
      <c r="G953">
        <f t="shared" si="206"/>
        <v>0</v>
      </c>
      <c r="H953">
        <f t="shared" si="207"/>
        <v>0</v>
      </c>
      <c r="I953">
        <f t="shared" si="208"/>
        <v>0</v>
      </c>
      <c r="J953">
        <f t="shared" si="209"/>
        <v>0</v>
      </c>
      <c r="K953" s="4" t="e">
        <f t="shared" si="212"/>
        <v>#N/A</v>
      </c>
      <c r="L953" t="e">
        <f t="shared" si="213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200"/>
        <v>0</v>
      </c>
      <c r="B954">
        <f t="shared" si="201"/>
        <v>0</v>
      </c>
      <c r="C954">
        <f t="shared" si="202"/>
        <v>0</v>
      </c>
      <c r="D954">
        <f t="shared" si="203"/>
        <v>0</v>
      </c>
      <c r="E954" t="e">
        <f t="shared" si="204"/>
        <v>#N/A</v>
      </c>
      <c r="F954">
        <f t="shared" si="205"/>
        <v>0</v>
      </c>
      <c r="G954">
        <f t="shared" si="206"/>
        <v>0</v>
      </c>
      <c r="H954">
        <f t="shared" si="207"/>
        <v>0</v>
      </c>
      <c r="I954">
        <f t="shared" si="208"/>
        <v>0</v>
      </c>
      <c r="J954">
        <f t="shared" si="209"/>
        <v>0</v>
      </c>
      <c r="K954" s="4" t="e">
        <f t="shared" si="212"/>
        <v>#N/A</v>
      </c>
      <c r="L954" t="e">
        <f t="shared" si="213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200"/>
        <v>0</v>
      </c>
      <c r="B955">
        <f t="shared" si="201"/>
        <v>0</v>
      </c>
      <c r="C955">
        <f t="shared" si="202"/>
        <v>0</v>
      </c>
      <c r="D955">
        <f t="shared" si="203"/>
        <v>0</v>
      </c>
      <c r="E955" t="e">
        <f t="shared" si="204"/>
        <v>#N/A</v>
      </c>
      <c r="F955">
        <f t="shared" si="205"/>
        <v>0</v>
      </c>
      <c r="G955">
        <f t="shared" si="206"/>
        <v>0</v>
      </c>
      <c r="H955">
        <f t="shared" si="207"/>
        <v>0</v>
      </c>
      <c r="I955">
        <f t="shared" si="208"/>
        <v>0</v>
      </c>
      <c r="J955">
        <f t="shared" si="209"/>
        <v>0</v>
      </c>
      <c r="K955" s="4" t="e">
        <f t="shared" si="212"/>
        <v>#N/A</v>
      </c>
      <c r="L955" t="e">
        <f t="shared" si="213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200"/>
        <v>0</v>
      </c>
      <c r="B956">
        <f t="shared" si="201"/>
        <v>0</v>
      </c>
      <c r="C956">
        <f t="shared" si="202"/>
        <v>0</v>
      </c>
      <c r="D956">
        <f t="shared" si="203"/>
        <v>0</v>
      </c>
      <c r="E956" t="e">
        <f t="shared" si="204"/>
        <v>#N/A</v>
      </c>
      <c r="F956">
        <f t="shared" si="205"/>
        <v>0</v>
      </c>
      <c r="G956">
        <f t="shared" si="206"/>
        <v>0</v>
      </c>
      <c r="H956">
        <f t="shared" si="207"/>
        <v>0</v>
      </c>
      <c r="I956">
        <f t="shared" si="208"/>
        <v>0</v>
      </c>
      <c r="J956">
        <f t="shared" si="209"/>
        <v>0</v>
      </c>
      <c r="K956" s="4" t="e">
        <f t="shared" si="212"/>
        <v>#N/A</v>
      </c>
      <c r="L956" t="e">
        <f t="shared" si="213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200"/>
        <v>0</v>
      </c>
      <c r="B957">
        <f t="shared" si="201"/>
        <v>0</v>
      </c>
      <c r="C957">
        <f t="shared" si="202"/>
        <v>0</v>
      </c>
      <c r="D957">
        <f t="shared" si="203"/>
        <v>0</v>
      </c>
      <c r="E957" t="e">
        <f t="shared" si="204"/>
        <v>#N/A</v>
      </c>
      <c r="F957">
        <f t="shared" si="205"/>
        <v>0</v>
      </c>
      <c r="G957">
        <f t="shared" si="206"/>
        <v>0</v>
      </c>
      <c r="H957">
        <f t="shared" si="207"/>
        <v>0</v>
      </c>
      <c r="I957">
        <f t="shared" si="208"/>
        <v>0</v>
      </c>
      <c r="J957">
        <f t="shared" si="209"/>
        <v>0</v>
      </c>
      <c r="K957" s="4" t="e">
        <f t="shared" si="212"/>
        <v>#N/A</v>
      </c>
      <c r="L957" t="e">
        <f t="shared" si="213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200"/>
        <v>0</v>
      </c>
      <c r="B958">
        <f t="shared" si="201"/>
        <v>0</v>
      </c>
      <c r="C958">
        <f t="shared" si="202"/>
        <v>0</v>
      </c>
      <c r="D958">
        <f t="shared" si="203"/>
        <v>0</v>
      </c>
      <c r="E958" t="e">
        <f t="shared" si="204"/>
        <v>#N/A</v>
      </c>
      <c r="F958">
        <f t="shared" si="205"/>
        <v>0</v>
      </c>
      <c r="G958">
        <f t="shared" si="206"/>
        <v>0</v>
      </c>
      <c r="H958">
        <f t="shared" si="207"/>
        <v>0</v>
      </c>
      <c r="I958">
        <f t="shared" si="208"/>
        <v>0</v>
      </c>
      <c r="J958">
        <f t="shared" si="209"/>
        <v>0</v>
      </c>
      <c r="K958" s="4" t="e">
        <f t="shared" si="212"/>
        <v>#N/A</v>
      </c>
      <c r="L958" t="e">
        <f t="shared" si="213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200"/>
        <v>0</v>
      </c>
      <c r="B959">
        <f t="shared" si="201"/>
        <v>0</v>
      </c>
      <c r="C959">
        <f t="shared" si="202"/>
        <v>0</v>
      </c>
      <c r="D959">
        <f t="shared" si="203"/>
        <v>0</v>
      </c>
      <c r="E959" t="e">
        <f t="shared" si="204"/>
        <v>#N/A</v>
      </c>
      <c r="F959">
        <f t="shared" si="205"/>
        <v>0</v>
      </c>
      <c r="G959">
        <f t="shared" si="206"/>
        <v>0</v>
      </c>
      <c r="H959">
        <f t="shared" si="207"/>
        <v>0</v>
      </c>
      <c r="I959">
        <f t="shared" si="208"/>
        <v>0</v>
      </c>
      <c r="J959">
        <f t="shared" si="209"/>
        <v>0</v>
      </c>
      <c r="K959" s="4" t="e">
        <f t="shared" si="212"/>
        <v>#N/A</v>
      </c>
      <c r="L959" t="e">
        <f t="shared" si="213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200"/>
        <v>0</v>
      </c>
      <c r="B960">
        <f t="shared" si="201"/>
        <v>0</v>
      </c>
      <c r="C960">
        <f t="shared" si="202"/>
        <v>0</v>
      </c>
      <c r="D960">
        <f t="shared" si="203"/>
        <v>0</v>
      </c>
      <c r="E960" t="e">
        <f t="shared" si="204"/>
        <v>#N/A</v>
      </c>
      <c r="F960">
        <f t="shared" si="205"/>
        <v>0</v>
      </c>
      <c r="G960">
        <f t="shared" si="206"/>
        <v>0</v>
      </c>
      <c r="H960">
        <f t="shared" si="207"/>
        <v>0</v>
      </c>
      <c r="I960">
        <f t="shared" si="208"/>
        <v>0</v>
      </c>
      <c r="J960">
        <f t="shared" si="209"/>
        <v>0</v>
      </c>
      <c r="K960" s="4" t="e">
        <f t="shared" si="212"/>
        <v>#N/A</v>
      </c>
      <c r="L960" t="e">
        <f t="shared" si="213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200"/>
        <v>0</v>
      </c>
      <c r="B961">
        <f t="shared" si="201"/>
        <v>0</v>
      </c>
      <c r="C961">
        <f t="shared" si="202"/>
        <v>0</v>
      </c>
      <c r="D961">
        <f t="shared" si="203"/>
        <v>0</v>
      </c>
      <c r="E961" t="e">
        <f t="shared" si="204"/>
        <v>#N/A</v>
      </c>
      <c r="F961">
        <f t="shared" si="205"/>
        <v>0</v>
      </c>
      <c r="G961">
        <f t="shared" si="206"/>
        <v>0</v>
      </c>
      <c r="H961">
        <f t="shared" si="207"/>
        <v>0</v>
      </c>
      <c r="I961">
        <f t="shared" si="208"/>
        <v>0</v>
      </c>
      <c r="J961">
        <f t="shared" si="209"/>
        <v>0</v>
      </c>
      <c r="K961" s="4" t="e">
        <f t="shared" si="212"/>
        <v>#N/A</v>
      </c>
      <c r="L961" t="e">
        <f t="shared" si="213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4">bd_campaign</f>
        <v>0</v>
      </c>
      <c r="B962">
        <f t="shared" ref="B962:B1025" si="215">bd_site</f>
        <v>0</v>
      </c>
      <c r="C962">
        <f t="shared" ref="C962:C1025" si="216">bd_placement</f>
        <v>0</v>
      </c>
      <c r="D962">
        <f t="shared" ref="D962:D1025" si="217">bd_placementID</f>
        <v>0</v>
      </c>
      <c r="E962" t="e">
        <f t="shared" ref="E962:E1025" si="218">VLOOKUP(CONCATENATE(bd_adtype,"_",bd_creativetype),tabela,2,FALSE)</f>
        <v>#N/A</v>
      </c>
      <c r="F962">
        <f t="shared" ref="F962:F1025" si="219">bd_ad</f>
        <v>0</v>
      </c>
      <c r="G962">
        <f t="shared" ref="G962:G1025" si="220">bd_adid</f>
        <v>0</v>
      </c>
      <c r="H962">
        <f t="shared" ref="H962:H1025" si="221">bd_creativetype</f>
        <v>0</v>
      </c>
      <c r="I962">
        <f t="shared" ref="I962:I1025" si="222">bd_impression</f>
        <v>0</v>
      </c>
      <c r="J962">
        <f t="shared" ref="J962:J1025" si="223">bd_clicks</f>
        <v>0</v>
      </c>
      <c r="K962" s="4" t="e">
        <f t="shared" si="212"/>
        <v>#N/A</v>
      </c>
      <c r="L962" t="e">
        <f t="shared" si="213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4"/>
        <v>0</v>
      </c>
      <c r="B963">
        <f t="shared" si="215"/>
        <v>0</v>
      </c>
      <c r="C963">
        <f t="shared" si="216"/>
        <v>0</v>
      </c>
      <c r="D963">
        <f t="shared" si="217"/>
        <v>0</v>
      </c>
      <c r="E963" t="e">
        <f t="shared" si="218"/>
        <v>#N/A</v>
      </c>
      <c r="F963">
        <f t="shared" si="219"/>
        <v>0</v>
      </c>
      <c r="G963">
        <f t="shared" si="220"/>
        <v>0</v>
      </c>
      <c r="H963">
        <f t="shared" si="221"/>
        <v>0</v>
      </c>
      <c r="I963">
        <f t="shared" si="222"/>
        <v>0</v>
      </c>
      <c r="J963">
        <f t="shared" si="223"/>
        <v>0</v>
      </c>
      <c r="K963" s="4" t="e">
        <f t="shared" si="212"/>
        <v>#N/A</v>
      </c>
      <c r="L963" t="e">
        <f t="shared" si="213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4"/>
        <v>0</v>
      </c>
      <c r="B964">
        <f t="shared" si="215"/>
        <v>0</v>
      </c>
      <c r="C964">
        <f t="shared" si="216"/>
        <v>0</v>
      </c>
      <c r="D964">
        <f t="shared" si="217"/>
        <v>0</v>
      </c>
      <c r="E964" t="e">
        <f t="shared" si="218"/>
        <v>#N/A</v>
      </c>
      <c r="F964">
        <f t="shared" si="219"/>
        <v>0</v>
      </c>
      <c r="G964">
        <f t="shared" si="220"/>
        <v>0</v>
      </c>
      <c r="H964">
        <f t="shared" si="221"/>
        <v>0</v>
      </c>
      <c r="I964">
        <f t="shared" si="222"/>
        <v>0</v>
      </c>
      <c r="J964">
        <f t="shared" si="223"/>
        <v>0</v>
      </c>
      <c r="K964" s="4" t="e">
        <f t="shared" si="212"/>
        <v>#N/A</v>
      </c>
      <c r="L964" t="e">
        <f t="shared" si="213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4"/>
        <v>0</v>
      </c>
      <c r="B965">
        <f t="shared" si="215"/>
        <v>0</v>
      </c>
      <c r="C965">
        <f t="shared" si="216"/>
        <v>0</v>
      </c>
      <c r="D965">
        <f t="shared" si="217"/>
        <v>0</v>
      </c>
      <c r="E965" t="e">
        <f t="shared" si="218"/>
        <v>#N/A</v>
      </c>
      <c r="F965">
        <f t="shared" si="219"/>
        <v>0</v>
      </c>
      <c r="G965">
        <f t="shared" si="220"/>
        <v>0</v>
      </c>
      <c r="H965">
        <f t="shared" si="221"/>
        <v>0</v>
      </c>
      <c r="I965">
        <f t="shared" si="222"/>
        <v>0</v>
      </c>
      <c r="J965">
        <f t="shared" si="223"/>
        <v>0</v>
      </c>
      <c r="K965" s="4" t="e">
        <f t="shared" si="212"/>
        <v>#N/A</v>
      </c>
      <c r="L965" t="e">
        <f t="shared" si="213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4"/>
        <v>0</v>
      </c>
      <c r="B966">
        <f t="shared" si="215"/>
        <v>0</v>
      </c>
      <c r="C966">
        <f t="shared" si="216"/>
        <v>0</v>
      </c>
      <c r="D966">
        <f t="shared" si="217"/>
        <v>0</v>
      </c>
      <c r="E966" t="e">
        <f t="shared" si="218"/>
        <v>#N/A</v>
      </c>
      <c r="F966">
        <f t="shared" si="219"/>
        <v>0</v>
      </c>
      <c r="G966">
        <f t="shared" si="220"/>
        <v>0</v>
      </c>
      <c r="H966">
        <f t="shared" si="221"/>
        <v>0</v>
      </c>
      <c r="I966">
        <f t="shared" si="222"/>
        <v>0</v>
      </c>
      <c r="J966">
        <f t="shared" si="223"/>
        <v>0</v>
      </c>
      <c r="K966" s="4" t="e">
        <f t="shared" si="212"/>
        <v>#N/A</v>
      </c>
      <c r="L966" t="e">
        <f t="shared" si="213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4"/>
        <v>0</v>
      </c>
      <c r="B967">
        <f t="shared" si="215"/>
        <v>0</v>
      </c>
      <c r="C967">
        <f t="shared" si="216"/>
        <v>0</v>
      </c>
      <c r="D967">
        <f t="shared" si="217"/>
        <v>0</v>
      </c>
      <c r="E967" t="e">
        <f t="shared" si="218"/>
        <v>#N/A</v>
      </c>
      <c r="F967">
        <f t="shared" si="219"/>
        <v>0</v>
      </c>
      <c r="G967">
        <f t="shared" si="220"/>
        <v>0</v>
      </c>
      <c r="H967">
        <f t="shared" si="221"/>
        <v>0</v>
      </c>
      <c r="I967">
        <f t="shared" si="222"/>
        <v>0</v>
      </c>
      <c r="J967">
        <f t="shared" si="223"/>
        <v>0</v>
      </c>
      <c r="K967" s="4" t="e">
        <f t="shared" si="212"/>
        <v>#N/A</v>
      </c>
      <c r="L967" t="e">
        <f t="shared" si="213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4"/>
        <v>0</v>
      </c>
      <c r="B968">
        <f t="shared" si="215"/>
        <v>0</v>
      </c>
      <c r="C968">
        <f t="shared" si="216"/>
        <v>0</v>
      </c>
      <c r="D968">
        <f t="shared" si="217"/>
        <v>0</v>
      </c>
      <c r="E968" t="e">
        <f t="shared" si="218"/>
        <v>#N/A</v>
      </c>
      <c r="F968">
        <f t="shared" si="219"/>
        <v>0</v>
      </c>
      <c r="G968">
        <f t="shared" si="220"/>
        <v>0</v>
      </c>
      <c r="H968">
        <f t="shared" si="221"/>
        <v>0</v>
      </c>
      <c r="I968">
        <f t="shared" si="222"/>
        <v>0</v>
      </c>
      <c r="J968">
        <f t="shared" si="223"/>
        <v>0</v>
      </c>
      <c r="K968" s="4" t="e">
        <f t="shared" si="212"/>
        <v>#N/A</v>
      </c>
      <c r="L968" t="e">
        <f t="shared" si="213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4"/>
        <v>0</v>
      </c>
      <c r="B969">
        <f t="shared" si="215"/>
        <v>0</v>
      </c>
      <c r="C969">
        <f t="shared" si="216"/>
        <v>0</v>
      </c>
      <c r="D969">
        <f t="shared" si="217"/>
        <v>0</v>
      </c>
      <c r="E969" t="e">
        <f t="shared" si="218"/>
        <v>#N/A</v>
      </c>
      <c r="F969">
        <f t="shared" si="219"/>
        <v>0</v>
      </c>
      <c r="G969">
        <f t="shared" si="220"/>
        <v>0</v>
      </c>
      <c r="H969">
        <f t="shared" si="221"/>
        <v>0</v>
      </c>
      <c r="I969">
        <f t="shared" si="222"/>
        <v>0</v>
      </c>
      <c r="J969">
        <f t="shared" si="223"/>
        <v>0</v>
      </c>
      <c r="K969" s="4" t="e">
        <f t="shared" si="212"/>
        <v>#N/A</v>
      </c>
      <c r="L969" t="e">
        <f t="shared" si="213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4"/>
        <v>0</v>
      </c>
      <c r="B970">
        <f t="shared" si="215"/>
        <v>0</v>
      </c>
      <c r="C970">
        <f t="shared" si="216"/>
        <v>0</v>
      </c>
      <c r="D970">
        <f t="shared" si="217"/>
        <v>0</v>
      </c>
      <c r="E970" t="e">
        <f t="shared" si="218"/>
        <v>#N/A</v>
      </c>
      <c r="F970">
        <f t="shared" si="219"/>
        <v>0</v>
      </c>
      <c r="G970">
        <f t="shared" si="220"/>
        <v>0</v>
      </c>
      <c r="H970">
        <f t="shared" si="221"/>
        <v>0</v>
      </c>
      <c r="I970">
        <f t="shared" si="222"/>
        <v>0</v>
      </c>
      <c r="J970">
        <f t="shared" si="223"/>
        <v>0</v>
      </c>
      <c r="K970" s="4" t="e">
        <f t="shared" si="212"/>
        <v>#N/A</v>
      </c>
      <c r="L970" t="e">
        <f t="shared" si="213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4"/>
        <v>0</v>
      </c>
      <c r="B971">
        <f t="shared" si="215"/>
        <v>0</v>
      </c>
      <c r="C971">
        <f t="shared" si="216"/>
        <v>0</v>
      </c>
      <c r="D971">
        <f t="shared" si="217"/>
        <v>0</v>
      </c>
      <c r="E971" t="e">
        <f t="shared" si="218"/>
        <v>#N/A</v>
      </c>
      <c r="F971">
        <f t="shared" si="219"/>
        <v>0</v>
      </c>
      <c r="G971">
        <f t="shared" si="220"/>
        <v>0</v>
      </c>
      <c r="H971">
        <f t="shared" si="221"/>
        <v>0</v>
      </c>
      <c r="I971">
        <f t="shared" si="222"/>
        <v>0</v>
      </c>
      <c r="J971">
        <f t="shared" si="223"/>
        <v>0</v>
      </c>
      <c r="K971" s="4" t="e">
        <f t="shared" si="212"/>
        <v>#N/A</v>
      </c>
      <c r="L971" t="e">
        <f t="shared" si="213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4"/>
        <v>0</v>
      </c>
      <c r="B972">
        <f t="shared" si="215"/>
        <v>0</v>
      </c>
      <c r="C972">
        <f t="shared" si="216"/>
        <v>0</v>
      </c>
      <c r="D972">
        <f t="shared" si="217"/>
        <v>0</v>
      </c>
      <c r="E972" t="e">
        <f t="shared" si="218"/>
        <v>#N/A</v>
      </c>
      <c r="F972">
        <f t="shared" si="219"/>
        <v>0</v>
      </c>
      <c r="G972">
        <f t="shared" si="220"/>
        <v>0</v>
      </c>
      <c r="H972">
        <f t="shared" si="221"/>
        <v>0</v>
      </c>
      <c r="I972">
        <f t="shared" si="222"/>
        <v>0</v>
      </c>
      <c r="J972">
        <f t="shared" si="223"/>
        <v>0</v>
      </c>
      <c r="K972" s="4" t="e">
        <f t="shared" si="212"/>
        <v>#N/A</v>
      </c>
      <c r="L972" t="e">
        <f t="shared" si="213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4"/>
        <v>0</v>
      </c>
      <c r="B973">
        <f t="shared" si="215"/>
        <v>0</v>
      </c>
      <c r="C973">
        <f t="shared" si="216"/>
        <v>0</v>
      </c>
      <c r="D973">
        <f t="shared" si="217"/>
        <v>0</v>
      </c>
      <c r="E973" t="e">
        <f t="shared" si="218"/>
        <v>#N/A</v>
      </c>
      <c r="F973">
        <f t="shared" si="219"/>
        <v>0</v>
      </c>
      <c r="G973">
        <f t="shared" si="220"/>
        <v>0</v>
      </c>
      <c r="H973">
        <f t="shared" si="221"/>
        <v>0</v>
      </c>
      <c r="I973">
        <f t="shared" si="222"/>
        <v>0</v>
      </c>
      <c r="J973">
        <f t="shared" si="223"/>
        <v>0</v>
      </c>
      <c r="K973" s="4" t="e">
        <f t="shared" si="212"/>
        <v>#N/A</v>
      </c>
      <c r="L973" t="e">
        <f t="shared" si="213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4"/>
        <v>0</v>
      </c>
      <c r="B974">
        <f t="shared" si="215"/>
        <v>0</v>
      </c>
      <c r="C974">
        <f t="shared" si="216"/>
        <v>0</v>
      </c>
      <c r="D974">
        <f t="shared" si="217"/>
        <v>0</v>
      </c>
      <c r="E974" t="e">
        <f t="shared" si="218"/>
        <v>#N/A</v>
      </c>
      <c r="F974">
        <f t="shared" si="219"/>
        <v>0</v>
      </c>
      <c r="G974">
        <f t="shared" si="220"/>
        <v>0</v>
      </c>
      <c r="H974">
        <f t="shared" si="221"/>
        <v>0</v>
      </c>
      <c r="I974">
        <f t="shared" si="222"/>
        <v>0</v>
      </c>
      <c r="J974">
        <f t="shared" si="223"/>
        <v>0</v>
      </c>
      <c r="K974" s="4" t="e">
        <f t="shared" si="212"/>
        <v>#N/A</v>
      </c>
      <c r="L974" t="e">
        <f t="shared" si="213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4"/>
        <v>0</v>
      </c>
      <c r="B975">
        <f t="shared" si="215"/>
        <v>0</v>
      </c>
      <c r="C975">
        <f t="shared" si="216"/>
        <v>0</v>
      </c>
      <c r="D975">
        <f t="shared" si="217"/>
        <v>0</v>
      </c>
      <c r="E975" t="e">
        <f t="shared" si="218"/>
        <v>#N/A</v>
      </c>
      <c r="F975">
        <f t="shared" si="219"/>
        <v>0</v>
      </c>
      <c r="G975">
        <f t="shared" si="220"/>
        <v>0</v>
      </c>
      <c r="H975">
        <f t="shared" si="221"/>
        <v>0</v>
      </c>
      <c r="I975">
        <f t="shared" si="222"/>
        <v>0</v>
      </c>
      <c r="J975">
        <f t="shared" si="223"/>
        <v>0</v>
      </c>
      <c r="K975" s="4" t="e">
        <f t="shared" si="212"/>
        <v>#N/A</v>
      </c>
      <c r="L975" t="e">
        <f t="shared" si="213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4"/>
        <v>0</v>
      </c>
      <c r="B976">
        <f t="shared" si="215"/>
        <v>0</v>
      </c>
      <c r="C976">
        <f t="shared" si="216"/>
        <v>0</v>
      </c>
      <c r="D976">
        <f t="shared" si="217"/>
        <v>0</v>
      </c>
      <c r="E976" t="e">
        <f t="shared" si="218"/>
        <v>#N/A</v>
      </c>
      <c r="F976">
        <f t="shared" si="219"/>
        <v>0</v>
      </c>
      <c r="G976">
        <f t="shared" si="220"/>
        <v>0</v>
      </c>
      <c r="H976">
        <f t="shared" si="221"/>
        <v>0</v>
      </c>
      <c r="I976">
        <f t="shared" si="222"/>
        <v>0</v>
      </c>
      <c r="J976">
        <f t="shared" si="223"/>
        <v>0</v>
      </c>
      <c r="K976" s="4" t="e">
        <f t="shared" si="212"/>
        <v>#N/A</v>
      </c>
      <c r="L976" t="e">
        <f t="shared" si="213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4"/>
        <v>0</v>
      </c>
      <c r="B977">
        <f t="shared" si="215"/>
        <v>0</v>
      </c>
      <c r="C977">
        <f t="shared" si="216"/>
        <v>0</v>
      </c>
      <c r="D977">
        <f t="shared" si="217"/>
        <v>0</v>
      </c>
      <c r="E977" t="e">
        <f t="shared" si="218"/>
        <v>#N/A</v>
      </c>
      <c r="F977">
        <f t="shared" si="219"/>
        <v>0</v>
      </c>
      <c r="G977">
        <f t="shared" si="220"/>
        <v>0</v>
      </c>
      <c r="H977">
        <f t="shared" si="221"/>
        <v>0</v>
      </c>
      <c r="I977">
        <f t="shared" si="222"/>
        <v>0</v>
      </c>
      <c r="J977">
        <f t="shared" si="223"/>
        <v>0</v>
      </c>
      <c r="K977" s="4" t="e">
        <f t="shared" si="212"/>
        <v>#N/A</v>
      </c>
      <c r="L977" t="e">
        <f t="shared" si="213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4"/>
        <v>0</v>
      </c>
      <c r="B978">
        <f t="shared" si="215"/>
        <v>0</v>
      </c>
      <c r="C978">
        <f t="shared" si="216"/>
        <v>0</v>
      </c>
      <c r="D978">
        <f t="shared" si="217"/>
        <v>0</v>
      </c>
      <c r="E978" t="e">
        <f t="shared" si="218"/>
        <v>#N/A</v>
      </c>
      <c r="F978">
        <f t="shared" si="219"/>
        <v>0</v>
      </c>
      <c r="G978">
        <f t="shared" si="220"/>
        <v>0</v>
      </c>
      <c r="H978">
        <f t="shared" si="221"/>
        <v>0</v>
      </c>
      <c r="I978">
        <f t="shared" si="222"/>
        <v>0</v>
      </c>
      <c r="J978">
        <f t="shared" si="223"/>
        <v>0</v>
      </c>
      <c r="K978" s="4" t="e">
        <f t="shared" si="212"/>
        <v>#N/A</v>
      </c>
      <c r="L978" t="e">
        <f t="shared" si="213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4"/>
        <v>0</v>
      </c>
      <c r="B979">
        <f t="shared" si="215"/>
        <v>0</v>
      </c>
      <c r="C979">
        <f t="shared" si="216"/>
        <v>0</v>
      </c>
      <c r="D979">
        <f t="shared" si="217"/>
        <v>0</v>
      </c>
      <c r="E979" t="e">
        <f t="shared" si="218"/>
        <v>#N/A</v>
      </c>
      <c r="F979">
        <f t="shared" si="219"/>
        <v>0</v>
      </c>
      <c r="G979">
        <f t="shared" si="220"/>
        <v>0</v>
      </c>
      <c r="H979">
        <f t="shared" si="221"/>
        <v>0</v>
      </c>
      <c r="I979">
        <f t="shared" si="222"/>
        <v>0</v>
      </c>
      <c r="J979">
        <f t="shared" si="223"/>
        <v>0</v>
      </c>
      <c r="K979" s="4" t="e">
        <f t="shared" si="212"/>
        <v>#N/A</v>
      </c>
      <c r="L979" t="e">
        <f t="shared" si="213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4"/>
        <v>0</v>
      </c>
      <c r="B980">
        <f t="shared" si="215"/>
        <v>0</v>
      </c>
      <c r="C980">
        <f t="shared" si="216"/>
        <v>0</v>
      </c>
      <c r="D980">
        <f t="shared" si="217"/>
        <v>0</v>
      </c>
      <c r="E980" t="e">
        <f t="shared" si="218"/>
        <v>#N/A</v>
      </c>
      <c r="F980">
        <f t="shared" si="219"/>
        <v>0</v>
      </c>
      <c r="G980">
        <f t="shared" si="220"/>
        <v>0</v>
      </c>
      <c r="H980">
        <f t="shared" si="221"/>
        <v>0</v>
      </c>
      <c r="I980">
        <f t="shared" si="222"/>
        <v>0</v>
      </c>
      <c r="J980">
        <f t="shared" si="223"/>
        <v>0</v>
      </c>
      <c r="K980" s="4" t="e">
        <f t="shared" si="212"/>
        <v>#N/A</v>
      </c>
      <c r="L980" t="e">
        <f t="shared" si="213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4"/>
        <v>0</v>
      </c>
      <c r="B981">
        <f t="shared" si="215"/>
        <v>0</v>
      </c>
      <c r="C981">
        <f t="shared" si="216"/>
        <v>0</v>
      </c>
      <c r="D981">
        <f t="shared" si="217"/>
        <v>0</v>
      </c>
      <c r="E981" t="e">
        <f t="shared" si="218"/>
        <v>#N/A</v>
      </c>
      <c r="F981">
        <f t="shared" si="219"/>
        <v>0</v>
      </c>
      <c r="G981">
        <f t="shared" si="220"/>
        <v>0</v>
      </c>
      <c r="H981">
        <f t="shared" si="221"/>
        <v>0</v>
      </c>
      <c r="I981">
        <f t="shared" si="222"/>
        <v>0</v>
      </c>
      <c r="J981">
        <f t="shared" si="223"/>
        <v>0</v>
      </c>
      <c r="K981" s="4" t="e">
        <f t="shared" si="212"/>
        <v>#N/A</v>
      </c>
      <c r="L981" t="e">
        <f t="shared" si="213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4"/>
        <v>0</v>
      </c>
      <c r="B982">
        <f t="shared" si="215"/>
        <v>0</v>
      </c>
      <c r="C982">
        <f t="shared" si="216"/>
        <v>0</v>
      </c>
      <c r="D982">
        <f t="shared" si="217"/>
        <v>0</v>
      </c>
      <c r="E982" t="e">
        <f t="shared" si="218"/>
        <v>#N/A</v>
      </c>
      <c r="F982">
        <f t="shared" si="219"/>
        <v>0</v>
      </c>
      <c r="G982">
        <f t="shared" si="220"/>
        <v>0</v>
      </c>
      <c r="H982">
        <f t="shared" si="221"/>
        <v>0</v>
      </c>
      <c r="I982">
        <f t="shared" si="222"/>
        <v>0</v>
      </c>
      <c r="J982">
        <f t="shared" si="223"/>
        <v>0</v>
      </c>
      <c r="K982" s="4" t="e">
        <f t="shared" si="212"/>
        <v>#N/A</v>
      </c>
      <c r="L982" t="e">
        <f t="shared" si="213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4"/>
        <v>0</v>
      </c>
      <c r="B983">
        <f t="shared" si="215"/>
        <v>0</v>
      </c>
      <c r="C983">
        <f t="shared" si="216"/>
        <v>0</v>
      </c>
      <c r="D983">
        <f t="shared" si="217"/>
        <v>0</v>
      </c>
      <c r="E983" t="e">
        <f t="shared" si="218"/>
        <v>#N/A</v>
      </c>
      <c r="F983">
        <f t="shared" si="219"/>
        <v>0</v>
      </c>
      <c r="G983">
        <f t="shared" si="220"/>
        <v>0</v>
      </c>
      <c r="H983">
        <f t="shared" si="221"/>
        <v>0</v>
      </c>
      <c r="I983">
        <f t="shared" si="222"/>
        <v>0</v>
      </c>
      <c r="J983">
        <f t="shared" si="223"/>
        <v>0</v>
      </c>
      <c r="K983" s="4" t="e">
        <f t="shared" si="212"/>
        <v>#N/A</v>
      </c>
      <c r="L983" t="e">
        <f t="shared" si="213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4"/>
        <v>0</v>
      </c>
      <c r="B984">
        <f t="shared" si="215"/>
        <v>0</v>
      </c>
      <c r="C984">
        <f t="shared" si="216"/>
        <v>0</v>
      </c>
      <c r="D984">
        <f t="shared" si="217"/>
        <v>0</v>
      </c>
      <c r="E984" t="e">
        <f t="shared" si="218"/>
        <v>#N/A</v>
      </c>
      <c r="F984">
        <f t="shared" si="219"/>
        <v>0</v>
      </c>
      <c r="G984">
        <f t="shared" si="220"/>
        <v>0</v>
      </c>
      <c r="H984">
        <f t="shared" si="221"/>
        <v>0</v>
      </c>
      <c r="I984">
        <f t="shared" si="222"/>
        <v>0</v>
      </c>
      <c r="J984">
        <f t="shared" si="223"/>
        <v>0</v>
      </c>
      <c r="K984" s="4" t="e">
        <f t="shared" si="212"/>
        <v>#N/A</v>
      </c>
      <c r="L984" t="e">
        <f t="shared" si="213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4"/>
        <v>0</v>
      </c>
      <c r="B985">
        <f t="shared" si="215"/>
        <v>0</v>
      </c>
      <c r="C985">
        <f t="shared" si="216"/>
        <v>0</v>
      </c>
      <c r="D985">
        <f t="shared" si="217"/>
        <v>0</v>
      </c>
      <c r="E985" t="e">
        <f t="shared" si="218"/>
        <v>#N/A</v>
      </c>
      <c r="F985">
        <f t="shared" si="219"/>
        <v>0</v>
      </c>
      <c r="G985">
        <f t="shared" si="220"/>
        <v>0</v>
      </c>
      <c r="H985">
        <f t="shared" si="221"/>
        <v>0</v>
      </c>
      <c r="I985">
        <f t="shared" si="222"/>
        <v>0</v>
      </c>
      <c r="J985">
        <f t="shared" si="223"/>
        <v>0</v>
      </c>
      <c r="K985" s="4" t="e">
        <f t="shared" si="212"/>
        <v>#N/A</v>
      </c>
      <c r="L985" t="e">
        <f t="shared" si="213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4"/>
        <v>0</v>
      </c>
      <c r="B986">
        <f t="shared" si="215"/>
        <v>0</v>
      </c>
      <c r="C986">
        <f t="shared" si="216"/>
        <v>0</v>
      </c>
      <c r="D986">
        <f t="shared" si="217"/>
        <v>0</v>
      </c>
      <c r="E986" t="e">
        <f t="shared" si="218"/>
        <v>#N/A</v>
      </c>
      <c r="F986">
        <f t="shared" si="219"/>
        <v>0</v>
      </c>
      <c r="G986">
        <f t="shared" si="220"/>
        <v>0</v>
      </c>
      <c r="H986">
        <f t="shared" si="221"/>
        <v>0</v>
      </c>
      <c r="I986">
        <f t="shared" si="222"/>
        <v>0</v>
      </c>
      <c r="J986">
        <f t="shared" si="223"/>
        <v>0</v>
      </c>
      <c r="K986" s="4" t="e">
        <f t="shared" si="212"/>
        <v>#N/A</v>
      </c>
      <c r="L986" t="e">
        <f t="shared" si="213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4"/>
        <v>0</v>
      </c>
      <c r="B987">
        <f t="shared" si="215"/>
        <v>0</v>
      </c>
      <c r="C987">
        <f t="shared" si="216"/>
        <v>0</v>
      </c>
      <c r="D987">
        <f t="shared" si="217"/>
        <v>0</v>
      </c>
      <c r="E987" t="e">
        <f t="shared" si="218"/>
        <v>#N/A</v>
      </c>
      <c r="F987">
        <f t="shared" si="219"/>
        <v>0</v>
      </c>
      <c r="G987">
        <f t="shared" si="220"/>
        <v>0</v>
      </c>
      <c r="H987">
        <f t="shared" si="221"/>
        <v>0</v>
      </c>
      <c r="I987">
        <f t="shared" si="222"/>
        <v>0</v>
      </c>
      <c r="J987">
        <f t="shared" si="223"/>
        <v>0</v>
      </c>
      <c r="K987" s="4" t="e">
        <f t="shared" si="212"/>
        <v>#N/A</v>
      </c>
      <c r="L987" t="e">
        <f t="shared" si="213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4"/>
        <v>0</v>
      </c>
      <c r="B988">
        <f t="shared" si="215"/>
        <v>0</v>
      </c>
      <c r="C988">
        <f t="shared" si="216"/>
        <v>0</v>
      </c>
      <c r="D988">
        <f t="shared" si="217"/>
        <v>0</v>
      </c>
      <c r="E988" t="e">
        <f t="shared" si="218"/>
        <v>#N/A</v>
      </c>
      <c r="F988">
        <f t="shared" si="219"/>
        <v>0</v>
      </c>
      <c r="G988">
        <f t="shared" si="220"/>
        <v>0</v>
      </c>
      <c r="H988">
        <f t="shared" si="221"/>
        <v>0</v>
      </c>
      <c r="I988">
        <f t="shared" si="222"/>
        <v>0</v>
      </c>
      <c r="J988">
        <f t="shared" si="223"/>
        <v>0</v>
      </c>
      <c r="K988" s="4" t="e">
        <f t="shared" si="212"/>
        <v>#N/A</v>
      </c>
      <c r="L988" t="e">
        <f t="shared" si="213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4"/>
        <v>0</v>
      </c>
      <c r="B989">
        <f t="shared" si="215"/>
        <v>0</v>
      </c>
      <c r="C989">
        <f t="shared" si="216"/>
        <v>0</v>
      </c>
      <c r="D989">
        <f t="shared" si="217"/>
        <v>0</v>
      </c>
      <c r="E989" t="e">
        <f t="shared" si="218"/>
        <v>#N/A</v>
      </c>
      <c r="F989">
        <f t="shared" si="219"/>
        <v>0</v>
      </c>
      <c r="G989">
        <f t="shared" si="220"/>
        <v>0</v>
      </c>
      <c r="H989">
        <f t="shared" si="221"/>
        <v>0</v>
      </c>
      <c r="I989">
        <f t="shared" si="222"/>
        <v>0</v>
      </c>
      <c r="J989">
        <f t="shared" si="223"/>
        <v>0</v>
      </c>
      <c r="K989" s="4" t="e">
        <f t="shared" si="212"/>
        <v>#N/A</v>
      </c>
      <c r="L989" t="e">
        <f t="shared" si="213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4"/>
        <v>0</v>
      </c>
      <c r="B990">
        <f t="shared" si="215"/>
        <v>0</v>
      </c>
      <c r="C990">
        <f t="shared" si="216"/>
        <v>0</v>
      </c>
      <c r="D990">
        <f t="shared" si="217"/>
        <v>0</v>
      </c>
      <c r="E990" t="e">
        <f t="shared" si="218"/>
        <v>#N/A</v>
      </c>
      <c r="F990">
        <f t="shared" si="219"/>
        <v>0</v>
      </c>
      <c r="G990">
        <f t="shared" si="220"/>
        <v>0</v>
      </c>
      <c r="H990">
        <f t="shared" si="221"/>
        <v>0</v>
      </c>
      <c r="I990">
        <f t="shared" si="222"/>
        <v>0</v>
      </c>
      <c r="J990">
        <f t="shared" si="223"/>
        <v>0</v>
      </c>
      <c r="K990" s="4" t="e">
        <f t="shared" si="212"/>
        <v>#N/A</v>
      </c>
      <c r="L990" t="e">
        <f t="shared" si="213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4"/>
        <v>0</v>
      </c>
      <c r="B991">
        <f t="shared" si="215"/>
        <v>0</v>
      </c>
      <c r="C991">
        <f t="shared" si="216"/>
        <v>0</v>
      </c>
      <c r="D991">
        <f t="shared" si="217"/>
        <v>0</v>
      </c>
      <c r="E991" t="e">
        <f t="shared" si="218"/>
        <v>#N/A</v>
      </c>
      <c r="F991">
        <f t="shared" si="219"/>
        <v>0</v>
      </c>
      <c r="G991">
        <f t="shared" si="220"/>
        <v>0</v>
      </c>
      <c r="H991">
        <f t="shared" si="221"/>
        <v>0</v>
      </c>
      <c r="I991">
        <f t="shared" si="222"/>
        <v>0</v>
      </c>
      <c r="J991">
        <f t="shared" si="223"/>
        <v>0</v>
      </c>
      <c r="K991" s="4" t="e">
        <f t="shared" si="212"/>
        <v>#N/A</v>
      </c>
      <c r="L991" t="e">
        <f t="shared" si="213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4"/>
        <v>0</v>
      </c>
      <c r="B992">
        <f t="shared" si="215"/>
        <v>0</v>
      </c>
      <c r="C992">
        <f t="shared" si="216"/>
        <v>0</v>
      </c>
      <c r="D992">
        <f t="shared" si="217"/>
        <v>0</v>
      </c>
      <c r="E992" t="e">
        <f t="shared" si="218"/>
        <v>#N/A</v>
      </c>
      <c r="F992">
        <f t="shared" si="219"/>
        <v>0</v>
      </c>
      <c r="G992">
        <f t="shared" si="220"/>
        <v>0</v>
      </c>
      <c r="H992">
        <f t="shared" si="221"/>
        <v>0</v>
      </c>
      <c r="I992">
        <f t="shared" si="222"/>
        <v>0</v>
      </c>
      <c r="J992">
        <f t="shared" si="223"/>
        <v>0</v>
      </c>
      <c r="K992" s="4" t="e">
        <f t="shared" si="212"/>
        <v>#N/A</v>
      </c>
      <c r="L992" t="e">
        <f t="shared" si="213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4"/>
        <v>0</v>
      </c>
      <c r="B993">
        <f t="shared" si="215"/>
        <v>0</v>
      </c>
      <c r="C993">
        <f t="shared" si="216"/>
        <v>0</v>
      </c>
      <c r="D993">
        <f t="shared" si="217"/>
        <v>0</v>
      </c>
      <c r="E993" t="e">
        <f t="shared" si="218"/>
        <v>#N/A</v>
      </c>
      <c r="F993">
        <f t="shared" si="219"/>
        <v>0</v>
      </c>
      <c r="G993">
        <f t="shared" si="220"/>
        <v>0</v>
      </c>
      <c r="H993">
        <f t="shared" si="221"/>
        <v>0</v>
      </c>
      <c r="I993">
        <f t="shared" si="222"/>
        <v>0</v>
      </c>
      <c r="J993">
        <f t="shared" si="223"/>
        <v>0</v>
      </c>
      <c r="K993" s="4" t="e">
        <f t="shared" si="212"/>
        <v>#N/A</v>
      </c>
      <c r="L993" t="e">
        <f t="shared" si="213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2"/>
  <sheetViews>
    <sheetView showGridLines="0" tabSelected="1" workbookViewId="0">
      <selection activeCell="A375" sqref="A375:XFD375"/>
    </sheetView>
  </sheetViews>
  <sheetFormatPr defaultRowHeight="15"/>
  <cols>
    <col min="1" max="1" width="2.85546875" customWidth="1"/>
    <col min="2" max="5" width="36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89436999</v>
      </c>
      <c r="E4" s="14">
        <f>C4*D4/1000</f>
        <v>8049.3299100000004</v>
      </c>
      <c r="G4" s="23" t="s">
        <v>60</v>
      </c>
      <c r="H4" s="23" t="s">
        <v>61</v>
      </c>
    </row>
    <row r="5" spans="1:8">
      <c r="B5" s="13" t="s">
        <v>11</v>
      </c>
      <c r="C5" s="2">
        <v>0.09</v>
      </c>
      <c r="D5" s="2">
        <f>SUMIF(adtype_filtrada,$B5,impressoes_filtrada)</f>
        <v>41795</v>
      </c>
      <c r="E5" s="14">
        <f>C5*D5/1000</f>
        <v>3.7615499999999997</v>
      </c>
      <c r="G5" s="14">
        <f>SUM(total_adops_filtrada)</f>
        <v>19519.405810000055</v>
      </c>
      <c r="H5" s="14">
        <f>SUM(total_ferramenta_filtrada)</f>
        <v>5424.7170307999768</v>
      </c>
    </row>
    <row r="6" spans="1:8">
      <c r="B6" s="13" t="s">
        <v>10</v>
      </c>
      <c r="C6" s="2">
        <v>0.02</v>
      </c>
      <c r="D6" s="2">
        <f>SUMIF(adtype_filtrada,$B6,clicks_filtrada)</f>
        <v>573315</v>
      </c>
      <c r="E6" s="14">
        <f>C6*D6</f>
        <v>11466.300000000001</v>
      </c>
    </row>
    <row r="7" spans="1:8">
      <c r="B7" s="13" t="s">
        <v>30</v>
      </c>
      <c r="C7" s="2">
        <v>0.6</v>
      </c>
      <c r="D7" s="2">
        <f>SUMIF(adtype_filtrada,$B7,impressoes_filtrada)</f>
        <v>41</v>
      </c>
      <c r="E7" s="14">
        <f>C7*D7/1000</f>
        <v>2.4599999999999997E-2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19519.416060000003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/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62</v>
      </c>
      <c r="C20" t="s">
        <v>49</v>
      </c>
      <c r="D20" t="s">
        <v>63</v>
      </c>
      <c r="E20" t="s">
        <v>64</v>
      </c>
      <c r="F20" t="s">
        <v>10</v>
      </c>
      <c r="G20" t="s">
        <v>63</v>
      </c>
      <c r="H20" t="s">
        <v>65</v>
      </c>
      <c r="I20" t="s">
        <v>32</v>
      </c>
      <c r="J20">
        <v>0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62</v>
      </c>
      <c r="C21" t="s">
        <v>49</v>
      </c>
      <c r="D21" t="s">
        <v>66</v>
      </c>
      <c r="E21" t="s">
        <v>67</v>
      </c>
      <c r="F21" t="s">
        <v>10</v>
      </c>
      <c r="G21" t="s">
        <v>66</v>
      </c>
      <c r="H21" t="s">
        <v>68</v>
      </c>
      <c r="I21" t="s">
        <v>32</v>
      </c>
      <c r="J21">
        <v>0</v>
      </c>
      <c r="K21">
        <v>2</v>
      </c>
      <c r="L21" s="4">
        <v>3.5000000000000001E-3</v>
      </c>
      <c r="M21">
        <v>0.02</v>
      </c>
      <c r="N21" s="4">
        <v>7.0000000000000001E-3</v>
      </c>
      <c r="O21" s="4">
        <v>0.04</v>
      </c>
    </row>
    <row r="22" spans="1:15">
      <c r="B22" t="s">
        <v>62</v>
      </c>
      <c r="C22" t="s">
        <v>49</v>
      </c>
      <c r="D22" t="s">
        <v>69</v>
      </c>
      <c r="E22" t="s">
        <v>70</v>
      </c>
      <c r="F22" t="s">
        <v>10</v>
      </c>
      <c r="G22" t="s">
        <v>69</v>
      </c>
      <c r="H22" t="s">
        <v>71</v>
      </c>
      <c r="I22" t="s">
        <v>32</v>
      </c>
      <c r="J22">
        <v>0</v>
      </c>
      <c r="K22">
        <v>1</v>
      </c>
      <c r="L22" s="4">
        <v>3.5000000000000001E-3</v>
      </c>
      <c r="M22">
        <v>0.02</v>
      </c>
      <c r="N22" s="4">
        <v>3.5000000000000001E-3</v>
      </c>
      <c r="O22" s="4">
        <v>0.02</v>
      </c>
    </row>
    <row r="23" spans="1:15">
      <c r="B23" t="s">
        <v>62</v>
      </c>
      <c r="C23" t="s">
        <v>49</v>
      </c>
      <c r="D23" t="s">
        <v>72</v>
      </c>
      <c r="E23" t="s">
        <v>73</v>
      </c>
      <c r="F23" t="s">
        <v>10</v>
      </c>
      <c r="G23" t="s">
        <v>72</v>
      </c>
      <c r="H23" t="s">
        <v>74</v>
      </c>
      <c r="I23" t="s">
        <v>32</v>
      </c>
      <c r="J23">
        <v>0</v>
      </c>
      <c r="K23">
        <v>1</v>
      </c>
      <c r="L23" s="4">
        <v>3.5000000000000001E-3</v>
      </c>
      <c r="M23">
        <v>0.02</v>
      </c>
      <c r="N23" s="4">
        <v>3.5000000000000001E-3</v>
      </c>
      <c r="O23" s="4">
        <v>0.02</v>
      </c>
    </row>
    <row r="24" spans="1:15">
      <c r="B24" t="s">
        <v>62</v>
      </c>
      <c r="C24" t="s">
        <v>49</v>
      </c>
      <c r="D24" t="s">
        <v>75</v>
      </c>
      <c r="E24" t="s">
        <v>76</v>
      </c>
      <c r="F24" t="s">
        <v>10</v>
      </c>
      <c r="G24" t="s">
        <v>75</v>
      </c>
      <c r="H24" t="s">
        <v>77</v>
      </c>
      <c r="I24" t="s">
        <v>32</v>
      </c>
      <c r="J24">
        <v>0</v>
      </c>
      <c r="K24">
        <v>1</v>
      </c>
      <c r="L24" s="4">
        <v>3.5000000000000001E-3</v>
      </c>
      <c r="M24">
        <v>0.02</v>
      </c>
      <c r="N24" s="4">
        <v>3.5000000000000001E-3</v>
      </c>
      <c r="O24" s="4">
        <v>0.02</v>
      </c>
    </row>
    <row r="25" spans="1:15">
      <c r="B25" t="s">
        <v>62</v>
      </c>
      <c r="C25" t="s">
        <v>49</v>
      </c>
      <c r="D25" t="s">
        <v>78</v>
      </c>
      <c r="E25" t="s">
        <v>79</v>
      </c>
      <c r="F25" t="s">
        <v>10</v>
      </c>
      <c r="G25" t="s">
        <v>78</v>
      </c>
      <c r="H25" t="s">
        <v>80</v>
      </c>
      <c r="I25" t="s">
        <v>32</v>
      </c>
      <c r="J25">
        <v>0</v>
      </c>
      <c r="K25">
        <v>1</v>
      </c>
      <c r="L25" s="4">
        <v>3.5000000000000001E-3</v>
      </c>
      <c r="M25">
        <v>0.02</v>
      </c>
      <c r="N25" s="4">
        <v>3.5000000000000001E-3</v>
      </c>
      <c r="O25" s="4">
        <v>0.02</v>
      </c>
    </row>
    <row r="26" spans="1:15">
      <c r="B26" t="s">
        <v>62</v>
      </c>
      <c r="C26" t="s">
        <v>49</v>
      </c>
      <c r="D26" t="s">
        <v>81</v>
      </c>
      <c r="E26" t="s">
        <v>82</v>
      </c>
      <c r="F26" t="s">
        <v>10</v>
      </c>
      <c r="G26" t="s">
        <v>81</v>
      </c>
      <c r="H26" t="s">
        <v>83</v>
      </c>
      <c r="I26" t="s">
        <v>32</v>
      </c>
      <c r="J26">
        <v>0</v>
      </c>
      <c r="K26">
        <v>1</v>
      </c>
      <c r="L26" s="4">
        <v>3.5000000000000001E-3</v>
      </c>
      <c r="M26">
        <v>0.02</v>
      </c>
      <c r="N26" s="4">
        <v>3.5000000000000001E-3</v>
      </c>
      <c r="O26" s="4">
        <v>0.02</v>
      </c>
    </row>
    <row r="27" spans="1:15">
      <c r="B27" t="s">
        <v>62</v>
      </c>
      <c r="C27" t="s">
        <v>49</v>
      </c>
      <c r="D27" t="s">
        <v>84</v>
      </c>
      <c r="E27" t="s">
        <v>85</v>
      </c>
      <c r="F27" t="s">
        <v>10</v>
      </c>
      <c r="G27" t="s">
        <v>84</v>
      </c>
      <c r="H27" t="s">
        <v>86</v>
      </c>
      <c r="I27" t="s">
        <v>32</v>
      </c>
      <c r="J27">
        <v>0</v>
      </c>
      <c r="K27">
        <v>1</v>
      </c>
      <c r="L27" s="4">
        <v>3.5000000000000001E-3</v>
      </c>
      <c r="M27">
        <v>0.02</v>
      </c>
      <c r="N27" s="4">
        <v>3.5000000000000001E-3</v>
      </c>
      <c r="O27" s="4">
        <v>0.02</v>
      </c>
    </row>
    <row r="28" spans="1:15">
      <c r="B28" t="s">
        <v>62</v>
      </c>
      <c r="C28" t="s">
        <v>49</v>
      </c>
      <c r="D28" t="s">
        <v>87</v>
      </c>
      <c r="E28" t="s">
        <v>88</v>
      </c>
      <c r="F28" t="s">
        <v>10</v>
      </c>
      <c r="G28" t="s">
        <v>87</v>
      </c>
      <c r="H28" t="s">
        <v>89</v>
      </c>
      <c r="I28" t="s">
        <v>32</v>
      </c>
      <c r="J28">
        <v>0</v>
      </c>
      <c r="K28">
        <v>3</v>
      </c>
      <c r="L28" s="4">
        <v>3.5000000000000001E-3</v>
      </c>
      <c r="M28">
        <v>0.02</v>
      </c>
      <c r="N28" s="4">
        <v>1.0500000000000001E-2</v>
      </c>
      <c r="O28" s="4">
        <v>0.06</v>
      </c>
    </row>
    <row r="29" spans="1:15">
      <c r="B29" t="s">
        <v>90</v>
      </c>
      <c r="C29" t="s">
        <v>50</v>
      </c>
      <c r="D29" t="s">
        <v>91</v>
      </c>
      <c r="E29" t="s">
        <v>92</v>
      </c>
      <c r="F29" t="s">
        <v>10</v>
      </c>
      <c r="G29" t="s">
        <v>91</v>
      </c>
      <c r="H29" t="s">
        <v>93</v>
      </c>
      <c r="I29" t="s">
        <v>32</v>
      </c>
      <c r="J29">
        <v>0</v>
      </c>
      <c r="K29">
        <v>25002</v>
      </c>
      <c r="L29" s="4">
        <v>3.5000000000000001E-3</v>
      </c>
      <c r="M29">
        <v>0.02</v>
      </c>
      <c r="N29" s="4">
        <v>87.507000000000005</v>
      </c>
      <c r="O29" s="4">
        <v>500.04</v>
      </c>
    </row>
    <row r="30" spans="1:15">
      <c r="B30" t="s">
        <v>90</v>
      </c>
      <c r="C30" t="s">
        <v>50</v>
      </c>
      <c r="D30" t="s">
        <v>94</v>
      </c>
      <c r="E30" t="s">
        <v>95</v>
      </c>
      <c r="F30" t="s">
        <v>10</v>
      </c>
      <c r="G30" t="s">
        <v>94</v>
      </c>
      <c r="H30" t="s">
        <v>96</v>
      </c>
      <c r="I30" t="s">
        <v>32</v>
      </c>
      <c r="J30">
        <v>0</v>
      </c>
      <c r="K30">
        <v>42</v>
      </c>
      <c r="L30" s="4">
        <v>3.5000000000000001E-3</v>
      </c>
      <c r="M30">
        <v>0.02</v>
      </c>
      <c r="N30" s="4">
        <v>0.14699999999999999</v>
      </c>
      <c r="O30" s="4">
        <v>0.84</v>
      </c>
    </row>
    <row r="31" spans="1:15">
      <c r="B31" t="s">
        <v>90</v>
      </c>
      <c r="C31" t="s">
        <v>50</v>
      </c>
      <c r="D31" t="s">
        <v>97</v>
      </c>
      <c r="E31" t="s">
        <v>98</v>
      </c>
      <c r="F31" t="s">
        <v>10</v>
      </c>
      <c r="G31" t="s">
        <v>97</v>
      </c>
      <c r="H31" t="s">
        <v>99</v>
      </c>
      <c r="I31" t="s">
        <v>32</v>
      </c>
      <c r="J31">
        <v>0</v>
      </c>
      <c r="K31">
        <v>13</v>
      </c>
      <c r="L31" s="4">
        <v>3.5000000000000001E-3</v>
      </c>
      <c r="M31">
        <v>0.02</v>
      </c>
      <c r="N31" s="4">
        <v>4.5499999999999999E-2</v>
      </c>
      <c r="O31" s="4">
        <v>0.26</v>
      </c>
    </row>
    <row r="32" spans="1:15">
      <c r="B32" t="s">
        <v>90</v>
      </c>
      <c r="C32" t="s">
        <v>50</v>
      </c>
      <c r="D32" t="s">
        <v>100</v>
      </c>
      <c r="E32" t="s">
        <v>101</v>
      </c>
      <c r="F32" t="s">
        <v>10</v>
      </c>
      <c r="G32" t="s">
        <v>100</v>
      </c>
      <c r="H32" t="s">
        <v>102</v>
      </c>
      <c r="I32" t="s">
        <v>32</v>
      </c>
      <c r="J32">
        <v>0</v>
      </c>
      <c r="K32">
        <v>65</v>
      </c>
      <c r="L32" s="4">
        <v>3.5000000000000001E-3</v>
      </c>
      <c r="M32">
        <v>0.02</v>
      </c>
      <c r="N32" s="4">
        <v>0.22750000000000001</v>
      </c>
      <c r="O32" s="4">
        <v>1.3</v>
      </c>
    </row>
    <row r="33" spans="2:15">
      <c r="B33" t="s">
        <v>90</v>
      </c>
      <c r="C33" t="s">
        <v>50</v>
      </c>
      <c r="D33" t="s">
        <v>103</v>
      </c>
      <c r="E33" t="s">
        <v>104</v>
      </c>
      <c r="F33" t="s">
        <v>10</v>
      </c>
      <c r="G33" t="s">
        <v>103</v>
      </c>
      <c r="H33" t="s">
        <v>105</v>
      </c>
      <c r="I33" t="s">
        <v>32</v>
      </c>
      <c r="J33">
        <v>0</v>
      </c>
      <c r="K33">
        <v>2</v>
      </c>
      <c r="L33" s="4">
        <v>3.5000000000000001E-3</v>
      </c>
      <c r="M33">
        <v>0.02</v>
      </c>
      <c r="N33" s="4">
        <v>7.0000000000000001E-3</v>
      </c>
      <c r="O33" s="4">
        <v>0.04</v>
      </c>
    </row>
    <row r="34" spans="2:15">
      <c r="B34" t="s">
        <v>90</v>
      </c>
      <c r="C34" t="s">
        <v>50</v>
      </c>
      <c r="D34" t="s">
        <v>106</v>
      </c>
      <c r="E34" t="s">
        <v>107</v>
      </c>
      <c r="F34" t="s">
        <v>10</v>
      </c>
      <c r="G34" t="s">
        <v>106</v>
      </c>
      <c r="H34" t="s">
        <v>108</v>
      </c>
      <c r="I34" t="s">
        <v>32</v>
      </c>
      <c r="J34">
        <v>0</v>
      </c>
      <c r="K34">
        <v>3420</v>
      </c>
      <c r="L34" s="4">
        <v>3.5000000000000001E-3</v>
      </c>
      <c r="M34">
        <v>0.02</v>
      </c>
      <c r="N34" s="4">
        <v>11.97</v>
      </c>
      <c r="O34" s="4">
        <v>68.400000000000006</v>
      </c>
    </row>
    <row r="35" spans="2:15">
      <c r="B35" t="s">
        <v>90</v>
      </c>
      <c r="C35" t="s">
        <v>50</v>
      </c>
      <c r="D35" t="s">
        <v>109</v>
      </c>
      <c r="E35" t="s">
        <v>110</v>
      </c>
      <c r="F35" t="s">
        <v>10</v>
      </c>
      <c r="G35" t="s">
        <v>109</v>
      </c>
      <c r="H35" t="s">
        <v>111</v>
      </c>
      <c r="I35" t="s">
        <v>32</v>
      </c>
      <c r="J35">
        <v>0</v>
      </c>
      <c r="K35">
        <v>26</v>
      </c>
      <c r="L35" s="4">
        <v>3.5000000000000001E-3</v>
      </c>
      <c r="M35">
        <v>0.02</v>
      </c>
      <c r="N35" s="4">
        <v>9.0999999999999998E-2</v>
      </c>
      <c r="O35" s="4">
        <v>0.52</v>
      </c>
    </row>
    <row r="36" spans="2:15">
      <c r="B36" t="s">
        <v>90</v>
      </c>
      <c r="C36" t="s">
        <v>50</v>
      </c>
      <c r="D36" t="s">
        <v>112</v>
      </c>
      <c r="E36" t="s">
        <v>113</v>
      </c>
      <c r="F36" t="s">
        <v>10</v>
      </c>
      <c r="G36" t="s">
        <v>112</v>
      </c>
      <c r="H36" t="s">
        <v>114</v>
      </c>
      <c r="I36" t="s">
        <v>32</v>
      </c>
      <c r="J36">
        <v>0</v>
      </c>
      <c r="K36">
        <v>15</v>
      </c>
      <c r="L36" s="4">
        <v>3.5000000000000001E-3</v>
      </c>
      <c r="M36">
        <v>0.02</v>
      </c>
      <c r="N36" s="4">
        <v>5.2499999999999998E-2</v>
      </c>
      <c r="O36" s="4">
        <v>0.3</v>
      </c>
    </row>
    <row r="37" spans="2:15">
      <c r="B37" t="s">
        <v>90</v>
      </c>
      <c r="C37" t="s">
        <v>50</v>
      </c>
      <c r="D37" t="s">
        <v>115</v>
      </c>
      <c r="E37" t="s">
        <v>116</v>
      </c>
      <c r="F37" t="s">
        <v>10</v>
      </c>
      <c r="G37" t="s">
        <v>115</v>
      </c>
      <c r="H37" t="s">
        <v>117</v>
      </c>
      <c r="I37" t="s">
        <v>32</v>
      </c>
      <c r="J37">
        <v>0</v>
      </c>
      <c r="K37">
        <v>38</v>
      </c>
      <c r="L37" s="4">
        <v>3.5000000000000001E-3</v>
      </c>
      <c r="M37">
        <v>0.02</v>
      </c>
      <c r="N37" s="4">
        <v>0.13300000000000001</v>
      </c>
      <c r="O37" s="4">
        <v>0.76</v>
      </c>
    </row>
    <row r="38" spans="2:15">
      <c r="B38" t="s">
        <v>90</v>
      </c>
      <c r="C38" t="s">
        <v>50</v>
      </c>
      <c r="D38" t="s">
        <v>118</v>
      </c>
      <c r="E38" t="s">
        <v>119</v>
      </c>
      <c r="F38" t="s">
        <v>10</v>
      </c>
      <c r="G38" t="s">
        <v>118</v>
      </c>
      <c r="H38" t="s">
        <v>120</v>
      </c>
      <c r="I38" t="s">
        <v>32</v>
      </c>
      <c r="J38">
        <v>0</v>
      </c>
      <c r="K38">
        <v>80</v>
      </c>
      <c r="L38" s="4">
        <v>3.5000000000000001E-3</v>
      </c>
      <c r="M38">
        <v>0.02</v>
      </c>
      <c r="N38" s="4">
        <v>0.28000000000000003</v>
      </c>
      <c r="O38" s="4">
        <v>1.6</v>
      </c>
    </row>
    <row r="39" spans="2:15">
      <c r="B39" t="s">
        <v>90</v>
      </c>
      <c r="C39" t="s">
        <v>50</v>
      </c>
      <c r="D39" t="s">
        <v>118</v>
      </c>
      <c r="E39" t="s">
        <v>119</v>
      </c>
      <c r="F39" t="s">
        <v>10</v>
      </c>
      <c r="G39" t="s">
        <v>118</v>
      </c>
      <c r="H39" t="s">
        <v>120</v>
      </c>
      <c r="I39" t="s">
        <v>32</v>
      </c>
      <c r="J39">
        <v>0</v>
      </c>
      <c r="K39">
        <v>17</v>
      </c>
      <c r="L39" s="4">
        <v>3.5000000000000001E-3</v>
      </c>
      <c r="M39">
        <v>0.02</v>
      </c>
      <c r="N39" s="4">
        <v>5.9500000000000004E-2</v>
      </c>
      <c r="O39" s="4">
        <v>0.34</v>
      </c>
    </row>
    <row r="40" spans="2:15">
      <c r="B40" t="s">
        <v>90</v>
      </c>
      <c r="C40" t="s">
        <v>50</v>
      </c>
      <c r="D40" t="s">
        <v>121</v>
      </c>
      <c r="E40" t="s">
        <v>122</v>
      </c>
      <c r="F40" t="s">
        <v>10</v>
      </c>
      <c r="G40" t="s">
        <v>121</v>
      </c>
      <c r="H40" t="s">
        <v>123</v>
      </c>
      <c r="I40" t="s">
        <v>32</v>
      </c>
      <c r="J40">
        <v>0</v>
      </c>
      <c r="K40">
        <v>17945</v>
      </c>
      <c r="L40" s="4">
        <v>3.5000000000000001E-3</v>
      </c>
      <c r="M40">
        <v>0.02</v>
      </c>
      <c r="N40" s="4">
        <v>62.807500000000005</v>
      </c>
      <c r="O40" s="4">
        <v>358.90000000000003</v>
      </c>
    </row>
    <row r="41" spans="2:15">
      <c r="B41" t="s">
        <v>90</v>
      </c>
      <c r="C41" t="s">
        <v>50</v>
      </c>
      <c r="D41" t="s">
        <v>121</v>
      </c>
      <c r="E41" t="s">
        <v>122</v>
      </c>
      <c r="F41" t="s">
        <v>10</v>
      </c>
      <c r="G41" t="s">
        <v>121</v>
      </c>
      <c r="H41" t="s">
        <v>123</v>
      </c>
      <c r="I41" t="s">
        <v>32</v>
      </c>
      <c r="J41">
        <v>0</v>
      </c>
      <c r="K41">
        <v>55568</v>
      </c>
      <c r="L41" s="4">
        <v>3.5000000000000001E-3</v>
      </c>
      <c r="M41">
        <v>0.02</v>
      </c>
      <c r="N41" s="4">
        <v>194.488</v>
      </c>
      <c r="O41" s="4">
        <v>1111.3600000000001</v>
      </c>
    </row>
    <row r="42" spans="2:15">
      <c r="B42" t="s">
        <v>90</v>
      </c>
      <c r="C42" t="s">
        <v>50</v>
      </c>
      <c r="D42" t="s">
        <v>124</v>
      </c>
      <c r="E42" t="s">
        <v>125</v>
      </c>
      <c r="F42" t="s">
        <v>10</v>
      </c>
      <c r="G42" t="s">
        <v>124</v>
      </c>
      <c r="H42" t="s">
        <v>126</v>
      </c>
      <c r="I42" t="s">
        <v>32</v>
      </c>
      <c r="J42">
        <v>0</v>
      </c>
      <c r="K42">
        <v>21</v>
      </c>
      <c r="L42" s="4">
        <v>3.5000000000000001E-3</v>
      </c>
      <c r="M42">
        <v>0.02</v>
      </c>
      <c r="N42" s="4">
        <v>7.3499999999999996E-2</v>
      </c>
      <c r="O42" s="4">
        <v>0.42</v>
      </c>
    </row>
    <row r="43" spans="2:15">
      <c r="B43" t="s">
        <v>90</v>
      </c>
      <c r="C43" t="s">
        <v>50</v>
      </c>
      <c r="D43" t="s">
        <v>127</v>
      </c>
      <c r="E43" t="s">
        <v>128</v>
      </c>
      <c r="F43" t="s">
        <v>10</v>
      </c>
      <c r="G43" t="s">
        <v>127</v>
      </c>
      <c r="H43" t="s">
        <v>129</v>
      </c>
      <c r="I43" t="s">
        <v>32</v>
      </c>
      <c r="J43">
        <v>0</v>
      </c>
      <c r="K43">
        <v>9</v>
      </c>
      <c r="L43" s="4">
        <v>3.5000000000000001E-3</v>
      </c>
      <c r="M43">
        <v>0.02</v>
      </c>
      <c r="N43" s="4">
        <v>3.15E-2</v>
      </c>
      <c r="O43" s="4">
        <v>0.18</v>
      </c>
    </row>
    <row r="44" spans="2:15">
      <c r="B44" t="s">
        <v>90</v>
      </c>
      <c r="C44" t="s">
        <v>50</v>
      </c>
      <c r="D44" t="s">
        <v>130</v>
      </c>
      <c r="E44" t="s">
        <v>131</v>
      </c>
      <c r="F44" t="s">
        <v>10</v>
      </c>
      <c r="G44" t="s">
        <v>130</v>
      </c>
      <c r="H44" t="s">
        <v>132</v>
      </c>
      <c r="I44" t="s">
        <v>32</v>
      </c>
      <c r="J44">
        <v>0</v>
      </c>
      <c r="K44">
        <v>21</v>
      </c>
      <c r="L44" s="4">
        <v>3.5000000000000001E-3</v>
      </c>
      <c r="M44">
        <v>0.02</v>
      </c>
      <c r="N44" s="4">
        <v>7.3499999999999996E-2</v>
      </c>
      <c r="O44" s="4">
        <v>0.42</v>
      </c>
    </row>
    <row r="45" spans="2:15">
      <c r="B45" t="s">
        <v>90</v>
      </c>
      <c r="C45" t="s">
        <v>50</v>
      </c>
      <c r="D45" t="s">
        <v>133</v>
      </c>
      <c r="E45" t="s">
        <v>134</v>
      </c>
      <c r="F45" t="s">
        <v>10</v>
      </c>
      <c r="G45" t="s">
        <v>133</v>
      </c>
      <c r="H45" t="s">
        <v>135</v>
      </c>
      <c r="I45" t="s">
        <v>32</v>
      </c>
      <c r="J45">
        <v>0</v>
      </c>
      <c r="K45">
        <v>16</v>
      </c>
      <c r="L45" s="4">
        <v>3.5000000000000001E-3</v>
      </c>
      <c r="M45">
        <v>0.02</v>
      </c>
      <c r="N45" s="4">
        <v>5.6000000000000001E-2</v>
      </c>
      <c r="O45" s="4">
        <v>0.32</v>
      </c>
    </row>
    <row r="46" spans="2:15">
      <c r="B46" t="s">
        <v>90</v>
      </c>
      <c r="C46" t="s">
        <v>50</v>
      </c>
      <c r="D46" t="s">
        <v>136</v>
      </c>
      <c r="E46" t="s">
        <v>137</v>
      </c>
      <c r="F46" t="s">
        <v>10</v>
      </c>
      <c r="G46" t="s">
        <v>136</v>
      </c>
      <c r="H46" t="s">
        <v>138</v>
      </c>
      <c r="I46" t="s">
        <v>32</v>
      </c>
      <c r="J46">
        <v>0</v>
      </c>
      <c r="K46">
        <v>11</v>
      </c>
      <c r="L46" s="4">
        <v>3.5000000000000001E-3</v>
      </c>
      <c r="M46">
        <v>0.02</v>
      </c>
      <c r="N46" s="4">
        <v>3.85E-2</v>
      </c>
      <c r="O46" s="4">
        <v>0.22</v>
      </c>
    </row>
    <row r="47" spans="2:15">
      <c r="B47" t="s">
        <v>90</v>
      </c>
      <c r="C47" t="s">
        <v>50</v>
      </c>
      <c r="D47" t="s">
        <v>139</v>
      </c>
      <c r="E47" t="s">
        <v>140</v>
      </c>
      <c r="F47" t="s">
        <v>10</v>
      </c>
      <c r="G47" t="s">
        <v>139</v>
      </c>
      <c r="H47" t="s">
        <v>141</v>
      </c>
      <c r="I47" t="s">
        <v>32</v>
      </c>
      <c r="J47">
        <v>0</v>
      </c>
      <c r="K47">
        <v>84</v>
      </c>
      <c r="L47" s="4">
        <v>3.5000000000000001E-3</v>
      </c>
      <c r="M47">
        <v>0.02</v>
      </c>
      <c r="N47" s="4">
        <v>0.29399999999999998</v>
      </c>
      <c r="O47" s="4">
        <v>1.68</v>
      </c>
    </row>
    <row r="48" spans="2:15">
      <c r="B48" t="s">
        <v>90</v>
      </c>
      <c r="C48" t="s">
        <v>50</v>
      </c>
      <c r="D48" t="s">
        <v>139</v>
      </c>
      <c r="E48" t="s">
        <v>140</v>
      </c>
      <c r="F48" t="s">
        <v>10</v>
      </c>
      <c r="G48" t="s">
        <v>139</v>
      </c>
      <c r="H48" t="s">
        <v>141</v>
      </c>
      <c r="I48" t="s">
        <v>32</v>
      </c>
      <c r="J48">
        <v>0</v>
      </c>
      <c r="K48">
        <v>19</v>
      </c>
      <c r="L48" s="4">
        <v>3.5000000000000001E-3</v>
      </c>
      <c r="M48">
        <v>0.02</v>
      </c>
      <c r="N48" s="4">
        <v>6.6500000000000004E-2</v>
      </c>
      <c r="O48" s="4">
        <v>0.38</v>
      </c>
    </row>
    <row r="49" spans="2:15">
      <c r="B49" t="s">
        <v>90</v>
      </c>
      <c r="C49" t="s">
        <v>50</v>
      </c>
      <c r="D49" t="s">
        <v>142</v>
      </c>
      <c r="E49" t="s">
        <v>143</v>
      </c>
      <c r="F49" t="s">
        <v>10</v>
      </c>
      <c r="G49" t="s">
        <v>142</v>
      </c>
      <c r="H49" t="s">
        <v>144</v>
      </c>
      <c r="I49" t="s">
        <v>32</v>
      </c>
      <c r="J49">
        <v>0</v>
      </c>
      <c r="K49">
        <v>1533</v>
      </c>
      <c r="L49" s="4">
        <v>3.5000000000000001E-3</v>
      </c>
      <c r="M49">
        <v>0.02</v>
      </c>
      <c r="N49" s="4">
        <v>5.3654999999999999</v>
      </c>
      <c r="O49" s="4">
        <v>30.66</v>
      </c>
    </row>
    <row r="50" spans="2:15">
      <c r="B50" t="s">
        <v>90</v>
      </c>
      <c r="C50" t="s">
        <v>50</v>
      </c>
      <c r="D50" t="s">
        <v>142</v>
      </c>
      <c r="E50" t="s">
        <v>143</v>
      </c>
      <c r="F50" t="s">
        <v>10</v>
      </c>
      <c r="G50" t="s">
        <v>142</v>
      </c>
      <c r="H50" t="s">
        <v>144</v>
      </c>
      <c r="I50" t="s">
        <v>32</v>
      </c>
      <c r="J50">
        <v>0</v>
      </c>
      <c r="K50">
        <v>1</v>
      </c>
      <c r="L50" s="4">
        <v>3.5000000000000001E-3</v>
      </c>
      <c r="M50">
        <v>0.02</v>
      </c>
      <c r="N50" s="4">
        <v>3.5000000000000001E-3</v>
      </c>
      <c r="O50" s="4">
        <v>0.02</v>
      </c>
    </row>
    <row r="51" spans="2:15">
      <c r="B51" t="s">
        <v>90</v>
      </c>
      <c r="C51" t="s">
        <v>50</v>
      </c>
      <c r="D51" t="s">
        <v>145</v>
      </c>
      <c r="E51" t="s">
        <v>146</v>
      </c>
      <c r="F51" t="s">
        <v>10</v>
      </c>
      <c r="G51" t="s">
        <v>145</v>
      </c>
      <c r="H51" t="s">
        <v>147</v>
      </c>
      <c r="I51" t="s">
        <v>32</v>
      </c>
      <c r="J51">
        <v>0</v>
      </c>
      <c r="K51">
        <v>1402</v>
      </c>
      <c r="L51" s="4">
        <v>3.5000000000000001E-3</v>
      </c>
      <c r="M51">
        <v>0.02</v>
      </c>
      <c r="N51" s="4">
        <v>4.907</v>
      </c>
      <c r="O51" s="4">
        <v>28.04</v>
      </c>
    </row>
    <row r="52" spans="2:15">
      <c r="B52" t="s">
        <v>90</v>
      </c>
      <c r="C52" t="s">
        <v>50</v>
      </c>
      <c r="D52" t="s">
        <v>148</v>
      </c>
      <c r="E52" t="s">
        <v>149</v>
      </c>
      <c r="F52" t="s">
        <v>10</v>
      </c>
      <c r="G52" t="s">
        <v>148</v>
      </c>
      <c r="H52" t="s">
        <v>150</v>
      </c>
      <c r="I52" t="s">
        <v>32</v>
      </c>
      <c r="J52">
        <v>0</v>
      </c>
      <c r="K52">
        <v>5177</v>
      </c>
      <c r="L52" s="4">
        <v>3.5000000000000001E-3</v>
      </c>
      <c r="M52">
        <v>0.02</v>
      </c>
      <c r="N52" s="4">
        <v>18.119499999999999</v>
      </c>
      <c r="O52" s="4">
        <v>103.54</v>
      </c>
    </row>
    <row r="53" spans="2:15">
      <c r="B53" t="s">
        <v>90</v>
      </c>
      <c r="C53" t="s">
        <v>50</v>
      </c>
      <c r="D53" t="s">
        <v>151</v>
      </c>
      <c r="E53" t="s">
        <v>152</v>
      </c>
      <c r="F53" t="s">
        <v>10</v>
      </c>
      <c r="G53" t="s">
        <v>151</v>
      </c>
      <c r="H53" t="s">
        <v>153</v>
      </c>
      <c r="I53" t="s">
        <v>32</v>
      </c>
      <c r="J53">
        <v>0</v>
      </c>
      <c r="K53">
        <v>801</v>
      </c>
      <c r="L53" s="4">
        <v>3.5000000000000001E-3</v>
      </c>
      <c r="M53">
        <v>0.02</v>
      </c>
      <c r="N53" s="4">
        <v>2.8035000000000001</v>
      </c>
      <c r="O53" s="4">
        <v>16.02</v>
      </c>
    </row>
    <row r="54" spans="2:15">
      <c r="B54" t="s">
        <v>90</v>
      </c>
      <c r="C54" t="s">
        <v>50</v>
      </c>
      <c r="D54" t="s">
        <v>154</v>
      </c>
      <c r="E54" t="s">
        <v>155</v>
      </c>
      <c r="F54" t="s">
        <v>10</v>
      </c>
      <c r="G54" t="s">
        <v>154</v>
      </c>
      <c r="H54" t="s">
        <v>156</v>
      </c>
      <c r="I54" t="s">
        <v>32</v>
      </c>
      <c r="J54">
        <v>0</v>
      </c>
      <c r="K54">
        <v>5682</v>
      </c>
      <c r="L54" s="4">
        <v>3.5000000000000001E-3</v>
      </c>
      <c r="M54">
        <v>0.02</v>
      </c>
      <c r="N54" s="4">
        <v>19.887</v>
      </c>
      <c r="O54" s="4">
        <v>113.64</v>
      </c>
    </row>
    <row r="55" spans="2:15">
      <c r="B55" t="s">
        <v>90</v>
      </c>
      <c r="C55" t="s">
        <v>50</v>
      </c>
      <c r="D55" t="s">
        <v>157</v>
      </c>
      <c r="E55" t="s">
        <v>158</v>
      </c>
      <c r="F55" t="s">
        <v>10</v>
      </c>
      <c r="G55" t="s">
        <v>157</v>
      </c>
      <c r="H55" t="s">
        <v>159</v>
      </c>
      <c r="I55" t="s">
        <v>32</v>
      </c>
      <c r="J55">
        <v>0</v>
      </c>
      <c r="K55">
        <v>3261</v>
      </c>
      <c r="L55" s="4">
        <v>3.5000000000000001E-3</v>
      </c>
      <c r="M55">
        <v>0.02</v>
      </c>
      <c r="N55" s="4">
        <v>11.413500000000001</v>
      </c>
      <c r="O55" s="4">
        <v>65.22</v>
      </c>
    </row>
    <row r="56" spans="2:15">
      <c r="B56" t="s">
        <v>90</v>
      </c>
      <c r="C56" t="s">
        <v>50</v>
      </c>
      <c r="D56" t="s">
        <v>160</v>
      </c>
      <c r="E56" t="s">
        <v>161</v>
      </c>
      <c r="F56" t="s">
        <v>10</v>
      </c>
      <c r="G56" t="s">
        <v>160</v>
      </c>
      <c r="H56" t="s">
        <v>162</v>
      </c>
      <c r="I56" t="s">
        <v>32</v>
      </c>
      <c r="J56">
        <v>0</v>
      </c>
      <c r="K56">
        <v>9465</v>
      </c>
      <c r="L56" s="4">
        <v>3.5000000000000001E-3</v>
      </c>
      <c r="M56">
        <v>0.02</v>
      </c>
      <c r="N56" s="4">
        <v>33.127499999999998</v>
      </c>
      <c r="O56" s="4">
        <v>189.3</v>
      </c>
    </row>
    <row r="57" spans="2:15">
      <c r="B57" t="s">
        <v>90</v>
      </c>
      <c r="C57" t="s">
        <v>50</v>
      </c>
      <c r="D57" t="s">
        <v>163</v>
      </c>
      <c r="E57" t="s">
        <v>164</v>
      </c>
      <c r="F57" t="s">
        <v>10</v>
      </c>
      <c r="G57" t="s">
        <v>163</v>
      </c>
      <c r="H57" t="s">
        <v>165</v>
      </c>
      <c r="I57" t="s">
        <v>32</v>
      </c>
      <c r="J57">
        <v>0</v>
      </c>
      <c r="K57">
        <v>2129</v>
      </c>
      <c r="L57" s="4">
        <v>3.5000000000000001E-3</v>
      </c>
      <c r="M57">
        <v>0.02</v>
      </c>
      <c r="N57" s="4">
        <v>7.4515000000000002</v>
      </c>
      <c r="O57" s="4">
        <v>42.58</v>
      </c>
    </row>
    <row r="58" spans="2:15">
      <c r="B58" t="s">
        <v>90</v>
      </c>
      <c r="C58" t="s">
        <v>50</v>
      </c>
      <c r="D58" t="s">
        <v>166</v>
      </c>
      <c r="E58" t="s">
        <v>167</v>
      </c>
      <c r="F58" t="s">
        <v>10</v>
      </c>
      <c r="G58" t="s">
        <v>166</v>
      </c>
      <c r="H58" t="s">
        <v>168</v>
      </c>
      <c r="I58" t="s">
        <v>32</v>
      </c>
      <c r="J58">
        <v>0</v>
      </c>
      <c r="K58">
        <v>4655</v>
      </c>
      <c r="L58" s="4">
        <v>3.5000000000000001E-3</v>
      </c>
      <c r="M58">
        <v>0.02</v>
      </c>
      <c r="N58" s="4">
        <v>16.2925</v>
      </c>
      <c r="O58" s="4">
        <v>93.100000000000009</v>
      </c>
    </row>
    <row r="59" spans="2:15">
      <c r="B59" t="s">
        <v>90</v>
      </c>
      <c r="C59" t="s">
        <v>50</v>
      </c>
      <c r="D59" t="s">
        <v>166</v>
      </c>
      <c r="E59" t="s">
        <v>167</v>
      </c>
      <c r="F59" t="s">
        <v>10</v>
      </c>
      <c r="G59" t="s">
        <v>166</v>
      </c>
      <c r="H59" t="s">
        <v>168</v>
      </c>
      <c r="I59" t="s">
        <v>32</v>
      </c>
      <c r="J59">
        <v>0</v>
      </c>
      <c r="K59">
        <v>2</v>
      </c>
      <c r="L59" s="4">
        <v>3.5000000000000001E-3</v>
      </c>
      <c r="M59">
        <v>0.02</v>
      </c>
      <c r="N59" s="4">
        <v>7.0000000000000001E-3</v>
      </c>
      <c r="O59" s="4">
        <v>0.04</v>
      </c>
    </row>
    <row r="60" spans="2:15">
      <c r="B60" t="s">
        <v>90</v>
      </c>
      <c r="C60" t="s">
        <v>50</v>
      </c>
      <c r="D60" t="s">
        <v>169</v>
      </c>
      <c r="E60" t="s">
        <v>170</v>
      </c>
      <c r="F60" t="s">
        <v>10</v>
      </c>
      <c r="G60" t="s">
        <v>169</v>
      </c>
      <c r="H60" t="s">
        <v>171</v>
      </c>
      <c r="I60" t="s">
        <v>32</v>
      </c>
      <c r="J60">
        <v>0</v>
      </c>
      <c r="K60">
        <v>1</v>
      </c>
      <c r="L60" s="4">
        <v>3.5000000000000001E-3</v>
      </c>
      <c r="M60">
        <v>0.02</v>
      </c>
      <c r="N60" s="4">
        <v>3.5000000000000001E-3</v>
      </c>
      <c r="O60" s="4">
        <v>0.02</v>
      </c>
    </row>
    <row r="61" spans="2:15">
      <c r="B61" t="s">
        <v>90</v>
      </c>
      <c r="C61" t="s">
        <v>50</v>
      </c>
      <c r="D61" t="s">
        <v>172</v>
      </c>
      <c r="E61" t="s">
        <v>173</v>
      </c>
      <c r="F61" t="s">
        <v>10</v>
      </c>
      <c r="G61" t="s">
        <v>172</v>
      </c>
      <c r="H61" t="s">
        <v>174</v>
      </c>
      <c r="I61" t="s">
        <v>32</v>
      </c>
      <c r="J61">
        <v>0</v>
      </c>
      <c r="K61">
        <v>1090</v>
      </c>
      <c r="L61" s="4">
        <v>3.5000000000000001E-3</v>
      </c>
      <c r="M61">
        <v>0.02</v>
      </c>
      <c r="N61" s="4">
        <v>3.8149999999999999</v>
      </c>
      <c r="O61" s="4">
        <v>21.8</v>
      </c>
    </row>
    <row r="62" spans="2:15">
      <c r="B62" t="s">
        <v>90</v>
      </c>
      <c r="C62" t="s">
        <v>50</v>
      </c>
      <c r="D62" t="s">
        <v>175</v>
      </c>
      <c r="E62" t="s">
        <v>176</v>
      </c>
      <c r="F62" t="s">
        <v>10</v>
      </c>
      <c r="G62" t="s">
        <v>175</v>
      </c>
      <c r="H62" t="s">
        <v>177</v>
      </c>
      <c r="I62" t="s">
        <v>32</v>
      </c>
      <c r="J62">
        <v>0</v>
      </c>
      <c r="K62">
        <v>1572</v>
      </c>
      <c r="L62" s="4">
        <v>3.5000000000000001E-3</v>
      </c>
      <c r="M62">
        <v>0.02</v>
      </c>
      <c r="N62" s="4">
        <v>5.5019999999999998</v>
      </c>
      <c r="O62" s="4">
        <v>31.44</v>
      </c>
    </row>
    <row r="63" spans="2:15">
      <c r="B63" t="s">
        <v>90</v>
      </c>
      <c r="C63" t="s">
        <v>50</v>
      </c>
      <c r="D63" t="s">
        <v>178</v>
      </c>
      <c r="E63" t="s">
        <v>179</v>
      </c>
      <c r="F63" t="s">
        <v>10</v>
      </c>
      <c r="G63" t="s">
        <v>178</v>
      </c>
      <c r="H63" t="s">
        <v>180</v>
      </c>
      <c r="I63" t="s">
        <v>32</v>
      </c>
      <c r="J63">
        <v>0</v>
      </c>
      <c r="K63">
        <v>1514</v>
      </c>
      <c r="L63" s="4">
        <v>3.5000000000000001E-3</v>
      </c>
      <c r="M63">
        <v>0.02</v>
      </c>
      <c r="N63" s="4">
        <v>5.2990000000000004</v>
      </c>
      <c r="O63" s="4">
        <v>30.28</v>
      </c>
    </row>
    <row r="64" spans="2:15">
      <c r="B64" t="s">
        <v>90</v>
      </c>
      <c r="C64" t="s">
        <v>50</v>
      </c>
      <c r="D64" t="s">
        <v>181</v>
      </c>
      <c r="E64" t="s">
        <v>182</v>
      </c>
      <c r="F64" t="s">
        <v>10</v>
      </c>
      <c r="G64" t="s">
        <v>181</v>
      </c>
      <c r="H64" t="s">
        <v>183</v>
      </c>
      <c r="I64" t="s">
        <v>32</v>
      </c>
      <c r="J64">
        <v>0</v>
      </c>
      <c r="K64">
        <v>3542</v>
      </c>
      <c r="L64" s="4">
        <v>3.5000000000000001E-3</v>
      </c>
      <c r="M64">
        <v>0.02</v>
      </c>
      <c r="N64" s="4">
        <v>12.397</v>
      </c>
      <c r="O64" s="4">
        <v>70.84</v>
      </c>
    </row>
    <row r="65" spans="2:15">
      <c r="B65" t="s">
        <v>90</v>
      </c>
      <c r="C65" t="s">
        <v>49</v>
      </c>
      <c r="D65" t="s">
        <v>184</v>
      </c>
      <c r="E65" t="s">
        <v>185</v>
      </c>
      <c r="F65" t="s">
        <v>12</v>
      </c>
      <c r="G65" t="s">
        <v>184</v>
      </c>
      <c r="H65" t="s">
        <v>186</v>
      </c>
      <c r="I65" t="s">
        <v>31</v>
      </c>
      <c r="J65">
        <v>1788</v>
      </c>
      <c r="K65">
        <v>0</v>
      </c>
      <c r="L65" s="4">
        <v>3.8199999999999998E-2</v>
      </c>
      <c r="M65">
        <v>0.09</v>
      </c>
      <c r="N65" s="4">
        <v>6.830159999999999E-2</v>
      </c>
      <c r="O65" s="4">
        <v>0.16091999999999998</v>
      </c>
    </row>
    <row r="66" spans="2:15">
      <c r="B66" t="s">
        <v>90</v>
      </c>
      <c r="C66" t="s">
        <v>49</v>
      </c>
      <c r="D66" t="s">
        <v>187</v>
      </c>
      <c r="E66" t="s">
        <v>188</v>
      </c>
      <c r="F66" t="s">
        <v>11</v>
      </c>
      <c r="G66" t="s">
        <v>53</v>
      </c>
      <c r="H66" t="s">
        <v>189</v>
      </c>
      <c r="I66" t="s">
        <v>31</v>
      </c>
      <c r="J66">
        <v>1</v>
      </c>
      <c r="K66">
        <v>0</v>
      </c>
      <c r="L66" s="4">
        <v>3.8199999999999998E-2</v>
      </c>
      <c r="M66">
        <v>0.09</v>
      </c>
      <c r="N66" s="4">
        <v>3.82E-5</v>
      </c>
      <c r="O66" s="4">
        <v>8.9999999999999992E-5</v>
      </c>
    </row>
    <row r="67" spans="2:15">
      <c r="B67" t="s">
        <v>90</v>
      </c>
      <c r="C67" t="s">
        <v>49</v>
      </c>
      <c r="D67" t="s">
        <v>187</v>
      </c>
      <c r="E67" t="s">
        <v>188</v>
      </c>
      <c r="F67" t="s">
        <v>12</v>
      </c>
      <c r="G67" t="s">
        <v>187</v>
      </c>
      <c r="H67" t="s">
        <v>190</v>
      </c>
      <c r="I67" t="s">
        <v>31</v>
      </c>
      <c r="J67">
        <v>2398499</v>
      </c>
      <c r="K67">
        <v>667</v>
      </c>
      <c r="L67" s="4">
        <v>3.8199999999999998E-2</v>
      </c>
      <c r="M67">
        <v>0.09</v>
      </c>
      <c r="N67" s="4">
        <v>91.622661800000003</v>
      </c>
      <c r="O67" s="4">
        <v>215.86491000000001</v>
      </c>
    </row>
    <row r="68" spans="2:15">
      <c r="B68" t="s">
        <v>90</v>
      </c>
      <c r="C68" t="s">
        <v>49</v>
      </c>
      <c r="D68" t="s">
        <v>187</v>
      </c>
      <c r="E68" t="s">
        <v>188</v>
      </c>
      <c r="F68" t="s">
        <v>12</v>
      </c>
      <c r="G68" t="s">
        <v>187</v>
      </c>
      <c r="H68" t="s">
        <v>190</v>
      </c>
      <c r="I68" t="s">
        <v>31</v>
      </c>
      <c r="J68">
        <v>5</v>
      </c>
      <c r="K68">
        <v>0</v>
      </c>
      <c r="L68" s="4">
        <v>3.8199999999999998E-2</v>
      </c>
      <c r="M68">
        <v>0.09</v>
      </c>
      <c r="N68" s="4">
        <v>1.9100000000000001E-4</v>
      </c>
      <c r="O68" s="4">
        <v>4.4999999999999993E-4</v>
      </c>
    </row>
    <row r="69" spans="2:15">
      <c r="B69" t="s">
        <v>90</v>
      </c>
      <c r="C69" t="s">
        <v>49</v>
      </c>
      <c r="D69" t="s">
        <v>191</v>
      </c>
      <c r="E69" t="s">
        <v>192</v>
      </c>
      <c r="F69" t="s">
        <v>12</v>
      </c>
      <c r="G69" t="s">
        <v>191</v>
      </c>
      <c r="H69" t="s">
        <v>193</v>
      </c>
      <c r="I69" t="s">
        <v>31</v>
      </c>
      <c r="J69">
        <v>5732425</v>
      </c>
      <c r="K69">
        <v>17381</v>
      </c>
      <c r="L69" s="4">
        <v>3.8199999999999998E-2</v>
      </c>
      <c r="M69">
        <v>0.09</v>
      </c>
      <c r="N69" s="4">
        <v>218.97863499999997</v>
      </c>
      <c r="O69" s="4">
        <v>515.91824999999994</v>
      </c>
    </row>
    <row r="70" spans="2:15">
      <c r="B70" t="s">
        <v>90</v>
      </c>
      <c r="C70" t="s">
        <v>49</v>
      </c>
      <c r="D70" t="s">
        <v>191</v>
      </c>
      <c r="E70" t="s">
        <v>192</v>
      </c>
      <c r="F70" t="s">
        <v>12</v>
      </c>
      <c r="G70" t="s">
        <v>191</v>
      </c>
      <c r="H70" t="s">
        <v>193</v>
      </c>
      <c r="I70" t="s">
        <v>31</v>
      </c>
      <c r="J70">
        <v>28</v>
      </c>
      <c r="K70">
        <v>2</v>
      </c>
      <c r="L70" s="4">
        <v>3.8199999999999998E-2</v>
      </c>
      <c r="M70">
        <v>0.09</v>
      </c>
      <c r="N70" s="4">
        <v>1.0696E-3</v>
      </c>
      <c r="O70" s="4">
        <v>2.5200000000000001E-3</v>
      </c>
    </row>
    <row r="71" spans="2:15">
      <c r="B71" t="s">
        <v>90</v>
      </c>
      <c r="C71" t="s">
        <v>49</v>
      </c>
      <c r="D71" t="s">
        <v>194</v>
      </c>
      <c r="E71" t="s">
        <v>195</v>
      </c>
      <c r="F71" t="s">
        <v>12</v>
      </c>
      <c r="G71" t="s">
        <v>194</v>
      </c>
      <c r="H71" t="s">
        <v>196</v>
      </c>
      <c r="I71" t="s">
        <v>31</v>
      </c>
      <c r="J71">
        <v>847750</v>
      </c>
      <c r="K71">
        <v>1454</v>
      </c>
      <c r="L71" s="4">
        <v>3.8199999999999998E-2</v>
      </c>
      <c r="M71">
        <v>0.09</v>
      </c>
      <c r="N71" s="4">
        <v>32.384050000000002</v>
      </c>
      <c r="O71" s="4">
        <v>76.297499999999999</v>
      </c>
    </row>
    <row r="72" spans="2:15">
      <c r="B72" t="s">
        <v>90</v>
      </c>
      <c r="C72" t="s">
        <v>49</v>
      </c>
      <c r="D72" t="s">
        <v>194</v>
      </c>
      <c r="E72" t="s">
        <v>195</v>
      </c>
      <c r="F72" t="s">
        <v>12</v>
      </c>
      <c r="G72" t="s">
        <v>194</v>
      </c>
      <c r="H72" t="s">
        <v>196</v>
      </c>
      <c r="I72" t="s">
        <v>31</v>
      </c>
      <c r="J72">
        <v>11</v>
      </c>
      <c r="K72">
        <v>1</v>
      </c>
      <c r="L72" s="4">
        <v>3.8199999999999998E-2</v>
      </c>
      <c r="M72">
        <v>0.09</v>
      </c>
      <c r="N72" s="4">
        <v>4.2019999999999997E-4</v>
      </c>
      <c r="O72" s="4">
        <v>9.8999999999999999E-4</v>
      </c>
    </row>
    <row r="73" spans="2:15">
      <c r="B73" t="s">
        <v>90</v>
      </c>
      <c r="C73" t="s">
        <v>49</v>
      </c>
      <c r="D73" t="s">
        <v>197</v>
      </c>
      <c r="E73" t="s">
        <v>198</v>
      </c>
      <c r="F73" t="s">
        <v>12</v>
      </c>
      <c r="G73" t="s">
        <v>197</v>
      </c>
      <c r="H73" t="s">
        <v>199</v>
      </c>
      <c r="I73" t="s">
        <v>31</v>
      </c>
      <c r="J73">
        <v>74585</v>
      </c>
      <c r="K73">
        <v>1589</v>
      </c>
      <c r="L73" s="4">
        <v>3.8199999999999998E-2</v>
      </c>
      <c r="M73">
        <v>0.09</v>
      </c>
      <c r="N73" s="4">
        <v>2.8491469999999999</v>
      </c>
      <c r="O73" s="4">
        <v>6.71265</v>
      </c>
    </row>
    <row r="74" spans="2:15">
      <c r="B74" t="s">
        <v>90</v>
      </c>
      <c r="C74" t="s">
        <v>49</v>
      </c>
      <c r="D74" t="s">
        <v>197</v>
      </c>
      <c r="E74" t="s">
        <v>198</v>
      </c>
      <c r="F74" t="s">
        <v>12</v>
      </c>
      <c r="G74" t="s">
        <v>197</v>
      </c>
      <c r="H74" t="s">
        <v>199</v>
      </c>
      <c r="I74" t="s">
        <v>31</v>
      </c>
      <c r="J74">
        <v>0</v>
      </c>
      <c r="K74">
        <v>3</v>
      </c>
      <c r="L74" s="4">
        <v>3.8199999999999998E-2</v>
      </c>
      <c r="M74">
        <v>0.09</v>
      </c>
      <c r="N74" s="4">
        <v>0</v>
      </c>
      <c r="O74" s="4">
        <v>0</v>
      </c>
    </row>
    <row r="75" spans="2:15">
      <c r="B75" t="s">
        <v>90</v>
      </c>
      <c r="C75" t="s">
        <v>49</v>
      </c>
      <c r="D75" t="s">
        <v>200</v>
      </c>
      <c r="E75" t="s">
        <v>201</v>
      </c>
      <c r="F75" t="s">
        <v>12</v>
      </c>
      <c r="G75" t="s">
        <v>200</v>
      </c>
      <c r="H75" t="s">
        <v>202</v>
      </c>
      <c r="I75" t="s">
        <v>31</v>
      </c>
      <c r="J75">
        <v>17724725</v>
      </c>
      <c r="K75">
        <v>100420</v>
      </c>
      <c r="L75" s="4">
        <v>3.8199999999999998E-2</v>
      </c>
      <c r="M75">
        <v>0.09</v>
      </c>
      <c r="N75" s="4">
        <v>677.08449499999995</v>
      </c>
      <c r="O75" s="4">
        <v>1595.22525</v>
      </c>
    </row>
    <row r="76" spans="2:15">
      <c r="B76" t="s">
        <v>90</v>
      </c>
      <c r="C76" t="s">
        <v>49</v>
      </c>
      <c r="D76" t="s">
        <v>200</v>
      </c>
      <c r="E76" t="s">
        <v>201</v>
      </c>
      <c r="F76" t="s">
        <v>12</v>
      </c>
      <c r="G76" t="s">
        <v>200</v>
      </c>
      <c r="H76" t="s">
        <v>202</v>
      </c>
      <c r="I76" t="s">
        <v>31</v>
      </c>
      <c r="J76">
        <v>47</v>
      </c>
      <c r="K76">
        <v>18</v>
      </c>
      <c r="L76" s="4">
        <v>3.8199999999999998E-2</v>
      </c>
      <c r="M76">
        <v>0.09</v>
      </c>
      <c r="N76" s="4">
        <v>1.7953999999999999E-3</v>
      </c>
      <c r="O76" s="4">
        <v>4.2299999999999994E-3</v>
      </c>
    </row>
    <row r="77" spans="2:15">
      <c r="B77" t="s">
        <v>90</v>
      </c>
      <c r="C77" t="s">
        <v>49</v>
      </c>
      <c r="D77" t="s">
        <v>203</v>
      </c>
      <c r="E77" t="s">
        <v>204</v>
      </c>
      <c r="F77" t="s">
        <v>12</v>
      </c>
      <c r="G77" t="s">
        <v>203</v>
      </c>
      <c r="H77" t="s">
        <v>205</v>
      </c>
      <c r="I77" t="s">
        <v>31</v>
      </c>
      <c r="J77">
        <v>2054582</v>
      </c>
      <c r="K77">
        <v>1135</v>
      </c>
      <c r="L77" s="4">
        <v>3.8199999999999998E-2</v>
      </c>
      <c r="M77">
        <v>0.09</v>
      </c>
      <c r="N77" s="4">
        <v>78.485032399999994</v>
      </c>
      <c r="O77" s="4">
        <v>184.91238000000001</v>
      </c>
    </row>
    <row r="78" spans="2:15">
      <c r="B78" t="s">
        <v>90</v>
      </c>
      <c r="C78" t="s">
        <v>49</v>
      </c>
      <c r="D78" t="s">
        <v>206</v>
      </c>
      <c r="E78" t="s">
        <v>207</v>
      </c>
      <c r="F78" t="s">
        <v>12</v>
      </c>
      <c r="G78" t="s">
        <v>206</v>
      </c>
      <c r="H78" t="s">
        <v>208</v>
      </c>
      <c r="I78" t="s">
        <v>31</v>
      </c>
      <c r="J78">
        <v>13218</v>
      </c>
      <c r="K78">
        <v>11</v>
      </c>
      <c r="L78" s="4">
        <v>3.8199999999999998E-2</v>
      </c>
      <c r="M78">
        <v>0.09</v>
      </c>
      <c r="N78" s="4">
        <v>0.50492760000000003</v>
      </c>
      <c r="O78" s="4">
        <v>1.1896199999999999</v>
      </c>
    </row>
    <row r="79" spans="2:15">
      <c r="B79" t="s">
        <v>90</v>
      </c>
      <c r="C79" t="s">
        <v>49</v>
      </c>
      <c r="D79" t="s">
        <v>209</v>
      </c>
      <c r="E79" t="s">
        <v>210</v>
      </c>
      <c r="F79" t="s">
        <v>12</v>
      </c>
      <c r="G79" t="s">
        <v>209</v>
      </c>
      <c r="H79" t="s">
        <v>211</v>
      </c>
      <c r="I79" t="s">
        <v>31</v>
      </c>
      <c r="J79">
        <v>634681</v>
      </c>
      <c r="K79">
        <v>260</v>
      </c>
      <c r="L79" s="4">
        <v>3.8199999999999998E-2</v>
      </c>
      <c r="M79">
        <v>0.09</v>
      </c>
      <c r="N79" s="4">
        <v>24.244814199999997</v>
      </c>
      <c r="O79" s="4">
        <v>57.121290000000002</v>
      </c>
    </row>
    <row r="80" spans="2:15">
      <c r="B80" t="s">
        <v>90</v>
      </c>
      <c r="C80" t="s">
        <v>49</v>
      </c>
      <c r="D80" t="s">
        <v>212</v>
      </c>
      <c r="E80" t="s">
        <v>213</v>
      </c>
      <c r="F80" t="s">
        <v>12</v>
      </c>
      <c r="G80" t="s">
        <v>212</v>
      </c>
      <c r="H80" t="s">
        <v>214</v>
      </c>
      <c r="I80" t="s">
        <v>31</v>
      </c>
      <c r="J80">
        <v>255741</v>
      </c>
      <c r="K80">
        <v>68</v>
      </c>
      <c r="L80" s="4">
        <v>3.8199999999999998E-2</v>
      </c>
      <c r="M80">
        <v>0.09</v>
      </c>
      <c r="N80" s="4">
        <v>9.7693061999999991</v>
      </c>
      <c r="O80" s="4">
        <v>23.016689999999997</v>
      </c>
    </row>
    <row r="81" spans="2:15">
      <c r="B81" t="s">
        <v>90</v>
      </c>
      <c r="C81" t="s">
        <v>49</v>
      </c>
      <c r="D81" t="s">
        <v>215</v>
      </c>
      <c r="E81" t="s">
        <v>216</v>
      </c>
      <c r="F81" t="s">
        <v>12</v>
      </c>
      <c r="G81" t="s">
        <v>215</v>
      </c>
      <c r="H81" t="s">
        <v>217</v>
      </c>
      <c r="I81" t="s">
        <v>31</v>
      </c>
      <c r="J81">
        <v>1186386</v>
      </c>
      <c r="K81">
        <v>399</v>
      </c>
      <c r="L81" s="4">
        <v>3.8199999999999998E-2</v>
      </c>
      <c r="M81">
        <v>0.09</v>
      </c>
      <c r="N81" s="4">
        <v>45.319945199999992</v>
      </c>
      <c r="O81" s="4">
        <v>106.77473999999999</v>
      </c>
    </row>
    <row r="82" spans="2:15">
      <c r="B82" t="s">
        <v>90</v>
      </c>
      <c r="C82" t="s">
        <v>49</v>
      </c>
      <c r="D82" t="s">
        <v>218</v>
      </c>
      <c r="E82" t="s">
        <v>219</v>
      </c>
      <c r="F82" t="s">
        <v>12</v>
      </c>
      <c r="G82" t="s">
        <v>218</v>
      </c>
      <c r="H82" t="s">
        <v>220</v>
      </c>
      <c r="I82" t="s">
        <v>31</v>
      </c>
      <c r="J82">
        <v>8652209</v>
      </c>
      <c r="K82">
        <v>48788</v>
      </c>
      <c r="L82" s="4">
        <v>3.8199999999999998E-2</v>
      </c>
      <c r="M82">
        <v>0.09</v>
      </c>
      <c r="N82" s="4">
        <v>330.51438379999996</v>
      </c>
      <c r="O82" s="4">
        <v>778.69880999999998</v>
      </c>
    </row>
    <row r="83" spans="2:15">
      <c r="B83" t="s">
        <v>90</v>
      </c>
      <c r="C83" t="s">
        <v>49</v>
      </c>
      <c r="D83" t="s">
        <v>218</v>
      </c>
      <c r="E83" t="s">
        <v>219</v>
      </c>
      <c r="F83" t="s">
        <v>12</v>
      </c>
      <c r="G83" t="s">
        <v>218</v>
      </c>
      <c r="H83" t="s">
        <v>220</v>
      </c>
      <c r="I83" t="s">
        <v>31</v>
      </c>
      <c r="J83">
        <v>0</v>
      </c>
      <c r="K83">
        <v>1</v>
      </c>
      <c r="L83" s="4">
        <v>3.8199999999999998E-2</v>
      </c>
      <c r="M83">
        <v>0.09</v>
      </c>
      <c r="N83" s="4">
        <v>0</v>
      </c>
      <c r="O83" s="4">
        <v>0</v>
      </c>
    </row>
    <row r="84" spans="2:15">
      <c r="B84" t="s">
        <v>90</v>
      </c>
      <c r="C84" t="s">
        <v>49</v>
      </c>
      <c r="D84" t="s">
        <v>221</v>
      </c>
      <c r="E84" t="s">
        <v>222</v>
      </c>
      <c r="F84" t="s">
        <v>12</v>
      </c>
      <c r="G84" t="s">
        <v>221</v>
      </c>
      <c r="H84" t="s">
        <v>223</v>
      </c>
      <c r="I84" t="s">
        <v>31</v>
      </c>
      <c r="J84">
        <v>1023497</v>
      </c>
      <c r="K84">
        <v>1602</v>
      </c>
      <c r="L84" s="4">
        <v>3.8199999999999998E-2</v>
      </c>
      <c r="M84">
        <v>0.09</v>
      </c>
      <c r="N84" s="4">
        <v>39.0975854</v>
      </c>
      <c r="O84" s="4">
        <v>92.114729999999994</v>
      </c>
    </row>
    <row r="85" spans="2:15">
      <c r="B85" t="s">
        <v>90</v>
      </c>
      <c r="C85" t="s">
        <v>49</v>
      </c>
      <c r="D85" t="s">
        <v>224</v>
      </c>
      <c r="E85" t="s">
        <v>225</v>
      </c>
      <c r="F85" t="s">
        <v>12</v>
      </c>
      <c r="G85" t="s">
        <v>224</v>
      </c>
      <c r="H85" t="s">
        <v>226</v>
      </c>
      <c r="I85" t="s">
        <v>31</v>
      </c>
      <c r="J85">
        <v>536180</v>
      </c>
      <c r="K85">
        <v>585</v>
      </c>
      <c r="L85" s="4">
        <v>3.8199999999999998E-2</v>
      </c>
      <c r="M85">
        <v>0.09</v>
      </c>
      <c r="N85" s="4">
        <v>20.482075999999996</v>
      </c>
      <c r="O85" s="4">
        <v>48.2562</v>
      </c>
    </row>
    <row r="86" spans="2:15">
      <c r="B86" t="s">
        <v>90</v>
      </c>
      <c r="C86" t="s">
        <v>49</v>
      </c>
      <c r="D86" t="s">
        <v>227</v>
      </c>
      <c r="E86" t="s">
        <v>228</v>
      </c>
      <c r="F86" t="s">
        <v>12</v>
      </c>
      <c r="G86" t="s">
        <v>227</v>
      </c>
      <c r="H86" t="s">
        <v>229</v>
      </c>
      <c r="I86" t="s">
        <v>31</v>
      </c>
      <c r="J86">
        <v>29472393</v>
      </c>
      <c r="K86">
        <v>175213</v>
      </c>
      <c r="L86" s="4">
        <v>3.8199999999999998E-2</v>
      </c>
      <c r="M86">
        <v>0.09</v>
      </c>
      <c r="N86" s="4">
        <v>1125.8454125999999</v>
      </c>
      <c r="O86" s="4">
        <v>2652.5153700000001</v>
      </c>
    </row>
    <row r="87" spans="2:15">
      <c r="B87" t="s">
        <v>90</v>
      </c>
      <c r="C87" t="s">
        <v>49</v>
      </c>
      <c r="D87" t="s">
        <v>227</v>
      </c>
      <c r="E87" t="s">
        <v>228</v>
      </c>
      <c r="F87" t="s">
        <v>12</v>
      </c>
      <c r="G87" t="s">
        <v>227</v>
      </c>
      <c r="H87" t="s">
        <v>229</v>
      </c>
      <c r="I87" t="s">
        <v>31</v>
      </c>
      <c r="J87">
        <v>0</v>
      </c>
      <c r="K87">
        <v>10</v>
      </c>
      <c r="L87" s="4">
        <v>3.8199999999999998E-2</v>
      </c>
      <c r="M87">
        <v>0.09</v>
      </c>
      <c r="N87" s="4">
        <v>0</v>
      </c>
      <c r="O87" s="4">
        <v>0</v>
      </c>
    </row>
    <row r="88" spans="2:15">
      <c r="B88" t="s">
        <v>90</v>
      </c>
      <c r="C88" t="s">
        <v>49</v>
      </c>
      <c r="D88" t="s">
        <v>230</v>
      </c>
      <c r="E88" t="s">
        <v>231</v>
      </c>
      <c r="F88" t="s">
        <v>12</v>
      </c>
      <c r="G88" t="s">
        <v>230</v>
      </c>
      <c r="H88" t="s">
        <v>232</v>
      </c>
      <c r="I88" t="s">
        <v>31</v>
      </c>
      <c r="J88">
        <v>3018775</v>
      </c>
      <c r="K88">
        <v>1724</v>
      </c>
      <c r="L88" s="4">
        <v>3.8199999999999998E-2</v>
      </c>
      <c r="M88">
        <v>0.09</v>
      </c>
      <c r="N88" s="4">
        <v>115.31720499999999</v>
      </c>
      <c r="O88" s="4">
        <v>271.68975</v>
      </c>
    </row>
    <row r="89" spans="2:15">
      <c r="B89" t="s">
        <v>90</v>
      </c>
      <c r="C89" t="s">
        <v>49</v>
      </c>
      <c r="D89" t="s">
        <v>233</v>
      </c>
      <c r="E89" t="s">
        <v>234</v>
      </c>
      <c r="F89" t="s">
        <v>12</v>
      </c>
      <c r="G89" t="s">
        <v>233</v>
      </c>
      <c r="H89" t="s">
        <v>235</v>
      </c>
      <c r="I89" t="s">
        <v>31</v>
      </c>
      <c r="J89">
        <v>366522</v>
      </c>
      <c r="K89">
        <v>405</v>
      </c>
      <c r="L89" s="4">
        <v>3.8199999999999998E-2</v>
      </c>
      <c r="M89">
        <v>0.09</v>
      </c>
      <c r="N89" s="4">
        <v>14.001140399999999</v>
      </c>
      <c r="O89" s="4">
        <v>32.986979999999996</v>
      </c>
    </row>
    <row r="90" spans="2:15">
      <c r="B90" t="s">
        <v>90</v>
      </c>
      <c r="C90" t="s">
        <v>49</v>
      </c>
      <c r="D90" t="s">
        <v>236</v>
      </c>
      <c r="E90" t="s">
        <v>237</v>
      </c>
      <c r="F90" t="s">
        <v>12</v>
      </c>
      <c r="G90" t="s">
        <v>236</v>
      </c>
      <c r="H90" t="s">
        <v>238</v>
      </c>
      <c r="I90" t="s">
        <v>31</v>
      </c>
      <c r="J90">
        <v>483597</v>
      </c>
      <c r="K90">
        <v>212</v>
      </c>
      <c r="L90" s="4">
        <v>3.8199999999999998E-2</v>
      </c>
      <c r="M90">
        <v>0.09</v>
      </c>
      <c r="N90" s="4">
        <v>18.473405400000001</v>
      </c>
      <c r="O90" s="4">
        <v>43.523729999999993</v>
      </c>
    </row>
    <row r="91" spans="2:15">
      <c r="B91" t="s">
        <v>90</v>
      </c>
      <c r="C91" t="s">
        <v>49</v>
      </c>
      <c r="D91" t="s">
        <v>239</v>
      </c>
      <c r="E91" t="s">
        <v>240</v>
      </c>
      <c r="F91" t="s">
        <v>12</v>
      </c>
      <c r="G91" t="s">
        <v>239</v>
      </c>
      <c r="H91" t="s">
        <v>241</v>
      </c>
      <c r="I91" t="s">
        <v>31</v>
      </c>
      <c r="J91">
        <v>1</v>
      </c>
      <c r="K91">
        <v>0</v>
      </c>
      <c r="L91" s="4">
        <v>3.8199999999999998E-2</v>
      </c>
      <c r="M91">
        <v>0.09</v>
      </c>
      <c r="N91" s="4">
        <v>3.82E-5</v>
      </c>
      <c r="O91" s="4">
        <v>8.9999999999999992E-5</v>
      </c>
    </row>
    <row r="92" spans="2:15">
      <c r="B92" t="s">
        <v>90</v>
      </c>
      <c r="C92" t="s">
        <v>49</v>
      </c>
      <c r="D92" t="s">
        <v>242</v>
      </c>
      <c r="E92" t="s">
        <v>243</v>
      </c>
      <c r="F92" t="s">
        <v>12</v>
      </c>
      <c r="G92" t="s">
        <v>242</v>
      </c>
      <c r="H92" t="s">
        <v>244</v>
      </c>
      <c r="I92" t="s">
        <v>31</v>
      </c>
      <c r="J92">
        <v>1</v>
      </c>
      <c r="K92">
        <v>1</v>
      </c>
      <c r="L92" s="4">
        <v>3.8199999999999998E-2</v>
      </c>
      <c r="M92">
        <v>0.09</v>
      </c>
      <c r="N92" s="4">
        <v>3.82E-5</v>
      </c>
      <c r="O92" s="4">
        <v>8.9999999999999992E-5</v>
      </c>
    </row>
    <row r="93" spans="2:15">
      <c r="B93" t="s">
        <v>90</v>
      </c>
      <c r="C93" t="s">
        <v>49</v>
      </c>
      <c r="D93" t="s">
        <v>245</v>
      </c>
      <c r="E93" t="s">
        <v>246</v>
      </c>
      <c r="F93" t="s">
        <v>30</v>
      </c>
      <c r="G93" t="s">
        <v>245</v>
      </c>
      <c r="H93" t="s">
        <v>247</v>
      </c>
      <c r="I93" t="s">
        <v>56</v>
      </c>
      <c r="J93">
        <v>2</v>
      </c>
      <c r="K93">
        <v>0</v>
      </c>
      <c r="L93" s="4">
        <v>0.6</v>
      </c>
      <c r="M93">
        <v>0.35</v>
      </c>
      <c r="N93" s="4">
        <v>1.1999999999999999E-3</v>
      </c>
      <c r="O93" s="4">
        <v>6.9999999999999999E-4</v>
      </c>
    </row>
    <row r="94" spans="2:15">
      <c r="B94" t="s">
        <v>90</v>
      </c>
      <c r="C94" t="s">
        <v>49</v>
      </c>
      <c r="D94" t="s">
        <v>248</v>
      </c>
      <c r="E94" t="s">
        <v>249</v>
      </c>
      <c r="F94" t="s">
        <v>30</v>
      </c>
      <c r="G94" t="s">
        <v>248</v>
      </c>
      <c r="H94" t="s">
        <v>250</v>
      </c>
      <c r="I94" t="s">
        <v>56</v>
      </c>
      <c r="J94">
        <v>1</v>
      </c>
      <c r="K94">
        <v>0</v>
      </c>
      <c r="L94" s="4">
        <v>0.6</v>
      </c>
      <c r="M94">
        <v>0.35</v>
      </c>
      <c r="N94" s="4">
        <v>5.9999999999999995E-4</v>
      </c>
      <c r="O94" s="4">
        <v>3.5E-4</v>
      </c>
    </row>
    <row r="95" spans="2:15">
      <c r="B95" t="s">
        <v>90</v>
      </c>
      <c r="C95" t="s">
        <v>49</v>
      </c>
      <c r="D95" t="s">
        <v>251</v>
      </c>
      <c r="E95" t="s">
        <v>252</v>
      </c>
      <c r="F95" t="s">
        <v>30</v>
      </c>
      <c r="G95" t="s">
        <v>251</v>
      </c>
      <c r="H95" t="s">
        <v>253</v>
      </c>
      <c r="I95" t="s">
        <v>56</v>
      </c>
      <c r="J95">
        <v>29</v>
      </c>
      <c r="K95">
        <v>9</v>
      </c>
      <c r="L95" s="4">
        <v>0.6</v>
      </c>
      <c r="M95">
        <v>0.35</v>
      </c>
      <c r="N95" s="4">
        <v>1.7399999999999999E-2</v>
      </c>
      <c r="O95" s="4">
        <v>1.0149999999999999E-2</v>
      </c>
    </row>
    <row r="96" spans="2:15">
      <c r="B96" t="s">
        <v>90</v>
      </c>
      <c r="C96" t="s">
        <v>49</v>
      </c>
      <c r="D96" t="s">
        <v>254</v>
      </c>
      <c r="E96" t="s">
        <v>255</v>
      </c>
      <c r="F96" t="s">
        <v>30</v>
      </c>
      <c r="G96" t="s">
        <v>254</v>
      </c>
      <c r="H96" t="s">
        <v>256</v>
      </c>
      <c r="I96" t="s">
        <v>56</v>
      </c>
      <c r="J96">
        <v>3</v>
      </c>
      <c r="K96">
        <v>6</v>
      </c>
      <c r="L96" s="4">
        <v>0.6</v>
      </c>
      <c r="M96">
        <v>0.35</v>
      </c>
      <c r="N96" s="4">
        <v>1.7999999999999997E-3</v>
      </c>
      <c r="O96" s="4">
        <v>1.0499999999999997E-3</v>
      </c>
    </row>
    <row r="97" spans="2:15">
      <c r="B97" t="s">
        <v>90</v>
      </c>
      <c r="C97" t="s">
        <v>49</v>
      </c>
      <c r="D97" t="s">
        <v>254</v>
      </c>
      <c r="E97" t="s">
        <v>255</v>
      </c>
      <c r="F97" t="s">
        <v>30</v>
      </c>
      <c r="G97" t="s">
        <v>254</v>
      </c>
      <c r="H97" t="s">
        <v>256</v>
      </c>
      <c r="I97" t="s">
        <v>56</v>
      </c>
      <c r="J97">
        <v>1</v>
      </c>
      <c r="K97">
        <v>0</v>
      </c>
      <c r="L97" s="4">
        <v>0.6</v>
      </c>
      <c r="M97">
        <v>0.35</v>
      </c>
      <c r="N97" s="4">
        <v>5.9999999999999995E-4</v>
      </c>
      <c r="O97" s="4">
        <v>3.5E-4</v>
      </c>
    </row>
    <row r="98" spans="2:15">
      <c r="B98" t="s">
        <v>90</v>
      </c>
      <c r="C98" t="s">
        <v>49</v>
      </c>
      <c r="D98" t="s">
        <v>257</v>
      </c>
      <c r="E98" t="s">
        <v>258</v>
      </c>
      <c r="F98" t="s">
        <v>30</v>
      </c>
      <c r="G98" t="s">
        <v>257</v>
      </c>
      <c r="H98" t="s">
        <v>259</v>
      </c>
      <c r="I98" t="s">
        <v>56</v>
      </c>
      <c r="J98">
        <v>4</v>
      </c>
      <c r="K98">
        <v>4</v>
      </c>
      <c r="L98" s="4">
        <v>0.6</v>
      </c>
      <c r="M98">
        <v>0.35</v>
      </c>
      <c r="N98" s="4">
        <v>2.3999999999999998E-3</v>
      </c>
      <c r="O98" s="4">
        <v>1.4E-3</v>
      </c>
    </row>
    <row r="99" spans="2:15">
      <c r="B99" t="s">
        <v>90</v>
      </c>
      <c r="C99" t="s">
        <v>49</v>
      </c>
      <c r="D99" t="s">
        <v>260</v>
      </c>
      <c r="E99" t="s">
        <v>261</v>
      </c>
      <c r="F99" t="s">
        <v>30</v>
      </c>
      <c r="G99" t="s">
        <v>260</v>
      </c>
      <c r="H99" t="s">
        <v>262</v>
      </c>
      <c r="I99" t="s">
        <v>56</v>
      </c>
      <c r="J99">
        <v>1</v>
      </c>
      <c r="K99">
        <v>0</v>
      </c>
      <c r="L99" s="4">
        <v>0.6</v>
      </c>
      <c r="M99">
        <v>0.35</v>
      </c>
      <c r="N99" s="4">
        <v>5.9999999999999995E-4</v>
      </c>
      <c r="O99" s="4">
        <v>3.5E-4</v>
      </c>
    </row>
    <row r="100" spans="2:15">
      <c r="B100" t="s">
        <v>90</v>
      </c>
      <c r="C100" t="s">
        <v>52</v>
      </c>
      <c r="D100" t="s">
        <v>263</v>
      </c>
      <c r="E100" t="s">
        <v>264</v>
      </c>
      <c r="F100" t="s">
        <v>12</v>
      </c>
      <c r="G100" t="s">
        <v>263</v>
      </c>
      <c r="H100" t="s">
        <v>265</v>
      </c>
      <c r="I100" t="s">
        <v>31</v>
      </c>
      <c r="J100">
        <v>13063</v>
      </c>
      <c r="K100">
        <v>4</v>
      </c>
      <c r="L100" s="4">
        <v>3.8199999999999998E-2</v>
      </c>
      <c r="M100">
        <v>0.09</v>
      </c>
      <c r="N100" s="4">
        <v>0.49900659999999997</v>
      </c>
      <c r="O100" s="4">
        <v>1.1756699999999998</v>
      </c>
    </row>
    <row r="101" spans="2:15">
      <c r="B101" t="s">
        <v>90</v>
      </c>
      <c r="C101" t="s">
        <v>52</v>
      </c>
      <c r="D101" t="s">
        <v>266</v>
      </c>
      <c r="E101" t="s">
        <v>267</v>
      </c>
      <c r="F101" t="s">
        <v>12</v>
      </c>
      <c r="G101" t="s">
        <v>266</v>
      </c>
      <c r="H101" t="s">
        <v>268</v>
      </c>
      <c r="I101" t="s">
        <v>31</v>
      </c>
      <c r="J101">
        <v>1102803</v>
      </c>
      <c r="K101">
        <v>254</v>
      </c>
      <c r="L101" s="4">
        <v>3.8199999999999998E-2</v>
      </c>
      <c r="M101">
        <v>0.09</v>
      </c>
      <c r="N101" s="4">
        <v>42.1270746</v>
      </c>
      <c r="O101" s="4">
        <v>99.252269999999996</v>
      </c>
    </row>
    <row r="102" spans="2:15">
      <c r="B102" t="s">
        <v>90</v>
      </c>
      <c r="C102" t="s">
        <v>52</v>
      </c>
      <c r="D102" t="s">
        <v>266</v>
      </c>
      <c r="E102" t="s">
        <v>267</v>
      </c>
      <c r="F102" t="s">
        <v>12</v>
      </c>
      <c r="G102" t="s">
        <v>266</v>
      </c>
      <c r="H102" t="s">
        <v>268</v>
      </c>
      <c r="I102" t="s">
        <v>31</v>
      </c>
      <c r="J102">
        <v>1</v>
      </c>
      <c r="K102">
        <v>0</v>
      </c>
      <c r="L102" s="4">
        <v>3.8199999999999998E-2</v>
      </c>
      <c r="M102">
        <v>0.09</v>
      </c>
      <c r="N102" s="4">
        <v>3.82E-5</v>
      </c>
      <c r="O102" s="4">
        <v>8.9999999999999992E-5</v>
      </c>
    </row>
    <row r="103" spans="2:15">
      <c r="B103" t="s">
        <v>90</v>
      </c>
      <c r="C103" t="s">
        <v>52</v>
      </c>
      <c r="D103" t="s">
        <v>269</v>
      </c>
      <c r="E103" t="s">
        <v>270</v>
      </c>
      <c r="F103" t="s">
        <v>12</v>
      </c>
      <c r="G103" t="s">
        <v>269</v>
      </c>
      <c r="H103" t="s">
        <v>271</v>
      </c>
      <c r="I103" t="s">
        <v>31</v>
      </c>
      <c r="J103">
        <v>2406891</v>
      </c>
      <c r="K103">
        <v>2392</v>
      </c>
      <c r="L103" s="4">
        <v>3.8199999999999998E-2</v>
      </c>
      <c r="M103">
        <v>0.09</v>
      </c>
      <c r="N103" s="4">
        <v>91.943236200000001</v>
      </c>
      <c r="O103" s="4">
        <v>216.62019000000001</v>
      </c>
    </row>
    <row r="104" spans="2:15">
      <c r="B104" t="s">
        <v>90</v>
      </c>
      <c r="C104" t="s">
        <v>52</v>
      </c>
      <c r="D104" t="s">
        <v>269</v>
      </c>
      <c r="E104" t="s">
        <v>270</v>
      </c>
      <c r="F104" t="s">
        <v>12</v>
      </c>
      <c r="G104" t="s">
        <v>269</v>
      </c>
      <c r="H104" t="s">
        <v>271</v>
      </c>
      <c r="I104" t="s">
        <v>31</v>
      </c>
      <c r="J104">
        <v>1</v>
      </c>
      <c r="K104">
        <v>0</v>
      </c>
      <c r="L104" s="4">
        <v>3.8199999999999998E-2</v>
      </c>
      <c r="M104">
        <v>0.09</v>
      </c>
      <c r="N104" s="4">
        <v>3.82E-5</v>
      </c>
      <c r="O104" s="4">
        <v>8.9999999999999992E-5</v>
      </c>
    </row>
    <row r="105" spans="2:15">
      <c r="B105" t="s">
        <v>90</v>
      </c>
      <c r="C105" t="s">
        <v>52</v>
      </c>
      <c r="D105" t="s">
        <v>272</v>
      </c>
      <c r="E105" t="s">
        <v>273</v>
      </c>
      <c r="F105" t="s">
        <v>12</v>
      </c>
      <c r="G105" t="s">
        <v>272</v>
      </c>
      <c r="H105" t="s">
        <v>274</v>
      </c>
      <c r="I105" t="s">
        <v>31</v>
      </c>
      <c r="J105">
        <v>7662</v>
      </c>
      <c r="K105">
        <v>12</v>
      </c>
      <c r="L105" s="4">
        <v>3.8199999999999998E-2</v>
      </c>
      <c r="M105">
        <v>0.09</v>
      </c>
      <c r="N105" s="4">
        <v>0.29268840000000002</v>
      </c>
      <c r="O105" s="4">
        <v>0.68957999999999997</v>
      </c>
    </row>
    <row r="106" spans="2:15">
      <c r="B106" t="s">
        <v>90</v>
      </c>
      <c r="C106" t="s">
        <v>52</v>
      </c>
      <c r="D106" t="s">
        <v>275</v>
      </c>
      <c r="E106" t="s">
        <v>276</v>
      </c>
      <c r="F106" t="s">
        <v>12</v>
      </c>
      <c r="G106" t="s">
        <v>275</v>
      </c>
      <c r="H106" t="s">
        <v>277</v>
      </c>
      <c r="I106" t="s">
        <v>31</v>
      </c>
      <c r="J106">
        <v>469451</v>
      </c>
      <c r="K106">
        <v>75</v>
      </c>
      <c r="L106" s="4">
        <v>3.8199999999999998E-2</v>
      </c>
      <c r="M106">
        <v>0.09</v>
      </c>
      <c r="N106" s="4">
        <v>17.933028199999999</v>
      </c>
      <c r="O106" s="4">
        <v>42.250589999999995</v>
      </c>
    </row>
    <row r="107" spans="2:15">
      <c r="B107" t="s">
        <v>90</v>
      </c>
      <c r="C107" t="s">
        <v>52</v>
      </c>
      <c r="D107" t="s">
        <v>275</v>
      </c>
      <c r="E107" t="s">
        <v>276</v>
      </c>
      <c r="F107" t="s">
        <v>12</v>
      </c>
      <c r="G107" t="s">
        <v>275</v>
      </c>
      <c r="H107" t="s">
        <v>277</v>
      </c>
      <c r="I107" t="s">
        <v>31</v>
      </c>
      <c r="J107">
        <v>3</v>
      </c>
      <c r="K107">
        <v>0</v>
      </c>
      <c r="L107" s="4">
        <v>3.8199999999999998E-2</v>
      </c>
      <c r="M107">
        <v>0.09</v>
      </c>
      <c r="N107" s="4">
        <v>1.1459999999999999E-4</v>
      </c>
      <c r="O107" s="4">
        <v>2.7E-4</v>
      </c>
    </row>
    <row r="108" spans="2:15">
      <c r="B108" t="s">
        <v>90</v>
      </c>
      <c r="C108" t="s">
        <v>52</v>
      </c>
      <c r="D108" t="s">
        <v>278</v>
      </c>
      <c r="E108" t="s">
        <v>279</v>
      </c>
      <c r="F108" t="s">
        <v>12</v>
      </c>
      <c r="G108" t="s">
        <v>278</v>
      </c>
      <c r="H108" t="s">
        <v>280</v>
      </c>
      <c r="I108" t="s">
        <v>31</v>
      </c>
      <c r="J108">
        <v>295311</v>
      </c>
      <c r="K108">
        <v>729</v>
      </c>
      <c r="L108" s="4">
        <v>3.8199999999999998E-2</v>
      </c>
      <c r="M108">
        <v>0.09</v>
      </c>
      <c r="N108" s="4">
        <v>11.2808802</v>
      </c>
      <c r="O108" s="4">
        <v>26.577989999999996</v>
      </c>
    </row>
    <row r="109" spans="2:15">
      <c r="B109" t="s">
        <v>90</v>
      </c>
      <c r="C109" t="s">
        <v>52</v>
      </c>
      <c r="D109" t="s">
        <v>278</v>
      </c>
      <c r="E109" t="s">
        <v>279</v>
      </c>
      <c r="F109" t="s">
        <v>12</v>
      </c>
      <c r="G109" t="s">
        <v>278</v>
      </c>
      <c r="H109" t="s">
        <v>280</v>
      </c>
      <c r="I109" t="s">
        <v>31</v>
      </c>
      <c r="J109">
        <v>3</v>
      </c>
      <c r="K109">
        <v>0</v>
      </c>
      <c r="L109" s="4">
        <v>3.8199999999999998E-2</v>
      </c>
      <c r="M109">
        <v>0.09</v>
      </c>
      <c r="N109" s="4">
        <v>1.1459999999999999E-4</v>
      </c>
      <c r="O109" s="4">
        <v>2.7E-4</v>
      </c>
    </row>
    <row r="110" spans="2:15">
      <c r="B110" t="s">
        <v>90</v>
      </c>
      <c r="C110" t="s">
        <v>52</v>
      </c>
      <c r="D110" t="s">
        <v>281</v>
      </c>
      <c r="E110" t="s">
        <v>282</v>
      </c>
      <c r="F110" t="s">
        <v>12</v>
      </c>
      <c r="G110" t="s">
        <v>281</v>
      </c>
      <c r="H110" t="s">
        <v>283</v>
      </c>
      <c r="I110" t="s">
        <v>31</v>
      </c>
      <c r="J110">
        <v>459437</v>
      </c>
      <c r="K110">
        <v>62</v>
      </c>
      <c r="L110" s="4">
        <v>3.8199999999999998E-2</v>
      </c>
      <c r="M110">
        <v>0.09</v>
      </c>
      <c r="N110" s="4">
        <v>17.550493400000001</v>
      </c>
      <c r="O110" s="4">
        <v>41.349330000000002</v>
      </c>
    </row>
    <row r="111" spans="2:15">
      <c r="B111" t="s">
        <v>90</v>
      </c>
      <c r="C111" t="s">
        <v>52</v>
      </c>
      <c r="D111" t="s">
        <v>284</v>
      </c>
      <c r="E111" t="s">
        <v>285</v>
      </c>
      <c r="F111" t="s">
        <v>12</v>
      </c>
      <c r="G111" t="s">
        <v>284</v>
      </c>
      <c r="H111" t="s">
        <v>286</v>
      </c>
      <c r="I111" t="s">
        <v>31</v>
      </c>
      <c r="J111">
        <v>174732</v>
      </c>
      <c r="K111">
        <v>56</v>
      </c>
      <c r="L111" s="4">
        <v>3.8199999999999998E-2</v>
      </c>
      <c r="M111">
        <v>0.09</v>
      </c>
      <c r="N111" s="4">
        <v>6.6747623999999997</v>
      </c>
      <c r="O111" s="4">
        <v>15.72588</v>
      </c>
    </row>
    <row r="112" spans="2:15">
      <c r="B112" t="s">
        <v>90</v>
      </c>
      <c r="C112" t="s">
        <v>52</v>
      </c>
      <c r="D112" t="s">
        <v>287</v>
      </c>
      <c r="E112" t="s">
        <v>288</v>
      </c>
      <c r="F112" t="s">
        <v>12</v>
      </c>
      <c r="G112" t="s">
        <v>287</v>
      </c>
      <c r="H112" t="s">
        <v>289</v>
      </c>
      <c r="I112" t="s">
        <v>31</v>
      </c>
      <c r="J112">
        <v>142093</v>
      </c>
      <c r="K112">
        <v>3</v>
      </c>
      <c r="L112" s="4">
        <v>3.8199999999999998E-2</v>
      </c>
      <c r="M112">
        <v>0.09</v>
      </c>
      <c r="N112" s="4">
        <v>5.4279525999999994</v>
      </c>
      <c r="O112" s="4">
        <v>12.788369999999999</v>
      </c>
    </row>
    <row r="113" spans="2:15">
      <c r="B113" t="s">
        <v>90</v>
      </c>
      <c r="C113" t="s">
        <v>52</v>
      </c>
      <c r="D113" t="s">
        <v>290</v>
      </c>
      <c r="E113" t="s">
        <v>291</v>
      </c>
      <c r="F113" t="s">
        <v>12</v>
      </c>
      <c r="G113" t="s">
        <v>290</v>
      </c>
      <c r="H113" t="s">
        <v>292</v>
      </c>
      <c r="I113" t="s">
        <v>31</v>
      </c>
      <c r="J113">
        <v>5</v>
      </c>
      <c r="K113">
        <v>0</v>
      </c>
      <c r="L113" s="4">
        <v>3.8199999999999998E-2</v>
      </c>
      <c r="M113">
        <v>0.09</v>
      </c>
      <c r="N113" s="4">
        <v>1.9100000000000001E-4</v>
      </c>
      <c r="O113" s="4">
        <v>4.4999999999999993E-4</v>
      </c>
    </row>
    <row r="114" spans="2:15">
      <c r="B114" t="s">
        <v>90</v>
      </c>
      <c r="C114" t="s">
        <v>52</v>
      </c>
      <c r="D114" t="s">
        <v>293</v>
      </c>
      <c r="E114" t="s">
        <v>294</v>
      </c>
      <c r="F114" t="s">
        <v>12</v>
      </c>
      <c r="G114" t="s">
        <v>293</v>
      </c>
      <c r="H114" t="s">
        <v>295</v>
      </c>
      <c r="I114" t="s">
        <v>31</v>
      </c>
      <c r="J114">
        <v>12</v>
      </c>
      <c r="K114">
        <v>3</v>
      </c>
      <c r="L114" s="4">
        <v>3.8199999999999998E-2</v>
      </c>
      <c r="M114">
        <v>0.09</v>
      </c>
      <c r="N114" s="4">
        <v>4.5839999999999998E-4</v>
      </c>
      <c r="O114" s="4">
        <v>1.08E-3</v>
      </c>
    </row>
    <row r="115" spans="2:15">
      <c r="B115" t="s">
        <v>90</v>
      </c>
      <c r="C115" t="s">
        <v>52</v>
      </c>
      <c r="D115" t="s">
        <v>296</v>
      </c>
      <c r="E115" t="s">
        <v>297</v>
      </c>
      <c r="F115" t="s">
        <v>12</v>
      </c>
      <c r="G115" t="s">
        <v>296</v>
      </c>
      <c r="H115" t="s">
        <v>298</v>
      </c>
      <c r="I115" t="s">
        <v>31</v>
      </c>
      <c r="J115">
        <v>18</v>
      </c>
      <c r="K115">
        <v>1</v>
      </c>
      <c r="L115" s="4">
        <v>3.8199999999999998E-2</v>
      </c>
      <c r="M115">
        <v>0.09</v>
      </c>
      <c r="N115" s="4">
        <v>6.8760000000000002E-4</v>
      </c>
      <c r="O115" s="4">
        <v>1.6199999999999999E-3</v>
      </c>
    </row>
    <row r="116" spans="2:15">
      <c r="B116" t="s">
        <v>90</v>
      </c>
      <c r="C116" t="s">
        <v>52</v>
      </c>
      <c r="D116" t="s">
        <v>299</v>
      </c>
      <c r="E116" t="s">
        <v>300</v>
      </c>
      <c r="F116" t="s">
        <v>12</v>
      </c>
      <c r="G116" t="s">
        <v>299</v>
      </c>
      <c r="H116" t="s">
        <v>301</v>
      </c>
      <c r="I116" t="s">
        <v>31</v>
      </c>
      <c r="J116">
        <v>10</v>
      </c>
      <c r="K116">
        <v>1</v>
      </c>
      <c r="L116" s="4">
        <v>3.8199999999999998E-2</v>
      </c>
      <c r="M116">
        <v>0.09</v>
      </c>
      <c r="N116" s="4">
        <v>3.8200000000000002E-4</v>
      </c>
      <c r="O116" s="4">
        <v>8.9999999999999987E-4</v>
      </c>
    </row>
    <row r="117" spans="2:15">
      <c r="B117" t="s">
        <v>90</v>
      </c>
      <c r="C117" t="s">
        <v>52</v>
      </c>
      <c r="D117" t="s">
        <v>302</v>
      </c>
      <c r="E117" t="s">
        <v>303</v>
      </c>
      <c r="F117" t="s">
        <v>12</v>
      </c>
      <c r="G117" t="s">
        <v>302</v>
      </c>
      <c r="H117" t="s">
        <v>304</v>
      </c>
      <c r="I117" t="s">
        <v>31</v>
      </c>
      <c r="J117">
        <v>33</v>
      </c>
      <c r="K117">
        <v>2</v>
      </c>
      <c r="L117" s="4">
        <v>3.8199999999999998E-2</v>
      </c>
      <c r="M117">
        <v>0.09</v>
      </c>
      <c r="N117" s="4">
        <v>1.2606E-3</v>
      </c>
      <c r="O117" s="4">
        <v>2.9699999999999996E-3</v>
      </c>
    </row>
    <row r="118" spans="2:15">
      <c r="B118" t="s">
        <v>90</v>
      </c>
      <c r="C118" t="s">
        <v>52</v>
      </c>
      <c r="D118" t="s">
        <v>302</v>
      </c>
      <c r="E118" t="s">
        <v>303</v>
      </c>
      <c r="F118" t="s">
        <v>12</v>
      </c>
      <c r="G118" t="s">
        <v>302</v>
      </c>
      <c r="H118" t="s">
        <v>304</v>
      </c>
      <c r="I118" t="s">
        <v>31</v>
      </c>
      <c r="J118">
        <v>1</v>
      </c>
      <c r="K118">
        <v>0</v>
      </c>
      <c r="L118" s="4">
        <v>3.8199999999999998E-2</v>
      </c>
      <c r="M118">
        <v>0.09</v>
      </c>
      <c r="N118" s="4">
        <v>3.82E-5</v>
      </c>
      <c r="O118" s="4">
        <v>8.9999999999999992E-5</v>
      </c>
    </row>
    <row r="119" spans="2:15">
      <c r="B119" t="s">
        <v>90</v>
      </c>
      <c r="C119" t="s">
        <v>52</v>
      </c>
      <c r="D119" t="s">
        <v>305</v>
      </c>
      <c r="E119" t="s">
        <v>306</v>
      </c>
      <c r="F119" t="s">
        <v>12</v>
      </c>
      <c r="G119" t="s">
        <v>305</v>
      </c>
      <c r="H119" t="s">
        <v>307</v>
      </c>
      <c r="I119" t="s">
        <v>31</v>
      </c>
      <c r="J119">
        <v>6</v>
      </c>
      <c r="K119">
        <v>0</v>
      </c>
      <c r="L119" s="4">
        <v>3.8199999999999998E-2</v>
      </c>
      <c r="M119">
        <v>0.09</v>
      </c>
      <c r="N119" s="4">
        <v>2.2919999999999999E-4</v>
      </c>
      <c r="O119" s="4">
        <v>5.4000000000000001E-4</v>
      </c>
    </row>
    <row r="120" spans="2:15">
      <c r="B120" t="s">
        <v>90</v>
      </c>
      <c r="C120" t="s">
        <v>52</v>
      </c>
      <c r="D120" t="s">
        <v>308</v>
      </c>
      <c r="E120" t="s">
        <v>309</v>
      </c>
      <c r="F120" t="s">
        <v>12</v>
      </c>
      <c r="G120" t="s">
        <v>308</v>
      </c>
      <c r="H120" t="s">
        <v>310</v>
      </c>
      <c r="I120" t="s">
        <v>31</v>
      </c>
      <c r="J120">
        <v>4</v>
      </c>
      <c r="K120">
        <v>0</v>
      </c>
      <c r="L120" s="4">
        <v>3.8199999999999998E-2</v>
      </c>
      <c r="M120">
        <v>0.09</v>
      </c>
      <c r="N120" s="4">
        <v>1.528E-4</v>
      </c>
      <c r="O120" s="4">
        <v>3.5999999999999997E-4</v>
      </c>
    </row>
    <row r="121" spans="2:15">
      <c r="B121" t="s">
        <v>90</v>
      </c>
      <c r="C121" t="s">
        <v>52</v>
      </c>
      <c r="D121" t="s">
        <v>311</v>
      </c>
      <c r="E121" t="s">
        <v>312</v>
      </c>
      <c r="F121" t="s">
        <v>12</v>
      </c>
      <c r="G121" t="s">
        <v>311</v>
      </c>
      <c r="H121" t="s">
        <v>313</v>
      </c>
      <c r="I121" t="s">
        <v>31</v>
      </c>
      <c r="J121">
        <v>18</v>
      </c>
      <c r="K121">
        <v>2</v>
      </c>
      <c r="L121" s="4">
        <v>3.8199999999999998E-2</v>
      </c>
      <c r="M121">
        <v>0.09</v>
      </c>
      <c r="N121" s="4">
        <v>6.8760000000000002E-4</v>
      </c>
      <c r="O121" s="4">
        <v>1.6199999999999999E-3</v>
      </c>
    </row>
    <row r="122" spans="2:15">
      <c r="B122" t="s">
        <v>90</v>
      </c>
      <c r="C122" t="s">
        <v>52</v>
      </c>
      <c r="D122" t="s">
        <v>314</v>
      </c>
      <c r="E122" t="s">
        <v>315</v>
      </c>
      <c r="F122" t="s">
        <v>12</v>
      </c>
      <c r="G122" t="s">
        <v>314</v>
      </c>
      <c r="H122" t="s">
        <v>316</v>
      </c>
      <c r="I122" t="s">
        <v>31</v>
      </c>
      <c r="J122">
        <v>6</v>
      </c>
      <c r="K122">
        <v>0</v>
      </c>
      <c r="L122" s="4">
        <v>3.8199999999999998E-2</v>
      </c>
      <c r="M122">
        <v>0.09</v>
      </c>
      <c r="N122" s="4">
        <v>2.2919999999999999E-4</v>
      </c>
      <c r="O122" s="4">
        <v>5.4000000000000001E-4</v>
      </c>
    </row>
    <row r="123" spans="2:15">
      <c r="B123" t="s">
        <v>90</v>
      </c>
      <c r="C123" t="s">
        <v>52</v>
      </c>
      <c r="D123" t="s">
        <v>317</v>
      </c>
      <c r="E123" t="s">
        <v>318</v>
      </c>
      <c r="F123" t="s">
        <v>10</v>
      </c>
      <c r="G123" t="s">
        <v>317</v>
      </c>
      <c r="H123" t="s">
        <v>319</v>
      </c>
      <c r="I123" t="s">
        <v>32</v>
      </c>
      <c r="J123">
        <v>4891863</v>
      </c>
      <c r="K123">
        <v>32605</v>
      </c>
      <c r="L123" s="4">
        <v>3.5000000000000001E-3</v>
      </c>
      <c r="M123">
        <v>0.02</v>
      </c>
      <c r="N123" s="4">
        <v>114.11750000000001</v>
      </c>
      <c r="O123" s="4">
        <v>652.1</v>
      </c>
    </row>
    <row r="124" spans="2:15">
      <c r="B124" t="s">
        <v>90</v>
      </c>
      <c r="C124" t="s">
        <v>52</v>
      </c>
      <c r="D124" t="s">
        <v>317</v>
      </c>
      <c r="E124" t="s">
        <v>318</v>
      </c>
      <c r="F124" t="s">
        <v>10</v>
      </c>
      <c r="G124" t="s">
        <v>317</v>
      </c>
      <c r="H124" t="s">
        <v>319</v>
      </c>
      <c r="I124" t="s">
        <v>32</v>
      </c>
      <c r="J124">
        <v>339745</v>
      </c>
      <c r="K124">
        <v>1386</v>
      </c>
      <c r="L124" s="4">
        <v>3.5000000000000001E-3</v>
      </c>
      <c r="M124">
        <v>0.02</v>
      </c>
      <c r="N124" s="4">
        <v>4.851</v>
      </c>
      <c r="O124" s="4">
        <v>27.72</v>
      </c>
    </row>
    <row r="125" spans="2:15">
      <c r="B125" t="s">
        <v>90</v>
      </c>
      <c r="C125" t="s">
        <v>52</v>
      </c>
      <c r="D125" t="s">
        <v>320</v>
      </c>
      <c r="E125" t="s">
        <v>321</v>
      </c>
      <c r="F125" t="s">
        <v>10</v>
      </c>
      <c r="G125" t="s">
        <v>320</v>
      </c>
      <c r="H125" t="s">
        <v>322</v>
      </c>
      <c r="I125" t="s">
        <v>32</v>
      </c>
      <c r="J125">
        <v>74581</v>
      </c>
      <c r="K125">
        <v>254</v>
      </c>
      <c r="L125" s="4">
        <v>3.5000000000000001E-3</v>
      </c>
      <c r="M125">
        <v>0.02</v>
      </c>
      <c r="N125" s="4">
        <v>0.88900000000000001</v>
      </c>
      <c r="O125" s="4">
        <v>5.08</v>
      </c>
    </row>
    <row r="126" spans="2:15">
      <c r="B126" t="s">
        <v>90</v>
      </c>
      <c r="C126" t="s">
        <v>52</v>
      </c>
      <c r="D126" t="s">
        <v>323</v>
      </c>
      <c r="E126" t="s">
        <v>324</v>
      </c>
      <c r="F126" t="s">
        <v>11</v>
      </c>
      <c r="G126" t="s">
        <v>55</v>
      </c>
      <c r="H126" t="s">
        <v>325</v>
      </c>
      <c r="I126" t="s">
        <v>31</v>
      </c>
      <c r="J126">
        <v>1</v>
      </c>
      <c r="K126">
        <v>0</v>
      </c>
      <c r="L126" s="4">
        <v>3.8199999999999998E-2</v>
      </c>
      <c r="M126">
        <v>0.09</v>
      </c>
      <c r="N126" s="4">
        <v>3.82E-5</v>
      </c>
      <c r="O126" s="4">
        <v>8.9999999999999992E-5</v>
      </c>
    </row>
    <row r="127" spans="2:15">
      <c r="B127" t="s">
        <v>90</v>
      </c>
      <c r="C127" t="s">
        <v>52</v>
      </c>
      <c r="D127" t="s">
        <v>323</v>
      </c>
      <c r="E127" t="s">
        <v>324</v>
      </c>
      <c r="F127" t="s">
        <v>10</v>
      </c>
      <c r="G127" t="s">
        <v>323</v>
      </c>
      <c r="H127" t="s">
        <v>326</v>
      </c>
      <c r="I127" t="s">
        <v>32</v>
      </c>
      <c r="J127">
        <v>10375369</v>
      </c>
      <c r="K127">
        <v>138201</v>
      </c>
      <c r="L127" s="4">
        <v>3.5000000000000001E-3</v>
      </c>
      <c r="M127">
        <v>0.02</v>
      </c>
      <c r="N127" s="4">
        <v>483.70350000000002</v>
      </c>
      <c r="O127" s="4">
        <v>2764.02</v>
      </c>
    </row>
    <row r="128" spans="2:15">
      <c r="B128" t="s">
        <v>90</v>
      </c>
      <c r="C128" t="s">
        <v>52</v>
      </c>
      <c r="D128" t="s">
        <v>323</v>
      </c>
      <c r="E128" t="s">
        <v>324</v>
      </c>
      <c r="F128" t="s">
        <v>10</v>
      </c>
      <c r="G128" t="s">
        <v>323</v>
      </c>
      <c r="H128" t="s">
        <v>326</v>
      </c>
      <c r="I128" t="s">
        <v>32</v>
      </c>
      <c r="J128">
        <v>2995327</v>
      </c>
      <c r="K128">
        <v>26739</v>
      </c>
      <c r="L128" s="4">
        <v>3.5000000000000001E-3</v>
      </c>
      <c r="M128">
        <v>0.02</v>
      </c>
      <c r="N128" s="4">
        <v>93.586500000000001</v>
      </c>
      <c r="O128" s="4">
        <v>534.78</v>
      </c>
    </row>
    <row r="129" spans="2:15">
      <c r="B129" t="s">
        <v>90</v>
      </c>
      <c r="C129" t="s">
        <v>52</v>
      </c>
      <c r="D129" t="s">
        <v>327</v>
      </c>
      <c r="E129" t="s">
        <v>328</v>
      </c>
      <c r="F129" t="s">
        <v>10</v>
      </c>
      <c r="G129" t="s">
        <v>327</v>
      </c>
      <c r="H129" t="s">
        <v>329</v>
      </c>
      <c r="I129" t="s">
        <v>32</v>
      </c>
      <c r="J129">
        <v>706058</v>
      </c>
      <c r="K129">
        <v>5171</v>
      </c>
      <c r="L129" s="4">
        <v>3.5000000000000001E-3</v>
      </c>
      <c r="M129">
        <v>0.02</v>
      </c>
      <c r="N129" s="4">
        <v>18.098500000000001</v>
      </c>
      <c r="O129" s="4">
        <v>103.42</v>
      </c>
    </row>
    <row r="130" spans="2:15">
      <c r="B130" t="s">
        <v>90</v>
      </c>
      <c r="C130" t="s">
        <v>52</v>
      </c>
      <c r="D130" t="s">
        <v>330</v>
      </c>
      <c r="E130" t="s">
        <v>331</v>
      </c>
      <c r="F130" t="s">
        <v>10</v>
      </c>
      <c r="G130" t="s">
        <v>330</v>
      </c>
      <c r="H130" t="s">
        <v>332</v>
      </c>
      <c r="I130" t="s">
        <v>32</v>
      </c>
      <c r="J130">
        <v>0</v>
      </c>
      <c r="K130">
        <v>1</v>
      </c>
      <c r="L130" s="4">
        <v>3.5000000000000001E-3</v>
      </c>
      <c r="M130">
        <v>0.02</v>
      </c>
      <c r="N130" s="4">
        <v>3.5000000000000001E-3</v>
      </c>
      <c r="O130" s="4">
        <v>0.02</v>
      </c>
    </row>
    <row r="131" spans="2:15">
      <c r="B131" t="s">
        <v>90</v>
      </c>
      <c r="C131" t="s">
        <v>52</v>
      </c>
      <c r="D131" t="s">
        <v>333</v>
      </c>
      <c r="E131" t="s">
        <v>334</v>
      </c>
      <c r="F131" t="s">
        <v>10</v>
      </c>
      <c r="G131" t="s">
        <v>333</v>
      </c>
      <c r="H131" t="s">
        <v>335</v>
      </c>
      <c r="I131" t="s">
        <v>32</v>
      </c>
      <c r="J131">
        <v>0</v>
      </c>
      <c r="K131">
        <v>1</v>
      </c>
      <c r="L131" s="4">
        <v>3.5000000000000001E-3</v>
      </c>
      <c r="M131">
        <v>0.02</v>
      </c>
      <c r="N131" s="4">
        <v>3.5000000000000001E-3</v>
      </c>
      <c r="O131" s="4">
        <v>0.02</v>
      </c>
    </row>
    <row r="132" spans="2:15">
      <c r="B132" t="s">
        <v>90</v>
      </c>
      <c r="C132" t="s">
        <v>52</v>
      </c>
      <c r="D132" t="s">
        <v>336</v>
      </c>
      <c r="E132" t="s">
        <v>337</v>
      </c>
      <c r="F132" t="s">
        <v>10</v>
      </c>
      <c r="G132" t="s">
        <v>336</v>
      </c>
      <c r="H132" t="s">
        <v>338</v>
      </c>
      <c r="I132" t="s">
        <v>32</v>
      </c>
      <c r="J132">
        <v>71069</v>
      </c>
      <c r="K132">
        <v>697</v>
      </c>
      <c r="L132" s="4">
        <v>3.5000000000000001E-3</v>
      </c>
      <c r="M132">
        <v>0.02</v>
      </c>
      <c r="N132" s="4">
        <v>2.4395000000000002</v>
      </c>
      <c r="O132" s="4">
        <v>13.94</v>
      </c>
    </row>
    <row r="133" spans="2:15">
      <c r="B133" t="s">
        <v>90</v>
      </c>
      <c r="C133" t="s">
        <v>52</v>
      </c>
      <c r="D133" t="s">
        <v>336</v>
      </c>
      <c r="E133" t="s">
        <v>337</v>
      </c>
      <c r="F133" t="s">
        <v>10</v>
      </c>
      <c r="G133" t="s">
        <v>336</v>
      </c>
      <c r="H133" t="s">
        <v>338</v>
      </c>
      <c r="I133" t="s">
        <v>32</v>
      </c>
      <c r="J133">
        <v>110107</v>
      </c>
      <c r="K133">
        <v>714</v>
      </c>
      <c r="L133" s="4">
        <v>3.5000000000000001E-3</v>
      </c>
      <c r="M133">
        <v>0.02</v>
      </c>
      <c r="N133" s="4">
        <v>2.4990000000000001</v>
      </c>
      <c r="O133" s="4">
        <v>14.280000000000001</v>
      </c>
    </row>
    <row r="134" spans="2:15">
      <c r="B134" t="s">
        <v>90</v>
      </c>
      <c r="C134" t="s">
        <v>52</v>
      </c>
      <c r="D134" t="s">
        <v>339</v>
      </c>
      <c r="E134" t="s">
        <v>340</v>
      </c>
      <c r="F134" t="s">
        <v>10</v>
      </c>
      <c r="G134" t="s">
        <v>339</v>
      </c>
      <c r="H134" t="s">
        <v>341</v>
      </c>
      <c r="I134" t="s">
        <v>32</v>
      </c>
      <c r="J134">
        <v>819755</v>
      </c>
      <c r="K134">
        <v>14037</v>
      </c>
      <c r="L134" s="4">
        <v>3.5000000000000001E-3</v>
      </c>
      <c r="M134">
        <v>0.02</v>
      </c>
      <c r="N134" s="4">
        <v>49.1295</v>
      </c>
      <c r="O134" s="4">
        <v>280.74</v>
      </c>
    </row>
    <row r="135" spans="2:15">
      <c r="B135" t="s">
        <v>90</v>
      </c>
      <c r="C135" t="s">
        <v>52</v>
      </c>
      <c r="D135" t="s">
        <v>339</v>
      </c>
      <c r="E135" t="s">
        <v>340</v>
      </c>
      <c r="F135" t="s">
        <v>10</v>
      </c>
      <c r="G135" t="s">
        <v>339</v>
      </c>
      <c r="H135" t="s">
        <v>341</v>
      </c>
      <c r="I135" t="s">
        <v>32</v>
      </c>
      <c r="J135">
        <v>612392</v>
      </c>
      <c r="K135">
        <v>10765</v>
      </c>
      <c r="L135" s="4">
        <v>3.5000000000000001E-3</v>
      </c>
      <c r="M135">
        <v>0.02</v>
      </c>
      <c r="N135" s="4">
        <v>37.677500000000002</v>
      </c>
      <c r="O135" s="4">
        <v>215.3</v>
      </c>
    </row>
    <row r="136" spans="2:15">
      <c r="B136" t="s">
        <v>90</v>
      </c>
      <c r="C136" t="s">
        <v>342</v>
      </c>
      <c r="D136" t="s">
        <v>343</v>
      </c>
      <c r="E136" t="s">
        <v>344</v>
      </c>
      <c r="F136" t="s">
        <v>10</v>
      </c>
      <c r="G136" t="s">
        <v>343</v>
      </c>
      <c r="H136" t="s">
        <v>345</v>
      </c>
      <c r="I136" t="s">
        <v>32</v>
      </c>
      <c r="J136">
        <v>0</v>
      </c>
      <c r="K136">
        <v>14469</v>
      </c>
      <c r="L136" s="4">
        <v>3.5000000000000001E-3</v>
      </c>
      <c r="M136">
        <v>0.02</v>
      </c>
      <c r="N136" s="4">
        <v>50.641500000000001</v>
      </c>
      <c r="O136" s="4">
        <v>289.38</v>
      </c>
    </row>
    <row r="137" spans="2:15">
      <c r="B137" t="s">
        <v>90</v>
      </c>
      <c r="C137" t="s">
        <v>342</v>
      </c>
      <c r="D137" t="s">
        <v>343</v>
      </c>
      <c r="E137" t="s">
        <v>344</v>
      </c>
      <c r="F137" t="s">
        <v>10</v>
      </c>
      <c r="G137" t="s">
        <v>343</v>
      </c>
      <c r="H137" t="s">
        <v>345</v>
      </c>
      <c r="I137" t="s">
        <v>32</v>
      </c>
      <c r="J137">
        <v>0</v>
      </c>
      <c r="K137">
        <v>7114</v>
      </c>
      <c r="L137" s="4">
        <v>3.5000000000000001E-3</v>
      </c>
      <c r="M137">
        <v>0.02</v>
      </c>
      <c r="N137" s="4">
        <v>24.899000000000001</v>
      </c>
      <c r="O137" s="4">
        <v>142.28</v>
      </c>
    </row>
    <row r="138" spans="2:15">
      <c r="B138" t="s">
        <v>90</v>
      </c>
      <c r="C138" t="s">
        <v>346</v>
      </c>
      <c r="D138" t="s">
        <v>347</v>
      </c>
      <c r="E138" t="s">
        <v>348</v>
      </c>
      <c r="F138" t="s">
        <v>10</v>
      </c>
      <c r="G138" t="s">
        <v>347</v>
      </c>
      <c r="H138" t="s">
        <v>349</v>
      </c>
      <c r="I138" t="s">
        <v>32</v>
      </c>
      <c r="J138">
        <v>1431068</v>
      </c>
      <c r="K138">
        <v>4543</v>
      </c>
      <c r="L138" s="4">
        <v>3.5000000000000001E-3</v>
      </c>
      <c r="M138">
        <v>0.02</v>
      </c>
      <c r="N138" s="4">
        <v>15.900500000000001</v>
      </c>
      <c r="O138" s="4">
        <v>90.86</v>
      </c>
    </row>
    <row r="139" spans="2:15">
      <c r="B139" t="s">
        <v>350</v>
      </c>
      <c r="C139" t="s">
        <v>351</v>
      </c>
      <c r="D139" t="s">
        <v>352</v>
      </c>
      <c r="E139" t="s">
        <v>353</v>
      </c>
      <c r="F139" t="s">
        <v>10</v>
      </c>
      <c r="G139" t="s">
        <v>352</v>
      </c>
      <c r="H139" t="s">
        <v>354</v>
      </c>
      <c r="I139" t="s">
        <v>32</v>
      </c>
      <c r="J139">
        <v>0</v>
      </c>
      <c r="K139">
        <v>908</v>
      </c>
      <c r="L139" s="4">
        <v>3.5000000000000001E-3</v>
      </c>
      <c r="M139">
        <v>0.02</v>
      </c>
      <c r="N139" s="4">
        <v>3.1779999999999999</v>
      </c>
      <c r="O139" s="4">
        <v>18.16</v>
      </c>
    </row>
    <row r="140" spans="2:15">
      <c r="B140" t="s">
        <v>350</v>
      </c>
      <c r="C140" t="s">
        <v>351</v>
      </c>
      <c r="D140" t="s">
        <v>355</v>
      </c>
      <c r="E140" t="s">
        <v>356</v>
      </c>
      <c r="F140" t="s">
        <v>10</v>
      </c>
      <c r="G140" t="s">
        <v>355</v>
      </c>
      <c r="H140" t="s">
        <v>357</v>
      </c>
      <c r="I140" t="s">
        <v>32</v>
      </c>
      <c r="J140">
        <v>0</v>
      </c>
      <c r="K140">
        <v>3876</v>
      </c>
      <c r="L140" s="4">
        <v>3.5000000000000001E-3</v>
      </c>
      <c r="M140">
        <v>0.02</v>
      </c>
      <c r="N140" s="4">
        <v>13.566000000000001</v>
      </c>
      <c r="O140" s="4">
        <v>77.52</v>
      </c>
    </row>
    <row r="141" spans="2:15">
      <c r="B141" t="s">
        <v>350</v>
      </c>
      <c r="C141" t="s">
        <v>351</v>
      </c>
      <c r="D141" t="s">
        <v>358</v>
      </c>
      <c r="E141" t="s">
        <v>359</v>
      </c>
      <c r="F141" t="s">
        <v>10</v>
      </c>
      <c r="G141" t="s">
        <v>358</v>
      </c>
      <c r="H141" t="s">
        <v>360</v>
      </c>
      <c r="I141" t="s">
        <v>32</v>
      </c>
      <c r="J141">
        <v>0</v>
      </c>
      <c r="K141">
        <v>2569</v>
      </c>
      <c r="L141" s="4">
        <v>3.5000000000000001E-3</v>
      </c>
      <c r="M141">
        <v>0.02</v>
      </c>
      <c r="N141" s="4">
        <v>8.9915000000000003</v>
      </c>
      <c r="O141" s="4">
        <v>51.38</v>
      </c>
    </row>
    <row r="142" spans="2:15">
      <c r="B142" t="s">
        <v>350</v>
      </c>
      <c r="C142" t="s">
        <v>351</v>
      </c>
      <c r="D142" t="s">
        <v>361</v>
      </c>
      <c r="E142" t="s">
        <v>362</v>
      </c>
      <c r="F142" t="s">
        <v>10</v>
      </c>
      <c r="G142" t="s">
        <v>361</v>
      </c>
      <c r="H142" t="s">
        <v>363</v>
      </c>
      <c r="I142" t="s">
        <v>32</v>
      </c>
      <c r="J142">
        <v>0</v>
      </c>
      <c r="K142">
        <v>1</v>
      </c>
      <c r="L142" s="4">
        <v>3.5000000000000001E-3</v>
      </c>
      <c r="M142">
        <v>0.02</v>
      </c>
      <c r="N142" s="4">
        <v>3.5000000000000001E-3</v>
      </c>
      <c r="O142" s="4">
        <v>0.02</v>
      </c>
    </row>
    <row r="143" spans="2:15">
      <c r="B143" t="s">
        <v>350</v>
      </c>
      <c r="C143" t="s">
        <v>351</v>
      </c>
      <c r="D143" t="s">
        <v>364</v>
      </c>
      <c r="E143" t="s">
        <v>365</v>
      </c>
      <c r="F143" t="s">
        <v>10</v>
      </c>
      <c r="G143" t="s">
        <v>364</v>
      </c>
      <c r="H143" t="s">
        <v>366</v>
      </c>
      <c r="I143" t="s">
        <v>32</v>
      </c>
      <c r="J143">
        <v>0</v>
      </c>
      <c r="K143">
        <v>8545</v>
      </c>
      <c r="L143" s="4">
        <v>3.5000000000000001E-3</v>
      </c>
      <c r="M143">
        <v>0.02</v>
      </c>
      <c r="N143" s="4">
        <v>29.907499999999999</v>
      </c>
      <c r="O143" s="4">
        <v>170.9</v>
      </c>
    </row>
    <row r="144" spans="2:15">
      <c r="B144" t="s">
        <v>350</v>
      </c>
      <c r="C144" t="s">
        <v>351</v>
      </c>
      <c r="D144" t="s">
        <v>367</v>
      </c>
      <c r="E144" t="s">
        <v>368</v>
      </c>
      <c r="F144" t="s">
        <v>10</v>
      </c>
      <c r="G144" t="s">
        <v>367</v>
      </c>
      <c r="H144" t="s">
        <v>369</v>
      </c>
      <c r="I144" t="s">
        <v>32</v>
      </c>
      <c r="J144">
        <v>0</v>
      </c>
      <c r="K144">
        <v>2688</v>
      </c>
      <c r="L144" s="4">
        <v>3.5000000000000001E-3</v>
      </c>
      <c r="M144">
        <v>0.02</v>
      </c>
      <c r="N144" s="4">
        <v>9.4079999999999995</v>
      </c>
      <c r="O144" s="4">
        <v>53.76</v>
      </c>
    </row>
    <row r="145" spans="2:15">
      <c r="B145" t="s">
        <v>350</v>
      </c>
      <c r="C145" t="s">
        <v>351</v>
      </c>
      <c r="D145" t="s">
        <v>370</v>
      </c>
      <c r="E145" t="s">
        <v>371</v>
      </c>
      <c r="F145" t="s">
        <v>10</v>
      </c>
      <c r="G145" t="s">
        <v>370</v>
      </c>
      <c r="H145" t="s">
        <v>372</v>
      </c>
      <c r="I145" t="s">
        <v>32</v>
      </c>
      <c r="J145">
        <v>0</v>
      </c>
      <c r="K145">
        <v>2749</v>
      </c>
      <c r="L145" s="4">
        <v>3.5000000000000001E-3</v>
      </c>
      <c r="M145">
        <v>0.02</v>
      </c>
      <c r="N145" s="4">
        <v>9.6215000000000011</v>
      </c>
      <c r="O145" s="4">
        <v>54.980000000000004</v>
      </c>
    </row>
    <row r="146" spans="2:15">
      <c r="B146" t="s">
        <v>350</v>
      </c>
      <c r="C146" t="s">
        <v>351</v>
      </c>
      <c r="D146" t="s">
        <v>373</v>
      </c>
      <c r="E146" t="s">
        <v>374</v>
      </c>
      <c r="F146" t="s">
        <v>10</v>
      </c>
      <c r="G146" t="s">
        <v>373</v>
      </c>
      <c r="H146" t="s">
        <v>375</v>
      </c>
      <c r="I146" t="s">
        <v>32</v>
      </c>
      <c r="J146">
        <v>0</v>
      </c>
      <c r="K146">
        <v>4536</v>
      </c>
      <c r="L146" s="4">
        <v>3.5000000000000001E-3</v>
      </c>
      <c r="M146">
        <v>0.02</v>
      </c>
      <c r="N146" s="4">
        <v>15.875999999999999</v>
      </c>
      <c r="O146" s="4">
        <v>90.72</v>
      </c>
    </row>
    <row r="147" spans="2:15">
      <c r="B147" t="s">
        <v>350</v>
      </c>
      <c r="C147" t="s">
        <v>351</v>
      </c>
      <c r="D147" t="s">
        <v>376</v>
      </c>
      <c r="E147" t="s">
        <v>377</v>
      </c>
      <c r="F147" t="s">
        <v>10</v>
      </c>
      <c r="G147" t="s">
        <v>376</v>
      </c>
      <c r="H147" t="s">
        <v>378</v>
      </c>
      <c r="I147" t="s">
        <v>32</v>
      </c>
      <c r="J147">
        <v>0</v>
      </c>
      <c r="K147">
        <v>4450</v>
      </c>
      <c r="L147" s="4">
        <v>3.5000000000000001E-3</v>
      </c>
      <c r="M147">
        <v>0.02</v>
      </c>
      <c r="N147" s="4">
        <v>15.575000000000001</v>
      </c>
      <c r="O147" s="4">
        <v>89</v>
      </c>
    </row>
    <row r="148" spans="2:15">
      <c r="B148" t="s">
        <v>350</v>
      </c>
      <c r="C148" t="s">
        <v>351</v>
      </c>
      <c r="D148" t="s">
        <v>379</v>
      </c>
      <c r="E148" t="s">
        <v>380</v>
      </c>
      <c r="F148" t="s">
        <v>10</v>
      </c>
      <c r="G148" t="s">
        <v>379</v>
      </c>
      <c r="H148" t="s">
        <v>381</v>
      </c>
      <c r="I148" t="s">
        <v>32</v>
      </c>
      <c r="J148">
        <v>0</v>
      </c>
      <c r="K148">
        <v>4879</v>
      </c>
      <c r="L148" s="4">
        <v>3.5000000000000001E-3</v>
      </c>
      <c r="M148">
        <v>0.02</v>
      </c>
      <c r="N148" s="4">
        <v>17.076499999999999</v>
      </c>
      <c r="O148" s="4">
        <v>97.58</v>
      </c>
    </row>
    <row r="149" spans="2:15">
      <c r="B149" t="s">
        <v>350</v>
      </c>
      <c r="C149" t="s">
        <v>351</v>
      </c>
      <c r="D149" t="s">
        <v>382</v>
      </c>
      <c r="E149" t="s">
        <v>383</v>
      </c>
      <c r="F149" t="s">
        <v>10</v>
      </c>
      <c r="G149" t="s">
        <v>382</v>
      </c>
      <c r="H149" t="s">
        <v>384</v>
      </c>
      <c r="I149" t="s">
        <v>32</v>
      </c>
      <c r="J149">
        <v>0</v>
      </c>
      <c r="K149">
        <v>4997</v>
      </c>
      <c r="L149" s="4">
        <v>3.5000000000000001E-3</v>
      </c>
      <c r="M149">
        <v>0.02</v>
      </c>
      <c r="N149" s="4">
        <v>17.4895</v>
      </c>
      <c r="O149" s="4">
        <v>99.94</v>
      </c>
    </row>
    <row r="150" spans="2:15">
      <c r="B150" t="s">
        <v>350</v>
      </c>
      <c r="C150" t="s">
        <v>351</v>
      </c>
      <c r="D150" t="s">
        <v>385</v>
      </c>
      <c r="E150" t="s">
        <v>386</v>
      </c>
      <c r="F150" t="s">
        <v>10</v>
      </c>
      <c r="G150" t="s">
        <v>385</v>
      </c>
      <c r="H150" t="s">
        <v>387</v>
      </c>
      <c r="I150" t="s">
        <v>32</v>
      </c>
      <c r="J150">
        <v>0</v>
      </c>
      <c r="K150">
        <v>3234</v>
      </c>
      <c r="L150" s="4">
        <v>3.5000000000000001E-3</v>
      </c>
      <c r="M150">
        <v>0.02</v>
      </c>
      <c r="N150" s="4">
        <v>11.319000000000001</v>
      </c>
      <c r="O150" s="4">
        <v>64.680000000000007</v>
      </c>
    </row>
    <row r="151" spans="2:15">
      <c r="B151" t="s">
        <v>350</v>
      </c>
      <c r="C151" t="s">
        <v>351</v>
      </c>
      <c r="D151" t="s">
        <v>388</v>
      </c>
      <c r="E151" t="s">
        <v>389</v>
      </c>
      <c r="F151" t="s">
        <v>10</v>
      </c>
      <c r="G151" t="s">
        <v>388</v>
      </c>
      <c r="H151" t="s">
        <v>390</v>
      </c>
      <c r="I151" t="s">
        <v>32</v>
      </c>
      <c r="J151">
        <v>0</v>
      </c>
      <c r="K151">
        <v>3310</v>
      </c>
      <c r="L151" s="4">
        <v>3.5000000000000001E-3</v>
      </c>
      <c r="M151">
        <v>0.02</v>
      </c>
      <c r="N151" s="4">
        <v>11.585000000000001</v>
      </c>
      <c r="O151" s="4">
        <v>66.2</v>
      </c>
    </row>
    <row r="152" spans="2:15">
      <c r="B152" t="s">
        <v>350</v>
      </c>
      <c r="C152" t="s">
        <v>50</v>
      </c>
      <c r="D152" t="s">
        <v>391</v>
      </c>
      <c r="E152" t="s">
        <v>392</v>
      </c>
      <c r="F152" t="s">
        <v>10</v>
      </c>
      <c r="G152" t="s">
        <v>391</v>
      </c>
      <c r="H152" t="s">
        <v>393</v>
      </c>
      <c r="I152" t="s">
        <v>32</v>
      </c>
      <c r="J152">
        <v>0</v>
      </c>
      <c r="K152">
        <v>28</v>
      </c>
      <c r="L152" s="4">
        <v>3.5000000000000001E-3</v>
      </c>
      <c r="M152">
        <v>0.02</v>
      </c>
      <c r="N152" s="4">
        <v>9.8000000000000004E-2</v>
      </c>
      <c r="O152" s="4">
        <v>0.56000000000000005</v>
      </c>
    </row>
    <row r="153" spans="2:15">
      <c r="B153" t="s">
        <v>350</v>
      </c>
      <c r="C153" t="s">
        <v>50</v>
      </c>
      <c r="D153" t="s">
        <v>391</v>
      </c>
      <c r="E153" t="s">
        <v>392</v>
      </c>
      <c r="F153" t="s">
        <v>10</v>
      </c>
      <c r="G153" t="s">
        <v>391</v>
      </c>
      <c r="H153" t="s">
        <v>393</v>
      </c>
      <c r="I153" t="s">
        <v>32</v>
      </c>
      <c r="J153">
        <v>0</v>
      </c>
      <c r="K153">
        <v>2</v>
      </c>
      <c r="L153" s="4">
        <v>3.5000000000000001E-3</v>
      </c>
      <c r="M153">
        <v>0.02</v>
      </c>
      <c r="N153" s="4">
        <v>7.0000000000000001E-3</v>
      </c>
      <c r="O153" s="4">
        <v>0.04</v>
      </c>
    </row>
    <row r="154" spans="2:15">
      <c r="B154" t="s">
        <v>350</v>
      </c>
      <c r="C154" t="s">
        <v>50</v>
      </c>
      <c r="D154" t="s">
        <v>394</v>
      </c>
      <c r="E154" t="s">
        <v>395</v>
      </c>
      <c r="F154" t="s">
        <v>10</v>
      </c>
      <c r="G154" t="s">
        <v>394</v>
      </c>
      <c r="H154" t="s">
        <v>396</v>
      </c>
      <c r="I154" t="s">
        <v>32</v>
      </c>
      <c r="J154">
        <v>0</v>
      </c>
      <c r="K154">
        <v>172</v>
      </c>
      <c r="L154" s="4">
        <v>3.5000000000000001E-3</v>
      </c>
      <c r="M154">
        <v>0.02</v>
      </c>
      <c r="N154" s="4">
        <v>0.60199999999999998</v>
      </c>
      <c r="O154" s="4">
        <v>3.44</v>
      </c>
    </row>
    <row r="155" spans="2:15">
      <c r="B155" t="s">
        <v>350</v>
      </c>
      <c r="C155" t="s">
        <v>50</v>
      </c>
      <c r="D155" t="s">
        <v>397</v>
      </c>
      <c r="E155" t="s">
        <v>398</v>
      </c>
      <c r="F155" t="s">
        <v>10</v>
      </c>
      <c r="G155" t="s">
        <v>397</v>
      </c>
      <c r="H155" t="s">
        <v>399</v>
      </c>
      <c r="I155" t="s">
        <v>32</v>
      </c>
      <c r="J155">
        <v>0</v>
      </c>
      <c r="K155">
        <v>242</v>
      </c>
      <c r="L155" s="4">
        <v>3.5000000000000001E-3</v>
      </c>
      <c r="M155">
        <v>0.02</v>
      </c>
      <c r="N155" s="4">
        <v>0.84699999999999998</v>
      </c>
      <c r="O155" s="4">
        <v>4.84</v>
      </c>
    </row>
    <row r="156" spans="2:15">
      <c r="B156" t="s">
        <v>350</v>
      </c>
      <c r="C156" t="s">
        <v>50</v>
      </c>
      <c r="D156" t="s">
        <v>400</v>
      </c>
      <c r="E156" t="s">
        <v>401</v>
      </c>
      <c r="F156" t="s">
        <v>10</v>
      </c>
      <c r="G156" t="s">
        <v>400</v>
      </c>
      <c r="H156" t="s">
        <v>402</v>
      </c>
      <c r="I156" t="s">
        <v>32</v>
      </c>
      <c r="J156">
        <v>0</v>
      </c>
      <c r="K156">
        <v>15381</v>
      </c>
      <c r="L156" s="4">
        <v>3.5000000000000001E-3</v>
      </c>
      <c r="M156">
        <v>0.02</v>
      </c>
      <c r="N156" s="4">
        <v>53.833500000000001</v>
      </c>
      <c r="O156" s="4">
        <v>307.62</v>
      </c>
    </row>
    <row r="157" spans="2:15">
      <c r="B157" t="s">
        <v>350</v>
      </c>
      <c r="C157" t="s">
        <v>50</v>
      </c>
      <c r="D157" t="s">
        <v>403</v>
      </c>
      <c r="E157" t="s">
        <v>404</v>
      </c>
      <c r="F157" t="s">
        <v>10</v>
      </c>
      <c r="G157" t="s">
        <v>403</v>
      </c>
      <c r="H157" t="s">
        <v>405</v>
      </c>
      <c r="I157" t="s">
        <v>32</v>
      </c>
      <c r="J157">
        <v>0</v>
      </c>
      <c r="K157">
        <v>829</v>
      </c>
      <c r="L157" s="4">
        <v>3.5000000000000001E-3</v>
      </c>
      <c r="M157">
        <v>0.02</v>
      </c>
      <c r="N157" s="4">
        <v>2.9015</v>
      </c>
      <c r="O157" s="4">
        <v>16.580000000000002</v>
      </c>
    </row>
    <row r="158" spans="2:15">
      <c r="B158" t="s">
        <v>350</v>
      </c>
      <c r="C158" t="s">
        <v>50</v>
      </c>
      <c r="D158" t="s">
        <v>403</v>
      </c>
      <c r="E158" t="s">
        <v>404</v>
      </c>
      <c r="F158" t="s">
        <v>10</v>
      </c>
      <c r="G158" t="s">
        <v>403</v>
      </c>
      <c r="H158" t="s">
        <v>405</v>
      </c>
      <c r="I158" t="s">
        <v>32</v>
      </c>
      <c r="J158">
        <v>0</v>
      </c>
      <c r="K158">
        <v>4</v>
      </c>
      <c r="L158" s="4">
        <v>3.5000000000000001E-3</v>
      </c>
      <c r="M158">
        <v>0.02</v>
      </c>
      <c r="N158" s="4">
        <v>1.4E-2</v>
      </c>
      <c r="O158" s="4">
        <v>0.08</v>
      </c>
    </row>
    <row r="159" spans="2:15">
      <c r="B159" t="s">
        <v>350</v>
      </c>
      <c r="C159" t="s">
        <v>50</v>
      </c>
      <c r="D159" t="s">
        <v>406</v>
      </c>
      <c r="E159" t="s">
        <v>407</v>
      </c>
      <c r="F159" t="s">
        <v>10</v>
      </c>
      <c r="G159" t="s">
        <v>406</v>
      </c>
      <c r="H159" t="s">
        <v>408</v>
      </c>
      <c r="I159" t="s">
        <v>32</v>
      </c>
      <c r="J159">
        <v>0</v>
      </c>
      <c r="K159">
        <v>16</v>
      </c>
      <c r="L159" s="4">
        <v>3.5000000000000001E-3</v>
      </c>
      <c r="M159">
        <v>0.02</v>
      </c>
      <c r="N159" s="4">
        <v>5.6000000000000001E-2</v>
      </c>
      <c r="O159" s="4">
        <v>0.32</v>
      </c>
    </row>
    <row r="160" spans="2:15">
      <c r="B160" t="s">
        <v>350</v>
      </c>
      <c r="C160" t="s">
        <v>50</v>
      </c>
      <c r="D160" t="s">
        <v>409</v>
      </c>
      <c r="E160" t="s">
        <v>410</v>
      </c>
      <c r="F160" t="s">
        <v>10</v>
      </c>
      <c r="G160" t="s">
        <v>409</v>
      </c>
      <c r="H160" t="s">
        <v>411</v>
      </c>
      <c r="I160" t="s">
        <v>32</v>
      </c>
      <c r="J160">
        <v>0</v>
      </c>
      <c r="K160">
        <v>1830</v>
      </c>
      <c r="L160" s="4">
        <v>3.5000000000000001E-3</v>
      </c>
      <c r="M160">
        <v>0.02</v>
      </c>
      <c r="N160" s="4">
        <v>6.4050000000000002</v>
      </c>
      <c r="O160" s="4">
        <v>36.6</v>
      </c>
    </row>
    <row r="161" spans="2:15">
      <c r="B161" t="s">
        <v>350</v>
      </c>
      <c r="C161" t="s">
        <v>50</v>
      </c>
      <c r="D161" t="s">
        <v>409</v>
      </c>
      <c r="E161" t="s">
        <v>410</v>
      </c>
      <c r="F161" t="s">
        <v>10</v>
      </c>
      <c r="G161" t="s">
        <v>409</v>
      </c>
      <c r="H161" t="s">
        <v>411</v>
      </c>
      <c r="I161" t="s">
        <v>32</v>
      </c>
      <c r="J161">
        <v>0</v>
      </c>
      <c r="K161">
        <v>2</v>
      </c>
      <c r="L161" s="4">
        <v>3.5000000000000001E-3</v>
      </c>
      <c r="M161">
        <v>0.02</v>
      </c>
      <c r="N161" s="4">
        <v>7.0000000000000001E-3</v>
      </c>
      <c r="O161" s="4">
        <v>0.04</v>
      </c>
    </row>
    <row r="162" spans="2:15">
      <c r="B162" t="s">
        <v>350</v>
      </c>
      <c r="C162" t="s">
        <v>50</v>
      </c>
      <c r="D162" t="s">
        <v>412</v>
      </c>
      <c r="E162" t="s">
        <v>413</v>
      </c>
      <c r="F162" t="s">
        <v>10</v>
      </c>
      <c r="G162" t="s">
        <v>412</v>
      </c>
      <c r="H162" t="s">
        <v>414</v>
      </c>
      <c r="I162" t="s">
        <v>32</v>
      </c>
      <c r="J162">
        <v>0</v>
      </c>
      <c r="K162">
        <v>127</v>
      </c>
      <c r="L162" s="4">
        <v>3.5000000000000001E-3</v>
      </c>
      <c r="M162">
        <v>0.02</v>
      </c>
      <c r="N162" s="4">
        <v>0.44450000000000001</v>
      </c>
      <c r="O162" s="4">
        <v>2.54</v>
      </c>
    </row>
    <row r="163" spans="2:15">
      <c r="B163" t="s">
        <v>350</v>
      </c>
      <c r="C163" t="s">
        <v>50</v>
      </c>
      <c r="D163" t="s">
        <v>412</v>
      </c>
      <c r="E163" t="s">
        <v>413</v>
      </c>
      <c r="F163" t="s">
        <v>10</v>
      </c>
      <c r="G163" t="s">
        <v>412</v>
      </c>
      <c r="H163" t="s">
        <v>414</v>
      </c>
      <c r="I163" t="s">
        <v>32</v>
      </c>
      <c r="J163">
        <v>0</v>
      </c>
      <c r="K163">
        <v>450</v>
      </c>
      <c r="L163" s="4">
        <v>3.5000000000000001E-3</v>
      </c>
      <c r="M163">
        <v>0.02</v>
      </c>
      <c r="N163" s="4">
        <v>1.575</v>
      </c>
      <c r="O163" s="4">
        <v>9</v>
      </c>
    </row>
    <row r="164" spans="2:15">
      <c r="B164" t="s">
        <v>350</v>
      </c>
      <c r="C164" t="s">
        <v>50</v>
      </c>
      <c r="D164" t="s">
        <v>415</v>
      </c>
      <c r="E164" t="s">
        <v>416</v>
      </c>
      <c r="F164" t="s">
        <v>10</v>
      </c>
      <c r="G164" t="s">
        <v>415</v>
      </c>
      <c r="H164" t="s">
        <v>417</v>
      </c>
      <c r="I164" t="s">
        <v>32</v>
      </c>
      <c r="J164">
        <v>0</v>
      </c>
      <c r="K164">
        <v>212</v>
      </c>
      <c r="L164" s="4">
        <v>3.5000000000000001E-3</v>
      </c>
      <c r="M164">
        <v>0.02</v>
      </c>
      <c r="N164" s="4">
        <v>0.74199999999999999</v>
      </c>
      <c r="O164" s="4">
        <v>4.24</v>
      </c>
    </row>
    <row r="165" spans="2:15">
      <c r="B165" t="s">
        <v>350</v>
      </c>
      <c r="C165" t="s">
        <v>50</v>
      </c>
      <c r="D165" t="s">
        <v>415</v>
      </c>
      <c r="E165" t="s">
        <v>416</v>
      </c>
      <c r="F165" t="s">
        <v>10</v>
      </c>
      <c r="G165" t="s">
        <v>415</v>
      </c>
      <c r="H165" t="s">
        <v>417</v>
      </c>
      <c r="I165" t="s">
        <v>32</v>
      </c>
      <c r="J165">
        <v>0</v>
      </c>
      <c r="K165">
        <v>481</v>
      </c>
      <c r="L165" s="4">
        <v>3.5000000000000001E-3</v>
      </c>
      <c r="M165">
        <v>0.02</v>
      </c>
      <c r="N165" s="4">
        <v>1.6835</v>
      </c>
      <c r="O165" s="4">
        <v>9.620000000000001</v>
      </c>
    </row>
    <row r="166" spans="2:15">
      <c r="B166" t="s">
        <v>350</v>
      </c>
      <c r="C166" t="s">
        <v>50</v>
      </c>
      <c r="D166" t="s">
        <v>418</v>
      </c>
      <c r="E166" t="s">
        <v>419</v>
      </c>
      <c r="F166" t="s">
        <v>10</v>
      </c>
      <c r="G166" t="s">
        <v>418</v>
      </c>
      <c r="H166" t="s">
        <v>420</v>
      </c>
      <c r="I166" t="s">
        <v>32</v>
      </c>
      <c r="J166">
        <v>0</v>
      </c>
      <c r="K166">
        <v>1424</v>
      </c>
      <c r="L166" s="4">
        <v>3.5000000000000001E-3</v>
      </c>
      <c r="M166">
        <v>0.02</v>
      </c>
      <c r="N166" s="4">
        <v>4.984</v>
      </c>
      <c r="O166" s="4">
        <v>28.48</v>
      </c>
    </row>
    <row r="167" spans="2:15">
      <c r="B167" t="s">
        <v>350</v>
      </c>
      <c r="C167" t="s">
        <v>50</v>
      </c>
      <c r="D167" t="s">
        <v>418</v>
      </c>
      <c r="E167" t="s">
        <v>419</v>
      </c>
      <c r="F167" t="s">
        <v>10</v>
      </c>
      <c r="G167" t="s">
        <v>418</v>
      </c>
      <c r="H167" t="s">
        <v>420</v>
      </c>
      <c r="I167" t="s">
        <v>32</v>
      </c>
      <c r="J167">
        <v>0</v>
      </c>
      <c r="K167">
        <v>23760</v>
      </c>
      <c r="L167" s="4">
        <v>3.5000000000000001E-3</v>
      </c>
      <c r="M167">
        <v>0.02</v>
      </c>
      <c r="N167" s="4">
        <v>83.16</v>
      </c>
      <c r="O167" s="4">
        <v>475.2</v>
      </c>
    </row>
    <row r="168" spans="2:15">
      <c r="B168" t="s">
        <v>350</v>
      </c>
      <c r="C168" t="s">
        <v>50</v>
      </c>
      <c r="D168" t="s">
        <v>421</v>
      </c>
      <c r="E168" t="s">
        <v>422</v>
      </c>
      <c r="F168" t="s">
        <v>10</v>
      </c>
      <c r="G168" t="s">
        <v>421</v>
      </c>
      <c r="H168" t="s">
        <v>423</v>
      </c>
      <c r="I168" t="s">
        <v>32</v>
      </c>
      <c r="J168">
        <v>0</v>
      </c>
      <c r="K168">
        <v>187</v>
      </c>
      <c r="L168" s="4">
        <v>3.5000000000000001E-3</v>
      </c>
      <c r="M168">
        <v>0.02</v>
      </c>
      <c r="N168" s="4">
        <v>0.65449999999999997</v>
      </c>
      <c r="O168" s="4">
        <v>3.74</v>
      </c>
    </row>
    <row r="169" spans="2:15">
      <c r="B169" t="s">
        <v>350</v>
      </c>
      <c r="C169" t="s">
        <v>50</v>
      </c>
      <c r="D169" t="s">
        <v>421</v>
      </c>
      <c r="E169" t="s">
        <v>422</v>
      </c>
      <c r="F169" t="s">
        <v>10</v>
      </c>
      <c r="G169" t="s">
        <v>421</v>
      </c>
      <c r="H169" t="s">
        <v>423</v>
      </c>
      <c r="I169" t="s">
        <v>32</v>
      </c>
      <c r="J169">
        <v>0</v>
      </c>
      <c r="K169">
        <v>117</v>
      </c>
      <c r="L169" s="4">
        <v>3.5000000000000001E-3</v>
      </c>
      <c r="M169">
        <v>0.02</v>
      </c>
      <c r="N169" s="4">
        <v>0.40950000000000003</v>
      </c>
      <c r="O169" s="4">
        <v>2.34</v>
      </c>
    </row>
    <row r="170" spans="2:15">
      <c r="B170" t="s">
        <v>350</v>
      </c>
      <c r="C170" t="s">
        <v>50</v>
      </c>
      <c r="D170" t="s">
        <v>424</v>
      </c>
      <c r="E170" t="s">
        <v>425</v>
      </c>
      <c r="F170" t="s">
        <v>10</v>
      </c>
      <c r="G170" t="s">
        <v>424</v>
      </c>
      <c r="H170" t="s">
        <v>426</v>
      </c>
      <c r="I170" t="s">
        <v>32</v>
      </c>
      <c r="J170">
        <v>0</v>
      </c>
      <c r="K170">
        <v>2322</v>
      </c>
      <c r="L170" s="4">
        <v>3.5000000000000001E-3</v>
      </c>
      <c r="M170">
        <v>0.02</v>
      </c>
      <c r="N170" s="4">
        <v>8.1270000000000007</v>
      </c>
      <c r="O170" s="4">
        <v>46.44</v>
      </c>
    </row>
    <row r="171" spans="2:15">
      <c r="B171" t="s">
        <v>350</v>
      </c>
      <c r="C171" t="s">
        <v>50</v>
      </c>
      <c r="D171" t="s">
        <v>424</v>
      </c>
      <c r="E171" t="s">
        <v>425</v>
      </c>
      <c r="F171" t="s">
        <v>10</v>
      </c>
      <c r="G171" t="s">
        <v>424</v>
      </c>
      <c r="H171" t="s">
        <v>426</v>
      </c>
      <c r="I171" t="s">
        <v>32</v>
      </c>
      <c r="J171">
        <v>0</v>
      </c>
      <c r="K171">
        <v>250</v>
      </c>
      <c r="L171" s="4">
        <v>3.5000000000000001E-3</v>
      </c>
      <c r="M171">
        <v>0.02</v>
      </c>
      <c r="N171" s="4">
        <v>0.875</v>
      </c>
      <c r="O171" s="4">
        <v>5</v>
      </c>
    </row>
    <row r="172" spans="2:15">
      <c r="B172" t="s">
        <v>350</v>
      </c>
      <c r="C172" t="s">
        <v>50</v>
      </c>
      <c r="D172" t="s">
        <v>427</v>
      </c>
      <c r="E172" t="s">
        <v>428</v>
      </c>
      <c r="F172" t="s">
        <v>10</v>
      </c>
      <c r="G172" t="s">
        <v>427</v>
      </c>
      <c r="H172" t="s">
        <v>429</v>
      </c>
      <c r="I172" t="s">
        <v>32</v>
      </c>
      <c r="J172">
        <v>0</v>
      </c>
      <c r="K172">
        <v>160</v>
      </c>
      <c r="L172" s="4">
        <v>3.5000000000000001E-3</v>
      </c>
      <c r="M172">
        <v>0.02</v>
      </c>
      <c r="N172" s="4">
        <v>0.56000000000000005</v>
      </c>
      <c r="O172" s="4">
        <v>3.2</v>
      </c>
    </row>
    <row r="173" spans="2:15">
      <c r="B173" t="s">
        <v>350</v>
      </c>
      <c r="C173" t="s">
        <v>50</v>
      </c>
      <c r="D173" t="s">
        <v>427</v>
      </c>
      <c r="E173" t="s">
        <v>428</v>
      </c>
      <c r="F173" t="s">
        <v>10</v>
      </c>
      <c r="G173" t="s">
        <v>427</v>
      </c>
      <c r="H173" t="s">
        <v>429</v>
      </c>
      <c r="I173" t="s">
        <v>32</v>
      </c>
      <c r="J173">
        <v>0</v>
      </c>
      <c r="K173">
        <v>830</v>
      </c>
      <c r="L173" s="4">
        <v>3.5000000000000001E-3</v>
      </c>
      <c r="M173">
        <v>0.02</v>
      </c>
      <c r="N173" s="4">
        <v>2.9050000000000002</v>
      </c>
      <c r="O173" s="4">
        <v>16.600000000000001</v>
      </c>
    </row>
    <row r="174" spans="2:15">
      <c r="B174" t="s">
        <v>350</v>
      </c>
      <c r="C174" t="s">
        <v>50</v>
      </c>
      <c r="D174" t="s">
        <v>430</v>
      </c>
      <c r="E174" t="s">
        <v>431</v>
      </c>
      <c r="F174" t="s">
        <v>10</v>
      </c>
      <c r="G174" t="s">
        <v>430</v>
      </c>
      <c r="H174" t="s">
        <v>432</v>
      </c>
      <c r="I174" t="s">
        <v>32</v>
      </c>
      <c r="J174">
        <v>0</v>
      </c>
      <c r="K174">
        <v>1032</v>
      </c>
      <c r="L174" s="4">
        <v>3.5000000000000001E-3</v>
      </c>
      <c r="M174">
        <v>0.02</v>
      </c>
      <c r="N174" s="4">
        <v>3.6120000000000001</v>
      </c>
      <c r="O174" s="4">
        <v>20.64</v>
      </c>
    </row>
    <row r="175" spans="2:15">
      <c r="B175" t="s">
        <v>350</v>
      </c>
      <c r="C175" t="s">
        <v>50</v>
      </c>
      <c r="D175" t="s">
        <v>430</v>
      </c>
      <c r="E175" t="s">
        <v>431</v>
      </c>
      <c r="F175" t="s">
        <v>10</v>
      </c>
      <c r="G175" t="s">
        <v>430</v>
      </c>
      <c r="H175" t="s">
        <v>432</v>
      </c>
      <c r="I175" t="s">
        <v>32</v>
      </c>
      <c r="J175">
        <v>0</v>
      </c>
      <c r="K175">
        <v>3</v>
      </c>
      <c r="L175" s="4">
        <v>3.5000000000000001E-3</v>
      </c>
      <c r="M175">
        <v>0.02</v>
      </c>
      <c r="N175" s="4">
        <v>1.0500000000000001E-2</v>
      </c>
      <c r="O175" s="4">
        <v>0.06</v>
      </c>
    </row>
    <row r="176" spans="2:15">
      <c r="B176" t="s">
        <v>350</v>
      </c>
      <c r="C176" t="s">
        <v>50</v>
      </c>
      <c r="D176" t="s">
        <v>433</v>
      </c>
      <c r="E176" t="s">
        <v>434</v>
      </c>
      <c r="F176" t="s">
        <v>10</v>
      </c>
      <c r="G176" t="s">
        <v>433</v>
      </c>
      <c r="H176" t="s">
        <v>435</v>
      </c>
      <c r="I176" t="s">
        <v>32</v>
      </c>
      <c r="J176">
        <v>0</v>
      </c>
      <c r="K176">
        <v>6226</v>
      </c>
      <c r="L176" s="4">
        <v>3.5000000000000001E-3</v>
      </c>
      <c r="M176">
        <v>0.02</v>
      </c>
      <c r="N176" s="4">
        <v>21.791</v>
      </c>
      <c r="O176" s="4">
        <v>124.52</v>
      </c>
    </row>
    <row r="177" spans="2:15">
      <c r="B177" t="s">
        <v>350</v>
      </c>
      <c r="C177" t="s">
        <v>50</v>
      </c>
      <c r="D177" t="s">
        <v>433</v>
      </c>
      <c r="E177" t="s">
        <v>434</v>
      </c>
      <c r="F177" t="s">
        <v>10</v>
      </c>
      <c r="G177" t="s">
        <v>433</v>
      </c>
      <c r="H177" t="s">
        <v>435</v>
      </c>
      <c r="I177" t="s">
        <v>32</v>
      </c>
      <c r="J177">
        <v>0</v>
      </c>
      <c r="K177">
        <v>6504</v>
      </c>
      <c r="L177" s="4">
        <v>3.5000000000000001E-3</v>
      </c>
      <c r="M177">
        <v>0.02</v>
      </c>
      <c r="N177" s="4">
        <v>22.763999999999999</v>
      </c>
      <c r="O177" s="4">
        <v>130.08000000000001</v>
      </c>
    </row>
    <row r="178" spans="2:15">
      <c r="B178" t="s">
        <v>350</v>
      </c>
      <c r="C178" t="s">
        <v>50</v>
      </c>
      <c r="D178" t="s">
        <v>436</v>
      </c>
      <c r="E178" t="s">
        <v>437</v>
      </c>
      <c r="F178" t="s">
        <v>10</v>
      </c>
      <c r="G178" t="s">
        <v>436</v>
      </c>
      <c r="H178" t="s">
        <v>438</v>
      </c>
      <c r="I178" t="s">
        <v>32</v>
      </c>
      <c r="J178">
        <v>2</v>
      </c>
      <c r="K178">
        <v>3107</v>
      </c>
      <c r="L178" s="4">
        <v>3.5000000000000001E-3</v>
      </c>
      <c r="M178">
        <v>0.02</v>
      </c>
      <c r="N178" s="4">
        <v>10.874499999999999</v>
      </c>
      <c r="O178" s="4">
        <v>62.14</v>
      </c>
    </row>
    <row r="179" spans="2:15">
      <c r="B179" t="s">
        <v>350</v>
      </c>
      <c r="C179" t="s">
        <v>50</v>
      </c>
      <c r="D179" t="s">
        <v>439</v>
      </c>
      <c r="E179" t="s">
        <v>440</v>
      </c>
      <c r="F179" t="s">
        <v>10</v>
      </c>
      <c r="G179" t="s">
        <v>439</v>
      </c>
      <c r="H179" t="s">
        <v>441</v>
      </c>
      <c r="I179" t="s">
        <v>32</v>
      </c>
      <c r="J179">
        <v>0</v>
      </c>
      <c r="K179">
        <v>1331</v>
      </c>
      <c r="L179" s="4">
        <v>3.5000000000000001E-3</v>
      </c>
      <c r="M179">
        <v>0.02</v>
      </c>
      <c r="N179" s="4">
        <v>4.6585000000000001</v>
      </c>
      <c r="O179" s="4">
        <v>26.62</v>
      </c>
    </row>
    <row r="180" spans="2:15">
      <c r="B180" t="s">
        <v>350</v>
      </c>
      <c r="C180" t="s">
        <v>50</v>
      </c>
      <c r="D180" t="s">
        <v>442</v>
      </c>
      <c r="E180" t="s">
        <v>443</v>
      </c>
      <c r="F180" t="s">
        <v>10</v>
      </c>
      <c r="G180" t="s">
        <v>442</v>
      </c>
      <c r="H180" t="s">
        <v>444</v>
      </c>
      <c r="I180" t="s">
        <v>32</v>
      </c>
      <c r="J180">
        <v>0</v>
      </c>
      <c r="K180">
        <v>4083</v>
      </c>
      <c r="L180" s="4">
        <v>3.5000000000000001E-3</v>
      </c>
      <c r="M180">
        <v>0.02</v>
      </c>
      <c r="N180" s="4">
        <v>14.2905</v>
      </c>
      <c r="O180" s="4">
        <v>81.66</v>
      </c>
    </row>
    <row r="181" spans="2:15">
      <c r="B181" t="s">
        <v>350</v>
      </c>
      <c r="C181" t="s">
        <v>50</v>
      </c>
      <c r="D181" t="s">
        <v>442</v>
      </c>
      <c r="E181" t="s">
        <v>443</v>
      </c>
      <c r="F181" t="s">
        <v>10</v>
      </c>
      <c r="G181" t="s">
        <v>442</v>
      </c>
      <c r="H181" t="s">
        <v>444</v>
      </c>
      <c r="I181" t="s">
        <v>32</v>
      </c>
      <c r="J181">
        <v>0</v>
      </c>
      <c r="K181">
        <v>3</v>
      </c>
      <c r="L181" s="4">
        <v>3.5000000000000001E-3</v>
      </c>
      <c r="M181">
        <v>0.02</v>
      </c>
      <c r="N181" s="4">
        <v>1.0500000000000001E-2</v>
      </c>
      <c r="O181" s="4">
        <v>0.06</v>
      </c>
    </row>
    <row r="182" spans="2:15">
      <c r="B182" t="s">
        <v>350</v>
      </c>
      <c r="C182" t="s">
        <v>50</v>
      </c>
      <c r="D182" t="s">
        <v>445</v>
      </c>
      <c r="E182" t="s">
        <v>446</v>
      </c>
      <c r="F182" t="s">
        <v>10</v>
      </c>
      <c r="G182" t="s">
        <v>445</v>
      </c>
      <c r="H182" t="s">
        <v>447</v>
      </c>
      <c r="I182" t="s">
        <v>32</v>
      </c>
      <c r="J182">
        <v>0</v>
      </c>
      <c r="K182">
        <v>2339</v>
      </c>
      <c r="L182" s="4">
        <v>3.5000000000000001E-3</v>
      </c>
      <c r="M182">
        <v>0.02</v>
      </c>
      <c r="N182" s="4">
        <v>8.1865000000000006</v>
      </c>
      <c r="O182" s="4">
        <v>46.78</v>
      </c>
    </row>
    <row r="183" spans="2:15">
      <c r="B183" t="s">
        <v>350</v>
      </c>
      <c r="C183" t="s">
        <v>50</v>
      </c>
      <c r="D183" t="s">
        <v>445</v>
      </c>
      <c r="E183" t="s">
        <v>446</v>
      </c>
      <c r="F183" t="s">
        <v>10</v>
      </c>
      <c r="G183" t="s">
        <v>445</v>
      </c>
      <c r="H183" t="s">
        <v>447</v>
      </c>
      <c r="I183" t="s">
        <v>32</v>
      </c>
      <c r="J183">
        <v>0</v>
      </c>
      <c r="K183">
        <v>3</v>
      </c>
      <c r="L183" s="4">
        <v>3.5000000000000001E-3</v>
      </c>
      <c r="M183">
        <v>0.02</v>
      </c>
      <c r="N183" s="4">
        <v>1.0500000000000001E-2</v>
      </c>
      <c r="O183" s="4">
        <v>0.06</v>
      </c>
    </row>
    <row r="184" spans="2:15">
      <c r="B184" t="s">
        <v>350</v>
      </c>
      <c r="C184" t="s">
        <v>50</v>
      </c>
      <c r="D184" t="s">
        <v>448</v>
      </c>
      <c r="E184" t="s">
        <v>449</v>
      </c>
      <c r="F184" t="s">
        <v>10</v>
      </c>
      <c r="G184" t="s">
        <v>448</v>
      </c>
      <c r="H184" t="s">
        <v>450</v>
      </c>
      <c r="I184" t="s">
        <v>32</v>
      </c>
      <c r="J184">
        <v>0</v>
      </c>
      <c r="K184">
        <v>2620</v>
      </c>
      <c r="L184" s="4">
        <v>3.5000000000000001E-3</v>
      </c>
      <c r="M184">
        <v>0.02</v>
      </c>
      <c r="N184" s="4">
        <v>9.17</v>
      </c>
      <c r="O184" s="4">
        <v>52.4</v>
      </c>
    </row>
    <row r="185" spans="2:15">
      <c r="B185" t="s">
        <v>350</v>
      </c>
      <c r="C185" t="s">
        <v>50</v>
      </c>
      <c r="D185" t="s">
        <v>448</v>
      </c>
      <c r="E185" t="s">
        <v>449</v>
      </c>
      <c r="F185" t="s">
        <v>10</v>
      </c>
      <c r="G185" t="s">
        <v>448</v>
      </c>
      <c r="H185" t="s">
        <v>450</v>
      </c>
      <c r="I185" t="s">
        <v>32</v>
      </c>
      <c r="J185">
        <v>0</v>
      </c>
      <c r="K185">
        <v>3</v>
      </c>
      <c r="L185" s="4">
        <v>3.5000000000000001E-3</v>
      </c>
      <c r="M185">
        <v>0.02</v>
      </c>
      <c r="N185" s="4">
        <v>1.0500000000000001E-2</v>
      </c>
      <c r="O185" s="4">
        <v>0.06</v>
      </c>
    </row>
    <row r="186" spans="2:15">
      <c r="B186" t="s">
        <v>350</v>
      </c>
      <c r="C186" t="s">
        <v>50</v>
      </c>
      <c r="D186" t="s">
        <v>451</v>
      </c>
      <c r="E186" t="s">
        <v>452</v>
      </c>
      <c r="F186" t="s">
        <v>10</v>
      </c>
      <c r="G186" t="s">
        <v>451</v>
      </c>
      <c r="H186" t="s">
        <v>453</v>
      </c>
      <c r="I186" t="s">
        <v>32</v>
      </c>
      <c r="J186">
        <v>0</v>
      </c>
      <c r="K186">
        <v>2</v>
      </c>
      <c r="L186" s="4">
        <v>3.5000000000000001E-3</v>
      </c>
      <c r="M186">
        <v>0.02</v>
      </c>
      <c r="N186" s="4">
        <v>7.0000000000000001E-3</v>
      </c>
      <c r="O186" s="4">
        <v>0.04</v>
      </c>
    </row>
    <row r="187" spans="2:15">
      <c r="B187" t="s">
        <v>350</v>
      </c>
      <c r="C187" t="s">
        <v>50</v>
      </c>
      <c r="D187" t="s">
        <v>454</v>
      </c>
      <c r="E187" t="s">
        <v>455</v>
      </c>
      <c r="F187" t="s">
        <v>10</v>
      </c>
      <c r="G187" t="s">
        <v>454</v>
      </c>
      <c r="H187" t="s">
        <v>456</v>
      </c>
      <c r="I187" t="s">
        <v>32</v>
      </c>
      <c r="J187">
        <v>0</v>
      </c>
      <c r="K187">
        <v>10</v>
      </c>
      <c r="L187" s="4">
        <v>3.5000000000000001E-3</v>
      </c>
      <c r="M187">
        <v>0.02</v>
      </c>
      <c r="N187" s="4">
        <v>3.5000000000000003E-2</v>
      </c>
      <c r="O187" s="4">
        <v>0.2</v>
      </c>
    </row>
    <row r="188" spans="2:15">
      <c r="B188" t="s">
        <v>350</v>
      </c>
      <c r="C188" t="s">
        <v>50</v>
      </c>
      <c r="D188" t="s">
        <v>454</v>
      </c>
      <c r="E188" t="s">
        <v>455</v>
      </c>
      <c r="F188" t="s">
        <v>10</v>
      </c>
      <c r="G188" t="s">
        <v>454</v>
      </c>
      <c r="H188" t="s">
        <v>456</v>
      </c>
      <c r="I188" t="s">
        <v>32</v>
      </c>
      <c r="J188">
        <v>0</v>
      </c>
      <c r="K188">
        <v>1</v>
      </c>
      <c r="L188" s="4">
        <v>3.5000000000000001E-3</v>
      </c>
      <c r="M188">
        <v>0.02</v>
      </c>
      <c r="N188" s="4">
        <v>3.5000000000000001E-3</v>
      </c>
      <c r="O188" s="4">
        <v>0.02</v>
      </c>
    </row>
    <row r="189" spans="2:15">
      <c r="B189" t="s">
        <v>350</v>
      </c>
      <c r="C189" t="s">
        <v>50</v>
      </c>
      <c r="D189" t="s">
        <v>457</v>
      </c>
      <c r="E189" t="s">
        <v>458</v>
      </c>
      <c r="F189" t="s">
        <v>10</v>
      </c>
      <c r="G189" t="s">
        <v>457</v>
      </c>
      <c r="H189" t="s">
        <v>459</v>
      </c>
      <c r="I189" t="s">
        <v>32</v>
      </c>
      <c r="J189">
        <v>0</v>
      </c>
      <c r="K189">
        <v>336</v>
      </c>
      <c r="L189" s="4">
        <v>3.5000000000000001E-3</v>
      </c>
      <c r="M189">
        <v>0.02</v>
      </c>
      <c r="N189" s="4">
        <v>1.1759999999999999</v>
      </c>
      <c r="O189" s="4">
        <v>6.72</v>
      </c>
    </row>
    <row r="190" spans="2:15">
      <c r="B190" t="s">
        <v>350</v>
      </c>
      <c r="C190" t="s">
        <v>50</v>
      </c>
      <c r="D190" t="s">
        <v>457</v>
      </c>
      <c r="E190" t="s">
        <v>458</v>
      </c>
      <c r="F190" t="s">
        <v>10</v>
      </c>
      <c r="G190" t="s">
        <v>457</v>
      </c>
      <c r="H190" t="s">
        <v>459</v>
      </c>
      <c r="I190" t="s">
        <v>32</v>
      </c>
      <c r="J190">
        <v>0</v>
      </c>
      <c r="K190">
        <v>1</v>
      </c>
      <c r="L190" s="4">
        <v>3.5000000000000001E-3</v>
      </c>
      <c r="M190">
        <v>0.02</v>
      </c>
      <c r="N190" s="4">
        <v>3.5000000000000001E-3</v>
      </c>
      <c r="O190" s="4">
        <v>0.02</v>
      </c>
    </row>
    <row r="191" spans="2:15">
      <c r="B191" t="s">
        <v>350</v>
      </c>
      <c r="C191" t="s">
        <v>50</v>
      </c>
      <c r="D191" t="s">
        <v>460</v>
      </c>
      <c r="E191" t="s">
        <v>461</v>
      </c>
      <c r="F191" t="s">
        <v>10</v>
      </c>
      <c r="G191" t="s">
        <v>460</v>
      </c>
      <c r="H191" t="s">
        <v>462</v>
      </c>
      <c r="I191" t="s">
        <v>32</v>
      </c>
      <c r="J191">
        <v>0</v>
      </c>
      <c r="K191">
        <v>47</v>
      </c>
      <c r="L191" s="4">
        <v>3.5000000000000001E-3</v>
      </c>
      <c r="M191">
        <v>0.02</v>
      </c>
      <c r="N191" s="4">
        <v>0.16450000000000001</v>
      </c>
      <c r="O191" s="4">
        <v>0.94000000000000006</v>
      </c>
    </row>
    <row r="192" spans="2:15">
      <c r="B192" t="s">
        <v>350</v>
      </c>
      <c r="C192" t="s">
        <v>50</v>
      </c>
      <c r="D192" t="s">
        <v>460</v>
      </c>
      <c r="E192" t="s">
        <v>461</v>
      </c>
      <c r="F192" t="s">
        <v>10</v>
      </c>
      <c r="G192" t="s">
        <v>460</v>
      </c>
      <c r="H192" t="s">
        <v>462</v>
      </c>
      <c r="I192" t="s">
        <v>32</v>
      </c>
      <c r="J192">
        <v>0</v>
      </c>
      <c r="K192">
        <v>1</v>
      </c>
      <c r="L192" s="4">
        <v>3.5000000000000001E-3</v>
      </c>
      <c r="M192">
        <v>0.02</v>
      </c>
      <c r="N192" s="4">
        <v>3.5000000000000001E-3</v>
      </c>
      <c r="O192" s="4">
        <v>0.02</v>
      </c>
    </row>
    <row r="193" spans="2:15">
      <c r="B193" t="s">
        <v>350</v>
      </c>
      <c r="C193" t="s">
        <v>50</v>
      </c>
      <c r="D193" t="s">
        <v>463</v>
      </c>
      <c r="E193" t="s">
        <v>464</v>
      </c>
      <c r="F193" t="s">
        <v>10</v>
      </c>
      <c r="G193" t="s">
        <v>463</v>
      </c>
      <c r="H193" t="s">
        <v>465</v>
      </c>
      <c r="I193" t="s">
        <v>32</v>
      </c>
      <c r="J193">
        <v>0</v>
      </c>
      <c r="K193">
        <v>7560</v>
      </c>
      <c r="L193" s="4">
        <v>3.5000000000000001E-3</v>
      </c>
      <c r="M193">
        <v>0.02</v>
      </c>
      <c r="N193" s="4">
        <v>26.46</v>
      </c>
      <c r="O193" s="4">
        <v>151.20000000000002</v>
      </c>
    </row>
    <row r="194" spans="2:15">
      <c r="B194" t="s">
        <v>350</v>
      </c>
      <c r="C194" t="s">
        <v>49</v>
      </c>
      <c r="D194" t="s">
        <v>466</v>
      </c>
      <c r="E194" t="s">
        <v>467</v>
      </c>
      <c r="F194" t="s">
        <v>12</v>
      </c>
      <c r="G194" t="s">
        <v>466</v>
      </c>
      <c r="H194" t="s">
        <v>468</v>
      </c>
      <c r="I194" t="s">
        <v>31</v>
      </c>
      <c r="J194">
        <v>1</v>
      </c>
      <c r="K194">
        <v>0</v>
      </c>
      <c r="L194" s="4">
        <v>3.8199999999999998E-2</v>
      </c>
      <c r="M194">
        <v>0.09</v>
      </c>
      <c r="N194" s="4">
        <v>3.82E-5</v>
      </c>
      <c r="O194" s="4">
        <v>8.9999999999999992E-5</v>
      </c>
    </row>
    <row r="195" spans="2:15">
      <c r="B195" t="s">
        <v>350</v>
      </c>
      <c r="C195" t="s">
        <v>49</v>
      </c>
      <c r="D195" t="s">
        <v>469</v>
      </c>
      <c r="E195" t="s">
        <v>470</v>
      </c>
      <c r="F195" t="s">
        <v>12</v>
      </c>
      <c r="G195" t="s">
        <v>469</v>
      </c>
      <c r="H195" t="s">
        <v>471</v>
      </c>
      <c r="I195" t="s">
        <v>31</v>
      </c>
      <c r="J195">
        <v>1</v>
      </c>
      <c r="K195">
        <v>1</v>
      </c>
      <c r="L195" s="4">
        <v>3.8199999999999998E-2</v>
      </c>
      <c r="M195">
        <v>0.09</v>
      </c>
      <c r="N195" s="4">
        <v>3.82E-5</v>
      </c>
      <c r="O195" s="4">
        <v>8.9999999999999992E-5</v>
      </c>
    </row>
    <row r="196" spans="2:15">
      <c r="B196" t="s">
        <v>350</v>
      </c>
      <c r="C196" t="s">
        <v>49</v>
      </c>
      <c r="D196" t="s">
        <v>469</v>
      </c>
      <c r="E196" t="s">
        <v>470</v>
      </c>
      <c r="F196" t="s">
        <v>10</v>
      </c>
      <c r="G196" t="s">
        <v>472</v>
      </c>
      <c r="H196" t="s">
        <v>473</v>
      </c>
      <c r="I196" t="s">
        <v>32</v>
      </c>
      <c r="J196">
        <v>0</v>
      </c>
      <c r="K196">
        <v>1</v>
      </c>
      <c r="L196" s="4">
        <v>3.5000000000000001E-3</v>
      </c>
      <c r="M196">
        <v>0.02</v>
      </c>
      <c r="N196" s="4">
        <v>3.5000000000000001E-3</v>
      </c>
      <c r="O196" s="4">
        <v>0.02</v>
      </c>
    </row>
    <row r="197" spans="2:15">
      <c r="B197" t="s">
        <v>350</v>
      </c>
      <c r="C197" t="s">
        <v>49</v>
      </c>
      <c r="D197" t="s">
        <v>474</v>
      </c>
      <c r="E197" t="s">
        <v>475</v>
      </c>
      <c r="F197" t="s">
        <v>12</v>
      </c>
      <c r="G197" t="s">
        <v>474</v>
      </c>
      <c r="H197" t="s">
        <v>476</v>
      </c>
      <c r="I197" t="s">
        <v>31</v>
      </c>
      <c r="J197">
        <v>526837</v>
      </c>
      <c r="K197">
        <v>963</v>
      </c>
      <c r="L197" s="4">
        <v>3.8199999999999998E-2</v>
      </c>
      <c r="M197">
        <v>0.09</v>
      </c>
      <c r="N197" s="4">
        <v>20.125173400000001</v>
      </c>
      <c r="O197" s="4">
        <v>47.415330000000004</v>
      </c>
    </row>
    <row r="198" spans="2:15">
      <c r="B198" t="s">
        <v>350</v>
      </c>
      <c r="C198" t="s">
        <v>49</v>
      </c>
      <c r="D198" t="s">
        <v>477</v>
      </c>
      <c r="E198" t="s">
        <v>478</v>
      </c>
      <c r="F198" t="s">
        <v>12</v>
      </c>
      <c r="G198" t="s">
        <v>477</v>
      </c>
      <c r="H198" t="s">
        <v>479</v>
      </c>
      <c r="I198" t="s">
        <v>31</v>
      </c>
      <c r="J198">
        <v>435803</v>
      </c>
      <c r="K198">
        <v>1819</v>
      </c>
      <c r="L198" s="4">
        <v>3.8199999999999998E-2</v>
      </c>
      <c r="M198">
        <v>0.09</v>
      </c>
      <c r="N198" s="4">
        <v>16.647674599999998</v>
      </c>
      <c r="O198" s="4">
        <v>39.222269999999995</v>
      </c>
    </row>
    <row r="199" spans="2:15">
      <c r="B199" t="s">
        <v>350</v>
      </c>
      <c r="C199" t="s">
        <v>49</v>
      </c>
      <c r="D199" t="s">
        <v>477</v>
      </c>
      <c r="E199" t="s">
        <v>478</v>
      </c>
      <c r="F199" t="s">
        <v>12</v>
      </c>
      <c r="G199" t="s">
        <v>477</v>
      </c>
      <c r="H199" t="s">
        <v>479</v>
      </c>
      <c r="I199" t="s">
        <v>31</v>
      </c>
      <c r="J199">
        <v>2</v>
      </c>
      <c r="K199">
        <v>2</v>
      </c>
      <c r="L199" s="4">
        <v>3.8199999999999998E-2</v>
      </c>
      <c r="M199">
        <v>0.09</v>
      </c>
      <c r="N199" s="4">
        <v>7.64E-5</v>
      </c>
      <c r="O199" s="4">
        <v>1.7999999999999998E-4</v>
      </c>
    </row>
    <row r="200" spans="2:15">
      <c r="B200" t="s">
        <v>350</v>
      </c>
      <c r="C200" t="s">
        <v>49</v>
      </c>
      <c r="D200" t="s">
        <v>480</v>
      </c>
      <c r="E200" t="s">
        <v>481</v>
      </c>
      <c r="F200" t="s">
        <v>12</v>
      </c>
      <c r="G200" t="s">
        <v>480</v>
      </c>
      <c r="H200" t="s">
        <v>482</v>
      </c>
      <c r="I200" t="s">
        <v>31</v>
      </c>
      <c r="J200">
        <v>165010</v>
      </c>
      <c r="K200">
        <v>63</v>
      </c>
      <c r="L200" s="4">
        <v>3.8199999999999998E-2</v>
      </c>
      <c r="M200">
        <v>0.09</v>
      </c>
      <c r="N200" s="4">
        <v>6.303382</v>
      </c>
      <c r="O200" s="4">
        <v>14.850899999999999</v>
      </c>
    </row>
    <row r="201" spans="2:15">
      <c r="B201" t="s">
        <v>350</v>
      </c>
      <c r="C201" t="s">
        <v>49</v>
      </c>
      <c r="D201" t="s">
        <v>483</v>
      </c>
      <c r="E201" t="s">
        <v>484</v>
      </c>
      <c r="F201" t="s">
        <v>12</v>
      </c>
      <c r="G201" t="s">
        <v>483</v>
      </c>
      <c r="H201" t="s">
        <v>485</v>
      </c>
      <c r="I201" t="s">
        <v>31</v>
      </c>
      <c r="J201">
        <v>12465</v>
      </c>
      <c r="K201">
        <v>37</v>
      </c>
      <c r="L201" s="4">
        <v>3.8199999999999998E-2</v>
      </c>
      <c r="M201">
        <v>0.09</v>
      </c>
      <c r="N201" s="4">
        <v>0.47616299999999995</v>
      </c>
      <c r="O201" s="4">
        <v>1.12185</v>
      </c>
    </row>
    <row r="202" spans="2:15">
      <c r="B202" t="s">
        <v>350</v>
      </c>
      <c r="C202" t="s">
        <v>49</v>
      </c>
      <c r="D202" t="s">
        <v>486</v>
      </c>
      <c r="E202" t="s">
        <v>487</v>
      </c>
      <c r="F202" t="s">
        <v>12</v>
      </c>
      <c r="G202" t="s">
        <v>486</v>
      </c>
      <c r="H202" t="s">
        <v>488</v>
      </c>
      <c r="I202" t="s">
        <v>31</v>
      </c>
      <c r="J202">
        <v>606118</v>
      </c>
      <c r="K202">
        <v>6896</v>
      </c>
      <c r="L202" s="4">
        <v>3.8199999999999998E-2</v>
      </c>
      <c r="M202">
        <v>0.09</v>
      </c>
      <c r="N202" s="4">
        <v>23.153707599999997</v>
      </c>
      <c r="O202" s="4">
        <v>54.550619999999995</v>
      </c>
    </row>
    <row r="203" spans="2:15">
      <c r="B203" t="s">
        <v>350</v>
      </c>
      <c r="C203" t="s">
        <v>49</v>
      </c>
      <c r="D203" t="s">
        <v>486</v>
      </c>
      <c r="E203" t="s">
        <v>487</v>
      </c>
      <c r="F203" t="s">
        <v>12</v>
      </c>
      <c r="G203" t="s">
        <v>486</v>
      </c>
      <c r="H203" t="s">
        <v>488</v>
      </c>
      <c r="I203" t="s">
        <v>31</v>
      </c>
      <c r="J203">
        <v>0</v>
      </c>
      <c r="K203">
        <v>10</v>
      </c>
      <c r="L203" s="4">
        <v>3.8199999999999998E-2</v>
      </c>
      <c r="M203">
        <v>0.09</v>
      </c>
      <c r="N203" s="4">
        <v>0</v>
      </c>
      <c r="O203" s="4">
        <v>0</v>
      </c>
    </row>
    <row r="204" spans="2:15">
      <c r="B204" t="s">
        <v>350</v>
      </c>
      <c r="C204" t="s">
        <v>49</v>
      </c>
      <c r="D204" t="s">
        <v>489</v>
      </c>
      <c r="E204" t="s">
        <v>490</v>
      </c>
      <c r="F204" t="s">
        <v>12</v>
      </c>
      <c r="G204" t="s">
        <v>489</v>
      </c>
      <c r="H204" t="s">
        <v>491</v>
      </c>
      <c r="I204" t="s">
        <v>31</v>
      </c>
      <c r="J204">
        <v>52581</v>
      </c>
      <c r="K204">
        <v>2385</v>
      </c>
      <c r="L204" s="4">
        <v>3.8199999999999998E-2</v>
      </c>
      <c r="M204">
        <v>0.09</v>
      </c>
      <c r="N204" s="4">
        <v>2.0085941999999997</v>
      </c>
      <c r="O204" s="4">
        <v>4.7322899999999999</v>
      </c>
    </row>
    <row r="205" spans="2:15">
      <c r="B205" t="s">
        <v>350</v>
      </c>
      <c r="C205" t="s">
        <v>49</v>
      </c>
      <c r="D205" t="s">
        <v>489</v>
      </c>
      <c r="E205" t="s">
        <v>490</v>
      </c>
      <c r="F205" t="s">
        <v>12</v>
      </c>
      <c r="G205" t="s">
        <v>489</v>
      </c>
      <c r="H205" t="s">
        <v>491</v>
      </c>
      <c r="I205" t="s">
        <v>31</v>
      </c>
      <c r="J205">
        <v>0</v>
      </c>
      <c r="K205">
        <v>20</v>
      </c>
      <c r="L205" s="4">
        <v>3.8199999999999998E-2</v>
      </c>
      <c r="M205">
        <v>0.09</v>
      </c>
      <c r="N205" s="4">
        <v>0</v>
      </c>
      <c r="O205" s="4">
        <v>0</v>
      </c>
    </row>
    <row r="206" spans="2:15">
      <c r="B206" t="s">
        <v>350</v>
      </c>
      <c r="C206" t="s">
        <v>49</v>
      </c>
      <c r="D206" t="s">
        <v>492</v>
      </c>
      <c r="E206" t="s">
        <v>493</v>
      </c>
      <c r="F206" t="s">
        <v>12</v>
      </c>
      <c r="G206" t="s">
        <v>492</v>
      </c>
      <c r="H206" t="s">
        <v>494</v>
      </c>
      <c r="I206" t="s">
        <v>31</v>
      </c>
      <c r="J206">
        <v>17845</v>
      </c>
      <c r="K206">
        <v>22</v>
      </c>
      <c r="L206" s="4">
        <v>3.8199999999999998E-2</v>
      </c>
      <c r="M206">
        <v>0.09</v>
      </c>
      <c r="N206" s="4">
        <v>0.68167899999999992</v>
      </c>
      <c r="O206" s="4">
        <v>1.60605</v>
      </c>
    </row>
    <row r="207" spans="2:15">
      <c r="B207" t="s">
        <v>350</v>
      </c>
      <c r="C207" t="s">
        <v>49</v>
      </c>
      <c r="D207" t="s">
        <v>495</v>
      </c>
      <c r="E207" t="s">
        <v>496</v>
      </c>
      <c r="F207" t="s">
        <v>12</v>
      </c>
      <c r="G207" t="s">
        <v>495</v>
      </c>
      <c r="H207" t="s">
        <v>497</v>
      </c>
      <c r="I207" t="s">
        <v>31</v>
      </c>
      <c r="J207">
        <v>11800</v>
      </c>
      <c r="K207">
        <v>18</v>
      </c>
      <c r="L207" s="4">
        <v>3.8199999999999998E-2</v>
      </c>
      <c r="M207">
        <v>0.09</v>
      </c>
      <c r="N207" s="4">
        <v>0.45075999999999999</v>
      </c>
      <c r="O207" s="4">
        <v>1.0620000000000001</v>
      </c>
    </row>
    <row r="208" spans="2:15">
      <c r="B208" t="s">
        <v>350</v>
      </c>
      <c r="C208" t="s">
        <v>49</v>
      </c>
      <c r="D208" t="s">
        <v>495</v>
      </c>
      <c r="E208" t="s">
        <v>496</v>
      </c>
      <c r="F208" t="s">
        <v>12</v>
      </c>
      <c r="G208" t="s">
        <v>495</v>
      </c>
      <c r="H208" t="s">
        <v>497</v>
      </c>
      <c r="I208" t="s">
        <v>31</v>
      </c>
      <c r="J208">
        <v>1</v>
      </c>
      <c r="K208">
        <v>0</v>
      </c>
      <c r="L208" s="4">
        <v>3.8199999999999998E-2</v>
      </c>
      <c r="M208">
        <v>0.09</v>
      </c>
      <c r="N208" s="4">
        <v>3.82E-5</v>
      </c>
      <c r="O208" s="4">
        <v>8.9999999999999992E-5</v>
      </c>
    </row>
    <row r="209" spans="2:15">
      <c r="B209" t="s">
        <v>350</v>
      </c>
      <c r="C209" t="s">
        <v>49</v>
      </c>
      <c r="D209" t="s">
        <v>498</v>
      </c>
      <c r="E209" t="s">
        <v>499</v>
      </c>
      <c r="F209" t="s">
        <v>12</v>
      </c>
      <c r="G209" t="s">
        <v>498</v>
      </c>
      <c r="H209" t="s">
        <v>500</v>
      </c>
      <c r="I209" t="s">
        <v>31</v>
      </c>
      <c r="J209">
        <v>1498889</v>
      </c>
      <c r="K209">
        <v>18825</v>
      </c>
      <c r="L209" s="4">
        <v>3.8199999999999998E-2</v>
      </c>
      <c r="M209">
        <v>0.09</v>
      </c>
      <c r="N209" s="4">
        <v>57.257559799999996</v>
      </c>
      <c r="O209" s="4">
        <v>134.90001000000001</v>
      </c>
    </row>
    <row r="210" spans="2:15">
      <c r="B210" t="s">
        <v>350</v>
      </c>
      <c r="C210" t="s">
        <v>49</v>
      </c>
      <c r="D210" t="s">
        <v>498</v>
      </c>
      <c r="E210" t="s">
        <v>499</v>
      </c>
      <c r="F210" t="s">
        <v>12</v>
      </c>
      <c r="G210" t="s">
        <v>498</v>
      </c>
      <c r="H210" t="s">
        <v>500</v>
      </c>
      <c r="I210" t="s">
        <v>31</v>
      </c>
      <c r="J210">
        <v>0</v>
      </c>
      <c r="K210">
        <v>85</v>
      </c>
      <c r="L210" s="4">
        <v>3.8199999999999998E-2</v>
      </c>
      <c r="M210">
        <v>0.09</v>
      </c>
      <c r="N210" s="4">
        <v>0</v>
      </c>
      <c r="O210" s="4">
        <v>0</v>
      </c>
    </row>
    <row r="211" spans="2:15">
      <c r="B211" t="s">
        <v>350</v>
      </c>
      <c r="C211" t="s">
        <v>49</v>
      </c>
      <c r="D211" t="s">
        <v>501</v>
      </c>
      <c r="E211" t="s">
        <v>502</v>
      </c>
      <c r="F211" t="s">
        <v>12</v>
      </c>
      <c r="G211" t="s">
        <v>501</v>
      </c>
      <c r="H211" t="s">
        <v>503</v>
      </c>
      <c r="I211" t="s">
        <v>31</v>
      </c>
      <c r="J211">
        <v>20881</v>
      </c>
      <c r="K211">
        <v>635</v>
      </c>
      <c r="L211" s="4">
        <v>3.8199999999999998E-2</v>
      </c>
      <c r="M211">
        <v>0.09</v>
      </c>
      <c r="N211" s="4">
        <v>0.79765419999999998</v>
      </c>
      <c r="O211" s="4">
        <v>1.8792899999999999</v>
      </c>
    </row>
    <row r="212" spans="2:15">
      <c r="B212" t="s">
        <v>350</v>
      </c>
      <c r="C212" t="s">
        <v>49</v>
      </c>
      <c r="D212" t="s">
        <v>501</v>
      </c>
      <c r="E212" t="s">
        <v>502</v>
      </c>
      <c r="F212" t="s">
        <v>12</v>
      </c>
      <c r="G212" t="s">
        <v>501</v>
      </c>
      <c r="H212" t="s">
        <v>503</v>
      </c>
      <c r="I212" t="s">
        <v>31</v>
      </c>
      <c r="J212">
        <v>0</v>
      </c>
      <c r="K212">
        <v>1</v>
      </c>
      <c r="L212" s="4">
        <v>3.8199999999999998E-2</v>
      </c>
      <c r="M212">
        <v>0.09</v>
      </c>
      <c r="N212" s="4">
        <v>0</v>
      </c>
      <c r="O212" s="4">
        <v>0</v>
      </c>
    </row>
    <row r="213" spans="2:15">
      <c r="B213" t="s">
        <v>350</v>
      </c>
      <c r="C213" t="s">
        <v>49</v>
      </c>
      <c r="D213" t="s">
        <v>504</v>
      </c>
      <c r="E213" t="s">
        <v>505</v>
      </c>
      <c r="F213" t="s">
        <v>12</v>
      </c>
      <c r="G213" t="s">
        <v>504</v>
      </c>
      <c r="H213" t="s">
        <v>506</v>
      </c>
      <c r="I213" t="s">
        <v>31</v>
      </c>
      <c r="J213">
        <v>20851</v>
      </c>
      <c r="K213">
        <v>24</v>
      </c>
      <c r="L213" s="4">
        <v>3.8199999999999998E-2</v>
      </c>
      <c r="M213">
        <v>0.09</v>
      </c>
      <c r="N213" s="4">
        <v>0.7965082</v>
      </c>
      <c r="O213" s="4">
        <v>1.87659</v>
      </c>
    </row>
    <row r="214" spans="2:15">
      <c r="B214" t="s">
        <v>350</v>
      </c>
      <c r="C214" t="s">
        <v>49</v>
      </c>
      <c r="D214" t="s">
        <v>507</v>
      </c>
      <c r="E214" t="s">
        <v>508</v>
      </c>
      <c r="F214" t="s">
        <v>11</v>
      </c>
      <c r="G214" t="s">
        <v>55</v>
      </c>
      <c r="H214" t="s">
        <v>509</v>
      </c>
      <c r="I214" t="s">
        <v>31</v>
      </c>
      <c r="J214">
        <v>9322</v>
      </c>
      <c r="K214">
        <v>0</v>
      </c>
      <c r="L214" s="4">
        <v>3.8199999999999998E-2</v>
      </c>
      <c r="M214">
        <v>0.09</v>
      </c>
      <c r="N214" s="4">
        <v>0.35610039999999998</v>
      </c>
      <c r="O214" s="4">
        <v>0.83898000000000006</v>
      </c>
    </row>
    <row r="215" spans="2:15">
      <c r="B215" t="s">
        <v>350</v>
      </c>
      <c r="C215" t="s">
        <v>49</v>
      </c>
      <c r="D215" t="s">
        <v>510</v>
      </c>
      <c r="E215" t="s">
        <v>511</v>
      </c>
      <c r="F215" t="s">
        <v>11</v>
      </c>
      <c r="G215" t="s">
        <v>55</v>
      </c>
      <c r="H215" t="s">
        <v>509</v>
      </c>
      <c r="I215" t="s">
        <v>31</v>
      </c>
      <c r="J215">
        <v>14115</v>
      </c>
      <c r="K215">
        <v>0</v>
      </c>
      <c r="L215" s="4">
        <v>3.8199999999999998E-2</v>
      </c>
      <c r="M215">
        <v>0.09</v>
      </c>
      <c r="N215" s="4">
        <v>0.53919300000000003</v>
      </c>
      <c r="O215" s="4">
        <v>1.2703499999999999</v>
      </c>
    </row>
    <row r="216" spans="2:15">
      <c r="B216" t="s">
        <v>350</v>
      </c>
      <c r="C216" t="s">
        <v>49</v>
      </c>
      <c r="D216" t="s">
        <v>512</v>
      </c>
      <c r="E216" t="s">
        <v>513</v>
      </c>
      <c r="F216" t="s">
        <v>11</v>
      </c>
      <c r="G216" t="s">
        <v>55</v>
      </c>
      <c r="H216" t="s">
        <v>509</v>
      </c>
      <c r="I216" t="s">
        <v>31</v>
      </c>
      <c r="J216">
        <v>8789</v>
      </c>
      <c r="K216">
        <v>0</v>
      </c>
      <c r="L216" s="4">
        <v>3.8199999999999998E-2</v>
      </c>
      <c r="M216">
        <v>0.09</v>
      </c>
      <c r="N216" s="4">
        <v>0.33573979999999998</v>
      </c>
      <c r="O216" s="4">
        <v>0.79100999999999999</v>
      </c>
    </row>
    <row r="217" spans="2:15">
      <c r="B217" t="s">
        <v>350</v>
      </c>
      <c r="C217" t="s">
        <v>49</v>
      </c>
      <c r="D217" t="s">
        <v>514</v>
      </c>
      <c r="E217" t="s">
        <v>515</v>
      </c>
      <c r="F217" t="s">
        <v>11</v>
      </c>
      <c r="G217" t="s">
        <v>55</v>
      </c>
      <c r="H217" t="s">
        <v>509</v>
      </c>
      <c r="I217" t="s">
        <v>31</v>
      </c>
      <c r="J217">
        <v>9567</v>
      </c>
      <c r="K217">
        <v>0</v>
      </c>
      <c r="L217" s="4">
        <v>3.8199999999999998E-2</v>
      </c>
      <c r="M217">
        <v>0.09</v>
      </c>
      <c r="N217" s="4">
        <v>0.36545939999999993</v>
      </c>
      <c r="O217" s="4">
        <v>0.86102999999999996</v>
      </c>
    </row>
    <row r="218" spans="2:15">
      <c r="B218" t="s">
        <v>350</v>
      </c>
      <c r="C218" t="s">
        <v>49</v>
      </c>
      <c r="D218" t="s">
        <v>516</v>
      </c>
      <c r="E218" t="s">
        <v>517</v>
      </c>
      <c r="F218" t="s">
        <v>12</v>
      </c>
      <c r="G218" t="s">
        <v>516</v>
      </c>
      <c r="H218" t="s">
        <v>518</v>
      </c>
      <c r="I218" t="s">
        <v>31</v>
      </c>
      <c r="J218">
        <v>83673</v>
      </c>
      <c r="K218">
        <v>22</v>
      </c>
      <c r="L218" s="4">
        <v>3.8199999999999998E-2</v>
      </c>
      <c r="M218">
        <v>0.09</v>
      </c>
      <c r="N218" s="4">
        <v>3.1963086000000001</v>
      </c>
      <c r="O218" s="4">
        <v>7.53057</v>
      </c>
    </row>
    <row r="219" spans="2:15">
      <c r="B219" t="s">
        <v>350</v>
      </c>
      <c r="C219" t="s">
        <v>49</v>
      </c>
      <c r="D219" t="s">
        <v>519</v>
      </c>
      <c r="E219" t="s">
        <v>520</v>
      </c>
      <c r="F219" t="s">
        <v>12</v>
      </c>
      <c r="G219" t="s">
        <v>519</v>
      </c>
      <c r="H219" t="s">
        <v>521</v>
      </c>
      <c r="I219" t="s">
        <v>31</v>
      </c>
      <c r="J219">
        <v>860277</v>
      </c>
      <c r="K219">
        <v>1525</v>
      </c>
      <c r="L219" s="4">
        <v>3.8199999999999998E-2</v>
      </c>
      <c r="M219">
        <v>0.09</v>
      </c>
      <c r="N219" s="4">
        <v>32.862581399999996</v>
      </c>
      <c r="O219" s="4">
        <v>77.424929999999989</v>
      </c>
    </row>
    <row r="220" spans="2:15">
      <c r="B220" t="s">
        <v>350</v>
      </c>
      <c r="C220" t="s">
        <v>49</v>
      </c>
      <c r="D220" t="s">
        <v>522</v>
      </c>
      <c r="E220" t="s">
        <v>523</v>
      </c>
      <c r="F220" t="s">
        <v>12</v>
      </c>
      <c r="G220" t="s">
        <v>522</v>
      </c>
      <c r="H220" t="s">
        <v>524</v>
      </c>
      <c r="I220" t="s">
        <v>31</v>
      </c>
      <c r="J220">
        <v>206893</v>
      </c>
      <c r="K220">
        <v>672</v>
      </c>
      <c r="L220" s="4">
        <v>3.8199999999999998E-2</v>
      </c>
      <c r="M220">
        <v>0.09</v>
      </c>
      <c r="N220" s="4">
        <v>7.9033125999999996</v>
      </c>
      <c r="O220" s="4">
        <v>18.620369999999998</v>
      </c>
    </row>
    <row r="221" spans="2:15">
      <c r="B221" t="s">
        <v>350</v>
      </c>
      <c r="C221" t="s">
        <v>49</v>
      </c>
      <c r="D221" t="s">
        <v>525</v>
      </c>
      <c r="E221" t="s">
        <v>526</v>
      </c>
      <c r="F221" t="s">
        <v>12</v>
      </c>
      <c r="G221" t="s">
        <v>525</v>
      </c>
      <c r="H221" t="s">
        <v>527</v>
      </c>
      <c r="I221" t="s">
        <v>31</v>
      </c>
      <c r="J221">
        <v>61</v>
      </c>
      <c r="K221">
        <v>4</v>
      </c>
      <c r="L221" s="4">
        <v>3.8199999999999998E-2</v>
      </c>
      <c r="M221">
        <v>0.09</v>
      </c>
      <c r="N221" s="4">
        <v>2.3302000000000002E-3</v>
      </c>
      <c r="O221" s="4">
        <v>5.4900000000000001E-3</v>
      </c>
    </row>
    <row r="222" spans="2:15">
      <c r="B222" t="s">
        <v>350</v>
      </c>
      <c r="C222" t="s">
        <v>49</v>
      </c>
      <c r="D222" t="s">
        <v>528</v>
      </c>
      <c r="E222" t="s">
        <v>529</v>
      </c>
      <c r="F222" t="s">
        <v>10</v>
      </c>
      <c r="G222" t="s">
        <v>528</v>
      </c>
      <c r="H222" t="s">
        <v>530</v>
      </c>
      <c r="I222" t="s">
        <v>32</v>
      </c>
      <c r="J222">
        <v>0</v>
      </c>
      <c r="K222">
        <v>2</v>
      </c>
      <c r="L222" s="4">
        <v>3.5000000000000001E-3</v>
      </c>
      <c r="M222">
        <v>0.02</v>
      </c>
      <c r="N222" s="4">
        <v>7.0000000000000001E-3</v>
      </c>
      <c r="O222" s="4">
        <v>0.04</v>
      </c>
    </row>
    <row r="223" spans="2:15">
      <c r="B223" t="s">
        <v>350</v>
      </c>
      <c r="C223" t="s">
        <v>49</v>
      </c>
      <c r="D223" t="s">
        <v>531</v>
      </c>
      <c r="E223" t="s">
        <v>532</v>
      </c>
      <c r="F223" t="s">
        <v>10</v>
      </c>
      <c r="G223" t="s">
        <v>531</v>
      </c>
      <c r="H223" t="s">
        <v>533</v>
      </c>
      <c r="I223" t="s">
        <v>32</v>
      </c>
      <c r="J223">
        <v>0</v>
      </c>
      <c r="K223">
        <v>2</v>
      </c>
      <c r="L223" s="4">
        <v>3.5000000000000001E-3</v>
      </c>
      <c r="M223">
        <v>0.02</v>
      </c>
      <c r="N223" s="4">
        <v>7.0000000000000001E-3</v>
      </c>
      <c r="O223" s="4">
        <v>0.04</v>
      </c>
    </row>
    <row r="224" spans="2:15">
      <c r="B224" t="s">
        <v>350</v>
      </c>
      <c r="C224" t="s">
        <v>49</v>
      </c>
      <c r="D224" t="s">
        <v>534</v>
      </c>
      <c r="E224" t="s">
        <v>535</v>
      </c>
      <c r="F224" t="s">
        <v>10</v>
      </c>
      <c r="G224" t="s">
        <v>534</v>
      </c>
      <c r="H224" t="s">
        <v>536</v>
      </c>
      <c r="I224" t="s">
        <v>32</v>
      </c>
      <c r="J224">
        <v>0</v>
      </c>
      <c r="K224">
        <v>2</v>
      </c>
      <c r="L224" s="4">
        <v>3.5000000000000001E-3</v>
      </c>
      <c r="M224">
        <v>0.02</v>
      </c>
      <c r="N224" s="4">
        <v>7.0000000000000001E-3</v>
      </c>
      <c r="O224" s="4">
        <v>0.04</v>
      </c>
    </row>
    <row r="225" spans="2:15">
      <c r="B225" t="s">
        <v>350</v>
      </c>
      <c r="C225" t="s">
        <v>49</v>
      </c>
      <c r="D225" t="s">
        <v>537</v>
      </c>
      <c r="E225" t="s">
        <v>538</v>
      </c>
      <c r="F225" t="s">
        <v>10</v>
      </c>
      <c r="G225" t="s">
        <v>537</v>
      </c>
      <c r="H225" t="s">
        <v>539</v>
      </c>
      <c r="I225" t="s">
        <v>32</v>
      </c>
      <c r="J225">
        <v>0</v>
      </c>
      <c r="K225">
        <v>2</v>
      </c>
      <c r="L225" s="4">
        <v>3.5000000000000001E-3</v>
      </c>
      <c r="M225">
        <v>0.02</v>
      </c>
      <c r="N225" s="4">
        <v>7.0000000000000001E-3</v>
      </c>
      <c r="O225" s="4">
        <v>0.04</v>
      </c>
    </row>
    <row r="226" spans="2:15">
      <c r="B226" t="s">
        <v>350</v>
      </c>
      <c r="C226" t="s">
        <v>49</v>
      </c>
      <c r="D226" t="s">
        <v>540</v>
      </c>
      <c r="E226" t="s">
        <v>541</v>
      </c>
      <c r="F226" t="s">
        <v>10</v>
      </c>
      <c r="G226" t="s">
        <v>540</v>
      </c>
      <c r="H226" t="s">
        <v>542</v>
      </c>
      <c r="I226" t="s">
        <v>32</v>
      </c>
      <c r="J226">
        <v>0</v>
      </c>
      <c r="K226">
        <v>2</v>
      </c>
      <c r="L226" s="4">
        <v>3.5000000000000001E-3</v>
      </c>
      <c r="M226">
        <v>0.02</v>
      </c>
      <c r="N226" s="4">
        <v>7.0000000000000001E-3</v>
      </c>
      <c r="O226" s="4">
        <v>0.04</v>
      </c>
    </row>
    <row r="227" spans="2:15">
      <c r="B227" t="s">
        <v>350</v>
      </c>
      <c r="C227" t="s">
        <v>49</v>
      </c>
      <c r="D227" t="s">
        <v>543</v>
      </c>
      <c r="E227" t="s">
        <v>544</v>
      </c>
      <c r="F227" t="s">
        <v>10</v>
      </c>
      <c r="G227" t="s">
        <v>543</v>
      </c>
      <c r="H227" t="s">
        <v>545</v>
      </c>
      <c r="I227" t="s">
        <v>32</v>
      </c>
      <c r="J227">
        <v>0</v>
      </c>
      <c r="K227">
        <v>2</v>
      </c>
      <c r="L227" s="4">
        <v>3.5000000000000001E-3</v>
      </c>
      <c r="M227">
        <v>0.02</v>
      </c>
      <c r="N227" s="4">
        <v>7.0000000000000001E-3</v>
      </c>
      <c r="O227" s="4">
        <v>0.04</v>
      </c>
    </row>
    <row r="228" spans="2:15">
      <c r="B228" t="s">
        <v>350</v>
      </c>
      <c r="C228" t="s">
        <v>49</v>
      </c>
      <c r="D228" t="s">
        <v>546</v>
      </c>
      <c r="E228" t="s">
        <v>547</v>
      </c>
      <c r="F228" t="s">
        <v>10</v>
      </c>
      <c r="G228" t="s">
        <v>546</v>
      </c>
      <c r="H228" t="s">
        <v>548</v>
      </c>
      <c r="I228" t="s">
        <v>32</v>
      </c>
      <c r="J228">
        <v>0</v>
      </c>
      <c r="K228">
        <v>3</v>
      </c>
      <c r="L228" s="4">
        <v>3.5000000000000001E-3</v>
      </c>
      <c r="M228">
        <v>0.02</v>
      </c>
      <c r="N228" s="4">
        <v>1.0500000000000001E-2</v>
      </c>
      <c r="O228" s="4">
        <v>0.06</v>
      </c>
    </row>
    <row r="229" spans="2:15">
      <c r="B229" t="s">
        <v>350</v>
      </c>
      <c r="C229" t="s">
        <v>49</v>
      </c>
      <c r="D229" t="s">
        <v>549</v>
      </c>
      <c r="E229" t="s">
        <v>550</v>
      </c>
      <c r="F229" t="s">
        <v>10</v>
      </c>
      <c r="G229" t="s">
        <v>549</v>
      </c>
      <c r="H229" t="s">
        <v>551</v>
      </c>
      <c r="I229" t="s">
        <v>32</v>
      </c>
      <c r="J229">
        <v>0</v>
      </c>
      <c r="K229">
        <v>1</v>
      </c>
      <c r="L229" s="4">
        <v>3.5000000000000001E-3</v>
      </c>
      <c r="M229">
        <v>0.02</v>
      </c>
      <c r="N229" s="4">
        <v>3.5000000000000001E-3</v>
      </c>
      <c r="O229" s="4">
        <v>0.02</v>
      </c>
    </row>
    <row r="230" spans="2:15">
      <c r="B230" t="s">
        <v>350</v>
      </c>
      <c r="C230" t="s">
        <v>49</v>
      </c>
      <c r="D230" t="s">
        <v>552</v>
      </c>
      <c r="E230" t="s">
        <v>553</v>
      </c>
      <c r="F230" t="s">
        <v>10</v>
      </c>
      <c r="G230" t="s">
        <v>552</v>
      </c>
      <c r="H230" t="s">
        <v>554</v>
      </c>
      <c r="I230" t="s">
        <v>32</v>
      </c>
      <c r="J230">
        <v>0</v>
      </c>
      <c r="K230">
        <v>1</v>
      </c>
      <c r="L230" s="4">
        <v>3.5000000000000001E-3</v>
      </c>
      <c r="M230">
        <v>0.02</v>
      </c>
      <c r="N230" s="4">
        <v>3.5000000000000001E-3</v>
      </c>
      <c r="O230" s="4">
        <v>0.02</v>
      </c>
    </row>
    <row r="231" spans="2:15">
      <c r="B231" t="s">
        <v>350</v>
      </c>
      <c r="C231" t="s">
        <v>49</v>
      </c>
      <c r="D231" t="s">
        <v>555</v>
      </c>
      <c r="E231" t="s">
        <v>556</v>
      </c>
      <c r="F231" t="s">
        <v>10</v>
      </c>
      <c r="G231" t="s">
        <v>555</v>
      </c>
      <c r="H231" t="s">
        <v>557</v>
      </c>
      <c r="I231" t="s">
        <v>32</v>
      </c>
      <c r="J231">
        <v>0</v>
      </c>
      <c r="K231">
        <v>2</v>
      </c>
      <c r="L231" s="4">
        <v>3.5000000000000001E-3</v>
      </c>
      <c r="M231">
        <v>0.02</v>
      </c>
      <c r="N231" s="4">
        <v>7.0000000000000001E-3</v>
      </c>
      <c r="O231" s="4">
        <v>0.04</v>
      </c>
    </row>
    <row r="232" spans="2:15">
      <c r="B232" t="s">
        <v>350</v>
      </c>
      <c r="C232" t="s">
        <v>49</v>
      </c>
      <c r="D232" t="s">
        <v>558</v>
      </c>
      <c r="E232" t="s">
        <v>559</v>
      </c>
      <c r="F232" t="s">
        <v>10</v>
      </c>
      <c r="G232" t="s">
        <v>558</v>
      </c>
      <c r="H232" t="s">
        <v>560</v>
      </c>
      <c r="I232" t="s">
        <v>32</v>
      </c>
      <c r="J232">
        <v>0</v>
      </c>
      <c r="K232">
        <v>1</v>
      </c>
      <c r="L232" s="4">
        <v>3.5000000000000001E-3</v>
      </c>
      <c r="M232">
        <v>0.02</v>
      </c>
      <c r="N232" s="4">
        <v>3.5000000000000001E-3</v>
      </c>
      <c r="O232" s="4">
        <v>0.02</v>
      </c>
    </row>
    <row r="233" spans="2:15">
      <c r="B233" t="s">
        <v>350</v>
      </c>
      <c r="C233" t="s">
        <v>49</v>
      </c>
      <c r="D233" t="s">
        <v>561</v>
      </c>
      <c r="E233" t="s">
        <v>562</v>
      </c>
      <c r="F233" t="s">
        <v>10</v>
      </c>
      <c r="G233" t="s">
        <v>561</v>
      </c>
      <c r="H233" t="s">
        <v>563</v>
      </c>
      <c r="I233" t="s">
        <v>32</v>
      </c>
      <c r="J233">
        <v>0</v>
      </c>
      <c r="K233">
        <v>1</v>
      </c>
      <c r="L233" s="4">
        <v>3.5000000000000001E-3</v>
      </c>
      <c r="M233">
        <v>0.02</v>
      </c>
      <c r="N233" s="4">
        <v>3.5000000000000001E-3</v>
      </c>
      <c r="O233" s="4">
        <v>0.02</v>
      </c>
    </row>
    <row r="234" spans="2:15">
      <c r="B234" t="s">
        <v>350</v>
      </c>
      <c r="C234" t="s">
        <v>49</v>
      </c>
      <c r="D234" t="s">
        <v>564</v>
      </c>
      <c r="E234" t="s">
        <v>565</v>
      </c>
      <c r="F234" t="s">
        <v>10</v>
      </c>
      <c r="G234" t="s">
        <v>564</v>
      </c>
      <c r="H234" t="s">
        <v>566</v>
      </c>
      <c r="I234" t="s">
        <v>32</v>
      </c>
      <c r="J234">
        <v>0</v>
      </c>
      <c r="K234">
        <v>3</v>
      </c>
      <c r="L234" s="4">
        <v>3.5000000000000001E-3</v>
      </c>
      <c r="M234">
        <v>0.02</v>
      </c>
      <c r="N234" s="4">
        <v>1.0500000000000001E-2</v>
      </c>
      <c r="O234" s="4">
        <v>0.06</v>
      </c>
    </row>
    <row r="235" spans="2:15">
      <c r="B235" t="s">
        <v>350</v>
      </c>
      <c r="C235" t="s">
        <v>49</v>
      </c>
      <c r="D235" t="s">
        <v>567</v>
      </c>
      <c r="E235" t="s">
        <v>568</v>
      </c>
      <c r="F235" t="s">
        <v>10</v>
      </c>
      <c r="G235" t="s">
        <v>567</v>
      </c>
      <c r="H235" t="s">
        <v>569</v>
      </c>
      <c r="I235" t="s">
        <v>32</v>
      </c>
      <c r="J235">
        <v>0</v>
      </c>
      <c r="K235">
        <v>1</v>
      </c>
      <c r="L235" s="4">
        <v>3.5000000000000001E-3</v>
      </c>
      <c r="M235">
        <v>0.02</v>
      </c>
      <c r="N235" s="4">
        <v>3.5000000000000001E-3</v>
      </c>
      <c r="O235" s="4">
        <v>0.02</v>
      </c>
    </row>
    <row r="236" spans="2:15">
      <c r="B236" t="s">
        <v>350</v>
      </c>
      <c r="C236" t="s">
        <v>49</v>
      </c>
      <c r="D236" t="s">
        <v>570</v>
      </c>
      <c r="E236" t="s">
        <v>571</v>
      </c>
      <c r="F236" t="s">
        <v>10</v>
      </c>
      <c r="G236" t="s">
        <v>570</v>
      </c>
      <c r="H236" t="s">
        <v>572</v>
      </c>
      <c r="I236" t="s">
        <v>32</v>
      </c>
      <c r="J236">
        <v>0</v>
      </c>
      <c r="K236">
        <v>1</v>
      </c>
      <c r="L236" s="4">
        <v>3.5000000000000001E-3</v>
      </c>
      <c r="M236">
        <v>0.02</v>
      </c>
      <c r="N236" s="4">
        <v>3.5000000000000001E-3</v>
      </c>
      <c r="O236" s="4">
        <v>0.02</v>
      </c>
    </row>
    <row r="237" spans="2:15">
      <c r="B237" t="s">
        <v>350</v>
      </c>
      <c r="C237" t="s">
        <v>49</v>
      </c>
      <c r="D237" t="s">
        <v>573</v>
      </c>
      <c r="E237" t="s">
        <v>574</v>
      </c>
      <c r="F237" t="s">
        <v>10</v>
      </c>
      <c r="G237" t="s">
        <v>573</v>
      </c>
      <c r="H237" t="s">
        <v>575</v>
      </c>
      <c r="I237" t="s">
        <v>32</v>
      </c>
      <c r="J237">
        <v>0</v>
      </c>
      <c r="K237">
        <v>2</v>
      </c>
      <c r="L237" s="4">
        <v>3.5000000000000001E-3</v>
      </c>
      <c r="M237">
        <v>0.02</v>
      </c>
      <c r="N237" s="4">
        <v>7.0000000000000001E-3</v>
      </c>
      <c r="O237" s="4">
        <v>0.04</v>
      </c>
    </row>
    <row r="238" spans="2:15">
      <c r="B238" t="s">
        <v>350</v>
      </c>
      <c r="C238" t="s">
        <v>49</v>
      </c>
      <c r="D238" t="s">
        <v>576</v>
      </c>
      <c r="E238" t="s">
        <v>577</v>
      </c>
      <c r="F238" t="s">
        <v>10</v>
      </c>
      <c r="G238" t="s">
        <v>576</v>
      </c>
      <c r="H238" t="s">
        <v>578</v>
      </c>
      <c r="I238" t="s">
        <v>32</v>
      </c>
      <c r="J238">
        <v>0</v>
      </c>
      <c r="K238">
        <v>1</v>
      </c>
      <c r="L238" s="4">
        <v>3.5000000000000001E-3</v>
      </c>
      <c r="M238">
        <v>0.02</v>
      </c>
      <c r="N238" s="4">
        <v>3.5000000000000001E-3</v>
      </c>
      <c r="O238" s="4">
        <v>0.02</v>
      </c>
    </row>
    <row r="239" spans="2:15">
      <c r="B239" t="s">
        <v>350</v>
      </c>
      <c r="C239" t="s">
        <v>49</v>
      </c>
      <c r="D239" t="s">
        <v>579</v>
      </c>
      <c r="E239" t="s">
        <v>580</v>
      </c>
      <c r="F239" t="s">
        <v>10</v>
      </c>
      <c r="G239" t="s">
        <v>579</v>
      </c>
      <c r="H239" t="s">
        <v>581</v>
      </c>
      <c r="I239" t="s">
        <v>32</v>
      </c>
      <c r="J239">
        <v>0</v>
      </c>
      <c r="K239">
        <v>1</v>
      </c>
      <c r="L239" s="4">
        <v>3.5000000000000001E-3</v>
      </c>
      <c r="M239">
        <v>0.02</v>
      </c>
      <c r="N239" s="4">
        <v>3.5000000000000001E-3</v>
      </c>
      <c r="O239" s="4">
        <v>0.02</v>
      </c>
    </row>
    <row r="240" spans="2:15">
      <c r="B240" t="s">
        <v>350</v>
      </c>
      <c r="C240" t="s">
        <v>49</v>
      </c>
      <c r="D240" t="s">
        <v>582</v>
      </c>
      <c r="E240" t="s">
        <v>583</v>
      </c>
      <c r="F240" t="s">
        <v>10</v>
      </c>
      <c r="G240" t="s">
        <v>582</v>
      </c>
      <c r="H240" t="s">
        <v>584</v>
      </c>
      <c r="I240" t="s">
        <v>32</v>
      </c>
      <c r="J240">
        <v>0</v>
      </c>
      <c r="K240">
        <v>1</v>
      </c>
      <c r="L240" s="4">
        <v>3.5000000000000001E-3</v>
      </c>
      <c r="M240">
        <v>0.02</v>
      </c>
      <c r="N240" s="4">
        <v>3.5000000000000001E-3</v>
      </c>
      <c r="O240" s="4">
        <v>0.02</v>
      </c>
    </row>
    <row r="241" spans="2:15">
      <c r="B241" t="s">
        <v>350</v>
      </c>
      <c r="C241" t="s">
        <v>49</v>
      </c>
      <c r="D241" t="s">
        <v>585</v>
      </c>
      <c r="E241" t="s">
        <v>586</v>
      </c>
      <c r="F241" t="s">
        <v>10</v>
      </c>
      <c r="G241" t="s">
        <v>585</v>
      </c>
      <c r="H241" t="s">
        <v>587</v>
      </c>
      <c r="I241" t="s">
        <v>32</v>
      </c>
      <c r="J241">
        <v>0</v>
      </c>
      <c r="K241">
        <v>1</v>
      </c>
      <c r="L241" s="4">
        <v>3.5000000000000001E-3</v>
      </c>
      <c r="M241">
        <v>0.02</v>
      </c>
      <c r="N241" s="4">
        <v>3.5000000000000001E-3</v>
      </c>
      <c r="O241" s="4">
        <v>0.02</v>
      </c>
    </row>
    <row r="242" spans="2:15">
      <c r="B242" t="s">
        <v>350</v>
      </c>
      <c r="C242" t="s">
        <v>49</v>
      </c>
      <c r="D242" t="s">
        <v>588</v>
      </c>
      <c r="E242" t="s">
        <v>589</v>
      </c>
      <c r="F242" t="s">
        <v>10</v>
      </c>
      <c r="G242" t="s">
        <v>588</v>
      </c>
      <c r="H242" t="s">
        <v>590</v>
      </c>
      <c r="I242" t="s">
        <v>32</v>
      </c>
      <c r="J242">
        <v>0</v>
      </c>
      <c r="K242">
        <v>1</v>
      </c>
      <c r="L242" s="4">
        <v>3.5000000000000001E-3</v>
      </c>
      <c r="M242">
        <v>0.02</v>
      </c>
      <c r="N242" s="4">
        <v>3.5000000000000001E-3</v>
      </c>
      <c r="O242" s="4">
        <v>0.02</v>
      </c>
    </row>
    <row r="243" spans="2:15">
      <c r="B243" t="s">
        <v>350</v>
      </c>
      <c r="C243" t="s">
        <v>49</v>
      </c>
      <c r="D243" t="s">
        <v>591</v>
      </c>
      <c r="E243" t="s">
        <v>592</v>
      </c>
      <c r="F243" t="s">
        <v>10</v>
      </c>
      <c r="G243" t="s">
        <v>591</v>
      </c>
      <c r="H243" t="s">
        <v>593</v>
      </c>
      <c r="I243" t="s">
        <v>32</v>
      </c>
      <c r="J243">
        <v>0</v>
      </c>
      <c r="K243">
        <v>1</v>
      </c>
      <c r="L243" s="4">
        <v>3.5000000000000001E-3</v>
      </c>
      <c r="M243">
        <v>0.02</v>
      </c>
      <c r="N243" s="4">
        <v>3.5000000000000001E-3</v>
      </c>
      <c r="O243" s="4">
        <v>0.02</v>
      </c>
    </row>
    <row r="244" spans="2:15">
      <c r="B244" t="s">
        <v>350</v>
      </c>
      <c r="C244" t="s">
        <v>49</v>
      </c>
      <c r="D244" t="s">
        <v>594</v>
      </c>
      <c r="E244" t="s">
        <v>595</v>
      </c>
      <c r="F244" t="s">
        <v>10</v>
      </c>
      <c r="G244" t="s">
        <v>594</v>
      </c>
      <c r="H244" t="s">
        <v>596</v>
      </c>
      <c r="I244" t="s">
        <v>32</v>
      </c>
      <c r="J244">
        <v>0</v>
      </c>
      <c r="K244">
        <v>1</v>
      </c>
      <c r="L244" s="4">
        <v>3.5000000000000001E-3</v>
      </c>
      <c r="M244">
        <v>0.02</v>
      </c>
      <c r="N244" s="4">
        <v>3.5000000000000001E-3</v>
      </c>
      <c r="O244" s="4">
        <v>0.02</v>
      </c>
    </row>
    <row r="245" spans="2:15">
      <c r="B245" t="s">
        <v>350</v>
      </c>
      <c r="C245" t="s">
        <v>49</v>
      </c>
      <c r="D245" t="s">
        <v>597</v>
      </c>
      <c r="E245" t="s">
        <v>598</v>
      </c>
      <c r="F245" t="s">
        <v>10</v>
      </c>
      <c r="G245" t="s">
        <v>597</v>
      </c>
      <c r="H245" t="s">
        <v>599</v>
      </c>
      <c r="I245" t="s">
        <v>32</v>
      </c>
      <c r="J245">
        <v>0</v>
      </c>
      <c r="K245">
        <v>1</v>
      </c>
      <c r="L245" s="4">
        <v>3.5000000000000001E-3</v>
      </c>
      <c r="M245">
        <v>0.02</v>
      </c>
      <c r="N245" s="4">
        <v>3.5000000000000001E-3</v>
      </c>
      <c r="O245" s="4">
        <v>0.02</v>
      </c>
    </row>
    <row r="246" spans="2:15">
      <c r="B246" t="s">
        <v>350</v>
      </c>
      <c r="C246" t="s">
        <v>49</v>
      </c>
      <c r="D246" t="s">
        <v>600</v>
      </c>
      <c r="E246" t="s">
        <v>601</v>
      </c>
      <c r="F246" t="s">
        <v>10</v>
      </c>
      <c r="G246" t="s">
        <v>600</v>
      </c>
      <c r="H246" t="s">
        <v>602</v>
      </c>
      <c r="I246" t="s">
        <v>32</v>
      </c>
      <c r="J246">
        <v>0</v>
      </c>
      <c r="K246">
        <v>1</v>
      </c>
      <c r="L246" s="4">
        <v>3.5000000000000001E-3</v>
      </c>
      <c r="M246">
        <v>0.02</v>
      </c>
      <c r="N246" s="4">
        <v>3.5000000000000001E-3</v>
      </c>
      <c r="O246" s="4">
        <v>0.02</v>
      </c>
    </row>
    <row r="247" spans="2:15">
      <c r="B247" t="s">
        <v>350</v>
      </c>
      <c r="C247" t="s">
        <v>49</v>
      </c>
      <c r="D247" t="s">
        <v>603</v>
      </c>
      <c r="E247" t="s">
        <v>604</v>
      </c>
      <c r="F247" t="s">
        <v>10</v>
      </c>
      <c r="G247" t="s">
        <v>603</v>
      </c>
      <c r="H247" t="s">
        <v>605</v>
      </c>
      <c r="I247" t="s">
        <v>32</v>
      </c>
      <c r="J247">
        <v>3</v>
      </c>
      <c r="K247">
        <v>1</v>
      </c>
      <c r="L247" s="4">
        <v>3.5000000000000001E-3</v>
      </c>
      <c r="M247">
        <v>0.02</v>
      </c>
      <c r="N247" s="4">
        <v>3.5000000000000001E-3</v>
      </c>
      <c r="O247" s="4">
        <v>0.02</v>
      </c>
    </row>
    <row r="248" spans="2:15">
      <c r="B248" t="s">
        <v>350</v>
      </c>
      <c r="C248" t="s">
        <v>49</v>
      </c>
      <c r="D248" t="s">
        <v>606</v>
      </c>
      <c r="E248" t="s">
        <v>607</v>
      </c>
      <c r="F248" t="s">
        <v>10</v>
      </c>
      <c r="G248" t="s">
        <v>606</v>
      </c>
      <c r="H248" t="s">
        <v>608</v>
      </c>
      <c r="I248" t="s">
        <v>32</v>
      </c>
      <c r="J248">
        <v>0</v>
      </c>
      <c r="K248">
        <v>1</v>
      </c>
      <c r="L248" s="4">
        <v>3.5000000000000001E-3</v>
      </c>
      <c r="M248">
        <v>0.02</v>
      </c>
      <c r="N248" s="4">
        <v>3.5000000000000001E-3</v>
      </c>
      <c r="O248" s="4">
        <v>0.02</v>
      </c>
    </row>
    <row r="249" spans="2:15">
      <c r="B249" t="s">
        <v>350</v>
      </c>
      <c r="C249" t="s">
        <v>52</v>
      </c>
      <c r="D249" t="s">
        <v>609</v>
      </c>
      <c r="E249" t="s">
        <v>610</v>
      </c>
      <c r="F249" t="s">
        <v>12</v>
      </c>
      <c r="G249" t="s">
        <v>609</v>
      </c>
      <c r="H249" t="s">
        <v>611</v>
      </c>
      <c r="I249" t="s">
        <v>31</v>
      </c>
      <c r="J249">
        <v>329673</v>
      </c>
      <c r="K249">
        <v>267</v>
      </c>
      <c r="L249" s="4">
        <v>3.8199999999999998E-2</v>
      </c>
      <c r="M249">
        <v>0.09</v>
      </c>
      <c r="N249" s="4">
        <v>12.5935086</v>
      </c>
      <c r="O249" s="4">
        <v>29.670570000000001</v>
      </c>
    </row>
    <row r="250" spans="2:15">
      <c r="B250" t="s">
        <v>350</v>
      </c>
      <c r="C250" t="s">
        <v>52</v>
      </c>
      <c r="D250" t="s">
        <v>612</v>
      </c>
      <c r="E250" t="s">
        <v>613</v>
      </c>
      <c r="F250" t="s">
        <v>12</v>
      </c>
      <c r="G250" t="s">
        <v>612</v>
      </c>
      <c r="H250" t="s">
        <v>614</v>
      </c>
      <c r="I250" t="s">
        <v>31</v>
      </c>
      <c r="J250">
        <v>514364</v>
      </c>
      <c r="K250">
        <v>201</v>
      </c>
      <c r="L250" s="4">
        <v>3.8199999999999998E-2</v>
      </c>
      <c r="M250">
        <v>0.09</v>
      </c>
      <c r="N250" s="4">
        <v>19.648704800000001</v>
      </c>
      <c r="O250" s="4">
        <v>46.292759999999994</v>
      </c>
    </row>
    <row r="251" spans="2:15">
      <c r="B251" t="s">
        <v>350</v>
      </c>
      <c r="C251" t="s">
        <v>52</v>
      </c>
      <c r="D251" t="s">
        <v>615</v>
      </c>
      <c r="E251" t="s">
        <v>616</v>
      </c>
      <c r="F251" t="s">
        <v>12</v>
      </c>
      <c r="G251" t="s">
        <v>615</v>
      </c>
      <c r="H251" t="s">
        <v>617</v>
      </c>
      <c r="I251" t="s">
        <v>31</v>
      </c>
      <c r="J251">
        <v>71194</v>
      </c>
      <c r="K251">
        <v>46</v>
      </c>
      <c r="L251" s="4">
        <v>3.8199999999999998E-2</v>
      </c>
      <c r="M251">
        <v>0.09</v>
      </c>
      <c r="N251" s="4">
        <v>2.7196107999999999</v>
      </c>
      <c r="O251" s="4">
        <v>6.4074600000000004</v>
      </c>
    </row>
    <row r="252" spans="2:15">
      <c r="B252" t="s">
        <v>350</v>
      </c>
      <c r="C252" t="s">
        <v>52</v>
      </c>
      <c r="D252" t="s">
        <v>618</v>
      </c>
      <c r="E252" t="s">
        <v>619</v>
      </c>
      <c r="F252" t="s">
        <v>12</v>
      </c>
      <c r="G252" t="s">
        <v>618</v>
      </c>
      <c r="H252" t="s">
        <v>620</v>
      </c>
      <c r="I252" t="s">
        <v>31</v>
      </c>
      <c r="J252">
        <v>44605</v>
      </c>
      <c r="K252">
        <v>21</v>
      </c>
      <c r="L252" s="4">
        <v>3.8199999999999998E-2</v>
      </c>
      <c r="M252">
        <v>0.09</v>
      </c>
      <c r="N252" s="4">
        <v>1.7039109999999997</v>
      </c>
      <c r="O252" s="4">
        <v>4.0144500000000001</v>
      </c>
    </row>
    <row r="253" spans="2:15">
      <c r="B253" t="s">
        <v>350</v>
      </c>
      <c r="C253" t="s">
        <v>52</v>
      </c>
      <c r="D253" t="s">
        <v>618</v>
      </c>
      <c r="E253" t="s">
        <v>619</v>
      </c>
      <c r="F253" t="s">
        <v>10</v>
      </c>
      <c r="G253" t="s">
        <v>472</v>
      </c>
      <c r="H253" t="s">
        <v>621</v>
      </c>
      <c r="I253" t="s">
        <v>32</v>
      </c>
      <c r="J253">
        <v>0</v>
      </c>
      <c r="K253">
        <v>1</v>
      </c>
      <c r="L253" s="4">
        <v>3.5000000000000001E-3</v>
      </c>
      <c r="M253">
        <v>0.02</v>
      </c>
      <c r="N253" s="4">
        <v>3.5000000000000001E-3</v>
      </c>
      <c r="O253" s="4">
        <v>0.02</v>
      </c>
    </row>
    <row r="254" spans="2:15">
      <c r="B254" t="s">
        <v>350</v>
      </c>
      <c r="C254" t="s">
        <v>52</v>
      </c>
      <c r="D254" t="s">
        <v>622</v>
      </c>
      <c r="E254" t="s">
        <v>623</v>
      </c>
      <c r="F254" t="s">
        <v>10</v>
      </c>
      <c r="G254" t="s">
        <v>622</v>
      </c>
      <c r="H254" t="s">
        <v>624</v>
      </c>
      <c r="I254" t="s">
        <v>32</v>
      </c>
      <c r="J254">
        <v>0</v>
      </c>
      <c r="K254">
        <v>75</v>
      </c>
      <c r="L254" s="4">
        <v>3.5000000000000001E-3</v>
      </c>
      <c r="M254">
        <v>0.02</v>
      </c>
      <c r="N254" s="4">
        <v>0.26250000000000001</v>
      </c>
      <c r="O254" s="4">
        <v>1.5</v>
      </c>
    </row>
    <row r="255" spans="2:15">
      <c r="B255" t="s">
        <v>350</v>
      </c>
      <c r="C255" t="s">
        <v>52</v>
      </c>
      <c r="D255" t="s">
        <v>625</v>
      </c>
      <c r="E255" t="s">
        <v>626</v>
      </c>
      <c r="F255" t="s">
        <v>10</v>
      </c>
      <c r="G255" t="s">
        <v>625</v>
      </c>
      <c r="H255" t="s">
        <v>627</v>
      </c>
      <c r="I255" t="s">
        <v>32</v>
      </c>
      <c r="J255">
        <v>0</v>
      </c>
      <c r="K255">
        <v>13793</v>
      </c>
      <c r="L255" s="4">
        <v>3.5000000000000001E-3</v>
      </c>
      <c r="M255">
        <v>0.02</v>
      </c>
      <c r="N255" s="4">
        <v>48.275500000000001</v>
      </c>
      <c r="O255" s="4">
        <v>275.86</v>
      </c>
    </row>
    <row r="256" spans="2:15">
      <c r="B256" t="s">
        <v>350</v>
      </c>
      <c r="C256" t="s">
        <v>52</v>
      </c>
      <c r="D256" t="s">
        <v>628</v>
      </c>
      <c r="E256" t="s">
        <v>629</v>
      </c>
      <c r="F256" t="s">
        <v>10</v>
      </c>
      <c r="G256" t="s">
        <v>628</v>
      </c>
      <c r="H256" t="s">
        <v>630</v>
      </c>
      <c r="I256" t="s">
        <v>32</v>
      </c>
      <c r="J256">
        <v>0</v>
      </c>
      <c r="K256">
        <v>4732</v>
      </c>
      <c r="L256" s="4">
        <v>3.5000000000000001E-3</v>
      </c>
      <c r="M256">
        <v>0.02</v>
      </c>
      <c r="N256" s="4">
        <v>16.562000000000001</v>
      </c>
      <c r="O256" s="4">
        <v>94.64</v>
      </c>
    </row>
    <row r="257" spans="2:15">
      <c r="B257" t="s">
        <v>350</v>
      </c>
      <c r="C257" t="s">
        <v>51</v>
      </c>
      <c r="D257" t="s">
        <v>631</v>
      </c>
      <c r="E257" t="s">
        <v>632</v>
      </c>
      <c r="F257" t="s">
        <v>10</v>
      </c>
      <c r="G257" t="s">
        <v>631</v>
      </c>
      <c r="H257" t="s">
        <v>633</v>
      </c>
      <c r="I257" t="s">
        <v>32</v>
      </c>
      <c r="J257">
        <v>0</v>
      </c>
      <c r="K257">
        <v>1166</v>
      </c>
      <c r="L257" s="4">
        <v>3.5000000000000001E-3</v>
      </c>
      <c r="M257">
        <v>0.02</v>
      </c>
      <c r="N257" s="4">
        <v>4.0810000000000004</v>
      </c>
      <c r="O257" s="4">
        <v>23.32</v>
      </c>
    </row>
    <row r="258" spans="2:15">
      <c r="B258" t="s">
        <v>350</v>
      </c>
      <c r="C258" t="s">
        <v>51</v>
      </c>
      <c r="D258" t="s">
        <v>634</v>
      </c>
      <c r="E258" t="s">
        <v>635</v>
      </c>
      <c r="F258" t="s">
        <v>10</v>
      </c>
      <c r="G258" t="s">
        <v>634</v>
      </c>
      <c r="H258" t="s">
        <v>636</v>
      </c>
      <c r="I258" t="s">
        <v>32</v>
      </c>
      <c r="J258">
        <v>0</v>
      </c>
      <c r="K258">
        <v>479</v>
      </c>
      <c r="L258" s="4">
        <v>3.5000000000000001E-3</v>
      </c>
      <c r="M258">
        <v>0.02</v>
      </c>
      <c r="N258" s="4">
        <v>1.6765000000000001</v>
      </c>
      <c r="O258" s="4">
        <v>9.58</v>
      </c>
    </row>
    <row r="259" spans="2:15">
      <c r="B259" t="s">
        <v>350</v>
      </c>
      <c r="C259" t="s">
        <v>51</v>
      </c>
      <c r="D259" t="s">
        <v>637</v>
      </c>
      <c r="E259" t="s">
        <v>638</v>
      </c>
      <c r="F259" t="s">
        <v>10</v>
      </c>
      <c r="G259" t="s">
        <v>637</v>
      </c>
      <c r="H259" t="s">
        <v>639</v>
      </c>
      <c r="I259" t="s">
        <v>32</v>
      </c>
      <c r="J259">
        <v>0</v>
      </c>
      <c r="K259">
        <v>25</v>
      </c>
      <c r="L259" s="4">
        <v>3.5000000000000001E-3</v>
      </c>
      <c r="M259">
        <v>0.02</v>
      </c>
      <c r="N259" s="4">
        <v>8.7500000000000008E-2</v>
      </c>
      <c r="O259" s="4">
        <v>0.5</v>
      </c>
    </row>
    <row r="260" spans="2:15">
      <c r="B260" t="s">
        <v>350</v>
      </c>
      <c r="C260" t="s">
        <v>51</v>
      </c>
      <c r="D260" t="s">
        <v>640</v>
      </c>
      <c r="E260" t="s">
        <v>641</v>
      </c>
      <c r="F260" t="s">
        <v>10</v>
      </c>
      <c r="G260" t="s">
        <v>640</v>
      </c>
      <c r="H260" t="s">
        <v>642</v>
      </c>
      <c r="I260" t="s">
        <v>32</v>
      </c>
      <c r="J260">
        <v>0</v>
      </c>
      <c r="K260">
        <v>253</v>
      </c>
      <c r="L260" s="4">
        <v>3.5000000000000001E-3</v>
      </c>
      <c r="M260">
        <v>0.02</v>
      </c>
      <c r="N260" s="4">
        <v>0.88550000000000006</v>
      </c>
      <c r="O260" s="4">
        <v>5.0600000000000005</v>
      </c>
    </row>
    <row r="261" spans="2:15">
      <c r="B261" t="s">
        <v>350</v>
      </c>
      <c r="C261" t="s">
        <v>51</v>
      </c>
      <c r="D261" t="s">
        <v>643</v>
      </c>
      <c r="E261" t="s">
        <v>644</v>
      </c>
      <c r="F261" t="s">
        <v>10</v>
      </c>
      <c r="G261" t="s">
        <v>643</v>
      </c>
      <c r="H261" t="s">
        <v>645</v>
      </c>
      <c r="I261" t="s">
        <v>32</v>
      </c>
      <c r="J261">
        <v>0</v>
      </c>
      <c r="K261">
        <v>857</v>
      </c>
      <c r="L261" s="4">
        <v>3.5000000000000001E-3</v>
      </c>
      <c r="M261">
        <v>0.02</v>
      </c>
      <c r="N261" s="4">
        <v>2.9995000000000003</v>
      </c>
      <c r="O261" s="4">
        <v>17.14</v>
      </c>
    </row>
    <row r="262" spans="2:15">
      <c r="B262" t="s">
        <v>350</v>
      </c>
      <c r="C262" t="s">
        <v>51</v>
      </c>
      <c r="D262" t="s">
        <v>646</v>
      </c>
      <c r="E262" t="s">
        <v>647</v>
      </c>
      <c r="F262" t="s">
        <v>10</v>
      </c>
      <c r="G262" t="s">
        <v>646</v>
      </c>
      <c r="H262" t="s">
        <v>648</v>
      </c>
      <c r="I262" t="s">
        <v>32</v>
      </c>
      <c r="J262">
        <v>0</v>
      </c>
      <c r="K262">
        <v>45</v>
      </c>
      <c r="L262" s="4">
        <v>3.5000000000000001E-3</v>
      </c>
      <c r="M262">
        <v>0.02</v>
      </c>
      <c r="N262" s="4">
        <v>0.1575</v>
      </c>
      <c r="O262" s="4">
        <v>0.9</v>
      </c>
    </row>
    <row r="263" spans="2:15">
      <c r="B263" t="s">
        <v>350</v>
      </c>
      <c r="C263" t="s">
        <v>51</v>
      </c>
      <c r="D263" t="s">
        <v>649</v>
      </c>
      <c r="E263" t="s">
        <v>650</v>
      </c>
      <c r="F263" t="s">
        <v>10</v>
      </c>
      <c r="G263" t="s">
        <v>649</v>
      </c>
      <c r="H263" t="s">
        <v>651</v>
      </c>
      <c r="I263" t="s">
        <v>32</v>
      </c>
      <c r="J263">
        <v>0</v>
      </c>
      <c r="K263">
        <v>65</v>
      </c>
      <c r="L263" s="4">
        <v>3.5000000000000001E-3</v>
      </c>
      <c r="M263">
        <v>0.02</v>
      </c>
      <c r="N263" s="4">
        <v>0.22750000000000001</v>
      </c>
      <c r="O263" s="4">
        <v>1.3</v>
      </c>
    </row>
    <row r="264" spans="2:15">
      <c r="B264" t="s">
        <v>350</v>
      </c>
      <c r="C264" t="s">
        <v>51</v>
      </c>
      <c r="D264" t="s">
        <v>652</v>
      </c>
      <c r="E264" t="s">
        <v>653</v>
      </c>
      <c r="F264" t="s">
        <v>10</v>
      </c>
      <c r="G264" t="s">
        <v>652</v>
      </c>
      <c r="H264" t="s">
        <v>654</v>
      </c>
      <c r="I264" t="s">
        <v>32</v>
      </c>
      <c r="J264">
        <v>0</v>
      </c>
      <c r="K264">
        <v>120</v>
      </c>
      <c r="L264" s="4">
        <v>3.5000000000000001E-3</v>
      </c>
      <c r="M264">
        <v>0.02</v>
      </c>
      <c r="N264" s="4">
        <v>0.42</v>
      </c>
      <c r="O264" s="4">
        <v>2.4</v>
      </c>
    </row>
    <row r="265" spans="2:15">
      <c r="B265" t="s">
        <v>350</v>
      </c>
      <c r="C265" t="s">
        <v>51</v>
      </c>
      <c r="D265" t="s">
        <v>655</v>
      </c>
      <c r="E265" t="s">
        <v>656</v>
      </c>
      <c r="F265" t="s">
        <v>10</v>
      </c>
      <c r="G265" t="s">
        <v>655</v>
      </c>
      <c r="H265" t="s">
        <v>657</v>
      </c>
      <c r="I265" t="s">
        <v>32</v>
      </c>
      <c r="J265">
        <v>0</v>
      </c>
      <c r="K265">
        <v>412</v>
      </c>
      <c r="L265" s="4">
        <v>3.5000000000000001E-3</v>
      </c>
      <c r="M265">
        <v>0.02</v>
      </c>
      <c r="N265" s="4">
        <v>1.4419999999999999</v>
      </c>
      <c r="O265" s="4">
        <v>8.24</v>
      </c>
    </row>
    <row r="266" spans="2:15">
      <c r="B266" t="s">
        <v>350</v>
      </c>
      <c r="C266" t="s">
        <v>51</v>
      </c>
      <c r="D266" t="s">
        <v>655</v>
      </c>
      <c r="E266" t="s">
        <v>656</v>
      </c>
      <c r="F266" t="s">
        <v>10</v>
      </c>
      <c r="G266" t="s">
        <v>655</v>
      </c>
      <c r="H266" t="s">
        <v>657</v>
      </c>
      <c r="I266" t="s">
        <v>32</v>
      </c>
      <c r="J266">
        <v>0</v>
      </c>
      <c r="K266">
        <v>2</v>
      </c>
      <c r="L266" s="4">
        <v>3.5000000000000001E-3</v>
      </c>
      <c r="M266">
        <v>0.02</v>
      </c>
      <c r="N266" s="4">
        <v>7.0000000000000001E-3</v>
      </c>
      <c r="O266" s="4">
        <v>0.04</v>
      </c>
    </row>
    <row r="267" spans="2:15">
      <c r="B267" t="s">
        <v>658</v>
      </c>
      <c r="C267" t="s">
        <v>50</v>
      </c>
      <c r="D267" t="s">
        <v>659</v>
      </c>
      <c r="E267" t="s">
        <v>660</v>
      </c>
      <c r="F267" t="s">
        <v>10</v>
      </c>
      <c r="G267" t="s">
        <v>659</v>
      </c>
      <c r="H267" t="s">
        <v>661</v>
      </c>
      <c r="I267" t="s">
        <v>32</v>
      </c>
      <c r="J267">
        <v>0</v>
      </c>
      <c r="K267">
        <v>4</v>
      </c>
      <c r="L267" s="4">
        <v>3.5000000000000001E-3</v>
      </c>
      <c r="M267">
        <v>0.02</v>
      </c>
      <c r="N267" s="4">
        <v>1.4E-2</v>
      </c>
      <c r="O267" s="4">
        <v>0.08</v>
      </c>
    </row>
    <row r="268" spans="2:15">
      <c r="B268" t="s">
        <v>658</v>
      </c>
      <c r="C268" t="s">
        <v>50</v>
      </c>
      <c r="D268" t="s">
        <v>662</v>
      </c>
      <c r="E268" t="s">
        <v>663</v>
      </c>
      <c r="F268" t="s">
        <v>10</v>
      </c>
      <c r="G268" t="s">
        <v>662</v>
      </c>
      <c r="H268" t="s">
        <v>664</v>
      </c>
      <c r="I268" t="s">
        <v>32</v>
      </c>
      <c r="J268">
        <v>0</v>
      </c>
      <c r="K268">
        <v>464</v>
      </c>
      <c r="L268" s="4">
        <v>3.5000000000000001E-3</v>
      </c>
      <c r="M268">
        <v>0.02</v>
      </c>
      <c r="N268" s="4">
        <v>1.6240000000000001</v>
      </c>
      <c r="O268" s="4">
        <v>9.2799999999999994</v>
      </c>
    </row>
    <row r="269" spans="2:15">
      <c r="B269" t="s">
        <v>658</v>
      </c>
      <c r="C269" t="s">
        <v>50</v>
      </c>
      <c r="D269" t="s">
        <v>665</v>
      </c>
      <c r="E269" t="s">
        <v>666</v>
      </c>
      <c r="F269" t="s">
        <v>10</v>
      </c>
      <c r="G269" t="s">
        <v>665</v>
      </c>
      <c r="H269" t="s">
        <v>667</v>
      </c>
      <c r="I269" t="s">
        <v>32</v>
      </c>
      <c r="J269">
        <v>0</v>
      </c>
      <c r="K269">
        <v>361</v>
      </c>
      <c r="L269" s="4">
        <v>3.5000000000000001E-3</v>
      </c>
      <c r="M269">
        <v>0.02</v>
      </c>
      <c r="N269" s="4">
        <v>1.2635000000000001</v>
      </c>
      <c r="O269" s="4">
        <v>7.22</v>
      </c>
    </row>
    <row r="270" spans="2:15">
      <c r="B270" t="s">
        <v>658</v>
      </c>
      <c r="C270" t="s">
        <v>50</v>
      </c>
      <c r="D270" t="s">
        <v>668</v>
      </c>
      <c r="E270" t="s">
        <v>669</v>
      </c>
      <c r="F270" t="s">
        <v>10</v>
      </c>
      <c r="G270" t="s">
        <v>668</v>
      </c>
      <c r="H270" t="s">
        <v>670</v>
      </c>
      <c r="I270" t="s">
        <v>32</v>
      </c>
      <c r="J270">
        <v>0</v>
      </c>
      <c r="K270">
        <v>422</v>
      </c>
      <c r="L270" s="4">
        <v>3.5000000000000001E-3</v>
      </c>
      <c r="M270">
        <v>0.02</v>
      </c>
      <c r="N270" s="4">
        <v>1.4770000000000001</v>
      </c>
      <c r="O270" s="4">
        <v>8.44</v>
      </c>
    </row>
    <row r="271" spans="2:15">
      <c r="B271" t="s">
        <v>658</v>
      </c>
      <c r="C271" t="s">
        <v>50</v>
      </c>
      <c r="D271" t="s">
        <v>671</v>
      </c>
      <c r="E271" t="s">
        <v>672</v>
      </c>
      <c r="F271" t="s">
        <v>10</v>
      </c>
      <c r="G271" t="s">
        <v>671</v>
      </c>
      <c r="H271" t="s">
        <v>673</v>
      </c>
      <c r="I271" t="s">
        <v>32</v>
      </c>
      <c r="J271">
        <v>0</v>
      </c>
      <c r="K271">
        <v>432</v>
      </c>
      <c r="L271" s="4">
        <v>3.5000000000000001E-3</v>
      </c>
      <c r="M271">
        <v>0.02</v>
      </c>
      <c r="N271" s="4">
        <v>1.512</v>
      </c>
      <c r="O271" s="4">
        <v>8.64</v>
      </c>
    </row>
    <row r="272" spans="2:15">
      <c r="B272" t="s">
        <v>658</v>
      </c>
      <c r="C272" t="s">
        <v>50</v>
      </c>
      <c r="D272" t="s">
        <v>674</v>
      </c>
      <c r="E272" t="s">
        <v>675</v>
      </c>
      <c r="F272" t="s">
        <v>10</v>
      </c>
      <c r="G272" t="s">
        <v>674</v>
      </c>
      <c r="H272" t="s">
        <v>676</v>
      </c>
      <c r="I272" t="s">
        <v>32</v>
      </c>
      <c r="J272">
        <v>0</v>
      </c>
      <c r="K272">
        <v>3</v>
      </c>
      <c r="L272" s="4">
        <v>3.5000000000000001E-3</v>
      </c>
      <c r="M272">
        <v>0.02</v>
      </c>
      <c r="N272" s="4">
        <v>1.0500000000000001E-2</v>
      </c>
      <c r="O272" s="4">
        <v>0.06</v>
      </c>
    </row>
    <row r="273" spans="2:15">
      <c r="B273" t="s">
        <v>658</v>
      </c>
      <c r="C273" t="s">
        <v>50</v>
      </c>
      <c r="D273" t="s">
        <v>674</v>
      </c>
      <c r="E273" t="s">
        <v>675</v>
      </c>
      <c r="F273" t="s">
        <v>10</v>
      </c>
      <c r="G273" t="s">
        <v>674</v>
      </c>
      <c r="H273" t="s">
        <v>676</v>
      </c>
      <c r="I273" t="s">
        <v>32</v>
      </c>
      <c r="J273">
        <v>0</v>
      </c>
      <c r="K273">
        <v>1</v>
      </c>
      <c r="L273" s="4">
        <v>3.5000000000000001E-3</v>
      </c>
      <c r="M273">
        <v>0.02</v>
      </c>
      <c r="N273" s="4">
        <v>3.5000000000000001E-3</v>
      </c>
      <c r="O273" s="4">
        <v>0.02</v>
      </c>
    </row>
    <row r="274" spans="2:15">
      <c r="B274" t="s">
        <v>658</v>
      </c>
      <c r="C274" t="s">
        <v>50</v>
      </c>
      <c r="D274" t="s">
        <v>677</v>
      </c>
      <c r="E274" t="s">
        <v>678</v>
      </c>
      <c r="F274" t="s">
        <v>10</v>
      </c>
      <c r="G274" t="s">
        <v>677</v>
      </c>
      <c r="H274" t="s">
        <v>679</v>
      </c>
      <c r="I274" t="s">
        <v>32</v>
      </c>
      <c r="J274">
        <v>0</v>
      </c>
      <c r="K274">
        <v>389</v>
      </c>
      <c r="L274" s="4">
        <v>3.5000000000000001E-3</v>
      </c>
      <c r="M274">
        <v>0.02</v>
      </c>
      <c r="N274" s="4">
        <v>1.3614999999999999</v>
      </c>
      <c r="O274" s="4">
        <v>7.78</v>
      </c>
    </row>
    <row r="275" spans="2:15">
      <c r="B275" t="s">
        <v>658</v>
      </c>
      <c r="C275" t="s">
        <v>50</v>
      </c>
      <c r="D275" t="s">
        <v>680</v>
      </c>
      <c r="E275" t="s">
        <v>681</v>
      </c>
      <c r="F275" t="s">
        <v>10</v>
      </c>
      <c r="G275" t="s">
        <v>680</v>
      </c>
      <c r="H275" t="s">
        <v>682</v>
      </c>
      <c r="I275" t="s">
        <v>32</v>
      </c>
      <c r="J275">
        <v>0</v>
      </c>
      <c r="K275">
        <v>102</v>
      </c>
      <c r="L275" s="4">
        <v>3.5000000000000001E-3</v>
      </c>
      <c r="M275">
        <v>0.02</v>
      </c>
      <c r="N275" s="4">
        <v>0.35699999999999998</v>
      </c>
      <c r="O275" s="4">
        <v>2.04</v>
      </c>
    </row>
    <row r="276" spans="2:15">
      <c r="B276" t="s">
        <v>658</v>
      </c>
      <c r="C276" t="s">
        <v>50</v>
      </c>
      <c r="D276" t="s">
        <v>683</v>
      </c>
      <c r="E276" t="s">
        <v>684</v>
      </c>
      <c r="F276" t="s">
        <v>10</v>
      </c>
      <c r="G276" t="s">
        <v>683</v>
      </c>
      <c r="H276" t="s">
        <v>685</v>
      </c>
      <c r="I276" t="s">
        <v>32</v>
      </c>
      <c r="J276">
        <v>0</v>
      </c>
      <c r="K276">
        <v>122</v>
      </c>
      <c r="L276" s="4">
        <v>3.5000000000000001E-3</v>
      </c>
      <c r="M276">
        <v>0.02</v>
      </c>
      <c r="N276" s="4">
        <v>0.42699999999999999</v>
      </c>
      <c r="O276" s="4">
        <v>2.44</v>
      </c>
    </row>
    <row r="277" spans="2:15">
      <c r="B277" t="s">
        <v>658</v>
      </c>
      <c r="C277" t="s">
        <v>50</v>
      </c>
      <c r="D277" t="s">
        <v>686</v>
      </c>
      <c r="E277" t="s">
        <v>687</v>
      </c>
      <c r="F277" t="s">
        <v>10</v>
      </c>
      <c r="G277" t="s">
        <v>686</v>
      </c>
      <c r="H277" t="s">
        <v>688</v>
      </c>
      <c r="I277" t="s">
        <v>32</v>
      </c>
      <c r="J277">
        <v>0</v>
      </c>
      <c r="K277">
        <v>275</v>
      </c>
      <c r="L277" s="4">
        <v>3.5000000000000001E-3</v>
      </c>
      <c r="M277">
        <v>0.02</v>
      </c>
      <c r="N277" s="4">
        <v>0.96250000000000002</v>
      </c>
      <c r="O277" s="4">
        <v>5.5</v>
      </c>
    </row>
    <row r="278" spans="2:15">
      <c r="B278" t="s">
        <v>658</v>
      </c>
      <c r="C278" t="s">
        <v>50</v>
      </c>
      <c r="D278" t="s">
        <v>689</v>
      </c>
      <c r="E278" t="s">
        <v>690</v>
      </c>
      <c r="F278" t="s">
        <v>10</v>
      </c>
      <c r="G278" t="s">
        <v>689</v>
      </c>
      <c r="H278" t="s">
        <v>691</v>
      </c>
      <c r="I278" t="s">
        <v>32</v>
      </c>
      <c r="J278">
        <v>0</v>
      </c>
      <c r="K278">
        <v>158</v>
      </c>
      <c r="L278" s="4">
        <v>3.5000000000000001E-3</v>
      </c>
      <c r="M278">
        <v>0.02</v>
      </c>
      <c r="N278" s="4">
        <v>0.55300000000000005</v>
      </c>
      <c r="O278" s="4">
        <v>3.16</v>
      </c>
    </row>
    <row r="279" spans="2:15">
      <c r="B279" t="s">
        <v>658</v>
      </c>
      <c r="C279" t="s">
        <v>50</v>
      </c>
      <c r="D279" t="s">
        <v>692</v>
      </c>
      <c r="E279" t="s">
        <v>693</v>
      </c>
      <c r="F279" t="s">
        <v>10</v>
      </c>
      <c r="G279" t="s">
        <v>692</v>
      </c>
      <c r="H279" t="s">
        <v>694</v>
      </c>
      <c r="I279" t="s">
        <v>32</v>
      </c>
      <c r="J279">
        <v>0</v>
      </c>
      <c r="K279">
        <v>108</v>
      </c>
      <c r="L279" s="4">
        <v>3.5000000000000001E-3</v>
      </c>
      <c r="M279">
        <v>0.02</v>
      </c>
      <c r="N279" s="4">
        <v>0.378</v>
      </c>
      <c r="O279" s="4">
        <v>2.16</v>
      </c>
    </row>
    <row r="280" spans="2:15">
      <c r="B280" t="s">
        <v>658</v>
      </c>
      <c r="C280" t="s">
        <v>50</v>
      </c>
      <c r="D280" t="s">
        <v>695</v>
      </c>
      <c r="E280" t="s">
        <v>696</v>
      </c>
      <c r="F280" t="s">
        <v>10</v>
      </c>
      <c r="G280" t="s">
        <v>695</v>
      </c>
      <c r="H280" t="s">
        <v>697</v>
      </c>
      <c r="I280" t="s">
        <v>32</v>
      </c>
      <c r="J280">
        <v>0</v>
      </c>
      <c r="K280">
        <v>2</v>
      </c>
      <c r="L280" s="4">
        <v>3.5000000000000001E-3</v>
      </c>
      <c r="M280">
        <v>0.02</v>
      </c>
      <c r="N280" s="4">
        <v>7.0000000000000001E-3</v>
      </c>
      <c r="O280" s="4">
        <v>0.04</v>
      </c>
    </row>
    <row r="281" spans="2:15">
      <c r="B281" t="s">
        <v>658</v>
      </c>
      <c r="C281" t="s">
        <v>50</v>
      </c>
      <c r="D281" t="s">
        <v>698</v>
      </c>
      <c r="E281" t="s">
        <v>699</v>
      </c>
      <c r="F281" t="s">
        <v>10</v>
      </c>
      <c r="G281" t="s">
        <v>698</v>
      </c>
      <c r="H281" t="s">
        <v>700</v>
      </c>
      <c r="I281" t="s">
        <v>32</v>
      </c>
      <c r="J281">
        <v>0</v>
      </c>
      <c r="K281">
        <v>8</v>
      </c>
      <c r="L281" s="4">
        <v>3.5000000000000001E-3</v>
      </c>
      <c r="M281">
        <v>0.02</v>
      </c>
      <c r="N281" s="4">
        <v>2.8000000000000001E-2</v>
      </c>
      <c r="O281" s="4">
        <v>0.16</v>
      </c>
    </row>
    <row r="282" spans="2:15">
      <c r="B282" t="s">
        <v>658</v>
      </c>
      <c r="C282" t="s">
        <v>50</v>
      </c>
      <c r="D282" t="s">
        <v>701</v>
      </c>
      <c r="E282" t="s">
        <v>702</v>
      </c>
      <c r="F282" t="s">
        <v>10</v>
      </c>
      <c r="G282" t="s">
        <v>701</v>
      </c>
      <c r="H282" t="s">
        <v>703</v>
      </c>
      <c r="I282" t="s">
        <v>32</v>
      </c>
      <c r="J282">
        <v>0</v>
      </c>
      <c r="K282">
        <v>1365</v>
      </c>
      <c r="L282" s="4">
        <v>3.5000000000000001E-3</v>
      </c>
      <c r="M282">
        <v>0.02</v>
      </c>
      <c r="N282" s="4">
        <v>4.7774999999999999</v>
      </c>
      <c r="O282" s="4">
        <v>27.3</v>
      </c>
    </row>
    <row r="283" spans="2:15">
      <c r="B283" t="s">
        <v>658</v>
      </c>
      <c r="C283" t="s">
        <v>50</v>
      </c>
      <c r="D283" t="s">
        <v>704</v>
      </c>
      <c r="E283" t="s">
        <v>705</v>
      </c>
      <c r="F283" t="s">
        <v>10</v>
      </c>
      <c r="G283" t="s">
        <v>704</v>
      </c>
      <c r="H283" t="s">
        <v>706</v>
      </c>
      <c r="I283" t="s">
        <v>32</v>
      </c>
      <c r="J283">
        <v>0</v>
      </c>
      <c r="K283">
        <v>358</v>
      </c>
      <c r="L283" s="4">
        <v>3.5000000000000001E-3</v>
      </c>
      <c r="M283">
        <v>0.02</v>
      </c>
      <c r="N283" s="4">
        <v>1.2530000000000001</v>
      </c>
      <c r="O283" s="4">
        <v>7.16</v>
      </c>
    </row>
    <row r="284" spans="2:15">
      <c r="B284" t="s">
        <v>658</v>
      </c>
      <c r="C284" t="s">
        <v>50</v>
      </c>
      <c r="D284" t="s">
        <v>707</v>
      </c>
      <c r="E284" t="s">
        <v>708</v>
      </c>
      <c r="F284" t="s">
        <v>10</v>
      </c>
      <c r="G284" t="s">
        <v>707</v>
      </c>
      <c r="H284" t="s">
        <v>709</v>
      </c>
      <c r="I284" t="s">
        <v>32</v>
      </c>
      <c r="J284">
        <v>0</v>
      </c>
      <c r="K284">
        <v>147</v>
      </c>
      <c r="L284" s="4">
        <v>3.5000000000000001E-3</v>
      </c>
      <c r="M284">
        <v>0.02</v>
      </c>
      <c r="N284" s="4">
        <v>0.51449999999999996</v>
      </c>
      <c r="O284" s="4">
        <v>2.94</v>
      </c>
    </row>
    <row r="285" spans="2:15">
      <c r="B285" t="s">
        <v>658</v>
      </c>
      <c r="C285" t="s">
        <v>50</v>
      </c>
      <c r="D285" t="s">
        <v>710</v>
      </c>
      <c r="E285" t="s">
        <v>711</v>
      </c>
      <c r="F285" t="s">
        <v>10</v>
      </c>
      <c r="G285" t="s">
        <v>710</v>
      </c>
      <c r="H285" t="s">
        <v>712</v>
      </c>
      <c r="I285" t="s">
        <v>32</v>
      </c>
      <c r="J285">
        <v>0</v>
      </c>
      <c r="K285">
        <v>1410</v>
      </c>
      <c r="L285" s="4">
        <v>3.5000000000000001E-3</v>
      </c>
      <c r="M285">
        <v>0.02</v>
      </c>
      <c r="N285" s="4">
        <v>4.9350000000000005</v>
      </c>
      <c r="O285" s="4">
        <v>28.2</v>
      </c>
    </row>
    <row r="286" spans="2:15">
      <c r="B286" t="s">
        <v>658</v>
      </c>
      <c r="C286" t="s">
        <v>50</v>
      </c>
      <c r="D286" t="s">
        <v>713</v>
      </c>
      <c r="E286" t="s">
        <v>714</v>
      </c>
      <c r="F286" t="s">
        <v>10</v>
      </c>
      <c r="G286" t="s">
        <v>713</v>
      </c>
      <c r="H286" t="s">
        <v>715</v>
      </c>
      <c r="I286" t="s">
        <v>32</v>
      </c>
      <c r="J286">
        <v>0</v>
      </c>
      <c r="K286">
        <v>81</v>
      </c>
      <c r="L286" s="4">
        <v>3.5000000000000001E-3</v>
      </c>
      <c r="M286">
        <v>0.02</v>
      </c>
      <c r="N286" s="4">
        <v>0.28350000000000003</v>
      </c>
      <c r="O286" s="4">
        <v>1.62</v>
      </c>
    </row>
    <row r="287" spans="2:15">
      <c r="B287" t="s">
        <v>658</v>
      </c>
      <c r="C287" t="s">
        <v>50</v>
      </c>
      <c r="D287" t="s">
        <v>716</v>
      </c>
      <c r="E287" t="s">
        <v>717</v>
      </c>
      <c r="F287" t="s">
        <v>10</v>
      </c>
      <c r="G287" t="s">
        <v>716</v>
      </c>
      <c r="H287" t="s">
        <v>718</v>
      </c>
      <c r="I287" t="s">
        <v>32</v>
      </c>
      <c r="J287">
        <v>0</v>
      </c>
      <c r="K287">
        <v>889</v>
      </c>
      <c r="L287" s="4">
        <v>3.5000000000000001E-3</v>
      </c>
      <c r="M287">
        <v>0.02</v>
      </c>
      <c r="N287" s="4">
        <v>3.1114999999999999</v>
      </c>
      <c r="O287" s="4">
        <v>17.78</v>
      </c>
    </row>
    <row r="288" spans="2:15">
      <c r="B288" t="s">
        <v>658</v>
      </c>
      <c r="C288" t="s">
        <v>50</v>
      </c>
      <c r="D288" t="s">
        <v>719</v>
      </c>
      <c r="E288" t="s">
        <v>720</v>
      </c>
      <c r="F288" t="s">
        <v>10</v>
      </c>
      <c r="G288" t="s">
        <v>719</v>
      </c>
      <c r="H288" t="s">
        <v>721</v>
      </c>
      <c r="I288" t="s">
        <v>32</v>
      </c>
      <c r="J288">
        <v>0</v>
      </c>
      <c r="K288">
        <v>442</v>
      </c>
      <c r="L288" s="4">
        <v>3.5000000000000001E-3</v>
      </c>
      <c r="M288">
        <v>0.02</v>
      </c>
      <c r="N288" s="4">
        <v>1.5469999999999999</v>
      </c>
      <c r="O288" s="4">
        <v>8.84</v>
      </c>
    </row>
    <row r="289" spans="2:15">
      <c r="B289" t="s">
        <v>658</v>
      </c>
      <c r="C289" t="s">
        <v>50</v>
      </c>
      <c r="D289" t="s">
        <v>722</v>
      </c>
      <c r="E289" t="s">
        <v>723</v>
      </c>
      <c r="F289" t="s">
        <v>10</v>
      </c>
      <c r="G289" t="s">
        <v>722</v>
      </c>
      <c r="H289" t="s">
        <v>724</v>
      </c>
      <c r="I289" t="s">
        <v>32</v>
      </c>
      <c r="J289">
        <v>0</v>
      </c>
      <c r="K289">
        <v>602</v>
      </c>
      <c r="L289" s="4">
        <v>3.5000000000000001E-3</v>
      </c>
      <c r="M289">
        <v>0.02</v>
      </c>
      <c r="N289" s="4">
        <v>2.1070000000000002</v>
      </c>
      <c r="O289" s="4">
        <v>12.040000000000001</v>
      </c>
    </row>
    <row r="290" spans="2:15">
      <c r="B290" t="s">
        <v>658</v>
      </c>
      <c r="C290" t="s">
        <v>50</v>
      </c>
      <c r="D290" t="s">
        <v>725</v>
      </c>
      <c r="E290" t="s">
        <v>726</v>
      </c>
      <c r="F290" t="s">
        <v>10</v>
      </c>
      <c r="G290" t="s">
        <v>725</v>
      </c>
      <c r="H290" t="s">
        <v>727</v>
      </c>
      <c r="I290" t="s">
        <v>32</v>
      </c>
      <c r="J290">
        <v>0</v>
      </c>
      <c r="K290">
        <v>329</v>
      </c>
      <c r="L290" s="4">
        <v>3.5000000000000001E-3</v>
      </c>
      <c r="M290">
        <v>0.02</v>
      </c>
      <c r="N290" s="4">
        <v>1.1515</v>
      </c>
      <c r="O290" s="4">
        <v>6.58</v>
      </c>
    </row>
    <row r="291" spans="2:15">
      <c r="B291" t="s">
        <v>658</v>
      </c>
      <c r="C291" t="s">
        <v>50</v>
      </c>
      <c r="D291" t="s">
        <v>728</v>
      </c>
      <c r="E291" t="s">
        <v>729</v>
      </c>
      <c r="F291" t="s">
        <v>10</v>
      </c>
      <c r="G291" t="s">
        <v>728</v>
      </c>
      <c r="H291" t="s">
        <v>730</v>
      </c>
      <c r="I291" t="s">
        <v>32</v>
      </c>
      <c r="J291">
        <v>0</v>
      </c>
      <c r="K291">
        <v>7</v>
      </c>
      <c r="L291" s="4">
        <v>3.5000000000000001E-3</v>
      </c>
      <c r="M291">
        <v>0.02</v>
      </c>
      <c r="N291" s="4">
        <v>2.4500000000000001E-2</v>
      </c>
      <c r="O291" s="4">
        <v>0.14000000000000001</v>
      </c>
    </row>
    <row r="292" spans="2:15">
      <c r="B292" t="s">
        <v>658</v>
      </c>
      <c r="C292" t="s">
        <v>50</v>
      </c>
      <c r="D292" t="s">
        <v>731</v>
      </c>
      <c r="E292" t="s">
        <v>732</v>
      </c>
      <c r="F292" t="s">
        <v>10</v>
      </c>
      <c r="G292" t="s">
        <v>731</v>
      </c>
      <c r="H292" t="s">
        <v>733</v>
      </c>
      <c r="I292" t="s">
        <v>32</v>
      </c>
      <c r="J292">
        <v>0</v>
      </c>
      <c r="K292">
        <v>2</v>
      </c>
      <c r="L292" s="4">
        <v>3.5000000000000001E-3</v>
      </c>
      <c r="M292">
        <v>0.02</v>
      </c>
      <c r="N292" s="4">
        <v>7.0000000000000001E-3</v>
      </c>
      <c r="O292" s="4">
        <v>0.04</v>
      </c>
    </row>
    <row r="293" spans="2:15">
      <c r="B293" t="s">
        <v>658</v>
      </c>
      <c r="C293" t="s">
        <v>50</v>
      </c>
      <c r="D293" t="s">
        <v>734</v>
      </c>
      <c r="E293" t="s">
        <v>735</v>
      </c>
      <c r="F293" t="s">
        <v>10</v>
      </c>
      <c r="G293" t="s">
        <v>734</v>
      </c>
      <c r="H293" t="s">
        <v>736</v>
      </c>
      <c r="I293" t="s">
        <v>32</v>
      </c>
      <c r="J293">
        <v>0</v>
      </c>
      <c r="K293">
        <v>2</v>
      </c>
      <c r="L293" s="4">
        <v>3.5000000000000001E-3</v>
      </c>
      <c r="M293">
        <v>0.02</v>
      </c>
      <c r="N293" s="4">
        <v>7.0000000000000001E-3</v>
      </c>
      <c r="O293" s="4">
        <v>0.04</v>
      </c>
    </row>
    <row r="294" spans="2:15">
      <c r="B294" t="s">
        <v>658</v>
      </c>
      <c r="C294" t="s">
        <v>50</v>
      </c>
      <c r="D294" t="s">
        <v>737</v>
      </c>
      <c r="E294" t="s">
        <v>738</v>
      </c>
      <c r="F294" t="s">
        <v>10</v>
      </c>
      <c r="G294" t="s">
        <v>737</v>
      </c>
      <c r="H294" t="s">
        <v>739</v>
      </c>
      <c r="I294" t="s">
        <v>32</v>
      </c>
      <c r="J294">
        <v>0</v>
      </c>
      <c r="K294">
        <v>308</v>
      </c>
      <c r="L294" s="4">
        <v>3.5000000000000001E-3</v>
      </c>
      <c r="M294">
        <v>0.02</v>
      </c>
      <c r="N294" s="4">
        <v>1.0780000000000001</v>
      </c>
      <c r="O294" s="4">
        <v>6.16</v>
      </c>
    </row>
    <row r="295" spans="2:15">
      <c r="B295" t="s">
        <v>658</v>
      </c>
      <c r="C295" t="s">
        <v>50</v>
      </c>
      <c r="D295" t="s">
        <v>740</v>
      </c>
      <c r="E295" t="s">
        <v>741</v>
      </c>
      <c r="F295" t="s">
        <v>10</v>
      </c>
      <c r="G295" t="s">
        <v>740</v>
      </c>
      <c r="H295" t="s">
        <v>742</v>
      </c>
      <c r="I295" t="s">
        <v>32</v>
      </c>
      <c r="J295">
        <v>0</v>
      </c>
      <c r="K295">
        <v>133</v>
      </c>
      <c r="L295" s="4">
        <v>3.5000000000000001E-3</v>
      </c>
      <c r="M295">
        <v>0.02</v>
      </c>
      <c r="N295" s="4">
        <v>0.46550000000000002</v>
      </c>
      <c r="O295" s="4">
        <v>2.66</v>
      </c>
    </row>
    <row r="296" spans="2:15">
      <c r="B296" t="s">
        <v>658</v>
      </c>
      <c r="C296" t="s">
        <v>50</v>
      </c>
      <c r="D296" t="s">
        <v>743</v>
      </c>
      <c r="E296" t="s">
        <v>744</v>
      </c>
      <c r="F296" t="s">
        <v>10</v>
      </c>
      <c r="G296" t="s">
        <v>743</v>
      </c>
      <c r="H296" t="s">
        <v>745</v>
      </c>
      <c r="I296" t="s">
        <v>32</v>
      </c>
      <c r="J296">
        <v>0</v>
      </c>
      <c r="K296">
        <v>313</v>
      </c>
      <c r="L296" s="4">
        <v>3.5000000000000001E-3</v>
      </c>
      <c r="M296">
        <v>0.02</v>
      </c>
      <c r="N296" s="4">
        <v>1.0954999999999999</v>
      </c>
      <c r="O296" s="4">
        <v>6.26</v>
      </c>
    </row>
    <row r="297" spans="2:15">
      <c r="B297" t="s">
        <v>658</v>
      </c>
      <c r="C297" t="s">
        <v>50</v>
      </c>
      <c r="D297" t="s">
        <v>746</v>
      </c>
      <c r="E297" t="s">
        <v>747</v>
      </c>
      <c r="F297" t="s">
        <v>10</v>
      </c>
      <c r="G297" t="s">
        <v>746</v>
      </c>
      <c r="H297" t="s">
        <v>748</v>
      </c>
      <c r="I297" t="s">
        <v>32</v>
      </c>
      <c r="J297">
        <v>0</v>
      </c>
      <c r="K297">
        <v>581</v>
      </c>
      <c r="L297" s="4">
        <v>3.5000000000000001E-3</v>
      </c>
      <c r="M297">
        <v>0.02</v>
      </c>
      <c r="N297" s="4">
        <v>2.0335000000000001</v>
      </c>
      <c r="O297" s="4">
        <v>11.620000000000001</v>
      </c>
    </row>
    <row r="298" spans="2:15">
      <c r="B298" t="s">
        <v>658</v>
      </c>
      <c r="C298" t="s">
        <v>50</v>
      </c>
      <c r="D298" t="s">
        <v>749</v>
      </c>
      <c r="E298" t="s">
        <v>750</v>
      </c>
      <c r="F298" t="s">
        <v>10</v>
      </c>
      <c r="G298" t="s">
        <v>749</v>
      </c>
      <c r="H298" t="s">
        <v>751</v>
      </c>
      <c r="I298" t="s">
        <v>32</v>
      </c>
      <c r="J298">
        <v>0</v>
      </c>
      <c r="K298">
        <v>100</v>
      </c>
      <c r="L298" s="4">
        <v>3.5000000000000001E-3</v>
      </c>
      <c r="M298">
        <v>0.02</v>
      </c>
      <c r="N298" s="4">
        <v>0.35000000000000003</v>
      </c>
      <c r="O298" s="4">
        <v>2</v>
      </c>
    </row>
    <row r="299" spans="2:15">
      <c r="B299" t="s">
        <v>658</v>
      </c>
      <c r="C299" t="s">
        <v>50</v>
      </c>
      <c r="D299" t="s">
        <v>752</v>
      </c>
      <c r="E299" t="s">
        <v>753</v>
      </c>
      <c r="F299" t="s">
        <v>10</v>
      </c>
      <c r="G299" t="s">
        <v>752</v>
      </c>
      <c r="H299" t="s">
        <v>754</v>
      </c>
      <c r="I299" t="s">
        <v>32</v>
      </c>
      <c r="J299">
        <v>0</v>
      </c>
      <c r="K299">
        <v>142</v>
      </c>
      <c r="L299" s="4">
        <v>3.5000000000000001E-3</v>
      </c>
      <c r="M299">
        <v>0.02</v>
      </c>
      <c r="N299" s="4">
        <v>0.497</v>
      </c>
      <c r="O299" s="4">
        <v>2.84</v>
      </c>
    </row>
    <row r="300" spans="2:15">
      <c r="B300" t="s">
        <v>658</v>
      </c>
      <c r="C300" t="s">
        <v>50</v>
      </c>
      <c r="D300" t="s">
        <v>755</v>
      </c>
      <c r="E300" t="s">
        <v>756</v>
      </c>
      <c r="F300" t="s">
        <v>10</v>
      </c>
      <c r="G300" t="s">
        <v>755</v>
      </c>
      <c r="H300" t="s">
        <v>757</v>
      </c>
      <c r="I300" t="s">
        <v>32</v>
      </c>
      <c r="J300">
        <v>0</v>
      </c>
      <c r="K300">
        <v>1</v>
      </c>
      <c r="L300" s="4">
        <v>3.5000000000000001E-3</v>
      </c>
      <c r="M300">
        <v>0.02</v>
      </c>
      <c r="N300" s="4">
        <v>3.5000000000000001E-3</v>
      </c>
      <c r="O300" s="4">
        <v>0.02</v>
      </c>
    </row>
    <row r="301" spans="2:15">
      <c r="B301" t="s">
        <v>658</v>
      </c>
      <c r="C301" t="s">
        <v>50</v>
      </c>
      <c r="D301" t="s">
        <v>758</v>
      </c>
      <c r="E301" t="s">
        <v>759</v>
      </c>
      <c r="F301" t="s">
        <v>10</v>
      </c>
      <c r="G301" t="s">
        <v>758</v>
      </c>
      <c r="H301" t="s">
        <v>760</v>
      </c>
      <c r="I301" t="s">
        <v>32</v>
      </c>
      <c r="J301">
        <v>0</v>
      </c>
      <c r="K301">
        <v>2</v>
      </c>
      <c r="L301" s="4">
        <v>3.5000000000000001E-3</v>
      </c>
      <c r="M301">
        <v>0.02</v>
      </c>
      <c r="N301" s="4">
        <v>7.0000000000000001E-3</v>
      </c>
      <c r="O301" s="4">
        <v>0.04</v>
      </c>
    </row>
    <row r="302" spans="2:15">
      <c r="B302" t="s">
        <v>658</v>
      </c>
      <c r="C302" t="s">
        <v>50</v>
      </c>
      <c r="D302" t="s">
        <v>761</v>
      </c>
      <c r="E302" t="s">
        <v>762</v>
      </c>
      <c r="F302" t="s">
        <v>10</v>
      </c>
      <c r="G302" t="s">
        <v>761</v>
      </c>
      <c r="H302" t="s">
        <v>763</v>
      </c>
      <c r="I302" t="s">
        <v>32</v>
      </c>
      <c r="J302">
        <v>0</v>
      </c>
      <c r="K302">
        <v>439</v>
      </c>
      <c r="L302" s="4">
        <v>3.5000000000000001E-3</v>
      </c>
      <c r="M302">
        <v>0.02</v>
      </c>
      <c r="N302" s="4">
        <v>1.5365</v>
      </c>
      <c r="O302" s="4">
        <v>8.7799999999999994</v>
      </c>
    </row>
    <row r="303" spans="2:15">
      <c r="B303" t="s">
        <v>658</v>
      </c>
      <c r="C303" t="s">
        <v>50</v>
      </c>
      <c r="D303" t="s">
        <v>764</v>
      </c>
      <c r="E303" t="s">
        <v>765</v>
      </c>
      <c r="F303" t="s">
        <v>10</v>
      </c>
      <c r="G303" t="s">
        <v>764</v>
      </c>
      <c r="H303" t="s">
        <v>766</v>
      </c>
      <c r="I303" t="s">
        <v>32</v>
      </c>
      <c r="J303">
        <v>0</v>
      </c>
      <c r="K303">
        <v>2</v>
      </c>
      <c r="L303" s="4">
        <v>3.5000000000000001E-3</v>
      </c>
      <c r="M303">
        <v>0.02</v>
      </c>
      <c r="N303" s="4">
        <v>7.0000000000000001E-3</v>
      </c>
      <c r="O303" s="4">
        <v>0.04</v>
      </c>
    </row>
    <row r="304" spans="2:15">
      <c r="B304" t="s">
        <v>658</v>
      </c>
      <c r="C304" t="s">
        <v>50</v>
      </c>
      <c r="D304" t="s">
        <v>767</v>
      </c>
      <c r="E304" t="s">
        <v>768</v>
      </c>
      <c r="F304" t="s">
        <v>10</v>
      </c>
      <c r="G304" t="s">
        <v>767</v>
      </c>
      <c r="H304" t="s">
        <v>769</v>
      </c>
      <c r="I304" t="s">
        <v>32</v>
      </c>
      <c r="J304">
        <v>0</v>
      </c>
      <c r="K304">
        <v>1</v>
      </c>
      <c r="L304" s="4">
        <v>3.5000000000000001E-3</v>
      </c>
      <c r="M304">
        <v>0.02</v>
      </c>
      <c r="N304" s="4">
        <v>3.5000000000000001E-3</v>
      </c>
      <c r="O304" s="4">
        <v>0.02</v>
      </c>
    </row>
    <row r="305" spans="2:15">
      <c r="B305" t="s">
        <v>658</v>
      </c>
      <c r="C305" t="s">
        <v>50</v>
      </c>
      <c r="D305" t="s">
        <v>770</v>
      </c>
      <c r="E305" t="s">
        <v>771</v>
      </c>
      <c r="F305" t="s">
        <v>10</v>
      </c>
      <c r="G305" t="s">
        <v>770</v>
      </c>
      <c r="H305" t="s">
        <v>772</v>
      </c>
      <c r="I305" t="s">
        <v>32</v>
      </c>
      <c r="J305">
        <v>0</v>
      </c>
      <c r="K305">
        <v>2</v>
      </c>
      <c r="L305" s="4">
        <v>3.5000000000000001E-3</v>
      </c>
      <c r="M305">
        <v>0.02</v>
      </c>
      <c r="N305" s="4">
        <v>7.0000000000000001E-3</v>
      </c>
      <c r="O305" s="4">
        <v>0.04</v>
      </c>
    </row>
    <row r="306" spans="2:15">
      <c r="B306" t="s">
        <v>658</v>
      </c>
      <c r="C306" t="s">
        <v>50</v>
      </c>
      <c r="D306" t="s">
        <v>773</v>
      </c>
      <c r="E306" t="s">
        <v>774</v>
      </c>
      <c r="F306" t="s">
        <v>10</v>
      </c>
      <c r="G306" t="s">
        <v>773</v>
      </c>
      <c r="H306" t="s">
        <v>775</v>
      </c>
      <c r="I306" t="s">
        <v>32</v>
      </c>
      <c r="J306">
        <v>0</v>
      </c>
      <c r="K306">
        <v>1</v>
      </c>
      <c r="L306" s="4">
        <v>3.5000000000000001E-3</v>
      </c>
      <c r="M306">
        <v>0.02</v>
      </c>
      <c r="N306" s="4">
        <v>3.5000000000000001E-3</v>
      </c>
      <c r="O306" s="4">
        <v>0.02</v>
      </c>
    </row>
    <row r="307" spans="2:15">
      <c r="B307" t="s">
        <v>658</v>
      </c>
      <c r="C307" t="s">
        <v>50</v>
      </c>
      <c r="D307" t="s">
        <v>776</v>
      </c>
      <c r="E307" t="s">
        <v>777</v>
      </c>
      <c r="F307" t="s">
        <v>10</v>
      </c>
      <c r="G307" t="s">
        <v>776</v>
      </c>
      <c r="H307" t="s">
        <v>778</v>
      </c>
      <c r="I307" t="s">
        <v>32</v>
      </c>
      <c r="J307">
        <v>0</v>
      </c>
      <c r="K307">
        <v>2</v>
      </c>
      <c r="L307" s="4">
        <v>3.5000000000000001E-3</v>
      </c>
      <c r="M307">
        <v>0.02</v>
      </c>
      <c r="N307" s="4">
        <v>7.0000000000000001E-3</v>
      </c>
      <c r="O307" s="4">
        <v>0.04</v>
      </c>
    </row>
    <row r="308" spans="2:15">
      <c r="B308" t="s">
        <v>658</v>
      </c>
      <c r="C308" t="s">
        <v>50</v>
      </c>
      <c r="D308" t="s">
        <v>779</v>
      </c>
      <c r="E308" t="s">
        <v>780</v>
      </c>
      <c r="F308" t="s">
        <v>10</v>
      </c>
      <c r="G308" t="s">
        <v>779</v>
      </c>
      <c r="H308" t="s">
        <v>781</v>
      </c>
      <c r="I308" t="s">
        <v>32</v>
      </c>
      <c r="J308">
        <v>0</v>
      </c>
      <c r="K308">
        <v>2</v>
      </c>
      <c r="L308" s="4">
        <v>3.5000000000000001E-3</v>
      </c>
      <c r="M308">
        <v>0.02</v>
      </c>
      <c r="N308" s="4">
        <v>7.0000000000000001E-3</v>
      </c>
      <c r="O308" s="4">
        <v>0.04</v>
      </c>
    </row>
    <row r="309" spans="2:15">
      <c r="B309" t="s">
        <v>658</v>
      </c>
      <c r="C309" t="s">
        <v>50</v>
      </c>
      <c r="D309" t="s">
        <v>782</v>
      </c>
      <c r="E309" t="s">
        <v>783</v>
      </c>
      <c r="F309" t="s">
        <v>10</v>
      </c>
      <c r="G309" t="s">
        <v>782</v>
      </c>
      <c r="H309" t="s">
        <v>784</v>
      </c>
      <c r="I309" t="s">
        <v>32</v>
      </c>
      <c r="J309">
        <v>0</v>
      </c>
      <c r="K309">
        <v>2</v>
      </c>
      <c r="L309" s="4">
        <v>3.5000000000000001E-3</v>
      </c>
      <c r="M309">
        <v>0.02</v>
      </c>
      <c r="N309" s="4">
        <v>7.0000000000000001E-3</v>
      </c>
      <c r="O309" s="4">
        <v>0.04</v>
      </c>
    </row>
    <row r="310" spans="2:15">
      <c r="B310" t="s">
        <v>658</v>
      </c>
      <c r="C310" t="s">
        <v>50</v>
      </c>
      <c r="D310" t="s">
        <v>785</v>
      </c>
      <c r="E310" t="s">
        <v>786</v>
      </c>
      <c r="F310" t="s">
        <v>10</v>
      </c>
      <c r="G310" t="s">
        <v>785</v>
      </c>
      <c r="H310" t="s">
        <v>787</v>
      </c>
      <c r="I310" t="s">
        <v>32</v>
      </c>
      <c r="J310">
        <v>0</v>
      </c>
      <c r="K310">
        <v>2</v>
      </c>
      <c r="L310" s="4">
        <v>3.5000000000000001E-3</v>
      </c>
      <c r="M310">
        <v>0.02</v>
      </c>
      <c r="N310" s="4">
        <v>7.0000000000000001E-3</v>
      </c>
      <c r="O310" s="4">
        <v>0.04</v>
      </c>
    </row>
    <row r="311" spans="2:15">
      <c r="B311" t="s">
        <v>658</v>
      </c>
      <c r="C311" t="s">
        <v>50</v>
      </c>
      <c r="D311" t="s">
        <v>788</v>
      </c>
      <c r="E311" t="s">
        <v>789</v>
      </c>
      <c r="F311" t="s">
        <v>10</v>
      </c>
      <c r="G311" t="s">
        <v>788</v>
      </c>
      <c r="H311" t="s">
        <v>790</v>
      </c>
      <c r="I311" t="s">
        <v>32</v>
      </c>
      <c r="J311">
        <v>0</v>
      </c>
      <c r="K311">
        <v>2</v>
      </c>
      <c r="L311" s="4">
        <v>3.5000000000000001E-3</v>
      </c>
      <c r="M311">
        <v>0.02</v>
      </c>
      <c r="N311" s="4">
        <v>7.0000000000000001E-3</v>
      </c>
      <c r="O311" s="4">
        <v>0.04</v>
      </c>
    </row>
    <row r="312" spans="2:15">
      <c r="B312" t="s">
        <v>658</v>
      </c>
      <c r="C312" t="s">
        <v>50</v>
      </c>
      <c r="D312" t="s">
        <v>791</v>
      </c>
      <c r="E312" t="s">
        <v>792</v>
      </c>
      <c r="F312" t="s">
        <v>10</v>
      </c>
      <c r="G312" t="s">
        <v>791</v>
      </c>
      <c r="H312" t="s">
        <v>793</v>
      </c>
      <c r="I312" t="s">
        <v>32</v>
      </c>
      <c r="J312">
        <v>0</v>
      </c>
      <c r="K312">
        <v>889</v>
      </c>
      <c r="L312" s="4">
        <v>3.5000000000000001E-3</v>
      </c>
      <c r="M312">
        <v>0.02</v>
      </c>
      <c r="N312" s="4">
        <v>3.1114999999999999</v>
      </c>
      <c r="O312" s="4">
        <v>17.78</v>
      </c>
    </row>
    <row r="313" spans="2:15">
      <c r="B313" t="s">
        <v>658</v>
      </c>
      <c r="C313" t="s">
        <v>50</v>
      </c>
      <c r="D313" t="s">
        <v>794</v>
      </c>
      <c r="E313" t="s">
        <v>795</v>
      </c>
      <c r="F313" t="s">
        <v>10</v>
      </c>
      <c r="G313" t="s">
        <v>794</v>
      </c>
      <c r="H313" t="s">
        <v>796</v>
      </c>
      <c r="I313" t="s">
        <v>32</v>
      </c>
      <c r="J313">
        <v>0</v>
      </c>
      <c r="K313">
        <v>1002</v>
      </c>
      <c r="L313" s="4">
        <v>3.5000000000000001E-3</v>
      </c>
      <c r="M313">
        <v>0.02</v>
      </c>
      <c r="N313" s="4">
        <v>3.5070000000000001</v>
      </c>
      <c r="O313" s="4">
        <v>20.04</v>
      </c>
    </row>
    <row r="314" spans="2:15">
      <c r="B314" t="s">
        <v>658</v>
      </c>
      <c r="C314" t="s">
        <v>50</v>
      </c>
      <c r="D314" t="s">
        <v>797</v>
      </c>
      <c r="E314" t="s">
        <v>798</v>
      </c>
      <c r="F314" t="s">
        <v>10</v>
      </c>
      <c r="G314" t="s">
        <v>797</v>
      </c>
      <c r="H314" t="s">
        <v>799</v>
      </c>
      <c r="I314" t="s">
        <v>32</v>
      </c>
      <c r="J314">
        <v>0</v>
      </c>
      <c r="K314">
        <v>914</v>
      </c>
      <c r="L314" s="4">
        <v>3.5000000000000001E-3</v>
      </c>
      <c r="M314">
        <v>0.02</v>
      </c>
      <c r="N314" s="4">
        <v>3.1990000000000003</v>
      </c>
      <c r="O314" s="4">
        <v>18.28</v>
      </c>
    </row>
    <row r="315" spans="2:15">
      <c r="B315" t="s">
        <v>658</v>
      </c>
      <c r="C315" t="s">
        <v>50</v>
      </c>
      <c r="D315" t="s">
        <v>800</v>
      </c>
      <c r="E315" t="s">
        <v>801</v>
      </c>
      <c r="F315" t="s">
        <v>10</v>
      </c>
      <c r="G315" t="s">
        <v>800</v>
      </c>
      <c r="H315" t="s">
        <v>802</v>
      </c>
      <c r="I315" t="s">
        <v>32</v>
      </c>
      <c r="J315">
        <v>0</v>
      </c>
      <c r="K315">
        <v>882</v>
      </c>
      <c r="L315" s="4">
        <v>3.5000000000000001E-3</v>
      </c>
      <c r="M315">
        <v>0.02</v>
      </c>
      <c r="N315" s="4">
        <v>3.0870000000000002</v>
      </c>
      <c r="O315" s="4">
        <v>17.64</v>
      </c>
    </row>
    <row r="316" spans="2:15">
      <c r="B316" t="s">
        <v>658</v>
      </c>
      <c r="C316" t="s">
        <v>49</v>
      </c>
      <c r="D316" t="s">
        <v>803</v>
      </c>
      <c r="E316" t="s">
        <v>804</v>
      </c>
      <c r="F316" t="s">
        <v>12</v>
      </c>
      <c r="G316" t="s">
        <v>803</v>
      </c>
      <c r="H316" t="s">
        <v>805</v>
      </c>
      <c r="I316" t="s">
        <v>31</v>
      </c>
      <c r="J316">
        <v>29</v>
      </c>
      <c r="K316">
        <v>30</v>
      </c>
      <c r="L316" s="4">
        <v>3.8199999999999998E-2</v>
      </c>
      <c r="M316">
        <v>0.09</v>
      </c>
      <c r="N316" s="4">
        <v>1.1077999999999999E-3</v>
      </c>
      <c r="O316" s="4">
        <v>2.6099999999999999E-3</v>
      </c>
    </row>
    <row r="317" spans="2:15">
      <c r="B317" t="s">
        <v>658</v>
      </c>
      <c r="C317" t="s">
        <v>49</v>
      </c>
      <c r="D317" t="s">
        <v>806</v>
      </c>
      <c r="E317" t="s">
        <v>807</v>
      </c>
      <c r="F317" t="s">
        <v>12</v>
      </c>
      <c r="G317" t="s">
        <v>806</v>
      </c>
      <c r="H317" t="s">
        <v>808</v>
      </c>
      <c r="I317" t="s">
        <v>31</v>
      </c>
      <c r="J317">
        <v>0</v>
      </c>
      <c r="K317">
        <v>30</v>
      </c>
      <c r="L317" s="4">
        <v>3.8199999999999998E-2</v>
      </c>
      <c r="M317">
        <v>0.09</v>
      </c>
      <c r="N317" s="4">
        <v>0</v>
      </c>
      <c r="O317" s="4">
        <v>0</v>
      </c>
    </row>
    <row r="318" spans="2:15">
      <c r="B318" t="s">
        <v>658</v>
      </c>
      <c r="C318" t="s">
        <v>49</v>
      </c>
      <c r="D318" t="s">
        <v>809</v>
      </c>
      <c r="E318" t="s">
        <v>810</v>
      </c>
      <c r="F318" t="s">
        <v>12</v>
      </c>
      <c r="G318" t="s">
        <v>809</v>
      </c>
      <c r="H318" t="s">
        <v>811</v>
      </c>
      <c r="I318" t="s">
        <v>31</v>
      </c>
      <c r="J318">
        <v>2</v>
      </c>
      <c r="K318">
        <v>0</v>
      </c>
      <c r="L318" s="4">
        <v>3.8199999999999998E-2</v>
      </c>
      <c r="M318">
        <v>0.09</v>
      </c>
      <c r="N318" s="4">
        <v>7.64E-5</v>
      </c>
      <c r="O318" s="4">
        <v>1.7999999999999998E-4</v>
      </c>
    </row>
    <row r="319" spans="2:15">
      <c r="B319" t="s">
        <v>658</v>
      </c>
      <c r="C319" t="s">
        <v>49</v>
      </c>
      <c r="D319" t="s">
        <v>812</v>
      </c>
      <c r="E319" t="s">
        <v>813</v>
      </c>
      <c r="F319" t="s">
        <v>12</v>
      </c>
      <c r="G319" t="s">
        <v>812</v>
      </c>
      <c r="H319" t="s">
        <v>814</v>
      </c>
      <c r="I319" t="s">
        <v>31</v>
      </c>
      <c r="J319">
        <v>22</v>
      </c>
      <c r="K319">
        <v>35</v>
      </c>
      <c r="L319" s="4">
        <v>3.8199999999999998E-2</v>
      </c>
      <c r="M319">
        <v>0.09</v>
      </c>
      <c r="N319" s="4">
        <v>8.4039999999999994E-4</v>
      </c>
      <c r="O319" s="4">
        <v>1.98E-3</v>
      </c>
    </row>
    <row r="320" spans="2:15">
      <c r="B320" t="s">
        <v>658</v>
      </c>
      <c r="C320" t="s">
        <v>49</v>
      </c>
      <c r="D320" t="s">
        <v>815</v>
      </c>
      <c r="E320" t="s">
        <v>816</v>
      </c>
      <c r="F320" t="s">
        <v>12</v>
      </c>
      <c r="G320" t="s">
        <v>815</v>
      </c>
      <c r="H320" t="s">
        <v>817</v>
      </c>
      <c r="I320" t="s">
        <v>31</v>
      </c>
      <c r="J320">
        <v>3</v>
      </c>
      <c r="K320">
        <v>49</v>
      </c>
      <c r="L320" s="4">
        <v>3.8199999999999998E-2</v>
      </c>
      <c r="M320">
        <v>0.09</v>
      </c>
      <c r="N320" s="4">
        <v>1.1459999999999999E-4</v>
      </c>
      <c r="O320" s="4">
        <v>2.7E-4</v>
      </c>
    </row>
    <row r="321" spans="2:15">
      <c r="B321" t="s">
        <v>658</v>
      </c>
      <c r="C321" t="s">
        <v>49</v>
      </c>
      <c r="D321" t="s">
        <v>818</v>
      </c>
      <c r="E321" t="s">
        <v>819</v>
      </c>
      <c r="F321" t="s">
        <v>12</v>
      </c>
      <c r="G321" t="s">
        <v>818</v>
      </c>
      <c r="H321" t="s">
        <v>820</v>
      </c>
      <c r="I321" t="s">
        <v>31</v>
      </c>
      <c r="J321">
        <v>0</v>
      </c>
      <c r="K321">
        <v>1</v>
      </c>
      <c r="L321" s="4">
        <v>3.8199999999999998E-2</v>
      </c>
      <c r="M321">
        <v>0.09</v>
      </c>
      <c r="N321" s="4">
        <v>0</v>
      </c>
      <c r="O321" s="4">
        <v>0</v>
      </c>
    </row>
    <row r="322" spans="2:15">
      <c r="B322" t="s">
        <v>658</v>
      </c>
      <c r="C322" t="s">
        <v>49</v>
      </c>
      <c r="D322" t="s">
        <v>821</v>
      </c>
      <c r="E322" t="s">
        <v>822</v>
      </c>
      <c r="F322" t="s">
        <v>12</v>
      </c>
      <c r="G322" t="s">
        <v>821</v>
      </c>
      <c r="H322" t="s">
        <v>823</v>
      </c>
      <c r="I322" t="s">
        <v>31</v>
      </c>
      <c r="J322">
        <v>54</v>
      </c>
      <c r="K322">
        <v>66</v>
      </c>
      <c r="L322" s="4">
        <v>3.8199999999999998E-2</v>
      </c>
      <c r="M322">
        <v>0.09</v>
      </c>
      <c r="N322" s="4">
        <v>2.0627999999999996E-3</v>
      </c>
      <c r="O322" s="4">
        <v>4.8599999999999997E-3</v>
      </c>
    </row>
    <row r="323" spans="2:15">
      <c r="B323" t="s">
        <v>658</v>
      </c>
      <c r="C323" t="s">
        <v>49</v>
      </c>
      <c r="D323" t="s">
        <v>824</v>
      </c>
      <c r="E323" t="s">
        <v>825</v>
      </c>
      <c r="F323" t="s">
        <v>12</v>
      </c>
      <c r="G323" t="s">
        <v>824</v>
      </c>
      <c r="H323" t="s">
        <v>826</v>
      </c>
      <c r="I323" t="s">
        <v>31</v>
      </c>
      <c r="J323">
        <v>4</v>
      </c>
      <c r="K323">
        <v>50</v>
      </c>
      <c r="L323" s="4">
        <v>3.8199999999999998E-2</v>
      </c>
      <c r="M323">
        <v>0.09</v>
      </c>
      <c r="N323" s="4">
        <v>1.528E-4</v>
      </c>
      <c r="O323" s="4">
        <v>3.5999999999999997E-4</v>
      </c>
    </row>
    <row r="324" spans="2:15">
      <c r="B324" t="s">
        <v>658</v>
      </c>
      <c r="C324" t="s">
        <v>49</v>
      </c>
      <c r="D324" t="s">
        <v>827</v>
      </c>
      <c r="E324" t="s">
        <v>828</v>
      </c>
      <c r="F324" t="s">
        <v>12</v>
      </c>
      <c r="G324" t="s">
        <v>827</v>
      </c>
      <c r="H324" t="s">
        <v>829</v>
      </c>
      <c r="I324" t="s">
        <v>31</v>
      </c>
      <c r="J324">
        <v>2</v>
      </c>
      <c r="K324">
        <v>2</v>
      </c>
      <c r="L324" s="4">
        <v>3.8199999999999998E-2</v>
      </c>
      <c r="M324">
        <v>0.09</v>
      </c>
      <c r="N324" s="4">
        <v>7.64E-5</v>
      </c>
      <c r="O324" s="4">
        <v>1.7999999999999998E-4</v>
      </c>
    </row>
    <row r="325" spans="2:15">
      <c r="B325" t="s">
        <v>658</v>
      </c>
      <c r="C325" t="s">
        <v>49</v>
      </c>
      <c r="D325" t="s">
        <v>830</v>
      </c>
      <c r="E325" t="s">
        <v>831</v>
      </c>
      <c r="F325" t="s">
        <v>12</v>
      </c>
      <c r="G325" t="s">
        <v>830</v>
      </c>
      <c r="H325" t="s">
        <v>832</v>
      </c>
      <c r="I325" t="s">
        <v>31</v>
      </c>
      <c r="J325">
        <v>10</v>
      </c>
      <c r="K325">
        <v>4</v>
      </c>
      <c r="L325" s="4">
        <v>3.8199999999999998E-2</v>
      </c>
      <c r="M325">
        <v>0.09</v>
      </c>
      <c r="N325" s="4">
        <v>3.8200000000000002E-4</v>
      </c>
      <c r="O325" s="4">
        <v>8.9999999999999987E-4</v>
      </c>
    </row>
    <row r="326" spans="2:15">
      <c r="B326" t="s">
        <v>658</v>
      </c>
      <c r="C326" t="s">
        <v>49</v>
      </c>
      <c r="D326" t="s">
        <v>833</v>
      </c>
      <c r="E326" t="s">
        <v>834</v>
      </c>
      <c r="F326" t="s">
        <v>12</v>
      </c>
      <c r="G326" t="s">
        <v>833</v>
      </c>
      <c r="H326" t="s">
        <v>835</v>
      </c>
      <c r="I326" t="s">
        <v>31</v>
      </c>
      <c r="J326">
        <v>1</v>
      </c>
      <c r="K326">
        <v>12</v>
      </c>
      <c r="L326" s="4">
        <v>3.8199999999999998E-2</v>
      </c>
      <c r="M326">
        <v>0.09</v>
      </c>
      <c r="N326" s="4">
        <v>3.82E-5</v>
      </c>
      <c r="O326" s="4">
        <v>8.9999999999999992E-5</v>
      </c>
    </row>
    <row r="327" spans="2:15">
      <c r="B327" t="s">
        <v>658</v>
      </c>
      <c r="C327" t="s">
        <v>49</v>
      </c>
      <c r="D327" t="s">
        <v>836</v>
      </c>
      <c r="E327" t="s">
        <v>837</v>
      </c>
      <c r="F327" t="s">
        <v>12</v>
      </c>
      <c r="G327" t="s">
        <v>836</v>
      </c>
      <c r="H327" t="s">
        <v>838</v>
      </c>
      <c r="I327" t="s">
        <v>31</v>
      </c>
      <c r="J327">
        <v>12</v>
      </c>
      <c r="K327">
        <v>15</v>
      </c>
      <c r="L327" s="4">
        <v>3.8199999999999998E-2</v>
      </c>
      <c r="M327">
        <v>0.09</v>
      </c>
      <c r="N327" s="4">
        <v>4.5839999999999998E-4</v>
      </c>
      <c r="O327" s="4">
        <v>1.08E-3</v>
      </c>
    </row>
    <row r="328" spans="2:15">
      <c r="B328" t="s">
        <v>658</v>
      </c>
      <c r="C328" t="s">
        <v>49</v>
      </c>
      <c r="D328" t="s">
        <v>839</v>
      </c>
      <c r="E328" t="s">
        <v>840</v>
      </c>
      <c r="F328" t="s">
        <v>12</v>
      </c>
      <c r="G328" t="s">
        <v>839</v>
      </c>
      <c r="H328" t="s">
        <v>841</v>
      </c>
      <c r="I328" t="s">
        <v>31</v>
      </c>
      <c r="J328">
        <v>2</v>
      </c>
      <c r="K328">
        <v>23</v>
      </c>
      <c r="L328" s="4">
        <v>3.8199999999999998E-2</v>
      </c>
      <c r="M328">
        <v>0.09</v>
      </c>
      <c r="N328" s="4">
        <v>7.64E-5</v>
      </c>
      <c r="O328" s="4">
        <v>1.7999999999999998E-4</v>
      </c>
    </row>
    <row r="329" spans="2:15">
      <c r="B329" t="s">
        <v>658</v>
      </c>
      <c r="C329" t="s">
        <v>49</v>
      </c>
      <c r="D329" t="s">
        <v>842</v>
      </c>
      <c r="E329" t="s">
        <v>843</v>
      </c>
      <c r="F329" t="s">
        <v>12</v>
      </c>
      <c r="G329" t="s">
        <v>842</v>
      </c>
      <c r="H329" t="s">
        <v>844</v>
      </c>
      <c r="I329" t="s">
        <v>31</v>
      </c>
      <c r="J329">
        <v>73</v>
      </c>
      <c r="K329">
        <v>65</v>
      </c>
      <c r="L329" s="4">
        <v>3.8199999999999998E-2</v>
      </c>
      <c r="M329">
        <v>0.09</v>
      </c>
      <c r="N329" s="4">
        <v>2.7885999999999996E-3</v>
      </c>
      <c r="O329" s="4">
        <v>6.5699999999999995E-3</v>
      </c>
    </row>
    <row r="330" spans="2:15">
      <c r="B330" t="s">
        <v>658</v>
      </c>
      <c r="C330" t="s">
        <v>49</v>
      </c>
      <c r="D330" t="s">
        <v>845</v>
      </c>
      <c r="E330" t="s">
        <v>846</v>
      </c>
      <c r="F330" t="s">
        <v>12</v>
      </c>
      <c r="G330" t="s">
        <v>845</v>
      </c>
      <c r="H330" t="s">
        <v>847</v>
      </c>
      <c r="I330" t="s">
        <v>31</v>
      </c>
      <c r="J330">
        <v>2</v>
      </c>
      <c r="K330">
        <v>58</v>
      </c>
      <c r="L330" s="4">
        <v>3.8199999999999998E-2</v>
      </c>
      <c r="M330">
        <v>0.09</v>
      </c>
      <c r="N330" s="4">
        <v>7.64E-5</v>
      </c>
      <c r="O330" s="4">
        <v>1.7999999999999998E-4</v>
      </c>
    </row>
    <row r="331" spans="2:15">
      <c r="B331" t="s">
        <v>658</v>
      </c>
      <c r="C331" t="s">
        <v>49</v>
      </c>
      <c r="D331" t="s">
        <v>848</v>
      </c>
      <c r="E331" t="s">
        <v>849</v>
      </c>
      <c r="F331" t="s">
        <v>12</v>
      </c>
      <c r="G331" t="s">
        <v>848</v>
      </c>
      <c r="H331" t="s">
        <v>850</v>
      </c>
      <c r="I331" t="s">
        <v>31</v>
      </c>
      <c r="J331">
        <v>0</v>
      </c>
      <c r="K331">
        <v>1</v>
      </c>
      <c r="L331" s="4">
        <v>3.8199999999999998E-2</v>
      </c>
      <c r="M331">
        <v>0.09</v>
      </c>
      <c r="N331" s="4">
        <v>0</v>
      </c>
      <c r="O331" s="4">
        <v>0</v>
      </c>
    </row>
    <row r="332" spans="2:15">
      <c r="B332" t="s">
        <v>658</v>
      </c>
      <c r="C332" t="s">
        <v>49</v>
      </c>
      <c r="D332" t="s">
        <v>851</v>
      </c>
      <c r="E332" t="s">
        <v>852</v>
      </c>
      <c r="F332" t="s">
        <v>10</v>
      </c>
      <c r="G332" t="s">
        <v>851</v>
      </c>
      <c r="H332" t="s">
        <v>853</v>
      </c>
      <c r="I332" t="s">
        <v>32</v>
      </c>
      <c r="J332">
        <v>0</v>
      </c>
      <c r="K332">
        <v>1</v>
      </c>
      <c r="L332" s="4">
        <v>3.5000000000000001E-3</v>
      </c>
      <c r="M332">
        <v>0.02</v>
      </c>
      <c r="N332" s="4">
        <v>3.5000000000000001E-3</v>
      </c>
      <c r="O332" s="4">
        <v>0.02</v>
      </c>
    </row>
    <row r="333" spans="2:15">
      <c r="B333" t="s">
        <v>658</v>
      </c>
      <c r="C333" t="s">
        <v>49</v>
      </c>
      <c r="D333" t="s">
        <v>854</v>
      </c>
      <c r="E333" t="s">
        <v>855</v>
      </c>
      <c r="F333" t="s">
        <v>10</v>
      </c>
      <c r="G333" t="s">
        <v>854</v>
      </c>
      <c r="H333" t="s">
        <v>856</v>
      </c>
      <c r="I333" t="s">
        <v>32</v>
      </c>
      <c r="J333">
        <v>0</v>
      </c>
      <c r="K333">
        <v>2</v>
      </c>
      <c r="L333" s="4">
        <v>3.5000000000000001E-3</v>
      </c>
      <c r="M333">
        <v>0.02</v>
      </c>
      <c r="N333" s="4">
        <v>7.0000000000000001E-3</v>
      </c>
      <c r="O333" s="4">
        <v>0.04</v>
      </c>
    </row>
    <row r="334" spans="2:15">
      <c r="B334" t="s">
        <v>658</v>
      </c>
      <c r="C334" t="s">
        <v>49</v>
      </c>
      <c r="D334" t="s">
        <v>857</v>
      </c>
      <c r="E334" t="s">
        <v>858</v>
      </c>
      <c r="F334" t="s">
        <v>10</v>
      </c>
      <c r="G334" t="s">
        <v>857</v>
      </c>
      <c r="H334" t="s">
        <v>859</v>
      </c>
      <c r="I334" t="s">
        <v>32</v>
      </c>
      <c r="J334">
        <v>0</v>
      </c>
      <c r="K334">
        <v>2</v>
      </c>
      <c r="L334" s="4">
        <v>3.5000000000000001E-3</v>
      </c>
      <c r="M334">
        <v>0.02</v>
      </c>
      <c r="N334" s="4">
        <v>7.0000000000000001E-3</v>
      </c>
      <c r="O334" s="4">
        <v>0.04</v>
      </c>
    </row>
    <row r="335" spans="2:15">
      <c r="B335" t="s">
        <v>658</v>
      </c>
      <c r="C335" t="s">
        <v>49</v>
      </c>
      <c r="D335" t="s">
        <v>860</v>
      </c>
      <c r="E335" t="s">
        <v>861</v>
      </c>
      <c r="F335" t="s">
        <v>10</v>
      </c>
      <c r="G335" t="s">
        <v>860</v>
      </c>
      <c r="H335" t="s">
        <v>862</v>
      </c>
      <c r="I335" t="s">
        <v>32</v>
      </c>
      <c r="J335">
        <v>0</v>
      </c>
      <c r="K335">
        <v>1</v>
      </c>
      <c r="L335" s="4">
        <v>3.5000000000000001E-3</v>
      </c>
      <c r="M335">
        <v>0.02</v>
      </c>
      <c r="N335" s="4">
        <v>3.5000000000000001E-3</v>
      </c>
      <c r="O335" s="4">
        <v>0.02</v>
      </c>
    </row>
    <row r="336" spans="2:15">
      <c r="B336" t="s">
        <v>658</v>
      </c>
      <c r="C336" t="s">
        <v>49</v>
      </c>
      <c r="D336" t="s">
        <v>863</v>
      </c>
      <c r="E336" t="s">
        <v>864</v>
      </c>
      <c r="F336" t="s">
        <v>10</v>
      </c>
      <c r="G336" t="s">
        <v>863</v>
      </c>
      <c r="H336" t="s">
        <v>865</v>
      </c>
      <c r="I336" t="s">
        <v>32</v>
      </c>
      <c r="J336">
        <v>0</v>
      </c>
      <c r="K336">
        <v>3</v>
      </c>
      <c r="L336" s="4">
        <v>3.5000000000000001E-3</v>
      </c>
      <c r="M336">
        <v>0.02</v>
      </c>
      <c r="N336" s="4">
        <v>1.0500000000000001E-2</v>
      </c>
      <c r="O336" s="4">
        <v>0.06</v>
      </c>
    </row>
    <row r="337" spans="2:15">
      <c r="B337" t="s">
        <v>658</v>
      </c>
      <c r="C337" t="s">
        <v>49</v>
      </c>
      <c r="D337" t="s">
        <v>866</v>
      </c>
      <c r="E337" t="s">
        <v>867</v>
      </c>
      <c r="F337" t="s">
        <v>10</v>
      </c>
      <c r="G337" t="s">
        <v>866</v>
      </c>
      <c r="H337" t="s">
        <v>868</v>
      </c>
      <c r="I337" t="s">
        <v>32</v>
      </c>
      <c r="J337">
        <v>0</v>
      </c>
      <c r="K337">
        <v>2</v>
      </c>
      <c r="L337" s="4">
        <v>3.5000000000000001E-3</v>
      </c>
      <c r="M337">
        <v>0.02</v>
      </c>
      <c r="N337" s="4">
        <v>7.0000000000000001E-3</v>
      </c>
      <c r="O337" s="4">
        <v>0.04</v>
      </c>
    </row>
    <row r="338" spans="2:15">
      <c r="B338" t="s">
        <v>658</v>
      </c>
      <c r="C338" t="s">
        <v>49</v>
      </c>
      <c r="D338" t="s">
        <v>869</v>
      </c>
      <c r="E338" t="s">
        <v>870</v>
      </c>
      <c r="F338" t="s">
        <v>10</v>
      </c>
      <c r="G338" t="s">
        <v>869</v>
      </c>
      <c r="H338" t="s">
        <v>871</v>
      </c>
      <c r="I338" t="s">
        <v>32</v>
      </c>
      <c r="J338">
        <v>0</v>
      </c>
      <c r="K338">
        <v>2</v>
      </c>
      <c r="L338" s="4">
        <v>3.5000000000000001E-3</v>
      </c>
      <c r="M338">
        <v>0.02</v>
      </c>
      <c r="N338" s="4">
        <v>7.0000000000000001E-3</v>
      </c>
      <c r="O338" s="4">
        <v>0.04</v>
      </c>
    </row>
    <row r="339" spans="2:15">
      <c r="B339" t="s">
        <v>658</v>
      </c>
      <c r="C339" t="s">
        <v>49</v>
      </c>
      <c r="D339" t="s">
        <v>872</v>
      </c>
      <c r="E339" t="s">
        <v>873</v>
      </c>
      <c r="F339" t="s">
        <v>10</v>
      </c>
      <c r="G339" t="s">
        <v>872</v>
      </c>
      <c r="H339" t="s">
        <v>874</v>
      </c>
      <c r="I339" t="s">
        <v>32</v>
      </c>
      <c r="J339">
        <v>0</v>
      </c>
      <c r="K339">
        <v>1</v>
      </c>
      <c r="L339" s="4">
        <v>3.5000000000000001E-3</v>
      </c>
      <c r="M339">
        <v>0.02</v>
      </c>
      <c r="N339" s="4">
        <v>3.5000000000000001E-3</v>
      </c>
      <c r="O339" s="4">
        <v>0.02</v>
      </c>
    </row>
    <row r="340" spans="2:15">
      <c r="B340" t="s">
        <v>658</v>
      </c>
      <c r="C340" t="s">
        <v>49</v>
      </c>
      <c r="D340" t="s">
        <v>875</v>
      </c>
      <c r="E340" t="s">
        <v>876</v>
      </c>
      <c r="F340" t="s">
        <v>10</v>
      </c>
      <c r="G340" t="s">
        <v>875</v>
      </c>
      <c r="H340" t="s">
        <v>877</v>
      </c>
      <c r="I340" t="s">
        <v>32</v>
      </c>
      <c r="J340">
        <v>0</v>
      </c>
      <c r="K340">
        <v>1</v>
      </c>
      <c r="L340" s="4">
        <v>3.5000000000000001E-3</v>
      </c>
      <c r="M340">
        <v>0.02</v>
      </c>
      <c r="N340" s="4">
        <v>3.5000000000000001E-3</v>
      </c>
      <c r="O340" s="4">
        <v>0.02</v>
      </c>
    </row>
    <row r="341" spans="2:15">
      <c r="B341" t="s">
        <v>658</v>
      </c>
      <c r="C341" t="s">
        <v>49</v>
      </c>
      <c r="D341" t="s">
        <v>878</v>
      </c>
      <c r="E341" t="s">
        <v>879</v>
      </c>
      <c r="F341" t="s">
        <v>10</v>
      </c>
      <c r="G341" t="s">
        <v>878</v>
      </c>
      <c r="H341" t="s">
        <v>880</v>
      </c>
      <c r="I341" t="s">
        <v>32</v>
      </c>
      <c r="J341">
        <v>0</v>
      </c>
      <c r="K341">
        <v>1</v>
      </c>
      <c r="L341" s="4">
        <v>3.5000000000000001E-3</v>
      </c>
      <c r="M341">
        <v>0.02</v>
      </c>
      <c r="N341" s="4">
        <v>3.5000000000000001E-3</v>
      </c>
      <c r="O341" s="4">
        <v>0.02</v>
      </c>
    </row>
    <row r="342" spans="2:15">
      <c r="B342" t="s">
        <v>658</v>
      </c>
      <c r="C342" t="s">
        <v>49</v>
      </c>
      <c r="D342" t="s">
        <v>881</v>
      </c>
      <c r="E342" t="s">
        <v>882</v>
      </c>
      <c r="F342" t="s">
        <v>10</v>
      </c>
      <c r="G342" t="s">
        <v>881</v>
      </c>
      <c r="H342" t="s">
        <v>883</v>
      </c>
      <c r="I342" t="s">
        <v>32</v>
      </c>
      <c r="J342">
        <v>0</v>
      </c>
      <c r="K342">
        <v>1</v>
      </c>
      <c r="L342" s="4">
        <v>3.5000000000000001E-3</v>
      </c>
      <c r="M342">
        <v>0.02</v>
      </c>
      <c r="N342" s="4">
        <v>3.5000000000000001E-3</v>
      </c>
      <c r="O342" s="4">
        <v>0.02</v>
      </c>
    </row>
    <row r="343" spans="2:15">
      <c r="B343" t="s">
        <v>658</v>
      </c>
      <c r="C343" t="s">
        <v>49</v>
      </c>
      <c r="D343" t="s">
        <v>884</v>
      </c>
      <c r="E343" t="s">
        <v>885</v>
      </c>
      <c r="F343" t="s">
        <v>10</v>
      </c>
      <c r="G343" t="s">
        <v>884</v>
      </c>
      <c r="H343" t="s">
        <v>886</v>
      </c>
      <c r="I343" t="s">
        <v>32</v>
      </c>
      <c r="J343">
        <v>0</v>
      </c>
      <c r="K343">
        <v>1</v>
      </c>
      <c r="L343" s="4">
        <v>3.5000000000000001E-3</v>
      </c>
      <c r="M343">
        <v>0.02</v>
      </c>
      <c r="N343" s="4">
        <v>3.5000000000000001E-3</v>
      </c>
      <c r="O343" s="4">
        <v>0.02</v>
      </c>
    </row>
    <row r="344" spans="2:15">
      <c r="B344" t="s">
        <v>658</v>
      </c>
      <c r="C344" t="s">
        <v>49</v>
      </c>
      <c r="D344" t="s">
        <v>887</v>
      </c>
      <c r="E344" t="s">
        <v>888</v>
      </c>
      <c r="F344" t="s">
        <v>10</v>
      </c>
      <c r="G344" t="s">
        <v>887</v>
      </c>
      <c r="H344" t="s">
        <v>889</v>
      </c>
      <c r="I344" t="s">
        <v>32</v>
      </c>
      <c r="J344">
        <v>0</v>
      </c>
      <c r="K344">
        <v>4</v>
      </c>
      <c r="L344" s="4">
        <v>3.5000000000000001E-3</v>
      </c>
      <c r="M344">
        <v>0.02</v>
      </c>
      <c r="N344" s="4">
        <v>1.4E-2</v>
      </c>
      <c r="O344" s="4">
        <v>0.08</v>
      </c>
    </row>
    <row r="345" spans="2:15">
      <c r="B345" t="s">
        <v>658</v>
      </c>
      <c r="C345" t="s">
        <v>49</v>
      </c>
      <c r="D345" t="s">
        <v>890</v>
      </c>
      <c r="E345" t="s">
        <v>891</v>
      </c>
      <c r="F345" t="s">
        <v>10</v>
      </c>
      <c r="G345" t="s">
        <v>890</v>
      </c>
      <c r="H345" t="s">
        <v>892</v>
      </c>
      <c r="I345" t="s">
        <v>32</v>
      </c>
      <c r="J345">
        <v>0</v>
      </c>
      <c r="K345">
        <v>1</v>
      </c>
      <c r="L345" s="4">
        <v>3.5000000000000001E-3</v>
      </c>
      <c r="M345">
        <v>0.02</v>
      </c>
      <c r="N345" s="4">
        <v>3.5000000000000001E-3</v>
      </c>
      <c r="O345" s="4">
        <v>0.02</v>
      </c>
    </row>
    <row r="346" spans="2:15">
      <c r="B346" t="s">
        <v>658</v>
      </c>
      <c r="C346" t="s">
        <v>49</v>
      </c>
      <c r="D346" t="s">
        <v>893</v>
      </c>
      <c r="E346" t="s">
        <v>894</v>
      </c>
      <c r="F346" t="s">
        <v>10</v>
      </c>
      <c r="G346" t="s">
        <v>893</v>
      </c>
      <c r="H346" t="s">
        <v>895</v>
      </c>
      <c r="I346" t="s">
        <v>32</v>
      </c>
      <c r="J346">
        <v>0</v>
      </c>
      <c r="K346">
        <v>2</v>
      </c>
      <c r="L346" s="4">
        <v>3.5000000000000001E-3</v>
      </c>
      <c r="M346">
        <v>0.02</v>
      </c>
      <c r="N346" s="4">
        <v>7.0000000000000001E-3</v>
      </c>
      <c r="O346" s="4">
        <v>0.04</v>
      </c>
    </row>
    <row r="347" spans="2:15">
      <c r="B347" t="s">
        <v>658</v>
      </c>
      <c r="C347" t="s">
        <v>49</v>
      </c>
      <c r="D347" t="s">
        <v>896</v>
      </c>
      <c r="E347" t="s">
        <v>897</v>
      </c>
      <c r="F347" t="s">
        <v>10</v>
      </c>
      <c r="G347" t="s">
        <v>896</v>
      </c>
      <c r="H347" t="s">
        <v>898</v>
      </c>
      <c r="I347" t="s">
        <v>32</v>
      </c>
      <c r="J347">
        <v>0</v>
      </c>
      <c r="K347">
        <v>1</v>
      </c>
      <c r="L347" s="4">
        <v>3.5000000000000001E-3</v>
      </c>
      <c r="M347">
        <v>0.02</v>
      </c>
      <c r="N347" s="4">
        <v>3.5000000000000001E-3</v>
      </c>
      <c r="O347" s="4">
        <v>0.02</v>
      </c>
    </row>
    <row r="348" spans="2:15">
      <c r="B348" t="s">
        <v>658</v>
      </c>
      <c r="C348" t="s">
        <v>54</v>
      </c>
      <c r="D348" t="s">
        <v>899</v>
      </c>
      <c r="E348" t="s">
        <v>900</v>
      </c>
      <c r="F348" t="s">
        <v>10</v>
      </c>
      <c r="G348" t="s">
        <v>899</v>
      </c>
      <c r="H348" t="s">
        <v>901</v>
      </c>
      <c r="I348" t="s">
        <v>32</v>
      </c>
      <c r="J348">
        <v>113</v>
      </c>
      <c r="K348">
        <v>120</v>
      </c>
      <c r="L348" s="4">
        <v>3.5000000000000001E-3</v>
      </c>
      <c r="M348">
        <v>0.02</v>
      </c>
      <c r="N348" s="4">
        <v>0.42</v>
      </c>
      <c r="O348" s="4">
        <v>2.4</v>
      </c>
    </row>
    <row r="349" spans="2:15">
      <c r="B349" t="s">
        <v>658</v>
      </c>
      <c r="C349" t="s">
        <v>54</v>
      </c>
      <c r="D349" t="s">
        <v>902</v>
      </c>
      <c r="E349" t="s">
        <v>903</v>
      </c>
      <c r="F349" t="s">
        <v>10</v>
      </c>
      <c r="G349" t="s">
        <v>902</v>
      </c>
      <c r="H349" t="s">
        <v>904</v>
      </c>
      <c r="I349" t="s">
        <v>32</v>
      </c>
      <c r="J349">
        <v>145</v>
      </c>
      <c r="K349">
        <v>99</v>
      </c>
      <c r="L349" s="4">
        <v>3.5000000000000001E-3</v>
      </c>
      <c r="M349">
        <v>0.02</v>
      </c>
      <c r="N349" s="4">
        <v>0.34650000000000003</v>
      </c>
      <c r="O349" s="4">
        <v>1.98</v>
      </c>
    </row>
    <row r="350" spans="2:15">
      <c r="B350" t="s">
        <v>658</v>
      </c>
      <c r="C350" t="s">
        <v>54</v>
      </c>
      <c r="D350" t="s">
        <v>905</v>
      </c>
      <c r="E350" t="s">
        <v>906</v>
      </c>
      <c r="F350" t="s">
        <v>10</v>
      </c>
      <c r="G350" t="s">
        <v>905</v>
      </c>
      <c r="H350" t="s">
        <v>907</v>
      </c>
      <c r="I350" t="s">
        <v>32</v>
      </c>
      <c r="J350">
        <v>33</v>
      </c>
      <c r="K350">
        <v>46</v>
      </c>
      <c r="L350" s="4">
        <v>3.5000000000000001E-3</v>
      </c>
      <c r="M350">
        <v>0.02</v>
      </c>
      <c r="N350" s="4">
        <v>0.161</v>
      </c>
      <c r="O350" s="4">
        <v>0.92</v>
      </c>
    </row>
    <row r="351" spans="2:15">
      <c r="B351" t="s">
        <v>658</v>
      </c>
      <c r="C351" t="s">
        <v>54</v>
      </c>
      <c r="D351" t="s">
        <v>908</v>
      </c>
      <c r="E351" t="s">
        <v>909</v>
      </c>
      <c r="F351" t="s">
        <v>10</v>
      </c>
      <c r="G351" t="s">
        <v>908</v>
      </c>
      <c r="H351" t="s">
        <v>910</v>
      </c>
      <c r="I351" t="s">
        <v>32</v>
      </c>
      <c r="J351">
        <v>1</v>
      </c>
      <c r="K351">
        <v>285</v>
      </c>
      <c r="L351" s="4">
        <v>3.5000000000000001E-3</v>
      </c>
      <c r="M351">
        <v>0.02</v>
      </c>
      <c r="N351" s="4">
        <v>0.99750000000000005</v>
      </c>
      <c r="O351" s="4">
        <v>5.7</v>
      </c>
    </row>
    <row r="352" spans="2:15">
      <c r="B352" t="s">
        <v>658</v>
      </c>
      <c r="C352" t="s">
        <v>54</v>
      </c>
      <c r="D352" t="s">
        <v>908</v>
      </c>
      <c r="E352" t="s">
        <v>909</v>
      </c>
      <c r="F352" t="s">
        <v>10</v>
      </c>
      <c r="G352" t="s">
        <v>908</v>
      </c>
      <c r="H352" t="s">
        <v>910</v>
      </c>
      <c r="I352" t="s">
        <v>32</v>
      </c>
      <c r="J352">
        <v>0</v>
      </c>
      <c r="K352">
        <v>9</v>
      </c>
      <c r="L352" s="4">
        <v>3.5000000000000001E-3</v>
      </c>
      <c r="M352">
        <v>0.02</v>
      </c>
      <c r="N352" s="4">
        <v>3.15E-2</v>
      </c>
      <c r="O352" s="4">
        <v>0.18</v>
      </c>
    </row>
    <row r="353" spans="2:15">
      <c r="B353" t="s">
        <v>658</v>
      </c>
      <c r="C353" t="s">
        <v>911</v>
      </c>
      <c r="D353" t="s">
        <v>912</v>
      </c>
      <c r="E353" t="s">
        <v>913</v>
      </c>
      <c r="F353" t="s">
        <v>10</v>
      </c>
      <c r="G353" t="s">
        <v>912</v>
      </c>
      <c r="H353" t="s">
        <v>914</v>
      </c>
      <c r="I353" t="s">
        <v>32</v>
      </c>
      <c r="J353">
        <v>1647173</v>
      </c>
      <c r="K353">
        <v>899</v>
      </c>
      <c r="L353" s="4">
        <v>3.5000000000000001E-3</v>
      </c>
      <c r="M353">
        <v>0.02</v>
      </c>
      <c r="N353" s="4">
        <v>3.1465000000000001</v>
      </c>
      <c r="O353" s="4">
        <v>17.98</v>
      </c>
    </row>
    <row r="354" spans="2:15">
      <c r="B354" t="s">
        <v>658</v>
      </c>
      <c r="C354" t="s">
        <v>911</v>
      </c>
      <c r="D354" t="s">
        <v>915</v>
      </c>
      <c r="E354" t="s">
        <v>916</v>
      </c>
      <c r="F354" t="s">
        <v>10</v>
      </c>
      <c r="G354" t="s">
        <v>915</v>
      </c>
      <c r="H354" t="s">
        <v>917</v>
      </c>
      <c r="I354" t="s">
        <v>32</v>
      </c>
      <c r="J354">
        <v>1581478</v>
      </c>
      <c r="K354">
        <v>785</v>
      </c>
      <c r="L354" s="4">
        <v>3.5000000000000001E-3</v>
      </c>
      <c r="M354">
        <v>0.02</v>
      </c>
      <c r="N354" s="4">
        <v>2.7475000000000001</v>
      </c>
      <c r="O354" s="4">
        <v>15.700000000000001</v>
      </c>
    </row>
    <row r="355" spans="2:15">
      <c r="B355" t="s">
        <v>658</v>
      </c>
      <c r="C355" t="s">
        <v>911</v>
      </c>
      <c r="D355" t="s">
        <v>918</v>
      </c>
      <c r="E355" t="s">
        <v>919</v>
      </c>
      <c r="F355" t="s">
        <v>10</v>
      </c>
      <c r="G355" t="s">
        <v>918</v>
      </c>
      <c r="H355" t="s">
        <v>920</v>
      </c>
      <c r="I355" t="s">
        <v>32</v>
      </c>
      <c r="J355">
        <v>1944770</v>
      </c>
      <c r="K355">
        <v>959</v>
      </c>
      <c r="L355" s="4">
        <v>3.5000000000000001E-3</v>
      </c>
      <c r="M355">
        <v>0.02</v>
      </c>
      <c r="N355" s="4">
        <v>3.3565</v>
      </c>
      <c r="O355" s="4">
        <v>19.18</v>
      </c>
    </row>
    <row r="356" spans="2:15">
      <c r="B356" t="s">
        <v>658</v>
      </c>
      <c r="C356" t="s">
        <v>911</v>
      </c>
      <c r="D356" t="s">
        <v>921</v>
      </c>
      <c r="E356" t="s">
        <v>922</v>
      </c>
      <c r="F356" t="s">
        <v>10</v>
      </c>
      <c r="G356" t="s">
        <v>921</v>
      </c>
      <c r="H356" t="s">
        <v>923</v>
      </c>
      <c r="I356" t="s">
        <v>32</v>
      </c>
      <c r="J356">
        <v>3009155</v>
      </c>
      <c r="K356">
        <v>1577</v>
      </c>
      <c r="L356" s="4">
        <v>3.5000000000000001E-3</v>
      </c>
      <c r="M356">
        <v>0.02</v>
      </c>
      <c r="N356" s="4">
        <v>5.5194999999999999</v>
      </c>
      <c r="O356" s="4">
        <v>31.54</v>
      </c>
    </row>
    <row r="357" spans="2:15">
      <c r="B357" t="s">
        <v>658</v>
      </c>
      <c r="C357" t="s">
        <v>911</v>
      </c>
      <c r="D357" t="s">
        <v>924</v>
      </c>
      <c r="E357" t="s">
        <v>925</v>
      </c>
      <c r="F357" t="s">
        <v>10</v>
      </c>
      <c r="G357" t="s">
        <v>924</v>
      </c>
      <c r="H357" t="s">
        <v>926</v>
      </c>
      <c r="I357" t="s">
        <v>32</v>
      </c>
      <c r="J357">
        <v>0</v>
      </c>
      <c r="K357">
        <v>106</v>
      </c>
      <c r="L357" s="4">
        <v>3.5000000000000001E-3</v>
      </c>
      <c r="M357">
        <v>0.02</v>
      </c>
      <c r="N357" s="4">
        <v>0.371</v>
      </c>
      <c r="O357" s="4">
        <v>2.12</v>
      </c>
    </row>
    <row r="358" spans="2:15">
      <c r="B358" t="s">
        <v>658</v>
      </c>
      <c r="C358" t="s">
        <v>911</v>
      </c>
      <c r="D358" t="s">
        <v>927</v>
      </c>
      <c r="E358" t="s">
        <v>928</v>
      </c>
      <c r="F358" t="s">
        <v>10</v>
      </c>
      <c r="G358" t="s">
        <v>927</v>
      </c>
      <c r="H358" t="s">
        <v>929</v>
      </c>
      <c r="I358" t="s">
        <v>32</v>
      </c>
      <c r="J358">
        <v>184366</v>
      </c>
      <c r="K358">
        <v>187</v>
      </c>
      <c r="L358" s="4">
        <v>3.5000000000000001E-3</v>
      </c>
      <c r="M358">
        <v>0.02</v>
      </c>
      <c r="N358" s="4">
        <v>0.65449999999999997</v>
      </c>
      <c r="O358" s="4">
        <v>3.74</v>
      </c>
    </row>
    <row r="359" spans="2:15">
      <c r="B359" t="s">
        <v>658</v>
      </c>
      <c r="C359" t="s">
        <v>911</v>
      </c>
      <c r="D359" t="s">
        <v>930</v>
      </c>
      <c r="E359" t="s">
        <v>931</v>
      </c>
      <c r="F359" t="s">
        <v>10</v>
      </c>
      <c r="G359" t="s">
        <v>930</v>
      </c>
      <c r="H359" t="s">
        <v>932</v>
      </c>
      <c r="I359" t="s">
        <v>32</v>
      </c>
      <c r="J359">
        <v>113304</v>
      </c>
      <c r="K359">
        <v>0</v>
      </c>
      <c r="L359" s="4">
        <v>3.5000000000000001E-3</v>
      </c>
      <c r="M359">
        <v>0.02</v>
      </c>
      <c r="N359" s="4">
        <v>0</v>
      </c>
      <c r="O359" s="4">
        <v>0</v>
      </c>
    </row>
    <row r="360" spans="2:15">
      <c r="B360" t="s">
        <v>658</v>
      </c>
      <c r="C360" t="s">
        <v>911</v>
      </c>
      <c r="D360" t="s">
        <v>933</v>
      </c>
      <c r="E360" t="s">
        <v>934</v>
      </c>
      <c r="F360" t="s">
        <v>10</v>
      </c>
      <c r="G360" t="s">
        <v>933</v>
      </c>
      <c r="H360" t="s">
        <v>935</v>
      </c>
      <c r="I360" t="s">
        <v>32</v>
      </c>
      <c r="J360">
        <v>102413</v>
      </c>
      <c r="K360">
        <v>96</v>
      </c>
      <c r="L360" s="4">
        <v>3.5000000000000001E-3</v>
      </c>
      <c r="M360">
        <v>0.02</v>
      </c>
      <c r="N360" s="4">
        <v>0.33600000000000002</v>
      </c>
      <c r="O360" s="4">
        <v>1.92</v>
      </c>
    </row>
    <row r="361" spans="2:15">
      <c r="B361" t="s">
        <v>658</v>
      </c>
      <c r="C361" t="s">
        <v>911</v>
      </c>
      <c r="D361" t="s">
        <v>936</v>
      </c>
      <c r="E361" t="s">
        <v>937</v>
      </c>
      <c r="F361" t="s">
        <v>10</v>
      </c>
      <c r="G361" t="s">
        <v>936</v>
      </c>
      <c r="H361" t="s">
        <v>938</v>
      </c>
      <c r="I361" t="s">
        <v>32</v>
      </c>
      <c r="J361">
        <v>136826</v>
      </c>
      <c r="K361">
        <v>118</v>
      </c>
      <c r="L361" s="4">
        <v>3.5000000000000001E-3</v>
      </c>
      <c r="M361">
        <v>0.02</v>
      </c>
      <c r="N361" s="4">
        <v>0.41300000000000003</v>
      </c>
      <c r="O361" s="4">
        <v>2.36</v>
      </c>
    </row>
    <row r="362" spans="2:15">
      <c r="B362" t="s">
        <v>658</v>
      </c>
      <c r="C362" t="s">
        <v>51</v>
      </c>
      <c r="D362" t="s">
        <v>939</v>
      </c>
      <c r="E362" t="s">
        <v>940</v>
      </c>
      <c r="F362" t="s">
        <v>10</v>
      </c>
      <c r="G362" t="s">
        <v>939</v>
      </c>
      <c r="H362" t="s">
        <v>941</v>
      </c>
      <c r="I362" t="s">
        <v>32</v>
      </c>
      <c r="J362">
        <v>0</v>
      </c>
      <c r="K362">
        <v>1</v>
      </c>
      <c r="L362" s="4">
        <v>3.5000000000000001E-3</v>
      </c>
      <c r="M362">
        <v>0.02</v>
      </c>
      <c r="N362" s="4">
        <v>3.5000000000000001E-3</v>
      </c>
      <c r="O362" s="4">
        <v>0.02</v>
      </c>
    </row>
    <row r="363" spans="2:15">
      <c r="B363" t="s">
        <v>942</v>
      </c>
      <c r="C363" t="s">
        <v>49</v>
      </c>
      <c r="D363" t="s">
        <v>943</v>
      </c>
      <c r="E363" t="s">
        <v>944</v>
      </c>
      <c r="F363" t="s">
        <v>12</v>
      </c>
      <c r="G363" t="s">
        <v>943</v>
      </c>
      <c r="H363" t="s">
        <v>945</v>
      </c>
      <c r="I363" t="s">
        <v>31</v>
      </c>
      <c r="J363">
        <v>63421</v>
      </c>
      <c r="K363">
        <v>18</v>
      </c>
      <c r="L363" s="4">
        <v>3.8199999999999998E-2</v>
      </c>
      <c r="M363">
        <v>0.09</v>
      </c>
      <c r="N363" s="4">
        <v>2.4226821999999997</v>
      </c>
      <c r="O363" s="4">
        <v>5.707889999999999</v>
      </c>
    </row>
    <row r="364" spans="2:15">
      <c r="B364" t="s">
        <v>942</v>
      </c>
      <c r="C364" t="s">
        <v>49</v>
      </c>
      <c r="D364" t="s">
        <v>946</v>
      </c>
      <c r="E364" t="s">
        <v>947</v>
      </c>
      <c r="F364" t="s">
        <v>12</v>
      </c>
      <c r="G364" t="s">
        <v>946</v>
      </c>
      <c r="H364" t="s">
        <v>948</v>
      </c>
      <c r="I364" t="s">
        <v>31</v>
      </c>
      <c r="J364">
        <v>485825</v>
      </c>
      <c r="K364">
        <v>2585</v>
      </c>
      <c r="L364" s="4">
        <v>3.8199999999999998E-2</v>
      </c>
      <c r="M364">
        <v>0.09</v>
      </c>
      <c r="N364" s="4">
        <v>18.558515</v>
      </c>
      <c r="O364" s="4">
        <v>43.724249999999998</v>
      </c>
    </row>
    <row r="365" spans="2:15">
      <c r="B365" t="s">
        <v>942</v>
      </c>
      <c r="C365" t="s">
        <v>49</v>
      </c>
      <c r="D365" t="s">
        <v>949</v>
      </c>
      <c r="E365" t="s">
        <v>950</v>
      </c>
      <c r="F365" t="s">
        <v>12</v>
      </c>
      <c r="G365" t="s">
        <v>949</v>
      </c>
      <c r="H365" t="s">
        <v>951</v>
      </c>
      <c r="I365" t="s">
        <v>31</v>
      </c>
      <c r="J365">
        <v>1310164</v>
      </c>
      <c r="K365">
        <v>6672</v>
      </c>
      <c r="L365" s="4">
        <v>3.8199999999999998E-2</v>
      </c>
      <c r="M365">
        <v>0.09</v>
      </c>
      <c r="N365" s="4">
        <v>50.048264799999998</v>
      </c>
      <c r="O365" s="4">
        <v>117.91476</v>
      </c>
    </row>
    <row r="366" spans="2:15">
      <c r="B366" t="s">
        <v>942</v>
      </c>
      <c r="C366" t="s">
        <v>49</v>
      </c>
      <c r="D366" t="s">
        <v>949</v>
      </c>
      <c r="E366" t="s">
        <v>950</v>
      </c>
      <c r="F366" t="s">
        <v>12</v>
      </c>
      <c r="G366" t="s">
        <v>949</v>
      </c>
      <c r="H366" t="s">
        <v>951</v>
      </c>
      <c r="I366" t="s">
        <v>31</v>
      </c>
      <c r="J366">
        <v>0</v>
      </c>
      <c r="K366">
        <v>1</v>
      </c>
      <c r="L366" s="4">
        <v>3.8199999999999998E-2</v>
      </c>
      <c r="M366">
        <v>0.09</v>
      </c>
      <c r="N366" s="4">
        <v>0</v>
      </c>
      <c r="O366" s="4">
        <v>0</v>
      </c>
    </row>
    <row r="367" spans="2:15">
      <c r="B367" t="s">
        <v>942</v>
      </c>
      <c r="C367" t="s">
        <v>49</v>
      </c>
      <c r="D367" t="s">
        <v>952</v>
      </c>
      <c r="E367" t="s">
        <v>953</v>
      </c>
      <c r="F367" t="s">
        <v>12</v>
      </c>
      <c r="G367" t="s">
        <v>952</v>
      </c>
      <c r="H367" t="s">
        <v>954</v>
      </c>
      <c r="I367" t="s">
        <v>31</v>
      </c>
      <c r="J367">
        <v>178390</v>
      </c>
      <c r="K367">
        <v>92</v>
      </c>
      <c r="L367" s="4">
        <v>3.8199999999999998E-2</v>
      </c>
      <c r="M367">
        <v>0.09</v>
      </c>
      <c r="N367" s="4">
        <v>6.8144979999999995</v>
      </c>
      <c r="O367" s="4">
        <v>16.055099999999999</v>
      </c>
    </row>
    <row r="368" spans="2:15">
      <c r="B368" t="s">
        <v>942</v>
      </c>
      <c r="C368" t="s">
        <v>49</v>
      </c>
      <c r="D368" t="s">
        <v>955</v>
      </c>
      <c r="E368" t="s">
        <v>956</v>
      </c>
      <c r="F368" t="s">
        <v>12</v>
      </c>
      <c r="G368" t="s">
        <v>955</v>
      </c>
      <c r="H368" t="s">
        <v>957</v>
      </c>
      <c r="I368" t="s">
        <v>31</v>
      </c>
      <c r="J368">
        <v>76128</v>
      </c>
      <c r="K368">
        <v>31</v>
      </c>
      <c r="L368" s="4">
        <v>3.8199999999999998E-2</v>
      </c>
      <c r="M368">
        <v>0.09</v>
      </c>
      <c r="N368" s="4">
        <v>2.9080895999999998</v>
      </c>
      <c r="O368" s="4">
        <v>6.8515199999999998</v>
      </c>
    </row>
    <row r="369" spans="2:15">
      <c r="B369" t="s">
        <v>942</v>
      </c>
      <c r="C369" t="s">
        <v>49</v>
      </c>
      <c r="D369" t="s">
        <v>955</v>
      </c>
      <c r="E369" t="s">
        <v>956</v>
      </c>
      <c r="F369" t="s">
        <v>12</v>
      </c>
      <c r="G369" t="s">
        <v>955</v>
      </c>
      <c r="H369" t="s">
        <v>957</v>
      </c>
      <c r="I369" t="s">
        <v>31</v>
      </c>
      <c r="J369">
        <v>1</v>
      </c>
      <c r="K369">
        <v>0</v>
      </c>
      <c r="L369" s="4">
        <v>3.8199999999999998E-2</v>
      </c>
      <c r="M369">
        <v>0.09</v>
      </c>
      <c r="N369" s="4">
        <v>3.82E-5</v>
      </c>
      <c r="O369" s="4">
        <v>8.9999999999999992E-5</v>
      </c>
    </row>
    <row r="370" spans="2:15">
      <c r="B370" t="s">
        <v>942</v>
      </c>
      <c r="C370" t="s">
        <v>49</v>
      </c>
      <c r="D370" t="s">
        <v>958</v>
      </c>
      <c r="E370" t="s">
        <v>959</v>
      </c>
      <c r="F370" t="s">
        <v>12</v>
      </c>
      <c r="G370" t="s">
        <v>958</v>
      </c>
      <c r="H370" t="s">
        <v>960</v>
      </c>
      <c r="I370" t="s">
        <v>31</v>
      </c>
      <c r="J370">
        <v>490982</v>
      </c>
      <c r="K370">
        <v>2524</v>
      </c>
      <c r="L370" s="4">
        <v>3.8199999999999998E-2</v>
      </c>
      <c r="M370">
        <v>0.09</v>
      </c>
      <c r="N370" s="4">
        <v>18.755512400000001</v>
      </c>
      <c r="O370" s="4">
        <v>44.188379999999995</v>
      </c>
    </row>
    <row r="371" spans="2:15">
      <c r="B371" t="s">
        <v>942</v>
      </c>
      <c r="C371" t="s">
        <v>49</v>
      </c>
      <c r="D371" t="s">
        <v>958</v>
      </c>
      <c r="E371" t="s">
        <v>959</v>
      </c>
      <c r="F371" t="s">
        <v>12</v>
      </c>
      <c r="G371" t="s">
        <v>958</v>
      </c>
      <c r="H371" t="s">
        <v>960</v>
      </c>
      <c r="I371" t="s">
        <v>31</v>
      </c>
      <c r="J371">
        <v>282794</v>
      </c>
      <c r="K371">
        <v>740</v>
      </c>
      <c r="L371" s="4">
        <v>3.8199999999999998E-2</v>
      </c>
      <c r="M371">
        <v>0.09</v>
      </c>
      <c r="N371" s="4">
        <v>10.802730799999999</v>
      </c>
      <c r="O371" s="4">
        <v>25.451460000000001</v>
      </c>
    </row>
    <row r="372" spans="2:15">
      <c r="B372" t="s">
        <v>942</v>
      </c>
      <c r="C372" t="s">
        <v>49</v>
      </c>
      <c r="D372" t="s">
        <v>961</v>
      </c>
      <c r="E372" t="s">
        <v>962</v>
      </c>
      <c r="F372" t="s">
        <v>12</v>
      </c>
      <c r="G372" t="s">
        <v>961</v>
      </c>
      <c r="H372" t="s">
        <v>963</v>
      </c>
      <c r="I372" t="s">
        <v>31</v>
      </c>
      <c r="J372">
        <v>1357007</v>
      </c>
      <c r="K372">
        <v>6661</v>
      </c>
      <c r="L372" s="4">
        <v>3.8199999999999998E-2</v>
      </c>
      <c r="M372">
        <v>0.09</v>
      </c>
      <c r="N372" s="4">
        <v>51.837667400000001</v>
      </c>
      <c r="O372" s="4">
        <v>122.13063</v>
      </c>
    </row>
    <row r="373" spans="2:15">
      <c r="B373" t="s">
        <v>942</v>
      </c>
      <c r="C373" t="s">
        <v>49</v>
      </c>
      <c r="D373" t="s">
        <v>964</v>
      </c>
      <c r="E373" t="s">
        <v>965</v>
      </c>
      <c r="F373" t="s">
        <v>12</v>
      </c>
      <c r="G373" t="s">
        <v>964</v>
      </c>
      <c r="H373" t="s">
        <v>966</v>
      </c>
      <c r="I373" t="s">
        <v>31</v>
      </c>
      <c r="J373">
        <v>163032</v>
      </c>
      <c r="K373">
        <v>87</v>
      </c>
      <c r="L373" s="4">
        <v>3.8199999999999998E-2</v>
      </c>
      <c r="M373">
        <v>0.09</v>
      </c>
      <c r="N373" s="4">
        <v>6.2278224</v>
      </c>
      <c r="O373" s="4">
        <v>14.672879999999999</v>
      </c>
    </row>
    <row r="374" spans="2:15">
      <c r="B374" t="s">
        <v>942</v>
      </c>
      <c r="C374" t="s">
        <v>49</v>
      </c>
      <c r="D374" t="s">
        <v>964</v>
      </c>
      <c r="E374" t="s">
        <v>965</v>
      </c>
      <c r="F374" t="s">
        <v>12</v>
      </c>
      <c r="G374" t="s">
        <v>964</v>
      </c>
      <c r="H374" t="s">
        <v>966</v>
      </c>
      <c r="I374" t="s">
        <v>31</v>
      </c>
      <c r="J374">
        <v>4</v>
      </c>
      <c r="K374">
        <v>3</v>
      </c>
      <c r="L374" s="4">
        <v>3.8199999999999998E-2</v>
      </c>
      <c r="M374">
        <v>0.09</v>
      </c>
      <c r="N374" s="4">
        <v>1.528E-4</v>
      </c>
      <c r="O374" s="4">
        <v>3.5999999999999997E-4</v>
      </c>
    </row>
    <row r="375" spans="2:15">
      <c r="N375" s="5"/>
      <c r="O375" s="5"/>
    </row>
    <row r="376" spans="2:15">
      <c r="L376" s="4"/>
      <c r="N376" s="4"/>
      <c r="O376" s="4"/>
    </row>
    <row r="377" spans="2:15">
      <c r="L377" s="4"/>
      <c r="N377" s="4"/>
      <c r="O377" s="4"/>
    </row>
    <row r="378" spans="2:15">
      <c r="L378" s="4"/>
      <c r="N378" s="4"/>
      <c r="O378" s="4"/>
    </row>
    <row r="379" spans="2:15">
      <c r="L379" s="4"/>
      <c r="N379" s="4"/>
      <c r="O379" s="4"/>
    </row>
    <row r="380" spans="2:15">
      <c r="L380" s="4"/>
      <c r="N380" s="4"/>
      <c r="O380" s="4"/>
    </row>
    <row r="381" spans="2:15">
      <c r="L381" s="4"/>
      <c r="N381" s="4"/>
      <c r="O381" s="4"/>
    </row>
    <row r="382" spans="2:15">
      <c r="L382" s="4"/>
      <c r="N382" s="4"/>
      <c r="O382" s="4"/>
    </row>
    <row r="383" spans="2:15">
      <c r="L383" s="4"/>
      <c r="N383" s="4"/>
      <c r="O383" s="4"/>
    </row>
    <row r="384" spans="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N406" s="5"/>
      <c r="O406" s="5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N1232" s="5"/>
      <c r="O1232" s="5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</sheetData>
  <autoFilter ref="A19:O1231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2019-03-28T14:25:22Z</dcterms:modified>
</cp:coreProperties>
</file>