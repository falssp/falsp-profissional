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Visa\"/>
    </mc:Choice>
  </mc:AlternateContent>
  <xr:revisionPtr revIDLastSave="0" documentId="8_{44D3A61E-6549-4FAE-A632-CBD89CA538A4}" xr6:coauthVersionLast="36" xr6:coauthVersionMax="36" xr10:uidLastSave="{00000000-0000-0000-0000-000000000000}"/>
  <bookViews>
    <workbookView xWindow="0" yWindow="0" windowWidth="25200" windowHeight="1137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dados'!$A$1:$J$4199</definedName>
    <definedName name="_xlnm._FilterDatabase" localSheetId="2" hidden="1">'Report DCM'!$A:$N</definedName>
    <definedName name="_xlnm._FilterDatabase" localSheetId="3" hidden="1">Resumo!$A$19:$O$1230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 iterateCount="1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8" l="1"/>
  <c r="E7" i="8"/>
  <c r="D9" i="8"/>
  <c r="E9" i="8"/>
  <c r="E801" i="6"/>
  <c r="G5" i="8"/>
  <c r="E2" i="6"/>
  <c r="L2" i="6"/>
  <c r="I2" i="6"/>
  <c r="J2" i="6"/>
  <c r="N2" i="6"/>
  <c r="D4" i="8"/>
  <c r="E4" i="8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E4120" i="6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L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L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L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L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L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L3276" i="6"/>
  <c r="F3276" i="6"/>
  <c r="G3276" i="6"/>
  <c r="H3276" i="6"/>
  <c r="I3276" i="6"/>
  <c r="J3276" i="6"/>
  <c r="A3277" i="6"/>
  <c r="B3277" i="6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L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L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L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L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387" i="6"/>
  <c r="K3315" i="6"/>
  <c r="K3202" i="6"/>
  <c r="K3197" i="6"/>
  <c r="K3195" i="6"/>
  <c r="K3187" i="6"/>
  <c r="K3344" i="6"/>
  <c r="K3166" i="6"/>
  <c r="K3365" i="6"/>
  <c r="K3303" i="6"/>
  <c r="K3205" i="6"/>
  <c r="K3370" i="6"/>
  <c r="K3362" i="6"/>
  <c r="K3157" i="6"/>
  <c r="K3374" i="6"/>
  <c r="K3393" i="6"/>
  <c r="K3332" i="6"/>
  <c r="K3277" i="6"/>
  <c r="K3275" i="6"/>
  <c r="K3214" i="6"/>
  <c r="K3206" i="6"/>
  <c r="K3313" i="6"/>
  <c r="K3174" i="6"/>
  <c r="K3396" i="6"/>
  <c r="K3306" i="6"/>
  <c r="K3262" i="6"/>
  <c r="K3357" i="6"/>
  <c r="K3222" i="6"/>
  <c r="K3215" i="6"/>
  <c r="K3173" i="6"/>
  <c r="K3284" i="6"/>
  <c r="K3232" i="6"/>
  <c r="K3401" i="6"/>
  <c r="K3340" i="6"/>
  <c r="K3311" i="6"/>
  <c r="K3298" i="6"/>
  <c r="K3290" i="6"/>
  <c r="K3252" i="6"/>
  <c r="K3165" i="6"/>
  <c r="K3295" i="6"/>
  <c r="K3227" i="6"/>
  <c r="K3162" i="6"/>
  <c r="K3377" i="6"/>
  <c r="K3329" i="6"/>
  <c r="K3307" i="6"/>
  <c r="K317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5" i="6"/>
  <c r="K3243" i="6"/>
  <c r="K3169" i="6"/>
  <c r="K3145" i="6"/>
  <c r="K3404" i="6"/>
  <c r="K3361" i="6"/>
  <c r="K3333" i="6"/>
  <c r="K3299" i="6"/>
  <c r="K3280" i="6"/>
  <c r="K3263" i="6"/>
  <c r="K3235" i="6"/>
  <c r="K3189" i="6"/>
  <c r="K3149" i="6"/>
  <c r="K3381" i="6"/>
  <c r="K3366" i="6"/>
  <c r="K3348" i="6"/>
  <c r="K3346" i="6"/>
  <c r="K3153" i="6"/>
  <c r="K3148" i="6"/>
  <c r="K3146" i="6"/>
  <c r="K3345" i="6"/>
  <c r="K3338" i="6"/>
  <c r="K3291" i="6"/>
  <c r="K3246" i="6"/>
  <c r="K3198" i="6"/>
  <c r="K3194" i="6"/>
  <c r="K3178" i="6"/>
  <c r="K3154" i="6"/>
  <c r="K3400" i="6"/>
  <c r="K3398" i="6"/>
  <c r="K3388" i="6"/>
  <c r="K3382" i="6"/>
  <c r="K3323" i="6"/>
  <c r="K3321" i="6"/>
  <c r="K3316" i="6"/>
  <c r="K3309" i="6"/>
  <c r="K3289" i="6"/>
  <c r="K3287" i="6"/>
  <c r="K3267" i="6"/>
  <c r="K3257" i="6"/>
  <c r="K3255" i="6"/>
  <c r="K3242" i="6"/>
  <c r="K3211" i="6"/>
  <c r="K3201" i="6"/>
  <c r="K3199" i="6"/>
  <c r="K3185" i="6"/>
  <c r="K3183" i="6"/>
  <c r="K3161" i="6"/>
  <c r="K3039" i="6"/>
  <c r="K3403" i="6"/>
  <c r="K3375" i="6"/>
  <c r="K3373" i="6"/>
  <c r="K3369" i="6"/>
  <c r="K3352" i="6"/>
  <c r="K3350" i="6"/>
  <c r="K3328" i="6"/>
  <c r="K3326" i="6"/>
  <c r="K3310" i="6"/>
  <c r="K3294" i="6"/>
  <c r="K3279" i="6"/>
  <c r="K3247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91" i="6"/>
  <c r="K3158" i="6"/>
  <c r="K3395" i="6"/>
  <c r="K3391" i="6"/>
  <c r="K3389" i="6"/>
  <c r="K3353" i="6"/>
  <c r="K3336" i="6"/>
  <c r="K3334" i="6"/>
  <c r="K3325" i="6"/>
  <c r="K3319" i="6"/>
  <c r="K3302" i="6"/>
  <c r="K3300" i="6"/>
  <c r="K3285" i="6"/>
  <c r="K3283" i="6"/>
  <c r="K3270" i="6"/>
  <c r="K3265" i="6"/>
  <c r="K3253" i="6"/>
  <c r="K3251" i="6"/>
  <c r="K3209" i="6"/>
  <c r="K3207" i="6"/>
  <c r="K3181" i="6"/>
  <c r="K3156" i="6"/>
  <c r="K6074" i="6"/>
  <c r="K3399" i="6"/>
  <c r="K3386" i="6"/>
  <c r="K3364" i="6"/>
  <c r="K3360" i="6"/>
  <c r="K3339" i="6"/>
  <c r="K3335" i="6"/>
  <c r="K3331" i="6"/>
  <c r="K3327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72" i="6"/>
  <c r="K3368" i="6"/>
  <c r="M3368" i="6"/>
  <c r="K3355" i="6"/>
  <c r="K3347" i="6"/>
  <c r="K3343" i="6"/>
  <c r="K3292" i="6"/>
  <c r="K3274" i="6"/>
  <c r="K3260" i="6"/>
  <c r="K3238" i="6"/>
  <c r="K3212" i="6"/>
  <c r="K3204" i="6"/>
  <c r="K3188" i="6"/>
  <c r="K3184" i="6"/>
  <c r="K3168" i="6"/>
  <c r="K3147" i="6"/>
  <c r="K3143" i="6"/>
  <c r="K3406" i="6"/>
  <c r="K3402" i="6"/>
  <c r="K3394" i="6"/>
  <c r="K3376" i="6"/>
  <c r="K3363" i="6"/>
  <c r="K3359" i="6"/>
  <c r="K3304" i="6"/>
  <c r="K3296" i="6"/>
  <c r="K3278" i="6"/>
  <c r="K3269" i="6"/>
  <c r="K3264" i="6"/>
  <c r="K3233" i="6"/>
  <c r="K3229" i="6"/>
  <c r="K3220" i="6"/>
  <c r="K3216" i="6"/>
  <c r="K3159" i="6"/>
  <c r="K3155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80" i="6"/>
  <c r="K3371" i="6"/>
  <c r="K3367" i="6"/>
  <c r="K3317" i="6"/>
  <c r="K3312" i="6"/>
  <c r="K3308" i="6"/>
  <c r="K3282" i="6"/>
  <c r="K3273" i="6"/>
  <c r="K3268" i="6"/>
  <c r="K3250" i="6"/>
  <c r="K3241" i="6"/>
  <c r="K3237" i="6"/>
  <c r="K3228" i="6"/>
  <c r="K3224" i="6"/>
  <c r="K3179" i="6"/>
  <c r="K3175" i="6"/>
  <c r="K3171" i="6"/>
  <c r="K3167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K4064" i="6"/>
  <c r="M4064" i="6"/>
  <c r="K3783" i="6"/>
  <c r="K3771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2" i="6"/>
  <c r="M2" i="6"/>
  <c r="K3" i="6"/>
  <c r="M3" i="6"/>
  <c r="K4" i="6"/>
  <c r="M4" i="6"/>
  <c r="K5" i="6"/>
  <c r="M5" i="6"/>
  <c r="K6" i="6"/>
  <c r="M6" i="6"/>
  <c r="K7" i="6"/>
  <c r="M7" i="6"/>
  <c r="K8" i="6"/>
  <c r="M8" i="6"/>
  <c r="K9" i="6"/>
  <c r="M9" i="6"/>
  <c r="K10" i="6"/>
  <c r="M10" i="6"/>
  <c r="K11" i="6"/>
  <c r="M11" i="6"/>
  <c r="K12" i="6"/>
  <c r="M12" i="6"/>
  <c r="K13" i="6"/>
  <c r="M13" i="6"/>
  <c r="K14" i="6"/>
  <c r="M14" i="6"/>
  <c r="K15" i="6"/>
  <c r="M15" i="6"/>
  <c r="K16" i="6"/>
  <c r="M16" i="6"/>
  <c r="K17" i="6"/>
  <c r="M17" i="6"/>
  <c r="K18" i="6"/>
  <c r="M18" i="6"/>
  <c r="K19" i="6"/>
  <c r="M19" i="6"/>
  <c r="K20" i="6"/>
  <c r="M20" i="6"/>
  <c r="K21" i="6"/>
  <c r="M21" i="6"/>
  <c r="K22" i="6"/>
  <c r="M22" i="6"/>
  <c r="K23" i="6"/>
  <c r="M23" i="6"/>
  <c r="K24" i="6"/>
  <c r="M24" i="6"/>
  <c r="K25" i="6"/>
  <c r="M25" i="6"/>
  <c r="K26" i="6"/>
  <c r="M26" i="6"/>
  <c r="K27" i="6"/>
  <c r="M27" i="6"/>
  <c r="K28" i="6"/>
  <c r="M28" i="6"/>
  <c r="K29" i="6"/>
  <c r="M29" i="6"/>
  <c r="K30" i="6"/>
  <c r="M30" i="6"/>
  <c r="K31" i="6"/>
  <c r="M31" i="6"/>
  <c r="K32" i="6"/>
  <c r="M32" i="6"/>
  <c r="K33" i="6"/>
  <c r="M33" i="6"/>
  <c r="K34" i="6"/>
  <c r="M34" i="6"/>
  <c r="K35" i="6"/>
  <c r="M35" i="6"/>
  <c r="K36" i="6"/>
  <c r="M36" i="6"/>
  <c r="K37" i="6"/>
  <c r="M37" i="6"/>
  <c r="K38" i="6"/>
  <c r="M38" i="6"/>
  <c r="K39" i="6"/>
  <c r="M39" i="6"/>
  <c r="K40" i="6"/>
  <c r="M40" i="6"/>
  <c r="K41" i="6"/>
  <c r="M41" i="6"/>
  <c r="K42" i="6"/>
  <c r="M42" i="6"/>
  <c r="K43" i="6"/>
  <c r="M43" i="6"/>
  <c r="K44" i="6"/>
  <c r="M44" i="6"/>
  <c r="K45" i="6"/>
  <c r="M45" i="6"/>
  <c r="K46" i="6"/>
  <c r="M46" i="6"/>
  <c r="K47" i="6"/>
  <c r="M47" i="6"/>
  <c r="K48" i="6"/>
  <c r="M48" i="6"/>
  <c r="K49" i="6"/>
  <c r="M49" i="6"/>
  <c r="K50" i="6"/>
  <c r="M50" i="6"/>
  <c r="K51" i="6"/>
  <c r="M51" i="6"/>
  <c r="K52" i="6"/>
  <c r="M52" i="6"/>
  <c r="K53" i="6"/>
  <c r="M53" i="6"/>
  <c r="K54" i="6"/>
  <c r="M54" i="6"/>
  <c r="K55" i="6"/>
  <c r="M55" i="6"/>
  <c r="K56" i="6"/>
  <c r="M56" i="6"/>
  <c r="K57" i="6"/>
  <c r="M57" i="6"/>
  <c r="K58" i="6"/>
  <c r="M58" i="6"/>
  <c r="K59" i="6"/>
  <c r="M59" i="6"/>
  <c r="K60" i="6"/>
  <c r="M60" i="6"/>
  <c r="K61" i="6"/>
  <c r="M61" i="6"/>
  <c r="K62" i="6"/>
  <c r="M62" i="6"/>
  <c r="K63" i="6"/>
  <c r="M63" i="6"/>
  <c r="K64" i="6"/>
  <c r="M64" i="6"/>
  <c r="K65" i="6"/>
  <c r="M65" i="6"/>
  <c r="K66" i="6"/>
  <c r="M66" i="6"/>
  <c r="K67" i="6"/>
  <c r="M67" i="6"/>
  <c r="K68" i="6"/>
  <c r="M68" i="6"/>
  <c r="K69" i="6"/>
  <c r="M69" i="6"/>
  <c r="K70" i="6"/>
  <c r="M70" i="6"/>
  <c r="K71" i="6"/>
  <c r="M71" i="6"/>
  <c r="K72" i="6"/>
  <c r="M72" i="6"/>
  <c r="K73" i="6"/>
  <c r="M73" i="6"/>
  <c r="K74" i="6"/>
  <c r="M74" i="6"/>
  <c r="K75" i="6"/>
  <c r="M75" i="6"/>
  <c r="K76" i="6"/>
  <c r="M76" i="6"/>
  <c r="K77" i="6"/>
  <c r="M77" i="6"/>
  <c r="K78" i="6"/>
  <c r="M78" i="6"/>
  <c r="K79" i="6"/>
  <c r="M79" i="6"/>
  <c r="K80" i="6"/>
  <c r="M80" i="6"/>
  <c r="K81" i="6"/>
  <c r="M81" i="6"/>
  <c r="K82" i="6"/>
  <c r="M82" i="6"/>
  <c r="K83" i="6"/>
  <c r="M83" i="6"/>
  <c r="K84" i="6"/>
  <c r="M84" i="6"/>
  <c r="K85" i="6"/>
  <c r="M85" i="6"/>
  <c r="K86" i="6"/>
  <c r="M86" i="6"/>
  <c r="K87" i="6"/>
  <c r="M87" i="6"/>
  <c r="K88" i="6"/>
  <c r="M88" i="6"/>
  <c r="K89" i="6"/>
  <c r="M89" i="6"/>
  <c r="K90" i="6"/>
  <c r="M90" i="6"/>
  <c r="K91" i="6"/>
  <c r="M91" i="6"/>
  <c r="K92" i="6"/>
  <c r="M92" i="6"/>
  <c r="K93" i="6"/>
  <c r="M93" i="6"/>
  <c r="K94" i="6"/>
  <c r="M94" i="6"/>
  <c r="K95" i="6"/>
  <c r="M95" i="6"/>
  <c r="K96" i="6"/>
  <c r="M96" i="6"/>
  <c r="K97" i="6"/>
  <c r="M97" i="6"/>
  <c r="K98" i="6"/>
  <c r="M98" i="6"/>
  <c r="K99" i="6"/>
  <c r="M99" i="6"/>
  <c r="K100" i="6"/>
  <c r="M100" i="6"/>
  <c r="K101" i="6"/>
  <c r="M101" i="6"/>
  <c r="K102" i="6"/>
  <c r="M102" i="6"/>
  <c r="K103" i="6"/>
  <c r="M103" i="6"/>
  <c r="K104" i="6"/>
  <c r="M104" i="6"/>
  <c r="K105" i="6"/>
  <c r="M105" i="6"/>
  <c r="K106" i="6"/>
  <c r="M106" i="6"/>
  <c r="K107" i="6"/>
  <c r="M107" i="6"/>
  <c r="K108" i="6"/>
  <c r="M108" i="6"/>
  <c r="K109" i="6"/>
  <c r="M109" i="6"/>
  <c r="K110" i="6"/>
  <c r="M110" i="6"/>
  <c r="K111" i="6"/>
  <c r="M111" i="6"/>
  <c r="K112" i="6"/>
  <c r="M112" i="6"/>
  <c r="K113" i="6"/>
  <c r="M113" i="6"/>
  <c r="K114" i="6"/>
  <c r="M114" i="6"/>
  <c r="K115" i="6"/>
  <c r="M115" i="6"/>
  <c r="K116" i="6"/>
  <c r="M116" i="6"/>
  <c r="K117" i="6"/>
  <c r="M117" i="6"/>
  <c r="K118" i="6"/>
  <c r="M118" i="6"/>
  <c r="K119" i="6"/>
  <c r="M119" i="6"/>
  <c r="K120" i="6"/>
  <c r="M120" i="6"/>
  <c r="K121" i="6"/>
  <c r="M121" i="6"/>
  <c r="K122" i="6"/>
  <c r="M122" i="6"/>
  <c r="K123" i="6"/>
  <c r="M123" i="6"/>
  <c r="K124" i="6"/>
  <c r="M124" i="6"/>
  <c r="K125" i="6"/>
  <c r="M125" i="6"/>
  <c r="K126" i="6"/>
  <c r="M126" i="6"/>
  <c r="K127" i="6"/>
  <c r="M127" i="6"/>
  <c r="K128" i="6"/>
  <c r="M128" i="6"/>
  <c r="K129" i="6"/>
  <c r="M129" i="6"/>
  <c r="K130" i="6"/>
  <c r="M130" i="6"/>
  <c r="K131" i="6"/>
  <c r="M131" i="6"/>
  <c r="K132" i="6"/>
  <c r="M132" i="6"/>
  <c r="K133" i="6"/>
  <c r="M133" i="6"/>
  <c r="K134" i="6"/>
  <c r="M134" i="6"/>
  <c r="K135" i="6"/>
  <c r="M135" i="6"/>
  <c r="K136" i="6"/>
  <c r="M136" i="6"/>
  <c r="K137" i="6"/>
  <c r="M137" i="6"/>
  <c r="K138" i="6"/>
  <c r="M138" i="6"/>
  <c r="K139" i="6"/>
  <c r="M139" i="6"/>
  <c r="K140" i="6"/>
  <c r="M140" i="6"/>
  <c r="K141" i="6"/>
  <c r="M141" i="6"/>
  <c r="K142" i="6"/>
  <c r="M142" i="6"/>
  <c r="K143" i="6"/>
  <c r="M143" i="6"/>
  <c r="K144" i="6"/>
  <c r="M144" i="6"/>
  <c r="K145" i="6"/>
  <c r="M145" i="6"/>
  <c r="K146" i="6"/>
  <c r="M146" i="6"/>
  <c r="K147" i="6"/>
  <c r="M147" i="6"/>
  <c r="K148" i="6"/>
  <c r="M148" i="6"/>
  <c r="K149" i="6"/>
  <c r="M149" i="6"/>
  <c r="K150" i="6"/>
  <c r="M150" i="6"/>
  <c r="K151" i="6"/>
  <c r="M151" i="6"/>
  <c r="K152" i="6"/>
  <c r="M152" i="6"/>
  <c r="K153" i="6"/>
  <c r="M153" i="6"/>
  <c r="K154" i="6"/>
  <c r="M154" i="6"/>
  <c r="K155" i="6"/>
  <c r="M155" i="6"/>
  <c r="K156" i="6"/>
  <c r="M156" i="6"/>
  <c r="K157" i="6"/>
  <c r="M157" i="6"/>
  <c r="K158" i="6"/>
  <c r="M158" i="6"/>
  <c r="K159" i="6"/>
  <c r="M159" i="6"/>
  <c r="K160" i="6"/>
  <c r="M160" i="6"/>
  <c r="K161" i="6"/>
  <c r="M161" i="6"/>
  <c r="K162" i="6"/>
  <c r="M162" i="6"/>
  <c r="K163" i="6"/>
  <c r="M163" i="6"/>
  <c r="K164" i="6"/>
  <c r="M164" i="6"/>
  <c r="K165" i="6"/>
  <c r="M165" i="6"/>
  <c r="K166" i="6"/>
  <c r="M166" i="6"/>
  <c r="K167" i="6"/>
  <c r="M167" i="6"/>
  <c r="K168" i="6"/>
  <c r="M168" i="6"/>
  <c r="K169" i="6"/>
  <c r="M169" i="6"/>
  <c r="K170" i="6"/>
  <c r="M170" i="6"/>
  <c r="K171" i="6"/>
  <c r="M171" i="6"/>
  <c r="K172" i="6"/>
  <c r="M172" i="6"/>
  <c r="K173" i="6"/>
  <c r="M173" i="6"/>
  <c r="K174" i="6"/>
  <c r="M174" i="6"/>
  <c r="K175" i="6"/>
  <c r="M175" i="6"/>
  <c r="K176" i="6"/>
  <c r="M176" i="6"/>
  <c r="K177" i="6"/>
  <c r="M177" i="6"/>
  <c r="K178" i="6"/>
  <c r="M178" i="6"/>
  <c r="K179" i="6"/>
  <c r="M179" i="6"/>
  <c r="K180" i="6"/>
  <c r="M180" i="6"/>
  <c r="K181" i="6"/>
  <c r="M181" i="6"/>
  <c r="K182" i="6"/>
  <c r="M182" i="6"/>
  <c r="K183" i="6"/>
  <c r="M183" i="6"/>
  <c r="K184" i="6"/>
  <c r="M184" i="6"/>
  <c r="K185" i="6"/>
  <c r="M185" i="6"/>
  <c r="K186" i="6"/>
  <c r="M186" i="6"/>
  <c r="K187" i="6"/>
  <c r="M187" i="6"/>
  <c r="K188" i="6"/>
  <c r="M188" i="6"/>
  <c r="K189" i="6"/>
  <c r="M189" i="6"/>
  <c r="K190" i="6"/>
  <c r="M190" i="6"/>
  <c r="K191" i="6"/>
  <c r="M191" i="6"/>
  <c r="K192" i="6"/>
  <c r="M192" i="6"/>
  <c r="K193" i="6"/>
  <c r="M193" i="6"/>
  <c r="K194" i="6"/>
  <c r="M194" i="6"/>
  <c r="K195" i="6"/>
  <c r="M195" i="6"/>
  <c r="K196" i="6"/>
  <c r="M196" i="6"/>
  <c r="K197" i="6"/>
  <c r="M197" i="6"/>
  <c r="K198" i="6"/>
  <c r="M198" i="6"/>
  <c r="K199" i="6"/>
  <c r="M199" i="6"/>
  <c r="K200" i="6"/>
  <c r="M200" i="6"/>
  <c r="K201" i="6"/>
  <c r="M201" i="6"/>
  <c r="K202" i="6"/>
  <c r="M202" i="6"/>
  <c r="K203" i="6"/>
  <c r="M203" i="6"/>
  <c r="K204" i="6"/>
  <c r="M204" i="6"/>
  <c r="K205" i="6"/>
  <c r="M205" i="6"/>
  <c r="K206" i="6"/>
  <c r="M206" i="6"/>
  <c r="K207" i="6"/>
  <c r="M207" i="6"/>
  <c r="K208" i="6"/>
  <c r="M208" i="6"/>
  <c r="K209" i="6"/>
  <c r="M209" i="6"/>
  <c r="K210" i="6"/>
  <c r="M210" i="6"/>
  <c r="K211" i="6"/>
  <c r="M211" i="6"/>
  <c r="K212" i="6"/>
  <c r="M212" i="6"/>
  <c r="K213" i="6"/>
  <c r="M213" i="6"/>
  <c r="K214" i="6"/>
  <c r="M214" i="6"/>
  <c r="K215" i="6"/>
  <c r="M215" i="6"/>
  <c r="K216" i="6"/>
  <c r="M216" i="6"/>
  <c r="K217" i="6"/>
  <c r="M217" i="6"/>
  <c r="K218" i="6"/>
  <c r="M218" i="6"/>
  <c r="K219" i="6"/>
  <c r="M219" i="6"/>
  <c r="K220" i="6"/>
  <c r="M220" i="6"/>
  <c r="K221" i="6"/>
  <c r="M221" i="6"/>
  <c r="K222" i="6"/>
  <c r="M222" i="6"/>
  <c r="K223" i="6"/>
  <c r="M223" i="6"/>
  <c r="K224" i="6"/>
  <c r="M224" i="6"/>
  <c r="K225" i="6"/>
  <c r="M225" i="6"/>
  <c r="K226" i="6"/>
  <c r="M226" i="6"/>
  <c r="K227" i="6"/>
  <c r="M227" i="6"/>
  <c r="K228" i="6"/>
  <c r="M228" i="6"/>
  <c r="K229" i="6"/>
  <c r="M229" i="6"/>
  <c r="K230" i="6"/>
  <c r="M230" i="6"/>
  <c r="K231" i="6"/>
  <c r="M231" i="6"/>
  <c r="K232" i="6"/>
  <c r="M232" i="6"/>
  <c r="K233" i="6"/>
  <c r="M233" i="6"/>
  <c r="K234" i="6"/>
  <c r="M234" i="6"/>
  <c r="K235" i="6"/>
  <c r="M235" i="6"/>
  <c r="K236" i="6"/>
  <c r="M236" i="6"/>
  <c r="K237" i="6"/>
  <c r="M237" i="6"/>
  <c r="K238" i="6"/>
  <c r="M238" i="6"/>
  <c r="K239" i="6"/>
  <c r="M239" i="6"/>
  <c r="K240" i="6"/>
  <c r="M240" i="6"/>
  <c r="K241" i="6"/>
  <c r="M241" i="6"/>
  <c r="K242" i="6"/>
  <c r="M242" i="6"/>
  <c r="K243" i="6"/>
  <c r="M243" i="6"/>
  <c r="K244" i="6"/>
  <c r="M244" i="6"/>
  <c r="K245" i="6"/>
  <c r="M245" i="6"/>
  <c r="K246" i="6"/>
  <c r="M246" i="6"/>
  <c r="K247" i="6"/>
  <c r="M247" i="6"/>
  <c r="K248" i="6"/>
  <c r="M248" i="6"/>
  <c r="K249" i="6"/>
  <c r="M249" i="6"/>
  <c r="K250" i="6"/>
  <c r="M250" i="6"/>
  <c r="K251" i="6"/>
  <c r="M251" i="6"/>
  <c r="K252" i="6"/>
  <c r="M252" i="6"/>
  <c r="K253" i="6"/>
  <c r="M253" i="6"/>
  <c r="K254" i="6"/>
  <c r="M254" i="6"/>
  <c r="K255" i="6"/>
  <c r="M255" i="6"/>
  <c r="K256" i="6"/>
  <c r="M256" i="6"/>
  <c r="K257" i="6"/>
  <c r="M257" i="6"/>
  <c r="K258" i="6"/>
  <c r="M258" i="6"/>
  <c r="K259" i="6"/>
  <c r="M259" i="6"/>
  <c r="K260" i="6"/>
  <c r="M260" i="6"/>
  <c r="K261" i="6"/>
  <c r="M261" i="6"/>
  <c r="K262" i="6"/>
  <c r="M262" i="6"/>
  <c r="K263" i="6"/>
  <c r="M263" i="6"/>
  <c r="K264" i="6"/>
  <c r="M264" i="6"/>
  <c r="K265" i="6"/>
  <c r="M265" i="6"/>
  <c r="K266" i="6"/>
  <c r="M266" i="6"/>
  <c r="K267" i="6"/>
  <c r="M267" i="6"/>
  <c r="K268" i="6"/>
  <c r="M268" i="6"/>
  <c r="K269" i="6"/>
  <c r="M269" i="6"/>
  <c r="K270" i="6"/>
  <c r="M270" i="6"/>
  <c r="K271" i="6"/>
  <c r="M271" i="6"/>
  <c r="K272" i="6"/>
  <c r="M272" i="6"/>
  <c r="K273" i="6"/>
  <c r="M273" i="6"/>
  <c r="K274" i="6"/>
  <c r="M274" i="6"/>
  <c r="K275" i="6"/>
  <c r="M275" i="6"/>
  <c r="K276" i="6"/>
  <c r="M276" i="6"/>
  <c r="K277" i="6"/>
  <c r="M277" i="6"/>
  <c r="K278" i="6"/>
  <c r="M278" i="6"/>
  <c r="K279" i="6"/>
  <c r="M279" i="6"/>
  <c r="K280" i="6"/>
  <c r="M280" i="6"/>
  <c r="K281" i="6"/>
  <c r="M281" i="6"/>
  <c r="K282" i="6"/>
  <c r="M282" i="6"/>
  <c r="K283" i="6"/>
  <c r="M283" i="6"/>
  <c r="K284" i="6"/>
  <c r="M284" i="6"/>
  <c r="K285" i="6"/>
  <c r="M285" i="6"/>
  <c r="K286" i="6"/>
  <c r="M286" i="6"/>
  <c r="K287" i="6"/>
  <c r="M287" i="6"/>
  <c r="K288" i="6"/>
  <c r="M288" i="6"/>
  <c r="K289" i="6"/>
  <c r="M289" i="6"/>
  <c r="K290" i="6"/>
  <c r="M290" i="6"/>
  <c r="K291" i="6"/>
  <c r="M291" i="6"/>
  <c r="K292" i="6"/>
  <c r="M292" i="6"/>
  <c r="K293" i="6"/>
  <c r="M293" i="6"/>
  <c r="K294" i="6"/>
  <c r="M294" i="6"/>
  <c r="K295" i="6"/>
  <c r="M295" i="6"/>
  <c r="K296" i="6"/>
  <c r="M296" i="6"/>
  <c r="K297" i="6"/>
  <c r="M297" i="6"/>
  <c r="K298" i="6"/>
  <c r="M298" i="6"/>
  <c r="K299" i="6"/>
  <c r="M299" i="6"/>
  <c r="K300" i="6"/>
  <c r="M300" i="6"/>
  <c r="K301" i="6"/>
  <c r="M301" i="6"/>
  <c r="K302" i="6"/>
  <c r="M302" i="6"/>
  <c r="K303" i="6"/>
  <c r="M303" i="6"/>
  <c r="K304" i="6"/>
  <c r="M304" i="6"/>
  <c r="K305" i="6"/>
  <c r="M305" i="6"/>
  <c r="K306" i="6"/>
  <c r="M306" i="6"/>
  <c r="K307" i="6"/>
  <c r="M307" i="6"/>
  <c r="K308" i="6"/>
  <c r="M308" i="6"/>
  <c r="K309" i="6"/>
  <c r="M309" i="6"/>
  <c r="K310" i="6"/>
  <c r="M310" i="6"/>
  <c r="K311" i="6"/>
  <c r="M311" i="6"/>
  <c r="K312" i="6"/>
  <c r="M312" i="6"/>
  <c r="K313" i="6"/>
  <c r="M313" i="6"/>
  <c r="K314" i="6"/>
  <c r="M314" i="6"/>
  <c r="K315" i="6"/>
  <c r="M315" i="6"/>
  <c r="K316" i="6"/>
  <c r="M316" i="6"/>
  <c r="K317" i="6"/>
  <c r="M317" i="6"/>
  <c r="K318" i="6"/>
  <c r="M318" i="6"/>
  <c r="K319" i="6"/>
  <c r="M319" i="6"/>
  <c r="K320" i="6"/>
  <c r="M320" i="6"/>
  <c r="K321" i="6"/>
  <c r="M321" i="6"/>
  <c r="K322" i="6"/>
  <c r="M322" i="6"/>
  <c r="K323" i="6"/>
  <c r="M323" i="6"/>
  <c r="K324" i="6"/>
  <c r="M324" i="6"/>
  <c r="K325" i="6"/>
  <c r="M325" i="6"/>
  <c r="K326" i="6"/>
  <c r="M326" i="6"/>
  <c r="K327" i="6"/>
  <c r="M327" i="6"/>
  <c r="K328" i="6"/>
  <c r="M328" i="6"/>
  <c r="K329" i="6"/>
  <c r="M329" i="6"/>
  <c r="K330" i="6"/>
  <c r="M330" i="6"/>
  <c r="K331" i="6"/>
  <c r="M331" i="6"/>
  <c r="K332" i="6"/>
  <c r="M332" i="6"/>
  <c r="K333" i="6"/>
  <c r="M333" i="6"/>
  <c r="K334" i="6"/>
  <c r="M334" i="6"/>
  <c r="K335" i="6"/>
  <c r="M335" i="6"/>
  <c r="K336" i="6"/>
  <c r="M336" i="6"/>
  <c r="K337" i="6"/>
  <c r="M337" i="6"/>
  <c r="K338" i="6"/>
  <c r="M338" i="6"/>
  <c r="K339" i="6"/>
  <c r="M339" i="6"/>
  <c r="K340" i="6"/>
  <c r="M340" i="6"/>
  <c r="K341" i="6"/>
  <c r="M341" i="6"/>
  <c r="K342" i="6"/>
  <c r="M342" i="6"/>
  <c r="K343" i="6"/>
  <c r="M343" i="6"/>
  <c r="K344" i="6"/>
  <c r="M344" i="6"/>
  <c r="K345" i="6"/>
  <c r="M345" i="6"/>
  <c r="K346" i="6"/>
  <c r="M346" i="6"/>
  <c r="K347" i="6"/>
  <c r="M347" i="6"/>
  <c r="K348" i="6"/>
  <c r="M348" i="6"/>
  <c r="K349" i="6"/>
  <c r="M349" i="6"/>
  <c r="K350" i="6"/>
  <c r="M350" i="6"/>
  <c r="K351" i="6"/>
  <c r="M351" i="6"/>
  <c r="K352" i="6"/>
  <c r="M352" i="6"/>
  <c r="K353" i="6"/>
  <c r="M353" i="6"/>
  <c r="K354" i="6"/>
  <c r="M354" i="6"/>
  <c r="K355" i="6"/>
  <c r="M355" i="6"/>
  <c r="K356" i="6"/>
  <c r="M356" i="6"/>
  <c r="K357" i="6"/>
  <c r="M357" i="6"/>
  <c r="K358" i="6"/>
  <c r="M358" i="6"/>
  <c r="K359" i="6"/>
  <c r="M359" i="6"/>
  <c r="K360" i="6"/>
  <c r="M360" i="6"/>
  <c r="K361" i="6"/>
  <c r="M361" i="6"/>
  <c r="K362" i="6"/>
  <c r="M362" i="6"/>
  <c r="K363" i="6"/>
  <c r="M363" i="6"/>
  <c r="K364" i="6"/>
  <c r="M364" i="6"/>
  <c r="K365" i="6"/>
  <c r="M365" i="6"/>
  <c r="K366" i="6"/>
  <c r="M366" i="6"/>
  <c r="K367" i="6"/>
  <c r="M367" i="6"/>
  <c r="K368" i="6"/>
  <c r="M368" i="6"/>
  <c r="K369" i="6"/>
  <c r="M369" i="6"/>
  <c r="K370" i="6"/>
  <c r="M370" i="6"/>
  <c r="K371" i="6"/>
  <c r="M371" i="6"/>
  <c r="K372" i="6"/>
  <c r="M372" i="6"/>
  <c r="K373" i="6"/>
  <c r="M373" i="6"/>
  <c r="K374" i="6"/>
  <c r="M374" i="6"/>
  <c r="K375" i="6"/>
  <c r="M375" i="6"/>
  <c r="K376" i="6"/>
  <c r="M376" i="6"/>
  <c r="K377" i="6"/>
  <c r="M377" i="6"/>
  <c r="K378" i="6"/>
  <c r="M378" i="6"/>
  <c r="K379" i="6"/>
  <c r="M379" i="6"/>
  <c r="K380" i="6"/>
  <c r="M380" i="6"/>
  <c r="K381" i="6"/>
  <c r="M381" i="6"/>
  <c r="K382" i="6"/>
  <c r="M382" i="6"/>
  <c r="K383" i="6"/>
  <c r="M383" i="6"/>
  <c r="K384" i="6"/>
  <c r="M384" i="6"/>
  <c r="K385" i="6"/>
  <c r="M385" i="6"/>
  <c r="K386" i="6"/>
  <c r="M386" i="6"/>
  <c r="K387" i="6"/>
  <c r="M387" i="6"/>
  <c r="K388" i="6"/>
  <c r="M388" i="6"/>
  <c r="K389" i="6"/>
  <c r="M389" i="6"/>
  <c r="K390" i="6"/>
  <c r="M390" i="6"/>
  <c r="K391" i="6"/>
  <c r="M391" i="6"/>
  <c r="K392" i="6"/>
  <c r="M392" i="6"/>
  <c r="K393" i="6"/>
  <c r="M393" i="6"/>
  <c r="K394" i="6"/>
  <c r="M394" i="6"/>
  <c r="K395" i="6"/>
  <c r="M395" i="6"/>
  <c r="K396" i="6"/>
  <c r="M396" i="6"/>
  <c r="K397" i="6"/>
  <c r="M397" i="6"/>
  <c r="K398" i="6"/>
  <c r="M398" i="6"/>
  <c r="K399" i="6"/>
  <c r="M399" i="6"/>
  <c r="K400" i="6"/>
  <c r="M400" i="6"/>
  <c r="K401" i="6"/>
  <c r="M401" i="6"/>
  <c r="K402" i="6"/>
  <c r="M402" i="6"/>
  <c r="K403" i="6"/>
  <c r="M403" i="6"/>
  <c r="K404" i="6"/>
  <c r="M404" i="6"/>
  <c r="K405" i="6"/>
  <c r="M405" i="6"/>
  <c r="K406" i="6"/>
  <c r="M406" i="6"/>
  <c r="K407" i="6"/>
  <c r="M407" i="6"/>
  <c r="K408" i="6"/>
  <c r="M408" i="6"/>
  <c r="K409" i="6"/>
  <c r="M409" i="6"/>
  <c r="K410" i="6"/>
  <c r="M410" i="6"/>
  <c r="K411" i="6"/>
  <c r="M411" i="6"/>
  <c r="K412" i="6"/>
  <c r="M412" i="6"/>
  <c r="K413" i="6"/>
  <c r="M413" i="6"/>
  <c r="K414" i="6"/>
  <c r="M414" i="6"/>
  <c r="K415" i="6"/>
  <c r="M415" i="6"/>
  <c r="K416" i="6"/>
  <c r="M416" i="6"/>
  <c r="K417" i="6"/>
  <c r="M417" i="6"/>
  <c r="K418" i="6"/>
  <c r="M418" i="6"/>
  <c r="K419" i="6"/>
  <c r="M419" i="6"/>
  <c r="K420" i="6"/>
  <c r="M420" i="6"/>
  <c r="K421" i="6"/>
  <c r="M421" i="6"/>
  <c r="K422" i="6"/>
  <c r="M422" i="6"/>
  <c r="K423" i="6"/>
  <c r="M423" i="6"/>
  <c r="K424" i="6"/>
  <c r="M424" i="6"/>
  <c r="K425" i="6"/>
  <c r="M425" i="6"/>
  <c r="K426" i="6"/>
  <c r="M426" i="6"/>
  <c r="K427" i="6"/>
  <c r="M427" i="6"/>
  <c r="K428" i="6"/>
  <c r="M428" i="6"/>
  <c r="K429" i="6"/>
  <c r="M429" i="6"/>
  <c r="K430" i="6"/>
  <c r="M430" i="6"/>
  <c r="K431" i="6"/>
  <c r="M431" i="6"/>
  <c r="K432" i="6"/>
  <c r="M432" i="6"/>
  <c r="K433" i="6"/>
  <c r="M433" i="6"/>
  <c r="K434" i="6"/>
  <c r="M434" i="6"/>
  <c r="K435" i="6"/>
  <c r="M435" i="6"/>
  <c r="K436" i="6"/>
  <c r="M436" i="6"/>
  <c r="K437" i="6"/>
  <c r="M437" i="6"/>
  <c r="K438" i="6"/>
  <c r="M438" i="6"/>
  <c r="K439" i="6"/>
  <c r="M439" i="6"/>
  <c r="K440" i="6"/>
  <c r="M440" i="6"/>
  <c r="K441" i="6"/>
  <c r="M441" i="6"/>
  <c r="K442" i="6"/>
  <c r="M442" i="6"/>
  <c r="K443" i="6"/>
  <c r="M443" i="6"/>
  <c r="K444" i="6"/>
  <c r="M444" i="6"/>
  <c r="K445" i="6"/>
  <c r="M445" i="6"/>
  <c r="K446" i="6"/>
  <c r="M446" i="6"/>
  <c r="K447" i="6"/>
  <c r="M447" i="6"/>
  <c r="K448" i="6"/>
  <c r="M448" i="6"/>
  <c r="K449" i="6"/>
  <c r="M449" i="6"/>
  <c r="K450" i="6"/>
  <c r="M450" i="6"/>
  <c r="K451" i="6"/>
  <c r="M451" i="6"/>
  <c r="K452" i="6"/>
  <c r="M452" i="6"/>
  <c r="K453" i="6"/>
  <c r="M453" i="6"/>
  <c r="K454" i="6"/>
  <c r="M454" i="6"/>
  <c r="K455" i="6"/>
  <c r="M455" i="6"/>
  <c r="K456" i="6"/>
  <c r="M456" i="6"/>
  <c r="K457" i="6"/>
  <c r="M457" i="6"/>
  <c r="K458" i="6"/>
  <c r="M458" i="6"/>
  <c r="K459" i="6"/>
  <c r="M459" i="6"/>
  <c r="K460" i="6"/>
  <c r="M460" i="6"/>
  <c r="K461" i="6"/>
  <c r="M461" i="6"/>
  <c r="K462" i="6"/>
  <c r="M462" i="6"/>
  <c r="K463" i="6"/>
  <c r="M463" i="6"/>
  <c r="K464" i="6"/>
  <c r="M464" i="6"/>
  <c r="K465" i="6"/>
  <c r="M465" i="6"/>
  <c r="K466" i="6"/>
  <c r="M466" i="6"/>
  <c r="K467" i="6"/>
  <c r="M467" i="6"/>
  <c r="K468" i="6"/>
  <c r="M468" i="6"/>
  <c r="K469" i="6"/>
  <c r="M469" i="6"/>
  <c r="K470" i="6"/>
  <c r="M470" i="6"/>
  <c r="K471" i="6"/>
  <c r="M471" i="6"/>
  <c r="K472" i="6"/>
  <c r="M472" i="6"/>
  <c r="K473" i="6"/>
  <c r="M473" i="6"/>
  <c r="K474" i="6"/>
  <c r="M474" i="6"/>
  <c r="K475" i="6"/>
  <c r="M475" i="6"/>
  <c r="K476" i="6"/>
  <c r="M476" i="6"/>
  <c r="K477" i="6"/>
  <c r="M477" i="6"/>
  <c r="K478" i="6"/>
  <c r="M478" i="6"/>
  <c r="K479" i="6"/>
  <c r="M479" i="6"/>
  <c r="K480" i="6"/>
  <c r="M480" i="6"/>
  <c r="K481" i="6"/>
  <c r="M481" i="6"/>
  <c r="K482" i="6"/>
  <c r="M482" i="6"/>
  <c r="K483" i="6"/>
  <c r="M483" i="6"/>
  <c r="K484" i="6"/>
  <c r="M484" i="6"/>
  <c r="K485" i="6"/>
  <c r="M485" i="6"/>
  <c r="K486" i="6"/>
  <c r="M486" i="6"/>
  <c r="K487" i="6"/>
  <c r="M487" i="6"/>
  <c r="K488" i="6"/>
  <c r="M488" i="6"/>
  <c r="K489" i="6"/>
  <c r="M489" i="6"/>
  <c r="K490" i="6"/>
  <c r="M490" i="6"/>
  <c r="K491" i="6"/>
  <c r="M491" i="6"/>
  <c r="K492" i="6"/>
  <c r="M492" i="6"/>
  <c r="K493" i="6"/>
  <c r="M493" i="6"/>
  <c r="K494" i="6"/>
  <c r="M494" i="6"/>
  <c r="K495" i="6"/>
  <c r="M495" i="6"/>
  <c r="K496" i="6"/>
  <c r="M496" i="6"/>
  <c r="K497" i="6"/>
  <c r="M497" i="6"/>
  <c r="K498" i="6"/>
  <c r="M498" i="6"/>
  <c r="K499" i="6"/>
  <c r="M499" i="6"/>
  <c r="K500" i="6"/>
  <c r="M500" i="6"/>
  <c r="K501" i="6"/>
  <c r="M501" i="6"/>
  <c r="K502" i="6"/>
  <c r="M502" i="6"/>
  <c r="K503" i="6"/>
  <c r="M503" i="6"/>
  <c r="K504" i="6"/>
  <c r="M504" i="6"/>
  <c r="K505" i="6"/>
  <c r="M505" i="6"/>
  <c r="K506" i="6"/>
  <c r="M506" i="6"/>
  <c r="K507" i="6"/>
  <c r="M507" i="6"/>
  <c r="K508" i="6"/>
  <c r="M508" i="6"/>
  <c r="K509" i="6"/>
  <c r="M509" i="6"/>
  <c r="K510" i="6"/>
  <c r="M510" i="6"/>
  <c r="K511" i="6"/>
  <c r="M511" i="6"/>
  <c r="K512" i="6"/>
  <c r="M512" i="6"/>
  <c r="K513" i="6"/>
  <c r="M513" i="6"/>
  <c r="K514" i="6"/>
  <c r="M514" i="6"/>
  <c r="K515" i="6"/>
  <c r="M515" i="6"/>
  <c r="K516" i="6"/>
  <c r="M516" i="6"/>
  <c r="K517" i="6"/>
  <c r="M517" i="6"/>
  <c r="K518" i="6"/>
  <c r="M518" i="6"/>
  <c r="K519" i="6"/>
  <c r="M519" i="6"/>
  <c r="K520" i="6"/>
  <c r="M520" i="6"/>
  <c r="K521" i="6"/>
  <c r="M521" i="6"/>
  <c r="K522" i="6"/>
  <c r="M522" i="6"/>
  <c r="K523" i="6"/>
  <c r="M523" i="6"/>
  <c r="K524" i="6"/>
  <c r="M524" i="6"/>
  <c r="K525" i="6"/>
  <c r="M525" i="6"/>
  <c r="K526" i="6"/>
  <c r="M526" i="6"/>
  <c r="K527" i="6"/>
  <c r="M527" i="6"/>
  <c r="K528" i="6"/>
  <c r="M528" i="6"/>
  <c r="K529" i="6"/>
  <c r="M529" i="6"/>
  <c r="K530" i="6"/>
  <c r="M530" i="6"/>
  <c r="K531" i="6"/>
  <c r="M531" i="6"/>
  <c r="K532" i="6"/>
  <c r="M532" i="6"/>
  <c r="K533" i="6"/>
  <c r="M533" i="6"/>
  <c r="K534" i="6"/>
  <c r="M534" i="6"/>
  <c r="K535" i="6"/>
  <c r="M535" i="6"/>
  <c r="K536" i="6"/>
  <c r="M536" i="6"/>
  <c r="K537" i="6"/>
  <c r="M537" i="6"/>
  <c r="K538" i="6"/>
  <c r="M538" i="6"/>
  <c r="K539" i="6"/>
  <c r="M539" i="6"/>
  <c r="K540" i="6"/>
  <c r="M540" i="6"/>
  <c r="K541" i="6"/>
  <c r="M541" i="6"/>
  <c r="K542" i="6"/>
  <c r="M542" i="6"/>
  <c r="K543" i="6"/>
  <c r="M543" i="6"/>
  <c r="K544" i="6"/>
  <c r="M544" i="6"/>
  <c r="K545" i="6"/>
  <c r="M545" i="6"/>
  <c r="K546" i="6"/>
  <c r="M546" i="6"/>
  <c r="K547" i="6"/>
  <c r="M547" i="6"/>
  <c r="K548" i="6"/>
  <c r="M548" i="6"/>
  <c r="K549" i="6"/>
  <c r="M549" i="6"/>
  <c r="K550" i="6"/>
  <c r="M550" i="6"/>
  <c r="K551" i="6"/>
  <c r="M551" i="6"/>
  <c r="K552" i="6"/>
  <c r="M552" i="6"/>
  <c r="K553" i="6"/>
  <c r="M553" i="6"/>
  <c r="K554" i="6"/>
  <c r="M554" i="6"/>
  <c r="K555" i="6"/>
  <c r="M555" i="6"/>
  <c r="K556" i="6"/>
  <c r="M556" i="6"/>
  <c r="K557" i="6"/>
  <c r="M557" i="6"/>
  <c r="K558" i="6"/>
  <c r="M558" i="6"/>
  <c r="K559" i="6"/>
  <c r="M559" i="6"/>
  <c r="K560" i="6"/>
  <c r="M560" i="6"/>
  <c r="K561" i="6"/>
  <c r="M561" i="6"/>
  <c r="K562" i="6"/>
  <c r="M562" i="6"/>
  <c r="K563" i="6"/>
  <c r="M563" i="6"/>
  <c r="K564" i="6"/>
  <c r="M564" i="6"/>
  <c r="K565" i="6"/>
  <c r="M565" i="6"/>
  <c r="K566" i="6"/>
  <c r="M566" i="6"/>
  <c r="K567" i="6"/>
  <c r="M567" i="6"/>
  <c r="K568" i="6"/>
  <c r="M568" i="6"/>
  <c r="K569" i="6"/>
  <c r="M569" i="6"/>
  <c r="K570" i="6"/>
  <c r="M570" i="6"/>
  <c r="K571" i="6"/>
  <c r="M571" i="6"/>
  <c r="K572" i="6"/>
  <c r="M572" i="6"/>
  <c r="K573" i="6"/>
  <c r="M573" i="6"/>
  <c r="K574" i="6"/>
  <c r="M574" i="6"/>
  <c r="K575" i="6"/>
  <c r="M575" i="6"/>
  <c r="K576" i="6"/>
  <c r="M576" i="6"/>
  <c r="K577" i="6"/>
  <c r="M577" i="6"/>
  <c r="K578" i="6"/>
  <c r="M578" i="6"/>
  <c r="K579" i="6"/>
  <c r="M579" i="6"/>
  <c r="K580" i="6"/>
  <c r="M580" i="6"/>
  <c r="K581" i="6"/>
  <c r="M581" i="6"/>
  <c r="K582" i="6"/>
  <c r="M582" i="6"/>
  <c r="K583" i="6"/>
  <c r="M583" i="6"/>
  <c r="K584" i="6"/>
  <c r="M584" i="6"/>
  <c r="K585" i="6"/>
  <c r="M585" i="6"/>
  <c r="K586" i="6"/>
  <c r="M586" i="6"/>
  <c r="K587" i="6"/>
  <c r="M587" i="6"/>
  <c r="K588" i="6"/>
  <c r="M588" i="6"/>
  <c r="K589" i="6"/>
  <c r="M589" i="6"/>
  <c r="K590" i="6"/>
  <c r="M590" i="6"/>
  <c r="K591" i="6"/>
  <c r="M591" i="6"/>
  <c r="K592" i="6"/>
  <c r="M592" i="6"/>
  <c r="K593" i="6"/>
  <c r="M593" i="6"/>
  <c r="K594" i="6"/>
  <c r="M594" i="6"/>
  <c r="K595" i="6"/>
  <c r="M595" i="6"/>
  <c r="K596" i="6"/>
  <c r="M596" i="6"/>
  <c r="K597" i="6"/>
  <c r="M597" i="6"/>
  <c r="K598" i="6"/>
  <c r="M598" i="6"/>
  <c r="K599" i="6"/>
  <c r="M599" i="6"/>
  <c r="K600" i="6"/>
  <c r="M600" i="6"/>
  <c r="K601" i="6"/>
  <c r="M601" i="6"/>
  <c r="K602" i="6"/>
  <c r="M602" i="6"/>
  <c r="K603" i="6"/>
  <c r="M603" i="6"/>
  <c r="K604" i="6"/>
  <c r="M604" i="6"/>
  <c r="K605" i="6"/>
  <c r="M605" i="6"/>
  <c r="K606" i="6"/>
  <c r="M606" i="6"/>
  <c r="K607" i="6"/>
  <c r="M607" i="6"/>
  <c r="K608" i="6"/>
  <c r="M608" i="6"/>
  <c r="K609" i="6"/>
  <c r="M609" i="6"/>
  <c r="K610" i="6"/>
  <c r="M610" i="6"/>
  <c r="K611" i="6"/>
  <c r="M611" i="6"/>
  <c r="K612" i="6"/>
  <c r="M612" i="6"/>
  <c r="K613" i="6"/>
  <c r="M613" i="6"/>
  <c r="K614" i="6"/>
  <c r="M614" i="6"/>
  <c r="K615" i="6"/>
  <c r="M615" i="6"/>
  <c r="K616" i="6"/>
  <c r="M616" i="6"/>
  <c r="K617" i="6"/>
  <c r="M617" i="6"/>
  <c r="K618" i="6"/>
  <c r="M618" i="6"/>
  <c r="K619" i="6"/>
  <c r="M619" i="6"/>
  <c r="K620" i="6"/>
  <c r="M620" i="6"/>
  <c r="K621" i="6"/>
  <c r="M621" i="6"/>
  <c r="K622" i="6"/>
  <c r="M622" i="6"/>
  <c r="K623" i="6"/>
  <c r="M623" i="6"/>
  <c r="K624" i="6"/>
  <c r="M624" i="6"/>
  <c r="K625" i="6"/>
  <c r="M625" i="6"/>
  <c r="K626" i="6"/>
  <c r="M626" i="6"/>
  <c r="K627" i="6"/>
  <c r="M627" i="6"/>
  <c r="K628" i="6"/>
  <c r="M628" i="6"/>
  <c r="K629" i="6"/>
  <c r="M629" i="6"/>
  <c r="K630" i="6"/>
  <c r="M630" i="6"/>
  <c r="K631" i="6"/>
  <c r="M631" i="6"/>
  <c r="K632" i="6"/>
  <c r="M632" i="6"/>
  <c r="K633" i="6"/>
  <c r="M633" i="6"/>
  <c r="K634" i="6"/>
  <c r="M634" i="6"/>
  <c r="K635" i="6"/>
  <c r="M635" i="6"/>
  <c r="K636" i="6"/>
  <c r="M636" i="6"/>
  <c r="K637" i="6"/>
  <c r="M637" i="6"/>
  <c r="K638" i="6"/>
  <c r="M638" i="6"/>
  <c r="K639" i="6"/>
  <c r="M639" i="6"/>
  <c r="K640" i="6"/>
  <c r="M640" i="6"/>
  <c r="K641" i="6"/>
  <c r="M641" i="6"/>
  <c r="K642" i="6"/>
  <c r="M642" i="6"/>
  <c r="K643" i="6"/>
  <c r="M643" i="6"/>
  <c r="K644" i="6"/>
  <c r="M644" i="6"/>
  <c r="K645" i="6"/>
  <c r="M645" i="6"/>
  <c r="K646" i="6"/>
  <c r="M646" i="6"/>
  <c r="K647" i="6"/>
  <c r="M647" i="6"/>
  <c r="K648" i="6"/>
  <c r="M648" i="6"/>
  <c r="K649" i="6"/>
  <c r="M649" i="6"/>
  <c r="K650" i="6"/>
  <c r="M650" i="6"/>
  <c r="K651" i="6"/>
  <c r="M651" i="6"/>
  <c r="K652" i="6"/>
  <c r="M652" i="6"/>
  <c r="K653" i="6"/>
  <c r="M653" i="6"/>
  <c r="K654" i="6"/>
  <c r="M654" i="6"/>
  <c r="K655" i="6"/>
  <c r="M655" i="6"/>
  <c r="K656" i="6"/>
  <c r="M656" i="6"/>
  <c r="K657" i="6"/>
  <c r="M657" i="6"/>
  <c r="K658" i="6"/>
  <c r="M658" i="6"/>
  <c r="K659" i="6"/>
  <c r="M659" i="6"/>
  <c r="K660" i="6"/>
  <c r="M660" i="6"/>
  <c r="K661" i="6"/>
  <c r="M661" i="6"/>
  <c r="K662" i="6"/>
  <c r="M662" i="6"/>
  <c r="K663" i="6"/>
  <c r="M663" i="6"/>
  <c r="K664" i="6"/>
  <c r="M664" i="6"/>
  <c r="K665" i="6"/>
  <c r="M665" i="6"/>
  <c r="K666" i="6"/>
  <c r="M666" i="6"/>
  <c r="K667" i="6"/>
  <c r="M667" i="6"/>
  <c r="K668" i="6"/>
  <c r="M668" i="6"/>
  <c r="K669" i="6"/>
  <c r="M669" i="6"/>
  <c r="K670" i="6"/>
  <c r="M670" i="6"/>
  <c r="K671" i="6"/>
  <c r="M671" i="6"/>
  <c r="K672" i="6"/>
  <c r="M672" i="6"/>
  <c r="K673" i="6"/>
  <c r="M673" i="6"/>
  <c r="K674" i="6"/>
  <c r="M674" i="6"/>
  <c r="K675" i="6"/>
  <c r="M675" i="6"/>
  <c r="K676" i="6"/>
  <c r="M676" i="6"/>
  <c r="K677" i="6"/>
  <c r="M677" i="6"/>
  <c r="K678" i="6"/>
  <c r="M678" i="6"/>
  <c r="K679" i="6"/>
  <c r="M679" i="6"/>
  <c r="K680" i="6"/>
  <c r="M680" i="6"/>
  <c r="K681" i="6"/>
  <c r="M681" i="6"/>
  <c r="K682" i="6"/>
  <c r="M682" i="6"/>
  <c r="K683" i="6"/>
  <c r="M683" i="6"/>
  <c r="K684" i="6"/>
  <c r="M684" i="6"/>
  <c r="K685" i="6"/>
  <c r="M685" i="6"/>
  <c r="K686" i="6"/>
  <c r="M686" i="6"/>
  <c r="K687" i="6"/>
  <c r="M687" i="6"/>
  <c r="K688" i="6"/>
  <c r="M688" i="6"/>
  <c r="K689" i="6"/>
  <c r="M689" i="6"/>
  <c r="K690" i="6"/>
  <c r="M690" i="6"/>
  <c r="K691" i="6"/>
  <c r="M691" i="6"/>
  <c r="K692" i="6"/>
  <c r="M692" i="6"/>
  <c r="K693" i="6"/>
  <c r="M693" i="6"/>
  <c r="K694" i="6"/>
  <c r="M694" i="6"/>
  <c r="K695" i="6"/>
  <c r="M695" i="6"/>
  <c r="K696" i="6"/>
  <c r="M696" i="6"/>
  <c r="K697" i="6"/>
  <c r="M697" i="6"/>
  <c r="K698" i="6"/>
  <c r="M698" i="6"/>
  <c r="K699" i="6"/>
  <c r="M699" i="6"/>
  <c r="K700" i="6"/>
  <c r="M700" i="6"/>
  <c r="K701" i="6"/>
  <c r="M701" i="6"/>
  <c r="K702" i="6"/>
  <c r="M702" i="6"/>
  <c r="K703" i="6"/>
  <c r="M703" i="6"/>
  <c r="K704" i="6"/>
  <c r="M704" i="6"/>
  <c r="K705" i="6"/>
  <c r="M705" i="6"/>
  <c r="K706" i="6"/>
  <c r="M706" i="6"/>
  <c r="K707" i="6"/>
  <c r="M707" i="6"/>
  <c r="K708" i="6"/>
  <c r="M708" i="6"/>
  <c r="K709" i="6"/>
  <c r="M709" i="6"/>
  <c r="K710" i="6"/>
  <c r="M710" i="6"/>
  <c r="K711" i="6"/>
  <c r="M711" i="6"/>
  <c r="K712" i="6"/>
  <c r="M712" i="6"/>
  <c r="K713" i="6"/>
  <c r="M713" i="6"/>
  <c r="K714" i="6"/>
  <c r="M714" i="6"/>
  <c r="K715" i="6"/>
  <c r="M715" i="6"/>
  <c r="K716" i="6"/>
  <c r="M716" i="6"/>
  <c r="K717" i="6"/>
  <c r="M717" i="6"/>
  <c r="K718" i="6"/>
  <c r="M718" i="6"/>
  <c r="K719" i="6"/>
  <c r="M719" i="6"/>
  <c r="K720" i="6"/>
  <c r="M720" i="6"/>
  <c r="K721" i="6"/>
  <c r="M721" i="6"/>
  <c r="K722" i="6"/>
  <c r="M722" i="6"/>
  <c r="K723" i="6"/>
  <c r="M723" i="6"/>
  <c r="K724" i="6"/>
  <c r="M724" i="6"/>
  <c r="K725" i="6"/>
  <c r="M725" i="6"/>
  <c r="K726" i="6"/>
  <c r="M726" i="6"/>
  <c r="K727" i="6"/>
  <c r="M727" i="6"/>
  <c r="K728" i="6"/>
  <c r="M728" i="6"/>
  <c r="K729" i="6"/>
  <c r="M729" i="6"/>
  <c r="K730" i="6"/>
  <c r="M730" i="6"/>
  <c r="K731" i="6"/>
  <c r="M731" i="6"/>
  <c r="K732" i="6"/>
  <c r="M732" i="6"/>
  <c r="K733" i="6"/>
  <c r="M733" i="6"/>
  <c r="K734" i="6"/>
  <c r="M734" i="6"/>
  <c r="K735" i="6"/>
  <c r="M735" i="6"/>
  <c r="K736" i="6"/>
  <c r="M736" i="6"/>
  <c r="K737" i="6"/>
  <c r="M737" i="6"/>
  <c r="K738" i="6"/>
  <c r="M738" i="6"/>
  <c r="K739" i="6"/>
  <c r="M739" i="6"/>
  <c r="K740" i="6"/>
  <c r="M740" i="6"/>
  <c r="K741" i="6"/>
  <c r="M741" i="6"/>
  <c r="K742" i="6"/>
  <c r="M742" i="6"/>
  <c r="K743" i="6"/>
  <c r="M743" i="6"/>
  <c r="K744" i="6"/>
  <c r="M744" i="6"/>
  <c r="K745" i="6"/>
  <c r="M745" i="6"/>
  <c r="K746" i="6"/>
  <c r="M746" i="6"/>
  <c r="K747" i="6"/>
  <c r="M747" i="6"/>
  <c r="K748" i="6"/>
  <c r="M748" i="6"/>
  <c r="K749" i="6"/>
  <c r="M749" i="6"/>
  <c r="K750" i="6"/>
  <c r="M750" i="6"/>
  <c r="K751" i="6"/>
  <c r="M751" i="6"/>
  <c r="K752" i="6"/>
  <c r="M752" i="6"/>
  <c r="K753" i="6"/>
  <c r="M753" i="6"/>
  <c r="K754" i="6"/>
  <c r="M754" i="6"/>
  <c r="K755" i="6"/>
  <c r="M755" i="6"/>
  <c r="K756" i="6"/>
  <c r="M756" i="6"/>
  <c r="K757" i="6"/>
  <c r="M757" i="6"/>
  <c r="K758" i="6"/>
  <c r="M758" i="6"/>
  <c r="K759" i="6"/>
  <c r="M759" i="6"/>
  <c r="K760" i="6"/>
  <c r="M760" i="6"/>
  <c r="K761" i="6"/>
  <c r="M761" i="6"/>
  <c r="K762" i="6"/>
  <c r="M762" i="6"/>
  <c r="K763" i="6"/>
  <c r="M763" i="6"/>
  <c r="K764" i="6"/>
  <c r="M764" i="6"/>
  <c r="K765" i="6"/>
  <c r="M765" i="6"/>
  <c r="K766" i="6"/>
  <c r="M766" i="6"/>
  <c r="K767" i="6"/>
  <c r="M767" i="6"/>
  <c r="K768" i="6"/>
  <c r="M768" i="6"/>
  <c r="K769" i="6"/>
  <c r="M769" i="6"/>
  <c r="K770" i="6"/>
  <c r="M770" i="6"/>
  <c r="K771" i="6"/>
  <c r="M771" i="6"/>
  <c r="K772" i="6"/>
  <c r="M772" i="6"/>
  <c r="K773" i="6"/>
  <c r="M773" i="6"/>
  <c r="K774" i="6"/>
  <c r="M774" i="6"/>
  <c r="K775" i="6"/>
  <c r="M775" i="6"/>
  <c r="K776" i="6"/>
  <c r="M776" i="6"/>
  <c r="K777" i="6"/>
  <c r="M777" i="6"/>
  <c r="K778" i="6"/>
  <c r="M778" i="6"/>
  <c r="K779" i="6"/>
  <c r="M779" i="6"/>
  <c r="K780" i="6"/>
  <c r="M780" i="6"/>
  <c r="K781" i="6"/>
  <c r="M781" i="6"/>
  <c r="K782" i="6"/>
  <c r="M782" i="6"/>
  <c r="K783" i="6"/>
  <c r="M783" i="6"/>
  <c r="K784" i="6"/>
  <c r="M784" i="6"/>
  <c r="K785" i="6"/>
  <c r="M785" i="6"/>
  <c r="K786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/>
  <c r="L4" i="6"/>
  <c r="N4" i="6"/>
  <c r="L5" i="6"/>
  <c r="N5" i="6"/>
  <c r="L6" i="6"/>
  <c r="N6" i="6"/>
  <c r="L7" i="6"/>
  <c r="N7" i="6"/>
  <c r="L8" i="6"/>
  <c r="N8" i="6"/>
  <c r="L9" i="6"/>
  <c r="N9" i="6"/>
  <c r="L10" i="6"/>
  <c r="N10" i="6"/>
  <c r="L11" i="6"/>
  <c r="N11" i="6"/>
  <c r="L12" i="6"/>
  <c r="N12" i="6"/>
  <c r="L13" i="6"/>
  <c r="N13" i="6"/>
  <c r="L14" i="6"/>
  <c r="N14" i="6"/>
  <c r="L15" i="6"/>
  <c r="N15" i="6"/>
  <c r="L16" i="6"/>
  <c r="N16" i="6"/>
  <c r="L17" i="6"/>
  <c r="N17" i="6"/>
  <c r="L18" i="6"/>
  <c r="N18" i="6"/>
  <c r="L19" i="6"/>
  <c r="N19" i="6"/>
  <c r="L20" i="6"/>
  <c r="N20" i="6"/>
  <c r="L21" i="6"/>
  <c r="N21" i="6"/>
  <c r="L22" i="6"/>
  <c r="N22" i="6"/>
  <c r="L23" i="6"/>
  <c r="N23" i="6"/>
  <c r="L24" i="6"/>
  <c r="N24" i="6"/>
  <c r="L25" i="6"/>
  <c r="N25" i="6"/>
  <c r="L26" i="6"/>
  <c r="N26" i="6"/>
  <c r="L27" i="6"/>
  <c r="N27" i="6"/>
  <c r="L28" i="6"/>
  <c r="N28" i="6"/>
  <c r="L29" i="6"/>
  <c r="N29" i="6"/>
  <c r="L30" i="6"/>
  <c r="N30" i="6"/>
  <c r="L31" i="6"/>
  <c r="N31" i="6"/>
  <c r="L32" i="6"/>
  <c r="N32" i="6"/>
  <c r="L33" i="6"/>
  <c r="N33" i="6"/>
  <c r="L34" i="6"/>
  <c r="N34" i="6"/>
  <c r="L35" i="6"/>
  <c r="N35" i="6"/>
  <c r="L36" i="6"/>
  <c r="N36" i="6"/>
  <c r="L37" i="6"/>
  <c r="N37" i="6"/>
  <c r="L38" i="6"/>
  <c r="N38" i="6"/>
  <c r="L39" i="6"/>
  <c r="N39" i="6"/>
  <c r="L40" i="6"/>
  <c r="N40" i="6"/>
  <c r="L41" i="6"/>
  <c r="N41" i="6"/>
  <c r="L42" i="6"/>
  <c r="N42" i="6"/>
  <c r="L43" i="6"/>
  <c r="N43" i="6"/>
  <c r="L44" i="6"/>
  <c r="N44" i="6"/>
  <c r="L45" i="6"/>
  <c r="N45" i="6"/>
  <c r="L46" i="6"/>
  <c r="N46" i="6"/>
  <c r="L47" i="6"/>
  <c r="N47" i="6"/>
  <c r="L48" i="6"/>
  <c r="N48" i="6"/>
  <c r="L49" i="6"/>
  <c r="N49" i="6"/>
  <c r="L50" i="6"/>
  <c r="N50" i="6"/>
  <c r="L51" i="6"/>
  <c r="N51" i="6"/>
  <c r="L52" i="6"/>
  <c r="N52" i="6"/>
  <c r="L53" i="6"/>
  <c r="N53" i="6"/>
  <c r="L54" i="6"/>
  <c r="N54" i="6"/>
  <c r="L55" i="6"/>
  <c r="N55" i="6"/>
  <c r="L56" i="6"/>
  <c r="N56" i="6"/>
  <c r="L57" i="6"/>
  <c r="N57" i="6"/>
  <c r="L58" i="6"/>
  <c r="N58" i="6"/>
  <c r="L59" i="6"/>
  <c r="N59" i="6"/>
  <c r="L60" i="6"/>
  <c r="N60" i="6"/>
  <c r="L61" i="6"/>
  <c r="N61" i="6"/>
  <c r="L62" i="6"/>
  <c r="N62" i="6"/>
  <c r="L63" i="6"/>
  <c r="N63" i="6"/>
  <c r="L64" i="6"/>
  <c r="N64" i="6"/>
  <c r="L65" i="6"/>
  <c r="N65" i="6"/>
  <c r="L66" i="6"/>
  <c r="N66" i="6"/>
  <c r="L67" i="6"/>
  <c r="N67" i="6"/>
  <c r="L68" i="6"/>
  <c r="N68" i="6"/>
  <c r="L69" i="6"/>
  <c r="N69" i="6"/>
  <c r="L70" i="6"/>
  <c r="N70" i="6"/>
  <c r="L71" i="6"/>
  <c r="N71" i="6"/>
  <c r="L72" i="6"/>
  <c r="N72" i="6"/>
  <c r="L73" i="6"/>
  <c r="N73" i="6"/>
  <c r="L74" i="6"/>
  <c r="N74" i="6"/>
  <c r="L75" i="6"/>
  <c r="N75" i="6"/>
  <c r="L76" i="6"/>
  <c r="N76" i="6"/>
  <c r="L77" i="6"/>
  <c r="N77" i="6"/>
  <c r="L78" i="6"/>
  <c r="N78" i="6"/>
  <c r="L79" i="6"/>
  <c r="N79" i="6"/>
  <c r="L80" i="6"/>
  <c r="N80" i="6"/>
  <c r="L81" i="6"/>
  <c r="N81" i="6"/>
  <c r="L82" i="6"/>
  <c r="N82" i="6"/>
  <c r="L83" i="6"/>
  <c r="N83" i="6"/>
  <c r="L84" i="6"/>
  <c r="N84" i="6"/>
  <c r="L85" i="6"/>
  <c r="N85" i="6"/>
  <c r="L86" i="6"/>
  <c r="N86" i="6"/>
  <c r="L87" i="6"/>
  <c r="N87" i="6"/>
  <c r="L88" i="6"/>
  <c r="N88" i="6"/>
  <c r="L89" i="6"/>
  <c r="N89" i="6"/>
  <c r="L90" i="6"/>
  <c r="N90" i="6"/>
  <c r="L91" i="6"/>
  <c r="N91" i="6"/>
  <c r="L92" i="6"/>
  <c r="N92" i="6"/>
  <c r="L93" i="6"/>
  <c r="N93" i="6"/>
  <c r="L94" i="6"/>
  <c r="N94" i="6"/>
  <c r="L95" i="6"/>
  <c r="N95" i="6"/>
  <c r="L96" i="6"/>
  <c r="N96" i="6"/>
  <c r="L97" i="6"/>
  <c r="N97" i="6"/>
  <c r="L98" i="6"/>
  <c r="N98" i="6"/>
  <c r="L99" i="6"/>
  <c r="N99" i="6"/>
  <c r="L100" i="6"/>
  <c r="N100" i="6"/>
  <c r="L101" i="6"/>
  <c r="N101" i="6"/>
  <c r="L102" i="6"/>
  <c r="N102" i="6"/>
  <c r="L103" i="6"/>
  <c r="N103" i="6"/>
  <c r="L104" i="6"/>
  <c r="N104" i="6"/>
  <c r="L105" i="6"/>
  <c r="N105" i="6"/>
  <c r="L106" i="6"/>
  <c r="N106" i="6"/>
  <c r="L107" i="6"/>
  <c r="N107" i="6"/>
  <c r="L108" i="6"/>
  <c r="N108" i="6"/>
  <c r="L109" i="6"/>
  <c r="N109" i="6"/>
  <c r="L110" i="6"/>
  <c r="N110" i="6"/>
  <c r="L111" i="6"/>
  <c r="N111" i="6"/>
  <c r="L112" i="6"/>
  <c r="N112" i="6"/>
  <c r="L113" i="6"/>
  <c r="N113" i="6"/>
  <c r="L114" i="6"/>
  <c r="N114" i="6"/>
  <c r="L115" i="6"/>
  <c r="N115" i="6"/>
  <c r="L116" i="6"/>
  <c r="N116" i="6"/>
  <c r="L117" i="6"/>
  <c r="N117" i="6"/>
  <c r="L118" i="6"/>
  <c r="N118" i="6"/>
  <c r="L119" i="6"/>
  <c r="N119" i="6"/>
  <c r="L120" i="6"/>
  <c r="N120" i="6"/>
  <c r="L121" i="6"/>
  <c r="N121" i="6"/>
  <c r="L122" i="6"/>
  <c r="N122" i="6"/>
  <c r="L123" i="6"/>
  <c r="N123" i="6"/>
  <c r="L124" i="6"/>
  <c r="N124" i="6"/>
  <c r="L125" i="6"/>
  <c r="N125" i="6"/>
  <c r="L126" i="6"/>
  <c r="N126" i="6"/>
  <c r="L127" i="6"/>
  <c r="N127" i="6"/>
  <c r="L128" i="6"/>
  <c r="N128" i="6"/>
  <c r="L129" i="6"/>
  <c r="N129" i="6"/>
  <c r="L130" i="6"/>
  <c r="N130" i="6"/>
  <c r="L131" i="6"/>
  <c r="N131" i="6"/>
  <c r="L132" i="6"/>
  <c r="N132" i="6"/>
  <c r="L133" i="6"/>
  <c r="N133" i="6"/>
  <c r="L134" i="6"/>
  <c r="N134" i="6"/>
  <c r="L135" i="6"/>
  <c r="N135" i="6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L155" i="6"/>
  <c r="N155" i="6"/>
  <c r="L156" i="6"/>
  <c r="N156" i="6"/>
  <c r="L157" i="6"/>
  <c r="N157" i="6"/>
  <c r="L158" i="6"/>
  <c r="N158" i="6"/>
  <c r="L159" i="6"/>
  <c r="N159" i="6"/>
  <c r="L160" i="6"/>
  <c r="N160" i="6"/>
  <c r="L161" i="6"/>
  <c r="N161" i="6"/>
  <c r="L162" i="6"/>
  <c r="N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N189" i="6"/>
  <c r="L190" i="6"/>
  <c r="N190" i="6"/>
  <c r="L191" i="6"/>
  <c r="N191" i="6"/>
  <c r="L192" i="6"/>
  <c r="N192" i="6"/>
  <c r="L193" i="6"/>
  <c r="N193" i="6"/>
  <c r="L194" i="6"/>
  <c r="N194" i="6"/>
  <c r="L195" i="6"/>
  <c r="N195" i="6"/>
  <c r="L196" i="6"/>
  <c r="N196" i="6"/>
  <c r="L197" i="6"/>
  <c r="N197" i="6"/>
  <c r="L198" i="6"/>
  <c r="N198" i="6"/>
  <c r="L199" i="6"/>
  <c r="N199" i="6"/>
  <c r="L200" i="6"/>
  <c r="N200" i="6"/>
  <c r="L201" i="6"/>
  <c r="N201" i="6"/>
  <c r="L202" i="6"/>
  <c r="N202" i="6"/>
  <c r="L203" i="6"/>
  <c r="N203" i="6"/>
  <c r="L204" i="6"/>
  <c r="N204" i="6"/>
  <c r="L205" i="6"/>
  <c r="N205" i="6"/>
  <c r="L206" i="6"/>
  <c r="N206" i="6"/>
  <c r="L207" i="6"/>
  <c r="N207" i="6"/>
  <c r="L208" i="6"/>
  <c r="N208" i="6"/>
  <c r="L209" i="6"/>
  <c r="N209" i="6"/>
  <c r="L210" i="6"/>
  <c r="N210" i="6"/>
  <c r="L211" i="6"/>
  <c r="N211" i="6"/>
  <c r="L212" i="6"/>
  <c r="N212" i="6"/>
  <c r="L213" i="6"/>
  <c r="N213" i="6"/>
  <c r="L214" i="6"/>
  <c r="N214" i="6"/>
  <c r="L215" i="6"/>
  <c r="N215" i="6"/>
  <c r="L216" i="6"/>
  <c r="N216" i="6"/>
  <c r="L217" i="6"/>
  <c r="N217" i="6"/>
  <c r="L218" i="6"/>
  <c r="N218" i="6"/>
  <c r="L219" i="6"/>
  <c r="N219" i="6"/>
  <c r="L220" i="6"/>
  <c r="N220" i="6"/>
  <c r="L221" i="6"/>
  <c r="N221" i="6"/>
  <c r="L222" i="6"/>
  <c r="N222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L247" i="6"/>
  <c r="N247" i="6"/>
  <c r="L248" i="6"/>
  <c r="N248" i="6"/>
  <c r="L249" i="6"/>
  <c r="N249" i="6"/>
  <c r="L250" i="6"/>
  <c r="N250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/>
  <c r="D5" i="8"/>
  <c r="D8" i="8"/>
  <c r="E5" i="8"/>
  <c r="E8" i="8"/>
  <c r="E10" i="8"/>
</calcChain>
</file>

<file path=xl/sharedStrings.xml><?xml version="1.0" encoding="utf-8"?>
<sst xmlns="http://schemas.openxmlformats.org/spreadsheetml/2006/main" count="2396" uniqueCount="491">
  <si>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</si>
  <si>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</si>
  <si>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</si>
  <si>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</si>
  <si>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</si>
  <si>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</si>
  <si>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</si>
  <si>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</si>
  <si>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</si>
  <si>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</si>
  <si>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</si>
  <si>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</si>
  <si>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</si>
  <si>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</si>
  <si>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</si>
  <si>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</si>
  <si>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</si>
  <si>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</si>
  <si>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</si>
  <si>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</si>
  <si>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</si>
  <si>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</si>
  <si>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</si>
  <si>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</si>
  <si>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</si>
  <si>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</si>
  <si>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</si>
  <si>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</si>
  <si>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</si>
  <si>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</si>
  <si>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</si>
  <si>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</si>
  <si>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</si>
  <si>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</si>
  <si>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</si>
  <si>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</si>
  <si>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</si>
  <si>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</si>
  <si>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</si>
  <si>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</si>
  <si>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</si>
  <si>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</si>
  <si>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</si>
  <si>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</si>
  <si>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</si>
  <si>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</si>
  <si>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</si>
  <si>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</si>
  <si>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</si>
  <si>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Google Brasil</t>
  </si>
  <si>
    <t>Facebook</t>
  </si>
  <si>
    <t>instagram.com</t>
  </si>
  <si>
    <t>Oath BR</t>
  </si>
  <si>
    <t>In Loco Media</t>
  </si>
  <si>
    <t>Month</t>
  </si>
  <si>
    <t>PG ALMAP</t>
  </si>
  <si>
    <t>PG CM</t>
  </si>
  <si>
    <t>MK~BR_CN~Causas_MN~CCV_YQ~19Q1Q4_CP~NONE_OB~LDS_PK~NONE</t>
  </si>
  <si>
    <t>CH~SOCIAL_DT~MULTI_PB~FCBK_FM~CARROSSEL_RT~CPM_PD~CAUSAS_ICONES_FOTOS_ANIMAIS_CARROSSEL_1X1_TG~BHVDEM_TS~NONE_SZ~1X1_SOCIAL_MK~BR_IT~SOCIAL_VV~NONE</t>
  </si>
  <si>
    <t>240115186</t>
  </si>
  <si>
    <t>437114954</t>
  </si>
  <si>
    <t>CH~SOCIAL_DT~MULTI_PB~FCBK_FM~CARROSSEL_RT~CPM_PD~CAUSAS_ICONES_LOGO_ANIMAIS_CARROSSEL_1X1_TG~BHVDEM_TS~NONE_SZ~1X1_SOCIAL_MK~BR_IT~SOCIAL_VV~NONE</t>
  </si>
  <si>
    <t>240115165</t>
  </si>
  <si>
    <t>437114933</t>
  </si>
  <si>
    <t>CH~SOCIAL_DT~MULTI_PB~FCBK_FM~CARROSSEL_RT~CPM_PD~CAUSAS_ICONES_LOGO_IDOSOS_CARROSSEL_1X1_TG~BHVDEM_TS~NONE_SZ~1X1_SOCIAL_MK~BR_IT~SOCIAL_VV~NONE</t>
  </si>
  <si>
    <t>240115183</t>
  </si>
  <si>
    <t>437114951</t>
  </si>
  <si>
    <t>CH~SOCIAL_DT~MULTI_PB~FCBK_FM~LINKAD_RT~CPM_PD~CAUSAS_CADASTRE_SE_NATAL_LINKAD_ANIMADO_FB_1X1_TG~BHVDEM_TS~NONE_SZ~1X1_SOCIAL_MK~BR_IT~SOCIAL_VV~NONE</t>
  </si>
  <si>
    <t>236524072</t>
  </si>
  <si>
    <t>433986273</t>
  </si>
  <si>
    <t>CH~SOCIAL_DT~MULTI_PB~FCBK_FM~LINKAD_RT~CPM_PD~CAUSAS_ICONES_CADASTRAR_CARTAO_FB_1X1_TG~BHVDEM_TS~NONE_SZ~1X1_SOCIAL_MK~BR_IT~SOCIAL_VV~NONE</t>
  </si>
  <si>
    <t>233326907</t>
  </si>
  <si>
    <t>431122051</t>
  </si>
  <si>
    <t>CH~SOCIAL_DT~MULTI_PB~FCBK_FM~VIDEO_RT~CPM_PD~CAUSAS_CAMERA_ESCONDIDA_LONGO06-1-LEG_1X1_TG~BHVDEM_TS~NONE_SZ~1X1_SOCIAL_MK~BR_IT~SOCIAL_VV~NONE</t>
  </si>
  <si>
    <t>236902928</t>
  </si>
  <si>
    <t>434283725</t>
  </si>
  <si>
    <t>CH~SOCIAL_DT~MULTI_PB~FCBK_FM~VINHETA_RT~CPM_PD~CAUSAS_TINTURA2_HORIZONTAL_VINHETA1_1X1_TG~BHVDEM_TS~NONE_SZ~1X1_SOCIAL_MK~BR_IT~SOCIAL_VV~NONE</t>
  </si>
  <si>
    <t>233643527</t>
  </si>
  <si>
    <t>431463286</t>
  </si>
  <si>
    <t>CH~DISPLAY_DT~MULTI_PB~OAT_FM~BANNER_RT~CPM_PD~CAUSAS_CADASTRE_SE_TINTURA_300X600_300X600_TG~BHVDEM_TS~NONE_SZ~300X600_SOCIAL_MK~BR_IT~SOCIAL_VV~NONE</t>
  </si>
  <si>
    <t>233318419</t>
  </si>
  <si>
    <t>430986785</t>
  </si>
  <si>
    <t>CH~DISPLAY_DT~MULTI_PB~OAT_FM~NATIVE_AD_RT~CPM_PD~CAUSAS_ICONE_MAILAD_500X500_500X500_TG~BHVDEM_TS~NONE_SZ~500X500_SOCIAL_MK~BR_IT~SOCIAL_VV~NONE</t>
  </si>
  <si>
    <t>233562480</t>
  </si>
  <si>
    <t>431068495</t>
  </si>
  <si>
    <t>CH~DISPLAY_DT~MULTI_PB~OAT_FM~NATIVE_AD_RT~CPM_PD~CAUSAS_ICONE_MAILAD_FUNDOAZUL_500X500_500X500_TG~BHVDEM_TS~NONE_SZ~500X500_SOCIAL_MK~BR_IT~SOCIAL_VV~NONE</t>
  </si>
  <si>
    <t>240908859</t>
  </si>
  <si>
    <t>437679667</t>
  </si>
  <si>
    <t>CH~DISPLAY_DT~MULTI_PB~OAT_FM~NATIVE_AD_RT~CPM_PD~CAUSAS_ICONE_STANDARAD_1200X627_970X250_TG~BHVDEM_TS~NONE_SZ~970X250_SOCIAL_MK~BR_IT~SOCIAL_VV~NONE</t>
  </si>
  <si>
    <t>233562474</t>
  </si>
  <si>
    <t>431068489</t>
  </si>
  <si>
    <t>CH~DISPLAY_DT~MULTI_PB~OAT_FM~NATIVE_AD_RT~CPM_PD~CAUSAS_ICONE_STREAMAD_FUNDOAZUL_1200X627_1200X627_TG~BHVDEM_TS~NONE_SZ~1200X627_SOCIAL_MK~BR_IT~SOCIAL_VV~NONE</t>
  </si>
  <si>
    <t>240606020</t>
  </si>
  <si>
    <t>437679655</t>
  </si>
  <si>
    <t>CH~DISPLAY_DT~MULTI_PB~OAT_FM~NATIVE_AD_RT~CPM_PD~CAUSAS_TINTURA_MAILAD_500X500_500X500_TG~BHVDEM_TS~NONE_SZ~500X500_SOCIAL_MK~BR_IT~SOCIAL_VV~NONE</t>
  </si>
  <si>
    <t>233562477</t>
  </si>
  <si>
    <t>431068492</t>
  </si>
  <si>
    <t>CH~DISPLAY_DT~MULTI_PB~OAT_FM~NATIVE_AD_RT~CPM_PD~CAUSAS_TINTURA_STANDARAD_1200X627_1200X627_TG~BHVDEM_TS~NONE_SZ~1200X627_SOCIAL_MK~BR_IT~SOCIAL_VV~NONE</t>
  </si>
  <si>
    <t>233562483</t>
  </si>
  <si>
    <t>431068498</t>
  </si>
  <si>
    <t>Shopback Brazil 1</t>
  </si>
  <si>
    <t>CH~DISPLAY_DT~MULTI_PB~SPB_FM~POPUP_RT~CPL_PD~CAUSAS_SHOPBACK_1X1_TG~BHVDEM_TS~NONE_SZ~1X1_SOCIAL_MK~BR_IT~SOCIAL_VV~NONE</t>
  </si>
  <si>
    <t>233444519</t>
  </si>
  <si>
    <t>431191476</t>
  </si>
  <si>
    <t>MK~BR_CN~Vai_de_Visa_MN~NONE_YQ~19Q1Q4_CP~NONE_OB~LDS_PK~NONE</t>
  </si>
  <si>
    <t>Ads Movil</t>
  </si>
  <si>
    <t>CH~DISPLAY_DT~MULTI_PB~ADSM_FM~BANNER_RT~CPM_PD~VDV_DECOLAR_ADSMOVIL_BANNER_STANDARD_300X250_300X250_TG~BHVDEM_TS~NONE_SZ~300X250_DISPLAY_MK~BR_IT~DISPLAY_VV~NONE</t>
  </si>
  <si>
    <t>240771874</t>
  </si>
  <si>
    <t>437765539</t>
  </si>
  <si>
    <t>CH~DISPLAY_DT~MULTI_PB~ADSM_FM~BANNER_RT~CPM_PD~VDV_DECOLAR_ADSMOVIL_BANNER_STANDARD_320X50_320X50_TG~BHVDEM_TS~NONE_SZ~320X50_DISPLAY_MK~BR_IT~DISPLAY_VV~NONE</t>
  </si>
  <si>
    <t>240771871</t>
  </si>
  <si>
    <t>437765536</t>
  </si>
  <si>
    <t>CH~DISPLAY_DT~MULTI_PB~ADSM_FM~BANNER_RT~CPM_PD~VDV_PAODEACUCAR_ADSMOVIL_BANNER_STANDARD_300X250_300X250_TG~BHVDEM_TS~NONE_SZ~300X250_DISPLAY_MK~BR_IT~DISPLAY_VV~NONE</t>
  </si>
  <si>
    <t>240771892</t>
  </si>
  <si>
    <t>437765557</t>
  </si>
  <si>
    <t>CH~DISPLAY_DT~MULTI_PB~ADSM_FM~BANNER_RT~CPM_PD~VDV_PAODEACUCAR_ADSMOVIL_BANNER_STANDARD_320X50_320X50_TG~BHVDEM_TS~NONE_SZ~320X50_DISPLAY_MK~BR_IT~DISPLAY_VV~NONE</t>
  </si>
  <si>
    <t>240771886</t>
  </si>
  <si>
    <t>437765551</t>
  </si>
  <si>
    <t>CH~DISPLAY_DT~MULTI_PB~ADSM_FM~PUSH_RT~CPM_PD~VDV_DECOLAR_ADSMOVIL_PUSH_FUNDO_BRANCO_1X1_TG~BHVDEM_TS~NONE_SZ~1X1_DISPLAY_MK~BR_IT~DISPLAY_VV~NONE</t>
  </si>
  <si>
    <t>240771889</t>
  </si>
  <si>
    <t>437765554</t>
  </si>
  <si>
    <t>CH~DISPLAY_DT~MULTI_PB~ADSM_FM~PUSH_RT~CPM_PD~VDV_DECOLAR_ADSMOVIL_PUSH_TRANSPARENTE_1X1_TG~BHVDEM_TS~NONE_SZ~1X1_DISPLAY_MK~BR_IT~DISPLAY_VV~NONE</t>
  </si>
  <si>
    <t>240771895</t>
  </si>
  <si>
    <t>437765560</t>
  </si>
  <si>
    <t>CH~DISPLAY_DT~MULTI_PB~ADSM_FM~PUSH_RT~CPM_PD~VDV_GOL_ADSMOVIL_PUSH_INTERNETGRATIS_FUNDOBRANCO_1X1_TG~BHVDEM_TS~NONE_SZ~1X1_DISPLAY_MK~BR_IT~DISPLAY_VV~NONE</t>
  </si>
  <si>
    <t>240843181</t>
  </si>
  <si>
    <t>437838739</t>
  </si>
  <si>
    <t>CH~DISPLAY_DT~MULTI_PB~ADSM_FM~PUSH_RT~CPM_PD~VDV_GOL_ADSMOVIL_PUSH_INTERNETGRATIS_TRANSPARENTE_1X1_TG~BHVDEM_TS~NONE_SZ~1X1_DISPLAY_MK~BR_IT~DISPLAY_VV~NONE</t>
  </si>
  <si>
    <t>240843184</t>
  </si>
  <si>
    <t>437838742</t>
  </si>
  <si>
    <t>CH~DISPLAY_DT~MULTI_PB~ADSM_FM~PUSH_RT~CPM_PD~VDV_MOVIDA_ADSMOVIL_PUSH_FUNDO_BRANCO_1X1_TG~BHVDEM_TS~NONE_SZ~1X1_DISPLAY_MK~BR_IT~DISPLAY_VV~NONE</t>
  </si>
  <si>
    <t>240746255</t>
  </si>
  <si>
    <t>437780822</t>
  </si>
  <si>
    <t>CH~DISPLAY_DT~MULTI_PB~ADSM_FM~PUSH_RT~CPM_PD~VDV_MOVIDA_ADSMOVIL_PUSH_TRANSPARENTE_1X1_TG~BHVDEM_TS~NONE_SZ~1X1_DISPLAY_MK~BR_IT~DISPLAY_VV~NONE</t>
  </si>
  <si>
    <t>240833329</t>
  </si>
  <si>
    <t>437778887</t>
  </si>
  <si>
    <t>CH~DISPLAY_DT~MULTI_PB~ADSM_FM~PUSH_RT~CPM_PD~VDV_PAODEACUCAR_ADSMOVIL_PUSH_BRANCO_1X1_TG~BHVDEM_TS~NONE_SZ~1X1_DISPLAY_MK~BR_IT~DISPLAY_VV~NONE</t>
  </si>
  <si>
    <t>240771883</t>
  </si>
  <si>
    <t>437765548</t>
  </si>
  <si>
    <t>CH~DISPLAY_DT~MULTI_PB~ADSM_FM~PUSH_RT~CPM_PD~VDV_PAODEACUCAR_ADSMOVIL_PUSH_TRANSPARENTE_1X1_TG~BHVDEM_TS~NONE_SZ~1X1_DISPLAY_MK~BR_IT~DISPLAY_VV~NONE</t>
  </si>
  <si>
    <t>240771880</t>
  </si>
  <si>
    <t>437765545</t>
  </si>
  <si>
    <t>CH~SOCIAL_DT~MULTI_PB~FCBK_FM~CANVAS_RT~CPM_PD~VDV_GOL_CANVAS_ANIMADO_1X1_TG~BHVDEM_TS~NONE_SZ~1X1_SOCIAL_MK~BR_IT~SOCIAL_VV~NONE</t>
  </si>
  <si>
    <t>239028852</t>
  </si>
  <si>
    <t>435947631</t>
  </si>
  <si>
    <t>CH~SOCIAL_DT~MULTI_PB~FCBK_FM~CARROSSEL_RT~CPM_PD~VDV_GOL_CARROSSEL_ACESSE_REDES_1X1_TG~BHVDEM_TS~NONE_SZ~1X1_SOCIAL_MK~BR_IT~SOCIAL_VV~NONE</t>
  </si>
  <si>
    <t>240851812</t>
  </si>
  <si>
    <t>437789456</t>
  </si>
  <si>
    <t>CH~SOCIAL_DT~MULTI_PB~FCBK_FM~CARROSSEL_RT~CPM_PD~VDV_GOL_CARROSSEL_CONTINUE_O_PAPO_1X1_TG~BHVDEM_TS~NONE_SZ~1X1_SOCIAL_MK~BR_IT~SOCIAL_VV~NONE</t>
  </si>
  <si>
    <t>241074321</t>
  </si>
  <si>
    <t>437735733</t>
  </si>
  <si>
    <t>CH~SOCIAL_DT~MULTI_PB~FCBK_FM~LINKAD_RT~CPM_PD~VDV_DECOLAR_AMIGAS_FESTA_15OFF_LINKAD_FB__1X1_TG~BHVDEM_TS~NONE_SZ~1X1_SOCIAL_MK~BR_IT~SOCIAL_VV~NONE</t>
  </si>
  <si>
    <t>235539728</t>
  </si>
  <si>
    <t>433178108</t>
  </si>
  <si>
    <t>CH~SOCIAL_DT~MULTI_PB~FCBK_FM~LINKAD_RT~CPM_PD~VDV_DECOLAR_FAMILIA_TRAPICHE_15OFF_LINKAD_FB__1X1_TG~BHVDEM_TS~NONE_SZ~1X1_SOCIAL_MK~BR_IT~SOCIAL_VV~NONE</t>
  </si>
  <si>
    <t>235541867</t>
  </si>
  <si>
    <t>433254913</t>
  </si>
  <si>
    <t>CH~SOCIAL_DT~MULTI_PB~FCBK_FM~LINKAD_RT~CPM_PD~VDV_DECOLAR_LINKAD_FB_FERIADO_GENERICO_01_1X1_TG~BHVDEM_TS~NONE_SZ~1X1_SOCIAL_MK~BR_IT~SOCIAL_VV~NONE</t>
  </si>
  <si>
    <t>236781700</t>
  </si>
  <si>
    <t>434163074</t>
  </si>
  <si>
    <t>CH~SOCIAL_DT~MULTI_PB~FCBK_FM~LINKAD_RT~CPM_PD~VDV_DECOLAR_LINKAD_FB_FERIADO_GENERICO_02_1X1_TG~BHVDEM_TS~NONE_SZ~1X1_SOCIAL_MK~BR_IT~SOCIAL_VV~NONE</t>
  </si>
  <si>
    <t>236781694</t>
  </si>
  <si>
    <t>434163068</t>
  </si>
  <si>
    <t>CH~SOCIAL_DT~MULTI_PB~FCBK_FM~LINKAD_RT~CPM_PD~VDV_GPA_LINKAD_FB_GENERICO_02_1X1_TG~BHVDEM_TS~NONE_SZ~1X1_SOCIAL_MK~BR_IT~SOCIAL_VV~NONE</t>
  </si>
  <si>
    <t>236795818</t>
  </si>
  <si>
    <t>434240473</t>
  </si>
  <si>
    <t>CH~SOCIAL_DT~MULTI_PB~FCBK_FM~LINKAD_RT~CPM_PD~VDV_MOVIDA_LINKAD_15_OFF_CARRO_RELOGIO_1X1_TG~BHVDEM_TS~NONE_SZ~1X1_SOCIAL_MK~BR_IT~SOCIAL_VV~NONE</t>
  </si>
  <si>
    <t>240049025</t>
  </si>
  <si>
    <t>437151374</t>
  </si>
  <si>
    <t>CH~SOCIAL_DT~MULTI_PB~FCBK_FM~LINKAD_RT~CPM_PD~VDV_MOVIDA_LINKAD_20_OFF_CARRO_RELOGIO_1X1_TG~BHVDEM_TS~NONE_SZ~1X1_SOCIAL_MK~BR_IT~SOCIAL_VV~NONE</t>
  </si>
  <si>
    <t>238267393</t>
  </si>
  <si>
    <t>435557524</t>
  </si>
  <si>
    <t>CH~SOCIAL_DT~MULTI_PB~FCBK_FM~VIDEO_RT~CPM_PD~VDV_GOL_CARROSSEL_VIAJAR_CONECTADO_1X1_TG~BHVDEM_TS~NONE_SZ~1X1_SOCIAL_MK~BR_IT~SOCIAL_VV~NONE</t>
  </si>
  <si>
    <t>240845011</t>
  </si>
  <si>
    <t>437732691</t>
  </si>
  <si>
    <t>CH~DISPLAY_DT~MULTI_PB~GDBM_FM~BANNER_RT~CPM_PD~VDV_CAMICADO_10OFF_RENOVE_DBM_300X250_300X250_TG~BHVDEM_TS~NONE_SZ~300X250_PROGRAMMATIC_MK~BR_IT~PROGRAMMATIC_VV~NONE</t>
  </si>
  <si>
    <t>240362627</t>
  </si>
  <si>
    <t>437356293</t>
  </si>
  <si>
    <t>CH~DISPLAY_DT~MULTI_PB~GDBM_FM~BANNER_RT~CPM_PD~VDV_CAMICADO_10OFF_RENOVE_DBM_970X250_970X250_TG~BHVDEM_TS~NONE_SZ~970X250_PROGRAMMATIC_MK~BR_IT~PROGRAMMATIC_VV~NONE</t>
  </si>
  <si>
    <t>240362621</t>
  </si>
  <si>
    <t>437356287</t>
  </si>
  <si>
    <t>CH~DISPLAY_DT~MULTI_PB~GDBM_FM~BANNER_RT~CPM_PD~VDV_DECOLAR_15OFF_AMIGOS_120X600_120X600_TG~BHVDEM_TS~NONE_SZ~120X600_PROGRAMMATIC_MK~BR_IT~PROGRAMMATIC_VV~NONE</t>
  </si>
  <si>
    <t>235786878</t>
  </si>
  <si>
    <t>433174514</t>
  </si>
  <si>
    <t>CH~DISPLAY_DT~MULTI_PB~GDBM_FM~BANNER_RT~CPM_PD~VDV_DECOLAR_15OFF_AMIGOS_300X250_300X250_TG~BHVDEM_TS~NONE_SZ~300X250_PROGRAMMATIC_MK~BR_IT~PROGRAMMATIC_VV~NONE</t>
  </si>
  <si>
    <t>235533794</t>
  </si>
  <si>
    <t>433182648</t>
  </si>
  <si>
    <t>CH~DISPLAY_DT~MULTI_PB~GDBM_FM~BANNER_RT~CPM_PD~VDV_DECOLAR_15OFF_AMIGOS_300X600_300X600_TG~BHVDEM_TS~NONE_SZ~300X600_PROGRAMMATIC_MK~BR_IT~PROGRAMMATIC_VV~NONE</t>
  </si>
  <si>
    <t>235555843</t>
  </si>
  <si>
    <t>433186836</t>
  </si>
  <si>
    <t>CH~DISPLAY_DT~MULTI_PB~GDBM_FM~BANNER_RT~CPM_PD~VDV_DECOLAR_15OFF_AMIGOS_728X90_728X90_TG~BHVDEM_TS~NONE_SZ~728X90_PROGRAMMATIC_MK~BR_IT~PROGRAMMATIC_VV~NONE</t>
  </si>
  <si>
    <t>235533821</t>
  </si>
  <si>
    <t>433251163</t>
  </si>
  <si>
    <t>CH~DISPLAY_DT~MULTI_PB~GDBM_FM~BANNER_RT~CPM_PD~VDV_DECOLAR_15OFF_MULHER_MAR_120X600_120X600_TG~BHVDEM_TS~NONE_SZ~120X600_PROGRAMMATIC_MK~BR_IT~PROGRAMMATIC_VV~NONE</t>
  </si>
  <si>
    <t>235802349</t>
  </si>
  <si>
    <t>433186872</t>
  </si>
  <si>
    <t>CH~DISPLAY_DT~MULTI_PB~GDBM_FM~BANNER_RT~CPM_PD~VDV_DECOLAR_15OFF_MULHER_MAR_300X250_300X250_TG~BHVDEM_TS~NONE_SZ~300X250_PROGRAMMATIC_MK~BR_IT~PROGRAMMATIC_VV~NONE</t>
  </si>
  <si>
    <t>235786920</t>
  </si>
  <si>
    <t>433244539</t>
  </si>
  <si>
    <t>CH~DISPLAY_DT~MULTI_PB~GDBM_FM~BANNER_RT~CPM_PD~VDV_DECOLAR_15OFF_MULHER_MAR_300X600_300X600_TG~BHVDEM_TS~NONE_SZ~300X600_PROGRAMMATIC_MK~BR_IT~PROGRAMMATIC_VV~NONE</t>
  </si>
  <si>
    <t>235541195</t>
  </si>
  <si>
    <t>433174577</t>
  </si>
  <si>
    <t>CH~DISPLAY_DT~MULTI_PB~GDBM_FM~BANNER_RT~CPM_PD~VDV_PAODEACUCAR_DBM_BANNER_ESTATICO_160X600_160X600_TG~BHVDEM_TS~NONE_SZ~160X600_DISPLAY_MK~BR_IT~DISPLAY_VV~NONE</t>
  </si>
  <si>
    <t>240834550</t>
  </si>
  <si>
    <t>437778899</t>
  </si>
  <si>
    <t>CH~DISPLAY_DT~MULTI_PB~GDBM_FM~BANNER_RT~CPM_PD~VDV_PAODEACUCAR_DBM_BANNER_ESTATICO_300X250_300X250_TG~BHVDEM_TS~NONE_SZ~300X250_DISPLAY_MK~BR_IT~DISPLAY_VV~NONE</t>
  </si>
  <si>
    <t>240834553</t>
  </si>
  <si>
    <t>437781920</t>
  </si>
  <si>
    <t>CH~DISPLAY_DT~MULTI_PB~GDBM_FM~BANNER_RT~CPM_PD~VDV_PAODEACUCAR_DBM_BANNER_ESTATICO_300X600_300X600_TG~BHVDEM_TS~NONE_SZ~300X600_DISPLAY_MK~BR_IT~DISPLAY_VV~NONE</t>
  </si>
  <si>
    <t>241065219</t>
  </si>
  <si>
    <t>437832274</t>
  </si>
  <si>
    <t>CH~DISPLAY_DT~MULTI_PB~GDBM_FM~BANNER_RT~CPM_PD~VDV_PAODEACUCAR_DBM_BANNER_ESTATICO_970X250_970X250_TG~BHVDEM_TS~NONE_SZ~970X250_DISPLAY_MK~BR_IT~DISPLAY_VV~NONE</t>
  </si>
  <si>
    <t>240746273</t>
  </si>
  <si>
    <t>437780186</t>
  </si>
  <si>
    <t>CH~SOCIAL_DT~MULTI_PB~GADS_FM~SEARCH_RT~CPC_PD~VDV_SEARCH_CADASTRO_1X1_TG~BHVDEM_TS~NONE_SZ~1X1_SOCIAL_MK~BR_IT~SOCIAL_VV~NONE</t>
  </si>
  <si>
    <t>237496150</t>
  </si>
  <si>
    <t>434915308</t>
  </si>
  <si>
    <t>CH~SOCIAL_DT~MULTI_PB~GADS_FM~SEARCH_RT~CPC_PD~VDV_SEARCH_INSTITUCIONAL_1X1_TG~BHVDEM_TS~NONE_SZ~1X1_SOCIAL_MK~BR_IT~SOCIAL_VV~NONE</t>
  </si>
  <si>
    <t>237771408</t>
  </si>
  <si>
    <t>434812314</t>
  </si>
  <si>
    <t>CH~DISPLAY_DT~MULTI_PB~OTH_FM~BANNER_RT~CPM_PD~VDV_CAMICADO_10OFF_RENOVE_OATH_300X250_300X250_TG~BHVDEM_TS~NONE_SZ~300X250_PROGRAMMATIC_MK~BR_IT~PROGRAMMATIC_VV~NONE</t>
  </si>
  <si>
    <t>240362615</t>
  </si>
  <si>
    <t>437356281</t>
  </si>
  <si>
    <t>CH~DISPLAY_DT~MULTI_PB~OTH_FM~BANNER_RT~CPM_PD~VDV_CAMICADO_10OFF_RENOVE_OATH_970X250_970X250_TG~BHVDEM_TS~NONE_SZ~970X250_PROGRAMMATIC_MK~BR_IT~PROGRAMMATIC_VV~NONE</t>
  </si>
  <si>
    <t>240362609</t>
  </si>
  <si>
    <t>437356275</t>
  </si>
  <si>
    <t>CH~DISPLAY_DT~MULTI_PB~OTH_FM~BANNER_RT~CPM_PD~VDV_GOL_OATH_BANNER_1080X1920_1080X1920_TG~BHVDEM_TS~NONE_SZ~1080X1920_DISPLAY_MK~BR_IT~DISPLAY_VV~NONE</t>
  </si>
  <si>
    <t>240843169</t>
  </si>
  <si>
    <t>437838727</t>
  </si>
  <si>
    <t>CH~DISPLAY_DT~MULTI_PB~OTH_FM~BANNER_RT~CPM_PD~VDV_GOL_OATH_BANNER_627X627_627X627_TG~BHVDEM_TS~NONE_SZ~627X627_DISPLAY_MK~BR_IT~DISPLAY_VV~NONE</t>
  </si>
  <si>
    <t>240843175</t>
  </si>
  <si>
    <t>437838733</t>
  </si>
  <si>
    <t>CH~DISPLAY_DT~MULTI_PB~OTH_FM~BANNER_RT~CPM_PD~VDV_GOL_OATH_BANNER_720X1280_720X1280_TG~BHVDEM_TS~NONE_SZ~720X1280_DISPLAY_MK~BR_IT~DISPLAY_VV~NONE</t>
  </si>
  <si>
    <t>240843172</t>
  </si>
  <si>
    <t>437838730</t>
  </si>
  <si>
    <t>MK~LM_CN~AFFLUENT_MN~NONE_YQ~19Q1Q4_CP~PO5020004141-9_OB~TRAFFIC_PK~NONE</t>
  </si>
  <si>
    <t>CH~SOCIAL_DT~MULTI_PB~FCBK_FM~CARROSSEL_RT~CPM_PD~AFFLUENT_DINNING_FREEVALET_CARROSSEL_STEAK_1X1_TG~BHVDEM_TS~NONE_SZ~1X1_SOCIAL_MK~BR_IT~SOCIAL_VV~NONE</t>
  </si>
  <si>
    <t>240447802</t>
  </si>
  <si>
    <t>437412416</t>
  </si>
  <si>
    <t>CH~SOCIAL_DT~MULTI_PB~FCBK_FM~CARROSSEL_RT~CPM_PD~AFFLUENT_MALLS_FREEVALET_CARROSSEL_CIDADEJARDIM_1X1_TG~BHVDEM_TS~NONE_SZ~1X1_SOCIAL_MK~BR_IT~SOCIAL_VV~NONE</t>
  </si>
  <si>
    <t>240515485</t>
  </si>
  <si>
    <t>437498843</t>
  </si>
  <si>
    <t>CH~SOCIAL_DT~MULTI_PB~FCBK_FM~CARROSSEL_RT~CPM_PD~AFFLUENT_MALLS_FREEVALET_CARROSSEL_PATIO_1X1_TG~BHVDEM_TS~NONE_SZ~1X1_SOCIAL_MK~BR_IT~SOCIAL_VV~NONE</t>
  </si>
  <si>
    <t>240515509</t>
  </si>
  <si>
    <t>437498867</t>
  </si>
  <si>
    <t>CH~SOCIAL_DT~MULTI_PB~FCBK_FM~GIF_RT~CPM_PD~AFFLUENT_MALLS_FREEVALET_GIF_PATIO_1X1_TG~BHVDEM_TS~NONE_SZ~1X1_SOCIAL_MK~BR_IT~SOCIAL_VV~NONE</t>
  </si>
  <si>
    <t>240515473</t>
  </si>
  <si>
    <t>437498831</t>
  </si>
  <si>
    <t>CH~SOCIAL_DT~MULTI_PB~FCBK_FM~LINKAD_RT~CPM_PD~AFFLUENT_DINNING_FREEVALET_LINKAD_MASSA_1X1_TG~BHVDEM_TS~NONE_SZ~1X1_SOCIAL_MK~BR_IT~SOCIAL_VV~NONE</t>
  </si>
  <si>
    <t>240447784</t>
  </si>
  <si>
    <t>437412398</t>
  </si>
  <si>
    <t>CH~SOCIAL_DT~MULTI_PB~FCBK_FM~LINKAD_RT~CPM_PD~AFFLUENT_DINNING_FREEVALET_LINKAD_STEAK_1X1_TG~BHVDEM_TS~NONE_SZ~1X1_SOCIAL_MK~BR_IT~SOCIAL_VV~NONE</t>
  </si>
  <si>
    <t>240447778</t>
  </si>
  <si>
    <t>437412392</t>
  </si>
  <si>
    <t>CH~SOCIAL_DT~MULTI_PB~FCBK_FM~LINKAD_RT~CPM_PD~AFFLUENT_MALLS_FREEVALET_LINKAD_PATIO_1X1_TG~BHVDEM_TS~NONE_SZ~1X1_SOCIAL_MK~BR_IT~SOCIAL_VV~NONE</t>
  </si>
  <si>
    <t>240515452</t>
  </si>
  <si>
    <t>437498810</t>
  </si>
  <si>
    <t>CH~SOCIAL_DT~MULTI_PB~FCBK_FM~LINKAD_RT~CPM_PD~AFFLUENT_MALLS_FREEVALET_LINKAD_RIODESIGNBARRA_1X1_TG~BHVDEM_TS~NONE_SZ~1X1_SOCIAL_MK~BR_IT~SOCIAL_VV~NONE</t>
  </si>
  <si>
    <t>240515446</t>
  </si>
  <si>
    <t>437498804</t>
  </si>
  <si>
    <t>CH~SOCIAL_DT~MULTI_PB~FCBK_FM~VERTICAL_RT~CPM_PD~AFFLUENT_DINNING_FREEVALET_VERTICAL_MASSA_1X1_TG~BHVDEM_TS~NONE_SZ~1X1_SOCIAL_MK~BR_IT~SOCIAL_VV~NONE</t>
  </si>
  <si>
    <t>240447751</t>
  </si>
  <si>
    <t>437412365</t>
  </si>
  <si>
    <t>CH~SOCIAL_DT~MULTI_PB~FCBK_FM~VERTICAL_RT~CPM_PD~AFFLUENT_DINNING_FREEVALET_VERTICAL_STEAK_1X1_TG~BHVDEM_TS~NONE_SZ~1X1_SOCIAL_MK~BR_IT~SOCIAL_VV~NONE</t>
  </si>
  <si>
    <t>240447748</t>
  </si>
  <si>
    <t>437412362</t>
  </si>
  <si>
    <t>CH~SOCIAL_DT~MULTI_PB~FCBK_FM~VERTICAL_RT~CPM_PD~AFFLUENT_DINNING_FREEVALET_VERTICAL_VEGETARIANA_1X1_TG~BHVDEM_TS~NONE_SZ~1X1_SOCIAL_MK~BR_IT~SOCIAL_VV~NONE</t>
  </si>
  <si>
    <t>240447745</t>
  </si>
  <si>
    <t>437412359</t>
  </si>
  <si>
    <t>CH~DISPLAY_DT~MOBILE_PB~ILC_FM~BANNER_RT~CPM_PD~AFFLUENT_FREEVALET_RESTAURANTES_RETANGULO_INLOCO_1X1_TG~BHVDEM_TS~NONE_SZ~1X1_DSIPLAY_MK~BR_IT~DSIPLAY_VV~NONE</t>
  </si>
  <si>
    <t>236930075</t>
  </si>
  <si>
    <t>434306967</t>
  </si>
  <si>
    <t>CH~DISPLAY_DT~MOBILE_PB~ILC_FM~BANNER_RT~CPM_PD~AFFLUENT_FREEVALET_RESTAURANTES_SMALLBANNER_INLOCO_1X1_TG~BHVDEM_TS~NONE_SZ~1X1_DSIPLAY_MK~BR_IT~DSIPLAY_VV~NONE</t>
  </si>
  <si>
    <t>236920337</t>
  </si>
  <si>
    <t>434306970</t>
  </si>
  <si>
    <t>CH~DISPLAY_DT~MOBILE_PB~ILC_FM~NATIVE_RT~CPM_PD~AFFLUENT_FREEVALET_RESTAURANTES_NATIVE_INLOCO_1X1_TG~BHVDEM_TS~NONE_SZ~1X1_DSIPLAY_MK~BR_IT~DSIPLAY_VV~NONE</t>
  </si>
  <si>
    <t>236957596</t>
  </si>
  <si>
    <t>434312882</t>
  </si>
  <si>
    <t>MK~LM_CN~CROSS_BORDER_PREMIUM_MN~NONE_YQ~19Q1Q4_CP~PO5020004141-13_OB~AWA_PK~NONE</t>
  </si>
  <si>
    <t>CH~DISPLAY_DT~MULTI_PB~GDBM_FM~BANNER_RT~CPM_PD~CROSSBORDER_CASHBACK_NAOCADASTRADOS_DNA_VIAJANTES_DBM_300X250_300X250_TG~BHVDEM_TS~NONE_SZ~300X250_PROGRAMMATIC_MK~BR_IT~PROGRAMMATIC_VV~NONE</t>
  </si>
  <si>
    <t>238517612</t>
  </si>
  <si>
    <t>435795051</t>
  </si>
  <si>
    <t>MK~BR_CN~FWWC_MN~CCV_YQ~19Q1Q4_CP~NONE_OB~LDS_PK~NONE</t>
  </si>
  <si>
    <t>CH~SOCIAL_DT~MULTI_PB~FCBK_FM~CARROSSEL_RT~CPM_PD~FWWC_CARROSSEL_AWARENESS_CURIOSIDADES_1X1_TG~BHVDEM_TS~NONE_SZ~1X1_SOCIAL_MK~BR_IT~SOCIAL_VV~NONE</t>
  </si>
  <si>
    <t>241795829</t>
  </si>
  <si>
    <t>438749003</t>
  </si>
  <si>
    <t>CH~SOCIAL_DT~MULTI_PB~FCBK_FM~CARROSSEL_RT~CPM_PD~FWWC_CARROSSEL_PERFORMANCE_PASSOAPASSO_1X1_TG~BHVDEM_TS~NONE_SZ~1X1_SOCIAL_MK~BR_IT~SOCIAL_VV~NONE</t>
  </si>
  <si>
    <t>241898512</t>
  </si>
  <si>
    <t>438745621</t>
  </si>
  <si>
    <t>CH~SOCIAL_DT~MULTI_PB~FCBK_FM~LINKAD_RT~CPM_PD~FWWC_LINKAD_PERFORMANCE_PROMOCAO_1X1_TG~BHVDEM_TS~NONE_SZ~1X1_SOCIAL_MK~BR_IT~SOCIAL_VV~NONE</t>
  </si>
  <si>
    <t>241798883</t>
  </si>
  <si>
    <t>438753775</t>
  </si>
  <si>
    <t>CH~SOCIAL_DT~MULTI_PB~FCBK_FM~VERTICAL_POST_RT~CPM_PD~FWWC_VIDEO_PERFORMANCE_PROMOCAO_VERTICAL_1X1_TG~BHVDEM_TS~NONE_SZ~1X1_SOCIAL_MK~BR_IT~SOCIAL_VV~NONE</t>
  </si>
  <si>
    <t>242690427</t>
  </si>
  <si>
    <t>439192253</t>
  </si>
  <si>
    <t>CH~SOCIAL_DT~MULTI_PB~FCBK_FM~VIDEO_RT~CPM_PD~FWWC_VIDEO_PERFORMANCE_PROMOCAO_1X1_TG~BHVDEM_TS~NONE_SZ~1X1_SOCIAL_MK~BR_IT~SOCIAL_VV~NONE</t>
  </si>
  <si>
    <t>241921486</t>
  </si>
  <si>
    <t>438758873</t>
  </si>
  <si>
    <t>CH~DISPLAY_DT~MULTI_PB~GDBM_FM~BANNER_RT~CPM_PD~FWWC_BANNER_PERFORMANCE_PARTICIPE_160X600_160X600_TG~BHVDEM_TS~NONE_SZ~160X600_DISPLAY_MK~BR_IT~DISPLAY_VV~NONE</t>
  </si>
  <si>
    <t>242384957</t>
  </si>
  <si>
    <t>439120404</t>
  </si>
  <si>
    <t>CH~DISPLAY_DT~MULTI_PB~GDBM_FM~BANNER_RT~CPM_PD~FWWC_BANNER_PERFORMANCE_PARTICIPE_300X250_300X250_TG~BHVDEM_TS~NONE_SZ~300X250_DISPLAY_MK~BR_IT~DISPLAY_VV~NONE</t>
  </si>
  <si>
    <t>242384942</t>
  </si>
  <si>
    <t>439120389</t>
  </si>
  <si>
    <t>CH~DISPLAY_DT~MULTI_PB~GDBM_FM~BANNER_RT~CPM_PD~FWWC_BANNER_PERFORMANCE_PARTICIPE_300X50_300X50_TG~BHVDEM_TS~NONE_SZ~300X50_DISPLAY_MK~BR_IT~DISPLAY_VV~NONE</t>
  </si>
  <si>
    <t>242384945</t>
  </si>
  <si>
    <t>439120392</t>
  </si>
  <si>
    <t>CH~DISPLAY_DT~MULTI_PB~GDBM_FM~BANNER_RT~CPM_PD~FWWC_BANNER_PERFORMANCE_PARTICIPE_300X600_300X600_TG~BHVDEM_TS~NONE_SZ~300X600_DISPLAY_MK~BR_IT~DISPLAY_VV~NONE</t>
  </si>
  <si>
    <t>242384954</t>
  </si>
  <si>
    <t>439120401</t>
  </si>
  <si>
    <t>CH~DISPLAY_DT~MULTI_PB~GDBM_FM~BANNER_RT~CPM_PD~FWWC_BANNER_PERFORMANCE_PARTICIPE_728X90_728X90_TG~BHVDEM_TS~NONE_SZ~728X90_DISPLAY_MK~BR_IT~DISPLAY_VV~NONE</t>
  </si>
  <si>
    <t>242384951</t>
  </si>
  <si>
    <t>439120398</t>
  </si>
  <si>
    <t>CH~DISPLAY_DT~MULTI_PB~GDBM_FM~BANNER_RT~CPM_PD~FWWC_BANNER_PERFORMANCE_PARTICIPE_970X90_970X90_TG~BHVDEM_TS~NONE_SZ~970X90_DISPLAY_MK~BR_IT~DISPLAY_VV~NONE</t>
  </si>
  <si>
    <t>242384948</t>
  </si>
  <si>
    <t>439120395</t>
  </si>
  <si>
    <t>CH~SEARCH_DT~MULTI_PB~GADS_FM~SEARCH_RT~CPC_PD~FWWC_SEARCH_PERFOMANCE_PARTICIPE_CONCORRENTES_1X1_TG~BHVDEM_TS~NONE_SZ~1X1_SEARCH_MK~BR_IT~SEARCH_VV~NONE</t>
  </si>
  <si>
    <t>242636501</t>
  </si>
  <si>
    <t>439357299</t>
  </si>
  <si>
    <t>CH~SEARCH_DT~MULTI_PB~GADS_FM~SEARCH_RT~CPC_PD~FWWC_SEARCH_PERFOMANCE_PARTICIPE_COPAFEMININA_1X1_TG~BHVDEM_TS~NONE_SZ~1X1_SEARCH_MK~BR_IT~SEARCH_VV~NONE</t>
  </si>
  <si>
    <t>242636513</t>
  </si>
  <si>
    <t>439357287</t>
  </si>
  <si>
    <t>CH~SEARCH_DT~MULTI_PB~GADS_FM~SEARCH_RT~CPC_PD~FWWC_SEARCH_PERFOMANCE_PARTICIPE_MARCA_1X1_TG~BHVDEM_TS~NONE_SZ~1X1_SEARCH_MK~BR_IT~SEARCH_VV~NONE</t>
  </si>
  <si>
    <t>242636495</t>
  </si>
  <si>
    <t>439467245</t>
  </si>
  <si>
    <t>CH~SEARCH_DT~MULTI_PB~GADS_FM~SEARCH_RT~CPC_PD~FWWC_SEARCH_PERFOMANCE_PARTICIPE_PROMOÇÃO_1X1_TG~BHVDEM_TS~NONE_SZ~1X1_SEARCH_MK~BR_IT~SEARCH_VV~NONE</t>
  </si>
  <si>
    <t>242636507</t>
  </si>
  <si>
    <t>439462387</t>
  </si>
  <si>
    <t>CH~SEARCH_DT~MULTI_PB~GADS_FM~SEARCH_RT~CPC_PD~FWWC_SEARCH_PERFOMANCE_SITELINK_CADASTRE-SEVAI_1X1_TG~BHVDEM_TS~NONE_SZ~1X1_SEARCH_MK~BR_IT~SEARCH_VV~NONE</t>
  </si>
  <si>
    <t>242636492</t>
  </si>
  <si>
    <t>439449560</t>
  </si>
  <si>
    <t>CH~SEARCH_DT~MULTI_PB~GADS_FM~SEARCH_RT~CPC_PD~FWWC_SEARCH_PERFOMANCE_SITELINK_CADASTRE-SE_1X1_TG~BHVDEM_TS~NONE_SZ~1X1_SEARCH_MK~BR_IT~SEARCH_VV~NONE</t>
  </si>
  <si>
    <t>242636480</t>
  </si>
  <si>
    <t>439449548</t>
  </si>
  <si>
    <t>CH~SEARCH_DT~MULTI_PB~GADS_FM~SEARCH_RT~CPC_PD~FWWC_SEARCH_PERFOMANCE_SITELINK_COMOPARTICIPAR_1X1_TG~BHVDEM_TS~NONE_SZ~1X1_SEARCH_MK~BR_IT~SEARCH_VV~NONE</t>
  </si>
  <si>
    <t>242636489</t>
  </si>
  <si>
    <t>439449557</t>
  </si>
  <si>
    <t>CH~SEARCH_DT~MULTI_PB~GADS_FM~SEARCH_RT~CPC_PD~FWWC_SEARCH_PERFOMANCE_SITELINK_COPADEFUTEBOLFEMININO_1X1_TG~BHVDEM_TS~NONE_SZ~1X1_SEARCH_MK~BR_IT~SEARCH_VV~NONE</t>
  </si>
  <si>
    <t>242636504</t>
  </si>
  <si>
    <t>439449566</t>
  </si>
  <si>
    <t>CH~SEARCH_DT~MULTI_PB~GADS_FM~SEARCH_RT~CPC_PD~FWWC_SEARCH_PERFOMANCE_SITELINK_ESTAPREPARADO_1X1_TG~BHVDEM_TS~NONE_SZ~1X1_SEARCH_MK~BR_IT~SEARCH_VV~NONE</t>
  </si>
  <si>
    <t>242636510</t>
  </si>
  <si>
    <t>439449569</t>
  </si>
  <si>
    <t>CH~SEARCH_DT~MULTI_PB~GADS_FM~SEARCH_RT~CPC_PD~FWWC_SEARCH_PERFOMANCE_SITELINK_PREMIO_1X1_TG~BHVDEM_TS~NONE_SZ~1X1_SEARCH_MK~BR_IT~SEARCH_VV~NONE</t>
  </si>
  <si>
    <t>242636486</t>
  </si>
  <si>
    <t>439449554</t>
  </si>
  <si>
    <t>CH~SEARCH_DT~MULTI_PB~GADS_FM~SEARCH_RT~CPC_PD~FWWC_SEARCH_PERFOMANCE_SITELINK_REGULAMENTO_1X1_TG~BHVDEM_TS~NONE_SZ~1X1_SEARCH_MK~BR_IT~SEARCH_VV~NONE</t>
  </si>
  <si>
    <t>242636483</t>
  </si>
  <si>
    <t>439449551</t>
  </si>
  <si>
    <t>CH~SEARCH_DT~MULTI_PB~GADS_FM~SEARCH_RT~CPC_PD~FWWC_SEARCH_PERFOMANCE_SITELINK_VOCENAFINALCOMVISA_1X1_TG~BHVDEM_TS~NONE_SZ~1X1_SEARCH_MK~BR_IT~SEARCH_VV~NONE</t>
  </si>
  <si>
    <t>242636498</t>
  </si>
  <si>
    <t>439449563</t>
  </si>
  <si>
    <t>CH~DISPLAY_DT~MULTI_PB~ADSM_FM~BANNER_RT~CPM_PD~VDV_NATURA_ADSMOVIL_BANNER_300X250_1X1_TG~BHVDEM_TS~NONE_SZ~1X1_DISPLAY_MK~BR_IT~DISPLAY_VV~NONE</t>
  </si>
  <si>
    <t>242687533</t>
  </si>
  <si>
    <t>439386278</t>
  </si>
  <si>
    <t>CH~DISPLAY_DT~MULTI_PB~ADSM_FM~BANNER_RT~CPM_PD~VDV_NATURA_ADSMOVIL_BANNER_300X50_1X1_TG~BHVDEM_TS~NONE_SZ~1X1_DISPLAY_MK~BR_IT~DISPLAY_VV~NONE</t>
  </si>
  <si>
    <t>242870613</t>
  </si>
  <si>
    <t>439386584</t>
  </si>
  <si>
    <t>CH~DISPLAY_DT~MULTI_PB~ADSM_FM~BANNER_RT~CPM_PD~VDV_NATURA_ADSMOVIL_BANNER_320X50_1X1_TG~BHVDEM_TS~NONE_SZ~1X1_DISPLAY_MK~BR_IT~DISPLAY_VV~NONE</t>
  </si>
  <si>
    <t>242870616</t>
  </si>
  <si>
    <t>439383361</t>
  </si>
  <si>
    <t>CH~DISPLAY_DT~MULTI_PB~ADSM_FM~PUSH_RT~CPM_PD~VDV_CAMICADO_ADSMOVIL_PUSH_1X1_TG~BHVDEM_TS~NONE_SZ~1X1_DISPLAY_MK~BR_IT~DISPLAY_VV~NONE</t>
  </si>
  <si>
    <t>242260513</t>
  </si>
  <si>
    <t>439068083</t>
  </si>
  <si>
    <t>CH~DISPLAY_DT~MULTI_PB~ADSM_FM~PUSH_RT~CPM_PD~VDV_NATURA_ADSMOVIL_PUSH_1X1_TG~BHVDEM_TS~NONE_SZ~1X1_DISPLAY_MK~BR_IT~DISPLAY_VV~NONE</t>
  </si>
  <si>
    <t>242871510</t>
  </si>
  <si>
    <t>439387445</t>
  </si>
  <si>
    <t>CH~SOCIAL_DT~MULTI_PB~FCBK_FM~CARROSSEL_RT~CPM_PD~VDV_GOL_CICLO_B_CARROSSEL_CHAT_1X1_TG~BHVDEM_TS~NONE_SZ~1X1_SOCIAL_MK~BR_IT~SOCIAL_VV~NONE</t>
  </si>
  <si>
    <t>241418656</t>
  </si>
  <si>
    <t>438209229</t>
  </si>
  <si>
    <t>CH~SOCIAL_DT~MULTI_PB~FCBK_FM~CARROSSEL_RT~CPM_PD~VDV_GOL_CICLO_B_CARROSSEL_EMAIL_1X1_TG~BHVDEM_TS~NONE_SZ~1X1_SOCIAL_MK~BR_IT~SOCIAL_VV~NONE</t>
  </si>
  <si>
    <t>241418653</t>
  </si>
  <si>
    <t>438209226</t>
  </si>
  <si>
    <t>CH~SOCIAL_DT~MULTI_PB~FCBK_FM~LINKAD_RT~CPM_PD~VDV_DECOLAR_LINKAD_FB_FERIADO_GENERICO_01_PERFORMANCE_1X1_TG~BHVDEM_TS~NONE_SZ~1X1_SOCIAL_MK~BR_IT~SOCIAL_VV~NONE</t>
  </si>
  <si>
    <t>242043296</t>
  </si>
  <si>
    <t>438965537</t>
  </si>
  <si>
    <t>CH~SOCIAL_DT~MULTI_PB~FCBK_FM~LINKAD_RT~CPM_PD~VDV_DECOLAR_LINKAD_FB_FERIADO_GENERICO_02_PERFORMANCE_1X1_TG~BHVDEM_TS~NONE_SZ~1X1_SOCIAL_MK~BR_IT~SOCIAL_VV~NONE</t>
  </si>
  <si>
    <t>242022449</t>
  </si>
  <si>
    <t>438965540</t>
  </si>
  <si>
    <t>CH~SOCIAL_DT~MULTI_PB~FCBK_FM~LINKAD_RT~CPM_PD~VDV_GOL_CICLO_B_LINKAD_1_1X1_TG~BHVDEM_TS~NONE_SZ~1X1_SOCIAL_MK~BR_IT~SOCIAL_VV~NONE</t>
  </si>
  <si>
    <t>241418650</t>
  </si>
  <si>
    <t>438209223</t>
  </si>
  <si>
    <t>CH~SOCIAL_DT~MULTI_PB~FCBK_FM~LINKAD_RT~CPM_PD~VDV_GPA_LINKAD_FB_GENERICO_02_PERFORMANCE_1X1_TG~BHVDEM_TS~NONE_SZ~1X1_SOCIAL_MK~BR_IT~SOCIAL_VV~NONE</t>
  </si>
  <si>
    <t>242022386</t>
  </si>
  <si>
    <t>438972503</t>
  </si>
  <si>
    <t>CH~SOCIAL_DT~MULTI_PB~FCBK_FM~LINKAD_RT~CPM_PD~VDV_MOVIDA_LINKAD_17_OFF_CARRO_RELOGIO_1X1_TG~BHVDEM_TS~NONE_SZ~1X1_SOCIAL_MK~BR_IT~SOCIAL_VV~NONE</t>
  </si>
  <si>
    <t>242482873</t>
  </si>
  <si>
    <t>439236991</t>
  </si>
  <si>
    <t>CH~SOCIAL_DT~MULTI_PB~FCBK_FM~LINKAD_RT~CPM_PD~VDV_NATURA_MULHER1_LINKAD_FB_10OFF_1X1_TG~BHVDEM_TS~NONE_SZ~1X1_SOCIAL_MK~BR_IT~SOCIAL_VV~NONE</t>
  </si>
  <si>
    <t>242550632</t>
  </si>
  <si>
    <t>439386272</t>
  </si>
  <si>
    <t>CH~SOCIAL_DT~MULTI_PB~FCBK_FM~VERTICAL_RT~CPM_PD~VDV_GOL_CICLO_B_VERTICAL_COMPLETO_1X1_TG~BHVDEM_TS~NONE_SZ~1X1_SOCIAL_MK~BR_IT~SOCIAL_VV~NONE</t>
  </si>
  <si>
    <t>241418641</t>
  </si>
  <si>
    <t>438209214</t>
  </si>
  <si>
    <t>CH~SOCIAL_DT~MULTI_PB~FCBK_FM~VERTICAL_RT~CPM_PD~VDV_GOL_CICLO_B_VERTICAL_NOTICIAS_1X1_TG~BHVDEM_TS~NONE_SZ~1X1_SOCIAL_MK~BR_IT~SOCIAL_VV~NONE</t>
  </si>
  <si>
    <t>241418647</t>
  </si>
  <si>
    <t>438209220</t>
  </si>
  <si>
    <t>241418659</t>
  </si>
  <si>
    <t>438209232</t>
  </si>
  <si>
    <t>241418665</t>
  </si>
  <si>
    <t>438209238</t>
  </si>
  <si>
    <t>CH~SOCIAL_DT~MULTI_PB~FCBK_FM~VERTICAL_RT~CPM_PD~VDV_GOL_CICLO_B_VERTICAL_REDESSOCIAIS_1X1_TG~BHVDEM_TS~NONE_SZ~1X1_SOCIAL_MK~BR_IT~SOCIAL_VV~NONE</t>
  </si>
  <si>
    <t>241418644</t>
  </si>
  <si>
    <t>438209217</t>
  </si>
  <si>
    <t>CH~DISPLAY_DT~MULTI_PB~GDBM_FM~BANNER_RT~CPM_PD~VCO_GOL_WIFI_DBM_120X600_120X600_TG~BHVDEM_TS~NONE_SZ~120X600_PROGRAMMATIC_MK~BR_IT~PROGRAMMATIC_VV~NONE</t>
  </si>
  <si>
    <t>242034079</t>
  </si>
  <si>
    <t>438870787</t>
  </si>
  <si>
    <t>CH~DISPLAY_DT~MULTI_PB~GDBM_FM~BANNER_RT~CPM_PD~VCO_GOL_WIFI_DBM_160X600_160X600_TG~BHVDEM_TS~NONE_SZ~160X600_PROGRAMMATIC_MK~BR_IT~PROGRAMMATIC_VV~NONE</t>
  </si>
  <si>
    <t>242034076</t>
  </si>
  <si>
    <t>438870784</t>
  </si>
  <si>
    <t>CH~DISPLAY_DT~MULTI_PB~GDBM_FM~BANNER_RT~CPM_PD~VCO_GOL_WIFI_DBM_300X250_300X250_TG~BHVDEM_TS~NONE_SZ~300X250_PROGRAMMATIC_MK~BR_IT~PROGRAMMATIC_VV~NONE</t>
  </si>
  <si>
    <t>242034070</t>
  </si>
  <si>
    <t>438870778</t>
  </si>
  <si>
    <t>CH~DISPLAY_DT~MULTI_PB~GDBM_FM~BANNER_RT~CPM_PD~VCO_GOL_WIFI_DBM_300X50_300X50_TG~BHVDEM_TS~NONE_SZ~300X50_PROGRAMMATIC_MK~BR_IT~PROGRAMMATIC_VV~NONE</t>
  </si>
  <si>
    <t>242034073</t>
  </si>
  <si>
    <t>438870781</t>
  </si>
  <si>
    <t>CH~DISPLAY_DT~MULTI_PB~GDBM_FM~BANNER_RT~CPM_PD~VCO_GOL_WIFI_DBM_300X600_300X600_TG~BHVDEM_TS~NONE_SZ~300X600_PROGRAMMATIC_MK~BR_IT~PROGRAMMATIC_VV~NONE</t>
  </si>
  <si>
    <t>242034067</t>
  </si>
  <si>
    <t>438870775</t>
  </si>
  <si>
    <t>CH~DISPLAY_DT~MULTI_PB~GDBM_FM~BANNER_RT~CPM_PD~VCO_GOL_WIFI_DBM_728X90_728X90_TG~BHVDEM_TS~NONE_SZ~728X90_PROGRAMMATIC_MK~BR_IT~PROGRAMMATIC_VV~NONE</t>
  </si>
  <si>
    <t>242034064</t>
  </si>
  <si>
    <t>438870772</t>
  </si>
  <si>
    <t>CH~DISPLAY_DT~MULTI_PB~GDBM_FM~BANNER_RT~CPM_PD~VCO_GOL_WIFI_DBM_970X250_970X250_TG~BHVDEM_TS~NONE_SZ~970X250_PROGRAMMATIC_MK~BR_IT~PROGRAMMATIC_VV~NONE</t>
  </si>
  <si>
    <t>242034058</t>
  </si>
  <si>
    <t>438870766</t>
  </si>
  <si>
    <t>CH~DISPLAY_DT~MULTI_PB~GDBM_FM~BANNER_RT~CPM_PD~VCO_GOL_WIFI_DBM_970X90_970X90_TG~BHVDEM_TS~NONE_SZ~970X90_PROGRAMMATIC_MK~BR_IT~PROGRAMMATIC_VV~NONE</t>
  </si>
  <si>
    <t>242034061</t>
  </si>
  <si>
    <t>438870769</t>
  </si>
  <si>
    <t>CH~DISPLAY_DT~MULTI_PB~GDBM_FM~BANNER_RT~CPM_PD~VDV_CAMICADO_10OFF_RENOVE_DBM_160X600_160X600_TG~BHVDEM_TS~NONE_SZ~160X600_PROGRAMMATIC_MK~BR_IT~PROGRAMMATIC_VV~NONE</t>
  </si>
  <si>
    <t>240362630</t>
  </si>
  <si>
    <t>437356296</t>
  </si>
  <si>
    <t>CH~DISPLAY_DT~MULTI_PB~GDBM_FM~BANNER_RT~CPM_PD~VDV_CAMICADO_10OFF_RENOVE_DBM_300X600_300X600_TG~BHVDEM_TS~NONE_SZ~300X600_PROGRAMMATIC_MK~BR_IT~PROGRAMMATIC_VV~NONE</t>
  </si>
  <si>
    <t>240362624</t>
  </si>
  <si>
    <t>437356290</t>
  </si>
  <si>
    <t>CH~SEARCH_DT~MULTI_PB~GADS_FM~SEARCH_RT~CPC_PD~VDV_DECOLAR_15OFF_SEARCH_EXTPROMOCAO_1X1_TG~BHVDEM_TS~NONE_SZ~1X1_SEARCH_MK~BR_IT~SEARCH_VV~NONE</t>
  </si>
  <si>
    <t>241925253</t>
  </si>
  <si>
    <t>438559846</t>
  </si>
  <si>
    <t>CH~SEARCH_DT~MULTI_PB~GADS_FM~SEARCH_RT~CPC_PD~VDV_DECOLAR_15OFF_SEARCH_EXTSITELINK_1X1_TG~BHVDEM_TS~NONE_SZ~1X1_SEARCH_MK~BR_IT~SEARCH_VV~NONE</t>
  </si>
  <si>
    <t>241925250</t>
  </si>
  <si>
    <t>438559843</t>
  </si>
  <si>
    <t>CH~SEARCH_DT~MULTI_PB~GADS_FM~SEARCH_RT~CPC_PD~VDV_FASTSHOP_30OFF_SEARCH_EXTPROMOCAO_1X1_TG~BHVDEM_TS~NONE_SZ~1X1_SEARCH_MK~BR_IT~SEARCH_VV~NONE</t>
  </si>
  <si>
    <t>241925247</t>
  </si>
  <si>
    <t>438559840</t>
  </si>
  <si>
    <t>CH~SEARCH_DT~MULTI_PB~GADS_FM~SEARCH_RT~CPC_PD~VDV_FASTSHOP_30OFF_SEARCH_EXTSITELINK_1X1_TG~BHVDEM_TS~NONE_SZ~1X1_SEARCH_MK~BR_IT~SEARCH_VV~NONE</t>
  </si>
  <si>
    <t>241925244</t>
  </si>
  <si>
    <t>438559837</t>
  </si>
  <si>
    <t>CH~SEARCH_DT~MULTI_PB~GADS_FM~SEARCH_RT~CPC_PD~VDV_MOVIDA_15OFF_SEARCH_EXTPROMOCAO_1X1_TG~BHVDEM_TS~NONE_SZ~1X1_SEARCH_MK~BR_IT~SEARCH_VV~NONE</t>
  </si>
  <si>
    <t>241925241</t>
  </si>
  <si>
    <t>438559834</t>
  </si>
  <si>
    <t>CH~SEARCH_DT~MULTI_PB~GADS_FM~SEARCH_RT~CPC_PD~VDV_MOVIDA_15OFF_SEARCH_EXTSITELINK_1X1_TG~BHVDEM_TS~NONE_SZ~1X1_SEARCH_MK~BR_IT~SEARCH_VV~NONE</t>
  </si>
  <si>
    <t>241925238</t>
  </si>
  <si>
    <t>438559831</t>
  </si>
  <si>
    <t>CH~SEARCH_DT~MULTI_PB~GADS_FM~SEARCH_RT~CPC_PD~VDV_NETSHOES_15OFF_SEARCH_EXTPROMOCAO_1X1_TG~BHVDEM_TS~NONE_SZ~1X1_SEARCH_MK~BR_IT~SEARCH_VV~NONE</t>
  </si>
  <si>
    <t>241925271</t>
  </si>
  <si>
    <t>438505797</t>
  </si>
  <si>
    <t>CH~SEARCH_DT~MULTI_PB~GADS_FM~SEARCH_RT~CPC_PD~VDV_NETSHOES_15OFF_SEARCH_EXTSITELINK_1X1_TG~BHVDEM_TS~NONE_SZ~1X1_SEARCH_MK~BR_IT~SEARCH_VV~NONE</t>
  </si>
  <si>
    <t>241925268</t>
  </si>
  <si>
    <t>438505794</t>
  </si>
  <si>
    <t>CH~SEARCH_DT~MULTI_PB~GADS_FM~SEARCH_RT~CPC_PD~VDV_PETZ_7OFF_SEARCH_EXTPROMOCAO_1X1_TG~BHVDEM_TS~NONE_SZ~1X1_SEARCH_MK~BR_IT~SEARCH_VV~NONE</t>
  </si>
  <si>
    <t>241925265</t>
  </si>
  <si>
    <t>438505791</t>
  </si>
  <si>
    <t>CH~SEARCH_DT~MULTI_PB~GADS_FM~SEARCH_RT~CPC_PD~VDV_PETZ_7OFF_SEARCH_EXTSITELINK_1X1_TG~BHVDEM_TS~NONE_SZ~1X1_SEARCH_MK~BR_IT~SEARCH_VV~NONE</t>
  </si>
  <si>
    <t>241925262</t>
  </si>
  <si>
    <t>438505788</t>
  </si>
  <si>
    <t>CH~SEARCH_DT~MULTI_PB~GADS_FM~SEARCH_RT~CPC_PD~VDV_SEPHORA_70OFF_SEARCH_EXTPROMOCAO_1X1_TG~BHVDEM_TS~NONE_SZ~1X1_SEARCH_MK~BR_IT~SEARCH_VV~NONE</t>
  </si>
  <si>
    <t>241925259</t>
  </si>
  <si>
    <t>438505785</t>
  </si>
  <si>
    <t>CH~SEARCH_DT~MULTI_PB~GADS_FM~SEARCH_RT~CPC_PD~VDV_SEPHORA_70OFF_SEARCH_EXTSITELINK_1X1_TG~BHVDEM_TS~NONE_SZ~1X1_SEARCH_MK~BR_IT~SEARCH_VV~NONE</t>
  </si>
  <si>
    <t>241925256</t>
  </si>
  <si>
    <t>438505782</t>
  </si>
  <si>
    <t>CH~SEARCH_DT~MULTI_PB~GADS_FM~SEARCH_RT~CPC_PD~VDV_SHOESTOCK_15OFF_SEARCH_EXTPROMOCAO_1X1_TG~BHVDEM_TS~NONE_SZ~1X1_SEARCH_MK~BR_IT~SEARCH_VV~NONE</t>
  </si>
  <si>
    <t>241925229</t>
  </si>
  <si>
    <t>438559822</t>
  </si>
  <si>
    <t>CH~SEARCH_DT~MULTI_PB~GADS_FM~SEARCH_RT~CPC_PD~VDV_SHOESTOCK_15OFF_SEARCH_EXTSITELINK_1X1_TG~BHVDEM_TS~NONE_SZ~1X1_SEARCH_MK~BR_IT~SEARCH_VV~NONE</t>
  </si>
  <si>
    <t>241925226</t>
  </si>
  <si>
    <t>438559819</t>
  </si>
  <si>
    <t>CH~SEARCH_DT~MULTI_PB~GADS_FM~SEARCH_RT~CPC_PD~VDV_ZATTINI_15OFF_SEARCH_EXTPROMOCAO_1X1_TG~BHVDEM_TS~NONE_SZ~1X1_SEARCH_MK~BR_IT~SEARCH_VV~NONE</t>
  </si>
  <si>
    <t>241925235</t>
  </si>
  <si>
    <t>438559828</t>
  </si>
  <si>
    <t>CH~SEARCH_DT~MULTI_PB~GADS_FM~SEARCH_RT~CPC_PD~VDV_ZATTINI_15OFF_SEARCH_EXTSITELINK_1X1_TG~BHVDEM_TS~NONE_SZ~1X1_SEARCH_MK~BR_IT~SEARCH_VV~NONE</t>
  </si>
  <si>
    <t>241925232</t>
  </si>
  <si>
    <t>438559825</t>
  </si>
  <si>
    <t>CH~SOCIAL_DT~MULTI_PB~IG_FM~REGULAR_RT~CPM_PD~VDV_NATURA_MULHER1_REGULAR_IG_10OFF_1X1_TG~BHVDEM_TS~NONE_SZ~1X1_SOCIAL_MK~BR_IT~SOCIAL_VV~NONE</t>
  </si>
  <si>
    <t>242926884</t>
  </si>
  <si>
    <t>439435609</t>
  </si>
  <si>
    <t>CH~SOCIAL_DT~MULTI_PB~IG_FM~STORIES_RT~CPM_PD~VDV_CAMICADO_STORIES_IG_RENOVE10OFF_1X1_TG~BHVDEM_TS~NONE_SZ~1X1_SOCIAL_MK~BR_IT~SOCIAL_VV~NONE</t>
  </si>
  <si>
    <t>242466771</t>
  </si>
  <si>
    <t>439067879</t>
  </si>
  <si>
    <t>CH~SOCIAL_DT~MULTI_PB~IG_FM~STORIES_RT~CPM_PD~VDV_NATURA_MULHER1_STORIES_IG_10OFF_1X1_TG~BHVDEM_TS~NONE_SZ~1X1_SOCIAL_MK~BR_IT~SOCIAL_VV~NONE</t>
  </si>
  <si>
    <t>242612642</t>
  </si>
  <si>
    <t>439435630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</si>
</sst>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50"/>
  <sheetViews>
    <sheetView topLeftCell="B132" workbookViewId="0">
      <selection activeCell="K144" sqref="K2:K144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54</v>
      </c>
    </row>
    <row r="2" spans="1:11">
      <c r="A2" s="17" t="s">
        <v>57</v>
      </c>
      <c r="B2" s="19" t="s">
        <v>50</v>
      </c>
      <c r="C2" s="19" t="s">
        <v>58</v>
      </c>
      <c r="D2" s="19" t="s">
        <v>59</v>
      </c>
      <c r="E2" s="20" t="s">
        <v>32</v>
      </c>
      <c r="F2" s="19" t="s">
        <v>58</v>
      </c>
      <c r="G2" s="19" t="s">
        <v>60</v>
      </c>
      <c r="H2" s="19" t="s">
        <v>32</v>
      </c>
      <c r="I2">
        <v>0</v>
      </c>
      <c r="J2">
        <v>74</v>
      </c>
      <c r="K2" s="1"/>
    </row>
    <row r="3" spans="1:11">
      <c r="A3" s="17" t="s">
        <v>57</v>
      </c>
      <c r="B3" s="19" t="s">
        <v>50</v>
      </c>
      <c r="C3" s="19" t="s">
        <v>61</v>
      </c>
      <c r="D3" s="19" t="s">
        <v>62</v>
      </c>
      <c r="E3" s="20" t="s">
        <v>32</v>
      </c>
      <c r="F3" s="19" t="s">
        <v>61</v>
      </c>
      <c r="G3" s="19" t="s">
        <v>63</v>
      </c>
      <c r="H3" s="19" t="s">
        <v>32</v>
      </c>
      <c r="I3">
        <v>0</v>
      </c>
      <c r="J3">
        <v>24</v>
      </c>
      <c r="K3" s="1"/>
    </row>
    <row r="4" spans="1:11">
      <c r="A4" s="17" t="s">
        <v>57</v>
      </c>
      <c r="B4" s="19" t="s">
        <v>50</v>
      </c>
      <c r="C4" s="19" t="s">
        <v>64</v>
      </c>
      <c r="D4" s="19" t="s">
        <v>65</v>
      </c>
      <c r="E4" s="20" t="s">
        <v>32</v>
      </c>
      <c r="F4" s="19" t="s">
        <v>64</v>
      </c>
      <c r="G4" s="19" t="s">
        <v>66</v>
      </c>
      <c r="H4" s="19" t="s">
        <v>32</v>
      </c>
      <c r="I4">
        <v>0</v>
      </c>
      <c r="J4">
        <v>2</v>
      </c>
      <c r="K4" s="1"/>
    </row>
    <row r="5" spans="1:11">
      <c r="A5" s="17" t="s">
        <v>57</v>
      </c>
      <c r="B5" s="19" t="s">
        <v>50</v>
      </c>
      <c r="C5" s="19" t="s">
        <v>67</v>
      </c>
      <c r="D5" s="19" t="s">
        <v>68</v>
      </c>
      <c r="E5" s="20" t="s">
        <v>32</v>
      </c>
      <c r="F5" s="19" t="s">
        <v>67</v>
      </c>
      <c r="G5" s="19" t="s">
        <v>69</v>
      </c>
      <c r="H5" s="19" t="s">
        <v>32</v>
      </c>
      <c r="I5">
        <v>0</v>
      </c>
      <c r="J5">
        <v>27</v>
      </c>
      <c r="K5" s="1"/>
    </row>
    <row r="6" spans="1:11">
      <c r="A6" s="17" t="s">
        <v>57</v>
      </c>
      <c r="B6" s="19" t="s">
        <v>50</v>
      </c>
      <c r="C6" s="19" t="s">
        <v>70</v>
      </c>
      <c r="D6" s="19" t="s">
        <v>71</v>
      </c>
      <c r="E6" s="20" t="s">
        <v>32</v>
      </c>
      <c r="F6" s="19" t="s">
        <v>70</v>
      </c>
      <c r="G6" s="19" t="s">
        <v>72</v>
      </c>
      <c r="H6" s="19" t="s">
        <v>32</v>
      </c>
      <c r="I6">
        <v>0</v>
      </c>
      <c r="J6">
        <v>161</v>
      </c>
      <c r="K6" s="1"/>
    </row>
    <row r="7" spans="1:11">
      <c r="A7" s="17" t="s">
        <v>57</v>
      </c>
      <c r="B7" s="19" t="s">
        <v>50</v>
      </c>
      <c r="C7" s="19" t="s">
        <v>73</v>
      </c>
      <c r="D7" s="19" t="s">
        <v>74</v>
      </c>
      <c r="E7" s="20" t="s">
        <v>32</v>
      </c>
      <c r="F7" s="19" t="s">
        <v>73</v>
      </c>
      <c r="G7" s="19" t="s">
        <v>75</v>
      </c>
      <c r="H7" s="19" t="s">
        <v>32</v>
      </c>
      <c r="I7">
        <v>0</v>
      </c>
      <c r="J7">
        <v>35</v>
      </c>
      <c r="K7" s="1"/>
    </row>
    <row r="8" spans="1:11">
      <c r="A8" s="17" t="s">
        <v>57</v>
      </c>
      <c r="B8" s="19" t="s">
        <v>50</v>
      </c>
      <c r="C8" s="19" t="s">
        <v>76</v>
      </c>
      <c r="D8" s="19" t="s">
        <v>77</v>
      </c>
      <c r="E8" s="20" t="s">
        <v>32</v>
      </c>
      <c r="F8" s="19" t="s">
        <v>76</v>
      </c>
      <c r="G8" s="19" t="s">
        <v>78</v>
      </c>
      <c r="H8" s="19" t="s">
        <v>32</v>
      </c>
      <c r="I8">
        <v>0</v>
      </c>
      <c r="J8">
        <v>2</v>
      </c>
      <c r="K8" s="1"/>
    </row>
    <row r="9" spans="1:11">
      <c r="A9" s="17" t="s">
        <v>57</v>
      </c>
      <c r="B9" s="19" t="s">
        <v>52</v>
      </c>
      <c r="C9" s="19" t="s">
        <v>79</v>
      </c>
      <c r="D9" s="19" t="s">
        <v>80</v>
      </c>
      <c r="E9" s="20" t="s">
        <v>12</v>
      </c>
      <c r="F9" s="19" t="s">
        <v>79</v>
      </c>
      <c r="G9" s="19" t="s">
        <v>81</v>
      </c>
      <c r="H9" s="19" t="s">
        <v>31</v>
      </c>
      <c r="I9">
        <v>7</v>
      </c>
      <c r="J9">
        <v>0</v>
      </c>
      <c r="K9" s="1"/>
    </row>
    <row r="10" spans="1:11">
      <c r="A10" s="17" t="s">
        <v>57</v>
      </c>
      <c r="B10" s="19" t="s">
        <v>52</v>
      </c>
      <c r="C10" s="19" t="s">
        <v>82</v>
      </c>
      <c r="D10" s="19" t="s">
        <v>83</v>
      </c>
      <c r="E10" s="20" t="s">
        <v>32</v>
      </c>
      <c r="F10" s="19" t="s">
        <v>82</v>
      </c>
      <c r="G10" s="19" t="s">
        <v>84</v>
      </c>
      <c r="H10" s="19" t="s">
        <v>32</v>
      </c>
      <c r="I10">
        <v>34</v>
      </c>
      <c r="J10">
        <v>0</v>
      </c>
      <c r="K10" s="1"/>
    </row>
    <row r="11" spans="1:11">
      <c r="A11" s="17" t="s">
        <v>57</v>
      </c>
      <c r="B11" s="19" t="s">
        <v>52</v>
      </c>
      <c r="C11" s="19" t="s">
        <v>85</v>
      </c>
      <c r="D11" s="19" t="s">
        <v>86</v>
      </c>
      <c r="E11" s="20" t="s">
        <v>32</v>
      </c>
      <c r="F11" s="19" t="s">
        <v>85</v>
      </c>
      <c r="G11" s="19" t="s">
        <v>87</v>
      </c>
      <c r="H11" s="19" t="s">
        <v>32</v>
      </c>
      <c r="I11">
        <v>25</v>
      </c>
      <c r="J11">
        <v>0</v>
      </c>
      <c r="K11" s="1"/>
    </row>
    <row r="12" spans="1:11">
      <c r="A12" s="17" t="s">
        <v>57</v>
      </c>
      <c r="B12" s="19" t="s">
        <v>52</v>
      </c>
      <c r="C12" s="19" t="s">
        <v>88</v>
      </c>
      <c r="D12" s="19" t="s">
        <v>89</v>
      </c>
      <c r="E12" s="20" t="s">
        <v>32</v>
      </c>
      <c r="F12" s="19" t="s">
        <v>88</v>
      </c>
      <c r="G12" s="19" t="s">
        <v>90</v>
      </c>
      <c r="H12" s="19" t="s">
        <v>32</v>
      </c>
      <c r="I12">
        <v>350</v>
      </c>
      <c r="J12">
        <v>63</v>
      </c>
      <c r="K12" s="1"/>
    </row>
    <row r="13" spans="1:11">
      <c r="A13" s="17" t="s">
        <v>57</v>
      </c>
      <c r="B13" s="19" t="s">
        <v>52</v>
      </c>
      <c r="C13" s="19" t="s">
        <v>91</v>
      </c>
      <c r="D13" s="19" t="s">
        <v>92</v>
      </c>
      <c r="E13" s="20" t="s">
        <v>32</v>
      </c>
      <c r="F13" s="19" t="s">
        <v>91</v>
      </c>
      <c r="G13" s="19" t="s">
        <v>93</v>
      </c>
      <c r="H13" s="19" t="s">
        <v>32</v>
      </c>
      <c r="I13">
        <v>66</v>
      </c>
      <c r="J13">
        <v>14</v>
      </c>
      <c r="K13" s="1"/>
    </row>
    <row r="14" spans="1:11">
      <c r="A14" s="17" t="s">
        <v>57</v>
      </c>
      <c r="B14" s="19" t="s">
        <v>52</v>
      </c>
      <c r="C14" s="19" t="s">
        <v>94</v>
      </c>
      <c r="D14" s="19" t="s">
        <v>95</v>
      </c>
      <c r="E14" s="20" t="s">
        <v>32</v>
      </c>
      <c r="F14" s="19" t="s">
        <v>94</v>
      </c>
      <c r="G14" s="19" t="s">
        <v>96</v>
      </c>
      <c r="H14" s="19" t="s">
        <v>32</v>
      </c>
      <c r="I14">
        <v>4</v>
      </c>
      <c r="J14">
        <v>0</v>
      </c>
      <c r="K14" s="1"/>
    </row>
    <row r="15" spans="1:11">
      <c r="A15" s="17" t="s">
        <v>57</v>
      </c>
      <c r="B15" s="19" t="s">
        <v>52</v>
      </c>
      <c r="C15" s="19" t="s">
        <v>97</v>
      </c>
      <c r="D15" s="19" t="s">
        <v>98</v>
      </c>
      <c r="E15" s="20" t="s">
        <v>32</v>
      </c>
      <c r="F15" s="19" t="s">
        <v>97</v>
      </c>
      <c r="G15" s="19" t="s">
        <v>99</v>
      </c>
      <c r="H15" s="19" t="s">
        <v>32</v>
      </c>
      <c r="I15">
        <v>73</v>
      </c>
      <c r="J15">
        <v>49</v>
      </c>
      <c r="K15" s="1"/>
    </row>
    <row r="16" spans="1:11">
      <c r="A16" s="17" t="s">
        <v>57</v>
      </c>
      <c r="B16" s="19" t="s">
        <v>100</v>
      </c>
      <c r="C16" s="19" t="s">
        <v>101</v>
      </c>
      <c r="D16" s="19" t="s">
        <v>102</v>
      </c>
      <c r="E16" s="20" t="s">
        <v>32</v>
      </c>
      <c r="F16" s="19" t="s">
        <v>101</v>
      </c>
      <c r="G16" s="19" t="s">
        <v>103</v>
      </c>
      <c r="H16" s="19" t="s">
        <v>32</v>
      </c>
      <c r="I16">
        <v>0</v>
      </c>
      <c r="J16">
        <v>10610</v>
      </c>
      <c r="K16" s="1"/>
    </row>
    <row r="17" spans="1:11">
      <c r="A17" s="17" t="s">
        <v>282</v>
      </c>
      <c r="B17" s="19" t="s">
        <v>50</v>
      </c>
      <c r="C17" s="19" t="s">
        <v>283</v>
      </c>
      <c r="D17" s="19" t="s">
        <v>284</v>
      </c>
      <c r="E17" s="20" t="s">
        <v>32</v>
      </c>
      <c r="F17" s="19" t="s">
        <v>283</v>
      </c>
      <c r="G17" s="19" t="s">
        <v>285</v>
      </c>
      <c r="H17" s="19" t="s">
        <v>32</v>
      </c>
      <c r="I17">
        <v>0</v>
      </c>
      <c r="J17">
        <v>5389</v>
      </c>
      <c r="K17" s="1"/>
    </row>
    <row r="18" spans="1:11">
      <c r="A18" s="17" t="s">
        <v>282</v>
      </c>
      <c r="B18" s="19" t="s">
        <v>50</v>
      </c>
      <c r="C18" s="19" t="s">
        <v>286</v>
      </c>
      <c r="D18" s="19" t="s">
        <v>287</v>
      </c>
      <c r="E18" s="20" t="s">
        <v>32</v>
      </c>
      <c r="F18" s="19" t="s">
        <v>286</v>
      </c>
      <c r="G18" s="19" t="s">
        <v>288</v>
      </c>
      <c r="H18" s="19" t="s">
        <v>32</v>
      </c>
      <c r="I18">
        <v>0</v>
      </c>
      <c r="J18">
        <v>1026</v>
      </c>
      <c r="K18" s="1"/>
    </row>
    <row r="19" spans="1:11">
      <c r="A19" s="17" t="s">
        <v>282</v>
      </c>
      <c r="B19" s="19" t="s">
        <v>50</v>
      </c>
      <c r="C19" s="19" t="s">
        <v>289</v>
      </c>
      <c r="D19" s="19" t="s">
        <v>290</v>
      </c>
      <c r="E19" s="20" t="s">
        <v>32</v>
      </c>
      <c r="F19" s="19" t="s">
        <v>289</v>
      </c>
      <c r="G19" s="19" t="s">
        <v>291</v>
      </c>
      <c r="H19" s="19" t="s">
        <v>32</v>
      </c>
      <c r="I19">
        <v>0</v>
      </c>
      <c r="J19">
        <v>2609</v>
      </c>
      <c r="K19" s="1"/>
    </row>
    <row r="20" spans="1:11">
      <c r="A20" s="17" t="s">
        <v>282</v>
      </c>
      <c r="B20" s="19" t="s">
        <v>50</v>
      </c>
      <c r="C20" s="19" t="s">
        <v>292</v>
      </c>
      <c r="D20" s="19" t="s">
        <v>293</v>
      </c>
      <c r="E20" s="20" t="s">
        <v>32</v>
      </c>
      <c r="F20" s="19" t="s">
        <v>292</v>
      </c>
      <c r="G20" s="19" t="s">
        <v>294</v>
      </c>
      <c r="H20" s="19" t="s">
        <v>32</v>
      </c>
      <c r="I20">
        <v>0</v>
      </c>
      <c r="J20">
        <v>12086</v>
      </c>
      <c r="K20" s="1"/>
    </row>
    <row r="21" spans="1:11">
      <c r="A21" s="17" t="s">
        <v>282</v>
      </c>
      <c r="B21" s="19" t="s">
        <v>50</v>
      </c>
      <c r="C21" s="19" t="s">
        <v>295</v>
      </c>
      <c r="D21" s="19" t="s">
        <v>296</v>
      </c>
      <c r="E21" s="20" t="s">
        <v>32</v>
      </c>
      <c r="F21" s="19" t="s">
        <v>295</v>
      </c>
      <c r="G21" s="19" t="s">
        <v>297</v>
      </c>
      <c r="H21" s="19" t="s">
        <v>32</v>
      </c>
      <c r="I21">
        <v>0</v>
      </c>
      <c r="J21">
        <v>4557</v>
      </c>
      <c r="K21" s="1"/>
    </row>
    <row r="22" spans="1:11">
      <c r="A22" s="17" t="s">
        <v>282</v>
      </c>
      <c r="B22" s="19" t="s">
        <v>49</v>
      </c>
      <c r="C22" s="19" t="s">
        <v>298</v>
      </c>
      <c r="D22" s="19" t="s">
        <v>299</v>
      </c>
      <c r="E22" s="20" t="s">
        <v>12</v>
      </c>
      <c r="F22" s="19" t="s">
        <v>298</v>
      </c>
      <c r="G22" s="19" t="s">
        <v>300</v>
      </c>
      <c r="H22" s="19" t="s">
        <v>31</v>
      </c>
      <c r="I22">
        <v>864973</v>
      </c>
      <c r="J22">
        <v>1238</v>
      </c>
      <c r="K22" s="1"/>
    </row>
    <row r="23" spans="1:11">
      <c r="A23" s="17" t="s">
        <v>282</v>
      </c>
      <c r="B23" s="19" t="s">
        <v>49</v>
      </c>
      <c r="C23" s="19" t="s">
        <v>301</v>
      </c>
      <c r="D23" s="19" t="s">
        <v>302</v>
      </c>
      <c r="E23" s="20" t="s">
        <v>12</v>
      </c>
      <c r="F23" s="19" t="s">
        <v>301</v>
      </c>
      <c r="G23" s="19" t="s">
        <v>303</v>
      </c>
      <c r="H23" s="19" t="s">
        <v>31</v>
      </c>
      <c r="I23">
        <v>23934755</v>
      </c>
      <c r="J23">
        <v>109810</v>
      </c>
      <c r="K23" s="1"/>
    </row>
    <row r="24" spans="1:11">
      <c r="A24" s="17" t="s">
        <v>282</v>
      </c>
      <c r="B24" s="19" t="s">
        <v>49</v>
      </c>
      <c r="C24" s="19" t="s">
        <v>304</v>
      </c>
      <c r="D24" s="19" t="s">
        <v>305</v>
      </c>
      <c r="E24" s="20" t="s">
        <v>12</v>
      </c>
      <c r="F24" s="19" t="s">
        <v>304</v>
      </c>
      <c r="G24" s="19" t="s">
        <v>306</v>
      </c>
      <c r="H24" s="19" t="s">
        <v>31</v>
      </c>
      <c r="I24">
        <v>19554254</v>
      </c>
      <c r="J24">
        <v>31982</v>
      </c>
      <c r="K24" s="1"/>
    </row>
    <row r="25" spans="1:11">
      <c r="A25" s="17" t="s">
        <v>282</v>
      </c>
      <c r="B25" s="19" t="s">
        <v>49</v>
      </c>
      <c r="C25" s="19" t="s">
        <v>307</v>
      </c>
      <c r="D25" s="19" t="s">
        <v>308</v>
      </c>
      <c r="E25" s="20" t="s">
        <v>12</v>
      </c>
      <c r="F25" s="19" t="s">
        <v>307</v>
      </c>
      <c r="G25" s="19" t="s">
        <v>309</v>
      </c>
      <c r="H25" s="19" t="s">
        <v>31</v>
      </c>
      <c r="I25">
        <v>2554601</v>
      </c>
      <c r="J25">
        <v>5294</v>
      </c>
      <c r="K25" s="1"/>
    </row>
    <row r="26" spans="1:11">
      <c r="A26" s="17" t="s">
        <v>282</v>
      </c>
      <c r="B26" s="19" t="s">
        <v>49</v>
      </c>
      <c r="C26" s="19" t="s">
        <v>310</v>
      </c>
      <c r="D26" s="19" t="s">
        <v>311</v>
      </c>
      <c r="E26" s="20" t="s">
        <v>12</v>
      </c>
      <c r="F26" s="19" t="s">
        <v>310</v>
      </c>
      <c r="G26" s="19" t="s">
        <v>312</v>
      </c>
      <c r="H26" s="19" t="s">
        <v>31</v>
      </c>
      <c r="I26">
        <v>1908682</v>
      </c>
      <c r="J26">
        <v>8234</v>
      </c>
      <c r="K26" s="1"/>
    </row>
    <row r="27" spans="1:11">
      <c r="A27" s="17" t="s">
        <v>282</v>
      </c>
      <c r="B27" s="19" t="s">
        <v>49</v>
      </c>
      <c r="C27" s="19" t="s">
        <v>313</v>
      </c>
      <c r="D27" s="19" t="s">
        <v>314</v>
      </c>
      <c r="E27" s="20" t="s">
        <v>12</v>
      </c>
      <c r="F27" s="19" t="s">
        <v>313</v>
      </c>
      <c r="G27" s="19" t="s">
        <v>315</v>
      </c>
      <c r="H27" s="19" t="s">
        <v>31</v>
      </c>
      <c r="I27">
        <v>273319</v>
      </c>
      <c r="J27">
        <v>111</v>
      </c>
      <c r="K27" s="1"/>
    </row>
    <row r="28" spans="1:11">
      <c r="A28" s="17" t="s">
        <v>282</v>
      </c>
      <c r="B28" s="19" t="s">
        <v>49</v>
      </c>
      <c r="C28" s="19" t="s">
        <v>316</v>
      </c>
      <c r="D28" s="19" t="s">
        <v>317</v>
      </c>
      <c r="E28" s="20" t="s">
        <v>32</v>
      </c>
      <c r="F28" s="19" t="s">
        <v>316</v>
      </c>
      <c r="G28" s="19" t="s">
        <v>318</v>
      </c>
      <c r="H28" s="19" t="s">
        <v>32</v>
      </c>
      <c r="I28">
        <v>0</v>
      </c>
      <c r="J28">
        <v>2</v>
      </c>
      <c r="K28" s="1"/>
    </row>
    <row r="29" spans="1:11">
      <c r="A29" s="17" t="s">
        <v>282</v>
      </c>
      <c r="B29" s="19" t="s">
        <v>49</v>
      </c>
      <c r="C29" s="19" t="s">
        <v>319</v>
      </c>
      <c r="D29" s="19" t="s">
        <v>320</v>
      </c>
      <c r="E29" s="20" t="s">
        <v>32</v>
      </c>
      <c r="F29" s="19" t="s">
        <v>319</v>
      </c>
      <c r="G29" s="19" t="s">
        <v>321</v>
      </c>
      <c r="H29" s="19" t="s">
        <v>32</v>
      </c>
      <c r="I29">
        <v>0</v>
      </c>
      <c r="J29">
        <v>2</v>
      </c>
      <c r="K29" s="1"/>
    </row>
    <row r="30" spans="1:11">
      <c r="A30" s="17" t="s">
        <v>282</v>
      </c>
      <c r="B30" s="19" t="s">
        <v>49</v>
      </c>
      <c r="C30" s="19" t="s">
        <v>322</v>
      </c>
      <c r="D30" s="19" t="s">
        <v>323</v>
      </c>
      <c r="E30" s="20" t="s">
        <v>32</v>
      </c>
      <c r="F30" s="19" t="s">
        <v>322</v>
      </c>
      <c r="G30" s="19" t="s">
        <v>324</v>
      </c>
      <c r="H30" s="19" t="s">
        <v>32</v>
      </c>
      <c r="I30">
        <v>0</v>
      </c>
      <c r="J30">
        <v>1</v>
      </c>
      <c r="K30" s="1"/>
    </row>
    <row r="31" spans="1:11">
      <c r="A31" s="17" t="s">
        <v>282</v>
      </c>
      <c r="B31" s="19" t="s">
        <v>49</v>
      </c>
      <c r="C31" s="19" t="s">
        <v>325</v>
      </c>
      <c r="D31" s="19" t="s">
        <v>326</v>
      </c>
      <c r="E31" s="20" t="s">
        <v>32</v>
      </c>
      <c r="F31" s="19" t="s">
        <v>325</v>
      </c>
      <c r="G31" s="19" t="s">
        <v>327</v>
      </c>
      <c r="H31" s="19" t="s">
        <v>32</v>
      </c>
      <c r="I31">
        <v>0</v>
      </c>
      <c r="J31">
        <v>3</v>
      </c>
      <c r="K31" s="1"/>
    </row>
    <row r="32" spans="1:11">
      <c r="A32" s="17" t="s">
        <v>282</v>
      </c>
      <c r="B32" s="19" t="s">
        <v>49</v>
      </c>
      <c r="C32" s="19" t="s">
        <v>328</v>
      </c>
      <c r="D32" s="19" t="s">
        <v>329</v>
      </c>
      <c r="E32" s="20" t="s">
        <v>32</v>
      </c>
      <c r="F32" s="19" t="s">
        <v>328</v>
      </c>
      <c r="G32" s="19" t="s">
        <v>330</v>
      </c>
      <c r="H32" s="19" t="s">
        <v>32</v>
      </c>
      <c r="I32">
        <v>0</v>
      </c>
      <c r="J32">
        <v>2</v>
      </c>
      <c r="K32" s="1"/>
    </row>
    <row r="33" spans="1:11">
      <c r="A33" s="17" t="s">
        <v>282</v>
      </c>
      <c r="B33" s="19" t="s">
        <v>49</v>
      </c>
      <c r="C33" s="19" t="s">
        <v>331</v>
      </c>
      <c r="D33" s="19" t="s">
        <v>332</v>
      </c>
      <c r="E33" s="20" t="s">
        <v>32</v>
      </c>
      <c r="F33" s="19" t="s">
        <v>331</v>
      </c>
      <c r="G33" s="19" t="s">
        <v>333</v>
      </c>
      <c r="H33" s="19" t="s">
        <v>32</v>
      </c>
      <c r="I33">
        <v>0</v>
      </c>
      <c r="J33">
        <v>4</v>
      </c>
      <c r="K33" s="1"/>
    </row>
    <row r="34" spans="1:11">
      <c r="A34" s="17" t="s">
        <v>282</v>
      </c>
      <c r="B34" s="19" t="s">
        <v>49</v>
      </c>
      <c r="C34" s="19" t="s">
        <v>334</v>
      </c>
      <c r="D34" s="19" t="s">
        <v>335</v>
      </c>
      <c r="E34" s="20" t="s">
        <v>32</v>
      </c>
      <c r="F34" s="19" t="s">
        <v>334</v>
      </c>
      <c r="G34" s="19" t="s">
        <v>336</v>
      </c>
      <c r="H34" s="19" t="s">
        <v>32</v>
      </c>
      <c r="I34">
        <v>0</v>
      </c>
      <c r="J34">
        <v>1</v>
      </c>
      <c r="K34" s="1"/>
    </row>
    <row r="35" spans="1:11">
      <c r="A35" s="17" t="s">
        <v>282</v>
      </c>
      <c r="B35" s="19" t="s">
        <v>49</v>
      </c>
      <c r="C35" s="19" t="s">
        <v>337</v>
      </c>
      <c r="D35" s="19" t="s">
        <v>338</v>
      </c>
      <c r="E35" s="20" t="s">
        <v>32</v>
      </c>
      <c r="F35" s="19" t="s">
        <v>337</v>
      </c>
      <c r="G35" s="19" t="s">
        <v>339</v>
      </c>
      <c r="H35" s="19" t="s">
        <v>32</v>
      </c>
      <c r="I35">
        <v>0</v>
      </c>
      <c r="J35">
        <v>1</v>
      </c>
      <c r="K35" s="1"/>
    </row>
    <row r="36" spans="1:11">
      <c r="A36" s="17" t="s">
        <v>282</v>
      </c>
      <c r="B36" s="19" t="s">
        <v>49</v>
      </c>
      <c r="C36" s="19" t="s">
        <v>340</v>
      </c>
      <c r="D36" s="19" t="s">
        <v>341</v>
      </c>
      <c r="E36" s="20" t="s">
        <v>32</v>
      </c>
      <c r="F36" s="19" t="s">
        <v>340</v>
      </c>
      <c r="G36" s="19" t="s">
        <v>342</v>
      </c>
      <c r="H36" s="19" t="s">
        <v>32</v>
      </c>
      <c r="I36">
        <v>0</v>
      </c>
      <c r="J36">
        <v>3</v>
      </c>
      <c r="K36" s="1"/>
    </row>
    <row r="37" spans="1:11">
      <c r="A37" s="17" t="s">
        <v>282</v>
      </c>
      <c r="B37" s="19" t="s">
        <v>49</v>
      </c>
      <c r="C37" s="19" t="s">
        <v>343</v>
      </c>
      <c r="D37" s="19" t="s">
        <v>344</v>
      </c>
      <c r="E37" s="20" t="s">
        <v>32</v>
      </c>
      <c r="F37" s="19" t="s">
        <v>343</v>
      </c>
      <c r="G37" s="19" t="s">
        <v>345</v>
      </c>
      <c r="H37" s="19" t="s">
        <v>32</v>
      </c>
      <c r="I37">
        <v>0</v>
      </c>
      <c r="J37">
        <v>2</v>
      </c>
      <c r="K37" s="1"/>
    </row>
    <row r="38" spans="1:11">
      <c r="A38" s="17" t="s">
        <v>282</v>
      </c>
      <c r="B38" s="19" t="s">
        <v>49</v>
      </c>
      <c r="C38" s="19" t="s">
        <v>346</v>
      </c>
      <c r="D38" s="19" t="s">
        <v>347</v>
      </c>
      <c r="E38" s="20" t="s">
        <v>32</v>
      </c>
      <c r="F38" s="19" t="s">
        <v>346</v>
      </c>
      <c r="G38" s="19" t="s">
        <v>348</v>
      </c>
      <c r="H38" s="19" t="s">
        <v>32</v>
      </c>
      <c r="I38">
        <v>0</v>
      </c>
      <c r="J38">
        <v>4</v>
      </c>
      <c r="K38" s="1"/>
    </row>
    <row r="39" spans="1:11">
      <c r="A39" s="17" t="s">
        <v>282</v>
      </c>
      <c r="B39" s="19" t="s">
        <v>49</v>
      </c>
      <c r="C39" s="19" t="s">
        <v>349</v>
      </c>
      <c r="D39" s="19" t="s">
        <v>350</v>
      </c>
      <c r="E39" s="20" t="s">
        <v>32</v>
      </c>
      <c r="F39" s="19" t="s">
        <v>349</v>
      </c>
      <c r="G39" s="19" t="s">
        <v>351</v>
      </c>
      <c r="H39" s="19" t="s">
        <v>32</v>
      </c>
      <c r="I39">
        <v>0</v>
      </c>
      <c r="J39">
        <v>1</v>
      </c>
      <c r="K39" s="1"/>
    </row>
    <row r="40" spans="1:11">
      <c r="A40" s="17" t="s">
        <v>104</v>
      </c>
      <c r="B40" s="19" t="s">
        <v>105</v>
      </c>
      <c r="C40" s="19" t="s">
        <v>106</v>
      </c>
      <c r="D40" s="19" t="s">
        <v>107</v>
      </c>
      <c r="E40" s="20" t="s">
        <v>32</v>
      </c>
      <c r="F40" s="19" t="s">
        <v>106</v>
      </c>
      <c r="G40" s="19" t="s">
        <v>108</v>
      </c>
      <c r="H40" s="19" t="s">
        <v>32</v>
      </c>
      <c r="I40">
        <v>0</v>
      </c>
      <c r="J40">
        <v>4</v>
      </c>
      <c r="K40" s="1"/>
    </row>
    <row r="41" spans="1:11">
      <c r="A41" s="17" t="s">
        <v>104</v>
      </c>
      <c r="B41" s="19" t="s">
        <v>105</v>
      </c>
      <c r="C41" s="19" t="s">
        <v>109</v>
      </c>
      <c r="D41" s="19" t="s">
        <v>110</v>
      </c>
      <c r="E41" s="20" t="s">
        <v>32</v>
      </c>
      <c r="F41" s="19" t="s">
        <v>109</v>
      </c>
      <c r="G41" s="19" t="s">
        <v>111</v>
      </c>
      <c r="H41" s="19" t="s">
        <v>32</v>
      </c>
      <c r="I41">
        <v>0</v>
      </c>
      <c r="J41">
        <v>6</v>
      </c>
      <c r="K41" s="1"/>
    </row>
    <row r="42" spans="1:11">
      <c r="A42" s="17" t="s">
        <v>104</v>
      </c>
      <c r="B42" s="19" t="s">
        <v>105</v>
      </c>
      <c r="C42" s="19" t="s">
        <v>352</v>
      </c>
      <c r="D42" s="19" t="s">
        <v>353</v>
      </c>
      <c r="E42" s="20" t="s">
        <v>32</v>
      </c>
      <c r="F42" s="19" t="s">
        <v>352</v>
      </c>
      <c r="G42" s="19" t="s">
        <v>354</v>
      </c>
      <c r="H42" s="19" t="s">
        <v>32</v>
      </c>
      <c r="I42">
        <v>0</v>
      </c>
      <c r="J42">
        <v>494</v>
      </c>
      <c r="K42" s="1"/>
    </row>
    <row r="43" spans="1:11">
      <c r="A43" s="17" t="s">
        <v>104</v>
      </c>
      <c r="B43" s="19" t="s">
        <v>105</v>
      </c>
      <c r="C43" s="19" t="s">
        <v>355</v>
      </c>
      <c r="D43" s="19" t="s">
        <v>356</v>
      </c>
      <c r="E43" s="20" t="s">
        <v>32</v>
      </c>
      <c r="F43" s="19" t="s">
        <v>355</v>
      </c>
      <c r="G43" s="19" t="s">
        <v>357</v>
      </c>
      <c r="H43" s="19" t="s">
        <v>32</v>
      </c>
      <c r="I43">
        <v>0</v>
      </c>
      <c r="J43">
        <v>1</v>
      </c>
      <c r="K43" s="1"/>
    </row>
    <row r="44" spans="1:11">
      <c r="A44" s="17" t="s">
        <v>104</v>
      </c>
      <c r="B44" s="19" t="s">
        <v>105</v>
      </c>
      <c r="C44" s="19" t="s">
        <v>358</v>
      </c>
      <c r="D44" s="19" t="s">
        <v>359</v>
      </c>
      <c r="E44" s="20" t="s">
        <v>32</v>
      </c>
      <c r="F44" s="19" t="s">
        <v>358</v>
      </c>
      <c r="G44" s="19" t="s">
        <v>360</v>
      </c>
      <c r="H44" s="19" t="s">
        <v>32</v>
      </c>
      <c r="I44">
        <v>0</v>
      </c>
      <c r="J44">
        <v>537</v>
      </c>
      <c r="K44" s="1"/>
    </row>
    <row r="45" spans="1:11">
      <c r="A45" s="17" t="s">
        <v>104</v>
      </c>
      <c r="B45" s="19" t="s">
        <v>105</v>
      </c>
      <c r="C45" s="19" t="s">
        <v>112</v>
      </c>
      <c r="D45" s="19" t="s">
        <v>113</v>
      </c>
      <c r="E45" s="20" t="s">
        <v>32</v>
      </c>
      <c r="F45" s="19" t="s">
        <v>112</v>
      </c>
      <c r="G45" s="19" t="s">
        <v>114</v>
      </c>
      <c r="H45" s="19" t="s">
        <v>32</v>
      </c>
      <c r="I45">
        <v>0</v>
      </c>
      <c r="J45">
        <v>3</v>
      </c>
      <c r="K45" s="1"/>
    </row>
    <row r="46" spans="1:11">
      <c r="A46" s="17" t="s">
        <v>104</v>
      </c>
      <c r="B46" s="19" t="s">
        <v>105</v>
      </c>
      <c r="C46" s="19" t="s">
        <v>115</v>
      </c>
      <c r="D46" s="19" t="s">
        <v>116</v>
      </c>
      <c r="E46" s="20" t="s">
        <v>32</v>
      </c>
      <c r="F46" s="19" t="s">
        <v>115</v>
      </c>
      <c r="G46" s="19" t="s">
        <v>117</v>
      </c>
      <c r="H46" s="19" t="s">
        <v>32</v>
      </c>
      <c r="I46">
        <v>0</v>
      </c>
      <c r="J46">
        <v>16</v>
      </c>
      <c r="K46" s="1"/>
    </row>
    <row r="47" spans="1:11">
      <c r="A47" s="17" t="s">
        <v>104</v>
      </c>
      <c r="B47" s="19" t="s">
        <v>105</v>
      </c>
      <c r="C47" s="19" t="s">
        <v>361</v>
      </c>
      <c r="D47" s="19" t="s">
        <v>362</v>
      </c>
      <c r="E47" s="20" t="s">
        <v>32</v>
      </c>
      <c r="F47" s="19" t="s">
        <v>361</v>
      </c>
      <c r="G47" s="19" t="s">
        <v>363</v>
      </c>
      <c r="H47" s="19" t="s">
        <v>32</v>
      </c>
      <c r="I47">
        <v>0</v>
      </c>
      <c r="J47">
        <v>1773</v>
      </c>
      <c r="K47" s="1"/>
    </row>
    <row r="48" spans="1:11">
      <c r="A48" s="17" t="s">
        <v>104</v>
      </c>
      <c r="B48" s="19" t="s">
        <v>105</v>
      </c>
      <c r="C48" s="19" t="s">
        <v>118</v>
      </c>
      <c r="D48" s="19" t="s">
        <v>119</v>
      </c>
      <c r="E48" s="20" t="s">
        <v>32</v>
      </c>
      <c r="F48" s="19" t="s">
        <v>118</v>
      </c>
      <c r="G48" s="19" t="s">
        <v>120</v>
      </c>
      <c r="H48" s="19" t="s">
        <v>32</v>
      </c>
      <c r="I48">
        <v>0</v>
      </c>
      <c r="J48">
        <v>37</v>
      </c>
      <c r="K48" s="1"/>
    </row>
    <row r="49" spans="1:11">
      <c r="A49" s="17" t="s">
        <v>104</v>
      </c>
      <c r="B49" s="19" t="s">
        <v>105</v>
      </c>
      <c r="C49" s="19" t="s">
        <v>121</v>
      </c>
      <c r="D49" s="19" t="s">
        <v>122</v>
      </c>
      <c r="E49" s="20" t="s">
        <v>32</v>
      </c>
      <c r="F49" s="19" t="s">
        <v>121</v>
      </c>
      <c r="G49" s="19" t="s">
        <v>123</v>
      </c>
      <c r="H49" s="19" t="s">
        <v>32</v>
      </c>
      <c r="I49">
        <v>0</v>
      </c>
      <c r="J49">
        <v>17</v>
      </c>
      <c r="K49" s="1"/>
    </row>
    <row r="50" spans="1:11">
      <c r="A50" s="17" t="s">
        <v>104</v>
      </c>
      <c r="B50" s="19" t="s">
        <v>105</v>
      </c>
      <c r="C50" s="19" t="s">
        <v>124</v>
      </c>
      <c r="D50" s="19" t="s">
        <v>125</v>
      </c>
      <c r="E50" s="20" t="s">
        <v>32</v>
      </c>
      <c r="F50" s="19" t="s">
        <v>124</v>
      </c>
      <c r="G50" s="19" t="s">
        <v>126</v>
      </c>
      <c r="H50" s="19" t="s">
        <v>32</v>
      </c>
      <c r="I50">
        <v>0</v>
      </c>
      <c r="J50">
        <v>19</v>
      </c>
      <c r="K50" s="1"/>
    </row>
    <row r="51" spans="1:11">
      <c r="A51" s="17" t="s">
        <v>104</v>
      </c>
      <c r="B51" s="19" t="s">
        <v>105</v>
      </c>
      <c r="C51" s="19" t="s">
        <v>127</v>
      </c>
      <c r="D51" s="19" t="s">
        <v>128</v>
      </c>
      <c r="E51" s="20" t="s">
        <v>32</v>
      </c>
      <c r="F51" s="19" t="s">
        <v>127</v>
      </c>
      <c r="G51" s="19" t="s">
        <v>129</v>
      </c>
      <c r="H51" s="19" t="s">
        <v>32</v>
      </c>
      <c r="I51">
        <v>0</v>
      </c>
      <c r="J51">
        <v>28</v>
      </c>
      <c r="K51" s="1"/>
    </row>
    <row r="52" spans="1:11">
      <c r="A52" s="17" t="s">
        <v>104</v>
      </c>
      <c r="B52" s="19" t="s">
        <v>105</v>
      </c>
      <c r="C52" s="19" t="s">
        <v>130</v>
      </c>
      <c r="D52" s="19" t="s">
        <v>131</v>
      </c>
      <c r="E52" s="20" t="s">
        <v>32</v>
      </c>
      <c r="F52" s="19" t="s">
        <v>130</v>
      </c>
      <c r="G52" s="19" t="s">
        <v>132</v>
      </c>
      <c r="H52" s="19" t="s">
        <v>32</v>
      </c>
      <c r="I52">
        <v>0</v>
      </c>
      <c r="J52">
        <v>1246</v>
      </c>
      <c r="K52" s="1"/>
    </row>
    <row r="53" spans="1:11">
      <c r="A53" s="17" t="s">
        <v>104</v>
      </c>
      <c r="B53" s="19" t="s">
        <v>105</v>
      </c>
      <c r="C53" s="19" t="s">
        <v>133</v>
      </c>
      <c r="D53" s="19" t="s">
        <v>134</v>
      </c>
      <c r="E53" s="20" t="s">
        <v>32</v>
      </c>
      <c r="F53" s="19" t="s">
        <v>133</v>
      </c>
      <c r="G53" s="19" t="s">
        <v>135</v>
      </c>
      <c r="H53" s="19" t="s">
        <v>32</v>
      </c>
      <c r="I53">
        <v>0</v>
      </c>
      <c r="J53">
        <v>1295</v>
      </c>
      <c r="K53" s="1"/>
    </row>
    <row r="54" spans="1:11">
      <c r="A54" s="17" t="s">
        <v>104</v>
      </c>
      <c r="B54" s="19" t="s">
        <v>105</v>
      </c>
      <c r="C54" s="19" t="s">
        <v>364</v>
      </c>
      <c r="D54" s="19" t="s">
        <v>365</v>
      </c>
      <c r="E54" s="20" t="s">
        <v>32</v>
      </c>
      <c r="F54" s="19" t="s">
        <v>364</v>
      </c>
      <c r="G54" s="19" t="s">
        <v>366</v>
      </c>
      <c r="H54" s="19" t="s">
        <v>32</v>
      </c>
      <c r="I54">
        <v>0</v>
      </c>
      <c r="J54">
        <v>2324</v>
      </c>
      <c r="K54" s="1"/>
    </row>
    <row r="55" spans="1:11">
      <c r="A55" s="17" t="s">
        <v>104</v>
      </c>
      <c r="B55" s="19" t="s">
        <v>105</v>
      </c>
      <c r="C55" s="19" t="s">
        <v>136</v>
      </c>
      <c r="D55" s="19" t="s">
        <v>137</v>
      </c>
      <c r="E55" s="20" t="s">
        <v>32</v>
      </c>
      <c r="F55" s="19" t="s">
        <v>136</v>
      </c>
      <c r="G55" s="19" t="s">
        <v>138</v>
      </c>
      <c r="H55" s="19" t="s">
        <v>32</v>
      </c>
      <c r="I55">
        <v>0</v>
      </c>
      <c r="J55">
        <v>18</v>
      </c>
      <c r="K55" s="1"/>
    </row>
    <row r="56" spans="1:11">
      <c r="A56" s="17" t="s">
        <v>104</v>
      </c>
      <c r="B56" s="19" t="s">
        <v>105</v>
      </c>
      <c r="C56" s="19" t="s">
        <v>139</v>
      </c>
      <c r="D56" s="19" t="s">
        <v>140</v>
      </c>
      <c r="E56" s="20" t="s">
        <v>32</v>
      </c>
      <c r="F56" s="19" t="s">
        <v>139</v>
      </c>
      <c r="G56" s="19" t="s">
        <v>141</v>
      </c>
      <c r="H56" s="19" t="s">
        <v>32</v>
      </c>
      <c r="I56">
        <v>0</v>
      </c>
      <c r="J56">
        <v>27</v>
      </c>
      <c r="K56" s="1"/>
    </row>
    <row r="57" spans="1:11">
      <c r="A57" s="17" t="s">
        <v>104</v>
      </c>
      <c r="B57" s="19" t="s">
        <v>50</v>
      </c>
      <c r="C57" s="19" t="s">
        <v>142</v>
      </c>
      <c r="D57" s="19" t="s">
        <v>143</v>
      </c>
      <c r="E57" s="20" t="s">
        <v>32</v>
      </c>
      <c r="F57" s="19" t="s">
        <v>142</v>
      </c>
      <c r="G57" s="19" t="s">
        <v>144</v>
      </c>
      <c r="H57" s="19" t="s">
        <v>32</v>
      </c>
      <c r="I57">
        <v>0</v>
      </c>
      <c r="J57">
        <v>2</v>
      </c>
      <c r="K57" s="1"/>
    </row>
    <row r="58" spans="1:11">
      <c r="A58" s="17" t="s">
        <v>104</v>
      </c>
      <c r="B58" s="19" t="s">
        <v>50</v>
      </c>
      <c r="C58" s="19" t="s">
        <v>145</v>
      </c>
      <c r="D58" s="19" t="s">
        <v>146</v>
      </c>
      <c r="E58" s="20" t="s">
        <v>32</v>
      </c>
      <c r="F58" s="19" t="s">
        <v>145</v>
      </c>
      <c r="G58" s="19" t="s">
        <v>147</v>
      </c>
      <c r="H58" s="19" t="s">
        <v>32</v>
      </c>
      <c r="I58">
        <v>0</v>
      </c>
      <c r="J58">
        <v>1</v>
      </c>
      <c r="K58" s="1"/>
    </row>
    <row r="59" spans="1:11">
      <c r="A59" s="17" t="s">
        <v>104</v>
      </c>
      <c r="B59" s="19" t="s">
        <v>50</v>
      </c>
      <c r="C59" s="19" t="s">
        <v>148</v>
      </c>
      <c r="D59" s="19" t="s">
        <v>149</v>
      </c>
      <c r="E59" s="20" t="s">
        <v>32</v>
      </c>
      <c r="F59" s="19" t="s">
        <v>148</v>
      </c>
      <c r="G59" s="19" t="s">
        <v>150</v>
      </c>
      <c r="H59" s="19" t="s">
        <v>32</v>
      </c>
      <c r="I59">
        <v>0</v>
      </c>
      <c r="J59">
        <v>125</v>
      </c>
      <c r="K59" s="1"/>
    </row>
    <row r="60" spans="1:11">
      <c r="A60" s="17" t="s">
        <v>104</v>
      </c>
      <c r="B60" s="19" t="s">
        <v>50</v>
      </c>
      <c r="C60" s="19" t="s">
        <v>367</v>
      </c>
      <c r="D60" s="19" t="s">
        <v>368</v>
      </c>
      <c r="E60" s="20" t="s">
        <v>32</v>
      </c>
      <c r="F60" s="19" t="s">
        <v>367</v>
      </c>
      <c r="G60" s="19" t="s">
        <v>369</v>
      </c>
      <c r="H60" s="19" t="s">
        <v>32</v>
      </c>
      <c r="I60">
        <v>0</v>
      </c>
      <c r="J60">
        <v>113</v>
      </c>
      <c r="K60" s="1"/>
    </row>
    <row r="61" spans="1:11">
      <c r="A61" s="17" t="s">
        <v>104</v>
      </c>
      <c r="B61" s="19" t="s">
        <v>50</v>
      </c>
      <c r="C61" s="19" t="s">
        <v>370</v>
      </c>
      <c r="D61" s="19" t="s">
        <v>371</v>
      </c>
      <c r="E61" s="20" t="s">
        <v>32</v>
      </c>
      <c r="F61" s="19" t="s">
        <v>370</v>
      </c>
      <c r="G61" s="19" t="s">
        <v>372</v>
      </c>
      <c r="H61" s="19" t="s">
        <v>32</v>
      </c>
      <c r="I61">
        <v>0</v>
      </c>
      <c r="J61">
        <v>79</v>
      </c>
      <c r="K61" s="1"/>
    </row>
    <row r="62" spans="1:11">
      <c r="A62" s="17" t="s">
        <v>104</v>
      </c>
      <c r="B62" s="19" t="s">
        <v>50</v>
      </c>
      <c r="C62" s="19" t="s">
        <v>151</v>
      </c>
      <c r="D62" s="19" t="s">
        <v>152</v>
      </c>
      <c r="E62" s="20" t="s">
        <v>32</v>
      </c>
      <c r="F62" s="19" t="s">
        <v>151</v>
      </c>
      <c r="G62" s="19" t="s">
        <v>153</v>
      </c>
      <c r="H62" s="19" t="s">
        <v>32</v>
      </c>
      <c r="I62">
        <v>0</v>
      </c>
      <c r="J62">
        <v>1</v>
      </c>
      <c r="K62" s="1"/>
    </row>
    <row r="63" spans="1:11">
      <c r="A63" s="17" t="s">
        <v>104</v>
      </c>
      <c r="B63" s="19" t="s">
        <v>50</v>
      </c>
      <c r="C63" s="19" t="s">
        <v>154</v>
      </c>
      <c r="D63" s="19" t="s">
        <v>155</v>
      </c>
      <c r="E63" s="20" t="s">
        <v>32</v>
      </c>
      <c r="F63" s="19" t="s">
        <v>154</v>
      </c>
      <c r="G63" s="19" t="s">
        <v>156</v>
      </c>
      <c r="H63" s="19" t="s">
        <v>32</v>
      </c>
      <c r="I63">
        <v>0</v>
      </c>
      <c r="J63">
        <v>37</v>
      </c>
      <c r="K63" s="1"/>
    </row>
    <row r="64" spans="1:11">
      <c r="A64" s="17" t="s">
        <v>104</v>
      </c>
      <c r="B64" s="19" t="s">
        <v>50</v>
      </c>
      <c r="C64" s="19" t="s">
        <v>157</v>
      </c>
      <c r="D64" s="19" t="s">
        <v>158</v>
      </c>
      <c r="E64" s="20" t="s">
        <v>32</v>
      </c>
      <c r="F64" s="19" t="s">
        <v>157</v>
      </c>
      <c r="G64" s="19" t="s">
        <v>159</v>
      </c>
      <c r="H64" s="19" t="s">
        <v>32</v>
      </c>
      <c r="I64">
        <v>0</v>
      </c>
      <c r="J64">
        <v>1</v>
      </c>
      <c r="K64" s="1"/>
    </row>
    <row r="65" spans="1:11">
      <c r="A65" s="17" t="s">
        <v>104</v>
      </c>
      <c r="B65" s="19" t="s">
        <v>50</v>
      </c>
      <c r="C65" s="19" t="s">
        <v>373</v>
      </c>
      <c r="D65" s="19" t="s">
        <v>374</v>
      </c>
      <c r="E65" s="20" t="s">
        <v>32</v>
      </c>
      <c r="F65" s="19" t="s">
        <v>373</v>
      </c>
      <c r="G65" s="19" t="s">
        <v>375</v>
      </c>
      <c r="H65" s="19" t="s">
        <v>32</v>
      </c>
      <c r="I65">
        <v>0</v>
      </c>
      <c r="J65">
        <v>2743</v>
      </c>
      <c r="K65" s="1"/>
    </row>
    <row r="66" spans="1:11">
      <c r="A66" s="17" t="s">
        <v>104</v>
      </c>
      <c r="B66" s="19" t="s">
        <v>50</v>
      </c>
      <c r="C66" s="19" t="s">
        <v>160</v>
      </c>
      <c r="D66" s="19" t="s">
        <v>161</v>
      </c>
      <c r="E66" s="20" t="s">
        <v>32</v>
      </c>
      <c r="F66" s="19" t="s">
        <v>160</v>
      </c>
      <c r="G66" s="19" t="s">
        <v>162</v>
      </c>
      <c r="H66" s="19" t="s">
        <v>32</v>
      </c>
      <c r="I66">
        <v>0</v>
      </c>
      <c r="J66">
        <v>2</v>
      </c>
      <c r="K66" s="1"/>
    </row>
    <row r="67" spans="1:11">
      <c r="A67" s="17" t="s">
        <v>104</v>
      </c>
      <c r="B67" s="19" t="s">
        <v>50</v>
      </c>
      <c r="C67" s="19" t="s">
        <v>376</v>
      </c>
      <c r="D67" s="19" t="s">
        <v>377</v>
      </c>
      <c r="E67" s="20" t="s">
        <v>32</v>
      </c>
      <c r="F67" s="19" t="s">
        <v>376</v>
      </c>
      <c r="G67" s="19" t="s">
        <v>378</v>
      </c>
      <c r="H67" s="19" t="s">
        <v>32</v>
      </c>
      <c r="I67">
        <v>0</v>
      </c>
      <c r="J67">
        <v>6424</v>
      </c>
      <c r="K67" s="1"/>
    </row>
    <row r="68" spans="1:11">
      <c r="A68" s="17" t="s">
        <v>104</v>
      </c>
      <c r="B68" s="19" t="s">
        <v>50</v>
      </c>
      <c r="C68" s="19" t="s">
        <v>379</v>
      </c>
      <c r="D68" s="19" t="s">
        <v>380</v>
      </c>
      <c r="E68" s="20" t="s">
        <v>32</v>
      </c>
      <c r="F68" s="19" t="s">
        <v>379</v>
      </c>
      <c r="G68" s="19" t="s">
        <v>381</v>
      </c>
      <c r="H68" s="19" t="s">
        <v>32</v>
      </c>
      <c r="I68">
        <v>0</v>
      </c>
      <c r="J68">
        <v>222</v>
      </c>
      <c r="K68" s="1"/>
    </row>
    <row r="69" spans="1:11">
      <c r="A69" s="17" t="s">
        <v>104</v>
      </c>
      <c r="B69" s="19" t="s">
        <v>50</v>
      </c>
      <c r="C69" s="19" t="s">
        <v>163</v>
      </c>
      <c r="D69" s="19" t="s">
        <v>164</v>
      </c>
      <c r="E69" s="20" t="s">
        <v>32</v>
      </c>
      <c r="F69" s="19" t="s">
        <v>163</v>
      </c>
      <c r="G69" s="19" t="s">
        <v>165</v>
      </c>
      <c r="H69" s="19" t="s">
        <v>32</v>
      </c>
      <c r="I69">
        <v>0</v>
      </c>
      <c r="J69">
        <v>10</v>
      </c>
      <c r="K69" s="1"/>
    </row>
    <row r="70" spans="1:11">
      <c r="A70" s="17" t="s">
        <v>104</v>
      </c>
      <c r="B70" s="19" t="s">
        <v>50</v>
      </c>
      <c r="C70" s="19" t="s">
        <v>382</v>
      </c>
      <c r="D70" s="19" t="s">
        <v>383</v>
      </c>
      <c r="E70" s="20" t="s">
        <v>32</v>
      </c>
      <c r="F70" s="19" t="s">
        <v>382</v>
      </c>
      <c r="G70" s="19" t="s">
        <v>384</v>
      </c>
      <c r="H70" s="19" t="s">
        <v>32</v>
      </c>
      <c r="I70">
        <v>0</v>
      </c>
      <c r="J70">
        <v>1082</v>
      </c>
      <c r="K70" s="1"/>
    </row>
    <row r="71" spans="1:11">
      <c r="A71" s="17" t="s">
        <v>104</v>
      </c>
      <c r="B71" s="19" t="s">
        <v>50</v>
      </c>
      <c r="C71" s="19" t="s">
        <v>166</v>
      </c>
      <c r="D71" s="19" t="s">
        <v>167</v>
      </c>
      <c r="E71" s="20" t="s">
        <v>32</v>
      </c>
      <c r="F71" s="19" t="s">
        <v>166</v>
      </c>
      <c r="G71" s="19" t="s">
        <v>168</v>
      </c>
      <c r="H71" s="19" t="s">
        <v>32</v>
      </c>
      <c r="I71">
        <v>0</v>
      </c>
      <c r="J71">
        <v>321</v>
      </c>
      <c r="K71" s="1"/>
    </row>
    <row r="72" spans="1:11">
      <c r="A72" s="17" t="s">
        <v>104</v>
      </c>
      <c r="B72" s="19" t="s">
        <v>50</v>
      </c>
      <c r="C72" s="19" t="s">
        <v>385</v>
      </c>
      <c r="D72" s="19" t="s">
        <v>386</v>
      </c>
      <c r="E72" s="20" t="s">
        <v>32</v>
      </c>
      <c r="F72" s="19" t="s">
        <v>385</v>
      </c>
      <c r="G72" s="19" t="s">
        <v>387</v>
      </c>
      <c r="H72" s="19" t="s">
        <v>32</v>
      </c>
      <c r="I72">
        <v>0</v>
      </c>
      <c r="J72">
        <v>1686</v>
      </c>
      <c r="K72" s="1"/>
    </row>
    <row r="73" spans="1:11">
      <c r="A73" s="17" t="s">
        <v>104</v>
      </c>
      <c r="B73" s="19" t="s">
        <v>50</v>
      </c>
      <c r="C73" s="19" t="s">
        <v>169</v>
      </c>
      <c r="D73" s="19" t="s">
        <v>170</v>
      </c>
      <c r="E73" s="20" t="s">
        <v>32</v>
      </c>
      <c r="F73" s="19" t="s">
        <v>169</v>
      </c>
      <c r="G73" s="19" t="s">
        <v>171</v>
      </c>
      <c r="H73" s="19" t="s">
        <v>32</v>
      </c>
      <c r="I73">
        <v>0</v>
      </c>
      <c r="J73">
        <v>1</v>
      </c>
      <c r="K73" s="1"/>
    </row>
    <row r="74" spans="1:11">
      <c r="A74" s="17" t="s">
        <v>104</v>
      </c>
      <c r="B74" s="19" t="s">
        <v>50</v>
      </c>
      <c r="C74" s="19" t="s">
        <v>388</v>
      </c>
      <c r="D74" s="19" t="s">
        <v>389</v>
      </c>
      <c r="E74" s="20" t="s">
        <v>32</v>
      </c>
      <c r="F74" s="19" t="s">
        <v>388</v>
      </c>
      <c r="G74" s="19" t="s">
        <v>390</v>
      </c>
      <c r="H74" s="19" t="s">
        <v>32</v>
      </c>
      <c r="I74">
        <v>0</v>
      </c>
      <c r="J74">
        <v>7340</v>
      </c>
      <c r="K74" s="1"/>
    </row>
    <row r="75" spans="1:11">
      <c r="A75" s="17" t="s">
        <v>104</v>
      </c>
      <c r="B75" s="19" t="s">
        <v>50</v>
      </c>
      <c r="C75" s="19" t="s">
        <v>391</v>
      </c>
      <c r="D75" s="19" t="s">
        <v>392</v>
      </c>
      <c r="E75" s="20" t="s">
        <v>32</v>
      </c>
      <c r="F75" s="19" t="s">
        <v>391</v>
      </c>
      <c r="G75" s="19" t="s">
        <v>393</v>
      </c>
      <c r="H75" s="19" t="s">
        <v>32</v>
      </c>
      <c r="I75">
        <v>0</v>
      </c>
      <c r="J75">
        <v>9328</v>
      </c>
      <c r="K75" s="1"/>
    </row>
    <row r="76" spans="1:11">
      <c r="A76" s="17" t="s">
        <v>104</v>
      </c>
      <c r="B76" s="19" t="s">
        <v>50</v>
      </c>
      <c r="C76" s="19" t="s">
        <v>394</v>
      </c>
      <c r="D76" s="19" t="s">
        <v>395</v>
      </c>
      <c r="E76" s="20" t="s">
        <v>32</v>
      </c>
      <c r="F76" s="19" t="s">
        <v>394</v>
      </c>
      <c r="G76" s="19" t="s">
        <v>396</v>
      </c>
      <c r="H76" s="19" t="s">
        <v>32</v>
      </c>
      <c r="I76">
        <v>0</v>
      </c>
      <c r="J76">
        <v>1</v>
      </c>
      <c r="K76" s="1"/>
    </row>
    <row r="77" spans="1:11">
      <c r="A77" s="17" t="s">
        <v>104</v>
      </c>
      <c r="B77" s="19" t="s">
        <v>50</v>
      </c>
      <c r="C77" s="19" t="s">
        <v>394</v>
      </c>
      <c r="D77" s="19" t="s">
        <v>397</v>
      </c>
      <c r="E77" s="20" t="s">
        <v>32</v>
      </c>
      <c r="F77" s="19" t="s">
        <v>394</v>
      </c>
      <c r="G77" s="19" t="s">
        <v>398</v>
      </c>
      <c r="H77" s="19" t="s">
        <v>32</v>
      </c>
      <c r="I77">
        <v>0</v>
      </c>
      <c r="J77">
        <v>11992</v>
      </c>
      <c r="K77" s="1"/>
    </row>
    <row r="78" spans="1:11">
      <c r="A78" s="17" t="s">
        <v>104</v>
      </c>
      <c r="B78" s="19" t="s">
        <v>50</v>
      </c>
      <c r="C78" s="19" t="s">
        <v>394</v>
      </c>
      <c r="D78" s="19" t="s">
        <v>399</v>
      </c>
      <c r="E78" s="20" t="s">
        <v>32</v>
      </c>
      <c r="F78" s="19" t="s">
        <v>394</v>
      </c>
      <c r="G78" s="19" t="s">
        <v>400</v>
      </c>
      <c r="H78" s="19" t="s">
        <v>32</v>
      </c>
      <c r="I78">
        <v>0</v>
      </c>
      <c r="J78">
        <v>1</v>
      </c>
      <c r="K78" s="1"/>
    </row>
    <row r="79" spans="1:11">
      <c r="A79" s="17" t="s">
        <v>104</v>
      </c>
      <c r="B79" s="19" t="s">
        <v>50</v>
      </c>
      <c r="C79" s="19" t="s">
        <v>401</v>
      </c>
      <c r="D79" s="19" t="s">
        <v>402</v>
      </c>
      <c r="E79" s="20" t="s">
        <v>32</v>
      </c>
      <c r="F79" s="19" t="s">
        <v>401</v>
      </c>
      <c r="G79" s="19" t="s">
        <v>403</v>
      </c>
      <c r="H79" s="19" t="s">
        <v>32</v>
      </c>
      <c r="I79">
        <v>0</v>
      </c>
      <c r="J79">
        <v>164</v>
      </c>
      <c r="K79" s="1"/>
    </row>
    <row r="80" spans="1:11">
      <c r="A80" s="17" t="s">
        <v>104</v>
      </c>
      <c r="B80" s="19" t="s">
        <v>50</v>
      </c>
      <c r="C80" s="19" t="s">
        <v>172</v>
      </c>
      <c r="D80" s="19" t="s">
        <v>173</v>
      </c>
      <c r="E80" s="20" t="s">
        <v>32</v>
      </c>
      <c r="F80" s="19" t="s">
        <v>172</v>
      </c>
      <c r="G80" s="19" t="s">
        <v>174</v>
      </c>
      <c r="H80" s="19" t="s">
        <v>32</v>
      </c>
      <c r="I80">
        <v>0</v>
      </c>
      <c r="J80">
        <v>1</v>
      </c>
      <c r="K80" s="1"/>
    </row>
    <row r="81" spans="1:11">
      <c r="A81" s="17" t="s">
        <v>104</v>
      </c>
      <c r="B81" s="19" t="s">
        <v>49</v>
      </c>
      <c r="C81" s="19" t="s">
        <v>404</v>
      </c>
      <c r="D81" s="19" t="s">
        <v>405</v>
      </c>
      <c r="E81" s="20" t="s">
        <v>12</v>
      </c>
      <c r="F81" s="19" t="s">
        <v>404</v>
      </c>
      <c r="G81" s="19" t="s">
        <v>406</v>
      </c>
      <c r="H81" s="19" t="s">
        <v>31</v>
      </c>
      <c r="I81">
        <v>130208</v>
      </c>
      <c r="J81">
        <v>56</v>
      </c>
      <c r="K81" s="1"/>
    </row>
    <row r="82" spans="1:11">
      <c r="A82" s="17" t="s">
        <v>104</v>
      </c>
      <c r="B82" s="19" t="s">
        <v>49</v>
      </c>
      <c r="C82" s="19" t="s">
        <v>407</v>
      </c>
      <c r="D82" s="19" t="s">
        <v>408</v>
      </c>
      <c r="E82" s="20" t="s">
        <v>12</v>
      </c>
      <c r="F82" s="19" t="s">
        <v>407</v>
      </c>
      <c r="G82" s="19" t="s">
        <v>409</v>
      </c>
      <c r="H82" s="19" t="s">
        <v>31</v>
      </c>
      <c r="I82">
        <v>337852</v>
      </c>
      <c r="J82">
        <v>90</v>
      </c>
      <c r="K82" s="1"/>
    </row>
    <row r="83" spans="1:11">
      <c r="A83" s="17" t="s">
        <v>104</v>
      </c>
      <c r="B83" s="19" t="s">
        <v>49</v>
      </c>
      <c r="C83" s="19" t="s">
        <v>410</v>
      </c>
      <c r="D83" s="19" t="s">
        <v>411</v>
      </c>
      <c r="E83" s="20" t="s">
        <v>12</v>
      </c>
      <c r="F83" s="19" t="s">
        <v>410</v>
      </c>
      <c r="G83" s="19" t="s">
        <v>412</v>
      </c>
      <c r="H83" s="19" t="s">
        <v>31</v>
      </c>
      <c r="I83">
        <v>1773226</v>
      </c>
      <c r="J83">
        <v>1099</v>
      </c>
      <c r="K83" s="1"/>
    </row>
    <row r="84" spans="1:11">
      <c r="A84" s="17" t="s">
        <v>104</v>
      </c>
      <c r="B84" s="19" t="s">
        <v>49</v>
      </c>
      <c r="C84" s="19" t="s">
        <v>413</v>
      </c>
      <c r="D84" s="19" t="s">
        <v>414</v>
      </c>
      <c r="E84" s="20" t="s">
        <v>12</v>
      </c>
      <c r="F84" s="19" t="s">
        <v>413</v>
      </c>
      <c r="G84" s="19" t="s">
        <v>415</v>
      </c>
      <c r="H84" s="19" t="s">
        <v>31</v>
      </c>
      <c r="I84">
        <v>2351398</v>
      </c>
      <c r="J84">
        <v>1851</v>
      </c>
      <c r="K84" s="1"/>
    </row>
    <row r="85" spans="1:11">
      <c r="A85" s="17" t="s">
        <v>104</v>
      </c>
      <c r="B85" s="19" t="s">
        <v>49</v>
      </c>
      <c r="C85" s="19" t="s">
        <v>416</v>
      </c>
      <c r="D85" s="19" t="s">
        <v>417</v>
      </c>
      <c r="E85" s="20" t="s">
        <v>12</v>
      </c>
      <c r="F85" s="19" t="s">
        <v>416</v>
      </c>
      <c r="G85" s="19" t="s">
        <v>418</v>
      </c>
      <c r="H85" s="19" t="s">
        <v>31</v>
      </c>
      <c r="I85">
        <v>351996</v>
      </c>
      <c r="J85">
        <v>135</v>
      </c>
      <c r="K85" s="1"/>
    </row>
    <row r="86" spans="1:11">
      <c r="A86" s="17" t="s">
        <v>104</v>
      </c>
      <c r="B86" s="19" t="s">
        <v>49</v>
      </c>
      <c r="C86" s="19" t="s">
        <v>419</v>
      </c>
      <c r="D86" s="19" t="s">
        <v>420</v>
      </c>
      <c r="E86" s="20" t="s">
        <v>12</v>
      </c>
      <c r="F86" s="19" t="s">
        <v>419</v>
      </c>
      <c r="G86" s="19" t="s">
        <v>421</v>
      </c>
      <c r="H86" s="19" t="s">
        <v>31</v>
      </c>
      <c r="I86">
        <v>495162</v>
      </c>
      <c r="J86">
        <v>173</v>
      </c>
      <c r="K86" s="1"/>
    </row>
    <row r="87" spans="1:11">
      <c r="A87" s="17" t="s">
        <v>104</v>
      </c>
      <c r="B87" s="19" t="s">
        <v>49</v>
      </c>
      <c r="C87" s="19" t="s">
        <v>422</v>
      </c>
      <c r="D87" s="19" t="s">
        <v>423</v>
      </c>
      <c r="E87" s="20" t="s">
        <v>12</v>
      </c>
      <c r="F87" s="19" t="s">
        <v>422</v>
      </c>
      <c r="G87" s="19" t="s">
        <v>424</v>
      </c>
      <c r="H87" s="19" t="s">
        <v>31</v>
      </c>
      <c r="I87">
        <v>71528</v>
      </c>
      <c r="J87">
        <v>76</v>
      </c>
      <c r="K87" s="1"/>
    </row>
    <row r="88" spans="1:11">
      <c r="A88" s="17" t="s">
        <v>104</v>
      </c>
      <c r="B88" s="19" t="s">
        <v>49</v>
      </c>
      <c r="C88" s="19" t="s">
        <v>425</v>
      </c>
      <c r="D88" s="19" t="s">
        <v>426</v>
      </c>
      <c r="E88" s="20" t="s">
        <v>12</v>
      </c>
      <c r="F88" s="19" t="s">
        <v>425</v>
      </c>
      <c r="G88" s="19" t="s">
        <v>427</v>
      </c>
      <c r="H88" s="19" t="s">
        <v>31</v>
      </c>
      <c r="I88">
        <v>65764</v>
      </c>
      <c r="J88">
        <v>43</v>
      </c>
      <c r="K88" s="1"/>
    </row>
    <row r="89" spans="1:11">
      <c r="A89" s="17" t="s">
        <v>104</v>
      </c>
      <c r="B89" s="19" t="s">
        <v>49</v>
      </c>
      <c r="C89" s="19" t="s">
        <v>428</v>
      </c>
      <c r="D89" s="19" t="s">
        <v>429</v>
      </c>
      <c r="E89" s="20" t="s">
        <v>12</v>
      </c>
      <c r="F89" s="19" t="s">
        <v>428</v>
      </c>
      <c r="G89" s="19" t="s">
        <v>430</v>
      </c>
      <c r="H89" s="19" t="s">
        <v>31</v>
      </c>
      <c r="I89">
        <v>100</v>
      </c>
      <c r="J89">
        <v>0</v>
      </c>
      <c r="K89" s="1"/>
    </row>
    <row r="90" spans="1:11">
      <c r="A90" s="17" t="s">
        <v>104</v>
      </c>
      <c r="B90" s="19" t="s">
        <v>49</v>
      </c>
      <c r="C90" s="19" t="s">
        <v>175</v>
      </c>
      <c r="D90" s="19" t="s">
        <v>176</v>
      </c>
      <c r="E90" s="20" t="s">
        <v>12</v>
      </c>
      <c r="F90" s="19" t="s">
        <v>175</v>
      </c>
      <c r="G90" s="19" t="s">
        <v>177</v>
      </c>
      <c r="H90" s="19" t="s">
        <v>31</v>
      </c>
      <c r="I90">
        <v>151</v>
      </c>
      <c r="J90">
        <v>1</v>
      </c>
      <c r="K90" s="1"/>
    </row>
    <row r="91" spans="1:11">
      <c r="A91" s="17" t="s">
        <v>104</v>
      </c>
      <c r="B91" s="19" t="s">
        <v>49</v>
      </c>
      <c r="C91" s="19" t="s">
        <v>431</v>
      </c>
      <c r="D91" s="19" t="s">
        <v>432</v>
      </c>
      <c r="E91" s="20" t="s">
        <v>12</v>
      </c>
      <c r="F91" s="19" t="s">
        <v>431</v>
      </c>
      <c r="G91" s="19" t="s">
        <v>433</v>
      </c>
      <c r="H91" s="19" t="s">
        <v>31</v>
      </c>
      <c r="I91">
        <v>24</v>
      </c>
      <c r="J91">
        <v>0</v>
      </c>
      <c r="K91" s="1"/>
    </row>
    <row r="92" spans="1:11">
      <c r="A92" s="17" t="s">
        <v>104</v>
      </c>
      <c r="B92" s="19" t="s">
        <v>49</v>
      </c>
      <c r="C92" s="19" t="s">
        <v>178</v>
      </c>
      <c r="D92" s="19" t="s">
        <v>179</v>
      </c>
      <c r="E92" s="20" t="s">
        <v>12</v>
      </c>
      <c r="F92" s="19" t="s">
        <v>178</v>
      </c>
      <c r="G92" s="19" t="s">
        <v>180</v>
      </c>
      <c r="H92" s="19" t="s">
        <v>31</v>
      </c>
      <c r="I92">
        <v>38</v>
      </c>
      <c r="J92">
        <v>0</v>
      </c>
      <c r="K92" s="1"/>
    </row>
    <row r="93" spans="1:11">
      <c r="A93" s="17" t="s">
        <v>104</v>
      </c>
      <c r="B93" s="19" t="s">
        <v>49</v>
      </c>
      <c r="C93" s="19" t="s">
        <v>181</v>
      </c>
      <c r="D93" s="19" t="s">
        <v>182</v>
      </c>
      <c r="E93" s="20" t="s">
        <v>12</v>
      </c>
      <c r="F93" s="19" t="s">
        <v>181</v>
      </c>
      <c r="G93" s="19" t="s">
        <v>183</v>
      </c>
      <c r="H93" s="19" t="s">
        <v>31</v>
      </c>
      <c r="I93">
        <v>64731</v>
      </c>
      <c r="J93">
        <v>32</v>
      </c>
      <c r="K93" s="1"/>
    </row>
    <row r="94" spans="1:11">
      <c r="A94" s="17" t="s">
        <v>104</v>
      </c>
      <c r="B94" s="19" t="s">
        <v>49</v>
      </c>
      <c r="C94" s="19" t="s">
        <v>184</v>
      </c>
      <c r="D94" s="19" t="s">
        <v>185</v>
      </c>
      <c r="E94" s="20" t="s">
        <v>12</v>
      </c>
      <c r="F94" s="19" t="s">
        <v>184</v>
      </c>
      <c r="G94" s="19" t="s">
        <v>186</v>
      </c>
      <c r="H94" s="19" t="s">
        <v>31</v>
      </c>
      <c r="I94">
        <v>676014</v>
      </c>
      <c r="J94">
        <v>359</v>
      </c>
      <c r="K94" s="1"/>
    </row>
    <row r="95" spans="1:11">
      <c r="A95" s="17" t="s">
        <v>104</v>
      </c>
      <c r="B95" s="19" t="s">
        <v>49</v>
      </c>
      <c r="C95" s="19" t="s">
        <v>187</v>
      </c>
      <c r="D95" s="19" t="s">
        <v>188</v>
      </c>
      <c r="E95" s="20" t="s">
        <v>12</v>
      </c>
      <c r="F95" s="19" t="s">
        <v>187</v>
      </c>
      <c r="G95" s="19" t="s">
        <v>189</v>
      </c>
      <c r="H95" s="19" t="s">
        <v>31</v>
      </c>
      <c r="I95">
        <v>161426</v>
      </c>
      <c r="J95">
        <v>119</v>
      </c>
      <c r="K95" s="1"/>
    </row>
    <row r="96" spans="1:11">
      <c r="A96" s="17" t="s">
        <v>104</v>
      </c>
      <c r="B96" s="19" t="s">
        <v>49</v>
      </c>
      <c r="C96" s="19" t="s">
        <v>190</v>
      </c>
      <c r="D96" s="19" t="s">
        <v>191</v>
      </c>
      <c r="E96" s="20" t="s">
        <v>12</v>
      </c>
      <c r="F96" s="19" t="s">
        <v>190</v>
      </c>
      <c r="G96" s="19" t="s">
        <v>192</v>
      </c>
      <c r="H96" s="19" t="s">
        <v>31</v>
      </c>
      <c r="I96">
        <v>398349</v>
      </c>
      <c r="J96">
        <v>394</v>
      </c>
      <c r="K96" s="1"/>
    </row>
    <row r="97" spans="1:11">
      <c r="A97" s="17" t="s">
        <v>104</v>
      </c>
      <c r="B97" s="19" t="s">
        <v>49</v>
      </c>
      <c r="C97" s="19" t="s">
        <v>193</v>
      </c>
      <c r="D97" s="19" t="s">
        <v>194</v>
      </c>
      <c r="E97" s="20" t="s">
        <v>12</v>
      </c>
      <c r="F97" s="19" t="s">
        <v>193</v>
      </c>
      <c r="G97" s="19" t="s">
        <v>195</v>
      </c>
      <c r="H97" s="19" t="s">
        <v>31</v>
      </c>
      <c r="I97">
        <v>65329</v>
      </c>
      <c r="J97">
        <v>37</v>
      </c>
      <c r="K97" s="1"/>
    </row>
    <row r="98" spans="1:11">
      <c r="A98" s="17" t="s">
        <v>104</v>
      </c>
      <c r="B98" s="19" t="s">
        <v>49</v>
      </c>
      <c r="C98" s="19" t="s">
        <v>196</v>
      </c>
      <c r="D98" s="19" t="s">
        <v>197</v>
      </c>
      <c r="E98" s="20" t="s">
        <v>12</v>
      </c>
      <c r="F98" s="19" t="s">
        <v>196</v>
      </c>
      <c r="G98" s="19" t="s">
        <v>198</v>
      </c>
      <c r="H98" s="19" t="s">
        <v>31</v>
      </c>
      <c r="I98">
        <v>671518</v>
      </c>
      <c r="J98">
        <v>286</v>
      </c>
      <c r="K98" s="1"/>
    </row>
    <row r="99" spans="1:11">
      <c r="A99" s="17" t="s">
        <v>104</v>
      </c>
      <c r="B99" s="19" t="s">
        <v>49</v>
      </c>
      <c r="C99" s="19" t="s">
        <v>199</v>
      </c>
      <c r="D99" s="19" t="s">
        <v>200</v>
      </c>
      <c r="E99" s="20" t="s">
        <v>12</v>
      </c>
      <c r="F99" s="19" t="s">
        <v>199</v>
      </c>
      <c r="G99" s="19" t="s">
        <v>201</v>
      </c>
      <c r="H99" s="19" t="s">
        <v>31</v>
      </c>
      <c r="I99">
        <v>163037</v>
      </c>
      <c r="J99">
        <v>119</v>
      </c>
      <c r="K99" s="1"/>
    </row>
    <row r="100" spans="1:11">
      <c r="A100" s="17" t="s">
        <v>104</v>
      </c>
      <c r="B100" s="19" t="s">
        <v>49</v>
      </c>
      <c r="C100" s="19" t="s">
        <v>202</v>
      </c>
      <c r="D100" s="19" t="s">
        <v>203</v>
      </c>
      <c r="E100" s="20" t="s">
        <v>12</v>
      </c>
      <c r="F100" s="19" t="s">
        <v>202</v>
      </c>
      <c r="G100" s="19" t="s">
        <v>204</v>
      </c>
      <c r="H100" s="19" t="s">
        <v>31</v>
      </c>
      <c r="I100">
        <v>29612</v>
      </c>
      <c r="J100">
        <v>25</v>
      </c>
      <c r="K100" s="1"/>
    </row>
    <row r="101" spans="1:11">
      <c r="A101" s="17" t="s">
        <v>104</v>
      </c>
      <c r="B101" s="19" t="s">
        <v>49</v>
      </c>
      <c r="C101" s="19" t="s">
        <v>205</v>
      </c>
      <c r="D101" s="19" t="s">
        <v>206</v>
      </c>
      <c r="E101" s="20" t="s">
        <v>12</v>
      </c>
      <c r="F101" s="19" t="s">
        <v>205</v>
      </c>
      <c r="G101" s="19" t="s">
        <v>207</v>
      </c>
      <c r="H101" s="19" t="s">
        <v>31</v>
      </c>
      <c r="I101">
        <v>2484149</v>
      </c>
      <c r="J101">
        <v>9111</v>
      </c>
      <c r="K101" s="1"/>
    </row>
    <row r="102" spans="1:11">
      <c r="A102" s="17" t="s">
        <v>104</v>
      </c>
      <c r="B102" s="19" t="s">
        <v>49</v>
      </c>
      <c r="C102" s="19" t="s">
        <v>208</v>
      </c>
      <c r="D102" s="19" t="s">
        <v>209</v>
      </c>
      <c r="E102" s="20" t="s">
        <v>12</v>
      </c>
      <c r="F102" s="19" t="s">
        <v>208</v>
      </c>
      <c r="G102" s="19" t="s">
        <v>210</v>
      </c>
      <c r="H102" s="19" t="s">
        <v>31</v>
      </c>
      <c r="I102">
        <v>226225</v>
      </c>
      <c r="J102">
        <v>1275</v>
      </c>
      <c r="K102" s="1"/>
    </row>
    <row r="103" spans="1:11">
      <c r="A103" s="17" t="s">
        <v>104</v>
      </c>
      <c r="B103" s="19" t="s">
        <v>49</v>
      </c>
      <c r="C103" s="19" t="s">
        <v>211</v>
      </c>
      <c r="D103" s="19" t="s">
        <v>212</v>
      </c>
      <c r="E103" s="20" t="s">
        <v>12</v>
      </c>
      <c r="F103" s="19" t="s">
        <v>211</v>
      </c>
      <c r="G103" s="19" t="s">
        <v>213</v>
      </c>
      <c r="H103" s="19" t="s">
        <v>31</v>
      </c>
      <c r="I103">
        <v>15358</v>
      </c>
      <c r="J103">
        <v>33</v>
      </c>
      <c r="K103" s="1"/>
    </row>
    <row r="104" spans="1:11">
      <c r="A104" s="17" t="s">
        <v>104</v>
      </c>
      <c r="B104" s="19" t="s">
        <v>49</v>
      </c>
      <c r="C104" s="19" t="s">
        <v>434</v>
      </c>
      <c r="D104" s="19" t="s">
        <v>435</v>
      </c>
      <c r="E104" s="20" t="s">
        <v>32</v>
      </c>
      <c r="F104" s="19" t="s">
        <v>434</v>
      </c>
      <c r="G104" s="19" t="s">
        <v>436</v>
      </c>
      <c r="H104" s="19" t="s">
        <v>32</v>
      </c>
      <c r="I104">
        <v>0</v>
      </c>
      <c r="J104">
        <v>1</v>
      </c>
      <c r="K104" s="1"/>
    </row>
    <row r="105" spans="1:11">
      <c r="A105" s="17" t="s">
        <v>104</v>
      </c>
      <c r="B105" s="19" t="s">
        <v>49</v>
      </c>
      <c r="C105" s="19" t="s">
        <v>437</v>
      </c>
      <c r="D105" s="19" t="s">
        <v>438</v>
      </c>
      <c r="E105" s="20" t="s">
        <v>32</v>
      </c>
      <c r="F105" s="19" t="s">
        <v>437</v>
      </c>
      <c r="G105" s="19" t="s">
        <v>439</v>
      </c>
      <c r="H105" s="19" t="s">
        <v>32</v>
      </c>
      <c r="I105">
        <v>0</v>
      </c>
      <c r="J105">
        <v>2</v>
      </c>
      <c r="K105" s="1"/>
    </row>
    <row r="106" spans="1:11">
      <c r="A106" s="17" t="s">
        <v>104</v>
      </c>
      <c r="B106" s="19" t="s">
        <v>49</v>
      </c>
      <c r="C106" s="19" t="s">
        <v>440</v>
      </c>
      <c r="D106" s="19" t="s">
        <v>441</v>
      </c>
      <c r="E106" s="20" t="s">
        <v>32</v>
      </c>
      <c r="F106" s="19" t="s">
        <v>440</v>
      </c>
      <c r="G106" s="19" t="s">
        <v>442</v>
      </c>
      <c r="H106" s="19" t="s">
        <v>32</v>
      </c>
      <c r="I106">
        <v>0</v>
      </c>
      <c r="J106">
        <v>1</v>
      </c>
      <c r="K106" s="1"/>
    </row>
    <row r="107" spans="1:11">
      <c r="A107" s="17" t="s">
        <v>104</v>
      </c>
      <c r="B107" s="19" t="s">
        <v>49</v>
      </c>
      <c r="C107" s="19" t="s">
        <v>443</v>
      </c>
      <c r="D107" s="19" t="s">
        <v>444</v>
      </c>
      <c r="E107" s="20" t="s">
        <v>32</v>
      </c>
      <c r="F107" s="19" t="s">
        <v>443</v>
      </c>
      <c r="G107" s="19" t="s">
        <v>445</v>
      </c>
      <c r="H107" s="19" t="s">
        <v>32</v>
      </c>
      <c r="I107">
        <v>0</v>
      </c>
      <c r="J107">
        <v>1</v>
      </c>
      <c r="K107" s="1"/>
    </row>
    <row r="108" spans="1:11">
      <c r="A108" s="17" t="s">
        <v>104</v>
      </c>
      <c r="B108" s="19" t="s">
        <v>49</v>
      </c>
      <c r="C108" s="19" t="s">
        <v>446</v>
      </c>
      <c r="D108" s="19" t="s">
        <v>447</v>
      </c>
      <c r="E108" s="20" t="s">
        <v>32</v>
      </c>
      <c r="F108" s="19" t="s">
        <v>446</v>
      </c>
      <c r="G108" s="19" t="s">
        <v>448</v>
      </c>
      <c r="H108" s="19" t="s">
        <v>32</v>
      </c>
      <c r="I108">
        <v>0</v>
      </c>
      <c r="J108">
        <v>1</v>
      </c>
      <c r="K108" s="1"/>
    </row>
    <row r="109" spans="1:11">
      <c r="A109" s="17" t="s">
        <v>104</v>
      </c>
      <c r="B109" s="19" t="s">
        <v>49</v>
      </c>
      <c r="C109" s="19" t="s">
        <v>449</v>
      </c>
      <c r="D109" s="19" t="s">
        <v>450</v>
      </c>
      <c r="E109" s="20" t="s">
        <v>32</v>
      </c>
      <c r="F109" s="19" t="s">
        <v>449</v>
      </c>
      <c r="G109" s="19" t="s">
        <v>451</v>
      </c>
      <c r="H109" s="19" t="s">
        <v>32</v>
      </c>
      <c r="I109">
        <v>0</v>
      </c>
      <c r="J109">
        <v>1</v>
      </c>
      <c r="K109" s="1"/>
    </row>
    <row r="110" spans="1:11">
      <c r="A110" s="17" t="s">
        <v>104</v>
      </c>
      <c r="B110" s="19" t="s">
        <v>49</v>
      </c>
      <c r="C110" s="19" t="s">
        <v>452</v>
      </c>
      <c r="D110" s="19" t="s">
        <v>453</v>
      </c>
      <c r="E110" s="20" t="s">
        <v>32</v>
      </c>
      <c r="F110" s="19" t="s">
        <v>452</v>
      </c>
      <c r="G110" s="19" t="s">
        <v>454</v>
      </c>
      <c r="H110" s="19" t="s">
        <v>32</v>
      </c>
      <c r="I110">
        <v>0</v>
      </c>
      <c r="J110">
        <v>1</v>
      </c>
      <c r="K110" s="1"/>
    </row>
    <row r="111" spans="1:11">
      <c r="A111" s="17" t="s">
        <v>104</v>
      </c>
      <c r="B111" s="19" t="s">
        <v>49</v>
      </c>
      <c r="C111" s="19" t="s">
        <v>455</v>
      </c>
      <c r="D111" s="19" t="s">
        <v>456</v>
      </c>
      <c r="E111" s="20" t="s">
        <v>32</v>
      </c>
      <c r="F111" s="19" t="s">
        <v>455</v>
      </c>
      <c r="G111" s="19" t="s">
        <v>457</v>
      </c>
      <c r="H111" s="19" t="s">
        <v>32</v>
      </c>
      <c r="I111">
        <v>0</v>
      </c>
      <c r="J111">
        <v>1</v>
      </c>
      <c r="K111" s="1"/>
    </row>
    <row r="112" spans="1:11">
      <c r="A112" s="17" t="s">
        <v>104</v>
      </c>
      <c r="B112" s="19" t="s">
        <v>49</v>
      </c>
      <c r="C112" s="19" t="s">
        <v>458</v>
      </c>
      <c r="D112" s="19" t="s">
        <v>459</v>
      </c>
      <c r="E112" s="20" t="s">
        <v>32</v>
      </c>
      <c r="F112" s="19" t="s">
        <v>458</v>
      </c>
      <c r="G112" s="19" t="s">
        <v>460</v>
      </c>
      <c r="H112" s="19" t="s">
        <v>32</v>
      </c>
      <c r="I112">
        <v>0</v>
      </c>
      <c r="J112">
        <v>1</v>
      </c>
      <c r="K112" s="1"/>
    </row>
    <row r="113" spans="1:11">
      <c r="A113" s="17" t="s">
        <v>104</v>
      </c>
      <c r="B113" s="19" t="s">
        <v>49</v>
      </c>
      <c r="C113" s="19" t="s">
        <v>461</v>
      </c>
      <c r="D113" s="19" t="s">
        <v>462</v>
      </c>
      <c r="E113" s="20" t="s">
        <v>32</v>
      </c>
      <c r="F113" s="19" t="s">
        <v>461</v>
      </c>
      <c r="G113" s="19" t="s">
        <v>463</v>
      </c>
      <c r="H113" s="19" t="s">
        <v>32</v>
      </c>
      <c r="I113">
        <v>0</v>
      </c>
      <c r="J113">
        <v>1</v>
      </c>
      <c r="K113" s="1"/>
    </row>
    <row r="114" spans="1:11">
      <c r="A114" s="17" t="s">
        <v>104</v>
      </c>
      <c r="B114" s="19" t="s">
        <v>49</v>
      </c>
      <c r="C114" s="19" t="s">
        <v>464</v>
      </c>
      <c r="D114" s="19" t="s">
        <v>465</v>
      </c>
      <c r="E114" s="20" t="s">
        <v>32</v>
      </c>
      <c r="F114" s="19" t="s">
        <v>464</v>
      </c>
      <c r="G114" s="19" t="s">
        <v>466</v>
      </c>
      <c r="H114" s="19" t="s">
        <v>32</v>
      </c>
      <c r="I114">
        <v>0</v>
      </c>
      <c r="J114">
        <v>1</v>
      </c>
      <c r="K114" s="1"/>
    </row>
    <row r="115" spans="1:11">
      <c r="A115" s="17" t="s">
        <v>104</v>
      </c>
      <c r="B115" s="19" t="s">
        <v>49</v>
      </c>
      <c r="C115" s="19" t="s">
        <v>467</v>
      </c>
      <c r="D115" s="19" t="s">
        <v>468</v>
      </c>
      <c r="E115" s="20" t="s">
        <v>32</v>
      </c>
      <c r="F115" s="19" t="s">
        <v>467</v>
      </c>
      <c r="G115" s="19" t="s">
        <v>469</v>
      </c>
      <c r="H115" s="19" t="s">
        <v>32</v>
      </c>
      <c r="I115">
        <v>0</v>
      </c>
      <c r="J115">
        <v>1</v>
      </c>
      <c r="K115" s="1"/>
    </row>
    <row r="116" spans="1:11">
      <c r="A116" s="17" t="s">
        <v>104</v>
      </c>
      <c r="B116" s="19" t="s">
        <v>49</v>
      </c>
      <c r="C116" s="19" t="s">
        <v>470</v>
      </c>
      <c r="D116" s="19" t="s">
        <v>471</v>
      </c>
      <c r="E116" s="20" t="s">
        <v>32</v>
      </c>
      <c r="F116" s="19" t="s">
        <v>470</v>
      </c>
      <c r="G116" s="19" t="s">
        <v>472</v>
      </c>
      <c r="H116" s="19" t="s">
        <v>32</v>
      </c>
      <c r="I116">
        <v>0</v>
      </c>
      <c r="J116">
        <v>2</v>
      </c>
      <c r="K116" s="1"/>
    </row>
    <row r="117" spans="1:11">
      <c r="A117" s="17" t="s">
        <v>104</v>
      </c>
      <c r="B117" s="19" t="s">
        <v>49</v>
      </c>
      <c r="C117" s="19" t="s">
        <v>473</v>
      </c>
      <c r="D117" s="19" t="s">
        <v>474</v>
      </c>
      <c r="E117" s="20" t="s">
        <v>32</v>
      </c>
      <c r="F117" s="19" t="s">
        <v>473</v>
      </c>
      <c r="G117" s="19" t="s">
        <v>475</v>
      </c>
      <c r="H117" s="19" t="s">
        <v>32</v>
      </c>
      <c r="I117">
        <v>0</v>
      </c>
      <c r="J117">
        <v>3</v>
      </c>
      <c r="K117" s="1"/>
    </row>
    <row r="118" spans="1:11">
      <c r="A118" s="17" t="s">
        <v>104</v>
      </c>
      <c r="B118" s="19" t="s">
        <v>49</v>
      </c>
      <c r="C118" s="19" t="s">
        <v>476</v>
      </c>
      <c r="D118" s="19" t="s">
        <v>477</v>
      </c>
      <c r="E118" s="20" t="s">
        <v>32</v>
      </c>
      <c r="F118" s="19" t="s">
        <v>476</v>
      </c>
      <c r="G118" s="19" t="s">
        <v>478</v>
      </c>
      <c r="H118" s="19" t="s">
        <v>32</v>
      </c>
      <c r="I118">
        <v>0</v>
      </c>
      <c r="J118">
        <v>2</v>
      </c>
      <c r="K118" s="1"/>
    </row>
    <row r="119" spans="1:11">
      <c r="A119" s="17" t="s">
        <v>104</v>
      </c>
      <c r="B119" s="19" t="s">
        <v>49</v>
      </c>
      <c r="C119" s="19" t="s">
        <v>479</v>
      </c>
      <c r="D119" s="19" t="s">
        <v>480</v>
      </c>
      <c r="E119" s="20" t="s">
        <v>32</v>
      </c>
      <c r="F119" s="19" t="s">
        <v>479</v>
      </c>
      <c r="G119" s="19" t="s">
        <v>481</v>
      </c>
      <c r="H119" s="19" t="s">
        <v>32</v>
      </c>
      <c r="I119">
        <v>0</v>
      </c>
      <c r="J119">
        <v>2</v>
      </c>
      <c r="K119" s="1"/>
    </row>
    <row r="120" spans="1:11">
      <c r="A120" s="17" t="s">
        <v>104</v>
      </c>
      <c r="B120" s="19" t="s">
        <v>49</v>
      </c>
      <c r="C120" s="19" t="s">
        <v>214</v>
      </c>
      <c r="D120" s="19" t="s">
        <v>215</v>
      </c>
      <c r="E120" s="20" t="s">
        <v>32</v>
      </c>
      <c r="F120" s="19" t="s">
        <v>214</v>
      </c>
      <c r="G120" s="19" t="s">
        <v>216</v>
      </c>
      <c r="H120" s="19" t="s">
        <v>32</v>
      </c>
      <c r="I120">
        <v>0</v>
      </c>
      <c r="J120">
        <v>4</v>
      </c>
      <c r="K120" s="1"/>
    </row>
    <row r="121" spans="1:11">
      <c r="A121" s="17" t="s">
        <v>104</v>
      </c>
      <c r="B121" s="19" t="s">
        <v>49</v>
      </c>
      <c r="C121" s="19" t="s">
        <v>217</v>
      </c>
      <c r="D121" s="19" t="s">
        <v>218</v>
      </c>
      <c r="E121" s="20" t="s">
        <v>32</v>
      </c>
      <c r="F121" s="19" t="s">
        <v>217</v>
      </c>
      <c r="G121" s="19" t="s">
        <v>219</v>
      </c>
      <c r="H121" s="19" t="s">
        <v>32</v>
      </c>
      <c r="I121">
        <v>0</v>
      </c>
      <c r="J121">
        <v>8</v>
      </c>
      <c r="K121" s="1"/>
    </row>
    <row r="122" spans="1:11">
      <c r="A122" s="17" t="s">
        <v>104</v>
      </c>
      <c r="B122" s="19" t="s">
        <v>52</v>
      </c>
      <c r="C122" s="19" t="s">
        <v>220</v>
      </c>
      <c r="D122" s="19" t="s">
        <v>221</v>
      </c>
      <c r="E122" s="20" t="s">
        <v>12</v>
      </c>
      <c r="F122" s="19" t="s">
        <v>220</v>
      </c>
      <c r="G122" s="19" t="s">
        <v>222</v>
      </c>
      <c r="H122" s="19" t="s">
        <v>31</v>
      </c>
      <c r="I122">
        <v>4</v>
      </c>
      <c r="J122">
        <v>0</v>
      </c>
      <c r="K122" s="1"/>
    </row>
    <row r="123" spans="1:11">
      <c r="A123" s="17" t="s">
        <v>104</v>
      </c>
      <c r="B123" s="19" t="s">
        <v>52</v>
      </c>
      <c r="C123" s="19" t="s">
        <v>223</v>
      </c>
      <c r="D123" s="19" t="s">
        <v>224</v>
      </c>
      <c r="E123" s="20" t="s">
        <v>12</v>
      </c>
      <c r="F123" s="19" t="s">
        <v>223</v>
      </c>
      <c r="G123" s="19" t="s">
        <v>225</v>
      </c>
      <c r="H123" s="19" t="s">
        <v>31</v>
      </c>
      <c r="I123">
        <v>1</v>
      </c>
      <c r="J123">
        <v>0</v>
      </c>
      <c r="K123" s="1"/>
    </row>
    <row r="124" spans="1:11">
      <c r="A124" s="17" t="s">
        <v>104</v>
      </c>
      <c r="B124" s="19" t="s">
        <v>52</v>
      </c>
      <c r="C124" s="19" t="s">
        <v>226</v>
      </c>
      <c r="D124" s="19" t="s">
        <v>227</v>
      </c>
      <c r="E124" s="20" t="s">
        <v>32</v>
      </c>
      <c r="F124" s="19" t="s">
        <v>226</v>
      </c>
      <c r="G124" s="19" t="s">
        <v>228</v>
      </c>
      <c r="H124" s="19" t="s">
        <v>32</v>
      </c>
      <c r="I124">
        <v>0</v>
      </c>
      <c r="J124">
        <v>2</v>
      </c>
      <c r="K124" s="1"/>
    </row>
    <row r="125" spans="1:11">
      <c r="A125" s="17" t="s">
        <v>104</v>
      </c>
      <c r="B125" s="19" t="s">
        <v>52</v>
      </c>
      <c r="C125" s="19" t="s">
        <v>229</v>
      </c>
      <c r="D125" s="19" t="s">
        <v>230</v>
      </c>
      <c r="E125" s="20" t="s">
        <v>32</v>
      </c>
      <c r="F125" s="19" t="s">
        <v>229</v>
      </c>
      <c r="G125" s="19" t="s">
        <v>231</v>
      </c>
      <c r="H125" s="19" t="s">
        <v>32</v>
      </c>
      <c r="I125">
        <v>0</v>
      </c>
      <c r="J125">
        <v>60</v>
      </c>
      <c r="K125" s="1"/>
    </row>
    <row r="126" spans="1:11">
      <c r="A126" s="17" t="s">
        <v>104</v>
      </c>
      <c r="B126" s="19" t="s">
        <v>52</v>
      </c>
      <c r="C126" s="19" t="s">
        <v>232</v>
      </c>
      <c r="D126" s="19" t="s">
        <v>233</v>
      </c>
      <c r="E126" s="20" t="s">
        <v>32</v>
      </c>
      <c r="F126" s="19" t="s">
        <v>232</v>
      </c>
      <c r="G126" s="19" t="s">
        <v>234</v>
      </c>
      <c r="H126" s="19" t="s">
        <v>32</v>
      </c>
      <c r="I126">
        <v>0</v>
      </c>
      <c r="J126">
        <v>1</v>
      </c>
      <c r="K126" s="1"/>
    </row>
    <row r="127" spans="1:11">
      <c r="A127" s="17" t="s">
        <v>104</v>
      </c>
      <c r="B127" s="19" t="s">
        <v>51</v>
      </c>
      <c r="C127" s="19" t="s">
        <v>482</v>
      </c>
      <c r="D127" s="19" t="s">
        <v>483</v>
      </c>
      <c r="E127" s="20" t="s">
        <v>32</v>
      </c>
      <c r="F127" s="19" t="s">
        <v>482</v>
      </c>
      <c r="G127" s="19" t="s">
        <v>484</v>
      </c>
      <c r="H127" s="19" t="s">
        <v>32</v>
      </c>
      <c r="I127">
        <v>0</v>
      </c>
      <c r="J127">
        <v>59</v>
      </c>
      <c r="K127" s="1"/>
    </row>
    <row r="128" spans="1:11">
      <c r="A128" s="17" t="s">
        <v>104</v>
      </c>
      <c r="B128" s="19" t="s">
        <v>51</v>
      </c>
      <c r="C128" s="19" t="s">
        <v>485</v>
      </c>
      <c r="D128" s="19" t="s">
        <v>486</v>
      </c>
      <c r="E128" s="20" t="s">
        <v>32</v>
      </c>
      <c r="F128" s="19" t="s">
        <v>485</v>
      </c>
      <c r="G128" s="19" t="s">
        <v>487</v>
      </c>
      <c r="H128" s="19" t="s">
        <v>32</v>
      </c>
      <c r="I128">
        <v>0</v>
      </c>
      <c r="J128">
        <v>6833</v>
      </c>
      <c r="K128" s="1"/>
    </row>
    <row r="129" spans="1:11">
      <c r="A129" s="17" t="s">
        <v>104</v>
      </c>
      <c r="B129" s="19" t="s">
        <v>51</v>
      </c>
      <c r="C129" s="19" t="s">
        <v>488</v>
      </c>
      <c r="D129" s="19" t="s">
        <v>489</v>
      </c>
      <c r="E129" s="20" t="s">
        <v>32</v>
      </c>
      <c r="F129" s="19" t="s">
        <v>488</v>
      </c>
      <c r="G129" s="19" t="s">
        <v>490</v>
      </c>
      <c r="H129" s="19" t="s">
        <v>32</v>
      </c>
      <c r="I129">
        <v>0</v>
      </c>
      <c r="J129">
        <v>874</v>
      </c>
      <c r="K129" s="1"/>
    </row>
    <row r="130" spans="1:11">
      <c r="A130" s="17" t="s">
        <v>235</v>
      </c>
      <c r="B130" s="19" t="s">
        <v>50</v>
      </c>
      <c r="C130" s="19" t="s">
        <v>236</v>
      </c>
      <c r="D130" s="19" t="s">
        <v>237</v>
      </c>
      <c r="E130" s="20" t="s">
        <v>32</v>
      </c>
      <c r="F130" s="19" t="s">
        <v>236</v>
      </c>
      <c r="G130" s="19" t="s">
        <v>238</v>
      </c>
      <c r="H130" s="19" t="s">
        <v>32</v>
      </c>
      <c r="I130">
        <v>0</v>
      </c>
      <c r="J130">
        <v>1</v>
      </c>
      <c r="K130" s="1"/>
    </row>
    <row r="131" spans="1:11">
      <c r="A131" s="17" t="s">
        <v>235</v>
      </c>
      <c r="B131" s="19" t="s">
        <v>50</v>
      </c>
      <c r="C131" s="19" t="s">
        <v>239</v>
      </c>
      <c r="D131" s="19" t="s">
        <v>240</v>
      </c>
      <c r="E131" s="20" t="s">
        <v>32</v>
      </c>
      <c r="F131" s="19" t="s">
        <v>239</v>
      </c>
      <c r="G131" s="19" t="s">
        <v>241</v>
      </c>
      <c r="H131" s="19" t="s">
        <v>32</v>
      </c>
      <c r="I131">
        <v>0</v>
      </c>
      <c r="J131">
        <v>1</v>
      </c>
      <c r="K131" s="1"/>
    </row>
    <row r="132" spans="1:11">
      <c r="A132" s="17" t="s">
        <v>235</v>
      </c>
      <c r="B132" s="19" t="s">
        <v>50</v>
      </c>
      <c r="C132" s="19" t="s">
        <v>242</v>
      </c>
      <c r="D132" s="19" t="s">
        <v>243</v>
      </c>
      <c r="E132" s="20" t="s">
        <v>32</v>
      </c>
      <c r="F132" s="19" t="s">
        <v>242</v>
      </c>
      <c r="G132" s="19" t="s">
        <v>244</v>
      </c>
      <c r="H132" s="19" t="s">
        <v>32</v>
      </c>
      <c r="I132">
        <v>0</v>
      </c>
      <c r="J132">
        <v>2</v>
      </c>
      <c r="K132" s="1"/>
    </row>
    <row r="133" spans="1:11">
      <c r="A133" s="17" t="s">
        <v>235</v>
      </c>
      <c r="B133" s="19" t="s">
        <v>50</v>
      </c>
      <c r="C133" s="19" t="s">
        <v>245</v>
      </c>
      <c r="D133" s="19" t="s">
        <v>246</v>
      </c>
      <c r="E133" s="20" t="s">
        <v>32</v>
      </c>
      <c r="F133" s="19" t="s">
        <v>245</v>
      </c>
      <c r="G133" s="19" t="s">
        <v>247</v>
      </c>
      <c r="H133" s="19" t="s">
        <v>32</v>
      </c>
      <c r="I133">
        <v>0</v>
      </c>
      <c r="J133">
        <v>1</v>
      </c>
      <c r="K133" s="1"/>
    </row>
    <row r="134" spans="1:11">
      <c r="A134" s="17" t="s">
        <v>235</v>
      </c>
      <c r="B134" s="19" t="s">
        <v>50</v>
      </c>
      <c r="C134" s="19" t="s">
        <v>248</v>
      </c>
      <c r="D134" s="19" t="s">
        <v>249</v>
      </c>
      <c r="E134" s="20" t="s">
        <v>32</v>
      </c>
      <c r="F134" s="19" t="s">
        <v>248</v>
      </c>
      <c r="G134" s="19" t="s">
        <v>250</v>
      </c>
      <c r="H134" s="19" t="s">
        <v>32</v>
      </c>
      <c r="I134">
        <v>0</v>
      </c>
      <c r="J134">
        <v>3</v>
      </c>
      <c r="K134" s="1"/>
    </row>
    <row r="135" spans="1:11">
      <c r="A135" s="17" t="s">
        <v>235</v>
      </c>
      <c r="B135" s="19" t="s">
        <v>50</v>
      </c>
      <c r="C135" s="19" t="s">
        <v>251</v>
      </c>
      <c r="D135" s="19" t="s">
        <v>252</v>
      </c>
      <c r="E135" s="20" t="s">
        <v>32</v>
      </c>
      <c r="F135" s="19" t="s">
        <v>251</v>
      </c>
      <c r="G135" s="19" t="s">
        <v>253</v>
      </c>
      <c r="H135" s="19" t="s">
        <v>32</v>
      </c>
      <c r="I135">
        <v>0</v>
      </c>
      <c r="J135">
        <v>3</v>
      </c>
      <c r="K135" s="1"/>
    </row>
    <row r="136" spans="1:11">
      <c r="A136" s="17" t="s">
        <v>235</v>
      </c>
      <c r="B136" s="19" t="s">
        <v>50</v>
      </c>
      <c r="C136" s="19" t="s">
        <v>254</v>
      </c>
      <c r="D136" s="19" t="s">
        <v>255</v>
      </c>
      <c r="E136" s="20" t="s">
        <v>32</v>
      </c>
      <c r="F136" s="19" t="s">
        <v>254</v>
      </c>
      <c r="G136" s="19" t="s">
        <v>256</v>
      </c>
      <c r="H136" s="19" t="s">
        <v>32</v>
      </c>
      <c r="I136">
        <v>0</v>
      </c>
      <c r="J136">
        <v>2</v>
      </c>
      <c r="K136" s="1"/>
    </row>
    <row r="137" spans="1:11">
      <c r="A137" s="17" t="s">
        <v>235</v>
      </c>
      <c r="B137" s="19" t="s">
        <v>50</v>
      </c>
      <c r="C137" s="19" t="s">
        <v>257</v>
      </c>
      <c r="D137" s="19" t="s">
        <v>258</v>
      </c>
      <c r="E137" s="20" t="s">
        <v>32</v>
      </c>
      <c r="F137" s="19" t="s">
        <v>257</v>
      </c>
      <c r="G137" s="19" t="s">
        <v>259</v>
      </c>
      <c r="H137" s="19" t="s">
        <v>32</v>
      </c>
      <c r="I137">
        <v>0</v>
      </c>
      <c r="J137">
        <v>2</v>
      </c>
      <c r="K137" s="1"/>
    </row>
    <row r="138" spans="1:11">
      <c r="A138" s="17" t="s">
        <v>235</v>
      </c>
      <c r="B138" s="19" t="s">
        <v>50</v>
      </c>
      <c r="C138" s="19" t="s">
        <v>260</v>
      </c>
      <c r="D138" s="19" t="s">
        <v>261</v>
      </c>
      <c r="E138" s="20" t="s">
        <v>32</v>
      </c>
      <c r="F138" s="19" t="s">
        <v>260</v>
      </c>
      <c r="G138" s="19" t="s">
        <v>262</v>
      </c>
      <c r="H138" s="19" t="s">
        <v>32</v>
      </c>
      <c r="I138">
        <v>0</v>
      </c>
      <c r="J138">
        <v>2</v>
      </c>
      <c r="K138" s="1"/>
    </row>
    <row r="139" spans="1:11">
      <c r="A139" s="17" t="s">
        <v>235</v>
      </c>
      <c r="B139" s="19" t="s">
        <v>50</v>
      </c>
      <c r="C139" s="19" t="s">
        <v>263</v>
      </c>
      <c r="D139" s="19" t="s">
        <v>264</v>
      </c>
      <c r="E139" s="20" t="s">
        <v>32</v>
      </c>
      <c r="F139" s="19" t="s">
        <v>263</v>
      </c>
      <c r="G139" s="19" t="s">
        <v>265</v>
      </c>
      <c r="H139" s="19" t="s">
        <v>32</v>
      </c>
      <c r="I139">
        <v>0</v>
      </c>
      <c r="J139">
        <v>2</v>
      </c>
      <c r="K139" s="1"/>
    </row>
    <row r="140" spans="1:11">
      <c r="A140" s="17" t="s">
        <v>235</v>
      </c>
      <c r="B140" s="19" t="s">
        <v>50</v>
      </c>
      <c r="C140" s="19" t="s">
        <v>266</v>
      </c>
      <c r="D140" s="19" t="s">
        <v>267</v>
      </c>
      <c r="E140" s="20" t="s">
        <v>32</v>
      </c>
      <c r="F140" s="19" t="s">
        <v>266</v>
      </c>
      <c r="G140" s="19" t="s">
        <v>268</v>
      </c>
      <c r="H140" s="19" t="s">
        <v>32</v>
      </c>
      <c r="I140">
        <v>0</v>
      </c>
      <c r="J140">
        <v>1</v>
      </c>
      <c r="K140" s="1"/>
    </row>
    <row r="141" spans="1:11">
      <c r="A141" s="17" t="s">
        <v>235</v>
      </c>
      <c r="B141" s="19" t="s">
        <v>53</v>
      </c>
      <c r="C141" s="19" t="s">
        <v>269</v>
      </c>
      <c r="D141" s="19" t="s">
        <v>270</v>
      </c>
      <c r="E141" s="20" t="s">
        <v>32</v>
      </c>
      <c r="F141" s="19" t="s">
        <v>269</v>
      </c>
      <c r="G141" s="19" t="s">
        <v>271</v>
      </c>
      <c r="H141" s="19" t="s">
        <v>32</v>
      </c>
      <c r="I141">
        <v>0</v>
      </c>
      <c r="J141">
        <v>3</v>
      </c>
      <c r="K141" s="1"/>
    </row>
    <row r="142" spans="1:11">
      <c r="A142" s="17" t="s">
        <v>235</v>
      </c>
      <c r="B142" s="19" t="s">
        <v>53</v>
      </c>
      <c r="C142" s="19" t="s">
        <v>272</v>
      </c>
      <c r="D142" s="19" t="s">
        <v>273</v>
      </c>
      <c r="E142" s="20" t="s">
        <v>32</v>
      </c>
      <c r="F142" s="19" t="s">
        <v>272</v>
      </c>
      <c r="G142" s="19" t="s">
        <v>274</v>
      </c>
      <c r="H142" s="19" t="s">
        <v>32</v>
      </c>
      <c r="I142">
        <v>0</v>
      </c>
      <c r="J142">
        <v>6</v>
      </c>
      <c r="K142" s="1"/>
    </row>
    <row r="143" spans="1:11">
      <c r="A143" s="17" t="s">
        <v>235</v>
      </c>
      <c r="B143" s="19" t="s">
        <v>53</v>
      </c>
      <c r="C143" s="19" t="s">
        <v>275</v>
      </c>
      <c r="D143" s="19" t="s">
        <v>276</v>
      </c>
      <c r="E143" s="20" t="s">
        <v>32</v>
      </c>
      <c r="F143" s="19" t="s">
        <v>275</v>
      </c>
      <c r="G143" s="19" t="s">
        <v>277</v>
      </c>
      <c r="H143" s="19" t="s">
        <v>32</v>
      </c>
      <c r="I143">
        <v>0</v>
      </c>
      <c r="J143">
        <v>4</v>
      </c>
      <c r="K143" s="1"/>
    </row>
    <row r="144" spans="1:11">
      <c r="A144" s="17" t="s">
        <v>278</v>
      </c>
      <c r="B144" s="19" t="s">
        <v>49</v>
      </c>
      <c r="C144" s="19" t="s">
        <v>279</v>
      </c>
      <c r="D144" s="19" t="s">
        <v>280</v>
      </c>
      <c r="E144" s="20" t="s">
        <v>12</v>
      </c>
      <c r="F144" s="19" t="s">
        <v>279</v>
      </c>
      <c r="G144" s="19" t="s">
        <v>281</v>
      </c>
      <c r="H144" s="19" t="s">
        <v>31</v>
      </c>
      <c r="I144">
        <v>127</v>
      </c>
      <c r="J144">
        <v>7</v>
      </c>
      <c r="K144" s="1"/>
    </row>
    <row r="145" spans="1:11">
      <c r="A145" s="17"/>
      <c r="B145" s="19"/>
      <c r="C145" s="19"/>
      <c r="D145" s="19"/>
      <c r="E145" s="20"/>
      <c r="F145" s="19"/>
      <c r="G145" s="19"/>
      <c r="H145" s="19"/>
      <c r="K145" s="1"/>
    </row>
    <row r="146" spans="1:11">
      <c r="A146" s="17"/>
      <c r="B146" s="19"/>
      <c r="C146" s="19"/>
      <c r="D146" s="19"/>
      <c r="E146" s="20"/>
      <c r="F146" s="19"/>
      <c r="G146" s="19"/>
      <c r="H146" s="19"/>
      <c r="K146" s="1"/>
    </row>
    <row r="147" spans="1:11">
      <c r="A147" s="17"/>
      <c r="B147" s="19"/>
      <c r="C147" s="19"/>
      <c r="D147" s="19"/>
      <c r="E147" s="20"/>
      <c r="F147" s="19"/>
      <c r="G147" s="19"/>
      <c r="H147" s="19"/>
      <c r="K147" s="1"/>
    </row>
    <row r="148" spans="1:11">
      <c r="A148" s="17"/>
      <c r="B148" s="19"/>
      <c r="C148" s="19"/>
      <c r="D148" s="19"/>
      <c r="E148" s="20"/>
      <c r="F148" s="19"/>
      <c r="G148" s="19"/>
      <c r="H148" s="19"/>
      <c r="K148" s="1"/>
    </row>
    <row r="149" spans="1:11">
      <c r="A149" s="17"/>
      <c r="B149" s="19"/>
      <c r="C149" s="19"/>
      <c r="D149" s="19"/>
      <c r="E149" s="20"/>
      <c r="F149" s="19"/>
      <c r="G149" s="19"/>
      <c r="H149" s="19"/>
      <c r="K149" s="1"/>
    </row>
    <row r="150" spans="1:11">
      <c r="A150" s="17"/>
      <c r="B150" s="19"/>
      <c r="C150" s="19"/>
      <c r="D150" s="19"/>
      <c r="E150" s="20"/>
      <c r="F150" s="19"/>
      <c r="G150" s="19"/>
      <c r="H150" s="19"/>
      <c r="K150" s="1"/>
    </row>
    <row r="151" spans="1:11">
      <c r="A151" s="17"/>
      <c r="B151" s="19"/>
      <c r="C151" s="19"/>
      <c r="D151" s="19"/>
      <c r="E151" s="20"/>
      <c r="F151" s="19"/>
      <c r="G151" s="19"/>
      <c r="H151" s="19"/>
      <c r="K151" s="1"/>
    </row>
    <row r="152" spans="1:11">
      <c r="A152" s="17"/>
      <c r="B152" s="19"/>
      <c r="C152" s="19"/>
      <c r="D152" s="19"/>
      <c r="E152" s="20"/>
      <c r="F152" s="19"/>
      <c r="G152" s="19"/>
      <c r="H152" s="19"/>
      <c r="K152" s="1"/>
    </row>
    <row r="153" spans="1:11">
      <c r="A153" s="17"/>
      <c r="B153" s="19"/>
      <c r="C153" s="19"/>
      <c r="D153" s="19"/>
      <c r="E153" s="20"/>
      <c r="F153" s="19"/>
      <c r="G153" s="19"/>
      <c r="H153" s="19"/>
      <c r="K153" s="1"/>
    </row>
    <row r="154" spans="1:11">
      <c r="A154" s="17"/>
      <c r="B154" s="19"/>
      <c r="C154" s="19"/>
      <c r="D154" s="19"/>
      <c r="E154" s="20"/>
      <c r="F154" s="19"/>
      <c r="G154" s="19"/>
      <c r="H154" s="19"/>
      <c r="K154" s="1"/>
    </row>
    <row r="155" spans="1:11">
      <c r="A155" s="17"/>
      <c r="B155" s="19"/>
      <c r="C155" s="19"/>
      <c r="D155" s="19"/>
      <c r="E155" s="20"/>
      <c r="F155" s="19"/>
      <c r="G155" s="19"/>
      <c r="H155" s="19"/>
      <c r="K155" s="1"/>
    </row>
    <row r="156" spans="1:11">
      <c r="A156" s="17"/>
      <c r="B156" s="19"/>
      <c r="C156" s="19"/>
      <c r="D156" s="19"/>
      <c r="E156" s="20"/>
      <c r="F156" s="19"/>
      <c r="G156" s="19"/>
      <c r="H156" s="19"/>
      <c r="K156" s="1"/>
    </row>
    <row r="157" spans="1:11">
      <c r="A157" s="17"/>
      <c r="B157" s="19"/>
      <c r="C157" s="19"/>
      <c r="D157" s="19"/>
      <c r="E157" s="20"/>
      <c r="F157" s="19"/>
      <c r="G157" s="19"/>
      <c r="H157" s="19"/>
      <c r="K157" s="1"/>
    </row>
    <row r="158" spans="1:11">
      <c r="A158" s="17"/>
      <c r="B158" s="19"/>
      <c r="C158" s="19"/>
      <c r="D158" s="19"/>
      <c r="E158" s="20"/>
      <c r="F158" s="19"/>
      <c r="G158" s="19"/>
      <c r="H158" s="19"/>
      <c r="K158" s="1"/>
    </row>
    <row r="159" spans="1:11">
      <c r="A159" s="17"/>
      <c r="B159" s="19"/>
      <c r="C159" s="19"/>
      <c r="D159" s="19"/>
      <c r="E159" s="20"/>
      <c r="F159" s="19"/>
      <c r="G159" s="19"/>
      <c r="H159" s="19"/>
      <c r="K159" s="1"/>
    </row>
    <row r="160" spans="1:11">
      <c r="A160" s="17"/>
      <c r="B160" s="19"/>
      <c r="C160" s="19"/>
      <c r="D160" s="19"/>
      <c r="E160" s="20"/>
      <c r="F160" s="19"/>
      <c r="G160" s="19"/>
      <c r="H160" s="19"/>
      <c r="K160" s="1"/>
    </row>
    <row r="161" spans="1:11">
      <c r="A161" s="17"/>
      <c r="B161" s="19"/>
      <c r="C161" s="19"/>
      <c r="D161" s="19"/>
      <c r="E161" s="20"/>
      <c r="F161" s="19"/>
      <c r="G161" s="19"/>
      <c r="H161" s="19"/>
      <c r="K161" s="1"/>
    </row>
    <row r="162" spans="1:11">
      <c r="A162" s="17"/>
      <c r="B162" s="19"/>
      <c r="C162" s="19"/>
      <c r="D162" s="19"/>
      <c r="E162" s="20"/>
      <c r="F162" s="19"/>
      <c r="G162" s="19"/>
      <c r="H162" s="19"/>
      <c r="K162" s="1"/>
    </row>
    <row r="163" spans="1:11">
      <c r="A163" s="17"/>
      <c r="B163" s="19"/>
      <c r="C163" s="19"/>
      <c r="D163" s="19"/>
      <c r="E163" s="20"/>
      <c r="F163" s="19"/>
      <c r="G163" s="19"/>
      <c r="H163" s="19"/>
      <c r="K163" s="1"/>
    </row>
    <row r="164" spans="1:11">
      <c r="A164" s="17"/>
      <c r="B164" s="19"/>
      <c r="C164" s="19"/>
      <c r="D164" s="19"/>
      <c r="E164" s="20"/>
      <c r="F164" s="19"/>
      <c r="G164" s="19"/>
      <c r="H164" s="19"/>
      <c r="K164" s="1"/>
    </row>
    <row r="165" spans="1:11">
      <c r="A165" s="17"/>
      <c r="B165" s="19"/>
      <c r="C165" s="19"/>
      <c r="D165" s="19"/>
      <c r="E165" s="20"/>
      <c r="F165" s="19"/>
      <c r="G165" s="19"/>
      <c r="H165" s="19"/>
      <c r="K165" s="1"/>
    </row>
    <row r="166" spans="1:11">
      <c r="A166" s="17"/>
      <c r="B166" s="19"/>
      <c r="C166" s="19"/>
      <c r="D166" s="19"/>
      <c r="E166" s="20"/>
      <c r="F166" s="19"/>
      <c r="G166" s="19"/>
      <c r="H166" s="19"/>
      <c r="K166" s="1"/>
    </row>
    <row r="167" spans="1:11">
      <c r="A167" s="17"/>
      <c r="B167" s="19"/>
      <c r="C167" s="19"/>
      <c r="D167" s="19"/>
      <c r="E167" s="20"/>
      <c r="F167" s="19"/>
      <c r="G167" s="19"/>
      <c r="H167" s="19"/>
      <c r="K167" s="1"/>
    </row>
    <row r="168" spans="1:11">
      <c r="A168" s="17"/>
      <c r="B168" s="19"/>
      <c r="C168" s="19"/>
      <c r="D168" s="19"/>
      <c r="E168" s="20"/>
      <c r="F168" s="19"/>
      <c r="G168" s="19"/>
      <c r="H168" s="19"/>
      <c r="K168" s="1"/>
    </row>
    <row r="169" spans="1:11">
      <c r="A169" s="17"/>
      <c r="B169" s="19"/>
      <c r="C169" s="19"/>
      <c r="D169" s="19"/>
      <c r="E169" s="20"/>
      <c r="F169" s="19"/>
      <c r="G169" s="19"/>
      <c r="H169" s="19"/>
      <c r="K169" s="1"/>
    </row>
    <row r="170" spans="1:11">
      <c r="A170" s="17"/>
      <c r="B170" s="19"/>
      <c r="C170" s="19"/>
      <c r="D170" s="19"/>
      <c r="E170" s="20"/>
      <c r="F170" s="19"/>
      <c r="G170" s="19"/>
      <c r="H170" s="19"/>
      <c r="K170" s="1"/>
    </row>
    <row r="171" spans="1:11">
      <c r="A171" s="17"/>
      <c r="B171" s="19"/>
      <c r="C171" s="19"/>
      <c r="D171" s="19"/>
      <c r="E171" s="20"/>
      <c r="F171" s="19"/>
      <c r="G171" s="19"/>
      <c r="H171" s="19"/>
      <c r="K171" s="1"/>
    </row>
    <row r="172" spans="1:11">
      <c r="A172" s="17"/>
      <c r="B172" s="19"/>
      <c r="C172" s="19"/>
      <c r="D172" s="19"/>
      <c r="E172" s="20"/>
      <c r="F172" s="19"/>
      <c r="G172" s="19"/>
      <c r="H172" s="19"/>
      <c r="K172" s="1"/>
    </row>
    <row r="173" spans="1:11">
      <c r="A173" s="17"/>
      <c r="B173" s="19"/>
      <c r="C173" s="19"/>
      <c r="D173" s="19"/>
      <c r="E173" s="20"/>
      <c r="F173" s="19"/>
      <c r="G173" s="19"/>
      <c r="H173" s="19"/>
      <c r="K173" s="1"/>
    </row>
    <row r="174" spans="1:11">
      <c r="A174" s="17"/>
      <c r="B174" s="19"/>
      <c r="C174" s="19"/>
      <c r="D174" s="19"/>
      <c r="E174" s="20"/>
      <c r="F174" s="19"/>
      <c r="G174" s="19"/>
      <c r="H174" s="19"/>
      <c r="K174" s="1"/>
    </row>
    <row r="175" spans="1:11">
      <c r="A175" s="17"/>
      <c r="B175" s="19"/>
      <c r="C175" s="19"/>
      <c r="D175" s="19"/>
      <c r="E175" s="20"/>
      <c r="F175" s="19"/>
      <c r="G175" s="19"/>
      <c r="H175" s="19"/>
      <c r="K175" s="1"/>
    </row>
    <row r="176" spans="1:11">
      <c r="A176" s="17"/>
      <c r="B176" s="19"/>
      <c r="C176" s="19"/>
      <c r="D176" s="19"/>
      <c r="E176" s="20"/>
      <c r="F176" s="19"/>
      <c r="G176" s="19"/>
      <c r="H176" s="19"/>
      <c r="K176" s="1"/>
    </row>
    <row r="177" spans="1:11">
      <c r="A177" s="17"/>
      <c r="B177" s="19"/>
      <c r="C177" s="19"/>
      <c r="D177" s="19"/>
      <c r="E177" s="20"/>
      <c r="F177" s="19"/>
      <c r="G177" s="19"/>
      <c r="H177" s="19"/>
      <c r="K177" s="1"/>
    </row>
    <row r="178" spans="1:11">
      <c r="A178" s="17"/>
      <c r="B178" s="19"/>
      <c r="C178" s="19"/>
      <c r="D178" s="19"/>
      <c r="E178" s="20"/>
      <c r="F178" s="19"/>
      <c r="G178" s="19"/>
      <c r="H178" s="19"/>
      <c r="K178" s="1"/>
    </row>
    <row r="179" spans="1:11">
      <c r="A179" s="17"/>
      <c r="B179" s="19"/>
      <c r="C179" s="19"/>
      <c r="D179" s="19"/>
      <c r="E179" s="20"/>
      <c r="F179" s="19"/>
      <c r="G179" s="19"/>
      <c r="H179" s="19"/>
      <c r="K179" s="1"/>
    </row>
    <row r="180" spans="1:11">
      <c r="A180" s="17"/>
      <c r="B180" s="19"/>
      <c r="C180" s="19"/>
      <c r="D180" s="19"/>
      <c r="E180" s="20"/>
      <c r="F180" s="19"/>
      <c r="G180" s="19"/>
      <c r="H180" s="19"/>
      <c r="K180" s="1"/>
    </row>
    <row r="181" spans="1:11">
      <c r="A181" s="17"/>
      <c r="B181" s="19"/>
      <c r="C181" s="19"/>
      <c r="D181" s="19"/>
      <c r="E181" s="20"/>
      <c r="F181" s="19"/>
      <c r="G181" s="19"/>
      <c r="H181" s="19"/>
      <c r="K181" s="1"/>
    </row>
    <row r="182" spans="1:11">
      <c r="A182" s="17"/>
      <c r="B182" s="19"/>
      <c r="C182" s="19"/>
      <c r="D182" s="19"/>
      <c r="E182" s="20"/>
      <c r="F182" s="19"/>
      <c r="G182" s="19"/>
      <c r="H182" s="19"/>
      <c r="K182" s="1"/>
    </row>
    <row r="183" spans="1:11">
      <c r="A183" s="17"/>
      <c r="B183" s="19"/>
      <c r="C183" s="19"/>
      <c r="D183" s="19"/>
      <c r="E183" s="20"/>
      <c r="F183" s="19"/>
      <c r="G183" s="19"/>
      <c r="H183" s="19"/>
      <c r="K183" s="1"/>
    </row>
    <row r="184" spans="1:11">
      <c r="A184" s="17"/>
      <c r="B184" s="19"/>
      <c r="C184" s="19"/>
      <c r="D184" s="19"/>
      <c r="E184" s="20"/>
      <c r="F184" s="19"/>
      <c r="G184" s="19"/>
      <c r="H184" s="19"/>
      <c r="K184" s="1"/>
    </row>
    <row r="185" spans="1:11">
      <c r="A185" s="17"/>
      <c r="B185" s="19"/>
      <c r="C185" s="19"/>
      <c r="D185" s="19"/>
      <c r="E185" s="20"/>
      <c r="F185" s="19"/>
      <c r="G185" s="19"/>
      <c r="H185" s="19"/>
      <c r="K185" s="1"/>
    </row>
    <row r="186" spans="1:11">
      <c r="A186" s="17"/>
      <c r="B186" s="19"/>
      <c r="C186" s="19"/>
      <c r="D186" s="19"/>
      <c r="E186" s="20"/>
      <c r="F186" s="19"/>
      <c r="G186" s="19"/>
      <c r="H186" s="19"/>
      <c r="K186" s="1"/>
    </row>
    <row r="187" spans="1:11">
      <c r="A187" s="17"/>
      <c r="B187" s="19"/>
      <c r="C187" s="19"/>
      <c r="D187" s="19"/>
      <c r="E187" s="20"/>
      <c r="F187" s="19"/>
      <c r="G187" s="19"/>
      <c r="H187" s="19"/>
      <c r="K187" s="1"/>
    </row>
    <row r="188" spans="1:11">
      <c r="A188" s="17"/>
      <c r="B188" s="19"/>
      <c r="C188" s="19"/>
      <c r="D188" s="19"/>
      <c r="E188" s="20"/>
      <c r="F188" s="19"/>
      <c r="G188" s="19"/>
      <c r="H188" s="19"/>
      <c r="K188" s="1"/>
    </row>
    <row r="189" spans="1:11">
      <c r="A189" s="17"/>
      <c r="B189" s="19"/>
      <c r="C189" s="19"/>
      <c r="D189" s="19"/>
      <c r="E189" s="20"/>
      <c r="F189" s="19"/>
      <c r="G189" s="19"/>
      <c r="H189" s="19"/>
      <c r="K189" s="1"/>
    </row>
    <row r="190" spans="1:11">
      <c r="A190" s="17"/>
      <c r="B190" s="19"/>
      <c r="C190" s="19"/>
      <c r="D190" s="19"/>
      <c r="E190" s="20"/>
      <c r="F190" s="19"/>
      <c r="G190" s="19"/>
      <c r="H190" s="19"/>
      <c r="K190" s="1"/>
    </row>
    <row r="191" spans="1:11">
      <c r="A191" s="17"/>
      <c r="B191" s="19"/>
      <c r="C191" s="19"/>
      <c r="D191" s="19"/>
      <c r="E191" s="20"/>
      <c r="F191" s="19"/>
      <c r="G191" s="19"/>
      <c r="H191" s="19"/>
      <c r="K191" s="1"/>
    </row>
    <row r="192" spans="1:11">
      <c r="A192" s="17"/>
      <c r="B192" s="19"/>
      <c r="C192" s="19"/>
      <c r="D192" s="19"/>
      <c r="E192" s="20"/>
      <c r="F192" s="19"/>
      <c r="G192" s="19"/>
      <c r="H192" s="19"/>
      <c r="K192" s="1"/>
    </row>
    <row r="193" spans="1:11">
      <c r="A193" s="17"/>
      <c r="B193" s="19"/>
      <c r="C193" s="19"/>
      <c r="D193" s="19"/>
      <c r="E193" s="20"/>
      <c r="F193" s="19"/>
      <c r="G193" s="19"/>
      <c r="H193" s="19"/>
      <c r="K193" s="1"/>
    </row>
    <row r="194" spans="1:11">
      <c r="A194" s="17"/>
      <c r="B194" s="19"/>
      <c r="C194" s="19"/>
      <c r="D194" s="19"/>
      <c r="E194" s="20"/>
      <c r="F194" s="19"/>
      <c r="G194" s="19"/>
      <c r="H194" s="19"/>
      <c r="K194" s="1"/>
    </row>
    <row r="195" spans="1:11">
      <c r="A195" s="17"/>
      <c r="B195" s="19"/>
      <c r="C195" s="19"/>
      <c r="D195" s="19"/>
      <c r="E195" s="20"/>
      <c r="F195" s="19"/>
      <c r="G195" s="19"/>
      <c r="H195" s="19"/>
      <c r="K195" s="1"/>
    </row>
    <row r="196" spans="1:11">
      <c r="A196" s="17"/>
      <c r="B196" s="19"/>
      <c r="C196" s="19"/>
      <c r="D196" s="19"/>
      <c r="E196" s="20"/>
      <c r="F196" s="19"/>
      <c r="G196" s="19"/>
      <c r="H196" s="19"/>
      <c r="K196" s="1"/>
    </row>
    <row r="197" spans="1:11">
      <c r="A197" s="17"/>
      <c r="B197" s="19"/>
      <c r="C197" s="19"/>
      <c r="D197" s="19"/>
      <c r="E197" s="20"/>
      <c r="F197" s="19"/>
      <c r="G197" s="19"/>
      <c r="H197" s="19"/>
      <c r="K197" s="1"/>
    </row>
    <row r="198" spans="1:11">
      <c r="A198" s="17"/>
      <c r="B198" s="19"/>
      <c r="C198" s="19"/>
      <c r="D198" s="19"/>
      <c r="E198" s="20"/>
      <c r="F198" s="19"/>
      <c r="G198" s="19"/>
      <c r="H198" s="19"/>
      <c r="K198" s="1"/>
    </row>
    <row r="199" spans="1:11">
      <c r="A199" s="17"/>
      <c r="B199" s="19"/>
      <c r="C199" s="19"/>
      <c r="D199" s="19"/>
      <c r="E199" s="20"/>
      <c r="F199" s="19"/>
      <c r="G199" s="19"/>
      <c r="H199" s="19"/>
      <c r="K199" s="1"/>
    </row>
    <row r="200" spans="1:11">
      <c r="A200" s="17"/>
      <c r="B200" s="19"/>
      <c r="C200" s="19"/>
      <c r="D200" s="19"/>
      <c r="E200" s="20"/>
      <c r="F200" s="19"/>
      <c r="G200" s="19"/>
      <c r="H200" s="19"/>
      <c r="K200" s="1"/>
    </row>
    <row r="201" spans="1:11">
      <c r="A201" s="17"/>
      <c r="B201" s="19"/>
      <c r="C201" s="19"/>
      <c r="D201" s="19"/>
      <c r="E201" s="20"/>
      <c r="F201" s="19"/>
      <c r="G201" s="19"/>
      <c r="H201" s="19"/>
      <c r="K201" s="1"/>
    </row>
    <row r="202" spans="1:11">
      <c r="A202" s="17"/>
      <c r="B202" s="19"/>
      <c r="C202" s="19"/>
      <c r="D202" s="19"/>
      <c r="E202" s="20"/>
      <c r="F202" s="19"/>
      <c r="G202" s="19"/>
      <c r="H202" s="19"/>
      <c r="K202" s="1"/>
    </row>
    <row r="203" spans="1:11">
      <c r="A203" s="17"/>
      <c r="B203" s="19"/>
      <c r="C203" s="19"/>
      <c r="D203" s="19"/>
      <c r="E203" s="20"/>
      <c r="F203" s="19"/>
      <c r="G203" s="19"/>
      <c r="H203" s="19"/>
      <c r="K203" s="1"/>
    </row>
    <row r="204" spans="1:11">
      <c r="A204" s="17"/>
      <c r="B204" s="19"/>
      <c r="C204" s="19"/>
      <c r="D204" s="19"/>
      <c r="E204" s="20"/>
      <c r="F204" s="19"/>
      <c r="G204" s="19"/>
      <c r="H204" s="19"/>
      <c r="K204" s="1"/>
    </row>
    <row r="205" spans="1:11">
      <c r="A205" s="17"/>
      <c r="B205" s="19"/>
      <c r="C205" s="19"/>
      <c r="D205" s="19"/>
      <c r="E205" s="20"/>
      <c r="F205" s="19"/>
      <c r="G205" s="19"/>
      <c r="H205" s="19"/>
      <c r="K205" s="1"/>
    </row>
    <row r="206" spans="1:11">
      <c r="A206" s="17"/>
      <c r="B206" s="19"/>
      <c r="C206" s="19"/>
      <c r="D206" s="19"/>
      <c r="E206" s="20"/>
      <c r="F206" s="19"/>
      <c r="G206" s="19"/>
      <c r="H206" s="19"/>
      <c r="K206" s="1"/>
    </row>
    <row r="207" spans="1:11">
      <c r="A207" s="17"/>
      <c r="B207" s="19"/>
      <c r="C207" s="19"/>
      <c r="D207" s="19"/>
      <c r="E207" s="20"/>
      <c r="F207" s="19"/>
      <c r="G207" s="19"/>
      <c r="H207" s="19"/>
      <c r="K207" s="1"/>
    </row>
    <row r="208" spans="1:11">
      <c r="A208" s="17"/>
      <c r="B208" s="19"/>
      <c r="C208" s="19"/>
      <c r="D208" s="19"/>
      <c r="E208" s="20"/>
      <c r="F208" s="19"/>
      <c r="G208" s="19"/>
      <c r="H208" s="19"/>
      <c r="K208" s="1"/>
    </row>
    <row r="209" spans="1:11">
      <c r="A209" s="17"/>
      <c r="B209" s="19"/>
      <c r="C209" s="19"/>
      <c r="D209" s="19"/>
      <c r="E209" s="20"/>
      <c r="F209" s="19"/>
      <c r="G209" s="19"/>
      <c r="H209" s="19"/>
      <c r="K209" s="1"/>
    </row>
    <row r="210" spans="1:11">
      <c r="A210" s="17"/>
      <c r="B210" s="19"/>
      <c r="C210" s="19"/>
      <c r="D210" s="19"/>
      <c r="E210" s="20"/>
      <c r="F210" s="19"/>
      <c r="G210" s="19"/>
      <c r="H210" s="19"/>
      <c r="K210" s="1"/>
    </row>
    <row r="211" spans="1:11">
      <c r="A211" s="17"/>
      <c r="B211" s="19"/>
      <c r="C211" s="19"/>
      <c r="D211" s="19"/>
      <c r="E211" s="20"/>
      <c r="F211" s="19"/>
      <c r="G211" s="19"/>
      <c r="H211" s="19"/>
      <c r="K211" s="1"/>
    </row>
    <row r="212" spans="1:11">
      <c r="A212" s="17"/>
      <c r="B212" s="19"/>
      <c r="C212" s="19"/>
      <c r="D212" s="19"/>
      <c r="E212" s="20"/>
      <c r="F212" s="19"/>
      <c r="G212" s="19"/>
      <c r="H212" s="19"/>
      <c r="K212" s="1"/>
    </row>
    <row r="213" spans="1:11">
      <c r="A213" s="17"/>
      <c r="B213" s="19"/>
      <c r="C213" s="19"/>
      <c r="D213" s="19"/>
      <c r="E213" s="20"/>
      <c r="F213" s="19"/>
      <c r="G213" s="19"/>
      <c r="H213" s="19"/>
      <c r="K213" s="1"/>
    </row>
    <row r="214" spans="1:11">
      <c r="A214" s="17"/>
      <c r="B214" s="19"/>
      <c r="C214" s="19"/>
      <c r="D214" s="19"/>
      <c r="E214" s="20"/>
      <c r="F214" s="19"/>
      <c r="G214" s="19"/>
      <c r="H214" s="19"/>
      <c r="K214" s="1"/>
    </row>
    <row r="215" spans="1:11">
      <c r="A215" s="17"/>
      <c r="B215" s="19"/>
      <c r="C215" s="19"/>
      <c r="D215" s="19"/>
      <c r="E215" s="20"/>
      <c r="F215" s="19"/>
      <c r="G215" s="19"/>
      <c r="H215" s="19"/>
      <c r="K215" s="1"/>
    </row>
    <row r="216" spans="1:11">
      <c r="A216" s="17"/>
      <c r="B216" s="19"/>
      <c r="C216" s="19"/>
      <c r="D216" s="19"/>
      <c r="E216" s="20"/>
      <c r="F216" s="19"/>
      <c r="G216" s="19"/>
      <c r="H216" s="19"/>
      <c r="K216" s="1"/>
    </row>
    <row r="217" spans="1:11">
      <c r="A217" s="17"/>
      <c r="B217" s="19"/>
      <c r="C217" s="19"/>
      <c r="D217" s="19"/>
      <c r="E217" s="20"/>
      <c r="F217" s="19"/>
      <c r="G217" s="19"/>
      <c r="H217" s="19"/>
      <c r="K217" s="1"/>
    </row>
    <row r="218" spans="1:11">
      <c r="A218" s="17"/>
      <c r="B218" s="19"/>
      <c r="C218" s="19"/>
      <c r="D218" s="19"/>
      <c r="E218" s="20"/>
      <c r="F218" s="19"/>
      <c r="G218" s="19"/>
      <c r="H218" s="19"/>
      <c r="K218" s="1"/>
    </row>
    <row r="219" spans="1:11">
      <c r="A219" s="17"/>
      <c r="B219" s="19"/>
      <c r="C219" s="19"/>
      <c r="D219" s="19"/>
      <c r="E219" s="20"/>
      <c r="F219" s="19"/>
      <c r="G219" s="19"/>
      <c r="H219" s="19"/>
      <c r="K219" s="1"/>
    </row>
    <row r="220" spans="1:11">
      <c r="A220" s="17"/>
      <c r="B220" s="19"/>
      <c r="C220" s="19"/>
      <c r="D220" s="19"/>
      <c r="E220" s="20"/>
      <c r="F220" s="19"/>
      <c r="G220" s="19"/>
      <c r="H220" s="19"/>
      <c r="K220" s="1"/>
    </row>
    <row r="221" spans="1:11">
      <c r="A221" s="17"/>
      <c r="B221" s="19"/>
      <c r="C221" s="19"/>
      <c r="D221" s="19"/>
      <c r="E221" s="20"/>
      <c r="F221" s="19"/>
      <c r="G221" s="19"/>
      <c r="H221" s="19"/>
      <c r="K221" s="1"/>
    </row>
    <row r="222" spans="1:11">
      <c r="A222" s="17"/>
      <c r="B222" s="19"/>
      <c r="C222" s="19"/>
      <c r="D222" s="19"/>
      <c r="E222" s="20"/>
      <c r="F222" s="19"/>
      <c r="G222" s="19"/>
      <c r="H222" s="19"/>
      <c r="K222" s="1"/>
    </row>
    <row r="223" spans="1:11">
      <c r="A223" s="17"/>
      <c r="B223" s="19"/>
      <c r="C223" s="19"/>
      <c r="D223" s="19"/>
      <c r="E223" s="20"/>
      <c r="F223" s="19"/>
      <c r="G223" s="19"/>
      <c r="H223" s="19"/>
      <c r="K223" s="1"/>
    </row>
    <row r="224" spans="1:11">
      <c r="A224" s="17"/>
      <c r="B224" s="19"/>
      <c r="C224" s="19"/>
      <c r="D224" s="19"/>
      <c r="E224" s="20"/>
      <c r="F224" s="19"/>
      <c r="G224" s="19"/>
      <c r="H224" s="19"/>
      <c r="K224" s="1"/>
    </row>
    <row r="225" spans="1:11">
      <c r="A225" s="17"/>
      <c r="B225" s="19"/>
      <c r="C225" s="19"/>
      <c r="D225" s="19"/>
      <c r="E225" s="20"/>
      <c r="F225" s="19"/>
      <c r="G225" s="19"/>
      <c r="H225" s="19"/>
      <c r="K225" s="1"/>
    </row>
    <row r="226" spans="1:11">
      <c r="A226" s="17"/>
      <c r="B226" s="19"/>
      <c r="C226" s="19"/>
      <c r="D226" s="19"/>
      <c r="E226" s="20"/>
      <c r="F226" s="19"/>
      <c r="G226" s="19"/>
      <c r="H226" s="19"/>
      <c r="K226" s="1"/>
    </row>
    <row r="227" spans="1:11">
      <c r="A227" s="17"/>
      <c r="B227" s="19"/>
      <c r="C227" s="19"/>
      <c r="D227" s="19"/>
      <c r="E227" s="20"/>
      <c r="F227" s="19"/>
      <c r="G227" s="19"/>
      <c r="H227" s="19"/>
      <c r="K227" s="1"/>
    </row>
    <row r="228" spans="1:11">
      <c r="A228" s="17"/>
      <c r="B228" s="19"/>
      <c r="C228" s="19"/>
      <c r="D228" s="19"/>
      <c r="E228" s="20"/>
      <c r="F228" s="19"/>
      <c r="G228" s="19"/>
      <c r="H228" s="19"/>
      <c r="K228" s="1"/>
    </row>
    <row r="229" spans="1:11">
      <c r="A229" s="17"/>
      <c r="B229" s="19"/>
      <c r="C229" s="19"/>
      <c r="D229" s="19"/>
      <c r="E229" s="20"/>
      <c r="F229" s="19"/>
      <c r="G229" s="19"/>
      <c r="H229" s="19"/>
      <c r="K229" s="1"/>
    </row>
    <row r="230" spans="1:11">
      <c r="A230" s="17"/>
      <c r="B230" s="19"/>
      <c r="C230" s="19"/>
      <c r="D230" s="19"/>
      <c r="E230" s="20"/>
      <c r="F230" s="19"/>
      <c r="G230" s="19"/>
      <c r="H230" s="19"/>
      <c r="K230" s="1"/>
    </row>
    <row r="231" spans="1:11">
      <c r="A231" s="17"/>
      <c r="B231" s="19"/>
      <c r="C231" s="19"/>
      <c r="D231" s="19"/>
      <c r="E231" s="20"/>
      <c r="F231" s="19"/>
      <c r="G231" s="19"/>
      <c r="H231" s="19"/>
      <c r="K231" s="1"/>
    </row>
    <row r="232" spans="1:11">
      <c r="A232" s="17"/>
      <c r="B232" s="19"/>
      <c r="C232" s="19"/>
      <c r="D232" s="19"/>
      <c r="E232" s="20"/>
      <c r="F232" s="19"/>
      <c r="G232" s="19"/>
      <c r="H232" s="19"/>
      <c r="K232" s="1"/>
    </row>
    <row r="233" spans="1:11">
      <c r="A233" s="17"/>
      <c r="B233" s="19"/>
      <c r="C233" s="19"/>
      <c r="D233" s="19"/>
      <c r="E233" s="20"/>
      <c r="F233" s="19"/>
      <c r="G233" s="19"/>
      <c r="H233" s="19"/>
      <c r="K233" s="1"/>
    </row>
    <row r="234" spans="1:11">
      <c r="A234" s="17"/>
      <c r="B234" s="19"/>
      <c r="C234" s="19"/>
      <c r="D234" s="19"/>
      <c r="E234" s="20"/>
      <c r="F234" s="19"/>
      <c r="G234" s="19"/>
      <c r="H234" s="19"/>
      <c r="K234" s="1"/>
    </row>
    <row r="235" spans="1:11">
      <c r="A235" s="17"/>
      <c r="B235" s="19"/>
      <c r="C235" s="19"/>
      <c r="D235" s="19"/>
      <c r="E235" s="20"/>
      <c r="F235" s="19"/>
      <c r="G235" s="19"/>
      <c r="H235" s="19"/>
      <c r="K235" s="1"/>
    </row>
    <row r="236" spans="1:11">
      <c r="A236" s="17"/>
      <c r="B236" s="19"/>
      <c r="C236" s="19"/>
      <c r="D236" s="19"/>
      <c r="E236" s="20"/>
      <c r="F236" s="19"/>
      <c r="G236" s="19"/>
      <c r="H236" s="19"/>
      <c r="K236" s="1"/>
    </row>
    <row r="237" spans="1:11">
      <c r="A237" s="17"/>
      <c r="B237" s="19"/>
      <c r="C237" s="19"/>
      <c r="D237" s="19"/>
      <c r="E237" s="20"/>
      <c r="F237" s="19"/>
      <c r="G237" s="19"/>
      <c r="H237" s="19"/>
      <c r="K237" s="1"/>
    </row>
    <row r="238" spans="1:11">
      <c r="A238" s="17"/>
      <c r="B238" s="19"/>
      <c r="C238" s="19"/>
      <c r="D238" s="19"/>
      <c r="E238" s="20"/>
      <c r="F238" s="19"/>
      <c r="G238" s="19"/>
      <c r="H238" s="19"/>
      <c r="K238" s="1"/>
    </row>
    <row r="239" spans="1:11">
      <c r="A239" s="17"/>
      <c r="B239" s="19"/>
      <c r="C239" s="19"/>
      <c r="D239" s="19"/>
      <c r="E239" s="20"/>
      <c r="F239" s="19"/>
      <c r="G239" s="19"/>
      <c r="H239" s="19"/>
      <c r="K239" s="1"/>
    </row>
    <row r="240" spans="1:11">
      <c r="A240" s="17"/>
      <c r="B240" s="19"/>
      <c r="C240" s="19"/>
      <c r="D240" s="19"/>
      <c r="E240" s="20"/>
      <c r="F240" s="19"/>
      <c r="G240" s="19"/>
      <c r="H240" s="19"/>
      <c r="K240" s="1"/>
    </row>
    <row r="241" spans="1:11">
      <c r="A241" s="17"/>
      <c r="B241" s="19"/>
      <c r="C241" s="19"/>
      <c r="D241" s="19"/>
      <c r="E241" s="20"/>
      <c r="F241" s="19"/>
      <c r="G241" s="19"/>
      <c r="H241" s="19"/>
      <c r="K241" s="1"/>
    </row>
    <row r="242" spans="1:11">
      <c r="A242" s="17"/>
      <c r="B242" s="19"/>
      <c r="C242" s="19"/>
      <c r="D242" s="19"/>
      <c r="E242" s="20"/>
      <c r="F242" s="19"/>
      <c r="G242" s="19"/>
      <c r="H242" s="19"/>
      <c r="K242" s="1"/>
    </row>
    <row r="243" spans="1:11">
      <c r="A243" s="17"/>
      <c r="B243" s="19"/>
      <c r="C243" s="19"/>
      <c r="D243" s="19"/>
      <c r="E243" s="20"/>
      <c r="F243" s="19"/>
      <c r="G243" s="19"/>
      <c r="H243" s="19"/>
      <c r="K243" s="1"/>
    </row>
    <row r="244" spans="1:11">
      <c r="A244" s="17"/>
      <c r="B244" s="19"/>
      <c r="C244" s="19"/>
      <c r="D244" s="19"/>
      <c r="E244" s="20"/>
      <c r="F244" s="19"/>
      <c r="G244" s="19"/>
      <c r="H244" s="19"/>
      <c r="K244" s="1"/>
    </row>
    <row r="245" spans="1:11">
      <c r="A245" s="17"/>
      <c r="B245" s="19"/>
      <c r="C245" s="19"/>
      <c r="D245" s="19"/>
      <c r="E245" s="20"/>
      <c r="F245" s="19"/>
      <c r="G245" s="19"/>
      <c r="H245" s="19"/>
      <c r="K245" s="1"/>
    </row>
    <row r="246" spans="1:11">
      <c r="A246" s="17"/>
      <c r="B246" s="19"/>
      <c r="C246" s="19"/>
      <c r="D246" s="19"/>
      <c r="E246" s="20"/>
      <c r="F246" s="19"/>
      <c r="G246" s="19"/>
      <c r="H246" s="19"/>
      <c r="K246" s="1"/>
    </row>
    <row r="247" spans="1:11">
      <c r="A247" s="17"/>
      <c r="B247" s="19"/>
      <c r="C247" s="19"/>
      <c r="D247" s="19"/>
      <c r="E247" s="20"/>
      <c r="F247" s="19"/>
      <c r="G247" s="19"/>
      <c r="H247" s="19"/>
      <c r="K247" s="1"/>
    </row>
    <row r="248" spans="1:11">
      <c r="A248" s="17"/>
      <c r="B248" s="19"/>
      <c r="C248" s="19"/>
      <c r="D248" s="19"/>
      <c r="E248" s="20"/>
      <c r="F248" s="19"/>
      <c r="G248" s="19"/>
      <c r="H248" s="19"/>
      <c r="K248" s="1"/>
    </row>
    <row r="249" spans="1:11">
      <c r="A249" s="17"/>
      <c r="B249" s="19"/>
      <c r="C249" s="19"/>
      <c r="D249" s="19"/>
      <c r="E249" s="20"/>
      <c r="F249" s="19"/>
      <c r="G249" s="19"/>
      <c r="H249" s="19"/>
      <c r="K249" s="1"/>
    </row>
    <row r="250" spans="1:11">
      <c r="A250" s="17"/>
      <c r="B250" s="19"/>
      <c r="C250" s="19"/>
      <c r="D250" s="19"/>
      <c r="E250" s="20"/>
      <c r="F250" s="19"/>
      <c r="G250" s="19"/>
      <c r="H250" s="19"/>
      <c r="K250" s="1"/>
    </row>
    <row r="251" spans="1:11">
      <c r="A251" s="17"/>
      <c r="B251" s="19"/>
      <c r="C251" s="19"/>
      <c r="D251" s="19"/>
      <c r="E251" s="20"/>
      <c r="F251" s="19"/>
      <c r="G251" s="19"/>
      <c r="H251" s="19"/>
      <c r="K251" s="1"/>
    </row>
    <row r="252" spans="1:11">
      <c r="A252" s="17"/>
      <c r="B252" s="19"/>
      <c r="C252" s="19"/>
      <c r="D252" s="19"/>
      <c r="E252" s="20"/>
      <c r="F252" s="19"/>
      <c r="G252" s="19"/>
      <c r="H252" s="19"/>
      <c r="K252" s="1"/>
    </row>
    <row r="253" spans="1:11">
      <c r="A253" s="17"/>
      <c r="B253" s="19"/>
      <c r="C253" s="19"/>
      <c r="D253" s="19"/>
      <c r="E253" s="20"/>
      <c r="F253" s="19"/>
      <c r="G253" s="19"/>
      <c r="H253" s="19"/>
      <c r="K253" s="1"/>
    </row>
    <row r="254" spans="1:11">
      <c r="A254" s="17"/>
      <c r="B254" s="19"/>
      <c r="C254" s="19"/>
      <c r="D254" s="19"/>
      <c r="E254" s="20"/>
      <c r="F254" s="19"/>
      <c r="G254" s="19"/>
      <c r="H254" s="19"/>
      <c r="K254" s="1"/>
    </row>
    <row r="255" spans="1:11">
      <c r="A255" s="17"/>
      <c r="B255" s="19"/>
      <c r="C255" s="19"/>
      <c r="D255" s="19"/>
      <c r="E255" s="20"/>
      <c r="F255" s="19"/>
      <c r="G255" s="19"/>
      <c r="H255" s="19"/>
      <c r="K255" s="1"/>
    </row>
    <row r="256" spans="1:11">
      <c r="A256" s="17"/>
      <c r="B256" s="19"/>
      <c r="C256" s="19"/>
      <c r="D256" s="19"/>
      <c r="E256" s="20"/>
      <c r="F256" s="19"/>
      <c r="G256" s="19"/>
      <c r="H256" s="19"/>
      <c r="K256" s="1"/>
    </row>
    <row r="257" spans="1:11">
      <c r="A257" s="17"/>
      <c r="B257" s="19"/>
      <c r="C257" s="19"/>
      <c r="D257" s="19"/>
      <c r="E257" s="20"/>
      <c r="F257" s="19"/>
      <c r="G257" s="19"/>
      <c r="H257" s="19"/>
      <c r="K257" s="1"/>
    </row>
    <row r="258" spans="1:11">
      <c r="A258" s="17"/>
      <c r="B258" s="19"/>
      <c r="C258" s="19"/>
      <c r="D258" s="19"/>
      <c r="E258" s="20"/>
      <c r="F258" s="19"/>
      <c r="G258" s="19"/>
      <c r="H258" s="19"/>
      <c r="K258" s="1"/>
    </row>
    <row r="259" spans="1:11">
      <c r="A259" s="17"/>
      <c r="B259" s="19"/>
      <c r="C259" s="19"/>
      <c r="D259" s="19"/>
      <c r="E259" s="20"/>
      <c r="F259" s="19"/>
      <c r="G259" s="19"/>
      <c r="H259" s="19"/>
      <c r="K259" s="1"/>
    </row>
    <row r="260" spans="1:11">
      <c r="A260" s="17"/>
      <c r="B260" s="19"/>
      <c r="C260" s="19"/>
      <c r="D260" s="19"/>
      <c r="E260" s="20"/>
      <c r="F260" s="19"/>
      <c r="G260" s="19"/>
      <c r="H260" s="19"/>
      <c r="K260" s="1"/>
    </row>
    <row r="261" spans="1:11">
      <c r="A261" s="17"/>
      <c r="B261" s="19"/>
      <c r="C261" s="19"/>
      <c r="D261" s="19"/>
      <c r="E261" s="20"/>
      <c r="F261" s="19"/>
      <c r="G261" s="19"/>
      <c r="H261" s="19"/>
      <c r="K261" s="1"/>
    </row>
    <row r="262" spans="1:11">
      <c r="A262" s="17"/>
      <c r="B262" s="19"/>
      <c r="C262" s="19"/>
      <c r="D262" s="19"/>
      <c r="E262" s="20"/>
      <c r="F262" s="19"/>
      <c r="G262" s="19"/>
      <c r="H262" s="19"/>
      <c r="K262" s="1"/>
    </row>
    <row r="263" spans="1:11">
      <c r="A263" s="17"/>
      <c r="B263" s="19"/>
      <c r="C263" s="19"/>
      <c r="D263" s="19"/>
      <c r="E263" s="20"/>
      <c r="F263" s="19"/>
      <c r="G263" s="19"/>
      <c r="H263" s="19"/>
      <c r="K263" s="1"/>
    </row>
    <row r="264" spans="1:11">
      <c r="A264" s="17"/>
      <c r="B264" s="19"/>
      <c r="C264" s="19"/>
      <c r="D264" s="19"/>
      <c r="E264" s="20"/>
      <c r="F264" s="19"/>
      <c r="G264" s="19"/>
      <c r="H264" s="19"/>
      <c r="K264" s="1"/>
    </row>
    <row r="265" spans="1:11">
      <c r="A265" s="17"/>
      <c r="B265" s="19"/>
      <c r="C265" s="19"/>
      <c r="D265" s="19"/>
      <c r="E265" s="20"/>
      <c r="F265" s="19"/>
      <c r="G265" s="19"/>
      <c r="H265" s="19"/>
      <c r="K265" s="1"/>
    </row>
    <row r="266" spans="1:11">
      <c r="A266" s="17"/>
      <c r="B266" s="19"/>
      <c r="C266" s="19"/>
      <c r="D266" s="19"/>
      <c r="E266" s="20"/>
      <c r="F266" s="19"/>
      <c r="G266" s="19"/>
      <c r="H266" s="19"/>
      <c r="K266" s="1"/>
    </row>
    <row r="267" spans="1:11">
      <c r="A267" s="17"/>
      <c r="B267" s="19"/>
      <c r="C267" s="19"/>
      <c r="D267" s="19"/>
      <c r="E267" s="20"/>
      <c r="F267" s="19"/>
      <c r="G267" s="19"/>
      <c r="H267" s="19"/>
      <c r="K267" s="1"/>
    </row>
    <row r="268" spans="1:11">
      <c r="A268" s="17"/>
      <c r="B268" s="19"/>
      <c r="C268" s="19"/>
      <c r="D268" s="19"/>
      <c r="E268" s="20"/>
      <c r="F268" s="19"/>
      <c r="G268" s="19"/>
      <c r="H268" s="19"/>
      <c r="K268" s="1"/>
    </row>
    <row r="269" spans="1:11">
      <c r="A269" s="17"/>
      <c r="B269" s="19"/>
      <c r="C269" s="19"/>
      <c r="D269" s="19"/>
      <c r="E269" s="20"/>
      <c r="F269" s="19"/>
      <c r="G269" s="19"/>
      <c r="H269" s="19"/>
      <c r="K269" s="1"/>
    </row>
    <row r="270" spans="1:11">
      <c r="A270" s="17"/>
      <c r="B270" s="19"/>
      <c r="C270" s="19"/>
      <c r="D270" s="19"/>
      <c r="E270" s="20"/>
      <c r="F270" s="19"/>
      <c r="G270" s="19"/>
      <c r="H270" s="19"/>
      <c r="K270" s="1"/>
    </row>
    <row r="271" spans="1:11">
      <c r="A271" s="17"/>
      <c r="B271" s="19"/>
      <c r="C271" s="19"/>
      <c r="D271" s="19"/>
      <c r="E271" s="20"/>
      <c r="F271" s="19"/>
      <c r="G271" s="19"/>
      <c r="H271" s="19"/>
      <c r="K271" s="1"/>
    </row>
    <row r="272" spans="1:11">
      <c r="A272" s="17"/>
      <c r="B272" s="19"/>
      <c r="C272" s="19"/>
      <c r="D272" s="19"/>
      <c r="E272" s="20"/>
      <c r="F272" s="19"/>
      <c r="G272" s="19"/>
      <c r="H272" s="19"/>
      <c r="K272" s="1"/>
    </row>
    <row r="273" spans="1:11">
      <c r="A273" s="17"/>
      <c r="B273" s="19"/>
      <c r="C273" s="19"/>
      <c r="D273" s="19"/>
      <c r="E273" s="20"/>
      <c r="F273" s="19"/>
      <c r="G273" s="19"/>
      <c r="H273" s="19"/>
      <c r="K273" s="1"/>
    </row>
    <row r="274" spans="1:11">
      <c r="A274" s="17"/>
      <c r="B274" s="19"/>
      <c r="C274" s="19"/>
      <c r="D274" s="19"/>
      <c r="E274" s="20"/>
      <c r="F274" s="19"/>
      <c r="G274" s="19"/>
      <c r="H274" s="19"/>
      <c r="K274" s="1"/>
    </row>
    <row r="275" spans="1:11">
      <c r="A275" s="17"/>
      <c r="B275" s="19"/>
      <c r="C275" s="19"/>
      <c r="D275" s="19"/>
      <c r="E275" s="20"/>
      <c r="F275" s="19"/>
      <c r="G275" s="19"/>
      <c r="H275" s="19"/>
      <c r="K275" s="1"/>
    </row>
    <row r="276" spans="1:11">
      <c r="A276" s="17"/>
      <c r="B276" s="19"/>
      <c r="C276" s="19"/>
      <c r="D276" s="19"/>
      <c r="E276" s="20"/>
      <c r="F276" s="19"/>
      <c r="G276" s="19"/>
      <c r="H276" s="19"/>
      <c r="K276" s="1"/>
    </row>
    <row r="277" spans="1:11">
      <c r="A277" s="17"/>
      <c r="B277" s="19"/>
      <c r="C277" s="19"/>
      <c r="D277" s="19"/>
      <c r="E277" s="20"/>
      <c r="F277" s="19"/>
      <c r="G277" s="19"/>
      <c r="H277" s="19"/>
      <c r="K277" s="1"/>
    </row>
    <row r="278" spans="1:11">
      <c r="A278" s="17"/>
      <c r="B278" s="19"/>
      <c r="C278" s="19"/>
      <c r="D278" s="19"/>
      <c r="E278" s="20"/>
      <c r="F278" s="19"/>
      <c r="G278" s="19"/>
      <c r="H278" s="19"/>
      <c r="K278" s="1"/>
    </row>
    <row r="279" spans="1:11">
      <c r="A279" s="17"/>
      <c r="B279" s="19"/>
      <c r="C279" s="19"/>
      <c r="D279" s="19"/>
      <c r="E279" s="20"/>
      <c r="F279" s="19"/>
      <c r="G279" s="19"/>
      <c r="H279" s="19"/>
      <c r="K279" s="1"/>
    </row>
    <row r="280" spans="1:11">
      <c r="A280" s="17"/>
      <c r="B280" s="19"/>
      <c r="C280" s="19"/>
      <c r="D280" s="19"/>
      <c r="E280" s="20"/>
      <c r="F280" s="19"/>
      <c r="G280" s="19"/>
      <c r="H280" s="19"/>
      <c r="K280" s="1"/>
    </row>
    <row r="281" spans="1:11">
      <c r="A281" s="17"/>
      <c r="B281" s="19"/>
      <c r="C281" s="19"/>
      <c r="D281" s="19"/>
      <c r="E281" s="20"/>
      <c r="F281" s="19"/>
      <c r="G281" s="19"/>
      <c r="H281" s="19"/>
      <c r="K281" s="1"/>
    </row>
    <row r="282" spans="1:11">
      <c r="A282" s="17"/>
      <c r="B282" s="19"/>
      <c r="C282" s="19"/>
      <c r="D282" s="19"/>
      <c r="E282" s="20"/>
      <c r="F282" s="19"/>
      <c r="G282" s="19"/>
      <c r="H282" s="19"/>
      <c r="K282" s="1"/>
    </row>
    <row r="283" spans="1:11">
      <c r="A283" s="17"/>
      <c r="B283" s="19"/>
      <c r="C283" s="19"/>
      <c r="D283" s="19"/>
      <c r="E283" s="20"/>
      <c r="F283" s="19"/>
      <c r="G283" s="19"/>
      <c r="H283" s="19"/>
      <c r="K283" s="1"/>
    </row>
    <row r="284" spans="1:11">
      <c r="A284" s="17"/>
      <c r="B284" s="19"/>
      <c r="C284" s="19"/>
      <c r="D284" s="19"/>
      <c r="E284" s="20"/>
      <c r="F284" s="19"/>
      <c r="G284" s="19"/>
      <c r="H284" s="19"/>
      <c r="K284" s="1"/>
    </row>
    <row r="285" spans="1:11">
      <c r="A285" s="17"/>
      <c r="B285" s="19"/>
      <c r="C285" s="19"/>
      <c r="D285" s="19"/>
      <c r="E285" s="20"/>
      <c r="F285" s="19"/>
      <c r="G285" s="19"/>
      <c r="H285" s="19"/>
      <c r="K285" s="1"/>
    </row>
    <row r="286" spans="1:11">
      <c r="A286" s="17"/>
      <c r="B286" s="19"/>
      <c r="C286" s="19"/>
      <c r="D286" s="19"/>
      <c r="E286" s="20"/>
      <c r="F286" s="19"/>
      <c r="G286" s="19"/>
      <c r="H286" s="19"/>
      <c r="K286" s="1"/>
    </row>
    <row r="287" spans="1:11">
      <c r="A287" s="17"/>
      <c r="B287" s="19"/>
      <c r="C287" s="19"/>
      <c r="D287" s="19"/>
      <c r="E287" s="20"/>
      <c r="F287" s="19"/>
      <c r="G287" s="19"/>
      <c r="H287" s="19"/>
      <c r="K287" s="1"/>
    </row>
    <row r="288" spans="1:11">
      <c r="A288" s="17"/>
      <c r="B288" s="19"/>
      <c r="C288" s="19"/>
      <c r="D288" s="19"/>
      <c r="E288" s="20"/>
      <c r="F288" s="19"/>
      <c r="G288" s="19"/>
      <c r="H288" s="19"/>
      <c r="K288" s="1"/>
    </row>
    <row r="289" spans="1:11">
      <c r="A289" s="17"/>
      <c r="B289" s="19"/>
      <c r="C289" s="19"/>
      <c r="D289" s="19"/>
      <c r="E289" s="20"/>
      <c r="F289" s="19"/>
      <c r="G289" s="19"/>
      <c r="H289" s="19"/>
      <c r="K289" s="1"/>
    </row>
    <row r="290" spans="1:11">
      <c r="A290" s="17"/>
      <c r="B290" s="19"/>
      <c r="C290" s="19"/>
      <c r="D290" s="19"/>
      <c r="E290" s="20"/>
      <c r="F290" s="19"/>
      <c r="G290" s="19"/>
      <c r="H290" s="19"/>
      <c r="K290" s="1"/>
    </row>
    <row r="291" spans="1:11">
      <c r="A291" s="17"/>
      <c r="B291" s="19"/>
      <c r="C291" s="19"/>
      <c r="D291" s="19"/>
      <c r="E291" s="20"/>
      <c r="F291" s="19"/>
      <c r="G291" s="19"/>
      <c r="H291" s="19"/>
      <c r="K291" s="1"/>
    </row>
    <row r="292" spans="1:11">
      <c r="A292" s="17"/>
      <c r="B292" s="19"/>
      <c r="C292" s="19"/>
      <c r="D292" s="19"/>
      <c r="E292" s="20"/>
      <c r="F292" s="19"/>
      <c r="G292" s="19"/>
      <c r="H292" s="19"/>
      <c r="K292" s="1"/>
    </row>
    <row r="293" spans="1:11">
      <c r="A293" s="17"/>
      <c r="B293" s="19"/>
      <c r="C293" s="19"/>
      <c r="D293" s="19"/>
      <c r="E293" s="20"/>
      <c r="F293" s="19"/>
      <c r="G293" s="19"/>
      <c r="H293" s="19"/>
      <c r="K293" s="1"/>
    </row>
    <row r="294" spans="1:11">
      <c r="A294" s="17"/>
      <c r="B294" s="19"/>
      <c r="C294" s="19"/>
      <c r="D294" s="19"/>
      <c r="E294" s="20"/>
      <c r="F294" s="19"/>
      <c r="G294" s="19"/>
      <c r="H294" s="19"/>
      <c r="K294" s="1"/>
    </row>
    <row r="295" spans="1:11">
      <c r="A295" s="17"/>
      <c r="B295" s="19"/>
      <c r="C295" s="19"/>
      <c r="D295" s="19"/>
      <c r="E295" s="20"/>
      <c r="F295" s="19"/>
      <c r="G295" s="19"/>
      <c r="H295" s="19"/>
      <c r="K295" s="1"/>
    </row>
    <row r="296" spans="1:11">
      <c r="A296" s="17"/>
      <c r="B296" s="19"/>
      <c r="C296" s="19"/>
      <c r="D296" s="19"/>
      <c r="E296" s="20"/>
      <c r="F296" s="19"/>
      <c r="G296" s="19"/>
      <c r="H296" s="19"/>
      <c r="K296" s="1"/>
    </row>
    <row r="297" spans="1:11">
      <c r="A297" s="17"/>
      <c r="B297" s="19"/>
      <c r="C297" s="19"/>
      <c r="D297" s="19"/>
      <c r="E297" s="20"/>
      <c r="F297" s="19"/>
      <c r="G297" s="19"/>
      <c r="H297" s="19"/>
      <c r="K297" s="1"/>
    </row>
    <row r="298" spans="1:11">
      <c r="A298" s="17"/>
      <c r="B298" s="19"/>
      <c r="C298" s="19"/>
      <c r="D298" s="19"/>
      <c r="E298" s="20"/>
      <c r="F298" s="19"/>
      <c r="G298" s="19"/>
      <c r="H298" s="19"/>
      <c r="K298" s="1"/>
    </row>
    <row r="299" spans="1:11">
      <c r="A299" s="17"/>
      <c r="B299" s="19"/>
      <c r="C299" s="19"/>
      <c r="D299" s="19"/>
      <c r="E299" s="20"/>
      <c r="F299" s="19"/>
      <c r="G299" s="19"/>
      <c r="H299" s="19"/>
      <c r="K299" s="1"/>
    </row>
    <row r="300" spans="1:11">
      <c r="A300" s="17"/>
      <c r="B300" s="19"/>
      <c r="C300" s="19"/>
      <c r="D300" s="19"/>
      <c r="E300" s="20"/>
      <c r="F300" s="19"/>
      <c r="G300" s="19"/>
      <c r="H300" s="19"/>
      <c r="K300" s="1"/>
    </row>
    <row r="301" spans="1:11">
      <c r="A301" s="17"/>
      <c r="B301" s="19"/>
      <c r="C301" s="19"/>
      <c r="D301" s="19"/>
      <c r="E301" s="20"/>
      <c r="F301" s="19"/>
      <c r="G301" s="19"/>
      <c r="H301" s="19"/>
      <c r="K301" s="1"/>
    </row>
    <row r="302" spans="1:11">
      <c r="A302" s="17"/>
      <c r="B302" s="19"/>
      <c r="C302" s="19"/>
      <c r="D302" s="19"/>
      <c r="E302" s="20"/>
      <c r="F302" s="19"/>
      <c r="G302" s="19"/>
      <c r="H302" s="19"/>
      <c r="K302" s="1"/>
    </row>
    <row r="303" spans="1:11">
      <c r="A303" s="17"/>
      <c r="B303" s="19"/>
      <c r="C303" s="19"/>
      <c r="D303" s="19"/>
      <c r="E303" s="20"/>
      <c r="F303" s="19"/>
      <c r="G303" s="19"/>
      <c r="H303" s="19"/>
      <c r="K303" s="1"/>
    </row>
    <row r="304" spans="1:11">
      <c r="A304" s="17"/>
      <c r="B304" s="19"/>
      <c r="C304" s="19"/>
      <c r="D304" s="19"/>
      <c r="E304" s="20"/>
      <c r="F304" s="19"/>
      <c r="G304" s="19"/>
      <c r="H304" s="19"/>
      <c r="K304" s="1"/>
    </row>
    <row r="305" spans="1:11">
      <c r="A305" s="17"/>
      <c r="B305" s="19"/>
      <c r="C305" s="19"/>
      <c r="D305" s="19"/>
      <c r="E305" s="20"/>
      <c r="F305" s="19"/>
      <c r="G305" s="19"/>
      <c r="H305" s="19"/>
      <c r="K305" s="1"/>
    </row>
    <row r="306" spans="1:11">
      <c r="A306" s="17"/>
      <c r="B306" s="19"/>
      <c r="C306" s="19"/>
      <c r="D306" s="19"/>
      <c r="E306" s="20"/>
      <c r="F306" s="19"/>
      <c r="G306" s="19"/>
      <c r="H306" s="19"/>
      <c r="K306" s="1"/>
    </row>
    <row r="307" spans="1:11">
      <c r="A307" s="17"/>
      <c r="B307" s="19"/>
      <c r="C307" s="19"/>
      <c r="D307" s="19"/>
      <c r="E307" s="20"/>
      <c r="F307" s="19"/>
      <c r="G307" s="19"/>
      <c r="H307" s="19"/>
      <c r="K307" s="1"/>
    </row>
    <row r="308" spans="1:11">
      <c r="A308" s="17"/>
      <c r="B308" s="19"/>
      <c r="C308" s="19"/>
      <c r="D308" s="19"/>
      <c r="E308" s="20"/>
      <c r="F308" s="19"/>
      <c r="G308" s="19"/>
      <c r="H308" s="19"/>
      <c r="K308" s="1"/>
    </row>
    <row r="309" spans="1:11">
      <c r="A309" s="17"/>
      <c r="B309" s="19"/>
      <c r="C309" s="19"/>
      <c r="D309" s="19"/>
      <c r="E309" s="20"/>
      <c r="F309" s="19"/>
      <c r="G309" s="19"/>
      <c r="H309" s="19"/>
      <c r="K309" s="1"/>
    </row>
    <row r="310" spans="1:11">
      <c r="A310" s="17"/>
      <c r="B310" s="19"/>
      <c r="C310" s="19"/>
      <c r="D310" s="19"/>
      <c r="E310" s="20"/>
      <c r="F310" s="19"/>
      <c r="G310" s="19"/>
      <c r="H310" s="19"/>
      <c r="K310" s="1"/>
    </row>
    <row r="311" spans="1:11">
      <c r="A311" s="17"/>
      <c r="B311" s="19"/>
      <c r="C311" s="19"/>
      <c r="D311" s="19"/>
      <c r="E311" s="20"/>
      <c r="F311" s="19"/>
      <c r="G311" s="19"/>
      <c r="H311" s="19"/>
      <c r="K311" s="1"/>
    </row>
    <row r="312" spans="1:11">
      <c r="A312" s="17"/>
      <c r="B312" s="19"/>
      <c r="C312" s="19"/>
      <c r="D312" s="19"/>
      <c r="E312" s="20"/>
      <c r="F312" s="19"/>
      <c r="G312" s="19"/>
      <c r="H312" s="19"/>
      <c r="K312" s="1"/>
    </row>
    <row r="313" spans="1:11">
      <c r="A313" s="17"/>
      <c r="B313" s="19"/>
      <c r="C313" s="19"/>
      <c r="D313" s="19"/>
      <c r="E313" s="20"/>
      <c r="F313" s="19"/>
      <c r="G313" s="19"/>
      <c r="H313" s="19"/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>
      <c r="K1848" s="1"/>
    </row>
    <row r="1849" spans="1:11">
      <c r="K1849" s="1"/>
    </row>
    <row r="1850" spans="1:11">
      <c r="K1850" s="1"/>
    </row>
  </sheetData>
  <autoFilter ref="A1:J4199" xr:uid="{00000000-0009-0000-0000-000000000000}"/>
  <conditionalFormatting sqref="C1:C1847">
    <cfRule type="duplicateValues" dxfId="2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A23" sqref="A2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N2" sqref="N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MK~BR_CN~Causas_MN~CCV_YQ~19Q1Q4_CP~NONE_OB~LDS_PK~NONE</v>
      </c>
      <c r="B2" t="str">
        <f t="shared" ref="B2:B65" si="1">bd_site</f>
        <v>Facebook</v>
      </c>
      <c r="C2" t="str">
        <f t="shared" ref="C2:C65" si="2">bd_placement</f>
        <v>CH~SOCIAL_DT~MULTI_PB~FCBK_FM~CARROSSEL_RT~CPM_PD~CAUSAS_ICONES_FOTOS_ANIMAIS_CARROSSEL_1X1_TG~BHVDEM_TS~NONE_SZ~1X1_SOCIAL_MK~BR_IT~SOCIAL_VV~NONE</v>
      </c>
      <c r="D2" t="str">
        <f t="shared" ref="D2:D65" si="3">bd_placementID</f>
        <v>240115186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CH~SOCIAL_DT~MULTI_PB~FCBK_FM~CARROSSEL_RT~CPM_PD~CAUSAS_ICONES_FOTOS_ANIMAIS_CARROSSEL_1X1_TG~BHVDEM_TS~NONE_SZ~1X1_SOCIAL_MK~BR_IT~SOCIAL_VV~NONE</v>
      </c>
      <c r="G2" t="str">
        <f t="shared" ref="G2:G65" si="6">bd_adid</f>
        <v>437114954</v>
      </c>
      <c r="H2" t="str">
        <f t="shared" ref="H2:H65" si="7">bd_creativetype</f>
        <v>Tracking</v>
      </c>
      <c r="I2">
        <f t="shared" ref="I2:I65" si="8">bd_impression</f>
        <v>0</v>
      </c>
      <c r="J2">
        <f t="shared" ref="J2:J65" si="9">bd_clicks</f>
        <v>74</v>
      </c>
      <c r="K2" s="4">
        <f t="shared" ref="K2:K43" si="10">IF(LEFT(B2,3)="DBM",0,VLOOKUP(E2,tabela,2,FALSE))</f>
        <v>3.5000000000000001E-3</v>
      </c>
      <c r="L2">
        <f t="shared" ref="L2:L43" si="11">VLOOKUP(E2,tabela,3,FALSE)</f>
        <v>0.02</v>
      </c>
      <c r="M2" s="4">
        <f t="shared" ref="M2:M34" si="12">IF(E2="Dynamic Click",J2*K2,K2*$I2/1000)</f>
        <v>0.25900000000000001</v>
      </c>
      <c r="N2" s="4">
        <f>IF(E2="Dynamic Click",J2*L2,L2*$I2/1000)</f>
        <v>1.48</v>
      </c>
    </row>
    <row r="3" spans="1:14">
      <c r="A3" t="str">
        <f t="shared" si="0"/>
        <v>MK~BR_CN~Causas_MN~CCV_YQ~19Q1Q4_CP~NONE_OB~LDS_PK~NONE</v>
      </c>
      <c r="B3" t="str">
        <f t="shared" si="1"/>
        <v>Facebook</v>
      </c>
      <c r="C3" t="str">
        <f t="shared" si="2"/>
        <v>CH~SOCIAL_DT~MULTI_PB~FCBK_FM~CARROSSEL_RT~CPM_PD~CAUSAS_ICONES_LOGO_ANIMAIS_CARROSSEL_1X1_TG~BHVDEM_TS~NONE_SZ~1X1_SOCIAL_MK~BR_IT~SOCIAL_VV~NONE</v>
      </c>
      <c r="D3" t="str">
        <f t="shared" si="3"/>
        <v>240115165</v>
      </c>
      <c r="E3" t="str">
        <f t="shared" si="4"/>
        <v>Dynamic Click</v>
      </c>
      <c r="F3" t="str">
        <f t="shared" si="5"/>
        <v>CH~SOCIAL_DT~MULTI_PB~FCBK_FM~CARROSSEL_RT~CPM_PD~CAUSAS_ICONES_LOGO_ANIMAIS_CARROSSEL_1X1_TG~BHVDEM_TS~NONE_SZ~1X1_SOCIAL_MK~BR_IT~SOCIAL_VV~NONE</v>
      </c>
      <c r="G3" t="str">
        <f t="shared" si="6"/>
        <v>437114933</v>
      </c>
      <c r="H3" t="str">
        <f t="shared" si="7"/>
        <v>Tracking</v>
      </c>
      <c r="I3">
        <f t="shared" si="8"/>
        <v>0</v>
      </c>
      <c r="J3">
        <f t="shared" si="9"/>
        <v>24</v>
      </c>
      <c r="K3" s="4">
        <f t="shared" si="10"/>
        <v>3.5000000000000001E-3</v>
      </c>
      <c r="L3">
        <f t="shared" si="11"/>
        <v>0.02</v>
      </c>
      <c r="M3" s="4">
        <f t="shared" si="12"/>
        <v>8.4000000000000005E-2</v>
      </c>
      <c r="N3" s="4">
        <f t="shared" ref="N3:N34" si="13">IF(E3="Dynamic Click",J3*L3,L3*$I3/1000)</f>
        <v>0.48</v>
      </c>
    </row>
    <row r="4" spans="1:14">
      <c r="A4" t="str">
        <f t="shared" si="0"/>
        <v>MK~BR_CN~Causas_MN~CCV_YQ~19Q1Q4_CP~NONE_OB~LDS_PK~NONE</v>
      </c>
      <c r="B4" t="str">
        <f t="shared" si="1"/>
        <v>Facebook</v>
      </c>
      <c r="C4" t="str">
        <f t="shared" si="2"/>
        <v>CH~SOCIAL_DT~MULTI_PB~FCBK_FM~CARROSSEL_RT~CPM_PD~CAUSAS_ICONES_LOGO_IDOSOS_CARROSSEL_1X1_TG~BHVDEM_TS~NONE_SZ~1X1_SOCIAL_MK~BR_IT~SOCIAL_VV~NONE</v>
      </c>
      <c r="D4" t="str">
        <f t="shared" si="3"/>
        <v>240115183</v>
      </c>
      <c r="E4" t="str">
        <f t="shared" si="4"/>
        <v>Dynamic Click</v>
      </c>
      <c r="F4" t="str">
        <f t="shared" si="5"/>
        <v>CH~SOCIAL_DT~MULTI_PB~FCBK_FM~CARROSSEL_RT~CPM_PD~CAUSAS_ICONES_LOGO_IDOSOS_CARROSSEL_1X1_TG~BHVDEM_TS~NONE_SZ~1X1_SOCIAL_MK~BR_IT~SOCIAL_VV~NONE</v>
      </c>
      <c r="G4" t="str">
        <f t="shared" si="6"/>
        <v>437114951</v>
      </c>
      <c r="H4" t="str">
        <f t="shared" si="7"/>
        <v>Tracking</v>
      </c>
      <c r="I4">
        <f t="shared" si="8"/>
        <v>0</v>
      </c>
      <c r="J4">
        <f t="shared" si="9"/>
        <v>2</v>
      </c>
      <c r="K4" s="4">
        <f t="shared" si="10"/>
        <v>3.5000000000000001E-3</v>
      </c>
      <c r="L4">
        <f t="shared" si="11"/>
        <v>0.02</v>
      </c>
      <c r="M4" s="4">
        <f t="shared" si="12"/>
        <v>7.0000000000000001E-3</v>
      </c>
      <c r="N4" s="4">
        <f t="shared" si="13"/>
        <v>0.04</v>
      </c>
    </row>
    <row r="5" spans="1:14">
      <c r="A5" t="str">
        <f t="shared" si="0"/>
        <v>MK~BR_CN~Causas_MN~CCV_YQ~19Q1Q4_CP~NONE_OB~LDS_PK~NONE</v>
      </c>
      <c r="B5" t="str">
        <f t="shared" si="1"/>
        <v>Facebook</v>
      </c>
      <c r="C5" t="str">
        <f t="shared" si="2"/>
        <v>CH~SOCIAL_DT~MULTI_PB~FCBK_FM~LINKAD_RT~CPM_PD~CAUSAS_CADASTRE_SE_NATAL_LINKAD_ANIMADO_FB_1X1_TG~BHVDEM_TS~NONE_SZ~1X1_SOCIAL_MK~BR_IT~SOCIAL_VV~NONE</v>
      </c>
      <c r="D5" t="str">
        <f t="shared" si="3"/>
        <v>236524072</v>
      </c>
      <c r="E5" t="str">
        <f t="shared" si="4"/>
        <v>Dynamic Click</v>
      </c>
      <c r="F5" t="str">
        <f t="shared" si="5"/>
        <v>CH~SOCIAL_DT~MULTI_PB~FCBK_FM~LINKAD_RT~CPM_PD~CAUSAS_CADASTRE_SE_NATAL_LINKAD_ANIMADO_FB_1X1_TG~BHVDEM_TS~NONE_SZ~1X1_SOCIAL_MK~BR_IT~SOCIAL_VV~NONE</v>
      </c>
      <c r="G5" t="str">
        <f t="shared" si="6"/>
        <v>433986273</v>
      </c>
      <c r="H5" t="str">
        <f t="shared" si="7"/>
        <v>Tracking</v>
      </c>
      <c r="I5">
        <f t="shared" si="8"/>
        <v>0</v>
      </c>
      <c r="J5">
        <f t="shared" si="9"/>
        <v>27</v>
      </c>
      <c r="K5" s="4">
        <f t="shared" si="10"/>
        <v>3.5000000000000001E-3</v>
      </c>
      <c r="L5">
        <f t="shared" si="11"/>
        <v>0.02</v>
      </c>
      <c r="M5" s="4">
        <f t="shared" si="12"/>
        <v>9.4500000000000001E-2</v>
      </c>
      <c r="N5" s="4">
        <f t="shared" si="13"/>
        <v>0.54</v>
      </c>
    </row>
    <row r="6" spans="1:14">
      <c r="A6" t="str">
        <f t="shared" si="0"/>
        <v>MK~BR_CN~Causas_MN~CCV_YQ~19Q1Q4_CP~NONE_OB~LDS_PK~NONE</v>
      </c>
      <c r="B6" t="str">
        <f t="shared" si="1"/>
        <v>Facebook</v>
      </c>
      <c r="C6" t="str">
        <f t="shared" si="2"/>
        <v>CH~SOCIAL_DT~MULTI_PB~FCBK_FM~LINKAD_RT~CPM_PD~CAUSAS_ICONES_CADASTRAR_CARTAO_FB_1X1_TG~BHVDEM_TS~NONE_SZ~1X1_SOCIAL_MK~BR_IT~SOCIAL_VV~NONE</v>
      </c>
      <c r="D6" t="str">
        <f t="shared" si="3"/>
        <v>233326907</v>
      </c>
      <c r="E6" t="str">
        <f t="shared" si="4"/>
        <v>Dynamic Click</v>
      </c>
      <c r="F6" t="str">
        <f t="shared" si="5"/>
        <v>CH~SOCIAL_DT~MULTI_PB~FCBK_FM~LINKAD_RT~CPM_PD~CAUSAS_ICONES_CADASTRAR_CARTAO_FB_1X1_TG~BHVDEM_TS~NONE_SZ~1X1_SOCIAL_MK~BR_IT~SOCIAL_VV~NONE</v>
      </c>
      <c r="G6" t="str">
        <f t="shared" si="6"/>
        <v>431122051</v>
      </c>
      <c r="H6" t="str">
        <f t="shared" si="7"/>
        <v>Tracking</v>
      </c>
      <c r="I6">
        <f t="shared" si="8"/>
        <v>0</v>
      </c>
      <c r="J6">
        <f t="shared" si="9"/>
        <v>161</v>
      </c>
      <c r="K6" s="4">
        <f t="shared" si="10"/>
        <v>3.5000000000000001E-3</v>
      </c>
      <c r="L6">
        <f t="shared" si="11"/>
        <v>0.02</v>
      </c>
      <c r="M6" s="4">
        <f t="shared" si="12"/>
        <v>0.5635</v>
      </c>
      <c r="N6" s="4">
        <f t="shared" si="13"/>
        <v>3.22</v>
      </c>
    </row>
    <row r="7" spans="1:14">
      <c r="A7" t="str">
        <f t="shared" si="0"/>
        <v>MK~BR_CN~Causas_MN~CCV_YQ~19Q1Q4_CP~NONE_OB~LDS_PK~NONE</v>
      </c>
      <c r="B7" t="str">
        <f t="shared" si="1"/>
        <v>Facebook</v>
      </c>
      <c r="C7" t="str">
        <f t="shared" si="2"/>
        <v>CH~SOCIAL_DT~MULTI_PB~FCBK_FM~VIDEO_RT~CPM_PD~CAUSAS_CAMERA_ESCONDIDA_LONGO06-1-LEG_1X1_TG~BHVDEM_TS~NONE_SZ~1X1_SOCIAL_MK~BR_IT~SOCIAL_VV~NONE</v>
      </c>
      <c r="D7" t="str">
        <f t="shared" si="3"/>
        <v>236902928</v>
      </c>
      <c r="E7" t="str">
        <f t="shared" si="4"/>
        <v>Dynamic Click</v>
      </c>
      <c r="F7" t="str">
        <f t="shared" si="5"/>
        <v>CH~SOCIAL_DT~MULTI_PB~FCBK_FM~VIDEO_RT~CPM_PD~CAUSAS_CAMERA_ESCONDIDA_LONGO06-1-LEG_1X1_TG~BHVDEM_TS~NONE_SZ~1X1_SOCIAL_MK~BR_IT~SOCIAL_VV~NONE</v>
      </c>
      <c r="G7" t="str">
        <f t="shared" si="6"/>
        <v>434283725</v>
      </c>
      <c r="H7" t="str">
        <f t="shared" si="7"/>
        <v>Tracking</v>
      </c>
      <c r="I7">
        <f t="shared" si="8"/>
        <v>0</v>
      </c>
      <c r="J7">
        <f t="shared" si="9"/>
        <v>35</v>
      </c>
      <c r="K7" s="4">
        <f t="shared" si="10"/>
        <v>3.5000000000000001E-3</v>
      </c>
      <c r="L7">
        <f t="shared" si="11"/>
        <v>0.02</v>
      </c>
      <c r="M7" s="4">
        <f t="shared" si="12"/>
        <v>0.1225</v>
      </c>
      <c r="N7" s="4">
        <f t="shared" si="13"/>
        <v>0.70000000000000007</v>
      </c>
    </row>
    <row r="8" spans="1:14">
      <c r="A8" t="str">
        <f t="shared" si="0"/>
        <v>MK~BR_CN~Causas_MN~CCV_YQ~19Q1Q4_CP~NONE_OB~LDS_PK~NONE</v>
      </c>
      <c r="B8" t="str">
        <f t="shared" si="1"/>
        <v>Facebook</v>
      </c>
      <c r="C8" t="str">
        <f t="shared" si="2"/>
        <v>CH~SOCIAL_DT~MULTI_PB~FCBK_FM~VINHETA_RT~CPM_PD~CAUSAS_TINTURA2_HORIZONTAL_VINHETA1_1X1_TG~BHVDEM_TS~NONE_SZ~1X1_SOCIAL_MK~BR_IT~SOCIAL_VV~NONE</v>
      </c>
      <c r="D8" t="str">
        <f t="shared" si="3"/>
        <v>233643527</v>
      </c>
      <c r="E8" t="str">
        <f t="shared" si="4"/>
        <v>Dynamic Click</v>
      </c>
      <c r="F8" t="str">
        <f t="shared" si="5"/>
        <v>CH~SOCIAL_DT~MULTI_PB~FCBK_FM~VINHETA_RT~CPM_PD~CAUSAS_TINTURA2_HORIZONTAL_VINHETA1_1X1_TG~BHVDEM_TS~NONE_SZ~1X1_SOCIAL_MK~BR_IT~SOCIAL_VV~NONE</v>
      </c>
      <c r="G8" t="str">
        <f t="shared" si="6"/>
        <v>431463286</v>
      </c>
      <c r="H8" t="str">
        <f t="shared" si="7"/>
        <v>Tracking</v>
      </c>
      <c r="I8">
        <f t="shared" si="8"/>
        <v>0</v>
      </c>
      <c r="J8">
        <f t="shared" si="9"/>
        <v>2</v>
      </c>
      <c r="K8" s="4">
        <f t="shared" si="10"/>
        <v>3.5000000000000001E-3</v>
      </c>
      <c r="L8">
        <f t="shared" si="11"/>
        <v>0.02</v>
      </c>
      <c r="M8" s="4">
        <f t="shared" si="12"/>
        <v>7.0000000000000001E-3</v>
      </c>
      <c r="N8" s="4">
        <f t="shared" si="13"/>
        <v>0.04</v>
      </c>
    </row>
    <row r="9" spans="1:14">
      <c r="A9" t="str">
        <f t="shared" si="0"/>
        <v>MK~BR_CN~Causas_MN~CCV_YQ~19Q1Q4_CP~NONE_OB~LDS_PK~NONE</v>
      </c>
      <c r="B9" t="str">
        <f t="shared" si="1"/>
        <v>Oath BR</v>
      </c>
      <c r="C9" t="str">
        <f t="shared" si="2"/>
        <v>CH~DISPLAY_DT~MULTI_PB~OAT_FM~BANNER_RT~CPM_PD~CAUSAS_CADASTRE_SE_TINTURA_300X600_300X600_TG~BHVDEM_TS~NONE_SZ~300X600_SOCIAL_MK~BR_IT~SOCIAL_VV~NONE</v>
      </c>
      <c r="D9" t="str">
        <f t="shared" si="3"/>
        <v>233318419</v>
      </c>
      <c r="E9" t="str">
        <f t="shared" si="4"/>
        <v>Standard</v>
      </c>
      <c r="F9" t="str">
        <f t="shared" si="5"/>
        <v>CH~DISPLAY_DT~MULTI_PB~OAT_FM~BANNER_RT~CPM_PD~CAUSAS_CADASTRE_SE_TINTURA_300X600_300X600_TG~BHVDEM_TS~NONE_SZ~300X600_SOCIAL_MK~BR_IT~SOCIAL_VV~NONE</v>
      </c>
      <c r="G9" t="str">
        <f t="shared" si="6"/>
        <v>430986785</v>
      </c>
      <c r="H9" t="str">
        <f t="shared" si="7"/>
        <v>Display</v>
      </c>
      <c r="I9">
        <f t="shared" si="8"/>
        <v>7</v>
      </c>
      <c r="J9">
        <f t="shared" si="9"/>
        <v>0</v>
      </c>
      <c r="K9" s="4">
        <f t="shared" si="10"/>
        <v>3.8199999999999998E-2</v>
      </c>
      <c r="L9">
        <f t="shared" si="11"/>
        <v>0.09</v>
      </c>
      <c r="M9" s="4">
        <f t="shared" si="12"/>
        <v>2.6739999999999999E-4</v>
      </c>
      <c r="N9" s="4">
        <f t="shared" si="13"/>
        <v>6.3000000000000003E-4</v>
      </c>
    </row>
    <row r="10" spans="1:14">
      <c r="A10" t="str">
        <f t="shared" si="0"/>
        <v>MK~BR_CN~Causas_MN~CCV_YQ~19Q1Q4_CP~NONE_OB~LDS_PK~NONE</v>
      </c>
      <c r="B10" t="str">
        <f t="shared" si="1"/>
        <v>Oath BR</v>
      </c>
      <c r="C10" t="str">
        <f t="shared" si="2"/>
        <v>CH~DISPLAY_DT~MULTI_PB~OAT_FM~NATIVE_AD_RT~CPM_PD~CAUSAS_ICONE_MAILAD_500X500_500X500_TG~BHVDEM_TS~NONE_SZ~500X500_SOCIAL_MK~BR_IT~SOCIAL_VV~NONE</v>
      </c>
      <c r="D10" t="str">
        <f t="shared" si="3"/>
        <v>233562480</v>
      </c>
      <c r="E10" t="str">
        <f t="shared" si="4"/>
        <v>Dynamic Click</v>
      </c>
      <c r="F10" t="str">
        <f t="shared" si="5"/>
        <v>CH~DISPLAY_DT~MULTI_PB~OAT_FM~NATIVE_AD_RT~CPM_PD~CAUSAS_ICONE_MAILAD_500X500_500X500_TG~BHVDEM_TS~NONE_SZ~500X500_SOCIAL_MK~BR_IT~SOCIAL_VV~NONE</v>
      </c>
      <c r="G10" t="str">
        <f t="shared" si="6"/>
        <v>431068495</v>
      </c>
      <c r="H10" t="str">
        <f t="shared" si="7"/>
        <v>Tracking</v>
      </c>
      <c r="I10">
        <f t="shared" si="8"/>
        <v>34</v>
      </c>
      <c r="J10">
        <f t="shared" si="9"/>
        <v>0</v>
      </c>
      <c r="K10" s="4">
        <f t="shared" si="10"/>
        <v>3.5000000000000001E-3</v>
      </c>
      <c r="L10">
        <f t="shared" si="11"/>
        <v>0.02</v>
      </c>
      <c r="M10" s="4">
        <f t="shared" si="12"/>
        <v>0</v>
      </c>
      <c r="N10" s="4">
        <f t="shared" si="13"/>
        <v>0</v>
      </c>
    </row>
    <row r="11" spans="1:14">
      <c r="A11" t="str">
        <f t="shared" si="0"/>
        <v>MK~BR_CN~Causas_MN~CCV_YQ~19Q1Q4_CP~NONE_OB~LDS_PK~NONE</v>
      </c>
      <c r="B11" t="str">
        <f t="shared" si="1"/>
        <v>Oath BR</v>
      </c>
      <c r="C11" t="str">
        <f t="shared" si="2"/>
        <v>CH~DISPLAY_DT~MULTI_PB~OAT_FM~NATIVE_AD_RT~CPM_PD~CAUSAS_ICONE_MAILAD_FUNDOAZUL_500X500_500X500_TG~BHVDEM_TS~NONE_SZ~500X500_SOCIAL_MK~BR_IT~SOCIAL_VV~NONE</v>
      </c>
      <c r="D11" t="str">
        <f t="shared" si="3"/>
        <v>240908859</v>
      </c>
      <c r="E11" t="str">
        <f t="shared" si="4"/>
        <v>Dynamic Click</v>
      </c>
      <c r="F11" t="str">
        <f t="shared" si="5"/>
        <v>CH~DISPLAY_DT~MULTI_PB~OAT_FM~NATIVE_AD_RT~CPM_PD~CAUSAS_ICONE_MAILAD_FUNDOAZUL_500X500_500X500_TG~BHVDEM_TS~NONE_SZ~500X500_SOCIAL_MK~BR_IT~SOCIAL_VV~NONE</v>
      </c>
      <c r="G11" t="str">
        <f t="shared" si="6"/>
        <v>437679667</v>
      </c>
      <c r="H11" t="str">
        <f t="shared" si="7"/>
        <v>Tracking</v>
      </c>
      <c r="I11">
        <f t="shared" si="8"/>
        <v>25</v>
      </c>
      <c r="J11">
        <f t="shared" si="9"/>
        <v>0</v>
      </c>
      <c r="K11" s="4">
        <f t="shared" si="10"/>
        <v>3.5000000000000001E-3</v>
      </c>
      <c r="L11">
        <f t="shared" si="11"/>
        <v>0.02</v>
      </c>
      <c r="M11" s="4">
        <f t="shared" si="12"/>
        <v>0</v>
      </c>
      <c r="N11" s="4">
        <f t="shared" si="13"/>
        <v>0</v>
      </c>
    </row>
    <row r="12" spans="1:14">
      <c r="A12" t="str">
        <f t="shared" si="0"/>
        <v>MK~BR_CN~Causas_MN~CCV_YQ~19Q1Q4_CP~NONE_OB~LDS_PK~NONE</v>
      </c>
      <c r="B12" t="str">
        <f t="shared" si="1"/>
        <v>Oath BR</v>
      </c>
      <c r="C12" t="str">
        <f t="shared" si="2"/>
        <v>CH~DISPLAY_DT~MULTI_PB~OAT_FM~NATIVE_AD_RT~CPM_PD~CAUSAS_ICONE_STANDARAD_1200X627_970X250_TG~BHVDEM_TS~NONE_SZ~970X250_SOCIAL_MK~BR_IT~SOCIAL_VV~NONE</v>
      </c>
      <c r="D12" t="str">
        <f t="shared" si="3"/>
        <v>233562474</v>
      </c>
      <c r="E12" t="str">
        <f t="shared" si="4"/>
        <v>Dynamic Click</v>
      </c>
      <c r="F12" t="str">
        <f t="shared" si="5"/>
        <v>CH~DISPLAY_DT~MULTI_PB~OAT_FM~NATIVE_AD_RT~CPM_PD~CAUSAS_ICONE_STANDARAD_1200X627_970X250_TG~BHVDEM_TS~NONE_SZ~970X250_SOCIAL_MK~BR_IT~SOCIAL_VV~NONE</v>
      </c>
      <c r="G12" t="str">
        <f t="shared" si="6"/>
        <v>431068489</v>
      </c>
      <c r="H12" t="str">
        <f t="shared" si="7"/>
        <v>Tracking</v>
      </c>
      <c r="I12">
        <f t="shared" si="8"/>
        <v>350</v>
      </c>
      <c r="J12">
        <f t="shared" si="9"/>
        <v>63</v>
      </c>
      <c r="K12" s="4">
        <f t="shared" si="10"/>
        <v>3.5000000000000001E-3</v>
      </c>
      <c r="L12">
        <f t="shared" si="11"/>
        <v>0.02</v>
      </c>
      <c r="M12" s="4">
        <f t="shared" si="12"/>
        <v>0.2205</v>
      </c>
      <c r="N12" s="4">
        <f t="shared" si="13"/>
        <v>1.26</v>
      </c>
    </row>
    <row r="13" spans="1:14">
      <c r="A13" t="str">
        <f t="shared" si="0"/>
        <v>MK~BR_CN~Causas_MN~CCV_YQ~19Q1Q4_CP~NONE_OB~LDS_PK~NONE</v>
      </c>
      <c r="B13" t="str">
        <f t="shared" si="1"/>
        <v>Oath BR</v>
      </c>
      <c r="C13" t="str">
        <f t="shared" si="2"/>
        <v>CH~DISPLAY_DT~MULTI_PB~OAT_FM~NATIVE_AD_RT~CPM_PD~CAUSAS_ICONE_STREAMAD_FUNDOAZUL_1200X627_1200X627_TG~BHVDEM_TS~NONE_SZ~1200X627_SOCIAL_MK~BR_IT~SOCIAL_VV~NONE</v>
      </c>
      <c r="D13" t="str">
        <f t="shared" si="3"/>
        <v>240606020</v>
      </c>
      <c r="E13" t="str">
        <f t="shared" si="4"/>
        <v>Dynamic Click</v>
      </c>
      <c r="F13" t="str">
        <f t="shared" si="5"/>
        <v>CH~DISPLAY_DT~MULTI_PB~OAT_FM~NATIVE_AD_RT~CPM_PD~CAUSAS_ICONE_STREAMAD_FUNDOAZUL_1200X627_1200X627_TG~BHVDEM_TS~NONE_SZ~1200X627_SOCIAL_MK~BR_IT~SOCIAL_VV~NONE</v>
      </c>
      <c r="G13" t="str">
        <f t="shared" si="6"/>
        <v>437679655</v>
      </c>
      <c r="H13" t="str">
        <f t="shared" si="7"/>
        <v>Tracking</v>
      </c>
      <c r="I13">
        <f t="shared" si="8"/>
        <v>66</v>
      </c>
      <c r="J13">
        <f t="shared" si="9"/>
        <v>14</v>
      </c>
      <c r="K13" s="4">
        <f t="shared" si="10"/>
        <v>3.5000000000000001E-3</v>
      </c>
      <c r="L13">
        <f t="shared" si="11"/>
        <v>0.02</v>
      </c>
      <c r="M13" s="4">
        <f t="shared" si="12"/>
        <v>4.9000000000000002E-2</v>
      </c>
      <c r="N13" s="4">
        <f t="shared" si="13"/>
        <v>0.28000000000000003</v>
      </c>
    </row>
    <row r="14" spans="1:14">
      <c r="A14" t="str">
        <f t="shared" si="0"/>
        <v>MK~BR_CN~Causas_MN~CCV_YQ~19Q1Q4_CP~NONE_OB~LDS_PK~NONE</v>
      </c>
      <c r="B14" t="str">
        <f t="shared" si="1"/>
        <v>Oath BR</v>
      </c>
      <c r="C14" t="str">
        <f t="shared" si="2"/>
        <v>CH~DISPLAY_DT~MULTI_PB~OAT_FM~NATIVE_AD_RT~CPM_PD~CAUSAS_TINTURA_MAILAD_500X500_500X500_TG~BHVDEM_TS~NONE_SZ~500X500_SOCIAL_MK~BR_IT~SOCIAL_VV~NONE</v>
      </c>
      <c r="D14" t="str">
        <f t="shared" si="3"/>
        <v>233562477</v>
      </c>
      <c r="E14" t="str">
        <f t="shared" si="4"/>
        <v>Dynamic Click</v>
      </c>
      <c r="F14" t="str">
        <f t="shared" si="5"/>
        <v>CH~DISPLAY_DT~MULTI_PB~OAT_FM~NATIVE_AD_RT~CPM_PD~CAUSAS_TINTURA_MAILAD_500X500_500X500_TG~BHVDEM_TS~NONE_SZ~500X500_SOCIAL_MK~BR_IT~SOCIAL_VV~NONE</v>
      </c>
      <c r="G14" t="str">
        <f t="shared" si="6"/>
        <v>431068492</v>
      </c>
      <c r="H14" t="str">
        <f t="shared" si="7"/>
        <v>Tracking</v>
      </c>
      <c r="I14">
        <f t="shared" si="8"/>
        <v>4</v>
      </c>
      <c r="J14">
        <f t="shared" si="9"/>
        <v>0</v>
      </c>
      <c r="K14" s="4">
        <f t="shared" si="10"/>
        <v>3.5000000000000001E-3</v>
      </c>
      <c r="L14">
        <f t="shared" si="11"/>
        <v>0.02</v>
      </c>
      <c r="M14" s="4">
        <f t="shared" si="12"/>
        <v>0</v>
      </c>
      <c r="N14" s="4">
        <f t="shared" si="13"/>
        <v>0</v>
      </c>
    </row>
    <row r="15" spans="1:14">
      <c r="A15" t="str">
        <f t="shared" si="0"/>
        <v>MK~BR_CN~Causas_MN~CCV_YQ~19Q1Q4_CP~NONE_OB~LDS_PK~NONE</v>
      </c>
      <c r="B15" t="str">
        <f t="shared" si="1"/>
        <v>Oath BR</v>
      </c>
      <c r="C15" t="str">
        <f t="shared" si="2"/>
        <v>CH~DISPLAY_DT~MULTI_PB~OAT_FM~NATIVE_AD_RT~CPM_PD~CAUSAS_TINTURA_STANDARAD_1200X627_1200X627_TG~BHVDEM_TS~NONE_SZ~1200X627_SOCIAL_MK~BR_IT~SOCIAL_VV~NONE</v>
      </c>
      <c r="D15" t="str">
        <f t="shared" si="3"/>
        <v>233562483</v>
      </c>
      <c r="E15" t="str">
        <f t="shared" si="4"/>
        <v>Dynamic Click</v>
      </c>
      <c r="F15" t="str">
        <f t="shared" si="5"/>
        <v>CH~DISPLAY_DT~MULTI_PB~OAT_FM~NATIVE_AD_RT~CPM_PD~CAUSAS_TINTURA_STANDARAD_1200X627_1200X627_TG~BHVDEM_TS~NONE_SZ~1200X627_SOCIAL_MK~BR_IT~SOCIAL_VV~NONE</v>
      </c>
      <c r="G15" t="str">
        <f t="shared" si="6"/>
        <v>431068498</v>
      </c>
      <c r="H15" t="str">
        <f t="shared" si="7"/>
        <v>Tracking</v>
      </c>
      <c r="I15">
        <f t="shared" si="8"/>
        <v>73</v>
      </c>
      <c r="J15">
        <f t="shared" si="9"/>
        <v>49</v>
      </c>
      <c r="K15" s="4">
        <f t="shared" si="10"/>
        <v>3.5000000000000001E-3</v>
      </c>
      <c r="L15">
        <f t="shared" si="11"/>
        <v>0.02</v>
      </c>
      <c r="M15" s="4">
        <f t="shared" si="12"/>
        <v>0.17150000000000001</v>
      </c>
      <c r="N15" s="4">
        <f t="shared" si="13"/>
        <v>0.98</v>
      </c>
    </row>
    <row r="16" spans="1:14">
      <c r="A16" t="str">
        <f t="shared" si="0"/>
        <v>MK~BR_CN~Causas_MN~CCV_YQ~19Q1Q4_CP~NONE_OB~LDS_PK~NONE</v>
      </c>
      <c r="B16" t="str">
        <f t="shared" si="1"/>
        <v>Shopback Brazil 1</v>
      </c>
      <c r="C16" t="str">
        <f t="shared" si="2"/>
        <v>CH~DISPLAY_DT~MULTI_PB~SPB_FM~POPUP_RT~CPL_PD~CAUSAS_SHOPBACK_1X1_TG~BHVDEM_TS~NONE_SZ~1X1_SOCIAL_MK~BR_IT~SOCIAL_VV~NONE</v>
      </c>
      <c r="D16" t="str">
        <f t="shared" si="3"/>
        <v>233444519</v>
      </c>
      <c r="E16" t="str">
        <f t="shared" si="4"/>
        <v>Dynamic Click</v>
      </c>
      <c r="F16" t="str">
        <f t="shared" si="5"/>
        <v>CH~DISPLAY_DT~MULTI_PB~SPB_FM~POPUP_RT~CPL_PD~CAUSAS_SHOPBACK_1X1_TG~BHVDEM_TS~NONE_SZ~1X1_SOCIAL_MK~BR_IT~SOCIAL_VV~NONE</v>
      </c>
      <c r="G16" t="str">
        <f t="shared" si="6"/>
        <v>431191476</v>
      </c>
      <c r="H16" t="str">
        <f t="shared" si="7"/>
        <v>Tracking</v>
      </c>
      <c r="I16">
        <f t="shared" si="8"/>
        <v>0</v>
      </c>
      <c r="J16">
        <f t="shared" si="9"/>
        <v>10610</v>
      </c>
      <c r="K16" s="4">
        <f t="shared" si="10"/>
        <v>3.5000000000000001E-3</v>
      </c>
      <c r="L16">
        <f t="shared" si="11"/>
        <v>0.02</v>
      </c>
      <c r="M16" s="4">
        <f t="shared" si="12"/>
        <v>37.134999999999998</v>
      </c>
      <c r="N16" s="4">
        <f t="shared" si="13"/>
        <v>212.20000000000002</v>
      </c>
    </row>
    <row r="17" spans="1:14">
      <c r="A17" t="str">
        <f t="shared" si="0"/>
        <v>MK~BR_CN~FWWC_MN~CCV_YQ~19Q1Q4_CP~NONE_OB~LDS_PK~NONE</v>
      </c>
      <c r="B17" t="str">
        <f t="shared" si="1"/>
        <v>Facebook</v>
      </c>
      <c r="C17" t="str">
        <f t="shared" si="2"/>
        <v>CH~SOCIAL_DT~MULTI_PB~FCBK_FM~CARROSSEL_RT~CPM_PD~FWWC_CARROSSEL_AWARENESS_CURIOSIDADES_1X1_TG~BHVDEM_TS~NONE_SZ~1X1_SOCIAL_MK~BR_IT~SOCIAL_VV~NONE</v>
      </c>
      <c r="D17" t="str">
        <f t="shared" si="3"/>
        <v>241795829</v>
      </c>
      <c r="E17" t="str">
        <f t="shared" si="4"/>
        <v>Dynamic Click</v>
      </c>
      <c r="F17" t="str">
        <f t="shared" si="5"/>
        <v>CH~SOCIAL_DT~MULTI_PB~FCBK_FM~CARROSSEL_RT~CPM_PD~FWWC_CARROSSEL_AWARENESS_CURIOSIDADES_1X1_TG~BHVDEM_TS~NONE_SZ~1X1_SOCIAL_MK~BR_IT~SOCIAL_VV~NONE</v>
      </c>
      <c r="G17" t="str">
        <f t="shared" si="6"/>
        <v>438749003</v>
      </c>
      <c r="H17" t="str">
        <f t="shared" si="7"/>
        <v>Tracking</v>
      </c>
      <c r="I17">
        <f t="shared" si="8"/>
        <v>0</v>
      </c>
      <c r="J17">
        <f t="shared" si="9"/>
        <v>5389</v>
      </c>
      <c r="K17" s="4">
        <f t="shared" si="10"/>
        <v>3.5000000000000001E-3</v>
      </c>
      <c r="L17">
        <f t="shared" si="11"/>
        <v>0.02</v>
      </c>
      <c r="M17" s="4">
        <f t="shared" si="12"/>
        <v>18.861499999999999</v>
      </c>
      <c r="N17" s="4">
        <f t="shared" si="13"/>
        <v>107.78</v>
      </c>
    </row>
    <row r="18" spans="1:14">
      <c r="A18" t="str">
        <f t="shared" si="0"/>
        <v>MK~BR_CN~FWWC_MN~CCV_YQ~19Q1Q4_CP~NONE_OB~LDS_PK~NONE</v>
      </c>
      <c r="B18" t="str">
        <f t="shared" si="1"/>
        <v>Facebook</v>
      </c>
      <c r="C18" t="str">
        <f t="shared" si="2"/>
        <v>CH~SOCIAL_DT~MULTI_PB~FCBK_FM~CARROSSEL_RT~CPM_PD~FWWC_CARROSSEL_PERFORMANCE_PASSOAPASSO_1X1_TG~BHVDEM_TS~NONE_SZ~1X1_SOCIAL_MK~BR_IT~SOCIAL_VV~NONE</v>
      </c>
      <c r="D18" t="str">
        <f t="shared" si="3"/>
        <v>241898512</v>
      </c>
      <c r="E18" t="str">
        <f t="shared" si="4"/>
        <v>Dynamic Click</v>
      </c>
      <c r="F18" t="str">
        <f t="shared" si="5"/>
        <v>CH~SOCIAL_DT~MULTI_PB~FCBK_FM~CARROSSEL_RT~CPM_PD~FWWC_CARROSSEL_PERFORMANCE_PASSOAPASSO_1X1_TG~BHVDEM_TS~NONE_SZ~1X1_SOCIAL_MK~BR_IT~SOCIAL_VV~NONE</v>
      </c>
      <c r="G18" t="str">
        <f t="shared" si="6"/>
        <v>438745621</v>
      </c>
      <c r="H18" t="str">
        <f t="shared" si="7"/>
        <v>Tracking</v>
      </c>
      <c r="I18">
        <f t="shared" si="8"/>
        <v>0</v>
      </c>
      <c r="J18">
        <f t="shared" si="9"/>
        <v>1026</v>
      </c>
      <c r="K18" s="4">
        <f t="shared" si="10"/>
        <v>3.5000000000000001E-3</v>
      </c>
      <c r="L18">
        <f t="shared" si="11"/>
        <v>0.02</v>
      </c>
      <c r="M18" s="4">
        <f t="shared" si="12"/>
        <v>3.5910000000000002</v>
      </c>
      <c r="N18" s="4">
        <f t="shared" si="13"/>
        <v>20.52</v>
      </c>
    </row>
    <row r="19" spans="1:14">
      <c r="A19" t="str">
        <f t="shared" si="0"/>
        <v>MK~BR_CN~FWWC_MN~CCV_YQ~19Q1Q4_CP~NONE_OB~LDS_PK~NONE</v>
      </c>
      <c r="B19" t="str">
        <f t="shared" si="1"/>
        <v>Facebook</v>
      </c>
      <c r="C19" t="str">
        <f t="shared" si="2"/>
        <v>CH~SOCIAL_DT~MULTI_PB~FCBK_FM~LINKAD_RT~CPM_PD~FWWC_LINKAD_PERFORMANCE_PROMOCAO_1X1_TG~BHVDEM_TS~NONE_SZ~1X1_SOCIAL_MK~BR_IT~SOCIAL_VV~NONE</v>
      </c>
      <c r="D19" t="str">
        <f t="shared" si="3"/>
        <v>241798883</v>
      </c>
      <c r="E19" t="str">
        <f t="shared" si="4"/>
        <v>Dynamic Click</v>
      </c>
      <c r="F19" t="str">
        <f t="shared" si="5"/>
        <v>CH~SOCIAL_DT~MULTI_PB~FCBK_FM~LINKAD_RT~CPM_PD~FWWC_LINKAD_PERFORMANCE_PROMOCAO_1X1_TG~BHVDEM_TS~NONE_SZ~1X1_SOCIAL_MK~BR_IT~SOCIAL_VV~NONE</v>
      </c>
      <c r="G19" t="str">
        <f t="shared" si="6"/>
        <v>438753775</v>
      </c>
      <c r="H19" t="str">
        <f t="shared" si="7"/>
        <v>Tracking</v>
      </c>
      <c r="I19">
        <f t="shared" si="8"/>
        <v>0</v>
      </c>
      <c r="J19">
        <f t="shared" si="9"/>
        <v>2609</v>
      </c>
      <c r="K19" s="4">
        <f t="shared" si="10"/>
        <v>3.5000000000000001E-3</v>
      </c>
      <c r="L19">
        <f t="shared" si="11"/>
        <v>0.02</v>
      </c>
      <c r="M19" s="4">
        <f t="shared" si="12"/>
        <v>9.1315000000000008</v>
      </c>
      <c r="N19" s="4">
        <f t="shared" si="13"/>
        <v>52.18</v>
      </c>
    </row>
    <row r="20" spans="1:14">
      <c r="A20" t="str">
        <f t="shared" si="0"/>
        <v>MK~BR_CN~FWWC_MN~CCV_YQ~19Q1Q4_CP~NONE_OB~LDS_PK~NONE</v>
      </c>
      <c r="B20" t="str">
        <f t="shared" si="1"/>
        <v>Facebook</v>
      </c>
      <c r="C20" t="str">
        <f t="shared" si="2"/>
        <v>CH~SOCIAL_DT~MULTI_PB~FCBK_FM~VERTICAL_POST_RT~CPM_PD~FWWC_VIDEO_PERFORMANCE_PROMOCAO_VERTICAL_1X1_TG~BHVDEM_TS~NONE_SZ~1X1_SOCIAL_MK~BR_IT~SOCIAL_VV~NONE</v>
      </c>
      <c r="D20" t="str">
        <f t="shared" si="3"/>
        <v>242690427</v>
      </c>
      <c r="E20" t="str">
        <f t="shared" si="4"/>
        <v>Dynamic Click</v>
      </c>
      <c r="F20" t="str">
        <f t="shared" si="5"/>
        <v>CH~SOCIAL_DT~MULTI_PB~FCBK_FM~VERTICAL_POST_RT~CPM_PD~FWWC_VIDEO_PERFORMANCE_PROMOCAO_VERTICAL_1X1_TG~BHVDEM_TS~NONE_SZ~1X1_SOCIAL_MK~BR_IT~SOCIAL_VV~NONE</v>
      </c>
      <c r="G20" t="str">
        <f t="shared" si="6"/>
        <v>439192253</v>
      </c>
      <c r="H20" t="str">
        <f t="shared" si="7"/>
        <v>Tracking</v>
      </c>
      <c r="I20">
        <f t="shared" si="8"/>
        <v>0</v>
      </c>
      <c r="J20">
        <f t="shared" si="9"/>
        <v>12086</v>
      </c>
      <c r="K20" s="4">
        <f t="shared" si="10"/>
        <v>3.5000000000000001E-3</v>
      </c>
      <c r="L20">
        <f t="shared" si="11"/>
        <v>0.02</v>
      </c>
      <c r="M20" s="4">
        <f t="shared" si="12"/>
        <v>42.301000000000002</v>
      </c>
      <c r="N20" s="4">
        <f t="shared" si="13"/>
        <v>241.72</v>
      </c>
    </row>
    <row r="21" spans="1:14">
      <c r="A21" t="str">
        <f t="shared" si="0"/>
        <v>MK~BR_CN~FWWC_MN~CCV_YQ~19Q1Q4_CP~NONE_OB~LDS_PK~NONE</v>
      </c>
      <c r="B21" t="str">
        <f t="shared" si="1"/>
        <v>Facebook</v>
      </c>
      <c r="C21" t="str">
        <f t="shared" si="2"/>
        <v>CH~SOCIAL_DT~MULTI_PB~FCBK_FM~VIDEO_RT~CPM_PD~FWWC_VIDEO_PERFORMANCE_PROMOCAO_1X1_TG~BHVDEM_TS~NONE_SZ~1X1_SOCIAL_MK~BR_IT~SOCIAL_VV~NONE</v>
      </c>
      <c r="D21" t="str">
        <f t="shared" si="3"/>
        <v>241921486</v>
      </c>
      <c r="E21" t="str">
        <f t="shared" si="4"/>
        <v>Dynamic Click</v>
      </c>
      <c r="F21" t="str">
        <f t="shared" si="5"/>
        <v>CH~SOCIAL_DT~MULTI_PB~FCBK_FM~VIDEO_RT~CPM_PD~FWWC_VIDEO_PERFORMANCE_PROMOCAO_1X1_TG~BHVDEM_TS~NONE_SZ~1X1_SOCIAL_MK~BR_IT~SOCIAL_VV~NONE</v>
      </c>
      <c r="G21" t="str">
        <f t="shared" si="6"/>
        <v>438758873</v>
      </c>
      <c r="H21" t="str">
        <f t="shared" si="7"/>
        <v>Tracking</v>
      </c>
      <c r="I21">
        <f t="shared" si="8"/>
        <v>0</v>
      </c>
      <c r="J21">
        <f t="shared" si="9"/>
        <v>4557</v>
      </c>
      <c r="K21" s="4">
        <f t="shared" si="10"/>
        <v>3.5000000000000001E-3</v>
      </c>
      <c r="L21">
        <f t="shared" si="11"/>
        <v>0.02</v>
      </c>
      <c r="M21" s="4">
        <f t="shared" si="12"/>
        <v>15.9495</v>
      </c>
      <c r="N21" s="4">
        <f t="shared" si="13"/>
        <v>91.14</v>
      </c>
    </row>
    <row r="22" spans="1:14">
      <c r="A22" t="str">
        <f t="shared" si="0"/>
        <v>MK~BR_CN~FWWC_MN~CCV_YQ~19Q1Q4_CP~NONE_OB~LDS_PK~NONE</v>
      </c>
      <c r="B22" t="str">
        <f t="shared" si="1"/>
        <v>Google Brasil</v>
      </c>
      <c r="C22" t="str">
        <f t="shared" si="2"/>
        <v>CH~DISPLAY_DT~MULTI_PB~GDBM_FM~BANNER_RT~CPM_PD~FWWC_BANNER_PERFORMANCE_PARTICIPE_160X600_160X600_TG~BHVDEM_TS~NONE_SZ~160X600_DISPLAY_MK~BR_IT~DISPLAY_VV~NONE</v>
      </c>
      <c r="D22" t="str">
        <f t="shared" si="3"/>
        <v>242384957</v>
      </c>
      <c r="E22" t="str">
        <f t="shared" si="4"/>
        <v>Standard</v>
      </c>
      <c r="F22" t="str">
        <f t="shared" si="5"/>
        <v>CH~DISPLAY_DT~MULTI_PB~GDBM_FM~BANNER_RT~CPM_PD~FWWC_BANNER_PERFORMANCE_PARTICIPE_160X600_160X600_TG~BHVDEM_TS~NONE_SZ~160X600_DISPLAY_MK~BR_IT~DISPLAY_VV~NONE</v>
      </c>
      <c r="G22" t="str">
        <f t="shared" si="6"/>
        <v>439120404</v>
      </c>
      <c r="H22" t="str">
        <f t="shared" si="7"/>
        <v>Display</v>
      </c>
      <c r="I22">
        <f t="shared" si="8"/>
        <v>864973</v>
      </c>
      <c r="J22">
        <f t="shared" si="9"/>
        <v>1238</v>
      </c>
      <c r="K22" s="4">
        <f t="shared" si="10"/>
        <v>3.8199999999999998E-2</v>
      </c>
      <c r="L22">
        <f t="shared" si="11"/>
        <v>0.09</v>
      </c>
      <c r="M22" s="4">
        <f t="shared" si="12"/>
        <v>33.041968599999997</v>
      </c>
      <c r="N22" s="4">
        <f t="shared" si="13"/>
        <v>77.84756999999999</v>
      </c>
    </row>
    <row r="23" spans="1:14">
      <c r="A23" t="str">
        <f t="shared" si="0"/>
        <v>MK~BR_CN~FWWC_MN~CCV_YQ~19Q1Q4_CP~NONE_OB~LDS_PK~NONE</v>
      </c>
      <c r="B23" t="str">
        <f t="shared" si="1"/>
        <v>Google Brasil</v>
      </c>
      <c r="C23" t="str">
        <f t="shared" si="2"/>
        <v>CH~DISPLAY_DT~MULTI_PB~GDBM_FM~BANNER_RT~CPM_PD~FWWC_BANNER_PERFORMANCE_PARTICIPE_300X250_300X250_TG~BHVDEM_TS~NONE_SZ~300X250_DISPLAY_MK~BR_IT~DISPLAY_VV~NONE</v>
      </c>
      <c r="D23" t="str">
        <f t="shared" si="3"/>
        <v>242384942</v>
      </c>
      <c r="E23" t="str">
        <f t="shared" si="4"/>
        <v>Standard</v>
      </c>
      <c r="F23" t="str">
        <f t="shared" si="5"/>
        <v>CH~DISPLAY_DT~MULTI_PB~GDBM_FM~BANNER_RT~CPM_PD~FWWC_BANNER_PERFORMANCE_PARTICIPE_300X250_300X250_TG~BHVDEM_TS~NONE_SZ~300X250_DISPLAY_MK~BR_IT~DISPLAY_VV~NONE</v>
      </c>
      <c r="G23" t="str">
        <f t="shared" si="6"/>
        <v>439120389</v>
      </c>
      <c r="H23" t="str">
        <f t="shared" si="7"/>
        <v>Display</v>
      </c>
      <c r="I23">
        <f t="shared" si="8"/>
        <v>23934755</v>
      </c>
      <c r="J23">
        <f t="shared" si="9"/>
        <v>109810</v>
      </c>
      <c r="K23" s="4">
        <f t="shared" si="10"/>
        <v>3.8199999999999998E-2</v>
      </c>
      <c r="L23">
        <f t="shared" si="11"/>
        <v>0.09</v>
      </c>
      <c r="M23" s="4">
        <f t="shared" si="12"/>
        <v>914.30764099999999</v>
      </c>
      <c r="N23" s="4">
        <f t="shared" si="13"/>
        <v>2154.1279499999996</v>
      </c>
    </row>
    <row r="24" spans="1:14">
      <c r="A24" t="str">
        <f t="shared" si="0"/>
        <v>MK~BR_CN~FWWC_MN~CCV_YQ~19Q1Q4_CP~NONE_OB~LDS_PK~NONE</v>
      </c>
      <c r="B24" t="str">
        <f t="shared" si="1"/>
        <v>Google Brasil</v>
      </c>
      <c r="C24" t="str">
        <f t="shared" si="2"/>
        <v>CH~DISPLAY_DT~MULTI_PB~GDBM_FM~BANNER_RT~CPM_PD~FWWC_BANNER_PERFORMANCE_PARTICIPE_300X50_300X50_TG~BHVDEM_TS~NONE_SZ~300X50_DISPLAY_MK~BR_IT~DISPLAY_VV~NONE</v>
      </c>
      <c r="D24" t="str">
        <f t="shared" si="3"/>
        <v>242384945</v>
      </c>
      <c r="E24" t="str">
        <f t="shared" si="4"/>
        <v>Standard</v>
      </c>
      <c r="F24" t="str">
        <f t="shared" si="5"/>
        <v>CH~DISPLAY_DT~MULTI_PB~GDBM_FM~BANNER_RT~CPM_PD~FWWC_BANNER_PERFORMANCE_PARTICIPE_300X50_300X50_TG~BHVDEM_TS~NONE_SZ~300X50_DISPLAY_MK~BR_IT~DISPLAY_VV~NONE</v>
      </c>
      <c r="G24" t="str">
        <f t="shared" si="6"/>
        <v>439120392</v>
      </c>
      <c r="H24" t="str">
        <f t="shared" si="7"/>
        <v>Display</v>
      </c>
      <c r="I24">
        <f t="shared" si="8"/>
        <v>19554254</v>
      </c>
      <c r="J24">
        <f t="shared" si="9"/>
        <v>31982</v>
      </c>
      <c r="K24" s="4">
        <f t="shared" si="10"/>
        <v>3.8199999999999998E-2</v>
      </c>
      <c r="L24">
        <f t="shared" si="11"/>
        <v>0.09</v>
      </c>
      <c r="M24" s="4">
        <f t="shared" si="12"/>
        <v>746.97250279999992</v>
      </c>
      <c r="N24" s="4">
        <f t="shared" si="13"/>
        <v>1759.8828599999999</v>
      </c>
    </row>
    <row r="25" spans="1:14">
      <c r="A25" t="str">
        <f t="shared" si="0"/>
        <v>MK~BR_CN~FWWC_MN~CCV_YQ~19Q1Q4_CP~NONE_OB~LDS_PK~NONE</v>
      </c>
      <c r="B25" t="str">
        <f t="shared" si="1"/>
        <v>Google Brasil</v>
      </c>
      <c r="C25" t="str">
        <f t="shared" si="2"/>
        <v>CH~DISPLAY_DT~MULTI_PB~GDBM_FM~BANNER_RT~CPM_PD~FWWC_BANNER_PERFORMANCE_PARTICIPE_300X600_300X600_TG~BHVDEM_TS~NONE_SZ~300X600_DISPLAY_MK~BR_IT~DISPLAY_VV~NONE</v>
      </c>
      <c r="D25" t="str">
        <f t="shared" si="3"/>
        <v>242384954</v>
      </c>
      <c r="E25" t="str">
        <f t="shared" si="4"/>
        <v>Standard</v>
      </c>
      <c r="F25" t="str">
        <f t="shared" si="5"/>
        <v>CH~DISPLAY_DT~MULTI_PB~GDBM_FM~BANNER_RT~CPM_PD~FWWC_BANNER_PERFORMANCE_PARTICIPE_300X600_300X600_TG~BHVDEM_TS~NONE_SZ~300X600_DISPLAY_MK~BR_IT~DISPLAY_VV~NONE</v>
      </c>
      <c r="G25" t="str">
        <f t="shared" si="6"/>
        <v>439120401</v>
      </c>
      <c r="H25" t="str">
        <f t="shared" si="7"/>
        <v>Display</v>
      </c>
      <c r="I25">
        <f t="shared" si="8"/>
        <v>2554601</v>
      </c>
      <c r="J25">
        <f t="shared" si="9"/>
        <v>5294</v>
      </c>
      <c r="K25" s="4">
        <f t="shared" si="10"/>
        <v>3.8199999999999998E-2</v>
      </c>
      <c r="L25">
        <f t="shared" si="11"/>
        <v>0.09</v>
      </c>
      <c r="M25" s="4">
        <f t="shared" si="12"/>
        <v>97.585758200000001</v>
      </c>
      <c r="N25" s="4">
        <f t="shared" si="13"/>
        <v>229.91408999999999</v>
      </c>
    </row>
    <row r="26" spans="1:14">
      <c r="A26" t="str">
        <f t="shared" si="0"/>
        <v>MK~BR_CN~FWWC_MN~CCV_YQ~19Q1Q4_CP~NONE_OB~LDS_PK~NONE</v>
      </c>
      <c r="B26" t="str">
        <f t="shared" si="1"/>
        <v>Google Brasil</v>
      </c>
      <c r="C26" t="str">
        <f t="shared" si="2"/>
        <v>CH~DISPLAY_DT~MULTI_PB~GDBM_FM~BANNER_RT~CPM_PD~FWWC_BANNER_PERFORMANCE_PARTICIPE_728X90_728X90_TG~BHVDEM_TS~NONE_SZ~728X90_DISPLAY_MK~BR_IT~DISPLAY_VV~NONE</v>
      </c>
      <c r="D26" t="str">
        <f t="shared" si="3"/>
        <v>242384951</v>
      </c>
      <c r="E26" t="str">
        <f t="shared" si="4"/>
        <v>Standard</v>
      </c>
      <c r="F26" t="str">
        <f t="shared" si="5"/>
        <v>CH~DISPLAY_DT~MULTI_PB~GDBM_FM~BANNER_RT~CPM_PD~FWWC_BANNER_PERFORMANCE_PARTICIPE_728X90_728X90_TG~BHVDEM_TS~NONE_SZ~728X90_DISPLAY_MK~BR_IT~DISPLAY_VV~NONE</v>
      </c>
      <c r="G26" t="str">
        <f t="shared" si="6"/>
        <v>439120398</v>
      </c>
      <c r="H26" t="str">
        <f t="shared" si="7"/>
        <v>Display</v>
      </c>
      <c r="I26">
        <f t="shared" si="8"/>
        <v>1908682</v>
      </c>
      <c r="J26">
        <f t="shared" si="9"/>
        <v>8234</v>
      </c>
      <c r="K26" s="4">
        <f t="shared" si="10"/>
        <v>3.8199999999999998E-2</v>
      </c>
      <c r="L26">
        <f t="shared" si="11"/>
        <v>0.09</v>
      </c>
      <c r="M26" s="4">
        <f t="shared" si="12"/>
        <v>72.911652399999994</v>
      </c>
      <c r="N26" s="4">
        <f t="shared" si="13"/>
        <v>171.78138000000001</v>
      </c>
    </row>
    <row r="27" spans="1:14">
      <c r="A27" t="str">
        <f t="shared" si="0"/>
        <v>MK~BR_CN~FWWC_MN~CCV_YQ~19Q1Q4_CP~NONE_OB~LDS_PK~NONE</v>
      </c>
      <c r="B27" t="str">
        <f t="shared" si="1"/>
        <v>Google Brasil</v>
      </c>
      <c r="C27" t="str">
        <f t="shared" si="2"/>
        <v>CH~DISPLAY_DT~MULTI_PB~GDBM_FM~BANNER_RT~CPM_PD~FWWC_BANNER_PERFORMANCE_PARTICIPE_970X90_970X90_TG~BHVDEM_TS~NONE_SZ~970X90_DISPLAY_MK~BR_IT~DISPLAY_VV~NONE</v>
      </c>
      <c r="D27" t="str">
        <f t="shared" si="3"/>
        <v>242384948</v>
      </c>
      <c r="E27" t="str">
        <f t="shared" si="4"/>
        <v>Standard</v>
      </c>
      <c r="F27" t="str">
        <f t="shared" si="5"/>
        <v>CH~DISPLAY_DT~MULTI_PB~GDBM_FM~BANNER_RT~CPM_PD~FWWC_BANNER_PERFORMANCE_PARTICIPE_970X90_970X90_TG~BHVDEM_TS~NONE_SZ~970X90_DISPLAY_MK~BR_IT~DISPLAY_VV~NONE</v>
      </c>
      <c r="G27" t="str">
        <f t="shared" si="6"/>
        <v>439120395</v>
      </c>
      <c r="H27" t="str">
        <f t="shared" si="7"/>
        <v>Display</v>
      </c>
      <c r="I27">
        <f t="shared" si="8"/>
        <v>273319</v>
      </c>
      <c r="J27">
        <f t="shared" si="9"/>
        <v>111</v>
      </c>
      <c r="K27" s="4">
        <f t="shared" si="10"/>
        <v>3.8199999999999998E-2</v>
      </c>
      <c r="L27">
        <f t="shared" si="11"/>
        <v>0.09</v>
      </c>
      <c r="M27" s="4">
        <f t="shared" si="12"/>
        <v>10.4407858</v>
      </c>
      <c r="N27" s="4">
        <f t="shared" si="13"/>
        <v>24.598710000000001</v>
      </c>
    </row>
    <row r="28" spans="1:14">
      <c r="A28" t="str">
        <f t="shared" si="0"/>
        <v>MK~BR_CN~FWWC_MN~CCV_YQ~19Q1Q4_CP~NONE_OB~LDS_PK~NONE</v>
      </c>
      <c r="B28" t="str">
        <f t="shared" si="1"/>
        <v>Google Brasil</v>
      </c>
      <c r="C28" t="str">
        <f t="shared" si="2"/>
        <v>CH~SEARCH_DT~MULTI_PB~GADS_FM~SEARCH_RT~CPC_PD~FWWC_SEARCH_PERFOMANCE_PARTICIPE_CONCORRENTES_1X1_TG~BHVDEM_TS~NONE_SZ~1X1_SEARCH_MK~BR_IT~SEARCH_VV~NONE</v>
      </c>
      <c r="D28" t="str">
        <f t="shared" si="3"/>
        <v>242636501</v>
      </c>
      <c r="E28" t="str">
        <f t="shared" si="4"/>
        <v>Dynamic Click</v>
      </c>
      <c r="F28" t="str">
        <f t="shared" si="5"/>
        <v>CH~SEARCH_DT~MULTI_PB~GADS_FM~SEARCH_RT~CPC_PD~FWWC_SEARCH_PERFOMANCE_PARTICIPE_CONCORRENTES_1X1_TG~BHVDEM_TS~NONE_SZ~1X1_SEARCH_MK~BR_IT~SEARCH_VV~NONE</v>
      </c>
      <c r="G28" t="str">
        <f t="shared" si="6"/>
        <v>439357299</v>
      </c>
      <c r="H28" t="str">
        <f t="shared" si="7"/>
        <v>Tracking</v>
      </c>
      <c r="I28">
        <f t="shared" si="8"/>
        <v>0</v>
      </c>
      <c r="J28">
        <f t="shared" si="9"/>
        <v>2</v>
      </c>
      <c r="K28" s="4">
        <f t="shared" si="10"/>
        <v>3.5000000000000001E-3</v>
      </c>
      <c r="L28">
        <f t="shared" si="11"/>
        <v>0.02</v>
      </c>
      <c r="M28" s="4">
        <f t="shared" si="12"/>
        <v>7.0000000000000001E-3</v>
      </c>
      <c r="N28" s="4">
        <f t="shared" si="13"/>
        <v>0.04</v>
      </c>
    </row>
    <row r="29" spans="1:14">
      <c r="A29" t="str">
        <f t="shared" si="0"/>
        <v>MK~BR_CN~FWWC_MN~CCV_YQ~19Q1Q4_CP~NONE_OB~LDS_PK~NONE</v>
      </c>
      <c r="B29" t="str">
        <f t="shared" si="1"/>
        <v>Google Brasil</v>
      </c>
      <c r="C29" t="str">
        <f t="shared" si="2"/>
        <v>CH~SEARCH_DT~MULTI_PB~GADS_FM~SEARCH_RT~CPC_PD~FWWC_SEARCH_PERFOMANCE_PARTICIPE_COPAFEMININA_1X1_TG~BHVDEM_TS~NONE_SZ~1X1_SEARCH_MK~BR_IT~SEARCH_VV~NONE</v>
      </c>
      <c r="D29" t="str">
        <f t="shared" si="3"/>
        <v>242636513</v>
      </c>
      <c r="E29" t="str">
        <f t="shared" si="4"/>
        <v>Dynamic Click</v>
      </c>
      <c r="F29" t="str">
        <f t="shared" si="5"/>
        <v>CH~SEARCH_DT~MULTI_PB~GADS_FM~SEARCH_RT~CPC_PD~FWWC_SEARCH_PERFOMANCE_PARTICIPE_COPAFEMININA_1X1_TG~BHVDEM_TS~NONE_SZ~1X1_SEARCH_MK~BR_IT~SEARCH_VV~NONE</v>
      </c>
      <c r="G29" t="str">
        <f t="shared" si="6"/>
        <v>439357287</v>
      </c>
      <c r="H29" t="str">
        <f t="shared" si="7"/>
        <v>Tracking</v>
      </c>
      <c r="I29">
        <f t="shared" si="8"/>
        <v>0</v>
      </c>
      <c r="J29">
        <f t="shared" si="9"/>
        <v>2</v>
      </c>
      <c r="K29" s="4">
        <f t="shared" si="10"/>
        <v>3.5000000000000001E-3</v>
      </c>
      <c r="L29">
        <f t="shared" si="11"/>
        <v>0.02</v>
      </c>
      <c r="M29" s="4">
        <f t="shared" si="12"/>
        <v>7.0000000000000001E-3</v>
      </c>
      <c r="N29" s="4">
        <f t="shared" si="13"/>
        <v>0.04</v>
      </c>
    </row>
    <row r="30" spans="1:14">
      <c r="A30" t="str">
        <f t="shared" si="0"/>
        <v>MK~BR_CN~FWWC_MN~CCV_YQ~19Q1Q4_CP~NONE_OB~LDS_PK~NONE</v>
      </c>
      <c r="B30" t="str">
        <f t="shared" si="1"/>
        <v>Google Brasil</v>
      </c>
      <c r="C30" t="str">
        <f t="shared" si="2"/>
        <v>CH~SEARCH_DT~MULTI_PB~GADS_FM~SEARCH_RT~CPC_PD~FWWC_SEARCH_PERFOMANCE_PARTICIPE_MARCA_1X1_TG~BHVDEM_TS~NONE_SZ~1X1_SEARCH_MK~BR_IT~SEARCH_VV~NONE</v>
      </c>
      <c r="D30" t="str">
        <f t="shared" si="3"/>
        <v>242636495</v>
      </c>
      <c r="E30" t="str">
        <f t="shared" si="4"/>
        <v>Dynamic Click</v>
      </c>
      <c r="F30" t="str">
        <f t="shared" si="5"/>
        <v>CH~SEARCH_DT~MULTI_PB~GADS_FM~SEARCH_RT~CPC_PD~FWWC_SEARCH_PERFOMANCE_PARTICIPE_MARCA_1X1_TG~BHVDEM_TS~NONE_SZ~1X1_SEARCH_MK~BR_IT~SEARCH_VV~NONE</v>
      </c>
      <c r="G30" t="str">
        <f t="shared" si="6"/>
        <v>439467245</v>
      </c>
      <c r="H30" t="str">
        <f t="shared" si="7"/>
        <v>Tracking</v>
      </c>
      <c r="I30">
        <f t="shared" si="8"/>
        <v>0</v>
      </c>
      <c r="J30">
        <f t="shared" si="9"/>
        <v>1</v>
      </c>
      <c r="K30" s="4">
        <f t="shared" si="10"/>
        <v>3.5000000000000001E-3</v>
      </c>
      <c r="L30">
        <f t="shared" si="11"/>
        <v>0.02</v>
      </c>
      <c r="M30" s="4">
        <f t="shared" si="12"/>
        <v>3.5000000000000001E-3</v>
      </c>
      <c r="N30" s="4">
        <f t="shared" si="13"/>
        <v>0.02</v>
      </c>
    </row>
    <row r="31" spans="1:14">
      <c r="A31" t="str">
        <f t="shared" si="0"/>
        <v>MK~BR_CN~FWWC_MN~CCV_YQ~19Q1Q4_CP~NONE_OB~LDS_PK~NONE</v>
      </c>
      <c r="B31" t="str">
        <f t="shared" si="1"/>
        <v>Google Brasil</v>
      </c>
      <c r="C31" t="str">
        <f t="shared" si="2"/>
        <v>CH~SEARCH_DT~MULTI_PB~GADS_FM~SEARCH_RT~CPC_PD~FWWC_SEARCH_PERFOMANCE_PARTICIPE_PROMOÇÃO_1X1_TG~BHVDEM_TS~NONE_SZ~1X1_SEARCH_MK~BR_IT~SEARCH_VV~NONE</v>
      </c>
      <c r="D31" t="str">
        <f t="shared" si="3"/>
        <v>242636507</v>
      </c>
      <c r="E31" t="str">
        <f t="shared" si="4"/>
        <v>Dynamic Click</v>
      </c>
      <c r="F31" t="str">
        <f t="shared" si="5"/>
        <v>CH~SEARCH_DT~MULTI_PB~GADS_FM~SEARCH_RT~CPC_PD~FWWC_SEARCH_PERFOMANCE_PARTICIPE_PROMOÇÃO_1X1_TG~BHVDEM_TS~NONE_SZ~1X1_SEARCH_MK~BR_IT~SEARCH_VV~NONE</v>
      </c>
      <c r="G31" t="str">
        <f t="shared" si="6"/>
        <v>439462387</v>
      </c>
      <c r="H31" t="str">
        <f t="shared" si="7"/>
        <v>Tracking</v>
      </c>
      <c r="I31">
        <f t="shared" si="8"/>
        <v>0</v>
      </c>
      <c r="J31">
        <f t="shared" si="9"/>
        <v>3</v>
      </c>
      <c r="K31" s="4">
        <f t="shared" si="10"/>
        <v>3.5000000000000001E-3</v>
      </c>
      <c r="L31">
        <f t="shared" si="11"/>
        <v>0.02</v>
      </c>
      <c r="M31" s="4">
        <f t="shared" si="12"/>
        <v>1.0500000000000001E-2</v>
      </c>
      <c r="N31" s="4">
        <f t="shared" si="13"/>
        <v>0.06</v>
      </c>
    </row>
    <row r="32" spans="1:14">
      <c r="A32" t="str">
        <f t="shared" si="0"/>
        <v>MK~BR_CN~FWWC_MN~CCV_YQ~19Q1Q4_CP~NONE_OB~LDS_PK~NONE</v>
      </c>
      <c r="B32" t="str">
        <f t="shared" si="1"/>
        <v>Google Brasil</v>
      </c>
      <c r="C32" t="str">
        <f t="shared" si="2"/>
        <v>CH~SEARCH_DT~MULTI_PB~GADS_FM~SEARCH_RT~CPC_PD~FWWC_SEARCH_PERFOMANCE_SITELINK_CADASTRE-SEVAI_1X1_TG~BHVDEM_TS~NONE_SZ~1X1_SEARCH_MK~BR_IT~SEARCH_VV~NONE</v>
      </c>
      <c r="D32" t="str">
        <f t="shared" si="3"/>
        <v>242636492</v>
      </c>
      <c r="E32" t="str">
        <f t="shared" si="4"/>
        <v>Dynamic Click</v>
      </c>
      <c r="F32" t="str">
        <f t="shared" si="5"/>
        <v>CH~SEARCH_DT~MULTI_PB~GADS_FM~SEARCH_RT~CPC_PD~FWWC_SEARCH_PERFOMANCE_SITELINK_CADASTRE-SEVAI_1X1_TG~BHVDEM_TS~NONE_SZ~1X1_SEARCH_MK~BR_IT~SEARCH_VV~NONE</v>
      </c>
      <c r="G32" t="str">
        <f t="shared" si="6"/>
        <v>439449560</v>
      </c>
      <c r="H32" t="str">
        <f t="shared" si="7"/>
        <v>Tracking</v>
      </c>
      <c r="I32">
        <f t="shared" si="8"/>
        <v>0</v>
      </c>
      <c r="J32">
        <f t="shared" si="9"/>
        <v>2</v>
      </c>
      <c r="K32" s="4">
        <f t="shared" si="10"/>
        <v>3.5000000000000001E-3</v>
      </c>
      <c r="L32">
        <f t="shared" si="11"/>
        <v>0.02</v>
      </c>
      <c r="M32" s="4">
        <f t="shared" si="12"/>
        <v>7.0000000000000001E-3</v>
      </c>
      <c r="N32" s="4">
        <f t="shared" si="13"/>
        <v>0.04</v>
      </c>
    </row>
    <row r="33" spans="1:14">
      <c r="A33" t="str">
        <f t="shared" si="0"/>
        <v>MK~BR_CN~FWWC_MN~CCV_YQ~19Q1Q4_CP~NONE_OB~LDS_PK~NONE</v>
      </c>
      <c r="B33" t="str">
        <f t="shared" si="1"/>
        <v>Google Brasil</v>
      </c>
      <c r="C33" t="str">
        <f t="shared" si="2"/>
        <v>CH~SEARCH_DT~MULTI_PB~GADS_FM~SEARCH_RT~CPC_PD~FWWC_SEARCH_PERFOMANCE_SITELINK_CADASTRE-SE_1X1_TG~BHVDEM_TS~NONE_SZ~1X1_SEARCH_MK~BR_IT~SEARCH_VV~NONE</v>
      </c>
      <c r="D33" t="str">
        <f t="shared" si="3"/>
        <v>242636480</v>
      </c>
      <c r="E33" t="str">
        <f t="shared" si="4"/>
        <v>Dynamic Click</v>
      </c>
      <c r="F33" t="str">
        <f t="shared" si="5"/>
        <v>CH~SEARCH_DT~MULTI_PB~GADS_FM~SEARCH_RT~CPC_PD~FWWC_SEARCH_PERFOMANCE_SITELINK_CADASTRE-SE_1X1_TG~BHVDEM_TS~NONE_SZ~1X1_SEARCH_MK~BR_IT~SEARCH_VV~NONE</v>
      </c>
      <c r="G33" t="str">
        <f t="shared" si="6"/>
        <v>439449548</v>
      </c>
      <c r="H33" t="str">
        <f t="shared" si="7"/>
        <v>Tracking</v>
      </c>
      <c r="I33">
        <f t="shared" si="8"/>
        <v>0</v>
      </c>
      <c r="J33">
        <f t="shared" si="9"/>
        <v>4</v>
      </c>
      <c r="K33" s="4">
        <f t="shared" si="10"/>
        <v>3.5000000000000001E-3</v>
      </c>
      <c r="L33">
        <f t="shared" si="11"/>
        <v>0.02</v>
      </c>
      <c r="M33" s="4">
        <f t="shared" si="12"/>
        <v>1.4E-2</v>
      </c>
      <c r="N33" s="4">
        <f t="shared" si="13"/>
        <v>0.08</v>
      </c>
    </row>
    <row r="34" spans="1:14">
      <c r="A34" t="str">
        <f t="shared" si="0"/>
        <v>MK~BR_CN~FWWC_MN~CCV_YQ~19Q1Q4_CP~NONE_OB~LDS_PK~NONE</v>
      </c>
      <c r="B34" t="str">
        <f t="shared" si="1"/>
        <v>Google Brasil</v>
      </c>
      <c r="C34" t="str">
        <f t="shared" si="2"/>
        <v>CH~SEARCH_DT~MULTI_PB~GADS_FM~SEARCH_RT~CPC_PD~FWWC_SEARCH_PERFOMANCE_SITELINK_COMOPARTICIPAR_1X1_TG~BHVDEM_TS~NONE_SZ~1X1_SEARCH_MK~BR_IT~SEARCH_VV~NONE</v>
      </c>
      <c r="D34" t="str">
        <f t="shared" si="3"/>
        <v>242636489</v>
      </c>
      <c r="E34" t="str">
        <f t="shared" si="4"/>
        <v>Dynamic Click</v>
      </c>
      <c r="F34" t="str">
        <f t="shared" si="5"/>
        <v>CH~SEARCH_DT~MULTI_PB~GADS_FM~SEARCH_RT~CPC_PD~FWWC_SEARCH_PERFOMANCE_SITELINK_COMOPARTICIPAR_1X1_TG~BHVDEM_TS~NONE_SZ~1X1_SEARCH_MK~BR_IT~SEARCH_VV~NONE</v>
      </c>
      <c r="G34" t="str">
        <f t="shared" si="6"/>
        <v>439449557</v>
      </c>
      <c r="H34" t="str">
        <f t="shared" si="7"/>
        <v>Tracking</v>
      </c>
      <c r="I34">
        <f t="shared" si="8"/>
        <v>0</v>
      </c>
      <c r="J34">
        <f t="shared" si="9"/>
        <v>1</v>
      </c>
      <c r="K34" s="4">
        <f t="shared" si="10"/>
        <v>3.5000000000000001E-3</v>
      </c>
      <c r="L34">
        <f t="shared" si="11"/>
        <v>0.02</v>
      </c>
      <c r="M34" s="4">
        <f t="shared" si="12"/>
        <v>3.5000000000000001E-3</v>
      </c>
      <c r="N34" s="4">
        <f t="shared" si="13"/>
        <v>0.02</v>
      </c>
    </row>
    <row r="35" spans="1:14">
      <c r="A35" t="str">
        <f t="shared" si="0"/>
        <v>MK~BR_CN~FWWC_MN~CCV_YQ~19Q1Q4_CP~NONE_OB~LDS_PK~NONE</v>
      </c>
      <c r="B35" t="str">
        <f t="shared" si="1"/>
        <v>Google Brasil</v>
      </c>
      <c r="C35" t="str">
        <f t="shared" si="2"/>
        <v>CH~SEARCH_DT~MULTI_PB~GADS_FM~SEARCH_RT~CPC_PD~FWWC_SEARCH_PERFOMANCE_SITELINK_COPADEFUTEBOLFEMININO_1X1_TG~BHVDEM_TS~NONE_SZ~1X1_SEARCH_MK~BR_IT~SEARCH_VV~NONE</v>
      </c>
      <c r="D35" t="str">
        <f t="shared" si="3"/>
        <v>242636504</v>
      </c>
      <c r="E35" t="str">
        <f t="shared" si="4"/>
        <v>Dynamic Click</v>
      </c>
      <c r="F35" t="str">
        <f t="shared" si="5"/>
        <v>CH~SEARCH_DT~MULTI_PB~GADS_FM~SEARCH_RT~CPC_PD~FWWC_SEARCH_PERFOMANCE_SITELINK_COPADEFUTEBOLFEMININO_1X1_TG~BHVDEM_TS~NONE_SZ~1X1_SEARCH_MK~BR_IT~SEARCH_VV~NONE</v>
      </c>
      <c r="G35" t="str">
        <f t="shared" si="6"/>
        <v>439449566</v>
      </c>
      <c r="H35" t="str">
        <f t="shared" si="7"/>
        <v>Tracking</v>
      </c>
      <c r="I35">
        <f t="shared" si="8"/>
        <v>0</v>
      </c>
      <c r="J35">
        <f t="shared" si="9"/>
        <v>1</v>
      </c>
      <c r="K35" s="4">
        <f t="shared" si="10"/>
        <v>3.5000000000000001E-3</v>
      </c>
      <c r="L35">
        <f t="shared" si="11"/>
        <v>0.02</v>
      </c>
      <c r="M35" s="4">
        <f t="shared" ref="M35:M98" si="14">IF(E35="Dynamic Click",J35*K35,K35*$I35/1000)</f>
        <v>3.5000000000000001E-3</v>
      </c>
      <c r="N35" s="4">
        <f t="shared" ref="N35:N98" si="15">IF(E35="Dynamic Click",J35*L35,L35*$I35/1000)</f>
        <v>0.02</v>
      </c>
    </row>
    <row r="36" spans="1:14">
      <c r="A36" t="str">
        <f t="shared" si="0"/>
        <v>MK~BR_CN~FWWC_MN~CCV_YQ~19Q1Q4_CP~NONE_OB~LDS_PK~NONE</v>
      </c>
      <c r="B36" t="str">
        <f t="shared" si="1"/>
        <v>Google Brasil</v>
      </c>
      <c r="C36" t="str">
        <f t="shared" si="2"/>
        <v>CH~SEARCH_DT~MULTI_PB~GADS_FM~SEARCH_RT~CPC_PD~FWWC_SEARCH_PERFOMANCE_SITELINK_ESTAPREPARADO_1X1_TG~BHVDEM_TS~NONE_SZ~1X1_SEARCH_MK~BR_IT~SEARCH_VV~NONE</v>
      </c>
      <c r="D36" t="str">
        <f t="shared" si="3"/>
        <v>242636510</v>
      </c>
      <c r="E36" t="str">
        <f t="shared" si="4"/>
        <v>Dynamic Click</v>
      </c>
      <c r="F36" t="str">
        <f t="shared" si="5"/>
        <v>CH~SEARCH_DT~MULTI_PB~GADS_FM~SEARCH_RT~CPC_PD~FWWC_SEARCH_PERFOMANCE_SITELINK_ESTAPREPARADO_1X1_TG~BHVDEM_TS~NONE_SZ~1X1_SEARCH_MK~BR_IT~SEARCH_VV~NONE</v>
      </c>
      <c r="G36" t="str">
        <f t="shared" si="6"/>
        <v>439449569</v>
      </c>
      <c r="H36" t="str">
        <f t="shared" si="7"/>
        <v>Tracking</v>
      </c>
      <c r="I36">
        <f t="shared" si="8"/>
        <v>0</v>
      </c>
      <c r="J36">
        <f t="shared" si="9"/>
        <v>3</v>
      </c>
      <c r="K36" s="4">
        <f t="shared" si="10"/>
        <v>3.5000000000000001E-3</v>
      </c>
      <c r="L36">
        <f t="shared" si="11"/>
        <v>0.02</v>
      </c>
      <c r="M36" s="4">
        <f t="shared" si="14"/>
        <v>1.0500000000000001E-2</v>
      </c>
      <c r="N36" s="4">
        <f t="shared" si="15"/>
        <v>0.06</v>
      </c>
    </row>
    <row r="37" spans="1:14">
      <c r="A37" t="str">
        <f t="shared" si="0"/>
        <v>MK~BR_CN~FWWC_MN~CCV_YQ~19Q1Q4_CP~NONE_OB~LDS_PK~NONE</v>
      </c>
      <c r="B37" t="str">
        <f t="shared" si="1"/>
        <v>Google Brasil</v>
      </c>
      <c r="C37" t="str">
        <f t="shared" si="2"/>
        <v>CH~SEARCH_DT~MULTI_PB~GADS_FM~SEARCH_RT~CPC_PD~FWWC_SEARCH_PERFOMANCE_SITELINK_PREMIO_1X1_TG~BHVDEM_TS~NONE_SZ~1X1_SEARCH_MK~BR_IT~SEARCH_VV~NONE</v>
      </c>
      <c r="D37" t="str">
        <f t="shared" si="3"/>
        <v>242636486</v>
      </c>
      <c r="E37" t="str">
        <f t="shared" si="4"/>
        <v>Dynamic Click</v>
      </c>
      <c r="F37" t="str">
        <f t="shared" si="5"/>
        <v>CH~SEARCH_DT~MULTI_PB~GADS_FM~SEARCH_RT~CPC_PD~FWWC_SEARCH_PERFOMANCE_SITELINK_PREMIO_1X1_TG~BHVDEM_TS~NONE_SZ~1X1_SEARCH_MK~BR_IT~SEARCH_VV~NONE</v>
      </c>
      <c r="G37" t="str">
        <f t="shared" si="6"/>
        <v>439449554</v>
      </c>
      <c r="H37" t="str">
        <f t="shared" si="7"/>
        <v>Tracking</v>
      </c>
      <c r="I37">
        <f t="shared" si="8"/>
        <v>0</v>
      </c>
      <c r="J37">
        <f t="shared" si="9"/>
        <v>2</v>
      </c>
      <c r="K37" s="4">
        <f t="shared" si="10"/>
        <v>3.5000000000000001E-3</v>
      </c>
      <c r="L37">
        <f t="shared" si="11"/>
        <v>0.02</v>
      </c>
      <c r="M37" s="4">
        <f t="shared" si="14"/>
        <v>7.0000000000000001E-3</v>
      </c>
      <c r="N37" s="4">
        <f t="shared" si="15"/>
        <v>0.04</v>
      </c>
    </row>
    <row r="38" spans="1:14">
      <c r="A38" t="str">
        <f t="shared" si="0"/>
        <v>MK~BR_CN~FWWC_MN~CCV_YQ~19Q1Q4_CP~NONE_OB~LDS_PK~NONE</v>
      </c>
      <c r="B38" t="str">
        <f t="shared" si="1"/>
        <v>Google Brasil</v>
      </c>
      <c r="C38" t="str">
        <f t="shared" si="2"/>
        <v>CH~SEARCH_DT~MULTI_PB~GADS_FM~SEARCH_RT~CPC_PD~FWWC_SEARCH_PERFOMANCE_SITELINK_REGULAMENTO_1X1_TG~BHVDEM_TS~NONE_SZ~1X1_SEARCH_MK~BR_IT~SEARCH_VV~NONE</v>
      </c>
      <c r="D38" t="str">
        <f t="shared" si="3"/>
        <v>242636483</v>
      </c>
      <c r="E38" t="str">
        <f t="shared" si="4"/>
        <v>Dynamic Click</v>
      </c>
      <c r="F38" t="str">
        <f t="shared" si="5"/>
        <v>CH~SEARCH_DT~MULTI_PB~GADS_FM~SEARCH_RT~CPC_PD~FWWC_SEARCH_PERFOMANCE_SITELINK_REGULAMENTO_1X1_TG~BHVDEM_TS~NONE_SZ~1X1_SEARCH_MK~BR_IT~SEARCH_VV~NONE</v>
      </c>
      <c r="G38" t="str">
        <f t="shared" si="6"/>
        <v>439449551</v>
      </c>
      <c r="H38" t="str">
        <f t="shared" si="7"/>
        <v>Tracking</v>
      </c>
      <c r="I38">
        <f t="shared" si="8"/>
        <v>0</v>
      </c>
      <c r="J38">
        <f t="shared" si="9"/>
        <v>4</v>
      </c>
      <c r="K38" s="4">
        <f t="shared" si="10"/>
        <v>3.5000000000000001E-3</v>
      </c>
      <c r="L38">
        <f t="shared" si="11"/>
        <v>0.02</v>
      </c>
      <c r="M38" s="4">
        <f t="shared" si="14"/>
        <v>1.4E-2</v>
      </c>
      <c r="N38" s="4">
        <f t="shared" si="15"/>
        <v>0.08</v>
      </c>
    </row>
    <row r="39" spans="1:14">
      <c r="A39" t="str">
        <f t="shared" si="0"/>
        <v>MK~BR_CN~FWWC_MN~CCV_YQ~19Q1Q4_CP~NONE_OB~LDS_PK~NONE</v>
      </c>
      <c r="B39" t="str">
        <f t="shared" si="1"/>
        <v>Google Brasil</v>
      </c>
      <c r="C39" t="str">
        <f t="shared" si="2"/>
        <v>CH~SEARCH_DT~MULTI_PB~GADS_FM~SEARCH_RT~CPC_PD~FWWC_SEARCH_PERFOMANCE_SITELINK_VOCENAFINALCOMVISA_1X1_TG~BHVDEM_TS~NONE_SZ~1X1_SEARCH_MK~BR_IT~SEARCH_VV~NONE</v>
      </c>
      <c r="D39" t="str">
        <f t="shared" si="3"/>
        <v>242636498</v>
      </c>
      <c r="E39" t="str">
        <f t="shared" si="4"/>
        <v>Dynamic Click</v>
      </c>
      <c r="F39" t="str">
        <f t="shared" si="5"/>
        <v>CH~SEARCH_DT~MULTI_PB~GADS_FM~SEARCH_RT~CPC_PD~FWWC_SEARCH_PERFOMANCE_SITELINK_VOCENAFINALCOMVISA_1X1_TG~BHVDEM_TS~NONE_SZ~1X1_SEARCH_MK~BR_IT~SEARCH_VV~NONE</v>
      </c>
      <c r="G39" t="str">
        <f t="shared" si="6"/>
        <v>439449563</v>
      </c>
      <c r="H39" t="str">
        <f t="shared" si="7"/>
        <v>Tracking</v>
      </c>
      <c r="I39">
        <f t="shared" si="8"/>
        <v>0</v>
      </c>
      <c r="J39">
        <f t="shared" si="9"/>
        <v>1</v>
      </c>
      <c r="K39" s="4">
        <f t="shared" si="10"/>
        <v>3.5000000000000001E-3</v>
      </c>
      <c r="L39">
        <f t="shared" si="11"/>
        <v>0.02</v>
      </c>
      <c r="M39" s="4">
        <f t="shared" si="14"/>
        <v>3.5000000000000001E-3</v>
      </c>
      <c r="N39" s="4">
        <f t="shared" si="15"/>
        <v>0.02</v>
      </c>
    </row>
    <row r="40" spans="1:14">
      <c r="A40" t="str">
        <f t="shared" si="0"/>
        <v>MK~BR_CN~Vai_de_Visa_MN~NONE_YQ~19Q1Q4_CP~NONE_OB~LDS_PK~NONE</v>
      </c>
      <c r="B40" t="str">
        <f t="shared" si="1"/>
        <v>Ads Movil</v>
      </c>
      <c r="C40" t="str">
        <f t="shared" si="2"/>
        <v>CH~DISPLAY_DT~MULTI_PB~ADSM_FM~BANNER_RT~CPM_PD~VDV_DECOLAR_ADSMOVIL_BANNER_STANDARD_300X250_300X250_TG~BHVDEM_TS~NONE_SZ~300X250_DISPLAY_MK~BR_IT~DISPLAY_VV~NONE</v>
      </c>
      <c r="D40" t="str">
        <f t="shared" si="3"/>
        <v>240771874</v>
      </c>
      <c r="E40" t="str">
        <f t="shared" si="4"/>
        <v>Dynamic Click</v>
      </c>
      <c r="F40" t="str">
        <f t="shared" si="5"/>
        <v>CH~DISPLAY_DT~MULTI_PB~ADSM_FM~BANNER_RT~CPM_PD~VDV_DECOLAR_ADSMOVIL_BANNER_STANDARD_300X250_300X250_TG~BHVDEM_TS~NONE_SZ~300X250_DISPLAY_MK~BR_IT~DISPLAY_VV~NONE</v>
      </c>
      <c r="G40" t="str">
        <f t="shared" si="6"/>
        <v>437765539</v>
      </c>
      <c r="H40" t="str">
        <f t="shared" si="7"/>
        <v>Tracking</v>
      </c>
      <c r="I40">
        <f t="shared" si="8"/>
        <v>0</v>
      </c>
      <c r="J40">
        <f t="shared" si="9"/>
        <v>4</v>
      </c>
      <c r="K40" s="4">
        <f t="shared" si="10"/>
        <v>3.5000000000000001E-3</v>
      </c>
      <c r="L40">
        <f t="shared" si="11"/>
        <v>0.02</v>
      </c>
      <c r="M40" s="4">
        <f t="shared" si="14"/>
        <v>1.4E-2</v>
      </c>
      <c r="N40" s="4">
        <f t="shared" si="15"/>
        <v>0.08</v>
      </c>
    </row>
    <row r="41" spans="1:14">
      <c r="A41" t="str">
        <f t="shared" si="0"/>
        <v>MK~BR_CN~Vai_de_Visa_MN~NONE_YQ~19Q1Q4_CP~NONE_OB~LDS_PK~NONE</v>
      </c>
      <c r="B41" t="str">
        <f t="shared" si="1"/>
        <v>Ads Movil</v>
      </c>
      <c r="C41" t="str">
        <f t="shared" si="2"/>
        <v>CH~DISPLAY_DT~MULTI_PB~ADSM_FM~BANNER_RT~CPM_PD~VDV_DECOLAR_ADSMOVIL_BANNER_STANDARD_320X50_320X50_TG~BHVDEM_TS~NONE_SZ~320X50_DISPLAY_MK~BR_IT~DISPLAY_VV~NONE</v>
      </c>
      <c r="D41" t="str">
        <f t="shared" si="3"/>
        <v>240771871</v>
      </c>
      <c r="E41" t="str">
        <f t="shared" si="4"/>
        <v>Dynamic Click</v>
      </c>
      <c r="F41" t="str">
        <f t="shared" si="5"/>
        <v>CH~DISPLAY_DT~MULTI_PB~ADSM_FM~BANNER_RT~CPM_PD~VDV_DECOLAR_ADSMOVIL_BANNER_STANDARD_320X50_320X50_TG~BHVDEM_TS~NONE_SZ~320X50_DISPLAY_MK~BR_IT~DISPLAY_VV~NONE</v>
      </c>
      <c r="G41" t="str">
        <f t="shared" si="6"/>
        <v>437765536</v>
      </c>
      <c r="H41" t="str">
        <f t="shared" si="7"/>
        <v>Tracking</v>
      </c>
      <c r="I41">
        <f t="shared" si="8"/>
        <v>0</v>
      </c>
      <c r="J41">
        <f t="shared" si="9"/>
        <v>6</v>
      </c>
      <c r="K41" s="4">
        <f t="shared" si="10"/>
        <v>3.5000000000000001E-3</v>
      </c>
      <c r="L41">
        <f t="shared" si="11"/>
        <v>0.02</v>
      </c>
      <c r="M41" s="4">
        <f t="shared" si="14"/>
        <v>2.1000000000000001E-2</v>
      </c>
      <c r="N41" s="4">
        <f t="shared" si="15"/>
        <v>0.12</v>
      </c>
    </row>
    <row r="42" spans="1:14">
      <c r="A42" t="str">
        <f t="shared" si="0"/>
        <v>MK~BR_CN~Vai_de_Visa_MN~NONE_YQ~19Q1Q4_CP~NONE_OB~LDS_PK~NONE</v>
      </c>
      <c r="B42" t="str">
        <f t="shared" si="1"/>
        <v>Ads Movil</v>
      </c>
      <c r="C42" t="str">
        <f t="shared" si="2"/>
        <v>CH~DISPLAY_DT~MULTI_PB~ADSM_FM~BANNER_RT~CPM_PD~VDV_NATURA_ADSMOVIL_BANNER_300X250_1X1_TG~BHVDEM_TS~NONE_SZ~1X1_DISPLAY_MK~BR_IT~DISPLAY_VV~NONE</v>
      </c>
      <c r="D42" t="str">
        <f t="shared" si="3"/>
        <v>242687533</v>
      </c>
      <c r="E42" t="str">
        <f t="shared" si="4"/>
        <v>Dynamic Click</v>
      </c>
      <c r="F42" t="str">
        <f t="shared" si="5"/>
        <v>CH~DISPLAY_DT~MULTI_PB~ADSM_FM~BANNER_RT~CPM_PD~VDV_NATURA_ADSMOVIL_BANNER_300X250_1X1_TG~BHVDEM_TS~NONE_SZ~1X1_DISPLAY_MK~BR_IT~DISPLAY_VV~NONE</v>
      </c>
      <c r="G42" t="str">
        <f t="shared" si="6"/>
        <v>439386278</v>
      </c>
      <c r="H42" t="str">
        <f t="shared" si="7"/>
        <v>Tracking</v>
      </c>
      <c r="I42">
        <f t="shared" si="8"/>
        <v>0</v>
      </c>
      <c r="J42">
        <f t="shared" si="9"/>
        <v>494</v>
      </c>
      <c r="K42" s="4">
        <f t="shared" si="10"/>
        <v>3.5000000000000001E-3</v>
      </c>
      <c r="L42">
        <f t="shared" si="11"/>
        <v>0.02</v>
      </c>
      <c r="M42" s="4">
        <f t="shared" si="14"/>
        <v>1.7290000000000001</v>
      </c>
      <c r="N42" s="4">
        <f t="shared" si="15"/>
        <v>9.8800000000000008</v>
      </c>
    </row>
    <row r="43" spans="1:14">
      <c r="A43" t="str">
        <f t="shared" si="0"/>
        <v>MK~BR_CN~Vai_de_Visa_MN~NONE_YQ~19Q1Q4_CP~NONE_OB~LDS_PK~NONE</v>
      </c>
      <c r="B43" t="str">
        <f t="shared" si="1"/>
        <v>Ads Movil</v>
      </c>
      <c r="C43" t="str">
        <f t="shared" si="2"/>
        <v>CH~DISPLAY_DT~MULTI_PB~ADSM_FM~BANNER_RT~CPM_PD~VDV_NATURA_ADSMOVIL_BANNER_300X50_1X1_TG~BHVDEM_TS~NONE_SZ~1X1_DISPLAY_MK~BR_IT~DISPLAY_VV~NONE</v>
      </c>
      <c r="D43" t="str">
        <f t="shared" si="3"/>
        <v>242870613</v>
      </c>
      <c r="E43" t="str">
        <f t="shared" si="4"/>
        <v>Dynamic Click</v>
      </c>
      <c r="F43" t="str">
        <f t="shared" si="5"/>
        <v>CH~DISPLAY_DT~MULTI_PB~ADSM_FM~BANNER_RT~CPM_PD~VDV_NATURA_ADSMOVIL_BANNER_300X50_1X1_TG~BHVDEM_TS~NONE_SZ~1X1_DISPLAY_MK~BR_IT~DISPLAY_VV~NONE</v>
      </c>
      <c r="G43" t="str">
        <f t="shared" si="6"/>
        <v>439386584</v>
      </c>
      <c r="H43" t="str">
        <f t="shared" si="7"/>
        <v>Tracking</v>
      </c>
      <c r="I43">
        <f t="shared" si="8"/>
        <v>0</v>
      </c>
      <c r="J43">
        <f t="shared" si="9"/>
        <v>1</v>
      </c>
      <c r="K43" s="4">
        <f t="shared" si="10"/>
        <v>3.5000000000000001E-3</v>
      </c>
      <c r="L43">
        <f t="shared" si="11"/>
        <v>0.02</v>
      </c>
      <c r="M43" s="4">
        <f t="shared" si="14"/>
        <v>3.5000000000000001E-3</v>
      </c>
      <c r="N43" s="4">
        <f t="shared" si="15"/>
        <v>0.02</v>
      </c>
    </row>
    <row r="44" spans="1:14">
      <c r="A44" t="str">
        <f t="shared" si="0"/>
        <v>MK~BR_CN~Vai_de_Visa_MN~NONE_YQ~19Q1Q4_CP~NONE_OB~LDS_PK~NONE</v>
      </c>
      <c r="B44" t="str">
        <f t="shared" si="1"/>
        <v>Ads Movil</v>
      </c>
      <c r="C44" t="str">
        <f t="shared" si="2"/>
        <v>CH~DISPLAY_DT~MULTI_PB~ADSM_FM~BANNER_RT~CPM_PD~VDV_NATURA_ADSMOVIL_BANNER_320X50_1X1_TG~BHVDEM_TS~NONE_SZ~1X1_DISPLAY_MK~BR_IT~DISPLAY_VV~NONE</v>
      </c>
      <c r="D44" t="str">
        <f t="shared" si="3"/>
        <v>242870616</v>
      </c>
      <c r="E44" t="str">
        <f t="shared" si="4"/>
        <v>Dynamic Click</v>
      </c>
      <c r="F44" t="str">
        <f t="shared" si="5"/>
        <v>CH~DISPLAY_DT~MULTI_PB~ADSM_FM~BANNER_RT~CPM_PD~VDV_NATURA_ADSMOVIL_BANNER_320X50_1X1_TG~BHVDEM_TS~NONE_SZ~1X1_DISPLAY_MK~BR_IT~DISPLAY_VV~NONE</v>
      </c>
      <c r="G44" t="str">
        <f t="shared" si="6"/>
        <v>439383361</v>
      </c>
      <c r="H44" t="str">
        <f t="shared" si="7"/>
        <v>Tracking</v>
      </c>
      <c r="I44">
        <f t="shared" si="8"/>
        <v>0</v>
      </c>
      <c r="J44">
        <f t="shared" si="9"/>
        <v>537</v>
      </c>
      <c r="K44" s="4">
        <f t="shared" ref="K44:K107" si="16">IF(LEFT(B44,3)="DBM",0,VLOOKUP(E44,tabela,2,FALSE))</f>
        <v>3.5000000000000001E-3</v>
      </c>
      <c r="L44">
        <f t="shared" ref="L44:L107" si="17">VLOOKUP(E44,tabela,3,FALSE)</f>
        <v>0.02</v>
      </c>
      <c r="M44" s="4">
        <f t="shared" si="14"/>
        <v>1.8794999999999999</v>
      </c>
      <c r="N44" s="4">
        <f t="shared" si="15"/>
        <v>10.74</v>
      </c>
    </row>
    <row r="45" spans="1:14">
      <c r="A45" t="str">
        <f t="shared" si="0"/>
        <v>MK~BR_CN~Vai_de_Visa_MN~NONE_YQ~19Q1Q4_CP~NONE_OB~LDS_PK~NONE</v>
      </c>
      <c r="B45" t="str">
        <f t="shared" si="1"/>
        <v>Ads Movil</v>
      </c>
      <c r="C45" t="str">
        <f t="shared" si="2"/>
        <v>CH~DISPLAY_DT~MULTI_PB~ADSM_FM~BANNER_RT~CPM_PD~VDV_PAODEACUCAR_ADSMOVIL_BANNER_STANDARD_300X250_300X250_TG~BHVDEM_TS~NONE_SZ~300X250_DISPLAY_MK~BR_IT~DISPLAY_VV~NONE</v>
      </c>
      <c r="D45" t="str">
        <f t="shared" si="3"/>
        <v>240771892</v>
      </c>
      <c r="E45" t="str">
        <f t="shared" si="4"/>
        <v>Dynamic Click</v>
      </c>
      <c r="F45" t="str">
        <f t="shared" si="5"/>
        <v>CH~DISPLAY_DT~MULTI_PB~ADSM_FM~BANNER_RT~CPM_PD~VDV_PAODEACUCAR_ADSMOVIL_BANNER_STANDARD_300X250_300X250_TG~BHVDEM_TS~NONE_SZ~300X250_DISPLAY_MK~BR_IT~DISPLAY_VV~NONE</v>
      </c>
      <c r="G45" t="str">
        <f t="shared" si="6"/>
        <v>437765557</v>
      </c>
      <c r="H45" t="str">
        <f t="shared" si="7"/>
        <v>Tracking</v>
      </c>
      <c r="I45">
        <f t="shared" si="8"/>
        <v>0</v>
      </c>
      <c r="J45">
        <f t="shared" si="9"/>
        <v>3</v>
      </c>
      <c r="K45" s="4">
        <f t="shared" si="16"/>
        <v>3.5000000000000001E-3</v>
      </c>
      <c r="L45">
        <f t="shared" si="17"/>
        <v>0.02</v>
      </c>
      <c r="M45" s="4">
        <f t="shared" si="14"/>
        <v>1.0500000000000001E-2</v>
      </c>
      <c r="N45" s="4">
        <f t="shared" si="15"/>
        <v>0.06</v>
      </c>
    </row>
    <row r="46" spans="1:14">
      <c r="A46" t="str">
        <f t="shared" si="0"/>
        <v>MK~BR_CN~Vai_de_Visa_MN~NONE_YQ~19Q1Q4_CP~NONE_OB~LDS_PK~NONE</v>
      </c>
      <c r="B46" t="str">
        <f t="shared" si="1"/>
        <v>Ads Movil</v>
      </c>
      <c r="C46" t="str">
        <f t="shared" si="2"/>
        <v>CH~DISPLAY_DT~MULTI_PB~ADSM_FM~BANNER_RT~CPM_PD~VDV_PAODEACUCAR_ADSMOVIL_BANNER_STANDARD_320X50_320X50_TG~BHVDEM_TS~NONE_SZ~320X50_DISPLAY_MK~BR_IT~DISPLAY_VV~NONE</v>
      </c>
      <c r="D46" t="str">
        <f t="shared" si="3"/>
        <v>240771886</v>
      </c>
      <c r="E46" t="str">
        <f t="shared" si="4"/>
        <v>Dynamic Click</v>
      </c>
      <c r="F46" t="str">
        <f t="shared" si="5"/>
        <v>CH~DISPLAY_DT~MULTI_PB~ADSM_FM~BANNER_RT~CPM_PD~VDV_PAODEACUCAR_ADSMOVIL_BANNER_STANDARD_320X50_320X50_TG~BHVDEM_TS~NONE_SZ~320X50_DISPLAY_MK~BR_IT~DISPLAY_VV~NONE</v>
      </c>
      <c r="G46" t="str">
        <f t="shared" si="6"/>
        <v>437765551</v>
      </c>
      <c r="H46" t="str">
        <f t="shared" si="7"/>
        <v>Tracking</v>
      </c>
      <c r="I46">
        <f t="shared" si="8"/>
        <v>0</v>
      </c>
      <c r="J46">
        <f t="shared" si="9"/>
        <v>16</v>
      </c>
      <c r="K46" s="4">
        <f t="shared" si="16"/>
        <v>3.5000000000000001E-3</v>
      </c>
      <c r="L46">
        <f t="shared" si="17"/>
        <v>0.02</v>
      </c>
      <c r="M46" s="4">
        <f t="shared" si="14"/>
        <v>5.6000000000000001E-2</v>
      </c>
      <c r="N46" s="4">
        <f t="shared" si="15"/>
        <v>0.32</v>
      </c>
    </row>
    <row r="47" spans="1:14">
      <c r="A47" t="str">
        <f t="shared" si="0"/>
        <v>MK~BR_CN~Vai_de_Visa_MN~NONE_YQ~19Q1Q4_CP~NONE_OB~LDS_PK~NONE</v>
      </c>
      <c r="B47" t="str">
        <f t="shared" si="1"/>
        <v>Ads Movil</v>
      </c>
      <c r="C47" t="str">
        <f t="shared" si="2"/>
        <v>CH~DISPLAY_DT~MULTI_PB~ADSM_FM~PUSH_RT~CPM_PD~VDV_CAMICADO_ADSMOVIL_PUSH_1X1_TG~BHVDEM_TS~NONE_SZ~1X1_DISPLAY_MK~BR_IT~DISPLAY_VV~NONE</v>
      </c>
      <c r="D47" t="str">
        <f t="shared" si="3"/>
        <v>242260513</v>
      </c>
      <c r="E47" t="str">
        <f t="shared" si="4"/>
        <v>Dynamic Click</v>
      </c>
      <c r="F47" t="str">
        <f t="shared" si="5"/>
        <v>CH~DISPLAY_DT~MULTI_PB~ADSM_FM~PUSH_RT~CPM_PD~VDV_CAMICADO_ADSMOVIL_PUSH_1X1_TG~BHVDEM_TS~NONE_SZ~1X1_DISPLAY_MK~BR_IT~DISPLAY_VV~NONE</v>
      </c>
      <c r="G47" t="str">
        <f t="shared" si="6"/>
        <v>439068083</v>
      </c>
      <c r="H47" t="str">
        <f t="shared" si="7"/>
        <v>Tracking</v>
      </c>
      <c r="I47">
        <f t="shared" si="8"/>
        <v>0</v>
      </c>
      <c r="J47">
        <f t="shared" si="9"/>
        <v>1773</v>
      </c>
      <c r="K47" s="4">
        <f t="shared" si="16"/>
        <v>3.5000000000000001E-3</v>
      </c>
      <c r="L47">
        <f t="shared" si="17"/>
        <v>0.02</v>
      </c>
      <c r="M47" s="4">
        <f t="shared" si="14"/>
        <v>6.2054999999999998</v>
      </c>
      <c r="N47" s="4">
        <f t="shared" si="15"/>
        <v>35.46</v>
      </c>
    </row>
    <row r="48" spans="1:14">
      <c r="A48" t="str">
        <f t="shared" si="0"/>
        <v>MK~BR_CN~Vai_de_Visa_MN~NONE_YQ~19Q1Q4_CP~NONE_OB~LDS_PK~NONE</v>
      </c>
      <c r="B48" t="str">
        <f t="shared" si="1"/>
        <v>Ads Movil</v>
      </c>
      <c r="C48" t="str">
        <f t="shared" si="2"/>
        <v>CH~DISPLAY_DT~MULTI_PB~ADSM_FM~PUSH_RT~CPM_PD~VDV_DECOLAR_ADSMOVIL_PUSH_FUNDO_BRANCO_1X1_TG~BHVDEM_TS~NONE_SZ~1X1_DISPLAY_MK~BR_IT~DISPLAY_VV~NONE</v>
      </c>
      <c r="D48" t="str">
        <f t="shared" si="3"/>
        <v>240771889</v>
      </c>
      <c r="E48" t="str">
        <f t="shared" si="4"/>
        <v>Dynamic Click</v>
      </c>
      <c r="F48" t="str">
        <f t="shared" si="5"/>
        <v>CH~DISPLAY_DT~MULTI_PB~ADSM_FM~PUSH_RT~CPM_PD~VDV_DECOLAR_ADSMOVIL_PUSH_FUNDO_BRANCO_1X1_TG~BHVDEM_TS~NONE_SZ~1X1_DISPLAY_MK~BR_IT~DISPLAY_VV~NONE</v>
      </c>
      <c r="G48" t="str">
        <f t="shared" si="6"/>
        <v>437765554</v>
      </c>
      <c r="H48" t="str">
        <f t="shared" si="7"/>
        <v>Tracking</v>
      </c>
      <c r="I48">
        <f t="shared" si="8"/>
        <v>0</v>
      </c>
      <c r="J48">
        <f t="shared" si="9"/>
        <v>37</v>
      </c>
      <c r="K48" s="4">
        <f t="shared" si="16"/>
        <v>3.5000000000000001E-3</v>
      </c>
      <c r="L48">
        <f t="shared" si="17"/>
        <v>0.02</v>
      </c>
      <c r="M48" s="4">
        <f t="shared" si="14"/>
        <v>0.1295</v>
      </c>
      <c r="N48" s="4">
        <f t="shared" si="15"/>
        <v>0.74</v>
      </c>
    </row>
    <row r="49" spans="1:14">
      <c r="A49" t="str">
        <f t="shared" si="0"/>
        <v>MK~BR_CN~Vai_de_Visa_MN~NONE_YQ~19Q1Q4_CP~NONE_OB~LDS_PK~NONE</v>
      </c>
      <c r="B49" t="str">
        <f t="shared" si="1"/>
        <v>Ads Movil</v>
      </c>
      <c r="C49" t="str">
        <f t="shared" si="2"/>
        <v>CH~DISPLAY_DT~MULTI_PB~ADSM_FM~PUSH_RT~CPM_PD~VDV_DECOLAR_ADSMOVIL_PUSH_TRANSPARENTE_1X1_TG~BHVDEM_TS~NONE_SZ~1X1_DISPLAY_MK~BR_IT~DISPLAY_VV~NONE</v>
      </c>
      <c r="D49" t="str">
        <f t="shared" si="3"/>
        <v>240771895</v>
      </c>
      <c r="E49" t="str">
        <f t="shared" si="4"/>
        <v>Dynamic Click</v>
      </c>
      <c r="F49" t="str">
        <f t="shared" si="5"/>
        <v>CH~DISPLAY_DT~MULTI_PB~ADSM_FM~PUSH_RT~CPM_PD~VDV_DECOLAR_ADSMOVIL_PUSH_TRANSPARENTE_1X1_TG~BHVDEM_TS~NONE_SZ~1X1_DISPLAY_MK~BR_IT~DISPLAY_VV~NONE</v>
      </c>
      <c r="G49" t="str">
        <f t="shared" si="6"/>
        <v>437765560</v>
      </c>
      <c r="H49" t="str">
        <f t="shared" si="7"/>
        <v>Tracking</v>
      </c>
      <c r="I49">
        <f t="shared" si="8"/>
        <v>0</v>
      </c>
      <c r="J49">
        <f t="shared" si="9"/>
        <v>17</v>
      </c>
      <c r="K49" s="4">
        <f t="shared" si="16"/>
        <v>3.5000000000000001E-3</v>
      </c>
      <c r="L49">
        <f t="shared" si="17"/>
        <v>0.02</v>
      </c>
      <c r="M49" s="4">
        <f t="shared" si="14"/>
        <v>5.9500000000000004E-2</v>
      </c>
      <c r="N49" s="4">
        <f t="shared" si="15"/>
        <v>0.34</v>
      </c>
    </row>
    <row r="50" spans="1:14">
      <c r="A50" t="str">
        <f t="shared" si="0"/>
        <v>MK~BR_CN~Vai_de_Visa_MN~NONE_YQ~19Q1Q4_CP~NONE_OB~LDS_PK~NONE</v>
      </c>
      <c r="B50" t="str">
        <f t="shared" si="1"/>
        <v>Ads Movil</v>
      </c>
      <c r="C50" t="str">
        <f t="shared" si="2"/>
        <v>CH~DISPLAY_DT~MULTI_PB~ADSM_FM~PUSH_RT~CPM_PD~VDV_GOL_ADSMOVIL_PUSH_INTERNETGRATIS_FUNDOBRANCO_1X1_TG~BHVDEM_TS~NONE_SZ~1X1_DISPLAY_MK~BR_IT~DISPLAY_VV~NONE</v>
      </c>
      <c r="D50" t="str">
        <f t="shared" si="3"/>
        <v>240843181</v>
      </c>
      <c r="E50" t="str">
        <f t="shared" si="4"/>
        <v>Dynamic Click</v>
      </c>
      <c r="F50" t="str">
        <f t="shared" si="5"/>
        <v>CH~DISPLAY_DT~MULTI_PB~ADSM_FM~PUSH_RT~CPM_PD~VDV_GOL_ADSMOVIL_PUSH_INTERNETGRATIS_FUNDOBRANCO_1X1_TG~BHVDEM_TS~NONE_SZ~1X1_DISPLAY_MK~BR_IT~DISPLAY_VV~NONE</v>
      </c>
      <c r="G50" t="str">
        <f t="shared" si="6"/>
        <v>437838739</v>
      </c>
      <c r="H50" t="str">
        <f t="shared" si="7"/>
        <v>Tracking</v>
      </c>
      <c r="I50">
        <f t="shared" si="8"/>
        <v>0</v>
      </c>
      <c r="J50">
        <f t="shared" si="9"/>
        <v>19</v>
      </c>
      <c r="K50" s="4">
        <f t="shared" si="16"/>
        <v>3.5000000000000001E-3</v>
      </c>
      <c r="L50">
        <f t="shared" si="17"/>
        <v>0.02</v>
      </c>
      <c r="M50" s="4">
        <f t="shared" si="14"/>
        <v>6.6500000000000004E-2</v>
      </c>
      <c r="N50" s="4">
        <f t="shared" si="15"/>
        <v>0.38</v>
      </c>
    </row>
    <row r="51" spans="1:14">
      <c r="A51" t="str">
        <f t="shared" si="0"/>
        <v>MK~BR_CN~Vai_de_Visa_MN~NONE_YQ~19Q1Q4_CP~NONE_OB~LDS_PK~NONE</v>
      </c>
      <c r="B51" t="str">
        <f t="shared" si="1"/>
        <v>Ads Movil</v>
      </c>
      <c r="C51" t="str">
        <f t="shared" si="2"/>
        <v>CH~DISPLAY_DT~MULTI_PB~ADSM_FM~PUSH_RT~CPM_PD~VDV_GOL_ADSMOVIL_PUSH_INTERNETGRATIS_TRANSPARENTE_1X1_TG~BHVDEM_TS~NONE_SZ~1X1_DISPLAY_MK~BR_IT~DISPLAY_VV~NONE</v>
      </c>
      <c r="D51" t="str">
        <f t="shared" si="3"/>
        <v>240843184</v>
      </c>
      <c r="E51" t="str">
        <f t="shared" si="4"/>
        <v>Dynamic Click</v>
      </c>
      <c r="F51" t="str">
        <f t="shared" si="5"/>
        <v>CH~DISPLAY_DT~MULTI_PB~ADSM_FM~PUSH_RT~CPM_PD~VDV_GOL_ADSMOVIL_PUSH_INTERNETGRATIS_TRANSPARENTE_1X1_TG~BHVDEM_TS~NONE_SZ~1X1_DISPLAY_MK~BR_IT~DISPLAY_VV~NONE</v>
      </c>
      <c r="G51" t="str">
        <f t="shared" si="6"/>
        <v>437838742</v>
      </c>
      <c r="H51" t="str">
        <f t="shared" si="7"/>
        <v>Tracking</v>
      </c>
      <c r="I51">
        <f t="shared" si="8"/>
        <v>0</v>
      </c>
      <c r="J51">
        <f t="shared" si="9"/>
        <v>28</v>
      </c>
      <c r="K51" s="4">
        <f t="shared" si="16"/>
        <v>3.5000000000000001E-3</v>
      </c>
      <c r="L51">
        <f t="shared" si="17"/>
        <v>0.02</v>
      </c>
      <c r="M51" s="4">
        <f t="shared" si="14"/>
        <v>9.8000000000000004E-2</v>
      </c>
      <c r="N51" s="4">
        <f t="shared" si="15"/>
        <v>0.56000000000000005</v>
      </c>
    </row>
    <row r="52" spans="1:14">
      <c r="A52" t="str">
        <f t="shared" si="0"/>
        <v>MK~BR_CN~Vai_de_Visa_MN~NONE_YQ~19Q1Q4_CP~NONE_OB~LDS_PK~NONE</v>
      </c>
      <c r="B52" t="str">
        <f t="shared" si="1"/>
        <v>Ads Movil</v>
      </c>
      <c r="C52" t="str">
        <f t="shared" si="2"/>
        <v>CH~DISPLAY_DT~MULTI_PB~ADSM_FM~PUSH_RT~CPM_PD~VDV_MOVIDA_ADSMOVIL_PUSH_FUNDO_BRANCO_1X1_TG~BHVDEM_TS~NONE_SZ~1X1_DISPLAY_MK~BR_IT~DISPLAY_VV~NONE</v>
      </c>
      <c r="D52" t="str">
        <f t="shared" si="3"/>
        <v>240746255</v>
      </c>
      <c r="E52" t="str">
        <f t="shared" si="4"/>
        <v>Dynamic Click</v>
      </c>
      <c r="F52" t="str">
        <f t="shared" si="5"/>
        <v>CH~DISPLAY_DT~MULTI_PB~ADSM_FM~PUSH_RT~CPM_PD~VDV_MOVIDA_ADSMOVIL_PUSH_FUNDO_BRANCO_1X1_TG~BHVDEM_TS~NONE_SZ~1X1_DISPLAY_MK~BR_IT~DISPLAY_VV~NONE</v>
      </c>
      <c r="G52" t="str">
        <f t="shared" si="6"/>
        <v>437780822</v>
      </c>
      <c r="H52" t="str">
        <f t="shared" si="7"/>
        <v>Tracking</v>
      </c>
      <c r="I52">
        <f t="shared" si="8"/>
        <v>0</v>
      </c>
      <c r="J52">
        <f t="shared" si="9"/>
        <v>1246</v>
      </c>
      <c r="K52" s="4">
        <f t="shared" si="16"/>
        <v>3.5000000000000001E-3</v>
      </c>
      <c r="L52">
        <f t="shared" si="17"/>
        <v>0.02</v>
      </c>
      <c r="M52" s="4">
        <f t="shared" si="14"/>
        <v>4.3609999999999998</v>
      </c>
      <c r="N52" s="4">
        <f t="shared" si="15"/>
        <v>24.92</v>
      </c>
    </row>
    <row r="53" spans="1:14">
      <c r="A53" t="str">
        <f t="shared" si="0"/>
        <v>MK~BR_CN~Vai_de_Visa_MN~NONE_YQ~19Q1Q4_CP~NONE_OB~LDS_PK~NONE</v>
      </c>
      <c r="B53" t="str">
        <f t="shared" si="1"/>
        <v>Ads Movil</v>
      </c>
      <c r="C53" t="str">
        <f t="shared" si="2"/>
        <v>CH~DISPLAY_DT~MULTI_PB~ADSM_FM~PUSH_RT~CPM_PD~VDV_MOVIDA_ADSMOVIL_PUSH_TRANSPARENTE_1X1_TG~BHVDEM_TS~NONE_SZ~1X1_DISPLAY_MK~BR_IT~DISPLAY_VV~NONE</v>
      </c>
      <c r="D53" t="str">
        <f t="shared" si="3"/>
        <v>240833329</v>
      </c>
      <c r="E53" t="str">
        <f t="shared" si="4"/>
        <v>Dynamic Click</v>
      </c>
      <c r="F53" t="str">
        <f t="shared" si="5"/>
        <v>CH~DISPLAY_DT~MULTI_PB~ADSM_FM~PUSH_RT~CPM_PD~VDV_MOVIDA_ADSMOVIL_PUSH_TRANSPARENTE_1X1_TG~BHVDEM_TS~NONE_SZ~1X1_DISPLAY_MK~BR_IT~DISPLAY_VV~NONE</v>
      </c>
      <c r="G53" t="str">
        <f t="shared" si="6"/>
        <v>437778887</v>
      </c>
      <c r="H53" t="str">
        <f t="shared" si="7"/>
        <v>Tracking</v>
      </c>
      <c r="I53">
        <f t="shared" si="8"/>
        <v>0</v>
      </c>
      <c r="J53">
        <f t="shared" si="9"/>
        <v>1295</v>
      </c>
      <c r="K53" s="4">
        <f t="shared" si="16"/>
        <v>3.5000000000000001E-3</v>
      </c>
      <c r="L53">
        <f t="shared" si="17"/>
        <v>0.02</v>
      </c>
      <c r="M53" s="4">
        <f t="shared" si="14"/>
        <v>4.5324999999999998</v>
      </c>
      <c r="N53" s="4">
        <f t="shared" si="15"/>
        <v>25.900000000000002</v>
      </c>
    </row>
    <row r="54" spans="1:14">
      <c r="A54" t="str">
        <f t="shared" si="0"/>
        <v>MK~BR_CN~Vai_de_Visa_MN~NONE_YQ~19Q1Q4_CP~NONE_OB~LDS_PK~NONE</v>
      </c>
      <c r="B54" t="str">
        <f t="shared" si="1"/>
        <v>Ads Movil</v>
      </c>
      <c r="C54" t="str">
        <f t="shared" si="2"/>
        <v>CH~DISPLAY_DT~MULTI_PB~ADSM_FM~PUSH_RT~CPM_PD~VDV_NATURA_ADSMOVIL_PUSH_1X1_TG~BHVDEM_TS~NONE_SZ~1X1_DISPLAY_MK~BR_IT~DISPLAY_VV~NONE</v>
      </c>
      <c r="D54" t="str">
        <f t="shared" si="3"/>
        <v>242871510</v>
      </c>
      <c r="E54" t="str">
        <f t="shared" si="4"/>
        <v>Dynamic Click</v>
      </c>
      <c r="F54" t="str">
        <f t="shared" si="5"/>
        <v>CH~DISPLAY_DT~MULTI_PB~ADSM_FM~PUSH_RT~CPM_PD~VDV_NATURA_ADSMOVIL_PUSH_1X1_TG~BHVDEM_TS~NONE_SZ~1X1_DISPLAY_MK~BR_IT~DISPLAY_VV~NONE</v>
      </c>
      <c r="G54" t="str">
        <f t="shared" si="6"/>
        <v>439387445</v>
      </c>
      <c r="H54" t="str">
        <f t="shared" si="7"/>
        <v>Tracking</v>
      </c>
      <c r="I54">
        <f t="shared" si="8"/>
        <v>0</v>
      </c>
      <c r="J54">
        <f t="shared" si="9"/>
        <v>2324</v>
      </c>
      <c r="K54" s="4">
        <f t="shared" si="16"/>
        <v>3.5000000000000001E-3</v>
      </c>
      <c r="L54">
        <f t="shared" si="17"/>
        <v>0.02</v>
      </c>
      <c r="M54" s="4">
        <f t="shared" si="14"/>
        <v>8.1340000000000003</v>
      </c>
      <c r="N54" s="4">
        <f t="shared" si="15"/>
        <v>46.480000000000004</v>
      </c>
    </row>
    <row r="55" spans="1:14">
      <c r="A55" t="str">
        <f t="shared" si="0"/>
        <v>MK~BR_CN~Vai_de_Visa_MN~NONE_YQ~19Q1Q4_CP~NONE_OB~LDS_PK~NONE</v>
      </c>
      <c r="B55" t="str">
        <f t="shared" si="1"/>
        <v>Ads Movil</v>
      </c>
      <c r="C55" t="str">
        <f t="shared" si="2"/>
        <v>CH~DISPLAY_DT~MULTI_PB~ADSM_FM~PUSH_RT~CPM_PD~VDV_PAODEACUCAR_ADSMOVIL_PUSH_BRANCO_1X1_TG~BHVDEM_TS~NONE_SZ~1X1_DISPLAY_MK~BR_IT~DISPLAY_VV~NONE</v>
      </c>
      <c r="D55" t="str">
        <f t="shared" si="3"/>
        <v>240771883</v>
      </c>
      <c r="E55" t="str">
        <f t="shared" si="4"/>
        <v>Dynamic Click</v>
      </c>
      <c r="F55" t="str">
        <f t="shared" si="5"/>
        <v>CH~DISPLAY_DT~MULTI_PB~ADSM_FM~PUSH_RT~CPM_PD~VDV_PAODEACUCAR_ADSMOVIL_PUSH_BRANCO_1X1_TG~BHVDEM_TS~NONE_SZ~1X1_DISPLAY_MK~BR_IT~DISPLAY_VV~NONE</v>
      </c>
      <c r="G55" t="str">
        <f t="shared" si="6"/>
        <v>437765548</v>
      </c>
      <c r="H55" t="str">
        <f t="shared" si="7"/>
        <v>Tracking</v>
      </c>
      <c r="I55">
        <f t="shared" si="8"/>
        <v>0</v>
      </c>
      <c r="J55">
        <f t="shared" si="9"/>
        <v>18</v>
      </c>
      <c r="K55" s="4">
        <f t="shared" si="16"/>
        <v>3.5000000000000001E-3</v>
      </c>
      <c r="L55">
        <f t="shared" si="17"/>
        <v>0.02</v>
      </c>
      <c r="M55" s="4">
        <f t="shared" si="14"/>
        <v>6.3E-2</v>
      </c>
      <c r="N55" s="4">
        <f t="shared" si="15"/>
        <v>0.36</v>
      </c>
    </row>
    <row r="56" spans="1:14">
      <c r="A56" t="str">
        <f t="shared" si="0"/>
        <v>MK~BR_CN~Vai_de_Visa_MN~NONE_YQ~19Q1Q4_CP~NONE_OB~LDS_PK~NONE</v>
      </c>
      <c r="B56" t="str">
        <f t="shared" si="1"/>
        <v>Ads Movil</v>
      </c>
      <c r="C56" t="str">
        <f t="shared" si="2"/>
        <v>CH~DISPLAY_DT~MULTI_PB~ADSM_FM~PUSH_RT~CPM_PD~VDV_PAODEACUCAR_ADSMOVIL_PUSH_TRANSPARENTE_1X1_TG~BHVDEM_TS~NONE_SZ~1X1_DISPLAY_MK~BR_IT~DISPLAY_VV~NONE</v>
      </c>
      <c r="D56" t="str">
        <f t="shared" si="3"/>
        <v>240771880</v>
      </c>
      <c r="E56" t="str">
        <f t="shared" si="4"/>
        <v>Dynamic Click</v>
      </c>
      <c r="F56" t="str">
        <f t="shared" si="5"/>
        <v>CH~DISPLAY_DT~MULTI_PB~ADSM_FM~PUSH_RT~CPM_PD~VDV_PAODEACUCAR_ADSMOVIL_PUSH_TRANSPARENTE_1X1_TG~BHVDEM_TS~NONE_SZ~1X1_DISPLAY_MK~BR_IT~DISPLAY_VV~NONE</v>
      </c>
      <c r="G56" t="str">
        <f t="shared" si="6"/>
        <v>437765545</v>
      </c>
      <c r="H56" t="str">
        <f t="shared" si="7"/>
        <v>Tracking</v>
      </c>
      <c r="I56">
        <f t="shared" si="8"/>
        <v>0</v>
      </c>
      <c r="J56">
        <f t="shared" si="9"/>
        <v>27</v>
      </c>
      <c r="K56" s="4">
        <f t="shared" si="16"/>
        <v>3.5000000000000001E-3</v>
      </c>
      <c r="L56">
        <f t="shared" si="17"/>
        <v>0.02</v>
      </c>
      <c r="M56" s="4">
        <f t="shared" si="14"/>
        <v>9.4500000000000001E-2</v>
      </c>
      <c r="N56" s="4">
        <f t="shared" si="15"/>
        <v>0.54</v>
      </c>
    </row>
    <row r="57" spans="1:14">
      <c r="A57" t="str">
        <f t="shared" si="0"/>
        <v>MK~BR_CN~Vai_de_Visa_MN~NONE_YQ~19Q1Q4_CP~NONE_OB~LDS_PK~NONE</v>
      </c>
      <c r="B57" t="str">
        <f t="shared" si="1"/>
        <v>Facebook</v>
      </c>
      <c r="C57" t="str">
        <f t="shared" si="2"/>
        <v>CH~SOCIAL_DT~MULTI_PB~FCBK_FM~CANVAS_RT~CPM_PD~VDV_GOL_CANVAS_ANIMADO_1X1_TG~BHVDEM_TS~NONE_SZ~1X1_SOCIAL_MK~BR_IT~SOCIAL_VV~NONE</v>
      </c>
      <c r="D57" t="str">
        <f t="shared" si="3"/>
        <v>239028852</v>
      </c>
      <c r="E57" t="str">
        <f t="shared" si="4"/>
        <v>Dynamic Click</v>
      </c>
      <c r="F57" t="str">
        <f t="shared" si="5"/>
        <v>CH~SOCIAL_DT~MULTI_PB~FCBK_FM~CANVAS_RT~CPM_PD~VDV_GOL_CANVAS_ANIMADO_1X1_TG~BHVDEM_TS~NONE_SZ~1X1_SOCIAL_MK~BR_IT~SOCIAL_VV~NONE</v>
      </c>
      <c r="G57" t="str">
        <f t="shared" si="6"/>
        <v>435947631</v>
      </c>
      <c r="H57" t="str">
        <f t="shared" si="7"/>
        <v>Tracking</v>
      </c>
      <c r="I57">
        <f t="shared" si="8"/>
        <v>0</v>
      </c>
      <c r="J57">
        <f t="shared" si="9"/>
        <v>2</v>
      </c>
      <c r="K57" s="4">
        <f t="shared" si="16"/>
        <v>3.5000000000000001E-3</v>
      </c>
      <c r="L57">
        <f t="shared" si="17"/>
        <v>0.02</v>
      </c>
      <c r="M57" s="4">
        <f t="shared" si="14"/>
        <v>7.0000000000000001E-3</v>
      </c>
      <c r="N57" s="4">
        <f t="shared" si="15"/>
        <v>0.04</v>
      </c>
    </row>
    <row r="58" spans="1:14">
      <c r="A58" t="str">
        <f t="shared" si="0"/>
        <v>MK~BR_CN~Vai_de_Visa_MN~NONE_YQ~19Q1Q4_CP~NONE_OB~LDS_PK~NONE</v>
      </c>
      <c r="B58" t="str">
        <f t="shared" si="1"/>
        <v>Facebook</v>
      </c>
      <c r="C58" t="str">
        <f t="shared" si="2"/>
        <v>CH~SOCIAL_DT~MULTI_PB~FCBK_FM~CARROSSEL_RT~CPM_PD~VDV_GOL_CARROSSEL_ACESSE_REDES_1X1_TG~BHVDEM_TS~NONE_SZ~1X1_SOCIAL_MK~BR_IT~SOCIAL_VV~NONE</v>
      </c>
      <c r="D58" t="str">
        <f t="shared" si="3"/>
        <v>240851812</v>
      </c>
      <c r="E58" t="str">
        <f t="shared" si="4"/>
        <v>Dynamic Click</v>
      </c>
      <c r="F58" t="str">
        <f t="shared" si="5"/>
        <v>CH~SOCIAL_DT~MULTI_PB~FCBK_FM~CARROSSEL_RT~CPM_PD~VDV_GOL_CARROSSEL_ACESSE_REDES_1X1_TG~BHVDEM_TS~NONE_SZ~1X1_SOCIAL_MK~BR_IT~SOCIAL_VV~NONE</v>
      </c>
      <c r="G58" t="str">
        <f t="shared" si="6"/>
        <v>437789456</v>
      </c>
      <c r="H58" t="str">
        <f t="shared" si="7"/>
        <v>Tracking</v>
      </c>
      <c r="I58">
        <f t="shared" si="8"/>
        <v>0</v>
      </c>
      <c r="J58">
        <f t="shared" si="9"/>
        <v>1</v>
      </c>
      <c r="K58" s="4">
        <f t="shared" si="16"/>
        <v>3.5000000000000001E-3</v>
      </c>
      <c r="L58">
        <f t="shared" si="17"/>
        <v>0.02</v>
      </c>
      <c r="M58" s="4">
        <f t="shared" si="14"/>
        <v>3.5000000000000001E-3</v>
      </c>
      <c r="N58" s="4">
        <f t="shared" si="15"/>
        <v>0.02</v>
      </c>
    </row>
    <row r="59" spans="1:14">
      <c r="A59" t="str">
        <f t="shared" si="0"/>
        <v>MK~BR_CN~Vai_de_Visa_MN~NONE_YQ~19Q1Q4_CP~NONE_OB~LDS_PK~NONE</v>
      </c>
      <c r="B59" t="str">
        <f t="shared" si="1"/>
        <v>Facebook</v>
      </c>
      <c r="C59" t="str">
        <f t="shared" si="2"/>
        <v>CH~SOCIAL_DT~MULTI_PB~FCBK_FM~CARROSSEL_RT~CPM_PD~VDV_GOL_CARROSSEL_CONTINUE_O_PAPO_1X1_TG~BHVDEM_TS~NONE_SZ~1X1_SOCIAL_MK~BR_IT~SOCIAL_VV~NONE</v>
      </c>
      <c r="D59" t="str">
        <f t="shared" si="3"/>
        <v>241074321</v>
      </c>
      <c r="E59" t="str">
        <f t="shared" si="4"/>
        <v>Dynamic Click</v>
      </c>
      <c r="F59" t="str">
        <f t="shared" si="5"/>
        <v>CH~SOCIAL_DT~MULTI_PB~FCBK_FM~CARROSSEL_RT~CPM_PD~VDV_GOL_CARROSSEL_CONTINUE_O_PAPO_1X1_TG~BHVDEM_TS~NONE_SZ~1X1_SOCIAL_MK~BR_IT~SOCIAL_VV~NONE</v>
      </c>
      <c r="G59" t="str">
        <f t="shared" si="6"/>
        <v>437735733</v>
      </c>
      <c r="H59" t="str">
        <f t="shared" si="7"/>
        <v>Tracking</v>
      </c>
      <c r="I59">
        <f t="shared" si="8"/>
        <v>0</v>
      </c>
      <c r="J59">
        <f t="shared" si="9"/>
        <v>125</v>
      </c>
      <c r="K59" s="4">
        <f t="shared" si="16"/>
        <v>3.5000000000000001E-3</v>
      </c>
      <c r="L59">
        <f t="shared" si="17"/>
        <v>0.02</v>
      </c>
      <c r="M59" s="4">
        <f t="shared" si="14"/>
        <v>0.4375</v>
      </c>
      <c r="N59" s="4">
        <f t="shared" si="15"/>
        <v>2.5</v>
      </c>
    </row>
    <row r="60" spans="1:14">
      <c r="A60" t="str">
        <f t="shared" si="0"/>
        <v>MK~BR_CN~Vai_de_Visa_MN~NONE_YQ~19Q1Q4_CP~NONE_OB~LDS_PK~NONE</v>
      </c>
      <c r="B60" t="str">
        <f t="shared" si="1"/>
        <v>Facebook</v>
      </c>
      <c r="C60" t="str">
        <f t="shared" si="2"/>
        <v>CH~SOCIAL_DT~MULTI_PB~FCBK_FM~CARROSSEL_RT~CPM_PD~VDV_GOL_CICLO_B_CARROSSEL_CHAT_1X1_TG~BHVDEM_TS~NONE_SZ~1X1_SOCIAL_MK~BR_IT~SOCIAL_VV~NONE</v>
      </c>
      <c r="D60" t="str">
        <f t="shared" si="3"/>
        <v>241418656</v>
      </c>
      <c r="E60" t="str">
        <f t="shared" si="4"/>
        <v>Dynamic Click</v>
      </c>
      <c r="F60" t="str">
        <f t="shared" si="5"/>
        <v>CH~SOCIAL_DT~MULTI_PB~FCBK_FM~CARROSSEL_RT~CPM_PD~VDV_GOL_CICLO_B_CARROSSEL_CHAT_1X1_TG~BHVDEM_TS~NONE_SZ~1X1_SOCIAL_MK~BR_IT~SOCIAL_VV~NONE</v>
      </c>
      <c r="G60" t="str">
        <f t="shared" si="6"/>
        <v>438209229</v>
      </c>
      <c r="H60" t="str">
        <f t="shared" si="7"/>
        <v>Tracking</v>
      </c>
      <c r="I60">
        <f t="shared" si="8"/>
        <v>0</v>
      </c>
      <c r="J60">
        <f t="shared" si="9"/>
        <v>113</v>
      </c>
      <c r="K60" s="4">
        <f t="shared" si="16"/>
        <v>3.5000000000000001E-3</v>
      </c>
      <c r="L60">
        <f t="shared" si="17"/>
        <v>0.02</v>
      </c>
      <c r="M60" s="4">
        <f t="shared" si="14"/>
        <v>0.39550000000000002</v>
      </c>
      <c r="N60" s="4">
        <f t="shared" si="15"/>
        <v>2.2600000000000002</v>
      </c>
    </row>
    <row r="61" spans="1:14">
      <c r="A61" t="str">
        <f t="shared" si="0"/>
        <v>MK~BR_CN~Vai_de_Visa_MN~NONE_YQ~19Q1Q4_CP~NONE_OB~LDS_PK~NONE</v>
      </c>
      <c r="B61" t="str">
        <f t="shared" si="1"/>
        <v>Facebook</v>
      </c>
      <c r="C61" t="str">
        <f t="shared" si="2"/>
        <v>CH~SOCIAL_DT~MULTI_PB~FCBK_FM~CARROSSEL_RT~CPM_PD~VDV_GOL_CICLO_B_CARROSSEL_EMAIL_1X1_TG~BHVDEM_TS~NONE_SZ~1X1_SOCIAL_MK~BR_IT~SOCIAL_VV~NONE</v>
      </c>
      <c r="D61" t="str">
        <f t="shared" si="3"/>
        <v>241418653</v>
      </c>
      <c r="E61" t="str">
        <f t="shared" si="4"/>
        <v>Dynamic Click</v>
      </c>
      <c r="F61" t="str">
        <f t="shared" si="5"/>
        <v>CH~SOCIAL_DT~MULTI_PB~FCBK_FM~CARROSSEL_RT~CPM_PD~VDV_GOL_CICLO_B_CARROSSEL_EMAIL_1X1_TG~BHVDEM_TS~NONE_SZ~1X1_SOCIAL_MK~BR_IT~SOCIAL_VV~NONE</v>
      </c>
      <c r="G61" t="str">
        <f t="shared" si="6"/>
        <v>438209226</v>
      </c>
      <c r="H61" t="str">
        <f t="shared" si="7"/>
        <v>Tracking</v>
      </c>
      <c r="I61">
        <f t="shared" si="8"/>
        <v>0</v>
      </c>
      <c r="J61">
        <f t="shared" si="9"/>
        <v>79</v>
      </c>
      <c r="K61" s="4">
        <f t="shared" si="16"/>
        <v>3.5000000000000001E-3</v>
      </c>
      <c r="L61">
        <f t="shared" si="17"/>
        <v>0.02</v>
      </c>
      <c r="M61" s="4">
        <f t="shared" si="14"/>
        <v>0.27650000000000002</v>
      </c>
      <c r="N61" s="4">
        <f t="shared" si="15"/>
        <v>1.58</v>
      </c>
    </row>
    <row r="62" spans="1:14">
      <c r="A62" t="str">
        <f t="shared" si="0"/>
        <v>MK~BR_CN~Vai_de_Visa_MN~NONE_YQ~19Q1Q4_CP~NONE_OB~LDS_PK~NONE</v>
      </c>
      <c r="B62" t="str">
        <f t="shared" si="1"/>
        <v>Facebook</v>
      </c>
      <c r="C62" t="str">
        <f t="shared" si="2"/>
        <v>CH~SOCIAL_DT~MULTI_PB~FCBK_FM~LINKAD_RT~CPM_PD~VDV_DECOLAR_AMIGAS_FESTA_15OFF_LINKAD_FB__1X1_TG~BHVDEM_TS~NONE_SZ~1X1_SOCIAL_MK~BR_IT~SOCIAL_VV~NONE</v>
      </c>
      <c r="D62" t="str">
        <f t="shared" si="3"/>
        <v>235539728</v>
      </c>
      <c r="E62" t="str">
        <f t="shared" si="4"/>
        <v>Dynamic Click</v>
      </c>
      <c r="F62" t="str">
        <f t="shared" si="5"/>
        <v>CH~SOCIAL_DT~MULTI_PB~FCBK_FM~LINKAD_RT~CPM_PD~VDV_DECOLAR_AMIGAS_FESTA_15OFF_LINKAD_FB__1X1_TG~BHVDEM_TS~NONE_SZ~1X1_SOCIAL_MK~BR_IT~SOCIAL_VV~NONE</v>
      </c>
      <c r="G62" t="str">
        <f t="shared" si="6"/>
        <v>433178108</v>
      </c>
      <c r="H62" t="str">
        <f t="shared" si="7"/>
        <v>Tracking</v>
      </c>
      <c r="I62">
        <f t="shared" si="8"/>
        <v>0</v>
      </c>
      <c r="J62">
        <f t="shared" si="9"/>
        <v>1</v>
      </c>
      <c r="K62" s="4">
        <f t="shared" si="16"/>
        <v>3.5000000000000001E-3</v>
      </c>
      <c r="L62">
        <f t="shared" si="17"/>
        <v>0.02</v>
      </c>
      <c r="M62" s="4">
        <f t="shared" si="14"/>
        <v>3.5000000000000001E-3</v>
      </c>
      <c r="N62" s="4">
        <f t="shared" si="15"/>
        <v>0.02</v>
      </c>
    </row>
    <row r="63" spans="1:14">
      <c r="A63" t="str">
        <f t="shared" si="0"/>
        <v>MK~BR_CN~Vai_de_Visa_MN~NONE_YQ~19Q1Q4_CP~NONE_OB~LDS_PK~NONE</v>
      </c>
      <c r="B63" t="str">
        <f t="shared" si="1"/>
        <v>Facebook</v>
      </c>
      <c r="C63" t="str">
        <f t="shared" si="2"/>
        <v>CH~SOCIAL_DT~MULTI_PB~FCBK_FM~LINKAD_RT~CPM_PD~VDV_DECOLAR_FAMILIA_TRAPICHE_15OFF_LINKAD_FB__1X1_TG~BHVDEM_TS~NONE_SZ~1X1_SOCIAL_MK~BR_IT~SOCIAL_VV~NONE</v>
      </c>
      <c r="D63" t="str">
        <f t="shared" si="3"/>
        <v>235541867</v>
      </c>
      <c r="E63" t="str">
        <f t="shared" si="4"/>
        <v>Dynamic Click</v>
      </c>
      <c r="F63" t="str">
        <f t="shared" si="5"/>
        <v>CH~SOCIAL_DT~MULTI_PB~FCBK_FM~LINKAD_RT~CPM_PD~VDV_DECOLAR_FAMILIA_TRAPICHE_15OFF_LINKAD_FB__1X1_TG~BHVDEM_TS~NONE_SZ~1X1_SOCIAL_MK~BR_IT~SOCIAL_VV~NONE</v>
      </c>
      <c r="G63" t="str">
        <f t="shared" si="6"/>
        <v>433254913</v>
      </c>
      <c r="H63" t="str">
        <f t="shared" si="7"/>
        <v>Tracking</v>
      </c>
      <c r="I63">
        <f t="shared" si="8"/>
        <v>0</v>
      </c>
      <c r="J63">
        <f t="shared" si="9"/>
        <v>37</v>
      </c>
      <c r="K63" s="4">
        <f t="shared" si="16"/>
        <v>3.5000000000000001E-3</v>
      </c>
      <c r="L63">
        <f t="shared" si="17"/>
        <v>0.02</v>
      </c>
      <c r="M63" s="4">
        <f t="shared" si="14"/>
        <v>0.1295</v>
      </c>
      <c r="N63" s="4">
        <f t="shared" si="15"/>
        <v>0.74</v>
      </c>
    </row>
    <row r="64" spans="1:14">
      <c r="A64" t="str">
        <f t="shared" si="0"/>
        <v>MK~BR_CN~Vai_de_Visa_MN~NONE_YQ~19Q1Q4_CP~NONE_OB~LDS_PK~NONE</v>
      </c>
      <c r="B64" t="str">
        <f t="shared" si="1"/>
        <v>Facebook</v>
      </c>
      <c r="C64" t="str">
        <f t="shared" si="2"/>
        <v>CH~SOCIAL_DT~MULTI_PB~FCBK_FM~LINKAD_RT~CPM_PD~VDV_DECOLAR_LINKAD_FB_FERIADO_GENERICO_01_1X1_TG~BHVDEM_TS~NONE_SZ~1X1_SOCIAL_MK~BR_IT~SOCIAL_VV~NONE</v>
      </c>
      <c r="D64" t="str">
        <f t="shared" si="3"/>
        <v>236781700</v>
      </c>
      <c r="E64" t="str">
        <f t="shared" si="4"/>
        <v>Dynamic Click</v>
      </c>
      <c r="F64" t="str">
        <f t="shared" si="5"/>
        <v>CH~SOCIAL_DT~MULTI_PB~FCBK_FM~LINKAD_RT~CPM_PD~VDV_DECOLAR_LINKAD_FB_FERIADO_GENERICO_01_1X1_TG~BHVDEM_TS~NONE_SZ~1X1_SOCIAL_MK~BR_IT~SOCIAL_VV~NONE</v>
      </c>
      <c r="G64" t="str">
        <f t="shared" si="6"/>
        <v>434163074</v>
      </c>
      <c r="H64" t="str">
        <f t="shared" si="7"/>
        <v>Tracking</v>
      </c>
      <c r="I64">
        <f t="shared" si="8"/>
        <v>0</v>
      </c>
      <c r="J64">
        <f t="shared" si="9"/>
        <v>1</v>
      </c>
      <c r="K64" s="4">
        <f t="shared" si="16"/>
        <v>3.5000000000000001E-3</v>
      </c>
      <c r="L64">
        <f t="shared" si="17"/>
        <v>0.02</v>
      </c>
      <c r="M64" s="4">
        <f t="shared" si="14"/>
        <v>3.5000000000000001E-3</v>
      </c>
      <c r="N64" s="4">
        <f t="shared" si="15"/>
        <v>0.02</v>
      </c>
    </row>
    <row r="65" spans="1:14">
      <c r="A65" t="str">
        <f t="shared" si="0"/>
        <v>MK~BR_CN~Vai_de_Visa_MN~NONE_YQ~19Q1Q4_CP~NONE_OB~LDS_PK~NONE</v>
      </c>
      <c r="B65" t="str">
        <f t="shared" si="1"/>
        <v>Facebook</v>
      </c>
      <c r="C65" t="str">
        <f t="shared" si="2"/>
        <v>CH~SOCIAL_DT~MULTI_PB~FCBK_FM~LINKAD_RT~CPM_PD~VDV_DECOLAR_LINKAD_FB_FERIADO_GENERICO_01_PERFORMANCE_1X1_TG~BHVDEM_TS~NONE_SZ~1X1_SOCIAL_MK~BR_IT~SOCIAL_VV~NONE</v>
      </c>
      <c r="D65" t="str">
        <f t="shared" si="3"/>
        <v>242043296</v>
      </c>
      <c r="E65" t="str">
        <f t="shared" si="4"/>
        <v>Dynamic Click</v>
      </c>
      <c r="F65" t="str">
        <f t="shared" si="5"/>
        <v>CH~SOCIAL_DT~MULTI_PB~FCBK_FM~LINKAD_RT~CPM_PD~VDV_DECOLAR_LINKAD_FB_FERIADO_GENERICO_01_PERFORMANCE_1X1_TG~BHVDEM_TS~NONE_SZ~1X1_SOCIAL_MK~BR_IT~SOCIAL_VV~NONE</v>
      </c>
      <c r="G65" t="str">
        <f t="shared" si="6"/>
        <v>438965537</v>
      </c>
      <c r="H65" t="str">
        <f t="shared" si="7"/>
        <v>Tracking</v>
      </c>
      <c r="I65">
        <f t="shared" si="8"/>
        <v>0</v>
      </c>
      <c r="J65">
        <f t="shared" si="9"/>
        <v>2743</v>
      </c>
      <c r="K65" s="4">
        <f t="shared" si="16"/>
        <v>3.5000000000000001E-3</v>
      </c>
      <c r="L65">
        <f t="shared" si="17"/>
        <v>0.02</v>
      </c>
      <c r="M65" s="4">
        <f t="shared" si="14"/>
        <v>9.6005000000000003</v>
      </c>
      <c r="N65" s="4">
        <f t="shared" si="15"/>
        <v>54.86</v>
      </c>
    </row>
    <row r="66" spans="1:14">
      <c r="A66" t="str">
        <f t="shared" ref="A66:A129" si="18">bd_campaign</f>
        <v>MK~BR_CN~Vai_de_Visa_MN~NONE_YQ~19Q1Q4_CP~NONE_OB~LDS_PK~NONE</v>
      </c>
      <c r="B66" t="str">
        <f t="shared" ref="B66:B129" si="19">bd_site</f>
        <v>Facebook</v>
      </c>
      <c r="C66" t="str">
        <f t="shared" ref="C66:C129" si="20">bd_placement</f>
        <v>CH~SOCIAL_DT~MULTI_PB~FCBK_FM~LINKAD_RT~CPM_PD~VDV_DECOLAR_LINKAD_FB_FERIADO_GENERICO_02_1X1_TG~BHVDEM_TS~NONE_SZ~1X1_SOCIAL_MK~BR_IT~SOCIAL_VV~NONE</v>
      </c>
      <c r="D66" t="str">
        <f t="shared" ref="D66:D129" si="21">bd_placementID</f>
        <v>236781694</v>
      </c>
      <c r="E66" t="str">
        <f t="shared" ref="E66:E129" si="22">VLOOKUP(CONCATENATE(bd_adtype,"_",bd_creativetype),tabela,2,FALSE)</f>
        <v>Dynamic Click</v>
      </c>
      <c r="F66" t="str">
        <f t="shared" ref="F66:F129" si="23">bd_ad</f>
        <v>CH~SOCIAL_DT~MULTI_PB~FCBK_FM~LINKAD_RT~CPM_PD~VDV_DECOLAR_LINKAD_FB_FERIADO_GENERICO_02_1X1_TG~BHVDEM_TS~NONE_SZ~1X1_SOCIAL_MK~BR_IT~SOCIAL_VV~NONE</v>
      </c>
      <c r="G66" t="str">
        <f t="shared" ref="G66:G129" si="24">bd_adid</f>
        <v>434163068</v>
      </c>
      <c r="H66" t="str">
        <f t="shared" ref="H66:H129" si="25">bd_creativetype</f>
        <v>Tracking</v>
      </c>
      <c r="I66">
        <f t="shared" ref="I66:I129" si="26">bd_impression</f>
        <v>0</v>
      </c>
      <c r="J66">
        <f t="shared" ref="J66:J129" si="27">bd_clicks</f>
        <v>2</v>
      </c>
      <c r="K66" s="4">
        <f t="shared" si="16"/>
        <v>3.5000000000000001E-3</v>
      </c>
      <c r="L66">
        <f t="shared" si="17"/>
        <v>0.02</v>
      </c>
      <c r="M66" s="4">
        <f t="shared" si="14"/>
        <v>7.0000000000000001E-3</v>
      </c>
      <c r="N66" s="4">
        <f t="shared" si="15"/>
        <v>0.04</v>
      </c>
    </row>
    <row r="67" spans="1:14">
      <c r="A67" t="str">
        <f t="shared" si="18"/>
        <v>MK~BR_CN~Vai_de_Visa_MN~NONE_YQ~19Q1Q4_CP~NONE_OB~LDS_PK~NONE</v>
      </c>
      <c r="B67" t="str">
        <f t="shared" si="19"/>
        <v>Facebook</v>
      </c>
      <c r="C67" t="str">
        <f t="shared" si="20"/>
        <v>CH~SOCIAL_DT~MULTI_PB~FCBK_FM~LINKAD_RT~CPM_PD~VDV_DECOLAR_LINKAD_FB_FERIADO_GENERICO_02_PERFORMANCE_1X1_TG~BHVDEM_TS~NONE_SZ~1X1_SOCIAL_MK~BR_IT~SOCIAL_VV~NONE</v>
      </c>
      <c r="D67" t="str">
        <f t="shared" si="21"/>
        <v>242022449</v>
      </c>
      <c r="E67" t="str">
        <f t="shared" si="22"/>
        <v>Dynamic Click</v>
      </c>
      <c r="F67" t="str">
        <f t="shared" si="23"/>
        <v>CH~SOCIAL_DT~MULTI_PB~FCBK_FM~LINKAD_RT~CPM_PD~VDV_DECOLAR_LINKAD_FB_FERIADO_GENERICO_02_PERFORMANCE_1X1_TG~BHVDEM_TS~NONE_SZ~1X1_SOCIAL_MK~BR_IT~SOCIAL_VV~NONE</v>
      </c>
      <c r="G67" t="str">
        <f t="shared" si="24"/>
        <v>438965540</v>
      </c>
      <c r="H67" t="str">
        <f t="shared" si="25"/>
        <v>Tracking</v>
      </c>
      <c r="I67">
        <f t="shared" si="26"/>
        <v>0</v>
      </c>
      <c r="J67">
        <f t="shared" si="27"/>
        <v>6424</v>
      </c>
      <c r="K67" s="4">
        <f t="shared" si="16"/>
        <v>3.5000000000000001E-3</v>
      </c>
      <c r="L67">
        <f t="shared" si="17"/>
        <v>0.02</v>
      </c>
      <c r="M67" s="4">
        <f t="shared" si="14"/>
        <v>22.484000000000002</v>
      </c>
      <c r="N67" s="4">
        <f t="shared" si="15"/>
        <v>128.47999999999999</v>
      </c>
    </row>
    <row r="68" spans="1:14">
      <c r="A68" t="str">
        <f t="shared" si="18"/>
        <v>MK~BR_CN~Vai_de_Visa_MN~NONE_YQ~19Q1Q4_CP~NONE_OB~LDS_PK~NONE</v>
      </c>
      <c r="B68" t="str">
        <f t="shared" si="19"/>
        <v>Facebook</v>
      </c>
      <c r="C68" t="str">
        <f t="shared" si="20"/>
        <v>CH~SOCIAL_DT~MULTI_PB~FCBK_FM~LINKAD_RT~CPM_PD~VDV_GOL_CICLO_B_LINKAD_1_1X1_TG~BHVDEM_TS~NONE_SZ~1X1_SOCIAL_MK~BR_IT~SOCIAL_VV~NONE</v>
      </c>
      <c r="D68" t="str">
        <f t="shared" si="21"/>
        <v>241418650</v>
      </c>
      <c r="E68" t="str">
        <f t="shared" si="22"/>
        <v>Dynamic Click</v>
      </c>
      <c r="F68" t="str">
        <f t="shared" si="23"/>
        <v>CH~SOCIAL_DT~MULTI_PB~FCBK_FM~LINKAD_RT~CPM_PD~VDV_GOL_CICLO_B_LINKAD_1_1X1_TG~BHVDEM_TS~NONE_SZ~1X1_SOCIAL_MK~BR_IT~SOCIAL_VV~NONE</v>
      </c>
      <c r="G68" t="str">
        <f t="shared" si="24"/>
        <v>438209223</v>
      </c>
      <c r="H68" t="str">
        <f t="shared" si="25"/>
        <v>Tracking</v>
      </c>
      <c r="I68">
        <f t="shared" si="26"/>
        <v>0</v>
      </c>
      <c r="J68">
        <f t="shared" si="27"/>
        <v>222</v>
      </c>
      <c r="K68" s="4">
        <f t="shared" si="16"/>
        <v>3.5000000000000001E-3</v>
      </c>
      <c r="L68">
        <f t="shared" si="17"/>
        <v>0.02</v>
      </c>
      <c r="M68" s="4">
        <f t="shared" si="14"/>
        <v>0.77700000000000002</v>
      </c>
      <c r="N68" s="4">
        <f t="shared" si="15"/>
        <v>4.4400000000000004</v>
      </c>
    </row>
    <row r="69" spans="1:14">
      <c r="A69" t="str">
        <f t="shared" si="18"/>
        <v>MK~BR_CN~Vai_de_Visa_MN~NONE_YQ~19Q1Q4_CP~NONE_OB~LDS_PK~NONE</v>
      </c>
      <c r="B69" t="str">
        <f t="shared" si="19"/>
        <v>Facebook</v>
      </c>
      <c r="C69" t="str">
        <f t="shared" si="20"/>
        <v>CH~SOCIAL_DT~MULTI_PB~FCBK_FM~LINKAD_RT~CPM_PD~VDV_GPA_LINKAD_FB_GENERICO_02_1X1_TG~BHVDEM_TS~NONE_SZ~1X1_SOCIAL_MK~BR_IT~SOCIAL_VV~NONE</v>
      </c>
      <c r="D69" t="str">
        <f t="shared" si="21"/>
        <v>236795818</v>
      </c>
      <c r="E69" t="str">
        <f t="shared" si="22"/>
        <v>Dynamic Click</v>
      </c>
      <c r="F69" t="str">
        <f t="shared" si="23"/>
        <v>CH~SOCIAL_DT~MULTI_PB~FCBK_FM~LINKAD_RT~CPM_PD~VDV_GPA_LINKAD_FB_GENERICO_02_1X1_TG~BHVDEM_TS~NONE_SZ~1X1_SOCIAL_MK~BR_IT~SOCIAL_VV~NONE</v>
      </c>
      <c r="G69" t="str">
        <f t="shared" si="24"/>
        <v>434240473</v>
      </c>
      <c r="H69" t="str">
        <f t="shared" si="25"/>
        <v>Tracking</v>
      </c>
      <c r="I69">
        <f t="shared" si="26"/>
        <v>0</v>
      </c>
      <c r="J69">
        <f t="shared" si="27"/>
        <v>10</v>
      </c>
      <c r="K69" s="4">
        <f t="shared" si="16"/>
        <v>3.5000000000000001E-3</v>
      </c>
      <c r="L69">
        <f t="shared" si="17"/>
        <v>0.02</v>
      </c>
      <c r="M69" s="4">
        <f t="shared" si="14"/>
        <v>3.5000000000000003E-2</v>
      </c>
      <c r="N69" s="4">
        <f t="shared" si="15"/>
        <v>0.2</v>
      </c>
    </row>
    <row r="70" spans="1:14">
      <c r="A70" t="str">
        <f t="shared" si="18"/>
        <v>MK~BR_CN~Vai_de_Visa_MN~NONE_YQ~19Q1Q4_CP~NONE_OB~LDS_PK~NONE</v>
      </c>
      <c r="B70" t="str">
        <f t="shared" si="19"/>
        <v>Facebook</v>
      </c>
      <c r="C70" t="str">
        <f t="shared" si="20"/>
        <v>CH~SOCIAL_DT~MULTI_PB~FCBK_FM~LINKAD_RT~CPM_PD~VDV_GPA_LINKAD_FB_GENERICO_02_PERFORMANCE_1X1_TG~BHVDEM_TS~NONE_SZ~1X1_SOCIAL_MK~BR_IT~SOCIAL_VV~NONE</v>
      </c>
      <c r="D70" t="str">
        <f t="shared" si="21"/>
        <v>242022386</v>
      </c>
      <c r="E70" t="str">
        <f t="shared" si="22"/>
        <v>Dynamic Click</v>
      </c>
      <c r="F70" t="str">
        <f t="shared" si="23"/>
        <v>CH~SOCIAL_DT~MULTI_PB~FCBK_FM~LINKAD_RT~CPM_PD~VDV_GPA_LINKAD_FB_GENERICO_02_PERFORMANCE_1X1_TG~BHVDEM_TS~NONE_SZ~1X1_SOCIAL_MK~BR_IT~SOCIAL_VV~NONE</v>
      </c>
      <c r="G70" t="str">
        <f t="shared" si="24"/>
        <v>438972503</v>
      </c>
      <c r="H70" t="str">
        <f t="shared" si="25"/>
        <v>Tracking</v>
      </c>
      <c r="I70">
        <f t="shared" si="26"/>
        <v>0</v>
      </c>
      <c r="J70">
        <f t="shared" si="27"/>
        <v>1082</v>
      </c>
      <c r="K70" s="4">
        <f t="shared" si="16"/>
        <v>3.5000000000000001E-3</v>
      </c>
      <c r="L70">
        <f t="shared" si="17"/>
        <v>0.02</v>
      </c>
      <c r="M70" s="4">
        <f t="shared" si="14"/>
        <v>3.7869999999999999</v>
      </c>
      <c r="N70" s="4">
        <f t="shared" si="15"/>
        <v>21.64</v>
      </c>
    </row>
    <row r="71" spans="1:14">
      <c r="A71" t="str">
        <f t="shared" si="18"/>
        <v>MK~BR_CN~Vai_de_Visa_MN~NONE_YQ~19Q1Q4_CP~NONE_OB~LDS_PK~NONE</v>
      </c>
      <c r="B71" t="str">
        <f t="shared" si="19"/>
        <v>Facebook</v>
      </c>
      <c r="C71" t="str">
        <f t="shared" si="20"/>
        <v>CH~SOCIAL_DT~MULTI_PB~FCBK_FM~LINKAD_RT~CPM_PD~VDV_MOVIDA_LINKAD_15_OFF_CARRO_RELOGIO_1X1_TG~BHVDEM_TS~NONE_SZ~1X1_SOCIAL_MK~BR_IT~SOCIAL_VV~NONE</v>
      </c>
      <c r="D71" t="str">
        <f t="shared" si="21"/>
        <v>240049025</v>
      </c>
      <c r="E71" t="str">
        <f t="shared" si="22"/>
        <v>Dynamic Click</v>
      </c>
      <c r="F71" t="str">
        <f t="shared" si="23"/>
        <v>CH~SOCIAL_DT~MULTI_PB~FCBK_FM~LINKAD_RT~CPM_PD~VDV_MOVIDA_LINKAD_15_OFF_CARRO_RELOGIO_1X1_TG~BHVDEM_TS~NONE_SZ~1X1_SOCIAL_MK~BR_IT~SOCIAL_VV~NONE</v>
      </c>
      <c r="G71" t="str">
        <f t="shared" si="24"/>
        <v>437151374</v>
      </c>
      <c r="H71" t="str">
        <f t="shared" si="25"/>
        <v>Tracking</v>
      </c>
      <c r="I71">
        <f t="shared" si="26"/>
        <v>0</v>
      </c>
      <c r="J71">
        <f t="shared" si="27"/>
        <v>321</v>
      </c>
      <c r="K71" s="4">
        <f t="shared" si="16"/>
        <v>3.5000000000000001E-3</v>
      </c>
      <c r="L71">
        <f t="shared" si="17"/>
        <v>0.02</v>
      </c>
      <c r="M71" s="4">
        <f t="shared" si="14"/>
        <v>1.1234999999999999</v>
      </c>
      <c r="N71" s="4">
        <f t="shared" si="15"/>
        <v>6.42</v>
      </c>
    </row>
    <row r="72" spans="1:14">
      <c r="A72" t="str">
        <f t="shared" si="18"/>
        <v>MK~BR_CN~Vai_de_Visa_MN~NONE_YQ~19Q1Q4_CP~NONE_OB~LDS_PK~NONE</v>
      </c>
      <c r="B72" t="str">
        <f t="shared" si="19"/>
        <v>Facebook</v>
      </c>
      <c r="C72" t="str">
        <f t="shared" si="20"/>
        <v>CH~SOCIAL_DT~MULTI_PB~FCBK_FM~LINKAD_RT~CPM_PD~VDV_MOVIDA_LINKAD_17_OFF_CARRO_RELOGIO_1X1_TG~BHVDEM_TS~NONE_SZ~1X1_SOCIAL_MK~BR_IT~SOCIAL_VV~NONE</v>
      </c>
      <c r="D72" t="str">
        <f t="shared" si="21"/>
        <v>242482873</v>
      </c>
      <c r="E72" t="str">
        <f t="shared" si="22"/>
        <v>Dynamic Click</v>
      </c>
      <c r="F72" t="str">
        <f t="shared" si="23"/>
        <v>CH~SOCIAL_DT~MULTI_PB~FCBK_FM~LINKAD_RT~CPM_PD~VDV_MOVIDA_LINKAD_17_OFF_CARRO_RELOGIO_1X1_TG~BHVDEM_TS~NONE_SZ~1X1_SOCIAL_MK~BR_IT~SOCIAL_VV~NONE</v>
      </c>
      <c r="G72" t="str">
        <f t="shared" si="24"/>
        <v>439236991</v>
      </c>
      <c r="H72" t="str">
        <f t="shared" si="25"/>
        <v>Tracking</v>
      </c>
      <c r="I72">
        <f t="shared" si="26"/>
        <v>0</v>
      </c>
      <c r="J72">
        <f t="shared" si="27"/>
        <v>1686</v>
      </c>
      <c r="K72" s="4">
        <f t="shared" si="16"/>
        <v>3.5000000000000001E-3</v>
      </c>
      <c r="L72">
        <f t="shared" si="17"/>
        <v>0.02</v>
      </c>
      <c r="M72" s="4">
        <f t="shared" si="14"/>
        <v>5.9009999999999998</v>
      </c>
      <c r="N72" s="4">
        <f t="shared" si="15"/>
        <v>33.72</v>
      </c>
    </row>
    <row r="73" spans="1:14">
      <c r="A73" t="str">
        <f t="shared" si="18"/>
        <v>MK~BR_CN~Vai_de_Visa_MN~NONE_YQ~19Q1Q4_CP~NONE_OB~LDS_PK~NONE</v>
      </c>
      <c r="B73" t="str">
        <f t="shared" si="19"/>
        <v>Facebook</v>
      </c>
      <c r="C73" t="str">
        <f t="shared" si="20"/>
        <v>CH~SOCIAL_DT~MULTI_PB~FCBK_FM~LINKAD_RT~CPM_PD~VDV_MOVIDA_LINKAD_20_OFF_CARRO_RELOGIO_1X1_TG~BHVDEM_TS~NONE_SZ~1X1_SOCIAL_MK~BR_IT~SOCIAL_VV~NONE</v>
      </c>
      <c r="D73" t="str">
        <f t="shared" si="21"/>
        <v>238267393</v>
      </c>
      <c r="E73" t="str">
        <f t="shared" si="22"/>
        <v>Dynamic Click</v>
      </c>
      <c r="F73" t="str">
        <f t="shared" si="23"/>
        <v>CH~SOCIAL_DT~MULTI_PB~FCBK_FM~LINKAD_RT~CPM_PD~VDV_MOVIDA_LINKAD_20_OFF_CARRO_RELOGIO_1X1_TG~BHVDEM_TS~NONE_SZ~1X1_SOCIAL_MK~BR_IT~SOCIAL_VV~NONE</v>
      </c>
      <c r="G73" t="str">
        <f t="shared" si="24"/>
        <v>435557524</v>
      </c>
      <c r="H73" t="str">
        <f t="shared" si="25"/>
        <v>Tracking</v>
      </c>
      <c r="I73">
        <f t="shared" si="26"/>
        <v>0</v>
      </c>
      <c r="J73">
        <f t="shared" si="27"/>
        <v>1</v>
      </c>
      <c r="K73" s="4">
        <f t="shared" si="16"/>
        <v>3.5000000000000001E-3</v>
      </c>
      <c r="L73">
        <f t="shared" si="17"/>
        <v>0.02</v>
      </c>
      <c r="M73" s="4">
        <f t="shared" si="14"/>
        <v>3.5000000000000001E-3</v>
      </c>
      <c r="N73" s="4">
        <f t="shared" si="15"/>
        <v>0.02</v>
      </c>
    </row>
    <row r="74" spans="1:14">
      <c r="A74" t="str">
        <f t="shared" si="18"/>
        <v>MK~BR_CN~Vai_de_Visa_MN~NONE_YQ~19Q1Q4_CP~NONE_OB~LDS_PK~NONE</v>
      </c>
      <c r="B74" t="str">
        <f t="shared" si="19"/>
        <v>Facebook</v>
      </c>
      <c r="C74" t="str">
        <f t="shared" si="20"/>
        <v>CH~SOCIAL_DT~MULTI_PB~FCBK_FM~LINKAD_RT~CPM_PD~VDV_NATURA_MULHER1_LINKAD_FB_10OFF_1X1_TG~BHVDEM_TS~NONE_SZ~1X1_SOCIAL_MK~BR_IT~SOCIAL_VV~NONE</v>
      </c>
      <c r="D74" t="str">
        <f t="shared" si="21"/>
        <v>242550632</v>
      </c>
      <c r="E74" t="str">
        <f t="shared" si="22"/>
        <v>Dynamic Click</v>
      </c>
      <c r="F74" t="str">
        <f t="shared" si="23"/>
        <v>CH~SOCIAL_DT~MULTI_PB~FCBK_FM~LINKAD_RT~CPM_PD~VDV_NATURA_MULHER1_LINKAD_FB_10OFF_1X1_TG~BHVDEM_TS~NONE_SZ~1X1_SOCIAL_MK~BR_IT~SOCIAL_VV~NONE</v>
      </c>
      <c r="G74" t="str">
        <f t="shared" si="24"/>
        <v>439386272</v>
      </c>
      <c r="H74" t="str">
        <f t="shared" si="25"/>
        <v>Tracking</v>
      </c>
      <c r="I74">
        <f t="shared" si="26"/>
        <v>0</v>
      </c>
      <c r="J74">
        <f t="shared" si="27"/>
        <v>7340</v>
      </c>
      <c r="K74" s="4">
        <f t="shared" si="16"/>
        <v>3.5000000000000001E-3</v>
      </c>
      <c r="L74">
        <f t="shared" si="17"/>
        <v>0.02</v>
      </c>
      <c r="M74" s="4">
        <f t="shared" si="14"/>
        <v>25.69</v>
      </c>
      <c r="N74" s="4">
        <f t="shared" si="15"/>
        <v>146.80000000000001</v>
      </c>
    </row>
    <row r="75" spans="1:14">
      <c r="A75" t="str">
        <f t="shared" si="18"/>
        <v>MK~BR_CN~Vai_de_Visa_MN~NONE_YQ~19Q1Q4_CP~NONE_OB~LDS_PK~NONE</v>
      </c>
      <c r="B75" t="str">
        <f t="shared" si="19"/>
        <v>Facebook</v>
      </c>
      <c r="C75" t="str">
        <f t="shared" si="20"/>
        <v>CH~SOCIAL_DT~MULTI_PB~FCBK_FM~VERTICAL_RT~CPM_PD~VDV_GOL_CICLO_B_VERTICAL_COMPLETO_1X1_TG~BHVDEM_TS~NONE_SZ~1X1_SOCIAL_MK~BR_IT~SOCIAL_VV~NONE</v>
      </c>
      <c r="D75" t="str">
        <f t="shared" si="21"/>
        <v>241418641</v>
      </c>
      <c r="E75" t="str">
        <f t="shared" si="22"/>
        <v>Dynamic Click</v>
      </c>
      <c r="F75" t="str">
        <f t="shared" si="23"/>
        <v>CH~SOCIAL_DT~MULTI_PB~FCBK_FM~VERTICAL_RT~CPM_PD~VDV_GOL_CICLO_B_VERTICAL_COMPLETO_1X1_TG~BHVDEM_TS~NONE_SZ~1X1_SOCIAL_MK~BR_IT~SOCIAL_VV~NONE</v>
      </c>
      <c r="G75" t="str">
        <f t="shared" si="24"/>
        <v>438209214</v>
      </c>
      <c r="H75" t="str">
        <f t="shared" si="25"/>
        <v>Tracking</v>
      </c>
      <c r="I75">
        <f t="shared" si="26"/>
        <v>0</v>
      </c>
      <c r="J75">
        <f t="shared" si="27"/>
        <v>9328</v>
      </c>
      <c r="K75" s="4">
        <f t="shared" si="16"/>
        <v>3.5000000000000001E-3</v>
      </c>
      <c r="L75">
        <f t="shared" si="17"/>
        <v>0.02</v>
      </c>
      <c r="M75" s="4">
        <f t="shared" si="14"/>
        <v>32.648000000000003</v>
      </c>
      <c r="N75" s="4">
        <f t="shared" si="15"/>
        <v>186.56</v>
      </c>
    </row>
    <row r="76" spans="1:14">
      <c r="A76" t="str">
        <f t="shared" si="18"/>
        <v>MK~BR_CN~Vai_de_Visa_MN~NONE_YQ~19Q1Q4_CP~NONE_OB~LDS_PK~NONE</v>
      </c>
      <c r="B76" t="str">
        <f t="shared" si="19"/>
        <v>Facebook</v>
      </c>
      <c r="C76" t="str">
        <f t="shared" si="20"/>
        <v>CH~SOCIAL_DT~MULTI_PB~FCBK_FM~VERTICAL_RT~CPM_PD~VDV_GOL_CICLO_B_VERTICAL_NOTICIAS_1X1_TG~BHVDEM_TS~NONE_SZ~1X1_SOCIAL_MK~BR_IT~SOCIAL_VV~NONE</v>
      </c>
      <c r="D76" t="str">
        <f t="shared" si="21"/>
        <v>241418647</v>
      </c>
      <c r="E76" t="str">
        <f t="shared" si="22"/>
        <v>Dynamic Click</v>
      </c>
      <c r="F76" t="str">
        <f t="shared" si="23"/>
        <v>CH~SOCIAL_DT~MULTI_PB~FCBK_FM~VERTICAL_RT~CPM_PD~VDV_GOL_CICLO_B_VERTICAL_NOTICIAS_1X1_TG~BHVDEM_TS~NONE_SZ~1X1_SOCIAL_MK~BR_IT~SOCIAL_VV~NONE</v>
      </c>
      <c r="G76" t="str">
        <f t="shared" si="24"/>
        <v>438209220</v>
      </c>
      <c r="H76" t="str">
        <f t="shared" si="25"/>
        <v>Tracking</v>
      </c>
      <c r="I76">
        <f t="shared" si="26"/>
        <v>0</v>
      </c>
      <c r="J76">
        <f t="shared" si="27"/>
        <v>1</v>
      </c>
      <c r="K76" s="4">
        <f t="shared" si="16"/>
        <v>3.5000000000000001E-3</v>
      </c>
      <c r="L76">
        <f t="shared" si="17"/>
        <v>0.02</v>
      </c>
      <c r="M76" s="4">
        <f t="shared" si="14"/>
        <v>3.5000000000000001E-3</v>
      </c>
      <c r="N76" s="4">
        <f t="shared" si="15"/>
        <v>0.02</v>
      </c>
    </row>
    <row r="77" spans="1:14">
      <c r="A77" t="str">
        <f t="shared" si="18"/>
        <v>MK~BR_CN~Vai_de_Visa_MN~NONE_YQ~19Q1Q4_CP~NONE_OB~LDS_PK~NONE</v>
      </c>
      <c r="B77" t="str">
        <f t="shared" si="19"/>
        <v>Facebook</v>
      </c>
      <c r="C77" t="str">
        <f t="shared" si="20"/>
        <v>CH~SOCIAL_DT~MULTI_PB~FCBK_FM~VERTICAL_RT~CPM_PD~VDV_GOL_CICLO_B_VERTICAL_NOTICIAS_1X1_TG~BHVDEM_TS~NONE_SZ~1X1_SOCIAL_MK~BR_IT~SOCIAL_VV~NONE</v>
      </c>
      <c r="D77" t="str">
        <f t="shared" si="21"/>
        <v>241418659</v>
      </c>
      <c r="E77" t="str">
        <f t="shared" si="22"/>
        <v>Dynamic Click</v>
      </c>
      <c r="F77" t="str">
        <f t="shared" si="23"/>
        <v>CH~SOCIAL_DT~MULTI_PB~FCBK_FM~VERTICAL_RT~CPM_PD~VDV_GOL_CICLO_B_VERTICAL_NOTICIAS_1X1_TG~BHVDEM_TS~NONE_SZ~1X1_SOCIAL_MK~BR_IT~SOCIAL_VV~NONE</v>
      </c>
      <c r="G77" t="str">
        <f t="shared" si="24"/>
        <v>438209232</v>
      </c>
      <c r="H77" t="str">
        <f t="shared" si="25"/>
        <v>Tracking</v>
      </c>
      <c r="I77">
        <f t="shared" si="26"/>
        <v>0</v>
      </c>
      <c r="J77">
        <f t="shared" si="27"/>
        <v>11992</v>
      </c>
      <c r="K77" s="4">
        <f t="shared" si="16"/>
        <v>3.5000000000000001E-3</v>
      </c>
      <c r="L77">
        <f t="shared" si="17"/>
        <v>0.02</v>
      </c>
      <c r="M77" s="4">
        <f t="shared" si="14"/>
        <v>41.972000000000001</v>
      </c>
      <c r="N77" s="4">
        <f t="shared" si="15"/>
        <v>239.84</v>
      </c>
    </row>
    <row r="78" spans="1:14">
      <c r="A78" t="str">
        <f t="shared" si="18"/>
        <v>MK~BR_CN~Vai_de_Visa_MN~NONE_YQ~19Q1Q4_CP~NONE_OB~LDS_PK~NONE</v>
      </c>
      <c r="B78" t="str">
        <f t="shared" si="19"/>
        <v>Facebook</v>
      </c>
      <c r="C78" t="str">
        <f t="shared" si="20"/>
        <v>CH~SOCIAL_DT~MULTI_PB~FCBK_FM~VERTICAL_RT~CPM_PD~VDV_GOL_CICLO_B_VERTICAL_NOTICIAS_1X1_TG~BHVDEM_TS~NONE_SZ~1X1_SOCIAL_MK~BR_IT~SOCIAL_VV~NONE</v>
      </c>
      <c r="D78" t="str">
        <f t="shared" si="21"/>
        <v>241418665</v>
      </c>
      <c r="E78" t="str">
        <f t="shared" si="22"/>
        <v>Dynamic Click</v>
      </c>
      <c r="F78" t="str">
        <f t="shared" si="23"/>
        <v>CH~SOCIAL_DT~MULTI_PB~FCBK_FM~VERTICAL_RT~CPM_PD~VDV_GOL_CICLO_B_VERTICAL_NOTICIAS_1X1_TG~BHVDEM_TS~NONE_SZ~1X1_SOCIAL_MK~BR_IT~SOCIAL_VV~NONE</v>
      </c>
      <c r="G78" t="str">
        <f t="shared" si="24"/>
        <v>438209238</v>
      </c>
      <c r="H78" t="str">
        <f t="shared" si="25"/>
        <v>Tracking</v>
      </c>
      <c r="I78">
        <f t="shared" si="26"/>
        <v>0</v>
      </c>
      <c r="J78">
        <f t="shared" si="27"/>
        <v>1</v>
      </c>
      <c r="K78" s="4">
        <f t="shared" si="16"/>
        <v>3.5000000000000001E-3</v>
      </c>
      <c r="L78">
        <f t="shared" si="17"/>
        <v>0.02</v>
      </c>
      <c r="M78" s="4">
        <f t="shared" si="14"/>
        <v>3.5000000000000001E-3</v>
      </c>
      <c r="N78" s="4">
        <f t="shared" si="15"/>
        <v>0.02</v>
      </c>
    </row>
    <row r="79" spans="1:14">
      <c r="A79" t="str">
        <f t="shared" si="18"/>
        <v>MK~BR_CN~Vai_de_Visa_MN~NONE_YQ~19Q1Q4_CP~NONE_OB~LDS_PK~NONE</v>
      </c>
      <c r="B79" t="str">
        <f t="shared" si="19"/>
        <v>Facebook</v>
      </c>
      <c r="C79" t="str">
        <f t="shared" si="20"/>
        <v>CH~SOCIAL_DT~MULTI_PB~FCBK_FM~VERTICAL_RT~CPM_PD~VDV_GOL_CICLO_B_VERTICAL_REDESSOCIAIS_1X1_TG~BHVDEM_TS~NONE_SZ~1X1_SOCIAL_MK~BR_IT~SOCIAL_VV~NONE</v>
      </c>
      <c r="D79" t="str">
        <f t="shared" si="21"/>
        <v>241418644</v>
      </c>
      <c r="E79" t="str">
        <f t="shared" si="22"/>
        <v>Dynamic Click</v>
      </c>
      <c r="F79" t="str">
        <f t="shared" si="23"/>
        <v>CH~SOCIAL_DT~MULTI_PB~FCBK_FM~VERTICAL_RT~CPM_PD~VDV_GOL_CICLO_B_VERTICAL_REDESSOCIAIS_1X1_TG~BHVDEM_TS~NONE_SZ~1X1_SOCIAL_MK~BR_IT~SOCIAL_VV~NONE</v>
      </c>
      <c r="G79" t="str">
        <f t="shared" si="24"/>
        <v>438209217</v>
      </c>
      <c r="H79" t="str">
        <f t="shared" si="25"/>
        <v>Tracking</v>
      </c>
      <c r="I79">
        <f t="shared" si="26"/>
        <v>0</v>
      </c>
      <c r="J79">
        <f t="shared" si="27"/>
        <v>164</v>
      </c>
      <c r="K79" s="4">
        <f t="shared" si="16"/>
        <v>3.5000000000000001E-3</v>
      </c>
      <c r="L79">
        <f t="shared" si="17"/>
        <v>0.02</v>
      </c>
      <c r="M79" s="4">
        <f t="shared" si="14"/>
        <v>0.57400000000000007</v>
      </c>
      <c r="N79" s="4">
        <f t="shared" si="15"/>
        <v>3.2800000000000002</v>
      </c>
    </row>
    <row r="80" spans="1:14">
      <c r="A80" t="str">
        <f t="shared" si="18"/>
        <v>MK~BR_CN~Vai_de_Visa_MN~NONE_YQ~19Q1Q4_CP~NONE_OB~LDS_PK~NONE</v>
      </c>
      <c r="B80" t="str">
        <f t="shared" si="19"/>
        <v>Facebook</v>
      </c>
      <c r="C80" t="str">
        <f t="shared" si="20"/>
        <v>CH~SOCIAL_DT~MULTI_PB~FCBK_FM~VIDEO_RT~CPM_PD~VDV_GOL_CARROSSEL_VIAJAR_CONECTADO_1X1_TG~BHVDEM_TS~NONE_SZ~1X1_SOCIAL_MK~BR_IT~SOCIAL_VV~NONE</v>
      </c>
      <c r="D80" t="str">
        <f t="shared" si="21"/>
        <v>240845011</v>
      </c>
      <c r="E80" t="str">
        <f t="shared" si="22"/>
        <v>Dynamic Click</v>
      </c>
      <c r="F80" t="str">
        <f t="shared" si="23"/>
        <v>CH~SOCIAL_DT~MULTI_PB~FCBK_FM~VIDEO_RT~CPM_PD~VDV_GOL_CARROSSEL_VIAJAR_CONECTADO_1X1_TG~BHVDEM_TS~NONE_SZ~1X1_SOCIAL_MK~BR_IT~SOCIAL_VV~NONE</v>
      </c>
      <c r="G80" t="str">
        <f t="shared" si="24"/>
        <v>437732691</v>
      </c>
      <c r="H80" t="str">
        <f t="shared" si="25"/>
        <v>Tracking</v>
      </c>
      <c r="I80">
        <f t="shared" si="26"/>
        <v>0</v>
      </c>
      <c r="J80">
        <f t="shared" si="27"/>
        <v>1</v>
      </c>
      <c r="K80" s="4">
        <f t="shared" si="16"/>
        <v>3.5000000000000001E-3</v>
      </c>
      <c r="L80">
        <f t="shared" si="17"/>
        <v>0.02</v>
      </c>
      <c r="M80" s="4">
        <f t="shared" si="14"/>
        <v>3.5000000000000001E-3</v>
      </c>
      <c r="N80" s="4">
        <f t="shared" si="15"/>
        <v>0.02</v>
      </c>
    </row>
    <row r="81" spans="1:14">
      <c r="A81" t="str">
        <f t="shared" si="18"/>
        <v>MK~BR_CN~Vai_de_Visa_MN~NONE_YQ~19Q1Q4_CP~NONE_OB~LDS_PK~NONE</v>
      </c>
      <c r="B81" t="str">
        <f t="shared" si="19"/>
        <v>Google Brasil</v>
      </c>
      <c r="C81" t="str">
        <f t="shared" si="20"/>
        <v>CH~DISPLAY_DT~MULTI_PB~GDBM_FM~BANNER_RT~CPM_PD~VCO_GOL_WIFI_DBM_120X600_120X600_TG~BHVDEM_TS~NONE_SZ~120X600_PROGRAMMATIC_MK~BR_IT~PROGRAMMATIC_VV~NONE</v>
      </c>
      <c r="D81" t="str">
        <f t="shared" si="21"/>
        <v>242034079</v>
      </c>
      <c r="E81" t="str">
        <f t="shared" si="22"/>
        <v>Standard</v>
      </c>
      <c r="F81" t="str">
        <f t="shared" si="23"/>
        <v>CH~DISPLAY_DT~MULTI_PB~GDBM_FM~BANNER_RT~CPM_PD~VCO_GOL_WIFI_DBM_120X600_120X600_TG~BHVDEM_TS~NONE_SZ~120X600_PROGRAMMATIC_MK~BR_IT~PROGRAMMATIC_VV~NONE</v>
      </c>
      <c r="G81" t="str">
        <f t="shared" si="24"/>
        <v>438870787</v>
      </c>
      <c r="H81" t="str">
        <f t="shared" si="25"/>
        <v>Display</v>
      </c>
      <c r="I81">
        <f t="shared" si="26"/>
        <v>130208</v>
      </c>
      <c r="J81">
        <f t="shared" si="27"/>
        <v>56</v>
      </c>
      <c r="K81" s="4">
        <f t="shared" si="16"/>
        <v>3.8199999999999998E-2</v>
      </c>
      <c r="L81">
        <f t="shared" si="17"/>
        <v>0.09</v>
      </c>
      <c r="M81" s="4">
        <f t="shared" si="14"/>
        <v>4.9739456000000004</v>
      </c>
      <c r="N81" s="4">
        <f t="shared" si="15"/>
        <v>11.718719999999999</v>
      </c>
    </row>
    <row r="82" spans="1:14">
      <c r="A82" t="str">
        <f t="shared" si="18"/>
        <v>MK~BR_CN~Vai_de_Visa_MN~NONE_YQ~19Q1Q4_CP~NONE_OB~LDS_PK~NONE</v>
      </c>
      <c r="B82" t="str">
        <f t="shared" si="19"/>
        <v>Google Brasil</v>
      </c>
      <c r="C82" t="str">
        <f t="shared" si="20"/>
        <v>CH~DISPLAY_DT~MULTI_PB~GDBM_FM~BANNER_RT~CPM_PD~VCO_GOL_WIFI_DBM_160X600_160X600_TG~BHVDEM_TS~NONE_SZ~160X600_PROGRAMMATIC_MK~BR_IT~PROGRAMMATIC_VV~NONE</v>
      </c>
      <c r="D82" t="str">
        <f t="shared" si="21"/>
        <v>242034076</v>
      </c>
      <c r="E82" t="str">
        <f t="shared" si="22"/>
        <v>Standard</v>
      </c>
      <c r="F82" t="str">
        <f t="shared" si="23"/>
        <v>CH~DISPLAY_DT~MULTI_PB~GDBM_FM~BANNER_RT~CPM_PD~VCO_GOL_WIFI_DBM_160X600_160X600_TG~BHVDEM_TS~NONE_SZ~160X600_PROGRAMMATIC_MK~BR_IT~PROGRAMMATIC_VV~NONE</v>
      </c>
      <c r="G82" t="str">
        <f t="shared" si="24"/>
        <v>438870784</v>
      </c>
      <c r="H82" t="str">
        <f t="shared" si="25"/>
        <v>Display</v>
      </c>
      <c r="I82">
        <f t="shared" si="26"/>
        <v>337852</v>
      </c>
      <c r="J82">
        <f t="shared" si="27"/>
        <v>90</v>
      </c>
      <c r="K82" s="4">
        <f t="shared" si="16"/>
        <v>3.8199999999999998E-2</v>
      </c>
      <c r="L82">
        <f t="shared" si="17"/>
        <v>0.09</v>
      </c>
      <c r="M82" s="4">
        <f t="shared" si="14"/>
        <v>12.905946399999999</v>
      </c>
      <c r="N82" s="4">
        <f t="shared" si="15"/>
        <v>30.406680000000001</v>
      </c>
    </row>
    <row r="83" spans="1:14">
      <c r="A83" t="str">
        <f t="shared" si="18"/>
        <v>MK~BR_CN~Vai_de_Visa_MN~NONE_YQ~19Q1Q4_CP~NONE_OB~LDS_PK~NONE</v>
      </c>
      <c r="B83" t="str">
        <f t="shared" si="19"/>
        <v>Google Brasil</v>
      </c>
      <c r="C83" t="str">
        <f t="shared" si="20"/>
        <v>CH~DISPLAY_DT~MULTI_PB~GDBM_FM~BANNER_RT~CPM_PD~VCO_GOL_WIFI_DBM_300X250_300X250_TG~BHVDEM_TS~NONE_SZ~300X250_PROGRAMMATIC_MK~BR_IT~PROGRAMMATIC_VV~NONE</v>
      </c>
      <c r="D83" t="str">
        <f t="shared" si="21"/>
        <v>242034070</v>
      </c>
      <c r="E83" t="str">
        <f t="shared" si="22"/>
        <v>Standard</v>
      </c>
      <c r="F83" t="str">
        <f t="shared" si="23"/>
        <v>CH~DISPLAY_DT~MULTI_PB~GDBM_FM~BANNER_RT~CPM_PD~VCO_GOL_WIFI_DBM_300X250_300X250_TG~BHVDEM_TS~NONE_SZ~300X250_PROGRAMMATIC_MK~BR_IT~PROGRAMMATIC_VV~NONE</v>
      </c>
      <c r="G83" t="str">
        <f t="shared" si="24"/>
        <v>438870778</v>
      </c>
      <c r="H83" t="str">
        <f t="shared" si="25"/>
        <v>Display</v>
      </c>
      <c r="I83">
        <f t="shared" si="26"/>
        <v>1773226</v>
      </c>
      <c r="J83">
        <f t="shared" si="27"/>
        <v>1099</v>
      </c>
      <c r="K83" s="4">
        <f t="shared" si="16"/>
        <v>3.8199999999999998E-2</v>
      </c>
      <c r="L83">
        <f t="shared" si="17"/>
        <v>0.09</v>
      </c>
      <c r="M83" s="4">
        <f t="shared" si="14"/>
        <v>67.737233200000006</v>
      </c>
      <c r="N83" s="4">
        <f t="shared" si="15"/>
        <v>159.59034</v>
      </c>
    </row>
    <row r="84" spans="1:14">
      <c r="A84" t="str">
        <f t="shared" si="18"/>
        <v>MK~BR_CN~Vai_de_Visa_MN~NONE_YQ~19Q1Q4_CP~NONE_OB~LDS_PK~NONE</v>
      </c>
      <c r="B84" t="str">
        <f t="shared" si="19"/>
        <v>Google Brasil</v>
      </c>
      <c r="C84" t="str">
        <f t="shared" si="20"/>
        <v>CH~DISPLAY_DT~MULTI_PB~GDBM_FM~BANNER_RT~CPM_PD~VCO_GOL_WIFI_DBM_300X50_300X50_TG~BHVDEM_TS~NONE_SZ~300X50_PROGRAMMATIC_MK~BR_IT~PROGRAMMATIC_VV~NONE</v>
      </c>
      <c r="D84" t="str">
        <f t="shared" si="21"/>
        <v>242034073</v>
      </c>
      <c r="E84" t="str">
        <f t="shared" si="22"/>
        <v>Standard</v>
      </c>
      <c r="F84" t="str">
        <f t="shared" si="23"/>
        <v>CH~DISPLAY_DT~MULTI_PB~GDBM_FM~BANNER_RT~CPM_PD~VCO_GOL_WIFI_DBM_300X50_300X50_TG~BHVDEM_TS~NONE_SZ~300X50_PROGRAMMATIC_MK~BR_IT~PROGRAMMATIC_VV~NONE</v>
      </c>
      <c r="G84" t="str">
        <f t="shared" si="24"/>
        <v>438870781</v>
      </c>
      <c r="H84" t="str">
        <f t="shared" si="25"/>
        <v>Display</v>
      </c>
      <c r="I84">
        <f t="shared" si="26"/>
        <v>2351398</v>
      </c>
      <c r="J84">
        <f t="shared" si="27"/>
        <v>1851</v>
      </c>
      <c r="K84" s="4">
        <f t="shared" si="16"/>
        <v>3.8199999999999998E-2</v>
      </c>
      <c r="L84">
        <f t="shared" si="17"/>
        <v>0.09</v>
      </c>
      <c r="M84" s="4">
        <f t="shared" si="14"/>
        <v>89.823403599999992</v>
      </c>
      <c r="N84" s="4">
        <f t="shared" si="15"/>
        <v>211.62581999999998</v>
      </c>
    </row>
    <row r="85" spans="1:14">
      <c r="A85" t="str">
        <f t="shared" si="18"/>
        <v>MK~BR_CN~Vai_de_Visa_MN~NONE_YQ~19Q1Q4_CP~NONE_OB~LDS_PK~NONE</v>
      </c>
      <c r="B85" t="str">
        <f t="shared" si="19"/>
        <v>Google Brasil</v>
      </c>
      <c r="C85" t="str">
        <f t="shared" si="20"/>
        <v>CH~DISPLAY_DT~MULTI_PB~GDBM_FM~BANNER_RT~CPM_PD~VCO_GOL_WIFI_DBM_300X600_300X600_TG~BHVDEM_TS~NONE_SZ~300X600_PROGRAMMATIC_MK~BR_IT~PROGRAMMATIC_VV~NONE</v>
      </c>
      <c r="D85" t="str">
        <f t="shared" si="21"/>
        <v>242034067</v>
      </c>
      <c r="E85" t="str">
        <f t="shared" si="22"/>
        <v>Standard</v>
      </c>
      <c r="F85" t="str">
        <f t="shared" si="23"/>
        <v>CH~DISPLAY_DT~MULTI_PB~GDBM_FM~BANNER_RT~CPM_PD~VCO_GOL_WIFI_DBM_300X600_300X600_TG~BHVDEM_TS~NONE_SZ~300X600_PROGRAMMATIC_MK~BR_IT~PROGRAMMATIC_VV~NONE</v>
      </c>
      <c r="G85" t="str">
        <f t="shared" si="24"/>
        <v>438870775</v>
      </c>
      <c r="H85" t="str">
        <f t="shared" si="25"/>
        <v>Display</v>
      </c>
      <c r="I85">
        <f t="shared" si="26"/>
        <v>351996</v>
      </c>
      <c r="J85">
        <f t="shared" si="27"/>
        <v>135</v>
      </c>
      <c r="K85" s="4">
        <f t="shared" si="16"/>
        <v>3.8199999999999998E-2</v>
      </c>
      <c r="L85">
        <f t="shared" si="17"/>
        <v>0.09</v>
      </c>
      <c r="M85" s="4">
        <f t="shared" si="14"/>
        <v>13.4462472</v>
      </c>
      <c r="N85" s="4">
        <f t="shared" si="15"/>
        <v>31.679639999999999</v>
      </c>
    </row>
    <row r="86" spans="1:14">
      <c r="A86" t="str">
        <f t="shared" si="18"/>
        <v>MK~BR_CN~Vai_de_Visa_MN~NONE_YQ~19Q1Q4_CP~NONE_OB~LDS_PK~NONE</v>
      </c>
      <c r="B86" t="str">
        <f t="shared" si="19"/>
        <v>Google Brasil</v>
      </c>
      <c r="C86" t="str">
        <f t="shared" si="20"/>
        <v>CH~DISPLAY_DT~MULTI_PB~GDBM_FM~BANNER_RT~CPM_PD~VCO_GOL_WIFI_DBM_728X90_728X90_TG~BHVDEM_TS~NONE_SZ~728X90_PROGRAMMATIC_MK~BR_IT~PROGRAMMATIC_VV~NONE</v>
      </c>
      <c r="D86" t="str">
        <f t="shared" si="21"/>
        <v>242034064</v>
      </c>
      <c r="E86" t="str">
        <f t="shared" si="22"/>
        <v>Standard</v>
      </c>
      <c r="F86" t="str">
        <f t="shared" si="23"/>
        <v>CH~DISPLAY_DT~MULTI_PB~GDBM_FM~BANNER_RT~CPM_PD~VCO_GOL_WIFI_DBM_728X90_728X90_TG~BHVDEM_TS~NONE_SZ~728X90_PROGRAMMATIC_MK~BR_IT~PROGRAMMATIC_VV~NONE</v>
      </c>
      <c r="G86" t="str">
        <f t="shared" si="24"/>
        <v>438870772</v>
      </c>
      <c r="H86" t="str">
        <f t="shared" si="25"/>
        <v>Display</v>
      </c>
      <c r="I86">
        <f t="shared" si="26"/>
        <v>495162</v>
      </c>
      <c r="J86">
        <f t="shared" si="27"/>
        <v>173</v>
      </c>
      <c r="K86" s="4">
        <f t="shared" si="16"/>
        <v>3.8199999999999998E-2</v>
      </c>
      <c r="L86">
        <f t="shared" si="17"/>
        <v>0.09</v>
      </c>
      <c r="M86" s="4">
        <f t="shared" si="14"/>
        <v>18.915188399999998</v>
      </c>
      <c r="N86" s="4">
        <f t="shared" si="15"/>
        <v>44.564579999999999</v>
      </c>
    </row>
    <row r="87" spans="1:14">
      <c r="A87" t="str">
        <f t="shared" si="18"/>
        <v>MK~BR_CN~Vai_de_Visa_MN~NONE_YQ~19Q1Q4_CP~NONE_OB~LDS_PK~NONE</v>
      </c>
      <c r="B87" t="str">
        <f t="shared" si="19"/>
        <v>Google Brasil</v>
      </c>
      <c r="C87" t="str">
        <f t="shared" si="20"/>
        <v>CH~DISPLAY_DT~MULTI_PB~GDBM_FM~BANNER_RT~CPM_PD~VCO_GOL_WIFI_DBM_970X250_970X250_TG~BHVDEM_TS~NONE_SZ~970X250_PROGRAMMATIC_MK~BR_IT~PROGRAMMATIC_VV~NONE</v>
      </c>
      <c r="D87" t="str">
        <f t="shared" si="21"/>
        <v>242034058</v>
      </c>
      <c r="E87" t="str">
        <f t="shared" si="22"/>
        <v>Standard</v>
      </c>
      <c r="F87" t="str">
        <f t="shared" si="23"/>
        <v>CH~DISPLAY_DT~MULTI_PB~GDBM_FM~BANNER_RT~CPM_PD~VCO_GOL_WIFI_DBM_970X250_970X250_TG~BHVDEM_TS~NONE_SZ~970X250_PROGRAMMATIC_MK~BR_IT~PROGRAMMATIC_VV~NONE</v>
      </c>
      <c r="G87" t="str">
        <f t="shared" si="24"/>
        <v>438870766</v>
      </c>
      <c r="H87" t="str">
        <f t="shared" si="25"/>
        <v>Display</v>
      </c>
      <c r="I87">
        <f t="shared" si="26"/>
        <v>71528</v>
      </c>
      <c r="J87">
        <f t="shared" si="27"/>
        <v>76</v>
      </c>
      <c r="K87" s="4">
        <f t="shared" si="16"/>
        <v>3.8199999999999998E-2</v>
      </c>
      <c r="L87">
        <f t="shared" si="17"/>
        <v>0.09</v>
      </c>
      <c r="M87" s="4">
        <f t="shared" si="14"/>
        <v>2.7323696000000002</v>
      </c>
      <c r="N87" s="4">
        <f t="shared" si="15"/>
        <v>6.4375199999999992</v>
      </c>
    </row>
    <row r="88" spans="1:14">
      <c r="A88" t="str">
        <f t="shared" si="18"/>
        <v>MK~BR_CN~Vai_de_Visa_MN~NONE_YQ~19Q1Q4_CP~NONE_OB~LDS_PK~NONE</v>
      </c>
      <c r="B88" t="str">
        <f t="shared" si="19"/>
        <v>Google Brasil</v>
      </c>
      <c r="C88" t="str">
        <f t="shared" si="20"/>
        <v>CH~DISPLAY_DT~MULTI_PB~GDBM_FM~BANNER_RT~CPM_PD~VCO_GOL_WIFI_DBM_970X90_970X90_TG~BHVDEM_TS~NONE_SZ~970X90_PROGRAMMATIC_MK~BR_IT~PROGRAMMATIC_VV~NONE</v>
      </c>
      <c r="D88" t="str">
        <f t="shared" si="21"/>
        <v>242034061</v>
      </c>
      <c r="E88" t="str">
        <f t="shared" si="22"/>
        <v>Standard</v>
      </c>
      <c r="F88" t="str">
        <f t="shared" si="23"/>
        <v>CH~DISPLAY_DT~MULTI_PB~GDBM_FM~BANNER_RT~CPM_PD~VCO_GOL_WIFI_DBM_970X90_970X90_TG~BHVDEM_TS~NONE_SZ~970X90_PROGRAMMATIC_MK~BR_IT~PROGRAMMATIC_VV~NONE</v>
      </c>
      <c r="G88" t="str">
        <f t="shared" si="24"/>
        <v>438870769</v>
      </c>
      <c r="H88" t="str">
        <f t="shared" si="25"/>
        <v>Display</v>
      </c>
      <c r="I88">
        <f t="shared" si="26"/>
        <v>65764</v>
      </c>
      <c r="J88">
        <f t="shared" si="27"/>
        <v>43</v>
      </c>
      <c r="K88" s="4">
        <f t="shared" si="16"/>
        <v>3.8199999999999998E-2</v>
      </c>
      <c r="L88">
        <f t="shared" si="17"/>
        <v>0.09</v>
      </c>
      <c r="M88" s="4">
        <f t="shared" si="14"/>
        <v>2.5121848</v>
      </c>
      <c r="N88" s="4">
        <f t="shared" si="15"/>
        <v>5.9187599999999998</v>
      </c>
    </row>
    <row r="89" spans="1:14">
      <c r="A89" t="str">
        <f t="shared" si="18"/>
        <v>MK~BR_CN~Vai_de_Visa_MN~NONE_YQ~19Q1Q4_CP~NONE_OB~LDS_PK~NONE</v>
      </c>
      <c r="B89" t="str">
        <f t="shared" si="19"/>
        <v>Google Brasil</v>
      </c>
      <c r="C89" t="str">
        <f t="shared" si="20"/>
        <v>CH~DISPLAY_DT~MULTI_PB~GDBM_FM~BANNER_RT~CPM_PD~VDV_CAMICADO_10OFF_RENOVE_DBM_160X600_160X600_TG~BHVDEM_TS~NONE_SZ~160X600_PROGRAMMATIC_MK~BR_IT~PROGRAMMATIC_VV~NONE</v>
      </c>
      <c r="D89" t="str">
        <f t="shared" si="21"/>
        <v>240362630</v>
      </c>
      <c r="E89" t="str">
        <f t="shared" si="22"/>
        <v>Standard</v>
      </c>
      <c r="F89" t="str">
        <f t="shared" si="23"/>
        <v>CH~DISPLAY_DT~MULTI_PB~GDBM_FM~BANNER_RT~CPM_PD~VDV_CAMICADO_10OFF_RENOVE_DBM_160X600_160X600_TG~BHVDEM_TS~NONE_SZ~160X600_PROGRAMMATIC_MK~BR_IT~PROGRAMMATIC_VV~NONE</v>
      </c>
      <c r="G89" t="str">
        <f t="shared" si="24"/>
        <v>437356296</v>
      </c>
      <c r="H89" t="str">
        <f t="shared" si="25"/>
        <v>Display</v>
      </c>
      <c r="I89">
        <f t="shared" si="26"/>
        <v>100</v>
      </c>
      <c r="J89">
        <f t="shared" si="27"/>
        <v>0</v>
      </c>
      <c r="K89" s="4">
        <f t="shared" si="16"/>
        <v>3.8199999999999998E-2</v>
      </c>
      <c r="L89">
        <f t="shared" si="17"/>
        <v>0.09</v>
      </c>
      <c r="M89" s="4">
        <f t="shared" si="14"/>
        <v>3.82E-3</v>
      </c>
      <c r="N89" s="4">
        <f t="shared" si="15"/>
        <v>8.9999999999999993E-3</v>
      </c>
    </row>
    <row r="90" spans="1:14">
      <c r="A90" t="str">
        <f t="shared" si="18"/>
        <v>MK~BR_CN~Vai_de_Visa_MN~NONE_YQ~19Q1Q4_CP~NONE_OB~LDS_PK~NONE</v>
      </c>
      <c r="B90" t="str">
        <f t="shared" si="19"/>
        <v>Google Brasil</v>
      </c>
      <c r="C90" t="str">
        <f t="shared" si="20"/>
        <v>CH~DISPLAY_DT~MULTI_PB~GDBM_FM~BANNER_RT~CPM_PD~VDV_CAMICADO_10OFF_RENOVE_DBM_300X250_300X250_TG~BHVDEM_TS~NONE_SZ~300X250_PROGRAMMATIC_MK~BR_IT~PROGRAMMATIC_VV~NONE</v>
      </c>
      <c r="D90" t="str">
        <f t="shared" si="21"/>
        <v>240362627</v>
      </c>
      <c r="E90" t="str">
        <f t="shared" si="22"/>
        <v>Standard</v>
      </c>
      <c r="F90" t="str">
        <f t="shared" si="23"/>
        <v>CH~DISPLAY_DT~MULTI_PB~GDBM_FM~BANNER_RT~CPM_PD~VDV_CAMICADO_10OFF_RENOVE_DBM_300X250_300X250_TG~BHVDEM_TS~NONE_SZ~300X250_PROGRAMMATIC_MK~BR_IT~PROGRAMMATIC_VV~NONE</v>
      </c>
      <c r="G90" t="str">
        <f t="shared" si="24"/>
        <v>437356293</v>
      </c>
      <c r="H90" t="str">
        <f t="shared" si="25"/>
        <v>Display</v>
      </c>
      <c r="I90">
        <f t="shared" si="26"/>
        <v>151</v>
      </c>
      <c r="J90">
        <f t="shared" si="27"/>
        <v>1</v>
      </c>
      <c r="K90" s="4">
        <f t="shared" si="16"/>
        <v>3.8199999999999998E-2</v>
      </c>
      <c r="L90">
        <f t="shared" si="17"/>
        <v>0.09</v>
      </c>
      <c r="M90" s="4">
        <f t="shared" si="14"/>
        <v>5.7681999999999994E-3</v>
      </c>
      <c r="N90" s="4">
        <f t="shared" si="15"/>
        <v>1.359E-2</v>
      </c>
    </row>
    <row r="91" spans="1:14">
      <c r="A91" t="str">
        <f t="shared" si="18"/>
        <v>MK~BR_CN~Vai_de_Visa_MN~NONE_YQ~19Q1Q4_CP~NONE_OB~LDS_PK~NONE</v>
      </c>
      <c r="B91" t="str">
        <f t="shared" si="19"/>
        <v>Google Brasil</v>
      </c>
      <c r="C91" t="str">
        <f t="shared" si="20"/>
        <v>CH~DISPLAY_DT~MULTI_PB~GDBM_FM~BANNER_RT~CPM_PD~VDV_CAMICADO_10OFF_RENOVE_DBM_300X600_300X600_TG~BHVDEM_TS~NONE_SZ~300X600_PROGRAMMATIC_MK~BR_IT~PROGRAMMATIC_VV~NONE</v>
      </c>
      <c r="D91" t="str">
        <f t="shared" si="21"/>
        <v>240362624</v>
      </c>
      <c r="E91" t="str">
        <f t="shared" si="22"/>
        <v>Standard</v>
      </c>
      <c r="F91" t="str">
        <f t="shared" si="23"/>
        <v>CH~DISPLAY_DT~MULTI_PB~GDBM_FM~BANNER_RT~CPM_PD~VDV_CAMICADO_10OFF_RENOVE_DBM_300X600_300X600_TG~BHVDEM_TS~NONE_SZ~300X600_PROGRAMMATIC_MK~BR_IT~PROGRAMMATIC_VV~NONE</v>
      </c>
      <c r="G91" t="str">
        <f t="shared" si="24"/>
        <v>437356290</v>
      </c>
      <c r="H91" t="str">
        <f t="shared" si="25"/>
        <v>Display</v>
      </c>
      <c r="I91">
        <f t="shared" si="26"/>
        <v>24</v>
      </c>
      <c r="J91">
        <f t="shared" si="27"/>
        <v>0</v>
      </c>
      <c r="K91" s="4">
        <f t="shared" si="16"/>
        <v>3.8199999999999998E-2</v>
      </c>
      <c r="L91">
        <f t="shared" si="17"/>
        <v>0.09</v>
      </c>
      <c r="M91" s="4">
        <f t="shared" si="14"/>
        <v>9.1679999999999995E-4</v>
      </c>
      <c r="N91" s="4">
        <f t="shared" si="15"/>
        <v>2.16E-3</v>
      </c>
    </row>
    <row r="92" spans="1:14">
      <c r="A92" t="str">
        <f t="shared" si="18"/>
        <v>MK~BR_CN~Vai_de_Visa_MN~NONE_YQ~19Q1Q4_CP~NONE_OB~LDS_PK~NONE</v>
      </c>
      <c r="B92" t="str">
        <f t="shared" si="19"/>
        <v>Google Brasil</v>
      </c>
      <c r="C92" t="str">
        <f t="shared" si="20"/>
        <v>CH~DISPLAY_DT~MULTI_PB~GDBM_FM~BANNER_RT~CPM_PD~VDV_CAMICADO_10OFF_RENOVE_DBM_970X250_970X250_TG~BHVDEM_TS~NONE_SZ~970X250_PROGRAMMATIC_MK~BR_IT~PROGRAMMATIC_VV~NONE</v>
      </c>
      <c r="D92" t="str">
        <f t="shared" si="21"/>
        <v>240362621</v>
      </c>
      <c r="E92" t="str">
        <f t="shared" si="22"/>
        <v>Standard</v>
      </c>
      <c r="F92" t="str">
        <f t="shared" si="23"/>
        <v>CH~DISPLAY_DT~MULTI_PB~GDBM_FM~BANNER_RT~CPM_PD~VDV_CAMICADO_10OFF_RENOVE_DBM_970X250_970X250_TG~BHVDEM_TS~NONE_SZ~970X250_PROGRAMMATIC_MK~BR_IT~PROGRAMMATIC_VV~NONE</v>
      </c>
      <c r="G92" t="str">
        <f t="shared" si="24"/>
        <v>437356287</v>
      </c>
      <c r="H92" t="str">
        <f t="shared" si="25"/>
        <v>Display</v>
      </c>
      <c r="I92">
        <f t="shared" si="26"/>
        <v>38</v>
      </c>
      <c r="J92">
        <f t="shared" si="27"/>
        <v>0</v>
      </c>
      <c r="K92" s="4">
        <f t="shared" si="16"/>
        <v>3.8199999999999998E-2</v>
      </c>
      <c r="L92">
        <f t="shared" si="17"/>
        <v>0.09</v>
      </c>
      <c r="M92" s="4">
        <f t="shared" si="14"/>
        <v>1.4515999999999999E-3</v>
      </c>
      <c r="N92" s="4">
        <f t="shared" si="15"/>
        <v>3.4199999999999999E-3</v>
      </c>
    </row>
    <row r="93" spans="1:14">
      <c r="A93" t="str">
        <f t="shared" si="18"/>
        <v>MK~BR_CN~Vai_de_Visa_MN~NONE_YQ~19Q1Q4_CP~NONE_OB~LDS_PK~NONE</v>
      </c>
      <c r="B93" t="str">
        <f t="shared" si="19"/>
        <v>Google Brasil</v>
      </c>
      <c r="C93" t="str">
        <f t="shared" si="20"/>
        <v>CH~DISPLAY_DT~MULTI_PB~GDBM_FM~BANNER_RT~CPM_PD~VDV_DECOLAR_15OFF_AMIGOS_120X600_120X600_TG~BHVDEM_TS~NONE_SZ~120X600_PROGRAMMATIC_MK~BR_IT~PROGRAMMATIC_VV~NONE</v>
      </c>
      <c r="D93" t="str">
        <f t="shared" si="21"/>
        <v>235786878</v>
      </c>
      <c r="E93" t="str">
        <f t="shared" si="22"/>
        <v>Standard</v>
      </c>
      <c r="F93" t="str">
        <f t="shared" si="23"/>
        <v>CH~DISPLAY_DT~MULTI_PB~GDBM_FM~BANNER_RT~CPM_PD~VDV_DECOLAR_15OFF_AMIGOS_120X600_120X600_TG~BHVDEM_TS~NONE_SZ~120X600_PROGRAMMATIC_MK~BR_IT~PROGRAMMATIC_VV~NONE</v>
      </c>
      <c r="G93" t="str">
        <f t="shared" si="24"/>
        <v>433174514</v>
      </c>
      <c r="H93" t="str">
        <f t="shared" si="25"/>
        <v>Display</v>
      </c>
      <c r="I93">
        <f t="shared" si="26"/>
        <v>64731</v>
      </c>
      <c r="J93">
        <f t="shared" si="27"/>
        <v>32</v>
      </c>
      <c r="K93" s="4">
        <f t="shared" si="16"/>
        <v>3.8199999999999998E-2</v>
      </c>
      <c r="L93">
        <f t="shared" si="17"/>
        <v>0.09</v>
      </c>
      <c r="M93" s="4">
        <f t="shared" si="14"/>
        <v>2.4727241999999996</v>
      </c>
      <c r="N93" s="4">
        <f t="shared" si="15"/>
        <v>5.8257899999999996</v>
      </c>
    </row>
    <row r="94" spans="1:14">
      <c r="A94" t="str">
        <f t="shared" si="18"/>
        <v>MK~BR_CN~Vai_de_Visa_MN~NONE_YQ~19Q1Q4_CP~NONE_OB~LDS_PK~NONE</v>
      </c>
      <c r="B94" t="str">
        <f t="shared" si="19"/>
        <v>Google Brasil</v>
      </c>
      <c r="C94" t="str">
        <f t="shared" si="20"/>
        <v>CH~DISPLAY_DT~MULTI_PB~GDBM_FM~BANNER_RT~CPM_PD~VDV_DECOLAR_15OFF_AMIGOS_300X250_300X250_TG~BHVDEM_TS~NONE_SZ~300X250_PROGRAMMATIC_MK~BR_IT~PROGRAMMATIC_VV~NONE</v>
      </c>
      <c r="D94" t="str">
        <f t="shared" si="21"/>
        <v>235533794</v>
      </c>
      <c r="E94" t="str">
        <f t="shared" si="22"/>
        <v>Standard</v>
      </c>
      <c r="F94" t="str">
        <f t="shared" si="23"/>
        <v>CH~DISPLAY_DT~MULTI_PB~GDBM_FM~BANNER_RT~CPM_PD~VDV_DECOLAR_15OFF_AMIGOS_300X250_300X250_TG~BHVDEM_TS~NONE_SZ~300X250_PROGRAMMATIC_MK~BR_IT~PROGRAMMATIC_VV~NONE</v>
      </c>
      <c r="G94" t="str">
        <f t="shared" si="24"/>
        <v>433182648</v>
      </c>
      <c r="H94" t="str">
        <f t="shared" si="25"/>
        <v>Display</v>
      </c>
      <c r="I94">
        <f t="shared" si="26"/>
        <v>676014</v>
      </c>
      <c r="J94">
        <f t="shared" si="27"/>
        <v>359</v>
      </c>
      <c r="K94" s="4">
        <f t="shared" si="16"/>
        <v>3.8199999999999998E-2</v>
      </c>
      <c r="L94">
        <f t="shared" si="17"/>
        <v>0.09</v>
      </c>
      <c r="M94" s="4">
        <f t="shared" si="14"/>
        <v>25.823734799999997</v>
      </c>
      <c r="N94" s="4">
        <f t="shared" si="15"/>
        <v>60.841259999999991</v>
      </c>
    </row>
    <row r="95" spans="1:14">
      <c r="A95" t="str">
        <f t="shared" si="18"/>
        <v>MK~BR_CN~Vai_de_Visa_MN~NONE_YQ~19Q1Q4_CP~NONE_OB~LDS_PK~NONE</v>
      </c>
      <c r="B95" t="str">
        <f t="shared" si="19"/>
        <v>Google Brasil</v>
      </c>
      <c r="C95" t="str">
        <f t="shared" si="20"/>
        <v>CH~DISPLAY_DT~MULTI_PB~GDBM_FM~BANNER_RT~CPM_PD~VDV_DECOLAR_15OFF_AMIGOS_300X600_300X600_TG~BHVDEM_TS~NONE_SZ~300X600_PROGRAMMATIC_MK~BR_IT~PROGRAMMATIC_VV~NONE</v>
      </c>
      <c r="D95" t="str">
        <f t="shared" si="21"/>
        <v>235555843</v>
      </c>
      <c r="E95" t="str">
        <f t="shared" si="22"/>
        <v>Standard</v>
      </c>
      <c r="F95" t="str">
        <f t="shared" si="23"/>
        <v>CH~DISPLAY_DT~MULTI_PB~GDBM_FM~BANNER_RT~CPM_PD~VDV_DECOLAR_15OFF_AMIGOS_300X600_300X600_TG~BHVDEM_TS~NONE_SZ~300X600_PROGRAMMATIC_MK~BR_IT~PROGRAMMATIC_VV~NONE</v>
      </c>
      <c r="G95" t="str">
        <f t="shared" si="24"/>
        <v>433186836</v>
      </c>
      <c r="H95" t="str">
        <f t="shared" si="25"/>
        <v>Display</v>
      </c>
      <c r="I95">
        <f t="shared" si="26"/>
        <v>161426</v>
      </c>
      <c r="J95">
        <f t="shared" si="27"/>
        <v>119</v>
      </c>
      <c r="K95" s="4">
        <f t="shared" si="16"/>
        <v>3.8199999999999998E-2</v>
      </c>
      <c r="L95">
        <f t="shared" si="17"/>
        <v>0.09</v>
      </c>
      <c r="M95" s="4">
        <f t="shared" si="14"/>
        <v>6.1664731999999995</v>
      </c>
      <c r="N95" s="4">
        <f t="shared" si="15"/>
        <v>14.52834</v>
      </c>
    </row>
    <row r="96" spans="1:14">
      <c r="A96" t="str">
        <f t="shared" si="18"/>
        <v>MK~BR_CN~Vai_de_Visa_MN~NONE_YQ~19Q1Q4_CP~NONE_OB~LDS_PK~NONE</v>
      </c>
      <c r="B96" t="str">
        <f t="shared" si="19"/>
        <v>Google Brasil</v>
      </c>
      <c r="C96" t="str">
        <f t="shared" si="20"/>
        <v>CH~DISPLAY_DT~MULTI_PB~GDBM_FM~BANNER_RT~CPM_PD~VDV_DECOLAR_15OFF_AMIGOS_728X90_728X90_TG~BHVDEM_TS~NONE_SZ~728X90_PROGRAMMATIC_MK~BR_IT~PROGRAMMATIC_VV~NONE</v>
      </c>
      <c r="D96" t="str">
        <f t="shared" si="21"/>
        <v>235533821</v>
      </c>
      <c r="E96" t="str">
        <f t="shared" si="22"/>
        <v>Standard</v>
      </c>
      <c r="F96" t="str">
        <f t="shared" si="23"/>
        <v>CH~DISPLAY_DT~MULTI_PB~GDBM_FM~BANNER_RT~CPM_PD~VDV_DECOLAR_15OFF_AMIGOS_728X90_728X90_TG~BHVDEM_TS~NONE_SZ~728X90_PROGRAMMATIC_MK~BR_IT~PROGRAMMATIC_VV~NONE</v>
      </c>
      <c r="G96" t="str">
        <f t="shared" si="24"/>
        <v>433251163</v>
      </c>
      <c r="H96" t="str">
        <f t="shared" si="25"/>
        <v>Display</v>
      </c>
      <c r="I96">
        <f t="shared" si="26"/>
        <v>398349</v>
      </c>
      <c r="J96">
        <f t="shared" si="27"/>
        <v>394</v>
      </c>
      <c r="K96" s="4">
        <f t="shared" si="16"/>
        <v>3.8199999999999998E-2</v>
      </c>
      <c r="L96">
        <f t="shared" si="17"/>
        <v>0.09</v>
      </c>
      <c r="M96" s="4">
        <f t="shared" si="14"/>
        <v>15.216931799999999</v>
      </c>
      <c r="N96" s="4">
        <f t="shared" si="15"/>
        <v>35.851409999999994</v>
      </c>
    </row>
    <row r="97" spans="1:14">
      <c r="A97" t="str">
        <f t="shared" si="18"/>
        <v>MK~BR_CN~Vai_de_Visa_MN~NONE_YQ~19Q1Q4_CP~NONE_OB~LDS_PK~NONE</v>
      </c>
      <c r="B97" t="str">
        <f t="shared" si="19"/>
        <v>Google Brasil</v>
      </c>
      <c r="C97" t="str">
        <f t="shared" si="20"/>
        <v>CH~DISPLAY_DT~MULTI_PB~GDBM_FM~BANNER_RT~CPM_PD~VDV_DECOLAR_15OFF_MULHER_MAR_120X600_120X600_TG~BHVDEM_TS~NONE_SZ~120X600_PROGRAMMATIC_MK~BR_IT~PROGRAMMATIC_VV~NONE</v>
      </c>
      <c r="D97" t="str">
        <f t="shared" si="21"/>
        <v>235802349</v>
      </c>
      <c r="E97" t="str">
        <f t="shared" si="22"/>
        <v>Standard</v>
      </c>
      <c r="F97" t="str">
        <f t="shared" si="23"/>
        <v>CH~DISPLAY_DT~MULTI_PB~GDBM_FM~BANNER_RT~CPM_PD~VDV_DECOLAR_15OFF_MULHER_MAR_120X600_120X600_TG~BHVDEM_TS~NONE_SZ~120X600_PROGRAMMATIC_MK~BR_IT~PROGRAMMATIC_VV~NONE</v>
      </c>
      <c r="G97" t="str">
        <f t="shared" si="24"/>
        <v>433186872</v>
      </c>
      <c r="H97" t="str">
        <f t="shared" si="25"/>
        <v>Display</v>
      </c>
      <c r="I97">
        <f t="shared" si="26"/>
        <v>65329</v>
      </c>
      <c r="J97">
        <f t="shared" si="27"/>
        <v>37</v>
      </c>
      <c r="K97" s="4">
        <f t="shared" si="16"/>
        <v>3.8199999999999998E-2</v>
      </c>
      <c r="L97">
        <f t="shared" si="17"/>
        <v>0.09</v>
      </c>
      <c r="M97" s="4">
        <f t="shared" si="14"/>
        <v>2.4955677999999999</v>
      </c>
      <c r="N97" s="4">
        <f t="shared" si="15"/>
        <v>5.8796099999999996</v>
      </c>
    </row>
    <row r="98" spans="1:14">
      <c r="A98" t="str">
        <f t="shared" si="18"/>
        <v>MK~BR_CN~Vai_de_Visa_MN~NONE_YQ~19Q1Q4_CP~NONE_OB~LDS_PK~NONE</v>
      </c>
      <c r="B98" t="str">
        <f t="shared" si="19"/>
        <v>Google Brasil</v>
      </c>
      <c r="C98" t="str">
        <f t="shared" si="20"/>
        <v>CH~DISPLAY_DT~MULTI_PB~GDBM_FM~BANNER_RT~CPM_PD~VDV_DECOLAR_15OFF_MULHER_MAR_300X250_300X250_TG~BHVDEM_TS~NONE_SZ~300X250_PROGRAMMATIC_MK~BR_IT~PROGRAMMATIC_VV~NONE</v>
      </c>
      <c r="D98" t="str">
        <f t="shared" si="21"/>
        <v>235786920</v>
      </c>
      <c r="E98" t="str">
        <f t="shared" si="22"/>
        <v>Standard</v>
      </c>
      <c r="F98" t="str">
        <f t="shared" si="23"/>
        <v>CH~DISPLAY_DT~MULTI_PB~GDBM_FM~BANNER_RT~CPM_PD~VDV_DECOLAR_15OFF_MULHER_MAR_300X250_300X250_TG~BHVDEM_TS~NONE_SZ~300X250_PROGRAMMATIC_MK~BR_IT~PROGRAMMATIC_VV~NONE</v>
      </c>
      <c r="G98" t="str">
        <f t="shared" si="24"/>
        <v>433244539</v>
      </c>
      <c r="H98" t="str">
        <f t="shared" si="25"/>
        <v>Display</v>
      </c>
      <c r="I98">
        <f t="shared" si="26"/>
        <v>671518</v>
      </c>
      <c r="J98">
        <f t="shared" si="27"/>
        <v>286</v>
      </c>
      <c r="K98" s="4">
        <f t="shared" si="16"/>
        <v>3.8199999999999998E-2</v>
      </c>
      <c r="L98">
        <f t="shared" si="17"/>
        <v>0.09</v>
      </c>
      <c r="M98" s="4">
        <f t="shared" si="14"/>
        <v>25.651987599999998</v>
      </c>
      <c r="N98" s="4">
        <f t="shared" si="15"/>
        <v>60.436619999999998</v>
      </c>
    </row>
    <row r="99" spans="1:14">
      <c r="A99" t="str">
        <f t="shared" si="18"/>
        <v>MK~BR_CN~Vai_de_Visa_MN~NONE_YQ~19Q1Q4_CP~NONE_OB~LDS_PK~NONE</v>
      </c>
      <c r="B99" t="str">
        <f t="shared" si="19"/>
        <v>Google Brasil</v>
      </c>
      <c r="C99" t="str">
        <f t="shared" si="20"/>
        <v>CH~DISPLAY_DT~MULTI_PB~GDBM_FM~BANNER_RT~CPM_PD~VDV_DECOLAR_15OFF_MULHER_MAR_300X600_300X600_TG~BHVDEM_TS~NONE_SZ~300X600_PROGRAMMATIC_MK~BR_IT~PROGRAMMATIC_VV~NONE</v>
      </c>
      <c r="D99" t="str">
        <f t="shared" si="21"/>
        <v>235541195</v>
      </c>
      <c r="E99" t="str">
        <f t="shared" si="22"/>
        <v>Standard</v>
      </c>
      <c r="F99" t="str">
        <f t="shared" si="23"/>
        <v>CH~DISPLAY_DT~MULTI_PB~GDBM_FM~BANNER_RT~CPM_PD~VDV_DECOLAR_15OFF_MULHER_MAR_300X600_300X600_TG~BHVDEM_TS~NONE_SZ~300X600_PROGRAMMATIC_MK~BR_IT~PROGRAMMATIC_VV~NONE</v>
      </c>
      <c r="G99" t="str">
        <f t="shared" si="24"/>
        <v>433174577</v>
      </c>
      <c r="H99" t="str">
        <f t="shared" si="25"/>
        <v>Display</v>
      </c>
      <c r="I99">
        <f t="shared" si="26"/>
        <v>163037</v>
      </c>
      <c r="J99">
        <f t="shared" si="27"/>
        <v>119</v>
      </c>
      <c r="K99" s="4">
        <f t="shared" si="16"/>
        <v>3.8199999999999998E-2</v>
      </c>
      <c r="L99">
        <f t="shared" si="17"/>
        <v>0.09</v>
      </c>
      <c r="M99" s="4">
        <f t="shared" ref="M99:M162" si="28">IF(E99="Dynamic Click",J99*K99,K99*$I99/1000)</f>
        <v>6.2280134</v>
      </c>
      <c r="N99" s="4">
        <f t="shared" ref="N99:N162" si="29">IF(E99="Dynamic Click",J99*L99,L99*$I99/1000)</f>
        <v>14.67333</v>
      </c>
    </row>
    <row r="100" spans="1:14">
      <c r="A100" t="str">
        <f t="shared" si="18"/>
        <v>MK~BR_CN~Vai_de_Visa_MN~NONE_YQ~19Q1Q4_CP~NONE_OB~LDS_PK~NONE</v>
      </c>
      <c r="B100" t="str">
        <f t="shared" si="19"/>
        <v>Google Brasil</v>
      </c>
      <c r="C100" t="str">
        <f t="shared" si="20"/>
        <v>CH~DISPLAY_DT~MULTI_PB~GDBM_FM~BANNER_RT~CPM_PD~VDV_PAODEACUCAR_DBM_BANNER_ESTATICO_160X600_160X600_TG~BHVDEM_TS~NONE_SZ~160X600_DISPLAY_MK~BR_IT~DISPLAY_VV~NONE</v>
      </c>
      <c r="D100" t="str">
        <f t="shared" si="21"/>
        <v>240834550</v>
      </c>
      <c r="E100" t="str">
        <f t="shared" si="22"/>
        <v>Standard</v>
      </c>
      <c r="F100" t="str">
        <f t="shared" si="23"/>
        <v>CH~DISPLAY_DT~MULTI_PB~GDBM_FM~BANNER_RT~CPM_PD~VDV_PAODEACUCAR_DBM_BANNER_ESTATICO_160X600_160X600_TG~BHVDEM_TS~NONE_SZ~160X600_DISPLAY_MK~BR_IT~DISPLAY_VV~NONE</v>
      </c>
      <c r="G100" t="str">
        <f t="shared" si="24"/>
        <v>437778899</v>
      </c>
      <c r="H100" t="str">
        <f t="shared" si="25"/>
        <v>Display</v>
      </c>
      <c r="I100">
        <f t="shared" si="26"/>
        <v>29612</v>
      </c>
      <c r="J100">
        <f t="shared" si="27"/>
        <v>25</v>
      </c>
      <c r="K100" s="4">
        <f t="shared" si="16"/>
        <v>3.8199999999999998E-2</v>
      </c>
      <c r="L100">
        <f t="shared" si="17"/>
        <v>0.09</v>
      </c>
      <c r="M100" s="4">
        <f t="shared" si="28"/>
        <v>1.1311784</v>
      </c>
      <c r="N100" s="4">
        <f t="shared" si="29"/>
        <v>2.6650800000000001</v>
      </c>
    </row>
    <row r="101" spans="1:14">
      <c r="A101" t="str">
        <f t="shared" si="18"/>
        <v>MK~BR_CN~Vai_de_Visa_MN~NONE_YQ~19Q1Q4_CP~NONE_OB~LDS_PK~NONE</v>
      </c>
      <c r="B101" t="str">
        <f t="shared" si="19"/>
        <v>Google Brasil</v>
      </c>
      <c r="C101" t="str">
        <f t="shared" si="20"/>
        <v>CH~DISPLAY_DT~MULTI_PB~GDBM_FM~BANNER_RT~CPM_PD~VDV_PAODEACUCAR_DBM_BANNER_ESTATICO_300X250_300X250_TG~BHVDEM_TS~NONE_SZ~300X250_DISPLAY_MK~BR_IT~DISPLAY_VV~NONE</v>
      </c>
      <c r="D101" t="str">
        <f t="shared" si="21"/>
        <v>240834553</v>
      </c>
      <c r="E101" t="str">
        <f t="shared" si="22"/>
        <v>Standard</v>
      </c>
      <c r="F101" t="str">
        <f t="shared" si="23"/>
        <v>CH~DISPLAY_DT~MULTI_PB~GDBM_FM~BANNER_RT~CPM_PD~VDV_PAODEACUCAR_DBM_BANNER_ESTATICO_300X250_300X250_TG~BHVDEM_TS~NONE_SZ~300X250_DISPLAY_MK~BR_IT~DISPLAY_VV~NONE</v>
      </c>
      <c r="G101" t="str">
        <f t="shared" si="24"/>
        <v>437781920</v>
      </c>
      <c r="H101" t="str">
        <f t="shared" si="25"/>
        <v>Display</v>
      </c>
      <c r="I101">
        <f t="shared" si="26"/>
        <v>2484149</v>
      </c>
      <c r="J101">
        <f t="shared" si="27"/>
        <v>9111</v>
      </c>
      <c r="K101" s="4">
        <f t="shared" si="16"/>
        <v>3.8199999999999998E-2</v>
      </c>
      <c r="L101">
        <f t="shared" si="17"/>
        <v>0.09</v>
      </c>
      <c r="M101" s="4">
        <f t="shared" si="28"/>
        <v>94.894491799999983</v>
      </c>
      <c r="N101" s="4">
        <f t="shared" si="29"/>
        <v>223.57341</v>
      </c>
    </row>
    <row r="102" spans="1:14">
      <c r="A102" t="str">
        <f t="shared" si="18"/>
        <v>MK~BR_CN~Vai_de_Visa_MN~NONE_YQ~19Q1Q4_CP~NONE_OB~LDS_PK~NONE</v>
      </c>
      <c r="B102" t="str">
        <f t="shared" si="19"/>
        <v>Google Brasil</v>
      </c>
      <c r="C102" t="str">
        <f t="shared" si="20"/>
        <v>CH~DISPLAY_DT~MULTI_PB~GDBM_FM~BANNER_RT~CPM_PD~VDV_PAODEACUCAR_DBM_BANNER_ESTATICO_300X600_300X600_TG~BHVDEM_TS~NONE_SZ~300X600_DISPLAY_MK~BR_IT~DISPLAY_VV~NONE</v>
      </c>
      <c r="D102" t="str">
        <f t="shared" si="21"/>
        <v>241065219</v>
      </c>
      <c r="E102" t="str">
        <f t="shared" si="22"/>
        <v>Standard</v>
      </c>
      <c r="F102" t="str">
        <f t="shared" si="23"/>
        <v>CH~DISPLAY_DT~MULTI_PB~GDBM_FM~BANNER_RT~CPM_PD~VDV_PAODEACUCAR_DBM_BANNER_ESTATICO_300X600_300X600_TG~BHVDEM_TS~NONE_SZ~300X600_DISPLAY_MK~BR_IT~DISPLAY_VV~NONE</v>
      </c>
      <c r="G102" t="str">
        <f t="shared" si="24"/>
        <v>437832274</v>
      </c>
      <c r="H102" t="str">
        <f t="shared" si="25"/>
        <v>Display</v>
      </c>
      <c r="I102">
        <f t="shared" si="26"/>
        <v>226225</v>
      </c>
      <c r="J102">
        <f t="shared" si="27"/>
        <v>1275</v>
      </c>
      <c r="K102" s="4">
        <f t="shared" si="16"/>
        <v>3.8199999999999998E-2</v>
      </c>
      <c r="L102">
        <f t="shared" si="17"/>
        <v>0.09</v>
      </c>
      <c r="M102" s="4">
        <f t="shared" si="28"/>
        <v>8.6417950000000001</v>
      </c>
      <c r="N102" s="4">
        <f t="shared" si="29"/>
        <v>20.360250000000001</v>
      </c>
    </row>
    <row r="103" spans="1:14">
      <c r="A103" t="str">
        <f t="shared" si="18"/>
        <v>MK~BR_CN~Vai_de_Visa_MN~NONE_YQ~19Q1Q4_CP~NONE_OB~LDS_PK~NONE</v>
      </c>
      <c r="B103" t="str">
        <f t="shared" si="19"/>
        <v>Google Brasil</v>
      </c>
      <c r="C103" t="str">
        <f t="shared" si="20"/>
        <v>CH~DISPLAY_DT~MULTI_PB~GDBM_FM~BANNER_RT~CPM_PD~VDV_PAODEACUCAR_DBM_BANNER_ESTATICO_970X250_970X250_TG~BHVDEM_TS~NONE_SZ~970X250_DISPLAY_MK~BR_IT~DISPLAY_VV~NONE</v>
      </c>
      <c r="D103" t="str">
        <f t="shared" si="21"/>
        <v>240746273</v>
      </c>
      <c r="E103" t="str">
        <f t="shared" si="22"/>
        <v>Standard</v>
      </c>
      <c r="F103" t="str">
        <f t="shared" si="23"/>
        <v>CH~DISPLAY_DT~MULTI_PB~GDBM_FM~BANNER_RT~CPM_PD~VDV_PAODEACUCAR_DBM_BANNER_ESTATICO_970X250_970X250_TG~BHVDEM_TS~NONE_SZ~970X250_DISPLAY_MK~BR_IT~DISPLAY_VV~NONE</v>
      </c>
      <c r="G103" t="str">
        <f t="shared" si="24"/>
        <v>437780186</v>
      </c>
      <c r="H103" t="str">
        <f t="shared" si="25"/>
        <v>Display</v>
      </c>
      <c r="I103">
        <f t="shared" si="26"/>
        <v>15358</v>
      </c>
      <c r="J103">
        <f t="shared" si="27"/>
        <v>33</v>
      </c>
      <c r="K103" s="4">
        <f t="shared" si="16"/>
        <v>3.8199999999999998E-2</v>
      </c>
      <c r="L103">
        <f t="shared" si="17"/>
        <v>0.09</v>
      </c>
      <c r="M103" s="4">
        <f t="shared" si="28"/>
        <v>0.58667559999999996</v>
      </c>
      <c r="N103" s="4">
        <f t="shared" si="29"/>
        <v>1.38222</v>
      </c>
    </row>
    <row r="104" spans="1:14">
      <c r="A104" t="str">
        <f t="shared" si="18"/>
        <v>MK~BR_CN~Vai_de_Visa_MN~NONE_YQ~19Q1Q4_CP~NONE_OB~LDS_PK~NONE</v>
      </c>
      <c r="B104" t="str">
        <f t="shared" si="19"/>
        <v>Google Brasil</v>
      </c>
      <c r="C104" t="str">
        <f t="shared" si="20"/>
        <v>CH~SEARCH_DT~MULTI_PB~GADS_FM~SEARCH_RT~CPC_PD~VDV_DECOLAR_15OFF_SEARCH_EXTPROMOCAO_1X1_TG~BHVDEM_TS~NONE_SZ~1X1_SEARCH_MK~BR_IT~SEARCH_VV~NONE</v>
      </c>
      <c r="D104" t="str">
        <f t="shared" si="21"/>
        <v>241925253</v>
      </c>
      <c r="E104" t="str">
        <f t="shared" si="22"/>
        <v>Dynamic Click</v>
      </c>
      <c r="F104" t="str">
        <f t="shared" si="23"/>
        <v>CH~SEARCH_DT~MULTI_PB~GADS_FM~SEARCH_RT~CPC_PD~VDV_DECOLAR_15OFF_SEARCH_EXTPROMOCAO_1X1_TG~BHVDEM_TS~NONE_SZ~1X1_SEARCH_MK~BR_IT~SEARCH_VV~NONE</v>
      </c>
      <c r="G104" t="str">
        <f t="shared" si="24"/>
        <v>438559846</v>
      </c>
      <c r="H104" t="str">
        <f t="shared" si="25"/>
        <v>Tracking</v>
      </c>
      <c r="I104">
        <f t="shared" si="26"/>
        <v>0</v>
      </c>
      <c r="J104">
        <f t="shared" si="27"/>
        <v>1</v>
      </c>
      <c r="K104" s="4">
        <f t="shared" si="16"/>
        <v>3.5000000000000001E-3</v>
      </c>
      <c r="L104">
        <f t="shared" si="17"/>
        <v>0.02</v>
      </c>
      <c r="M104" s="4">
        <f t="shared" si="28"/>
        <v>3.5000000000000001E-3</v>
      </c>
      <c r="N104" s="4">
        <f t="shared" si="29"/>
        <v>0.02</v>
      </c>
    </row>
    <row r="105" spans="1:14">
      <c r="A105" t="str">
        <f t="shared" si="18"/>
        <v>MK~BR_CN~Vai_de_Visa_MN~NONE_YQ~19Q1Q4_CP~NONE_OB~LDS_PK~NONE</v>
      </c>
      <c r="B105" t="str">
        <f t="shared" si="19"/>
        <v>Google Brasil</v>
      </c>
      <c r="C105" t="str">
        <f t="shared" si="20"/>
        <v>CH~SEARCH_DT~MULTI_PB~GADS_FM~SEARCH_RT~CPC_PD~VDV_DECOLAR_15OFF_SEARCH_EXTSITELINK_1X1_TG~BHVDEM_TS~NONE_SZ~1X1_SEARCH_MK~BR_IT~SEARCH_VV~NONE</v>
      </c>
      <c r="D105" t="str">
        <f t="shared" si="21"/>
        <v>241925250</v>
      </c>
      <c r="E105" t="str">
        <f t="shared" si="22"/>
        <v>Dynamic Click</v>
      </c>
      <c r="F105" t="str">
        <f t="shared" si="23"/>
        <v>CH~SEARCH_DT~MULTI_PB~GADS_FM~SEARCH_RT~CPC_PD~VDV_DECOLAR_15OFF_SEARCH_EXTSITELINK_1X1_TG~BHVDEM_TS~NONE_SZ~1X1_SEARCH_MK~BR_IT~SEARCH_VV~NONE</v>
      </c>
      <c r="G105" t="str">
        <f t="shared" si="24"/>
        <v>438559843</v>
      </c>
      <c r="H105" t="str">
        <f t="shared" si="25"/>
        <v>Tracking</v>
      </c>
      <c r="I105">
        <f t="shared" si="26"/>
        <v>0</v>
      </c>
      <c r="J105">
        <f t="shared" si="27"/>
        <v>2</v>
      </c>
      <c r="K105" s="4">
        <f t="shared" si="16"/>
        <v>3.5000000000000001E-3</v>
      </c>
      <c r="L105">
        <f t="shared" si="17"/>
        <v>0.02</v>
      </c>
      <c r="M105" s="4">
        <f t="shared" si="28"/>
        <v>7.0000000000000001E-3</v>
      </c>
      <c r="N105" s="4">
        <f t="shared" si="29"/>
        <v>0.04</v>
      </c>
    </row>
    <row r="106" spans="1:14">
      <c r="A106" t="str">
        <f t="shared" si="18"/>
        <v>MK~BR_CN~Vai_de_Visa_MN~NONE_YQ~19Q1Q4_CP~NONE_OB~LDS_PK~NONE</v>
      </c>
      <c r="B106" t="str">
        <f t="shared" si="19"/>
        <v>Google Brasil</v>
      </c>
      <c r="C106" t="str">
        <f t="shared" si="20"/>
        <v>CH~SEARCH_DT~MULTI_PB~GADS_FM~SEARCH_RT~CPC_PD~VDV_FASTSHOP_30OFF_SEARCH_EXTPROMOCAO_1X1_TG~BHVDEM_TS~NONE_SZ~1X1_SEARCH_MK~BR_IT~SEARCH_VV~NONE</v>
      </c>
      <c r="D106" t="str">
        <f t="shared" si="21"/>
        <v>241925247</v>
      </c>
      <c r="E106" t="str">
        <f t="shared" si="22"/>
        <v>Dynamic Click</v>
      </c>
      <c r="F106" t="str">
        <f t="shared" si="23"/>
        <v>CH~SEARCH_DT~MULTI_PB~GADS_FM~SEARCH_RT~CPC_PD~VDV_FASTSHOP_30OFF_SEARCH_EXTPROMOCAO_1X1_TG~BHVDEM_TS~NONE_SZ~1X1_SEARCH_MK~BR_IT~SEARCH_VV~NONE</v>
      </c>
      <c r="G106" t="str">
        <f t="shared" si="24"/>
        <v>438559840</v>
      </c>
      <c r="H106" t="str">
        <f t="shared" si="25"/>
        <v>Tracking</v>
      </c>
      <c r="I106">
        <f t="shared" si="26"/>
        <v>0</v>
      </c>
      <c r="J106">
        <f t="shared" si="27"/>
        <v>1</v>
      </c>
      <c r="K106" s="4">
        <f t="shared" si="16"/>
        <v>3.5000000000000001E-3</v>
      </c>
      <c r="L106">
        <f t="shared" si="17"/>
        <v>0.02</v>
      </c>
      <c r="M106" s="4">
        <f t="shared" si="28"/>
        <v>3.5000000000000001E-3</v>
      </c>
      <c r="N106" s="4">
        <f t="shared" si="29"/>
        <v>0.02</v>
      </c>
    </row>
    <row r="107" spans="1:14">
      <c r="A107" t="str">
        <f t="shared" si="18"/>
        <v>MK~BR_CN~Vai_de_Visa_MN~NONE_YQ~19Q1Q4_CP~NONE_OB~LDS_PK~NONE</v>
      </c>
      <c r="B107" t="str">
        <f t="shared" si="19"/>
        <v>Google Brasil</v>
      </c>
      <c r="C107" t="str">
        <f t="shared" si="20"/>
        <v>CH~SEARCH_DT~MULTI_PB~GADS_FM~SEARCH_RT~CPC_PD~VDV_FASTSHOP_30OFF_SEARCH_EXTSITELINK_1X1_TG~BHVDEM_TS~NONE_SZ~1X1_SEARCH_MK~BR_IT~SEARCH_VV~NONE</v>
      </c>
      <c r="D107" t="str">
        <f t="shared" si="21"/>
        <v>241925244</v>
      </c>
      <c r="E107" t="str">
        <f t="shared" si="22"/>
        <v>Dynamic Click</v>
      </c>
      <c r="F107" t="str">
        <f t="shared" si="23"/>
        <v>CH~SEARCH_DT~MULTI_PB~GADS_FM~SEARCH_RT~CPC_PD~VDV_FASTSHOP_30OFF_SEARCH_EXTSITELINK_1X1_TG~BHVDEM_TS~NONE_SZ~1X1_SEARCH_MK~BR_IT~SEARCH_VV~NONE</v>
      </c>
      <c r="G107" t="str">
        <f t="shared" si="24"/>
        <v>438559837</v>
      </c>
      <c r="H107" t="str">
        <f t="shared" si="25"/>
        <v>Tracking</v>
      </c>
      <c r="I107">
        <f t="shared" si="26"/>
        <v>0</v>
      </c>
      <c r="J107">
        <f t="shared" si="27"/>
        <v>1</v>
      </c>
      <c r="K107" s="4">
        <f t="shared" si="16"/>
        <v>3.5000000000000001E-3</v>
      </c>
      <c r="L107">
        <f t="shared" si="17"/>
        <v>0.02</v>
      </c>
      <c r="M107" s="4">
        <f t="shared" si="28"/>
        <v>3.5000000000000001E-3</v>
      </c>
      <c r="N107" s="4">
        <f t="shared" si="29"/>
        <v>0.02</v>
      </c>
    </row>
    <row r="108" spans="1:14">
      <c r="A108" t="str">
        <f t="shared" si="18"/>
        <v>MK~BR_CN~Vai_de_Visa_MN~NONE_YQ~19Q1Q4_CP~NONE_OB~LDS_PK~NONE</v>
      </c>
      <c r="B108" t="str">
        <f t="shared" si="19"/>
        <v>Google Brasil</v>
      </c>
      <c r="C108" t="str">
        <f t="shared" si="20"/>
        <v>CH~SEARCH_DT~MULTI_PB~GADS_FM~SEARCH_RT~CPC_PD~VDV_MOVIDA_15OFF_SEARCH_EXTPROMOCAO_1X1_TG~BHVDEM_TS~NONE_SZ~1X1_SEARCH_MK~BR_IT~SEARCH_VV~NONE</v>
      </c>
      <c r="D108" t="str">
        <f t="shared" si="21"/>
        <v>241925241</v>
      </c>
      <c r="E108" t="str">
        <f t="shared" si="22"/>
        <v>Dynamic Click</v>
      </c>
      <c r="F108" t="str">
        <f t="shared" si="23"/>
        <v>CH~SEARCH_DT~MULTI_PB~GADS_FM~SEARCH_RT~CPC_PD~VDV_MOVIDA_15OFF_SEARCH_EXTPROMOCAO_1X1_TG~BHVDEM_TS~NONE_SZ~1X1_SEARCH_MK~BR_IT~SEARCH_VV~NONE</v>
      </c>
      <c r="G108" t="str">
        <f t="shared" si="24"/>
        <v>438559834</v>
      </c>
      <c r="H108" t="str">
        <f t="shared" si="25"/>
        <v>Tracking</v>
      </c>
      <c r="I108">
        <f t="shared" si="26"/>
        <v>0</v>
      </c>
      <c r="J108">
        <f t="shared" si="27"/>
        <v>1</v>
      </c>
      <c r="K108" s="4">
        <f t="shared" ref="K108:K171" si="30">IF(LEFT(B108,3)="DBM",0,VLOOKUP(E108,tabela,2,FALSE))</f>
        <v>3.5000000000000001E-3</v>
      </c>
      <c r="L108">
        <f t="shared" ref="L108:L171" si="31">VLOOKUP(E108,tabela,3,FALSE)</f>
        <v>0.02</v>
      </c>
      <c r="M108" s="4">
        <f t="shared" si="28"/>
        <v>3.5000000000000001E-3</v>
      </c>
      <c r="N108" s="4">
        <f t="shared" si="29"/>
        <v>0.02</v>
      </c>
    </row>
    <row r="109" spans="1:14">
      <c r="A109" t="str">
        <f t="shared" si="18"/>
        <v>MK~BR_CN~Vai_de_Visa_MN~NONE_YQ~19Q1Q4_CP~NONE_OB~LDS_PK~NONE</v>
      </c>
      <c r="B109" t="str">
        <f t="shared" si="19"/>
        <v>Google Brasil</v>
      </c>
      <c r="C109" t="str">
        <f t="shared" si="20"/>
        <v>CH~SEARCH_DT~MULTI_PB~GADS_FM~SEARCH_RT~CPC_PD~VDV_MOVIDA_15OFF_SEARCH_EXTSITELINK_1X1_TG~BHVDEM_TS~NONE_SZ~1X1_SEARCH_MK~BR_IT~SEARCH_VV~NONE</v>
      </c>
      <c r="D109" t="str">
        <f t="shared" si="21"/>
        <v>241925238</v>
      </c>
      <c r="E109" t="str">
        <f t="shared" si="22"/>
        <v>Dynamic Click</v>
      </c>
      <c r="F109" t="str">
        <f t="shared" si="23"/>
        <v>CH~SEARCH_DT~MULTI_PB~GADS_FM~SEARCH_RT~CPC_PD~VDV_MOVIDA_15OFF_SEARCH_EXTSITELINK_1X1_TG~BHVDEM_TS~NONE_SZ~1X1_SEARCH_MK~BR_IT~SEARCH_VV~NONE</v>
      </c>
      <c r="G109" t="str">
        <f t="shared" si="24"/>
        <v>438559831</v>
      </c>
      <c r="H109" t="str">
        <f t="shared" si="25"/>
        <v>Tracking</v>
      </c>
      <c r="I109">
        <f t="shared" si="26"/>
        <v>0</v>
      </c>
      <c r="J109">
        <f t="shared" si="27"/>
        <v>1</v>
      </c>
      <c r="K109" s="4">
        <f t="shared" si="30"/>
        <v>3.5000000000000001E-3</v>
      </c>
      <c r="L109">
        <f t="shared" si="31"/>
        <v>0.02</v>
      </c>
      <c r="M109" s="4">
        <f t="shared" si="28"/>
        <v>3.5000000000000001E-3</v>
      </c>
      <c r="N109" s="4">
        <f t="shared" si="29"/>
        <v>0.02</v>
      </c>
    </row>
    <row r="110" spans="1:14">
      <c r="A110" t="str">
        <f t="shared" si="18"/>
        <v>MK~BR_CN~Vai_de_Visa_MN~NONE_YQ~19Q1Q4_CP~NONE_OB~LDS_PK~NONE</v>
      </c>
      <c r="B110" t="str">
        <f t="shared" si="19"/>
        <v>Google Brasil</v>
      </c>
      <c r="C110" t="str">
        <f t="shared" si="20"/>
        <v>CH~SEARCH_DT~MULTI_PB~GADS_FM~SEARCH_RT~CPC_PD~VDV_NETSHOES_15OFF_SEARCH_EXTPROMOCAO_1X1_TG~BHVDEM_TS~NONE_SZ~1X1_SEARCH_MK~BR_IT~SEARCH_VV~NONE</v>
      </c>
      <c r="D110" t="str">
        <f t="shared" si="21"/>
        <v>241925271</v>
      </c>
      <c r="E110" t="str">
        <f t="shared" si="22"/>
        <v>Dynamic Click</v>
      </c>
      <c r="F110" t="str">
        <f t="shared" si="23"/>
        <v>CH~SEARCH_DT~MULTI_PB~GADS_FM~SEARCH_RT~CPC_PD~VDV_NETSHOES_15OFF_SEARCH_EXTPROMOCAO_1X1_TG~BHVDEM_TS~NONE_SZ~1X1_SEARCH_MK~BR_IT~SEARCH_VV~NONE</v>
      </c>
      <c r="G110" t="str">
        <f t="shared" si="24"/>
        <v>438505797</v>
      </c>
      <c r="H110" t="str">
        <f t="shared" si="25"/>
        <v>Tracking</v>
      </c>
      <c r="I110">
        <f t="shared" si="26"/>
        <v>0</v>
      </c>
      <c r="J110">
        <f t="shared" si="27"/>
        <v>1</v>
      </c>
      <c r="K110" s="4">
        <f t="shared" si="30"/>
        <v>3.5000000000000001E-3</v>
      </c>
      <c r="L110">
        <f t="shared" si="31"/>
        <v>0.02</v>
      </c>
      <c r="M110" s="4">
        <f t="shared" si="28"/>
        <v>3.5000000000000001E-3</v>
      </c>
      <c r="N110" s="4">
        <f t="shared" si="29"/>
        <v>0.02</v>
      </c>
    </row>
    <row r="111" spans="1:14">
      <c r="A111" t="str">
        <f t="shared" si="18"/>
        <v>MK~BR_CN~Vai_de_Visa_MN~NONE_YQ~19Q1Q4_CP~NONE_OB~LDS_PK~NONE</v>
      </c>
      <c r="B111" t="str">
        <f t="shared" si="19"/>
        <v>Google Brasil</v>
      </c>
      <c r="C111" t="str">
        <f t="shared" si="20"/>
        <v>CH~SEARCH_DT~MULTI_PB~GADS_FM~SEARCH_RT~CPC_PD~VDV_NETSHOES_15OFF_SEARCH_EXTSITELINK_1X1_TG~BHVDEM_TS~NONE_SZ~1X1_SEARCH_MK~BR_IT~SEARCH_VV~NONE</v>
      </c>
      <c r="D111" t="str">
        <f t="shared" si="21"/>
        <v>241925268</v>
      </c>
      <c r="E111" t="str">
        <f t="shared" si="22"/>
        <v>Dynamic Click</v>
      </c>
      <c r="F111" t="str">
        <f t="shared" si="23"/>
        <v>CH~SEARCH_DT~MULTI_PB~GADS_FM~SEARCH_RT~CPC_PD~VDV_NETSHOES_15OFF_SEARCH_EXTSITELINK_1X1_TG~BHVDEM_TS~NONE_SZ~1X1_SEARCH_MK~BR_IT~SEARCH_VV~NONE</v>
      </c>
      <c r="G111" t="str">
        <f t="shared" si="24"/>
        <v>438505794</v>
      </c>
      <c r="H111" t="str">
        <f t="shared" si="25"/>
        <v>Tracking</v>
      </c>
      <c r="I111">
        <f t="shared" si="26"/>
        <v>0</v>
      </c>
      <c r="J111">
        <f t="shared" si="27"/>
        <v>1</v>
      </c>
      <c r="K111" s="4">
        <f t="shared" si="30"/>
        <v>3.5000000000000001E-3</v>
      </c>
      <c r="L111">
        <f t="shared" si="31"/>
        <v>0.02</v>
      </c>
      <c r="M111" s="4">
        <f t="shared" si="28"/>
        <v>3.5000000000000001E-3</v>
      </c>
      <c r="N111" s="4">
        <f t="shared" si="29"/>
        <v>0.02</v>
      </c>
    </row>
    <row r="112" spans="1:14">
      <c r="A112" t="str">
        <f t="shared" si="18"/>
        <v>MK~BR_CN~Vai_de_Visa_MN~NONE_YQ~19Q1Q4_CP~NONE_OB~LDS_PK~NONE</v>
      </c>
      <c r="B112" t="str">
        <f t="shared" si="19"/>
        <v>Google Brasil</v>
      </c>
      <c r="C112" t="str">
        <f t="shared" si="20"/>
        <v>CH~SEARCH_DT~MULTI_PB~GADS_FM~SEARCH_RT~CPC_PD~VDV_PETZ_7OFF_SEARCH_EXTPROMOCAO_1X1_TG~BHVDEM_TS~NONE_SZ~1X1_SEARCH_MK~BR_IT~SEARCH_VV~NONE</v>
      </c>
      <c r="D112" t="str">
        <f t="shared" si="21"/>
        <v>241925265</v>
      </c>
      <c r="E112" t="str">
        <f t="shared" si="22"/>
        <v>Dynamic Click</v>
      </c>
      <c r="F112" t="str">
        <f t="shared" si="23"/>
        <v>CH~SEARCH_DT~MULTI_PB~GADS_FM~SEARCH_RT~CPC_PD~VDV_PETZ_7OFF_SEARCH_EXTPROMOCAO_1X1_TG~BHVDEM_TS~NONE_SZ~1X1_SEARCH_MK~BR_IT~SEARCH_VV~NONE</v>
      </c>
      <c r="G112" t="str">
        <f t="shared" si="24"/>
        <v>438505791</v>
      </c>
      <c r="H112" t="str">
        <f t="shared" si="25"/>
        <v>Tracking</v>
      </c>
      <c r="I112">
        <f t="shared" si="26"/>
        <v>0</v>
      </c>
      <c r="J112">
        <f t="shared" si="27"/>
        <v>1</v>
      </c>
      <c r="K112" s="4">
        <f t="shared" si="30"/>
        <v>3.5000000000000001E-3</v>
      </c>
      <c r="L112">
        <f t="shared" si="31"/>
        <v>0.02</v>
      </c>
      <c r="M112" s="4">
        <f t="shared" si="28"/>
        <v>3.5000000000000001E-3</v>
      </c>
      <c r="N112" s="4">
        <f t="shared" si="29"/>
        <v>0.02</v>
      </c>
    </row>
    <row r="113" spans="1:14">
      <c r="A113" t="str">
        <f t="shared" si="18"/>
        <v>MK~BR_CN~Vai_de_Visa_MN~NONE_YQ~19Q1Q4_CP~NONE_OB~LDS_PK~NONE</v>
      </c>
      <c r="B113" t="str">
        <f t="shared" si="19"/>
        <v>Google Brasil</v>
      </c>
      <c r="C113" t="str">
        <f t="shared" si="20"/>
        <v>CH~SEARCH_DT~MULTI_PB~GADS_FM~SEARCH_RT~CPC_PD~VDV_PETZ_7OFF_SEARCH_EXTSITELINK_1X1_TG~BHVDEM_TS~NONE_SZ~1X1_SEARCH_MK~BR_IT~SEARCH_VV~NONE</v>
      </c>
      <c r="D113" t="str">
        <f t="shared" si="21"/>
        <v>241925262</v>
      </c>
      <c r="E113" t="str">
        <f t="shared" si="22"/>
        <v>Dynamic Click</v>
      </c>
      <c r="F113" t="str">
        <f t="shared" si="23"/>
        <v>CH~SEARCH_DT~MULTI_PB~GADS_FM~SEARCH_RT~CPC_PD~VDV_PETZ_7OFF_SEARCH_EXTSITELINK_1X1_TG~BHVDEM_TS~NONE_SZ~1X1_SEARCH_MK~BR_IT~SEARCH_VV~NONE</v>
      </c>
      <c r="G113" t="str">
        <f t="shared" si="24"/>
        <v>438505788</v>
      </c>
      <c r="H113" t="str">
        <f t="shared" si="25"/>
        <v>Tracking</v>
      </c>
      <c r="I113">
        <f t="shared" si="26"/>
        <v>0</v>
      </c>
      <c r="J113">
        <f t="shared" si="27"/>
        <v>1</v>
      </c>
      <c r="K113" s="4">
        <f t="shared" si="30"/>
        <v>3.5000000000000001E-3</v>
      </c>
      <c r="L113">
        <f t="shared" si="31"/>
        <v>0.02</v>
      </c>
      <c r="M113" s="4">
        <f t="shared" si="28"/>
        <v>3.5000000000000001E-3</v>
      </c>
      <c r="N113" s="4">
        <f t="shared" si="29"/>
        <v>0.02</v>
      </c>
    </row>
    <row r="114" spans="1:14">
      <c r="A114" t="str">
        <f t="shared" si="18"/>
        <v>MK~BR_CN~Vai_de_Visa_MN~NONE_YQ~19Q1Q4_CP~NONE_OB~LDS_PK~NONE</v>
      </c>
      <c r="B114" t="str">
        <f t="shared" si="19"/>
        <v>Google Brasil</v>
      </c>
      <c r="C114" t="str">
        <f t="shared" si="20"/>
        <v>CH~SEARCH_DT~MULTI_PB~GADS_FM~SEARCH_RT~CPC_PD~VDV_SEPHORA_70OFF_SEARCH_EXTPROMOCAO_1X1_TG~BHVDEM_TS~NONE_SZ~1X1_SEARCH_MK~BR_IT~SEARCH_VV~NONE</v>
      </c>
      <c r="D114" t="str">
        <f t="shared" si="21"/>
        <v>241925259</v>
      </c>
      <c r="E114" t="str">
        <f t="shared" si="22"/>
        <v>Dynamic Click</v>
      </c>
      <c r="F114" t="str">
        <f t="shared" si="23"/>
        <v>CH~SEARCH_DT~MULTI_PB~GADS_FM~SEARCH_RT~CPC_PD~VDV_SEPHORA_70OFF_SEARCH_EXTPROMOCAO_1X1_TG~BHVDEM_TS~NONE_SZ~1X1_SEARCH_MK~BR_IT~SEARCH_VV~NONE</v>
      </c>
      <c r="G114" t="str">
        <f t="shared" si="24"/>
        <v>438505785</v>
      </c>
      <c r="H114" t="str">
        <f t="shared" si="25"/>
        <v>Tracking</v>
      </c>
      <c r="I114">
        <f t="shared" si="26"/>
        <v>0</v>
      </c>
      <c r="J114">
        <f t="shared" si="27"/>
        <v>1</v>
      </c>
      <c r="K114" s="4">
        <f t="shared" si="30"/>
        <v>3.5000000000000001E-3</v>
      </c>
      <c r="L114">
        <f t="shared" si="31"/>
        <v>0.02</v>
      </c>
      <c r="M114" s="4">
        <f t="shared" si="28"/>
        <v>3.5000000000000001E-3</v>
      </c>
      <c r="N114" s="4">
        <f t="shared" si="29"/>
        <v>0.02</v>
      </c>
    </row>
    <row r="115" spans="1:14">
      <c r="A115" t="str">
        <f t="shared" si="18"/>
        <v>MK~BR_CN~Vai_de_Visa_MN~NONE_YQ~19Q1Q4_CP~NONE_OB~LDS_PK~NONE</v>
      </c>
      <c r="B115" t="str">
        <f t="shared" si="19"/>
        <v>Google Brasil</v>
      </c>
      <c r="C115" t="str">
        <f t="shared" si="20"/>
        <v>CH~SEARCH_DT~MULTI_PB~GADS_FM~SEARCH_RT~CPC_PD~VDV_SEPHORA_70OFF_SEARCH_EXTSITELINK_1X1_TG~BHVDEM_TS~NONE_SZ~1X1_SEARCH_MK~BR_IT~SEARCH_VV~NONE</v>
      </c>
      <c r="D115" t="str">
        <f t="shared" si="21"/>
        <v>241925256</v>
      </c>
      <c r="E115" t="str">
        <f t="shared" si="22"/>
        <v>Dynamic Click</v>
      </c>
      <c r="F115" t="str">
        <f t="shared" si="23"/>
        <v>CH~SEARCH_DT~MULTI_PB~GADS_FM~SEARCH_RT~CPC_PD~VDV_SEPHORA_70OFF_SEARCH_EXTSITELINK_1X1_TG~BHVDEM_TS~NONE_SZ~1X1_SEARCH_MK~BR_IT~SEARCH_VV~NONE</v>
      </c>
      <c r="G115" t="str">
        <f t="shared" si="24"/>
        <v>438505782</v>
      </c>
      <c r="H115" t="str">
        <f t="shared" si="25"/>
        <v>Tracking</v>
      </c>
      <c r="I115">
        <f t="shared" si="26"/>
        <v>0</v>
      </c>
      <c r="J115">
        <f t="shared" si="27"/>
        <v>1</v>
      </c>
      <c r="K115" s="4">
        <f t="shared" si="30"/>
        <v>3.5000000000000001E-3</v>
      </c>
      <c r="L115">
        <f t="shared" si="31"/>
        <v>0.02</v>
      </c>
      <c r="M115" s="4">
        <f t="shared" si="28"/>
        <v>3.5000000000000001E-3</v>
      </c>
      <c r="N115" s="4">
        <f t="shared" si="29"/>
        <v>0.02</v>
      </c>
    </row>
    <row r="116" spans="1:14">
      <c r="A116" t="str">
        <f t="shared" si="18"/>
        <v>MK~BR_CN~Vai_de_Visa_MN~NONE_YQ~19Q1Q4_CP~NONE_OB~LDS_PK~NONE</v>
      </c>
      <c r="B116" t="str">
        <f t="shared" si="19"/>
        <v>Google Brasil</v>
      </c>
      <c r="C116" t="str">
        <f t="shared" si="20"/>
        <v>CH~SEARCH_DT~MULTI_PB~GADS_FM~SEARCH_RT~CPC_PD~VDV_SHOESTOCK_15OFF_SEARCH_EXTPROMOCAO_1X1_TG~BHVDEM_TS~NONE_SZ~1X1_SEARCH_MK~BR_IT~SEARCH_VV~NONE</v>
      </c>
      <c r="D116" t="str">
        <f t="shared" si="21"/>
        <v>241925229</v>
      </c>
      <c r="E116" t="str">
        <f t="shared" si="22"/>
        <v>Dynamic Click</v>
      </c>
      <c r="F116" t="str">
        <f t="shared" si="23"/>
        <v>CH~SEARCH_DT~MULTI_PB~GADS_FM~SEARCH_RT~CPC_PD~VDV_SHOESTOCK_15OFF_SEARCH_EXTPROMOCAO_1X1_TG~BHVDEM_TS~NONE_SZ~1X1_SEARCH_MK~BR_IT~SEARCH_VV~NONE</v>
      </c>
      <c r="G116" t="str">
        <f t="shared" si="24"/>
        <v>438559822</v>
      </c>
      <c r="H116" t="str">
        <f t="shared" si="25"/>
        <v>Tracking</v>
      </c>
      <c r="I116">
        <f t="shared" si="26"/>
        <v>0</v>
      </c>
      <c r="J116">
        <f t="shared" si="27"/>
        <v>2</v>
      </c>
      <c r="K116" s="4">
        <f t="shared" si="30"/>
        <v>3.5000000000000001E-3</v>
      </c>
      <c r="L116">
        <f t="shared" si="31"/>
        <v>0.02</v>
      </c>
      <c r="M116" s="4">
        <f t="shared" si="28"/>
        <v>7.0000000000000001E-3</v>
      </c>
      <c r="N116" s="4">
        <f t="shared" si="29"/>
        <v>0.04</v>
      </c>
    </row>
    <row r="117" spans="1:14">
      <c r="A117" t="str">
        <f t="shared" si="18"/>
        <v>MK~BR_CN~Vai_de_Visa_MN~NONE_YQ~19Q1Q4_CP~NONE_OB~LDS_PK~NONE</v>
      </c>
      <c r="B117" t="str">
        <f t="shared" si="19"/>
        <v>Google Brasil</v>
      </c>
      <c r="C117" t="str">
        <f t="shared" si="20"/>
        <v>CH~SEARCH_DT~MULTI_PB~GADS_FM~SEARCH_RT~CPC_PD~VDV_SHOESTOCK_15OFF_SEARCH_EXTSITELINK_1X1_TG~BHVDEM_TS~NONE_SZ~1X1_SEARCH_MK~BR_IT~SEARCH_VV~NONE</v>
      </c>
      <c r="D117" t="str">
        <f t="shared" si="21"/>
        <v>241925226</v>
      </c>
      <c r="E117" t="str">
        <f t="shared" si="22"/>
        <v>Dynamic Click</v>
      </c>
      <c r="F117" t="str">
        <f t="shared" si="23"/>
        <v>CH~SEARCH_DT~MULTI_PB~GADS_FM~SEARCH_RT~CPC_PD~VDV_SHOESTOCK_15OFF_SEARCH_EXTSITELINK_1X1_TG~BHVDEM_TS~NONE_SZ~1X1_SEARCH_MK~BR_IT~SEARCH_VV~NONE</v>
      </c>
      <c r="G117" t="str">
        <f t="shared" si="24"/>
        <v>438559819</v>
      </c>
      <c r="H117" t="str">
        <f t="shared" si="25"/>
        <v>Tracking</v>
      </c>
      <c r="I117">
        <f t="shared" si="26"/>
        <v>0</v>
      </c>
      <c r="J117">
        <f t="shared" si="27"/>
        <v>3</v>
      </c>
      <c r="K117" s="4">
        <f t="shared" si="30"/>
        <v>3.5000000000000001E-3</v>
      </c>
      <c r="L117">
        <f t="shared" si="31"/>
        <v>0.02</v>
      </c>
      <c r="M117" s="4">
        <f t="shared" si="28"/>
        <v>1.0500000000000001E-2</v>
      </c>
      <c r="N117" s="4">
        <f t="shared" si="29"/>
        <v>0.06</v>
      </c>
    </row>
    <row r="118" spans="1:14">
      <c r="A118" t="str">
        <f t="shared" si="18"/>
        <v>MK~BR_CN~Vai_de_Visa_MN~NONE_YQ~19Q1Q4_CP~NONE_OB~LDS_PK~NONE</v>
      </c>
      <c r="B118" t="str">
        <f t="shared" si="19"/>
        <v>Google Brasil</v>
      </c>
      <c r="C118" t="str">
        <f t="shared" si="20"/>
        <v>CH~SEARCH_DT~MULTI_PB~GADS_FM~SEARCH_RT~CPC_PD~VDV_ZATTINI_15OFF_SEARCH_EXTPROMOCAO_1X1_TG~BHVDEM_TS~NONE_SZ~1X1_SEARCH_MK~BR_IT~SEARCH_VV~NONE</v>
      </c>
      <c r="D118" t="str">
        <f t="shared" si="21"/>
        <v>241925235</v>
      </c>
      <c r="E118" t="str">
        <f t="shared" si="22"/>
        <v>Dynamic Click</v>
      </c>
      <c r="F118" t="str">
        <f t="shared" si="23"/>
        <v>CH~SEARCH_DT~MULTI_PB~GADS_FM~SEARCH_RT~CPC_PD~VDV_ZATTINI_15OFF_SEARCH_EXTPROMOCAO_1X1_TG~BHVDEM_TS~NONE_SZ~1X1_SEARCH_MK~BR_IT~SEARCH_VV~NONE</v>
      </c>
      <c r="G118" t="str">
        <f t="shared" si="24"/>
        <v>438559828</v>
      </c>
      <c r="H118" t="str">
        <f t="shared" si="25"/>
        <v>Tracking</v>
      </c>
      <c r="I118">
        <f t="shared" si="26"/>
        <v>0</v>
      </c>
      <c r="J118">
        <f t="shared" si="27"/>
        <v>2</v>
      </c>
      <c r="K118" s="4">
        <f t="shared" si="30"/>
        <v>3.5000000000000001E-3</v>
      </c>
      <c r="L118">
        <f t="shared" si="31"/>
        <v>0.02</v>
      </c>
      <c r="M118" s="4">
        <f t="shared" si="28"/>
        <v>7.0000000000000001E-3</v>
      </c>
      <c r="N118" s="4">
        <f t="shared" si="29"/>
        <v>0.04</v>
      </c>
    </row>
    <row r="119" spans="1:14">
      <c r="A119" t="str">
        <f t="shared" si="18"/>
        <v>MK~BR_CN~Vai_de_Visa_MN~NONE_YQ~19Q1Q4_CP~NONE_OB~LDS_PK~NONE</v>
      </c>
      <c r="B119" t="str">
        <f t="shared" si="19"/>
        <v>Google Brasil</v>
      </c>
      <c r="C119" t="str">
        <f t="shared" si="20"/>
        <v>CH~SEARCH_DT~MULTI_PB~GADS_FM~SEARCH_RT~CPC_PD~VDV_ZATTINI_15OFF_SEARCH_EXTSITELINK_1X1_TG~BHVDEM_TS~NONE_SZ~1X1_SEARCH_MK~BR_IT~SEARCH_VV~NONE</v>
      </c>
      <c r="D119" t="str">
        <f t="shared" si="21"/>
        <v>241925232</v>
      </c>
      <c r="E119" t="str">
        <f t="shared" si="22"/>
        <v>Dynamic Click</v>
      </c>
      <c r="F119" t="str">
        <f t="shared" si="23"/>
        <v>CH~SEARCH_DT~MULTI_PB~GADS_FM~SEARCH_RT~CPC_PD~VDV_ZATTINI_15OFF_SEARCH_EXTSITELINK_1X1_TG~BHVDEM_TS~NONE_SZ~1X1_SEARCH_MK~BR_IT~SEARCH_VV~NONE</v>
      </c>
      <c r="G119" t="str">
        <f t="shared" si="24"/>
        <v>438559825</v>
      </c>
      <c r="H119" t="str">
        <f t="shared" si="25"/>
        <v>Tracking</v>
      </c>
      <c r="I119">
        <f t="shared" si="26"/>
        <v>0</v>
      </c>
      <c r="J119">
        <f t="shared" si="27"/>
        <v>2</v>
      </c>
      <c r="K119" s="4">
        <f t="shared" si="30"/>
        <v>3.5000000000000001E-3</v>
      </c>
      <c r="L119">
        <f t="shared" si="31"/>
        <v>0.02</v>
      </c>
      <c r="M119" s="4">
        <f t="shared" si="28"/>
        <v>7.0000000000000001E-3</v>
      </c>
      <c r="N119" s="4">
        <f t="shared" si="29"/>
        <v>0.04</v>
      </c>
    </row>
    <row r="120" spans="1:14">
      <c r="A120" t="str">
        <f t="shared" si="18"/>
        <v>MK~BR_CN~Vai_de_Visa_MN~NONE_YQ~19Q1Q4_CP~NONE_OB~LDS_PK~NONE</v>
      </c>
      <c r="B120" t="str">
        <f t="shared" si="19"/>
        <v>Google Brasil</v>
      </c>
      <c r="C120" t="str">
        <f t="shared" si="20"/>
        <v>CH~SOCIAL_DT~MULTI_PB~GADS_FM~SEARCH_RT~CPC_PD~VDV_SEARCH_CADASTRO_1X1_TG~BHVDEM_TS~NONE_SZ~1X1_SOCIAL_MK~BR_IT~SOCIAL_VV~NONE</v>
      </c>
      <c r="D120" t="str">
        <f t="shared" si="21"/>
        <v>237496150</v>
      </c>
      <c r="E120" t="str">
        <f t="shared" si="22"/>
        <v>Dynamic Click</v>
      </c>
      <c r="F120" t="str">
        <f t="shared" si="23"/>
        <v>CH~SOCIAL_DT~MULTI_PB~GADS_FM~SEARCH_RT~CPC_PD~VDV_SEARCH_CADASTRO_1X1_TG~BHVDEM_TS~NONE_SZ~1X1_SOCIAL_MK~BR_IT~SOCIAL_VV~NONE</v>
      </c>
      <c r="G120" t="str">
        <f t="shared" si="24"/>
        <v>434915308</v>
      </c>
      <c r="H120" t="str">
        <f t="shared" si="25"/>
        <v>Tracking</v>
      </c>
      <c r="I120">
        <f t="shared" si="26"/>
        <v>0</v>
      </c>
      <c r="J120">
        <f t="shared" si="27"/>
        <v>4</v>
      </c>
      <c r="K120" s="4">
        <f t="shared" si="30"/>
        <v>3.5000000000000001E-3</v>
      </c>
      <c r="L120">
        <f t="shared" si="31"/>
        <v>0.02</v>
      </c>
      <c r="M120" s="4">
        <f t="shared" si="28"/>
        <v>1.4E-2</v>
      </c>
      <c r="N120" s="4">
        <f t="shared" si="29"/>
        <v>0.08</v>
      </c>
    </row>
    <row r="121" spans="1:14">
      <c r="A121" t="str">
        <f t="shared" si="18"/>
        <v>MK~BR_CN~Vai_de_Visa_MN~NONE_YQ~19Q1Q4_CP~NONE_OB~LDS_PK~NONE</v>
      </c>
      <c r="B121" t="str">
        <f t="shared" si="19"/>
        <v>Google Brasil</v>
      </c>
      <c r="C121" t="str">
        <f t="shared" si="20"/>
        <v>CH~SOCIAL_DT~MULTI_PB~GADS_FM~SEARCH_RT~CPC_PD~VDV_SEARCH_INSTITUCIONAL_1X1_TG~BHVDEM_TS~NONE_SZ~1X1_SOCIAL_MK~BR_IT~SOCIAL_VV~NONE</v>
      </c>
      <c r="D121" t="str">
        <f t="shared" si="21"/>
        <v>237771408</v>
      </c>
      <c r="E121" t="str">
        <f t="shared" si="22"/>
        <v>Dynamic Click</v>
      </c>
      <c r="F121" t="str">
        <f t="shared" si="23"/>
        <v>CH~SOCIAL_DT~MULTI_PB~GADS_FM~SEARCH_RT~CPC_PD~VDV_SEARCH_INSTITUCIONAL_1X1_TG~BHVDEM_TS~NONE_SZ~1X1_SOCIAL_MK~BR_IT~SOCIAL_VV~NONE</v>
      </c>
      <c r="G121" t="str">
        <f t="shared" si="24"/>
        <v>434812314</v>
      </c>
      <c r="H121" t="str">
        <f t="shared" si="25"/>
        <v>Tracking</v>
      </c>
      <c r="I121">
        <f t="shared" si="26"/>
        <v>0</v>
      </c>
      <c r="J121">
        <f t="shared" si="27"/>
        <v>8</v>
      </c>
      <c r="K121" s="4">
        <f t="shared" si="30"/>
        <v>3.5000000000000001E-3</v>
      </c>
      <c r="L121">
        <f t="shared" si="31"/>
        <v>0.02</v>
      </c>
      <c r="M121" s="4">
        <f t="shared" si="28"/>
        <v>2.8000000000000001E-2</v>
      </c>
      <c r="N121" s="4">
        <f t="shared" si="29"/>
        <v>0.16</v>
      </c>
    </row>
    <row r="122" spans="1:14">
      <c r="A122" t="str">
        <f t="shared" si="18"/>
        <v>MK~BR_CN~Vai_de_Visa_MN~NONE_YQ~19Q1Q4_CP~NONE_OB~LDS_PK~NONE</v>
      </c>
      <c r="B122" t="str">
        <f t="shared" si="19"/>
        <v>Oath BR</v>
      </c>
      <c r="C122" t="str">
        <f t="shared" si="20"/>
        <v>CH~DISPLAY_DT~MULTI_PB~OTH_FM~BANNER_RT~CPM_PD~VDV_CAMICADO_10OFF_RENOVE_OATH_300X250_300X250_TG~BHVDEM_TS~NONE_SZ~300X250_PROGRAMMATIC_MK~BR_IT~PROGRAMMATIC_VV~NONE</v>
      </c>
      <c r="D122" t="str">
        <f t="shared" si="21"/>
        <v>240362615</v>
      </c>
      <c r="E122" t="str">
        <f t="shared" si="22"/>
        <v>Standard</v>
      </c>
      <c r="F122" t="str">
        <f t="shared" si="23"/>
        <v>CH~DISPLAY_DT~MULTI_PB~OTH_FM~BANNER_RT~CPM_PD~VDV_CAMICADO_10OFF_RENOVE_OATH_300X250_300X250_TG~BHVDEM_TS~NONE_SZ~300X250_PROGRAMMATIC_MK~BR_IT~PROGRAMMATIC_VV~NONE</v>
      </c>
      <c r="G122" t="str">
        <f t="shared" si="24"/>
        <v>437356281</v>
      </c>
      <c r="H122" t="str">
        <f t="shared" si="25"/>
        <v>Display</v>
      </c>
      <c r="I122">
        <f t="shared" si="26"/>
        <v>4</v>
      </c>
      <c r="J122">
        <f t="shared" si="27"/>
        <v>0</v>
      </c>
      <c r="K122" s="4">
        <f t="shared" si="30"/>
        <v>3.8199999999999998E-2</v>
      </c>
      <c r="L122">
        <f t="shared" si="31"/>
        <v>0.09</v>
      </c>
      <c r="M122" s="4">
        <f t="shared" si="28"/>
        <v>1.528E-4</v>
      </c>
      <c r="N122" s="4">
        <f t="shared" si="29"/>
        <v>3.5999999999999997E-4</v>
      </c>
    </row>
    <row r="123" spans="1:14">
      <c r="A123" t="str">
        <f t="shared" si="18"/>
        <v>MK~BR_CN~Vai_de_Visa_MN~NONE_YQ~19Q1Q4_CP~NONE_OB~LDS_PK~NONE</v>
      </c>
      <c r="B123" t="str">
        <f t="shared" si="19"/>
        <v>Oath BR</v>
      </c>
      <c r="C123" t="str">
        <f t="shared" si="20"/>
        <v>CH~DISPLAY_DT~MULTI_PB~OTH_FM~BANNER_RT~CPM_PD~VDV_CAMICADO_10OFF_RENOVE_OATH_970X250_970X250_TG~BHVDEM_TS~NONE_SZ~970X250_PROGRAMMATIC_MK~BR_IT~PROGRAMMATIC_VV~NONE</v>
      </c>
      <c r="D123" t="str">
        <f t="shared" si="21"/>
        <v>240362609</v>
      </c>
      <c r="E123" t="str">
        <f t="shared" si="22"/>
        <v>Standard</v>
      </c>
      <c r="F123" t="str">
        <f t="shared" si="23"/>
        <v>CH~DISPLAY_DT~MULTI_PB~OTH_FM~BANNER_RT~CPM_PD~VDV_CAMICADO_10OFF_RENOVE_OATH_970X250_970X250_TG~BHVDEM_TS~NONE_SZ~970X250_PROGRAMMATIC_MK~BR_IT~PROGRAMMATIC_VV~NONE</v>
      </c>
      <c r="G123" t="str">
        <f t="shared" si="24"/>
        <v>437356275</v>
      </c>
      <c r="H123" t="str">
        <f t="shared" si="25"/>
        <v>Display</v>
      </c>
      <c r="I123">
        <f t="shared" si="26"/>
        <v>1</v>
      </c>
      <c r="J123">
        <f t="shared" si="27"/>
        <v>0</v>
      </c>
      <c r="K123" s="4">
        <f t="shared" si="30"/>
        <v>3.8199999999999998E-2</v>
      </c>
      <c r="L123">
        <f t="shared" si="31"/>
        <v>0.09</v>
      </c>
      <c r="M123" s="4">
        <f t="shared" si="28"/>
        <v>3.82E-5</v>
      </c>
      <c r="N123" s="4">
        <f t="shared" si="29"/>
        <v>8.9999999999999992E-5</v>
      </c>
    </row>
    <row r="124" spans="1:14">
      <c r="A124" t="str">
        <f t="shared" si="18"/>
        <v>MK~BR_CN~Vai_de_Visa_MN~NONE_YQ~19Q1Q4_CP~NONE_OB~LDS_PK~NONE</v>
      </c>
      <c r="B124" t="str">
        <f t="shared" si="19"/>
        <v>Oath BR</v>
      </c>
      <c r="C124" t="str">
        <f t="shared" si="20"/>
        <v>CH~DISPLAY_DT~MULTI_PB~OTH_FM~BANNER_RT~CPM_PD~VDV_GOL_OATH_BANNER_1080X1920_1080X1920_TG~BHVDEM_TS~NONE_SZ~1080X1920_DISPLAY_MK~BR_IT~DISPLAY_VV~NONE</v>
      </c>
      <c r="D124" t="str">
        <f t="shared" si="21"/>
        <v>240843169</v>
      </c>
      <c r="E124" t="str">
        <f t="shared" si="22"/>
        <v>Dynamic Click</v>
      </c>
      <c r="F124" t="str">
        <f t="shared" si="23"/>
        <v>CH~DISPLAY_DT~MULTI_PB~OTH_FM~BANNER_RT~CPM_PD~VDV_GOL_OATH_BANNER_1080X1920_1080X1920_TG~BHVDEM_TS~NONE_SZ~1080X1920_DISPLAY_MK~BR_IT~DISPLAY_VV~NONE</v>
      </c>
      <c r="G124" t="str">
        <f t="shared" si="24"/>
        <v>437838727</v>
      </c>
      <c r="H124" t="str">
        <f t="shared" si="25"/>
        <v>Tracking</v>
      </c>
      <c r="I124">
        <f t="shared" si="26"/>
        <v>0</v>
      </c>
      <c r="J124">
        <f t="shared" si="27"/>
        <v>2</v>
      </c>
      <c r="K124" s="4">
        <f t="shared" si="30"/>
        <v>3.5000000000000001E-3</v>
      </c>
      <c r="L124">
        <f t="shared" si="31"/>
        <v>0.02</v>
      </c>
      <c r="M124" s="4">
        <f t="shared" si="28"/>
        <v>7.0000000000000001E-3</v>
      </c>
      <c r="N124" s="4">
        <f t="shared" si="29"/>
        <v>0.04</v>
      </c>
    </row>
    <row r="125" spans="1:14">
      <c r="A125" t="str">
        <f t="shared" si="18"/>
        <v>MK~BR_CN~Vai_de_Visa_MN~NONE_YQ~19Q1Q4_CP~NONE_OB~LDS_PK~NONE</v>
      </c>
      <c r="B125" t="str">
        <f t="shared" si="19"/>
        <v>Oath BR</v>
      </c>
      <c r="C125" t="str">
        <f t="shared" si="20"/>
        <v>CH~DISPLAY_DT~MULTI_PB~OTH_FM~BANNER_RT~CPM_PD~VDV_GOL_OATH_BANNER_627X627_627X627_TG~BHVDEM_TS~NONE_SZ~627X627_DISPLAY_MK~BR_IT~DISPLAY_VV~NONE</v>
      </c>
      <c r="D125" t="str">
        <f t="shared" si="21"/>
        <v>240843175</v>
      </c>
      <c r="E125" t="str">
        <f t="shared" si="22"/>
        <v>Dynamic Click</v>
      </c>
      <c r="F125" t="str">
        <f t="shared" si="23"/>
        <v>CH~DISPLAY_DT~MULTI_PB~OTH_FM~BANNER_RT~CPM_PD~VDV_GOL_OATH_BANNER_627X627_627X627_TG~BHVDEM_TS~NONE_SZ~627X627_DISPLAY_MK~BR_IT~DISPLAY_VV~NONE</v>
      </c>
      <c r="G125" t="str">
        <f t="shared" si="24"/>
        <v>437838733</v>
      </c>
      <c r="H125" t="str">
        <f t="shared" si="25"/>
        <v>Tracking</v>
      </c>
      <c r="I125">
        <f t="shared" si="26"/>
        <v>0</v>
      </c>
      <c r="J125">
        <f t="shared" si="27"/>
        <v>60</v>
      </c>
      <c r="K125" s="4">
        <f t="shared" si="30"/>
        <v>3.5000000000000001E-3</v>
      </c>
      <c r="L125">
        <f t="shared" si="31"/>
        <v>0.02</v>
      </c>
      <c r="M125" s="4">
        <f t="shared" si="28"/>
        <v>0.21</v>
      </c>
      <c r="N125" s="4">
        <f t="shared" si="29"/>
        <v>1.2</v>
      </c>
    </row>
    <row r="126" spans="1:14">
      <c r="A126" t="str">
        <f t="shared" si="18"/>
        <v>MK~BR_CN~Vai_de_Visa_MN~NONE_YQ~19Q1Q4_CP~NONE_OB~LDS_PK~NONE</v>
      </c>
      <c r="B126" t="str">
        <f t="shared" si="19"/>
        <v>Oath BR</v>
      </c>
      <c r="C126" t="str">
        <f t="shared" si="20"/>
        <v>CH~DISPLAY_DT~MULTI_PB~OTH_FM~BANNER_RT~CPM_PD~VDV_GOL_OATH_BANNER_720X1280_720X1280_TG~BHVDEM_TS~NONE_SZ~720X1280_DISPLAY_MK~BR_IT~DISPLAY_VV~NONE</v>
      </c>
      <c r="D126" t="str">
        <f t="shared" si="21"/>
        <v>240843172</v>
      </c>
      <c r="E126" t="str">
        <f t="shared" si="22"/>
        <v>Dynamic Click</v>
      </c>
      <c r="F126" t="str">
        <f t="shared" si="23"/>
        <v>CH~DISPLAY_DT~MULTI_PB~OTH_FM~BANNER_RT~CPM_PD~VDV_GOL_OATH_BANNER_720X1280_720X1280_TG~BHVDEM_TS~NONE_SZ~720X1280_DISPLAY_MK~BR_IT~DISPLAY_VV~NONE</v>
      </c>
      <c r="G126" t="str">
        <f t="shared" si="24"/>
        <v>437838730</v>
      </c>
      <c r="H126" t="str">
        <f t="shared" si="25"/>
        <v>Tracking</v>
      </c>
      <c r="I126">
        <f t="shared" si="26"/>
        <v>0</v>
      </c>
      <c r="J126">
        <f t="shared" si="27"/>
        <v>1</v>
      </c>
      <c r="K126" s="4">
        <f t="shared" si="30"/>
        <v>3.5000000000000001E-3</v>
      </c>
      <c r="L126">
        <f t="shared" si="31"/>
        <v>0.02</v>
      </c>
      <c r="M126" s="4">
        <f t="shared" si="28"/>
        <v>3.5000000000000001E-3</v>
      </c>
      <c r="N126" s="4">
        <f t="shared" si="29"/>
        <v>0.02</v>
      </c>
    </row>
    <row r="127" spans="1:14">
      <c r="A127" t="str">
        <f t="shared" si="18"/>
        <v>MK~BR_CN~Vai_de_Visa_MN~NONE_YQ~19Q1Q4_CP~NONE_OB~LDS_PK~NONE</v>
      </c>
      <c r="B127" t="str">
        <f t="shared" si="19"/>
        <v>instagram.com</v>
      </c>
      <c r="C127" t="str">
        <f t="shared" si="20"/>
        <v>CH~SOCIAL_DT~MULTI_PB~IG_FM~REGULAR_RT~CPM_PD~VDV_NATURA_MULHER1_REGULAR_IG_10OFF_1X1_TG~BHVDEM_TS~NONE_SZ~1X1_SOCIAL_MK~BR_IT~SOCIAL_VV~NONE</v>
      </c>
      <c r="D127" t="str">
        <f t="shared" si="21"/>
        <v>242926884</v>
      </c>
      <c r="E127" t="str">
        <f t="shared" si="22"/>
        <v>Dynamic Click</v>
      </c>
      <c r="F127" t="str">
        <f t="shared" si="23"/>
        <v>CH~SOCIAL_DT~MULTI_PB~IG_FM~REGULAR_RT~CPM_PD~VDV_NATURA_MULHER1_REGULAR_IG_10OFF_1X1_TG~BHVDEM_TS~NONE_SZ~1X1_SOCIAL_MK~BR_IT~SOCIAL_VV~NONE</v>
      </c>
      <c r="G127" t="str">
        <f t="shared" si="24"/>
        <v>439435609</v>
      </c>
      <c r="H127" t="str">
        <f t="shared" si="25"/>
        <v>Tracking</v>
      </c>
      <c r="I127">
        <f t="shared" si="26"/>
        <v>0</v>
      </c>
      <c r="J127">
        <f t="shared" si="27"/>
        <v>59</v>
      </c>
      <c r="K127" s="4">
        <f t="shared" si="30"/>
        <v>3.5000000000000001E-3</v>
      </c>
      <c r="L127">
        <f t="shared" si="31"/>
        <v>0.02</v>
      </c>
      <c r="M127" s="4">
        <f t="shared" si="28"/>
        <v>0.20650000000000002</v>
      </c>
      <c r="N127" s="4">
        <f t="shared" si="29"/>
        <v>1.18</v>
      </c>
    </row>
    <row r="128" spans="1:14">
      <c r="A128" t="str">
        <f t="shared" si="18"/>
        <v>MK~BR_CN~Vai_de_Visa_MN~NONE_YQ~19Q1Q4_CP~NONE_OB~LDS_PK~NONE</v>
      </c>
      <c r="B128" t="str">
        <f t="shared" si="19"/>
        <v>instagram.com</v>
      </c>
      <c r="C128" t="str">
        <f t="shared" si="20"/>
        <v>CH~SOCIAL_DT~MULTI_PB~IG_FM~STORIES_RT~CPM_PD~VDV_CAMICADO_STORIES_IG_RENOVE10OFF_1X1_TG~BHVDEM_TS~NONE_SZ~1X1_SOCIAL_MK~BR_IT~SOCIAL_VV~NONE</v>
      </c>
      <c r="D128" t="str">
        <f t="shared" si="21"/>
        <v>242466771</v>
      </c>
      <c r="E128" t="str">
        <f t="shared" si="22"/>
        <v>Dynamic Click</v>
      </c>
      <c r="F128" t="str">
        <f t="shared" si="23"/>
        <v>CH~SOCIAL_DT~MULTI_PB~IG_FM~STORIES_RT~CPM_PD~VDV_CAMICADO_STORIES_IG_RENOVE10OFF_1X1_TG~BHVDEM_TS~NONE_SZ~1X1_SOCIAL_MK~BR_IT~SOCIAL_VV~NONE</v>
      </c>
      <c r="G128" t="str">
        <f t="shared" si="24"/>
        <v>439067879</v>
      </c>
      <c r="H128" t="str">
        <f t="shared" si="25"/>
        <v>Tracking</v>
      </c>
      <c r="I128">
        <f t="shared" si="26"/>
        <v>0</v>
      </c>
      <c r="J128">
        <f t="shared" si="27"/>
        <v>6833</v>
      </c>
      <c r="K128" s="4">
        <f t="shared" si="30"/>
        <v>3.5000000000000001E-3</v>
      </c>
      <c r="L128">
        <f t="shared" si="31"/>
        <v>0.02</v>
      </c>
      <c r="M128" s="4">
        <f t="shared" si="28"/>
        <v>23.915500000000002</v>
      </c>
      <c r="N128" s="4">
        <f t="shared" si="29"/>
        <v>136.66</v>
      </c>
    </row>
    <row r="129" spans="1:14">
      <c r="A129" t="str">
        <f t="shared" si="18"/>
        <v>MK~BR_CN~Vai_de_Visa_MN~NONE_YQ~19Q1Q4_CP~NONE_OB~LDS_PK~NONE</v>
      </c>
      <c r="B129" t="str">
        <f t="shared" si="19"/>
        <v>instagram.com</v>
      </c>
      <c r="C129" t="str">
        <f t="shared" si="20"/>
        <v>CH~SOCIAL_DT~MULTI_PB~IG_FM~STORIES_RT~CPM_PD~VDV_NATURA_MULHER1_STORIES_IG_10OFF_1X1_TG~BHVDEM_TS~NONE_SZ~1X1_SOCIAL_MK~BR_IT~SOCIAL_VV~NONE</v>
      </c>
      <c r="D129" t="str">
        <f t="shared" si="21"/>
        <v>242612642</v>
      </c>
      <c r="E129" t="str">
        <f t="shared" si="22"/>
        <v>Dynamic Click</v>
      </c>
      <c r="F129" t="str">
        <f t="shared" si="23"/>
        <v>CH~SOCIAL_DT~MULTI_PB~IG_FM~STORIES_RT~CPM_PD~VDV_NATURA_MULHER1_STORIES_IG_10OFF_1X1_TG~BHVDEM_TS~NONE_SZ~1X1_SOCIAL_MK~BR_IT~SOCIAL_VV~NONE</v>
      </c>
      <c r="G129" t="str">
        <f t="shared" si="24"/>
        <v>439435630</v>
      </c>
      <c r="H129" t="str">
        <f t="shared" si="25"/>
        <v>Tracking</v>
      </c>
      <c r="I129">
        <f t="shared" si="26"/>
        <v>0</v>
      </c>
      <c r="J129">
        <f t="shared" si="27"/>
        <v>874</v>
      </c>
      <c r="K129" s="4">
        <f t="shared" si="30"/>
        <v>3.5000000000000001E-3</v>
      </c>
      <c r="L129">
        <f t="shared" si="31"/>
        <v>0.02</v>
      </c>
      <c r="M129" s="4">
        <f t="shared" si="28"/>
        <v>3.0590000000000002</v>
      </c>
      <c r="N129" s="4">
        <f t="shared" si="29"/>
        <v>17.48</v>
      </c>
    </row>
    <row r="130" spans="1:14">
      <c r="A130" t="str">
        <f t="shared" ref="A130:A193" si="32">bd_campaign</f>
        <v>MK~LM_CN~AFFLUENT_MN~NONE_YQ~19Q1Q4_CP~PO5020004141-9_OB~TRAFFIC_PK~NONE</v>
      </c>
      <c r="B130" t="str">
        <f t="shared" ref="B130:B193" si="33">bd_site</f>
        <v>Facebook</v>
      </c>
      <c r="C130" t="str">
        <f t="shared" ref="C130:C193" si="34">bd_placement</f>
        <v>CH~SOCIAL_DT~MULTI_PB~FCBK_FM~CARROSSEL_RT~CPM_PD~AFFLUENT_DINNING_FREEVALET_CARROSSEL_STEAK_1X1_TG~BHVDEM_TS~NONE_SZ~1X1_SOCIAL_MK~BR_IT~SOCIAL_VV~NONE</v>
      </c>
      <c r="D130" t="str">
        <f t="shared" ref="D130:D193" si="35">bd_placementID</f>
        <v>240447802</v>
      </c>
      <c r="E130" t="str">
        <f t="shared" ref="E130:E193" si="36">VLOOKUP(CONCATENATE(bd_adtype,"_",bd_creativetype),tabela,2,FALSE)</f>
        <v>Dynamic Click</v>
      </c>
      <c r="F130" t="str">
        <f t="shared" ref="F130:F193" si="37">bd_ad</f>
        <v>CH~SOCIAL_DT~MULTI_PB~FCBK_FM~CARROSSEL_RT~CPM_PD~AFFLUENT_DINNING_FREEVALET_CARROSSEL_STEAK_1X1_TG~BHVDEM_TS~NONE_SZ~1X1_SOCIAL_MK~BR_IT~SOCIAL_VV~NONE</v>
      </c>
      <c r="G130" t="str">
        <f t="shared" ref="G130:G193" si="38">bd_adid</f>
        <v>437412416</v>
      </c>
      <c r="H130" t="str">
        <f t="shared" ref="H130:H193" si="39">bd_creativetype</f>
        <v>Tracking</v>
      </c>
      <c r="I130">
        <f t="shared" ref="I130:I193" si="40">bd_impression</f>
        <v>0</v>
      </c>
      <c r="J130">
        <f t="shared" ref="J130:J193" si="41">bd_clicks</f>
        <v>1</v>
      </c>
      <c r="K130" s="4">
        <f t="shared" si="30"/>
        <v>3.5000000000000001E-3</v>
      </c>
      <c r="L130">
        <f t="shared" si="31"/>
        <v>0.02</v>
      </c>
      <c r="M130" s="4">
        <f t="shared" si="28"/>
        <v>3.5000000000000001E-3</v>
      </c>
      <c r="N130" s="4">
        <f t="shared" si="29"/>
        <v>0.02</v>
      </c>
    </row>
    <row r="131" spans="1:14">
      <c r="A131" t="str">
        <f t="shared" si="32"/>
        <v>MK~LM_CN~AFFLUENT_MN~NONE_YQ~19Q1Q4_CP~PO5020004141-9_OB~TRAFFIC_PK~NONE</v>
      </c>
      <c r="B131" t="str">
        <f t="shared" si="33"/>
        <v>Facebook</v>
      </c>
      <c r="C131" t="str">
        <f t="shared" si="34"/>
        <v>CH~SOCIAL_DT~MULTI_PB~FCBK_FM~CARROSSEL_RT~CPM_PD~AFFLUENT_MALLS_FREEVALET_CARROSSEL_CIDADEJARDIM_1X1_TG~BHVDEM_TS~NONE_SZ~1X1_SOCIAL_MK~BR_IT~SOCIAL_VV~NONE</v>
      </c>
      <c r="D131" t="str">
        <f t="shared" si="35"/>
        <v>240515485</v>
      </c>
      <c r="E131" t="str">
        <f t="shared" si="36"/>
        <v>Dynamic Click</v>
      </c>
      <c r="F131" t="str">
        <f t="shared" si="37"/>
        <v>CH~SOCIAL_DT~MULTI_PB~FCBK_FM~CARROSSEL_RT~CPM_PD~AFFLUENT_MALLS_FREEVALET_CARROSSEL_CIDADEJARDIM_1X1_TG~BHVDEM_TS~NONE_SZ~1X1_SOCIAL_MK~BR_IT~SOCIAL_VV~NONE</v>
      </c>
      <c r="G131" t="str">
        <f t="shared" si="38"/>
        <v>437498843</v>
      </c>
      <c r="H131" t="str">
        <f t="shared" si="39"/>
        <v>Tracking</v>
      </c>
      <c r="I131">
        <f t="shared" si="40"/>
        <v>0</v>
      </c>
      <c r="J131">
        <f t="shared" si="41"/>
        <v>1</v>
      </c>
      <c r="K131" s="4">
        <f t="shared" si="30"/>
        <v>3.5000000000000001E-3</v>
      </c>
      <c r="L131">
        <f t="shared" si="31"/>
        <v>0.02</v>
      </c>
      <c r="M131" s="4">
        <f t="shared" si="28"/>
        <v>3.5000000000000001E-3</v>
      </c>
      <c r="N131" s="4">
        <f t="shared" si="29"/>
        <v>0.02</v>
      </c>
    </row>
    <row r="132" spans="1:14">
      <c r="A132" t="str">
        <f t="shared" si="32"/>
        <v>MK~LM_CN~AFFLUENT_MN~NONE_YQ~19Q1Q4_CP~PO5020004141-9_OB~TRAFFIC_PK~NONE</v>
      </c>
      <c r="B132" t="str">
        <f t="shared" si="33"/>
        <v>Facebook</v>
      </c>
      <c r="C132" t="str">
        <f t="shared" si="34"/>
        <v>CH~SOCIAL_DT~MULTI_PB~FCBK_FM~CARROSSEL_RT~CPM_PD~AFFLUENT_MALLS_FREEVALET_CARROSSEL_PATIO_1X1_TG~BHVDEM_TS~NONE_SZ~1X1_SOCIAL_MK~BR_IT~SOCIAL_VV~NONE</v>
      </c>
      <c r="D132" t="str">
        <f t="shared" si="35"/>
        <v>240515509</v>
      </c>
      <c r="E132" t="str">
        <f t="shared" si="36"/>
        <v>Dynamic Click</v>
      </c>
      <c r="F132" t="str">
        <f t="shared" si="37"/>
        <v>CH~SOCIAL_DT~MULTI_PB~FCBK_FM~CARROSSEL_RT~CPM_PD~AFFLUENT_MALLS_FREEVALET_CARROSSEL_PATIO_1X1_TG~BHVDEM_TS~NONE_SZ~1X1_SOCIAL_MK~BR_IT~SOCIAL_VV~NONE</v>
      </c>
      <c r="G132" t="str">
        <f t="shared" si="38"/>
        <v>437498867</v>
      </c>
      <c r="H132" t="str">
        <f t="shared" si="39"/>
        <v>Tracking</v>
      </c>
      <c r="I132">
        <f t="shared" si="40"/>
        <v>0</v>
      </c>
      <c r="J132">
        <f t="shared" si="41"/>
        <v>2</v>
      </c>
      <c r="K132" s="4">
        <f t="shared" si="30"/>
        <v>3.5000000000000001E-3</v>
      </c>
      <c r="L132">
        <f t="shared" si="31"/>
        <v>0.02</v>
      </c>
      <c r="M132" s="4">
        <f t="shared" si="28"/>
        <v>7.0000000000000001E-3</v>
      </c>
      <c r="N132" s="4">
        <f t="shared" si="29"/>
        <v>0.04</v>
      </c>
    </row>
    <row r="133" spans="1:14">
      <c r="A133" t="str">
        <f t="shared" si="32"/>
        <v>MK~LM_CN~AFFLUENT_MN~NONE_YQ~19Q1Q4_CP~PO5020004141-9_OB~TRAFFIC_PK~NONE</v>
      </c>
      <c r="B133" t="str">
        <f t="shared" si="33"/>
        <v>Facebook</v>
      </c>
      <c r="C133" t="str">
        <f t="shared" si="34"/>
        <v>CH~SOCIAL_DT~MULTI_PB~FCBK_FM~GIF_RT~CPM_PD~AFFLUENT_MALLS_FREEVALET_GIF_PATIO_1X1_TG~BHVDEM_TS~NONE_SZ~1X1_SOCIAL_MK~BR_IT~SOCIAL_VV~NONE</v>
      </c>
      <c r="D133" t="str">
        <f t="shared" si="35"/>
        <v>240515473</v>
      </c>
      <c r="E133" t="str">
        <f t="shared" si="36"/>
        <v>Dynamic Click</v>
      </c>
      <c r="F133" t="str">
        <f t="shared" si="37"/>
        <v>CH~SOCIAL_DT~MULTI_PB~FCBK_FM~GIF_RT~CPM_PD~AFFLUENT_MALLS_FREEVALET_GIF_PATIO_1X1_TG~BHVDEM_TS~NONE_SZ~1X1_SOCIAL_MK~BR_IT~SOCIAL_VV~NONE</v>
      </c>
      <c r="G133" t="str">
        <f t="shared" si="38"/>
        <v>437498831</v>
      </c>
      <c r="H133" t="str">
        <f t="shared" si="39"/>
        <v>Tracking</v>
      </c>
      <c r="I133">
        <f t="shared" si="40"/>
        <v>0</v>
      </c>
      <c r="J133">
        <f t="shared" si="41"/>
        <v>1</v>
      </c>
      <c r="K133" s="4">
        <f t="shared" si="30"/>
        <v>3.5000000000000001E-3</v>
      </c>
      <c r="L133">
        <f t="shared" si="31"/>
        <v>0.02</v>
      </c>
      <c r="M133" s="4">
        <f t="shared" si="28"/>
        <v>3.5000000000000001E-3</v>
      </c>
      <c r="N133" s="4">
        <f t="shared" si="29"/>
        <v>0.02</v>
      </c>
    </row>
    <row r="134" spans="1:14">
      <c r="A134" t="str">
        <f t="shared" si="32"/>
        <v>MK~LM_CN~AFFLUENT_MN~NONE_YQ~19Q1Q4_CP~PO5020004141-9_OB~TRAFFIC_PK~NONE</v>
      </c>
      <c r="B134" t="str">
        <f t="shared" si="33"/>
        <v>Facebook</v>
      </c>
      <c r="C134" t="str">
        <f t="shared" si="34"/>
        <v>CH~SOCIAL_DT~MULTI_PB~FCBK_FM~LINKAD_RT~CPM_PD~AFFLUENT_DINNING_FREEVALET_LINKAD_MASSA_1X1_TG~BHVDEM_TS~NONE_SZ~1X1_SOCIAL_MK~BR_IT~SOCIAL_VV~NONE</v>
      </c>
      <c r="D134" t="str">
        <f t="shared" si="35"/>
        <v>240447784</v>
      </c>
      <c r="E134" t="str">
        <f t="shared" si="36"/>
        <v>Dynamic Click</v>
      </c>
      <c r="F134" t="str">
        <f t="shared" si="37"/>
        <v>CH~SOCIAL_DT~MULTI_PB~FCBK_FM~LINKAD_RT~CPM_PD~AFFLUENT_DINNING_FREEVALET_LINKAD_MASSA_1X1_TG~BHVDEM_TS~NONE_SZ~1X1_SOCIAL_MK~BR_IT~SOCIAL_VV~NONE</v>
      </c>
      <c r="G134" t="str">
        <f t="shared" si="38"/>
        <v>437412398</v>
      </c>
      <c r="H134" t="str">
        <f t="shared" si="39"/>
        <v>Tracking</v>
      </c>
      <c r="I134">
        <f t="shared" si="40"/>
        <v>0</v>
      </c>
      <c r="J134">
        <f t="shared" si="41"/>
        <v>3</v>
      </c>
      <c r="K134" s="4">
        <f t="shared" si="30"/>
        <v>3.5000000000000001E-3</v>
      </c>
      <c r="L134">
        <f t="shared" si="31"/>
        <v>0.02</v>
      </c>
      <c r="M134" s="4">
        <f t="shared" si="28"/>
        <v>1.0500000000000001E-2</v>
      </c>
      <c r="N134" s="4">
        <f t="shared" si="29"/>
        <v>0.06</v>
      </c>
    </row>
    <row r="135" spans="1:14">
      <c r="A135" t="str">
        <f t="shared" si="32"/>
        <v>MK~LM_CN~AFFLUENT_MN~NONE_YQ~19Q1Q4_CP~PO5020004141-9_OB~TRAFFIC_PK~NONE</v>
      </c>
      <c r="B135" t="str">
        <f t="shared" si="33"/>
        <v>Facebook</v>
      </c>
      <c r="C135" t="str">
        <f t="shared" si="34"/>
        <v>CH~SOCIAL_DT~MULTI_PB~FCBK_FM~LINKAD_RT~CPM_PD~AFFLUENT_DINNING_FREEVALET_LINKAD_STEAK_1X1_TG~BHVDEM_TS~NONE_SZ~1X1_SOCIAL_MK~BR_IT~SOCIAL_VV~NONE</v>
      </c>
      <c r="D135" t="str">
        <f t="shared" si="35"/>
        <v>240447778</v>
      </c>
      <c r="E135" t="str">
        <f t="shared" si="36"/>
        <v>Dynamic Click</v>
      </c>
      <c r="F135" t="str">
        <f t="shared" si="37"/>
        <v>CH~SOCIAL_DT~MULTI_PB~FCBK_FM~LINKAD_RT~CPM_PD~AFFLUENT_DINNING_FREEVALET_LINKAD_STEAK_1X1_TG~BHVDEM_TS~NONE_SZ~1X1_SOCIAL_MK~BR_IT~SOCIAL_VV~NONE</v>
      </c>
      <c r="G135" t="str">
        <f t="shared" si="38"/>
        <v>437412392</v>
      </c>
      <c r="H135" t="str">
        <f t="shared" si="39"/>
        <v>Tracking</v>
      </c>
      <c r="I135">
        <f t="shared" si="40"/>
        <v>0</v>
      </c>
      <c r="J135">
        <f t="shared" si="41"/>
        <v>3</v>
      </c>
      <c r="K135" s="4">
        <f t="shared" si="30"/>
        <v>3.5000000000000001E-3</v>
      </c>
      <c r="L135">
        <f t="shared" si="31"/>
        <v>0.02</v>
      </c>
      <c r="M135" s="4">
        <f t="shared" si="28"/>
        <v>1.0500000000000001E-2</v>
      </c>
      <c r="N135" s="4">
        <f t="shared" si="29"/>
        <v>0.06</v>
      </c>
    </row>
    <row r="136" spans="1:14">
      <c r="A136" t="str">
        <f t="shared" si="32"/>
        <v>MK~LM_CN~AFFLUENT_MN~NONE_YQ~19Q1Q4_CP~PO5020004141-9_OB~TRAFFIC_PK~NONE</v>
      </c>
      <c r="B136" t="str">
        <f t="shared" si="33"/>
        <v>Facebook</v>
      </c>
      <c r="C136" t="str">
        <f t="shared" si="34"/>
        <v>CH~SOCIAL_DT~MULTI_PB~FCBK_FM~LINKAD_RT~CPM_PD~AFFLUENT_MALLS_FREEVALET_LINKAD_PATIO_1X1_TG~BHVDEM_TS~NONE_SZ~1X1_SOCIAL_MK~BR_IT~SOCIAL_VV~NONE</v>
      </c>
      <c r="D136" t="str">
        <f t="shared" si="35"/>
        <v>240515452</v>
      </c>
      <c r="E136" t="str">
        <f t="shared" si="36"/>
        <v>Dynamic Click</v>
      </c>
      <c r="F136" t="str">
        <f t="shared" si="37"/>
        <v>CH~SOCIAL_DT~MULTI_PB~FCBK_FM~LINKAD_RT~CPM_PD~AFFLUENT_MALLS_FREEVALET_LINKAD_PATIO_1X1_TG~BHVDEM_TS~NONE_SZ~1X1_SOCIAL_MK~BR_IT~SOCIAL_VV~NONE</v>
      </c>
      <c r="G136" t="str">
        <f t="shared" si="38"/>
        <v>437498810</v>
      </c>
      <c r="H136" t="str">
        <f t="shared" si="39"/>
        <v>Tracking</v>
      </c>
      <c r="I136">
        <f t="shared" si="40"/>
        <v>0</v>
      </c>
      <c r="J136">
        <f t="shared" si="41"/>
        <v>2</v>
      </c>
      <c r="K136" s="4">
        <f t="shared" si="30"/>
        <v>3.5000000000000001E-3</v>
      </c>
      <c r="L136">
        <f t="shared" si="31"/>
        <v>0.02</v>
      </c>
      <c r="M136" s="4">
        <f t="shared" si="28"/>
        <v>7.0000000000000001E-3</v>
      </c>
      <c r="N136" s="4">
        <f t="shared" si="29"/>
        <v>0.04</v>
      </c>
    </row>
    <row r="137" spans="1:14">
      <c r="A137" t="str">
        <f t="shared" si="32"/>
        <v>MK~LM_CN~AFFLUENT_MN~NONE_YQ~19Q1Q4_CP~PO5020004141-9_OB~TRAFFIC_PK~NONE</v>
      </c>
      <c r="B137" t="str">
        <f t="shared" si="33"/>
        <v>Facebook</v>
      </c>
      <c r="C137" t="str">
        <f t="shared" si="34"/>
        <v>CH~SOCIAL_DT~MULTI_PB~FCBK_FM~LINKAD_RT~CPM_PD~AFFLUENT_MALLS_FREEVALET_LINKAD_RIODESIGNBARRA_1X1_TG~BHVDEM_TS~NONE_SZ~1X1_SOCIAL_MK~BR_IT~SOCIAL_VV~NONE</v>
      </c>
      <c r="D137" t="str">
        <f t="shared" si="35"/>
        <v>240515446</v>
      </c>
      <c r="E137" t="str">
        <f t="shared" si="36"/>
        <v>Dynamic Click</v>
      </c>
      <c r="F137" t="str">
        <f t="shared" si="37"/>
        <v>CH~SOCIAL_DT~MULTI_PB~FCBK_FM~LINKAD_RT~CPM_PD~AFFLUENT_MALLS_FREEVALET_LINKAD_RIODESIGNBARRA_1X1_TG~BHVDEM_TS~NONE_SZ~1X1_SOCIAL_MK~BR_IT~SOCIAL_VV~NONE</v>
      </c>
      <c r="G137" t="str">
        <f t="shared" si="38"/>
        <v>437498804</v>
      </c>
      <c r="H137" t="str">
        <f t="shared" si="39"/>
        <v>Tracking</v>
      </c>
      <c r="I137">
        <f t="shared" si="40"/>
        <v>0</v>
      </c>
      <c r="J137">
        <f t="shared" si="41"/>
        <v>2</v>
      </c>
      <c r="K137" s="4">
        <f t="shared" si="30"/>
        <v>3.5000000000000001E-3</v>
      </c>
      <c r="L137">
        <f t="shared" si="31"/>
        <v>0.02</v>
      </c>
      <c r="M137" s="4">
        <f t="shared" si="28"/>
        <v>7.0000000000000001E-3</v>
      </c>
      <c r="N137" s="4">
        <f t="shared" si="29"/>
        <v>0.04</v>
      </c>
    </row>
    <row r="138" spans="1:14">
      <c r="A138" t="str">
        <f t="shared" si="32"/>
        <v>MK~LM_CN~AFFLUENT_MN~NONE_YQ~19Q1Q4_CP~PO5020004141-9_OB~TRAFFIC_PK~NONE</v>
      </c>
      <c r="B138" t="str">
        <f t="shared" si="33"/>
        <v>Facebook</v>
      </c>
      <c r="C138" t="str">
        <f t="shared" si="34"/>
        <v>CH~SOCIAL_DT~MULTI_PB~FCBK_FM~VERTICAL_RT~CPM_PD~AFFLUENT_DINNING_FREEVALET_VERTICAL_MASSA_1X1_TG~BHVDEM_TS~NONE_SZ~1X1_SOCIAL_MK~BR_IT~SOCIAL_VV~NONE</v>
      </c>
      <c r="D138" t="str">
        <f t="shared" si="35"/>
        <v>240447751</v>
      </c>
      <c r="E138" t="str">
        <f t="shared" si="36"/>
        <v>Dynamic Click</v>
      </c>
      <c r="F138" t="str">
        <f t="shared" si="37"/>
        <v>CH~SOCIAL_DT~MULTI_PB~FCBK_FM~VERTICAL_RT~CPM_PD~AFFLUENT_DINNING_FREEVALET_VERTICAL_MASSA_1X1_TG~BHVDEM_TS~NONE_SZ~1X1_SOCIAL_MK~BR_IT~SOCIAL_VV~NONE</v>
      </c>
      <c r="G138" t="str">
        <f t="shared" si="38"/>
        <v>437412365</v>
      </c>
      <c r="H138" t="str">
        <f t="shared" si="39"/>
        <v>Tracking</v>
      </c>
      <c r="I138">
        <f t="shared" si="40"/>
        <v>0</v>
      </c>
      <c r="J138">
        <f t="shared" si="41"/>
        <v>2</v>
      </c>
      <c r="K138" s="4">
        <f t="shared" si="30"/>
        <v>3.5000000000000001E-3</v>
      </c>
      <c r="L138">
        <f t="shared" si="31"/>
        <v>0.02</v>
      </c>
      <c r="M138" s="4">
        <f t="shared" si="28"/>
        <v>7.0000000000000001E-3</v>
      </c>
      <c r="N138" s="4">
        <f t="shared" si="29"/>
        <v>0.04</v>
      </c>
    </row>
    <row r="139" spans="1:14">
      <c r="A139" t="str">
        <f t="shared" si="32"/>
        <v>MK~LM_CN~AFFLUENT_MN~NONE_YQ~19Q1Q4_CP~PO5020004141-9_OB~TRAFFIC_PK~NONE</v>
      </c>
      <c r="B139" t="str">
        <f t="shared" si="33"/>
        <v>Facebook</v>
      </c>
      <c r="C139" t="str">
        <f t="shared" si="34"/>
        <v>CH~SOCIAL_DT~MULTI_PB~FCBK_FM~VERTICAL_RT~CPM_PD~AFFLUENT_DINNING_FREEVALET_VERTICAL_STEAK_1X1_TG~BHVDEM_TS~NONE_SZ~1X1_SOCIAL_MK~BR_IT~SOCIAL_VV~NONE</v>
      </c>
      <c r="D139" t="str">
        <f t="shared" si="35"/>
        <v>240447748</v>
      </c>
      <c r="E139" t="str">
        <f t="shared" si="36"/>
        <v>Dynamic Click</v>
      </c>
      <c r="F139" t="str">
        <f t="shared" si="37"/>
        <v>CH~SOCIAL_DT~MULTI_PB~FCBK_FM~VERTICAL_RT~CPM_PD~AFFLUENT_DINNING_FREEVALET_VERTICAL_STEAK_1X1_TG~BHVDEM_TS~NONE_SZ~1X1_SOCIAL_MK~BR_IT~SOCIAL_VV~NONE</v>
      </c>
      <c r="G139" t="str">
        <f t="shared" si="38"/>
        <v>437412362</v>
      </c>
      <c r="H139" t="str">
        <f t="shared" si="39"/>
        <v>Tracking</v>
      </c>
      <c r="I139">
        <f t="shared" si="40"/>
        <v>0</v>
      </c>
      <c r="J139">
        <f t="shared" si="41"/>
        <v>2</v>
      </c>
      <c r="K139" s="4">
        <f t="shared" si="30"/>
        <v>3.5000000000000001E-3</v>
      </c>
      <c r="L139">
        <f t="shared" si="31"/>
        <v>0.02</v>
      </c>
      <c r="M139" s="4">
        <f t="shared" si="28"/>
        <v>7.0000000000000001E-3</v>
      </c>
      <c r="N139" s="4">
        <f t="shared" si="29"/>
        <v>0.04</v>
      </c>
    </row>
    <row r="140" spans="1:14">
      <c r="A140" t="str">
        <f t="shared" si="32"/>
        <v>MK~LM_CN~AFFLUENT_MN~NONE_YQ~19Q1Q4_CP~PO5020004141-9_OB~TRAFFIC_PK~NONE</v>
      </c>
      <c r="B140" t="str">
        <f t="shared" si="33"/>
        <v>Facebook</v>
      </c>
      <c r="C140" t="str">
        <f t="shared" si="34"/>
        <v>CH~SOCIAL_DT~MULTI_PB~FCBK_FM~VERTICAL_RT~CPM_PD~AFFLUENT_DINNING_FREEVALET_VERTICAL_VEGETARIANA_1X1_TG~BHVDEM_TS~NONE_SZ~1X1_SOCIAL_MK~BR_IT~SOCIAL_VV~NONE</v>
      </c>
      <c r="D140" t="str">
        <f t="shared" si="35"/>
        <v>240447745</v>
      </c>
      <c r="E140" t="str">
        <f t="shared" si="36"/>
        <v>Dynamic Click</v>
      </c>
      <c r="F140" t="str">
        <f t="shared" si="37"/>
        <v>CH~SOCIAL_DT~MULTI_PB~FCBK_FM~VERTICAL_RT~CPM_PD~AFFLUENT_DINNING_FREEVALET_VERTICAL_VEGETARIANA_1X1_TG~BHVDEM_TS~NONE_SZ~1X1_SOCIAL_MK~BR_IT~SOCIAL_VV~NONE</v>
      </c>
      <c r="G140" t="str">
        <f t="shared" si="38"/>
        <v>437412359</v>
      </c>
      <c r="H140" t="str">
        <f t="shared" si="39"/>
        <v>Tracking</v>
      </c>
      <c r="I140">
        <f t="shared" si="40"/>
        <v>0</v>
      </c>
      <c r="J140">
        <f t="shared" si="41"/>
        <v>1</v>
      </c>
      <c r="K140" s="4">
        <f t="shared" si="30"/>
        <v>3.5000000000000001E-3</v>
      </c>
      <c r="L140">
        <f t="shared" si="31"/>
        <v>0.02</v>
      </c>
      <c r="M140" s="4">
        <f t="shared" si="28"/>
        <v>3.5000000000000001E-3</v>
      </c>
      <c r="N140" s="4">
        <f t="shared" si="29"/>
        <v>0.02</v>
      </c>
    </row>
    <row r="141" spans="1:14">
      <c r="A141" t="str">
        <f t="shared" si="32"/>
        <v>MK~LM_CN~AFFLUENT_MN~NONE_YQ~19Q1Q4_CP~PO5020004141-9_OB~TRAFFIC_PK~NONE</v>
      </c>
      <c r="B141" t="str">
        <f t="shared" si="33"/>
        <v>In Loco Media</v>
      </c>
      <c r="C141" t="str">
        <f t="shared" si="34"/>
        <v>CH~DISPLAY_DT~MOBILE_PB~ILC_FM~BANNER_RT~CPM_PD~AFFLUENT_FREEVALET_RESTAURANTES_RETANGULO_INLOCO_1X1_TG~BHVDEM_TS~NONE_SZ~1X1_DSIPLAY_MK~BR_IT~DSIPLAY_VV~NONE</v>
      </c>
      <c r="D141" t="str">
        <f t="shared" si="35"/>
        <v>236930075</v>
      </c>
      <c r="E141" t="str">
        <f t="shared" si="36"/>
        <v>Dynamic Click</v>
      </c>
      <c r="F141" t="str">
        <f t="shared" si="37"/>
        <v>CH~DISPLAY_DT~MOBILE_PB~ILC_FM~BANNER_RT~CPM_PD~AFFLUENT_FREEVALET_RESTAURANTES_RETANGULO_INLOCO_1X1_TG~BHVDEM_TS~NONE_SZ~1X1_DSIPLAY_MK~BR_IT~DSIPLAY_VV~NONE</v>
      </c>
      <c r="G141" t="str">
        <f t="shared" si="38"/>
        <v>434306967</v>
      </c>
      <c r="H141" t="str">
        <f t="shared" si="39"/>
        <v>Tracking</v>
      </c>
      <c r="I141">
        <f t="shared" si="40"/>
        <v>0</v>
      </c>
      <c r="J141">
        <f t="shared" si="41"/>
        <v>3</v>
      </c>
      <c r="K141" s="4">
        <f t="shared" si="30"/>
        <v>3.5000000000000001E-3</v>
      </c>
      <c r="L141">
        <f t="shared" si="31"/>
        <v>0.02</v>
      </c>
      <c r="M141" s="4">
        <f t="shared" si="28"/>
        <v>1.0500000000000001E-2</v>
      </c>
      <c r="N141" s="4">
        <f t="shared" si="29"/>
        <v>0.06</v>
      </c>
    </row>
    <row r="142" spans="1:14">
      <c r="A142" t="str">
        <f t="shared" si="32"/>
        <v>MK~LM_CN~AFFLUENT_MN~NONE_YQ~19Q1Q4_CP~PO5020004141-9_OB~TRAFFIC_PK~NONE</v>
      </c>
      <c r="B142" t="str">
        <f t="shared" si="33"/>
        <v>In Loco Media</v>
      </c>
      <c r="C142" t="str">
        <f t="shared" si="34"/>
        <v>CH~DISPLAY_DT~MOBILE_PB~ILC_FM~BANNER_RT~CPM_PD~AFFLUENT_FREEVALET_RESTAURANTES_SMALLBANNER_INLOCO_1X1_TG~BHVDEM_TS~NONE_SZ~1X1_DSIPLAY_MK~BR_IT~DSIPLAY_VV~NONE</v>
      </c>
      <c r="D142" t="str">
        <f t="shared" si="35"/>
        <v>236920337</v>
      </c>
      <c r="E142" t="str">
        <f t="shared" si="36"/>
        <v>Dynamic Click</v>
      </c>
      <c r="F142" t="str">
        <f t="shared" si="37"/>
        <v>CH~DISPLAY_DT~MOBILE_PB~ILC_FM~BANNER_RT~CPM_PD~AFFLUENT_FREEVALET_RESTAURANTES_SMALLBANNER_INLOCO_1X1_TG~BHVDEM_TS~NONE_SZ~1X1_DSIPLAY_MK~BR_IT~DSIPLAY_VV~NONE</v>
      </c>
      <c r="G142" t="str">
        <f t="shared" si="38"/>
        <v>434306970</v>
      </c>
      <c r="H142" t="str">
        <f t="shared" si="39"/>
        <v>Tracking</v>
      </c>
      <c r="I142">
        <f t="shared" si="40"/>
        <v>0</v>
      </c>
      <c r="J142">
        <f t="shared" si="41"/>
        <v>6</v>
      </c>
      <c r="K142" s="4">
        <f t="shared" si="30"/>
        <v>3.5000000000000001E-3</v>
      </c>
      <c r="L142">
        <f t="shared" si="31"/>
        <v>0.02</v>
      </c>
      <c r="M142" s="4">
        <f t="shared" si="28"/>
        <v>2.1000000000000001E-2</v>
      </c>
      <c r="N142" s="4">
        <f t="shared" si="29"/>
        <v>0.12</v>
      </c>
    </row>
    <row r="143" spans="1:14">
      <c r="A143" t="str">
        <f t="shared" si="32"/>
        <v>MK~LM_CN~AFFLUENT_MN~NONE_YQ~19Q1Q4_CP~PO5020004141-9_OB~TRAFFIC_PK~NONE</v>
      </c>
      <c r="B143" t="str">
        <f t="shared" si="33"/>
        <v>In Loco Media</v>
      </c>
      <c r="C143" t="str">
        <f t="shared" si="34"/>
        <v>CH~DISPLAY_DT~MOBILE_PB~ILC_FM~NATIVE_RT~CPM_PD~AFFLUENT_FREEVALET_RESTAURANTES_NATIVE_INLOCO_1X1_TG~BHVDEM_TS~NONE_SZ~1X1_DSIPLAY_MK~BR_IT~DSIPLAY_VV~NONE</v>
      </c>
      <c r="D143" t="str">
        <f t="shared" si="35"/>
        <v>236957596</v>
      </c>
      <c r="E143" t="str">
        <f t="shared" si="36"/>
        <v>Dynamic Click</v>
      </c>
      <c r="F143" t="str">
        <f t="shared" si="37"/>
        <v>CH~DISPLAY_DT~MOBILE_PB~ILC_FM~NATIVE_RT~CPM_PD~AFFLUENT_FREEVALET_RESTAURANTES_NATIVE_INLOCO_1X1_TG~BHVDEM_TS~NONE_SZ~1X1_DSIPLAY_MK~BR_IT~DSIPLAY_VV~NONE</v>
      </c>
      <c r="G143" t="str">
        <f t="shared" si="38"/>
        <v>434312882</v>
      </c>
      <c r="H143" t="str">
        <f t="shared" si="39"/>
        <v>Tracking</v>
      </c>
      <c r="I143">
        <f t="shared" si="40"/>
        <v>0</v>
      </c>
      <c r="J143">
        <f t="shared" si="41"/>
        <v>4</v>
      </c>
      <c r="K143" s="4">
        <f t="shared" si="30"/>
        <v>3.5000000000000001E-3</v>
      </c>
      <c r="L143">
        <f t="shared" si="31"/>
        <v>0.02</v>
      </c>
      <c r="M143" s="4">
        <f t="shared" si="28"/>
        <v>1.4E-2</v>
      </c>
      <c r="N143" s="4">
        <f t="shared" si="29"/>
        <v>0.08</v>
      </c>
    </row>
    <row r="144" spans="1:14">
      <c r="A144" t="str">
        <f t="shared" si="32"/>
        <v>MK~LM_CN~CROSS_BORDER_PREMIUM_MN~NONE_YQ~19Q1Q4_CP~PO5020004141-13_OB~AWA_PK~NONE</v>
      </c>
      <c r="B144" t="str">
        <f t="shared" si="33"/>
        <v>Google Brasil</v>
      </c>
      <c r="C144" t="str">
        <f t="shared" si="34"/>
        <v>CH~DISPLAY_DT~MULTI_PB~GDBM_FM~BANNER_RT~CPM_PD~CROSSBORDER_CASHBACK_NAOCADASTRADOS_DNA_VIAJANTES_DBM_300X250_300X250_TG~BHVDEM_TS~NONE_SZ~300X250_PROGRAMMATIC_MK~BR_IT~PROGRAMMATIC_VV~NONE</v>
      </c>
      <c r="D144" t="str">
        <f t="shared" si="35"/>
        <v>238517612</v>
      </c>
      <c r="E144" t="str">
        <f t="shared" si="36"/>
        <v>Standard</v>
      </c>
      <c r="F144" t="str">
        <f t="shared" si="37"/>
        <v>CH~DISPLAY_DT~MULTI_PB~GDBM_FM~BANNER_RT~CPM_PD~CROSSBORDER_CASHBACK_NAOCADASTRADOS_DNA_VIAJANTES_DBM_300X250_300X250_TG~BHVDEM_TS~NONE_SZ~300X250_PROGRAMMATIC_MK~BR_IT~PROGRAMMATIC_VV~NONE</v>
      </c>
      <c r="G144" t="str">
        <f t="shared" si="38"/>
        <v>435795051</v>
      </c>
      <c r="H144" t="str">
        <f t="shared" si="39"/>
        <v>Display</v>
      </c>
      <c r="I144">
        <f t="shared" si="40"/>
        <v>127</v>
      </c>
      <c r="J144">
        <f t="shared" si="41"/>
        <v>7</v>
      </c>
      <c r="K144" s="4">
        <f t="shared" si="30"/>
        <v>3.8199999999999998E-2</v>
      </c>
      <c r="L144">
        <f t="shared" si="31"/>
        <v>0.09</v>
      </c>
      <c r="M144" s="4">
        <f t="shared" si="28"/>
        <v>4.8513999999999996E-3</v>
      </c>
      <c r="N144" s="4">
        <f t="shared" si="29"/>
        <v>1.1429999999999999E-2</v>
      </c>
    </row>
    <row r="145" spans="1:14">
      <c r="A145">
        <f t="shared" si="32"/>
        <v>0</v>
      </c>
      <c r="B145">
        <f t="shared" si="33"/>
        <v>0</v>
      </c>
      <c r="C145">
        <f t="shared" si="34"/>
        <v>0</v>
      </c>
      <c r="D145">
        <f t="shared" si="35"/>
        <v>0</v>
      </c>
      <c r="E145" t="e">
        <f t="shared" si="36"/>
        <v>#N/A</v>
      </c>
      <c r="F145">
        <f t="shared" si="37"/>
        <v>0</v>
      </c>
      <c r="G145">
        <f t="shared" si="38"/>
        <v>0</v>
      </c>
      <c r="H145">
        <f t="shared" si="39"/>
        <v>0</v>
      </c>
      <c r="I145">
        <f t="shared" si="40"/>
        <v>0</v>
      </c>
      <c r="J145">
        <f t="shared" si="41"/>
        <v>0</v>
      </c>
      <c r="K145" s="4" t="e">
        <f t="shared" si="30"/>
        <v>#N/A</v>
      </c>
      <c r="L145" t="e">
        <f t="shared" si="31"/>
        <v>#N/A</v>
      </c>
      <c r="M145" s="4" t="e">
        <f t="shared" si="28"/>
        <v>#N/A</v>
      </c>
      <c r="N145" s="4" t="e">
        <f t="shared" si="29"/>
        <v>#N/A</v>
      </c>
    </row>
    <row r="146" spans="1:14">
      <c r="A146">
        <f t="shared" si="32"/>
        <v>0</v>
      </c>
      <c r="B146">
        <f t="shared" si="33"/>
        <v>0</v>
      </c>
      <c r="C146">
        <f t="shared" si="34"/>
        <v>0</v>
      </c>
      <c r="D146">
        <f t="shared" si="35"/>
        <v>0</v>
      </c>
      <c r="E146" t="e">
        <f t="shared" si="36"/>
        <v>#N/A</v>
      </c>
      <c r="F146">
        <f t="shared" si="37"/>
        <v>0</v>
      </c>
      <c r="G146">
        <f t="shared" si="38"/>
        <v>0</v>
      </c>
      <c r="H146">
        <f t="shared" si="39"/>
        <v>0</v>
      </c>
      <c r="I146">
        <f t="shared" si="40"/>
        <v>0</v>
      </c>
      <c r="J146">
        <f t="shared" si="41"/>
        <v>0</v>
      </c>
      <c r="K146" s="4" t="e">
        <f t="shared" si="30"/>
        <v>#N/A</v>
      </c>
      <c r="L146" t="e">
        <f t="shared" si="31"/>
        <v>#N/A</v>
      </c>
      <c r="M146" s="4" t="e">
        <f t="shared" si="28"/>
        <v>#N/A</v>
      </c>
      <c r="N146" s="4" t="e">
        <f t="shared" si="29"/>
        <v>#N/A</v>
      </c>
    </row>
    <row r="147" spans="1:14">
      <c r="A147">
        <f t="shared" si="32"/>
        <v>0</v>
      </c>
      <c r="B147">
        <f t="shared" si="33"/>
        <v>0</v>
      </c>
      <c r="C147">
        <f t="shared" si="34"/>
        <v>0</v>
      </c>
      <c r="D147">
        <f t="shared" si="35"/>
        <v>0</v>
      </c>
      <c r="E147" t="e">
        <f t="shared" si="36"/>
        <v>#N/A</v>
      </c>
      <c r="F147">
        <f t="shared" si="37"/>
        <v>0</v>
      </c>
      <c r="G147">
        <f t="shared" si="38"/>
        <v>0</v>
      </c>
      <c r="H147">
        <f t="shared" si="39"/>
        <v>0</v>
      </c>
      <c r="I147">
        <f t="shared" si="40"/>
        <v>0</v>
      </c>
      <c r="J147">
        <f t="shared" si="41"/>
        <v>0</v>
      </c>
      <c r="K147" s="4" t="e">
        <f t="shared" si="30"/>
        <v>#N/A</v>
      </c>
      <c r="L147" t="e">
        <f t="shared" si="31"/>
        <v>#N/A</v>
      </c>
      <c r="M147" s="4" t="e">
        <f t="shared" si="28"/>
        <v>#N/A</v>
      </c>
      <c r="N147" s="4" t="e">
        <f t="shared" si="29"/>
        <v>#N/A</v>
      </c>
    </row>
    <row r="148" spans="1:14">
      <c r="A148">
        <f t="shared" si="32"/>
        <v>0</v>
      </c>
      <c r="B148">
        <f t="shared" si="33"/>
        <v>0</v>
      </c>
      <c r="C148">
        <f t="shared" si="34"/>
        <v>0</v>
      </c>
      <c r="D148">
        <f t="shared" si="35"/>
        <v>0</v>
      </c>
      <c r="E148" t="e">
        <f t="shared" si="36"/>
        <v>#N/A</v>
      </c>
      <c r="F148">
        <f t="shared" si="37"/>
        <v>0</v>
      </c>
      <c r="G148">
        <f t="shared" si="38"/>
        <v>0</v>
      </c>
      <c r="H148">
        <f t="shared" si="39"/>
        <v>0</v>
      </c>
      <c r="I148">
        <f t="shared" si="40"/>
        <v>0</v>
      </c>
      <c r="J148">
        <f t="shared" si="41"/>
        <v>0</v>
      </c>
      <c r="K148" s="4" t="e">
        <f t="shared" si="30"/>
        <v>#N/A</v>
      </c>
      <c r="L148" t="e">
        <f t="shared" si="31"/>
        <v>#N/A</v>
      </c>
      <c r="M148" s="4" t="e">
        <f t="shared" si="28"/>
        <v>#N/A</v>
      </c>
      <c r="N148" s="4" t="e">
        <f t="shared" si="29"/>
        <v>#N/A</v>
      </c>
    </row>
    <row r="149" spans="1:14">
      <c r="A149">
        <f t="shared" si="32"/>
        <v>0</v>
      </c>
      <c r="B149">
        <f t="shared" si="33"/>
        <v>0</v>
      </c>
      <c r="C149">
        <f t="shared" si="34"/>
        <v>0</v>
      </c>
      <c r="D149">
        <f t="shared" si="35"/>
        <v>0</v>
      </c>
      <c r="E149" t="e">
        <f t="shared" si="36"/>
        <v>#N/A</v>
      </c>
      <c r="F149">
        <f t="shared" si="37"/>
        <v>0</v>
      </c>
      <c r="G149">
        <f t="shared" si="38"/>
        <v>0</v>
      </c>
      <c r="H149">
        <f t="shared" si="39"/>
        <v>0</v>
      </c>
      <c r="I149">
        <f t="shared" si="40"/>
        <v>0</v>
      </c>
      <c r="J149">
        <f t="shared" si="41"/>
        <v>0</v>
      </c>
      <c r="K149" s="4" t="e">
        <f t="shared" si="30"/>
        <v>#N/A</v>
      </c>
      <c r="L149" t="e">
        <f t="shared" si="31"/>
        <v>#N/A</v>
      </c>
      <c r="M149" s="4" t="e">
        <f t="shared" si="28"/>
        <v>#N/A</v>
      </c>
      <c r="N149" s="4" t="e">
        <f t="shared" si="29"/>
        <v>#N/A</v>
      </c>
    </row>
    <row r="150" spans="1:14">
      <c r="A150">
        <f t="shared" si="32"/>
        <v>0</v>
      </c>
      <c r="B150">
        <f t="shared" si="33"/>
        <v>0</v>
      </c>
      <c r="C150">
        <f t="shared" si="34"/>
        <v>0</v>
      </c>
      <c r="D150">
        <f t="shared" si="35"/>
        <v>0</v>
      </c>
      <c r="E150" t="e">
        <f t="shared" si="36"/>
        <v>#N/A</v>
      </c>
      <c r="F150">
        <f t="shared" si="37"/>
        <v>0</v>
      </c>
      <c r="G150">
        <f t="shared" si="38"/>
        <v>0</v>
      </c>
      <c r="H150">
        <f t="shared" si="39"/>
        <v>0</v>
      </c>
      <c r="I150">
        <f t="shared" si="40"/>
        <v>0</v>
      </c>
      <c r="J150">
        <f t="shared" si="41"/>
        <v>0</v>
      </c>
      <c r="K150" s="4" t="e">
        <f t="shared" si="30"/>
        <v>#N/A</v>
      </c>
      <c r="L150" t="e">
        <f t="shared" si="31"/>
        <v>#N/A</v>
      </c>
      <c r="M150" s="4" t="e">
        <f t="shared" si="28"/>
        <v>#N/A</v>
      </c>
      <c r="N150" s="4" t="e">
        <f t="shared" si="29"/>
        <v>#N/A</v>
      </c>
    </row>
    <row r="151" spans="1:14">
      <c r="A151">
        <f t="shared" si="32"/>
        <v>0</v>
      </c>
      <c r="B151">
        <f t="shared" si="33"/>
        <v>0</v>
      </c>
      <c r="C151">
        <f t="shared" si="34"/>
        <v>0</v>
      </c>
      <c r="D151">
        <f t="shared" si="35"/>
        <v>0</v>
      </c>
      <c r="E151" t="e">
        <f t="shared" si="36"/>
        <v>#N/A</v>
      </c>
      <c r="F151">
        <f t="shared" si="37"/>
        <v>0</v>
      </c>
      <c r="G151">
        <f t="shared" si="38"/>
        <v>0</v>
      </c>
      <c r="H151">
        <f t="shared" si="39"/>
        <v>0</v>
      </c>
      <c r="I151">
        <f t="shared" si="40"/>
        <v>0</v>
      </c>
      <c r="J151">
        <f t="shared" si="41"/>
        <v>0</v>
      </c>
      <c r="K151" s="4" t="e">
        <f t="shared" si="30"/>
        <v>#N/A</v>
      </c>
      <c r="L151" t="e">
        <f t="shared" si="31"/>
        <v>#N/A</v>
      </c>
      <c r="M151" s="4" t="e">
        <f t="shared" si="28"/>
        <v>#N/A</v>
      </c>
      <c r="N151" s="4" t="e">
        <f t="shared" si="29"/>
        <v>#N/A</v>
      </c>
    </row>
    <row r="152" spans="1:14">
      <c r="A152">
        <f t="shared" si="32"/>
        <v>0</v>
      </c>
      <c r="B152">
        <f t="shared" si="33"/>
        <v>0</v>
      </c>
      <c r="C152">
        <f t="shared" si="34"/>
        <v>0</v>
      </c>
      <c r="D152">
        <f t="shared" si="35"/>
        <v>0</v>
      </c>
      <c r="E152" t="e">
        <f t="shared" si="36"/>
        <v>#N/A</v>
      </c>
      <c r="F152">
        <f t="shared" si="37"/>
        <v>0</v>
      </c>
      <c r="G152">
        <f t="shared" si="38"/>
        <v>0</v>
      </c>
      <c r="H152">
        <f t="shared" si="39"/>
        <v>0</v>
      </c>
      <c r="I152">
        <f t="shared" si="40"/>
        <v>0</v>
      </c>
      <c r="J152">
        <f t="shared" si="41"/>
        <v>0</v>
      </c>
      <c r="K152" s="4" t="e">
        <f t="shared" si="30"/>
        <v>#N/A</v>
      </c>
      <c r="L152" t="e">
        <f t="shared" si="31"/>
        <v>#N/A</v>
      </c>
      <c r="M152" s="4" t="e">
        <f t="shared" si="28"/>
        <v>#N/A</v>
      </c>
      <c r="N152" s="4" t="e">
        <f t="shared" si="29"/>
        <v>#N/A</v>
      </c>
    </row>
    <row r="153" spans="1:14">
      <c r="A153">
        <f t="shared" si="32"/>
        <v>0</v>
      </c>
      <c r="B153">
        <f t="shared" si="33"/>
        <v>0</v>
      </c>
      <c r="C153">
        <f t="shared" si="34"/>
        <v>0</v>
      </c>
      <c r="D153">
        <f t="shared" si="35"/>
        <v>0</v>
      </c>
      <c r="E153" t="e">
        <f t="shared" si="36"/>
        <v>#N/A</v>
      </c>
      <c r="F153">
        <f t="shared" si="37"/>
        <v>0</v>
      </c>
      <c r="G153">
        <f t="shared" si="38"/>
        <v>0</v>
      </c>
      <c r="H153">
        <f t="shared" si="39"/>
        <v>0</v>
      </c>
      <c r="I153">
        <f t="shared" si="40"/>
        <v>0</v>
      </c>
      <c r="J153">
        <f t="shared" si="41"/>
        <v>0</v>
      </c>
      <c r="K153" s="4" t="e">
        <f t="shared" si="30"/>
        <v>#N/A</v>
      </c>
      <c r="L153" t="e">
        <f t="shared" si="31"/>
        <v>#N/A</v>
      </c>
      <c r="M153" s="4" t="e">
        <f t="shared" si="28"/>
        <v>#N/A</v>
      </c>
      <c r="N153" s="4" t="e">
        <f t="shared" si="29"/>
        <v>#N/A</v>
      </c>
    </row>
    <row r="154" spans="1:14">
      <c r="A154">
        <f t="shared" si="32"/>
        <v>0</v>
      </c>
      <c r="B154">
        <f t="shared" si="33"/>
        <v>0</v>
      </c>
      <c r="C154">
        <f t="shared" si="34"/>
        <v>0</v>
      </c>
      <c r="D154">
        <f t="shared" si="35"/>
        <v>0</v>
      </c>
      <c r="E154" t="e">
        <f t="shared" si="36"/>
        <v>#N/A</v>
      </c>
      <c r="F154">
        <f t="shared" si="37"/>
        <v>0</v>
      </c>
      <c r="G154">
        <f t="shared" si="38"/>
        <v>0</v>
      </c>
      <c r="H154">
        <f t="shared" si="39"/>
        <v>0</v>
      </c>
      <c r="I154">
        <f t="shared" si="40"/>
        <v>0</v>
      </c>
      <c r="J154">
        <f t="shared" si="41"/>
        <v>0</v>
      </c>
      <c r="K154" s="4" t="e">
        <f t="shared" si="30"/>
        <v>#N/A</v>
      </c>
      <c r="L154" t="e">
        <f t="shared" si="31"/>
        <v>#N/A</v>
      </c>
      <c r="M154" s="4" t="e">
        <f t="shared" si="28"/>
        <v>#N/A</v>
      </c>
      <c r="N154" s="4" t="e">
        <f t="shared" si="29"/>
        <v>#N/A</v>
      </c>
    </row>
    <row r="155" spans="1:14">
      <c r="A155">
        <f t="shared" si="32"/>
        <v>0</v>
      </c>
      <c r="B155">
        <f t="shared" si="33"/>
        <v>0</v>
      </c>
      <c r="C155">
        <f t="shared" si="34"/>
        <v>0</v>
      </c>
      <c r="D155">
        <f t="shared" si="35"/>
        <v>0</v>
      </c>
      <c r="E155" t="e">
        <f t="shared" si="36"/>
        <v>#N/A</v>
      </c>
      <c r="F155">
        <f t="shared" si="37"/>
        <v>0</v>
      </c>
      <c r="G155">
        <f t="shared" si="38"/>
        <v>0</v>
      </c>
      <c r="H155">
        <f t="shared" si="39"/>
        <v>0</v>
      </c>
      <c r="I155">
        <f t="shared" si="40"/>
        <v>0</v>
      </c>
      <c r="J155">
        <f t="shared" si="41"/>
        <v>0</v>
      </c>
      <c r="K155" s="4" t="e">
        <f t="shared" si="30"/>
        <v>#N/A</v>
      </c>
      <c r="L155" t="e">
        <f t="shared" si="31"/>
        <v>#N/A</v>
      </c>
      <c r="M155" s="4" t="e">
        <f t="shared" si="28"/>
        <v>#N/A</v>
      </c>
      <c r="N155" s="4" t="e">
        <f t="shared" si="29"/>
        <v>#N/A</v>
      </c>
    </row>
    <row r="156" spans="1:14">
      <c r="A156">
        <f t="shared" si="32"/>
        <v>0</v>
      </c>
      <c r="B156">
        <f t="shared" si="33"/>
        <v>0</v>
      </c>
      <c r="C156">
        <f t="shared" si="34"/>
        <v>0</v>
      </c>
      <c r="D156">
        <f t="shared" si="35"/>
        <v>0</v>
      </c>
      <c r="E156" t="e">
        <f t="shared" si="36"/>
        <v>#N/A</v>
      </c>
      <c r="F156">
        <f t="shared" si="37"/>
        <v>0</v>
      </c>
      <c r="G156">
        <f t="shared" si="38"/>
        <v>0</v>
      </c>
      <c r="H156">
        <f t="shared" si="39"/>
        <v>0</v>
      </c>
      <c r="I156">
        <f t="shared" si="40"/>
        <v>0</v>
      </c>
      <c r="J156">
        <f t="shared" si="41"/>
        <v>0</v>
      </c>
      <c r="K156" s="4" t="e">
        <f t="shared" si="30"/>
        <v>#N/A</v>
      </c>
      <c r="L156" t="e">
        <f t="shared" si="31"/>
        <v>#N/A</v>
      </c>
      <c r="M156" s="4" t="e">
        <f t="shared" si="28"/>
        <v>#N/A</v>
      </c>
      <c r="N156" s="4" t="e">
        <f t="shared" si="29"/>
        <v>#N/A</v>
      </c>
    </row>
    <row r="157" spans="1:14">
      <c r="A157">
        <f t="shared" si="32"/>
        <v>0</v>
      </c>
      <c r="B157">
        <f t="shared" si="33"/>
        <v>0</v>
      </c>
      <c r="C157">
        <f t="shared" si="34"/>
        <v>0</v>
      </c>
      <c r="D157">
        <f t="shared" si="35"/>
        <v>0</v>
      </c>
      <c r="E157" t="e">
        <f t="shared" si="36"/>
        <v>#N/A</v>
      </c>
      <c r="F157">
        <f t="shared" si="37"/>
        <v>0</v>
      </c>
      <c r="G157">
        <f t="shared" si="38"/>
        <v>0</v>
      </c>
      <c r="H157">
        <f t="shared" si="39"/>
        <v>0</v>
      </c>
      <c r="I157">
        <f t="shared" si="40"/>
        <v>0</v>
      </c>
      <c r="J157">
        <f t="shared" si="41"/>
        <v>0</v>
      </c>
      <c r="K157" s="4" t="e">
        <f t="shared" si="30"/>
        <v>#N/A</v>
      </c>
      <c r="L157" t="e">
        <f t="shared" si="31"/>
        <v>#N/A</v>
      </c>
      <c r="M157" s="4" t="e">
        <f t="shared" si="28"/>
        <v>#N/A</v>
      </c>
      <c r="N157" s="4" t="e">
        <f t="shared" si="29"/>
        <v>#N/A</v>
      </c>
    </row>
    <row r="158" spans="1:14">
      <c r="A158">
        <f t="shared" si="32"/>
        <v>0</v>
      </c>
      <c r="B158">
        <f t="shared" si="33"/>
        <v>0</v>
      </c>
      <c r="C158">
        <f t="shared" si="34"/>
        <v>0</v>
      </c>
      <c r="D158">
        <f t="shared" si="35"/>
        <v>0</v>
      </c>
      <c r="E158" t="e">
        <f t="shared" si="36"/>
        <v>#N/A</v>
      </c>
      <c r="F158">
        <f t="shared" si="37"/>
        <v>0</v>
      </c>
      <c r="G158">
        <f t="shared" si="38"/>
        <v>0</v>
      </c>
      <c r="H158">
        <f t="shared" si="39"/>
        <v>0</v>
      </c>
      <c r="I158">
        <f t="shared" si="40"/>
        <v>0</v>
      </c>
      <c r="J158">
        <f t="shared" si="41"/>
        <v>0</v>
      </c>
      <c r="K158" s="4" t="e">
        <f t="shared" si="30"/>
        <v>#N/A</v>
      </c>
      <c r="L158" t="e">
        <f t="shared" si="31"/>
        <v>#N/A</v>
      </c>
      <c r="M158" s="4" t="e">
        <f t="shared" si="28"/>
        <v>#N/A</v>
      </c>
      <c r="N158" s="4" t="e">
        <f t="shared" si="29"/>
        <v>#N/A</v>
      </c>
    </row>
    <row r="159" spans="1:14">
      <c r="A159">
        <f t="shared" si="32"/>
        <v>0</v>
      </c>
      <c r="B159">
        <f t="shared" si="33"/>
        <v>0</v>
      </c>
      <c r="C159">
        <f t="shared" si="34"/>
        <v>0</v>
      </c>
      <c r="D159">
        <f t="shared" si="35"/>
        <v>0</v>
      </c>
      <c r="E159" t="e">
        <f t="shared" si="36"/>
        <v>#N/A</v>
      </c>
      <c r="F159">
        <f t="shared" si="37"/>
        <v>0</v>
      </c>
      <c r="G159">
        <f t="shared" si="38"/>
        <v>0</v>
      </c>
      <c r="H159">
        <f t="shared" si="39"/>
        <v>0</v>
      </c>
      <c r="I159">
        <f t="shared" si="40"/>
        <v>0</v>
      </c>
      <c r="J159">
        <f t="shared" si="41"/>
        <v>0</v>
      </c>
      <c r="K159" s="4" t="e">
        <f t="shared" si="30"/>
        <v>#N/A</v>
      </c>
      <c r="L159" t="e">
        <f t="shared" si="31"/>
        <v>#N/A</v>
      </c>
      <c r="M159" s="4" t="e">
        <f t="shared" si="28"/>
        <v>#N/A</v>
      </c>
      <c r="N159" s="4" t="e">
        <f t="shared" si="29"/>
        <v>#N/A</v>
      </c>
    </row>
    <row r="160" spans="1:14">
      <c r="A160">
        <f t="shared" si="32"/>
        <v>0</v>
      </c>
      <c r="B160">
        <f t="shared" si="33"/>
        <v>0</v>
      </c>
      <c r="C160">
        <f t="shared" si="34"/>
        <v>0</v>
      </c>
      <c r="D160">
        <f t="shared" si="35"/>
        <v>0</v>
      </c>
      <c r="E160" t="e">
        <f t="shared" si="36"/>
        <v>#N/A</v>
      </c>
      <c r="F160">
        <f t="shared" si="37"/>
        <v>0</v>
      </c>
      <c r="G160">
        <f t="shared" si="38"/>
        <v>0</v>
      </c>
      <c r="H160">
        <f t="shared" si="39"/>
        <v>0</v>
      </c>
      <c r="I160">
        <f t="shared" si="40"/>
        <v>0</v>
      </c>
      <c r="J160">
        <f t="shared" si="41"/>
        <v>0</v>
      </c>
      <c r="K160" s="4" t="e">
        <f t="shared" si="30"/>
        <v>#N/A</v>
      </c>
      <c r="L160" t="e">
        <f t="shared" si="31"/>
        <v>#N/A</v>
      </c>
      <c r="M160" s="4" t="e">
        <f t="shared" si="28"/>
        <v>#N/A</v>
      </c>
      <c r="N160" s="4" t="e">
        <f t="shared" si="29"/>
        <v>#N/A</v>
      </c>
    </row>
    <row r="161" spans="1:14">
      <c r="A161">
        <f t="shared" si="32"/>
        <v>0</v>
      </c>
      <c r="B161">
        <f t="shared" si="33"/>
        <v>0</v>
      </c>
      <c r="C161">
        <f t="shared" si="34"/>
        <v>0</v>
      </c>
      <c r="D161">
        <f t="shared" si="35"/>
        <v>0</v>
      </c>
      <c r="E161" t="e">
        <f t="shared" si="36"/>
        <v>#N/A</v>
      </c>
      <c r="F161">
        <f t="shared" si="37"/>
        <v>0</v>
      </c>
      <c r="G161">
        <f t="shared" si="38"/>
        <v>0</v>
      </c>
      <c r="H161">
        <f t="shared" si="39"/>
        <v>0</v>
      </c>
      <c r="I161">
        <f t="shared" si="40"/>
        <v>0</v>
      </c>
      <c r="J161">
        <f t="shared" si="41"/>
        <v>0</v>
      </c>
      <c r="K161" s="4" t="e">
        <f t="shared" si="30"/>
        <v>#N/A</v>
      </c>
      <c r="L161" t="e">
        <f t="shared" si="31"/>
        <v>#N/A</v>
      </c>
      <c r="M161" s="4" t="e">
        <f t="shared" si="28"/>
        <v>#N/A</v>
      </c>
      <c r="N161" s="4" t="e">
        <f t="shared" si="29"/>
        <v>#N/A</v>
      </c>
    </row>
    <row r="162" spans="1:14">
      <c r="A162">
        <f t="shared" si="32"/>
        <v>0</v>
      </c>
      <c r="B162">
        <f t="shared" si="33"/>
        <v>0</v>
      </c>
      <c r="C162">
        <f t="shared" si="34"/>
        <v>0</v>
      </c>
      <c r="D162">
        <f t="shared" si="35"/>
        <v>0</v>
      </c>
      <c r="E162" t="e">
        <f t="shared" si="36"/>
        <v>#N/A</v>
      </c>
      <c r="F162">
        <f t="shared" si="37"/>
        <v>0</v>
      </c>
      <c r="G162">
        <f t="shared" si="38"/>
        <v>0</v>
      </c>
      <c r="H162">
        <f t="shared" si="39"/>
        <v>0</v>
      </c>
      <c r="I162">
        <f t="shared" si="40"/>
        <v>0</v>
      </c>
      <c r="J162">
        <f t="shared" si="41"/>
        <v>0</v>
      </c>
      <c r="K162" s="4" t="e">
        <f t="shared" si="30"/>
        <v>#N/A</v>
      </c>
      <c r="L162" t="e">
        <f t="shared" si="31"/>
        <v>#N/A</v>
      </c>
      <c r="M162" s="4" t="e">
        <f t="shared" si="28"/>
        <v>#N/A</v>
      </c>
      <c r="N162" s="4" t="e">
        <f t="shared" si="29"/>
        <v>#N/A</v>
      </c>
    </row>
    <row r="163" spans="1:14">
      <c r="A163">
        <f t="shared" si="32"/>
        <v>0</v>
      </c>
      <c r="B163">
        <f t="shared" si="33"/>
        <v>0</v>
      </c>
      <c r="C163">
        <f t="shared" si="34"/>
        <v>0</v>
      </c>
      <c r="D163">
        <f t="shared" si="35"/>
        <v>0</v>
      </c>
      <c r="E163" t="e">
        <f t="shared" si="36"/>
        <v>#N/A</v>
      </c>
      <c r="F163">
        <f t="shared" si="37"/>
        <v>0</v>
      </c>
      <c r="G163">
        <f t="shared" si="38"/>
        <v>0</v>
      </c>
      <c r="H163">
        <f t="shared" si="39"/>
        <v>0</v>
      </c>
      <c r="I163">
        <f t="shared" si="40"/>
        <v>0</v>
      </c>
      <c r="J163">
        <f t="shared" si="41"/>
        <v>0</v>
      </c>
      <c r="K163" s="4" t="e">
        <f t="shared" si="30"/>
        <v>#N/A</v>
      </c>
      <c r="L163" t="e">
        <f t="shared" si="31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>
      <c r="A164">
        <f t="shared" si="32"/>
        <v>0</v>
      </c>
      <c r="B164">
        <f t="shared" si="33"/>
        <v>0</v>
      </c>
      <c r="C164">
        <f t="shared" si="34"/>
        <v>0</v>
      </c>
      <c r="D164">
        <f t="shared" si="35"/>
        <v>0</v>
      </c>
      <c r="E164" t="e">
        <f t="shared" si="36"/>
        <v>#N/A</v>
      </c>
      <c r="F164">
        <f t="shared" si="37"/>
        <v>0</v>
      </c>
      <c r="G164">
        <f t="shared" si="38"/>
        <v>0</v>
      </c>
      <c r="H164">
        <f t="shared" si="39"/>
        <v>0</v>
      </c>
      <c r="I164">
        <f t="shared" si="40"/>
        <v>0</v>
      </c>
      <c r="J164">
        <f t="shared" si="41"/>
        <v>0</v>
      </c>
      <c r="K164" s="4" t="e">
        <f t="shared" si="30"/>
        <v>#N/A</v>
      </c>
      <c r="L164" t="e">
        <f t="shared" si="31"/>
        <v>#N/A</v>
      </c>
      <c r="M164" s="4" t="e">
        <f t="shared" si="42"/>
        <v>#N/A</v>
      </c>
      <c r="N164" s="4" t="e">
        <f t="shared" si="43"/>
        <v>#N/A</v>
      </c>
    </row>
    <row r="165" spans="1:14">
      <c r="A165">
        <f t="shared" si="32"/>
        <v>0</v>
      </c>
      <c r="B165">
        <f t="shared" si="33"/>
        <v>0</v>
      </c>
      <c r="C165">
        <f t="shared" si="34"/>
        <v>0</v>
      </c>
      <c r="D165">
        <f t="shared" si="35"/>
        <v>0</v>
      </c>
      <c r="E165" t="e">
        <f t="shared" si="36"/>
        <v>#N/A</v>
      </c>
      <c r="F165">
        <f t="shared" si="37"/>
        <v>0</v>
      </c>
      <c r="G165">
        <f t="shared" si="38"/>
        <v>0</v>
      </c>
      <c r="H165">
        <f t="shared" si="39"/>
        <v>0</v>
      </c>
      <c r="I165">
        <f t="shared" si="40"/>
        <v>0</v>
      </c>
      <c r="J165">
        <f t="shared" si="41"/>
        <v>0</v>
      </c>
      <c r="K165" s="4" t="e">
        <f t="shared" si="30"/>
        <v>#N/A</v>
      </c>
      <c r="L165" t="e">
        <f t="shared" si="31"/>
        <v>#N/A</v>
      </c>
      <c r="M165" s="4" t="e">
        <f t="shared" si="42"/>
        <v>#N/A</v>
      </c>
      <c r="N165" s="4" t="e">
        <f t="shared" si="43"/>
        <v>#N/A</v>
      </c>
    </row>
    <row r="166" spans="1:14">
      <c r="A166">
        <f t="shared" si="32"/>
        <v>0</v>
      </c>
      <c r="B166">
        <f t="shared" si="33"/>
        <v>0</v>
      </c>
      <c r="C166">
        <f t="shared" si="34"/>
        <v>0</v>
      </c>
      <c r="D166">
        <f t="shared" si="35"/>
        <v>0</v>
      </c>
      <c r="E166" t="e">
        <f t="shared" si="36"/>
        <v>#N/A</v>
      </c>
      <c r="F166">
        <f t="shared" si="37"/>
        <v>0</v>
      </c>
      <c r="G166">
        <f t="shared" si="38"/>
        <v>0</v>
      </c>
      <c r="H166">
        <f t="shared" si="39"/>
        <v>0</v>
      </c>
      <c r="I166">
        <f t="shared" si="40"/>
        <v>0</v>
      </c>
      <c r="J166">
        <f t="shared" si="41"/>
        <v>0</v>
      </c>
      <c r="K166" s="4" t="e">
        <f t="shared" si="30"/>
        <v>#N/A</v>
      </c>
      <c r="L166" t="e">
        <f t="shared" si="31"/>
        <v>#N/A</v>
      </c>
      <c r="M166" s="4" t="e">
        <f t="shared" si="42"/>
        <v>#N/A</v>
      </c>
      <c r="N166" s="4" t="e">
        <f t="shared" si="43"/>
        <v>#N/A</v>
      </c>
    </row>
    <row r="167" spans="1:14">
      <c r="A167">
        <f t="shared" si="32"/>
        <v>0</v>
      </c>
      <c r="B167">
        <f t="shared" si="33"/>
        <v>0</v>
      </c>
      <c r="C167">
        <f t="shared" si="34"/>
        <v>0</v>
      </c>
      <c r="D167">
        <f t="shared" si="35"/>
        <v>0</v>
      </c>
      <c r="E167" t="e">
        <f t="shared" si="36"/>
        <v>#N/A</v>
      </c>
      <c r="F167">
        <f t="shared" si="37"/>
        <v>0</v>
      </c>
      <c r="G167">
        <f t="shared" si="38"/>
        <v>0</v>
      </c>
      <c r="H167">
        <f t="shared" si="39"/>
        <v>0</v>
      </c>
      <c r="I167">
        <f t="shared" si="40"/>
        <v>0</v>
      </c>
      <c r="J167">
        <f t="shared" si="41"/>
        <v>0</v>
      </c>
      <c r="K167" s="4" t="e">
        <f t="shared" si="30"/>
        <v>#N/A</v>
      </c>
      <c r="L167" t="e">
        <f t="shared" si="31"/>
        <v>#N/A</v>
      </c>
      <c r="M167" s="4" t="e">
        <f t="shared" si="42"/>
        <v>#N/A</v>
      </c>
      <c r="N167" s="4" t="e">
        <f t="shared" si="43"/>
        <v>#N/A</v>
      </c>
    </row>
    <row r="168" spans="1:14">
      <c r="A168">
        <f t="shared" si="32"/>
        <v>0</v>
      </c>
      <c r="B168">
        <f t="shared" si="33"/>
        <v>0</v>
      </c>
      <c r="C168">
        <f t="shared" si="34"/>
        <v>0</v>
      </c>
      <c r="D168">
        <f t="shared" si="35"/>
        <v>0</v>
      </c>
      <c r="E168" t="e">
        <f t="shared" si="36"/>
        <v>#N/A</v>
      </c>
      <c r="F168">
        <f t="shared" si="37"/>
        <v>0</v>
      </c>
      <c r="G168">
        <f t="shared" si="38"/>
        <v>0</v>
      </c>
      <c r="H168">
        <f t="shared" si="39"/>
        <v>0</v>
      </c>
      <c r="I168">
        <f t="shared" si="40"/>
        <v>0</v>
      </c>
      <c r="J168">
        <f t="shared" si="41"/>
        <v>0</v>
      </c>
      <c r="K168" s="4" t="e">
        <f t="shared" si="30"/>
        <v>#N/A</v>
      </c>
      <c r="L168" t="e">
        <f t="shared" si="31"/>
        <v>#N/A</v>
      </c>
      <c r="M168" s="4" t="e">
        <f t="shared" si="42"/>
        <v>#N/A</v>
      </c>
      <c r="N168" s="4" t="e">
        <f t="shared" si="43"/>
        <v>#N/A</v>
      </c>
    </row>
    <row r="169" spans="1:14">
      <c r="A169">
        <f t="shared" si="32"/>
        <v>0</v>
      </c>
      <c r="B169">
        <f t="shared" si="33"/>
        <v>0</v>
      </c>
      <c r="C169">
        <f t="shared" si="34"/>
        <v>0</v>
      </c>
      <c r="D169">
        <f t="shared" si="35"/>
        <v>0</v>
      </c>
      <c r="E169" t="e">
        <f t="shared" si="36"/>
        <v>#N/A</v>
      </c>
      <c r="F169">
        <f t="shared" si="37"/>
        <v>0</v>
      </c>
      <c r="G169">
        <f t="shared" si="38"/>
        <v>0</v>
      </c>
      <c r="H169">
        <f t="shared" si="39"/>
        <v>0</v>
      </c>
      <c r="I169">
        <f t="shared" si="40"/>
        <v>0</v>
      </c>
      <c r="J169">
        <f t="shared" si="41"/>
        <v>0</v>
      </c>
      <c r="K169" s="4" t="e">
        <f t="shared" si="30"/>
        <v>#N/A</v>
      </c>
      <c r="L169" t="e">
        <f t="shared" si="31"/>
        <v>#N/A</v>
      </c>
      <c r="M169" s="4" t="e">
        <f t="shared" si="42"/>
        <v>#N/A</v>
      </c>
      <c r="N169" s="4" t="e">
        <f t="shared" si="43"/>
        <v>#N/A</v>
      </c>
    </row>
    <row r="170" spans="1:14">
      <c r="A170">
        <f t="shared" si="32"/>
        <v>0</v>
      </c>
      <c r="B170">
        <f t="shared" si="33"/>
        <v>0</v>
      </c>
      <c r="C170">
        <f t="shared" si="34"/>
        <v>0</v>
      </c>
      <c r="D170">
        <f t="shared" si="35"/>
        <v>0</v>
      </c>
      <c r="E170" t="e">
        <f t="shared" si="36"/>
        <v>#N/A</v>
      </c>
      <c r="F170">
        <f t="shared" si="37"/>
        <v>0</v>
      </c>
      <c r="G170">
        <f t="shared" si="38"/>
        <v>0</v>
      </c>
      <c r="H170">
        <f t="shared" si="39"/>
        <v>0</v>
      </c>
      <c r="I170">
        <f t="shared" si="40"/>
        <v>0</v>
      </c>
      <c r="J170">
        <f t="shared" si="41"/>
        <v>0</v>
      </c>
      <c r="K170" s="4" t="e">
        <f t="shared" si="30"/>
        <v>#N/A</v>
      </c>
      <c r="L170" t="e">
        <f t="shared" si="31"/>
        <v>#N/A</v>
      </c>
      <c r="M170" s="4" t="e">
        <f t="shared" si="42"/>
        <v>#N/A</v>
      </c>
      <c r="N170" s="4" t="e">
        <f t="shared" si="43"/>
        <v>#N/A</v>
      </c>
    </row>
    <row r="171" spans="1:14">
      <c r="A171">
        <f t="shared" si="32"/>
        <v>0</v>
      </c>
      <c r="B171">
        <f t="shared" si="33"/>
        <v>0</v>
      </c>
      <c r="C171">
        <f t="shared" si="34"/>
        <v>0</v>
      </c>
      <c r="D171">
        <f t="shared" si="35"/>
        <v>0</v>
      </c>
      <c r="E171" t="e">
        <f t="shared" si="36"/>
        <v>#N/A</v>
      </c>
      <c r="F171">
        <f t="shared" si="37"/>
        <v>0</v>
      </c>
      <c r="G171">
        <f t="shared" si="38"/>
        <v>0</v>
      </c>
      <c r="H171">
        <f t="shared" si="39"/>
        <v>0</v>
      </c>
      <c r="I171">
        <f t="shared" si="40"/>
        <v>0</v>
      </c>
      <c r="J171">
        <f t="shared" si="41"/>
        <v>0</v>
      </c>
      <c r="K171" s="4" t="e">
        <f t="shared" si="30"/>
        <v>#N/A</v>
      </c>
      <c r="L171" t="e">
        <f t="shared" si="31"/>
        <v>#N/A</v>
      </c>
      <c r="M171" s="4" t="e">
        <f t="shared" si="42"/>
        <v>#N/A</v>
      </c>
      <c r="N171" s="4" t="e">
        <f t="shared" si="43"/>
        <v>#N/A</v>
      </c>
    </row>
    <row r="172" spans="1:14">
      <c r="A172">
        <f t="shared" si="32"/>
        <v>0</v>
      </c>
      <c r="B172">
        <f t="shared" si="33"/>
        <v>0</v>
      </c>
      <c r="C172">
        <f t="shared" si="34"/>
        <v>0</v>
      </c>
      <c r="D172">
        <f t="shared" si="35"/>
        <v>0</v>
      </c>
      <c r="E172" t="e">
        <f t="shared" si="36"/>
        <v>#N/A</v>
      </c>
      <c r="F172">
        <f t="shared" si="37"/>
        <v>0</v>
      </c>
      <c r="G172">
        <f t="shared" si="38"/>
        <v>0</v>
      </c>
      <c r="H172">
        <f t="shared" si="39"/>
        <v>0</v>
      </c>
      <c r="I172">
        <f t="shared" si="40"/>
        <v>0</v>
      </c>
      <c r="J172">
        <f t="shared" si="41"/>
        <v>0</v>
      </c>
      <c r="K172" s="4" t="e">
        <f t="shared" ref="K172:K235" si="44">IF(LEFT(B172,3)="DBM",0,VLOOKUP(E172,tabela,2,FALSE))</f>
        <v>#N/A</v>
      </c>
      <c r="L172" t="e">
        <f t="shared" ref="L172:L235" si="45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>
      <c r="A173">
        <f t="shared" si="32"/>
        <v>0</v>
      </c>
      <c r="B173">
        <f t="shared" si="33"/>
        <v>0</v>
      </c>
      <c r="C173">
        <f t="shared" si="34"/>
        <v>0</v>
      </c>
      <c r="D173">
        <f t="shared" si="35"/>
        <v>0</v>
      </c>
      <c r="E173" t="e">
        <f t="shared" si="36"/>
        <v>#N/A</v>
      </c>
      <c r="F173">
        <f t="shared" si="37"/>
        <v>0</v>
      </c>
      <c r="G173">
        <f t="shared" si="38"/>
        <v>0</v>
      </c>
      <c r="H173">
        <f t="shared" si="39"/>
        <v>0</v>
      </c>
      <c r="I173">
        <f t="shared" si="40"/>
        <v>0</v>
      </c>
      <c r="J173">
        <f t="shared" si="41"/>
        <v>0</v>
      </c>
      <c r="K173" s="4" t="e">
        <f t="shared" si="44"/>
        <v>#N/A</v>
      </c>
      <c r="L173" t="e">
        <f t="shared" si="45"/>
        <v>#N/A</v>
      </c>
      <c r="M173" s="4" t="e">
        <f t="shared" si="42"/>
        <v>#N/A</v>
      </c>
      <c r="N173" s="4" t="e">
        <f t="shared" si="43"/>
        <v>#N/A</v>
      </c>
    </row>
    <row r="174" spans="1:14">
      <c r="A174">
        <f t="shared" si="32"/>
        <v>0</v>
      </c>
      <c r="B174">
        <f t="shared" si="33"/>
        <v>0</v>
      </c>
      <c r="C174">
        <f t="shared" si="34"/>
        <v>0</v>
      </c>
      <c r="D174">
        <f t="shared" si="35"/>
        <v>0</v>
      </c>
      <c r="E174" t="e">
        <f t="shared" si="36"/>
        <v>#N/A</v>
      </c>
      <c r="F174">
        <f t="shared" si="37"/>
        <v>0</v>
      </c>
      <c r="G174">
        <f t="shared" si="38"/>
        <v>0</v>
      </c>
      <c r="H174">
        <f t="shared" si="39"/>
        <v>0</v>
      </c>
      <c r="I174">
        <f t="shared" si="40"/>
        <v>0</v>
      </c>
      <c r="J174">
        <f t="shared" si="41"/>
        <v>0</v>
      </c>
      <c r="K174" s="4" t="e">
        <f t="shared" si="44"/>
        <v>#N/A</v>
      </c>
      <c r="L174" t="e">
        <f t="shared" si="45"/>
        <v>#N/A</v>
      </c>
      <c r="M174" s="4" t="e">
        <f t="shared" si="42"/>
        <v>#N/A</v>
      </c>
      <c r="N174" s="4" t="e">
        <f t="shared" si="43"/>
        <v>#N/A</v>
      </c>
    </row>
    <row r="175" spans="1:14">
      <c r="A175">
        <f t="shared" si="32"/>
        <v>0</v>
      </c>
      <c r="B175">
        <f t="shared" si="33"/>
        <v>0</v>
      </c>
      <c r="C175">
        <f t="shared" si="34"/>
        <v>0</v>
      </c>
      <c r="D175">
        <f t="shared" si="35"/>
        <v>0</v>
      </c>
      <c r="E175" t="e">
        <f t="shared" si="36"/>
        <v>#N/A</v>
      </c>
      <c r="F175">
        <f t="shared" si="37"/>
        <v>0</v>
      </c>
      <c r="G175">
        <f t="shared" si="38"/>
        <v>0</v>
      </c>
      <c r="H175">
        <f t="shared" si="39"/>
        <v>0</v>
      </c>
      <c r="I175">
        <f t="shared" si="40"/>
        <v>0</v>
      </c>
      <c r="J175">
        <f t="shared" si="41"/>
        <v>0</v>
      </c>
      <c r="K175" s="4" t="e">
        <f t="shared" si="44"/>
        <v>#N/A</v>
      </c>
      <c r="L175" t="e">
        <f t="shared" si="45"/>
        <v>#N/A</v>
      </c>
      <c r="M175" s="4" t="e">
        <f t="shared" si="42"/>
        <v>#N/A</v>
      </c>
      <c r="N175" s="4" t="e">
        <f t="shared" si="43"/>
        <v>#N/A</v>
      </c>
    </row>
    <row r="176" spans="1:14">
      <c r="A176">
        <f t="shared" si="32"/>
        <v>0</v>
      </c>
      <c r="B176">
        <f t="shared" si="33"/>
        <v>0</v>
      </c>
      <c r="C176">
        <f t="shared" si="34"/>
        <v>0</v>
      </c>
      <c r="D176">
        <f t="shared" si="35"/>
        <v>0</v>
      </c>
      <c r="E176" t="e">
        <f t="shared" si="36"/>
        <v>#N/A</v>
      </c>
      <c r="F176">
        <f t="shared" si="37"/>
        <v>0</v>
      </c>
      <c r="G176">
        <f t="shared" si="38"/>
        <v>0</v>
      </c>
      <c r="H176">
        <f t="shared" si="39"/>
        <v>0</v>
      </c>
      <c r="I176">
        <f t="shared" si="40"/>
        <v>0</v>
      </c>
      <c r="J176">
        <f t="shared" si="41"/>
        <v>0</v>
      </c>
      <c r="K176" s="4" t="e">
        <f t="shared" si="44"/>
        <v>#N/A</v>
      </c>
      <c r="L176" t="e">
        <f t="shared" si="45"/>
        <v>#N/A</v>
      </c>
      <c r="M176" s="4" t="e">
        <f t="shared" si="42"/>
        <v>#N/A</v>
      </c>
      <c r="N176" s="4" t="e">
        <f t="shared" si="43"/>
        <v>#N/A</v>
      </c>
    </row>
    <row r="177" spans="1:14">
      <c r="A177">
        <f t="shared" si="32"/>
        <v>0</v>
      </c>
      <c r="B177">
        <f t="shared" si="33"/>
        <v>0</v>
      </c>
      <c r="C177">
        <f t="shared" si="34"/>
        <v>0</v>
      </c>
      <c r="D177">
        <f t="shared" si="35"/>
        <v>0</v>
      </c>
      <c r="E177" t="e">
        <f t="shared" si="36"/>
        <v>#N/A</v>
      </c>
      <c r="F177">
        <f t="shared" si="37"/>
        <v>0</v>
      </c>
      <c r="G177">
        <f t="shared" si="38"/>
        <v>0</v>
      </c>
      <c r="H177">
        <f t="shared" si="39"/>
        <v>0</v>
      </c>
      <c r="I177">
        <f t="shared" si="40"/>
        <v>0</v>
      </c>
      <c r="J177">
        <f t="shared" si="41"/>
        <v>0</v>
      </c>
      <c r="K177" s="4" t="e">
        <f t="shared" si="44"/>
        <v>#N/A</v>
      </c>
      <c r="L177" t="e">
        <f t="shared" si="45"/>
        <v>#N/A</v>
      </c>
      <c r="M177" s="4" t="e">
        <f t="shared" si="42"/>
        <v>#N/A</v>
      </c>
      <c r="N177" s="4" t="e">
        <f t="shared" si="43"/>
        <v>#N/A</v>
      </c>
    </row>
    <row r="178" spans="1:14">
      <c r="A178">
        <f t="shared" si="32"/>
        <v>0</v>
      </c>
      <c r="B178">
        <f t="shared" si="33"/>
        <v>0</v>
      </c>
      <c r="C178">
        <f t="shared" si="34"/>
        <v>0</v>
      </c>
      <c r="D178">
        <f t="shared" si="35"/>
        <v>0</v>
      </c>
      <c r="E178" t="e">
        <f t="shared" si="36"/>
        <v>#N/A</v>
      </c>
      <c r="F178">
        <f t="shared" si="37"/>
        <v>0</v>
      </c>
      <c r="G178">
        <f t="shared" si="38"/>
        <v>0</v>
      </c>
      <c r="H178">
        <f t="shared" si="39"/>
        <v>0</v>
      </c>
      <c r="I178">
        <f t="shared" si="40"/>
        <v>0</v>
      </c>
      <c r="J178">
        <f t="shared" si="41"/>
        <v>0</v>
      </c>
      <c r="K178" s="4" t="e">
        <f t="shared" si="44"/>
        <v>#N/A</v>
      </c>
      <c r="L178" t="e">
        <f t="shared" si="45"/>
        <v>#N/A</v>
      </c>
      <c r="M178" s="4" t="e">
        <f t="shared" si="42"/>
        <v>#N/A</v>
      </c>
      <c r="N178" s="4" t="e">
        <f t="shared" si="43"/>
        <v>#N/A</v>
      </c>
    </row>
    <row r="179" spans="1:14">
      <c r="A179">
        <f t="shared" si="32"/>
        <v>0</v>
      </c>
      <c r="B179">
        <f t="shared" si="33"/>
        <v>0</v>
      </c>
      <c r="C179">
        <f t="shared" si="34"/>
        <v>0</v>
      </c>
      <c r="D179">
        <f t="shared" si="35"/>
        <v>0</v>
      </c>
      <c r="E179" t="e">
        <f t="shared" si="36"/>
        <v>#N/A</v>
      </c>
      <c r="F179">
        <f t="shared" si="37"/>
        <v>0</v>
      </c>
      <c r="G179">
        <f t="shared" si="38"/>
        <v>0</v>
      </c>
      <c r="H179">
        <f t="shared" si="39"/>
        <v>0</v>
      </c>
      <c r="I179">
        <f t="shared" si="40"/>
        <v>0</v>
      </c>
      <c r="J179">
        <f t="shared" si="41"/>
        <v>0</v>
      </c>
      <c r="K179" s="4" t="e">
        <f t="shared" si="44"/>
        <v>#N/A</v>
      </c>
      <c r="L179" t="e">
        <f t="shared" si="45"/>
        <v>#N/A</v>
      </c>
      <c r="M179" s="4" t="e">
        <f t="shared" si="42"/>
        <v>#N/A</v>
      </c>
      <c r="N179" s="4" t="e">
        <f t="shared" si="43"/>
        <v>#N/A</v>
      </c>
    </row>
    <row r="180" spans="1:14">
      <c r="A180">
        <f t="shared" si="32"/>
        <v>0</v>
      </c>
      <c r="B180">
        <f t="shared" si="33"/>
        <v>0</v>
      </c>
      <c r="C180">
        <f t="shared" si="34"/>
        <v>0</v>
      </c>
      <c r="D180">
        <f t="shared" si="35"/>
        <v>0</v>
      </c>
      <c r="E180" t="e">
        <f t="shared" si="36"/>
        <v>#N/A</v>
      </c>
      <c r="F180">
        <f t="shared" si="37"/>
        <v>0</v>
      </c>
      <c r="G180">
        <f t="shared" si="38"/>
        <v>0</v>
      </c>
      <c r="H180">
        <f t="shared" si="39"/>
        <v>0</v>
      </c>
      <c r="I180">
        <f t="shared" si="40"/>
        <v>0</v>
      </c>
      <c r="J180">
        <f t="shared" si="41"/>
        <v>0</v>
      </c>
      <c r="K180" s="4" t="e">
        <f t="shared" si="44"/>
        <v>#N/A</v>
      </c>
      <c r="L180" t="e">
        <f t="shared" si="45"/>
        <v>#N/A</v>
      </c>
      <c r="M180" s="4" t="e">
        <f t="shared" si="42"/>
        <v>#N/A</v>
      </c>
      <c r="N180" s="4" t="e">
        <f t="shared" si="43"/>
        <v>#N/A</v>
      </c>
    </row>
    <row r="181" spans="1:14">
      <c r="A181">
        <f t="shared" si="32"/>
        <v>0</v>
      </c>
      <c r="B181">
        <f t="shared" si="33"/>
        <v>0</v>
      </c>
      <c r="C181">
        <f t="shared" si="34"/>
        <v>0</v>
      </c>
      <c r="D181">
        <f t="shared" si="35"/>
        <v>0</v>
      </c>
      <c r="E181" t="e">
        <f t="shared" si="36"/>
        <v>#N/A</v>
      </c>
      <c r="F181">
        <f t="shared" si="37"/>
        <v>0</v>
      </c>
      <c r="G181">
        <f t="shared" si="38"/>
        <v>0</v>
      </c>
      <c r="H181">
        <f t="shared" si="39"/>
        <v>0</v>
      </c>
      <c r="I181">
        <f t="shared" si="40"/>
        <v>0</v>
      </c>
      <c r="J181">
        <f t="shared" si="41"/>
        <v>0</v>
      </c>
      <c r="K181" s="4" t="e">
        <f t="shared" si="44"/>
        <v>#N/A</v>
      </c>
      <c r="L181" t="e">
        <f t="shared" si="45"/>
        <v>#N/A</v>
      </c>
      <c r="M181" s="4" t="e">
        <f t="shared" si="42"/>
        <v>#N/A</v>
      </c>
      <c r="N181" s="4" t="e">
        <f t="shared" si="43"/>
        <v>#N/A</v>
      </c>
    </row>
    <row r="182" spans="1:14">
      <c r="A182">
        <f t="shared" si="32"/>
        <v>0</v>
      </c>
      <c r="B182">
        <f t="shared" si="33"/>
        <v>0</v>
      </c>
      <c r="C182">
        <f t="shared" si="34"/>
        <v>0</v>
      </c>
      <c r="D182">
        <f t="shared" si="35"/>
        <v>0</v>
      </c>
      <c r="E182" t="e">
        <f t="shared" si="36"/>
        <v>#N/A</v>
      </c>
      <c r="F182">
        <f t="shared" si="37"/>
        <v>0</v>
      </c>
      <c r="G182">
        <f t="shared" si="38"/>
        <v>0</v>
      </c>
      <c r="H182">
        <f t="shared" si="39"/>
        <v>0</v>
      </c>
      <c r="I182">
        <f t="shared" si="40"/>
        <v>0</v>
      </c>
      <c r="J182">
        <f t="shared" si="41"/>
        <v>0</v>
      </c>
      <c r="K182" s="4" t="e">
        <f t="shared" si="44"/>
        <v>#N/A</v>
      </c>
      <c r="L182" t="e">
        <f t="shared" si="45"/>
        <v>#N/A</v>
      </c>
      <c r="M182" s="4" t="e">
        <f t="shared" si="42"/>
        <v>#N/A</v>
      </c>
      <c r="N182" s="4" t="e">
        <f t="shared" si="43"/>
        <v>#N/A</v>
      </c>
    </row>
    <row r="183" spans="1:14">
      <c r="A183">
        <f t="shared" si="32"/>
        <v>0</v>
      </c>
      <c r="B183">
        <f t="shared" si="33"/>
        <v>0</v>
      </c>
      <c r="C183">
        <f t="shared" si="34"/>
        <v>0</v>
      </c>
      <c r="D183">
        <f t="shared" si="35"/>
        <v>0</v>
      </c>
      <c r="E183" t="e">
        <f t="shared" si="36"/>
        <v>#N/A</v>
      </c>
      <c r="F183">
        <f t="shared" si="37"/>
        <v>0</v>
      </c>
      <c r="G183">
        <f t="shared" si="38"/>
        <v>0</v>
      </c>
      <c r="H183">
        <f t="shared" si="39"/>
        <v>0</v>
      </c>
      <c r="I183">
        <f t="shared" si="40"/>
        <v>0</v>
      </c>
      <c r="J183">
        <f t="shared" si="41"/>
        <v>0</v>
      </c>
      <c r="K183" s="4" t="e">
        <f t="shared" si="44"/>
        <v>#N/A</v>
      </c>
      <c r="L183" t="e">
        <f t="shared" si="45"/>
        <v>#N/A</v>
      </c>
      <c r="M183" s="4" t="e">
        <f t="shared" si="42"/>
        <v>#N/A</v>
      </c>
      <c r="N183" s="4" t="e">
        <f t="shared" si="43"/>
        <v>#N/A</v>
      </c>
    </row>
    <row r="184" spans="1:14">
      <c r="A184">
        <f t="shared" si="32"/>
        <v>0</v>
      </c>
      <c r="B184">
        <f t="shared" si="33"/>
        <v>0</v>
      </c>
      <c r="C184">
        <f t="shared" si="34"/>
        <v>0</v>
      </c>
      <c r="D184">
        <f t="shared" si="35"/>
        <v>0</v>
      </c>
      <c r="E184" t="e">
        <f t="shared" si="36"/>
        <v>#N/A</v>
      </c>
      <c r="F184">
        <f t="shared" si="37"/>
        <v>0</v>
      </c>
      <c r="G184">
        <f t="shared" si="38"/>
        <v>0</v>
      </c>
      <c r="H184">
        <f t="shared" si="39"/>
        <v>0</v>
      </c>
      <c r="I184">
        <f t="shared" si="40"/>
        <v>0</v>
      </c>
      <c r="J184">
        <f t="shared" si="41"/>
        <v>0</v>
      </c>
      <c r="K184" s="4" t="e">
        <f t="shared" si="44"/>
        <v>#N/A</v>
      </c>
      <c r="L184" t="e">
        <f t="shared" si="45"/>
        <v>#N/A</v>
      </c>
      <c r="M184" s="4" t="e">
        <f t="shared" si="42"/>
        <v>#N/A</v>
      </c>
      <c r="N184" s="4" t="e">
        <f t="shared" si="43"/>
        <v>#N/A</v>
      </c>
    </row>
    <row r="185" spans="1:14">
      <c r="A185">
        <f t="shared" si="32"/>
        <v>0</v>
      </c>
      <c r="B185">
        <f t="shared" si="33"/>
        <v>0</v>
      </c>
      <c r="C185">
        <f t="shared" si="34"/>
        <v>0</v>
      </c>
      <c r="D185">
        <f t="shared" si="35"/>
        <v>0</v>
      </c>
      <c r="E185" t="e">
        <f t="shared" si="36"/>
        <v>#N/A</v>
      </c>
      <c r="F185">
        <f t="shared" si="37"/>
        <v>0</v>
      </c>
      <c r="G185">
        <f t="shared" si="38"/>
        <v>0</v>
      </c>
      <c r="H185">
        <f t="shared" si="39"/>
        <v>0</v>
      </c>
      <c r="I185">
        <f t="shared" si="40"/>
        <v>0</v>
      </c>
      <c r="J185">
        <f t="shared" si="41"/>
        <v>0</v>
      </c>
      <c r="K185" s="4" t="e">
        <f t="shared" si="44"/>
        <v>#N/A</v>
      </c>
      <c r="L185" t="e">
        <f t="shared" si="45"/>
        <v>#N/A</v>
      </c>
      <c r="M185" s="4" t="e">
        <f t="shared" si="42"/>
        <v>#N/A</v>
      </c>
      <c r="N185" s="4" t="e">
        <f t="shared" si="43"/>
        <v>#N/A</v>
      </c>
    </row>
    <row r="186" spans="1:14">
      <c r="A186">
        <f t="shared" si="32"/>
        <v>0</v>
      </c>
      <c r="B186">
        <f t="shared" si="33"/>
        <v>0</v>
      </c>
      <c r="C186">
        <f t="shared" si="34"/>
        <v>0</v>
      </c>
      <c r="D186">
        <f t="shared" si="35"/>
        <v>0</v>
      </c>
      <c r="E186" t="e">
        <f t="shared" si="36"/>
        <v>#N/A</v>
      </c>
      <c r="F186">
        <f t="shared" si="37"/>
        <v>0</v>
      </c>
      <c r="G186">
        <f t="shared" si="38"/>
        <v>0</v>
      </c>
      <c r="H186">
        <f t="shared" si="39"/>
        <v>0</v>
      </c>
      <c r="I186">
        <f t="shared" si="40"/>
        <v>0</v>
      </c>
      <c r="J186">
        <f t="shared" si="41"/>
        <v>0</v>
      </c>
      <c r="K186" s="4" t="e">
        <f t="shared" si="44"/>
        <v>#N/A</v>
      </c>
      <c r="L186" t="e">
        <f t="shared" si="45"/>
        <v>#N/A</v>
      </c>
      <c r="M186" s="4" t="e">
        <f t="shared" si="42"/>
        <v>#N/A</v>
      </c>
      <c r="N186" s="4" t="e">
        <f t="shared" si="43"/>
        <v>#N/A</v>
      </c>
    </row>
    <row r="187" spans="1:14">
      <c r="A187">
        <f t="shared" si="32"/>
        <v>0</v>
      </c>
      <c r="B187">
        <f t="shared" si="33"/>
        <v>0</v>
      </c>
      <c r="C187">
        <f t="shared" si="34"/>
        <v>0</v>
      </c>
      <c r="D187">
        <f t="shared" si="35"/>
        <v>0</v>
      </c>
      <c r="E187" t="e">
        <f t="shared" si="36"/>
        <v>#N/A</v>
      </c>
      <c r="F187">
        <f t="shared" si="37"/>
        <v>0</v>
      </c>
      <c r="G187">
        <f t="shared" si="38"/>
        <v>0</v>
      </c>
      <c r="H187">
        <f t="shared" si="39"/>
        <v>0</v>
      </c>
      <c r="I187">
        <f t="shared" si="40"/>
        <v>0</v>
      </c>
      <c r="J187">
        <f t="shared" si="41"/>
        <v>0</v>
      </c>
      <c r="K187" s="4" t="e">
        <f t="shared" si="44"/>
        <v>#N/A</v>
      </c>
      <c r="L187" t="e">
        <f t="shared" si="45"/>
        <v>#N/A</v>
      </c>
      <c r="M187" s="4" t="e">
        <f t="shared" si="42"/>
        <v>#N/A</v>
      </c>
      <c r="N187" s="4" t="e">
        <f t="shared" si="43"/>
        <v>#N/A</v>
      </c>
    </row>
    <row r="188" spans="1:14">
      <c r="A188">
        <f t="shared" si="32"/>
        <v>0</v>
      </c>
      <c r="B188">
        <f t="shared" si="33"/>
        <v>0</v>
      </c>
      <c r="C188">
        <f t="shared" si="34"/>
        <v>0</v>
      </c>
      <c r="D188">
        <f t="shared" si="35"/>
        <v>0</v>
      </c>
      <c r="E188" t="e">
        <f t="shared" si="36"/>
        <v>#N/A</v>
      </c>
      <c r="F188">
        <f t="shared" si="37"/>
        <v>0</v>
      </c>
      <c r="G188">
        <f t="shared" si="38"/>
        <v>0</v>
      </c>
      <c r="H188">
        <f t="shared" si="39"/>
        <v>0</v>
      </c>
      <c r="I188">
        <f t="shared" si="40"/>
        <v>0</v>
      </c>
      <c r="J188">
        <f t="shared" si="41"/>
        <v>0</v>
      </c>
      <c r="K188" s="4" t="e">
        <f t="shared" si="44"/>
        <v>#N/A</v>
      </c>
      <c r="L188" t="e">
        <f t="shared" si="45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2"/>
        <v>0</v>
      </c>
      <c r="B189">
        <f t="shared" si="33"/>
        <v>0</v>
      </c>
      <c r="C189">
        <f t="shared" si="34"/>
        <v>0</v>
      </c>
      <c r="D189">
        <f t="shared" si="35"/>
        <v>0</v>
      </c>
      <c r="E189" t="e">
        <f t="shared" si="36"/>
        <v>#N/A</v>
      </c>
      <c r="F189">
        <f t="shared" si="37"/>
        <v>0</v>
      </c>
      <c r="G189">
        <f t="shared" si="38"/>
        <v>0</v>
      </c>
      <c r="H189">
        <f t="shared" si="39"/>
        <v>0</v>
      </c>
      <c r="I189">
        <f t="shared" si="40"/>
        <v>0</v>
      </c>
      <c r="J189">
        <f t="shared" si="41"/>
        <v>0</v>
      </c>
      <c r="K189" s="4" t="e">
        <f t="shared" si="44"/>
        <v>#N/A</v>
      </c>
      <c r="L189" t="e">
        <f t="shared" si="45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2"/>
        <v>0</v>
      </c>
      <c r="B190">
        <f t="shared" si="33"/>
        <v>0</v>
      </c>
      <c r="C190">
        <f t="shared" si="34"/>
        <v>0</v>
      </c>
      <c r="D190">
        <f t="shared" si="35"/>
        <v>0</v>
      </c>
      <c r="E190" t="e">
        <f t="shared" si="36"/>
        <v>#N/A</v>
      </c>
      <c r="F190">
        <f t="shared" si="37"/>
        <v>0</v>
      </c>
      <c r="G190">
        <f t="shared" si="38"/>
        <v>0</v>
      </c>
      <c r="H190">
        <f t="shared" si="39"/>
        <v>0</v>
      </c>
      <c r="I190">
        <f t="shared" si="40"/>
        <v>0</v>
      </c>
      <c r="J190">
        <f t="shared" si="41"/>
        <v>0</v>
      </c>
      <c r="K190" s="4" t="e">
        <f t="shared" si="44"/>
        <v>#N/A</v>
      </c>
      <c r="L190" t="e">
        <f t="shared" si="45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2"/>
        <v>0</v>
      </c>
      <c r="B191">
        <f t="shared" si="33"/>
        <v>0</v>
      </c>
      <c r="C191">
        <f t="shared" si="34"/>
        <v>0</v>
      </c>
      <c r="D191">
        <f t="shared" si="35"/>
        <v>0</v>
      </c>
      <c r="E191" t="e">
        <f t="shared" si="36"/>
        <v>#N/A</v>
      </c>
      <c r="F191">
        <f t="shared" si="37"/>
        <v>0</v>
      </c>
      <c r="G191">
        <f t="shared" si="38"/>
        <v>0</v>
      </c>
      <c r="H191">
        <f t="shared" si="39"/>
        <v>0</v>
      </c>
      <c r="I191">
        <f t="shared" si="40"/>
        <v>0</v>
      </c>
      <c r="J191">
        <f t="shared" si="41"/>
        <v>0</v>
      </c>
      <c r="K191" s="4" t="e">
        <f t="shared" si="44"/>
        <v>#N/A</v>
      </c>
      <c r="L191" t="e">
        <f t="shared" si="45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2"/>
        <v>0</v>
      </c>
      <c r="B192">
        <f t="shared" si="33"/>
        <v>0</v>
      </c>
      <c r="C192">
        <f t="shared" si="34"/>
        <v>0</v>
      </c>
      <c r="D192">
        <f t="shared" si="35"/>
        <v>0</v>
      </c>
      <c r="E192" t="e">
        <f t="shared" si="36"/>
        <v>#N/A</v>
      </c>
      <c r="F192">
        <f t="shared" si="37"/>
        <v>0</v>
      </c>
      <c r="G192">
        <f t="shared" si="38"/>
        <v>0</v>
      </c>
      <c r="H192">
        <f t="shared" si="39"/>
        <v>0</v>
      </c>
      <c r="I192">
        <f t="shared" si="40"/>
        <v>0</v>
      </c>
      <c r="J192">
        <f t="shared" si="41"/>
        <v>0</v>
      </c>
      <c r="K192" s="4" t="e">
        <f t="shared" si="44"/>
        <v>#N/A</v>
      </c>
      <c r="L192" t="e">
        <f t="shared" si="45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2"/>
        <v>0</v>
      </c>
      <c r="B193">
        <f t="shared" si="33"/>
        <v>0</v>
      </c>
      <c r="C193">
        <f t="shared" si="34"/>
        <v>0</v>
      </c>
      <c r="D193">
        <f t="shared" si="35"/>
        <v>0</v>
      </c>
      <c r="E193" t="e">
        <f t="shared" si="36"/>
        <v>#N/A</v>
      </c>
      <c r="F193">
        <f t="shared" si="37"/>
        <v>0</v>
      </c>
      <c r="G193">
        <f t="shared" si="38"/>
        <v>0</v>
      </c>
      <c r="H193">
        <f t="shared" si="39"/>
        <v>0</v>
      </c>
      <c r="I193">
        <f t="shared" si="40"/>
        <v>0</v>
      </c>
      <c r="J193">
        <f t="shared" si="41"/>
        <v>0</v>
      </c>
      <c r="K193" s="4" t="e">
        <f t="shared" si="44"/>
        <v>#N/A</v>
      </c>
      <c r="L193" t="e">
        <f t="shared" si="45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6">bd_campaign</f>
        <v>0</v>
      </c>
      <c r="B194">
        <f t="shared" ref="B194:B257" si="47">bd_site</f>
        <v>0</v>
      </c>
      <c r="C194">
        <f t="shared" ref="C194:C257" si="48">bd_placement</f>
        <v>0</v>
      </c>
      <c r="D194">
        <f t="shared" ref="D194:D257" si="49">bd_placementID</f>
        <v>0</v>
      </c>
      <c r="E194" t="e">
        <f t="shared" ref="E194:E257" si="50">VLOOKUP(CONCATENATE(bd_adtype,"_",bd_creativetype),tabela,2,FALSE)</f>
        <v>#N/A</v>
      </c>
      <c r="F194">
        <f t="shared" ref="F194:F257" si="51">bd_ad</f>
        <v>0</v>
      </c>
      <c r="G194">
        <f t="shared" ref="G194:G257" si="52">bd_adid</f>
        <v>0</v>
      </c>
      <c r="H194">
        <f t="shared" ref="H194:H257" si="53">bd_creativetype</f>
        <v>0</v>
      </c>
      <c r="I194">
        <f t="shared" ref="I194:I257" si="54">bd_impression</f>
        <v>0</v>
      </c>
      <c r="J194">
        <f t="shared" ref="J194:J257" si="55">bd_clicks</f>
        <v>0</v>
      </c>
      <c r="K194" s="4" t="e">
        <f t="shared" si="44"/>
        <v>#N/A</v>
      </c>
      <c r="L194" t="e">
        <f t="shared" si="45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6"/>
        <v>0</v>
      </c>
      <c r="B195">
        <f t="shared" si="47"/>
        <v>0</v>
      </c>
      <c r="C195">
        <f t="shared" si="48"/>
        <v>0</v>
      </c>
      <c r="D195">
        <f t="shared" si="49"/>
        <v>0</v>
      </c>
      <c r="E195" t="e">
        <f t="shared" si="50"/>
        <v>#N/A</v>
      </c>
      <c r="F195">
        <f t="shared" si="51"/>
        <v>0</v>
      </c>
      <c r="G195">
        <f t="shared" si="52"/>
        <v>0</v>
      </c>
      <c r="H195">
        <f t="shared" si="53"/>
        <v>0</v>
      </c>
      <c r="I195">
        <f t="shared" si="54"/>
        <v>0</v>
      </c>
      <c r="J195">
        <f t="shared" si="55"/>
        <v>0</v>
      </c>
      <c r="K195" s="4" t="e">
        <f t="shared" si="44"/>
        <v>#N/A</v>
      </c>
      <c r="L195" t="e">
        <f t="shared" si="45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6"/>
        <v>0</v>
      </c>
      <c r="B196">
        <f t="shared" si="47"/>
        <v>0</v>
      </c>
      <c r="C196">
        <f t="shared" si="48"/>
        <v>0</v>
      </c>
      <c r="D196">
        <f t="shared" si="49"/>
        <v>0</v>
      </c>
      <c r="E196" t="e">
        <f t="shared" si="50"/>
        <v>#N/A</v>
      </c>
      <c r="F196">
        <f t="shared" si="51"/>
        <v>0</v>
      </c>
      <c r="G196">
        <f t="shared" si="52"/>
        <v>0</v>
      </c>
      <c r="H196">
        <f t="shared" si="53"/>
        <v>0</v>
      </c>
      <c r="I196">
        <f t="shared" si="54"/>
        <v>0</v>
      </c>
      <c r="J196">
        <f t="shared" si="55"/>
        <v>0</v>
      </c>
      <c r="K196" s="4" t="e">
        <f t="shared" si="44"/>
        <v>#N/A</v>
      </c>
      <c r="L196" t="e">
        <f t="shared" si="45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6"/>
        <v>0</v>
      </c>
      <c r="B197">
        <f t="shared" si="47"/>
        <v>0</v>
      </c>
      <c r="C197">
        <f t="shared" si="48"/>
        <v>0</v>
      </c>
      <c r="D197">
        <f t="shared" si="49"/>
        <v>0</v>
      </c>
      <c r="E197" t="e">
        <f t="shared" si="50"/>
        <v>#N/A</v>
      </c>
      <c r="F197">
        <f t="shared" si="51"/>
        <v>0</v>
      </c>
      <c r="G197">
        <f t="shared" si="52"/>
        <v>0</v>
      </c>
      <c r="H197">
        <f t="shared" si="53"/>
        <v>0</v>
      </c>
      <c r="I197">
        <f t="shared" si="54"/>
        <v>0</v>
      </c>
      <c r="J197">
        <f t="shared" si="55"/>
        <v>0</v>
      </c>
      <c r="K197" s="4" t="e">
        <f t="shared" si="44"/>
        <v>#N/A</v>
      </c>
      <c r="L197" t="e">
        <f t="shared" si="45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6"/>
        <v>0</v>
      </c>
      <c r="B198">
        <f t="shared" si="47"/>
        <v>0</v>
      </c>
      <c r="C198">
        <f t="shared" si="48"/>
        <v>0</v>
      </c>
      <c r="D198">
        <f t="shared" si="49"/>
        <v>0</v>
      </c>
      <c r="E198" t="e">
        <f t="shared" si="50"/>
        <v>#N/A</v>
      </c>
      <c r="F198">
        <f t="shared" si="51"/>
        <v>0</v>
      </c>
      <c r="G198">
        <f t="shared" si="52"/>
        <v>0</v>
      </c>
      <c r="H198">
        <f t="shared" si="53"/>
        <v>0</v>
      </c>
      <c r="I198">
        <f t="shared" si="54"/>
        <v>0</v>
      </c>
      <c r="J198">
        <f t="shared" si="55"/>
        <v>0</v>
      </c>
      <c r="K198" s="4" t="e">
        <f t="shared" si="44"/>
        <v>#N/A</v>
      </c>
      <c r="L198" t="e">
        <f t="shared" si="45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6"/>
        <v>0</v>
      </c>
      <c r="B199">
        <f t="shared" si="47"/>
        <v>0</v>
      </c>
      <c r="C199">
        <f t="shared" si="48"/>
        <v>0</v>
      </c>
      <c r="D199">
        <f t="shared" si="49"/>
        <v>0</v>
      </c>
      <c r="E199" t="e">
        <f t="shared" si="50"/>
        <v>#N/A</v>
      </c>
      <c r="F199">
        <f t="shared" si="51"/>
        <v>0</v>
      </c>
      <c r="G199">
        <f t="shared" si="52"/>
        <v>0</v>
      </c>
      <c r="H199">
        <f t="shared" si="53"/>
        <v>0</v>
      </c>
      <c r="I199">
        <f t="shared" si="54"/>
        <v>0</v>
      </c>
      <c r="J199">
        <f t="shared" si="55"/>
        <v>0</v>
      </c>
      <c r="K199" s="4" t="e">
        <f t="shared" si="44"/>
        <v>#N/A</v>
      </c>
      <c r="L199" t="e">
        <f t="shared" si="45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6"/>
        <v>0</v>
      </c>
      <c r="B200">
        <f t="shared" si="47"/>
        <v>0</v>
      </c>
      <c r="C200">
        <f t="shared" si="48"/>
        <v>0</v>
      </c>
      <c r="D200">
        <f t="shared" si="49"/>
        <v>0</v>
      </c>
      <c r="E200" t="e">
        <f t="shared" si="50"/>
        <v>#N/A</v>
      </c>
      <c r="F200">
        <f t="shared" si="51"/>
        <v>0</v>
      </c>
      <c r="G200">
        <f t="shared" si="52"/>
        <v>0</v>
      </c>
      <c r="H200">
        <f t="shared" si="53"/>
        <v>0</v>
      </c>
      <c r="I200">
        <f t="shared" si="54"/>
        <v>0</v>
      </c>
      <c r="J200">
        <f t="shared" si="55"/>
        <v>0</v>
      </c>
      <c r="K200" s="4" t="e">
        <f t="shared" si="44"/>
        <v>#N/A</v>
      </c>
      <c r="L200" t="e">
        <f t="shared" si="45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6"/>
        <v>0</v>
      </c>
      <c r="B201">
        <f t="shared" si="47"/>
        <v>0</v>
      </c>
      <c r="C201">
        <f t="shared" si="48"/>
        <v>0</v>
      </c>
      <c r="D201">
        <f t="shared" si="49"/>
        <v>0</v>
      </c>
      <c r="E201" t="e">
        <f t="shared" si="50"/>
        <v>#N/A</v>
      </c>
      <c r="F201">
        <f t="shared" si="51"/>
        <v>0</v>
      </c>
      <c r="G201">
        <f t="shared" si="52"/>
        <v>0</v>
      </c>
      <c r="H201">
        <f t="shared" si="53"/>
        <v>0</v>
      </c>
      <c r="I201">
        <f t="shared" si="54"/>
        <v>0</v>
      </c>
      <c r="J201">
        <f t="shared" si="55"/>
        <v>0</v>
      </c>
      <c r="K201" s="4" t="e">
        <f t="shared" si="44"/>
        <v>#N/A</v>
      </c>
      <c r="L201" t="e">
        <f t="shared" si="45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6"/>
        <v>0</v>
      </c>
      <c r="B202">
        <f t="shared" si="47"/>
        <v>0</v>
      </c>
      <c r="C202">
        <f t="shared" si="48"/>
        <v>0</v>
      </c>
      <c r="D202">
        <f t="shared" si="49"/>
        <v>0</v>
      </c>
      <c r="E202" t="e">
        <f t="shared" si="50"/>
        <v>#N/A</v>
      </c>
      <c r="F202">
        <f t="shared" si="51"/>
        <v>0</v>
      </c>
      <c r="G202">
        <f t="shared" si="52"/>
        <v>0</v>
      </c>
      <c r="H202">
        <f t="shared" si="53"/>
        <v>0</v>
      </c>
      <c r="I202">
        <f t="shared" si="54"/>
        <v>0</v>
      </c>
      <c r="J202">
        <f t="shared" si="55"/>
        <v>0</v>
      </c>
      <c r="K202" s="4" t="e">
        <f t="shared" si="44"/>
        <v>#N/A</v>
      </c>
      <c r="L202" t="e">
        <f t="shared" si="45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6"/>
        <v>0</v>
      </c>
      <c r="B203">
        <f t="shared" si="47"/>
        <v>0</v>
      </c>
      <c r="C203">
        <f t="shared" si="48"/>
        <v>0</v>
      </c>
      <c r="D203">
        <f t="shared" si="49"/>
        <v>0</v>
      </c>
      <c r="E203" t="e">
        <f t="shared" si="50"/>
        <v>#N/A</v>
      </c>
      <c r="F203">
        <f t="shared" si="51"/>
        <v>0</v>
      </c>
      <c r="G203">
        <f t="shared" si="52"/>
        <v>0</v>
      </c>
      <c r="H203">
        <f t="shared" si="53"/>
        <v>0</v>
      </c>
      <c r="I203">
        <f t="shared" si="54"/>
        <v>0</v>
      </c>
      <c r="J203">
        <f t="shared" si="55"/>
        <v>0</v>
      </c>
      <c r="K203" s="4" t="e">
        <f t="shared" si="44"/>
        <v>#N/A</v>
      </c>
      <c r="L203" t="e">
        <f t="shared" si="45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6"/>
        <v>0</v>
      </c>
      <c r="B204">
        <f t="shared" si="47"/>
        <v>0</v>
      </c>
      <c r="C204">
        <f t="shared" si="48"/>
        <v>0</v>
      </c>
      <c r="D204">
        <f t="shared" si="49"/>
        <v>0</v>
      </c>
      <c r="E204" t="e">
        <f t="shared" si="50"/>
        <v>#N/A</v>
      </c>
      <c r="F204">
        <f t="shared" si="51"/>
        <v>0</v>
      </c>
      <c r="G204">
        <f t="shared" si="52"/>
        <v>0</v>
      </c>
      <c r="H204">
        <f t="shared" si="53"/>
        <v>0</v>
      </c>
      <c r="I204">
        <f t="shared" si="54"/>
        <v>0</v>
      </c>
      <c r="J204">
        <f t="shared" si="55"/>
        <v>0</v>
      </c>
      <c r="K204" s="4" t="e">
        <f t="shared" si="44"/>
        <v>#N/A</v>
      </c>
      <c r="L204" t="e">
        <f t="shared" si="45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6"/>
        <v>0</v>
      </c>
      <c r="B205">
        <f t="shared" si="47"/>
        <v>0</v>
      </c>
      <c r="C205">
        <f t="shared" si="48"/>
        <v>0</v>
      </c>
      <c r="D205">
        <f t="shared" si="49"/>
        <v>0</v>
      </c>
      <c r="E205" t="e">
        <f t="shared" si="50"/>
        <v>#N/A</v>
      </c>
      <c r="F205">
        <f t="shared" si="51"/>
        <v>0</v>
      </c>
      <c r="G205">
        <f t="shared" si="52"/>
        <v>0</v>
      </c>
      <c r="H205">
        <f t="shared" si="53"/>
        <v>0</v>
      </c>
      <c r="I205">
        <f t="shared" si="54"/>
        <v>0</v>
      </c>
      <c r="J205">
        <f t="shared" si="55"/>
        <v>0</v>
      </c>
      <c r="K205" s="4" t="e">
        <f t="shared" si="44"/>
        <v>#N/A</v>
      </c>
      <c r="L205" t="e">
        <f t="shared" si="45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6"/>
        <v>0</v>
      </c>
      <c r="B206">
        <f t="shared" si="47"/>
        <v>0</v>
      </c>
      <c r="C206">
        <f t="shared" si="48"/>
        <v>0</v>
      </c>
      <c r="D206">
        <f t="shared" si="49"/>
        <v>0</v>
      </c>
      <c r="E206" t="e">
        <f t="shared" si="50"/>
        <v>#N/A</v>
      </c>
      <c r="F206">
        <f t="shared" si="51"/>
        <v>0</v>
      </c>
      <c r="G206">
        <f t="shared" si="52"/>
        <v>0</v>
      </c>
      <c r="H206">
        <f t="shared" si="53"/>
        <v>0</v>
      </c>
      <c r="I206">
        <f t="shared" si="54"/>
        <v>0</v>
      </c>
      <c r="J206">
        <f t="shared" si="55"/>
        <v>0</v>
      </c>
      <c r="K206" s="4" t="e">
        <f t="shared" si="44"/>
        <v>#N/A</v>
      </c>
      <c r="L206" t="e">
        <f t="shared" si="45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6"/>
        <v>0</v>
      </c>
      <c r="B207">
        <f t="shared" si="47"/>
        <v>0</v>
      </c>
      <c r="C207">
        <f t="shared" si="48"/>
        <v>0</v>
      </c>
      <c r="D207">
        <f t="shared" si="49"/>
        <v>0</v>
      </c>
      <c r="E207" t="e">
        <f t="shared" si="50"/>
        <v>#N/A</v>
      </c>
      <c r="F207">
        <f t="shared" si="51"/>
        <v>0</v>
      </c>
      <c r="G207">
        <f t="shared" si="52"/>
        <v>0</v>
      </c>
      <c r="H207">
        <f t="shared" si="53"/>
        <v>0</v>
      </c>
      <c r="I207">
        <f t="shared" si="54"/>
        <v>0</v>
      </c>
      <c r="J207">
        <f t="shared" si="55"/>
        <v>0</v>
      </c>
      <c r="K207" s="4" t="e">
        <f t="shared" si="44"/>
        <v>#N/A</v>
      </c>
      <c r="L207" t="e">
        <f t="shared" si="45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6"/>
        <v>0</v>
      </c>
      <c r="B208">
        <f t="shared" si="47"/>
        <v>0</v>
      </c>
      <c r="C208">
        <f t="shared" si="48"/>
        <v>0</v>
      </c>
      <c r="D208">
        <f t="shared" si="49"/>
        <v>0</v>
      </c>
      <c r="E208" t="e">
        <f t="shared" si="50"/>
        <v>#N/A</v>
      </c>
      <c r="F208">
        <f t="shared" si="51"/>
        <v>0</v>
      </c>
      <c r="G208">
        <f t="shared" si="52"/>
        <v>0</v>
      </c>
      <c r="H208">
        <f t="shared" si="53"/>
        <v>0</v>
      </c>
      <c r="I208">
        <f t="shared" si="54"/>
        <v>0</v>
      </c>
      <c r="J208">
        <f t="shared" si="55"/>
        <v>0</v>
      </c>
      <c r="K208" s="4" t="e">
        <f t="shared" si="44"/>
        <v>#N/A</v>
      </c>
      <c r="L208" t="e">
        <f t="shared" si="45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6"/>
        <v>0</v>
      </c>
      <c r="B209">
        <f t="shared" si="47"/>
        <v>0</v>
      </c>
      <c r="C209">
        <f t="shared" si="48"/>
        <v>0</v>
      </c>
      <c r="D209">
        <f t="shared" si="49"/>
        <v>0</v>
      </c>
      <c r="E209" t="e">
        <f t="shared" si="50"/>
        <v>#N/A</v>
      </c>
      <c r="F209">
        <f t="shared" si="51"/>
        <v>0</v>
      </c>
      <c r="G209">
        <f t="shared" si="52"/>
        <v>0</v>
      </c>
      <c r="H209">
        <f t="shared" si="53"/>
        <v>0</v>
      </c>
      <c r="I209">
        <f t="shared" si="54"/>
        <v>0</v>
      </c>
      <c r="J209">
        <f t="shared" si="55"/>
        <v>0</v>
      </c>
      <c r="K209" s="4" t="e">
        <f t="shared" si="44"/>
        <v>#N/A</v>
      </c>
      <c r="L209" t="e">
        <f t="shared" si="45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6"/>
        <v>0</v>
      </c>
      <c r="B210">
        <f t="shared" si="47"/>
        <v>0</v>
      </c>
      <c r="C210">
        <f t="shared" si="48"/>
        <v>0</v>
      </c>
      <c r="D210">
        <f t="shared" si="49"/>
        <v>0</v>
      </c>
      <c r="E210" t="e">
        <f t="shared" si="50"/>
        <v>#N/A</v>
      </c>
      <c r="F210">
        <f t="shared" si="51"/>
        <v>0</v>
      </c>
      <c r="G210">
        <f t="shared" si="52"/>
        <v>0</v>
      </c>
      <c r="H210">
        <f t="shared" si="53"/>
        <v>0</v>
      </c>
      <c r="I210">
        <f t="shared" si="54"/>
        <v>0</v>
      </c>
      <c r="J210">
        <f t="shared" si="55"/>
        <v>0</v>
      </c>
      <c r="K210" s="4" t="e">
        <f t="shared" si="44"/>
        <v>#N/A</v>
      </c>
      <c r="L210" t="e">
        <f t="shared" si="45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6"/>
        <v>0</v>
      </c>
      <c r="B211">
        <f t="shared" si="47"/>
        <v>0</v>
      </c>
      <c r="C211">
        <f t="shared" si="48"/>
        <v>0</v>
      </c>
      <c r="D211">
        <f t="shared" si="49"/>
        <v>0</v>
      </c>
      <c r="E211" t="e">
        <f t="shared" si="50"/>
        <v>#N/A</v>
      </c>
      <c r="F211">
        <f t="shared" si="51"/>
        <v>0</v>
      </c>
      <c r="G211">
        <f t="shared" si="52"/>
        <v>0</v>
      </c>
      <c r="H211">
        <f t="shared" si="53"/>
        <v>0</v>
      </c>
      <c r="I211">
        <f t="shared" si="54"/>
        <v>0</v>
      </c>
      <c r="J211">
        <f t="shared" si="55"/>
        <v>0</v>
      </c>
      <c r="K211" s="4" t="e">
        <f t="shared" si="44"/>
        <v>#N/A</v>
      </c>
      <c r="L211" t="e">
        <f t="shared" si="45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6"/>
        <v>0</v>
      </c>
      <c r="B212">
        <f t="shared" si="47"/>
        <v>0</v>
      </c>
      <c r="C212">
        <f t="shared" si="48"/>
        <v>0</v>
      </c>
      <c r="D212">
        <f t="shared" si="49"/>
        <v>0</v>
      </c>
      <c r="E212" t="e">
        <f t="shared" si="50"/>
        <v>#N/A</v>
      </c>
      <c r="F212">
        <f t="shared" si="51"/>
        <v>0</v>
      </c>
      <c r="G212">
        <f t="shared" si="52"/>
        <v>0</v>
      </c>
      <c r="H212">
        <f t="shared" si="53"/>
        <v>0</v>
      </c>
      <c r="I212">
        <f t="shared" si="54"/>
        <v>0</v>
      </c>
      <c r="J212">
        <f t="shared" si="55"/>
        <v>0</v>
      </c>
      <c r="K212" s="4" t="e">
        <f t="shared" si="44"/>
        <v>#N/A</v>
      </c>
      <c r="L212" t="e">
        <f t="shared" si="45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6"/>
        <v>0</v>
      </c>
      <c r="B213">
        <f t="shared" si="47"/>
        <v>0</v>
      </c>
      <c r="C213">
        <f t="shared" si="48"/>
        <v>0</v>
      </c>
      <c r="D213">
        <f t="shared" si="49"/>
        <v>0</v>
      </c>
      <c r="E213" t="e">
        <f t="shared" si="50"/>
        <v>#N/A</v>
      </c>
      <c r="F213">
        <f t="shared" si="51"/>
        <v>0</v>
      </c>
      <c r="G213">
        <f t="shared" si="52"/>
        <v>0</v>
      </c>
      <c r="H213">
        <f t="shared" si="53"/>
        <v>0</v>
      </c>
      <c r="I213">
        <f t="shared" si="54"/>
        <v>0</v>
      </c>
      <c r="J213">
        <f t="shared" si="55"/>
        <v>0</v>
      </c>
      <c r="K213" s="4" t="e">
        <f t="shared" si="44"/>
        <v>#N/A</v>
      </c>
      <c r="L213" t="e">
        <f t="shared" si="45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6"/>
        <v>0</v>
      </c>
      <c r="B214">
        <f t="shared" si="47"/>
        <v>0</v>
      </c>
      <c r="C214">
        <f t="shared" si="48"/>
        <v>0</v>
      </c>
      <c r="D214">
        <f t="shared" si="49"/>
        <v>0</v>
      </c>
      <c r="E214" t="e">
        <f t="shared" si="50"/>
        <v>#N/A</v>
      </c>
      <c r="F214">
        <f t="shared" si="51"/>
        <v>0</v>
      </c>
      <c r="G214">
        <f t="shared" si="52"/>
        <v>0</v>
      </c>
      <c r="H214">
        <f t="shared" si="53"/>
        <v>0</v>
      </c>
      <c r="I214">
        <f t="shared" si="54"/>
        <v>0</v>
      </c>
      <c r="J214">
        <f t="shared" si="55"/>
        <v>0</v>
      </c>
      <c r="K214" s="4" t="e">
        <f t="shared" si="44"/>
        <v>#N/A</v>
      </c>
      <c r="L214" t="e">
        <f t="shared" si="45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6"/>
        <v>0</v>
      </c>
      <c r="B215">
        <f t="shared" si="47"/>
        <v>0</v>
      </c>
      <c r="C215">
        <f t="shared" si="48"/>
        <v>0</v>
      </c>
      <c r="D215">
        <f t="shared" si="49"/>
        <v>0</v>
      </c>
      <c r="E215" t="e">
        <f t="shared" si="50"/>
        <v>#N/A</v>
      </c>
      <c r="F215">
        <f t="shared" si="51"/>
        <v>0</v>
      </c>
      <c r="G215">
        <f t="shared" si="52"/>
        <v>0</v>
      </c>
      <c r="H215">
        <f t="shared" si="53"/>
        <v>0</v>
      </c>
      <c r="I215">
        <f t="shared" si="54"/>
        <v>0</v>
      </c>
      <c r="J215">
        <f t="shared" si="55"/>
        <v>0</v>
      </c>
      <c r="K215" s="4" t="e">
        <f t="shared" si="44"/>
        <v>#N/A</v>
      </c>
      <c r="L215" t="e">
        <f t="shared" si="45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6"/>
        <v>0</v>
      </c>
      <c r="B216">
        <f t="shared" si="47"/>
        <v>0</v>
      </c>
      <c r="C216">
        <f t="shared" si="48"/>
        <v>0</v>
      </c>
      <c r="D216">
        <f t="shared" si="49"/>
        <v>0</v>
      </c>
      <c r="E216" t="e">
        <f t="shared" si="50"/>
        <v>#N/A</v>
      </c>
      <c r="F216">
        <f t="shared" si="51"/>
        <v>0</v>
      </c>
      <c r="G216">
        <f t="shared" si="52"/>
        <v>0</v>
      </c>
      <c r="H216">
        <f t="shared" si="53"/>
        <v>0</v>
      </c>
      <c r="I216">
        <f t="shared" si="54"/>
        <v>0</v>
      </c>
      <c r="J216">
        <f t="shared" si="55"/>
        <v>0</v>
      </c>
      <c r="K216" s="4" t="e">
        <f t="shared" si="44"/>
        <v>#N/A</v>
      </c>
      <c r="L216" t="e">
        <f t="shared" si="45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6"/>
        <v>0</v>
      </c>
      <c r="B217">
        <f t="shared" si="47"/>
        <v>0</v>
      </c>
      <c r="C217">
        <f t="shared" si="48"/>
        <v>0</v>
      </c>
      <c r="D217">
        <f t="shared" si="49"/>
        <v>0</v>
      </c>
      <c r="E217" t="e">
        <f t="shared" si="50"/>
        <v>#N/A</v>
      </c>
      <c r="F217">
        <f t="shared" si="51"/>
        <v>0</v>
      </c>
      <c r="G217">
        <f t="shared" si="52"/>
        <v>0</v>
      </c>
      <c r="H217">
        <f t="shared" si="53"/>
        <v>0</v>
      </c>
      <c r="I217">
        <f t="shared" si="54"/>
        <v>0</v>
      </c>
      <c r="J217">
        <f t="shared" si="55"/>
        <v>0</v>
      </c>
      <c r="K217" s="4" t="e">
        <f t="shared" si="44"/>
        <v>#N/A</v>
      </c>
      <c r="L217" t="e">
        <f t="shared" si="45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6"/>
        <v>0</v>
      </c>
      <c r="B218">
        <f t="shared" si="47"/>
        <v>0</v>
      </c>
      <c r="C218">
        <f t="shared" si="48"/>
        <v>0</v>
      </c>
      <c r="D218">
        <f t="shared" si="49"/>
        <v>0</v>
      </c>
      <c r="E218" t="e">
        <f t="shared" si="50"/>
        <v>#N/A</v>
      </c>
      <c r="F218">
        <f t="shared" si="51"/>
        <v>0</v>
      </c>
      <c r="G218">
        <f t="shared" si="52"/>
        <v>0</v>
      </c>
      <c r="H218">
        <f t="shared" si="53"/>
        <v>0</v>
      </c>
      <c r="I218">
        <f t="shared" si="54"/>
        <v>0</v>
      </c>
      <c r="J218">
        <f t="shared" si="55"/>
        <v>0</v>
      </c>
      <c r="K218" s="4" t="e">
        <f t="shared" si="44"/>
        <v>#N/A</v>
      </c>
      <c r="L218" t="e">
        <f t="shared" si="45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6"/>
        <v>0</v>
      </c>
      <c r="B219">
        <f t="shared" si="47"/>
        <v>0</v>
      </c>
      <c r="C219">
        <f t="shared" si="48"/>
        <v>0</v>
      </c>
      <c r="D219">
        <f t="shared" si="49"/>
        <v>0</v>
      </c>
      <c r="E219" t="e">
        <f t="shared" si="50"/>
        <v>#N/A</v>
      </c>
      <c r="F219">
        <f t="shared" si="51"/>
        <v>0</v>
      </c>
      <c r="G219">
        <f t="shared" si="52"/>
        <v>0</v>
      </c>
      <c r="H219">
        <f t="shared" si="53"/>
        <v>0</v>
      </c>
      <c r="I219">
        <f t="shared" si="54"/>
        <v>0</v>
      </c>
      <c r="J219">
        <f t="shared" si="55"/>
        <v>0</v>
      </c>
      <c r="K219" s="4" t="e">
        <f t="shared" si="44"/>
        <v>#N/A</v>
      </c>
      <c r="L219" t="e">
        <f t="shared" si="45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6"/>
        <v>0</v>
      </c>
      <c r="B220">
        <f t="shared" si="47"/>
        <v>0</v>
      </c>
      <c r="C220">
        <f t="shared" si="48"/>
        <v>0</v>
      </c>
      <c r="D220">
        <f t="shared" si="49"/>
        <v>0</v>
      </c>
      <c r="E220" t="e">
        <f t="shared" si="50"/>
        <v>#N/A</v>
      </c>
      <c r="F220">
        <f t="shared" si="51"/>
        <v>0</v>
      </c>
      <c r="G220">
        <f t="shared" si="52"/>
        <v>0</v>
      </c>
      <c r="H220">
        <f t="shared" si="53"/>
        <v>0</v>
      </c>
      <c r="I220">
        <f t="shared" si="54"/>
        <v>0</v>
      </c>
      <c r="J220">
        <f t="shared" si="55"/>
        <v>0</v>
      </c>
      <c r="K220" s="4" t="e">
        <f t="shared" si="44"/>
        <v>#N/A</v>
      </c>
      <c r="L220" t="e">
        <f t="shared" si="45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6"/>
        <v>0</v>
      </c>
      <c r="B221">
        <f t="shared" si="47"/>
        <v>0</v>
      </c>
      <c r="C221">
        <f t="shared" si="48"/>
        <v>0</v>
      </c>
      <c r="D221">
        <f t="shared" si="49"/>
        <v>0</v>
      </c>
      <c r="E221" t="e">
        <f t="shared" si="50"/>
        <v>#N/A</v>
      </c>
      <c r="F221">
        <f t="shared" si="51"/>
        <v>0</v>
      </c>
      <c r="G221">
        <f t="shared" si="52"/>
        <v>0</v>
      </c>
      <c r="H221">
        <f t="shared" si="53"/>
        <v>0</v>
      </c>
      <c r="I221">
        <f t="shared" si="54"/>
        <v>0</v>
      </c>
      <c r="J221">
        <f t="shared" si="55"/>
        <v>0</v>
      </c>
      <c r="K221" s="4" t="e">
        <f t="shared" si="44"/>
        <v>#N/A</v>
      </c>
      <c r="L221" t="e">
        <f t="shared" si="45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6"/>
        <v>0</v>
      </c>
      <c r="B222">
        <f t="shared" si="47"/>
        <v>0</v>
      </c>
      <c r="C222">
        <f t="shared" si="48"/>
        <v>0</v>
      </c>
      <c r="D222">
        <f t="shared" si="49"/>
        <v>0</v>
      </c>
      <c r="E222" t="e">
        <f t="shared" si="50"/>
        <v>#N/A</v>
      </c>
      <c r="F222">
        <f t="shared" si="51"/>
        <v>0</v>
      </c>
      <c r="G222">
        <f t="shared" si="52"/>
        <v>0</v>
      </c>
      <c r="H222">
        <f t="shared" si="53"/>
        <v>0</v>
      </c>
      <c r="I222">
        <f t="shared" si="54"/>
        <v>0</v>
      </c>
      <c r="J222">
        <f t="shared" si="55"/>
        <v>0</v>
      </c>
      <c r="K222" s="4" t="e">
        <f t="shared" si="44"/>
        <v>#N/A</v>
      </c>
      <c r="L222" t="e">
        <f t="shared" si="45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6"/>
        <v>0</v>
      </c>
      <c r="B223">
        <f t="shared" si="47"/>
        <v>0</v>
      </c>
      <c r="C223">
        <f t="shared" si="48"/>
        <v>0</v>
      </c>
      <c r="D223">
        <f t="shared" si="49"/>
        <v>0</v>
      </c>
      <c r="E223" t="e">
        <f t="shared" si="50"/>
        <v>#N/A</v>
      </c>
      <c r="F223">
        <f t="shared" si="51"/>
        <v>0</v>
      </c>
      <c r="G223">
        <f t="shared" si="52"/>
        <v>0</v>
      </c>
      <c r="H223">
        <f t="shared" si="53"/>
        <v>0</v>
      </c>
      <c r="I223">
        <f t="shared" si="54"/>
        <v>0</v>
      </c>
      <c r="J223">
        <f t="shared" si="55"/>
        <v>0</v>
      </c>
      <c r="K223" s="4" t="e">
        <f t="shared" si="44"/>
        <v>#N/A</v>
      </c>
      <c r="L223" t="e">
        <f t="shared" si="45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6"/>
        <v>0</v>
      </c>
      <c r="B224">
        <f t="shared" si="47"/>
        <v>0</v>
      </c>
      <c r="C224">
        <f t="shared" si="48"/>
        <v>0</v>
      </c>
      <c r="D224">
        <f t="shared" si="49"/>
        <v>0</v>
      </c>
      <c r="E224" t="e">
        <f t="shared" si="50"/>
        <v>#N/A</v>
      </c>
      <c r="F224">
        <f t="shared" si="51"/>
        <v>0</v>
      </c>
      <c r="G224">
        <f t="shared" si="52"/>
        <v>0</v>
      </c>
      <c r="H224">
        <f t="shared" si="53"/>
        <v>0</v>
      </c>
      <c r="I224">
        <f t="shared" si="54"/>
        <v>0</v>
      </c>
      <c r="J224">
        <f t="shared" si="55"/>
        <v>0</v>
      </c>
      <c r="K224" s="4" t="e">
        <f t="shared" si="44"/>
        <v>#N/A</v>
      </c>
      <c r="L224" t="e">
        <f t="shared" si="45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6"/>
        <v>0</v>
      </c>
      <c r="B225">
        <f t="shared" si="47"/>
        <v>0</v>
      </c>
      <c r="C225">
        <f t="shared" si="48"/>
        <v>0</v>
      </c>
      <c r="D225">
        <f t="shared" si="49"/>
        <v>0</v>
      </c>
      <c r="E225" t="e">
        <f t="shared" si="50"/>
        <v>#N/A</v>
      </c>
      <c r="F225">
        <f t="shared" si="51"/>
        <v>0</v>
      </c>
      <c r="G225">
        <f t="shared" si="52"/>
        <v>0</v>
      </c>
      <c r="H225">
        <f t="shared" si="53"/>
        <v>0</v>
      </c>
      <c r="I225">
        <f t="shared" si="54"/>
        <v>0</v>
      </c>
      <c r="J225">
        <f t="shared" si="55"/>
        <v>0</v>
      </c>
      <c r="K225" s="4" t="e">
        <f t="shared" si="44"/>
        <v>#N/A</v>
      </c>
      <c r="L225" t="e">
        <f t="shared" si="45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6"/>
        <v>0</v>
      </c>
      <c r="B226">
        <f t="shared" si="47"/>
        <v>0</v>
      </c>
      <c r="C226">
        <f t="shared" si="48"/>
        <v>0</v>
      </c>
      <c r="D226">
        <f t="shared" si="49"/>
        <v>0</v>
      </c>
      <c r="E226" t="e">
        <f t="shared" si="50"/>
        <v>#N/A</v>
      </c>
      <c r="F226">
        <f t="shared" si="51"/>
        <v>0</v>
      </c>
      <c r="G226">
        <f t="shared" si="52"/>
        <v>0</v>
      </c>
      <c r="H226">
        <f t="shared" si="53"/>
        <v>0</v>
      </c>
      <c r="I226">
        <f t="shared" si="54"/>
        <v>0</v>
      </c>
      <c r="J226">
        <f t="shared" si="55"/>
        <v>0</v>
      </c>
      <c r="K226" s="4" t="e">
        <f t="shared" si="44"/>
        <v>#N/A</v>
      </c>
      <c r="L226" t="e">
        <f t="shared" si="45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6"/>
        <v>0</v>
      </c>
      <c r="B227">
        <f t="shared" si="47"/>
        <v>0</v>
      </c>
      <c r="C227">
        <f t="shared" si="48"/>
        <v>0</v>
      </c>
      <c r="D227">
        <f t="shared" si="49"/>
        <v>0</v>
      </c>
      <c r="E227" t="e">
        <f t="shared" si="50"/>
        <v>#N/A</v>
      </c>
      <c r="F227">
        <f t="shared" si="51"/>
        <v>0</v>
      </c>
      <c r="G227">
        <f t="shared" si="52"/>
        <v>0</v>
      </c>
      <c r="H227">
        <f t="shared" si="53"/>
        <v>0</v>
      </c>
      <c r="I227">
        <f t="shared" si="54"/>
        <v>0</v>
      </c>
      <c r="J227">
        <f t="shared" si="55"/>
        <v>0</v>
      </c>
      <c r="K227" s="4" t="e">
        <f t="shared" si="44"/>
        <v>#N/A</v>
      </c>
      <c r="L227" t="e">
        <f t="shared" si="45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6"/>
        <v>0</v>
      </c>
      <c r="B228">
        <f t="shared" si="47"/>
        <v>0</v>
      </c>
      <c r="C228">
        <f t="shared" si="48"/>
        <v>0</v>
      </c>
      <c r="D228">
        <f t="shared" si="49"/>
        <v>0</v>
      </c>
      <c r="E228" t="e">
        <f t="shared" si="50"/>
        <v>#N/A</v>
      </c>
      <c r="F228">
        <f t="shared" si="51"/>
        <v>0</v>
      </c>
      <c r="G228">
        <f t="shared" si="52"/>
        <v>0</v>
      </c>
      <c r="H228">
        <f t="shared" si="53"/>
        <v>0</v>
      </c>
      <c r="I228">
        <f t="shared" si="54"/>
        <v>0</v>
      </c>
      <c r="J228">
        <f t="shared" si="55"/>
        <v>0</v>
      </c>
      <c r="K228" s="4" t="e">
        <f t="shared" si="44"/>
        <v>#N/A</v>
      </c>
      <c r="L228" t="e">
        <f t="shared" si="45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6"/>
        <v>0</v>
      </c>
      <c r="B229">
        <f t="shared" si="47"/>
        <v>0</v>
      </c>
      <c r="C229">
        <f t="shared" si="48"/>
        <v>0</v>
      </c>
      <c r="D229">
        <f t="shared" si="49"/>
        <v>0</v>
      </c>
      <c r="E229" t="e">
        <f t="shared" si="50"/>
        <v>#N/A</v>
      </c>
      <c r="F229">
        <f t="shared" si="51"/>
        <v>0</v>
      </c>
      <c r="G229">
        <f t="shared" si="52"/>
        <v>0</v>
      </c>
      <c r="H229">
        <f t="shared" si="53"/>
        <v>0</v>
      </c>
      <c r="I229">
        <f t="shared" si="54"/>
        <v>0</v>
      </c>
      <c r="J229">
        <f t="shared" si="55"/>
        <v>0</v>
      </c>
      <c r="K229" s="4" t="e">
        <f t="shared" si="44"/>
        <v>#N/A</v>
      </c>
      <c r="L229" t="e">
        <f t="shared" si="45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6"/>
        <v>0</v>
      </c>
      <c r="B230">
        <f t="shared" si="47"/>
        <v>0</v>
      </c>
      <c r="C230">
        <f t="shared" si="48"/>
        <v>0</v>
      </c>
      <c r="D230">
        <f t="shared" si="49"/>
        <v>0</v>
      </c>
      <c r="E230" t="e">
        <f t="shared" si="50"/>
        <v>#N/A</v>
      </c>
      <c r="F230">
        <f t="shared" si="51"/>
        <v>0</v>
      </c>
      <c r="G230">
        <f t="shared" si="52"/>
        <v>0</v>
      </c>
      <c r="H230">
        <f t="shared" si="53"/>
        <v>0</v>
      </c>
      <c r="I230">
        <f t="shared" si="54"/>
        <v>0</v>
      </c>
      <c r="J230">
        <f t="shared" si="55"/>
        <v>0</v>
      </c>
      <c r="K230" s="4" t="e">
        <f t="shared" si="44"/>
        <v>#N/A</v>
      </c>
      <c r="L230" t="e">
        <f t="shared" si="45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6"/>
        <v>0</v>
      </c>
      <c r="B231">
        <f t="shared" si="47"/>
        <v>0</v>
      </c>
      <c r="C231">
        <f t="shared" si="48"/>
        <v>0</v>
      </c>
      <c r="D231">
        <f t="shared" si="49"/>
        <v>0</v>
      </c>
      <c r="E231" t="e">
        <f t="shared" si="50"/>
        <v>#N/A</v>
      </c>
      <c r="F231">
        <f t="shared" si="51"/>
        <v>0</v>
      </c>
      <c r="G231">
        <f t="shared" si="52"/>
        <v>0</v>
      </c>
      <c r="H231">
        <f t="shared" si="53"/>
        <v>0</v>
      </c>
      <c r="I231">
        <f t="shared" si="54"/>
        <v>0</v>
      </c>
      <c r="J231">
        <f t="shared" si="55"/>
        <v>0</v>
      </c>
      <c r="K231" s="4" t="e">
        <f t="shared" si="44"/>
        <v>#N/A</v>
      </c>
      <c r="L231" t="e">
        <f t="shared" si="45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6"/>
        <v>0</v>
      </c>
      <c r="B232">
        <f t="shared" si="47"/>
        <v>0</v>
      </c>
      <c r="C232">
        <f t="shared" si="48"/>
        <v>0</v>
      </c>
      <c r="D232">
        <f t="shared" si="49"/>
        <v>0</v>
      </c>
      <c r="E232" t="e">
        <f t="shared" si="50"/>
        <v>#N/A</v>
      </c>
      <c r="F232">
        <f t="shared" si="51"/>
        <v>0</v>
      </c>
      <c r="G232">
        <f t="shared" si="52"/>
        <v>0</v>
      </c>
      <c r="H232">
        <f t="shared" si="53"/>
        <v>0</v>
      </c>
      <c r="I232">
        <f t="shared" si="54"/>
        <v>0</v>
      </c>
      <c r="J232">
        <f t="shared" si="55"/>
        <v>0</v>
      </c>
      <c r="K232" s="4" t="e">
        <f t="shared" si="44"/>
        <v>#N/A</v>
      </c>
      <c r="L232" t="e">
        <f t="shared" si="45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6"/>
        <v>0</v>
      </c>
      <c r="B233">
        <f t="shared" si="47"/>
        <v>0</v>
      </c>
      <c r="C233">
        <f t="shared" si="48"/>
        <v>0</v>
      </c>
      <c r="D233">
        <f t="shared" si="49"/>
        <v>0</v>
      </c>
      <c r="E233" t="e">
        <f t="shared" si="50"/>
        <v>#N/A</v>
      </c>
      <c r="F233">
        <f t="shared" si="51"/>
        <v>0</v>
      </c>
      <c r="G233">
        <f t="shared" si="52"/>
        <v>0</v>
      </c>
      <c r="H233">
        <f t="shared" si="53"/>
        <v>0</v>
      </c>
      <c r="I233">
        <f t="shared" si="54"/>
        <v>0</v>
      </c>
      <c r="J233">
        <f t="shared" si="55"/>
        <v>0</v>
      </c>
      <c r="K233" s="4" t="e">
        <f t="shared" si="44"/>
        <v>#N/A</v>
      </c>
      <c r="L233" t="e">
        <f t="shared" si="45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6"/>
        <v>0</v>
      </c>
      <c r="B234">
        <f t="shared" si="47"/>
        <v>0</v>
      </c>
      <c r="C234">
        <f t="shared" si="48"/>
        <v>0</v>
      </c>
      <c r="D234">
        <f t="shared" si="49"/>
        <v>0</v>
      </c>
      <c r="E234" t="e">
        <f t="shared" si="50"/>
        <v>#N/A</v>
      </c>
      <c r="F234">
        <f t="shared" si="51"/>
        <v>0</v>
      </c>
      <c r="G234">
        <f t="shared" si="52"/>
        <v>0</v>
      </c>
      <c r="H234">
        <f t="shared" si="53"/>
        <v>0</v>
      </c>
      <c r="I234">
        <f t="shared" si="54"/>
        <v>0</v>
      </c>
      <c r="J234">
        <f t="shared" si="55"/>
        <v>0</v>
      </c>
      <c r="K234" s="4" t="e">
        <f t="shared" si="44"/>
        <v>#N/A</v>
      </c>
      <c r="L234" t="e">
        <f t="shared" si="45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6"/>
        <v>0</v>
      </c>
      <c r="B235">
        <f t="shared" si="47"/>
        <v>0</v>
      </c>
      <c r="C235">
        <f t="shared" si="48"/>
        <v>0</v>
      </c>
      <c r="D235">
        <f t="shared" si="49"/>
        <v>0</v>
      </c>
      <c r="E235" t="e">
        <f t="shared" si="50"/>
        <v>#N/A</v>
      </c>
      <c r="F235">
        <f t="shared" si="51"/>
        <v>0</v>
      </c>
      <c r="G235">
        <f t="shared" si="52"/>
        <v>0</v>
      </c>
      <c r="H235">
        <f t="shared" si="53"/>
        <v>0</v>
      </c>
      <c r="I235">
        <f t="shared" si="54"/>
        <v>0</v>
      </c>
      <c r="J235">
        <f t="shared" si="55"/>
        <v>0</v>
      </c>
      <c r="K235" s="4" t="e">
        <f t="shared" si="44"/>
        <v>#N/A</v>
      </c>
      <c r="L235" t="e">
        <f t="shared" si="45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6"/>
        <v>0</v>
      </c>
      <c r="B236">
        <f t="shared" si="47"/>
        <v>0</v>
      </c>
      <c r="C236">
        <f t="shared" si="48"/>
        <v>0</v>
      </c>
      <c r="D236">
        <f t="shared" si="49"/>
        <v>0</v>
      </c>
      <c r="E236" t="e">
        <f t="shared" si="50"/>
        <v>#N/A</v>
      </c>
      <c r="F236">
        <f t="shared" si="51"/>
        <v>0</v>
      </c>
      <c r="G236">
        <f t="shared" si="52"/>
        <v>0</v>
      </c>
      <c r="H236">
        <f t="shared" si="53"/>
        <v>0</v>
      </c>
      <c r="I236">
        <f t="shared" si="54"/>
        <v>0</v>
      </c>
      <c r="J236">
        <f t="shared" si="55"/>
        <v>0</v>
      </c>
      <c r="K236" s="4" t="e">
        <f t="shared" ref="K236:K299" si="58">IF(LEFT(B236,3)="DBM",0,VLOOKUP(E236,tabela,2,FALSE))</f>
        <v>#N/A</v>
      </c>
      <c r="L236" t="e">
        <f t="shared" ref="L236:L299" si="59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6"/>
        <v>0</v>
      </c>
      <c r="B237">
        <f t="shared" si="47"/>
        <v>0</v>
      </c>
      <c r="C237">
        <f t="shared" si="48"/>
        <v>0</v>
      </c>
      <c r="D237">
        <f t="shared" si="49"/>
        <v>0</v>
      </c>
      <c r="E237" t="e">
        <f t="shared" si="50"/>
        <v>#N/A</v>
      </c>
      <c r="F237">
        <f t="shared" si="51"/>
        <v>0</v>
      </c>
      <c r="G237">
        <f t="shared" si="52"/>
        <v>0</v>
      </c>
      <c r="H237">
        <f t="shared" si="53"/>
        <v>0</v>
      </c>
      <c r="I237">
        <f t="shared" si="54"/>
        <v>0</v>
      </c>
      <c r="J237">
        <f t="shared" si="55"/>
        <v>0</v>
      </c>
      <c r="K237" s="4" t="e">
        <f t="shared" si="58"/>
        <v>#N/A</v>
      </c>
      <c r="L237" t="e">
        <f t="shared" si="59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6"/>
        <v>0</v>
      </c>
      <c r="B238">
        <f t="shared" si="47"/>
        <v>0</v>
      </c>
      <c r="C238">
        <f t="shared" si="48"/>
        <v>0</v>
      </c>
      <c r="D238">
        <f t="shared" si="49"/>
        <v>0</v>
      </c>
      <c r="E238" t="e">
        <f t="shared" si="50"/>
        <v>#N/A</v>
      </c>
      <c r="F238">
        <f t="shared" si="51"/>
        <v>0</v>
      </c>
      <c r="G238">
        <f t="shared" si="52"/>
        <v>0</v>
      </c>
      <c r="H238">
        <f t="shared" si="53"/>
        <v>0</v>
      </c>
      <c r="I238">
        <f t="shared" si="54"/>
        <v>0</v>
      </c>
      <c r="J238">
        <f t="shared" si="55"/>
        <v>0</v>
      </c>
      <c r="K238" s="4" t="e">
        <f t="shared" si="58"/>
        <v>#N/A</v>
      </c>
      <c r="L238" t="e">
        <f t="shared" si="59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6"/>
        <v>0</v>
      </c>
      <c r="B239">
        <f t="shared" si="47"/>
        <v>0</v>
      </c>
      <c r="C239">
        <f t="shared" si="48"/>
        <v>0</v>
      </c>
      <c r="D239">
        <f t="shared" si="49"/>
        <v>0</v>
      </c>
      <c r="E239" t="e">
        <f t="shared" si="50"/>
        <v>#N/A</v>
      </c>
      <c r="F239">
        <f t="shared" si="51"/>
        <v>0</v>
      </c>
      <c r="G239">
        <f t="shared" si="52"/>
        <v>0</v>
      </c>
      <c r="H239">
        <f t="shared" si="53"/>
        <v>0</v>
      </c>
      <c r="I239">
        <f t="shared" si="54"/>
        <v>0</v>
      </c>
      <c r="J239">
        <f t="shared" si="55"/>
        <v>0</v>
      </c>
      <c r="K239" s="4" t="e">
        <f t="shared" si="58"/>
        <v>#N/A</v>
      </c>
      <c r="L239" t="e">
        <f t="shared" si="59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6"/>
        <v>0</v>
      </c>
      <c r="B240">
        <f t="shared" si="47"/>
        <v>0</v>
      </c>
      <c r="C240">
        <f t="shared" si="48"/>
        <v>0</v>
      </c>
      <c r="D240">
        <f t="shared" si="49"/>
        <v>0</v>
      </c>
      <c r="E240" t="e">
        <f t="shared" si="50"/>
        <v>#N/A</v>
      </c>
      <c r="F240">
        <f t="shared" si="51"/>
        <v>0</v>
      </c>
      <c r="G240">
        <f t="shared" si="52"/>
        <v>0</v>
      </c>
      <c r="H240">
        <f t="shared" si="53"/>
        <v>0</v>
      </c>
      <c r="I240">
        <f t="shared" si="54"/>
        <v>0</v>
      </c>
      <c r="J240">
        <f t="shared" si="55"/>
        <v>0</v>
      </c>
      <c r="K240" s="4" t="e">
        <f t="shared" si="58"/>
        <v>#N/A</v>
      </c>
      <c r="L240" t="e">
        <f t="shared" si="59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6"/>
        <v>0</v>
      </c>
      <c r="B241">
        <f t="shared" si="47"/>
        <v>0</v>
      </c>
      <c r="C241">
        <f t="shared" si="48"/>
        <v>0</v>
      </c>
      <c r="D241">
        <f t="shared" si="49"/>
        <v>0</v>
      </c>
      <c r="E241" t="e">
        <f t="shared" si="50"/>
        <v>#N/A</v>
      </c>
      <c r="F241">
        <f t="shared" si="51"/>
        <v>0</v>
      </c>
      <c r="G241">
        <f t="shared" si="52"/>
        <v>0</v>
      </c>
      <c r="H241">
        <f t="shared" si="53"/>
        <v>0</v>
      </c>
      <c r="I241">
        <f t="shared" si="54"/>
        <v>0</v>
      </c>
      <c r="J241">
        <f t="shared" si="55"/>
        <v>0</v>
      </c>
      <c r="K241" s="4" t="e">
        <f t="shared" si="58"/>
        <v>#N/A</v>
      </c>
      <c r="L241" t="e">
        <f t="shared" si="59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6"/>
        <v>0</v>
      </c>
      <c r="B242">
        <f t="shared" si="47"/>
        <v>0</v>
      </c>
      <c r="C242">
        <f t="shared" si="48"/>
        <v>0</v>
      </c>
      <c r="D242">
        <f t="shared" si="49"/>
        <v>0</v>
      </c>
      <c r="E242" t="e">
        <f t="shared" si="50"/>
        <v>#N/A</v>
      </c>
      <c r="F242">
        <f t="shared" si="51"/>
        <v>0</v>
      </c>
      <c r="G242">
        <f t="shared" si="52"/>
        <v>0</v>
      </c>
      <c r="H242">
        <f t="shared" si="53"/>
        <v>0</v>
      </c>
      <c r="I242">
        <f t="shared" si="54"/>
        <v>0</v>
      </c>
      <c r="J242">
        <f t="shared" si="55"/>
        <v>0</v>
      </c>
      <c r="K242" s="4" t="e">
        <f t="shared" si="58"/>
        <v>#N/A</v>
      </c>
      <c r="L242" t="e">
        <f t="shared" si="59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6"/>
        <v>0</v>
      </c>
      <c r="B243">
        <f t="shared" si="47"/>
        <v>0</v>
      </c>
      <c r="C243">
        <f t="shared" si="48"/>
        <v>0</v>
      </c>
      <c r="D243">
        <f t="shared" si="49"/>
        <v>0</v>
      </c>
      <c r="E243" t="e">
        <f t="shared" si="50"/>
        <v>#N/A</v>
      </c>
      <c r="F243">
        <f t="shared" si="51"/>
        <v>0</v>
      </c>
      <c r="G243">
        <f t="shared" si="52"/>
        <v>0</v>
      </c>
      <c r="H243">
        <f t="shared" si="53"/>
        <v>0</v>
      </c>
      <c r="I243">
        <f t="shared" si="54"/>
        <v>0</v>
      </c>
      <c r="J243">
        <f t="shared" si="55"/>
        <v>0</v>
      </c>
      <c r="K243" s="4" t="e">
        <f t="shared" si="58"/>
        <v>#N/A</v>
      </c>
      <c r="L243" t="e">
        <f t="shared" si="59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6"/>
        <v>0</v>
      </c>
      <c r="B244">
        <f t="shared" si="47"/>
        <v>0</v>
      </c>
      <c r="C244">
        <f t="shared" si="48"/>
        <v>0</v>
      </c>
      <c r="D244">
        <f t="shared" si="49"/>
        <v>0</v>
      </c>
      <c r="E244" t="e">
        <f t="shared" si="50"/>
        <v>#N/A</v>
      </c>
      <c r="F244">
        <f t="shared" si="51"/>
        <v>0</v>
      </c>
      <c r="G244">
        <f t="shared" si="52"/>
        <v>0</v>
      </c>
      <c r="H244">
        <f t="shared" si="53"/>
        <v>0</v>
      </c>
      <c r="I244">
        <f t="shared" si="54"/>
        <v>0</v>
      </c>
      <c r="J244">
        <f t="shared" si="55"/>
        <v>0</v>
      </c>
      <c r="K244" s="4" t="e">
        <f t="shared" si="58"/>
        <v>#N/A</v>
      </c>
      <c r="L244" t="e">
        <f t="shared" si="59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6"/>
        <v>0</v>
      </c>
      <c r="B245">
        <f t="shared" si="47"/>
        <v>0</v>
      </c>
      <c r="C245">
        <f t="shared" si="48"/>
        <v>0</v>
      </c>
      <c r="D245">
        <f t="shared" si="49"/>
        <v>0</v>
      </c>
      <c r="E245" t="e">
        <f t="shared" si="50"/>
        <v>#N/A</v>
      </c>
      <c r="F245">
        <f t="shared" si="51"/>
        <v>0</v>
      </c>
      <c r="G245">
        <f t="shared" si="52"/>
        <v>0</v>
      </c>
      <c r="H245">
        <f t="shared" si="53"/>
        <v>0</v>
      </c>
      <c r="I245">
        <f t="shared" si="54"/>
        <v>0</v>
      </c>
      <c r="J245">
        <f t="shared" si="55"/>
        <v>0</v>
      </c>
      <c r="K245" s="4" t="e">
        <f t="shared" si="58"/>
        <v>#N/A</v>
      </c>
      <c r="L245" t="e">
        <f t="shared" si="59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6"/>
        <v>0</v>
      </c>
      <c r="B246">
        <f t="shared" si="47"/>
        <v>0</v>
      </c>
      <c r="C246">
        <f t="shared" si="48"/>
        <v>0</v>
      </c>
      <c r="D246">
        <f t="shared" si="49"/>
        <v>0</v>
      </c>
      <c r="E246" t="e">
        <f t="shared" si="50"/>
        <v>#N/A</v>
      </c>
      <c r="F246">
        <f t="shared" si="51"/>
        <v>0</v>
      </c>
      <c r="G246">
        <f t="shared" si="52"/>
        <v>0</v>
      </c>
      <c r="H246">
        <f t="shared" si="53"/>
        <v>0</v>
      </c>
      <c r="I246">
        <f t="shared" si="54"/>
        <v>0</v>
      </c>
      <c r="J246">
        <f t="shared" si="55"/>
        <v>0</v>
      </c>
      <c r="K246" s="4" t="e">
        <f t="shared" si="58"/>
        <v>#N/A</v>
      </c>
      <c r="L246" t="e">
        <f t="shared" si="59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6"/>
        <v>0</v>
      </c>
      <c r="B247">
        <f t="shared" si="47"/>
        <v>0</v>
      </c>
      <c r="C247">
        <f t="shared" si="48"/>
        <v>0</v>
      </c>
      <c r="D247">
        <f t="shared" si="49"/>
        <v>0</v>
      </c>
      <c r="E247" t="e">
        <f t="shared" si="50"/>
        <v>#N/A</v>
      </c>
      <c r="F247">
        <f t="shared" si="51"/>
        <v>0</v>
      </c>
      <c r="G247">
        <f t="shared" si="52"/>
        <v>0</v>
      </c>
      <c r="H247">
        <f t="shared" si="53"/>
        <v>0</v>
      </c>
      <c r="I247">
        <f t="shared" si="54"/>
        <v>0</v>
      </c>
      <c r="J247">
        <f t="shared" si="55"/>
        <v>0</v>
      </c>
      <c r="K247" s="4" t="e">
        <f t="shared" si="58"/>
        <v>#N/A</v>
      </c>
      <c r="L247" t="e">
        <f t="shared" si="59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6"/>
        <v>0</v>
      </c>
      <c r="B248">
        <f t="shared" si="47"/>
        <v>0</v>
      </c>
      <c r="C248">
        <f t="shared" si="48"/>
        <v>0</v>
      </c>
      <c r="D248">
        <f t="shared" si="49"/>
        <v>0</v>
      </c>
      <c r="E248" t="e">
        <f t="shared" si="50"/>
        <v>#N/A</v>
      </c>
      <c r="F248">
        <f t="shared" si="51"/>
        <v>0</v>
      </c>
      <c r="G248">
        <f t="shared" si="52"/>
        <v>0</v>
      </c>
      <c r="H248">
        <f t="shared" si="53"/>
        <v>0</v>
      </c>
      <c r="I248">
        <f t="shared" si="54"/>
        <v>0</v>
      </c>
      <c r="J248">
        <f t="shared" si="55"/>
        <v>0</v>
      </c>
      <c r="K248" s="4" t="e">
        <f t="shared" si="58"/>
        <v>#N/A</v>
      </c>
      <c r="L248" t="e">
        <f t="shared" si="59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6"/>
        <v>0</v>
      </c>
      <c r="B249">
        <f t="shared" si="47"/>
        <v>0</v>
      </c>
      <c r="C249">
        <f t="shared" si="48"/>
        <v>0</v>
      </c>
      <c r="D249">
        <f t="shared" si="49"/>
        <v>0</v>
      </c>
      <c r="E249" t="e">
        <f t="shared" si="50"/>
        <v>#N/A</v>
      </c>
      <c r="F249">
        <f t="shared" si="51"/>
        <v>0</v>
      </c>
      <c r="G249">
        <f t="shared" si="52"/>
        <v>0</v>
      </c>
      <c r="H249">
        <f t="shared" si="53"/>
        <v>0</v>
      </c>
      <c r="I249">
        <f t="shared" si="54"/>
        <v>0</v>
      </c>
      <c r="J249">
        <f t="shared" si="55"/>
        <v>0</v>
      </c>
      <c r="K249" s="4" t="e">
        <f t="shared" si="58"/>
        <v>#N/A</v>
      </c>
      <c r="L249" t="e">
        <f t="shared" si="59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6"/>
        <v>0</v>
      </c>
      <c r="B250">
        <f t="shared" si="47"/>
        <v>0</v>
      </c>
      <c r="C250">
        <f t="shared" si="48"/>
        <v>0</v>
      </c>
      <c r="D250">
        <f t="shared" si="49"/>
        <v>0</v>
      </c>
      <c r="E250" t="e">
        <f t="shared" si="50"/>
        <v>#N/A</v>
      </c>
      <c r="F250">
        <f t="shared" si="51"/>
        <v>0</v>
      </c>
      <c r="G250">
        <f t="shared" si="52"/>
        <v>0</v>
      </c>
      <c r="H250">
        <f t="shared" si="53"/>
        <v>0</v>
      </c>
      <c r="I250">
        <f t="shared" si="54"/>
        <v>0</v>
      </c>
      <c r="J250">
        <f t="shared" si="55"/>
        <v>0</v>
      </c>
      <c r="K250" s="4" t="e">
        <f t="shared" si="58"/>
        <v>#N/A</v>
      </c>
      <c r="L250" t="e">
        <f t="shared" si="59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6"/>
        <v>0</v>
      </c>
      <c r="B251">
        <f t="shared" si="47"/>
        <v>0</v>
      </c>
      <c r="C251">
        <f t="shared" si="48"/>
        <v>0</v>
      </c>
      <c r="D251">
        <f t="shared" si="49"/>
        <v>0</v>
      </c>
      <c r="E251" t="e">
        <f t="shared" si="50"/>
        <v>#N/A</v>
      </c>
      <c r="F251">
        <f t="shared" si="51"/>
        <v>0</v>
      </c>
      <c r="G251">
        <f t="shared" si="52"/>
        <v>0</v>
      </c>
      <c r="H251">
        <f t="shared" si="53"/>
        <v>0</v>
      </c>
      <c r="I251">
        <f t="shared" si="54"/>
        <v>0</v>
      </c>
      <c r="J251">
        <f t="shared" si="55"/>
        <v>0</v>
      </c>
      <c r="K251" s="4" t="e">
        <f t="shared" si="58"/>
        <v>#N/A</v>
      </c>
      <c r="L251" t="e">
        <f t="shared" si="59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6"/>
        <v>0</v>
      </c>
      <c r="B252">
        <f t="shared" si="47"/>
        <v>0</v>
      </c>
      <c r="C252">
        <f t="shared" si="48"/>
        <v>0</v>
      </c>
      <c r="D252">
        <f t="shared" si="49"/>
        <v>0</v>
      </c>
      <c r="E252" t="e">
        <f t="shared" si="50"/>
        <v>#N/A</v>
      </c>
      <c r="F252">
        <f t="shared" si="51"/>
        <v>0</v>
      </c>
      <c r="G252">
        <f t="shared" si="52"/>
        <v>0</v>
      </c>
      <c r="H252">
        <f t="shared" si="53"/>
        <v>0</v>
      </c>
      <c r="I252">
        <f t="shared" si="54"/>
        <v>0</v>
      </c>
      <c r="J252">
        <f t="shared" si="55"/>
        <v>0</v>
      </c>
      <c r="K252" s="4" t="e">
        <f t="shared" si="58"/>
        <v>#N/A</v>
      </c>
      <c r="L252" t="e">
        <f t="shared" si="59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6"/>
        <v>0</v>
      </c>
      <c r="B253">
        <f t="shared" si="47"/>
        <v>0</v>
      </c>
      <c r="C253">
        <f t="shared" si="48"/>
        <v>0</v>
      </c>
      <c r="D253">
        <f t="shared" si="49"/>
        <v>0</v>
      </c>
      <c r="E253" t="e">
        <f t="shared" si="50"/>
        <v>#N/A</v>
      </c>
      <c r="F253">
        <f t="shared" si="51"/>
        <v>0</v>
      </c>
      <c r="G253">
        <f t="shared" si="52"/>
        <v>0</v>
      </c>
      <c r="H253">
        <f t="shared" si="53"/>
        <v>0</v>
      </c>
      <c r="I253">
        <f t="shared" si="54"/>
        <v>0</v>
      </c>
      <c r="J253">
        <f t="shared" si="55"/>
        <v>0</v>
      </c>
      <c r="K253" s="4" t="e">
        <f t="shared" si="58"/>
        <v>#N/A</v>
      </c>
      <c r="L253" t="e">
        <f t="shared" si="59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6"/>
        <v>0</v>
      </c>
      <c r="B254">
        <f t="shared" si="47"/>
        <v>0</v>
      </c>
      <c r="C254">
        <f t="shared" si="48"/>
        <v>0</v>
      </c>
      <c r="D254">
        <f t="shared" si="49"/>
        <v>0</v>
      </c>
      <c r="E254" t="e">
        <f t="shared" si="50"/>
        <v>#N/A</v>
      </c>
      <c r="F254">
        <f t="shared" si="51"/>
        <v>0</v>
      </c>
      <c r="G254">
        <f t="shared" si="52"/>
        <v>0</v>
      </c>
      <c r="H254">
        <f t="shared" si="53"/>
        <v>0</v>
      </c>
      <c r="I254">
        <f t="shared" si="54"/>
        <v>0</v>
      </c>
      <c r="J254">
        <f t="shared" si="55"/>
        <v>0</v>
      </c>
      <c r="K254" s="4" t="e">
        <f t="shared" si="58"/>
        <v>#N/A</v>
      </c>
      <c r="L254" t="e">
        <f t="shared" si="59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6"/>
        <v>0</v>
      </c>
      <c r="B255">
        <f t="shared" si="47"/>
        <v>0</v>
      </c>
      <c r="C255">
        <f t="shared" si="48"/>
        <v>0</v>
      </c>
      <c r="D255">
        <f t="shared" si="49"/>
        <v>0</v>
      </c>
      <c r="E255" t="e">
        <f t="shared" si="50"/>
        <v>#N/A</v>
      </c>
      <c r="F255">
        <f t="shared" si="51"/>
        <v>0</v>
      </c>
      <c r="G255">
        <f t="shared" si="52"/>
        <v>0</v>
      </c>
      <c r="H255">
        <f t="shared" si="53"/>
        <v>0</v>
      </c>
      <c r="I255">
        <f t="shared" si="54"/>
        <v>0</v>
      </c>
      <c r="J255">
        <f t="shared" si="55"/>
        <v>0</v>
      </c>
      <c r="K255" s="4" t="e">
        <f t="shared" si="58"/>
        <v>#N/A</v>
      </c>
      <c r="L255" t="e">
        <f t="shared" si="59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6"/>
        <v>0</v>
      </c>
      <c r="B256">
        <f t="shared" si="47"/>
        <v>0</v>
      </c>
      <c r="C256">
        <f t="shared" si="48"/>
        <v>0</v>
      </c>
      <c r="D256">
        <f t="shared" si="49"/>
        <v>0</v>
      </c>
      <c r="E256" t="e">
        <f t="shared" si="50"/>
        <v>#N/A</v>
      </c>
      <c r="F256">
        <f t="shared" si="51"/>
        <v>0</v>
      </c>
      <c r="G256">
        <f t="shared" si="52"/>
        <v>0</v>
      </c>
      <c r="H256">
        <f t="shared" si="53"/>
        <v>0</v>
      </c>
      <c r="I256">
        <f t="shared" si="54"/>
        <v>0</v>
      </c>
      <c r="J256">
        <f t="shared" si="55"/>
        <v>0</v>
      </c>
      <c r="K256" s="4" t="e">
        <f t="shared" si="58"/>
        <v>#N/A</v>
      </c>
      <c r="L256" t="e">
        <f t="shared" si="59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6"/>
        <v>0</v>
      </c>
      <c r="B257">
        <f t="shared" si="47"/>
        <v>0</v>
      </c>
      <c r="C257">
        <f t="shared" si="48"/>
        <v>0</v>
      </c>
      <c r="D257">
        <f t="shared" si="49"/>
        <v>0</v>
      </c>
      <c r="E257" t="e">
        <f t="shared" si="50"/>
        <v>#N/A</v>
      </c>
      <c r="F257">
        <f t="shared" si="51"/>
        <v>0</v>
      </c>
      <c r="G257">
        <f t="shared" si="52"/>
        <v>0</v>
      </c>
      <c r="H257">
        <f t="shared" si="53"/>
        <v>0</v>
      </c>
      <c r="I257">
        <f t="shared" si="54"/>
        <v>0</v>
      </c>
      <c r="J257">
        <f t="shared" si="55"/>
        <v>0</v>
      </c>
      <c r="K257" s="4" t="e">
        <f t="shared" si="58"/>
        <v>#N/A</v>
      </c>
      <c r="L257" t="e">
        <f t="shared" si="59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60">bd_campaign</f>
        <v>0</v>
      </c>
      <c r="B258">
        <f t="shared" ref="B258:B321" si="61">bd_site</f>
        <v>0</v>
      </c>
      <c r="C258">
        <f t="shared" ref="C258:C321" si="62">bd_placement</f>
        <v>0</v>
      </c>
      <c r="D258">
        <f t="shared" ref="D258:D321" si="63">bd_placementID</f>
        <v>0</v>
      </c>
      <c r="E258" t="e">
        <f t="shared" ref="E258:E321" si="64">VLOOKUP(CONCATENATE(bd_adtype,"_",bd_creativetype),tabela,2,FALSE)</f>
        <v>#N/A</v>
      </c>
      <c r="F258">
        <f t="shared" ref="F258:F321" si="65">bd_ad</f>
        <v>0</v>
      </c>
      <c r="G258">
        <f t="shared" ref="G258:G321" si="66">bd_adid</f>
        <v>0</v>
      </c>
      <c r="H258">
        <f t="shared" ref="H258:H321" si="67">bd_creativetype</f>
        <v>0</v>
      </c>
      <c r="I258">
        <f t="shared" ref="I258:I321" si="68">bd_impression</f>
        <v>0</v>
      </c>
      <c r="J258">
        <f t="shared" ref="J258:J321" si="69">bd_clicks</f>
        <v>0</v>
      </c>
      <c r="K258" s="4" t="e">
        <f t="shared" si="58"/>
        <v>#N/A</v>
      </c>
      <c r="L258" t="e">
        <f t="shared" si="59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60"/>
        <v>0</v>
      </c>
      <c r="B259">
        <f t="shared" si="61"/>
        <v>0</v>
      </c>
      <c r="C259">
        <f t="shared" si="62"/>
        <v>0</v>
      </c>
      <c r="D259">
        <f t="shared" si="63"/>
        <v>0</v>
      </c>
      <c r="E259" t="e">
        <f t="shared" si="64"/>
        <v>#N/A</v>
      </c>
      <c r="F259">
        <f t="shared" si="65"/>
        <v>0</v>
      </c>
      <c r="G259">
        <f t="shared" si="66"/>
        <v>0</v>
      </c>
      <c r="H259">
        <f t="shared" si="67"/>
        <v>0</v>
      </c>
      <c r="I259">
        <f t="shared" si="68"/>
        <v>0</v>
      </c>
      <c r="J259">
        <f t="shared" si="69"/>
        <v>0</v>
      </c>
      <c r="K259" s="4" t="e">
        <f t="shared" si="58"/>
        <v>#N/A</v>
      </c>
      <c r="L259" t="e">
        <f t="shared" si="59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60"/>
        <v>0</v>
      </c>
      <c r="B260">
        <f t="shared" si="61"/>
        <v>0</v>
      </c>
      <c r="C260">
        <f t="shared" si="62"/>
        <v>0</v>
      </c>
      <c r="D260">
        <f t="shared" si="63"/>
        <v>0</v>
      </c>
      <c r="E260" t="e">
        <f t="shared" si="64"/>
        <v>#N/A</v>
      </c>
      <c r="F260">
        <f t="shared" si="65"/>
        <v>0</v>
      </c>
      <c r="G260">
        <f t="shared" si="66"/>
        <v>0</v>
      </c>
      <c r="H260">
        <f t="shared" si="67"/>
        <v>0</v>
      </c>
      <c r="I260">
        <f t="shared" si="68"/>
        <v>0</v>
      </c>
      <c r="J260">
        <f t="shared" si="69"/>
        <v>0</v>
      </c>
      <c r="K260" s="4" t="e">
        <f t="shared" si="58"/>
        <v>#N/A</v>
      </c>
      <c r="L260" t="e">
        <f t="shared" si="59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60"/>
        <v>0</v>
      </c>
      <c r="B261">
        <f t="shared" si="61"/>
        <v>0</v>
      </c>
      <c r="C261">
        <f t="shared" si="62"/>
        <v>0</v>
      </c>
      <c r="D261">
        <f t="shared" si="63"/>
        <v>0</v>
      </c>
      <c r="E261" t="e">
        <f t="shared" si="64"/>
        <v>#N/A</v>
      </c>
      <c r="F261">
        <f t="shared" si="65"/>
        <v>0</v>
      </c>
      <c r="G261">
        <f t="shared" si="66"/>
        <v>0</v>
      </c>
      <c r="H261">
        <f t="shared" si="67"/>
        <v>0</v>
      </c>
      <c r="I261">
        <f t="shared" si="68"/>
        <v>0</v>
      </c>
      <c r="J261">
        <f t="shared" si="69"/>
        <v>0</v>
      </c>
      <c r="K261" s="4" t="e">
        <f t="shared" si="58"/>
        <v>#N/A</v>
      </c>
      <c r="L261" t="e">
        <f t="shared" si="59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60"/>
        <v>0</v>
      </c>
      <c r="B262">
        <f t="shared" si="61"/>
        <v>0</v>
      </c>
      <c r="C262">
        <f t="shared" si="62"/>
        <v>0</v>
      </c>
      <c r="D262">
        <f t="shared" si="63"/>
        <v>0</v>
      </c>
      <c r="E262" t="e">
        <f t="shared" si="64"/>
        <v>#N/A</v>
      </c>
      <c r="F262">
        <f t="shared" si="65"/>
        <v>0</v>
      </c>
      <c r="G262">
        <f t="shared" si="66"/>
        <v>0</v>
      </c>
      <c r="H262">
        <f t="shared" si="67"/>
        <v>0</v>
      </c>
      <c r="I262">
        <f t="shared" si="68"/>
        <v>0</v>
      </c>
      <c r="J262">
        <f t="shared" si="69"/>
        <v>0</v>
      </c>
      <c r="K262" s="4" t="e">
        <f t="shared" si="58"/>
        <v>#N/A</v>
      </c>
      <c r="L262" t="e">
        <f t="shared" si="59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60"/>
        <v>0</v>
      </c>
      <c r="B263">
        <f t="shared" si="61"/>
        <v>0</v>
      </c>
      <c r="C263">
        <f t="shared" si="62"/>
        <v>0</v>
      </c>
      <c r="D263">
        <f t="shared" si="63"/>
        <v>0</v>
      </c>
      <c r="E263" t="e">
        <f t="shared" si="64"/>
        <v>#N/A</v>
      </c>
      <c r="F263">
        <f t="shared" si="65"/>
        <v>0</v>
      </c>
      <c r="G263">
        <f t="shared" si="66"/>
        <v>0</v>
      </c>
      <c r="H263">
        <f t="shared" si="67"/>
        <v>0</v>
      </c>
      <c r="I263">
        <f t="shared" si="68"/>
        <v>0</v>
      </c>
      <c r="J263">
        <f t="shared" si="69"/>
        <v>0</v>
      </c>
      <c r="K263" s="4" t="e">
        <f t="shared" si="58"/>
        <v>#N/A</v>
      </c>
      <c r="L263" t="e">
        <f t="shared" si="59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60"/>
        <v>0</v>
      </c>
      <c r="B264">
        <f t="shared" si="61"/>
        <v>0</v>
      </c>
      <c r="C264">
        <f t="shared" si="62"/>
        <v>0</v>
      </c>
      <c r="D264">
        <f t="shared" si="63"/>
        <v>0</v>
      </c>
      <c r="E264" t="e">
        <f t="shared" si="64"/>
        <v>#N/A</v>
      </c>
      <c r="F264">
        <f t="shared" si="65"/>
        <v>0</v>
      </c>
      <c r="G264">
        <f t="shared" si="66"/>
        <v>0</v>
      </c>
      <c r="H264">
        <f t="shared" si="67"/>
        <v>0</v>
      </c>
      <c r="I264">
        <f t="shared" si="68"/>
        <v>0</v>
      </c>
      <c r="J264">
        <f t="shared" si="69"/>
        <v>0</v>
      </c>
      <c r="K264" s="4" t="e">
        <f t="shared" si="58"/>
        <v>#N/A</v>
      </c>
      <c r="L264" t="e">
        <f t="shared" si="59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60"/>
        <v>0</v>
      </c>
      <c r="B265">
        <f t="shared" si="61"/>
        <v>0</v>
      </c>
      <c r="C265">
        <f t="shared" si="62"/>
        <v>0</v>
      </c>
      <c r="D265">
        <f t="shared" si="63"/>
        <v>0</v>
      </c>
      <c r="E265" t="e">
        <f t="shared" si="64"/>
        <v>#N/A</v>
      </c>
      <c r="F265">
        <f t="shared" si="65"/>
        <v>0</v>
      </c>
      <c r="G265">
        <f t="shared" si="66"/>
        <v>0</v>
      </c>
      <c r="H265">
        <f t="shared" si="67"/>
        <v>0</v>
      </c>
      <c r="I265">
        <f t="shared" si="68"/>
        <v>0</v>
      </c>
      <c r="J265">
        <f t="shared" si="69"/>
        <v>0</v>
      </c>
      <c r="K265" s="4" t="e">
        <f t="shared" si="58"/>
        <v>#N/A</v>
      </c>
      <c r="L265" t="e">
        <f t="shared" si="59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60"/>
        <v>0</v>
      </c>
      <c r="B266">
        <f t="shared" si="61"/>
        <v>0</v>
      </c>
      <c r="C266">
        <f t="shared" si="62"/>
        <v>0</v>
      </c>
      <c r="D266">
        <f t="shared" si="63"/>
        <v>0</v>
      </c>
      <c r="E266" t="e">
        <f t="shared" si="64"/>
        <v>#N/A</v>
      </c>
      <c r="F266">
        <f t="shared" si="65"/>
        <v>0</v>
      </c>
      <c r="G266">
        <f t="shared" si="66"/>
        <v>0</v>
      </c>
      <c r="H266">
        <f t="shared" si="67"/>
        <v>0</v>
      </c>
      <c r="I266">
        <f t="shared" si="68"/>
        <v>0</v>
      </c>
      <c r="J266">
        <f t="shared" si="69"/>
        <v>0</v>
      </c>
      <c r="K266" s="4" t="e">
        <f t="shared" si="58"/>
        <v>#N/A</v>
      </c>
      <c r="L266" t="e">
        <f t="shared" si="59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60"/>
        <v>0</v>
      </c>
      <c r="B267">
        <f t="shared" si="61"/>
        <v>0</v>
      </c>
      <c r="C267">
        <f t="shared" si="62"/>
        <v>0</v>
      </c>
      <c r="D267">
        <f t="shared" si="63"/>
        <v>0</v>
      </c>
      <c r="E267" t="e">
        <f t="shared" si="64"/>
        <v>#N/A</v>
      </c>
      <c r="F267">
        <f t="shared" si="65"/>
        <v>0</v>
      </c>
      <c r="G267">
        <f t="shared" si="66"/>
        <v>0</v>
      </c>
      <c r="H267">
        <f t="shared" si="67"/>
        <v>0</v>
      </c>
      <c r="I267">
        <f t="shared" si="68"/>
        <v>0</v>
      </c>
      <c r="J267">
        <f t="shared" si="69"/>
        <v>0</v>
      </c>
      <c r="K267" s="4" t="e">
        <f t="shared" si="58"/>
        <v>#N/A</v>
      </c>
      <c r="L267" t="e">
        <f t="shared" si="59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60"/>
        <v>0</v>
      </c>
      <c r="B268">
        <f t="shared" si="61"/>
        <v>0</v>
      </c>
      <c r="C268">
        <f t="shared" si="62"/>
        <v>0</v>
      </c>
      <c r="D268">
        <f t="shared" si="63"/>
        <v>0</v>
      </c>
      <c r="E268" t="e">
        <f t="shared" si="64"/>
        <v>#N/A</v>
      </c>
      <c r="F268">
        <f t="shared" si="65"/>
        <v>0</v>
      </c>
      <c r="G268">
        <f t="shared" si="66"/>
        <v>0</v>
      </c>
      <c r="H268">
        <f t="shared" si="67"/>
        <v>0</v>
      </c>
      <c r="I268">
        <f t="shared" si="68"/>
        <v>0</v>
      </c>
      <c r="J268">
        <f t="shared" si="69"/>
        <v>0</v>
      </c>
      <c r="K268" s="4" t="e">
        <f t="shared" si="58"/>
        <v>#N/A</v>
      </c>
      <c r="L268" t="e">
        <f t="shared" si="59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60"/>
        <v>0</v>
      </c>
      <c r="B269">
        <f t="shared" si="61"/>
        <v>0</v>
      </c>
      <c r="C269">
        <f t="shared" si="62"/>
        <v>0</v>
      </c>
      <c r="D269">
        <f t="shared" si="63"/>
        <v>0</v>
      </c>
      <c r="E269" t="e">
        <f t="shared" si="64"/>
        <v>#N/A</v>
      </c>
      <c r="F269">
        <f t="shared" si="65"/>
        <v>0</v>
      </c>
      <c r="G269">
        <f t="shared" si="66"/>
        <v>0</v>
      </c>
      <c r="H269">
        <f t="shared" si="67"/>
        <v>0</v>
      </c>
      <c r="I269">
        <f t="shared" si="68"/>
        <v>0</v>
      </c>
      <c r="J269">
        <f t="shared" si="69"/>
        <v>0</v>
      </c>
      <c r="K269" s="4" t="e">
        <f t="shared" si="58"/>
        <v>#N/A</v>
      </c>
      <c r="L269" t="e">
        <f t="shared" si="59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60"/>
        <v>0</v>
      </c>
      <c r="B270">
        <f t="shared" si="61"/>
        <v>0</v>
      </c>
      <c r="C270">
        <f t="shared" si="62"/>
        <v>0</v>
      </c>
      <c r="D270">
        <f t="shared" si="63"/>
        <v>0</v>
      </c>
      <c r="E270" t="e">
        <f t="shared" si="64"/>
        <v>#N/A</v>
      </c>
      <c r="F270">
        <f t="shared" si="65"/>
        <v>0</v>
      </c>
      <c r="G270">
        <f t="shared" si="66"/>
        <v>0</v>
      </c>
      <c r="H270">
        <f t="shared" si="67"/>
        <v>0</v>
      </c>
      <c r="I270">
        <f t="shared" si="68"/>
        <v>0</v>
      </c>
      <c r="J270">
        <f t="shared" si="69"/>
        <v>0</v>
      </c>
      <c r="K270" s="4" t="e">
        <f t="shared" si="58"/>
        <v>#N/A</v>
      </c>
      <c r="L270" t="e">
        <f t="shared" si="59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60"/>
        <v>0</v>
      </c>
      <c r="B271">
        <f t="shared" si="61"/>
        <v>0</v>
      </c>
      <c r="C271">
        <f t="shared" si="62"/>
        <v>0</v>
      </c>
      <c r="D271">
        <f t="shared" si="63"/>
        <v>0</v>
      </c>
      <c r="E271" t="e">
        <f t="shared" si="64"/>
        <v>#N/A</v>
      </c>
      <c r="F271">
        <f t="shared" si="65"/>
        <v>0</v>
      </c>
      <c r="G271">
        <f t="shared" si="66"/>
        <v>0</v>
      </c>
      <c r="H271">
        <f t="shared" si="67"/>
        <v>0</v>
      </c>
      <c r="I271">
        <f t="shared" si="68"/>
        <v>0</v>
      </c>
      <c r="J271">
        <f t="shared" si="69"/>
        <v>0</v>
      </c>
      <c r="K271" s="4" t="e">
        <f t="shared" si="58"/>
        <v>#N/A</v>
      </c>
      <c r="L271" t="e">
        <f t="shared" si="59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60"/>
        <v>0</v>
      </c>
      <c r="B272">
        <f t="shared" si="61"/>
        <v>0</v>
      </c>
      <c r="C272">
        <f t="shared" si="62"/>
        <v>0</v>
      </c>
      <c r="D272">
        <f t="shared" si="63"/>
        <v>0</v>
      </c>
      <c r="E272" t="e">
        <f t="shared" si="64"/>
        <v>#N/A</v>
      </c>
      <c r="F272">
        <f t="shared" si="65"/>
        <v>0</v>
      </c>
      <c r="G272">
        <f t="shared" si="66"/>
        <v>0</v>
      </c>
      <c r="H272">
        <f t="shared" si="67"/>
        <v>0</v>
      </c>
      <c r="I272">
        <f t="shared" si="68"/>
        <v>0</v>
      </c>
      <c r="J272">
        <f t="shared" si="69"/>
        <v>0</v>
      </c>
      <c r="K272" s="4" t="e">
        <f t="shared" si="58"/>
        <v>#N/A</v>
      </c>
      <c r="L272" t="e">
        <f t="shared" si="59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60"/>
        <v>0</v>
      </c>
      <c r="B273">
        <f t="shared" si="61"/>
        <v>0</v>
      </c>
      <c r="C273">
        <f t="shared" si="62"/>
        <v>0</v>
      </c>
      <c r="D273">
        <f t="shared" si="63"/>
        <v>0</v>
      </c>
      <c r="E273" t="e">
        <f t="shared" si="64"/>
        <v>#N/A</v>
      </c>
      <c r="F273">
        <f t="shared" si="65"/>
        <v>0</v>
      </c>
      <c r="G273">
        <f t="shared" si="66"/>
        <v>0</v>
      </c>
      <c r="H273">
        <f t="shared" si="67"/>
        <v>0</v>
      </c>
      <c r="I273">
        <f t="shared" si="68"/>
        <v>0</v>
      </c>
      <c r="J273">
        <f t="shared" si="69"/>
        <v>0</v>
      </c>
      <c r="K273" s="4" t="e">
        <f t="shared" si="58"/>
        <v>#N/A</v>
      </c>
      <c r="L273" t="e">
        <f t="shared" si="59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60"/>
        <v>0</v>
      </c>
      <c r="B274">
        <f t="shared" si="61"/>
        <v>0</v>
      </c>
      <c r="C274">
        <f t="shared" si="62"/>
        <v>0</v>
      </c>
      <c r="D274">
        <f t="shared" si="63"/>
        <v>0</v>
      </c>
      <c r="E274" t="e">
        <f t="shared" si="64"/>
        <v>#N/A</v>
      </c>
      <c r="F274">
        <f t="shared" si="65"/>
        <v>0</v>
      </c>
      <c r="G274">
        <f t="shared" si="66"/>
        <v>0</v>
      </c>
      <c r="H274">
        <f t="shared" si="67"/>
        <v>0</v>
      </c>
      <c r="I274">
        <f t="shared" si="68"/>
        <v>0</v>
      </c>
      <c r="J274">
        <f t="shared" si="69"/>
        <v>0</v>
      </c>
      <c r="K274" s="4" t="e">
        <f t="shared" si="58"/>
        <v>#N/A</v>
      </c>
      <c r="L274" t="e">
        <f t="shared" si="59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60"/>
        <v>0</v>
      </c>
      <c r="B275">
        <f t="shared" si="61"/>
        <v>0</v>
      </c>
      <c r="C275">
        <f t="shared" si="62"/>
        <v>0</v>
      </c>
      <c r="D275">
        <f t="shared" si="63"/>
        <v>0</v>
      </c>
      <c r="E275" t="e">
        <f t="shared" si="64"/>
        <v>#N/A</v>
      </c>
      <c r="F275">
        <f t="shared" si="65"/>
        <v>0</v>
      </c>
      <c r="G275">
        <f t="shared" si="66"/>
        <v>0</v>
      </c>
      <c r="H275">
        <f t="shared" si="67"/>
        <v>0</v>
      </c>
      <c r="I275">
        <f t="shared" si="68"/>
        <v>0</v>
      </c>
      <c r="J275">
        <f t="shared" si="69"/>
        <v>0</v>
      </c>
      <c r="K275" s="4" t="e">
        <f t="shared" si="58"/>
        <v>#N/A</v>
      </c>
      <c r="L275" t="e">
        <f t="shared" si="59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60"/>
        <v>0</v>
      </c>
      <c r="B276">
        <f t="shared" si="61"/>
        <v>0</v>
      </c>
      <c r="C276">
        <f t="shared" si="62"/>
        <v>0</v>
      </c>
      <c r="D276">
        <f t="shared" si="63"/>
        <v>0</v>
      </c>
      <c r="E276" t="e">
        <f t="shared" si="64"/>
        <v>#N/A</v>
      </c>
      <c r="F276">
        <f t="shared" si="65"/>
        <v>0</v>
      </c>
      <c r="G276">
        <f t="shared" si="66"/>
        <v>0</v>
      </c>
      <c r="H276">
        <f t="shared" si="67"/>
        <v>0</v>
      </c>
      <c r="I276">
        <f t="shared" si="68"/>
        <v>0</v>
      </c>
      <c r="J276">
        <f t="shared" si="69"/>
        <v>0</v>
      </c>
      <c r="K276" s="4" t="e">
        <f t="shared" si="58"/>
        <v>#N/A</v>
      </c>
      <c r="L276" t="e">
        <f t="shared" si="59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60"/>
        <v>0</v>
      </c>
      <c r="B277">
        <f t="shared" si="61"/>
        <v>0</v>
      </c>
      <c r="C277">
        <f t="shared" si="62"/>
        <v>0</v>
      </c>
      <c r="D277">
        <f t="shared" si="63"/>
        <v>0</v>
      </c>
      <c r="E277" t="e">
        <f t="shared" si="64"/>
        <v>#N/A</v>
      </c>
      <c r="F277">
        <f t="shared" si="65"/>
        <v>0</v>
      </c>
      <c r="G277">
        <f t="shared" si="66"/>
        <v>0</v>
      </c>
      <c r="H277">
        <f t="shared" si="67"/>
        <v>0</v>
      </c>
      <c r="I277">
        <f t="shared" si="68"/>
        <v>0</v>
      </c>
      <c r="J277">
        <f t="shared" si="69"/>
        <v>0</v>
      </c>
      <c r="K277" s="4" t="e">
        <f t="shared" si="58"/>
        <v>#N/A</v>
      </c>
      <c r="L277" t="e">
        <f t="shared" si="59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60"/>
        <v>0</v>
      </c>
      <c r="B278">
        <f t="shared" si="61"/>
        <v>0</v>
      </c>
      <c r="C278">
        <f t="shared" si="62"/>
        <v>0</v>
      </c>
      <c r="D278">
        <f t="shared" si="63"/>
        <v>0</v>
      </c>
      <c r="E278" t="e">
        <f t="shared" si="64"/>
        <v>#N/A</v>
      </c>
      <c r="F278">
        <f t="shared" si="65"/>
        <v>0</v>
      </c>
      <c r="G278">
        <f t="shared" si="66"/>
        <v>0</v>
      </c>
      <c r="H278">
        <f t="shared" si="67"/>
        <v>0</v>
      </c>
      <c r="I278">
        <f t="shared" si="68"/>
        <v>0</v>
      </c>
      <c r="J278">
        <f t="shared" si="69"/>
        <v>0</v>
      </c>
      <c r="K278" s="4" t="e">
        <f t="shared" si="58"/>
        <v>#N/A</v>
      </c>
      <c r="L278" t="e">
        <f t="shared" si="59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60"/>
        <v>0</v>
      </c>
      <c r="B279">
        <f t="shared" si="61"/>
        <v>0</v>
      </c>
      <c r="C279">
        <f t="shared" si="62"/>
        <v>0</v>
      </c>
      <c r="D279">
        <f t="shared" si="63"/>
        <v>0</v>
      </c>
      <c r="E279" t="e">
        <f t="shared" si="64"/>
        <v>#N/A</v>
      </c>
      <c r="F279">
        <f t="shared" si="65"/>
        <v>0</v>
      </c>
      <c r="G279">
        <f t="shared" si="66"/>
        <v>0</v>
      </c>
      <c r="H279">
        <f t="shared" si="67"/>
        <v>0</v>
      </c>
      <c r="I279">
        <f t="shared" si="68"/>
        <v>0</v>
      </c>
      <c r="J279">
        <f t="shared" si="69"/>
        <v>0</v>
      </c>
      <c r="K279" s="4" t="e">
        <f t="shared" si="58"/>
        <v>#N/A</v>
      </c>
      <c r="L279" t="e">
        <f t="shared" si="59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60"/>
        <v>0</v>
      </c>
      <c r="B280">
        <f t="shared" si="61"/>
        <v>0</v>
      </c>
      <c r="C280">
        <f t="shared" si="62"/>
        <v>0</v>
      </c>
      <c r="D280">
        <f t="shared" si="63"/>
        <v>0</v>
      </c>
      <c r="E280" t="e">
        <f t="shared" si="64"/>
        <v>#N/A</v>
      </c>
      <c r="F280">
        <f t="shared" si="65"/>
        <v>0</v>
      </c>
      <c r="G280">
        <f t="shared" si="66"/>
        <v>0</v>
      </c>
      <c r="H280">
        <f t="shared" si="67"/>
        <v>0</v>
      </c>
      <c r="I280">
        <f t="shared" si="68"/>
        <v>0</v>
      </c>
      <c r="J280">
        <f t="shared" si="69"/>
        <v>0</v>
      </c>
      <c r="K280" s="4" t="e">
        <f t="shared" si="58"/>
        <v>#N/A</v>
      </c>
      <c r="L280" t="e">
        <f t="shared" si="59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60"/>
        <v>0</v>
      </c>
      <c r="B281">
        <f t="shared" si="61"/>
        <v>0</v>
      </c>
      <c r="C281">
        <f t="shared" si="62"/>
        <v>0</v>
      </c>
      <c r="D281">
        <f t="shared" si="63"/>
        <v>0</v>
      </c>
      <c r="E281" t="e">
        <f t="shared" si="64"/>
        <v>#N/A</v>
      </c>
      <c r="F281">
        <f t="shared" si="65"/>
        <v>0</v>
      </c>
      <c r="G281">
        <f t="shared" si="66"/>
        <v>0</v>
      </c>
      <c r="H281">
        <f t="shared" si="67"/>
        <v>0</v>
      </c>
      <c r="I281">
        <f t="shared" si="68"/>
        <v>0</v>
      </c>
      <c r="J281">
        <f t="shared" si="69"/>
        <v>0</v>
      </c>
      <c r="K281" s="4" t="e">
        <f t="shared" si="58"/>
        <v>#N/A</v>
      </c>
      <c r="L281" t="e">
        <f t="shared" si="59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60"/>
        <v>0</v>
      </c>
      <c r="B282">
        <f t="shared" si="61"/>
        <v>0</v>
      </c>
      <c r="C282">
        <f t="shared" si="62"/>
        <v>0</v>
      </c>
      <c r="D282">
        <f t="shared" si="63"/>
        <v>0</v>
      </c>
      <c r="E282" t="e">
        <f t="shared" si="64"/>
        <v>#N/A</v>
      </c>
      <c r="F282">
        <f t="shared" si="65"/>
        <v>0</v>
      </c>
      <c r="G282">
        <f t="shared" si="66"/>
        <v>0</v>
      </c>
      <c r="H282">
        <f t="shared" si="67"/>
        <v>0</v>
      </c>
      <c r="I282">
        <f t="shared" si="68"/>
        <v>0</v>
      </c>
      <c r="J282">
        <f t="shared" si="69"/>
        <v>0</v>
      </c>
      <c r="K282" s="4" t="e">
        <f t="shared" si="58"/>
        <v>#N/A</v>
      </c>
      <c r="L282" t="e">
        <f t="shared" si="59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60"/>
        <v>0</v>
      </c>
      <c r="B283">
        <f t="shared" si="61"/>
        <v>0</v>
      </c>
      <c r="C283">
        <f t="shared" si="62"/>
        <v>0</v>
      </c>
      <c r="D283">
        <f t="shared" si="63"/>
        <v>0</v>
      </c>
      <c r="E283" t="e">
        <f t="shared" si="64"/>
        <v>#N/A</v>
      </c>
      <c r="F283">
        <f t="shared" si="65"/>
        <v>0</v>
      </c>
      <c r="G283">
        <f t="shared" si="66"/>
        <v>0</v>
      </c>
      <c r="H283">
        <f t="shared" si="67"/>
        <v>0</v>
      </c>
      <c r="I283">
        <f t="shared" si="68"/>
        <v>0</v>
      </c>
      <c r="J283">
        <f t="shared" si="69"/>
        <v>0</v>
      </c>
      <c r="K283" s="4" t="e">
        <f t="shared" si="58"/>
        <v>#N/A</v>
      </c>
      <c r="L283" t="e">
        <f t="shared" si="59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60"/>
        <v>0</v>
      </c>
      <c r="B284">
        <f t="shared" si="61"/>
        <v>0</v>
      </c>
      <c r="C284">
        <f t="shared" si="62"/>
        <v>0</v>
      </c>
      <c r="D284">
        <f t="shared" si="63"/>
        <v>0</v>
      </c>
      <c r="E284" t="e">
        <f t="shared" si="64"/>
        <v>#N/A</v>
      </c>
      <c r="F284">
        <f t="shared" si="65"/>
        <v>0</v>
      </c>
      <c r="G284">
        <f t="shared" si="66"/>
        <v>0</v>
      </c>
      <c r="H284">
        <f t="shared" si="67"/>
        <v>0</v>
      </c>
      <c r="I284">
        <f t="shared" si="68"/>
        <v>0</v>
      </c>
      <c r="J284">
        <f t="shared" si="69"/>
        <v>0</v>
      </c>
      <c r="K284" s="4" t="e">
        <f t="shared" si="58"/>
        <v>#N/A</v>
      </c>
      <c r="L284" t="e">
        <f t="shared" si="59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60"/>
        <v>0</v>
      </c>
      <c r="B285">
        <f t="shared" si="61"/>
        <v>0</v>
      </c>
      <c r="C285">
        <f t="shared" si="62"/>
        <v>0</v>
      </c>
      <c r="D285">
        <f t="shared" si="63"/>
        <v>0</v>
      </c>
      <c r="E285" t="e">
        <f t="shared" si="64"/>
        <v>#N/A</v>
      </c>
      <c r="F285">
        <f t="shared" si="65"/>
        <v>0</v>
      </c>
      <c r="G285">
        <f t="shared" si="66"/>
        <v>0</v>
      </c>
      <c r="H285">
        <f t="shared" si="67"/>
        <v>0</v>
      </c>
      <c r="I285">
        <f t="shared" si="68"/>
        <v>0</v>
      </c>
      <c r="J285">
        <f t="shared" si="69"/>
        <v>0</v>
      </c>
      <c r="K285" s="4" t="e">
        <f t="shared" si="58"/>
        <v>#N/A</v>
      </c>
      <c r="L285" t="e">
        <f t="shared" si="59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60"/>
        <v>0</v>
      </c>
      <c r="B286">
        <f t="shared" si="61"/>
        <v>0</v>
      </c>
      <c r="C286">
        <f t="shared" si="62"/>
        <v>0</v>
      </c>
      <c r="D286">
        <f t="shared" si="63"/>
        <v>0</v>
      </c>
      <c r="E286" t="e">
        <f t="shared" si="64"/>
        <v>#N/A</v>
      </c>
      <c r="F286">
        <f t="shared" si="65"/>
        <v>0</v>
      </c>
      <c r="G286">
        <f t="shared" si="66"/>
        <v>0</v>
      </c>
      <c r="H286">
        <f t="shared" si="67"/>
        <v>0</v>
      </c>
      <c r="I286">
        <f t="shared" si="68"/>
        <v>0</v>
      </c>
      <c r="J286">
        <f t="shared" si="69"/>
        <v>0</v>
      </c>
      <c r="K286" s="4" t="e">
        <f t="shared" si="58"/>
        <v>#N/A</v>
      </c>
      <c r="L286" t="e">
        <f t="shared" si="59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60"/>
        <v>0</v>
      </c>
      <c r="B287">
        <f t="shared" si="61"/>
        <v>0</v>
      </c>
      <c r="C287">
        <f t="shared" si="62"/>
        <v>0</v>
      </c>
      <c r="D287">
        <f t="shared" si="63"/>
        <v>0</v>
      </c>
      <c r="E287" t="e">
        <f t="shared" si="64"/>
        <v>#N/A</v>
      </c>
      <c r="F287">
        <f t="shared" si="65"/>
        <v>0</v>
      </c>
      <c r="G287">
        <f t="shared" si="66"/>
        <v>0</v>
      </c>
      <c r="H287">
        <f t="shared" si="67"/>
        <v>0</v>
      </c>
      <c r="I287">
        <f t="shared" si="68"/>
        <v>0</v>
      </c>
      <c r="J287">
        <f t="shared" si="69"/>
        <v>0</v>
      </c>
      <c r="K287" s="4" t="e">
        <f t="shared" si="58"/>
        <v>#N/A</v>
      </c>
      <c r="L287" t="e">
        <f t="shared" si="59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60"/>
        <v>0</v>
      </c>
      <c r="B288">
        <f t="shared" si="61"/>
        <v>0</v>
      </c>
      <c r="C288">
        <f t="shared" si="62"/>
        <v>0</v>
      </c>
      <c r="D288">
        <f t="shared" si="63"/>
        <v>0</v>
      </c>
      <c r="E288" t="e">
        <f t="shared" si="64"/>
        <v>#N/A</v>
      </c>
      <c r="F288">
        <f t="shared" si="65"/>
        <v>0</v>
      </c>
      <c r="G288">
        <f t="shared" si="66"/>
        <v>0</v>
      </c>
      <c r="H288">
        <f t="shared" si="67"/>
        <v>0</v>
      </c>
      <c r="I288">
        <f t="shared" si="68"/>
        <v>0</v>
      </c>
      <c r="J288">
        <f t="shared" si="69"/>
        <v>0</v>
      </c>
      <c r="K288" s="4" t="e">
        <f t="shared" si="58"/>
        <v>#N/A</v>
      </c>
      <c r="L288" t="e">
        <f t="shared" si="59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60"/>
        <v>0</v>
      </c>
      <c r="B289">
        <f t="shared" si="61"/>
        <v>0</v>
      </c>
      <c r="C289">
        <f t="shared" si="62"/>
        <v>0</v>
      </c>
      <c r="D289">
        <f t="shared" si="63"/>
        <v>0</v>
      </c>
      <c r="E289" t="e">
        <f t="shared" si="64"/>
        <v>#N/A</v>
      </c>
      <c r="F289">
        <f t="shared" si="65"/>
        <v>0</v>
      </c>
      <c r="G289">
        <f t="shared" si="66"/>
        <v>0</v>
      </c>
      <c r="H289">
        <f t="shared" si="67"/>
        <v>0</v>
      </c>
      <c r="I289">
        <f t="shared" si="68"/>
        <v>0</v>
      </c>
      <c r="J289">
        <f t="shared" si="69"/>
        <v>0</v>
      </c>
      <c r="K289" s="4" t="e">
        <f t="shared" si="58"/>
        <v>#N/A</v>
      </c>
      <c r="L289" t="e">
        <f t="shared" si="59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60"/>
        <v>0</v>
      </c>
      <c r="B290">
        <f t="shared" si="61"/>
        <v>0</v>
      </c>
      <c r="C290">
        <f t="shared" si="62"/>
        <v>0</v>
      </c>
      <c r="D290">
        <f t="shared" si="63"/>
        <v>0</v>
      </c>
      <c r="E290" t="e">
        <f t="shared" si="64"/>
        <v>#N/A</v>
      </c>
      <c r="F290">
        <f t="shared" si="65"/>
        <v>0</v>
      </c>
      <c r="G290">
        <f t="shared" si="66"/>
        <v>0</v>
      </c>
      <c r="H290">
        <f t="shared" si="67"/>
        <v>0</v>
      </c>
      <c r="I290">
        <f t="shared" si="68"/>
        <v>0</v>
      </c>
      <c r="J290">
        <f t="shared" si="69"/>
        <v>0</v>
      </c>
      <c r="K290" s="4" t="e">
        <f t="shared" si="58"/>
        <v>#N/A</v>
      </c>
      <c r="L290" t="e">
        <f t="shared" si="59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60"/>
        <v>0</v>
      </c>
      <c r="B291">
        <f t="shared" si="61"/>
        <v>0</v>
      </c>
      <c r="C291">
        <f t="shared" si="62"/>
        <v>0</v>
      </c>
      <c r="D291">
        <f t="shared" si="63"/>
        <v>0</v>
      </c>
      <c r="E291" t="e">
        <f t="shared" si="64"/>
        <v>#N/A</v>
      </c>
      <c r="F291">
        <f t="shared" si="65"/>
        <v>0</v>
      </c>
      <c r="G291">
        <f t="shared" si="66"/>
        <v>0</v>
      </c>
      <c r="H291">
        <f t="shared" si="67"/>
        <v>0</v>
      </c>
      <c r="I291">
        <f t="shared" si="68"/>
        <v>0</v>
      </c>
      <c r="J291">
        <f t="shared" si="69"/>
        <v>0</v>
      </c>
      <c r="K291" s="4" t="e">
        <f t="shared" si="58"/>
        <v>#N/A</v>
      </c>
      <c r="L291" t="e">
        <f t="shared" si="59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60"/>
        <v>0</v>
      </c>
      <c r="B292">
        <f t="shared" si="61"/>
        <v>0</v>
      </c>
      <c r="C292">
        <f t="shared" si="62"/>
        <v>0</v>
      </c>
      <c r="D292">
        <f t="shared" si="63"/>
        <v>0</v>
      </c>
      <c r="E292" t="e">
        <f t="shared" si="64"/>
        <v>#N/A</v>
      </c>
      <c r="F292">
        <f t="shared" si="65"/>
        <v>0</v>
      </c>
      <c r="G292">
        <f t="shared" si="66"/>
        <v>0</v>
      </c>
      <c r="H292">
        <f t="shared" si="67"/>
        <v>0</v>
      </c>
      <c r="I292">
        <f t="shared" si="68"/>
        <v>0</v>
      </c>
      <c r="J292">
        <f t="shared" si="69"/>
        <v>0</v>
      </c>
      <c r="K292" s="4" t="e">
        <f t="shared" si="58"/>
        <v>#N/A</v>
      </c>
      <c r="L292" t="e">
        <f t="shared" si="59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60"/>
        <v>0</v>
      </c>
      <c r="B293">
        <f t="shared" si="61"/>
        <v>0</v>
      </c>
      <c r="C293">
        <f t="shared" si="62"/>
        <v>0</v>
      </c>
      <c r="D293">
        <f t="shared" si="63"/>
        <v>0</v>
      </c>
      <c r="E293" t="e">
        <f t="shared" si="64"/>
        <v>#N/A</v>
      </c>
      <c r="F293">
        <f t="shared" si="65"/>
        <v>0</v>
      </c>
      <c r="G293">
        <f t="shared" si="66"/>
        <v>0</v>
      </c>
      <c r="H293">
        <f t="shared" si="67"/>
        <v>0</v>
      </c>
      <c r="I293">
        <f t="shared" si="68"/>
        <v>0</v>
      </c>
      <c r="J293">
        <f t="shared" si="69"/>
        <v>0</v>
      </c>
      <c r="K293" s="4" t="e">
        <f t="shared" si="58"/>
        <v>#N/A</v>
      </c>
      <c r="L293" t="e">
        <f t="shared" si="59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60"/>
        <v>0</v>
      </c>
      <c r="B294">
        <f t="shared" si="61"/>
        <v>0</v>
      </c>
      <c r="C294">
        <f t="shared" si="62"/>
        <v>0</v>
      </c>
      <c r="D294">
        <f t="shared" si="63"/>
        <v>0</v>
      </c>
      <c r="E294" t="e">
        <f t="shared" si="64"/>
        <v>#N/A</v>
      </c>
      <c r="F294">
        <f t="shared" si="65"/>
        <v>0</v>
      </c>
      <c r="G294">
        <f t="shared" si="66"/>
        <v>0</v>
      </c>
      <c r="H294">
        <f t="shared" si="67"/>
        <v>0</v>
      </c>
      <c r="I294">
        <f t="shared" si="68"/>
        <v>0</v>
      </c>
      <c r="J294">
        <f t="shared" si="69"/>
        <v>0</v>
      </c>
      <c r="K294" s="4" t="e">
        <f t="shared" si="58"/>
        <v>#N/A</v>
      </c>
      <c r="L294" t="e">
        <f t="shared" si="59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60"/>
        <v>0</v>
      </c>
      <c r="B295">
        <f t="shared" si="61"/>
        <v>0</v>
      </c>
      <c r="C295">
        <f t="shared" si="62"/>
        <v>0</v>
      </c>
      <c r="D295">
        <f t="shared" si="63"/>
        <v>0</v>
      </c>
      <c r="E295" t="e">
        <f t="shared" si="64"/>
        <v>#N/A</v>
      </c>
      <c r="F295">
        <f t="shared" si="65"/>
        <v>0</v>
      </c>
      <c r="G295">
        <f t="shared" si="66"/>
        <v>0</v>
      </c>
      <c r="H295">
        <f t="shared" si="67"/>
        <v>0</v>
      </c>
      <c r="I295">
        <f t="shared" si="68"/>
        <v>0</v>
      </c>
      <c r="J295">
        <f t="shared" si="69"/>
        <v>0</v>
      </c>
      <c r="K295" s="4" t="e">
        <f t="shared" si="58"/>
        <v>#N/A</v>
      </c>
      <c r="L295" t="e">
        <f t="shared" si="59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60"/>
        <v>0</v>
      </c>
      <c r="B296">
        <f t="shared" si="61"/>
        <v>0</v>
      </c>
      <c r="C296">
        <f t="shared" si="62"/>
        <v>0</v>
      </c>
      <c r="D296">
        <f t="shared" si="63"/>
        <v>0</v>
      </c>
      <c r="E296" t="e">
        <f t="shared" si="64"/>
        <v>#N/A</v>
      </c>
      <c r="F296">
        <f t="shared" si="65"/>
        <v>0</v>
      </c>
      <c r="G296">
        <f t="shared" si="66"/>
        <v>0</v>
      </c>
      <c r="H296">
        <f t="shared" si="67"/>
        <v>0</v>
      </c>
      <c r="I296">
        <f t="shared" si="68"/>
        <v>0</v>
      </c>
      <c r="J296">
        <f t="shared" si="69"/>
        <v>0</v>
      </c>
      <c r="K296" s="4" t="e">
        <f t="shared" si="58"/>
        <v>#N/A</v>
      </c>
      <c r="L296" t="e">
        <f t="shared" si="59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60"/>
        <v>0</v>
      </c>
      <c r="B297">
        <f t="shared" si="61"/>
        <v>0</v>
      </c>
      <c r="C297">
        <f t="shared" si="62"/>
        <v>0</v>
      </c>
      <c r="D297">
        <f t="shared" si="63"/>
        <v>0</v>
      </c>
      <c r="E297" t="e">
        <f t="shared" si="64"/>
        <v>#N/A</v>
      </c>
      <c r="F297">
        <f t="shared" si="65"/>
        <v>0</v>
      </c>
      <c r="G297">
        <f t="shared" si="66"/>
        <v>0</v>
      </c>
      <c r="H297">
        <f t="shared" si="67"/>
        <v>0</v>
      </c>
      <c r="I297">
        <f t="shared" si="68"/>
        <v>0</v>
      </c>
      <c r="J297">
        <f t="shared" si="69"/>
        <v>0</v>
      </c>
      <c r="K297" s="4" t="e">
        <f t="shared" si="58"/>
        <v>#N/A</v>
      </c>
      <c r="L297" t="e">
        <f t="shared" si="59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60"/>
        <v>0</v>
      </c>
      <c r="B298">
        <f t="shared" si="61"/>
        <v>0</v>
      </c>
      <c r="C298">
        <f t="shared" si="62"/>
        <v>0</v>
      </c>
      <c r="D298">
        <f t="shared" si="63"/>
        <v>0</v>
      </c>
      <c r="E298" t="e">
        <f t="shared" si="64"/>
        <v>#N/A</v>
      </c>
      <c r="F298">
        <f t="shared" si="65"/>
        <v>0</v>
      </c>
      <c r="G298">
        <f t="shared" si="66"/>
        <v>0</v>
      </c>
      <c r="H298">
        <f t="shared" si="67"/>
        <v>0</v>
      </c>
      <c r="I298">
        <f t="shared" si="68"/>
        <v>0</v>
      </c>
      <c r="J298">
        <f t="shared" si="69"/>
        <v>0</v>
      </c>
      <c r="K298" s="4" t="e">
        <f t="shared" si="58"/>
        <v>#N/A</v>
      </c>
      <c r="L298" t="e">
        <f t="shared" si="59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60"/>
        <v>0</v>
      </c>
      <c r="B299">
        <f t="shared" si="61"/>
        <v>0</v>
      </c>
      <c r="C299">
        <f t="shared" si="62"/>
        <v>0</v>
      </c>
      <c r="D299">
        <f t="shared" si="63"/>
        <v>0</v>
      </c>
      <c r="E299" t="e">
        <f t="shared" si="64"/>
        <v>#N/A</v>
      </c>
      <c r="F299">
        <f t="shared" si="65"/>
        <v>0</v>
      </c>
      <c r="G299">
        <f t="shared" si="66"/>
        <v>0</v>
      </c>
      <c r="H299">
        <f t="shared" si="67"/>
        <v>0</v>
      </c>
      <c r="I299">
        <f t="shared" si="68"/>
        <v>0</v>
      </c>
      <c r="J299">
        <f t="shared" si="69"/>
        <v>0</v>
      </c>
      <c r="K299" s="4" t="e">
        <f t="shared" si="58"/>
        <v>#N/A</v>
      </c>
      <c r="L299" t="e">
        <f t="shared" si="59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60"/>
        <v>0</v>
      </c>
      <c r="B300">
        <f t="shared" si="61"/>
        <v>0</v>
      </c>
      <c r="C300">
        <f t="shared" si="62"/>
        <v>0</v>
      </c>
      <c r="D300">
        <f t="shared" si="63"/>
        <v>0</v>
      </c>
      <c r="E300" t="e">
        <f t="shared" si="64"/>
        <v>#N/A</v>
      </c>
      <c r="F300">
        <f t="shared" si="65"/>
        <v>0</v>
      </c>
      <c r="G300">
        <f t="shared" si="66"/>
        <v>0</v>
      </c>
      <c r="H300">
        <f t="shared" si="67"/>
        <v>0</v>
      </c>
      <c r="I300">
        <f t="shared" si="68"/>
        <v>0</v>
      </c>
      <c r="J300">
        <f t="shared" si="69"/>
        <v>0</v>
      </c>
      <c r="K300" s="4" t="e">
        <f t="shared" ref="K300:K363" si="72">IF(LEFT(B300,3)="DBM",0,VLOOKUP(E300,tabela,2,FALSE))</f>
        <v>#N/A</v>
      </c>
      <c r="L300" t="e">
        <f t="shared" ref="L300:L363" si="73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60"/>
        <v>0</v>
      </c>
      <c r="B301">
        <f t="shared" si="61"/>
        <v>0</v>
      </c>
      <c r="C301">
        <f t="shared" si="62"/>
        <v>0</v>
      </c>
      <c r="D301">
        <f t="shared" si="63"/>
        <v>0</v>
      </c>
      <c r="E301" t="e">
        <f t="shared" si="64"/>
        <v>#N/A</v>
      </c>
      <c r="F301">
        <f t="shared" si="65"/>
        <v>0</v>
      </c>
      <c r="G301">
        <f t="shared" si="66"/>
        <v>0</v>
      </c>
      <c r="H301">
        <f t="shared" si="67"/>
        <v>0</v>
      </c>
      <c r="I301">
        <f t="shared" si="68"/>
        <v>0</v>
      </c>
      <c r="J301">
        <f t="shared" si="69"/>
        <v>0</v>
      </c>
      <c r="K301" s="4" t="e">
        <f t="shared" si="72"/>
        <v>#N/A</v>
      </c>
      <c r="L301" t="e">
        <f t="shared" si="73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60"/>
        <v>0</v>
      </c>
      <c r="B302">
        <f t="shared" si="61"/>
        <v>0</v>
      </c>
      <c r="C302">
        <f t="shared" si="62"/>
        <v>0</v>
      </c>
      <c r="D302">
        <f t="shared" si="63"/>
        <v>0</v>
      </c>
      <c r="E302" t="e">
        <f t="shared" si="64"/>
        <v>#N/A</v>
      </c>
      <c r="F302">
        <f t="shared" si="65"/>
        <v>0</v>
      </c>
      <c r="G302">
        <f t="shared" si="66"/>
        <v>0</v>
      </c>
      <c r="H302">
        <f t="shared" si="67"/>
        <v>0</v>
      </c>
      <c r="I302">
        <f t="shared" si="68"/>
        <v>0</v>
      </c>
      <c r="J302">
        <f t="shared" si="69"/>
        <v>0</v>
      </c>
      <c r="K302" s="4" t="e">
        <f t="shared" si="72"/>
        <v>#N/A</v>
      </c>
      <c r="L302" t="e">
        <f t="shared" si="73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60"/>
        <v>0</v>
      </c>
      <c r="B303">
        <f t="shared" si="61"/>
        <v>0</v>
      </c>
      <c r="C303">
        <f t="shared" si="62"/>
        <v>0</v>
      </c>
      <c r="D303">
        <f t="shared" si="63"/>
        <v>0</v>
      </c>
      <c r="E303" t="e">
        <f t="shared" si="64"/>
        <v>#N/A</v>
      </c>
      <c r="F303">
        <f t="shared" si="65"/>
        <v>0</v>
      </c>
      <c r="G303">
        <f t="shared" si="66"/>
        <v>0</v>
      </c>
      <c r="H303">
        <f t="shared" si="67"/>
        <v>0</v>
      </c>
      <c r="I303">
        <f t="shared" si="68"/>
        <v>0</v>
      </c>
      <c r="J303">
        <f t="shared" si="69"/>
        <v>0</v>
      </c>
      <c r="K303" s="4" t="e">
        <f t="shared" si="72"/>
        <v>#N/A</v>
      </c>
      <c r="L303" t="e">
        <f t="shared" si="73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60"/>
        <v>0</v>
      </c>
      <c r="B304">
        <f t="shared" si="61"/>
        <v>0</v>
      </c>
      <c r="C304">
        <f t="shared" si="62"/>
        <v>0</v>
      </c>
      <c r="D304">
        <f t="shared" si="63"/>
        <v>0</v>
      </c>
      <c r="E304" t="e">
        <f t="shared" si="64"/>
        <v>#N/A</v>
      </c>
      <c r="F304">
        <f t="shared" si="65"/>
        <v>0</v>
      </c>
      <c r="G304">
        <f t="shared" si="66"/>
        <v>0</v>
      </c>
      <c r="H304">
        <f t="shared" si="67"/>
        <v>0</v>
      </c>
      <c r="I304">
        <f t="shared" si="68"/>
        <v>0</v>
      </c>
      <c r="J304">
        <f t="shared" si="69"/>
        <v>0</v>
      </c>
      <c r="K304" s="4" t="e">
        <f t="shared" si="72"/>
        <v>#N/A</v>
      </c>
      <c r="L304" t="e">
        <f t="shared" si="73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60"/>
        <v>0</v>
      </c>
      <c r="B305">
        <f t="shared" si="61"/>
        <v>0</v>
      </c>
      <c r="C305">
        <f t="shared" si="62"/>
        <v>0</v>
      </c>
      <c r="D305">
        <f t="shared" si="63"/>
        <v>0</v>
      </c>
      <c r="E305" t="e">
        <f t="shared" si="64"/>
        <v>#N/A</v>
      </c>
      <c r="F305">
        <f t="shared" si="65"/>
        <v>0</v>
      </c>
      <c r="G305">
        <f t="shared" si="66"/>
        <v>0</v>
      </c>
      <c r="H305">
        <f t="shared" si="67"/>
        <v>0</v>
      </c>
      <c r="I305">
        <f t="shared" si="68"/>
        <v>0</v>
      </c>
      <c r="J305">
        <f t="shared" si="69"/>
        <v>0</v>
      </c>
      <c r="K305" s="4" t="e">
        <f t="shared" si="72"/>
        <v>#N/A</v>
      </c>
      <c r="L305" t="e">
        <f t="shared" si="73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60"/>
        <v>0</v>
      </c>
      <c r="B306">
        <f t="shared" si="61"/>
        <v>0</v>
      </c>
      <c r="C306">
        <f t="shared" si="62"/>
        <v>0</v>
      </c>
      <c r="D306">
        <f t="shared" si="63"/>
        <v>0</v>
      </c>
      <c r="E306" t="e">
        <f t="shared" si="64"/>
        <v>#N/A</v>
      </c>
      <c r="F306">
        <f t="shared" si="65"/>
        <v>0</v>
      </c>
      <c r="G306">
        <f t="shared" si="66"/>
        <v>0</v>
      </c>
      <c r="H306">
        <f t="shared" si="67"/>
        <v>0</v>
      </c>
      <c r="I306">
        <f t="shared" si="68"/>
        <v>0</v>
      </c>
      <c r="J306">
        <f t="shared" si="69"/>
        <v>0</v>
      </c>
      <c r="K306" s="4" t="e">
        <f t="shared" si="72"/>
        <v>#N/A</v>
      </c>
      <c r="L306" t="e">
        <f t="shared" si="73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60"/>
        <v>0</v>
      </c>
      <c r="B307">
        <f t="shared" si="61"/>
        <v>0</v>
      </c>
      <c r="C307">
        <f t="shared" si="62"/>
        <v>0</v>
      </c>
      <c r="D307">
        <f t="shared" si="63"/>
        <v>0</v>
      </c>
      <c r="E307" t="e">
        <f t="shared" si="64"/>
        <v>#N/A</v>
      </c>
      <c r="F307">
        <f t="shared" si="65"/>
        <v>0</v>
      </c>
      <c r="G307">
        <f t="shared" si="66"/>
        <v>0</v>
      </c>
      <c r="H307">
        <f t="shared" si="67"/>
        <v>0</v>
      </c>
      <c r="I307">
        <f t="shared" si="68"/>
        <v>0</v>
      </c>
      <c r="J307">
        <f t="shared" si="69"/>
        <v>0</v>
      </c>
      <c r="K307" s="4" t="e">
        <f t="shared" si="72"/>
        <v>#N/A</v>
      </c>
      <c r="L307" t="e">
        <f t="shared" si="73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60"/>
        <v>0</v>
      </c>
      <c r="B308">
        <f t="shared" si="61"/>
        <v>0</v>
      </c>
      <c r="C308">
        <f t="shared" si="62"/>
        <v>0</v>
      </c>
      <c r="D308">
        <f t="shared" si="63"/>
        <v>0</v>
      </c>
      <c r="E308" t="e">
        <f t="shared" si="64"/>
        <v>#N/A</v>
      </c>
      <c r="F308">
        <f t="shared" si="65"/>
        <v>0</v>
      </c>
      <c r="G308">
        <f t="shared" si="66"/>
        <v>0</v>
      </c>
      <c r="H308">
        <f t="shared" si="67"/>
        <v>0</v>
      </c>
      <c r="I308">
        <f t="shared" si="68"/>
        <v>0</v>
      </c>
      <c r="J308">
        <f t="shared" si="69"/>
        <v>0</v>
      </c>
      <c r="K308" s="4" t="e">
        <f t="shared" si="72"/>
        <v>#N/A</v>
      </c>
      <c r="L308" t="e">
        <f t="shared" si="73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60"/>
        <v>0</v>
      </c>
      <c r="B309">
        <f t="shared" si="61"/>
        <v>0</v>
      </c>
      <c r="C309">
        <f t="shared" si="62"/>
        <v>0</v>
      </c>
      <c r="D309">
        <f t="shared" si="63"/>
        <v>0</v>
      </c>
      <c r="E309" t="e">
        <f t="shared" si="64"/>
        <v>#N/A</v>
      </c>
      <c r="F309">
        <f t="shared" si="65"/>
        <v>0</v>
      </c>
      <c r="G309">
        <f t="shared" si="66"/>
        <v>0</v>
      </c>
      <c r="H309">
        <f t="shared" si="67"/>
        <v>0</v>
      </c>
      <c r="I309">
        <f t="shared" si="68"/>
        <v>0</v>
      </c>
      <c r="J309">
        <f t="shared" si="69"/>
        <v>0</v>
      </c>
      <c r="K309" s="4" t="e">
        <f t="shared" si="72"/>
        <v>#N/A</v>
      </c>
      <c r="L309" t="e">
        <f t="shared" si="73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60"/>
        <v>0</v>
      </c>
      <c r="B310">
        <f t="shared" si="61"/>
        <v>0</v>
      </c>
      <c r="C310">
        <f t="shared" si="62"/>
        <v>0</v>
      </c>
      <c r="D310">
        <f t="shared" si="63"/>
        <v>0</v>
      </c>
      <c r="E310" t="e">
        <f t="shared" si="64"/>
        <v>#N/A</v>
      </c>
      <c r="F310">
        <f t="shared" si="65"/>
        <v>0</v>
      </c>
      <c r="G310">
        <f t="shared" si="66"/>
        <v>0</v>
      </c>
      <c r="H310">
        <f t="shared" si="67"/>
        <v>0</v>
      </c>
      <c r="I310">
        <f t="shared" si="68"/>
        <v>0</v>
      </c>
      <c r="J310">
        <f t="shared" si="69"/>
        <v>0</v>
      </c>
      <c r="K310" s="4" t="e">
        <f t="shared" si="72"/>
        <v>#N/A</v>
      </c>
      <c r="L310" t="e">
        <f t="shared" si="73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60"/>
        <v>0</v>
      </c>
      <c r="B311">
        <f t="shared" si="61"/>
        <v>0</v>
      </c>
      <c r="C311">
        <f t="shared" si="62"/>
        <v>0</v>
      </c>
      <c r="D311">
        <f t="shared" si="63"/>
        <v>0</v>
      </c>
      <c r="E311" t="e">
        <f t="shared" si="64"/>
        <v>#N/A</v>
      </c>
      <c r="F311">
        <f t="shared" si="65"/>
        <v>0</v>
      </c>
      <c r="G311">
        <f t="shared" si="66"/>
        <v>0</v>
      </c>
      <c r="H311">
        <f t="shared" si="67"/>
        <v>0</v>
      </c>
      <c r="I311">
        <f t="shared" si="68"/>
        <v>0</v>
      </c>
      <c r="J311">
        <f t="shared" si="69"/>
        <v>0</v>
      </c>
      <c r="K311" s="4" t="e">
        <f t="shared" si="72"/>
        <v>#N/A</v>
      </c>
      <c r="L311" t="e">
        <f t="shared" si="73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60"/>
        <v>0</v>
      </c>
      <c r="B312">
        <f t="shared" si="61"/>
        <v>0</v>
      </c>
      <c r="C312">
        <f t="shared" si="62"/>
        <v>0</v>
      </c>
      <c r="D312">
        <f t="shared" si="63"/>
        <v>0</v>
      </c>
      <c r="E312" t="e">
        <f t="shared" si="64"/>
        <v>#N/A</v>
      </c>
      <c r="F312">
        <f t="shared" si="65"/>
        <v>0</v>
      </c>
      <c r="G312">
        <f t="shared" si="66"/>
        <v>0</v>
      </c>
      <c r="H312">
        <f t="shared" si="67"/>
        <v>0</v>
      </c>
      <c r="I312">
        <f t="shared" si="68"/>
        <v>0</v>
      </c>
      <c r="J312">
        <f t="shared" si="69"/>
        <v>0</v>
      </c>
      <c r="K312" s="4" t="e">
        <f t="shared" si="72"/>
        <v>#N/A</v>
      </c>
      <c r="L312" t="e">
        <f t="shared" si="73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60"/>
        <v>0</v>
      </c>
      <c r="B313">
        <f t="shared" si="61"/>
        <v>0</v>
      </c>
      <c r="C313">
        <f t="shared" si="62"/>
        <v>0</v>
      </c>
      <c r="D313">
        <f t="shared" si="63"/>
        <v>0</v>
      </c>
      <c r="E313" t="e">
        <f t="shared" si="64"/>
        <v>#N/A</v>
      </c>
      <c r="F313">
        <f t="shared" si="65"/>
        <v>0</v>
      </c>
      <c r="G313">
        <f t="shared" si="66"/>
        <v>0</v>
      </c>
      <c r="H313">
        <f t="shared" si="67"/>
        <v>0</v>
      </c>
      <c r="I313">
        <f t="shared" si="68"/>
        <v>0</v>
      </c>
      <c r="J313">
        <f t="shared" si="69"/>
        <v>0</v>
      </c>
      <c r="K313" s="4" t="e">
        <f t="shared" si="72"/>
        <v>#N/A</v>
      </c>
      <c r="L313" t="e">
        <f t="shared" si="73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60"/>
        <v>0</v>
      </c>
      <c r="B314">
        <f t="shared" si="61"/>
        <v>0</v>
      </c>
      <c r="C314">
        <f t="shared" si="62"/>
        <v>0</v>
      </c>
      <c r="D314">
        <f t="shared" si="63"/>
        <v>0</v>
      </c>
      <c r="E314" t="e">
        <f t="shared" si="64"/>
        <v>#N/A</v>
      </c>
      <c r="F314">
        <f t="shared" si="65"/>
        <v>0</v>
      </c>
      <c r="G314">
        <f t="shared" si="66"/>
        <v>0</v>
      </c>
      <c r="H314">
        <f t="shared" si="67"/>
        <v>0</v>
      </c>
      <c r="I314">
        <f t="shared" si="68"/>
        <v>0</v>
      </c>
      <c r="J314">
        <f t="shared" si="69"/>
        <v>0</v>
      </c>
      <c r="K314" s="4" t="e">
        <f t="shared" si="72"/>
        <v>#N/A</v>
      </c>
      <c r="L314" t="e">
        <f t="shared" si="73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60"/>
        <v>0</v>
      </c>
      <c r="B315">
        <f t="shared" si="61"/>
        <v>0</v>
      </c>
      <c r="C315">
        <f t="shared" si="62"/>
        <v>0</v>
      </c>
      <c r="D315">
        <f t="shared" si="63"/>
        <v>0</v>
      </c>
      <c r="E315" t="e">
        <f t="shared" si="64"/>
        <v>#N/A</v>
      </c>
      <c r="F315">
        <f t="shared" si="65"/>
        <v>0</v>
      </c>
      <c r="G315">
        <f t="shared" si="66"/>
        <v>0</v>
      </c>
      <c r="H315">
        <f t="shared" si="67"/>
        <v>0</v>
      </c>
      <c r="I315">
        <f t="shared" si="68"/>
        <v>0</v>
      </c>
      <c r="J315">
        <f t="shared" si="69"/>
        <v>0</v>
      </c>
      <c r="K315" s="4" t="e">
        <f t="shared" si="72"/>
        <v>#N/A</v>
      </c>
      <c r="L315" t="e">
        <f t="shared" si="73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60"/>
        <v>0</v>
      </c>
      <c r="B316">
        <f t="shared" si="61"/>
        <v>0</v>
      </c>
      <c r="C316">
        <f t="shared" si="62"/>
        <v>0</v>
      </c>
      <c r="D316">
        <f t="shared" si="63"/>
        <v>0</v>
      </c>
      <c r="E316" t="e">
        <f t="shared" si="64"/>
        <v>#N/A</v>
      </c>
      <c r="F316">
        <f t="shared" si="65"/>
        <v>0</v>
      </c>
      <c r="G316">
        <f t="shared" si="66"/>
        <v>0</v>
      </c>
      <c r="H316">
        <f t="shared" si="67"/>
        <v>0</v>
      </c>
      <c r="I316">
        <f t="shared" si="68"/>
        <v>0</v>
      </c>
      <c r="J316">
        <f t="shared" si="69"/>
        <v>0</v>
      </c>
      <c r="K316" s="4" t="e">
        <f t="shared" si="72"/>
        <v>#N/A</v>
      </c>
      <c r="L316" t="e">
        <f t="shared" si="73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60"/>
        <v>0</v>
      </c>
      <c r="B317">
        <f t="shared" si="61"/>
        <v>0</v>
      </c>
      <c r="C317">
        <f t="shared" si="62"/>
        <v>0</v>
      </c>
      <c r="D317">
        <f t="shared" si="63"/>
        <v>0</v>
      </c>
      <c r="E317" t="e">
        <f t="shared" si="64"/>
        <v>#N/A</v>
      </c>
      <c r="F317">
        <f t="shared" si="65"/>
        <v>0</v>
      </c>
      <c r="G317">
        <f t="shared" si="66"/>
        <v>0</v>
      </c>
      <c r="H317">
        <f t="shared" si="67"/>
        <v>0</v>
      </c>
      <c r="I317">
        <f t="shared" si="68"/>
        <v>0</v>
      </c>
      <c r="J317">
        <f t="shared" si="69"/>
        <v>0</v>
      </c>
      <c r="K317" s="4" t="e">
        <f t="shared" si="72"/>
        <v>#N/A</v>
      </c>
      <c r="L317" t="e">
        <f t="shared" si="73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60"/>
        <v>0</v>
      </c>
      <c r="B318">
        <f t="shared" si="61"/>
        <v>0</v>
      </c>
      <c r="C318">
        <f t="shared" si="62"/>
        <v>0</v>
      </c>
      <c r="D318">
        <f t="shared" si="63"/>
        <v>0</v>
      </c>
      <c r="E318" t="e">
        <f t="shared" si="64"/>
        <v>#N/A</v>
      </c>
      <c r="F318">
        <f t="shared" si="65"/>
        <v>0</v>
      </c>
      <c r="G318">
        <f t="shared" si="66"/>
        <v>0</v>
      </c>
      <c r="H318">
        <f t="shared" si="67"/>
        <v>0</v>
      </c>
      <c r="I318">
        <f t="shared" si="68"/>
        <v>0</v>
      </c>
      <c r="J318">
        <f t="shared" si="69"/>
        <v>0</v>
      </c>
      <c r="K318" s="4" t="e">
        <f t="shared" si="72"/>
        <v>#N/A</v>
      </c>
      <c r="L318" t="e">
        <f t="shared" si="73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60"/>
        <v>0</v>
      </c>
      <c r="B319">
        <f t="shared" si="61"/>
        <v>0</v>
      </c>
      <c r="C319">
        <f t="shared" si="62"/>
        <v>0</v>
      </c>
      <c r="D319">
        <f t="shared" si="63"/>
        <v>0</v>
      </c>
      <c r="E319" t="e">
        <f t="shared" si="64"/>
        <v>#N/A</v>
      </c>
      <c r="F319">
        <f t="shared" si="65"/>
        <v>0</v>
      </c>
      <c r="G319">
        <f t="shared" si="66"/>
        <v>0</v>
      </c>
      <c r="H319">
        <f t="shared" si="67"/>
        <v>0</v>
      </c>
      <c r="I319">
        <f t="shared" si="68"/>
        <v>0</v>
      </c>
      <c r="J319">
        <f t="shared" si="69"/>
        <v>0</v>
      </c>
      <c r="K319" s="4" t="e">
        <f t="shared" si="72"/>
        <v>#N/A</v>
      </c>
      <c r="L319" t="e">
        <f t="shared" si="73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60"/>
        <v>0</v>
      </c>
      <c r="B320">
        <f t="shared" si="61"/>
        <v>0</v>
      </c>
      <c r="C320">
        <f t="shared" si="62"/>
        <v>0</v>
      </c>
      <c r="D320">
        <f t="shared" si="63"/>
        <v>0</v>
      </c>
      <c r="E320" t="e">
        <f t="shared" si="64"/>
        <v>#N/A</v>
      </c>
      <c r="F320">
        <f t="shared" si="65"/>
        <v>0</v>
      </c>
      <c r="G320">
        <f t="shared" si="66"/>
        <v>0</v>
      </c>
      <c r="H320">
        <f t="shared" si="67"/>
        <v>0</v>
      </c>
      <c r="I320">
        <f t="shared" si="68"/>
        <v>0</v>
      </c>
      <c r="J320">
        <f t="shared" si="69"/>
        <v>0</v>
      </c>
      <c r="K320" s="4" t="e">
        <f t="shared" si="72"/>
        <v>#N/A</v>
      </c>
      <c r="L320" t="e">
        <f t="shared" si="73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60"/>
        <v>0</v>
      </c>
      <c r="B321">
        <f t="shared" si="61"/>
        <v>0</v>
      </c>
      <c r="C321">
        <f t="shared" si="62"/>
        <v>0</v>
      </c>
      <c r="D321">
        <f t="shared" si="63"/>
        <v>0</v>
      </c>
      <c r="E321" t="e">
        <f t="shared" si="64"/>
        <v>#N/A</v>
      </c>
      <c r="F321">
        <f t="shared" si="65"/>
        <v>0</v>
      </c>
      <c r="G321">
        <f t="shared" si="66"/>
        <v>0</v>
      </c>
      <c r="H321">
        <f t="shared" si="67"/>
        <v>0</v>
      </c>
      <c r="I321">
        <f t="shared" si="68"/>
        <v>0</v>
      </c>
      <c r="J321">
        <f t="shared" si="69"/>
        <v>0</v>
      </c>
      <c r="K321" s="4" t="e">
        <f t="shared" si="72"/>
        <v>#N/A</v>
      </c>
      <c r="L321" t="e">
        <f t="shared" si="73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4">bd_campaign</f>
        <v>0</v>
      </c>
      <c r="B322">
        <f t="shared" ref="B322:B385" si="75">bd_site</f>
        <v>0</v>
      </c>
      <c r="C322">
        <f t="shared" ref="C322:C385" si="76">bd_placement</f>
        <v>0</v>
      </c>
      <c r="D322">
        <f t="shared" ref="D322:D385" si="77">bd_placementID</f>
        <v>0</v>
      </c>
      <c r="E322" t="e">
        <f t="shared" ref="E322:E385" si="78">VLOOKUP(CONCATENATE(bd_adtype,"_",bd_creativetype),tabela,2,FALSE)</f>
        <v>#N/A</v>
      </c>
      <c r="F322">
        <f t="shared" ref="F322:F385" si="79">bd_ad</f>
        <v>0</v>
      </c>
      <c r="G322">
        <f t="shared" ref="G322:G385" si="80">bd_adid</f>
        <v>0</v>
      </c>
      <c r="H322">
        <f t="shared" ref="H322:H385" si="81">bd_creativetype</f>
        <v>0</v>
      </c>
      <c r="I322">
        <f t="shared" ref="I322:I385" si="82">bd_impression</f>
        <v>0</v>
      </c>
      <c r="J322">
        <f t="shared" ref="J322:J385" si="83">bd_clicks</f>
        <v>0</v>
      </c>
      <c r="K322" s="4" t="e">
        <f t="shared" si="72"/>
        <v>#N/A</v>
      </c>
      <c r="L322" t="e">
        <f t="shared" si="73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4"/>
        <v>0</v>
      </c>
      <c r="B323">
        <f t="shared" si="75"/>
        <v>0</v>
      </c>
      <c r="C323">
        <f t="shared" si="76"/>
        <v>0</v>
      </c>
      <c r="D323">
        <f t="shared" si="77"/>
        <v>0</v>
      </c>
      <c r="E323" t="e">
        <f t="shared" si="78"/>
        <v>#N/A</v>
      </c>
      <c r="F323">
        <f t="shared" si="79"/>
        <v>0</v>
      </c>
      <c r="G323">
        <f t="shared" si="80"/>
        <v>0</v>
      </c>
      <c r="H323">
        <f t="shared" si="81"/>
        <v>0</v>
      </c>
      <c r="I323">
        <f t="shared" si="82"/>
        <v>0</v>
      </c>
      <c r="J323">
        <f t="shared" si="83"/>
        <v>0</v>
      </c>
      <c r="K323" s="4" t="e">
        <f t="shared" si="72"/>
        <v>#N/A</v>
      </c>
      <c r="L323" t="e">
        <f t="shared" si="73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4"/>
        <v>0</v>
      </c>
      <c r="B324">
        <f t="shared" si="75"/>
        <v>0</v>
      </c>
      <c r="C324">
        <f t="shared" si="76"/>
        <v>0</v>
      </c>
      <c r="D324">
        <f t="shared" si="77"/>
        <v>0</v>
      </c>
      <c r="E324" t="e">
        <f t="shared" si="78"/>
        <v>#N/A</v>
      </c>
      <c r="F324">
        <f t="shared" si="79"/>
        <v>0</v>
      </c>
      <c r="G324">
        <f t="shared" si="80"/>
        <v>0</v>
      </c>
      <c r="H324">
        <f t="shared" si="81"/>
        <v>0</v>
      </c>
      <c r="I324">
        <f t="shared" si="82"/>
        <v>0</v>
      </c>
      <c r="J324">
        <f t="shared" si="83"/>
        <v>0</v>
      </c>
      <c r="K324" s="4" t="e">
        <f t="shared" si="72"/>
        <v>#N/A</v>
      </c>
      <c r="L324" t="e">
        <f t="shared" si="73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4"/>
        <v>0</v>
      </c>
      <c r="B325">
        <f t="shared" si="75"/>
        <v>0</v>
      </c>
      <c r="C325">
        <f t="shared" si="76"/>
        <v>0</v>
      </c>
      <c r="D325">
        <f t="shared" si="77"/>
        <v>0</v>
      </c>
      <c r="E325" t="e">
        <f t="shared" si="78"/>
        <v>#N/A</v>
      </c>
      <c r="F325">
        <f t="shared" si="79"/>
        <v>0</v>
      </c>
      <c r="G325">
        <f t="shared" si="80"/>
        <v>0</v>
      </c>
      <c r="H325">
        <f t="shared" si="81"/>
        <v>0</v>
      </c>
      <c r="I325">
        <f t="shared" si="82"/>
        <v>0</v>
      </c>
      <c r="J325">
        <f t="shared" si="83"/>
        <v>0</v>
      </c>
      <c r="K325" s="4" t="e">
        <f t="shared" si="72"/>
        <v>#N/A</v>
      </c>
      <c r="L325" t="e">
        <f t="shared" si="73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4"/>
        <v>0</v>
      </c>
      <c r="B326">
        <f t="shared" si="75"/>
        <v>0</v>
      </c>
      <c r="C326">
        <f t="shared" si="76"/>
        <v>0</v>
      </c>
      <c r="D326">
        <f t="shared" si="77"/>
        <v>0</v>
      </c>
      <c r="E326" t="e">
        <f t="shared" si="78"/>
        <v>#N/A</v>
      </c>
      <c r="F326">
        <f t="shared" si="79"/>
        <v>0</v>
      </c>
      <c r="G326">
        <f t="shared" si="80"/>
        <v>0</v>
      </c>
      <c r="H326">
        <f t="shared" si="81"/>
        <v>0</v>
      </c>
      <c r="I326">
        <f t="shared" si="82"/>
        <v>0</v>
      </c>
      <c r="J326">
        <f t="shared" si="83"/>
        <v>0</v>
      </c>
      <c r="K326" s="4" t="e">
        <f t="shared" si="72"/>
        <v>#N/A</v>
      </c>
      <c r="L326" t="e">
        <f t="shared" si="73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4"/>
        <v>0</v>
      </c>
      <c r="B327">
        <f t="shared" si="75"/>
        <v>0</v>
      </c>
      <c r="C327">
        <f t="shared" si="76"/>
        <v>0</v>
      </c>
      <c r="D327">
        <f t="shared" si="77"/>
        <v>0</v>
      </c>
      <c r="E327" t="e">
        <f t="shared" si="78"/>
        <v>#N/A</v>
      </c>
      <c r="F327">
        <f t="shared" si="79"/>
        <v>0</v>
      </c>
      <c r="G327">
        <f t="shared" si="80"/>
        <v>0</v>
      </c>
      <c r="H327">
        <f t="shared" si="81"/>
        <v>0</v>
      </c>
      <c r="I327">
        <f t="shared" si="82"/>
        <v>0</v>
      </c>
      <c r="J327">
        <f t="shared" si="83"/>
        <v>0</v>
      </c>
      <c r="K327" s="4" t="e">
        <f t="shared" si="72"/>
        <v>#N/A</v>
      </c>
      <c r="L327" t="e">
        <f t="shared" si="73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4"/>
        <v>0</v>
      </c>
      <c r="B328">
        <f t="shared" si="75"/>
        <v>0</v>
      </c>
      <c r="C328">
        <f t="shared" si="76"/>
        <v>0</v>
      </c>
      <c r="D328">
        <f t="shared" si="77"/>
        <v>0</v>
      </c>
      <c r="E328" t="e">
        <f t="shared" si="78"/>
        <v>#N/A</v>
      </c>
      <c r="F328">
        <f t="shared" si="79"/>
        <v>0</v>
      </c>
      <c r="G328">
        <f t="shared" si="80"/>
        <v>0</v>
      </c>
      <c r="H328">
        <f t="shared" si="81"/>
        <v>0</v>
      </c>
      <c r="I328">
        <f t="shared" si="82"/>
        <v>0</v>
      </c>
      <c r="J328">
        <f t="shared" si="83"/>
        <v>0</v>
      </c>
      <c r="K328" s="4" t="e">
        <f t="shared" si="72"/>
        <v>#N/A</v>
      </c>
      <c r="L328" t="e">
        <f t="shared" si="73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4"/>
        <v>0</v>
      </c>
      <c r="B329">
        <f t="shared" si="75"/>
        <v>0</v>
      </c>
      <c r="C329">
        <f t="shared" si="76"/>
        <v>0</v>
      </c>
      <c r="D329">
        <f t="shared" si="77"/>
        <v>0</v>
      </c>
      <c r="E329" t="e">
        <f t="shared" si="78"/>
        <v>#N/A</v>
      </c>
      <c r="F329">
        <f t="shared" si="79"/>
        <v>0</v>
      </c>
      <c r="G329">
        <f t="shared" si="80"/>
        <v>0</v>
      </c>
      <c r="H329">
        <f t="shared" si="81"/>
        <v>0</v>
      </c>
      <c r="I329">
        <f t="shared" si="82"/>
        <v>0</v>
      </c>
      <c r="J329">
        <f t="shared" si="83"/>
        <v>0</v>
      </c>
      <c r="K329" s="4" t="e">
        <f t="shared" si="72"/>
        <v>#N/A</v>
      </c>
      <c r="L329" t="e">
        <f t="shared" si="73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4"/>
        <v>0</v>
      </c>
      <c r="B330">
        <f t="shared" si="75"/>
        <v>0</v>
      </c>
      <c r="C330">
        <f t="shared" si="76"/>
        <v>0</v>
      </c>
      <c r="D330">
        <f t="shared" si="77"/>
        <v>0</v>
      </c>
      <c r="E330" t="e">
        <f t="shared" si="78"/>
        <v>#N/A</v>
      </c>
      <c r="F330">
        <f t="shared" si="79"/>
        <v>0</v>
      </c>
      <c r="G330">
        <f t="shared" si="80"/>
        <v>0</v>
      </c>
      <c r="H330">
        <f t="shared" si="81"/>
        <v>0</v>
      </c>
      <c r="I330">
        <f t="shared" si="82"/>
        <v>0</v>
      </c>
      <c r="J330">
        <f t="shared" si="83"/>
        <v>0</v>
      </c>
      <c r="K330" s="4" t="e">
        <f t="shared" si="72"/>
        <v>#N/A</v>
      </c>
      <c r="L330" t="e">
        <f t="shared" si="73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4"/>
        <v>0</v>
      </c>
      <c r="B331">
        <f t="shared" si="75"/>
        <v>0</v>
      </c>
      <c r="C331">
        <f t="shared" si="76"/>
        <v>0</v>
      </c>
      <c r="D331">
        <f t="shared" si="77"/>
        <v>0</v>
      </c>
      <c r="E331" t="e">
        <f t="shared" si="78"/>
        <v>#N/A</v>
      </c>
      <c r="F331">
        <f t="shared" si="79"/>
        <v>0</v>
      </c>
      <c r="G331">
        <f t="shared" si="80"/>
        <v>0</v>
      </c>
      <c r="H331">
        <f t="shared" si="81"/>
        <v>0</v>
      </c>
      <c r="I331">
        <f t="shared" si="82"/>
        <v>0</v>
      </c>
      <c r="J331">
        <f t="shared" si="83"/>
        <v>0</v>
      </c>
      <c r="K331" s="4" t="e">
        <f t="shared" si="72"/>
        <v>#N/A</v>
      </c>
      <c r="L331" t="e">
        <f t="shared" si="73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4"/>
        <v>0</v>
      </c>
      <c r="B332">
        <f t="shared" si="75"/>
        <v>0</v>
      </c>
      <c r="C332">
        <f t="shared" si="76"/>
        <v>0</v>
      </c>
      <c r="D332">
        <f t="shared" si="77"/>
        <v>0</v>
      </c>
      <c r="E332" t="e">
        <f t="shared" si="78"/>
        <v>#N/A</v>
      </c>
      <c r="F332">
        <f t="shared" si="79"/>
        <v>0</v>
      </c>
      <c r="G332">
        <f t="shared" si="80"/>
        <v>0</v>
      </c>
      <c r="H332">
        <f t="shared" si="81"/>
        <v>0</v>
      </c>
      <c r="I332">
        <f t="shared" si="82"/>
        <v>0</v>
      </c>
      <c r="J332">
        <f t="shared" si="83"/>
        <v>0</v>
      </c>
      <c r="K332" s="4" t="e">
        <f t="shared" si="72"/>
        <v>#N/A</v>
      </c>
      <c r="L332" t="e">
        <f t="shared" si="73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4"/>
        <v>0</v>
      </c>
      <c r="B333">
        <f t="shared" si="75"/>
        <v>0</v>
      </c>
      <c r="C333">
        <f t="shared" si="76"/>
        <v>0</v>
      </c>
      <c r="D333">
        <f t="shared" si="77"/>
        <v>0</v>
      </c>
      <c r="E333" t="e">
        <f t="shared" si="78"/>
        <v>#N/A</v>
      </c>
      <c r="F333">
        <f t="shared" si="79"/>
        <v>0</v>
      </c>
      <c r="G333">
        <f t="shared" si="80"/>
        <v>0</v>
      </c>
      <c r="H333">
        <f t="shared" si="81"/>
        <v>0</v>
      </c>
      <c r="I333">
        <f t="shared" si="82"/>
        <v>0</v>
      </c>
      <c r="J333">
        <f t="shared" si="83"/>
        <v>0</v>
      </c>
      <c r="K333" s="4" t="e">
        <f t="shared" si="72"/>
        <v>#N/A</v>
      </c>
      <c r="L333" t="e">
        <f t="shared" si="73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4"/>
        <v>0</v>
      </c>
      <c r="B334">
        <f t="shared" si="75"/>
        <v>0</v>
      </c>
      <c r="C334">
        <f t="shared" si="76"/>
        <v>0</v>
      </c>
      <c r="D334">
        <f t="shared" si="77"/>
        <v>0</v>
      </c>
      <c r="E334" t="e">
        <f t="shared" si="78"/>
        <v>#N/A</v>
      </c>
      <c r="F334">
        <f t="shared" si="79"/>
        <v>0</v>
      </c>
      <c r="G334">
        <f t="shared" si="80"/>
        <v>0</v>
      </c>
      <c r="H334">
        <f t="shared" si="81"/>
        <v>0</v>
      </c>
      <c r="I334">
        <f t="shared" si="82"/>
        <v>0</v>
      </c>
      <c r="J334">
        <f t="shared" si="83"/>
        <v>0</v>
      </c>
      <c r="K334" s="4" t="e">
        <f t="shared" si="72"/>
        <v>#N/A</v>
      </c>
      <c r="L334" t="e">
        <f t="shared" si="73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4"/>
        <v>0</v>
      </c>
      <c r="B335">
        <f t="shared" si="75"/>
        <v>0</v>
      </c>
      <c r="C335">
        <f t="shared" si="76"/>
        <v>0</v>
      </c>
      <c r="D335">
        <f t="shared" si="77"/>
        <v>0</v>
      </c>
      <c r="E335" t="e">
        <f t="shared" si="78"/>
        <v>#N/A</v>
      </c>
      <c r="F335">
        <f t="shared" si="79"/>
        <v>0</v>
      </c>
      <c r="G335">
        <f t="shared" si="80"/>
        <v>0</v>
      </c>
      <c r="H335">
        <f t="shared" si="81"/>
        <v>0</v>
      </c>
      <c r="I335">
        <f t="shared" si="82"/>
        <v>0</v>
      </c>
      <c r="J335">
        <f t="shared" si="83"/>
        <v>0</v>
      </c>
      <c r="K335" s="4" t="e">
        <f t="shared" si="72"/>
        <v>#N/A</v>
      </c>
      <c r="L335" t="e">
        <f t="shared" si="73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4"/>
        <v>0</v>
      </c>
      <c r="B336">
        <f t="shared" si="75"/>
        <v>0</v>
      </c>
      <c r="C336">
        <f t="shared" si="76"/>
        <v>0</v>
      </c>
      <c r="D336">
        <f t="shared" si="77"/>
        <v>0</v>
      </c>
      <c r="E336" t="e">
        <f t="shared" si="78"/>
        <v>#N/A</v>
      </c>
      <c r="F336">
        <f t="shared" si="79"/>
        <v>0</v>
      </c>
      <c r="G336">
        <f t="shared" si="80"/>
        <v>0</v>
      </c>
      <c r="H336">
        <f t="shared" si="81"/>
        <v>0</v>
      </c>
      <c r="I336">
        <f t="shared" si="82"/>
        <v>0</v>
      </c>
      <c r="J336">
        <f t="shared" si="83"/>
        <v>0</v>
      </c>
      <c r="K336" s="4" t="e">
        <f t="shared" si="72"/>
        <v>#N/A</v>
      </c>
      <c r="L336" t="e">
        <f t="shared" si="73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4"/>
        <v>0</v>
      </c>
      <c r="B337">
        <f t="shared" si="75"/>
        <v>0</v>
      </c>
      <c r="C337">
        <f t="shared" si="76"/>
        <v>0</v>
      </c>
      <c r="D337">
        <f t="shared" si="77"/>
        <v>0</v>
      </c>
      <c r="E337" t="e">
        <f t="shared" si="78"/>
        <v>#N/A</v>
      </c>
      <c r="F337">
        <f t="shared" si="79"/>
        <v>0</v>
      </c>
      <c r="G337">
        <f t="shared" si="80"/>
        <v>0</v>
      </c>
      <c r="H337">
        <f t="shared" si="81"/>
        <v>0</v>
      </c>
      <c r="I337">
        <f t="shared" si="82"/>
        <v>0</v>
      </c>
      <c r="J337">
        <f t="shared" si="83"/>
        <v>0</v>
      </c>
      <c r="K337" s="4" t="e">
        <f t="shared" si="72"/>
        <v>#N/A</v>
      </c>
      <c r="L337" t="e">
        <f t="shared" si="73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4"/>
        <v>0</v>
      </c>
      <c r="B338">
        <f t="shared" si="75"/>
        <v>0</v>
      </c>
      <c r="C338">
        <f t="shared" si="76"/>
        <v>0</v>
      </c>
      <c r="D338">
        <f t="shared" si="77"/>
        <v>0</v>
      </c>
      <c r="E338" t="e">
        <f t="shared" si="78"/>
        <v>#N/A</v>
      </c>
      <c r="F338">
        <f t="shared" si="79"/>
        <v>0</v>
      </c>
      <c r="G338">
        <f t="shared" si="80"/>
        <v>0</v>
      </c>
      <c r="H338">
        <f t="shared" si="81"/>
        <v>0</v>
      </c>
      <c r="I338">
        <f t="shared" si="82"/>
        <v>0</v>
      </c>
      <c r="J338">
        <f t="shared" si="83"/>
        <v>0</v>
      </c>
      <c r="K338" s="4" t="e">
        <f t="shared" si="72"/>
        <v>#N/A</v>
      </c>
      <c r="L338" t="e">
        <f t="shared" si="73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4"/>
        <v>0</v>
      </c>
      <c r="B339">
        <f t="shared" si="75"/>
        <v>0</v>
      </c>
      <c r="C339">
        <f t="shared" si="76"/>
        <v>0</v>
      </c>
      <c r="D339">
        <f t="shared" si="77"/>
        <v>0</v>
      </c>
      <c r="E339" t="e">
        <f t="shared" si="78"/>
        <v>#N/A</v>
      </c>
      <c r="F339">
        <f t="shared" si="79"/>
        <v>0</v>
      </c>
      <c r="G339">
        <f t="shared" si="80"/>
        <v>0</v>
      </c>
      <c r="H339">
        <f t="shared" si="81"/>
        <v>0</v>
      </c>
      <c r="I339">
        <f t="shared" si="82"/>
        <v>0</v>
      </c>
      <c r="J339">
        <f t="shared" si="83"/>
        <v>0</v>
      </c>
      <c r="K339" s="4" t="e">
        <f t="shared" si="72"/>
        <v>#N/A</v>
      </c>
      <c r="L339" t="e">
        <f t="shared" si="73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4"/>
        <v>0</v>
      </c>
      <c r="B340">
        <f t="shared" si="75"/>
        <v>0</v>
      </c>
      <c r="C340">
        <f t="shared" si="76"/>
        <v>0</v>
      </c>
      <c r="D340">
        <f t="shared" si="77"/>
        <v>0</v>
      </c>
      <c r="E340" t="e">
        <f t="shared" si="78"/>
        <v>#N/A</v>
      </c>
      <c r="F340">
        <f t="shared" si="79"/>
        <v>0</v>
      </c>
      <c r="G340">
        <f t="shared" si="80"/>
        <v>0</v>
      </c>
      <c r="H340">
        <f t="shared" si="81"/>
        <v>0</v>
      </c>
      <c r="I340">
        <f t="shared" si="82"/>
        <v>0</v>
      </c>
      <c r="J340">
        <f t="shared" si="83"/>
        <v>0</v>
      </c>
      <c r="K340" s="4" t="e">
        <f t="shared" si="72"/>
        <v>#N/A</v>
      </c>
      <c r="L340" t="e">
        <f t="shared" si="73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4"/>
        <v>0</v>
      </c>
      <c r="B341">
        <f t="shared" si="75"/>
        <v>0</v>
      </c>
      <c r="C341">
        <f t="shared" si="76"/>
        <v>0</v>
      </c>
      <c r="D341">
        <f t="shared" si="77"/>
        <v>0</v>
      </c>
      <c r="E341" t="e">
        <f t="shared" si="78"/>
        <v>#N/A</v>
      </c>
      <c r="F341">
        <f t="shared" si="79"/>
        <v>0</v>
      </c>
      <c r="G341">
        <f t="shared" si="80"/>
        <v>0</v>
      </c>
      <c r="H341">
        <f t="shared" si="81"/>
        <v>0</v>
      </c>
      <c r="I341">
        <f t="shared" si="82"/>
        <v>0</v>
      </c>
      <c r="J341">
        <f t="shared" si="83"/>
        <v>0</v>
      </c>
      <c r="K341" s="4" t="e">
        <f t="shared" si="72"/>
        <v>#N/A</v>
      </c>
      <c r="L341" t="e">
        <f t="shared" si="73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4"/>
        <v>0</v>
      </c>
      <c r="B342">
        <f t="shared" si="75"/>
        <v>0</v>
      </c>
      <c r="C342">
        <f t="shared" si="76"/>
        <v>0</v>
      </c>
      <c r="D342">
        <f t="shared" si="77"/>
        <v>0</v>
      </c>
      <c r="E342" t="e">
        <f t="shared" si="78"/>
        <v>#N/A</v>
      </c>
      <c r="F342">
        <f t="shared" si="79"/>
        <v>0</v>
      </c>
      <c r="G342">
        <f t="shared" si="80"/>
        <v>0</v>
      </c>
      <c r="H342">
        <f t="shared" si="81"/>
        <v>0</v>
      </c>
      <c r="I342">
        <f t="shared" si="82"/>
        <v>0</v>
      </c>
      <c r="J342">
        <f t="shared" si="83"/>
        <v>0</v>
      </c>
      <c r="K342" s="4" t="e">
        <f t="shared" si="72"/>
        <v>#N/A</v>
      </c>
      <c r="L342" t="e">
        <f t="shared" si="73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4"/>
        <v>0</v>
      </c>
      <c r="B343">
        <f t="shared" si="75"/>
        <v>0</v>
      </c>
      <c r="C343">
        <f t="shared" si="76"/>
        <v>0</v>
      </c>
      <c r="D343">
        <f t="shared" si="77"/>
        <v>0</v>
      </c>
      <c r="E343" t="e">
        <f t="shared" si="78"/>
        <v>#N/A</v>
      </c>
      <c r="F343">
        <f t="shared" si="79"/>
        <v>0</v>
      </c>
      <c r="G343">
        <f t="shared" si="80"/>
        <v>0</v>
      </c>
      <c r="H343">
        <f t="shared" si="81"/>
        <v>0</v>
      </c>
      <c r="I343">
        <f t="shared" si="82"/>
        <v>0</v>
      </c>
      <c r="J343">
        <f t="shared" si="83"/>
        <v>0</v>
      </c>
      <c r="K343" s="4" t="e">
        <f t="shared" si="72"/>
        <v>#N/A</v>
      </c>
      <c r="L343" t="e">
        <f t="shared" si="73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4"/>
        <v>0</v>
      </c>
      <c r="B344">
        <f t="shared" si="75"/>
        <v>0</v>
      </c>
      <c r="C344">
        <f t="shared" si="76"/>
        <v>0</v>
      </c>
      <c r="D344">
        <f t="shared" si="77"/>
        <v>0</v>
      </c>
      <c r="E344" t="e">
        <f t="shared" si="78"/>
        <v>#N/A</v>
      </c>
      <c r="F344">
        <f t="shared" si="79"/>
        <v>0</v>
      </c>
      <c r="G344">
        <f t="shared" si="80"/>
        <v>0</v>
      </c>
      <c r="H344">
        <f t="shared" si="81"/>
        <v>0</v>
      </c>
      <c r="I344">
        <f t="shared" si="82"/>
        <v>0</v>
      </c>
      <c r="J344">
        <f t="shared" si="83"/>
        <v>0</v>
      </c>
      <c r="K344" s="4" t="e">
        <f t="shared" si="72"/>
        <v>#N/A</v>
      </c>
      <c r="L344" t="e">
        <f t="shared" si="73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4"/>
        <v>0</v>
      </c>
      <c r="B345">
        <f t="shared" si="75"/>
        <v>0</v>
      </c>
      <c r="C345">
        <f t="shared" si="76"/>
        <v>0</v>
      </c>
      <c r="D345">
        <f t="shared" si="77"/>
        <v>0</v>
      </c>
      <c r="E345" t="e">
        <f t="shared" si="78"/>
        <v>#N/A</v>
      </c>
      <c r="F345">
        <f t="shared" si="79"/>
        <v>0</v>
      </c>
      <c r="G345">
        <f t="shared" si="80"/>
        <v>0</v>
      </c>
      <c r="H345">
        <f t="shared" si="81"/>
        <v>0</v>
      </c>
      <c r="I345">
        <f t="shared" si="82"/>
        <v>0</v>
      </c>
      <c r="J345">
        <f t="shared" si="83"/>
        <v>0</v>
      </c>
      <c r="K345" s="4" t="e">
        <f t="shared" si="72"/>
        <v>#N/A</v>
      </c>
      <c r="L345" t="e">
        <f t="shared" si="73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4"/>
        <v>0</v>
      </c>
      <c r="B346">
        <f t="shared" si="75"/>
        <v>0</v>
      </c>
      <c r="C346">
        <f t="shared" si="76"/>
        <v>0</v>
      </c>
      <c r="D346">
        <f t="shared" si="77"/>
        <v>0</v>
      </c>
      <c r="E346" t="e">
        <f t="shared" si="78"/>
        <v>#N/A</v>
      </c>
      <c r="F346">
        <f t="shared" si="79"/>
        <v>0</v>
      </c>
      <c r="G346">
        <f t="shared" si="80"/>
        <v>0</v>
      </c>
      <c r="H346">
        <f t="shared" si="81"/>
        <v>0</v>
      </c>
      <c r="I346">
        <f t="shared" si="82"/>
        <v>0</v>
      </c>
      <c r="J346">
        <f t="shared" si="83"/>
        <v>0</v>
      </c>
      <c r="K346" s="4" t="e">
        <f t="shared" si="72"/>
        <v>#N/A</v>
      </c>
      <c r="L346" t="e">
        <f t="shared" si="73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4"/>
        <v>0</v>
      </c>
      <c r="B347">
        <f t="shared" si="75"/>
        <v>0</v>
      </c>
      <c r="C347">
        <f t="shared" si="76"/>
        <v>0</v>
      </c>
      <c r="D347">
        <f t="shared" si="77"/>
        <v>0</v>
      </c>
      <c r="E347" t="e">
        <f t="shared" si="78"/>
        <v>#N/A</v>
      </c>
      <c r="F347">
        <f t="shared" si="79"/>
        <v>0</v>
      </c>
      <c r="G347">
        <f t="shared" si="80"/>
        <v>0</v>
      </c>
      <c r="H347">
        <f t="shared" si="81"/>
        <v>0</v>
      </c>
      <c r="I347">
        <f t="shared" si="82"/>
        <v>0</v>
      </c>
      <c r="J347">
        <f t="shared" si="83"/>
        <v>0</v>
      </c>
      <c r="K347" s="4" t="e">
        <f t="shared" si="72"/>
        <v>#N/A</v>
      </c>
      <c r="L347" t="e">
        <f t="shared" si="73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4"/>
        <v>0</v>
      </c>
      <c r="B348">
        <f t="shared" si="75"/>
        <v>0</v>
      </c>
      <c r="C348">
        <f t="shared" si="76"/>
        <v>0</v>
      </c>
      <c r="D348">
        <f t="shared" si="77"/>
        <v>0</v>
      </c>
      <c r="E348" t="e">
        <f t="shared" si="78"/>
        <v>#N/A</v>
      </c>
      <c r="F348">
        <f t="shared" si="79"/>
        <v>0</v>
      </c>
      <c r="G348">
        <f t="shared" si="80"/>
        <v>0</v>
      </c>
      <c r="H348">
        <f t="shared" si="81"/>
        <v>0</v>
      </c>
      <c r="I348">
        <f t="shared" si="82"/>
        <v>0</v>
      </c>
      <c r="J348">
        <f t="shared" si="83"/>
        <v>0</v>
      </c>
      <c r="K348" s="4" t="e">
        <f t="shared" si="72"/>
        <v>#N/A</v>
      </c>
      <c r="L348" t="e">
        <f t="shared" si="73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4"/>
        <v>0</v>
      </c>
      <c r="B349">
        <f t="shared" si="75"/>
        <v>0</v>
      </c>
      <c r="C349">
        <f t="shared" si="76"/>
        <v>0</v>
      </c>
      <c r="D349">
        <f t="shared" si="77"/>
        <v>0</v>
      </c>
      <c r="E349" t="e">
        <f t="shared" si="78"/>
        <v>#N/A</v>
      </c>
      <c r="F349">
        <f t="shared" si="79"/>
        <v>0</v>
      </c>
      <c r="G349">
        <f t="shared" si="80"/>
        <v>0</v>
      </c>
      <c r="H349">
        <f t="shared" si="81"/>
        <v>0</v>
      </c>
      <c r="I349">
        <f t="shared" si="82"/>
        <v>0</v>
      </c>
      <c r="J349">
        <f t="shared" si="83"/>
        <v>0</v>
      </c>
      <c r="K349" s="4" t="e">
        <f t="shared" si="72"/>
        <v>#N/A</v>
      </c>
      <c r="L349" t="e">
        <f t="shared" si="73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4"/>
        <v>0</v>
      </c>
      <c r="B350">
        <f t="shared" si="75"/>
        <v>0</v>
      </c>
      <c r="C350">
        <f t="shared" si="76"/>
        <v>0</v>
      </c>
      <c r="D350">
        <f t="shared" si="77"/>
        <v>0</v>
      </c>
      <c r="E350" t="e">
        <f t="shared" si="78"/>
        <v>#N/A</v>
      </c>
      <c r="F350">
        <f t="shared" si="79"/>
        <v>0</v>
      </c>
      <c r="G350">
        <f t="shared" si="80"/>
        <v>0</v>
      </c>
      <c r="H350">
        <f t="shared" si="81"/>
        <v>0</v>
      </c>
      <c r="I350">
        <f t="shared" si="82"/>
        <v>0</v>
      </c>
      <c r="J350">
        <f t="shared" si="83"/>
        <v>0</v>
      </c>
      <c r="K350" s="4" t="e">
        <f t="shared" si="72"/>
        <v>#N/A</v>
      </c>
      <c r="L350" t="e">
        <f t="shared" si="73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4"/>
        <v>0</v>
      </c>
      <c r="B351">
        <f t="shared" si="75"/>
        <v>0</v>
      </c>
      <c r="C351">
        <f t="shared" si="76"/>
        <v>0</v>
      </c>
      <c r="D351">
        <f t="shared" si="77"/>
        <v>0</v>
      </c>
      <c r="E351" t="e">
        <f t="shared" si="78"/>
        <v>#N/A</v>
      </c>
      <c r="F351">
        <f t="shared" si="79"/>
        <v>0</v>
      </c>
      <c r="G351">
        <f t="shared" si="80"/>
        <v>0</v>
      </c>
      <c r="H351">
        <f t="shared" si="81"/>
        <v>0</v>
      </c>
      <c r="I351">
        <f t="shared" si="82"/>
        <v>0</v>
      </c>
      <c r="J351">
        <f t="shared" si="83"/>
        <v>0</v>
      </c>
      <c r="K351" s="4" t="e">
        <f t="shared" si="72"/>
        <v>#N/A</v>
      </c>
      <c r="L351" t="e">
        <f t="shared" si="73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4"/>
        <v>0</v>
      </c>
      <c r="B352">
        <f t="shared" si="75"/>
        <v>0</v>
      </c>
      <c r="C352">
        <f t="shared" si="76"/>
        <v>0</v>
      </c>
      <c r="D352">
        <f t="shared" si="77"/>
        <v>0</v>
      </c>
      <c r="E352" t="e">
        <f t="shared" si="78"/>
        <v>#N/A</v>
      </c>
      <c r="F352">
        <f t="shared" si="79"/>
        <v>0</v>
      </c>
      <c r="G352">
        <f t="shared" si="80"/>
        <v>0</v>
      </c>
      <c r="H352">
        <f t="shared" si="81"/>
        <v>0</v>
      </c>
      <c r="I352">
        <f t="shared" si="82"/>
        <v>0</v>
      </c>
      <c r="J352">
        <f t="shared" si="83"/>
        <v>0</v>
      </c>
      <c r="K352" s="4" t="e">
        <f t="shared" si="72"/>
        <v>#N/A</v>
      </c>
      <c r="L352" t="e">
        <f t="shared" si="73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4"/>
        <v>0</v>
      </c>
      <c r="B353">
        <f t="shared" si="75"/>
        <v>0</v>
      </c>
      <c r="C353">
        <f t="shared" si="76"/>
        <v>0</v>
      </c>
      <c r="D353">
        <f t="shared" si="77"/>
        <v>0</v>
      </c>
      <c r="E353" t="e">
        <f t="shared" si="78"/>
        <v>#N/A</v>
      </c>
      <c r="F353">
        <f t="shared" si="79"/>
        <v>0</v>
      </c>
      <c r="G353">
        <f t="shared" si="80"/>
        <v>0</v>
      </c>
      <c r="H353">
        <f t="shared" si="81"/>
        <v>0</v>
      </c>
      <c r="I353">
        <f t="shared" si="82"/>
        <v>0</v>
      </c>
      <c r="J353">
        <f t="shared" si="83"/>
        <v>0</v>
      </c>
      <c r="K353" s="4" t="e">
        <f t="shared" si="72"/>
        <v>#N/A</v>
      </c>
      <c r="L353" t="e">
        <f t="shared" si="73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4"/>
        <v>0</v>
      </c>
      <c r="B354">
        <f t="shared" si="75"/>
        <v>0</v>
      </c>
      <c r="C354">
        <f t="shared" si="76"/>
        <v>0</v>
      </c>
      <c r="D354">
        <f t="shared" si="77"/>
        <v>0</v>
      </c>
      <c r="E354" t="e">
        <f t="shared" si="78"/>
        <v>#N/A</v>
      </c>
      <c r="F354">
        <f t="shared" si="79"/>
        <v>0</v>
      </c>
      <c r="G354">
        <f t="shared" si="80"/>
        <v>0</v>
      </c>
      <c r="H354">
        <f t="shared" si="81"/>
        <v>0</v>
      </c>
      <c r="I354">
        <f t="shared" si="82"/>
        <v>0</v>
      </c>
      <c r="J354">
        <f t="shared" si="83"/>
        <v>0</v>
      </c>
      <c r="K354" s="4" t="e">
        <f t="shared" si="72"/>
        <v>#N/A</v>
      </c>
      <c r="L354" t="e">
        <f t="shared" si="73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4"/>
        <v>0</v>
      </c>
      <c r="B355">
        <f t="shared" si="75"/>
        <v>0</v>
      </c>
      <c r="C355">
        <f t="shared" si="76"/>
        <v>0</v>
      </c>
      <c r="D355">
        <f t="shared" si="77"/>
        <v>0</v>
      </c>
      <c r="E355" t="e">
        <f t="shared" si="78"/>
        <v>#N/A</v>
      </c>
      <c r="F355">
        <f t="shared" si="79"/>
        <v>0</v>
      </c>
      <c r="G355">
        <f t="shared" si="80"/>
        <v>0</v>
      </c>
      <c r="H355">
        <f t="shared" si="81"/>
        <v>0</v>
      </c>
      <c r="I355">
        <f t="shared" si="82"/>
        <v>0</v>
      </c>
      <c r="J355">
        <f t="shared" si="83"/>
        <v>0</v>
      </c>
      <c r="K355" s="4" t="e">
        <f t="shared" si="72"/>
        <v>#N/A</v>
      </c>
      <c r="L355" t="e">
        <f t="shared" si="73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4"/>
        <v>0</v>
      </c>
      <c r="B356">
        <f t="shared" si="75"/>
        <v>0</v>
      </c>
      <c r="C356">
        <f t="shared" si="76"/>
        <v>0</v>
      </c>
      <c r="D356">
        <f t="shared" si="77"/>
        <v>0</v>
      </c>
      <c r="E356" t="e">
        <f t="shared" si="78"/>
        <v>#N/A</v>
      </c>
      <c r="F356">
        <f t="shared" si="79"/>
        <v>0</v>
      </c>
      <c r="G356">
        <f t="shared" si="80"/>
        <v>0</v>
      </c>
      <c r="H356">
        <f t="shared" si="81"/>
        <v>0</v>
      </c>
      <c r="I356">
        <f t="shared" si="82"/>
        <v>0</v>
      </c>
      <c r="J356">
        <f t="shared" si="83"/>
        <v>0</v>
      </c>
      <c r="K356" s="4" t="e">
        <f t="shared" si="72"/>
        <v>#N/A</v>
      </c>
      <c r="L356" t="e">
        <f t="shared" si="73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4"/>
        <v>0</v>
      </c>
      <c r="B357">
        <f t="shared" si="75"/>
        <v>0</v>
      </c>
      <c r="C357">
        <f t="shared" si="76"/>
        <v>0</v>
      </c>
      <c r="D357">
        <f t="shared" si="77"/>
        <v>0</v>
      </c>
      <c r="E357" t="e">
        <f t="shared" si="78"/>
        <v>#N/A</v>
      </c>
      <c r="F357">
        <f t="shared" si="79"/>
        <v>0</v>
      </c>
      <c r="G357">
        <f t="shared" si="80"/>
        <v>0</v>
      </c>
      <c r="H357">
        <f t="shared" si="81"/>
        <v>0</v>
      </c>
      <c r="I357">
        <f t="shared" si="82"/>
        <v>0</v>
      </c>
      <c r="J357">
        <f t="shared" si="83"/>
        <v>0</v>
      </c>
      <c r="K357" s="4" t="e">
        <f t="shared" si="72"/>
        <v>#N/A</v>
      </c>
      <c r="L357" t="e">
        <f t="shared" si="73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4"/>
        <v>0</v>
      </c>
      <c r="B358">
        <f t="shared" si="75"/>
        <v>0</v>
      </c>
      <c r="C358">
        <f t="shared" si="76"/>
        <v>0</v>
      </c>
      <c r="D358">
        <f t="shared" si="77"/>
        <v>0</v>
      </c>
      <c r="E358" t="e">
        <f t="shared" si="78"/>
        <v>#N/A</v>
      </c>
      <c r="F358">
        <f t="shared" si="79"/>
        <v>0</v>
      </c>
      <c r="G358">
        <f t="shared" si="80"/>
        <v>0</v>
      </c>
      <c r="H358">
        <f t="shared" si="81"/>
        <v>0</v>
      </c>
      <c r="I358">
        <f t="shared" si="82"/>
        <v>0</v>
      </c>
      <c r="J358">
        <f t="shared" si="83"/>
        <v>0</v>
      </c>
      <c r="K358" s="4" t="e">
        <f t="shared" si="72"/>
        <v>#N/A</v>
      </c>
      <c r="L358" t="e">
        <f t="shared" si="73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4"/>
        <v>0</v>
      </c>
      <c r="B359">
        <f t="shared" si="75"/>
        <v>0</v>
      </c>
      <c r="C359">
        <f t="shared" si="76"/>
        <v>0</v>
      </c>
      <c r="D359">
        <f t="shared" si="77"/>
        <v>0</v>
      </c>
      <c r="E359" t="e">
        <f t="shared" si="78"/>
        <v>#N/A</v>
      </c>
      <c r="F359">
        <f t="shared" si="79"/>
        <v>0</v>
      </c>
      <c r="G359">
        <f t="shared" si="80"/>
        <v>0</v>
      </c>
      <c r="H359">
        <f t="shared" si="81"/>
        <v>0</v>
      </c>
      <c r="I359">
        <f t="shared" si="82"/>
        <v>0</v>
      </c>
      <c r="J359">
        <f t="shared" si="83"/>
        <v>0</v>
      </c>
      <c r="K359" s="4" t="e">
        <f t="shared" si="72"/>
        <v>#N/A</v>
      </c>
      <c r="L359" t="e">
        <f t="shared" si="73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4"/>
        <v>0</v>
      </c>
      <c r="B360">
        <f t="shared" si="75"/>
        <v>0</v>
      </c>
      <c r="C360">
        <f t="shared" si="76"/>
        <v>0</v>
      </c>
      <c r="D360">
        <f t="shared" si="77"/>
        <v>0</v>
      </c>
      <c r="E360" t="e">
        <f t="shared" si="78"/>
        <v>#N/A</v>
      </c>
      <c r="F360">
        <f t="shared" si="79"/>
        <v>0</v>
      </c>
      <c r="G360">
        <f t="shared" si="80"/>
        <v>0</v>
      </c>
      <c r="H360">
        <f t="shared" si="81"/>
        <v>0</v>
      </c>
      <c r="I360">
        <f t="shared" si="82"/>
        <v>0</v>
      </c>
      <c r="J360">
        <f t="shared" si="83"/>
        <v>0</v>
      </c>
      <c r="K360" s="4" t="e">
        <f t="shared" si="72"/>
        <v>#N/A</v>
      </c>
      <c r="L360" t="e">
        <f t="shared" si="73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4"/>
        <v>0</v>
      </c>
      <c r="B361">
        <f t="shared" si="75"/>
        <v>0</v>
      </c>
      <c r="C361">
        <f t="shared" si="76"/>
        <v>0</v>
      </c>
      <c r="D361">
        <f t="shared" si="77"/>
        <v>0</v>
      </c>
      <c r="E361" t="e">
        <f t="shared" si="78"/>
        <v>#N/A</v>
      </c>
      <c r="F361">
        <f t="shared" si="79"/>
        <v>0</v>
      </c>
      <c r="G361">
        <f t="shared" si="80"/>
        <v>0</v>
      </c>
      <c r="H361">
        <f t="shared" si="81"/>
        <v>0</v>
      </c>
      <c r="I361">
        <f t="shared" si="82"/>
        <v>0</v>
      </c>
      <c r="J361">
        <f t="shared" si="83"/>
        <v>0</v>
      </c>
      <c r="K361" s="4" t="e">
        <f t="shared" si="72"/>
        <v>#N/A</v>
      </c>
      <c r="L361" t="e">
        <f t="shared" si="73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4"/>
        <v>0</v>
      </c>
      <c r="B362">
        <f t="shared" si="75"/>
        <v>0</v>
      </c>
      <c r="C362">
        <f t="shared" si="76"/>
        <v>0</v>
      </c>
      <c r="D362">
        <f t="shared" si="77"/>
        <v>0</v>
      </c>
      <c r="E362" t="e">
        <f t="shared" si="78"/>
        <v>#N/A</v>
      </c>
      <c r="F362">
        <f t="shared" si="79"/>
        <v>0</v>
      </c>
      <c r="G362">
        <f t="shared" si="80"/>
        <v>0</v>
      </c>
      <c r="H362">
        <f t="shared" si="81"/>
        <v>0</v>
      </c>
      <c r="I362">
        <f t="shared" si="82"/>
        <v>0</v>
      </c>
      <c r="J362">
        <f t="shared" si="83"/>
        <v>0</v>
      </c>
      <c r="K362" s="4" t="e">
        <f t="shared" si="72"/>
        <v>#N/A</v>
      </c>
      <c r="L362" t="e">
        <f t="shared" si="73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4"/>
        <v>0</v>
      </c>
      <c r="B363">
        <f t="shared" si="75"/>
        <v>0</v>
      </c>
      <c r="C363">
        <f t="shared" si="76"/>
        <v>0</v>
      </c>
      <c r="D363">
        <f t="shared" si="77"/>
        <v>0</v>
      </c>
      <c r="E363" t="e">
        <f t="shared" si="78"/>
        <v>#N/A</v>
      </c>
      <c r="F363">
        <f t="shared" si="79"/>
        <v>0</v>
      </c>
      <c r="G363">
        <f t="shared" si="80"/>
        <v>0</v>
      </c>
      <c r="H363">
        <f t="shared" si="81"/>
        <v>0</v>
      </c>
      <c r="I363">
        <f t="shared" si="82"/>
        <v>0</v>
      </c>
      <c r="J363">
        <f t="shared" si="83"/>
        <v>0</v>
      </c>
      <c r="K363" s="4" t="e">
        <f t="shared" si="72"/>
        <v>#N/A</v>
      </c>
      <c r="L363" t="e">
        <f t="shared" si="73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4"/>
        <v>0</v>
      </c>
      <c r="B364">
        <f t="shared" si="75"/>
        <v>0</v>
      </c>
      <c r="C364">
        <f t="shared" si="76"/>
        <v>0</v>
      </c>
      <c r="D364">
        <f t="shared" si="77"/>
        <v>0</v>
      </c>
      <c r="E364" t="e">
        <f t="shared" si="78"/>
        <v>#N/A</v>
      </c>
      <c r="F364">
        <f t="shared" si="79"/>
        <v>0</v>
      </c>
      <c r="G364">
        <f t="shared" si="80"/>
        <v>0</v>
      </c>
      <c r="H364">
        <f t="shared" si="81"/>
        <v>0</v>
      </c>
      <c r="I364">
        <f t="shared" si="82"/>
        <v>0</v>
      </c>
      <c r="J364">
        <f t="shared" si="83"/>
        <v>0</v>
      </c>
      <c r="K364" s="4" t="e">
        <f t="shared" ref="K364:K427" si="86">IF(LEFT(B364,3)="DBM",0,VLOOKUP(E364,tabela,2,FALSE))</f>
        <v>#N/A</v>
      </c>
      <c r="L364" t="e">
        <f t="shared" ref="L364:L427" si="87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4"/>
        <v>0</v>
      </c>
      <c r="B365">
        <f t="shared" si="75"/>
        <v>0</v>
      </c>
      <c r="C365">
        <f t="shared" si="76"/>
        <v>0</v>
      </c>
      <c r="D365">
        <f t="shared" si="77"/>
        <v>0</v>
      </c>
      <c r="E365" t="e">
        <f t="shared" si="78"/>
        <v>#N/A</v>
      </c>
      <c r="F365">
        <f t="shared" si="79"/>
        <v>0</v>
      </c>
      <c r="G365">
        <f t="shared" si="80"/>
        <v>0</v>
      </c>
      <c r="H365">
        <f t="shared" si="81"/>
        <v>0</v>
      </c>
      <c r="I365">
        <f t="shared" si="82"/>
        <v>0</v>
      </c>
      <c r="J365">
        <f t="shared" si="83"/>
        <v>0</v>
      </c>
      <c r="K365" s="4" t="e">
        <f t="shared" si="86"/>
        <v>#N/A</v>
      </c>
      <c r="L365" t="e">
        <f t="shared" si="87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4"/>
        <v>0</v>
      </c>
      <c r="B366">
        <f t="shared" si="75"/>
        <v>0</v>
      </c>
      <c r="C366">
        <f t="shared" si="76"/>
        <v>0</v>
      </c>
      <c r="D366">
        <f t="shared" si="77"/>
        <v>0</v>
      </c>
      <c r="E366" t="e">
        <f t="shared" si="78"/>
        <v>#N/A</v>
      </c>
      <c r="F366">
        <f t="shared" si="79"/>
        <v>0</v>
      </c>
      <c r="G366">
        <f t="shared" si="80"/>
        <v>0</v>
      </c>
      <c r="H366">
        <f t="shared" si="81"/>
        <v>0</v>
      </c>
      <c r="I366">
        <f t="shared" si="82"/>
        <v>0</v>
      </c>
      <c r="J366">
        <f t="shared" si="83"/>
        <v>0</v>
      </c>
      <c r="K366" s="4" t="e">
        <f t="shared" si="86"/>
        <v>#N/A</v>
      </c>
      <c r="L366" t="e">
        <f t="shared" si="87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4"/>
        <v>0</v>
      </c>
      <c r="B367">
        <f t="shared" si="75"/>
        <v>0</v>
      </c>
      <c r="C367">
        <f t="shared" si="76"/>
        <v>0</v>
      </c>
      <c r="D367">
        <f t="shared" si="77"/>
        <v>0</v>
      </c>
      <c r="E367" t="e">
        <f t="shared" si="78"/>
        <v>#N/A</v>
      </c>
      <c r="F367">
        <f t="shared" si="79"/>
        <v>0</v>
      </c>
      <c r="G367">
        <f t="shared" si="80"/>
        <v>0</v>
      </c>
      <c r="H367">
        <f t="shared" si="81"/>
        <v>0</v>
      </c>
      <c r="I367">
        <f t="shared" si="82"/>
        <v>0</v>
      </c>
      <c r="J367">
        <f t="shared" si="83"/>
        <v>0</v>
      </c>
      <c r="K367" s="4" t="e">
        <f t="shared" si="86"/>
        <v>#N/A</v>
      </c>
      <c r="L367" t="e">
        <f t="shared" si="87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4"/>
        <v>0</v>
      </c>
      <c r="B368">
        <f t="shared" si="75"/>
        <v>0</v>
      </c>
      <c r="C368">
        <f t="shared" si="76"/>
        <v>0</v>
      </c>
      <c r="D368">
        <f t="shared" si="77"/>
        <v>0</v>
      </c>
      <c r="E368" t="e">
        <f t="shared" si="78"/>
        <v>#N/A</v>
      </c>
      <c r="F368">
        <f t="shared" si="79"/>
        <v>0</v>
      </c>
      <c r="G368">
        <f t="shared" si="80"/>
        <v>0</v>
      </c>
      <c r="H368">
        <f t="shared" si="81"/>
        <v>0</v>
      </c>
      <c r="I368">
        <f t="shared" si="82"/>
        <v>0</v>
      </c>
      <c r="J368">
        <f t="shared" si="83"/>
        <v>0</v>
      </c>
      <c r="K368" s="4" t="e">
        <f t="shared" si="86"/>
        <v>#N/A</v>
      </c>
      <c r="L368" t="e">
        <f t="shared" si="87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4"/>
        <v>0</v>
      </c>
      <c r="B369">
        <f t="shared" si="75"/>
        <v>0</v>
      </c>
      <c r="C369">
        <f t="shared" si="76"/>
        <v>0</v>
      </c>
      <c r="D369">
        <f t="shared" si="77"/>
        <v>0</v>
      </c>
      <c r="E369" t="e">
        <f t="shared" si="78"/>
        <v>#N/A</v>
      </c>
      <c r="F369">
        <f t="shared" si="79"/>
        <v>0</v>
      </c>
      <c r="G369">
        <f t="shared" si="80"/>
        <v>0</v>
      </c>
      <c r="H369">
        <f t="shared" si="81"/>
        <v>0</v>
      </c>
      <c r="I369">
        <f t="shared" si="82"/>
        <v>0</v>
      </c>
      <c r="J369">
        <f t="shared" si="83"/>
        <v>0</v>
      </c>
      <c r="K369" s="4" t="e">
        <f t="shared" si="86"/>
        <v>#N/A</v>
      </c>
      <c r="L369" t="e">
        <f t="shared" si="87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4"/>
        <v>0</v>
      </c>
      <c r="B370">
        <f t="shared" si="75"/>
        <v>0</v>
      </c>
      <c r="C370">
        <f t="shared" si="76"/>
        <v>0</v>
      </c>
      <c r="D370">
        <f t="shared" si="77"/>
        <v>0</v>
      </c>
      <c r="E370" t="e">
        <f t="shared" si="78"/>
        <v>#N/A</v>
      </c>
      <c r="F370">
        <f t="shared" si="79"/>
        <v>0</v>
      </c>
      <c r="G370">
        <f t="shared" si="80"/>
        <v>0</v>
      </c>
      <c r="H370">
        <f t="shared" si="81"/>
        <v>0</v>
      </c>
      <c r="I370">
        <f t="shared" si="82"/>
        <v>0</v>
      </c>
      <c r="J370">
        <f t="shared" si="83"/>
        <v>0</v>
      </c>
      <c r="K370" s="4" t="e">
        <f t="shared" si="86"/>
        <v>#N/A</v>
      </c>
      <c r="L370" t="e">
        <f t="shared" si="87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4"/>
        <v>0</v>
      </c>
      <c r="B371">
        <f t="shared" si="75"/>
        <v>0</v>
      </c>
      <c r="C371">
        <f t="shared" si="76"/>
        <v>0</v>
      </c>
      <c r="D371">
        <f t="shared" si="77"/>
        <v>0</v>
      </c>
      <c r="E371" t="e">
        <f t="shared" si="78"/>
        <v>#N/A</v>
      </c>
      <c r="F371">
        <f t="shared" si="79"/>
        <v>0</v>
      </c>
      <c r="G371">
        <f t="shared" si="80"/>
        <v>0</v>
      </c>
      <c r="H371">
        <f t="shared" si="81"/>
        <v>0</v>
      </c>
      <c r="I371">
        <f t="shared" si="82"/>
        <v>0</v>
      </c>
      <c r="J371">
        <f t="shared" si="83"/>
        <v>0</v>
      </c>
      <c r="K371" s="4" t="e">
        <f t="shared" si="86"/>
        <v>#N/A</v>
      </c>
      <c r="L371" t="e">
        <f t="shared" si="87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4"/>
        <v>0</v>
      </c>
      <c r="B372">
        <f t="shared" si="75"/>
        <v>0</v>
      </c>
      <c r="C372">
        <f t="shared" si="76"/>
        <v>0</v>
      </c>
      <c r="D372">
        <f t="shared" si="77"/>
        <v>0</v>
      </c>
      <c r="E372" t="e">
        <f t="shared" si="78"/>
        <v>#N/A</v>
      </c>
      <c r="F372">
        <f t="shared" si="79"/>
        <v>0</v>
      </c>
      <c r="G372">
        <f t="shared" si="80"/>
        <v>0</v>
      </c>
      <c r="H372">
        <f t="shared" si="81"/>
        <v>0</v>
      </c>
      <c r="I372">
        <f t="shared" si="82"/>
        <v>0</v>
      </c>
      <c r="J372">
        <f t="shared" si="83"/>
        <v>0</v>
      </c>
      <c r="K372" s="4" t="e">
        <f t="shared" si="86"/>
        <v>#N/A</v>
      </c>
      <c r="L372" t="e">
        <f t="shared" si="87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4"/>
        <v>0</v>
      </c>
      <c r="B373">
        <f t="shared" si="75"/>
        <v>0</v>
      </c>
      <c r="C373">
        <f t="shared" si="76"/>
        <v>0</v>
      </c>
      <c r="D373">
        <f t="shared" si="77"/>
        <v>0</v>
      </c>
      <c r="E373" t="e">
        <f t="shared" si="78"/>
        <v>#N/A</v>
      </c>
      <c r="F373">
        <f t="shared" si="79"/>
        <v>0</v>
      </c>
      <c r="G373">
        <f t="shared" si="80"/>
        <v>0</v>
      </c>
      <c r="H373">
        <f t="shared" si="81"/>
        <v>0</v>
      </c>
      <c r="I373">
        <f t="shared" si="82"/>
        <v>0</v>
      </c>
      <c r="J373">
        <f t="shared" si="83"/>
        <v>0</v>
      </c>
      <c r="K373" s="4" t="e">
        <f t="shared" si="86"/>
        <v>#N/A</v>
      </c>
      <c r="L373" t="e">
        <f t="shared" si="87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4"/>
        <v>0</v>
      </c>
      <c r="B374">
        <f t="shared" si="75"/>
        <v>0</v>
      </c>
      <c r="C374">
        <f t="shared" si="76"/>
        <v>0</v>
      </c>
      <c r="D374">
        <f t="shared" si="77"/>
        <v>0</v>
      </c>
      <c r="E374" t="e">
        <f t="shared" si="78"/>
        <v>#N/A</v>
      </c>
      <c r="F374">
        <f t="shared" si="79"/>
        <v>0</v>
      </c>
      <c r="G374">
        <f t="shared" si="80"/>
        <v>0</v>
      </c>
      <c r="H374">
        <f t="shared" si="81"/>
        <v>0</v>
      </c>
      <c r="I374">
        <f t="shared" si="82"/>
        <v>0</v>
      </c>
      <c r="J374">
        <f t="shared" si="83"/>
        <v>0</v>
      </c>
      <c r="K374" s="4" t="e">
        <f t="shared" si="86"/>
        <v>#N/A</v>
      </c>
      <c r="L374" t="e">
        <f t="shared" si="87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4"/>
        <v>0</v>
      </c>
      <c r="B375">
        <f t="shared" si="75"/>
        <v>0</v>
      </c>
      <c r="C375">
        <f t="shared" si="76"/>
        <v>0</v>
      </c>
      <c r="D375">
        <f t="shared" si="77"/>
        <v>0</v>
      </c>
      <c r="E375" t="e">
        <f t="shared" si="78"/>
        <v>#N/A</v>
      </c>
      <c r="F375">
        <f t="shared" si="79"/>
        <v>0</v>
      </c>
      <c r="G375">
        <f t="shared" si="80"/>
        <v>0</v>
      </c>
      <c r="H375">
        <f t="shared" si="81"/>
        <v>0</v>
      </c>
      <c r="I375">
        <f t="shared" si="82"/>
        <v>0</v>
      </c>
      <c r="J375">
        <f t="shared" si="83"/>
        <v>0</v>
      </c>
      <c r="K375" s="4" t="e">
        <f t="shared" si="86"/>
        <v>#N/A</v>
      </c>
      <c r="L375" t="e">
        <f t="shared" si="87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4"/>
        <v>0</v>
      </c>
      <c r="B376">
        <f t="shared" si="75"/>
        <v>0</v>
      </c>
      <c r="C376">
        <f t="shared" si="76"/>
        <v>0</v>
      </c>
      <c r="D376">
        <f t="shared" si="77"/>
        <v>0</v>
      </c>
      <c r="E376" t="e">
        <f t="shared" si="78"/>
        <v>#N/A</v>
      </c>
      <c r="F376">
        <f t="shared" si="79"/>
        <v>0</v>
      </c>
      <c r="G376">
        <f t="shared" si="80"/>
        <v>0</v>
      </c>
      <c r="H376">
        <f t="shared" si="81"/>
        <v>0</v>
      </c>
      <c r="I376">
        <f t="shared" si="82"/>
        <v>0</v>
      </c>
      <c r="J376">
        <f t="shared" si="83"/>
        <v>0</v>
      </c>
      <c r="K376" s="4" t="e">
        <f t="shared" si="86"/>
        <v>#N/A</v>
      </c>
      <c r="L376" t="e">
        <f t="shared" si="87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4"/>
        <v>0</v>
      </c>
      <c r="B377">
        <f t="shared" si="75"/>
        <v>0</v>
      </c>
      <c r="C377">
        <f t="shared" si="76"/>
        <v>0</v>
      </c>
      <c r="D377">
        <f t="shared" si="77"/>
        <v>0</v>
      </c>
      <c r="E377" t="e">
        <f t="shared" si="78"/>
        <v>#N/A</v>
      </c>
      <c r="F377">
        <f t="shared" si="79"/>
        <v>0</v>
      </c>
      <c r="G377">
        <f t="shared" si="80"/>
        <v>0</v>
      </c>
      <c r="H377">
        <f t="shared" si="81"/>
        <v>0</v>
      </c>
      <c r="I377">
        <f t="shared" si="82"/>
        <v>0</v>
      </c>
      <c r="J377">
        <f t="shared" si="83"/>
        <v>0</v>
      </c>
      <c r="K377" s="4" t="e">
        <f t="shared" si="86"/>
        <v>#N/A</v>
      </c>
      <c r="L377" t="e">
        <f t="shared" si="87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4"/>
        <v>0</v>
      </c>
      <c r="B378">
        <f t="shared" si="75"/>
        <v>0</v>
      </c>
      <c r="C378">
        <f t="shared" si="76"/>
        <v>0</v>
      </c>
      <c r="D378">
        <f t="shared" si="77"/>
        <v>0</v>
      </c>
      <c r="E378" t="e">
        <f t="shared" si="78"/>
        <v>#N/A</v>
      </c>
      <c r="F378">
        <f t="shared" si="79"/>
        <v>0</v>
      </c>
      <c r="G378">
        <f t="shared" si="80"/>
        <v>0</v>
      </c>
      <c r="H378">
        <f t="shared" si="81"/>
        <v>0</v>
      </c>
      <c r="I378">
        <f t="shared" si="82"/>
        <v>0</v>
      </c>
      <c r="J378">
        <f t="shared" si="83"/>
        <v>0</v>
      </c>
      <c r="K378" s="4" t="e">
        <f t="shared" si="86"/>
        <v>#N/A</v>
      </c>
      <c r="L378" t="e">
        <f t="shared" si="87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4"/>
        <v>0</v>
      </c>
      <c r="B379">
        <f t="shared" si="75"/>
        <v>0</v>
      </c>
      <c r="C379">
        <f t="shared" si="76"/>
        <v>0</v>
      </c>
      <c r="D379">
        <f t="shared" si="77"/>
        <v>0</v>
      </c>
      <c r="E379" t="e">
        <f t="shared" si="78"/>
        <v>#N/A</v>
      </c>
      <c r="F379">
        <f t="shared" si="79"/>
        <v>0</v>
      </c>
      <c r="G379">
        <f t="shared" si="80"/>
        <v>0</v>
      </c>
      <c r="H379">
        <f t="shared" si="81"/>
        <v>0</v>
      </c>
      <c r="I379">
        <f t="shared" si="82"/>
        <v>0</v>
      </c>
      <c r="J379">
        <f t="shared" si="83"/>
        <v>0</v>
      </c>
      <c r="K379" s="4" t="e">
        <f t="shared" si="86"/>
        <v>#N/A</v>
      </c>
      <c r="L379" t="e">
        <f t="shared" si="87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4"/>
        <v>0</v>
      </c>
      <c r="B380">
        <f t="shared" si="75"/>
        <v>0</v>
      </c>
      <c r="C380">
        <f t="shared" si="76"/>
        <v>0</v>
      </c>
      <c r="D380">
        <f t="shared" si="77"/>
        <v>0</v>
      </c>
      <c r="E380" t="e">
        <f t="shared" si="78"/>
        <v>#N/A</v>
      </c>
      <c r="F380">
        <f t="shared" si="79"/>
        <v>0</v>
      </c>
      <c r="G380">
        <f t="shared" si="80"/>
        <v>0</v>
      </c>
      <c r="H380">
        <f t="shared" si="81"/>
        <v>0</v>
      </c>
      <c r="I380">
        <f t="shared" si="82"/>
        <v>0</v>
      </c>
      <c r="J380">
        <f t="shared" si="83"/>
        <v>0</v>
      </c>
      <c r="K380" s="4" t="e">
        <f t="shared" si="86"/>
        <v>#N/A</v>
      </c>
      <c r="L380" t="e">
        <f t="shared" si="87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4"/>
        <v>0</v>
      </c>
      <c r="B381">
        <f t="shared" si="75"/>
        <v>0</v>
      </c>
      <c r="C381">
        <f t="shared" si="76"/>
        <v>0</v>
      </c>
      <c r="D381">
        <f t="shared" si="77"/>
        <v>0</v>
      </c>
      <c r="E381" t="e">
        <f t="shared" si="78"/>
        <v>#N/A</v>
      </c>
      <c r="F381">
        <f t="shared" si="79"/>
        <v>0</v>
      </c>
      <c r="G381">
        <f t="shared" si="80"/>
        <v>0</v>
      </c>
      <c r="H381">
        <f t="shared" si="81"/>
        <v>0</v>
      </c>
      <c r="I381">
        <f t="shared" si="82"/>
        <v>0</v>
      </c>
      <c r="J381">
        <f t="shared" si="83"/>
        <v>0</v>
      </c>
      <c r="K381" s="4" t="e">
        <f t="shared" si="86"/>
        <v>#N/A</v>
      </c>
      <c r="L381" t="e">
        <f t="shared" si="87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4"/>
        <v>0</v>
      </c>
      <c r="B382">
        <f t="shared" si="75"/>
        <v>0</v>
      </c>
      <c r="C382">
        <f t="shared" si="76"/>
        <v>0</v>
      </c>
      <c r="D382">
        <f t="shared" si="77"/>
        <v>0</v>
      </c>
      <c r="E382" t="e">
        <f t="shared" si="78"/>
        <v>#N/A</v>
      </c>
      <c r="F382">
        <f t="shared" si="79"/>
        <v>0</v>
      </c>
      <c r="G382">
        <f t="shared" si="80"/>
        <v>0</v>
      </c>
      <c r="H382">
        <f t="shared" si="81"/>
        <v>0</v>
      </c>
      <c r="I382">
        <f t="shared" si="82"/>
        <v>0</v>
      </c>
      <c r="J382">
        <f t="shared" si="83"/>
        <v>0</v>
      </c>
      <c r="K382" s="4" t="e">
        <f t="shared" si="86"/>
        <v>#N/A</v>
      </c>
      <c r="L382" t="e">
        <f t="shared" si="87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4"/>
        <v>0</v>
      </c>
      <c r="B383">
        <f t="shared" si="75"/>
        <v>0</v>
      </c>
      <c r="C383">
        <f t="shared" si="76"/>
        <v>0</v>
      </c>
      <c r="D383">
        <f t="shared" si="77"/>
        <v>0</v>
      </c>
      <c r="E383" t="e">
        <f t="shared" si="78"/>
        <v>#N/A</v>
      </c>
      <c r="F383">
        <f t="shared" si="79"/>
        <v>0</v>
      </c>
      <c r="G383">
        <f t="shared" si="80"/>
        <v>0</v>
      </c>
      <c r="H383">
        <f t="shared" si="81"/>
        <v>0</v>
      </c>
      <c r="I383">
        <f t="shared" si="82"/>
        <v>0</v>
      </c>
      <c r="J383">
        <f t="shared" si="83"/>
        <v>0</v>
      </c>
      <c r="K383" s="4" t="e">
        <f t="shared" si="86"/>
        <v>#N/A</v>
      </c>
      <c r="L383" t="e">
        <f t="shared" si="87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4"/>
        <v>0</v>
      </c>
      <c r="B384">
        <f t="shared" si="75"/>
        <v>0</v>
      </c>
      <c r="C384">
        <f t="shared" si="76"/>
        <v>0</v>
      </c>
      <c r="D384">
        <f t="shared" si="77"/>
        <v>0</v>
      </c>
      <c r="E384" t="e">
        <f t="shared" si="78"/>
        <v>#N/A</v>
      </c>
      <c r="F384">
        <f t="shared" si="79"/>
        <v>0</v>
      </c>
      <c r="G384">
        <f t="shared" si="80"/>
        <v>0</v>
      </c>
      <c r="H384">
        <f t="shared" si="81"/>
        <v>0</v>
      </c>
      <c r="I384">
        <f t="shared" si="82"/>
        <v>0</v>
      </c>
      <c r="J384">
        <f t="shared" si="83"/>
        <v>0</v>
      </c>
      <c r="K384" s="4" t="e">
        <f t="shared" si="86"/>
        <v>#N/A</v>
      </c>
      <c r="L384" t="e">
        <f t="shared" si="87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4"/>
        <v>0</v>
      </c>
      <c r="B385">
        <f t="shared" si="75"/>
        <v>0</v>
      </c>
      <c r="C385">
        <f t="shared" si="76"/>
        <v>0</v>
      </c>
      <c r="D385">
        <f t="shared" si="77"/>
        <v>0</v>
      </c>
      <c r="E385" t="e">
        <f t="shared" si="78"/>
        <v>#N/A</v>
      </c>
      <c r="F385">
        <f t="shared" si="79"/>
        <v>0</v>
      </c>
      <c r="G385">
        <f t="shared" si="80"/>
        <v>0</v>
      </c>
      <c r="H385">
        <f t="shared" si="81"/>
        <v>0</v>
      </c>
      <c r="I385">
        <f t="shared" si="82"/>
        <v>0</v>
      </c>
      <c r="J385">
        <f t="shared" si="83"/>
        <v>0</v>
      </c>
      <c r="K385" s="4" t="e">
        <f t="shared" si="86"/>
        <v>#N/A</v>
      </c>
      <c r="L385" t="e">
        <f t="shared" si="87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8">bd_campaign</f>
        <v>0</v>
      </c>
      <c r="B386">
        <f t="shared" ref="B386:B449" si="89">bd_site</f>
        <v>0</v>
      </c>
      <c r="C386">
        <f t="shared" ref="C386:C449" si="90">bd_placement</f>
        <v>0</v>
      </c>
      <c r="D386">
        <f t="shared" ref="D386:D449" si="91">bd_placementID</f>
        <v>0</v>
      </c>
      <c r="E386" t="e">
        <f t="shared" ref="E386:E449" si="92">VLOOKUP(CONCATENATE(bd_adtype,"_",bd_creativetype),tabela,2,FALSE)</f>
        <v>#N/A</v>
      </c>
      <c r="F386">
        <f t="shared" ref="F386:F449" si="93">bd_ad</f>
        <v>0</v>
      </c>
      <c r="G386">
        <f t="shared" ref="G386:G449" si="94">bd_adid</f>
        <v>0</v>
      </c>
      <c r="H386">
        <f t="shared" ref="H386:H449" si="95">bd_creativetype</f>
        <v>0</v>
      </c>
      <c r="I386">
        <f t="shared" ref="I386:I449" si="96">bd_impression</f>
        <v>0</v>
      </c>
      <c r="J386">
        <f t="shared" ref="J386:J449" si="97">bd_clicks</f>
        <v>0</v>
      </c>
      <c r="K386" s="4" t="e">
        <f t="shared" si="86"/>
        <v>#N/A</v>
      </c>
      <c r="L386" t="e">
        <f t="shared" si="87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8"/>
        <v>0</v>
      </c>
      <c r="B387">
        <f t="shared" si="89"/>
        <v>0</v>
      </c>
      <c r="C387">
        <f t="shared" si="90"/>
        <v>0</v>
      </c>
      <c r="D387">
        <f t="shared" si="91"/>
        <v>0</v>
      </c>
      <c r="E387" t="e">
        <f t="shared" si="92"/>
        <v>#N/A</v>
      </c>
      <c r="F387">
        <f t="shared" si="93"/>
        <v>0</v>
      </c>
      <c r="G387">
        <f t="shared" si="94"/>
        <v>0</v>
      </c>
      <c r="H387">
        <f t="shared" si="95"/>
        <v>0</v>
      </c>
      <c r="I387">
        <f t="shared" si="96"/>
        <v>0</v>
      </c>
      <c r="J387">
        <f t="shared" si="97"/>
        <v>0</v>
      </c>
      <c r="K387" s="4" t="e">
        <f t="shared" si="86"/>
        <v>#N/A</v>
      </c>
      <c r="L387" t="e">
        <f t="shared" si="87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8"/>
        <v>0</v>
      </c>
      <c r="B388">
        <f t="shared" si="89"/>
        <v>0</v>
      </c>
      <c r="C388">
        <f t="shared" si="90"/>
        <v>0</v>
      </c>
      <c r="D388">
        <f t="shared" si="91"/>
        <v>0</v>
      </c>
      <c r="E388" t="e">
        <f t="shared" si="92"/>
        <v>#N/A</v>
      </c>
      <c r="F388">
        <f t="shared" si="93"/>
        <v>0</v>
      </c>
      <c r="G388">
        <f t="shared" si="94"/>
        <v>0</v>
      </c>
      <c r="H388">
        <f t="shared" si="95"/>
        <v>0</v>
      </c>
      <c r="I388">
        <f t="shared" si="96"/>
        <v>0</v>
      </c>
      <c r="J388">
        <f t="shared" si="97"/>
        <v>0</v>
      </c>
      <c r="K388" s="4" t="e">
        <f t="shared" si="86"/>
        <v>#N/A</v>
      </c>
      <c r="L388" t="e">
        <f t="shared" si="87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8"/>
        <v>0</v>
      </c>
      <c r="B389">
        <f t="shared" si="89"/>
        <v>0</v>
      </c>
      <c r="C389">
        <f t="shared" si="90"/>
        <v>0</v>
      </c>
      <c r="D389">
        <f t="shared" si="91"/>
        <v>0</v>
      </c>
      <c r="E389" t="e">
        <f t="shared" si="92"/>
        <v>#N/A</v>
      </c>
      <c r="F389">
        <f t="shared" si="93"/>
        <v>0</v>
      </c>
      <c r="G389">
        <f t="shared" si="94"/>
        <v>0</v>
      </c>
      <c r="H389">
        <f t="shared" si="95"/>
        <v>0</v>
      </c>
      <c r="I389">
        <f t="shared" si="96"/>
        <v>0</v>
      </c>
      <c r="J389">
        <f t="shared" si="97"/>
        <v>0</v>
      </c>
      <c r="K389" s="4" t="e">
        <f t="shared" si="86"/>
        <v>#N/A</v>
      </c>
      <c r="L389" t="e">
        <f t="shared" si="87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8"/>
        <v>0</v>
      </c>
      <c r="B390">
        <f t="shared" si="89"/>
        <v>0</v>
      </c>
      <c r="C390">
        <f t="shared" si="90"/>
        <v>0</v>
      </c>
      <c r="D390">
        <f t="shared" si="91"/>
        <v>0</v>
      </c>
      <c r="E390" t="e">
        <f t="shared" si="92"/>
        <v>#N/A</v>
      </c>
      <c r="F390">
        <f t="shared" si="93"/>
        <v>0</v>
      </c>
      <c r="G390">
        <f t="shared" si="94"/>
        <v>0</v>
      </c>
      <c r="H390">
        <f t="shared" si="95"/>
        <v>0</v>
      </c>
      <c r="I390">
        <f t="shared" si="96"/>
        <v>0</v>
      </c>
      <c r="J390">
        <f t="shared" si="97"/>
        <v>0</v>
      </c>
      <c r="K390" s="4" t="e">
        <f t="shared" si="86"/>
        <v>#N/A</v>
      </c>
      <c r="L390" t="e">
        <f t="shared" si="87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8"/>
        <v>0</v>
      </c>
      <c r="B391">
        <f t="shared" si="89"/>
        <v>0</v>
      </c>
      <c r="C391">
        <f t="shared" si="90"/>
        <v>0</v>
      </c>
      <c r="D391">
        <f t="shared" si="91"/>
        <v>0</v>
      </c>
      <c r="E391" t="e">
        <f t="shared" si="92"/>
        <v>#N/A</v>
      </c>
      <c r="F391">
        <f t="shared" si="93"/>
        <v>0</v>
      </c>
      <c r="G391">
        <f t="shared" si="94"/>
        <v>0</v>
      </c>
      <c r="H391">
        <f t="shared" si="95"/>
        <v>0</v>
      </c>
      <c r="I391">
        <f t="shared" si="96"/>
        <v>0</v>
      </c>
      <c r="J391">
        <f t="shared" si="97"/>
        <v>0</v>
      </c>
      <c r="K391" s="4" t="e">
        <f t="shared" si="86"/>
        <v>#N/A</v>
      </c>
      <c r="L391" t="e">
        <f t="shared" si="87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8"/>
        <v>0</v>
      </c>
      <c r="B392">
        <f t="shared" si="89"/>
        <v>0</v>
      </c>
      <c r="C392">
        <f t="shared" si="90"/>
        <v>0</v>
      </c>
      <c r="D392">
        <f t="shared" si="91"/>
        <v>0</v>
      </c>
      <c r="E392" t="e">
        <f t="shared" si="92"/>
        <v>#N/A</v>
      </c>
      <c r="F392">
        <f t="shared" si="93"/>
        <v>0</v>
      </c>
      <c r="G392">
        <f t="shared" si="94"/>
        <v>0</v>
      </c>
      <c r="H392">
        <f t="shared" si="95"/>
        <v>0</v>
      </c>
      <c r="I392">
        <f t="shared" si="96"/>
        <v>0</v>
      </c>
      <c r="J392">
        <f t="shared" si="97"/>
        <v>0</v>
      </c>
      <c r="K392" s="4" t="e">
        <f t="shared" si="86"/>
        <v>#N/A</v>
      </c>
      <c r="L392" t="e">
        <f t="shared" si="87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8"/>
        <v>0</v>
      </c>
      <c r="B393">
        <f t="shared" si="89"/>
        <v>0</v>
      </c>
      <c r="C393">
        <f t="shared" si="90"/>
        <v>0</v>
      </c>
      <c r="D393">
        <f t="shared" si="91"/>
        <v>0</v>
      </c>
      <c r="E393" t="e">
        <f t="shared" si="92"/>
        <v>#N/A</v>
      </c>
      <c r="F393">
        <f t="shared" si="93"/>
        <v>0</v>
      </c>
      <c r="G393">
        <f t="shared" si="94"/>
        <v>0</v>
      </c>
      <c r="H393">
        <f t="shared" si="95"/>
        <v>0</v>
      </c>
      <c r="I393">
        <f t="shared" si="96"/>
        <v>0</v>
      </c>
      <c r="J393">
        <f t="shared" si="97"/>
        <v>0</v>
      </c>
      <c r="K393" s="4" t="e">
        <f t="shared" si="86"/>
        <v>#N/A</v>
      </c>
      <c r="L393" t="e">
        <f t="shared" si="87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8"/>
        <v>0</v>
      </c>
      <c r="B394">
        <f t="shared" si="89"/>
        <v>0</v>
      </c>
      <c r="C394">
        <f t="shared" si="90"/>
        <v>0</v>
      </c>
      <c r="D394">
        <f t="shared" si="91"/>
        <v>0</v>
      </c>
      <c r="E394" t="e">
        <f t="shared" si="92"/>
        <v>#N/A</v>
      </c>
      <c r="F394">
        <f t="shared" si="93"/>
        <v>0</v>
      </c>
      <c r="G394">
        <f t="shared" si="94"/>
        <v>0</v>
      </c>
      <c r="H394">
        <f t="shared" si="95"/>
        <v>0</v>
      </c>
      <c r="I394">
        <f t="shared" si="96"/>
        <v>0</v>
      </c>
      <c r="J394">
        <f t="shared" si="97"/>
        <v>0</v>
      </c>
      <c r="K394" s="4" t="e">
        <f t="shared" si="86"/>
        <v>#N/A</v>
      </c>
      <c r="L394" t="e">
        <f t="shared" si="87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8"/>
        <v>0</v>
      </c>
      <c r="B395">
        <f t="shared" si="89"/>
        <v>0</v>
      </c>
      <c r="C395">
        <f t="shared" si="90"/>
        <v>0</v>
      </c>
      <c r="D395">
        <f t="shared" si="91"/>
        <v>0</v>
      </c>
      <c r="E395" t="e">
        <f t="shared" si="92"/>
        <v>#N/A</v>
      </c>
      <c r="F395">
        <f t="shared" si="93"/>
        <v>0</v>
      </c>
      <c r="G395">
        <f t="shared" si="94"/>
        <v>0</v>
      </c>
      <c r="H395">
        <f t="shared" si="95"/>
        <v>0</v>
      </c>
      <c r="I395">
        <f t="shared" si="96"/>
        <v>0</v>
      </c>
      <c r="J395">
        <f t="shared" si="97"/>
        <v>0</v>
      </c>
      <c r="K395" s="4" t="e">
        <f t="shared" si="86"/>
        <v>#N/A</v>
      </c>
      <c r="L395" t="e">
        <f t="shared" si="87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8"/>
        <v>0</v>
      </c>
      <c r="B396">
        <f t="shared" si="89"/>
        <v>0</v>
      </c>
      <c r="C396">
        <f t="shared" si="90"/>
        <v>0</v>
      </c>
      <c r="D396">
        <f t="shared" si="91"/>
        <v>0</v>
      </c>
      <c r="E396" t="e">
        <f t="shared" si="92"/>
        <v>#N/A</v>
      </c>
      <c r="F396">
        <f t="shared" si="93"/>
        <v>0</v>
      </c>
      <c r="G396">
        <f t="shared" si="94"/>
        <v>0</v>
      </c>
      <c r="H396">
        <f t="shared" si="95"/>
        <v>0</v>
      </c>
      <c r="I396">
        <f t="shared" si="96"/>
        <v>0</v>
      </c>
      <c r="J396">
        <f t="shared" si="97"/>
        <v>0</v>
      </c>
      <c r="K396" s="4" t="e">
        <f t="shared" si="86"/>
        <v>#N/A</v>
      </c>
      <c r="L396" t="e">
        <f t="shared" si="87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8"/>
        <v>0</v>
      </c>
      <c r="B397">
        <f t="shared" si="89"/>
        <v>0</v>
      </c>
      <c r="C397">
        <f t="shared" si="90"/>
        <v>0</v>
      </c>
      <c r="D397">
        <f t="shared" si="91"/>
        <v>0</v>
      </c>
      <c r="E397" t="e">
        <f t="shared" si="92"/>
        <v>#N/A</v>
      </c>
      <c r="F397">
        <f t="shared" si="93"/>
        <v>0</v>
      </c>
      <c r="G397">
        <f t="shared" si="94"/>
        <v>0</v>
      </c>
      <c r="H397">
        <f t="shared" si="95"/>
        <v>0</v>
      </c>
      <c r="I397">
        <f t="shared" si="96"/>
        <v>0</v>
      </c>
      <c r="J397">
        <f t="shared" si="97"/>
        <v>0</v>
      </c>
      <c r="K397" s="4" t="e">
        <f t="shared" si="86"/>
        <v>#N/A</v>
      </c>
      <c r="L397" t="e">
        <f t="shared" si="87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8"/>
        <v>0</v>
      </c>
      <c r="B398">
        <f t="shared" si="89"/>
        <v>0</v>
      </c>
      <c r="C398">
        <f t="shared" si="90"/>
        <v>0</v>
      </c>
      <c r="D398">
        <f t="shared" si="91"/>
        <v>0</v>
      </c>
      <c r="E398" t="e">
        <f t="shared" si="92"/>
        <v>#N/A</v>
      </c>
      <c r="F398">
        <f t="shared" si="93"/>
        <v>0</v>
      </c>
      <c r="G398">
        <f t="shared" si="94"/>
        <v>0</v>
      </c>
      <c r="H398">
        <f t="shared" si="95"/>
        <v>0</v>
      </c>
      <c r="I398">
        <f t="shared" si="96"/>
        <v>0</v>
      </c>
      <c r="J398">
        <f t="shared" si="97"/>
        <v>0</v>
      </c>
      <c r="K398" s="4" t="e">
        <f t="shared" si="86"/>
        <v>#N/A</v>
      </c>
      <c r="L398" t="e">
        <f t="shared" si="87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8"/>
        <v>0</v>
      </c>
      <c r="B399">
        <f t="shared" si="89"/>
        <v>0</v>
      </c>
      <c r="C399">
        <f t="shared" si="90"/>
        <v>0</v>
      </c>
      <c r="D399">
        <f t="shared" si="91"/>
        <v>0</v>
      </c>
      <c r="E399" t="e">
        <f t="shared" si="92"/>
        <v>#N/A</v>
      </c>
      <c r="F399">
        <f t="shared" si="93"/>
        <v>0</v>
      </c>
      <c r="G399">
        <f t="shared" si="94"/>
        <v>0</v>
      </c>
      <c r="H399">
        <f t="shared" si="95"/>
        <v>0</v>
      </c>
      <c r="I399">
        <f t="shared" si="96"/>
        <v>0</v>
      </c>
      <c r="J399">
        <f t="shared" si="97"/>
        <v>0</v>
      </c>
      <c r="K399" s="4" t="e">
        <f t="shared" si="86"/>
        <v>#N/A</v>
      </c>
      <c r="L399" t="e">
        <f t="shared" si="87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8"/>
        <v>0</v>
      </c>
      <c r="B400">
        <f t="shared" si="89"/>
        <v>0</v>
      </c>
      <c r="C400">
        <f t="shared" si="90"/>
        <v>0</v>
      </c>
      <c r="D400">
        <f t="shared" si="91"/>
        <v>0</v>
      </c>
      <c r="E400" t="e">
        <f t="shared" si="92"/>
        <v>#N/A</v>
      </c>
      <c r="F400">
        <f t="shared" si="93"/>
        <v>0</v>
      </c>
      <c r="G400">
        <f t="shared" si="94"/>
        <v>0</v>
      </c>
      <c r="H400">
        <f t="shared" si="95"/>
        <v>0</v>
      </c>
      <c r="I400">
        <f t="shared" si="96"/>
        <v>0</v>
      </c>
      <c r="J400">
        <f t="shared" si="97"/>
        <v>0</v>
      </c>
      <c r="K400" s="4" t="e">
        <f t="shared" si="86"/>
        <v>#N/A</v>
      </c>
      <c r="L400" t="e">
        <f t="shared" si="87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8"/>
        <v>0</v>
      </c>
      <c r="B401">
        <f t="shared" si="89"/>
        <v>0</v>
      </c>
      <c r="C401">
        <f t="shared" si="90"/>
        <v>0</v>
      </c>
      <c r="D401">
        <f t="shared" si="91"/>
        <v>0</v>
      </c>
      <c r="E401" t="e">
        <f t="shared" si="92"/>
        <v>#N/A</v>
      </c>
      <c r="F401">
        <f t="shared" si="93"/>
        <v>0</v>
      </c>
      <c r="G401">
        <f t="shared" si="94"/>
        <v>0</v>
      </c>
      <c r="H401">
        <f t="shared" si="95"/>
        <v>0</v>
      </c>
      <c r="I401">
        <f t="shared" si="96"/>
        <v>0</v>
      </c>
      <c r="J401">
        <f t="shared" si="97"/>
        <v>0</v>
      </c>
      <c r="K401" s="4" t="e">
        <f t="shared" si="86"/>
        <v>#N/A</v>
      </c>
      <c r="L401" t="e">
        <f t="shared" si="87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8"/>
        <v>0</v>
      </c>
      <c r="B402">
        <f t="shared" si="89"/>
        <v>0</v>
      </c>
      <c r="C402">
        <f t="shared" si="90"/>
        <v>0</v>
      </c>
      <c r="D402">
        <f t="shared" si="91"/>
        <v>0</v>
      </c>
      <c r="E402" t="e">
        <f t="shared" si="92"/>
        <v>#N/A</v>
      </c>
      <c r="F402">
        <f t="shared" si="93"/>
        <v>0</v>
      </c>
      <c r="G402">
        <f t="shared" si="94"/>
        <v>0</v>
      </c>
      <c r="H402">
        <f t="shared" si="95"/>
        <v>0</v>
      </c>
      <c r="I402">
        <f t="shared" si="96"/>
        <v>0</v>
      </c>
      <c r="J402">
        <f t="shared" si="97"/>
        <v>0</v>
      </c>
      <c r="K402" s="4" t="e">
        <f t="shared" si="86"/>
        <v>#N/A</v>
      </c>
      <c r="L402" t="e">
        <f t="shared" si="87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8"/>
        <v>0</v>
      </c>
      <c r="B403">
        <f t="shared" si="89"/>
        <v>0</v>
      </c>
      <c r="C403">
        <f t="shared" si="90"/>
        <v>0</v>
      </c>
      <c r="D403">
        <f t="shared" si="91"/>
        <v>0</v>
      </c>
      <c r="E403" t="e">
        <f t="shared" si="92"/>
        <v>#N/A</v>
      </c>
      <c r="F403">
        <f t="shared" si="93"/>
        <v>0</v>
      </c>
      <c r="G403">
        <f t="shared" si="94"/>
        <v>0</v>
      </c>
      <c r="H403">
        <f t="shared" si="95"/>
        <v>0</v>
      </c>
      <c r="I403">
        <f t="shared" si="96"/>
        <v>0</v>
      </c>
      <c r="J403">
        <f t="shared" si="97"/>
        <v>0</v>
      </c>
      <c r="K403" s="4" t="e">
        <f t="shared" si="86"/>
        <v>#N/A</v>
      </c>
      <c r="L403" t="e">
        <f t="shared" si="87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8"/>
        <v>0</v>
      </c>
      <c r="B404">
        <f t="shared" si="89"/>
        <v>0</v>
      </c>
      <c r="C404">
        <f t="shared" si="90"/>
        <v>0</v>
      </c>
      <c r="D404">
        <f t="shared" si="91"/>
        <v>0</v>
      </c>
      <c r="E404" t="e">
        <f t="shared" si="92"/>
        <v>#N/A</v>
      </c>
      <c r="F404">
        <f t="shared" si="93"/>
        <v>0</v>
      </c>
      <c r="G404">
        <f t="shared" si="94"/>
        <v>0</v>
      </c>
      <c r="H404">
        <f t="shared" si="95"/>
        <v>0</v>
      </c>
      <c r="I404">
        <f t="shared" si="96"/>
        <v>0</v>
      </c>
      <c r="J404">
        <f t="shared" si="97"/>
        <v>0</v>
      </c>
      <c r="K404" s="4" t="e">
        <f t="shared" si="86"/>
        <v>#N/A</v>
      </c>
      <c r="L404" t="e">
        <f t="shared" si="87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8"/>
        <v>0</v>
      </c>
      <c r="B405">
        <f t="shared" si="89"/>
        <v>0</v>
      </c>
      <c r="C405">
        <f t="shared" si="90"/>
        <v>0</v>
      </c>
      <c r="D405">
        <f t="shared" si="91"/>
        <v>0</v>
      </c>
      <c r="E405" t="e">
        <f t="shared" si="92"/>
        <v>#N/A</v>
      </c>
      <c r="F405">
        <f t="shared" si="93"/>
        <v>0</v>
      </c>
      <c r="G405">
        <f t="shared" si="94"/>
        <v>0</v>
      </c>
      <c r="H405">
        <f t="shared" si="95"/>
        <v>0</v>
      </c>
      <c r="I405">
        <f t="shared" si="96"/>
        <v>0</v>
      </c>
      <c r="J405">
        <f t="shared" si="97"/>
        <v>0</v>
      </c>
      <c r="K405" s="4" t="e">
        <f t="shared" si="86"/>
        <v>#N/A</v>
      </c>
      <c r="L405" t="e">
        <f t="shared" si="87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8"/>
        <v>0</v>
      </c>
      <c r="B406">
        <f t="shared" si="89"/>
        <v>0</v>
      </c>
      <c r="C406">
        <f t="shared" si="90"/>
        <v>0</v>
      </c>
      <c r="D406">
        <f t="shared" si="91"/>
        <v>0</v>
      </c>
      <c r="E406" t="e">
        <f t="shared" si="92"/>
        <v>#N/A</v>
      </c>
      <c r="F406">
        <f t="shared" si="93"/>
        <v>0</v>
      </c>
      <c r="G406">
        <f t="shared" si="94"/>
        <v>0</v>
      </c>
      <c r="H406">
        <f t="shared" si="95"/>
        <v>0</v>
      </c>
      <c r="I406">
        <f t="shared" si="96"/>
        <v>0</v>
      </c>
      <c r="J406">
        <f t="shared" si="97"/>
        <v>0</v>
      </c>
      <c r="K406" s="4" t="e">
        <f t="shared" si="86"/>
        <v>#N/A</v>
      </c>
      <c r="L406" t="e">
        <f t="shared" si="87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8"/>
        <v>0</v>
      </c>
      <c r="B407">
        <f t="shared" si="89"/>
        <v>0</v>
      </c>
      <c r="C407">
        <f t="shared" si="90"/>
        <v>0</v>
      </c>
      <c r="D407">
        <f t="shared" si="91"/>
        <v>0</v>
      </c>
      <c r="E407" t="e">
        <f t="shared" si="92"/>
        <v>#N/A</v>
      </c>
      <c r="F407">
        <f t="shared" si="93"/>
        <v>0</v>
      </c>
      <c r="G407">
        <f t="shared" si="94"/>
        <v>0</v>
      </c>
      <c r="H407">
        <f t="shared" si="95"/>
        <v>0</v>
      </c>
      <c r="I407">
        <f t="shared" si="96"/>
        <v>0</v>
      </c>
      <c r="J407">
        <f t="shared" si="97"/>
        <v>0</v>
      </c>
      <c r="K407" s="4" t="e">
        <f t="shared" si="86"/>
        <v>#N/A</v>
      </c>
      <c r="L407" t="e">
        <f t="shared" si="87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8"/>
        <v>0</v>
      </c>
      <c r="B408">
        <f t="shared" si="89"/>
        <v>0</v>
      </c>
      <c r="C408">
        <f t="shared" si="90"/>
        <v>0</v>
      </c>
      <c r="D408">
        <f t="shared" si="91"/>
        <v>0</v>
      </c>
      <c r="E408" t="e">
        <f t="shared" si="92"/>
        <v>#N/A</v>
      </c>
      <c r="F408">
        <f t="shared" si="93"/>
        <v>0</v>
      </c>
      <c r="G408">
        <f t="shared" si="94"/>
        <v>0</v>
      </c>
      <c r="H408">
        <f t="shared" si="95"/>
        <v>0</v>
      </c>
      <c r="I408">
        <f t="shared" si="96"/>
        <v>0</v>
      </c>
      <c r="J408">
        <f t="shared" si="97"/>
        <v>0</v>
      </c>
      <c r="K408" s="4" t="e">
        <f t="shared" si="86"/>
        <v>#N/A</v>
      </c>
      <c r="L408" t="e">
        <f t="shared" si="87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8"/>
        <v>0</v>
      </c>
      <c r="B409">
        <f t="shared" si="89"/>
        <v>0</v>
      </c>
      <c r="C409">
        <f t="shared" si="90"/>
        <v>0</v>
      </c>
      <c r="D409">
        <f t="shared" si="91"/>
        <v>0</v>
      </c>
      <c r="E409" t="e">
        <f t="shared" si="92"/>
        <v>#N/A</v>
      </c>
      <c r="F409">
        <f t="shared" si="93"/>
        <v>0</v>
      </c>
      <c r="G409">
        <f t="shared" si="94"/>
        <v>0</v>
      </c>
      <c r="H409">
        <f t="shared" si="95"/>
        <v>0</v>
      </c>
      <c r="I409">
        <f t="shared" si="96"/>
        <v>0</v>
      </c>
      <c r="J409">
        <f t="shared" si="97"/>
        <v>0</v>
      </c>
      <c r="K409" s="4" t="e">
        <f t="shared" si="86"/>
        <v>#N/A</v>
      </c>
      <c r="L409" t="e">
        <f t="shared" si="87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8"/>
        <v>0</v>
      </c>
      <c r="B410">
        <f t="shared" si="89"/>
        <v>0</v>
      </c>
      <c r="C410">
        <f t="shared" si="90"/>
        <v>0</v>
      </c>
      <c r="D410">
        <f t="shared" si="91"/>
        <v>0</v>
      </c>
      <c r="E410" t="e">
        <f t="shared" si="92"/>
        <v>#N/A</v>
      </c>
      <c r="F410">
        <f t="shared" si="93"/>
        <v>0</v>
      </c>
      <c r="G410">
        <f t="shared" si="94"/>
        <v>0</v>
      </c>
      <c r="H410">
        <f t="shared" si="95"/>
        <v>0</v>
      </c>
      <c r="I410">
        <f t="shared" si="96"/>
        <v>0</v>
      </c>
      <c r="J410">
        <f t="shared" si="97"/>
        <v>0</v>
      </c>
      <c r="K410" s="4" t="e">
        <f t="shared" si="86"/>
        <v>#N/A</v>
      </c>
      <c r="L410" t="e">
        <f t="shared" si="87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8"/>
        <v>0</v>
      </c>
      <c r="B411">
        <f t="shared" si="89"/>
        <v>0</v>
      </c>
      <c r="C411">
        <f t="shared" si="90"/>
        <v>0</v>
      </c>
      <c r="D411">
        <f t="shared" si="91"/>
        <v>0</v>
      </c>
      <c r="E411" t="e">
        <f t="shared" si="92"/>
        <v>#N/A</v>
      </c>
      <c r="F411">
        <f t="shared" si="93"/>
        <v>0</v>
      </c>
      <c r="G411">
        <f t="shared" si="94"/>
        <v>0</v>
      </c>
      <c r="H411">
        <f t="shared" si="95"/>
        <v>0</v>
      </c>
      <c r="I411">
        <f t="shared" si="96"/>
        <v>0</v>
      </c>
      <c r="J411">
        <f t="shared" si="97"/>
        <v>0</v>
      </c>
      <c r="K411" s="4" t="e">
        <f t="shared" si="86"/>
        <v>#N/A</v>
      </c>
      <c r="L411" t="e">
        <f t="shared" si="87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8"/>
        <v>0</v>
      </c>
      <c r="B412">
        <f t="shared" si="89"/>
        <v>0</v>
      </c>
      <c r="C412">
        <f t="shared" si="90"/>
        <v>0</v>
      </c>
      <c r="D412">
        <f t="shared" si="91"/>
        <v>0</v>
      </c>
      <c r="E412" t="e">
        <f t="shared" si="92"/>
        <v>#N/A</v>
      </c>
      <c r="F412">
        <f t="shared" si="93"/>
        <v>0</v>
      </c>
      <c r="G412">
        <f t="shared" si="94"/>
        <v>0</v>
      </c>
      <c r="H412">
        <f t="shared" si="95"/>
        <v>0</v>
      </c>
      <c r="I412">
        <f t="shared" si="96"/>
        <v>0</v>
      </c>
      <c r="J412">
        <f t="shared" si="97"/>
        <v>0</v>
      </c>
      <c r="K412" s="4" t="e">
        <f t="shared" si="86"/>
        <v>#N/A</v>
      </c>
      <c r="L412" t="e">
        <f t="shared" si="87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8"/>
        <v>0</v>
      </c>
      <c r="B413">
        <f t="shared" si="89"/>
        <v>0</v>
      </c>
      <c r="C413">
        <f t="shared" si="90"/>
        <v>0</v>
      </c>
      <c r="D413">
        <f t="shared" si="91"/>
        <v>0</v>
      </c>
      <c r="E413" t="e">
        <f t="shared" si="92"/>
        <v>#N/A</v>
      </c>
      <c r="F413">
        <f t="shared" si="93"/>
        <v>0</v>
      </c>
      <c r="G413">
        <f t="shared" si="94"/>
        <v>0</v>
      </c>
      <c r="H413">
        <f t="shared" si="95"/>
        <v>0</v>
      </c>
      <c r="I413">
        <f t="shared" si="96"/>
        <v>0</v>
      </c>
      <c r="J413">
        <f t="shared" si="97"/>
        <v>0</v>
      </c>
      <c r="K413" s="4" t="e">
        <f t="shared" si="86"/>
        <v>#N/A</v>
      </c>
      <c r="L413" t="e">
        <f t="shared" si="87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8"/>
        <v>0</v>
      </c>
      <c r="B414">
        <f t="shared" si="89"/>
        <v>0</v>
      </c>
      <c r="C414">
        <f t="shared" si="90"/>
        <v>0</v>
      </c>
      <c r="D414">
        <f t="shared" si="91"/>
        <v>0</v>
      </c>
      <c r="E414" t="e">
        <f t="shared" si="92"/>
        <v>#N/A</v>
      </c>
      <c r="F414">
        <f t="shared" si="93"/>
        <v>0</v>
      </c>
      <c r="G414">
        <f t="shared" si="94"/>
        <v>0</v>
      </c>
      <c r="H414">
        <f t="shared" si="95"/>
        <v>0</v>
      </c>
      <c r="I414">
        <f t="shared" si="96"/>
        <v>0</v>
      </c>
      <c r="J414">
        <f t="shared" si="97"/>
        <v>0</v>
      </c>
      <c r="K414" s="4" t="e">
        <f t="shared" si="86"/>
        <v>#N/A</v>
      </c>
      <c r="L414" t="e">
        <f t="shared" si="87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8"/>
        <v>0</v>
      </c>
      <c r="B415">
        <f t="shared" si="89"/>
        <v>0</v>
      </c>
      <c r="C415">
        <f t="shared" si="90"/>
        <v>0</v>
      </c>
      <c r="D415">
        <f t="shared" si="91"/>
        <v>0</v>
      </c>
      <c r="E415" t="e">
        <f t="shared" si="92"/>
        <v>#N/A</v>
      </c>
      <c r="F415">
        <f t="shared" si="93"/>
        <v>0</v>
      </c>
      <c r="G415">
        <f t="shared" si="94"/>
        <v>0</v>
      </c>
      <c r="H415">
        <f t="shared" si="95"/>
        <v>0</v>
      </c>
      <c r="I415">
        <f t="shared" si="96"/>
        <v>0</v>
      </c>
      <c r="J415">
        <f t="shared" si="97"/>
        <v>0</v>
      </c>
      <c r="K415" s="4" t="e">
        <f t="shared" si="86"/>
        <v>#N/A</v>
      </c>
      <c r="L415" t="e">
        <f t="shared" si="87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8"/>
        <v>0</v>
      </c>
      <c r="B416">
        <f t="shared" si="89"/>
        <v>0</v>
      </c>
      <c r="C416">
        <f t="shared" si="90"/>
        <v>0</v>
      </c>
      <c r="D416">
        <f t="shared" si="91"/>
        <v>0</v>
      </c>
      <c r="E416" t="e">
        <f t="shared" si="92"/>
        <v>#N/A</v>
      </c>
      <c r="F416">
        <f t="shared" si="93"/>
        <v>0</v>
      </c>
      <c r="G416">
        <f t="shared" si="94"/>
        <v>0</v>
      </c>
      <c r="H416">
        <f t="shared" si="95"/>
        <v>0</v>
      </c>
      <c r="I416">
        <f t="shared" si="96"/>
        <v>0</v>
      </c>
      <c r="J416">
        <f t="shared" si="97"/>
        <v>0</v>
      </c>
      <c r="K416" s="4" t="e">
        <f t="shared" si="86"/>
        <v>#N/A</v>
      </c>
      <c r="L416" t="e">
        <f t="shared" si="87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8"/>
        <v>0</v>
      </c>
      <c r="B417">
        <f t="shared" si="89"/>
        <v>0</v>
      </c>
      <c r="C417">
        <f t="shared" si="90"/>
        <v>0</v>
      </c>
      <c r="D417">
        <f t="shared" si="91"/>
        <v>0</v>
      </c>
      <c r="E417" t="e">
        <f t="shared" si="92"/>
        <v>#N/A</v>
      </c>
      <c r="F417">
        <f t="shared" si="93"/>
        <v>0</v>
      </c>
      <c r="G417">
        <f t="shared" si="94"/>
        <v>0</v>
      </c>
      <c r="H417">
        <f t="shared" si="95"/>
        <v>0</v>
      </c>
      <c r="I417">
        <f t="shared" si="96"/>
        <v>0</v>
      </c>
      <c r="J417">
        <f t="shared" si="97"/>
        <v>0</v>
      </c>
      <c r="K417" s="4" t="e">
        <f t="shared" si="86"/>
        <v>#N/A</v>
      </c>
      <c r="L417" t="e">
        <f t="shared" si="87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8"/>
        <v>0</v>
      </c>
      <c r="B418">
        <f t="shared" si="89"/>
        <v>0</v>
      </c>
      <c r="C418">
        <f t="shared" si="90"/>
        <v>0</v>
      </c>
      <c r="D418">
        <f t="shared" si="91"/>
        <v>0</v>
      </c>
      <c r="E418" t="e">
        <f t="shared" si="92"/>
        <v>#N/A</v>
      </c>
      <c r="F418">
        <f t="shared" si="93"/>
        <v>0</v>
      </c>
      <c r="G418">
        <f t="shared" si="94"/>
        <v>0</v>
      </c>
      <c r="H418">
        <f t="shared" si="95"/>
        <v>0</v>
      </c>
      <c r="I418">
        <f t="shared" si="96"/>
        <v>0</v>
      </c>
      <c r="J418">
        <f t="shared" si="97"/>
        <v>0</v>
      </c>
      <c r="K418" s="4" t="e">
        <f t="shared" si="86"/>
        <v>#N/A</v>
      </c>
      <c r="L418" t="e">
        <f t="shared" si="87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8"/>
        <v>0</v>
      </c>
      <c r="B419">
        <f t="shared" si="89"/>
        <v>0</v>
      </c>
      <c r="C419">
        <f t="shared" si="90"/>
        <v>0</v>
      </c>
      <c r="D419">
        <f t="shared" si="91"/>
        <v>0</v>
      </c>
      <c r="E419" t="e">
        <f t="shared" si="92"/>
        <v>#N/A</v>
      </c>
      <c r="F419">
        <f t="shared" si="93"/>
        <v>0</v>
      </c>
      <c r="G419">
        <f t="shared" si="94"/>
        <v>0</v>
      </c>
      <c r="H419">
        <f t="shared" si="95"/>
        <v>0</v>
      </c>
      <c r="I419">
        <f t="shared" si="96"/>
        <v>0</v>
      </c>
      <c r="J419">
        <f t="shared" si="97"/>
        <v>0</v>
      </c>
      <c r="K419" s="4" t="e">
        <f t="shared" si="86"/>
        <v>#N/A</v>
      </c>
      <c r="L419" t="e">
        <f t="shared" si="87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8"/>
        <v>0</v>
      </c>
      <c r="B420">
        <f t="shared" si="89"/>
        <v>0</v>
      </c>
      <c r="C420">
        <f t="shared" si="90"/>
        <v>0</v>
      </c>
      <c r="D420">
        <f t="shared" si="91"/>
        <v>0</v>
      </c>
      <c r="E420" t="e">
        <f t="shared" si="92"/>
        <v>#N/A</v>
      </c>
      <c r="F420">
        <f t="shared" si="93"/>
        <v>0</v>
      </c>
      <c r="G420">
        <f t="shared" si="94"/>
        <v>0</v>
      </c>
      <c r="H420">
        <f t="shared" si="95"/>
        <v>0</v>
      </c>
      <c r="I420">
        <f t="shared" si="96"/>
        <v>0</v>
      </c>
      <c r="J420">
        <f t="shared" si="97"/>
        <v>0</v>
      </c>
      <c r="K420" s="4" t="e">
        <f t="shared" si="86"/>
        <v>#N/A</v>
      </c>
      <c r="L420" t="e">
        <f t="shared" si="87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8"/>
        <v>0</v>
      </c>
      <c r="B421">
        <f t="shared" si="89"/>
        <v>0</v>
      </c>
      <c r="C421">
        <f t="shared" si="90"/>
        <v>0</v>
      </c>
      <c r="D421">
        <f t="shared" si="91"/>
        <v>0</v>
      </c>
      <c r="E421" t="e">
        <f t="shared" si="92"/>
        <v>#N/A</v>
      </c>
      <c r="F421">
        <f t="shared" si="93"/>
        <v>0</v>
      </c>
      <c r="G421">
        <f t="shared" si="94"/>
        <v>0</v>
      </c>
      <c r="H421">
        <f t="shared" si="95"/>
        <v>0</v>
      </c>
      <c r="I421">
        <f t="shared" si="96"/>
        <v>0</v>
      </c>
      <c r="J421">
        <f t="shared" si="97"/>
        <v>0</v>
      </c>
      <c r="K421" s="4" t="e">
        <f t="shared" si="86"/>
        <v>#N/A</v>
      </c>
      <c r="L421" t="e">
        <f t="shared" si="87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8"/>
        <v>0</v>
      </c>
      <c r="B422">
        <f t="shared" si="89"/>
        <v>0</v>
      </c>
      <c r="C422">
        <f t="shared" si="90"/>
        <v>0</v>
      </c>
      <c r="D422">
        <f t="shared" si="91"/>
        <v>0</v>
      </c>
      <c r="E422" t="e">
        <f t="shared" si="92"/>
        <v>#N/A</v>
      </c>
      <c r="F422">
        <f t="shared" si="93"/>
        <v>0</v>
      </c>
      <c r="G422">
        <f t="shared" si="94"/>
        <v>0</v>
      </c>
      <c r="H422">
        <f t="shared" si="95"/>
        <v>0</v>
      </c>
      <c r="I422">
        <f t="shared" si="96"/>
        <v>0</v>
      </c>
      <c r="J422">
        <f t="shared" si="97"/>
        <v>0</v>
      </c>
      <c r="K422" s="4" t="e">
        <f t="shared" si="86"/>
        <v>#N/A</v>
      </c>
      <c r="L422" t="e">
        <f t="shared" si="87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8"/>
        <v>0</v>
      </c>
      <c r="B423">
        <f t="shared" si="89"/>
        <v>0</v>
      </c>
      <c r="C423">
        <f t="shared" si="90"/>
        <v>0</v>
      </c>
      <c r="D423">
        <f t="shared" si="91"/>
        <v>0</v>
      </c>
      <c r="E423" t="e">
        <f t="shared" si="92"/>
        <v>#N/A</v>
      </c>
      <c r="F423">
        <f t="shared" si="93"/>
        <v>0</v>
      </c>
      <c r="G423">
        <f t="shared" si="94"/>
        <v>0</v>
      </c>
      <c r="H423">
        <f t="shared" si="95"/>
        <v>0</v>
      </c>
      <c r="I423">
        <f t="shared" si="96"/>
        <v>0</v>
      </c>
      <c r="J423">
        <f t="shared" si="97"/>
        <v>0</v>
      </c>
      <c r="K423" s="4" t="e">
        <f t="shared" si="86"/>
        <v>#N/A</v>
      </c>
      <c r="L423" t="e">
        <f t="shared" si="87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8"/>
        <v>0</v>
      </c>
      <c r="B424">
        <f t="shared" si="89"/>
        <v>0</v>
      </c>
      <c r="C424">
        <f t="shared" si="90"/>
        <v>0</v>
      </c>
      <c r="D424">
        <f t="shared" si="91"/>
        <v>0</v>
      </c>
      <c r="E424" t="e">
        <f t="shared" si="92"/>
        <v>#N/A</v>
      </c>
      <c r="F424">
        <f t="shared" si="93"/>
        <v>0</v>
      </c>
      <c r="G424">
        <f t="shared" si="94"/>
        <v>0</v>
      </c>
      <c r="H424">
        <f t="shared" si="95"/>
        <v>0</v>
      </c>
      <c r="I424">
        <f t="shared" si="96"/>
        <v>0</v>
      </c>
      <c r="J424">
        <f t="shared" si="97"/>
        <v>0</v>
      </c>
      <c r="K424" s="4" t="e">
        <f t="shared" si="86"/>
        <v>#N/A</v>
      </c>
      <c r="L424" t="e">
        <f t="shared" si="87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8"/>
        <v>0</v>
      </c>
      <c r="B425">
        <f t="shared" si="89"/>
        <v>0</v>
      </c>
      <c r="C425">
        <f t="shared" si="90"/>
        <v>0</v>
      </c>
      <c r="D425">
        <f t="shared" si="91"/>
        <v>0</v>
      </c>
      <c r="E425" t="e">
        <f t="shared" si="92"/>
        <v>#N/A</v>
      </c>
      <c r="F425">
        <f t="shared" si="93"/>
        <v>0</v>
      </c>
      <c r="G425">
        <f t="shared" si="94"/>
        <v>0</v>
      </c>
      <c r="H425">
        <f t="shared" si="95"/>
        <v>0</v>
      </c>
      <c r="I425">
        <f t="shared" si="96"/>
        <v>0</v>
      </c>
      <c r="J425">
        <f t="shared" si="97"/>
        <v>0</v>
      </c>
      <c r="K425" s="4" t="e">
        <f t="shared" si="86"/>
        <v>#N/A</v>
      </c>
      <c r="L425" t="e">
        <f t="shared" si="87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8"/>
        <v>0</v>
      </c>
      <c r="B426">
        <f t="shared" si="89"/>
        <v>0</v>
      </c>
      <c r="C426">
        <f t="shared" si="90"/>
        <v>0</v>
      </c>
      <c r="D426">
        <f t="shared" si="91"/>
        <v>0</v>
      </c>
      <c r="E426" t="e">
        <f t="shared" si="92"/>
        <v>#N/A</v>
      </c>
      <c r="F426">
        <f t="shared" si="93"/>
        <v>0</v>
      </c>
      <c r="G426">
        <f t="shared" si="94"/>
        <v>0</v>
      </c>
      <c r="H426">
        <f t="shared" si="95"/>
        <v>0</v>
      </c>
      <c r="I426">
        <f t="shared" si="96"/>
        <v>0</v>
      </c>
      <c r="J426">
        <f t="shared" si="97"/>
        <v>0</v>
      </c>
      <c r="K426" s="4" t="e">
        <f t="shared" si="86"/>
        <v>#N/A</v>
      </c>
      <c r="L426" t="e">
        <f t="shared" si="87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8"/>
        <v>0</v>
      </c>
      <c r="B427">
        <f t="shared" si="89"/>
        <v>0</v>
      </c>
      <c r="C427">
        <f t="shared" si="90"/>
        <v>0</v>
      </c>
      <c r="D427">
        <f t="shared" si="91"/>
        <v>0</v>
      </c>
      <c r="E427" t="e">
        <f t="shared" si="92"/>
        <v>#N/A</v>
      </c>
      <c r="F427">
        <f t="shared" si="93"/>
        <v>0</v>
      </c>
      <c r="G427">
        <f t="shared" si="94"/>
        <v>0</v>
      </c>
      <c r="H427">
        <f t="shared" si="95"/>
        <v>0</v>
      </c>
      <c r="I427">
        <f t="shared" si="96"/>
        <v>0</v>
      </c>
      <c r="J427">
        <f t="shared" si="97"/>
        <v>0</v>
      </c>
      <c r="K427" s="4" t="e">
        <f t="shared" si="86"/>
        <v>#N/A</v>
      </c>
      <c r="L427" t="e">
        <f t="shared" si="87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8"/>
        <v>0</v>
      </c>
      <c r="B428">
        <f t="shared" si="89"/>
        <v>0</v>
      </c>
      <c r="C428">
        <f t="shared" si="90"/>
        <v>0</v>
      </c>
      <c r="D428">
        <f t="shared" si="91"/>
        <v>0</v>
      </c>
      <c r="E428" t="e">
        <f t="shared" si="92"/>
        <v>#N/A</v>
      </c>
      <c r="F428">
        <f t="shared" si="93"/>
        <v>0</v>
      </c>
      <c r="G428">
        <f t="shared" si="94"/>
        <v>0</v>
      </c>
      <c r="H428">
        <f t="shared" si="95"/>
        <v>0</v>
      </c>
      <c r="I428">
        <f t="shared" si="96"/>
        <v>0</v>
      </c>
      <c r="J428">
        <f t="shared" si="97"/>
        <v>0</v>
      </c>
      <c r="K428" s="4" t="e">
        <f t="shared" ref="K428:K491" si="100">IF(LEFT(B428,3)="DBM",0,VLOOKUP(E428,tabela,2,FALSE))</f>
        <v>#N/A</v>
      </c>
      <c r="L428" t="e">
        <f t="shared" ref="L428:L491" si="101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8"/>
        <v>0</v>
      </c>
      <c r="B429">
        <f t="shared" si="89"/>
        <v>0</v>
      </c>
      <c r="C429">
        <f t="shared" si="90"/>
        <v>0</v>
      </c>
      <c r="D429">
        <f t="shared" si="91"/>
        <v>0</v>
      </c>
      <c r="E429" t="e">
        <f t="shared" si="92"/>
        <v>#N/A</v>
      </c>
      <c r="F429">
        <f t="shared" si="93"/>
        <v>0</v>
      </c>
      <c r="G429">
        <f t="shared" si="94"/>
        <v>0</v>
      </c>
      <c r="H429">
        <f t="shared" si="95"/>
        <v>0</v>
      </c>
      <c r="I429">
        <f t="shared" si="96"/>
        <v>0</v>
      </c>
      <c r="J429">
        <f t="shared" si="97"/>
        <v>0</v>
      </c>
      <c r="K429" s="4" t="e">
        <f t="shared" si="100"/>
        <v>#N/A</v>
      </c>
      <c r="L429" t="e">
        <f t="shared" si="101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8"/>
        <v>0</v>
      </c>
      <c r="B430">
        <f t="shared" si="89"/>
        <v>0</v>
      </c>
      <c r="C430">
        <f t="shared" si="90"/>
        <v>0</v>
      </c>
      <c r="D430">
        <f t="shared" si="91"/>
        <v>0</v>
      </c>
      <c r="E430" t="e">
        <f t="shared" si="92"/>
        <v>#N/A</v>
      </c>
      <c r="F430">
        <f t="shared" si="93"/>
        <v>0</v>
      </c>
      <c r="G430">
        <f t="shared" si="94"/>
        <v>0</v>
      </c>
      <c r="H430">
        <f t="shared" si="95"/>
        <v>0</v>
      </c>
      <c r="I430">
        <f t="shared" si="96"/>
        <v>0</v>
      </c>
      <c r="J430">
        <f t="shared" si="97"/>
        <v>0</v>
      </c>
      <c r="K430" s="4" t="e">
        <f t="shared" si="100"/>
        <v>#N/A</v>
      </c>
      <c r="L430" t="e">
        <f t="shared" si="101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8"/>
        <v>0</v>
      </c>
      <c r="B431">
        <f t="shared" si="89"/>
        <v>0</v>
      </c>
      <c r="C431">
        <f t="shared" si="90"/>
        <v>0</v>
      </c>
      <c r="D431">
        <f t="shared" si="91"/>
        <v>0</v>
      </c>
      <c r="E431" t="e">
        <f t="shared" si="92"/>
        <v>#N/A</v>
      </c>
      <c r="F431">
        <f t="shared" si="93"/>
        <v>0</v>
      </c>
      <c r="G431">
        <f t="shared" si="94"/>
        <v>0</v>
      </c>
      <c r="H431">
        <f t="shared" si="95"/>
        <v>0</v>
      </c>
      <c r="I431">
        <f t="shared" si="96"/>
        <v>0</v>
      </c>
      <c r="J431">
        <f t="shared" si="97"/>
        <v>0</v>
      </c>
      <c r="K431" s="4" t="e">
        <f t="shared" si="100"/>
        <v>#N/A</v>
      </c>
      <c r="L431" t="e">
        <f t="shared" si="101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8"/>
        <v>0</v>
      </c>
      <c r="B432">
        <f t="shared" si="89"/>
        <v>0</v>
      </c>
      <c r="C432">
        <f t="shared" si="90"/>
        <v>0</v>
      </c>
      <c r="D432">
        <f t="shared" si="91"/>
        <v>0</v>
      </c>
      <c r="E432" t="e">
        <f t="shared" si="92"/>
        <v>#N/A</v>
      </c>
      <c r="F432">
        <f t="shared" si="93"/>
        <v>0</v>
      </c>
      <c r="G432">
        <f t="shared" si="94"/>
        <v>0</v>
      </c>
      <c r="H432">
        <f t="shared" si="95"/>
        <v>0</v>
      </c>
      <c r="I432">
        <f t="shared" si="96"/>
        <v>0</v>
      </c>
      <c r="J432">
        <f t="shared" si="97"/>
        <v>0</v>
      </c>
      <c r="K432" s="4" t="e">
        <f t="shared" si="100"/>
        <v>#N/A</v>
      </c>
      <c r="L432" t="e">
        <f t="shared" si="101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8"/>
        <v>0</v>
      </c>
      <c r="B433">
        <f t="shared" si="89"/>
        <v>0</v>
      </c>
      <c r="C433">
        <f t="shared" si="90"/>
        <v>0</v>
      </c>
      <c r="D433">
        <f t="shared" si="91"/>
        <v>0</v>
      </c>
      <c r="E433" t="e">
        <f t="shared" si="92"/>
        <v>#N/A</v>
      </c>
      <c r="F433">
        <f t="shared" si="93"/>
        <v>0</v>
      </c>
      <c r="G433">
        <f t="shared" si="94"/>
        <v>0</v>
      </c>
      <c r="H433">
        <f t="shared" si="95"/>
        <v>0</v>
      </c>
      <c r="I433">
        <f t="shared" si="96"/>
        <v>0</v>
      </c>
      <c r="J433">
        <f t="shared" si="97"/>
        <v>0</v>
      </c>
      <c r="K433" s="4" t="e">
        <f t="shared" si="100"/>
        <v>#N/A</v>
      </c>
      <c r="L433" t="e">
        <f t="shared" si="101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8"/>
        <v>0</v>
      </c>
      <c r="B434">
        <f t="shared" si="89"/>
        <v>0</v>
      </c>
      <c r="C434">
        <f t="shared" si="90"/>
        <v>0</v>
      </c>
      <c r="D434">
        <f t="shared" si="91"/>
        <v>0</v>
      </c>
      <c r="E434" t="e">
        <f t="shared" si="92"/>
        <v>#N/A</v>
      </c>
      <c r="F434">
        <f t="shared" si="93"/>
        <v>0</v>
      </c>
      <c r="G434">
        <f t="shared" si="94"/>
        <v>0</v>
      </c>
      <c r="H434">
        <f t="shared" si="95"/>
        <v>0</v>
      </c>
      <c r="I434">
        <f t="shared" si="96"/>
        <v>0</v>
      </c>
      <c r="J434">
        <f t="shared" si="97"/>
        <v>0</v>
      </c>
      <c r="K434" s="4" t="e">
        <f t="shared" si="100"/>
        <v>#N/A</v>
      </c>
      <c r="L434" t="e">
        <f t="shared" si="101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8"/>
        <v>0</v>
      </c>
      <c r="B435">
        <f t="shared" si="89"/>
        <v>0</v>
      </c>
      <c r="C435">
        <f t="shared" si="90"/>
        <v>0</v>
      </c>
      <c r="D435">
        <f t="shared" si="91"/>
        <v>0</v>
      </c>
      <c r="E435" t="e">
        <f t="shared" si="92"/>
        <v>#N/A</v>
      </c>
      <c r="F435">
        <f t="shared" si="93"/>
        <v>0</v>
      </c>
      <c r="G435">
        <f t="shared" si="94"/>
        <v>0</v>
      </c>
      <c r="H435">
        <f t="shared" si="95"/>
        <v>0</v>
      </c>
      <c r="I435">
        <f t="shared" si="96"/>
        <v>0</v>
      </c>
      <c r="J435">
        <f t="shared" si="97"/>
        <v>0</v>
      </c>
      <c r="K435" s="4" t="e">
        <f t="shared" si="100"/>
        <v>#N/A</v>
      </c>
      <c r="L435" t="e">
        <f t="shared" si="101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8"/>
        <v>0</v>
      </c>
      <c r="B436">
        <f t="shared" si="89"/>
        <v>0</v>
      </c>
      <c r="C436">
        <f t="shared" si="90"/>
        <v>0</v>
      </c>
      <c r="D436">
        <f t="shared" si="91"/>
        <v>0</v>
      </c>
      <c r="E436" t="e">
        <f t="shared" si="92"/>
        <v>#N/A</v>
      </c>
      <c r="F436">
        <f t="shared" si="93"/>
        <v>0</v>
      </c>
      <c r="G436">
        <f t="shared" si="94"/>
        <v>0</v>
      </c>
      <c r="H436">
        <f t="shared" si="95"/>
        <v>0</v>
      </c>
      <c r="I436">
        <f t="shared" si="96"/>
        <v>0</v>
      </c>
      <c r="J436">
        <f t="shared" si="97"/>
        <v>0</v>
      </c>
      <c r="K436" s="4" t="e">
        <f t="shared" si="100"/>
        <v>#N/A</v>
      </c>
      <c r="L436" t="e">
        <f t="shared" si="101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8"/>
        <v>0</v>
      </c>
      <c r="B437">
        <f t="shared" si="89"/>
        <v>0</v>
      </c>
      <c r="C437">
        <f t="shared" si="90"/>
        <v>0</v>
      </c>
      <c r="D437">
        <f t="shared" si="91"/>
        <v>0</v>
      </c>
      <c r="E437" t="e">
        <f t="shared" si="92"/>
        <v>#N/A</v>
      </c>
      <c r="F437">
        <f t="shared" si="93"/>
        <v>0</v>
      </c>
      <c r="G437">
        <f t="shared" si="94"/>
        <v>0</v>
      </c>
      <c r="H437">
        <f t="shared" si="95"/>
        <v>0</v>
      </c>
      <c r="I437">
        <f t="shared" si="96"/>
        <v>0</v>
      </c>
      <c r="J437">
        <f t="shared" si="97"/>
        <v>0</v>
      </c>
      <c r="K437" s="4" t="e">
        <f t="shared" si="100"/>
        <v>#N/A</v>
      </c>
      <c r="L437" t="e">
        <f t="shared" si="101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8"/>
        <v>0</v>
      </c>
      <c r="B438">
        <f t="shared" si="89"/>
        <v>0</v>
      </c>
      <c r="C438">
        <f t="shared" si="90"/>
        <v>0</v>
      </c>
      <c r="D438">
        <f t="shared" si="91"/>
        <v>0</v>
      </c>
      <c r="E438" t="e">
        <f t="shared" si="92"/>
        <v>#N/A</v>
      </c>
      <c r="F438">
        <f t="shared" si="93"/>
        <v>0</v>
      </c>
      <c r="G438">
        <f t="shared" si="94"/>
        <v>0</v>
      </c>
      <c r="H438">
        <f t="shared" si="95"/>
        <v>0</v>
      </c>
      <c r="I438">
        <f t="shared" si="96"/>
        <v>0</v>
      </c>
      <c r="J438">
        <f t="shared" si="97"/>
        <v>0</v>
      </c>
      <c r="K438" s="4" t="e">
        <f t="shared" si="100"/>
        <v>#N/A</v>
      </c>
      <c r="L438" t="e">
        <f t="shared" si="101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8"/>
        <v>0</v>
      </c>
      <c r="B439">
        <f t="shared" si="89"/>
        <v>0</v>
      </c>
      <c r="C439">
        <f t="shared" si="90"/>
        <v>0</v>
      </c>
      <c r="D439">
        <f t="shared" si="91"/>
        <v>0</v>
      </c>
      <c r="E439" t="e">
        <f t="shared" si="92"/>
        <v>#N/A</v>
      </c>
      <c r="F439">
        <f t="shared" si="93"/>
        <v>0</v>
      </c>
      <c r="G439">
        <f t="shared" si="94"/>
        <v>0</v>
      </c>
      <c r="H439">
        <f t="shared" si="95"/>
        <v>0</v>
      </c>
      <c r="I439">
        <f t="shared" si="96"/>
        <v>0</v>
      </c>
      <c r="J439">
        <f t="shared" si="97"/>
        <v>0</v>
      </c>
      <c r="K439" s="4" t="e">
        <f t="shared" si="100"/>
        <v>#N/A</v>
      </c>
      <c r="L439" t="e">
        <f t="shared" si="101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8"/>
        <v>0</v>
      </c>
      <c r="B440">
        <f t="shared" si="89"/>
        <v>0</v>
      </c>
      <c r="C440">
        <f t="shared" si="90"/>
        <v>0</v>
      </c>
      <c r="D440">
        <f t="shared" si="91"/>
        <v>0</v>
      </c>
      <c r="E440" t="e">
        <f t="shared" si="92"/>
        <v>#N/A</v>
      </c>
      <c r="F440">
        <f t="shared" si="93"/>
        <v>0</v>
      </c>
      <c r="G440">
        <f t="shared" si="94"/>
        <v>0</v>
      </c>
      <c r="H440">
        <f t="shared" si="95"/>
        <v>0</v>
      </c>
      <c r="I440">
        <f t="shared" si="96"/>
        <v>0</v>
      </c>
      <c r="J440">
        <f t="shared" si="97"/>
        <v>0</v>
      </c>
      <c r="K440" s="4" t="e">
        <f t="shared" si="100"/>
        <v>#N/A</v>
      </c>
      <c r="L440" t="e">
        <f t="shared" si="101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8"/>
        <v>0</v>
      </c>
      <c r="B441">
        <f t="shared" si="89"/>
        <v>0</v>
      </c>
      <c r="C441">
        <f t="shared" si="90"/>
        <v>0</v>
      </c>
      <c r="D441">
        <f t="shared" si="91"/>
        <v>0</v>
      </c>
      <c r="E441" t="e">
        <f t="shared" si="92"/>
        <v>#N/A</v>
      </c>
      <c r="F441">
        <f t="shared" si="93"/>
        <v>0</v>
      </c>
      <c r="G441">
        <f t="shared" si="94"/>
        <v>0</v>
      </c>
      <c r="H441">
        <f t="shared" si="95"/>
        <v>0</v>
      </c>
      <c r="I441">
        <f t="shared" si="96"/>
        <v>0</v>
      </c>
      <c r="J441">
        <f t="shared" si="97"/>
        <v>0</v>
      </c>
      <c r="K441" s="4" t="e">
        <f t="shared" si="100"/>
        <v>#N/A</v>
      </c>
      <c r="L441" t="e">
        <f t="shared" si="101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8"/>
        <v>0</v>
      </c>
      <c r="B442">
        <f t="shared" si="89"/>
        <v>0</v>
      </c>
      <c r="C442">
        <f t="shared" si="90"/>
        <v>0</v>
      </c>
      <c r="D442">
        <f t="shared" si="91"/>
        <v>0</v>
      </c>
      <c r="E442" t="e">
        <f t="shared" si="92"/>
        <v>#N/A</v>
      </c>
      <c r="F442">
        <f t="shared" si="93"/>
        <v>0</v>
      </c>
      <c r="G442">
        <f t="shared" si="94"/>
        <v>0</v>
      </c>
      <c r="H442">
        <f t="shared" si="95"/>
        <v>0</v>
      </c>
      <c r="I442">
        <f t="shared" si="96"/>
        <v>0</v>
      </c>
      <c r="J442">
        <f t="shared" si="97"/>
        <v>0</v>
      </c>
      <c r="K442" s="4" t="e">
        <f t="shared" si="100"/>
        <v>#N/A</v>
      </c>
      <c r="L442" t="e">
        <f t="shared" si="101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8"/>
        <v>0</v>
      </c>
      <c r="B443">
        <f t="shared" si="89"/>
        <v>0</v>
      </c>
      <c r="C443">
        <f t="shared" si="90"/>
        <v>0</v>
      </c>
      <c r="D443">
        <f t="shared" si="91"/>
        <v>0</v>
      </c>
      <c r="E443" t="e">
        <f t="shared" si="92"/>
        <v>#N/A</v>
      </c>
      <c r="F443">
        <f t="shared" si="93"/>
        <v>0</v>
      </c>
      <c r="G443">
        <f t="shared" si="94"/>
        <v>0</v>
      </c>
      <c r="H443">
        <f t="shared" si="95"/>
        <v>0</v>
      </c>
      <c r="I443">
        <f t="shared" si="96"/>
        <v>0</v>
      </c>
      <c r="J443">
        <f t="shared" si="97"/>
        <v>0</v>
      </c>
      <c r="K443" s="4" t="e">
        <f t="shared" si="100"/>
        <v>#N/A</v>
      </c>
      <c r="L443" t="e">
        <f t="shared" si="101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8"/>
        <v>0</v>
      </c>
      <c r="B444">
        <f t="shared" si="89"/>
        <v>0</v>
      </c>
      <c r="C444">
        <f t="shared" si="90"/>
        <v>0</v>
      </c>
      <c r="D444">
        <f t="shared" si="91"/>
        <v>0</v>
      </c>
      <c r="E444" t="e">
        <f t="shared" si="92"/>
        <v>#N/A</v>
      </c>
      <c r="F444">
        <f t="shared" si="93"/>
        <v>0</v>
      </c>
      <c r="G444">
        <f t="shared" si="94"/>
        <v>0</v>
      </c>
      <c r="H444">
        <f t="shared" si="95"/>
        <v>0</v>
      </c>
      <c r="I444">
        <f t="shared" si="96"/>
        <v>0</v>
      </c>
      <c r="J444">
        <f t="shared" si="97"/>
        <v>0</v>
      </c>
      <c r="K444" s="4" t="e">
        <f t="shared" si="100"/>
        <v>#N/A</v>
      </c>
      <c r="L444" t="e">
        <f t="shared" si="101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8"/>
        <v>0</v>
      </c>
      <c r="B445">
        <f t="shared" si="89"/>
        <v>0</v>
      </c>
      <c r="C445">
        <f t="shared" si="90"/>
        <v>0</v>
      </c>
      <c r="D445">
        <f t="shared" si="91"/>
        <v>0</v>
      </c>
      <c r="E445" t="e">
        <f t="shared" si="92"/>
        <v>#N/A</v>
      </c>
      <c r="F445">
        <f t="shared" si="93"/>
        <v>0</v>
      </c>
      <c r="G445">
        <f t="shared" si="94"/>
        <v>0</v>
      </c>
      <c r="H445">
        <f t="shared" si="95"/>
        <v>0</v>
      </c>
      <c r="I445">
        <f t="shared" si="96"/>
        <v>0</v>
      </c>
      <c r="J445">
        <f t="shared" si="97"/>
        <v>0</v>
      </c>
      <c r="K445" s="4" t="e">
        <f t="shared" si="100"/>
        <v>#N/A</v>
      </c>
      <c r="L445" t="e">
        <f t="shared" si="101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8"/>
        <v>0</v>
      </c>
      <c r="B446">
        <f t="shared" si="89"/>
        <v>0</v>
      </c>
      <c r="C446">
        <f t="shared" si="90"/>
        <v>0</v>
      </c>
      <c r="D446">
        <f t="shared" si="91"/>
        <v>0</v>
      </c>
      <c r="E446" t="e">
        <f t="shared" si="92"/>
        <v>#N/A</v>
      </c>
      <c r="F446">
        <f t="shared" si="93"/>
        <v>0</v>
      </c>
      <c r="G446">
        <f t="shared" si="94"/>
        <v>0</v>
      </c>
      <c r="H446">
        <f t="shared" si="95"/>
        <v>0</v>
      </c>
      <c r="I446">
        <f t="shared" si="96"/>
        <v>0</v>
      </c>
      <c r="J446">
        <f t="shared" si="97"/>
        <v>0</v>
      </c>
      <c r="K446" s="4" t="e">
        <f t="shared" si="100"/>
        <v>#N/A</v>
      </c>
      <c r="L446" t="e">
        <f t="shared" si="101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8"/>
        <v>0</v>
      </c>
      <c r="B447">
        <f t="shared" si="89"/>
        <v>0</v>
      </c>
      <c r="C447">
        <f t="shared" si="90"/>
        <v>0</v>
      </c>
      <c r="D447">
        <f t="shared" si="91"/>
        <v>0</v>
      </c>
      <c r="E447" t="e">
        <f t="shared" si="92"/>
        <v>#N/A</v>
      </c>
      <c r="F447">
        <f t="shared" si="93"/>
        <v>0</v>
      </c>
      <c r="G447">
        <f t="shared" si="94"/>
        <v>0</v>
      </c>
      <c r="H447">
        <f t="shared" si="95"/>
        <v>0</v>
      </c>
      <c r="I447">
        <f t="shared" si="96"/>
        <v>0</v>
      </c>
      <c r="J447">
        <f t="shared" si="97"/>
        <v>0</v>
      </c>
      <c r="K447" s="4" t="e">
        <f t="shared" si="100"/>
        <v>#N/A</v>
      </c>
      <c r="L447" t="e">
        <f t="shared" si="101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8"/>
        <v>0</v>
      </c>
      <c r="B448">
        <f t="shared" si="89"/>
        <v>0</v>
      </c>
      <c r="C448">
        <f t="shared" si="90"/>
        <v>0</v>
      </c>
      <c r="D448">
        <f t="shared" si="91"/>
        <v>0</v>
      </c>
      <c r="E448" t="e">
        <f t="shared" si="92"/>
        <v>#N/A</v>
      </c>
      <c r="F448">
        <f t="shared" si="93"/>
        <v>0</v>
      </c>
      <c r="G448">
        <f t="shared" si="94"/>
        <v>0</v>
      </c>
      <c r="H448">
        <f t="shared" si="95"/>
        <v>0</v>
      </c>
      <c r="I448">
        <f t="shared" si="96"/>
        <v>0</v>
      </c>
      <c r="J448">
        <f t="shared" si="97"/>
        <v>0</v>
      </c>
      <c r="K448" s="4" t="e">
        <f t="shared" si="100"/>
        <v>#N/A</v>
      </c>
      <c r="L448" t="e">
        <f t="shared" si="101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8"/>
        <v>0</v>
      </c>
      <c r="B449">
        <f t="shared" si="89"/>
        <v>0</v>
      </c>
      <c r="C449">
        <f t="shared" si="90"/>
        <v>0</v>
      </c>
      <c r="D449">
        <f t="shared" si="91"/>
        <v>0</v>
      </c>
      <c r="E449" t="e">
        <f t="shared" si="92"/>
        <v>#N/A</v>
      </c>
      <c r="F449">
        <f t="shared" si="93"/>
        <v>0</v>
      </c>
      <c r="G449">
        <f t="shared" si="94"/>
        <v>0</v>
      </c>
      <c r="H449">
        <f t="shared" si="95"/>
        <v>0</v>
      </c>
      <c r="I449">
        <f t="shared" si="96"/>
        <v>0</v>
      </c>
      <c r="J449">
        <f t="shared" si="97"/>
        <v>0</v>
      </c>
      <c r="K449" s="4" t="e">
        <f t="shared" si="100"/>
        <v>#N/A</v>
      </c>
      <c r="L449" t="e">
        <f t="shared" si="101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2">bd_campaign</f>
        <v>0</v>
      </c>
      <c r="B450">
        <f t="shared" ref="B450:B513" si="103">bd_site</f>
        <v>0</v>
      </c>
      <c r="C450">
        <f t="shared" ref="C450:C513" si="104">bd_placement</f>
        <v>0</v>
      </c>
      <c r="D450">
        <f t="shared" ref="D450:D513" si="105">bd_placementID</f>
        <v>0</v>
      </c>
      <c r="E450" t="e">
        <f t="shared" ref="E450:E513" si="106">VLOOKUP(CONCATENATE(bd_adtype,"_",bd_creativetype),tabela,2,FALSE)</f>
        <v>#N/A</v>
      </c>
      <c r="F450">
        <f t="shared" ref="F450:F513" si="107">bd_ad</f>
        <v>0</v>
      </c>
      <c r="G450">
        <f t="shared" ref="G450:G513" si="108">bd_adid</f>
        <v>0</v>
      </c>
      <c r="H450">
        <f t="shared" ref="H450:H513" si="109">bd_creativetype</f>
        <v>0</v>
      </c>
      <c r="I450">
        <f t="shared" ref="I450:I513" si="110">bd_impression</f>
        <v>0</v>
      </c>
      <c r="J450">
        <f t="shared" ref="J450:J513" si="111">bd_clicks</f>
        <v>0</v>
      </c>
      <c r="K450" s="4" t="e">
        <f t="shared" si="100"/>
        <v>#N/A</v>
      </c>
      <c r="L450" t="e">
        <f t="shared" si="101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2"/>
        <v>0</v>
      </c>
      <c r="B451">
        <f t="shared" si="103"/>
        <v>0</v>
      </c>
      <c r="C451">
        <f t="shared" si="104"/>
        <v>0</v>
      </c>
      <c r="D451">
        <f t="shared" si="105"/>
        <v>0</v>
      </c>
      <c r="E451" t="e">
        <f t="shared" si="106"/>
        <v>#N/A</v>
      </c>
      <c r="F451">
        <f t="shared" si="107"/>
        <v>0</v>
      </c>
      <c r="G451">
        <f t="shared" si="108"/>
        <v>0</v>
      </c>
      <c r="H451">
        <f t="shared" si="109"/>
        <v>0</v>
      </c>
      <c r="I451">
        <f t="shared" si="110"/>
        <v>0</v>
      </c>
      <c r="J451">
        <f t="shared" si="111"/>
        <v>0</v>
      </c>
      <c r="K451" s="4" t="e">
        <f t="shared" si="100"/>
        <v>#N/A</v>
      </c>
      <c r="L451" t="e">
        <f t="shared" si="101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2"/>
        <v>0</v>
      </c>
      <c r="B452">
        <f t="shared" si="103"/>
        <v>0</v>
      </c>
      <c r="C452">
        <f t="shared" si="104"/>
        <v>0</v>
      </c>
      <c r="D452">
        <f t="shared" si="105"/>
        <v>0</v>
      </c>
      <c r="E452" t="e">
        <f t="shared" si="106"/>
        <v>#N/A</v>
      </c>
      <c r="F452">
        <f t="shared" si="107"/>
        <v>0</v>
      </c>
      <c r="G452">
        <f t="shared" si="108"/>
        <v>0</v>
      </c>
      <c r="H452">
        <f t="shared" si="109"/>
        <v>0</v>
      </c>
      <c r="I452">
        <f t="shared" si="110"/>
        <v>0</v>
      </c>
      <c r="J452">
        <f t="shared" si="111"/>
        <v>0</v>
      </c>
      <c r="K452" s="4" t="e">
        <f t="shared" si="100"/>
        <v>#N/A</v>
      </c>
      <c r="L452" t="e">
        <f t="shared" si="101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2"/>
        <v>0</v>
      </c>
      <c r="B453">
        <f t="shared" si="103"/>
        <v>0</v>
      </c>
      <c r="C453">
        <f t="shared" si="104"/>
        <v>0</v>
      </c>
      <c r="D453">
        <f t="shared" si="105"/>
        <v>0</v>
      </c>
      <c r="E453" t="e">
        <f t="shared" si="106"/>
        <v>#N/A</v>
      </c>
      <c r="F453">
        <f t="shared" si="107"/>
        <v>0</v>
      </c>
      <c r="G453">
        <f t="shared" si="108"/>
        <v>0</v>
      </c>
      <c r="H453">
        <f t="shared" si="109"/>
        <v>0</v>
      </c>
      <c r="I453">
        <f t="shared" si="110"/>
        <v>0</v>
      </c>
      <c r="J453">
        <f t="shared" si="111"/>
        <v>0</v>
      </c>
      <c r="K453" s="4" t="e">
        <f t="shared" si="100"/>
        <v>#N/A</v>
      </c>
      <c r="L453" t="e">
        <f t="shared" si="101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2"/>
        <v>0</v>
      </c>
      <c r="B454">
        <f t="shared" si="103"/>
        <v>0</v>
      </c>
      <c r="C454">
        <f t="shared" si="104"/>
        <v>0</v>
      </c>
      <c r="D454">
        <f t="shared" si="105"/>
        <v>0</v>
      </c>
      <c r="E454" t="e">
        <f t="shared" si="106"/>
        <v>#N/A</v>
      </c>
      <c r="F454">
        <f t="shared" si="107"/>
        <v>0</v>
      </c>
      <c r="G454">
        <f t="shared" si="108"/>
        <v>0</v>
      </c>
      <c r="H454">
        <f t="shared" si="109"/>
        <v>0</v>
      </c>
      <c r="I454">
        <f t="shared" si="110"/>
        <v>0</v>
      </c>
      <c r="J454">
        <f t="shared" si="111"/>
        <v>0</v>
      </c>
      <c r="K454" s="4" t="e">
        <f t="shared" si="100"/>
        <v>#N/A</v>
      </c>
      <c r="L454" t="e">
        <f t="shared" si="101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2"/>
        <v>0</v>
      </c>
      <c r="B455">
        <f t="shared" si="103"/>
        <v>0</v>
      </c>
      <c r="C455">
        <f t="shared" si="104"/>
        <v>0</v>
      </c>
      <c r="D455">
        <f t="shared" si="105"/>
        <v>0</v>
      </c>
      <c r="E455" t="e">
        <f t="shared" si="106"/>
        <v>#N/A</v>
      </c>
      <c r="F455">
        <f t="shared" si="107"/>
        <v>0</v>
      </c>
      <c r="G455">
        <f t="shared" si="108"/>
        <v>0</v>
      </c>
      <c r="H455">
        <f t="shared" si="109"/>
        <v>0</v>
      </c>
      <c r="I455">
        <f t="shared" si="110"/>
        <v>0</v>
      </c>
      <c r="J455">
        <f t="shared" si="111"/>
        <v>0</v>
      </c>
      <c r="K455" s="4" t="e">
        <f t="shared" si="100"/>
        <v>#N/A</v>
      </c>
      <c r="L455" t="e">
        <f t="shared" si="101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2"/>
        <v>0</v>
      </c>
      <c r="B456">
        <f t="shared" si="103"/>
        <v>0</v>
      </c>
      <c r="C456">
        <f t="shared" si="104"/>
        <v>0</v>
      </c>
      <c r="D456">
        <f t="shared" si="105"/>
        <v>0</v>
      </c>
      <c r="E456" t="e">
        <f t="shared" si="106"/>
        <v>#N/A</v>
      </c>
      <c r="F456">
        <f t="shared" si="107"/>
        <v>0</v>
      </c>
      <c r="G456">
        <f t="shared" si="108"/>
        <v>0</v>
      </c>
      <c r="H456">
        <f t="shared" si="109"/>
        <v>0</v>
      </c>
      <c r="I456">
        <f t="shared" si="110"/>
        <v>0</v>
      </c>
      <c r="J456">
        <f t="shared" si="111"/>
        <v>0</v>
      </c>
      <c r="K456" s="4" t="e">
        <f t="shared" si="100"/>
        <v>#N/A</v>
      </c>
      <c r="L456" t="e">
        <f t="shared" si="101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2"/>
        <v>0</v>
      </c>
      <c r="B457">
        <f t="shared" si="103"/>
        <v>0</v>
      </c>
      <c r="C457">
        <f t="shared" si="104"/>
        <v>0</v>
      </c>
      <c r="D457">
        <f t="shared" si="105"/>
        <v>0</v>
      </c>
      <c r="E457" t="e">
        <f t="shared" si="106"/>
        <v>#N/A</v>
      </c>
      <c r="F457">
        <f t="shared" si="107"/>
        <v>0</v>
      </c>
      <c r="G457">
        <f t="shared" si="108"/>
        <v>0</v>
      </c>
      <c r="H457">
        <f t="shared" si="109"/>
        <v>0</v>
      </c>
      <c r="I457">
        <f t="shared" si="110"/>
        <v>0</v>
      </c>
      <c r="J457">
        <f t="shared" si="111"/>
        <v>0</v>
      </c>
      <c r="K457" s="4" t="e">
        <f t="shared" si="100"/>
        <v>#N/A</v>
      </c>
      <c r="L457" t="e">
        <f t="shared" si="101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2"/>
        <v>0</v>
      </c>
      <c r="B458">
        <f t="shared" si="103"/>
        <v>0</v>
      </c>
      <c r="C458">
        <f t="shared" si="104"/>
        <v>0</v>
      </c>
      <c r="D458">
        <f t="shared" si="105"/>
        <v>0</v>
      </c>
      <c r="E458" t="e">
        <f t="shared" si="106"/>
        <v>#N/A</v>
      </c>
      <c r="F458">
        <f t="shared" si="107"/>
        <v>0</v>
      </c>
      <c r="G458">
        <f t="shared" si="108"/>
        <v>0</v>
      </c>
      <c r="H458">
        <f t="shared" si="109"/>
        <v>0</v>
      </c>
      <c r="I458">
        <f t="shared" si="110"/>
        <v>0</v>
      </c>
      <c r="J458">
        <f t="shared" si="111"/>
        <v>0</v>
      </c>
      <c r="K458" s="4" t="e">
        <f t="shared" si="100"/>
        <v>#N/A</v>
      </c>
      <c r="L458" t="e">
        <f t="shared" si="101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2"/>
        <v>0</v>
      </c>
      <c r="B459">
        <f t="shared" si="103"/>
        <v>0</v>
      </c>
      <c r="C459">
        <f t="shared" si="104"/>
        <v>0</v>
      </c>
      <c r="D459">
        <f t="shared" si="105"/>
        <v>0</v>
      </c>
      <c r="E459" t="e">
        <f t="shared" si="106"/>
        <v>#N/A</v>
      </c>
      <c r="F459">
        <f t="shared" si="107"/>
        <v>0</v>
      </c>
      <c r="G459">
        <f t="shared" si="108"/>
        <v>0</v>
      </c>
      <c r="H459">
        <f t="shared" si="109"/>
        <v>0</v>
      </c>
      <c r="I459">
        <f t="shared" si="110"/>
        <v>0</v>
      </c>
      <c r="J459">
        <f t="shared" si="111"/>
        <v>0</v>
      </c>
      <c r="K459" s="4" t="e">
        <f t="shared" si="100"/>
        <v>#N/A</v>
      </c>
      <c r="L459" t="e">
        <f t="shared" si="101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2"/>
        <v>0</v>
      </c>
      <c r="B460">
        <f t="shared" si="103"/>
        <v>0</v>
      </c>
      <c r="C460">
        <f t="shared" si="104"/>
        <v>0</v>
      </c>
      <c r="D460">
        <f t="shared" si="105"/>
        <v>0</v>
      </c>
      <c r="E460" t="e">
        <f t="shared" si="106"/>
        <v>#N/A</v>
      </c>
      <c r="F460">
        <f t="shared" si="107"/>
        <v>0</v>
      </c>
      <c r="G460">
        <f t="shared" si="108"/>
        <v>0</v>
      </c>
      <c r="H460">
        <f t="shared" si="109"/>
        <v>0</v>
      </c>
      <c r="I460">
        <f t="shared" si="110"/>
        <v>0</v>
      </c>
      <c r="J460">
        <f t="shared" si="111"/>
        <v>0</v>
      </c>
      <c r="K460" s="4" t="e">
        <f t="shared" si="100"/>
        <v>#N/A</v>
      </c>
      <c r="L460" t="e">
        <f t="shared" si="101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2"/>
        <v>0</v>
      </c>
      <c r="B461">
        <f t="shared" si="103"/>
        <v>0</v>
      </c>
      <c r="C461">
        <f t="shared" si="104"/>
        <v>0</v>
      </c>
      <c r="D461">
        <f t="shared" si="105"/>
        <v>0</v>
      </c>
      <c r="E461" t="e">
        <f t="shared" si="106"/>
        <v>#N/A</v>
      </c>
      <c r="F461">
        <f t="shared" si="107"/>
        <v>0</v>
      </c>
      <c r="G461">
        <f t="shared" si="108"/>
        <v>0</v>
      </c>
      <c r="H461">
        <f t="shared" si="109"/>
        <v>0</v>
      </c>
      <c r="I461">
        <f t="shared" si="110"/>
        <v>0</v>
      </c>
      <c r="J461">
        <f t="shared" si="111"/>
        <v>0</v>
      </c>
      <c r="K461" s="4" t="e">
        <f t="shared" si="100"/>
        <v>#N/A</v>
      </c>
      <c r="L461" t="e">
        <f t="shared" si="101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2"/>
        <v>0</v>
      </c>
      <c r="B462">
        <f t="shared" si="103"/>
        <v>0</v>
      </c>
      <c r="C462">
        <f t="shared" si="104"/>
        <v>0</v>
      </c>
      <c r="D462">
        <f t="shared" si="105"/>
        <v>0</v>
      </c>
      <c r="E462" t="e">
        <f t="shared" si="106"/>
        <v>#N/A</v>
      </c>
      <c r="F462">
        <f t="shared" si="107"/>
        <v>0</v>
      </c>
      <c r="G462">
        <f t="shared" si="108"/>
        <v>0</v>
      </c>
      <c r="H462">
        <f t="shared" si="109"/>
        <v>0</v>
      </c>
      <c r="I462">
        <f t="shared" si="110"/>
        <v>0</v>
      </c>
      <c r="J462">
        <f t="shared" si="111"/>
        <v>0</v>
      </c>
      <c r="K462" s="4" t="e">
        <f t="shared" si="100"/>
        <v>#N/A</v>
      </c>
      <c r="L462" t="e">
        <f t="shared" si="101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2"/>
        <v>0</v>
      </c>
      <c r="B463">
        <f t="shared" si="103"/>
        <v>0</v>
      </c>
      <c r="C463">
        <f t="shared" si="104"/>
        <v>0</v>
      </c>
      <c r="D463">
        <f t="shared" si="105"/>
        <v>0</v>
      </c>
      <c r="E463" t="e">
        <f t="shared" si="106"/>
        <v>#N/A</v>
      </c>
      <c r="F463">
        <f t="shared" si="107"/>
        <v>0</v>
      </c>
      <c r="G463">
        <f t="shared" si="108"/>
        <v>0</v>
      </c>
      <c r="H463">
        <f t="shared" si="109"/>
        <v>0</v>
      </c>
      <c r="I463">
        <f t="shared" si="110"/>
        <v>0</v>
      </c>
      <c r="J463">
        <f t="shared" si="111"/>
        <v>0</v>
      </c>
      <c r="K463" s="4" t="e">
        <f t="shared" si="100"/>
        <v>#N/A</v>
      </c>
      <c r="L463" t="e">
        <f t="shared" si="101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2"/>
        <v>0</v>
      </c>
      <c r="B464">
        <f t="shared" si="103"/>
        <v>0</v>
      </c>
      <c r="C464">
        <f t="shared" si="104"/>
        <v>0</v>
      </c>
      <c r="D464">
        <f t="shared" si="105"/>
        <v>0</v>
      </c>
      <c r="E464" t="e">
        <f t="shared" si="106"/>
        <v>#N/A</v>
      </c>
      <c r="F464">
        <f t="shared" si="107"/>
        <v>0</v>
      </c>
      <c r="G464">
        <f t="shared" si="108"/>
        <v>0</v>
      </c>
      <c r="H464">
        <f t="shared" si="109"/>
        <v>0</v>
      </c>
      <c r="I464">
        <f t="shared" si="110"/>
        <v>0</v>
      </c>
      <c r="J464">
        <f t="shared" si="111"/>
        <v>0</v>
      </c>
      <c r="K464" s="4" t="e">
        <f t="shared" si="100"/>
        <v>#N/A</v>
      </c>
      <c r="L464" t="e">
        <f t="shared" si="101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2"/>
        <v>0</v>
      </c>
      <c r="B465">
        <f t="shared" si="103"/>
        <v>0</v>
      </c>
      <c r="C465">
        <f t="shared" si="104"/>
        <v>0</v>
      </c>
      <c r="D465">
        <f t="shared" si="105"/>
        <v>0</v>
      </c>
      <c r="E465" t="e">
        <f t="shared" si="106"/>
        <v>#N/A</v>
      </c>
      <c r="F465">
        <f t="shared" si="107"/>
        <v>0</v>
      </c>
      <c r="G465">
        <f t="shared" si="108"/>
        <v>0</v>
      </c>
      <c r="H465">
        <f t="shared" si="109"/>
        <v>0</v>
      </c>
      <c r="I465">
        <f t="shared" si="110"/>
        <v>0</v>
      </c>
      <c r="J465">
        <f t="shared" si="111"/>
        <v>0</v>
      </c>
      <c r="K465" s="4" t="e">
        <f t="shared" si="100"/>
        <v>#N/A</v>
      </c>
      <c r="L465" t="e">
        <f t="shared" si="101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2"/>
        <v>0</v>
      </c>
      <c r="B466">
        <f t="shared" si="103"/>
        <v>0</v>
      </c>
      <c r="C466">
        <f t="shared" si="104"/>
        <v>0</v>
      </c>
      <c r="D466">
        <f t="shared" si="105"/>
        <v>0</v>
      </c>
      <c r="E466" t="e">
        <f t="shared" si="106"/>
        <v>#N/A</v>
      </c>
      <c r="F466">
        <f t="shared" si="107"/>
        <v>0</v>
      </c>
      <c r="G466">
        <f t="shared" si="108"/>
        <v>0</v>
      </c>
      <c r="H466">
        <f t="shared" si="109"/>
        <v>0</v>
      </c>
      <c r="I466">
        <f t="shared" si="110"/>
        <v>0</v>
      </c>
      <c r="J466">
        <f t="shared" si="111"/>
        <v>0</v>
      </c>
      <c r="K466" s="4" t="e">
        <f t="shared" si="100"/>
        <v>#N/A</v>
      </c>
      <c r="L466" t="e">
        <f t="shared" si="101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2"/>
        <v>0</v>
      </c>
      <c r="B467">
        <f t="shared" si="103"/>
        <v>0</v>
      </c>
      <c r="C467">
        <f t="shared" si="104"/>
        <v>0</v>
      </c>
      <c r="D467">
        <f t="shared" si="105"/>
        <v>0</v>
      </c>
      <c r="E467" t="e">
        <f t="shared" si="106"/>
        <v>#N/A</v>
      </c>
      <c r="F467">
        <f t="shared" si="107"/>
        <v>0</v>
      </c>
      <c r="G467">
        <f t="shared" si="108"/>
        <v>0</v>
      </c>
      <c r="H467">
        <f t="shared" si="109"/>
        <v>0</v>
      </c>
      <c r="I467">
        <f t="shared" si="110"/>
        <v>0</v>
      </c>
      <c r="J467">
        <f t="shared" si="111"/>
        <v>0</v>
      </c>
      <c r="K467" s="4" t="e">
        <f t="shared" si="100"/>
        <v>#N/A</v>
      </c>
      <c r="L467" t="e">
        <f t="shared" si="101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2"/>
        <v>0</v>
      </c>
      <c r="B468">
        <f t="shared" si="103"/>
        <v>0</v>
      </c>
      <c r="C468">
        <f t="shared" si="104"/>
        <v>0</v>
      </c>
      <c r="D468">
        <f t="shared" si="105"/>
        <v>0</v>
      </c>
      <c r="E468" t="e">
        <f t="shared" si="106"/>
        <v>#N/A</v>
      </c>
      <c r="F468">
        <f t="shared" si="107"/>
        <v>0</v>
      </c>
      <c r="G468">
        <f t="shared" si="108"/>
        <v>0</v>
      </c>
      <c r="H468">
        <f t="shared" si="109"/>
        <v>0</v>
      </c>
      <c r="I468">
        <f t="shared" si="110"/>
        <v>0</v>
      </c>
      <c r="J468">
        <f t="shared" si="111"/>
        <v>0</v>
      </c>
      <c r="K468" s="4" t="e">
        <f t="shared" si="100"/>
        <v>#N/A</v>
      </c>
      <c r="L468" t="e">
        <f t="shared" si="101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2"/>
        <v>0</v>
      </c>
      <c r="B469">
        <f t="shared" si="103"/>
        <v>0</v>
      </c>
      <c r="C469">
        <f t="shared" si="104"/>
        <v>0</v>
      </c>
      <c r="D469">
        <f t="shared" si="105"/>
        <v>0</v>
      </c>
      <c r="E469" t="e">
        <f t="shared" si="106"/>
        <v>#N/A</v>
      </c>
      <c r="F469">
        <f t="shared" si="107"/>
        <v>0</v>
      </c>
      <c r="G469">
        <f t="shared" si="108"/>
        <v>0</v>
      </c>
      <c r="H469">
        <f t="shared" si="109"/>
        <v>0</v>
      </c>
      <c r="I469">
        <f t="shared" si="110"/>
        <v>0</v>
      </c>
      <c r="J469">
        <f t="shared" si="111"/>
        <v>0</v>
      </c>
      <c r="K469" s="4" t="e">
        <f t="shared" si="100"/>
        <v>#N/A</v>
      </c>
      <c r="L469" t="e">
        <f t="shared" si="101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2"/>
        <v>0</v>
      </c>
      <c r="B470">
        <f t="shared" si="103"/>
        <v>0</v>
      </c>
      <c r="C470">
        <f t="shared" si="104"/>
        <v>0</v>
      </c>
      <c r="D470">
        <f t="shared" si="105"/>
        <v>0</v>
      </c>
      <c r="E470" t="e">
        <f t="shared" si="106"/>
        <v>#N/A</v>
      </c>
      <c r="F470">
        <f t="shared" si="107"/>
        <v>0</v>
      </c>
      <c r="G470">
        <f t="shared" si="108"/>
        <v>0</v>
      </c>
      <c r="H470">
        <f t="shared" si="109"/>
        <v>0</v>
      </c>
      <c r="I470">
        <f t="shared" si="110"/>
        <v>0</v>
      </c>
      <c r="J470">
        <f t="shared" si="111"/>
        <v>0</v>
      </c>
      <c r="K470" s="4" t="e">
        <f t="shared" si="100"/>
        <v>#N/A</v>
      </c>
      <c r="L470" t="e">
        <f t="shared" si="101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2"/>
        <v>0</v>
      </c>
      <c r="B471">
        <f t="shared" si="103"/>
        <v>0</v>
      </c>
      <c r="C471">
        <f t="shared" si="104"/>
        <v>0</v>
      </c>
      <c r="D471">
        <f t="shared" si="105"/>
        <v>0</v>
      </c>
      <c r="E471" t="e">
        <f t="shared" si="106"/>
        <v>#N/A</v>
      </c>
      <c r="F471">
        <f t="shared" si="107"/>
        <v>0</v>
      </c>
      <c r="G471">
        <f t="shared" si="108"/>
        <v>0</v>
      </c>
      <c r="H471">
        <f t="shared" si="109"/>
        <v>0</v>
      </c>
      <c r="I471">
        <f t="shared" si="110"/>
        <v>0</v>
      </c>
      <c r="J471">
        <f t="shared" si="111"/>
        <v>0</v>
      </c>
      <c r="K471" s="4" t="e">
        <f t="shared" si="100"/>
        <v>#N/A</v>
      </c>
      <c r="L471" t="e">
        <f t="shared" si="101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2"/>
        <v>0</v>
      </c>
      <c r="B472">
        <f t="shared" si="103"/>
        <v>0</v>
      </c>
      <c r="C472">
        <f t="shared" si="104"/>
        <v>0</v>
      </c>
      <c r="D472">
        <f t="shared" si="105"/>
        <v>0</v>
      </c>
      <c r="E472" t="e">
        <f t="shared" si="106"/>
        <v>#N/A</v>
      </c>
      <c r="F472">
        <f t="shared" si="107"/>
        <v>0</v>
      </c>
      <c r="G472">
        <f t="shared" si="108"/>
        <v>0</v>
      </c>
      <c r="H472">
        <f t="shared" si="109"/>
        <v>0</v>
      </c>
      <c r="I472">
        <f t="shared" si="110"/>
        <v>0</v>
      </c>
      <c r="J472">
        <f t="shared" si="111"/>
        <v>0</v>
      </c>
      <c r="K472" s="4" t="e">
        <f t="shared" si="100"/>
        <v>#N/A</v>
      </c>
      <c r="L472" t="e">
        <f t="shared" si="101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2"/>
        <v>0</v>
      </c>
      <c r="B473">
        <f t="shared" si="103"/>
        <v>0</v>
      </c>
      <c r="C473">
        <f t="shared" si="104"/>
        <v>0</v>
      </c>
      <c r="D473">
        <f t="shared" si="105"/>
        <v>0</v>
      </c>
      <c r="E473" t="e">
        <f t="shared" si="106"/>
        <v>#N/A</v>
      </c>
      <c r="F473">
        <f t="shared" si="107"/>
        <v>0</v>
      </c>
      <c r="G473">
        <f t="shared" si="108"/>
        <v>0</v>
      </c>
      <c r="H473">
        <f t="shared" si="109"/>
        <v>0</v>
      </c>
      <c r="I473">
        <f t="shared" si="110"/>
        <v>0</v>
      </c>
      <c r="J473">
        <f t="shared" si="111"/>
        <v>0</v>
      </c>
      <c r="K473" s="4" t="e">
        <f t="shared" si="100"/>
        <v>#N/A</v>
      </c>
      <c r="L473" t="e">
        <f t="shared" si="101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2"/>
        <v>0</v>
      </c>
      <c r="B474">
        <f t="shared" si="103"/>
        <v>0</v>
      </c>
      <c r="C474">
        <f t="shared" si="104"/>
        <v>0</v>
      </c>
      <c r="D474">
        <f t="shared" si="105"/>
        <v>0</v>
      </c>
      <c r="E474" t="e">
        <f t="shared" si="106"/>
        <v>#N/A</v>
      </c>
      <c r="F474">
        <f t="shared" si="107"/>
        <v>0</v>
      </c>
      <c r="G474">
        <f t="shared" si="108"/>
        <v>0</v>
      </c>
      <c r="H474">
        <f t="shared" si="109"/>
        <v>0</v>
      </c>
      <c r="I474">
        <f t="shared" si="110"/>
        <v>0</v>
      </c>
      <c r="J474">
        <f t="shared" si="111"/>
        <v>0</v>
      </c>
      <c r="K474" s="4" t="e">
        <f t="shared" si="100"/>
        <v>#N/A</v>
      </c>
      <c r="L474" t="e">
        <f t="shared" si="101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2"/>
        <v>0</v>
      </c>
      <c r="B475">
        <f t="shared" si="103"/>
        <v>0</v>
      </c>
      <c r="C475">
        <f t="shared" si="104"/>
        <v>0</v>
      </c>
      <c r="D475">
        <f t="shared" si="105"/>
        <v>0</v>
      </c>
      <c r="E475" t="e">
        <f t="shared" si="106"/>
        <v>#N/A</v>
      </c>
      <c r="F475">
        <f t="shared" si="107"/>
        <v>0</v>
      </c>
      <c r="G475">
        <f t="shared" si="108"/>
        <v>0</v>
      </c>
      <c r="H475">
        <f t="shared" si="109"/>
        <v>0</v>
      </c>
      <c r="I475">
        <f t="shared" si="110"/>
        <v>0</v>
      </c>
      <c r="J475">
        <f t="shared" si="111"/>
        <v>0</v>
      </c>
      <c r="K475" s="4" t="e">
        <f t="shared" si="100"/>
        <v>#N/A</v>
      </c>
      <c r="L475" t="e">
        <f t="shared" si="101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2"/>
        <v>0</v>
      </c>
      <c r="B476">
        <f t="shared" si="103"/>
        <v>0</v>
      </c>
      <c r="C476">
        <f t="shared" si="104"/>
        <v>0</v>
      </c>
      <c r="D476">
        <f t="shared" si="105"/>
        <v>0</v>
      </c>
      <c r="E476" t="e">
        <f t="shared" si="106"/>
        <v>#N/A</v>
      </c>
      <c r="F476">
        <f t="shared" si="107"/>
        <v>0</v>
      </c>
      <c r="G476">
        <f t="shared" si="108"/>
        <v>0</v>
      </c>
      <c r="H476">
        <f t="shared" si="109"/>
        <v>0</v>
      </c>
      <c r="I476">
        <f t="shared" si="110"/>
        <v>0</v>
      </c>
      <c r="J476">
        <f t="shared" si="111"/>
        <v>0</v>
      </c>
      <c r="K476" s="4" t="e">
        <f t="shared" si="100"/>
        <v>#N/A</v>
      </c>
      <c r="L476" t="e">
        <f t="shared" si="101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2"/>
        <v>0</v>
      </c>
      <c r="B477">
        <f t="shared" si="103"/>
        <v>0</v>
      </c>
      <c r="C477">
        <f t="shared" si="104"/>
        <v>0</v>
      </c>
      <c r="D477">
        <f t="shared" si="105"/>
        <v>0</v>
      </c>
      <c r="E477" t="e">
        <f t="shared" si="106"/>
        <v>#N/A</v>
      </c>
      <c r="F477">
        <f t="shared" si="107"/>
        <v>0</v>
      </c>
      <c r="G477">
        <f t="shared" si="108"/>
        <v>0</v>
      </c>
      <c r="H477">
        <f t="shared" si="109"/>
        <v>0</v>
      </c>
      <c r="I477">
        <f t="shared" si="110"/>
        <v>0</v>
      </c>
      <c r="J477">
        <f t="shared" si="111"/>
        <v>0</v>
      </c>
      <c r="K477" s="4" t="e">
        <f t="shared" si="100"/>
        <v>#N/A</v>
      </c>
      <c r="L477" t="e">
        <f t="shared" si="101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2"/>
        <v>0</v>
      </c>
      <c r="B478">
        <f t="shared" si="103"/>
        <v>0</v>
      </c>
      <c r="C478">
        <f t="shared" si="104"/>
        <v>0</v>
      </c>
      <c r="D478">
        <f t="shared" si="105"/>
        <v>0</v>
      </c>
      <c r="E478" t="e">
        <f t="shared" si="106"/>
        <v>#N/A</v>
      </c>
      <c r="F478">
        <f t="shared" si="107"/>
        <v>0</v>
      </c>
      <c r="G478">
        <f t="shared" si="108"/>
        <v>0</v>
      </c>
      <c r="H478">
        <f t="shared" si="109"/>
        <v>0</v>
      </c>
      <c r="I478">
        <f t="shared" si="110"/>
        <v>0</v>
      </c>
      <c r="J478">
        <f t="shared" si="111"/>
        <v>0</v>
      </c>
      <c r="K478" s="4" t="e">
        <f t="shared" si="100"/>
        <v>#N/A</v>
      </c>
      <c r="L478" t="e">
        <f t="shared" si="101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2"/>
        <v>0</v>
      </c>
      <c r="B479">
        <f t="shared" si="103"/>
        <v>0</v>
      </c>
      <c r="C479">
        <f t="shared" si="104"/>
        <v>0</v>
      </c>
      <c r="D479">
        <f t="shared" si="105"/>
        <v>0</v>
      </c>
      <c r="E479" t="e">
        <f t="shared" si="106"/>
        <v>#N/A</v>
      </c>
      <c r="F479">
        <f t="shared" si="107"/>
        <v>0</v>
      </c>
      <c r="G479">
        <f t="shared" si="108"/>
        <v>0</v>
      </c>
      <c r="H479">
        <f t="shared" si="109"/>
        <v>0</v>
      </c>
      <c r="I479">
        <f t="shared" si="110"/>
        <v>0</v>
      </c>
      <c r="J479">
        <f t="shared" si="111"/>
        <v>0</v>
      </c>
      <c r="K479" s="4" t="e">
        <f t="shared" si="100"/>
        <v>#N/A</v>
      </c>
      <c r="L479" t="e">
        <f t="shared" si="101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2"/>
        <v>0</v>
      </c>
      <c r="B480">
        <f t="shared" si="103"/>
        <v>0</v>
      </c>
      <c r="C480">
        <f t="shared" si="104"/>
        <v>0</v>
      </c>
      <c r="D480">
        <f t="shared" si="105"/>
        <v>0</v>
      </c>
      <c r="E480" t="e">
        <f t="shared" si="106"/>
        <v>#N/A</v>
      </c>
      <c r="F480">
        <f t="shared" si="107"/>
        <v>0</v>
      </c>
      <c r="G480">
        <f t="shared" si="108"/>
        <v>0</v>
      </c>
      <c r="H480">
        <f t="shared" si="109"/>
        <v>0</v>
      </c>
      <c r="I480">
        <f t="shared" si="110"/>
        <v>0</v>
      </c>
      <c r="J480">
        <f t="shared" si="111"/>
        <v>0</v>
      </c>
      <c r="K480" s="4" t="e">
        <f t="shared" si="100"/>
        <v>#N/A</v>
      </c>
      <c r="L480" t="e">
        <f t="shared" si="101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2"/>
        <v>0</v>
      </c>
      <c r="B481">
        <f t="shared" si="103"/>
        <v>0</v>
      </c>
      <c r="C481">
        <f t="shared" si="104"/>
        <v>0</v>
      </c>
      <c r="D481">
        <f t="shared" si="105"/>
        <v>0</v>
      </c>
      <c r="E481" t="e">
        <f t="shared" si="106"/>
        <v>#N/A</v>
      </c>
      <c r="F481">
        <f t="shared" si="107"/>
        <v>0</v>
      </c>
      <c r="G481">
        <f t="shared" si="108"/>
        <v>0</v>
      </c>
      <c r="H481">
        <f t="shared" si="109"/>
        <v>0</v>
      </c>
      <c r="I481">
        <f t="shared" si="110"/>
        <v>0</v>
      </c>
      <c r="J481">
        <f t="shared" si="111"/>
        <v>0</v>
      </c>
      <c r="K481" s="4" t="e">
        <f t="shared" si="100"/>
        <v>#N/A</v>
      </c>
      <c r="L481" t="e">
        <f t="shared" si="101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2"/>
        <v>0</v>
      </c>
      <c r="B482">
        <f t="shared" si="103"/>
        <v>0</v>
      </c>
      <c r="C482">
        <f t="shared" si="104"/>
        <v>0</v>
      </c>
      <c r="D482">
        <f t="shared" si="105"/>
        <v>0</v>
      </c>
      <c r="E482" t="e">
        <f t="shared" si="106"/>
        <v>#N/A</v>
      </c>
      <c r="F482">
        <f t="shared" si="107"/>
        <v>0</v>
      </c>
      <c r="G482">
        <f t="shared" si="108"/>
        <v>0</v>
      </c>
      <c r="H482">
        <f t="shared" si="109"/>
        <v>0</v>
      </c>
      <c r="I482">
        <f t="shared" si="110"/>
        <v>0</v>
      </c>
      <c r="J482">
        <f t="shared" si="111"/>
        <v>0</v>
      </c>
      <c r="K482" s="4" t="e">
        <f t="shared" si="100"/>
        <v>#N/A</v>
      </c>
      <c r="L482" t="e">
        <f t="shared" si="101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2"/>
        <v>0</v>
      </c>
      <c r="B483">
        <f t="shared" si="103"/>
        <v>0</v>
      </c>
      <c r="C483">
        <f t="shared" si="104"/>
        <v>0</v>
      </c>
      <c r="D483">
        <f t="shared" si="105"/>
        <v>0</v>
      </c>
      <c r="E483" t="e">
        <f t="shared" si="106"/>
        <v>#N/A</v>
      </c>
      <c r="F483">
        <f t="shared" si="107"/>
        <v>0</v>
      </c>
      <c r="G483">
        <f t="shared" si="108"/>
        <v>0</v>
      </c>
      <c r="H483">
        <f t="shared" si="109"/>
        <v>0</v>
      </c>
      <c r="I483">
        <f t="shared" si="110"/>
        <v>0</v>
      </c>
      <c r="J483">
        <f t="shared" si="111"/>
        <v>0</v>
      </c>
      <c r="K483" s="4" t="e">
        <f t="shared" si="100"/>
        <v>#N/A</v>
      </c>
      <c r="L483" t="e">
        <f t="shared" si="101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2"/>
        <v>0</v>
      </c>
      <c r="B484">
        <f t="shared" si="103"/>
        <v>0</v>
      </c>
      <c r="C484">
        <f t="shared" si="104"/>
        <v>0</v>
      </c>
      <c r="D484">
        <f t="shared" si="105"/>
        <v>0</v>
      </c>
      <c r="E484" t="e">
        <f t="shared" si="106"/>
        <v>#N/A</v>
      </c>
      <c r="F484">
        <f t="shared" si="107"/>
        <v>0</v>
      </c>
      <c r="G484">
        <f t="shared" si="108"/>
        <v>0</v>
      </c>
      <c r="H484">
        <f t="shared" si="109"/>
        <v>0</v>
      </c>
      <c r="I484">
        <f t="shared" si="110"/>
        <v>0</v>
      </c>
      <c r="J484">
        <f t="shared" si="111"/>
        <v>0</v>
      </c>
      <c r="K484" s="4" t="e">
        <f t="shared" si="100"/>
        <v>#N/A</v>
      </c>
      <c r="L484" t="e">
        <f t="shared" si="101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2"/>
        <v>0</v>
      </c>
      <c r="B485">
        <f t="shared" si="103"/>
        <v>0</v>
      </c>
      <c r="C485">
        <f t="shared" si="104"/>
        <v>0</v>
      </c>
      <c r="D485">
        <f t="shared" si="105"/>
        <v>0</v>
      </c>
      <c r="E485" t="e">
        <f t="shared" si="106"/>
        <v>#N/A</v>
      </c>
      <c r="F485">
        <f t="shared" si="107"/>
        <v>0</v>
      </c>
      <c r="G485">
        <f t="shared" si="108"/>
        <v>0</v>
      </c>
      <c r="H485">
        <f t="shared" si="109"/>
        <v>0</v>
      </c>
      <c r="I485">
        <f t="shared" si="110"/>
        <v>0</v>
      </c>
      <c r="J485">
        <f t="shared" si="111"/>
        <v>0</v>
      </c>
      <c r="K485" s="4" t="e">
        <f t="shared" si="100"/>
        <v>#N/A</v>
      </c>
      <c r="L485" t="e">
        <f t="shared" si="101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2"/>
        <v>0</v>
      </c>
      <c r="B486">
        <f t="shared" si="103"/>
        <v>0</v>
      </c>
      <c r="C486">
        <f t="shared" si="104"/>
        <v>0</v>
      </c>
      <c r="D486">
        <f t="shared" si="105"/>
        <v>0</v>
      </c>
      <c r="E486" t="e">
        <f t="shared" si="106"/>
        <v>#N/A</v>
      </c>
      <c r="F486">
        <f t="shared" si="107"/>
        <v>0</v>
      </c>
      <c r="G486">
        <f t="shared" si="108"/>
        <v>0</v>
      </c>
      <c r="H486">
        <f t="shared" si="109"/>
        <v>0</v>
      </c>
      <c r="I486">
        <f t="shared" si="110"/>
        <v>0</v>
      </c>
      <c r="J486">
        <f t="shared" si="111"/>
        <v>0</v>
      </c>
      <c r="K486" s="4" t="e">
        <f t="shared" si="100"/>
        <v>#N/A</v>
      </c>
      <c r="L486" t="e">
        <f t="shared" si="101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2"/>
        <v>0</v>
      </c>
      <c r="B487">
        <f t="shared" si="103"/>
        <v>0</v>
      </c>
      <c r="C487">
        <f t="shared" si="104"/>
        <v>0</v>
      </c>
      <c r="D487">
        <f t="shared" si="105"/>
        <v>0</v>
      </c>
      <c r="E487" t="e">
        <f t="shared" si="106"/>
        <v>#N/A</v>
      </c>
      <c r="F487">
        <f t="shared" si="107"/>
        <v>0</v>
      </c>
      <c r="G487">
        <f t="shared" si="108"/>
        <v>0</v>
      </c>
      <c r="H487">
        <f t="shared" si="109"/>
        <v>0</v>
      </c>
      <c r="I487">
        <f t="shared" si="110"/>
        <v>0</v>
      </c>
      <c r="J487">
        <f t="shared" si="111"/>
        <v>0</v>
      </c>
      <c r="K487" s="4" t="e">
        <f t="shared" si="100"/>
        <v>#N/A</v>
      </c>
      <c r="L487" t="e">
        <f t="shared" si="101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2"/>
        <v>0</v>
      </c>
      <c r="B488">
        <f t="shared" si="103"/>
        <v>0</v>
      </c>
      <c r="C488">
        <f t="shared" si="104"/>
        <v>0</v>
      </c>
      <c r="D488">
        <f t="shared" si="105"/>
        <v>0</v>
      </c>
      <c r="E488" t="e">
        <f t="shared" si="106"/>
        <v>#N/A</v>
      </c>
      <c r="F488">
        <f t="shared" si="107"/>
        <v>0</v>
      </c>
      <c r="G488">
        <f t="shared" si="108"/>
        <v>0</v>
      </c>
      <c r="H488">
        <f t="shared" si="109"/>
        <v>0</v>
      </c>
      <c r="I488">
        <f t="shared" si="110"/>
        <v>0</v>
      </c>
      <c r="J488">
        <f t="shared" si="111"/>
        <v>0</v>
      </c>
      <c r="K488" s="4" t="e">
        <f t="shared" si="100"/>
        <v>#N/A</v>
      </c>
      <c r="L488" t="e">
        <f t="shared" si="101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2"/>
        <v>0</v>
      </c>
      <c r="B489">
        <f t="shared" si="103"/>
        <v>0</v>
      </c>
      <c r="C489">
        <f t="shared" si="104"/>
        <v>0</v>
      </c>
      <c r="D489">
        <f t="shared" si="105"/>
        <v>0</v>
      </c>
      <c r="E489" t="e">
        <f t="shared" si="106"/>
        <v>#N/A</v>
      </c>
      <c r="F489">
        <f t="shared" si="107"/>
        <v>0</v>
      </c>
      <c r="G489">
        <f t="shared" si="108"/>
        <v>0</v>
      </c>
      <c r="H489">
        <f t="shared" si="109"/>
        <v>0</v>
      </c>
      <c r="I489">
        <f t="shared" si="110"/>
        <v>0</v>
      </c>
      <c r="J489">
        <f t="shared" si="111"/>
        <v>0</v>
      </c>
      <c r="K489" s="4" t="e">
        <f t="shared" si="100"/>
        <v>#N/A</v>
      </c>
      <c r="L489" t="e">
        <f t="shared" si="101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2"/>
        <v>0</v>
      </c>
      <c r="B490">
        <f t="shared" si="103"/>
        <v>0</v>
      </c>
      <c r="C490">
        <f t="shared" si="104"/>
        <v>0</v>
      </c>
      <c r="D490">
        <f t="shared" si="105"/>
        <v>0</v>
      </c>
      <c r="E490" t="e">
        <f t="shared" si="106"/>
        <v>#N/A</v>
      </c>
      <c r="F490">
        <f t="shared" si="107"/>
        <v>0</v>
      </c>
      <c r="G490">
        <f t="shared" si="108"/>
        <v>0</v>
      </c>
      <c r="H490">
        <f t="shared" si="109"/>
        <v>0</v>
      </c>
      <c r="I490">
        <f t="shared" si="110"/>
        <v>0</v>
      </c>
      <c r="J490">
        <f t="shared" si="111"/>
        <v>0</v>
      </c>
      <c r="K490" s="4" t="e">
        <f t="shared" si="100"/>
        <v>#N/A</v>
      </c>
      <c r="L490" t="e">
        <f t="shared" si="101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2"/>
        <v>0</v>
      </c>
      <c r="B491">
        <f t="shared" si="103"/>
        <v>0</v>
      </c>
      <c r="C491">
        <f t="shared" si="104"/>
        <v>0</v>
      </c>
      <c r="D491">
        <f t="shared" si="105"/>
        <v>0</v>
      </c>
      <c r="E491" t="e">
        <f t="shared" si="106"/>
        <v>#N/A</v>
      </c>
      <c r="F491">
        <f t="shared" si="107"/>
        <v>0</v>
      </c>
      <c r="G491">
        <f t="shared" si="108"/>
        <v>0</v>
      </c>
      <c r="H491">
        <f t="shared" si="109"/>
        <v>0</v>
      </c>
      <c r="I491">
        <f t="shared" si="110"/>
        <v>0</v>
      </c>
      <c r="J491">
        <f t="shared" si="111"/>
        <v>0</v>
      </c>
      <c r="K491" s="4" t="e">
        <f t="shared" si="100"/>
        <v>#N/A</v>
      </c>
      <c r="L491" t="e">
        <f t="shared" si="101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2"/>
        <v>0</v>
      </c>
      <c r="B492">
        <f t="shared" si="103"/>
        <v>0</v>
      </c>
      <c r="C492">
        <f t="shared" si="104"/>
        <v>0</v>
      </c>
      <c r="D492">
        <f t="shared" si="105"/>
        <v>0</v>
      </c>
      <c r="E492" t="e">
        <f t="shared" si="106"/>
        <v>#N/A</v>
      </c>
      <c r="F492">
        <f t="shared" si="107"/>
        <v>0</v>
      </c>
      <c r="G492">
        <f t="shared" si="108"/>
        <v>0</v>
      </c>
      <c r="H492">
        <f t="shared" si="109"/>
        <v>0</v>
      </c>
      <c r="I492">
        <f t="shared" si="110"/>
        <v>0</v>
      </c>
      <c r="J492">
        <f t="shared" si="111"/>
        <v>0</v>
      </c>
      <c r="K492" s="4" t="e">
        <f t="shared" ref="K492:K555" si="114">IF(LEFT(B492,3)="DBM",0,VLOOKUP(E492,tabela,2,FALSE))</f>
        <v>#N/A</v>
      </c>
      <c r="L492" t="e">
        <f t="shared" ref="L492:L555" si="115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2"/>
        <v>0</v>
      </c>
      <c r="B493">
        <f t="shared" si="103"/>
        <v>0</v>
      </c>
      <c r="C493">
        <f t="shared" si="104"/>
        <v>0</v>
      </c>
      <c r="D493">
        <f t="shared" si="105"/>
        <v>0</v>
      </c>
      <c r="E493" t="e">
        <f t="shared" si="106"/>
        <v>#N/A</v>
      </c>
      <c r="F493">
        <f t="shared" si="107"/>
        <v>0</v>
      </c>
      <c r="G493">
        <f t="shared" si="108"/>
        <v>0</v>
      </c>
      <c r="H493">
        <f t="shared" si="109"/>
        <v>0</v>
      </c>
      <c r="I493">
        <f t="shared" si="110"/>
        <v>0</v>
      </c>
      <c r="J493">
        <f t="shared" si="111"/>
        <v>0</v>
      </c>
      <c r="K493" s="4" t="e">
        <f t="shared" si="114"/>
        <v>#N/A</v>
      </c>
      <c r="L493" t="e">
        <f t="shared" si="115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2"/>
        <v>0</v>
      </c>
      <c r="B494">
        <f t="shared" si="103"/>
        <v>0</v>
      </c>
      <c r="C494">
        <f t="shared" si="104"/>
        <v>0</v>
      </c>
      <c r="D494">
        <f t="shared" si="105"/>
        <v>0</v>
      </c>
      <c r="E494" t="e">
        <f t="shared" si="106"/>
        <v>#N/A</v>
      </c>
      <c r="F494">
        <f t="shared" si="107"/>
        <v>0</v>
      </c>
      <c r="G494">
        <f t="shared" si="108"/>
        <v>0</v>
      </c>
      <c r="H494">
        <f t="shared" si="109"/>
        <v>0</v>
      </c>
      <c r="I494">
        <f t="shared" si="110"/>
        <v>0</v>
      </c>
      <c r="J494">
        <f t="shared" si="111"/>
        <v>0</v>
      </c>
      <c r="K494" s="4" t="e">
        <f t="shared" si="114"/>
        <v>#N/A</v>
      </c>
      <c r="L494" t="e">
        <f t="shared" si="115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2"/>
        <v>0</v>
      </c>
      <c r="B495">
        <f t="shared" si="103"/>
        <v>0</v>
      </c>
      <c r="C495">
        <f t="shared" si="104"/>
        <v>0</v>
      </c>
      <c r="D495">
        <f t="shared" si="105"/>
        <v>0</v>
      </c>
      <c r="E495" t="e">
        <f t="shared" si="106"/>
        <v>#N/A</v>
      </c>
      <c r="F495">
        <f t="shared" si="107"/>
        <v>0</v>
      </c>
      <c r="G495">
        <f t="shared" si="108"/>
        <v>0</v>
      </c>
      <c r="H495">
        <f t="shared" si="109"/>
        <v>0</v>
      </c>
      <c r="I495">
        <f t="shared" si="110"/>
        <v>0</v>
      </c>
      <c r="J495">
        <f t="shared" si="111"/>
        <v>0</v>
      </c>
      <c r="K495" s="4" t="e">
        <f t="shared" si="114"/>
        <v>#N/A</v>
      </c>
      <c r="L495" t="e">
        <f t="shared" si="115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2"/>
        <v>0</v>
      </c>
      <c r="B496">
        <f t="shared" si="103"/>
        <v>0</v>
      </c>
      <c r="C496">
        <f t="shared" si="104"/>
        <v>0</v>
      </c>
      <c r="D496">
        <f t="shared" si="105"/>
        <v>0</v>
      </c>
      <c r="E496" t="e">
        <f t="shared" si="106"/>
        <v>#N/A</v>
      </c>
      <c r="F496">
        <f t="shared" si="107"/>
        <v>0</v>
      </c>
      <c r="G496">
        <f t="shared" si="108"/>
        <v>0</v>
      </c>
      <c r="H496">
        <f t="shared" si="109"/>
        <v>0</v>
      </c>
      <c r="I496">
        <f t="shared" si="110"/>
        <v>0</v>
      </c>
      <c r="J496">
        <f t="shared" si="111"/>
        <v>0</v>
      </c>
      <c r="K496" s="4" t="e">
        <f t="shared" si="114"/>
        <v>#N/A</v>
      </c>
      <c r="L496" t="e">
        <f t="shared" si="115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2"/>
        <v>0</v>
      </c>
      <c r="B497">
        <f t="shared" si="103"/>
        <v>0</v>
      </c>
      <c r="C497">
        <f t="shared" si="104"/>
        <v>0</v>
      </c>
      <c r="D497">
        <f t="shared" si="105"/>
        <v>0</v>
      </c>
      <c r="E497" t="e">
        <f t="shared" si="106"/>
        <v>#N/A</v>
      </c>
      <c r="F497">
        <f t="shared" si="107"/>
        <v>0</v>
      </c>
      <c r="G497">
        <f t="shared" si="108"/>
        <v>0</v>
      </c>
      <c r="H497">
        <f t="shared" si="109"/>
        <v>0</v>
      </c>
      <c r="I497">
        <f t="shared" si="110"/>
        <v>0</v>
      </c>
      <c r="J497">
        <f t="shared" si="111"/>
        <v>0</v>
      </c>
      <c r="K497" s="4" t="e">
        <f t="shared" si="114"/>
        <v>#N/A</v>
      </c>
      <c r="L497" t="e">
        <f t="shared" si="115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2"/>
        <v>0</v>
      </c>
      <c r="B498">
        <f t="shared" si="103"/>
        <v>0</v>
      </c>
      <c r="C498">
        <f t="shared" si="104"/>
        <v>0</v>
      </c>
      <c r="D498">
        <f t="shared" si="105"/>
        <v>0</v>
      </c>
      <c r="E498" t="e">
        <f t="shared" si="106"/>
        <v>#N/A</v>
      </c>
      <c r="F498">
        <f t="shared" si="107"/>
        <v>0</v>
      </c>
      <c r="G498">
        <f t="shared" si="108"/>
        <v>0</v>
      </c>
      <c r="H498">
        <f t="shared" si="109"/>
        <v>0</v>
      </c>
      <c r="I498">
        <f t="shared" si="110"/>
        <v>0</v>
      </c>
      <c r="J498">
        <f t="shared" si="111"/>
        <v>0</v>
      </c>
      <c r="K498" s="4" t="e">
        <f t="shared" si="114"/>
        <v>#N/A</v>
      </c>
      <c r="L498" t="e">
        <f t="shared" si="115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2"/>
        <v>0</v>
      </c>
      <c r="B499">
        <f t="shared" si="103"/>
        <v>0</v>
      </c>
      <c r="C499">
        <f t="shared" si="104"/>
        <v>0</v>
      </c>
      <c r="D499">
        <f t="shared" si="105"/>
        <v>0</v>
      </c>
      <c r="E499" t="e">
        <f t="shared" si="106"/>
        <v>#N/A</v>
      </c>
      <c r="F499">
        <f t="shared" si="107"/>
        <v>0</v>
      </c>
      <c r="G499">
        <f t="shared" si="108"/>
        <v>0</v>
      </c>
      <c r="H499">
        <f t="shared" si="109"/>
        <v>0</v>
      </c>
      <c r="I499">
        <f t="shared" si="110"/>
        <v>0</v>
      </c>
      <c r="J499">
        <f t="shared" si="111"/>
        <v>0</v>
      </c>
      <c r="K499" s="4" t="e">
        <f t="shared" si="114"/>
        <v>#N/A</v>
      </c>
      <c r="L499" t="e">
        <f t="shared" si="115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2"/>
        <v>0</v>
      </c>
      <c r="B500">
        <f t="shared" si="103"/>
        <v>0</v>
      </c>
      <c r="C500">
        <f t="shared" si="104"/>
        <v>0</v>
      </c>
      <c r="D500">
        <f t="shared" si="105"/>
        <v>0</v>
      </c>
      <c r="E500" t="e">
        <f t="shared" si="106"/>
        <v>#N/A</v>
      </c>
      <c r="F500">
        <f t="shared" si="107"/>
        <v>0</v>
      </c>
      <c r="G500">
        <f t="shared" si="108"/>
        <v>0</v>
      </c>
      <c r="H500">
        <f t="shared" si="109"/>
        <v>0</v>
      </c>
      <c r="I500">
        <f t="shared" si="110"/>
        <v>0</v>
      </c>
      <c r="J500">
        <f t="shared" si="111"/>
        <v>0</v>
      </c>
      <c r="K500" s="4" t="e">
        <f t="shared" si="114"/>
        <v>#N/A</v>
      </c>
      <c r="L500" t="e">
        <f t="shared" si="115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2"/>
        <v>0</v>
      </c>
      <c r="B501">
        <f t="shared" si="103"/>
        <v>0</v>
      </c>
      <c r="C501">
        <f t="shared" si="104"/>
        <v>0</v>
      </c>
      <c r="D501">
        <f t="shared" si="105"/>
        <v>0</v>
      </c>
      <c r="E501" t="e">
        <f t="shared" si="106"/>
        <v>#N/A</v>
      </c>
      <c r="F501">
        <f t="shared" si="107"/>
        <v>0</v>
      </c>
      <c r="G501">
        <f t="shared" si="108"/>
        <v>0</v>
      </c>
      <c r="H501">
        <f t="shared" si="109"/>
        <v>0</v>
      </c>
      <c r="I501">
        <f t="shared" si="110"/>
        <v>0</v>
      </c>
      <c r="J501">
        <f t="shared" si="111"/>
        <v>0</v>
      </c>
      <c r="K501" s="4" t="e">
        <f t="shared" si="114"/>
        <v>#N/A</v>
      </c>
      <c r="L501" t="e">
        <f t="shared" si="115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2"/>
        <v>0</v>
      </c>
      <c r="B502">
        <f t="shared" si="103"/>
        <v>0</v>
      </c>
      <c r="C502">
        <f t="shared" si="104"/>
        <v>0</v>
      </c>
      <c r="D502">
        <f t="shared" si="105"/>
        <v>0</v>
      </c>
      <c r="E502" t="e">
        <f t="shared" si="106"/>
        <v>#N/A</v>
      </c>
      <c r="F502">
        <f t="shared" si="107"/>
        <v>0</v>
      </c>
      <c r="G502">
        <f t="shared" si="108"/>
        <v>0</v>
      </c>
      <c r="H502">
        <f t="shared" si="109"/>
        <v>0</v>
      </c>
      <c r="I502">
        <f t="shared" si="110"/>
        <v>0</v>
      </c>
      <c r="J502">
        <f t="shared" si="111"/>
        <v>0</v>
      </c>
      <c r="K502" s="4" t="e">
        <f t="shared" si="114"/>
        <v>#N/A</v>
      </c>
      <c r="L502" t="e">
        <f t="shared" si="115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2"/>
        <v>0</v>
      </c>
      <c r="B503">
        <f t="shared" si="103"/>
        <v>0</v>
      </c>
      <c r="C503">
        <f t="shared" si="104"/>
        <v>0</v>
      </c>
      <c r="D503">
        <f t="shared" si="105"/>
        <v>0</v>
      </c>
      <c r="E503" t="e">
        <f t="shared" si="106"/>
        <v>#N/A</v>
      </c>
      <c r="F503">
        <f t="shared" si="107"/>
        <v>0</v>
      </c>
      <c r="G503">
        <f t="shared" si="108"/>
        <v>0</v>
      </c>
      <c r="H503">
        <f t="shared" si="109"/>
        <v>0</v>
      </c>
      <c r="I503">
        <f t="shared" si="110"/>
        <v>0</v>
      </c>
      <c r="J503">
        <f t="shared" si="111"/>
        <v>0</v>
      </c>
      <c r="K503" s="4" t="e">
        <f t="shared" si="114"/>
        <v>#N/A</v>
      </c>
      <c r="L503" t="e">
        <f t="shared" si="115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2"/>
        <v>0</v>
      </c>
      <c r="B504">
        <f t="shared" si="103"/>
        <v>0</v>
      </c>
      <c r="C504">
        <f t="shared" si="104"/>
        <v>0</v>
      </c>
      <c r="D504">
        <f t="shared" si="105"/>
        <v>0</v>
      </c>
      <c r="E504" t="e">
        <f t="shared" si="106"/>
        <v>#N/A</v>
      </c>
      <c r="F504">
        <f t="shared" si="107"/>
        <v>0</v>
      </c>
      <c r="G504">
        <f t="shared" si="108"/>
        <v>0</v>
      </c>
      <c r="H504">
        <f t="shared" si="109"/>
        <v>0</v>
      </c>
      <c r="I504">
        <f t="shared" si="110"/>
        <v>0</v>
      </c>
      <c r="J504">
        <f t="shared" si="111"/>
        <v>0</v>
      </c>
      <c r="K504" s="4" t="e">
        <f t="shared" si="114"/>
        <v>#N/A</v>
      </c>
      <c r="L504" t="e">
        <f t="shared" si="115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2"/>
        <v>0</v>
      </c>
      <c r="B505">
        <f t="shared" si="103"/>
        <v>0</v>
      </c>
      <c r="C505">
        <f t="shared" si="104"/>
        <v>0</v>
      </c>
      <c r="D505">
        <f t="shared" si="105"/>
        <v>0</v>
      </c>
      <c r="E505" t="e">
        <f t="shared" si="106"/>
        <v>#N/A</v>
      </c>
      <c r="F505">
        <f t="shared" si="107"/>
        <v>0</v>
      </c>
      <c r="G505">
        <f t="shared" si="108"/>
        <v>0</v>
      </c>
      <c r="H505">
        <f t="shared" si="109"/>
        <v>0</v>
      </c>
      <c r="I505">
        <f t="shared" si="110"/>
        <v>0</v>
      </c>
      <c r="J505">
        <f t="shared" si="111"/>
        <v>0</v>
      </c>
      <c r="K505" s="4" t="e">
        <f t="shared" si="114"/>
        <v>#N/A</v>
      </c>
      <c r="L505" t="e">
        <f t="shared" si="115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2"/>
        <v>0</v>
      </c>
      <c r="B506">
        <f t="shared" si="103"/>
        <v>0</v>
      </c>
      <c r="C506">
        <f t="shared" si="104"/>
        <v>0</v>
      </c>
      <c r="D506">
        <f t="shared" si="105"/>
        <v>0</v>
      </c>
      <c r="E506" t="e">
        <f t="shared" si="106"/>
        <v>#N/A</v>
      </c>
      <c r="F506">
        <f t="shared" si="107"/>
        <v>0</v>
      </c>
      <c r="G506">
        <f t="shared" si="108"/>
        <v>0</v>
      </c>
      <c r="H506">
        <f t="shared" si="109"/>
        <v>0</v>
      </c>
      <c r="I506">
        <f t="shared" si="110"/>
        <v>0</v>
      </c>
      <c r="J506">
        <f t="shared" si="111"/>
        <v>0</v>
      </c>
      <c r="K506" s="4" t="e">
        <f t="shared" si="114"/>
        <v>#N/A</v>
      </c>
      <c r="L506" t="e">
        <f t="shared" si="115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2"/>
        <v>0</v>
      </c>
      <c r="B507">
        <f t="shared" si="103"/>
        <v>0</v>
      </c>
      <c r="C507">
        <f t="shared" si="104"/>
        <v>0</v>
      </c>
      <c r="D507">
        <f t="shared" si="105"/>
        <v>0</v>
      </c>
      <c r="E507" t="e">
        <f t="shared" si="106"/>
        <v>#N/A</v>
      </c>
      <c r="F507">
        <f t="shared" si="107"/>
        <v>0</v>
      </c>
      <c r="G507">
        <f t="shared" si="108"/>
        <v>0</v>
      </c>
      <c r="H507">
        <f t="shared" si="109"/>
        <v>0</v>
      </c>
      <c r="I507">
        <f t="shared" si="110"/>
        <v>0</v>
      </c>
      <c r="J507">
        <f t="shared" si="111"/>
        <v>0</v>
      </c>
      <c r="K507" s="4" t="e">
        <f t="shared" si="114"/>
        <v>#N/A</v>
      </c>
      <c r="L507" t="e">
        <f t="shared" si="115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2"/>
        <v>0</v>
      </c>
      <c r="B508">
        <f t="shared" si="103"/>
        <v>0</v>
      </c>
      <c r="C508">
        <f t="shared" si="104"/>
        <v>0</v>
      </c>
      <c r="D508">
        <f t="shared" si="105"/>
        <v>0</v>
      </c>
      <c r="E508" t="e">
        <f t="shared" si="106"/>
        <v>#N/A</v>
      </c>
      <c r="F508">
        <f t="shared" si="107"/>
        <v>0</v>
      </c>
      <c r="G508">
        <f t="shared" si="108"/>
        <v>0</v>
      </c>
      <c r="H508">
        <f t="shared" si="109"/>
        <v>0</v>
      </c>
      <c r="I508">
        <f t="shared" si="110"/>
        <v>0</v>
      </c>
      <c r="J508">
        <f t="shared" si="111"/>
        <v>0</v>
      </c>
      <c r="K508" s="4" t="e">
        <f t="shared" si="114"/>
        <v>#N/A</v>
      </c>
      <c r="L508" t="e">
        <f t="shared" si="115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2"/>
        <v>0</v>
      </c>
      <c r="B509">
        <f t="shared" si="103"/>
        <v>0</v>
      </c>
      <c r="C509">
        <f t="shared" si="104"/>
        <v>0</v>
      </c>
      <c r="D509">
        <f t="shared" si="105"/>
        <v>0</v>
      </c>
      <c r="E509" t="e">
        <f t="shared" si="106"/>
        <v>#N/A</v>
      </c>
      <c r="F509">
        <f t="shared" si="107"/>
        <v>0</v>
      </c>
      <c r="G509">
        <f t="shared" si="108"/>
        <v>0</v>
      </c>
      <c r="H509">
        <f t="shared" si="109"/>
        <v>0</v>
      </c>
      <c r="I509">
        <f t="shared" si="110"/>
        <v>0</v>
      </c>
      <c r="J509">
        <f t="shared" si="111"/>
        <v>0</v>
      </c>
      <c r="K509" s="4" t="e">
        <f t="shared" si="114"/>
        <v>#N/A</v>
      </c>
      <c r="L509" t="e">
        <f t="shared" si="115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2"/>
        <v>0</v>
      </c>
      <c r="B510">
        <f t="shared" si="103"/>
        <v>0</v>
      </c>
      <c r="C510">
        <f t="shared" si="104"/>
        <v>0</v>
      </c>
      <c r="D510">
        <f t="shared" si="105"/>
        <v>0</v>
      </c>
      <c r="E510" t="e">
        <f t="shared" si="106"/>
        <v>#N/A</v>
      </c>
      <c r="F510">
        <f t="shared" si="107"/>
        <v>0</v>
      </c>
      <c r="G510">
        <f t="shared" si="108"/>
        <v>0</v>
      </c>
      <c r="H510">
        <f t="shared" si="109"/>
        <v>0</v>
      </c>
      <c r="I510">
        <f t="shared" si="110"/>
        <v>0</v>
      </c>
      <c r="J510">
        <f t="shared" si="111"/>
        <v>0</v>
      </c>
      <c r="K510" s="4" t="e">
        <f t="shared" si="114"/>
        <v>#N/A</v>
      </c>
      <c r="L510" t="e">
        <f t="shared" si="115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2"/>
        <v>0</v>
      </c>
      <c r="B511">
        <f t="shared" si="103"/>
        <v>0</v>
      </c>
      <c r="C511">
        <f t="shared" si="104"/>
        <v>0</v>
      </c>
      <c r="D511">
        <f t="shared" si="105"/>
        <v>0</v>
      </c>
      <c r="E511" t="e">
        <f t="shared" si="106"/>
        <v>#N/A</v>
      </c>
      <c r="F511">
        <f t="shared" si="107"/>
        <v>0</v>
      </c>
      <c r="G511">
        <f t="shared" si="108"/>
        <v>0</v>
      </c>
      <c r="H511">
        <f t="shared" si="109"/>
        <v>0</v>
      </c>
      <c r="I511">
        <f t="shared" si="110"/>
        <v>0</v>
      </c>
      <c r="J511">
        <f t="shared" si="111"/>
        <v>0</v>
      </c>
      <c r="K511" s="4" t="e">
        <f t="shared" si="114"/>
        <v>#N/A</v>
      </c>
      <c r="L511" t="e">
        <f t="shared" si="115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2"/>
        <v>0</v>
      </c>
      <c r="B512">
        <f t="shared" si="103"/>
        <v>0</v>
      </c>
      <c r="C512">
        <f t="shared" si="104"/>
        <v>0</v>
      </c>
      <c r="D512">
        <f t="shared" si="105"/>
        <v>0</v>
      </c>
      <c r="E512" t="e">
        <f t="shared" si="106"/>
        <v>#N/A</v>
      </c>
      <c r="F512">
        <f t="shared" si="107"/>
        <v>0</v>
      </c>
      <c r="G512">
        <f t="shared" si="108"/>
        <v>0</v>
      </c>
      <c r="H512">
        <f t="shared" si="109"/>
        <v>0</v>
      </c>
      <c r="I512">
        <f t="shared" si="110"/>
        <v>0</v>
      </c>
      <c r="J512">
        <f t="shared" si="111"/>
        <v>0</v>
      </c>
      <c r="K512" s="4" t="e">
        <f t="shared" si="114"/>
        <v>#N/A</v>
      </c>
      <c r="L512" t="e">
        <f t="shared" si="115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2"/>
        <v>0</v>
      </c>
      <c r="B513">
        <f t="shared" si="103"/>
        <v>0</v>
      </c>
      <c r="C513">
        <f t="shared" si="104"/>
        <v>0</v>
      </c>
      <c r="D513">
        <f t="shared" si="105"/>
        <v>0</v>
      </c>
      <c r="E513" t="e">
        <f t="shared" si="106"/>
        <v>#N/A</v>
      </c>
      <c r="F513">
        <f t="shared" si="107"/>
        <v>0</v>
      </c>
      <c r="G513">
        <f t="shared" si="108"/>
        <v>0</v>
      </c>
      <c r="H513">
        <f t="shared" si="109"/>
        <v>0</v>
      </c>
      <c r="I513">
        <f t="shared" si="110"/>
        <v>0</v>
      </c>
      <c r="J513">
        <f t="shared" si="111"/>
        <v>0</v>
      </c>
      <c r="K513" s="4" t="e">
        <f t="shared" si="114"/>
        <v>#N/A</v>
      </c>
      <c r="L513" t="e">
        <f t="shared" si="115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6">bd_campaign</f>
        <v>0</v>
      </c>
      <c r="B514">
        <f t="shared" ref="B514:B577" si="117">bd_site</f>
        <v>0</v>
      </c>
      <c r="C514">
        <f t="shared" ref="C514:C577" si="118">bd_placement</f>
        <v>0</v>
      </c>
      <c r="D514">
        <f t="shared" ref="D514:D577" si="119">bd_placementID</f>
        <v>0</v>
      </c>
      <c r="E514" t="e">
        <f t="shared" ref="E514:E577" si="120">VLOOKUP(CONCATENATE(bd_adtype,"_",bd_creativetype),tabela,2,FALSE)</f>
        <v>#N/A</v>
      </c>
      <c r="F514">
        <f t="shared" ref="F514:F577" si="121">bd_ad</f>
        <v>0</v>
      </c>
      <c r="G514">
        <f t="shared" ref="G514:G577" si="122">bd_adid</f>
        <v>0</v>
      </c>
      <c r="H514">
        <f t="shared" ref="H514:H577" si="123">bd_creativetype</f>
        <v>0</v>
      </c>
      <c r="I514">
        <f t="shared" ref="I514:I577" si="124">bd_impression</f>
        <v>0</v>
      </c>
      <c r="J514">
        <f t="shared" ref="J514:J577" si="125">bd_clicks</f>
        <v>0</v>
      </c>
      <c r="K514" s="4" t="e">
        <f t="shared" si="114"/>
        <v>#N/A</v>
      </c>
      <c r="L514" t="e">
        <f t="shared" si="115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6"/>
        <v>0</v>
      </c>
      <c r="B515">
        <f t="shared" si="117"/>
        <v>0</v>
      </c>
      <c r="C515">
        <f t="shared" si="118"/>
        <v>0</v>
      </c>
      <c r="D515">
        <f t="shared" si="119"/>
        <v>0</v>
      </c>
      <c r="E515" t="e">
        <f t="shared" si="120"/>
        <v>#N/A</v>
      </c>
      <c r="F515">
        <f t="shared" si="121"/>
        <v>0</v>
      </c>
      <c r="G515">
        <f t="shared" si="122"/>
        <v>0</v>
      </c>
      <c r="H515">
        <f t="shared" si="123"/>
        <v>0</v>
      </c>
      <c r="I515">
        <f t="shared" si="124"/>
        <v>0</v>
      </c>
      <c r="J515">
        <f t="shared" si="125"/>
        <v>0</v>
      </c>
      <c r="K515" s="4" t="e">
        <f t="shared" si="114"/>
        <v>#N/A</v>
      </c>
      <c r="L515" t="e">
        <f t="shared" si="115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6"/>
        <v>0</v>
      </c>
      <c r="B516">
        <f t="shared" si="117"/>
        <v>0</v>
      </c>
      <c r="C516">
        <f t="shared" si="118"/>
        <v>0</v>
      </c>
      <c r="D516">
        <f t="shared" si="119"/>
        <v>0</v>
      </c>
      <c r="E516" t="e">
        <f t="shared" si="120"/>
        <v>#N/A</v>
      </c>
      <c r="F516">
        <f t="shared" si="121"/>
        <v>0</v>
      </c>
      <c r="G516">
        <f t="shared" si="122"/>
        <v>0</v>
      </c>
      <c r="H516">
        <f t="shared" si="123"/>
        <v>0</v>
      </c>
      <c r="I516">
        <f t="shared" si="124"/>
        <v>0</v>
      </c>
      <c r="J516">
        <f t="shared" si="125"/>
        <v>0</v>
      </c>
      <c r="K516" s="4" t="e">
        <f t="shared" si="114"/>
        <v>#N/A</v>
      </c>
      <c r="L516" t="e">
        <f t="shared" si="115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6"/>
        <v>0</v>
      </c>
      <c r="B517">
        <f t="shared" si="117"/>
        <v>0</v>
      </c>
      <c r="C517">
        <f t="shared" si="118"/>
        <v>0</v>
      </c>
      <c r="D517">
        <f t="shared" si="119"/>
        <v>0</v>
      </c>
      <c r="E517" t="e">
        <f t="shared" si="120"/>
        <v>#N/A</v>
      </c>
      <c r="F517">
        <f t="shared" si="121"/>
        <v>0</v>
      </c>
      <c r="G517">
        <f t="shared" si="122"/>
        <v>0</v>
      </c>
      <c r="H517">
        <f t="shared" si="123"/>
        <v>0</v>
      </c>
      <c r="I517">
        <f t="shared" si="124"/>
        <v>0</v>
      </c>
      <c r="J517">
        <f t="shared" si="125"/>
        <v>0</v>
      </c>
      <c r="K517" s="4" t="e">
        <f t="shared" si="114"/>
        <v>#N/A</v>
      </c>
      <c r="L517" t="e">
        <f t="shared" si="115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6"/>
        <v>0</v>
      </c>
      <c r="B518">
        <f t="shared" si="117"/>
        <v>0</v>
      </c>
      <c r="C518">
        <f t="shared" si="118"/>
        <v>0</v>
      </c>
      <c r="D518">
        <f t="shared" si="119"/>
        <v>0</v>
      </c>
      <c r="E518" t="e">
        <f t="shared" si="120"/>
        <v>#N/A</v>
      </c>
      <c r="F518">
        <f t="shared" si="121"/>
        <v>0</v>
      </c>
      <c r="G518">
        <f t="shared" si="122"/>
        <v>0</v>
      </c>
      <c r="H518">
        <f t="shared" si="123"/>
        <v>0</v>
      </c>
      <c r="I518">
        <f t="shared" si="124"/>
        <v>0</v>
      </c>
      <c r="J518">
        <f t="shared" si="125"/>
        <v>0</v>
      </c>
      <c r="K518" s="4" t="e">
        <f t="shared" si="114"/>
        <v>#N/A</v>
      </c>
      <c r="L518" t="e">
        <f t="shared" si="115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6"/>
        <v>0</v>
      </c>
      <c r="B519">
        <f t="shared" si="117"/>
        <v>0</v>
      </c>
      <c r="C519">
        <f t="shared" si="118"/>
        <v>0</v>
      </c>
      <c r="D519">
        <f t="shared" si="119"/>
        <v>0</v>
      </c>
      <c r="E519" t="e">
        <f t="shared" si="120"/>
        <v>#N/A</v>
      </c>
      <c r="F519">
        <f t="shared" si="121"/>
        <v>0</v>
      </c>
      <c r="G519">
        <f t="shared" si="122"/>
        <v>0</v>
      </c>
      <c r="H519">
        <f t="shared" si="123"/>
        <v>0</v>
      </c>
      <c r="I519">
        <f t="shared" si="124"/>
        <v>0</v>
      </c>
      <c r="J519">
        <f t="shared" si="125"/>
        <v>0</v>
      </c>
      <c r="K519" s="4" t="e">
        <f t="shared" si="114"/>
        <v>#N/A</v>
      </c>
      <c r="L519" t="e">
        <f t="shared" si="115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6"/>
        <v>0</v>
      </c>
      <c r="B520">
        <f t="shared" si="117"/>
        <v>0</v>
      </c>
      <c r="C520">
        <f t="shared" si="118"/>
        <v>0</v>
      </c>
      <c r="D520">
        <f t="shared" si="119"/>
        <v>0</v>
      </c>
      <c r="E520" t="e">
        <f t="shared" si="120"/>
        <v>#N/A</v>
      </c>
      <c r="F520">
        <f t="shared" si="121"/>
        <v>0</v>
      </c>
      <c r="G520">
        <f t="shared" si="122"/>
        <v>0</v>
      </c>
      <c r="H520">
        <f t="shared" si="123"/>
        <v>0</v>
      </c>
      <c r="I520">
        <f t="shared" si="124"/>
        <v>0</v>
      </c>
      <c r="J520">
        <f t="shared" si="125"/>
        <v>0</v>
      </c>
      <c r="K520" s="4" t="e">
        <f t="shared" si="114"/>
        <v>#N/A</v>
      </c>
      <c r="L520" t="e">
        <f t="shared" si="115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6"/>
        <v>0</v>
      </c>
      <c r="B521">
        <f t="shared" si="117"/>
        <v>0</v>
      </c>
      <c r="C521">
        <f t="shared" si="118"/>
        <v>0</v>
      </c>
      <c r="D521">
        <f t="shared" si="119"/>
        <v>0</v>
      </c>
      <c r="E521" t="e">
        <f t="shared" si="120"/>
        <v>#N/A</v>
      </c>
      <c r="F521">
        <f t="shared" si="121"/>
        <v>0</v>
      </c>
      <c r="G521">
        <f t="shared" si="122"/>
        <v>0</v>
      </c>
      <c r="H521">
        <f t="shared" si="123"/>
        <v>0</v>
      </c>
      <c r="I521">
        <f t="shared" si="124"/>
        <v>0</v>
      </c>
      <c r="J521">
        <f t="shared" si="125"/>
        <v>0</v>
      </c>
      <c r="K521" s="4" t="e">
        <f t="shared" si="114"/>
        <v>#N/A</v>
      </c>
      <c r="L521" t="e">
        <f t="shared" si="115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6"/>
        <v>0</v>
      </c>
      <c r="B522">
        <f t="shared" si="117"/>
        <v>0</v>
      </c>
      <c r="C522">
        <f t="shared" si="118"/>
        <v>0</v>
      </c>
      <c r="D522">
        <f t="shared" si="119"/>
        <v>0</v>
      </c>
      <c r="E522" t="e">
        <f t="shared" si="120"/>
        <v>#N/A</v>
      </c>
      <c r="F522">
        <f t="shared" si="121"/>
        <v>0</v>
      </c>
      <c r="G522">
        <f t="shared" si="122"/>
        <v>0</v>
      </c>
      <c r="H522">
        <f t="shared" si="123"/>
        <v>0</v>
      </c>
      <c r="I522">
        <f t="shared" si="124"/>
        <v>0</v>
      </c>
      <c r="J522">
        <f t="shared" si="125"/>
        <v>0</v>
      </c>
      <c r="K522" s="4" t="e">
        <f t="shared" si="114"/>
        <v>#N/A</v>
      </c>
      <c r="L522" t="e">
        <f t="shared" si="115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6"/>
        <v>0</v>
      </c>
      <c r="B523">
        <f t="shared" si="117"/>
        <v>0</v>
      </c>
      <c r="C523">
        <f t="shared" si="118"/>
        <v>0</v>
      </c>
      <c r="D523">
        <f t="shared" si="119"/>
        <v>0</v>
      </c>
      <c r="E523" t="e">
        <f t="shared" si="120"/>
        <v>#N/A</v>
      </c>
      <c r="F523">
        <f t="shared" si="121"/>
        <v>0</v>
      </c>
      <c r="G523">
        <f t="shared" si="122"/>
        <v>0</v>
      </c>
      <c r="H523">
        <f t="shared" si="123"/>
        <v>0</v>
      </c>
      <c r="I523">
        <f t="shared" si="124"/>
        <v>0</v>
      </c>
      <c r="J523">
        <f t="shared" si="125"/>
        <v>0</v>
      </c>
      <c r="K523" s="4" t="e">
        <f t="shared" si="114"/>
        <v>#N/A</v>
      </c>
      <c r="L523" t="e">
        <f t="shared" si="115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6"/>
        <v>0</v>
      </c>
      <c r="B524">
        <f t="shared" si="117"/>
        <v>0</v>
      </c>
      <c r="C524">
        <f t="shared" si="118"/>
        <v>0</v>
      </c>
      <c r="D524">
        <f t="shared" si="119"/>
        <v>0</v>
      </c>
      <c r="E524" t="e">
        <f t="shared" si="120"/>
        <v>#N/A</v>
      </c>
      <c r="F524">
        <f t="shared" si="121"/>
        <v>0</v>
      </c>
      <c r="G524">
        <f t="shared" si="122"/>
        <v>0</v>
      </c>
      <c r="H524">
        <f t="shared" si="123"/>
        <v>0</v>
      </c>
      <c r="I524">
        <f t="shared" si="124"/>
        <v>0</v>
      </c>
      <c r="J524">
        <f t="shared" si="125"/>
        <v>0</v>
      </c>
      <c r="K524" s="4" t="e">
        <f t="shared" si="114"/>
        <v>#N/A</v>
      </c>
      <c r="L524" t="e">
        <f t="shared" si="115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6"/>
        <v>0</v>
      </c>
      <c r="B525">
        <f t="shared" si="117"/>
        <v>0</v>
      </c>
      <c r="C525">
        <f t="shared" si="118"/>
        <v>0</v>
      </c>
      <c r="D525">
        <f t="shared" si="119"/>
        <v>0</v>
      </c>
      <c r="E525" t="e">
        <f t="shared" si="120"/>
        <v>#N/A</v>
      </c>
      <c r="F525">
        <f t="shared" si="121"/>
        <v>0</v>
      </c>
      <c r="G525">
        <f t="shared" si="122"/>
        <v>0</v>
      </c>
      <c r="H525">
        <f t="shared" si="123"/>
        <v>0</v>
      </c>
      <c r="I525">
        <f t="shared" si="124"/>
        <v>0</v>
      </c>
      <c r="J525">
        <f t="shared" si="125"/>
        <v>0</v>
      </c>
      <c r="K525" s="4" t="e">
        <f t="shared" si="114"/>
        <v>#N/A</v>
      </c>
      <c r="L525" t="e">
        <f t="shared" si="115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6"/>
        <v>0</v>
      </c>
      <c r="B526">
        <f t="shared" si="117"/>
        <v>0</v>
      </c>
      <c r="C526">
        <f t="shared" si="118"/>
        <v>0</v>
      </c>
      <c r="D526">
        <f t="shared" si="119"/>
        <v>0</v>
      </c>
      <c r="E526" t="e">
        <f t="shared" si="120"/>
        <v>#N/A</v>
      </c>
      <c r="F526">
        <f t="shared" si="121"/>
        <v>0</v>
      </c>
      <c r="G526">
        <f t="shared" si="122"/>
        <v>0</v>
      </c>
      <c r="H526">
        <f t="shared" si="123"/>
        <v>0</v>
      </c>
      <c r="I526">
        <f t="shared" si="124"/>
        <v>0</v>
      </c>
      <c r="J526">
        <f t="shared" si="125"/>
        <v>0</v>
      </c>
      <c r="K526" s="4" t="e">
        <f t="shared" si="114"/>
        <v>#N/A</v>
      </c>
      <c r="L526" t="e">
        <f t="shared" si="115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6"/>
        <v>0</v>
      </c>
      <c r="B527">
        <f t="shared" si="117"/>
        <v>0</v>
      </c>
      <c r="C527">
        <f t="shared" si="118"/>
        <v>0</v>
      </c>
      <c r="D527">
        <f t="shared" si="119"/>
        <v>0</v>
      </c>
      <c r="E527" t="e">
        <f t="shared" si="120"/>
        <v>#N/A</v>
      </c>
      <c r="F527">
        <f t="shared" si="121"/>
        <v>0</v>
      </c>
      <c r="G527">
        <f t="shared" si="122"/>
        <v>0</v>
      </c>
      <c r="H527">
        <f t="shared" si="123"/>
        <v>0</v>
      </c>
      <c r="I527">
        <f t="shared" si="124"/>
        <v>0</v>
      </c>
      <c r="J527">
        <f t="shared" si="125"/>
        <v>0</v>
      </c>
      <c r="K527" s="4" t="e">
        <f t="shared" si="114"/>
        <v>#N/A</v>
      </c>
      <c r="L527" t="e">
        <f t="shared" si="115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6"/>
        <v>0</v>
      </c>
      <c r="B528">
        <f t="shared" si="117"/>
        <v>0</v>
      </c>
      <c r="C528">
        <f t="shared" si="118"/>
        <v>0</v>
      </c>
      <c r="D528">
        <f t="shared" si="119"/>
        <v>0</v>
      </c>
      <c r="E528" t="e">
        <f t="shared" si="120"/>
        <v>#N/A</v>
      </c>
      <c r="F528">
        <f t="shared" si="121"/>
        <v>0</v>
      </c>
      <c r="G528">
        <f t="shared" si="122"/>
        <v>0</v>
      </c>
      <c r="H528">
        <f t="shared" si="123"/>
        <v>0</v>
      </c>
      <c r="I528">
        <f t="shared" si="124"/>
        <v>0</v>
      </c>
      <c r="J528">
        <f t="shared" si="125"/>
        <v>0</v>
      </c>
      <c r="K528" s="4" t="e">
        <f t="shared" si="114"/>
        <v>#N/A</v>
      </c>
      <c r="L528" t="e">
        <f t="shared" si="115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6"/>
        <v>0</v>
      </c>
      <c r="B529">
        <f t="shared" si="117"/>
        <v>0</v>
      </c>
      <c r="C529">
        <f t="shared" si="118"/>
        <v>0</v>
      </c>
      <c r="D529">
        <f t="shared" si="119"/>
        <v>0</v>
      </c>
      <c r="E529" t="e">
        <f t="shared" si="120"/>
        <v>#N/A</v>
      </c>
      <c r="F529">
        <f t="shared" si="121"/>
        <v>0</v>
      </c>
      <c r="G529">
        <f t="shared" si="122"/>
        <v>0</v>
      </c>
      <c r="H529">
        <f t="shared" si="123"/>
        <v>0</v>
      </c>
      <c r="I529">
        <f t="shared" si="124"/>
        <v>0</v>
      </c>
      <c r="J529">
        <f t="shared" si="125"/>
        <v>0</v>
      </c>
      <c r="K529" s="4" t="e">
        <f t="shared" si="114"/>
        <v>#N/A</v>
      </c>
      <c r="L529" t="e">
        <f t="shared" si="115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6"/>
        <v>0</v>
      </c>
      <c r="B530">
        <f t="shared" si="117"/>
        <v>0</v>
      </c>
      <c r="C530">
        <f t="shared" si="118"/>
        <v>0</v>
      </c>
      <c r="D530">
        <f t="shared" si="119"/>
        <v>0</v>
      </c>
      <c r="E530" t="e">
        <f t="shared" si="120"/>
        <v>#N/A</v>
      </c>
      <c r="F530">
        <f t="shared" si="121"/>
        <v>0</v>
      </c>
      <c r="G530">
        <f t="shared" si="122"/>
        <v>0</v>
      </c>
      <c r="H530">
        <f t="shared" si="123"/>
        <v>0</v>
      </c>
      <c r="I530">
        <f t="shared" si="124"/>
        <v>0</v>
      </c>
      <c r="J530">
        <f t="shared" si="125"/>
        <v>0</v>
      </c>
      <c r="K530" s="4" t="e">
        <f t="shared" si="114"/>
        <v>#N/A</v>
      </c>
      <c r="L530" t="e">
        <f t="shared" si="115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6"/>
        <v>0</v>
      </c>
      <c r="B531">
        <f t="shared" si="117"/>
        <v>0</v>
      </c>
      <c r="C531">
        <f t="shared" si="118"/>
        <v>0</v>
      </c>
      <c r="D531">
        <f t="shared" si="119"/>
        <v>0</v>
      </c>
      <c r="E531" t="e">
        <f t="shared" si="120"/>
        <v>#N/A</v>
      </c>
      <c r="F531">
        <f t="shared" si="121"/>
        <v>0</v>
      </c>
      <c r="G531">
        <f t="shared" si="122"/>
        <v>0</v>
      </c>
      <c r="H531">
        <f t="shared" si="123"/>
        <v>0</v>
      </c>
      <c r="I531">
        <f t="shared" si="124"/>
        <v>0</v>
      </c>
      <c r="J531">
        <f t="shared" si="125"/>
        <v>0</v>
      </c>
      <c r="K531" s="4" t="e">
        <f t="shared" si="114"/>
        <v>#N/A</v>
      </c>
      <c r="L531" t="e">
        <f t="shared" si="115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6"/>
        <v>0</v>
      </c>
      <c r="B532">
        <f t="shared" si="117"/>
        <v>0</v>
      </c>
      <c r="C532">
        <f t="shared" si="118"/>
        <v>0</v>
      </c>
      <c r="D532">
        <f t="shared" si="119"/>
        <v>0</v>
      </c>
      <c r="E532" t="e">
        <f t="shared" si="120"/>
        <v>#N/A</v>
      </c>
      <c r="F532">
        <f t="shared" si="121"/>
        <v>0</v>
      </c>
      <c r="G532">
        <f t="shared" si="122"/>
        <v>0</v>
      </c>
      <c r="H532">
        <f t="shared" si="123"/>
        <v>0</v>
      </c>
      <c r="I532">
        <f t="shared" si="124"/>
        <v>0</v>
      </c>
      <c r="J532">
        <f t="shared" si="125"/>
        <v>0</v>
      </c>
      <c r="K532" s="4" t="e">
        <f t="shared" si="114"/>
        <v>#N/A</v>
      </c>
      <c r="L532" t="e">
        <f t="shared" si="115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6"/>
        <v>0</v>
      </c>
      <c r="B533">
        <f t="shared" si="117"/>
        <v>0</v>
      </c>
      <c r="C533">
        <f t="shared" si="118"/>
        <v>0</v>
      </c>
      <c r="D533">
        <f t="shared" si="119"/>
        <v>0</v>
      </c>
      <c r="E533" t="e">
        <f t="shared" si="120"/>
        <v>#N/A</v>
      </c>
      <c r="F533">
        <f t="shared" si="121"/>
        <v>0</v>
      </c>
      <c r="G533">
        <f t="shared" si="122"/>
        <v>0</v>
      </c>
      <c r="H533">
        <f t="shared" si="123"/>
        <v>0</v>
      </c>
      <c r="I533">
        <f t="shared" si="124"/>
        <v>0</v>
      </c>
      <c r="J533">
        <f t="shared" si="125"/>
        <v>0</v>
      </c>
      <c r="K533" s="4" t="e">
        <f t="shared" si="114"/>
        <v>#N/A</v>
      </c>
      <c r="L533" t="e">
        <f t="shared" si="115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6"/>
        <v>0</v>
      </c>
      <c r="B534">
        <f t="shared" si="117"/>
        <v>0</v>
      </c>
      <c r="C534">
        <f t="shared" si="118"/>
        <v>0</v>
      </c>
      <c r="D534">
        <f t="shared" si="119"/>
        <v>0</v>
      </c>
      <c r="E534" t="e">
        <f t="shared" si="120"/>
        <v>#N/A</v>
      </c>
      <c r="F534">
        <f t="shared" si="121"/>
        <v>0</v>
      </c>
      <c r="G534">
        <f t="shared" si="122"/>
        <v>0</v>
      </c>
      <c r="H534">
        <f t="shared" si="123"/>
        <v>0</v>
      </c>
      <c r="I534">
        <f t="shared" si="124"/>
        <v>0</v>
      </c>
      <c r="J534">
        <f t="shared" si="125"/>
        <v>0</v>
      </c>
      <c r="K534" s="4" t="e">
        <f t="shared" si="114"/>
        <v>#N/A</v>
      </c>
      <c r="L534" t="e">
        <f t="shared" si="115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6"/>
        <v>0</v>
      </c>
      <c r="B535">
        <f t="shared" si="117"/>
        <v>0</v>
      </c>
      <c r="C535">
        <f t="shared" si="118"/>
        <v>0</v>
      </c>
      <c r="D535">
        <f t="shared" si="119"/>
        <v>0</v>
      </c>
      <c r="E535" t="e">
        <f t="shared" si="120"/>
        <v>#N/A</v>
      </c>
      <c r="F535">
        <f t="shared" si="121"/>
        <v>0</v>
      </c>
      <c r="G535">
        <f t="shared" si="122"/>
        <v>0</v>
      </c>
      <c r="H535">
        <f t="shared" si="123"/>
        <v>0</v>
      </c>
      <c r="I535">
        <f t="shared" si="124"/>
        <v>0</v>
      </c>
      <c r="J535">
        <f t="shared" si="125"/>
        <v>0</v>
      </c>
      <c r="K535" s="4" t="e">
        <f t="shared" si="114"/>
        <v>#N/A</v>
      </c>
      <c r="L535" t="e">
        <f t="shared" si="115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6"/>
        <v>0</v>
      </c>
      <c r="B536">
        <f t="shared" si="117"/>
        <v>0</v>
      </c>
      <c r="C536">
        <f t="shared" si="118"/>
        <v>0</v>
      </c>
      <c r="D536">
        <f t="shared" si="119"/>
        <v>0</v>
      </c>
      <c r="E536" t="e">
        <f t="shared" si="120"/>
        <v>#N/A</v>
      </c>
      <c r="F536">
        <f t="shared" si="121"/>
        <v>0</v>
      </c>
      <c r="G536">
        <f t="shared" si="122"/>
        <v>0</v>
      </c>
      <c r="H536">
        <f t="shared" si="123"/>
        <v>0</v>
      </c>
      <c r="I536">
        <f t="shared" si="124"/>
        <v>0</v>
      </c>
      <c r="J536">
        <f t="shared" si="125"/>
        <v>0</v>
      </c>
      <c r="K536" s="4" t="e">
        <f t="shared" si="114"/>
        <v>#N/A</v>
      </c>
      <c r="L536" t="e">
        <f t="shared" si="115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6"/>
        <v>0</v>
      </c>
      <c r="B537">
        <f t="shared" si="117"/>
        <v>0</v>
      </c>
      <c r="C537">
        <f t="shared" si="118"/>
        <v>0</v>
      </c>
      <c r="D537">
        <f t="shared" si="119"/>
        <v>0</v>
      </c>
      <c r="E537" t="e">
        <f t="shared" si="120"/>
        <v>#N/A</v>
      </c>
      <c r="F537">
        <f t="shared" si="121"/>
        <v>0</v>
      </c>
      <c r="G537">
        <f t="shared" si="122"/>
        <v>0</v>
      </c>
      <c r="H537">
        <f t="shared" si="123"/>
        <v>0</v>
      </c>
      <c r="I537">
        <f t="shared" si="124"/>
        <v>0</v>
      </c>
      <c r="J537">
        <f t="shared" si="125"/>
        <v>0</v>
      </c>
      <c r="K537" s="4" t="e">
        <f t="shared" si="114"/>
        <v>#N/A</v>
      </c>
      <c r="L537" t="e">
        <f t="shared" si="115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6"/>
        <v>0</v>
      </c>
      <c r="B538">
        <f t="shared" si="117"/>
        <v>0</v>
      </c>
      <c r="C538">
        <f t="shared" si="118"/>
        <v>0</v>
      </c>
      <c r="D538">
        <f t="shared" si="119"/>
        <v>0</v>
      </c>
      <c r="E538" t="e">
        <f t="shared" si="120"/>
        <v>#N/A</v>
      </c>
      <c r="F538">
        <f t="shared" si="121"/>
        <v>0</v>
      </c>
      <c r="G538">
        <f t="shared" si="122"/>
        <v>0</v>
      </c>
      <c r="H538">
        <f t="shared" si="123"/>
        <v>0</v>
      </c>
      <c r="I538">
        <f t="shared" si="124"/>
        <v>0</v>
      </c>
      <c r="J538">
        <f t="shared" si="125"/>
        <v>0</v>
      </c>
      <c r="K538" s="4" t="e">
        <f t="shared" si="114"/>
        <v>#N/A</v>
      </c>
      <c r="L538" t="e">
        <f t="shared" si="115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6"/>
        <v>0</v>
      </c>
      <c r="B539">
        <f t="shared" si="117"/>
        <v>0</v>
      </c>
      <c r="C539">
        <f t="shared" si="118"/>
        <v>0</v>
      </c>
      <c r="D539">
        <f t="shared" si="119"/>
        <v>0</v>
      </c>
      <c r="E539" t="e">
        <f t="shared" si="120"/>
        <v>#N/A</v>
      </c>
      <c r="F539">
        <f t="shared" si="121"/>
        <v>0</v>
      </c>
      <c r="G539">
        <f t="shared" si="122"/>
        <v>0</v>
      </c>
      <c r="H539">
        <f t="shared" si="123"/>
        <v>0</v>
      </c>
      <c r="I539">
        <f t="shared" si="124"/>
        <v>0</v>
      </c>
      <c r="J539">
        <f t="shared" si="125"/>
        <v>0</v>
      </c>
      <c r="K539" s="4" t="e">
        <f t="shared" si="114"/>
        <v>#N/A</v>
      </c>
      <c r="L539" t="e">
        <f t="shared" si="115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6"/>
        <v>0</v>
      </c>
      <c r="B540">
        <f t="shared" si="117"/>
        <v>0</v>
      </c>
      <c r="C540">
        <f t="shared" si="118"/>
        <v>0</v>
      </c>
      <c r="D540">
        <f t="shared" si="119"/>
        <v>0</v>
      </c>
      <c r="E540" t="e">
        <f t="shared" si="120"/>
        <v>#N/A</v>
      </c>
      <c r="F540">
        <f t="shared" si="121"/>
        <v>0</v>
      </c>
      <c r="G540">
        <f t="shared" si="122"/>
        <v>0</v>
      </c>
      <c r="H540">
        <f t="shared" si="123"/>
        <v>0</v>
      </c>
      <c r="I540">
        <f t="shared" si="124"/>
        <v>0</v>
      </c>
      <c r="J540">
        <f t="shared" si="125"/>
        <v>0</v>
      </c>
      <c r="K540" s="4" t="e">
        <f t="shared" si="114"/>
        <v>#N/A</v>
      </c>
      <c r="L540" t="e">
        <f t="shared" si="115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6"/>
        <v>0</v>
      </c>
      <c r="B541">
        <f t="shared" si="117"/>
        <v>0</v>
      </c>
      <c r="C541">
        <f t="shared" si="118"/>
        <v>0</v>
      </c>
      <c r="D541">
        <f t="shared" si="119"/>
        <v>0</v>
      </c>
      <c r="E541" t="e">
        <f t="shared" si="120"/>
        <v>#N/A</v>
      </c>
      <c r="F541">
        <f t="shared" si="121"/>
        <v>0</v>
      </c>
      <c r="G541">
        <f t="shared" si="122"/>
        <v>0</v>
      </c>
      <c r="H541">
        <f t="shared" si="123"/>
        <v>0</v>
      </c>
      <c r="I541">
        <f t="shared" si="124"/>
        <v>0</v>
      </c>
      <c r="J541">
        <f t="shared" si="125"/>
        <v>0</v>
      </c>
      <c r="K541" s="4" t="e">
        <f t="shared" si="114"/>
        <v>#N/A</v>
      </c>
      <c r="L541" t="e">
        <f t="shared" si="115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6"/>
        <v>0</v>
      </c>
      <c r="B542">
        <f t="shared" si="117"/>
        <v>0</v>
      </c>
      <c r="C542">
        <f t="shared" si="118"/>
        <v>0</v>
      </c>
      <c r="D542">
        <f t="shared" si="119"/>
        <v>0</v>
      </c>
      <c r="E542" t="e">
        <f t="shared" si="120"/>
        <v>#N/A</v>
      </c>
      <c r="F542">
        <f t="shared" si="121"/>
        <v>0</v>
      </c>
      <c r="G542">
        <f t="shared" si="122"/>
        <v>0</v>
      </c>
      <c r="H542">
        <f t="shared" si="123"/>
        <v>0</v>
      </c>
      <c r="I542">
        <f t="shared" si="124"/>
        <v>0</v>
      </c>
      <c r="J542">
        <f t="shared" si="125"/>
        <v>0</v>
      </c>
      <c r="K542" s="4" t="e">
        <f t="shared" si="114"/>
        <v>#N/A</v>
      </c>
      <c r="L542" t="e">
        <f t="shared" si="115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6"/>
        <v>0</v>
      </c>
      <c r="B543">
        <f t="shared" si="117"/>
        <v>0</v>
      </c>
      <c r="C543">
        <f t="shared" si="118"/>
        <v>0</v>
      </c>
      <c r="D543">
        <f t="shared" si="119"/>
        <v>0</v>
      </c>
      <c r="E543" t="e">
        <f t="shared" si="120"/>
        <v>#N/A</v>
      </c>
      <c r="F543">
        <f t="shared" si="121"/>
        <v>0</v>
      </c>
      <c r="G543">
        <f t="shared" si="122"/>
        <v>0</v>
      </c>
      <c r="H543">
        <f t="shared" si="123"/>
        <v>0</v>
      </c>
      <c r="I543">
        <f t="shared" si="124"/>
        <v>0</v>
      </c>
      <c r="J543">
        <f t="shared" si="125"/>
        <v>0</v>
      </c>
      <c r="K543" s="4" t="e">
        <f t="shared" si="114"/>
        <v>#N/A</v>
      </c>
      <c r="L543" t="e">
        <f t="shared" si="115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6"/>
        <v>0</v>
      </c>
      <c r="B544">
        <f t="shared" si="117"/>
        <v>0</v>
      </c>
      <c r="C544">
        <f t="shared" si="118"/>
        <v>0</v>
      </c>
      <c r="D544">
        <f t="shared" si="119"/>
        <v>0</v>
      </c>
      <c r="E544" t="e">
        <f t="shared" si="120"/>
        <v>#N/A</v>
      </c>
      <c r="F544">
        <f t="shared" si="121"/>
        <v>0</v>
      </c>
      <c r="G544">
        <f t="shared" si="122"/>
        <v>0</v>
      </c>
      <c r="H544">
        <f t="shared" si="123"/>
        <v>0</v>
      </c>
      <c r="I544">
        <f t="shared" si="124"/>
        <v>0</v>
      </c>
      <c r="J544">
        <f t="shared" si="125"/>
        <v>0</v>
      </c>
      <c r="K544" s="4" t="e">
        <f t="shared" si="114"/>
        <v>#N/A</v>
      </c>
      <c r="L544" t="e">
        <f t="shared" si="115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6"/>
        <v>0</v>
      </c>
      <c r="B545">
        <f t="shared" si="117"/>
        <v>0</v>
      </c>
      <c r="C545">
        <f t="shared" si="118"/>
        <v>0</v>
      </c>
      <c r="D545">
        <f t="shared" si="119"/>
        <v>0</v>
      </c>
      <c r="E545" t="e">
        <f t="shared" si="120"/>
        <v>#N/A</v>
      </c>
      <c r="F545">
        <f t="shared" si="121"/>
        <v>0</v>
      </c>
      <c r="G545">
        <f t="shared" si="122"/>
        <v>0</v>
      </c>
      <c r="H545">
        <f t="shared" si="123"/>
        <v>0</v>
      </c>
      <c r="I545">
        <f t="shared" si="124"/>
        <v>0</v>
      </c>
      <c r="J545">
        <f t="shared" si="125"/>
        <v>0</v>
      </c>
      <c r="K545" s="4" t="e">
        <f t="shared" si="114"/>
        <v>#N/A</v>
      </c>
      <c r="L545" t="e">
        <f t="shared" si="115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6"/>
        <v>0</v>
      </c>
      <c r="B546">
        <f t="shared" si="117"/>
        <v>0</v>
      </c>
      <c r="C546">
        <f t="shared" si="118"/>
        <v>0</v>
      </c>
      <c r="D546">
        <f t="shared" si="119"/>
        <v>0</v>
      </c>
      <c r="E546" t="e">
        <f t="shared" si="120"/>
        <v>#N/A</v>
      </c>
      <c r="F546">
        <f t="shared" si="121"/>
        <v>0</v>
      </c>
      <c r="G546">
        <f t="shared" si="122"/>
        <v>0</v>
      </c>
      <c r="H546">
        <f t="shared" si="123"/>
        <v>0</v>
      </c>
      <c r="I546">
        <f t="shared" si="124"/>
        <v>0</v>
      </c>
      <c r="J546">
        <f t="shared" si="125"/>
        <v>0</v>
      </c>
      <c r="K546" s="4" t="e">
        <f t="shared" si="114"/>
        <v>#N/A</v>
      </c>
      <c r="L546" t="e">
        <f t="shared" si="115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6"/>
        <v>0</v>
      </c>
      <c r="B547">
        <f t="shared" si="117"/>
        <v>0</v>
      </c>
      <c r="C547">
        <f t="shared" si="118"/>
        <v>0</v>
      </c>
      <c r="D547">
        <f t="shared" si="119"/>
        <v>0</v>
      </c>
      <c r="E547" t="e">
        <f t="shared" si="120"/>
        <v>#N/A</v>
      </c>
      <c r="F547">
        <f t="shared" si="121"/>
        <v>0</v>
      </c>
      <c r="G547">
        <f t="shared" si="122"/>
        <v>0</v>
      </c>
      <c r="H547">
        <f t="shared" si="123"/>
        <v>0</v>
      </c>
      <c r="I547">
        <f t="shared" si="124"/>
        <v>0</v>
      </c>
      <c r="J547">
        <f t="shared" si="125"/>
        <v>0</v>
      </c>
      <c r="K547" s="4" t="e">
        <f t="shared" si="114"/>
        <v>#N/A</v>
      </c>
      <c r="L547" t="e">
        <f t="shared" si="115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6"/>
        <v>0</v>
      </c>
      <c r="B548">
        <f t="shared" si="117"/>
        <v>0</v>
      </c>
      <c r="C548">
        <f t="shared" si="118"/>
        <v>0</v>
      </c>
      <c r="D548">
        <f t="shared" si="119"/>
        <v>0</v>
      </c>
      <c r="E548" t="e">
        <f t="shared" si="120"/>
        <v>#N/A</v>
      </c>
      <c r="F548">
        <f t="shared" si="121"/>
        <v>0</v>
      </c>
      <c r="G548">
        <f t="shared" si="122"/>
        <v>0</v>
      </c>
      <c r="H548">
        <f t="shared" si="123"/>
        <v>0</v>
      </c>
      <c r="I548">
        <f t="shared" si="124"/>
        <v>0</v>
      </c>
      <c r="J548">
        <f t="shared" si="125"/>
        <v>0</v>
      </c>
      <c r="K548" s="4" t="e">
        <f t="shared" si="114"/>
        <v>#N/A</v>
      </c>
      <c r="L548" t="e">
        <f t="shared" si="115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6"/>
        <v>0</v>
      </c>
      <c r="B549">
        <f t="shared" si="117"/>
        <v>0</v>
      </c>
      <c r="C549">
        <f t="shared" si="118"/>
        <v>0</v>
      </c>
      <c r="D549">
        <f t="shared" si="119"/>
        <v>0</v>
      </c>
      <c r="E549" t="e">
        <f t="shared" si="120"/>
        <v>#N/A</v>
      </c>
      <c r="F549">
        <f t="shared" si="121"/>
        <v>0</v>
      </c>
      <c r="G549">
        <f t="shared" si="122"/>
        <v>0</v>
      </c>
      <c r="H549">
        <f t="shared" si="123"/>
        <v>0</v>
      </c>
      <c r="I549">
        <f t="shared" si="124"/>
        <v>0</v>
      </c>
      <c r="J549">
        <f t="shared" si="125"/>
        <v>0</v>
      </c>
      <c r="K549" s="4" t="e">
        <f t="shared" si="114"/>
        <v>#N/A</v>
      </c>
      <c r="L549" t="e">
        <f t="shared" si="115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6"/>
        <v>0</v>
      </c>
      <c r="B550">
        <f t="shared" si="117"/>
        <v>0</v>
      </c>
      <c r="C550">
        <f t="shared" si="118"/>
        <v>0</v>
      </c>
      <c r="D550">
        <f t="shared" si="119"/>
        <v>0</v>
      </c>
      <c r="E550" t="e">
        <f t="shared" si="120"/>
        <v>#N/A</v>
      </c>
      <c r="F550">
        <f t="shared" si="121"/>
        <v>0</v>
      </c>
      <c r="G550">
        <f t="shared" si="122"/>
        <v>0</v>
      </c>
      <c r="H550">
        <f t="shared" si="123"/>
        <v>0</v>
      </c>
      <c r="I550">
        <f t="shared" si="124"/>
        <v>0</v>
      </c>
      <c r="J550">
        <f t="shared" si="125"/>
        <v>0</v>
      </c>
      <c r="K550" s="4" t="e">
        <f t="shared" si="114"/>
        <v>#N/A</v>
      </c>
      <c r="L550" t="e">
        <f t="shared" si="115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6"/>
        <v>0</v>
      </c>
      <c r="B551">
        <f t="shared" si="117"/>
        <v>0</v>
      </c>
      <c r="C551">
        <f t="shared" si="118"/>
        <v>0</v>
      </c>
      <c r="D551">
        <f t="shared" si="119"/>
        <v>0</v>
      </c>
      <c r="E551" t="e">
        <f t="shared" si="120"/>
        <v>#N/A</v>
      </c>
      <c r="F551">
        <f t="shared" si="121"/>
        <v>0</v>
      </c>
      <c r="G551">
        <f t="shared" si="122"/>
        <v>0</v>
      </c>
      <c r="H551">
        <f t="shared" si="123"/>
        <v>0</v>
      </c>
      <c r="I551">
        <f t="shared" si="124"/>
        <v>0</v>
      </c>
      <c r="J551">
        <f t="shared" si="125"/>
        <v>0</v>
      </c>
      <c r="K551" s="4" t="e">
        <f t="shared" si="114"/>
        <v>#N/A</v>
      </c>
      <c r="L551" t="e">
        <f t="shared" si="115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6"/>
        <v>0</v>
      </c>
      <c r="B552">
        <f t="shared" si="117"/>
        <v>0</v>
      </c>
      <c r="C552">
        <f t="shared" si="118"/>
        <v>0</v>
      </c>
      <c r="D552">
        <f t="shared" si="119"/>
        <v>0</v>
      </c>
      <c r="E552" t="e">
        <f t="shared" si="120"/>
        <v>#N/A</v>
      </c>
      <c r="F552">
        <f t="shared" si="121"/>
        <v>0</v>
      </c>
      <c r="G552">
        <f t="shared" si="122"/>
        <v>0</v>
      </c>
      <c r="H552">
        <f t="shared" si="123"/>
        <v>0</v>
      </c>
      <c r="I552">
        <f t="shared" si="124"/>
        <v>0</v>
      </c>
      <c r="J552">
        <f t="shared" si="125"/>
        <v>0</v>
      </c>
      <c r="K552" s="4" t="e">
        <f t="shared" si="114"/>
        <v>#N/A</v>
      </c>
      <c r="L552" t="e">
        <f t="shared" si="115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6"/>
        <v>0</v>
      </c>
      <c r="B553">
        <f t="shared" si="117"/>
        <v>0</v>
      </c>
      <c r="C553">
        <f t="shared" si="118"/>
        <v>0</v>
      </c>
      <c r="D553">
        <f t="shared" si="119"/>
        <v>0</v>
      </c>
      <c r="E553" t="e">
        <f t="shared" si="120"/>
        <v>#N/A</v>
      </c>
      <c r="F553">
        <f t="shared" si="121"/>
        <v>0</v>
      </c>
      <c r="G553">
        <f t="shared" si="122"/>
        <v>0</v>
      </c>
      <c r="H553">
        <f t="shared" si="123"/>
        <v>0</v>
      </c>
      <c r="I553">
        <f t="shared" si="124"/>
        <v>0</v>
      </c>
      <c r="J553">
        <f t="shared" si="125"/>
        <v>0</v>
      </c>
      <c r="K553" s="4" t="e">
        <f t="shared" si="114"/>
        <v>#N/A</v>
      </c>
      <c r="L553" t="e">
        <f t="shared" si="115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6"/>
        <v>0</v>
      </c>
      <c r="B554">
        <f t="shared" si="117"/>
        <v>0</v>
      </c>
      <c r="C554">
        <f t="shared" si="118"/>
        <v>0</v>
      </c>
      <c r="D554">
        <f t="shared" si="119"/>
        <v>0</v>
      </c>
      <c r="E554" t="e">
        <f t="shared" si="120"/>
        <v>#N/A</v>
      </c>
      <c r="F554">
        <f t="shared" si="121"/>
        <v>0</v>
      </c>
      <c r="G554">
        <f t="shared" si="122"/>
        <v>0</v>
      </c>
      <c r="H554">
        <f t="shared" si="123"/>
        <v>0</v>
      </c>
      <c r="I554">
        <f t="shared" si="124"/>
        <v>0</v>
      </c>
      <c r="J554">
        <f t="shared" si="125"/>
        <v>0</v>
      </c>
      <c r="K554" s="4" t="e">
        <f t="shared" si="114"/>
        <v>#N/A</v>
      </c>
      <c r="L554" t="e">
        <f t="shared" si="115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6"/>
        <v>0</v>
      </c>
      <c r="B555">
        <f t="shared" si="117"/>
        <v>0</v>
      </c>
      <c r="C555">
        <f t="shared" si="118"/>
        <v>0</v>
      </c>
      <c r="D555">
        <f t="shared" si="119"/>
        <v>0</v>
      </c>
      <c r="E555" t="e">
        <f t="shared" si="120"/>
        <v>#N/A</v>
      </c>
      <c r="F555">
        <f t="shared" si="121"/>
        <v>0</v>
      </c>
      <c r="G555">
        <f t="shared" si="122"/>
        <v>0</v>
      </c>
      <c r="H555">
        <f t="shared" si="123"/>
        <v>0</v>
      </c>
      <c r="I555">
        <f t="shared" si="124"/>
        <v>0</v>
      </c>
      <c r="J555">
        <f t="shared" si="125"/>
        <v>0</v>
      </c>
      <c r="K555" s="4" t="e">
        <f t="shared" si="114"/>
        <v>#N/A</v>
      </c>
      <c r="L555" t="e">
        <f t="shared" si="115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6"/>
        <v>0</v>
      </c>
      <c r="B556">
        <f t="shared" si="117"/>
        <v>0</v>
      </c>
      <c r="C556">
        <f t="shared" si="118"/>
        <v>0</v>
      </c>
      <c r="D556">
        <f t="shared" si="119"/>
        <v>0</v>
      </c>
      <c r="E556" t="e">
        <f t="shared" si="120"/>
        <v>#N/A</v>
      </c>
      <c r="F556">
        <f t="shared" si="121"/>
        <v>0</v>
      </c>
      <c r="G556">
        <f t="shared" si="122"/>
        <v>0</v>
      </c>
      <c r="H556">
        <f t="shared" si="123"/>
        <v>0</v>
      </c>
      <c r="I556">
        <f t="shared" si="124"/>
        <v>0</v>
      </c>
      <c r="J556">
        <f t="shared" si="125"/>
        <v>0</v>
      </c>
      <c r="K556" s="4" t="e">
        <f t="shared" ref="K556:K619" si="128">IF(LEFT(B556,3)="DBM",0,VLOOKUP(E556,tabela,2,FALSE))</f>
        <v>#N/A</v>
      </c>
      <c r="L556" t="e">
        <f t="shared" ref="L556:L619" si="129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6"/>
        <v>0</v>
      </c>
      <c r="B557">
        <f t="shared" si="117"/>
        <v>0</v>
      </c>
      <c r="C557">
        <f t="shared" si="118"/>
        <v>0</v>
      </c>
      <c r="D557">
        <f t="shared" si="119"/>
        <v>0</v>
      </c>
      <c r="E557" t="e">
        <f t="shared" si="120"/>
        <v>#N/A</v>
      </c>
      <c r="F557">
        <f t="shared" si="121"/>
        <v>0</v>
      </c>
      <c r="G557">
        <f t="shared" si="122"/>
        <v>0</v>
      </c>
      <c r="H557">
        <f t="shared" si="123"/>
        <v>0</v>
      </c>
      <c r="I557">
        <f t="shared" si="124"/>
        <v>0</v>
      </c>
      <c r="J557">
        <f t="shared" si="125"/>
        <v>0</v>
      </c>
      <c r="K557" s="4" t="e">
        <f t="shared" si="128"/>
        <v>#N/A</v>
      </c>
      <c r="L557" t="e">
        <f t="shared" si="129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6"/>
        <v>0</v>
      </c>
      <c r="B558">
        <f t="shared" si="117"/>
        <v>0</v>
      </c>
      <c r="C558">
        <f t="shared" si="118"/>
        <v>0</v>
      </c>
      <c r="D558">
        <f t="shared" si="119"/>
        <v>0</v>
      </c>
      <c r="E558" t="e">
        <f t="shared" si="120"/>
        <v>#N/A</v>
      </c>
      <c r="F558">
        <f t="shared" si="121"/>
        <v>0</v>
      </c>
      <c r="G558">
        <f t="shared" si="122"/>
        <v>0</v>
      </c>
      <c r="H558">
        <f t="shared" si="123"/>
        <v>0</v>
      </c>
      <c r="I558">
        <f t="shared" si="124"/>
        <v>0</v>
      </c>
      <c r="J558">
        <f t="shared" si="125"/>
        <v>0</v>
      </c>
      <c r="K558" s="4" t="e">
        <f t="shared" si="128"/>
        <v>#N/A</v>
      </c>
      <c r="L558" t="e">
        <f t="shared" si="129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6"/>
        <v>0</v>
      </c>
      <c r="B559">
        <f t="shared" si="117"/>
        <v>0</v>
      </c>
      <c r="C559">
        <f t="shared" si="118"/>
        <v>0</v>
      </c>
      <c r="D559">
        <f t="shared" si="119"/>
        <v>0</v>
      </c>
      <c r="E559" t="e">
        <f t="shared" si="120"/>
        <v>#N/A</v>
      </c>
      <c r="F559">
        <f t="shared" si="121"/>
        <v>0</v>
      </c>
      <c r="G559">
        <f t="shared" si="122"/>
        <v>0</v>
      </c>
      <c r="H559">
        <f t="shared" si="123"/>
        <v>0</v>
      </c>
      <c r="I559">
        <f t="shared" si="124"/>
        <v>0</v>
      </c>
      <c r="J559">
        <f t="shared" si="125"/>
        <v>0</v>
      </c>
      <c r="K559" s="4" t="e">
        <f t="shared" si="128"/>
        <v>#N/A</v>
      </c>
      <c r="L559" t="e">
        <f t="shared" si="129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6"/>
        <v>0</v>
      </c>
      <c r="B560">
        <f t="shared" si="117"/>
        <v>0</v>
      </c>
      <c r="C560">
        <f t="shared" si="118"/>
        <v>0</v>
      </c>
      <c r="D560">
        <f t="shared" si="119"/>
        <v>0</v>
      </c>
      <c r="E560" t="e">
        <f t="shared" si="120"/>
        <v>#N/A</v>
      </c>
      <c r="F560">
        <f t="shared" si="121"/>
        <v>0</v>
      </c>
      <c r="G560">
        <f t="shared" si="122"/>
        <v>0</v>
      </c>
      <c r="H560">
        <f t="shared" si="123"/>
        <v>0</v>
      </c>
      <c r="I560">
        <f t="shared" si="124"/>
        <v>0</v>
      </c>
      <c r="J560">
        <f t="shared" si="125"/>
        <v>0</v>
      </c>
      <c r="K560" s="4" t="e">
        <f t="shared" si="128"/>
        <v>#N/A</v>
      </c>
      <c r="L560" t="e">
        <f t="shared" si="129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6"/>
        <v>0</v>
      </c>
      <c r="B561">
        <f t="shared" si="117"/>
        <v>0</v>
      </c>
      <c r="C561">
        <f t="shared" si="118"/>
        <v>0</v>
      </c>
      <c r="D561">
        <f t="shared" si="119"/>
        <v>0</v>
      </c>
      <c r="E561" t="e">
        <f t="shared" si="120"/>
        <v>#N/A</v>
      </c>
      <c r="F561">
        <f t="shared" si="121"/>
        <v>0</v>
      </c>
      <c r="G561">
        <f t="shared" si="122"/>
        <v>0</v>
      </c>
      <c r="H561">
        <f t="shared" si="123"/>
        <v>0</v>
      </c>
      <c r="I561">
        <f t="shared" si="124"/>
        <v>0</v>
      </c>
      <c r="J561">
        <f t="shared" si="125"/>
        <v>0</v>
      </c>
      <c r="K561" s="4" t="e">
        <f t="shared" si="128"/>
        <v>#N/A</v>
      </c>
      <c r="L561" t="e">
        <f t="shared" si="129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6"/>
        <v>0</v>
      </c>
      <c r="B562">
        <f t="shared" si="117"/>
        <v>0</v>
      </c>
      <c r="C562">
        <f t="shared" si="118"/>
        <v>0</v>
      </c>
      <c r="D562">
        <f t="shared" si="119"/>
        <v>0</v>
      </c>
      <c r="E562" t="e">
        <f t="shared" si="120"/>
        <v>#N/A</v>
      </c>
      <c r="F562">
        <f t="shared" si="121"/>
        <v>0</v>
      </c>
      <c r="G562">
        <f t="shared" si="122"/>
        <v>0</v>
      </c>
      <c r="H562">
        <f t="shared" si="123"/>
        <v>0</v>
      </c>
      <c r="I562">
        <f t="shared" si="124"/>
        <v>0</v>
      </c>
      <c r="J562">
        <f t="shared" si="125"/>
        <v>0</v>
      </c>
      <c r="K562" s="4" t="e">
        <f t="shared" si="128"/>
        <v>#N/A</v>
      </c>
      <c r="L562" t="e">
        <f t="shared" si="129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6"/>
        <v>0</v>
      </c>
      <c r="B563">
        <f t="shared" si="117"/>
        <v>0</v>
      </c>
      <c r="C563">
        <f t="shared" si="118"/>
        <v>0</v>
      </c>
      <c r="D563">
        <f t="shared" si="119"/>
        <v>0</v>
      </c>
      <c r="E563" t="e">
        <f t="shared" si="120"/>
        <v>#N/A</v>
      </c>
      <c r="F563">
        <f t="shared" si="121"/>
        <v>0</v>
      </c>
      <c r="G563">
        <f t="shared" si="122"/>
        <v>0</v>
      </c>
      <c r="H563">
        <f t="shared" si="123"/>
        <v>0</v>
      </c>
      <c r="I563">
        <f t="shared" si="124"/>
        <v>0</v>
      </c>
      <c r="J563">
        <f t="shared" si="125"/>
        <v>0</v>
      </c>
      <c r="K563" s="4" t="e">
        <f t="shared" si="128"/>
        <v>#N/A</v>
      </c>
      <c r="L563" t="e">
        <f t="shared" si="129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6"/>
        <v>0</v>
      </c>
      <c r="B564">
        <f t="shared" si="117"/>
        <v>0</v>
      </c>
      <c r="C564">
        <f t="shared" si="118"/>
        <v>0</v>
      </c>
      <c r="D564">
        <f t="shared" si="119"/>
        <v>0</v>
      </c>
      <c r="E564" t="e">
        <f t="shared" si="120"/>
        <v>#N/A</v>
      </c>
      <c r="F564">
        <f t="shared" si="121"/>
        <v>0</v>
      </c>
      <c r="G564">
        <f t="shared" si="122"/>
        <v>0</v>
      </c>
      <c r="H564">
        <f t="shared" si="123"/>
        <v>0</v>
      </c>
      <c r="I564">
        <f t="shared" si="124"/>
        <v>0</v>
      </c>
      <c r="J564">
        <f t="shared" si="125"/>
        <v>0</v>
      </c>
      <c r="K564" s="4" t="e">
        <f t="shared" si="128"/>
        <v>#N/A</v>
      </c>
      <c r="L564" t="e">
        <f t="shared" si="129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6"/>
        <v>0</v>
      </c>
      <c r="B565">
        <f t="shared" si="117"/>
        <v>0</v>
      </c>
      <c r="C565">
        <f t="shared" si="118"/>
        <v>0</v>
      </c>
      <c r="D565">
        <f t="shared" si="119"/>
        <v>0</v>
      </c>
      <c r="E565" t="e">
        <f t="shared" si="120"/>
        <v>#N/A</v>
      </c>
      <c r="F565">
        <f t="shared" si="121"/>
        <v>0</v>
      </c>
      <c r="G565">
        <f t="shared" si="122"/>
        <v>0</v>
      </c>
      <c r="H565">
        <f t="shared" si="123"/>
        <v>0</v>
      </c>
      <c r="I565">
        <f t="shared" si="124"/>
        <v>0</v>
      </c>
      <c r="J565">
        <f t="shared" si="125"/>
        <v>0</v>
      </c>
      <c r="K565" s="4" t="e">
        <f t="shared" si="128"/>
        <v>#N/A</v>
      </c>
      <c r="L565" t="e">
        <f t="shared" si="129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6"/>
        <v>0</v>
      </c>
      <c r="B566">
        <f t="shared" si="117"/>
        <v>0</v>
      </c>
      <c r="C566">
        <f t="shared" si="118"/>
        <v>0</v>
      </c>
      <c r="D566">
        <f t="shared" si="119"/>
        <v>0</v>
      </c>
      <c r="E566" t="e">
        <f t="shared" si="120"/>
        <v>#N/A</v>
      </c>
      <c r="F566">
        <f t="shared" si="121"/>
        <v>0</v>
      </c>
      <c r="G566">
        <f t="shared" si="122"/>
        <v>0</v>
      </c>
      <c r="H566">
        <f t="shared" si="123"/>
        <v>0</v>
      </c>
      <c r="I566">
        <f t="shared" si="124"/>
        <v>0</v>
      </c>
      <c r="J566">
        <f t="shared" si="125"/>
        <v>0</v>
      </c>
      <c r="K566" s="4" t="e">
        <f t="shared" si="128"/>
        <v>#N/A</v>
      </c>
      <c r="L566" t="e">
        <f t="shared" si="129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6"/>
        <v>0</v>
      </c>
      <c r="B567">
        <f t="shared" si="117"/>
        <v>0</v>
      </c>
      <c r="C567">
        <f t="shared" si="118"/>
        <v>0</v>
      </c>
      <c r="D567">
        <f t="shared" si="119"/>
        <v>0</v>
      </c>
      <c r="E567" t="e">
        <f t="shared" si="120"/>
        <v>#N/A</v>
      </c>
      <c r="F567">
        <f t="shared" si="121"/>
        <v>0</v>
      </c>
      <c r="G567">
        <f t="shared" si="122"/>
        <v>0</v>
      </c>
      <c r="H567">
        <f t="shared" si="123"/>
        <v>0</v>
      </c>
      <c r="I567">
        <f t="shared" si="124"/>
        <v>0</v>
      </c>
      <c r="J567">
        <f t="shared" si="125"/>
        <v>0</v>
      </c>
      <c r="K567" s="4" t="e">
        <f t="shared" si="128"/>
        <v>#N/A</v>
      </c>
      <c r="L567" t="e">
        <f t="shared" si="129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6"/>
        <v>0</v>
      </c>
      <c r="B568">
        <f t="shared" si="117"/>
        <v>0</v>
      </c>
      <c r="C568">
        <f t="shared" si="118"/>
        <v>0</v>
      </c>
      <c r="D568">
        <f t="shared" si="119"/>
        <v>0</v>
      </c>
      <c r="E568" t="e">
        <f t="shared" si="120"/>
        <v>#N/A</v>
      </c>
      <c r="F568">
        <f t="shared" si="121"/>
        <v>0</v>
      </c>
      <c r="G568">
        <f t="shared" si="122"/>
        <v>0</v>
      </c>
      <c r="H568">
        <f t="shared" si="123"/>
        <v>0</v>
      </c>
      <c r="I568">
        <f t="shared" si="124"/>
        <v>0</v>
      </c>
      <c r="J568">
        <f t="shared" si="125"/>
        <v>0</v>
      </c>
      <c r="K568" s="4" t="e">
        <f t="shared" si="128"/>
        <v>#N/A</v>
      </c>
      <c r="L568" t="e">
        <f t="shared" si="129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6"/>
        <v>0</v>
      </c>
      <c r="B569">
        <f t="shared" si="117"/>
        <v>0</v>
      </c>
      <c r="C569">
        <f t="shared" si="118"/>
        <v>0</v>
      </c>
      <c r="D569">
        <f t="shared" si="119"/>
        <v>0</v>
      </c>
      <c r="E569" t="e">
        <f t="shared" si="120"/>
        <v>#N/A</v>
      </c>
      <c r="F569">
        <f t="shared" si="121"/>
        <v>0</v>
      </c>
      <c r="G569">
        <f t="shared" si="122"/>
        <v>0</v>
      </c>
      <c r="H569">
        <f t="shared" si="123"/>
        <v>0</v>
      </c>
      <c r="I569">
        <f t="shared" si="124"/>
        <v>0</v>
      </c>
      <c r="J569">
        <f t="shared" si="125"/>
        <v>0</v>
      </c>
      <c r="K569" s="4" t="e">
        <f t="shared" si="128"/>
        <v>#N/A</v>
      </c>
      <c r="L569" t="e">
        <f t="shared" si="129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6"/>
        <v>0</v>
      </c>
      <c r="B570">
        <f t="shared" si="117"/>
        <v>0</v>
      </c>
      <c r="C570">
        <f t="shared" si="118"/>
        <v>0</v>
      </c>
      <c r="D570">
        <f t="shared" si="119"/>
        <v>0</v>
      </c>
      <c r="E570" t="e">
        <f t="shared" si="120"/>
        <v>#N/A</v>
      </c>
      <c r="F570">
        <f t="shared" si="121"/>
        <v>0</v>
      </c>
      <c r="G570">
        <f t="shared" si="122"/>
        <v>0</v>
      </c>
      <c r="H570">
        <f t="shared" si="123"/>
        <v>0</v>
      </c>
      <c r="I570">
        <f t="shared" si="124"/>
        <v>0</v>
      </c>
      <c r="J570">
        <f t="shared" si="125"/>
        <v>0</v>
      </c>
      <c r="K570" s="4" t="e">
        <f t="shared" si="128"/>
        <v>#N/A</v>
      </c>
      <c r="L570" t="e">
        <f t="shared" si="129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6"/>
        <v>0</v>
      </c>
      <c r="B571">
        <f t="shared" si="117"/>
        <v>0</v>
      </c>
      <c r="C571">
        <f t="shared" si="118"/>
        <v>0</v>
      </c>
      <c r="D571">
        <f t="shared" si="119"/>
        <v>0</v>
      </c>
      <c r="E571" t="e">
        <f t="shared" si="120"/>
        <v>#N/A</v>
      </c>
      <c r="F571">
        <f t="shared" si="121"/>
        <v>0</v>
      </c>
      <c r="G571">
        <f t="shared" si="122"/>
        <v>0</v>
      </c>
      <c r="H571">
        <f t="shared" si="123"/>
        <v>0</v>
      </c>
      <c r="I571">
        <f t="shared" si="124"/>
        <v>0</v>
      </c>
      <c r="J571">
        <f t="shared" si="125"/>
        <v>0</v>
      </c>
      <c r="K571" s="4" t="e">
        <f t="shared" si="128"/>
        <v>#N/A</v>
      </c>
      <c r="L571" t="e">
        <f t="shared" si="129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6"/>
        <v>0</v>
      </c>
      <c r="B572">
        <f t="shared" si="117"/>
        <v>0</v>
      </c>
      <c r="C572">
        <f t="shared" si="118"/>
        <v>0</v>
      </c>
      <c r="D572">
        <f t="shared" si="119"/>
        <v>0</v>
      </c>
      <c r="E572" t="e">
        <f t="shared" si="120"/>
        <v>#N/A</v>
      </c>
      <c r="F572">
        <f t="shared" si="121"/>
        <v>0</v>
      </c>
      <c r="G572">
        <f t="shared" si="122"/>
        <v>0</v>
      </c>
      <c r="H572">
        <f t="shared" si="123"/>
        <v>0</v>
      </c>
      <c r="I572">
        <f t="shared" si="124"/>
        <v>0</v>
      </c>
      <c r="J572">
        <f t="shared" si="125"/>
        <v>0</v>
      </c>
      <c r="K572" s="4" t="e">
        <f t="shared" si="128"/>
        <v>#N/A</v>
      </c>
      <c r="L572" t="e">
        <f t="shared" si="129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6"/>
        <v>0</v>
      </c>
      <c r="B573">
        <f t="shared" si="117"/>
        <v>0</v>
      </c>
      <c r="C573">
        <f t="shared" si="118"/>
        <v>0</v>
      </c>
      <c r="D573">
        <f t="shared" si="119"/>
        <v>0</v>
      </c>
      <c r="E573" t="e">
        <f t="shared" si="120"/>
        <v>#N/A</v>
      </c>
      <c r="F573">
        <f t="shared" si="121"/>
        <v>0</v>
      </c>
      <c r="G573">
        <f t="shared" si="122"/>
        <v>0</v>
      </c>
      <c r="H573">
        <f t="shared" si="123"/>
        <v>0</v>
      </c>
      <c r="I573">
        <f t="shared" si="124"/>
        <v>0</v>
      </c>
      <c r="J573">
        <f t="shared" si="125"/>
        <v>0</v>
      </c>
      <c r="K573" s="4" t="e">
        <f t="shared" si="128"/>
        <v>#N/A</v>
      </c>
      <c r="L573" t="e">
        <f t="shared" si="129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6"/>
        <v>0</v>
      </c>
      <c r="B574">
        <f t="shared" si="117"/>
        <v>0</v>
      </c>
      <c r="C574">
        <f t="shared" si="118"/>
        <v>0</v>
      </c>
      <c r="D574">
        <f t="shared" si="119"/>
        <v>0</v>
      </c>
      <c r="E574" t="e">
        <f t="shared" si="120"/>
        <v>#N/A</v>
      </c>
      <c r="F574">
        <f t="shared" si="121"/>
        <v>0</v>
      </c>
      <c r="G574">
        <f t="shared" si="122"/>
        <v>0</v>
      </c>
      <c r="H574">
        <f t="shared" si="123"/>
        <v>0</v>
      </c>
      <c r="I574">
        <f t="shared" si="124"/>
        <v>0</v>
      </c>
      <c r="J574">
        <f t="shared" si="125"/>
        <v>0</v>
      </c>
      <c r="K574" s="4" t="e">
        <f t="shared" si="128"/>
        <v>#N/A</v>
      </c>
      <c r="L574" t="e">
        <f t="shared" si="129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6"/>
        <v>0</v>
      </c>
      <c r="B575">
        <f t="shared" si="117"/>
        <v>0</v>
      </c>
      <c r="C575">
        <f t="shared" si="118"/>
        <v>0</v>
      </c>
      <c r="D575">
        <f t="shared" si="119"/>
        <v>0</v>
      </c>
      <c r="E575" t="e">
        <f t="shared" si="120"/>
        <v>#N/A</v>
      </c>
      <c r="F575">
        <f t="shared" si="121"/>
        <v>0</v>
      </c>
      <c r="G575">
        <f t="shared" si="122"/>
        <v>0</v>
      </c>
      <c r="H575">
        <f t="shared" si="123"/>
        <v>0</v>
      </c>
      <c r="I575">
        <f t="shared" si="124"/>
        <v>0</v>
      </c>
      <c r="J575">
        <f t="shared" si="125"/>
        <v>0</v>
      </c>
      <c r="K575" s="4" t="e">
        <f t="shared" si="128"/>
        <v>#N/A</v>
      </c>
      <c r="L575" t="e">
        <f t="shared" si="129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6"/>
        <v>0</v>
      </c>
      <c r="B576">
        <f t="shared" si="117"/>
        <v>0</v>
      </c>
      <c r="C576">
        <f t="shared" si="118"/>
        <v>0</v>
      </c>
      <c r="D576">
        <f t="shared" si="119"/>
        <v>0</v>
      </c>
      <c r="E576" t="e">
        <f t="shared" si="120"/>
        <v>#N/A</v>
      </c>
      <c r="F576">
        <f t="shared" si="121"/>
        <v>0</v>
      </c>
      <c r="G576">
        <f t="shared" si="122"/>
        <v>0</v>
      </c>
      <c r="H576">
        <f t="shared" si="123"/>
        <v>0</v>
      </c>
      <c r="I576">
        <f t="shared" si="124"/>
        <v>0</v>
      </c>
      <c r="J576">
        <f t="shared" si="125"/>
        <v>0</v>
      </c>
      <c r="K576" s="4" t="e">
        <f t="shared" si="128"/>
        <v>#N/A</v>
      </c>
      <c r="L576" t="e">
        <f t="shared" si="129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6"/>
        <v>0</v>
      </c>
      <c r="B577">
        <f t="shared" si="117"/>
        <v>0</v>
      </c>
      <c r="C577">
        <f t="shared" si="118"/>
        <v>0</v>
      </c>
      <c r="D577">
        <f t="shared" si="119"/>
        <v>0</v>
      </c>
      <c r="E577" t="e">
        <f t="shared" si="120"/>
        <v>#N/A</v>
      </c>
      <c r="F577">
        <f t="shared" si="121"/>
        <v>0</v>
      </c>
      <c r="G577">
        <f t="shared" si="122"/>
        <v>0</v>
      </c>
      <c r="H577">
        <f t="shared" si="123"/>
        <v>0</v>
      </c>
      <c r="I577">
        <f t="shared" si="124"/>
        <v>0</v>
      </c>
      <c r="J577">
        <f t="shared" si="125"/>
        <v>0</v>
      </c>
      <c r="K577" s="4" t="e">
        <f t="shared" si="128"/>
        <v>#N/A</v>
      </c>
      <c r="L577" t="e">
        <f t="shared" si="129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30">bd_campaign</f>
        <v>0</v>
      </c>
      <c r="B578">
        <f t="shared" ref="B578:B641" si="131">bd_site</f>
        <v>0</v>
      </c>
      <c r="C578">
        <f t="shared" ref="C578:C641" si="132">bd_placement</f>
        <v>0</v>
      </c>
      <c r="D578">
        <f t="shared" ref="D578:D641" si="133">bd_placementID</f>
        <v>0</v>
      </c>
      <c r="E578" t="e">
        <f t="shared" ref="E578:E641" si="134">VLOOKUP(CONCATENATE(bd_adtype,"_",bd_creativetype),tabela,2,FALSE)</f>
        <v>#N/A</v>
      </c>
      <c r="F578">
        <f t="shared" ref="F578:F641" si="135">bd_ad</f>
        <v>0</v>
      </c>
      <c r="G578">
        <f t="shared" ref="G578:G641" si="136">bd_adid</f>
        <v>0</v>
      </c>
      <c r="H578">
        <f t="shared" ref="H578:H641" si="137">bd_creativetype</f>
        <v>0</v>
      </c>
      <c r="I578">
        <f t="shared" ref="I578:I641" si="138">bd_impression</f>
        <v>0</v>
      </c>
      <c r="J578">
        <f t="shared" ref="J578:J641" si="139">bd_clicks</f>
        <v>0</v>
      </c>
      <c r="K578" s="4" t="e">
        <f t="shared" si="128"/>
        <v>#N/A</v>
      </c>
      <c r="L578" t="e">
        <f t="shared" si="129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30"/>
        <v>0</v>
      </c>
      <c r="B579">
        <f t="shared" si="131"/>
        <v>0</v>
      </c>
      <c r="C579">
        <f t="shared" si="132"/>
        <v>0</v>
      </c>
      <c r="D579">
        <f t="shared" si="133"/>
        <v>0</v>
      </c>
      <c r="E579" t="e">
        <f t="shared" si="134"/>
        <v>#N/A</v>
      </c>
      <c r="F579">
        <f t="shared" si="135"/>
        <v>0</v>
      </c>
      <c r="G579">
        <f t="shared" si="136"/>
        <v>0</v>
      </c>
      <c r="H579">
        <f t="shared" si="137"/>
        <v>0</v>
      </c>
      <c r="I579">
        <f t="shared" si="138"/>
        <v>0</v>
      </c>
      <c r="J579">
        <f t="shared" si="139"/>
        <v>0</v>
      </c>
      <c r="K579" s="4" t="e">
        <f t="shared" si="128"/>
        <v>#N/A</v>
      </c>
      <c r="L579" t="e">
        <f t="shared" si="129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30"/>
        <v>0</v>
      </c>
      <c r="B580">
        <f t="shared" si="131"/>
        <v>0</v>
      </c>
      <c r="C580">
        <f t="shared" si="132"/>
        <v>0</v>
      </c>
      <c r="D580">
        <f t="shared" si="133"/>
        <v>0</v>
      </c>
      <c r="E580" t="e">
        <f t="shared" si="134"/>
        <v>#N/A</v>
      </c>
      <c r="F580">
        <f t="shared" si="135"/>
        <v>0</v>
      </c>
      <c r="G580">
        <f t="shared" si="136"/>
        <v>0</v>
      </c>
      <c r="H580">
        <f t="shared" si="137"/>
        <v>0</v>
      </c>
      <c r="I580">
        <f t="shared" si="138"/>
        <v>0</v>
      </c>
      <c r="J580">
        <f t="shared" si="139"/>
        <v>0</v>
      </c>
      <c r="K580" s="4" t="e">
        <f t="shared" si="128"/>
        <v>#N/A</v>
      </c>
      <c r="L580" t="e">
        <f t="shared" si="129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30"/>
        <v>0</v>
      </c>
      <c r="B581">
        <f t="shared" si="131"/>
        <v>0</v>
      </c>
      <c r="C581">
        <f t="shared" si="132"/>
        <v>0</v>
      </c>
      <c r="D581">
        <f t="shared" si="133"/>
        <v>0</v>
      </c>
      <c r="E581" t="e">
        <f t="shared" si="134"/>
        <v>#N/A</v>
      </c>
      <c r="F581">
        <f t="shared" si="135"/>
        <v>0</v>
      </c>
      <c r="G581">
        <f t="shared" si="136"/>
        <v>0</v>
      </c>
      <c r="H581">
        <f t="shared" si="137"/>
        <v>0</v>
      </c>
      <c r="I581">
        <f t="shared" si="138"/>
        <v>0</v>
      </c>
      <c r="J581">
        <f t="shared" si="139"/>
        <v>0</v>
      </c>
      <c r="K581" s="4" t="e">
        <f t="shared" si="128"/>
        <v>#N/A</v>
      </c>
      <c r="L581" t="e">
        <f t="shared" si="129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30"/>
        <v>0</v>
      </c>
      <c r="B582">
        <f t="shared" si="131"/>
        <v>0</v>
      </c>
      <c r="C582">
        <f t="shared" si="132"/>
        <v>0</v>
      </c>
      <c r="D582">
        <f t="shared" si="133"/>
        <v>0</v>
      </c>
      <c r="E582" t="e">
        <f t="shared" si="134"/>
        <v>#N/A</v>
      </c>
      <c r="F582">
        <f t="shared" si="135"/>
        <v>0</v>
      </c>
      <c r="G582">
        <f t="shared" si="136"/>
        <v>0</v>
      </c>
      <c r="H582">
        <f t="shared" si="137"/>
        <v>0</v>
      </c>
      <c r="I582">
        <f t="shared" si="138"/>
        <v>0</v>
      </c>
      <c r="J582">
        <f t="shared" si="139"/>
        <v>0</v>
      </c>
      <c r="K582" s="4" t="e">
        <f t="shared" si="128"/>
        <v>#N/A</v>
      </c>
      <c r="L582" t="e">
        <f t="shared" si="129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30"/>
        <v>0</v>
      </c>
      <c r="B583">
        <f t="shared" si="131"/>
        <v>0</v>
      </c>
      <c r="C583">
        <f t="shared" si="132"/>
        <v>0</v>
      </c>
      <c r="D583">
        <f t="shared" si="133"/>
        <v>0</v>
      </c>
      <c r="E583" t="e">
        <f t="shared" si="134"/>
        <v>#N/A</v>
      </c>
      <c r="F583">
        <f t="shared" si="135"/>
        <v>0</v>
      </c>
      <c r="G583">
        <f t="shared" si="136"/>
        <v>0</v>
      </c>
      <c r="H583">
        <f t="shared" si="137"/>
        <v>0</v>
      </c>
      <c r="I583">
        <f t="shared" si="138"/>
        <v>0</v>
      </c>
      <c r="J583">
        <f t="shared" si="139"/>
        <v>0</v>
      </c>
      <c r="K583" s="4" t="e">
        <f t="shared" si="128"/>
        <v>#N/A</v>
      </c>
      <c r="L583" t="e">
        <f t="shared" si="129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30"/>
        <v>0</v>
      </c>
      <c r="B584">
        <f t="shared" si="131"/>
        <v>0</v>
      </c>
      <c r="C584">
        <f t="shared" si="132"/>
        <v>0</v>
      </c>
      <c r="D584">
        <f t="shared" si="133"/>
        <v>0</v>
      </c>
      <c r="E584" t="e">
        <f t="shared" si="134"/>
        <v>#N/A</v>
      </c>
      <c r="F584">
        <f t="shared" si="135"/>
        <v>0</v>
      </c>
      <c r="G584">
        <f t="shared" si="136"/>
        <v>0</v>
      </c>
      <c r="H584">
        <f t="shared" si="137"/>
        <v>0</v>
      </c>
      <c r="I584">
        <f t="shared" si="138"/>
        <v>0</v>
      </c>
      <c r="J584">
        <f t="shared" si="139"/>
        <v>0</v>
      </c>
      <c r="K584" s="4" t="e">
        <f t="shared" si="128"/>
        <v>#N/A</v>
      </c>
      <c r="L584" t="e">
        <f t="shared" si="129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30"/>
        <v>0</v>
      </c>
      <c r="B585">
        <f t="shared" si="131"/>
        <v>0</v>
      </c>
      <c r="C585">
        <f t="shared" si="132"/>
        <v>0</v>
      </c>
      <c r="D585">
        <f t="shared" si="133"/>
        <v>0</v>
      </c>
      <c r="E585" t="e">
        <f t="shared" si="134"/>
        <v>#N/A</v>
      </c>
      <c r="F585">
        <f t="shared" si="135"/>
        <v>0</v>
      </c>
      <c r="G585">
        <f t="shared" si="136"/>
        <v>0</v>
      </c>
      <c r="H585">
        <f t="shared" si="137"/>
        <v>0</v>
      </c>
      <c r="I585">
        <f t="shared" si="138"/>
        <v>0</v>
      </c>
      <c r="J585">
        <f t="shared" si="139"/>
        <v>0</v>
      </c>
      <c r="K585" s="4" t="e">
        <f t="shared" si="128"/>
        <v>#N/A</v>
      </c>
      <c r="L585" t="e">
        <f t="shared" si="129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30"/>
        <v>0</v>
      </c>
      <c r="B586">
        <f t="shared" si="131"/>
        <v>0</v>
      </c>
      <c r="C586">
        <f t="shared" si="132"/>
        <v>0</v>
      </c>
      <c r="D586">
        <f t="shared" si="133"/>
        <v>0</v>
      </c>
      <c r="E586" t="e">
        <f t="shared" si="134"/>
        <v>#N/A</v>
      </c>
      <c r="F586">
        <f t="shared" si="135"/>
        <v>0</v>
      </c>
      <c r="G586">
        <f t="shared" si="136"/>
        <v>0</v>
      </c>
      <c r="H586">
        <f t="shared" si="137"/>
        <v>0</v>
      </c>
      <c r="I586">
        <f t="shared" si="138"/>
        <v>0</v>
      </c>
      <c r="J586">
        <f t="shared" si="139"/>
        <v>0</v>
      </c>
      <c r="K586" s="4" t="e">
        <f t="shared" si="128"/>
        <v>#N/A</v>
      </c>
      <c r="L586" t="e">
        <f t="shared" si="129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30"/>
        <v>0</v>
      </c>
      <c r="B587">
        <f t="shared" si="131"/>
        <v>0</v>
      </c>
      <c r="C587">
        <f t="shared" si="132"/>
        <v>0</v>
      </c>
      <c r="D587">
        <f t="shared" si="133"/>
        <v>0</v>
      </c>
      <c r="E587" t="e">
        <f t="shared" si="134"/>
        <v>#N/A</v>
      </c>
      <c r="F587">
        <f t="shared" si="135"/>
        <v>0</v>
      </c>
      <c r="G587">
        <f t="shared" si="136"/>
        <v>0</v>
      </c>
      <c r="H587">
        <f t="shared" si="137"/>
        <v>0</v>
      </c>
      <c r="I587">
        <f t="shared" si="138"/>
        <v>0</v>
      </c>
      <c r="J587">
        <f t="shared" si="139"/>
        <v>0</v>
      </c>
      <c r="K587" s="4" t="e">
        <f t="shared" si="128"/>
        <v>#N/A</v>
      </c>
      <c r="L587" t="e">
        <f t="shared" si="129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30"/>
        <v>0</v>
      </c>
      <c r="B588">
        <f t="shared" si="131"/>
        <v>0</v>
      </c>
      <c r="C588">
        <f t="shared" si="132"/>
        <v>0</v>
      </c>
      <c r="D588">
        <f t="shared" si="133"/>
        <v>0</v>
      </c>
      <c r="E588" t="e">
        <f t="shared" si="134"/>
        <v>#N/A</v>
      </c>
      <c r="F588">
        <f t="shared" si="135"/>
        <v>0</v>
      </c>
      <c r="G588">
        <f t="shared" si="136"/>
        <v>0</v>
      </c>
      <c r="H588">
        <f t="shared" si="137"/>
        <v>0</v>
      </c>
      <c r="I588">
        <f t="shared" si="138"/>
        <v>0</v>
      </c>
      <c r="J588">
        <f t="shared" si="139"/>
        <v>0</v>
      </c>
      <c r="K588" s="4" t="e">
        <f t="shared" si="128"/>
        <v>#N/A</v>
      </c>
      <c r="L588" t="e">
        <f t="shared" si="129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30"/>
        <v>0</v>
      </c>
      <c r="B589">
        <f t="shared" si="131"/>
        <v>0</v>
      </c>
      <c r="C589">
        <f t="shared" si="132"/>
        <v>0</v>
      </c>
      <c r="D589">
        <f t="shared" si="133"/>
        <v>0</v>
      </c>
      <c r="E589" t="e">
        <f t="shared" si="134"/>
        <v>#N/A</v>
      </c>
      <c r="F589">
        <f t="shared" si="135"/>
        <v>0</v>
      </c>
      <c r="G589">
        <f t="shared" si="136"/>
        <v>0</v>
      </c>
      <c r="H589">
        <f t="shared" si="137"/>
        <v>0</v>
      </c>
      <c r="I589">
        <f t="shared" si="138"/>
        <v>0</v>
      </c>
      <c r="J589">
        <f t="shared" si="139"/>
        <v>0</v>
      </c>
      <c r="K589" s="4" t="e">
        <f t="shared" si="128"/>
        <v>#N/A</v>
      </c>
      <c r="L589" t="e">
        <f t="shared" si="129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30"/>
        <v>0</v>
      </c>
      <c r="B590">
        <f t="shared" si="131"/>
        <v>0</v>
      </c>
      <c r="C590">
        <f t="shared" si="132"/>
        <v>0</v>
      </c>
      <c r="D590">
        <f t="shared" si="133"/>
        <v>0</v>
      </c>
      <c r="E590" t="e">
        <f t="shared" si="134"/>
        <v>#N/A</v>
      </c>
      <c r="F590">
        <f t="shared" si="135"/>
        <v>0</v>
      </c>
      <c r="G590">
        <f t="shared" si="136"/>
        <v>0</v>
      </c>
      <c r="H590">
        <f t="shared" si="137"/>
        <v>0</v>
      </c>
      <c r="I590">
        <f t="shared" si="138"/>
        <v>0</v>
      </c>
      <c r="J590">
        <f t="shared" si="139"/>
        <v>0</v>
      </c>
      <c r="K590" s="4" t="e">
        <f t="shared" si="128"/>
        <v>#N/A</v>
      </c>
      <c r="L590" t="e">
        <f t="shared" si="129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30"/>
        <v>0</v>
      </c>
      <c r="B591">
        <f t="shared" si="131"/>
        <v>0</v>
      </c>
      <c r="C591">
        <f t="shared" si="132"/>
        <v>0</v>
      </c>
      <c r="D591">
        <f t="shared" si="133"/>
        <v>0</v>
      </c>
      <c r="E591" t="e">
        <f t="shared" si="134"/>
        <v>#N/A</v>
      </c>
      <c r="F591">
        <f t="shared" si="135"/>
        <v>0</v>
      </c>
      <c r="G591">
        <f t="shared" si="136"/>
        <v>0</v>
      </c>
      <c r="H591">
        <f t="shared" si="137"/>
        <v>0</v>
      </c>
      <c r="I591">
        <f t="shared" si="138"/>
        <v>0</v>
      </c>
      <c r="J591">
        <f t="shared" si="139"/>
        <v>0</v>
      </c>
      <c r="K591" s="4" t="e">
        <f t="shared" si="128"/>
        <v>#N/A</v>
      </c>
      <c r="L591" t="e">
        <f t="shared" si="129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30"/>
        <v>0</v>
      </c>
      <c r="B592">
        <f t="shared" si="131"/>
        <v>0</v>
      </c>
      <c r="C592">
        <f t="shared" si="132"/>
        <v>0</v>
      </c>
      <c r="D592">
        <f t="shared" si="133"/>
        <v>0</v>
      </c>
      <c r="E592" t="e">
        <f t="shared" si="134"/>
        <v>#N/A</v>
      </c>
      <c r="F592">
        <f t="shared" si="135"/>
        <v>0</v>
      </c>
      <c r="G592">
        <f t="shared" si="136"/>
        <v>0</v>
      </c>
      <c r="H592">
        <f t="shared" si="137"/>
        <v>0</v>
      </c>
      <c r="I592">
        <f t="shared" si="138"/>
        <v>0</v>
      </c>
      <c r="J592">
        <f t="shared" si="139"/>
        <v>0</v>
      </c>
      <c r="K592" s="4" t="e">
        <f t="shared" si="128"/>
        <v>#N/A</v>
      </c>
      <c r="L592" t="e">
        <f t="shared" si="129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30"/>
        <v>0</v>
      </c>
      <c r="B593">
        <f t="shared" si="131"/>
        <v>0</v>
      </c>
      <c r="C593">
        <f t="shared" si="132"/>
        <v>0</v>
      </c>
      <c r="D593">
        <f t="shared" si="133"/>
        <v>0</v>
      </c>
      <c r="E593" t="e">
        <f t="shared" si="134"/>
        <v>#N/A</v>
      </c>
      <c r="F593">
        <f t="shared" si="135"/>
        <v>0</v>
      </c>
      <c r="G593">
        <f t="shared" si="136"/>
        <v>0</v>
      </c>
      <c r="H593">
        <f t="shared" si="137"/>
        <v>0</v>
      </c>
      <c r="I593">
        <f t="shared" si="138"/>
        <v>0</v>
      </c>
      <c r="J593">
        <f t="shared" si="139"/>
        <v>0</v>
      </c>
      <c r="K593" s="4" t="e">
        <f t="shared" si="128"/>
        <v>#N/A</v>
      </c>
      <c r="L593" t="e">
        <f t="shared" si="129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30"/>
        <v>0</v>
      </c>
      <c r="B594">
        <f t="shared" si="131"/>
        <v>0</v>
      </c>
      <c r="C594">
        <f t="shared" si="132"/>
        <v>0</v>
      </c>
      <c r="D594">
        <f t="shared" si="133"/>
        <v>0</v>
      </c>
      <c r="E594" t="e">
        <f t="shared" si="134"/>
        <v>#N/A</v>
      </c>
      <c r="F594">
        <f t="shared" si="135"/>
        <v>0</v>
      </c>
      <c r="G594">
        <f t="shared" si="136"/>
        <v>0</v>
      </c>
      <c r="H594">
        <f t="shared" si="137"/>
        <v>0</v>
      </c>
      <c r="I594">
        <f t="shared" si="138"/>
        <v>0</v>
      </c>
      <c r="J594">
        <f t="shared" si="139"/>
        <v>0</v>
      </c>
      <c r="K594" s="4" t="e">
        <f t="shared" si="128"/>
        <v>#N/A</v>
      </c>
      <c r="L594" t="e">
        <f t="shared" si="129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30"/>
        <v>0</v>
      </c>
      <c r="B595">
        <f t="shared" si="131"/>
        <v>0</v>
      </c>
      <c r="C595">
        <f t="shared" si="132"/>
        <v>0</v>
      </c>
      <c r="D595">
        <f t="shared" si="133"/>
        <v>0</v>
      </c>
      <c r="E595" t="e">
        <f t="shared" si="134"/>
        <v>#N/A</v>
      </c>
      <c r="F595">
        <f t="shared" si="135"/>
        <v>0</v>
      </c>
      <c r="G595">
        <f t="shared" si="136"/>
        <v>0</v>
      </c>
      <c r="H595">
        <f t="shared" si="137"/>
        <v>0</v>
      </c>
      <c r="I595">
        <f t="shared" si="138"/>
        <v>0</v>
      </c>
      <c r="J595">
        <f t="shared" si="139"/>
        <v>0</v>
      </c>
      <c r="K595" s="4" t="e">
        <f t="shared" si="128"/>
        <v>#N/A</v>
      </c>
      <c r="L595" t="e">
        <f t="shared" si="129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30"/>
        <v>0</v>
      </c>
      <c r="B596">
        <f t="shared" si="131"/>
        <v>0</v>
      </c>
      <c r="C596">
        <f t="shared" si="132"/>
        <v>0</v>
      </c>
      <c r="D596">
        <f t="shared" si="133"/>
        <v>0</v>
      </c>
      <c r="E596" t="e">
        <f t="shared" si="134"/>
        <v>#N/A</v>
      </c>
      <c r="F596">
        <f t="shared" si="135"/>
        <v>0</v>
      </c>
      <c r="G596">
        <f t="shared" si="136"/>
        <v>0</v>
      </c>
      <c r="H596">
        <f t="shared" si="137"/>
        <v>0</v>
      </c>
      <c r="I596">
        <f t="shared" si="138"/>
        <v>0</v>
      </c>
      <c r="J596">
        <f t="shared" si="139"/>
        <v>0</v>
      </c>
      <c r="K596" s="4" t="e">
        <f t="shared" si="128"/>
        <v>#N/A</v>
      </c>
      <c r="L596" t="e">
        <f t="shared" si="129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30"/>
        <v>0</v>
      </c>
      <c r="B597">
        <f t="shared" si="131"/>
        <v>0</v>
      </c>
      <c r="C597">
        <f t="shared" si="132"/>
        <v>0</v>
      </c>
      <c r="D597">
        <f t="shared" si="133"/>
        <v>0</v>
      </c>
      <c r="E597" t="e">
        <f t="shared" si="134"/>
        <v>#N/A</v>
      </c>
      <c r="F597">
        <f t="shared" si="135"/>
        <v>0</v>
      </c>
      <c r="G597">
        <f t="shared" si="136"/>
        <v>0</v>
      </c>
      <c r="H597">
        <f t="shared" si="137"/>
        <v>0</v>
      </c>
      <c r="I597">
        <f t="shared" si="138"/>
        <v>0</v>
      </c>
      <c r="J597">
        <f t="shared" si="139"/>
        <v>0</v>
      </c>
      <c r="K597" s="4" t="e">
        <f t="shared" si="128"/>
        <v>#N/A</v>
      </c>
      <c r="L597" t="e">
        <f t="shared" si="129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30"/>
        <v>0</v>
      </c>
      <c r="B598">
        <f t="shared" si="131"/>
        <v>0</v>
      </c>
      <c r="C598">
        <f t="shared" si="132"/>
        <v>0</v>
      </c>
      <c r="D598">
        <f t="shared" si="133"/>
        <v>0</v>
      </c>
      <c r="E598" t="e">
        <f t="shared" si="134"/>
        <v>#N/A</v>
      </c>
      <c r="F598">
        <f t="shared" si="135"/>
        <v>0</v>
      </c>
      <c r="G598">
        <f t="shared" si="136"/>
        <v>0</v>
      </c>
      <c r="H598">
        <f t="shared" si="137"/>
        <v>0</v>
      </c>
      <c r="I598">
        <f t="shared" si="138"/>
        <v>0</v>
      </c>
      <c r="J598">
        <f t="shared" si="139"/>
        <v>0</v>
      </c>
      <c r="K598" s="4" t="e">
        <f t="shared" si="128"/>
        <v>#N/A</v>
      </c>
      <c r="L598" t="e">
        <f t="shared" si="129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30"/>
        <v>0</v>
      </c>
      <c r="B599">
        <f t="shared" si="131"/>
        <v>0</v>
      </c>
      <c r="C599">
        <f t="shared" si="132"/>
        <v>0</v>
      </c>
      <c r="D599">
        <f t="shared" si="133"/>
        <v>0</v>
      </c>
      <c r="E599" t="e">
        <f t="shared" si="134"/>
        <v>#N/A</v>
      </c>
      <c r="F599">
        <f t="shared" si="135"/>
        <v>0</v>
      </c>
      <c r="G599">
        <f t="shared" si="136"/>
        <v>0</v>
      </c>
      <c r="H599">
        <f t="shared" si="137"/>
        <v>0</v>
      </c>
      <c r="I599">
        <f t="shared" si="138"/>
        <v>0</v>
      </c>
      <c r="J599">
        <f t="shared" si="139"/>
        <v>0</v>
      </c>
      <c r="K599" s="4" t="e">
        <f t="shared" si="128"/>
        <v>#N/A</v>
      </c>
      <c r="L599" t="e">
        <f t="shared" si="129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30"/>
        <v>0</v>
      </c>
      <c r="B600">
        <f t="shared" si="131"/>
        <v>0</v>
      </c>
      <c r="C600">
        <f t="shared" si="132"/>
        <v>0</v>
      </c>
      <c r="D600">
        <f t="shared" si="133"/>
        <v>0</v>
      </c>
      <c r="E600" t="e">
        <f t="shared" si="134"/>
        <v>#N/A</v>
      </c>
      <c r="F600">
        <f t="shared" si="135"/>
        <v>0</v>
      </c>
      <c r="G600">
        <f t="shared" si="136"/>
        <v>0</v>
      </c>
      <c r="H600">
        <f t="shared" si="137"/>
        <v>0</v>
      </c>
      <c r="I600">
        <f t="shared" si="138"/>
        <v>0</v>
      </c>
      <c r="J600">
        <f t="shared" si="139"/>
        <v>0</v>
      </c>
      <c r="K600" s="4" t="e">
        <f t="shared" si="128"/>
        <v>#N/A</v>
      </c>
      <c r="L600" t="e">
        <f t="shared" si="129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30"/>
        <v>0</v>
      </c>
      <c r="B601">
        <f t="shared" si="131"/>
        <v>0</v>
      </c>
      <c r="C601">
        <f t="shared" si="132"/>
        <v>0</v>
      </c>
      <c r="D601">
        <f t="shared" si="133"/>
        <v>0</v>
      </c>
      <c r="E601" t="e">
        <f t="shared" si="134"/>
        <v>#N/A</v>
      </c>
      <c r="F601">
        <f t="shared" si="135"/>
        <v>0</v>
      </c>
      <c r="G601">
        <f t="shared" si="136"/>
        <v>0</v>
      </c>
      <c r="H601">
        <f t="shared" si="137"/>
        <v>0</v>
      </c>
      <c r="I601">
        <f t="shared" si="138"/>
        <v>0</v>
      </c>
      <c r="J601">
        <f t="shared" si="139"/>
        <v>0</v>
      </c>
      <c r="K601" s="4" t="e">
        <f t="shared" si="128"/>
        <v>#N/A</v>
      </c>
      <c r="L601" t="e">
        <f t="shared" si="129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30"/>
        <v>0</v>
      </c>
      <c r="B602">
        <f t="shared" si="131"/>
        <v>0</v>
      </c>
      <c r="C602">
        <f t="shared" si="132"/>
        <v>0</v>
      </c>
      <c r="D602">
        <f t="shared" si="133"/>
        <v>0</v>
      </c>
      <c r="E602" t="e">
        <f t="shared" si="134"/>
        <v>#N/A</v>
      </c>
      <c r="F602">
        <f t="shared" si="135"/>
        <v>0</v>
      </c>
      <c r="G602">
        <f t="shared" si="136"/>
        <v>0</v>
      </c>
      <c r="H602">
        <f t="shared" si="137"/>
        <v>0</v>
      </c>
      <c r="I602">
        <f t="shared" si="138"/>
        <v>0</v>
      </c>
      <c r="J602">
        <f t="shared" si="139"/>
        <v>0</v>
      </c>
      <c r="K602" s="4" t="e">
        <f t="shared" si="128"/>
        <v>#N/A</v>
      </c>
      <c r="L602" t="e">
        <f t="shared" si="129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30"/>
        <v>0</v>
      </c>
      <c r="B603">
        <f t="shared" si="131"/>
        <v>0</v>
      </c>
      <c r="C603">
        <f t="shared" si="132"/>
        <v>0</v>
      </c>
      <c r="D603">
        <f t="shared" si="133"/>
        <v>0</v>
      </c>
      <c r="E603" t="e">
        <f t="shared" si="134"/>
        <v>#N/A</v>
      </c>
      <c r="F603">
        <f t="shared" si="135"/>
        <v>0</v>
      </c>
      <c r="G603">
        <f t="shared" si="136"/>
        <v>0</v>
      </c>
      <c r="H603">
        <f t="shared" si="137"/>
        <v>0</v>
      </c>
      <c r="I603">
        <f t="shared" si="138"/>
        <v>0</v>
      </c>
      <c r="J603">
        <f t="shared" si="139"/>
        <v>0</v>
      </c>
      <c r="K603" s="4" t="e">
        <f t="shared" si="128"/>
        <v>#N/A</v>
      </c>
      <c r="L603" t="e">
        <f t="shared" si="129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30"/>
        <v>0</v>
      </c>
      <c r="B604">
        <f t="shared" si="131"/>
        <v>0</v>
      </c>
      <c r="C604">
        <f t="shared" si="132"/>
        <v>0</v>
      </c>
      <c r="D604">
        <f t="shared" si="133"/>
        <v>0</v>
      </c>
      <c r="E604" t="e">
        <f t="shared" si="134"/>
        <v>#N/A</v>
      </c>
      <c r="F604">
        <f t="shared" si="135"/>
        <v>0</v>
      </c>
      <c r="G604">
        <f t="shared" si="136"/>
        <v>0</v>
      </c>
      <c r="H604">
        <f t="shared" si="137"/>
        <v>0</v>
      </c>
      <c r="I604">
        <f t="shared" si="138"/>
        <v>0</v>
      </c>
      <c r="J604">
        <f t="shared" si="139"/>
        <v>0</v>
      </c>
      <c r="K604" s="4" t="e">
        <f t="shared" si="128"/>
        <v>#N/A</v>
      </c>
      <c r="L604" t="e">
        <f t="shared" si="129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30"/>
        <v>0</v>
      </c>
      <c r="B605">
        <f t="shared" si="131"/>
        <v>0</v>
      </c>
      <c r="C605">
        <f t="shared" si="132"/>
        <v>0</v>
      </c>
      <c r="D605">
        <f t="shared" si="133"/>
        <v>0</v>
      </c>
      <c r="E605" t="e">
        <f t="shared" si="134"/>
        <v>#N/A</v>
      </c>
      <c r="F605">
        <f t="shared" si="135"/>
        <v>0</v>
      </c>
      <c r="G605">
        <f t="shared" si="136"/>
        <v>0</v>
      </c>
      <c r="H605">
        <f t="shared" si="137"/>
        <v>0</v>
      </c>
      <c r="I605">
        <f t="shared" si="138"/>
        <v>0</v>
      </c>
      <c r="J605">
        <f t="shared" si="139"/>
        <v>0</v>
      </c>
      <c r="K605" s="4" t="e">
        <f t="shared" si="128"/>
        <v>#N/A</v>
      </c>
      <c r="L605" t="e">
        <f t="shared" si="129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30"/>
        <v>0</v>
      </c>
      <c r="B606">
        <f t="shared" si="131"/>
        <v>0</v>
      </c>
      <c r="C606">
        <f t="shared" si="132"/>
        <v>0</v>
      </c>
      <c r="D606">
        <f t="shared" si="133"/>
        <v>0</v>
      </c>
      <c r="E606" t="e">
        <f t="shared" si="134"/>
        <v>#N/A</v>
      </c>
      <c r="F606">
        <f t="shared" si="135"/>
        <v>0</v>
      </c>
      <c r="G606">
        <f t="shared" si="136"/>
        <v>0</v>
      </c>
      <c r="H606">
        <f t="shared" si="137"/>
        <v>0</v>
      </c>
      <c r="I606">
        <f t="shared" si="138"/>
        <v>0</v>
      </c>
      <c r="J606">
        <f t="shared" si="139"/>
        <v>0</v>
      </c>
      <c r="K606" s="4" t="e">
        <f t="shared" si="128"/>
        <v>#N/A</v>
      </c>
      <c r="L606" t="e">
        <f t="shared" si="129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30"/>
        <v>0</v>
      </c>
      <c r="B607">
        <f t="shared" si="131"/>
        <v>0</v>
      </c>
      <c r="C607">
        <f t="shared" si="132"/>
        <v>0</v>
      </c>
      <c r="D607">
        <f t="shared" si="133"/>
        <v>0</v>
      </c>
      <c r="E607" t="e">
        <f t="shared" si="134"/>
        <v>#N/A</v>
      </c>
      <c r="F607">
        <f t="shared" si="135"/>
        <v>0</v>
      </c>
      <c r="G607">
        <f t="shared" si="136"/>
        <v>0</v>
      </c>
      <c r="H607">
        <f t="shared" si="137"/>
        <v>0</v>
      </c>
      <c r="I607">
        <f t="shared" si="138"/>
        <v>0</v>
      </c>
      <c r="J607">
        <f t="shared" si="139"/>
        <v>0</v>
      </c>
      <c r="K607" s="4" t="e">
        <f t="shared" si="128"/>
        <v>#N/A</v>
      </c>
      <c r="L607" t="e">
        <f t="shared" si="129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30"/>
        <v>0</v>
      </c>
      <c r="B608">
        <f t="shared" si="131"/>
        <v>0</v>
      </c>
      <c r="C608">
        <f t="shared" si="132"/>
        <v>0</v>
      </c>
      <c r="D608">
        <f t="shared" si="133"/>
        <v>0</v>
      </c>
      <c r="E608" t="e">
        <f t="shared" si="134"/>
        <v>#N/A</v>
      </c>
      <c r="F608">
        <f t="shared" si="135"/>
        <v>0</v>
      </c>
      <c r="G608">
        <f t="shared" si="136"/>
        <v>0</v>
      </c>
      <c r="H608">
        <f t="shared" si="137"/>
        <v>0</v>
      </c>
      <c r="I608">
        <f t="shared" si="138"/>
        <v>0</v>
      </c>
      <c r="J608">
        <f t="shared" si="139"/>
        <v>0</v>
      </c>
      <c r="K608" s="4" t="e">
        <f t="shared" si="128"/>
        <v>#N/A</v>
      </c>
      <c r="L608" t="e">
        <f t="shared" si="129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30"/>
        <v>0</v>
      </c>
      <c r="B609">
        <f t="shared" si="131"/>
        <v>0</v>
      </c>
      <c r="C609">
        <f t="shared" si="132"/>
        <v>0</v>
      </c>
      <c r="D609">
        <f t="shared" si="133"/>
        <v>0</v>
      </c>
      <c r="E609" t="e">
        <f t="shared" si="134"/>
        <v>#N/A</v>
      </c>
      <c r="F609">
        <f t="shared" si="135"/>
        <v>0</v>
      </c>
      <c r="G609">
        <f t="shared" si="136"/>
        <v>0</v>
      </c>
      <c r="H609">
        <f t="shared" si="137"/>
        <v>0</v>
      </c>
      <c r="I609">
        <f t="shared" si="138"/>
        <v>0</v>
      </c>
      <c r="J609">
        <f t="shared" si="139"/>
        <v>0</v>
      </c>
      <c r="K609" s="4" t="e">
        <f t="shared" si="128"/>
        <v>#N/A</v>
      </c>
      <c r="L609" t="e">
        <f t="shared" si="129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30"/>
        <v>0</v>
      </c>
      <c r="B610">
        <f t="shared" si="131"/>
        <v>0</v>
      </c>
      <c r="C610">
        <f t="shared" si="132"/>
        <v>0</v>
      </c>
      <c r="D610">
        <f t="shared" si="133"/>
        <v>0</v>
      </c>
      <c r="E610" t="e">
        <f t="shared" si="134"/>
        <v>#N/A</v>
      </c>
      <c r="F610">
        <f t="shared" si="135"/>
        <v>0</v>
      </c>
      <c r="G610">
        <f t="shared" si="136"/>
        <v>0</v>
      </c>
      <c r="H610">
        <f t="shared" si="137"/>
        <v>0</v>
      </c>
      <c r="I610">
        <f t="shared" si="138"/>
        <v>0</v>
      </c>
      <c r="J610">
        <f t="shared" si="139"/>
        <v>0</v>
      </c>
      <c r="K610" s="4" t="e">
        <f t="shared" si="128"/>
        <v>#N/A</v>
      </c>
      <c r="L610" t="e">
        <f t="shared" si="129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30"/>
        <v>0</v>
      </c>
      <c r="B611">
        <f t="shared" si="131"/>
        <v>0</v>
      </c>
      <c r="C611">
        <f t="shared" si="132"/>
        <v>0</v>
      </c>
      <c r="D611">
        <f t="shared" si="133"/>
        <v>0</v>
      </c>
      <c r="E611" t="e">
        <f t="shared" si="134"/>
        <v>#N/A</v>
      </c>
      <c r="F611">
        <f t="shared" si="135"/>
        <v>0</v>
      </c>
      <c r="G611">
        <f t="shared" si="136"/>
        <v>0</v>
      </c>
      <c r="H611">
        <f t="shared" si="137"/>
        <v>0</v>
      </c>
      <c r="I611">
        <f t="shared" si="138"/>
        <v>0</v>
      </c>
      <c r="J611">
        <f t="shared" si="139"/>
        <v>0</v>
      </c>
      <c r="K611" s="4" t="e">
        <f t="shared" si="128"/>
        <v>#N/A</v>
      </c>
      <c r="L611" t="e">
        <f t="shared" si="129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30"/>
        <v>0</v>
      </c>
      <c r="B612">
        <f t="shared" si="131"/>
        <v>0</v>
      </c>
      <c r="C612">
        <f t="shared" si="132"/>
        <v>0</v>
      </c>
      <c r="D612">
        <f t="shared" si="133"/>
        <v>0</v>
      </c>
      <c r="E612" t="e">
        <f t="shared" si="134"/>
        <v>#N/A</v>
      </c>
      <c r="F612">
        <f t="shared" si="135"/>
        <v>0</v>
      </c>
      <c r="G612">
        <f t="shared" si="136"/>
        <v>0</v>
      </c>
      <c r="H612">
        <f t="shared" si="137"/>
        <v>0</v>
      </c>
      <c r="I612">
        <f t="shared" si="138"/>
        <v>0</v>
      </c>
      <c r="J612">
        <f t="shared" si="139"/>
        <v>0</v>
      </c>
      <c r="K612" s="4" t="e">
        <f t="shared" si="128"/>
        <v>#N/A</v>
      </c>
      <c r="L612" t="e">
        <f t="shared" si="129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30"/>
        <v>0</v>
      </c>
      <c r="B613">
        <f t="shared" si="131"/>
        <v>0</v>
      </c>
      <c r="C613">
        <f t="shared" si="132"/>
        <v>0</v>
      </c>
      <c r="D613">
        <f t="shared" si="133"/>
        <v>0</v>
      </c>
      <c r="E613" t="e">
        <f t="shared" si="134"/>
        <v>#N/A</v>
      </c>
      <c r="F613">
        <f t="shared" si="135"/>
        <v>0</v>
      </c>
      <c r="G613">
        <f t="shared" si="136"/>
        <v>0</v>
      </c>
      <c r="H613">
        <f t="shared" si="137"/>
        <v>0</v>
      </c>
      <c r="I613">
        <f t="shared" si="138"/>
        <v>0</v>
      </c>
      <c r="J613">
        <f t="shared" si="139"/>
        <v>0</v>
      </c>
      <c r="K613" s="4" t="e">
        <f t="shared" si="128"/>
        <v>#N/A</v>
      </c>
      <c r="L613" t="e">
        <f t="shared" si="129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30"/>
        <v>0</v>
      </c>
      <c r="B614">
        <f t="shared" si="131"/>
        <v>0</v>
      </c>
      <c r="C614">
        <f t="shared" si="132"/>
        <v>0</v>
      </c>
      <c r="D614">
        <f t="shared" si="133"/>
        <v>0</v>
      </c>
      <c r="E614" t="e">
        <f t="shared" si="134"/>
        <v>#N/A</v>
      </c>
      <c r="F614">
        <f t="shared" si="135"/>
        <v>0</v>
      </c>
      <c r="G614">
        <f t="shared" si="136"/>
        <v>0</v>
      </c>
      <c r="H614">
        <f t="shared" si="137"/>
        <v>0</v>
      </c>
      <c r="I614">
        <f t="shared" si="138"/>
        <v>0</v>
      </c>
      <c r="J614">
        <f t="shared" si="139"/>
        <v>0</v>
      </c>
      <c r="K614" s="4" t="e">
        <f t="shared" si="128"/>
        <v>#N/A</v>
      </c>
      <c r="L614" t="e">
        <f t="shared" si="129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30"/>
        <v>0</v>
      </c>
      <c r="B615">
        <f t="shared" si="131"/>
        <v>0</v>
      </c>
      <c r="C615">
        <f t="shared" si="132"/>
        <v>0</v>
      </c>
      <c r="D615">
        <f t="shared" si="133"/>
        <v>0</v>
      </c>
      <c r="E615" t="e">
        <f t="shared" si="134"/>
        <v>#N/A</v>
      </c>
      <c r="F615">
        <f t="shared" si="135"/>
        <v>0</v>
      </c>
      <c r="G615">
        <f t="shared" si="136"/>
        <v>0</v>
      </c>
      <c r="H615">
        <f t="shared" si="137"/>
        <v>0</v>
      </c>
      <c r="I615">
        <f t="shared" si="138"/>
        <v>0</v>
      </c>
      <c r="J615">
        <f t="shared" si="139"/>
        <v>0</v>
      </c>
      <c r="K615" s="4" t="e">
        <f t="shared" si="128"/>
        <v>#N/A</v>
      </c>
      <c r="L615" t="e">
        <f t="shared" si="129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30"/>
        <v>0</v>
      </c>
      <c r="B616">
        <f t="shared" si="131"/>
        <v>0</v>
      </c>
      <c r="C616">
        <f t="shared" si="132"/>
        <v>0</v>
      </c>
      <c r="D616">
        <f t="shared" si="133"/>
        <v>0</v>
      </c>
      <c r="E616" t="e">
        <f t="shared" si="134"/>
        <v>#N/A</v>
      </c>
      <c r="F616">
        <f t="shared" si="135"/>
        <v>0</v>
      </c>
      <c r="G616">
        <f t="shared" si="136"/>
        <v>0</v>
      </c>
      <c r="H616">
        <f t="shared" si="137"/>
        <v>0</v>
      </c>
      <c r="I616">
        <f t="shared" si="138"/>
        <v>0</v>
      </c>
      <c r="J616">
        <f t="shared" si="139"/>
        <v>0</v>
      </c>
      <c r="K616" s="4" t="e">
        <f t="shared" si="128"/>
        <v>#N/A</v>
      </c>
      <c r="L616" t="e">
        <f t="shared" si="129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30"/>
        <v>0</v>
      </c>
      <c r="B617">
        <f t="shared" si="131"/>
        <v>0</v>
      </c>
      <c r="C617">
        <f t="shared" si="132"/>
        <v>0</v>
      </c>
      <c r="D617">
        <f t="shared" si="133"/>
        <v>0</v>
      </c>
      <c r="E617" t="e">
        <f t="shared" si="134"/>
        <v>#N/A</v>
      </c>
      <c r="F617">
        <f t="shared" si="135"/>
        <v>0</v>
      </c>
      <c r="G617">
        <f t="shared" si="136"/>
        <v>0</v>
      </c>
      <c r="H617">
        <f t="shared" si="137"/>
        <v>0</v>
      </c>
      <c r="I617">
        <f t="shared" si="138"/>
        <v>0</v>
      </c>
      <c r="J617">
        <f t="shared" si="139"/>
        <v>0</v>
      </c>
      <c r="K617" s="4" t="e">
        <f t="shared" si="128"/>
        <v>#N/A</v>
      </c>
      <c r="L617" t="e">
        <f t="shared" si="129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30"/>
        <v>0</v>
      </c>
      <c r="B618">
        <f t="shared" si="131"/>
        <v>0</v>
      </c>
      <c r="C618">
        <f t="shared" si="132"/>
        <v>0</v>
      </c>
      <c r="D618">
        <f t="shared" si="133"/>
        <v>0</v>
      </c>
      <c r="E618" t="e">
        <f t="shared" si="134"/>
        <v>#N/A</v>
      </c>
      <c r="F618">
        <f t="shared" si="135"/>
        <v>0</v>
      </c>
      <c r="G618">
        <f t="shared" si="136"/>
        <v>0</v>
      </c>
      <c r="H618">
        <f t="shared" si="137"/>
        <v>0</v>
      </c>
      <c r="I618">
        <f t="shared" si="138"/>
        <v>0</v>
      </c>
      <c r="J618">
        <f t="shared" si="139"/>
        <v>0</v>
      </c>
      <c r="K618" s="4" t="e">
        <f t="shared" si="128"/>
        <v>#N/A</v>
      </c>
      <c r="L618" t="e">
        <f t="shared" si="129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30"/>
        <v>0</v>
      </c>
      <c r="B619">
        <f t="shared" si="131"/>
        <v>0</v>
      </c>
      <c r="C619">
        <f t="shared" si="132"/>
        <v>0</v>
      </c>
      <c r="D619">
        <f t="shared" si="133"/>
        <v>0</v>
      </c>
      <c r="E619" t="e">
        <f t="shared" si="134"/>
        <v>#N/A</v>
      </c>
      <c r="F619">
        <f t="shared" si="135"/>
        <v>0</v>
      </c>
      <c r="G619">
        <f t="shared" si="136"/>
        <v>0</v>
      </c>
      <c r="H619">
        <f t="shared" si="137"/>
        <v>0</v>
      </c>
      <c r="I619">
        <f t="shared" si="138"/>
        <v>0</v>
      </c>
      <c r="J619">
        <f t="shared" si="139"/>
        <v>0</v>
      </c>
      <c r="K619" s="4" t="e">
        <f t="shared" si="128"/>
        <v>#N/A</v>
      </c>
      <c r="L619" t="e">
        <f t="shared" si="129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30"/>
        <v>0</v>
      </c>
      <c r="B620">
        <f t="shared" si="131"/>
        <v>0</v>
      </c>
      <c r="C620">
        <f t="shared" si="132"/>
        <v>0</v>
      </c>
      <c r="D620">
        <f t="shared" si="133"/>
        <v>0</v>
      </c>
      <c r="E620" t="e">
        <f t="shared" si="134"/>
        <v>#N/A</v>
      </c>
      <c r="F620">
        <f t="shared" si="135"/>
        <v>0</v>
      </c>
      <c r="G620">
        <f t="shared" si="136"/>
        <v>0</v>
      </c>
      <c r="H620">
        <f t="shared" si="137"/>
        <v>0</v>
      </c>
      <c r="I620">
        <f t="shared" si="138"/>
        <v>0</v>
      </c>
      <c r="J620">
        <f t="shared" si="139"/>
        <v>0</v>
      </c>
      <c r="K620" s="4" t="e">
        <f t="shared" ref="K620:K683" si="142">IF(LEFT(B620,3)="DBM",0,VLOOKUP(E620,tabela,2,FALSE))</f>
        <v>#N/A</v>
      </c>
      <c r="L620" t="e">
        <f t="shared" ref="L620:L683" si="143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30"/>
        <v>0</v>
      </c>
      <c r="B621">
        <f t="shared" si="131"/>
        <v>0</v>
      </c>
      <c r="C621">
        <f t="shared" si="132"/>
        <v>0</v>
      </c>
      <c r="D621">
        <f t="shared" si="133"/>
        <v>0</v>
      </c>
      <c r="E621" t="e">
        <f t="shared" si="134"/>
        <v>#N/A</v>
      </c>
      <c r="F621">
        <f t="shared" si="135"/>
        <v>0</v>
      </c>
      <c r="G621">
        <f t="shared" si="136"/>
        <v>0</v>
      </c>
      <c r="H621">
        <f t="shared" si="137"/>
        <v>0</v>
      </c>
      <c r="I621">
        <f t="shared" si="138"/>
        <v>0</v>
      </c>
      <c r="J621">
        <f t="shared" si="139"/>
        <v>0</v>
      </c>
      <c r="K621" s="4" t="e">
        <f t="shared" si="142"/>
        <v>#N/A</v>
      </c>
      <c r="L621" t="e">
        <f t="shared" si="143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30"/>
        <v>0</v>
      </c>
      <c r="B622">
        <f t="shared" si="131"/>
        <v>0</v>
      </c>
      <c r="C622">
        <f t="shared" si="132"/>
        <v>0</v>
      </c>
      <c r="D622">
        <f t="shared" si="133"/>
        <v>0</v>
      </c>
      <c r="E622" t="e">
        <f t="shared" si="134"/>
        <v>#N/A</v>
      </c>
      <c r="F622">
        <f t="shared" si="135"/>
        <v>0</v>
      </c>
      <c r="G622">
        <f t="shared" si="136"/>
        <v>0</v>
      </c>
      <c r="H622">
        <f t="shared" si="137"/>
        <v>0</v>
      </c>
      <c r="I622">
        <f t="shared" si="138"/>
        <v>0</v>
      </c>
      <c r="J622">
        <f t="shared" si="139"/>
        <v>0</v>
      </c>
      <c r="K622" s="4" t="e">
        <f t="shared" si="142"/>
        <v>#N/A</v>
      </c>
      <c r="L622" t="e">
        <f t="shared" si="143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30"/>
        <v>0</v>
      </c>
      <c r="B623">
        <f t="shared" si="131"/>
        <v>0</v>
      </c>
      <c r="C623">
        <f t="shared" si="132"/>
        <v>0</v>
      </c>
      <c r="D623">
        <f t="shared" si="133"/>
        <v>0</v>
      </c>
      <c r="E623" t="e">
        <f t="shared" si="134"/>
        <v>#N/A</v>
      </c>
      <c r="F623">
        <f t="shared" si="135"/>
        <v>0</v>
      </c>
      <c r="G623">
        <f t="shared" si="136"/>
        <v>0</v>
      </c>
      <c r="H623">
        <f t="shared" si="137"/>
        <v>0</v>
      </c>
      <c r="I623">
        <f t="shared" si="138"/>
        <v>0</v>
      </c>
      <c r="J623">
        <f t="shared" si="139"/>
        <v>0</v>
      </c>
      <c r="K623" s="4" t="e">
        <f t="shared" si="142"/>
        <v>#N/A</v>
      </c>
      <c r="L623" t="e">
        <f t="shared" si="143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30"/>
        <v>0</v>
      </c>
      <c r="B624">
        <f t="shared" si="131"/>
        <v>0</v>
      </c>
      <c r="C624">
        <f t="shared" si="132"/>
        <v>0</v>
      </c>
      <c r="D624">
        <f t="shared" si="133"/>
        <v>0</v>
      </c>
      <c r="E624" t="e">
        <f t="shared" si="134"/>
        <v>#N/A</v>
      </c>
      <c r="F624">
        <f t="shared" si="135"/>
        <v>0</v>
      </c>
      <c r="G624">
        <f t="shared" si="136"/>
        <v>0</v>
      </c>
      <c r="H624">
        <f t="shared" si="137"/>
        <v>0</v>
      </c>
      <c r="I624">
        <f t="shared" si="138"/>
        <v>0</v>
      </c>
      <c r="J624">
        <f t="shared" si="139"/>
        <v>0</v>
      </c>
      <c r="K624" s="4" t="e">
        <f t="shared" si="142"/>
        <v>#N/A</v>
      </c>
      <c r="L624" t="e">
        <f t="shared" si="143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30"/>
        <v>0</v>
      </c>
      <c r="B625">
        <f t="shared" si="131"/>
        <v>0</v>
      </c>
      <c r="C625">
        <f t="shared" si="132"/>
        <v>0</v>
      </c>
      <c r="D625">
        <f t="shared" si="133"/>
        <v>0</v>
      </c>
      <c r="E625" t="e">
        <f t="shared" si="134"/>
        <v>#N/A</v>
      </c>
      <c r="F625">
        <f t="shared" si="135"/>
        <v>0</v>
      </c>
      <c r="G625">
        <f t="shared" si="136"/>
        <v>0</v>
      </c>
      <c r="H625">
        <f t="shared" si="137"/>
        <v>0</v>
      </c>
      <c r="I625">
        <f t="shared" si="138"/>
        <v>0</v>
      </c>
      <c r="J625">
        <f t="shared" si="139"/>
        <v>0</v>
      </c>
      <c r="K625" s="4" t="e">
        <f t="shared" si="142"/>
        <v>#N/A</v>
      </c>
      <c r="L625" t="e">
        <f t="shared" si="143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30"/>
        <v>0</v>
      </c>
      <c r="B626">
        <f t="shared" si="131"/>
        <v>0</v>
      </c>
      <c r="C626">
        <f t="shared" si="132"/>
        <v>0</v>
      </c>
      <c r="D626">
        <f t="shared" si="133"/>
        <v>0</v>
      </c>
      <c r="E626" t="e">
        <f t="shared" si="134"/>
        <v>#N/A</v>
      </c>
      <c r="F626">
        <f t="shared" si="135"/>
        <v>0</v>
      </c>
      <c r="G626">
        <f t="shared" si="136"/>
        <v>0</v>
      </c>
      <c r="H626">
        <f t="shared" si="137"/>
        <v>0</v>
      </c>
      <c r="I626">
        <f t="shared" si="138"/>
        <v>0</v>
      </c>
      <c r="J626">
        <f t="shared" si="139"/>
        <v>0</v>
      </c>
      <c r="K626" s="4" t="e">
        <f t="shared" si="142"/>
        <v>#N/A</v>
      </c>
      <c r="L626" t="e">
        <f t="shared" si="143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30"/>
        <v>0</v>
      </c>
      <c r="B627">
        <f t="shared" si="131"/>
        <v>0</v>
      </c>
      <c r="C627">
        <f t="shared" si="132"/>
        <v>0</v>
      </c>
      <c r="D627">
        <f t="shared" si="133"/>
        <v>0</v>
      </c>
      <c r="E627" t="e">
        <f t="shared" si="134"/>
        <v>#N/A</v>
      </c>
      <c r="F627">
        <f t="shared" si="135"/>
        <v>0</v>
      </c>
      <c r="G627">
        <f t="shared" si="136"/>
        <v>0</v>
      </c>
      <c r="H627">
        <f t="shared" si="137"/>
        <v>0</v>
      </c>
      <c r="I627">
        <f t="shared" si="138"/>
        <v>0</v>
      </c>
      <c r="J627">
        <f t="shared" si="139"/>
        <v>0</v>
      </c>
      <c r="K627" s="4" t="e">
        <f t="shared" si="142"/>
        <v>#N/A</v>
      </c>
      <c r="L627" t="e">
        <f t="shared" si="143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30"/>
        <v>0</v>
      </c>
      <c r="B628">
        <f t="shared" si="131"/>
        <v>0</v>
      </c>
      <c r="C628">
        <f t="shared" si="132"/>
        <v>0</v>
      </c>
      <c r="D628">
        <f t="shared" si="133"/>
        <v>0</v>
      </c>
      <c r="E628" t="e">
        <f t="shared" si="134"/>
        <v>#N/A</v>
      </c>
      <c r="F628">
        <f t="shared" si="135"/>
        <v>0</v>
      </c>
      <c r="G628">
        <f t="shared" si="136"/>
        <v>0</v>
      </c>
      <c r="H628">
        <f t="shared" si="137"/>
        <v>0</v>
      </c>
      <c r="I628">
        <f t="shared" si="138"/>
        <v>0</v>
      </c>
      <c r="J628">
        <f t="shared" si="139"/>
        <v>0</v>
      </c>
      <c r="K628" s="4" t="e">
        <f t="shared" si="142"/>
        <v>#N/A</v>
      </c>
      <c r="L628" t="e">
        <f t="shared" si="143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30"/>
        <v>0</v>
      </c>
      <c r="B629">
        <f t="shared" si="131"/>
        <v>0</v>
      </c>
      <c r="C629">
        <f t="shared" si="132"/>
        <v>0</v>
      </c>
      <c r="D629">
        <f t="shared" si="133"/>
        <v>0</v>
      </c>
      <c r="E629" t="e">
        <f t="shared" si="134"/>
        <v>#N/A</v>
      </c>
      <c r="F629">
        <f t="shared" si="135"/>
        <v>0</v>
      </c>
      <c r="G629">
        <f t="shared" si="136"/>
        <v>0</v>
      </c>
      <c r="H629">
        <f t="shared" si="137"/>
        <v>0</v>
      </c>
      <c r="I629">
        <f t="shared" si="138"/>
        <v>0</v>
      </c>
      <c r="J629">
        <f t="shared" si="139"/>
        <v>0</v>
      </c>
      <c r="K629" s="4" t="e">
        <f t="shared" si="142"/>
        <v>#N/A</v>
      </c>
      <c r="L629" t="e">
        <f t="shared" si="143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30"/>
        <v>0</v>
      </c>
      <c r="B630">
        <f t="shared" si="131"/>
        <v>0</v>
      </c>
      <c r="C630">
        <f t="shared" si="132"/>
        <v>0</v>
      </c>
      <c r="D630">
        <f t="shared" si="133"/>
        <v>0</v>
      </c>
      <c r="E630" t="e">
        <f t="shared" si="134"/>
        <v>#N/A</v>
      </c>
      <c r="F630">
        <f t="shared" si="135"/>
        <v>0</v>
      </c>
      <c r="G630">
        <f t="shared" si="136"/>
        <v>0</v>
      </c>
      <c r="H630">
        <f t="shared" si="137"/>
        <v>0</v>
      </c>
      <c r="I630">
        <f t="shared" si="138"/>
        <v>0</v>
      </c>
      <c r="J630">
        <f t="shared" si="139"/>
        <v>0</v>
      </c>
      <c r="K630" s="4" t="e">
        <f t="shared" si="142"/>
        <v>#N/A</v>
      </c>
      <c r="L630" t="e">
        <f t="shared" si="143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30"/>
        <v>0</v>
      </c>
      <c r="B631">
        <f t="shared" si="131"/>
        <v>0</v>
      </c>
      <c r="C631">
        <f t="shared" si="132"/>
        <v>0</v>
      </c>
      <c r="D631">
        <f t="shared" si="133"/>
        <v>0</v>
      </c>
      <c r="E631" t="e">
        <f t="shared" si="134"/>
        <v>#N/A</v>
      </c>
      <c r="F631">
        <f t="shared" si="135"/>
        <v>0</v>
      </c>
      <c r="G631">
        <f t="shared" si="136"/>
        <v>0</v>
      </c>
      <c r="H631">
        <f t="shared" si="137"/>
        <v>0</v>
      </c>
      <c r="I631">
        <f t="shared" si="138"/>
        <v>0</v>
      </c>
      <c r="J631">
        <f t="shared" si="139"/>
        <v>0</v>
      </c>
      <c r="K631" s="4" t="e">
        <f t="shared" si="142"/>
        <v>#N/A</v>
      </c>
      <c r="L631" t="e">
        <f t="shared" si="143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30"/>
        <v>0</v>
      </c>
      <c r="B632">
        <f t="shared" si="131"/>
        <v>0</v>
      </c>
      <c r="C632">
        <f t="shared" si="132"/>
        <v>0</v>
      </c>
      <c r="D632">
        <f t="shared" si="133"/>
        <v>0</v>
      </c>
      <c r="E632" t="e">
        <f t="shared" si="134"/>
        <v>#N/A</v>
      </c>
      <c r="F632">
        <f t="shared" si="135"/>
        <v>0</v>
      </c>
      <c r="G632">
        <f t="shared" si="136"/>
        <v>0</v>
      </c>
      <c r="H632">
        <f t="shared" si="137"/>
        <v>0</v>
      </c>
      <c r="I632">
        <f t="shared" si="138"/>
        <v>0</v>
      </c>
      <c r="J632">
        <f t="shared" si="139"/>
        <v>0</v>
      </c>
      <c r="K632" s="4" t="e">
        <f t="shared" si="142"/>
        <v>#N/A</v>
      </c>
      <c r="L632" t="e">
        <f t="shared" si="143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30"/>
        <v>0</v>
      </c>
      <c r="B633">
        <f t="shared" si="131"/>
        <v>0</v>
      </c>
      <c r="C633">
        <f t="shared" si="132"/>
        <v>0</v>
      </c>
      <c r="D633">
        <f t="shared" si="133"/>
        <v>0</v>
      </c>
      <c r="E633" t="e">
        <f t="shared" si="134"/>
        <v>#N/A</v>
      </c>
      <c r="F633">
        <f t="shared" si="135"/>
        <v>0</v>
      </c>
      <c r="G633">
        <f t="shared" si="136"/>
        <v>0</v>
      </c>
      <c r="H633">
        <f t="shared" si="137"/>
        <v>0</v>
      </c>
      <c r="I633">
        <f t="shared" si="138"/>
        <v>0</v>
      </c>
      <c r="J633">
        <f t="shared" si="139"/>
        <v>0</v>
      </c>
      <c r="K633" s="4" t="e">
        <f t="shared" si="142"/>
        <v>#N/A</v>
      </c>
      <c r="L633" t="e">
        <f t="shared" si="143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30"/>
        <v>0</v>
      </c>
      <c r="B634">
        <f t="shared" si="131"/>
        <v>0</v>
      </c>
      <c r="C634">
        <f t="shared" si="132"/>
        <v>0</v>
      </c>
      <c r="D634">
        <f t="shared" si="133"/>
        <v>0</v>
      </c>
      <c r="E634" t="e">
        <f t="shared" si="134"/>
        <v>#N/A</v>
      </c>
      <c r="F634">
        <f t="shared" si="135"/>
        <v>0</v>
      </c>
      <c r="G634">
        <f t="shared" si="136"/>
        <v>0</v>
      </c>
      <c r="H634">
        <f t="shared" si="137"/>
        <v>0</v>
      </c>
      <c r="I634">
        <f t="shared" si="138"/>
        <v>0</v>
      </c>
      <c r="J634">
        <f t="shared" si="139"/>
        <v>0</v>
      </c>
      <c r="K634" s="4" t="e">
        <f t="shared" si="142"/>
        <v>#N/A</v>
      </c>
      <c r="L634" t="e">
        <f t="shared" si="143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30"/>
        <v>0</v>
      </c>
      <c r="B635">
        <f t="shared" si="131"/>
        <v>0</v>
      </c>
      <c r="C635">
        <f t="shared" si="132"/>
        <v>0</v>
      </c>
      <c r="D635">
        <f t="shared" si="133"/>
        <v>0</v>
      </c>
      <c r="E635" t="e">
        <f t="shared" si="134"/>
        <v>#N/A</v>
      </c>
      <c r="F635">
        <f t="shared" si="135"/>
        <v>0</v>
      </c>
      <c r="G635">
        <f t="shared" si="136"/>
        <v>0</v>
      </c>
      <c r="H635">
        <f t="shared" si="137"/>
        <v>0</v>
      </c>
      <c r="I635">
        <f t="shared" si="138"/>
        <v>0</v>
      </c>
      <c r="J635">
        <f t="shared" si="139"/>
        <v>0</v>
      </c>
      <c r="K635" s="4" t="e">
        <f t="shared" si="142"/>
        <v>#N/A</v>
      </c>
      <c r="L635" t="e">
        <f t="shared" si="143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30"/>
        <v>0</v>
      </c>
      <c r="B636">
        <f t="shared" si="131"/>
        <v>0</v>
      </c>
      <c r="C636">
        <f t="shared" si="132"/>
        <v>0</v>
      </c>
      <c r="D636">
        <f t="shared" si="133"/>
        <v>0</v>
      </c>
      <c r="E636" t="e">
        <f t="shared" si="134"/>
        <v>#N/A</v>
      </c>
      <c r="F636">
        <f t="shared" si="135"/>
        <v>0</v>
      </c>
      <c r="G636">
        <f t="shared" si="136"/>
        <v>0</v>
      </c>
      <c r="H636">
        <f t="shared" si="137"/>
        <v>0</v>
      </c>
      <c r="I636">
        <f t="shared" si="138"/>
        <v>0</v>
      </c>
      <c r="J636">
        <f t="shared" si="139"/>
        <v>0</v>
      </c>
      <c r="K636" s="4" t="e">
        <f t="shared" si="142"/>
        <v>#N/A</v>
      </c>
      <c r="L636" t="e">
        <f t="shared" si="143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30"/>
        <v>0</v>
      </c>
      <c r="B637">
        <f t="shared" si="131"/>
        <v>0</v>
      </c>
      <c r="C637">
        <f t="shared" si="132"/>
        <v>0</v>
      </c>
      <c r="D637">
        <f t="shared" si="133"/>
        <v>0</v>
      </c>
      <c r="E637" t="e">
        <f t="shared" si="134"/>
        <v>#N/A</v>
      </c>
      <c r="F637">
        <f t="shared" si="135"/>
        <v>0</v>
      </c>
      <c r="G637">
        <f t="shared" si="136"/>
        <v>0</v>
      </c>
      <c r="H637">
        <f t="shared" si="137"/>
        <v>0</v>
      </c>
      <c r="I637">
        <f t="shared" si="138"/>
        <v>0</v>
      </c>
      <c r="J637">
        <f t="shared" si="139"/>
        <v>0</v>
      </c>
      <c r="K637" s="4" t="e">
        <f t="shared" si="142"/>
        <v>#N/A</v>
      </c>
      <c r="L637" t="e">
        <f t="shared" si="143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30"/>
        <v>0</v>
      </c>
      <c r="B638">
        <f t="shared" si="131"/>
        <v>0</v>
      </c>
      <c r="C638">
        <f t="shared" si="132"/>
        <v>0</v>
      </c>
      <c r="D638">
        <f t="shared" si="133"/>
        <v>0</v>
      </c>
      <c r="E638" t="e">
        <f t="shared" si="134"/>
        <v>#N/A</v>
      </c>
      <c r="F638">
        <f t="shared" si="135"/>
        <v>0</v>
      </c>
      <c r="G638">
        <f t="shared" si="136"/>
        <v>0</v>
      </c>
      <c r="H638">
        <f t="shared" si="137"/>
        <v>0</v>
      </c>
      <c r="I638">
        <f t="shared" si="138"/>
        <v>0</v>
      </c>
      <c r="J638">
        <f t="shared" si="139"/>
        <v>0</v>
      </c>
      <c r="K638" s="4" t="e">
        <f t="shared" si="142"/>
        <v>#N/A</v>
      </c>
      <c r="L638" t="e">
        <f t="shared" si="143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30"/>
        <v>0</v>
      </c>
      <c r="B639">
        <f t="shared" si="131"/>
        <v>0</v>
      </c>
      <c r="C639">
        <f t="shared" si="132"/>
        <v>0</v>
      </c>
      <c r="D639">
        <f t="shared" si="133"/>
        <v>0</v>
      </c>
      <c r="E639" t="e">
        <f t="shared" si="134"/>
        <v>#N/A</v>
      </c>
      <c r="F639">
        <f t="shared" si="135"/>
        <v>0</v>
      </c>
      <c r="G639">
        <f t="shared" si="136"/>
        <v>0</v>
      </c>
      <c r="H639">
        <f t="shared" si="137"/>
        <v>0</v>
      </c>
      <c r="I639">
        <f t="shared" si="138"/>
        <v>0</v>
      </c>
      <c r="J639">
        <f t="shared" si="139"/>
        <v>0</v>
      </c>
      <c r="K639" s="4" t="e">
        <f t="shared" si="142"/>
        <v>#N/A</v>
      </c>
      <c r="L639" t="e">
        <f t="shared" si="143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30"/>
        <v>0</v>
      </c>
      <c r="B640">
        <f t="shared" si="131"/>
        <v>0</v>
      </c>
      <c r="C640">
        <f t="shared" si="132"/>
        <v>0</v>
      </c>
      <c r="D640">
        <f t="shared" si="133"/>
        <v>0</v>
      </c>
      <c r="E640" t="e">
        <f t="shared" si="134"/>
        <v>#N/A</v>
      </c>
      <c r="F640">
        <f t="shared" si="135"/>
        <v>0</v>
      </c>
      <c r="G640">
        <f t="shared" si="136"/>
        <v>0</v>
      </c>
      <c r="H640">
        <f t="shared" si="137"/>
        <v>0</v>
      </c>
      <c r="I640">
        <f t="shared" si="138"/>
        <v>0</v>
      </c>
      <c r="J640">
        <f t="shared" si="139"/>
        <v>0</v>
      </c>
      <c r="K640" s="4" t="e">
        <f t="shared" si="142"/>
        <v>#N/A</v>
      </c>
      <c r="L640" t="e">
        <f t="shared" si="143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30"/>
        <v>0</v>
      </c>
      <c r="B641">
        <f t="shared" si="131"/>
        <v>0</v>
      </c>
      <c r="C641">
        <f t="shared" si="132"/>
        <v>0</v>
      </c>
      <c r="D641">
        <f t="shared" si="133"/>
        <v>0</v>
      </c>
      <c r="E641" t="e">
        <f t="shared" si="134"/>
        <v>#N/A</v>
      </c>
      <c r="F641">
        <f t="shared" si="135"/>
        <v>0</v>
      </c>
      <c r="G641">
        <f t="shared" si="136"/>
        <v>0</v>
      </c>
      <c r="H641">
        <f t="shared" si="137"/>
        <v>0</v>
      </c>
      <c r="I641">
        <f t="shared" si="138"/>
        <v>0</v>
      </c>
      <c r="J641">
        <f t="shared" si="139"/>
        <v>0</v>
      </c>
      <c r="K641" s="4" t="e">
        <f t="shared" si="142"/>
        <v>#N/A</v>
      </c>
      <c r="L641" t="e">
        <f t="shared" si="143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4">bd_campaign</f>
        <v>0</v>
      </c>
      <c r="B642">
        <f t="shared" ref="B642:B705" si="145">bd_site</f>
        <v>0</v>
      </c>
      <c r="C642">
        <f t="shared" ref="C642:C705" si="146">bd_placement</f>
        <v>0</v>
      </c>
      <c r="D642">
        <f t="shared" ref="D642:D705" si="147">bd_placementID</f>
        <v>0</v>
      </c>
      <c r="E642" t="e">
        <f t="shared" ref="E642:E705" si="148">VLOOKUP(CONCATENATE(bd_adtype,"_",bd_creativetype),tabela,2,FALSE)</f>
        <v>#N/A</v>
      </c>
      <c r="F642">
        <f t="shared" ref="F642:F705" si="149">bd_ad</f>
        <v>0</v>
      </c>
      <c r="G642">
        <f t="shared" ref="G642:G705" si="150">bd_adid</f>
        <v>0</v>
      </c>
      <c r="H642">
        <f t="shared" ref="H642:H705" si="151">bd_creativetype</f>
        <v>0</v>
      </c>
      <c r="I642">
        <f t="shared" ref="I642:I705" si="152">bd_impression</f>
        <v>0</v>
      </c>
      <c r="J642">
        <f t="shared" ref="J642:J705" si="153">bd_clicks</f>
        <v>0</v>
      </c>
      <c r="K642" s="4" t="e">
        <f t="shared" si="142"/>
        <v>#N/A</v>
      </c>
      <c r="L642" t="e">
        <f t="shared" si="143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4"/>
        <v>0</v>
      </c>
      <c r="B643">
        <f t="shared" si="145"/>
        <v>0</v>
      </c>
      <c r="C643">
        <f t="shared" si="146"/>
        <v>0</v>
      </c>
      <c r="D643">
        <f t="shared" si="147"/>
        <v>0</v>
      </c>
      <c r="E643" t="e">
        <f t="shared" si="148"/>
        <v>#N/A</v>
      </c>
      <c r="F643">
        <f t="shared" si="149"/>
        <v>0</v>
      </c>
      <c r="G643">
        <f t="shared" si="150"/>
        <v>0</v>
      </c>
      <c r="H643">
        <f t="shared" si="151"/>
        <v>0</v>
      </c>
      <c r="I643">
        <f t="shared" si="152"/>
        <v>0</v>
      </c>
      <c r="J643">
        <f t="shared" si="153"/>
        <v>0</v>
      </c>
      <c r="K643" s="4" t="e">
        <f t="shared" si="142"/>
        <v>#N/A</v>
      </c>
      <c r="L643" t="e">
        <f t="shared" si="143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4"/>
        <v>0</v>
      </c>
      <c r="B644">
        <f t="shared" si="145"/>
        <v>0</v>
      </c>
      <c r="C644">
        <f t="shared" si="146"/>
        <v>0</v>
      </c>
      <c r="D644">
        <f t="shared" si="147"/>
        <v>0</v>
      </c>
      <c r="E644" t="e">
        <f t="shared" si="148"/>
        <v>#N/A</v>
      </c>
      <c r="F644">
        <f t="shared" si="149"/>
        <v>0</v>
      </c>
      <c r="G644">
        <f t="shared" si="150"/>
        <v>0</v>
      </c>
      <c r="H644">
        <f t="shared" si="151"/>
        <v>0</v>
      </c>
      <c r="I644">
        <f t="shared" si="152"/>
        <v>0</v>
      </c>
      <c r="J644">
        <f t="shared" si="153"/>
        <v>0</v>
      </c>
      <c r="K644" s="4" t="e">
        <f t="shared" si="142"/>
        <v>#N/A</v>
      </c>
      <c r="L644" t="e">
        <f t="shared" si="143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4"/>
        <v>0</v>
      </c>
      <c r="B645">
        <f t="shared" si="145"/>
        <v>0</v>
      </c>
      <c r="C645">
        <f t="shared" si="146"/>
        <v>0</v>
      </c>
      <c r="D645">
        <f t="shared" si="147"/>
        <v>0</v>
      </c>
      <c r="E645" t="e">
        <f t="shared" si="148"/>
        <v>#N/A</v>
      </c>
      <c r="F645">
        <f t="shared" si="149"/>
        <v>0</v>
      </c>
      <c r="G645">
        <f t="shared" si="150"/>
        <v>0</v>
      </c>
      <c r="H645">
        <f t="shared" si="151"/>
        <v>0</v>
      </c>
      <c r="I645">
        <f t="shared" si="152"/>
        <v>0</v>
      </c>
      <c r="J645">
        <f t="shared" si="153"/>
        <v>0</v>
      </c>
      <c r="K645" s="4" t="e">
        <f t="shared" si="142"/>
        <v>#N/A</v>
      </c>
      <c r="L645" t="e">
        <f t="shared" si="143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4"/>
        <v>0</v>
      </c>
      <c r="B646">
        <f t="shared" si="145"/>
        <v>0</v>
      </c>
      <c r="C646">
        <f t="shared" si="146"/>
        <v>0</v>
      </c>
      <c r="D646">
        <f t="shared" si="147"/>
        <v>0</v>
      </c>
      <c r="E646" t="e">
        <f t="shared" si="148"/>
        <v>#N/A</v>
      </c>
      <c r="F646">
        <f t="shared" si="149"/>
        <v>0</v>
      </c>
      <c r="G646">
        <f t="shared" si="150"/>
        <v>0</v>
      </c>
      <c r="H646">
        <f t="shared" si="151"/>
        <v>0</v>
      </c>
      <c r="I646">
        <f t="shared" si="152"/>
        <v>0</v>
      </c>
      <c r="J646">
        <f t="shared" si="153"/>
        <v>0</v>
      </c>
      <c r="K646" s="4" t="e">
        <f t="shared" si="142"/>
        <v>#N/A</v>
      </c>
      <c r="L646" t="e">
        <f t="shared" si="143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4"/>
        <v>0</v>
      </c>
      <c r="B647">
        <f t="shared" si="145"/>
        <v>0</v>
      </c>
      <c r="C647">
        <f t="shared" si="146"/>
        <v>0</v>
      </c>
      <c r="D647">
        <f t="shared" si="147"/>
        <v>0</v>
      </c>
      <c r="E647" t="e">
        <f t="shared" si="148"/>
        <v>#N/A</v>
      </c>
      <c r="F647">
        <f t="shared" si="149"/>
        <v>0</v>
      </c>
      <c r="G647">
        <f t="shared" si="150"/>
        <v>0</v>
      </c>
      <c r="H647">
        <f t="shared" si="151"/>
        <v>0</v>
      </c>
      <c r="I647">
        <f t="shared" si="152"/>
        <v>0</v>
      </c>
      <c r="J647">
        <f t="shared" si="153"/>
        <v>0</v>
      </c>
      <c r="K647" s="4" t="e">
        <f t="shared" si="142"/>
        <v>#N/A</v>
      </c>
      <c r="L647" t="e">
        <f t="shared" si="143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4"/>
        <v>0</v>
      </c>
      <c r="B648">
        <f t="shared" si="145"/>
        <v>0</v>
      </c>
      <c r="C648">
        <f t="shared" si="146"/>
        <v>0</v>
      </c>
      <c r="D648">
        <f t="shared" si="147"/>
        <v>0</v>
      </c>
      <c r="E648" t="e">
        <f t="shared" si="148"/>
        <v>#N/A</v>
      </c>
      <c r="F648">
        <f t="shared" si="149"/>
        <v>0</v>
      </c>
      <c r="G648">
        <f t="shared" si="150"/>
        <v>0</v>
      </c>
      <c r="H648">
        <f t="shared" si="151"/>
        <v>0</v>
      </c>
      <c r="I648">
        <f t="shared" si="152"/>
        <v>0</v>
      </c>
      <c r="J648">
        <f t="shared" si="153"/>
        <v>0</v>
      </c>
      <c r="K648" s="4" t="e">
        <f t="shared" si="142"/>
        <v>#N/A</v>
      </c>
      <c r="L648" t="e">
        <f t="shared" si="143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4"/>
        <v>0</v>
      </c>
      <c r="B649">
        <f t="shared" si="145"/>
        <v>0</v>
      </c>
      <c r="C649">
        <f t="shared" si="146"/>
        <v>0</v>
      </c>
      <c r="D649">
        <f t="shared" si="147"/>
        <v>0</v>
      </c>
      <c r="E649" t="e">
        <f t="shared" si="148"/>
        <v>#N/A</v>
      </c>
      <c r="F649">
        <f t="shared" si="149"/>
        <v>0</v>
      </c>
      <c r="G649">
        <f t="shared" si="150"/>
        <v>0</v>
      </c>
      <c r="H649">
        <f t="shared" si="151"/>
        <v>0</v>
      </c>
      <c r="I649">
        <f t="shared" si="152"/>
        <v>0</v>
      </c>
      <c r="J649">
        <f t="shared" si="153"/>
        <v>0</v>
      </c>
      <c r="K649" s="4" t="e">
        <f t="shared" si="142"/>
        <v>#N/A</v>
      </c>
      <c r="L649" t="e">
        <f t="shared" si="143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4"/>
        <v>0</v>
      </c>
      <c r="B650">
        <f t="shared" si="145"/>
        <v>0</v>
      </c>
      <c r="C650">
        <f t="shared" si="146"/>
        <v>0</v>
      </c>
      <c r="D650">
        <f t="shared" si="147"/>
        <v>0</v>
      </c>
      <c r="E650" t="e">
        <f t="shared" si="148"/>
        <v>#N/A</v>
      </c>
      <c r="F650">
        <f t="shared" si="149"/>
        <v>0</v>
      </c>
      <c r="G650">
        <f t="shared" si="150"/>
        <v>0</v>
      </c>
      <c r="H650">
        <f t="shared" si="151"/>
        <v>0</v>
      </c>
      <c r="I650">
        <f t="shared" si="152"/>
        <v>0</v>
      </c>
      <c r="J650">
        <f t="shared" si="153"/>
        <v>0</v>
      </c>
      <c r="K650" s="4" t="e">
        <f t="shared" si="142"/>
        <v>#N/A</v>
      </c>
      <c r="L650" t="e">
        <f t="shared" si="143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4"/>
        <v>0</v>
      </c>
      <c r="B651">
        <f t="shared" si="145"/>
        <v>0</v>
      </c>
      <c r="C651">
        <f t="shared" si="146"/>
        <v>0</v>
      </c>
      <c r="D651">
        <f t="shared" si="147"/>
        <v>0</v>
      </c>
      <c r="E651" t="e">
        <f t="shared" si="148"/>
        <v>#N/A</v>
      </c>
      <c r="F651">
        <f t="shared" si="149"/>
        <v>0</v>
      </c>
      <c r="G651">
        <f t="shared" si="150"/>
        <v>0</v>
      </c>
      <c r="H651">
        <f t="shared" si="151"/>
        <v>0</v>
      </c>
      <c r="I651">
        <f t="shared" si="152"/>
        <v>0</v>
      </c>
      <c r="J651">
        <f t="shared" si="153"/>
        <v>0</v>
      </c>
      <c r="K651" s="4" t="e">
        <f t="shared" si="142"/>
        <v>#N/A</v>
      </c>
      <c r="L651" t="e">
        <f t="shared" si="143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4"/>
        <v>0</v>
      </c>
      <c r="B652">
        <f t="shared" si="145"/>
        <v>0</v>
      </c>
      <c r="C652">
        <f t="shared" si="146"/>
        <v>0</v>
      </c>
      <c r="D652">
        <f t="shared" si="147"/>
        <v>0</v>
      </c>
      <c r="E652" t="e">
        <f t="shared" si="148"/>
        <v>#N/A</v>
      </c>
      <c r="F652">
        <f t="shared" si="149"/>
        <v>0</v>
      </c>
      <c r="G652">
        <f t="shared" si="150"/>
        <v>0</v>
      </c>
      <c r="H652">
        <f t="shared" si="151"/>
        <v>0</v>
      </c>
      <c r="I652">
        <f t="shared" si="152"/>
        <v>0</v>
      </c>
      <c r="J652">
        <f t="shared" si="153"/>
        <v>0</v>
      </c>
      <c r="K652" s="4" t="e">
        <f t="shared" si="142"/>
        <v>#N/A</v>
      </c>
      <c r="L652" t="e">
        <f t="shared" si="143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4"/>
        <v>0</v>
      </c>
      <c r="B653">
        <f t="shared" si="145"/>
        <v>0</v>
      </c>
      <c r="C653">
        <f t="shared" si="146"/>
        <v>0</v>
      </c>
      <c r="D653">
        <f t="shared" si="147"/>
        <v>0</v>
      </c>
      <c r="E653" t="e">
        <f t="shared" si="148"/>
        <v>#N/A</v>
      </c>
      <c r="F653">
        <f t="shared" si="149"/>
        <v>0</v>
      </c>
      <c r="G653">
        <f t="shared" si="150"/>
        <v>0</v>
      </c>
      <c r="H653">
        <f t="shared" si="151"/>
        <v>0</v>
      </c>
      <c r="I653">
        <f t="shared" si="152"/>
        <v>0</v>
      </c>
      <c r="J653">
        <f t="shared" si="153"/>
        <v>0</v>
      </c>
      <c r="K653" s="4" t="e">
        <f t="shared" si="142"/>
        <v>#N/A</v>
      </c>
      <c r="L653" t="e">
        <f t="shared" si="143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4"/>
        <v>0</v>
      </c>
      <c r="B654">
        <f t="shared" si="145"/>
        <v>0</v>
      </c>
      <c r="C654">
        <f t="shared" si="146"/>
        <v>0</v>
      </c>
      <c r="D654">
        <f t="shared" si="147"/>
        <v>0</v>
      </c>
      <c r="E654" t="e">
        <f t="shared" si="148"/>
        <v>#N/A</v>
      </c>
      <c r="F654">
        <f t="shared" si="149"/>
        <v>0</v>
      </c>
      <c r="G654">
        <f t="shared" si="150"/>
        <v>0</v>
      </c>
      <c r="H654">
        <f t="shared" si="151"/>
        <v>0</v>
      </c>
      <c r="I654">
        <f t="shared" si="152"/>
        <v>0</v>
      </c>
      <c r="J654">
        <f t="shared" si="153"/>
        <v>0</v>
      </c>
      <c r="K654" s="4" t="e">
        <f t="shared" si="142"/>
        <v>#N/A</v>
      </c>
      <c r="L654" t="e">
        <f t="shared" si="143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4"/>
        <v>0</v>
      </c>
      <c r="B655">
        <f t="shared" si="145"/>
        <v>0</v>
      </c>
      <c r="C655">
        <f t="shared" si="146"/>
        <v>0</v>
      </c>
      <c r="D655">
        <f t="shared" si="147"/>
        <v>0</v>
      </c>
      <c r="E655" t="e">
        <f t="shared" si="148"/>
        <v>#N/A</v>
      </c>
      <c r="F655">
        <f t="shared" si="149"/>
        <v>0</v>
      </c>
      <c r="G655">
        <f t="shared" si="150"/>
        <v>0</v>
      </c>
      <c r="H655">
        <f t="shared" si="151"/>
        <v>0</v>
      </c>
      <c r="I655">
        <f t="shared" si="152"/>
        <v>0</v>
      </c>
      <c r="J655">
        <f t="shared" si="153"/>
        <v>0</v>
      </c>
      <c r="K655" s="4" t="e">
        <f t="shared" si="142"/>
        <v>#N/A</v>
      </c>
      <c r="L655" t="e">
        <f t="shared" si="143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4"/>
        <v>0</v>
      </c>
      <c r="B656">
        <f t="shared" si="145"/>
        <v>0</v>
      </c>
      <c r="C656">
        <f t="shared" si="146"/>
        <v>0</v>
      </c>
      <c r="D656">
        <f t="shared" si="147"/>
        <v>0</v>
      </c>
      <c r="E656" t="e">
        <f t="shared" si="148"/>
        <v>#N/A</v>
      </c>
      <c r="F656">
        <f t="shared" si="149"/>
        <v>0</v>
      </c>
      <c r="G656">
        <f t="shared" si="150"/>
        <v>0</v>
      </c>
      <c r="H656">
        <f t="shared" si="151"/>
        <v>0</v>
      </c>
      <c r="I656">
        <f t="shared" si="152"/>
        <v>0</v>
      </c>
      <c r="J656">
        <f t="shared" si="153"/>
        <v>0</v>
      </c>
      <c r="K656" s="4" t="e">
        <f t="shared" si="142"/>
        <v>#N/A</v>
      </c>
      <c r="L656" t="e">
        <f t="shared" si="143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4"/>
        <v>0</v>
      </c>
      <c r="B657">
        <f t="shared" si="145"/>
        <v>0</v>
      </c>
      <c r="C657">
        <f t="shared" si="146"/>
        <v>0</v>
      </c>
      <c r="D657">
        <f t="shared" si="147"/>
        <v>0</v>
      </c>
      <c r="E657" t="e">
        <f t="shared" si="148"/>
        <v>#N/A</v>
      </c>
      <c r="F657">
        <f t="shared" si="149"/>
        <v>0</v>
      </c>
      <c r="G657">
        <f t="shared" si="150"/>
        <v>0</v>
      </c>
      <c r="H657">
        <f t="shared" si="151"/>
        <v>0</v>
      </c>
      <c r="I657">
        <f t="shared" si="152"/>
        <v>0</v>
      </c>
      <c r="J657">
        <f t="shared" si="153"/>
        <v>0</v>
      </c>
      <c r="K657" s="4" t="e">
        <f t="shared" si="142"/>
        <v>#N/A</v>
      </c>
      <c r="L657" t="e">
        <f t="shared" si="143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4"/>
        <v>0</v>
      </c>
      <c r="B658">
        <f t="shared" si="145"/>
        <v>0</v>
      </c>
      <c r="C658">
        <f t="shared" si="146"/>
        <v>0</v>
      </c>
      <c r="D658">
        <f t="shared" si="147"/>
        <v>0</v>
      </c>
      <c r="E658" t="e">
        <f t="shared" si="148"/>
        <v>#N/A</v>
      </c>
      <c r="F658">
        <f t="shared" si="149"/>
        <v>0</v>
      </c>
      <c r="G658">
        <f t="shared" si="150"/>
        <v>0</v>
      </c>
      <c r="H658">
        <f t="shared" si="151"/>
        <v>0</v>
      </c>
      <c r="I658">
        <f t="shared" si="152"/>
        <v>0</v>
      </c>
      <c r="J658">
        <f t="shared" si="153"/>
        <v>0</v>
      </c>
      <c r="K658" s="4" t="e">
        <f t="shared" si="142"/>
        <v>#N/A</v>
      </c>
      <c r="L658" t="e">
        <f t="shared" si="143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4"/>
        <v>0</v>
      </c>
      <c r="B659">
        <f t="shared" si="145"/>
        <v>0</v>
      </c>
      <c r="C659">
        <f t="shared" si="146"/>
        <v>0</v>
      </c>
      <c r="D659">
        <f t="shared" si="147"/>
        <v>0</v>
      </c>
      <c r="E659" t="e">
        <f t="shared" si="148"/>
        <v>#N/A</v>
      </c>
      <c r="F659">
        <f t="shared" si="149"/>
        <v>0</v>
      </c>
      <c r="G659">
        <f t="shared" si="150"/>
        <v>0</v>
      </c>
      <c r="H659">
        <f t="shared" si="151"/>
        <v>0</v>
      </c>
      <c r="I659">
        <f t="shared" si="152"/>
        <v>0</v>
      </c>
      <c r="J659">
        <f t="shared" si="153"/>
        <v>0</v>
      </c>
      <c r="K659" s="4" t="e">
        <f t="shared" si="142"/>
        <v>#N/A</v>
      </c>
      <c r="L659" t="e">
        <f t="shared" si="143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4"/>
        <v>0</v>
      </c>
      <c r="B660">
        <f t="shared" si="145"/>
        <v>0</v>
      </c>
      <c r="C660">
        <f t="shared" si="146"/>
        <v>0</v>
      </c>
      <c r="D660">
        <f t="shared" si="147"/>
        <v>0</v>
      </c>
      <c r="E660" t="e">
        <f t="shared" si="148"/>
        <v>#N/A</v>
      </c>
      <c r="F660">
        <f t="shared" si="149"/>
        <v>0</v>
      </c>
      <c r="G660">
        <f t="shared" si="150"/>
        <v>0</v>
      </c>
      <c r="H660">
        <f t="shared" si="151"/>
        <v>0</v>
      </c>
      <c r="I660">
        <f t="shared" si="152"/>
        <v>0</v>
      </c>
      <c r="J660">
        <f t="shared" si="153"/>
        <v>0</v>
      </c>
      <c r="K660" s="4" t="e">
        <f t="shared" si="142"/>
        <v>#N/A</v>
      </c>
      <c r="L660" t="e">
        <f t="shared" si="143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4"/>
        <v>0</v>
      </c>
      <c r="B661">
        <f t="shared" si="145"/>
        <v>0</v>
      </c>
      <c r="C661">
        <f t="shared" si="146"/>
        <v>0</v>
      </c>
      <c r="D661">
        <f t="shared" si="147"/>
        <v>0</v>
      </c>
      <c r="E661" t="e">
        <f t="shared" si="148"/>
        <v>#N/A</v>
      </c>
      <c r="F661">
        <f t="shared" si="149"/>
        <v>0</v>
      </c>
      <c r="G661">
        <f t="shared" si="150"/>
        <v>0</v>
      </c>
      <c r="H661">
        <f t="shared" si="151"/>
        <v>0</v>
      </c>
      <c r="I661">
        <f t="shared" si="152"/>
        <v>0</v>
      </c>
      <c r="J661">
        <f t="shared" si="153"/>
        <v>0</v>
      </c>
      <c r="K661" s="4" t="e">
        <f t="shared" si="142"/>
        <v>#N/A</v>
      </c>
      <c r="L661" t="e">
        <f t="shared" si="143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4"/>
        <v>0</v>
      </c>
      <c r="B662">
        <f t="shared" si="145"/>
        <v>0</v>
      </c>
      <c r="C662">
        <f t="shared" si="146"/>
        <v>0</v>
      </c>
      <c r="D662">
        <f t="shared" si="147"/>
        <v>0</v>
      </c>
      <c r="E662" t="e">
        <f t="shared" si="148"/>
        <v>#N/A</v>
      </c>
      <c r="F662">
        <f t="shared" si="149"/>
        <v>0</v>
      </c>
      <c r="G662">
        <f t="shared" si="150"/>
        <v>0</v>
      </c>
      <c r="H662">
        <f t="shared" si="151"/>
        <v>0</v>
      </c>
      <c r="I662">
        <f t="shared" si="152"/>
        <v>0</v>
      </c>
      <c r="J662">
        <f t="shared" si="153"/>
        <v>0</v>
      </c>
      <c r="K662" s="4" t="e">
        <f t="shared" si="142"/>
        <v>#N/A</v>
      </c>
      <c r="L662" t="e">
        <f t="shared" si="143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4"/>
        <v>0</v>
      </c>
      <c r="B663">
        <f t="shared" si="145"/>
        <v>0</v>
      </c>
      <c r="C663">
        <f t="shared" si="146"/>
        <v>0</v>
      </c>
      <c r="D663">
        <f t="shared" si="147"/>
        <v>0</v>
      </c>
      <c r="E663" t="e">
        <f t="shared" si="148"/>
        <v>#N/A</v>
      </c>
      <c r="F663">
        <f t="shared" si="149"/>
        <v>0</v>
      </c>
      <c r="G663">
        <f t="shared" si="150"/>
        <v>0</v>
      </c>
      <c r="H663">
        <f t="shared" si="151"/>
        <v>0</v>
      </c>
      <c r="I663">
        <f t="shared" si="152"/>
        <v>0</v>
      </c>
      <c r="J663">
        <f t="shared" si="153"/>
        <v>0</v>
      </c>
      <c r="K663" s="4" t="e">
        <f t="shared" si="142"/>
        <v>#N/A</v>
      </c>
      <c r="L663" t="e">
        <f t="shared" si="143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4"/>
        <v>0</v>
      </c>
      <c r="B664">
        <f t="shared" si="145"/>
        <v>0</v>
      </c>
      <c r="C664">
        <f t="shared" si="146"/>
        <v>0</v>
      </c>
      <c r="D664">
        <f t="shared" si="147"/>
        <v>0</v>
      </c>
      <c r="E664" t="e">
        <f t="shared" si="148"/>
        <v>#N/A</v>
      </c>
      <c r="F664">
        <f t="shared" si="149"/>
        <v>0</v>
      </c>
      <c r="G664">
        <f t="shared" si="150"/>
        <v>0</v>
      </c>
      <c r="H664">
        <f t="shared" si="151"/>
        <v>0</v>
      </c>
      <c r="I664">
        <f t="shared" si="152"/>
        <v>0</v>
      </c>
      <c r="J664">
        <f t="shared" si="153"/>
        <v>0</v>
      </c>
      <c r="K664" s="4" t="e">
        <f t="shared" si="142"/>
        <v>#N/A</v>
      </c>
      <c r="L664" t="e">
        <f t="shared" si="143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4"/>
        <v>0</v>
      </c>
      <c r="B665">
        <f t="shared" si="145"/>
        <v>0</v>
      </c>
      <c r="C665">
        <f t="shared" si="146"/>
        <v>0</v>
      </c>
      <c r="D665">
        <f t="shared" si="147"/>
        <v>0</v>
      </c>
      <c r="E665" t="e">
        <f t="shared" si="148"/>
        <v>#N/A</v>
      </c>
      <c r="F665">
        <f t="shared" si="149"/>
        <v>0</v>
      </c>
      <c r="G665">
        <f t="shared" si="150"/>
        <v>0</v>
      </c>
      <c r="H665">
        <f t="shared" si="151"/>
        <v>0</v>
      </c>
      <c r="I665">
        <f t="shared" si="152"/>
        <v>0</v>
      </c>
      <c r="J665">
        <f t="shared" si="153"/>
        <v>0</v>
      </c>
      <c r="K665" s="4" t="e">
        <f t="shared" si="142"/>
        <v>#N/A</v>
      </c>
      <c r="L665" t="e">
        <f t="shared" si="143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4"/>
        <v>0</v>
      </c>
      <c r="B666">
        <f t="shared" si="145"/>
        <v>0</v>
      </c>
      <c r="C666">
        <f t="shared" si="146"/>
        <v>0</v>
      </c>
      <c r="D666">
        <f t="shared" si="147"/>
        <v>0</v>
      </c>
      <c r="E666" t="e">
        <f t="shared" si="148"/>
        <v>#N/A</v>
      </c>
      <c r="F666">
        <f t="shared" si="149"/>
        <v>0</v>
      </c>
      <c r="G666">
        <f t="shared" si="150"/>
        <v>0</v>
      </c>
      <c r="H666">
        <f t="shared" si="151"/>
        <v>0</v>
      </c>
      <c r="I666">
        <f t="shared" si="152"/>
        <v>0</v>
      </c>
      <c r="J666">
        <f t="shared" si="153"/>
        <v>0</v>
      </c>
      <c r="K666" s="4" t="e">
        <f t="shared" si="142"/>
        <v>#N/A</v>
      </c>
      <c r="L666" t="e">
        <f t="shared" si="143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4"/>
        <v>0</v>
      </c>
      <c r="B667">
        <f t="shared" si="145"/>
        <v>0</v>
      </c>
      <c r="C667">
        <f t="shared" si="146"/>
        <v>0</v>
      </c>
      <c r="D667">
        <f t="shared" si="147"/>
        <v>0</v>
      </c>
      <c r="E667" t="e">
        <f t="shared" si="148"/>
        <v>#N/A</v>
      </c>
      <c r="F667">
        <f t="shared" si="149"/>
        <v>0</v>
      </c>
      <c r="G667">
        <f t="shared" si="150"/>
        <v>0</v>
      </c>
      <c r="H667">
        <f t="shared" si="151"/>
        <v>0</v>
      </c>
      <c r="I667">
        <f t="shared" si="152"/>
        <v>0</v>
      </c>
      <c r="J667">
        <f t="shared" si="153"/>
        <v>0</v>
      </c>
      <c r="K667" s="4" t="e">
        <f t="shared" si="142"/>
        <v>#N/A</v>
      </c>
      <c r="L667" t="e">
        <f t="shared" si="143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4"/>
        <v>0</v>
      </c>
      <c r="B668">
        <f t="shared" si="145"/>
        <v>0</v>
      </c>
      <c r="C668">
        <f t="shared" si="146"/>
        <v>0</v>
      </c>
      <c r="D668">
        <f t="shared" si="147"/>
        <v>0</v>
      </c>
      <c r="E668" t="e">
        <f t="shared" si="148"/>
        <v>#N/A</v>
      </c>
      <c r="F668">
        <f t="shared" si="149"/>
        <v>0</v>
      </c>
      <c r="G668">
        <f t="shared" si="150"/>
        <v>0</v>
      </c>
      <c r="H668">
        <f t="shared" si="151"/>
        <v>0</v>
      </c>
      <c r="I668">
        <f t="shared" si="152"/>
        <v>0</v>
      </c>
      <c r="J668">
        <f t="shared" si="153"/>
        <v>0</v>
      </c>
      <c r="K668" s="4" t="e">
        <f t="shared" si="142"/>
        <v>#N/A</v>
      </c>
      <c r="L668" t="e">
        <f t="shared" si="143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4"/>
        <v>0</v>
      </c>
      <c r="B669">
        <f t="shared" si="145"/>
        <v>0</v>
      </c>
      <c r="C669">
        <f t="shared" si="146"/>
        <v>0</v>
      </c>
      <c r="D669">
        <f t="shared" si="147"/>
        <v>0</v>
      </c>
      <c r="E669" t="e">
        <f t="shared" si="148"/>
        <v>#N/A</v>
      </c>
      <c r="F669">
        <f t="shared" si="149"/>
        <v>0</v>
      </c>
      <c r="G669">
        <f t="shared" si="150"/>
        <v>0</v>
      </c>
      <c r="H669">
        <f t="shared" si="151"/>
        <v>0</v>
      </c>
      <c r="I669">
        <f t="shared" si="152"/>
        <v>0</v>
      </c>
      <c r="J669">
        <f t="shared" si="153"/>
        <v>0</v>
      </c>
      <c r="K669" s="4" t="e">
        <f t="shared" si="142"/>
        <v>#N/A</v>
      </c>
      <c r="L669" t="e">
        <f t="shared" si="143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4"/>
        <v>0</v>
      </c>
      <c r="B670">
        <f t="shared" si="145"/>
        <v>0</v>
      </c>
      <c r="C670">
        <f t="shared" si="146"/>
        <v>0</v>
      </c>
      <c r="D670">
        <f t="shared" si="147"/>
        <v>0</v>
      </c>
      <c r="E670" t="e">
        <f t="shared" si="148"/>
        <v>#N/A</v>
      </c>
      <c r="F670">
        <f t="shared" si="149"/>
        <v>0</v>
      </c>
      <c r="G670">
        <f t="shared" si="150"/>
        <v>0</v>
      </c>
      <c r="H670">
        <f t="shared" si="151"/>
        <v>0</v>
      </c>
      <c r="I670">
        <f t="shared" si="152"/>
        <v>0</v>
      </c>
      <c r="J670">
        <f t="shared" si="153"/>
        <v>0</v>
      </c>
      <c r="K670" s="4" t="e">
        <f t="shared" si="142"/>
        <v>#N/A</v>
      </c>
      <c r="L670" t="e">
        <f t="shared" si="143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4"/>
        <v>0</v>
      </c>
      <c r="B671">
        <f t="shared" si="145"/>
        <v>0</v>
      </c>
      <c r="C671">
        <f t="shared" si="146"/>
        <v>0</v>
      </c>
      <c r="D671">
        <f t="shared" si="147"/>
        <v>0</v>
      </c>
      <c r="E671" t="e">
        <f t="shared" si="148"/>
        <v>#N/A</v>
      </c>
      <c r="F671">
        <f t="shared" si="149"/>
        <v>0</v>
      </c>
      <c r="G671">
        <f t="shared" si="150"/>
        <v>0</v>
      </c>
      <c r="H671">
        <f t="shared" si="151"/>
        <v>0</v>
      </c>
      <c r="I671">
        <f t="shared" si="152"/>
        <v>0</v>
      </c>
      <c r="J671">
        <f t="shared" si="153"/>
        <v>0</v>
      </c>
      <c r="K671" s="4" t="e">
        <f t="shared" si="142"/>
        <v>#N/A</v>
      </c>
      <c r="L671" t="e">
        <f t="shared" si="143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4"/>
        <v>0</v>
      </c>
      <c r="B672">
        <f t="shared" si="145"/>
        <v>0</v>
      </c>
      <c r="C672">
        <f t="shared" si="146"/>
        <v>0</v>
      </c>
      <c r="D672">
        <f t="shared" si="147"/>
        <v>0</v>
      </c>
      <c r="E672" t="e">
        <f t="shared" si="148"/>
        <v>#N/A</v>
      </c>
      <c r="F672">
        <f t="shared" si="149"/>
        <v>0</v>
      </c>
      <c r="G672">
        <f t="shared" si="150"/>
        <v>0</v>
      </c>
      <c r="H672">
        <f t="shared" si="151"/>
        <v>0</v>
      </c>
      <c r="I672">
        <f t="shared" si="152"/>
        <v>0</v>
      </c>
      <c r="J672">
        <f t="shared" si="153"/>
        <v>0</v>
      </c>
      <c r="K672" s="4" t="e">
        <f t="shared" si="142"/>
        <v>#N/A</v>
      </c>
      <c r="L672" t="e">
        <f t="shared" si="143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4"/>
        <v>0</v>
      </c>
      <c r="B673">
        <f t="shared" si="145"/>
        <v>0</v>
      </c>
      <c r="C673">
        <f t="shared" si="146"/>
        <v>0</v>
      </c>
      <c r="D673">
        <f t="shared" si="147"/>
        <v>0</v>
      </c>
      <c r="E673" t="e">
        <f t="shared" si="148"/>
        <v>#N/A</v>
      </c>
      <c r="F673">
        <f t="shared" si="149"/>
        <v>0</v>
      </c>
      <c r="G673">
        <f t="shared" si="150"/>
        <v>0</v>
      </c>
      <c r="H673">
        <f t="shared" si="151"/>
        <v>0</v>
      </c>
      <c r="I673">
        <f t="shared" si="152"/>
        <v>0</v>
      </c>
      <c r="J673">
        <f t="shared" si="153"/>
        <v>0</v>
      </c>
      <c r="K673" s="4" t="e">
        <f t="shared" si="142"/>
        <v>#N/A</v>
      </c>
      <c r="L673" t="e">
        <f t="shared" si="143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4"/>
        <v>0</v>
      </c>
      <c r="B674">
        <f t="shared" si="145"/>
        <v>0</v>
      </c>
      <c r="C674">
        <f t="shared" si="146"/>
        <v>0</v>
      </c>
      <c r="D674">
        <f t="shared" si="147"/>
        <v>0</v>
      </c>
      <c r="E674" t="e">
        <f t="shared" si="148"/>
        <v>#N/A</v>
      </c>
      <c r="F674">
        <f t="shared" si="149"/>
        <v>0</v>
      </c>
      <c r="G674">
        <f t="shared" si="150"/>
        <v>0</v>
      </c>
      <c r="H674">
        <f t="shared" si="151"/>
        <v>0</v>
      </c>
      <c r="I674">
        <f t="shared" si="152"/>
        <v>0</v>
      </c>
      <c r="J674">
        <f t="shared" si="153"/>
        <v>0</v>
      </c>
      <c r="K674" s="4" t="e">
        <f t="shared" si="142"/>
        <v>#N/A</v>
      </c>
      <c r="L674" t="e">
        <f t="shared" si="143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4"/>
        <v>0</v>
      </c>
      <c r="B675">
        <f t="shared" si="145"/>
        <v>0</v>
      </c>
      <c r="C675">
        <f t="shared" si="146"/>
        <v>0</v>
      </c>
      <c r="D675">
        <f t="shared" si="147"/>
        <v>0</v>
      </c>
      <c r="E675" t="e">
        <f t="shared" si="148"/>
        <v>#N/A</v>
      </c>
      <c r="F675">
        <f t="shared" si="149"/>
        <v>0</v>
      </c>
      <c r="G675">
        <f t="shared" si="150"/>
        <v>0</v>
      </c>
      <c r="H675">
        <f t="shared" si="151"/>
        <v>0</v>
      </c>
      <c r="I675">
        <f t="shared" si="152"/>
        <v>0</v>
      </c>
      <c r="J675">
        <f t="shared" si="153"/>
        <v>0</v>
      </c>
      <c r="K675" s="4" t="e">
        <f t="shared" si="142"/>
        <v>#N/A</v>
      </c>
      <c r="L675" t="e">
        <f t="shared" si="143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4"/>
        <v>0</v>
      </c>
      <c r="B676">
        <f t="shared" si="145"/>
        <v>0</v>
      </c>
      <c r="C676">
        <f t="shared" si="146"/>
        <v>0</v>
      </c>
      <c r="D676">
        <f t="shared" si="147"/>
        <v>0</v>
      </c>
      <c r="E676" t="e">
        <f t="shared" si="148"/>
        <v>#N/A</v>
      </c>
      <c r="F676">
        <f t="shared" si="149"/>
        <v>0</v>
      </c>
      <c r="G676">
        <f t="shared" si="150"/>
        <v>0</v>
      </c>
      <c r="H676">
        <f t="shared" si="151"/>
        <v>0</v>
      </c>
      <c r="I676">
        <f t="shared" si="152"/>
        <v>0</v>
      </c>
      <c r="J676">
        <f t="shared" si="153"/>
        <v>0</v>
      </c>
      <c r="K676" s="4" t="e">
        <f t="shared" si="142"/>
        <v>#N/A</v>
      </c>
      <c r="L676" t="e">
        <f t="shared" si="143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4"/>
        <v>0</v>
      </c>
      <c r="B677">
        <f t="shared" si="145"/>
        <v>0</v>
      </c>
      <c r="C677">
        <f t="shared" si="146"/>
        <v>0</v>
      </c>
      <c r="D677">
        <f t="shared" si="147"/>
        <v>0</v>
      </c>
      <c r="E677" t="e">
        <f t="shared" si="148"/>
        <v>#N/A</v>
      </c>
      <c r="F677">
        <f t="shared" si="149"/>
        <v>0</v>
      </c>
      <c r="G677">
        <f t="shared" si="150"/>
        <v>0</v>
      </c>
      <c r="H677">
        <f t="shared" si="151"/>
        <v>0</v>
      </c>
      <c r="I677">
        <f t="shared" si="152"/>
        <v>0</v>
      </c>
      <c r="J677">
        <f t="shared" si="153"/>
        <v>0</v>
      </c>
      <c r="K677" s="4" t="e">
        <f t="shared" si="142"/>
        <v>#N/A</v>
      </c>
      <c r="L677" t="e">
        <f t="shared" si="143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4"/>
        <v>0</v>
      </c>
      <c r="B678">
        <f t="shared" si="145"/>
        <v>0</v>
      </c>
      <c r="C678">
        <f t="shared" si="146"/>
        <v>0</v>
      </c>
      <c r="D678">
        <f t="shared" si="147"/>
        <v>0</v>
      </c>
      <c r="E678" t="e">
        <f t="shared" si="148"/>
        <v>#N/A</v>
      </c>
      <c r="F678">
        <f t="shared" si="149"/>
        <v>0</v>
      </c>
      <c r="G678">
        <f t="shared" si="150"/>
        <v>0</v>
      </c>
      <c r="H678">
        <f t="shared" si="151"/>
        <v>0</v>
      </c>
      <c r="I678">
        <f t="shared" si="152"/>
        <v>0</v>
      </c>
      <c r="J678">
        <f t="shared" si="153"/>
        <v>0</v>
      </c>
      <c r="K678" s="4" t="e">
        <f t="shared" si="142"/>
        <v>#N/A</v>
      </c>
      <c r="L678" t="e">
        <f t="shared" si="143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4"/>
        <v>0</v>
      </c>
      <c r="B679">
        <f t="shared" si="145"/>
        <v>0</v>
      </c>
      <c r="C679">
        <f t="shared" si="146"/>
        <v>0</v>
      </c>
      <c r="D679">
        <f t="shared" si="147"/>
        <v>0</v>
      </c>
      <c r="E679" t="e">
        <f t="shared" si="148"/>
        <v>#N/A</v>
      </c>
      <c r="F679">
        <f t="shared" si="149"/>
        <v>0</v>
      </c>
      <c r="G679">
        <f t="shared" si="150"/>
        <v>0</v>
      </c>
      <c r="H679">
        <f t="shared" si="151"/>
        <v>0</v>
      </c>
      <c r="I679">
        <f t="shared" si="152"/>
        <v>0</v>
      </c>
      <c r="J679">
        <f t="shared" si="153"/>
        <v>0</v>
      </c>
      <c r="K679" s="4" t="e">
        <f t="shared" si="142"/>
        <v>#N/A</v>
      </c>
      <c r="L679" t="e">
        <f t="shared" si="143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4"/>
        <v>0</v>
      </c>
      <c r="B680">
        <f t="shared" si="145"/>
        <v>0</v>
      </c>
      <c r="C680">
        <f t="shared" si="146"/>
        <v>0</v>
      </c>
      <c r="D680">
        <f t="shared" si="147"/>
        <v>0</v>
      </c>
      <c r="E680" t="e">
        <f t="shared" si="148"/>
        <v>#N/A</v>
      </c>
      <c r="F680">
        <f t="shared" si="149"/>
        <v>0</v>
      </c>
      <c r="G680">
        <f t="shared" si="150"/>
        <v>0</v>
      </c>
      <c r="H680">
        <f t="shared" si="151"/>
        <v>0</v>
      </c>
      <c r="I680">
        <f t="shared" si="152"/>
        <v>0</v>
      </c>
      <c r="J680">
        <f t="shared" si="153"/>
        <v>0</v>
      </c>
      <c r="K680" s="4" t="e">
        <f t="shared" si="142"/>
        <v>#N/A</v>
      </c>
      <c r="L680" t="e">
        <f t="shared" si="143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4"/>
        <v>0</v>
      </c>
      <c r="B681">
        <f t="shared" si="145"/>
        <v>0</v>
      </c>
      <c r="C681">
        <f t="shared" si="146"/>
        <v>0</v>
      </c>
      <c r="D681">
        <f t="shared" si="147"/>
        <v>0</v>
      </c>
      <c r="E681" t="e">
        <f t="shared" si="148"/>
        <v>#N/A</v>
      </c>
      <c r="F681">
        <f t="shared" si="149"/>
        <v>0</v>
      </c>
      <c r="G681">
        <f t="shared" si="150"/>
        <v>0</v>
      </c>
      <c r="H681">
        <f t="shared" si="151"/>
        <v>0</v>
      </c>
      <c r="I681">
        <f t="shared" si="152"/>
        <v>0</v>
      </c>
      <c r="J681">
        <f t="shared" si="153"/>
        <v>0</v>
      </c>
      <c r="K681" s="4" t="e">
        <f t="shared" si="142"/>
        <v>#N/A</v>
      </c>
      <c r="L681" t="e">
        <f t="shared" si="143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4"/>
        <v>0</v>
      </c>
      <c r="B682">
        <f t="shared" si="145"/>
        <v>0</v>
      </c>
      <c r="C682">
        <f t="shared" si="146"/>
        <v>0</v>
      </c>
      <c r="D682">
        <f t="shared" si="147"/>
        <v>0</v>
      </c>
      <c r="E682" t="e">
        <f t="shared" si="148"/>
        <v>#N/A</v>
      </c>
      <c r="F682">
        <f t="shared" si="149"/>
        <v>0</v>
      </c>
      <c r="G682">
        <f t="shared" si="150"/>
        <v>0</v>
      </c>
      <c r="H682">
        <f t="shared" si="151"/>
        <v>0</v>
      </c>
      <c r="I682">
        <f t="shared" si="152"/>
        <v>0</v>
      </c>
      <c r="J682">
        <f t="shared" si="153"/>
        <v>0</v>
      </c>
      <c r="K682" s="4" t="e">
        <f t="shared" si="142"/>
        <v>#N/A</v>
      </c>
      <c r="L682" t="e">
        <f t="shared" si="143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4"/>
        <v>0</v>
      </c>
      <c r="B683">
        <f t="shared" si="145"/>
        <v>0</v>
      </c>
      <c r="C683">
        <f t="shared" si="146"/>
        <v>0</v>
      </c>
      <c r="D683">
        <f t="shared" si="147"/>
        <v>0</v>
      </c>
      <c r="E683" t="e">
        <f t="shared" si="148"/>
        <v>#N/A</v>
      </c>
      <c r="F683">
        <f t="shared" si="149"/>
        <v>0</v>
      </c>
      <c r="G683">
        <f t="shared" si="150"/>
        <v>0</v>
      </c>
      <c r="H683">
        <f t="shared" si="151"/>
        <v>0</v>
      </c>
      <c r="I683">
        <f t="shared" si="152"/>
        <v>0</v>
      </c>
      <c r="J683">
        <f t="shared" si="153"/>
        <v>0</v>
      </c>
      <c r="K683" s="4" t="e">
        <f t="shared" si="142"/>
        <v>#N/A</v>
      </c>
      <c r="L683" t="e">
        <f t="shared" si="143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4"/>
        <v>0</v>
      </c>
      <c r="B684">
        <f t="shared" si="145"/>
        <v>0</v>
      </c>
      <c r="C684">
        <f t="shared" si="146"/>
        <v>0</v>
      </c>
      <c r="D684">
        <f t="shared" si="147"/>
        <v>0</v>
      </c>
      <c r="E684" t="e">
        <f t="shared" si="148"/>
        <v>#N/A</v>
      </c>
      <c r="F684">
        <f t="shared" si="149"/>
        <v>0</v>
      </c>
      <c r="G684">
        <f t="shared" si="150"/>
        <v>0</v>
      </c>
      <c r="H684">
        <f t="shared" si="151"/>
        <v>0</v>
      </c>
      <c r="I684">
        <f t="shared" si="152"/>
        <v>0</v>
      </c>
      <c r="J684">
        <f t="shared" si="153"/>
        <v>0</v>
      </c>
      <c r="K684" s="4" t="e">
        <f t="shared" ref="K684:K747" si="156">IF(LEFT(B684,3)="DBM",0,VLOOKUP(E684,tabela,2,FALSE))</f>
        <v>#N/A</v>
      </c>
      <c r="L684" t="e">
        <f t="shared" ref="L684:L747" si="157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4"/>
        <v>0</v>
      </c>
      <c r="B685">
        <f t="shared" si="145"/>
        <v>0</v>
      </c>
      <c r="C685">
        <f t="shared" si="146"/>
        <v>0</v>
      </c>
      <c r="D685">
        <f t="shared" si="147"/>
        <v>0</v>
      </c>
      <c r="E685" t="e">
        <f t="shared" si="148"/>
        <v>#N/A</v>
      </c>
      <c r="F685">
        <f t="shared" si="149"/>
        <v>0</v>
      </c>
      <c r="G685">
        <f t="shared" si="150"/>
        <v>0</v>
      </c>
      <c r="H685">
        <f t="shared" si="151"/>
        <v>0</v>
      </c>
      <c r="I685">
        <f t="shared" si="152"/>
        <v>0</v>
      </c>
      <c r="J685">
        <f t="shared" si="153"/>
        <v>0</v>
      </c>
      <c r="K685" s="4" t="e">
        <f t="shared" si="156"/>
        <v>#N/A</v>
      </c>
      <c r="L685" t="e">
        <f t="shared" si="157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4"/>
        <v>0</v>
      </c>
      <c r="B686">
        <f t="shared" si="145"/>
        <v>0</v>
      </c>
      <c r="C686">
        <f t="shared" si="146"/>
        <v>0</v>
      </c>
      <c r="D686">
        <f t="shared" si="147"/>
        <v>0</v>
      </c>
      <c r="E686" t="e">
        <f t="shared" si="148"/>
        <v>#N/A</v>
      </c>
      <c r="F686">
        <f t="shared" si="149"/>
        <v>0</v>
      </c>
      <c r="G686">
        <f t="shared" si="150"/>
        <v>0</v>
      </c>
      <c r="H686">
        <f t="shared" si="151"/>
        <v>0</v>
      </c>
      <c r="I686">
        <f t="shared" si="152"/>
        <v>0</v>
      </c>
      <c r="J686">
        <f t="shared" si="153"/>
        <v>0</v>
      </c>
      <c r="K686" s="4" t="e">
        <f t="shared" si="156"/>
        <v>#N/A</v>
      </c>
      <c r="L686" t="e">
        <f t="shared" si="157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4"/>
        <v>0</v>
      </c>
      <c r="B687">
        <f t="shared" si="145"/>
        <v>0</v>
      </c>
      <c r="C687">
        <f t="shared" si="146"/>
        <v>0</v>
      </c>
      <c r="D687">
        <f t="shared" si="147"/>
        <v>0</v>
      </c>
      <c r="E687" t="e">
        <f t="shared" si="148"/>
        <v>#N/A</v>
      </c>
      <c r="F687">
        <f t="shared" si="149"/>
        <v>0</v>
      </c>
      <c r="G687">
        <f t="shared" si="150"/>
        <v>0</v>
      </c>
      <c r="H687">
        <f t="shared" si="151"/>
        <v>0</v>
      </c>
      <c r="I687">
        <f t="shared" si="152"/>
        <v>0</v>
      </c>
      <c r="J687">
        <f t="shared" si="153"/>
        <v>0</v>
      </c>
      <c r="K687" s="4" t="e">
        <f t="shared" si="156"/>
        <v>#N/A</v>
      </c>
      <c r="L687" t="e">
        <f t="shared" si="157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4"/>
        <v>0</v>
      </c>
      <c r="B688">
        <f t="shared" si="145"/>
        <v>0</v>
      </c>
      <c r="C688">
        <f t="shared" si="146"/>
        <v>0</v>
      </c>
      <c r="D688">
        <f t="shared" si="147"/>
        <v>0</v>
      </c>
      <c r="E688" t="e">
        <f t="shared" si="148"/>
        <v>#N/A</v>
      </c>
      <c r="F688">
        <f t="shared" si="149"/>
        <v>0</v>
      </c>
      <c r="G688">
        <f t="shared" si="150"/>
        <v>0</v>
      </c>
      <c r="H688">
        <f t="shared" si="151"/>
        <v>0</v>
      </c>
      <c r="I688">
        <f t="shared" si="152"/>
        <v>0</v>
      </c>
      <c r="J688">
        <f t="shared" si="153"/>
        <v>0</v>
      </c>
      <c r="K688" s="4" t="e">
        <f t="shared" si="156"/>
        <v>#N/A</v>
      </c>
      <c r="L688" t="e">
        <f t="shared" si="157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4"/>
        <v>0</v>
      </c>
      <c r="B689">
        <f t="shared" si="145"/>
        <v>0</v>
      </c>
      <c r="C689">
        <f t="shared" si="146"/>
        <v>0</v>
      </c>
      <c r="D689">
        <f t="shared" si="147"/>
        <v>0</v>
      </c>
      <c r="E689" t="e">
        <f t="shared" si="148"/>
        <v>#N/A</v>
      </c>
      <c r="F689">
        <f t="shared" si="149"/>
        <v>0</v>
      </c>
      <c r="G689">
        <f t="shared" si="150"/>
        <v>0</v>
      </c>
      <c r="H689">
        <f t="shared" si="151"/>
        <v>0</v>
      </c>
      <c r="I689">
        <f t="shared" si="152"/>
        <v>0</v>
      </c>
      <c r="J689">
        <f t="shared" si="153"/>
        <v>0</v>
      </c>
      <c r="K689" s="4" t="e">
        <f t="shared" si="156"/>
        <v>#N/A</v>
      </c>
      <c r="L689" t="e">
        <f t="shared" si="157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4"/>
        <v>0</v>
      </c>
      <c r="B690">
        <f t="shared" si="145"/>
        <v>0</v>
      </c>
      <c r="C690">
        <f t="shared" si="146"/>
        <v>0</v>
      </c>
      <c r="D690">
        <f t="shared" si="147"/>
        <v>0</v>
      </c>
      <c r="E690" t="e">
        <f t="shared" si="148"/>
        <v>#N/A</v>
      </c>
      <c r="F690">
        <f t="shared" si="149"/>
        <v>0</v>
      </c>
      <c r="G690">
        <f t="shared" si="150"/>
        <v>0</v>
      </c>
      <c r="H690">
        <f t="shared" si="151"/>
        <v>0</v>
      </c>
      <c r="I690">
        <f t="shared" si="152"/>
        <v>0</v>
      </c>
      <c r="J690">
        <f t="shared" si="153"/>
        <v>0</v>
      </c>
      <c r="K690" s="4" t="e">
        <f t="shared" si="156"/>
        <v>#N/A</v>
      </c>
      <c r="L690" t="e">
        <f t="shared" si="157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4"/>
        <v>0</v>
      </c>
      <c r="B691">
        <f t="shared" si="145"/>
        <v>0</v>
      </c>
      <c r="C691">
        <f t="shared" si="146"/>
        <v>0</v>
      </c>
      <c r="D691">
        <f t="shared" si="147"/>
        <v>0</v>
      </c>
      <c r="E691" t="e">
        <f t="shared" si="148"/>
        <v>#N/A</v>
      </c>
      <c r="F691">
        <f t="shared" si="149"/>
        <v>0</v>
      </c>
      <c r="G691">
        <f t="shared" si="150"/>
        <v>0</v>
      </c>
      <c r="H691">
        <f t="shared" si="151"/>
        <v>0</v>
      </c>
      <c r="I691">
        <f t="shared" si="152"/>
        <v>0</v>
      </c>
      <c r="J691">
        <f t="shared" si="153"/>
        <v>0</v>
      </c>
      <c r="K691" s="4" t="e">
        <f t="shared" si="156"/>
        <v>#N/A</v>
      </c>
      <c r="L691" t="e">
        <f t="shared" si="157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4"/>
        <v>0</v>
      </c>
      <c r="B692">
        <f t="shared" si="145"/>
        <v>0</v>
      </c>
      <c r="C692">
        <f t="shared" si="146"/>
        <v>0</v>
      </c>
      <c r="D692">
        <f t="shared" si="147"/>
        <v>0</v>
      </c>
      <c r="E692" t="e">
        <f t="shared" si="148"/>
        <v>#N/A</v>
      </c>
      <c r="F692">
        <f t="shared" si="149"/>
        <v>0</v>
      </c>
      <c r="G692">
        <f t="shared" si="150"/>
        <v>0</v>
      </c>
      <c r="H692">
        <f t="shared" si="151"/>
        <v>0</v>
      </c>
      <c r="I692">
        <f t="shared" si="152"/>
        <v>0</v>
      </c>
      <c r="J692">
        <f t="shared" si="153"/>
        <v>0</v>
      </c>
      <c r="K692" s="4" t="e">
        <f t="shared" si="156"/>
        <v>#N/A</v>
      </c>
      <c r="L692" t="e">
        <f t="shared" si="157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A163" sqref="A163:XFD163"/>
    </sheetView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59623918</v>
      </c>
      <c r="E4" s="14">
        <f>C4*D4/1000</f>
        <v>5366.1526199999998</v>
      </c>
      <c r="G4" s="23" t="s">
        <v>55</v>
      </c>
      <c r="H4" s="23" t="s">
        <v>56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  <c r="G5" s="14">
        <f>SUM(total_adops_filtrada)</f>
        <v>7249.5926200000122</v>
      </c>
      <c r="H5" s="14">
        <f>SUM(total_ferramenta_filtrada)</f>
        <v>2607.2356675999972</v>
      </c>
    </row>
    <row r="6" spans="1:8">
      <c r="B6" s="13" t="s">
        <v>10</v>
      </c>
      <c r="C6" s="2">
        <v>0.02</v>
      </c>
      <c r="D6" s="2">
        <f>SUMIF(adtype_filtrada,$B6,clicks_filtrada)</f>
        <v>94172</v>
      </c>
      <c r="E6" s="14">
        <f>C6*D6</f>
        <v>1883.44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7249.5926199999994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/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57</v>
      </c>
      <c r="C20" t="s">
        <v>50</v>
      </c>
      <c r="D20" t="s">
        <v>58</v>
      </c>
      <c r="E20" t="s">
        <v>59</v>
      </c>
      <c r="F20" t="s">
        <v>10</v>
      </c>
      <c r="G20" t="s">
        <v>58</v>
      </c>
      <c r="H20" t="s">
        <v>60</v>
      </c>
      <c r="I20" t="s">
        <v>32</v>
      </c>
      <c r="J20">
        <v>0</v>
      </c>
      <c r="K20">
        <v>74</v>
      </c>
      <c r="L20" s="4">
        <v>3.5000000000000001E-3</v>
      </c>
      <c r="M20">
        <v>0.02</v>
      </c>
      <c r="N20" s="4">
        <v>0.25900000000000001</v>
      </c>
      <c r="O20" s="4">
        <v>1.48</v>
      </c>
    </row>
    <row r="21" spans="1:15">
      <c r="B21" t="s">
        <v>57</v>
      </c>
      <c r="C21" t="s">
        <v>50</v>
      </c>
      <c r="D21" t="s">
        <v>61</v>
      </c>
      <c r="E21" t="s">
        <v>62</v>
      </c>
      <c r="F21" t="s">
        <v>10</v>
      </c>
      <c r="G21" t="s">
        <v>61</v>
      </c>
      <c r="H21" t="s">
        <v>63</v>
      </c>
      <c r="I21" t="s">
        <v>32</v>
      </c>
      <c r="J21">
        <v>0</v>
      </c>
      <c r="K21">
        <v>24</v>
      </c>
      <c r="L21" s="4">
        <v>3.5000000000000001E-3</v>
      </c>
      <c r="M21">
        <v>0.02</v>
      </c>
      <c r="N21" s="4">
        <v>8.4000000000000005E-2</v>
      </c>
      <c r="O21" s="4">
        <v>0.48</v>
      </c>
    </row>
    <row r="22" spans="1:15">
      <c r="B22" t="s">
        <v>57</v>
      </c>
      <c r="C22" t="s">
        <v>50</v>
      </c>
      <c r="D22" t="s">
        <v>64</v>
      </c>
      <c r="E22" t="s">
        <v>65</v>
      </c>
      <c r="F22" t="s">
        <v>10</v>
      </c>
      <c r="G22" t="s">
        <v>64</v>
      </c>
      <c r="H22" t="s">
        <v>66</v>
      </c>
      <c r="I22" t="s">
        <v>32</v>
      </c>
      <c r="J22">
        <v>0</v>
      </c>
      <c r="K22">
        <v>2</v>
      </c>
      <c r="L22" s="4">
        <v>3.5000000000000001E-3</v>
      </c>
      <c r="M22">
        <v>0.02</v>
      </c>
      <c r="N22" s="4">
        <v>7.0000000000000001E-3</v>
      </c>
      <c r="O22" s="4">
        <v>0.04</v>
      </c>
    </row>
    <row r="23" spans="1:15">
      <c r="B23" t="s">
        <v>57</v>
      </c>
      <c r="C23" t="s">
        <v>50</v>
      </c>
      <c r="D23" t="s">
        <v>67</v>
      </c>
      <c r="E23" t="s">
        <v>68</v>
      </c>
      <c r="F23" t="s">
        <v>10</v>
      </c>
      <c r="G23" t="s">
        <v>67</v>
      </c>
      <c r="H23" t="s">
        <v>69</v>
      </c>
      <c r="I23" t="s">
        <v>32</v>
      </c>
      <c r="J23">
        <v>0</v>
      </c>
      <c r="K23">
        <v>27</v>
      </c>
      <c r="L23" s="4">
        <v>3.5000000000000001E-3</v>
      </c>
      <c r="M23">
        <v>0.02</v>
      </c>
      <c r="N23" s="4">
        <v>9.4500000000000001E-2</v>
      </c>
      <c r="O23" s="4">
        <v>0.54</v>
      </c>
    </row>
    <row r="24" spans="1:15">
      <c r="B24" t="s">
        <v>57</v>
      </c>
      <c r="C24" t="s">
        <v>50</v>
      </c>
      <c r="D24" t="s">
        <v>70</v>
      </c>
      <c r="E24" t="s">
        <v>71</v>
      </c>
      <c r="F24" t="s">
        <v>10</v>
      </c>
      <c r="G24" t="s">
        <v>70</v>
      </c>
      <c r="H24" t="s">
        <v>72</v>
      </c>
      <c r="I24" t="s">
        <v>32</v>
      </c>
      <c r="J24">
        <v>0</v>
      </c>
      <c r="K24">
        <v>161</v>
      </c>
      <c r="L24" s="4">
        <v>3.5000000000000001E-3</v>
      </c>
      <c r="M24">
        <v>0.02</v>
      </c>
      <c r="N24" s="4">
        <v>0.5635</v>
      </c>
      <c r="O24" s="4">
        <v>3.22</v>
      </c>
    </row>
    <row r="25" spans="1:15">
      <c r="B25" t="s">
        <v>57</v>
      </c>
      <c r="C25" t="s">
        <v>50</v>
      </c>
      <c r="D25" t="s">
        <v>73</v>
      </c>
      <c r="E25" t="s">
        <v>74</v>
      </c>
      <c r="F25" t="s">
        <v>10</v>
      </c>
      <c r="G25" t="s">
        <v>73</v>
      </c>
      <c r="H25" t="s">
        <v>75</v>
      </c>
      <c r="I25" t="s">
        <v>32</v>
      </c>
      <c r="J25">
        <v>0</v>
      </c>
      <c r="K25">
        <v>35</v>
      </c>
      <c r="L25" s="4">
        <v>3.5000000000000001E-3</v>
      </c>
      <c r="M25">
        <v>0.02</v>
      </c>
      <c r="N25" s="4">
        <v>0.1225</v>
      </c>
      <c r="O25" s="4">
        <v>0.70000000000000007</v>
      </c>
    </row>
    <row r="26" spans="1:15">
      <c r="B26" t="s">
        <v>57</v>
      </c>
      <c r="C26" t="s">
        <v>50</v>
      </c>
      <c r="D26" t="s">
        <v>76</v>
      </c>
      <c r="E26" t="s">
        <v>77</v>
      </c>
      <c r="F26" t="s">
        <v>10</v>
      </c>
      <c r="G26" t="s">
        <v>76</v>
      </c>
      <c r="H26" t="s">
        <v>78</v>
      </c>
      <c r="I26" t="s">
        <v>32</v>
      </c>
      <c r="J26">
        <v>0</v>
      </c>
      <c r="K26">
        <v>2</v>
      </c>
      <c r="L26" s="4">
        <v>3.5000000000000001E-3</v>
      </c>
      <c r="M26">
        <v>0.02</v>
      </c>
      <c r="N26" s="4">
        <v>7.0000000000000001E-3</v>
      </c>
      <c r="O26" s="4">
        <v>0.04</v>
      </c>
    </row>
    <row r="27" spans="1:15">
      <c r="B27" t="s">
        <v>57</v>
      </c>
      <c r="C27" t="s">
        <v>52</v>
      </c>
      <c r="D27" t="s">
        <v>79</v>
      </c>
      <c r="E27" t="s">
        <v>80</v>
      </c>
      <c r="F27" t="s">
        <v>12</v>
      </c>
      <c r="G27" t="s">
        <v>79</v>
      </c>
      <c r="H27" t="s">
        <v>81</v>
      </c>
      <c r="I27" t="s">
        <v>31</v>
      </c>
      <c r="J27">
        <v>7</v>
      </c>
      <c r="K27">
        <v>0</v>
      </c>
      <c r="L27" s="4">
        <v>3.8199999999999998E-2</v>
      </c>
      <c r="M27">
        <v>0.09</v>
      </c>
      <c r="N27" s="4">
        <v>2.6739999999999999E-4</v>
      </c>
      <c r="O27" s="4">
        <v>6.3000000000000003E-4</v>
      </c>
    </row>
    <row r="28" spans="1:15">
      <c r="B28" t="s">
        <v>57</v>
      </c>
      <c r="C28" t="s">
        <v>52</v>
      </c>
      <c r="D28" t="s">
        <v>82</v>
      </c>
      <c r="E28" t="s">
        <v>83</v>
      </c>
      <c r="F28" t="s">
        <v>10</v>
      </c>
      <c r="G28" t="s">
        <v>82</v>
      </c>
      <c r="H28" t="s">
        <v>84</v>
      </c>
      <c r="I28" t="s">
        <v>32</v>
      </c>
      <c r="J28">
        <v>34</v>
      </c>
      <c r="K28">
        <v>0</v>
      </c>
      <c r="L28" s="4">
        <v>3.5000000000000001E-3</v>
      </c>
      <c r="M28">
        <v>0.02</v>
      </c>
      <c r="N28" s="4">
        <v>0</v>
      </c>
      <c r="O28" s="4">
        <v>0</v>
      </c>
    </row>
    <row r="29" spans="1:15">
      <c r="B29" t="s">
        <v>57</v>
      </c>
      <c r="C29" t="s">
        <v>52</v>
      </c>
      <c r="D29" t="s">
        <v>85</v>
      </c>
      <c r="E29" t="s">
        <v>86</v>
      </c>
      <c r="F29" t="s">
        <v>10</v>
      </c>
      <c r="G29" t="s">
        <v>85</v>
      </c>
      <c r="H29" t="s">
        <v>87</v>
      </c>
      <c r="I29" t="s">
        <v>32</v>
      </c>
      <c r="J29">
        <v>25</v>
      </c>
      <c r="K29">
        <v>0</v>
      </c>
      <c r="L29" s="4">
        <v>3.5000000000000001E-3</v>
      </c>
      <c r="M29">
        <v>0.02</v>
      </c>
      <c r="N29" s="4">
        <v>0</v>
      </c>
      <c r="O29" s="4">
        <v>0</v>
      </c>
    </row>
    <row r="30" spans="1:15">
      <c r="B30" t="s">
        <v>57</v>
      </c>
      <c r="C30" t="s">
        <v>52</v>
      </c>
      <c r="D30" t="s">
        <v>88</v>
      </c>
      <c r="E30" t="s">
        <v>89</v>
      </c>
      <c r="F30" t="s">
        <v>10</v>
      </c>
      <c r="G30" t="s">
        <v>88</v>
      </c>
      <c r="H30" t="s">
        <v>90</v>
      </c>
      <c r="I30" t="s">
        <v>32</v>
      </c>
      <c r="J30">
        <v>350</v>
      </c>
      <c r="K30">
        <v>63</v>
      </c>
      <c r="L30" s="4">
        <v>3.5000000000000001E-3</v>
      </c>
      <c r="M30">
        <v>0.02</v>
      </c>
      <c r="N30" s="4">
        <v>0.2205</v>
      </c>
      <c r="O30" s="4">
        <v>1.26</v>
      </c>
    </row>
    <row r="31" spans="1:15">
      <c r="B31" t="s">
        <v>57</v>
      </c>
      <c r="C31" t="s">
        <v>52</v>
      </c>
      <c r="D31" t="s">
        <v>91</v>
      </c>
      <c r="E31" t="s">
        <v>92</v>
      </c>
      <c r="F31" t="s">
        <v>10</v>
      </c>
      <c r="G31" t="s">
        <v>91</v>
      </c>
      <c r="H31" t="s">
        <v>93</v>
      </c>
      <c r="I31" t="s">
        <v>32</v>
      </c>
      <c r="J31">
        <v>66</v>
      </c>
      <c r="K31">
        <v>14</v>
      </c>
      <c r="L31" s="4">
        <v>3.5000000000000001E-3</v>
      </c>
      <c r="M31">
        <v>0.02</v>
      </c>
      <c r="N31" s="4">
        <v>4.9000000000000002E-2</v>
      </c>
      <c r="O31" s="4">
        <v>0.28000000000000003</v>
      </c>
    </row>
    <row r="32" spans="1:15">
      <c r="B32" t="s">
        <v>57</v>
      </c>
      <c r="C32" t="s">
        <v>52</v>
      </c>
      <c r="D32" t="s">
        <v>94</v>
      </c>
      <c r="E32" t="s">
        <v>95</v>
      </c>
      <c r="F32" t="s">
        <v>10</v>
      </c>
      <c r="G32" t="s">
        <v>94</v>
      </c>
      <c r="H32" t="s">
        <v>96</v>
      </c>
      <c r="I32" t="s">
        <v>32</v>
      </c>
      <c r="J32">
        <v>4</v>
      </c>
      <c r="K32">
        <v>0</v>
      </c>
      <c r="L32" s="4">
        <v>3.5000000000000001E-3</v>
      </c>
      <c r="M32">
        <v>0.02</v>
      </c>
      <c r="N32" s="4">
        <v>0</v>
      </c>
      <c r="O32" s="4">
        <v>0</v>
      </c>
    </row>
    <row r="33" spans="2:15">
      <c r="B33" t="s">
        <v>57</v>
      </c>
      <c r="C33" t="s">
        <v>52</v>
      </c>
      <c r="D33" t="s">
        <v>97</v>
      </c>
      <c r="E33" t="s">
        <v>98</v>
      </c>
      <c r="F33" t="s">
        <v>10</v>
      </c>
      <c r="G33" t="s">
        <v>97</v>
      </c>
      <c r="H33" t="s">
        <v>99</v>
      </c>
      <c r="I33" t="s">
        <v>32</v>
      </c>
      <c r="J33">
        <v>73</v>
      </c>
      <c r="K33">
        <v>49</v>
      </c>
      <c r="L33" s="4">
        <v>3.5000000000000001E-3</v>
      </c>
      <c r="M33">
        <v>0.02</v>
      </c>
      <c r="N33" s="4">
        <v>0.17150000000000001</v>
      </c>
      <c r="O33" s="4">
        <v>0.98</v>
      </c>
    </row>
    <row r="34" spans="2:15">
      <c r="B34" t="s">
        <v>57</v>
      </c>
      <c r="C34" t="s">
        <v>100</v>
      </c>
      <c r="D34" t="s">
        <v>101</v>
      </c>
      <c r="E34" t="s">
        <v>102</v>
      </c>
      <c r="F34" t="s">
        <v>10</v>
      </c>
      <c r="G34" t="s">
        <v>101</v>
      </c>
      <c r="H34" t="s">
        <v>103</v>
      </c>
      <c r="I34" t="s">
        <v>32</v>
      </c>
      <c r="J34">
        <v>0</v>
      </c>
      <c r="K34">
        <v>10610</v>
      </c>
      <c r="L34" s="4">
        <v>3.5000000000000001E-3</v>
      </c>
      <c r="M34">
        <v>0.02</v>
      </c>
      <c r="N34" s="4">
        <v>37.134999999999998</v>
      </c>
      <c r="O34" s="4">
        <v>212.20000000000002</v>
      </c>
    </row>
    <row r="35" spans="2:15">
      <c r="B35" t="s">
        <v>282</v>
      </c>
      <c r="C35" t="s">
        <v>50</v>
      </c>
      <c r="D35" t="s">
        <v>283</v>
      </c>
      <c r="E35" t="s">
        <v>284</v>
      </c>
      <c r="F35" t="s">
        <v>10</v>
      </c>
      <c r="G35" t="s">
        <v>283</v>
      </c>
      <c r="H35" t="s">
        <v>285</v>
      </c>
      <c r="I35" t="s">
        <v>32</v>
      </c>
      <c r="J35">
        <v>0</v>
      </c>
      <c r="K35">
        <v>5389</v>
      </c>
      <c r="L35" s="4">
        <v>3.5000000000000001E-3</v>
      </c>
      <c r="M35">
        <v>0.02</v>
      </c>
      <c r="N35" s="4">
        <v>18.861499999999999</v>
      </c>
      <c r="O35" s="4">
        <v>107.78</v>
      </c>
    </row>
    <row r="36" spans="2:15">
      <c r="B36" t="s">
        <v>282</v>
      </c>
      <c r="C36" t="s">
        <v>50</v>
      </c>
      <c r="D36" t="s">
        <v>286</v>
      </c>
      <c r="E36" t="s">
        <v>287</v>
      </c>
      <c r="F36" t="s">
        <v>10</v>
      </c>
      <c r="G36" t="s">
        <v>286</v>
      </c>
      <c r="H36" t="s">
        <v>288</v>
      </c>
      <c r="I36" t="s">
        <v>32</v>
      </c>
      <c r="J36">
        <v>0</v>
      </c>
      <c r="K36">
        <v>1026</v>
      </c>
      <c r="L36" s="4">
        <v>3.5000000000000001E-3</v>
      </c>
      <c r="M36">
        <v>0.02</v>
      </c>
      <c r="N36" s="4">
        <v>3.5910000000000002</v>
      </c>
      <c r="O36" s="4">
        <v>20.52</v>
      </c>
    </row>
    <row r="37" spans="2:15">
      <c r="B37" t="s">
        <v>282</v>
      </c>
      <c r="C37" t="s">
        <v>50</v>
      </c>
      <c r="D37" t="s">
        <v>289</v>
      </c>
      <c r="E37" t="s">
        <v>290</v>
      </c>
      <c r="F37" t="s">
        <v>10</v>
      </c>
      <c r="G37" t="s">
        <v>289</v>
      </c>
      <c r="H37" t="s">
        <v>291</v>
      </c>
      <c r="I37" t="s">
        <v>32</v>
      </c>
      <c r="J37">
        <v>0</v>
      </c>
      <c r="K37">
        <v>2609</v>
      </c>
      <c r="L37" s="4">
        <v>3.5000000000000001E-3</v>
      </c>
      <c r="M37">
        <v>0.02</v>
      </c>
      <c r="N37" s="4">
        <v>9.1315000000000008</v>
      </c>
      <c r="O37" s="4">
        <v>52.18</v>
      </c>
    </row>
    <row r="38" spans="2:15">
      <c r="B38" t="s">
        <v>282</v>
      </c>
      <c r="C38" t="s">
        <v>50</v>
      </c>
      <c r="D38" t="s">
        <v>292</v>
      </c>
      <c r="E38" t="s">
        <v>293</v>
      </c>
      <c r="F38" t="s">
        <v>10</v>
      </c>
      <c r="G38" t="s">
        <v>292</v>
      </c>
      <c r="H38" t="s">
        <v>294</v>
      </c>
      <c r="I38" t="s">
        <v>32</v>
      </c>
      <c r="J38">
        <v>0</v>
      </c>
      <c r="K38">
        <v>12086</v>
      </c>
      <c r="L38" s="4">
        <v>3.5000000000000001E-3</v>
      </c>
      <c r="M38">
        <v>0.02</v>
      </c>
      <c r="N38" s="4">
        <v>42.301000000000002</v>
      </c>
      <c r="O38" s="4">
        <v>241.72</v>
      </c>
    </row>
    <row r="39" spans="2:15">
      <c r="B39" t="s">
        <v>282</v>
      </c>
      <c r="C39" t="s">
        <v>50</v>
      </c>
      <c r="D39" t="s">
        <v>295</v>
      </c>
      <c r="E39" t="s">
        <v>296</v>
      </c>
      <c r="F39" t="s">
        <v>10</v>
      </c>
      <c r="G39" t="s">
        <v>295</v>
      </c>
      <c r="H39" t="s">
        <v>297</v>
      </c>
      <c r="I39" t="s">
        <v>32</v>
      </c>
      <c r="J39">
        <v>0</v>
      </c>
      <c r="K39">
        <v>4557</v>
      </c>
      <c r="L39" s="4">
        <v>3.5000000000000001E-3</v>
      </c>
      <c r="M39">
        <v>0.02</v>
      </c>
      <c r="N39" s="4">
        <v>15.9495</v>
      </c>
      <c r="O39" s="4">
        <v>91.14</v>
      </c>
    </row>
    <row r="40" spans="2:15">
      <c r="B40" t="s">
        <v>282</v>
      </c>
      <c r="C40" t="s">
        <v>49</v>
      </c>
      <c r="D40" t="s">
        <v>298</v>
      </c>
      <c r="E40" t="s">
        <v>299</v>
      </c>
      <c r="F40" t="s">
        <v>12</v>
      </c>
      <c r="G40" t="s">
        <v>298</v>
      </c>
      <c r="H40" t="s">
        <v>300</v>
      </c>
      <c r="I40" t="s">
        <v>31</v>
      </c>
      <c r="J40">
        <v>864973</v>
      </c>
      <c r="K40">
        <v>1238</v>
      </c>
      <c r="L40" s="4">
        <v>3.8199999999999998E-2</v>
      </c>
      <c r="M40">
        <v>0.09</v>
      </c>
      <c r="N40" s="4">
        <v>33.041968599999997</v>
      </c>
      <c r="O40" s="4">
        <v>77.84756999999999</v>
      </c>
    </row>
    <row r="41" spans="2:15">
      <c r="B41" t="s">
        <v>282</v>
      </c>
      <c r="C41" t="s">
        <v>49</v>
      </c>
      <c r="D41" t="s">
        <v>301</v>
      </c>
      <c r="E41" t="s">
        <v>302</v>
      </c>
      <c r="F41" t="s">
        <v>12</v>
      </c>
      <c r="G41" t="s">
        <v>301</v>
      </c>
      <c r="H41" t="s">
        <v>303</v>
      </c>
      <c r="I41" t="s">
        <v>31</v>
      </c>
      <c r="J41">
        <v>23934755</v>
      </c>
      <c r="K41">
        <v>109810</v>
      </c>
      <c r="L41" s="4">
        <v>3.8199999999999998E-2</v>
      </c>
      <c r="M41">
        <v>0.09</v>
      </c>
      <c r="N41" s="4">
        <v>914.30764099999999</v>
      </c>
      <c r="O41" s="4">
        <v>2154.1279499999996</v>
      </c>
    </row>
    <row r="42" spans="2:15">
      <c r="B42" t="s">
        <v>282</v>
      </c>
      <c r="C42" t="s">
        <v>49</v>
      </c>
      <c r="D42" t="s">
        <v>304</v>
      </c>
      <c r="E42" t="s">
        <v>305</v>
      </c>
      <c r="F42" t="s">
        <v>12</v>
      </c>
      <c r="G42" t="s">
        <v>304</v>
      </c>
      <c r="H42" t="s">
        <v>306</v>
      </c>
      <c r="I42" t="s">
        <v>31</v>
      </c>
      <c r="J42">
        <v>19554254</v>
      </c>
      <c r="K42">
        <v>31982</v>
      </c>
      <c r="L42" s="4">
        <v>3.8199999999999998E-2</v>
      </c>
      <c r="M42">
        <v>0.09</v>
      </c>
      <c r="N42" s="4">
        <v>746.97250279999992</v>
      </c>
      <c r="O42" s="4">
        <v>1759.8828599999999</v>
      </c>
    </row>
    <row r="43" spans="2:15">
      <c r="B43" t="s">
        <v>282</v>
      </c>
      <c r="C43" t="s">
        <v>49</v>
      </c>
      <c r="D43" t="s">
        <v>307</v>
      </c>
      <c r="E43" t="s">
        <v>308</v>
      </c>
      <c r="F43" t="s">
        <v>12</v>
      </c>
      <c r="G43" t="s">
        <v>307</v>
      </c>
      <c r="H43" t="s">
        <v>309</v>
      </c>
      <c r="I43" t="s">
        <v>31</v>
      </c>
      <c r="J43">
        <v>2554601</v>
      </c>
      <c r="K43">
        <v>5294</v>
      </c>
      <c r="L43" s="4">
        <v>3.8199999999999998E-2</v>
      </c>
      <c r="M43">
        <v>0.09</v>
      </c>
      <c r="N43" s="4">
        <v>97.585758200000001</v>
      </c>
      <c r="O43" s="4">
        <v>229.91408999999999</v>
      </c>
    </row>
    <row r="44" spans="2:15">
      <c r="B44" t="s">
        <v>282</v>
      </c>
      <c r="C44" t="s">
        <v>49</v>
      </c>
      <c r="D44" t="s">
        <v>310</v>
      </c>
      <c r="E44" t="s">
        <v>311</v>
      </c>
      <c r="F44" t="s">
        <v>12</v>
      </c>
      <c r="G44" t="s">
        <v>310</v>
      </c>
      <c r="H44" t="s">
        <v>312</v>
      </c>
      <c r="I44" t="s">
        <v>31</v>
      </c>
      <c r="J44">
        <v>1908682</v>
      </c>
      <c r="K44">
        <v>8234</v>
      </c>
      <c r="L44" s="4">
        <v>3.8199999999999998E-2</v>
      </c>
      <c r="M44">
        <v>0.09</v>
      </c>
      <c r="N44" s="4">
        <v>72.911652399999994</v>
      </c>
      <c r="O44" s="4">
        <v>171.78138000000001</v>
      </c>
    </row>
    <row r="45" spans="2:15">
      <c r="B45" t="s">
        <v>282</v>
      </c>
      <c r="C45" t="s">
        <v>49</v>
      </c>
      <c r="D45" t="s">
        <v>313</v>
      </c>
      <c r="E45" t="s">
        <v>314</v>
      </c>
      <c r="F45" t="s">
        <v>12</v>
      </c>
      <c r="G45" t="s">
        <v>313</v>
      </c>
      <c r="H45" t="s">
        <v>315</v>
      </c>
      <c r="I45" t="s">
        <v>31</v>
      </c>
      <c r="J45">
        <v>273319</v>
      </c>
      <c r="K45">
        <v>111</v>
      </c>
      <c r="L45" s="4">
        <v>3.8199999999999998E-2</v>
      </c>
      <c r="M45">
        <v>0.09</v>
      </c>
      <c r="N45" s="4">
        <v>10.4407858</v>
      </c>
      <c r="O45" s="4">
        <v>24.598710000000001</v>
      </c>
    </row>
    <row r="46" spans="2:15">
      <c r="B46" t="s">
        <v>282</v>
      </c>
      <c r="C46" t="s">
        <v>49</v>
      </c>
      <c r="D46" t="s">
        <v>316</v>
      </c>
      <c r="E46" t="s">
        <v>317</v>
      </c>
      <c r="F46" t="s">
        <v>10</v>
      </c>
      <c r="G46" t="s">
        <v>316</v>
      </c>
      <c r="H46" t="s">
        <v>318</v>
      </c>
      <c r="I46" t="s">
        <v>32</v>
      </c>
      <c r="J46">
        <v>0</v>
      </c>
      <c r="K46">
        <v>2</v>
      </c>
      <c r="L46" s="4">
        <v>3.5000000000000001E-3</v>
      </c>
      <c r="M46">
        <v>0.02</v>
      </c>
      <c r="N46" s="4">
        <v>7.0000000000000001E-3</v>
      </c>
      <c r="O46" s="4">
        <v>0.04</v>
      </c>
    </row>
    <row r="47" spans="2:15">
      <c r="B47" t="s">
        <v>282</v>
      </c>
      <c r="C47" t="s">
        <v>49</v>
      </c>
      <c r="D47" t="s">
        <v>319</v>
      </c>
      <c r="E47" t="s">
        <v>320</v>
      </c>
      <c r="F47" t="s">
        <v>10</v>
      </c>
      <c r="G47" t="s">
        <v>319</v>
      </c>
      <c r="H47" t="s">
        <v>321</v>
      </c>
      <c r="I47" t="s">
        <v>32</v>
      </c>
      <c r="J47">
        <v>0</v>
      </c>
      <c r="K47">
        <v>2</v>
      </c>
      <c r="L47" s="4">
        <v>3.5000000000000001E-3</v>
      </c>
      <c r="M47">
        <v>0.02</v>
      </c>
      <c r="N47" s="4">
        <v>7.0000000000000001E-3</v>
      </c>
      <c r="O47" s="4">
        <v>0.04</v>
      </c>
    </row>
    <row r="48" spans="2:15">
      <c r="B48" t="s">
        <v>282</v>
      </c>
      <c r="C48" t="s">
        <v>49</v>
      </c>
      <c r="D48" t="s">
        <v>322</v>
      </c>
      <c r="E48" t="s">
        <v>323</v>
      </c>
      <c r="F48" t="s">
        <v>10</v>
      </c>
      <c r="G48" t="s">
        <v>322</v>
      </c>
      <c r="H48" t="s">
        <v>324</v>
      </c>
      <c r="I48" t="s">
        <v>32</v>
      </c>
      <c r="J48">
        <v>0</v>
      </c>
      <c r="K48">
        <v>1</v>
      </c>
      <c r="L48" s="4">
        <v>3.5000000000000001E-3</v>
      </c>
      <c r="M48">
        <v>0.02</v>
      </c>
      <c r="N48" s="4">
        <v>3.5000000000000001E-3</v>
      </c>
      <c r="O48" s="4">
        <v>0.02</v>
      </c>
    </row>
    <row r="49" spans="2:15">
      <c r="B49" t="s">
        <v>282</v>
      </c>
      <c r="C49" t="s">
        <v>49</v>
      </c>
      <c r="D49" t="s">
        <v>325</v>
      </c>
      <c r="E49" t="s">
        <v>326</v>
      </c>
      <c r="F49" t="s">
        <v>10</v>
      </c>
      <c r="G49" t="s">
        <v>325</v>
      </c>
      <c r="H49" t="s">
        <v>327</v>
      </c>
      <c r="I49" t="s">
        <v>32</v>
      </c>
      <c r="J49">
        <v>0</v>
      </c>
      <c r="K49">
        <v>3</v>
      </c>
      <c r="L49" s="4">
        <v>3.5000000000000001E-3</v>
      </c>
      <c r="M49">
        <v>0.02</v>
      </c>
      <c r="N49" s="4">
        <v>1.0500000000000001E-2</v>
      </c>
      <c r="O49" s="4">
        <v>0.06</v>
      </c>
    </row>
    <row r="50" spans="2:15">
      <c r="B50" t="s">
        <v>282</v>
      </c>
      <c r="C50" t="s">
        <v>49</v>
      </c>
      <c r="D50" t="s">
        <v>328</v>
      </c>
      <c r="E50" t="s">
        <v>329</v>
      </c>
      <c r="F50" t="s">
        <v>10</v>
      </c>
      <c r="G50" t="s">
        <v>328</v>
      </c>
      <c r="H50" t="s">
        <v>330</v>
      </c>
      <c r="I50" t="s">
        <v>32</v>
      </c>
      <c r="J50">
        <v>0</v>
      </c>
      <c r="K50">
        <v>2</v>
      </c>
      <c r="L50" s="4">
        <v>3.5000000000000001E-3</v>
      </c>
      <c r="M50">
        <v>0.02</v>
      </c>
      <c r="N50" s="4">
        <v>7.0000000000000001E-3</v>
      </c>
      <c r="O50" s="4">
        <v>0.04</v>
      </c>
    </row>
    <row r="51" spans="2:15">
      <c r="B51" t="s">
        <v>282</v>
      </c>
      <c r="C51" t="s">
        <v>49</v>
      </c>
      <c r="D51" t="s">
        <v>331</v>
      </c>
      <c r="E51" t="s">
        <v>332</v>
      </c>
      <c r="F51" t="s">
        <v>10</v>
      </c>
      <c r="G51" t="s">
        <v>331</v>
      </c>
      <c r="H51" t="s">
        <v>333</v>
      </c>
      <c r="I51" t="s">
        <v>32</v>
      </c>
      <c r="J51">
        <v>0</v>
      </c>
      <c r="K51">
        <v>4</v>
      </c>
      <c r="L51" s="4">
        <v>3.5000000000000001E-3</v>
      </c>
      <c r="M51">
        <v>0.02</v>
      </c>
      <c r="N51" s="4">
        <v>1.4E-2</v>
      </c>
      <c r="O51" s="4">
        <v>0.08</v>
      </c>
    </row>
    <row r="52" spans="2:15">
      <c r="B52" t="s">
        <v>282</v>
      </c>
      <c r="C52" t="s">
        <v>49</v>
      </c>
      <c r="D52" t="s">
        <v>334</v>
      </c>
      <c r="E52" t="s">
        <v>335</v>
      </c>
      <c r="F52" t="s">
        <v>10</v>
      </c>
      <c r="G52" t="s">
        <v>334</v>
      </c>
      <c r="H52" t="s">
        <v>336</v>
      </c>
      <c r="I52" t="s">
        <v>32</v>
      </c>
      <c r="J52">
        <v>0</v>
      </c>
      <c r="K52">
        <v>1</v>
      </c>
      <c r="L52" s="4">
        <v>3.5000000000000001E-3</v>
      </c>
      <c r="M52">
        <v>0.02</v>
      </c>
      <c r="N52" s="4">
        <v>3.5000000000000001E-3</v>
      </c>
      <c r="O52" s="4">
        <v>0.02</v>
      </c>
    </row>
    <row r="53" spans="2:15">
      <c r="B53" t="s">
        <v>282</v>
      </c>
      <c r="C53" t="s">
        <v>49</v>
      </c>
      <c r="D53" t="s">
        <v>337</v>
      </c>
      <c r="E53" t="s">
        <v>338</v>
      </c>
      <c r="F53" t="s">
        <v>10</v>
      </c>
      <c r="G53" t="s">
        <v>337</v>
      </c>
      <c r="H53" t="s">
        <v>339</v>
      </c>
      <c r="I53" t="s">
        <v>32</v>
      </c>
      <c r="J53">
        <v>0</v>
      </c>
      <c r="K53">
        <v>1</v>
      </c>
      <c r="L53" s="4">
        <v>3.5000000000000001E-3</v>
      </c>
      <c r="M53">
        <v>0.02</v>
      </c>
      <c r="N53" s="4">
        <v>3.5000000000000001E-3</v>
      </c>
      <c r="O53" s="4">
        <v>0.02</v>
      </c>
    </row>
    <row r="54" spans="2:15">
      <c r="B54" t="s">
        <v>282</v>
      </c>
      <c r="C54" t="s">
        <v>49</v>
      </c>
      <c r="D54" t="s">
        <v>340</v>
      </c>
      <c r="E54" t="s">
        <v>341</v>
      </c>
      <c r="F54" t="s">
        <v>10</v>
      </c>
      <c r="G54" t="s">
        <v>340</v>
      </c>
      <c r="H54" t="s">
        <v>342</v>
      </c>
      <c r="I54" t="s">
        <v>32</v>
      </c>
      <c r="J54">
        <v>0</v>
      </c>
      <c r="K54">
        <v>3</v>
      </c>
      <c r="L54" s="4">
        <v>3.5000000000000001E-3</v>
      </c>
      <c r="M54">
        <v>0.02</v>
      </c>
      <c r="N54" s="4">
        <v>1.0500000000000001E-2</v>
      </c>
      <c r="O54" s="4">
        <v>0.06</v>
      </c>
    </row>
    <row r="55" spans="2:15">
      <c r="B55" t="s">
        <v>282</v>
      </c>
      <c r="C55" t="s">
        <v>49</v>
      </c>
      <c r="D55" t="s">
        <v>343</v>
      </c>
      <c r="E55" t="s">
        <v>344</v>
      </c>
      <c r="F55" t="s">
        <v>10</v>
      </c>
      <c r="G55" t="s">
        <v>343</v>
      </c>
      <c r="H55" t="s">
        <v>345</v>
      </c>
      <c r="I55" t="s">
        <v>32</v>
      </c>
      <c r="J55">
        <v>0</v>
      </c>
      <c r="K55">
        <v>2</v>
      </c>
      <c r="L55" s="4">
        <v>3.5000000000000001E-3</v>
      </c>
      <c r="M55">
        <v>0.02</v>
      </c>
      <c r="N55" s="4">
        <v>7.0000000000000001E-3</v>
      </c>
      <c r="O55" s="4">
        <v>0.04</v>
      </c>
    </row>
    <row r="56" spans="2:15">
      <c r="B56" t="s">
        <v>282</v>
      </c>
      <c r="C56" t="s">
        <v>49</v>
      </c>
      <c r="D56" t="s">
        <v>346</v>
      </c>
      <c r="E56" t="s">
        <v>347</v>
      </c>
      <c r="F56" t="s">
        <v>10</v>
      </c>
      <c r="G56" t="s">
        <v>346</v>
      </c>
      <c r="H56" t="s">
        <v>348</v>
      </c>
      <c r="I56" t="s">
        <v>32</v>
      </c>
      <c r="J56">
        <v>0</v>
      </c>
      <c r="K56">
        <v>4</v>
      </c>
      <c r="L56" s="4">
        <v>3.5000000000000001E-3</v>
      </c>
      <c r="M56">
        <v>0.02</v>
      </c>
      <c r="N56" s="4">
        <v>1.4E-2</v>
      </c>
      <c r="O56" s="4">
        <v>0.08</v>
      </c>
    </row>
    <row r="57" spans="2:15">
      <c r="B57" t="s">
        <v>282</v>
      </c>
      <c r="C57" t="s">
        <v>49</v>
      </c>
      <c r="D57" t="s">
        <v>349</v>
      </c>
      <c r="E57" t="s">
        <v>350</v>
      </c>
      <c r="F57" t="s">
        <v>10</v>
      </c>
      <c r="G57" t="s">
        <v>349</v>
      </c>
      <c r="H57" t="s">
        <v>351</v>
      </c>
      <c r="I57" t="s">
        <v>32</v>
      </c>
      <c r="J57">
        <v>0</v>
      </c>
      <c r="K57">
        <v>1</v>
      </c>
      <c r="L57" s="4">
        <v>3.5000000000000001E-3</v>
      </c>
      <c r="M57">
        <v>0.02</v>
      </c>
      <c r="N57" s="4">
        <v>3.5000000000000001E-3</v>
      </c>
      <c r="O57" s="4">
        <v>0.02</v>
      </c>
    </row>
    <row r="58" spans="2:15">
      <c r="B58" t="s">
        <v>104</v>
      </c>
      <c r="C58" t="s">
        <v>105</v>
      </c>
      <c r="D58" t="s">
        <v>106</v>
      </c>
      <c r="E58" t="s">
        <v>107</v>
      </c>
      <c r="F58" t="s">
        <v>10</v>
      </c>
      <c r="G58" t="s">
        <v>106</v>
      </c>
      <c r="H58" t="s">
        <v>108</v>
      </c>
      <c r="I58" t="s">
        <v>32</v>
      </c>
      <c r="J58">
        <v>0</v>
      </c>
      <c r="K58">
        <v>4</v>
      </c>
      <c r="L58" s="4">
        <v>3.5000000000000001E-3</v>
      </c>
      <c r="M58">
        <v>0.02</v>
      </c>
      <c r="N58" s="4">
        <v>1.4E-2</v>
      </c>
      <c r="O58" s="4">
        <v>0.08</v>
      </c>
    </row>
    <row r="59" spans="2:15">
      <c r="B59" t="s">
        <v>104</v>
      </c>
      <c r="C59" t="s">
        <v>105</v>
      </c>
      <c r="D59" t="s">
        <v>109</v>
      </c>
      <c r="E59" t="s">
        <v>110</v>
      </c>
      <c r="F59" t="s">
        <v>10</v>
      </c>
      <c r="G59" t="s">
        <v>109</v>
      </c>
      <c r="H59" t="s">
        <v>111</v>
      </c>
      <c r="I59" t="s">
        <v>32</v>
      </c>
      <c r="J59">
        <v>0</v>
      </c>
      <c r="K59">
        <v>6</v>
      </c>
      <c r="L59" s="4">
        <v>3.5000000000000001E-3</v>
      </c>
      <c r="M59">
        <v>0.02</v>
      </c>
      <c r="N59" s="4">
        <v>2.1000000000000001E-2</v>
      </c>
      <c r="O59" s="4">
        <v>0.12</v>
      </c>
    </row>
    <row r="60" spans="2:15">
      <c r="B60" t="s">
        <v>104</v>
      </c>
      <c r="C60" t="s">
        <v>105</v>
      </c>
      <c r="D60" t="s">
        <v>352</v>
      </c>
      <c r="E60" t="s">
        <v>353</v>
      </c>
      <c r="F60" t="s">
        <v>10</v>
      </c>
      <c r="G60" t="s">
        <v>352</v>
      </c>
      <c r="H60" t="s">
        <v>354</v>
      </c>
      <c r="I60" t="s">
        <v>32</v>
      </c>
      <c r="J60">
        <v>0</v>
      </c>
      <c r="K60">
        <v>494</v>
      </c>
      <c r="L60" s="4">
        <v>3.5000000000000001E-3</v>
      </c>
      <c r="M60">
        <v>0.02</v>
      </c>
      <c r="N60" s="4">
        <v>1.7290000000000001</v>
      </c>
      <c r="O60" s="4">
        <v>9.8800000000000008</v>
      </c>
    </row>
    <row r="61" spans="2:15">
      <c r="B61" t="s">
        <v>104</v>
      </c>
      <c r="C61" t="s">
        <v>105</v>
      </c>
      <c r="D61" t="s">
        <v>355</v>
      </c>
      <c r="E61" t="s">
        <v>356</v>
      </c>
      <c r="F61" t="s">
        <v>10</v>
      </c>
      <c r="G61" t="s">
        <v>355</v>
      </c>
      <c r="H61" t="s">
        <v>357</v>
      </c>
      <c r="I61" t="s">
        <v>32</v>
      </c>
      <c r="J61">
        <v>0</v>
      </c>
      <c r="K61">
        <v>1</v>
      </c>
      <c r="L61" s="4">
        <v>3.5000000000000001E-3</v>
      </c>
      <c r="M61">
        <v>0.02</v>
      </c>
      <c r="N61" s="4">
        <v>3.5000000000000001E-3</v>
      </c>
      <c r="O61" s="4">
        <v>0.02</v>
      </c>
    </row>
    <row r="62" spans="2:15">
      <c r="B62" t="s">
        <v>104</v>
      </c>
      <c r="C62" t="s">
        <v>105</v>
      </c>
      <c r="D62" t="s">
        <v>358</v>
      </c>
      <c r="E62" t="s">
        <v>359</v>
      </c>
      <c r="F62" t="s">
        <v>10</v>
      </c>
      <c r="G62" t="s">
        <v>358</v>
      </c>
      <c r="H62" t="s">
        <v>360</v>
      </c>
      <c r="I62" t="s">
        <v>32</v>
      </c>
      <c r="J62">
        <v>0</v>
      </c>
      <c r="K62">
        <v>537</v>
      </c>
      <c r="L62" s="4">
        <v>3.5000000000000001E-3</v>
      </c>
      <c r="M62">
        <v>0.02</v>
      </c>
      <c r="N62" s="4">
        <v>1.8794999999999999</v>
      </c>
      <c r="O62" s="4">
        <v>10.74</v>
      </c>
    </row>
    <row r="63" spans="2:15">
      <c r="B63" t="s">
        <v>104</v>
      </c>
      <c r="C63" t="s">
        <v>105</v>
      </c>
      <c r="D63" t="s">
        <v>112</v>
      </c>
      <c r="E63" t="s">
        <v>113</v>
      </c>
      <c r="F63" t="s">
        <v>10</v>
      </c>
      <c r="G63" t="s">
        <v>112</v>
      </c>
      <c r="H63" t="s">
        <v>114</v>
      </c>
      <c r="I63" t="s">
        <v>32</v>
      </c>
      <c r="J63">
        <v>0</v>
      </c>
      <c r="K63">
        <v>3</v>
      </c>
      <c r="L63" s="4">
        <v>3.5000000000000001E-3</v>
      </c>
      <c r="M63">
        <v>0.02</v>
      </c>
      <c r="N63" s="4">
        <v>1.0500000000000001E-2</v>
      </c>
      <c r="O63" s="4">
        <v>0.06</v>
      </c>
    </row>
    <row r="64" spans="2:15">
      <c r="B64" t="s">
        <v>104</v>
      </c>
      <c r="C64" t="s">
        <v>105</v>
      </c>
      <c r="D64" t="s">
        <v>115</v>
      </c>
      <c r="E64" t="s">
        <v>116</v>
      </c>
      <c r="F64" t="s">
        <v>10</v>
      </c>
      <c r="G64" t="s">
        <v>115</v>
      </c>
      <c r="H64" t="s">
        <v>117</v>
      </c>
      <c r="I64" t="s">
        <v>32</v>
      </c>
      <c r="J64">
        <v>0</v>
      </c>
      <c r="K64">
        <v>16</v>
      </c>
      <c r="L64" s="4">
        <v>3.5000000000000001E-3</v>
      </c>
      <c r="M64">
        <v>0.02</v>
      </c>
      <c r="N64" s="4">
        <v>5.6000000000000001E-2</v>
      </c>
      <c r="O64" s="4">
        <v>0.32</v>
      </c>
    </row>
    <row r="65" spans="2:15">
      <c r="B65" t="s">
        <v>104</v>
      </c>
      <c r="C65" t="s">
        <v>105</v>
      </c>
      <c r="D65" t="s">
        <v>361</v>
      </c>
      <c r="E65" t="s">
        <v>362</v>
      </c>
      <c r="F65" t="s">
        <v>10</v>
      </c>
      <c r="G65" t="s">
        <v>361</v>
      </c>
      <c r="H65" t="s">
        <v>363</v>
      </c>
      <c r="I65" t="s">
        <v>32</v>
      </c>
      <c r="J65">
        <v>0</v>
      </c>
      <c r="K65">
        <v>1773</v>
      </c>
      <c r="L65" s="4">
        <v>3.5000000000000001E-3</v>
      </c>
      <c r="M65">
        <v>0.02</v>
      </c>
      <c r="N65" s="4">
        <v>6.2054999999999998</v>
      </c>
      <c r="O65" s="4">
        <v>35.46</v>
      </c>
    </row>
    <row r="66" spans="2:15">
      <c r="B66" t="s">
        <v>104</v>
      </c>
      <c r="C66" t="s">
        <v>105</v>
      </c>
      <c r="D66" t="s">
        <v>118</v>
      </c>
      <c r="E66" t="s">
        <v>119</v>
      </c>
      <c r="F66" t="s">
        <v>10</v>
      </c>
      <c r="G66" t="s">
        <v>118</v>
      </c>
      <c r="H66" t="s">
        <v>120</v>
      </c>
      <c r="I66" t="s">
        <v>32</v>
      </c>
      <c r="J66">
        <v>0</v>
      </c>
      <c r="K66">
        <v>37</v>
      </c>
      <c r="L66" s="4">
        <v>3.5000000000000001E-3</v>
      </c>
      <c r="M66">
        <v>0.02</v>
      </c>
      <c r="N66" s="4">
        <v>0.1295</v>
      </c>
      <c r="O66" s="4">
        <v>0.74</v>
      </c>
    </row>
    <row r="67" spans="2:15">
      <c r="B67" t="s">
        <v>104</v>
      </c>
      <c r="C67" t="s">
        <v>105</v>
      </c>
      <c r="D67" t="s">
        <v>121</v>
      </c>
      <c r="E67" t="s">
        <v>122</v>
      </c>
      <c r="F67" t="s">
        <v>10</v>
      </c>
      <c r="G67" t="s">
        <v>121</v>
      </c>
      <c r="H67" t="s">
        <v>123</v>
      </c>
      <c r="I67" t="s">
        <v>32</v>
      </c>
      <c r="J67">
        <v>0</v>
      </c>
      <c r="K67">
        <v>17</v>
      </c>
      <c r="L67" s="4">
        <v>3.5000000000000001E-3</v>
      </c>
      <c r="M67">
        <v>0.02</v>
      </c>
      <c r="N67" s="4">
        <v>5.9500000000000004E-2</v>
      </c>
      <c r="O67" s="4">
        <v>0.34</v>
      </c>
    </row>
    <row r="68" spans="2:15">
      <c r="B68" t="s">
        <v>104</v>
      </c>
      <c r="C68" t="s">
        <v>105</v>
      </c>
      <c r="D68" t="s">
        <v>124</v>
      </c>
      <c r="E68" t="s">
        <v>125</v>
      </c>
      <c r="F68" t="s">
        <v>10</v>
      </c>
      <c r="G68" t="s">
        <v>124</v>
      </c>
      <c r="H68" t="s">
        <v>126</v>
      </c>
      <c r="I68" t="s">
        <v>32</v>
      </c>
      <c r="J68">
        <v>0</v>
      </c>
      <c r="K68">
        <v>19</v>
      </c>
      <c r="L68" s="4">
        <v>3.5000000000000001E-3</v>
      </c>
      <c r="M68">
        <v>0.02</v>
      </c>
      <c r="N68" s="4">
        <v>6.6500000000000004E-2</v>
      </c>
      <c r="O68" s="4">
        <v>0.38</v>
      </c>
    </row>
    <row r="69" spans="2:15">
      <c r="B69" t="s">
        <v>104</v>
      </c>
      <c r="C69" t="s">
        <v>105</v>
      </c>
      <c r="D69" t="s">
        <v>127</v>
      </c>
      <c r="E69" t="s">
        <v>128</v>
      </c>
      <c r="F69" t="s">
        <v>10</v>
      </c>
      <c r="G69" t="s">
        <v>127</v>
      </c>
      <c r="H69" t="s">
        <v>129</v>
      </c>
      <c r="I69" t="s">
        <v>32</v>
      </c>
      <c r="J69">
        <v>0</v>
      </c>
      <c r="K69">
        <v>28</v>
      </c>
      <c r="L69" s="4">
        <v>3.5000000000000001E-3</v>
      </c>
      <c r="M69">
        <v>0.02</v>
      </c>
      <c r="N69" s="4">
        <v>9.8000000000000004E-2</v>
      </c>
      <c r="O69" s="4">
        <v>0.56000000000000005</v>
      </c>
    </row>
    <row r="70" spans="2:15">
      <c r="B70" t="s">
        <v>104</v>
      </c>
      <c r="C70" t="s">
        <v>105</v>
      </c>
      <c r="D70" t="s">
        <v>130</v>
      </c>
      <c r="E70" t="s">
        <v>131</v>
      </c>
      <c r="F70" t="s">
        <v>10</v>
      </c>
      <c r="G70" t="s">
        <v>130</v>
      </c>
      <c r="H70" t="s">
        <v>132</v>
      </c>
      <c r="I70" t="s">
        <v>32</v>
      </c>
      <c r="J70">
        <v>0</v>
      </c>
      <c r="K70">
        <v>1246</v>
      </c>
      <c r="L70" s="4">
        <v>3.5000000000000001E-3</v>
      </c>
      <c r="M70">
        <v>0.02</v>
      </c>
      <c r="N70" s="4">
        <v>4.3609999999999998</v>
      </c>
      <c r="O70" s="4">
        <v>24.92</v>
      </c>
    </row>
    <row r="71" spans="2:15">
      <c r="B71" t="s">
        <v>104</v>
      </c>
      <c r="C71" t="s">
        <v>105</v>
      </c>
      <c r="D71" t="s">
        <v>133</v>
      </c>
      <c r="E71" t="s">
        <v>134</v>
      </c>
      <c r="F71" t="s">
        <v>10</v>
      </c>
      <c r="G71" t="s">
        <v>133</v>
      </c>
      <c r="H71" t="s">
        <v>135</v>
      </c>
      <c r="I71" t="s">
        <v>32</v>
      </c>
      <c r="J71">
        <v>0</v>
      </c>
      <c r="K71">
        <v>1295</v>
      </c>
      <c r="L71" s="4">
        <v>3.5000000000000001E-3</v>
      </c>
      <c r="M71">
        <v>0.02</v>
      </c>
      <c r="N71" s="4">
        <v>4.5324999999999998</v>
      </c>
      <c r="O71" s="4">
        <v>25.900000000000002</v>
      </c>
    </row>
    <row r="72" spans="2:15">
      <c r="B72" t="s">
        <v>104</v>
      </c>
      <c r="C72" t="s">
        <v>105</v>
      </c>
      <c r="D72" t="s">
        <v>364</v>
      </c>
      <c r="E72" t="s">
        <v>365</v>
      </c>
      <c r="F72" t="s">
        <v>10</v>
      </c>
      <c r="G72" t="s">
        <v>364</v>
      </c>
      <c r="H72" t="s">
        <v>366</v>
      </c>
      <c r="I72" t="s">
        <v>32</v>
      </c>
      <c r="J72">
        <v>0</v>
      </c>
      <c r="K72">
        <v>2324</v>
      </c>
      <c r="L72" s="4">
        <v>3.5000000000000001E-3</v>
      </c>
      <c r="M72">
        <v>0.02</v>
      </c>
      <c r="N72" s="4">
        <v>8.1340000000000003</v>
      </c>
      <c r="O72" s="4">
        <v>46.480000000000004</v>
      </c>
    </row>
    <row r="73" spans="2:15">
      <c r="B73" t="s">
        <v>104</v>
      </c>
      <c r="C73" t="s">
        <v>105</v>
      </c>
      <c r="D73" t="s">
        <v>136</v>
      </c>
      <c r="E73" t="s">
        <v>137</v>
      </c>
      <c r="F73" t="s">
        <v>10</v>
      </c>
      <c r="G73" t="s">
        <v>136</v>
      </c>
      <c r="H73" t="s">
        <v>138</v>
      </c>
      <c r="I73" t="s">
        <v>32</v>
      </c>
      <c r="J73">
        <v>0</v>
      </c>
      <c r="K73">
        <v>18</v>
      </c>
      <c r="L73" s="4">
        <v>3.5000000000000001E-3</v>
      </c>
      <c r="M73">
        <v>0.02</v>
      </c>
      <c r="N73" s="4">
        <v>6.3E-2</v>
      </c>
      <c r="O73" s="4">
        <v>0.36</v>
      </c>
    </row>
    <row r="74" spans="2:15">
      <c r="B74" t="s">
        <v>104</v>
      </c>
      <c r="C74" t="s">
        <v>105</v>
      </c>
      <c r="D74" t="s">
        <v>139</v>
      </c>
      <c r="E74" t="s">
        <v>140</v>
      </c>
      <c r="F74" t="s">
        <v>10</v>
      </c>
      <c r="G74" t="s">
        <v>139</v>
      </c>
      <c r="H74" t="s">
        <v>141</v>
      </c>
      <c r="I74" t="s">
        <v>32</v>
      </c>
      <c r="J74">
        <v>0</v>
      </c>
      <c r="K74">
        <v>27</v>
      </c>
      <c r="L74" s="4">
        <v>3.5000000000000001E-3</v>
      </c>
      <c r="M74">
        <v>0.02</v>
      </c>
      <c r="N74" s="4">
        <v>9.4500000000000001E-2</v>
      </c>
      <c r="O74" s="4">
        <v>0.54</v>
      </c>
    </row>
    <row r="75" spans="2:15">
      <c r="B75" t="s">
        <v>104</v>
      </c>
      <c r="C75" t="s">
        <v>50</v>
      </c>
      <c r="D75" t="s">
        <v>142</v>
      </c>
      <c r="E75" t="s">
        <v>143</v>
      </c>
      <c r="F75" t="s">
        <v>10</v>
      </c>
      <c r="G75" t="s">
        <v>142</v>
      </c>
      <c r="H75" t="s">
        <v>144</v>
      </c>
      <c r="I75" t="s">
        <v>32</v>
      </c>
      <c r="J75">
        <v>0</v>
      </c>
      <c r="K75">
        <v>2</v>
      </c>
      <c r="L75" s="4">
        <v>3.5000000000000001E-3</v>
      </c>
      <c r="M75">
        <v>0.02</v>
      </c>
      <c r="N75" s="4">
        <v>7.0000000000000001E-3</v>
      </c>
      <c r="O75" s="4">
        <v>0.04</v>
      </c>
    </row>
    <row r="76" spans="2:15">
      <c r="B76" t="s">
        <v>104</v>
      </c>
      <c r="C76" t="s">
        <v>50</v>
      </c>
      <c r="D76" t="s">
        <v>145</v>
      </c>
      <c r="E76" t="s">
        <v>146</v>
      </c>
      <c r="F76" t="s">
        <v>10</v>
      </c>
      <c r="G76" t="s">
        <v>145</v>
      </c>
      <c r="H76" t="s">
        <v>147</v>
      </c>
      <c r="I76" t="s">
        <v>32</v>
      </c>
      <c r="J76">
        <v>0</v>
      </c>
      <c r="K76">
        <v>1</v>
      </c>
      <c r="L76" s="4">
        <v>3.5000000000000001E-3</v>
      </c>
      <c r="M76">
        <v>0.02</v>
      </c>
      <c r="N76" s="4">
        <v>3.5000000000000001E-3</v>
      </c>
      <c r="O76" s="4">
        <v>0.02</v>
      </c>
    </row>
    <row r="77" spans="2:15">
      <c r="B77" t="s">
        <v>104</v>
      </c>
      <c r="C77" t="s">
        <v>50</v>
      </c>
      <c r="D77" t="s">
        <v>148</v>
      </c>
      <c r="E77" t="s">
        <v>149</v>
      </c>
      <c r="F77" t="s">
        <v>10</v>
      </c>
      <c r="G77" t="s">
        <v>148</v>
      </c>
      <c r="H77" t="s">
        <v>150</v>
      </c>
      <c r="I77" t="s">
        <v>32</v>
      </c>
      <c r="J77">
        <v>0</v>
      </c>
      <c r="K77">
        <v>125</v>
      </c>
      <c r="L77" s="4">
        <v>3.5000000000000001E-3</v>
      </c>
      <c r="M77">
        <v>0.02</v>
      </c>
      <c r="N77" s="4">
        <v>0.4375</v>
      </c>
      <c r="O77" s="4">
        <v>2.5</v>
      </c>
    </row>
    <row r="78" spans="2:15">
      <c r="B78" t="s">
        <v>104</v>
      </c>
      <c r="C78" t="s">
        <v>50</v>
      </c>
      <c r="D78" t="s">
        <v>367</v>
      </c>
      <c r="E78" t="s">
        <v>368</v>
      </c>
      <c r="F78" t="s">
        <v>10</v>
      </c>
      <c r="G78" t="s">
        <v>367</v>
      </c>
      <c r="H78" t="s">
        <v>369</v>
      </c>
      <c r="I78" t="s">
        <v>32</v>
      </c>
      <c r="J78">
        <v>0</v>
      </c>
      <c r="K78">
        <v>113</v>
      </c>
      <c r="L78" s="4">
        <v>3.5000000000000001E-3</v>
      </c>
      <c r="M78">
        <v>0.02</v>
      </c>
      <c r="N78" s="4">
        <v>0.39550000000000002</v>
      </c>
      <c r="O78" s="4">
        <v>2.2600000000000002</v>
      </c>
    </row>
    <row r="79" spans="2:15">
      <c r="B79" t="s">
        <v>104</v>
      </c>
      <c r="C79" t="s">
        <v>50</v>
      </c>
      <c r="D79" t="s">
        <v>370</v>
      </c>
      <c r="E79" t="s">
        <v>371</v>
      </c>
      <c r="F79" t="s">
        <v>10</v>
      </c>
      <c r="G79" t="s">
        <v>370</v>
      </c>
      <c r="H79" t="s">
        <v>372</v>
      </c>
      <c r="I79" t="s">
        <v>32</v>
      </c>
      <c r="J79">
        <v>0</v>
      </c>
      <c r="K79">
        <v>79</v>
      </c>
      <c r="L79" s="4">
        <v>3.5000000000000001E-3</v>
      </c>
      <c r="M79">
        <v>0.02</v>
      </c>
      <c r="N79" s="4">
        <v>0.27650000000000002</v>
      </c>
      <c r="O79" s="4">
        <v>1.58</v>
      </c>
    </row>
    <row r="80" spans="2:15">
      <c r="B80" t="s">
        <v>104</v>
      </c>
      <c r="C80" t="s">
        <v>50</v>
      </c>
      <c r="D80" t="s">
        <v>151</v>
      </c>
      <c r="E80" t="s">
        <v>152</v>
      </c>
      <c r="F80" t="s">
        <v>10</v>
      </c>
      <c r="G80" t="s">
        <v>151</v>
      </c>
      <c r="H80" t="s">
        <v>153</v>
      </c>
      <c r="I80" t="s">
        <v>32</v>
      </c>
      <c r="J80">
        <v>0</v>
      </c>
      <c r="K80">
        <v>1</v>
      </c>
      <c r="L80" s="4">
        <v>3.5000000000000001E-3</v>
      </c>
      <c r="M80">
        <v>0.02</v>
      </c>
      <c r="N80" s="4">
        <v>3.5000000000000001E-3</v>
      </c>
      <c r="O80" s="4">
        <v>0.02</v>
      </c>
    </row>
    <row r="81" spans="2:15">
      <c r="B81" t="s">
        <v>104</v>
      </c>
      <c r="C81" t="s">
        <v>50</v>
      </c>
      <c r="D81" t="s">
        <v>154</v>
      </c>
      <c r="E81" t="s">
        <v>155</v>
      </c>
      <c r="F81" t="s">
        <v>10</v>
      </c>
      <c r="G81" t="s">
        <v>154</v>
      </c>
      <c r="H81" t="s">
        <v>156</v>
      </c>
      <c r="I81" t="s">
        <v>32</v>
      </c>
      <c r="J81">
        <v>0</v>
      </c>
      <c r="K81">
        <v>37</v>
      </c>
      <c r="L81" s="4">
        <v>3.5000000000000001E-3</v>
      </c>
      <c r="M81">
        <v>0.02</v>
      </c>
      <c r="N81" s="4">
        <v>0.1295</v>
      </c>
      <c r="O81" s="4">
        <v>0.74</v>
      </c>
    </row>
    <row r="82" spans="2:15">
      <c r="B82" t="s">
        <v>104</v>
      </c>
      <c r="C82" t="s">
        <v>50</v>
      </c>
      <c r="D82" t="s">
        <v>157</v>
      </c>
      <c r="E82" t="s">
        <v>158</v>
      </c>
      <c r="F82" t="s">
        <v>10</v>
      </c>
      <c r="G82" t="s">
        <v>157</v>
      </c>
      <c r="H82" t="s">
        <v>159</v>
      </c>
      <c r="I82" t="s">
        <v>32</v>
      </c>
      <c r="J82">
        <v>0</v>
      </c>
      <c r="K82">
        <v>1</v>
      </c>
      <c r="L82" s="4">
        <v>3.5000000000000001E-3</v>
      </c>
      <c r="M82">
        <v>0.02</v>
      </c>
      <c r="N82" s="4">
        <v>3.5000000000000001E-3</v>
      </c>
      <c r="O82" s="4">
        <v>0.02</v>
      </c>
    </row>
    <row r="83" spans="2:15">
      <c r="B83" t="s">
        <v>104</v>
      </c>
      <c r="C83" t="s">
        <v>50</v>
      </c>
      <c r="D83" t="s">
        <v>373</v>
      </c>
      <c r="E83" t="s">
        <v>374</v>
      </c>
      <c r="F83" t="s">
        <v>10</v>
      </c>
      <c r="G83" t="s">
        <v>373</v>
      </c>
      <c r="H83" t="s">
        <v>375</v>
      </c>
      <c r="I83" t="s">
        <v>32</v>
      </c>
      <c r="J83">
        <v>0</v>
      </c>
      <c r="K83">
        <v>2743</v>
      </c>
      <c r="L83" s="4">
        <v>3.5000000000000001E-3</v>
      </c>
      <c r="M83">
        <v>0.02</v>
      </c>
      <c r="N83" s="4">
        <v>9.6005000000000003</v>
      </c>
      <c r="O83" s="4">
        <v>54.86</v>
      </c>
    </row>
    <row r="84" spans="2:15">
      <c r="B84" t="s">
        <v>104</v>
      </c>
      <c r="C84" t="s">
        <v>50</v>
      </c>
      <c r="D84" t="s">
        <v>160</v>
      </c>
      <c r="E84" t="s">
        <v>161</v>
      </c>
      <c r="F84" t="s">
        <v>10</v>
      </c>
      <c r="G84" t="s">
        <v>160</v>
      </c>
      <c r="H84" t="s">
        <v>162</v>
      </c>
      <c r="I84" t="s">
        <v>32</v>
      </c>
      <c r="J84">
        <v>0</v>
      </c>
      <c r="K84">
        <v>2</v>
      </c>
      <c r="L84" s="4">
        <v>3.5000000000000001E-3</v>
      </c>
      <c r="M84">
        <v>0.02</v>
      </c>
      <c r="N84" s="4">
        <v>7.0000000000000001E-3</v>
      </c>
      <c r="O84" s="4">
        <v>0.04</v>
      </c>
    </row>
    <row r="85" spans="2:15">
      <c r="B85" t="s">
        <v>104</v>
      </c>
      <c r="C85" t="s">
        <v>50</v>
      </c>
      <c r="D85" t="s">
        <v>376</v>
      </c>
      <c r="E85" t="s">
        <v>377</v>
      </c>
      <c r="F85" t="s">
        <v>10</v>
      </c>
      <c r="G85" t="s">
        <v>376</v>
      </c>
      <c r="H85" t="s">
        <v>378</v>
      </c>
      <c r="I85" t="s">
        <v>32</v>
      </c>
      <c r="J85">
        <v>0</v>
      </c>
      <c r="K85">
        <v>6424</v>
      </c>
      <c r="L85" s="4">
        <v>3.5000000000000001E-3</v>
      </c>
      <c r="M85">
        <v>0.02</v>
      </c>
      <c r="N85" s="4">
        <v>22.484000000000002</v>
      </c>
      <c r="O85" s="4">
        <v>128.47999999999999</v>
      </c>
    </row>
    <row r="86" spans="2:15">
      <c r="B86" t="s">
        <v>104</v>
      </c>
      <c r="C86" t="s">
        <v>50</v>
      </c>
      <c r="D86" t="s">
        <v>379</v>
      </c>
      <c r="E86" t="s">
        <v>380</v>
      </c>
      <c r="F86" t="s">
        <v>10</v>
      </c>
      <c r="G86" t="s">
        <v>379</v>
      </c>
      <c r="H86" t="s">
        <v>381</v>
      </c>
      <c r="I86" t="s">
        <v>32</v>
      </c>
      <c r="J86">
        <v>0</v>
      </c>
      <c r="K86">
        <v>222</v>
      </c>
      <c r="L86" s="4">
        <v>3.5000000000000001E-3</v>
      </c>
      <c r="M86">
        <v>0.02</v>
      </c>
      <c r="N86" s="4">
        <v>0.77700000000000002</v>
      </c>
      <c r="O86" s="4">
        <v>4.4400000000000004</v>
      </c>
    </row>
    <row r="87" spans="2:15">
      <c r="B87" t="s">
        <v>104</v>
      </c>
      <c r="C87" t="s">
        <v>50</v>
      </c>
      <c r="D87" t="s">
        <v>163</v>
      </c>
      <c r="E87" t="s">
        <v>164</v>
      </c>
      <c r="F87" t="s">
        <v>10</v>
      </c>
      <c r="G87" t="s">
        <v>163</v>
      </c>
      <c r="H87" t="s">
        <v>165</v>
      </c>
      <c r="I87" t="s">
        <v>32</v>
      </c>
      <c r="J87">
        <v>0</v>
      </c>
      <c r="K87">
        <v>10</v>
      </c>
      <c r="L87" s="4">
        <v>3.5000000000000001E-3</v>
      </c>
      <c r="M87">
        <v>0.02</v>
      </c>
      <c r="N87" s="4">
        <v>3.5000000000000003E-2</v>
      </c>
      <c r="O87" s="4">
        <v>0.2</v>
      </c>
    </row>
    <row r="88" spans="2:15">
      <c r="B88" t="s">
        <v>104</v>
      </c>
      <c r="C88" t="s">
        <v>50</v>
      </c>
      <c r="D88" t="s">
        <v>382</v>
      </c>
      <c r="E88" t="s">
        <v>383</v>
      </c>
      <c r="F88" t="s">
        <v>10</v>
      </c>
      <c r="G88" t="s">
        <v>382</v>
      </c>
      <c r="H88" t="s">
        <v>384</v>
      </c>
      <c r="I88" t="s">
        <v>32</v>
      </c>
      <c r="J88">
        <v>0</v>
      </c>
      <c r="K88">
        <v>1082</v>
      </c>
      <c r="L88" s="4">
        <v>3.5000000000000001E-3</v>
      </c>
      <c r="M88">
        <v>0.02</v>
      </c>
      <c r="N88" s="4">
        <v>3.7869999999999999</v>
      </c>
      <c r="O88" s="4">
        <v>21.64</v>
      </c>
    </row>
    <row r="89" spans="2:15">
      <c r="B89" t="s">
        <v>104</v>
      </c>
      <c r="C89" t="s">
        <v>50</v>
      </c>
      <c r="D89" t="s">
        <v>166</v>
      </c>
      <c r="E89" t="s">
        <v>167</v>
      </c>
      <c r="F89" t="s">
        <v>10</v>
      </c>
      <c r="G89" t="s">
        <v>166</v>
      </c>
      <c r="H89" t="s">
        <v>168</v>
      </c>
      <c r="I89" t="s">
        <v>32</v>
      </c>
      <c r="J89">
        <v>0</v>
      </c>
      <c r="K89">
        <v>321</v>
      </c>
      <c r="L89" s="4">
        <v>3.5000000000000001E-3</v>
      </c>
      <c r="M89">
        <v>0.02</v>
      </c>
      <c r="N89" s="4">
        <v>1.1234999999999999</v>
      </c>
      <c r="O89" s="4">
        <v>6.42</v>
      </c>
    </row>
    <row r="90" spans="2:15">
      <c r="B90" t="s">
        <v>104</v>
      </c>
      <c r="C90" t="s">
        <v>50</v>
      </c>
      <c r="D90" t="s">
        <v>385</v>
      </c>
      <c r="E90" t="s">
        <v>386</v>
      </c>
      <c r="F90" t="s">
        <v>10</v>
      </c>
      <c r="G90" t="s">
        <v>385</v>
      </c>
      <c r="H90" t="s">
        <v>387</v>
      </c>
      <c r="I90" t="s">
        <v>32</v>
      </c>
      <c r="J90">
        <v>0</v>
      </c>
      <c r="K90">
        <v>1686</v>
      </c>
      <c r="L90" s="4">
        <v>3.5000000000000001E-3</v>
      </c>
      <c r="M90">
        <v>0.02</v>
      </c>
      <c r="N90" s="4">
        <v>5.9009999999999998</v>
      </c>
      <c r="O90" s="4">
        <v>33.72</v>
      </c>
    </row>
    <row r="91" spans="2:15">
      <c r="B91" t="s">
        <v>104</v>
      </c>
      <c r="C91" t="s">
        <v>50</v>
      </c>
      <c r="D91" t="s">
        <v>169</v>
      </c>
      <c r="E91" t="s">
        <v>170</v>
      </c>
      <c r="F91" t="s">
        <v>10</v>
      </c>
      <c r="G91" t="s">
        <v>169</v>
      </c>
      <c r="H91" t="s">
        <v>171</v>
      </c>
      <c r="I91" t="s">
        <v>32</v>
      </c>
      <c r="J91">
        <v>0</v>
      </c>
      <c r="K91">
        <v>1</v>
      </c>
      <c r="L91" s="4">
        <v>3.5000000000000001E-3</v>
      </c>
      <c r="M91">
        <v>0.02</v>
      </c>
      <c r="N91" s="4">
        <v>3.5000000000000001E-3</v>
      </c>
      <c r="O91" s="4">
        <v>0.02</v>
      </c>
    </row>
    <row r="92" spans="2:15">
      <c r="B92" t="s">
        <v>104</v>
      </c>
      <c r="C92" t="s">
        <v>50</v>
      </c>
      <c r="D92" t="s">
        <v>388</v>
      </c>
      <c r="E92" t="s">
        <v>389</v>
      </c>
      <c r="F92" t="s">
        <v>10</v>
      </c>
      <c r="G92" t="s">
        <v>388</v>
      </c>
      <c r="H92" t="s">
        <v>390</v>
      </c>
      <c r="I92" t="s">
        <v>32</v>
      </c>
      <c r="J92">
        <v>0</v>
      </c>
      <c r="K92">
        <v>7340</v>
      </c>
      <c r="L92" s="4">
        <v>3.5000000000000001E-3</v>
      </c>
      <c r="M92">
        <v>0.02</v>
      </c>
      <c r="N92" s="4">
        <v>25.69</v>
      </c>
      <c r="O92" s="4">
        <v>146.80000000000001</v>
      </c>
    </row>
    <row r="93" spans="2:15">
      <c r="B93" t="s">
        <v>104</v>
      </c>
      <c r="C93" t="s">
        <v>50</v>
      </c>
      <c r="D93" t="s">
        <v>391</v>
      </c>
      <c r="E93" t="s">
        <v>392</v>
      </c>
      <c r="F93" t="s">
        <v>10</v>
      </c>
      <c r="G93" t="s">
        <v>391</v>
      </c>
      <c r="H93" t="s">
        <v>393</v>
      </c>
      <c r="I93" t="s">
        <v>32</v>
      </c>
      <c r="J93">
        <v>0</v>
      </c>
      <c r="K93">
        <v>9328</v>
      </c>
      <c r="L93" s="4">
        <v>3.5000000000000001E-3</v>
      </c>
      <c r="M93">
        <v>0.02</v>
      </c>
      <c r="N93" s="4">
        <v>32.648000000000003</v>
      </c>
      <c r="O93" s="4">
        <v>186.56</v>
      </c>
    </row>
    <row r="94" spans="2:15">
      <c r="B94" t="s">
        <v>104</v>
      </c>
      <c r="C94" t="s">
        <v>50</v>
      </c>
      <c r="D94" t="s">
        <v>394</v>
      </c>
      <c r="E94" t="s">
        <v>395</v>
      </c>
      <c r="F94" t="s">
        <v>10</v>
      </c>
      <c r="G94" t="s">
        <v>394</v>
      </c>
      <c r="H94" t="s">
        <v>396</v>
      </c>
      <c r="I94" t="s">
        <v>32</v>
      </c>
      <c r="J94">
        <v>0</v>
      </c>
      <c r="K94">
        <v>1</v>
      </c>
      <c r="L94" s="4">
        <v>3.5000000000000001E-3</v>
      </c>
      <c r="M94">
        <v>0.02</v>
      </c>
      <c r="N94" s="4">
        <v>3.5000000000000001E-3</v>
      </c>
      <c r="O94" s="4">
        <v>0.02</v>
      </c>
    </row>
    <row r="95" spans="2:15">
      <c r="B95" t="s">
        <v>104</v>
      </c>
      <c r="C95" t="s">
        <v>50</v>
      </c>
      <c r="D95" t="s">
        <v>394</v>
      </c>
      <c r="E95" t="s">
        <v>397</v>
      </c>
      <c r="F95" t="s">
        <v>10</v>
      </c>
      <c r="G95" t="s">
        <v>394</v>
      </c>
      <c r="H95" t="s">
        <v>398</v>
      </c>
      <c r="I95" t="s">
        <v>32</v>
      </c>
      <c r="J95">
        <v>0</v>
      </c>
      <c r="K95">
        <v>11992</v>
      </c>
      <c r="L95" s="4">
        <v>3.5000000000000001E-3</v>
      </c>
      <c r="M95">
        <v>0.02</v>
      </c>
      <c r="N95" s="4">
        <v>41.972000000000001</v>
      </c>
      <c r="O95" s="4">
        <v>239.84</v>
      </c>
    </row>
    <row r="96" spans="2:15">
      <c r="B96" t="s">
        <v>104</v>
      </c>
      <c r="C96" t="s">
        <v>50</v>
      </c>
      <c r="D96" t="s">
        <v>394</v>
      </c>
      <c r="E96" t="s">
        <v>399</v>
      </c>
      <c r="F96" t="s">
        <v>10</v>
      </c>
      <c r="G96" t="s">
        <v>394</v>
      </c>
      <c r="H96" t="s">
        <v>400</v>
      </c>
      <c r="I96" t="s">
        <v>32</v>
      </c>
      <c r="J96">
        <v>0</v>
      </c>
      <c r="K96">
        <v>1</v>
      </c>
      <c r="L96" s="4">
        <v>3.5000000000000001E-3</v>
      </c>
      <c r="M96">
        <v>0.02</v>
      </c>
      <c r="N96" s="4">
        <v>3.5000000000000001E-3</v>
      </c>
      <c r="O96" s="4">
        <v>0.02</v>
      </c>
    </row>
    <row r="97" spans="2:15">
      <c r="B97" t="s">
        <v>104</v>
      </c>
      <c r="C97" t="s">
        <v>50</v>
      </c>
      <c r="D97" t="s">
        <v>401</v>
      </c>
      <c r="E97" t="s">
        <v>402</v>
      </c>
      <c r="F97" t="s">
        <v>10</v>
      </c>
      <c r="G97" t="s">
        <v>401</v>
      </c>
      <c r="H97" t="s">
        <v>403</v>
      </c>
      <c r="I97" t="s">
        <v>32</v>
      </c>
      <c r="J97">
        <v>0</v>
      </c>
      <c r="K97">
        <v>164</v>
      </c>
      <c r="L97" s="4">
        <v>3.5000000000000001E-3</v>
      </c>
      <c r="M97">
        <v>0.02</v>
      </c>
      <c r="N97" s="4">
        <v>0.57400000000000007</v>
      </c>
      <c r="O97" s="4">
        <v>3.2800000000000002</v>
      </c>
    </row>
    <row r="98" spans="2:15">
      <c r="B98" t="s">
        <v>104</v>
      </c>
      <c r="C98" t="s">
        <v>50</v>
      </c>
      <c r="D98" t="s">
        <v>172</v>
      </c>
      <c r="E98" t="s">
        <v>173</v>
      </c>
      <c r="F98" t="s">
        <v>10</v>
      </c>
      <c r="G98" t="s">
        <v>172</v>
      </c>
      <c r="H98" t="s">
        <v>174</v>
      </c>
      <c r="I98" t="s">
        <v>32</v>
      </c>
      <c r="J98">
        <v>0</v>
      </c>
      <c r="K98">
        <v>1</v>
      </c>
      <c r="L98" s="4">
        <v>3.5000000000000001E-3</v>
      </c>
      <c r="M98">
        <v>0.02</v>
      </c>
      <c r="N98" s="4">
        <v>3.5000000000000001E-3</v>
      </c>
      <c r="O98" s="4">
        <v>0.02</v>
      </c>
    </row>
    <row r="99" spans="2:15">
      <c r="B99" t="s">
        <v>104</v>
      </c>
      <c r="C99" t="s">
        <v>49</v>
      </c>
      <c r="D99" t="s">
        <v>404</v>
      </c>
      <c r="E99" t="s">
        <v>405</v>
      </c>
      <c r="F99" t="s">
        <v>12</v>
      </c>
      <c r="G99" t="s">
        <v>404</v>
      </c>
      <c r="H99" t="s">
        <v>406</v>
      </c>
      <c r="I99" t="s">
        <v>31</v>
      </c>
      <c r="J99">
        <v>130208</v>
      </c>
      <c r="K99">
        <v>56</v>
      </c>
      <c r="L99" s="4">
        <v>3.8199999999999998E-2</v>
      </c>
      <c r="M99">
        <v>0.09</v>
      </c>
      <c r="N99" s="4">
        <v>4.9739456000000004</v>
      </c>
      <c r="O99" s="4">
        <v>11.718719999999999</v>
      </c>
    </row>
    <row r="100" spans="2:15">
      <c r="B100" t="s">
        <v>104</v>
      </c>
      <c r="C100" t="s">
        <v>49</v>
      </c>
      <c r="D100" t="s">
        <v>407</v>
      </c>
      <c r="E100" t="s">
        <v>408</v>
      </c>
      <c r="F100" t="s">
        <v>12</v>
      </c>
      <c r="G100" t="s">
        <v>407</v>
      </c>
      <c r="H100" t="s">
        <v>409</v>
      </c>
      <c r="I100" t="s">
        <v>31</v>
      </c>
      <c r="J100">
        <v>337852</v>
      </c>
      <c r="K100">
        <v>90</v>
      </c>
      <c r="L100" s="4">
        <v>3.8199999999999998E-2</v>
      </c>
      <c r="M100">
        <v>0.09</v>
      </c>
      <c r="N100" s="4">
        <v>12.905946399999999</v>
      </c>
      <c r="O100" s="4">
        <v>30.406680000000001</v>
      </c>
    </row>
    <row r="101" spans="2:15">
      <c r="B101" t="s">
        <v>104</v>
      </c>
      <c r="C101" t="s">
        <v>49</v>
      </c>
      <c r="D101" t="s">
        <v>410</v>
      </c>
      <c r="E101" t="s">
        <v>411</v>
      </c>
      <c r="F101" t="s">
        <v>12</v>
      </c>
      <c r="G101" t="s">
        <v>410</v>
      </c>
      <c r="H101" t="s">
        <v>412</v>
      </c>
      <c r="I101" t="s">
        <v>31</v>
      </c>
      <c r="J101">
        <v>1773226</v>
      </c>
      <c r="K101">
        <v>1099</v>
      </c>
      <c r="L101" s="4">
        <v>3.8199999999999998E-2</v>
      </c>
      <c r="M101">
        <v>0.09</v>
      </c>
      <c r="N101" s="4">
        <v>67.737233200000006</v>
      </c>
      <c r="O101" s="4">
        <v>159.59034</v>
      </c>
    </row>
    <row r="102" spans="2:15">
      <c r="B102" t="s">
        <v>104</v>
      </c>
      <c r="C102" t="s">
        <v>49</v>
      </c>
      <c r="D102" t="s">
        <v>413</v>
      </c>
      <c r="E102" t="s">
        <v>414</v>
      </c>
      <c r="F102" t="s">
        <v>12</v>
      </c>
      <c r="G102" t="s">
        <v>413</v>
      </c>
      <c r="H102" t="s">
        <v>415</v>
      </c>
      <c r="I102" t="s">
        <v>31</v>
      </c>
      <c r="J102">
        <v>2351398</v>
      </c>
      <c r="K102">
        <v>1851</v>
      </c>
      <c r="L102" s="4">
        <v>3.8199999999999998E-2</v>
      </c>
      <c r="M102">
        <v>0.09</v>
      </c>
      <c r="N102" s="4">
        <v>89.823403599999992</v>
      </c>
      <c r="O102" s="4">
        <v>211.62581999999998</v>
      </c>
    </row>
    <row r="103" spans="2:15">
      <c r="B103" t="s">
        <v>104</v>
      </c>
      <c r="C103" t="s">
        <v>49</v>
      </c>
      <c r="D103" t="s">
        <v>416</v>
      </c>
      <c r="E103" t="s">
        <v>417</v>
      </c>
      <c r="F103" t="s">
        <v>12</v>
      </c>
      <c r="G103" t="s">
        <v>416</v>
      </c>
      <c r="H103" t="s">
        <v>418</v>
      </c>
      <c r="I103" t="s">
        <v>31</v>
      </c>
      <c r="J103">
        <v>351996</v>
      </c>
      <c r="K103">
        <v>135</v>
      </c>
      <c r="L103" s="4">
        <v>3.8199999999999998E-2</v>
      </c>
      <c r="M103">
        <v>0.09</v>
      </c>
      <c r="N103" s="4">
        <v>13.4462472</v>
      </c>
      <c r="O103" s="4">
        <v>31.679639999999999</v>
      </c>
    </row>
    <row r="104" spans="2:15">
      <c r="B104" t="s">
        <v>104</v>
      </c>
      <c r="C104" t="s">
        <v>49</v>
      </c>
      <c r="D104" t="s">
        <v>419</v>
      </c>
      <c r="E104" t="s">
        <v>420</v>
      </c>
      <c r="F104" t="s">
        <v>12</v>
      </c>
      <c r="G104" t="s">
        <v>419</v>
      </c>
      <c r="H104" t="s">
        <v>421</v>
      </c>
      <c r="I104" t="s">
        <v>31</v>
      </c>
      <c r="J104">
        <v>495162</v>
      </c>
      <c r="K104">
        <v>173</v>
      </c>
      <c r="L104" s="4">
        <v>3.8199999999999998E-2</v>
      </c>
      <c r="M104">
        <v>0.09</v>
      </c>
      <c r="N104" s="4">
        <v>18.915188399999998</v>
      </c>
      <c r="O104" s="4">
        <v>44.564579999999999</v>
      </c>
    </row>
    <row r="105" spans="2:15">
      <c r="B105" t="s">
        <v>104</v>
      </c>
      <c r="C105" t="s">
        <v>49</v>
      </c>
      <c r="D105" t="s">
        <v>422</v>
      </c>
      <c r="E105" t="s">
        <v>423</v>
      </c>
      <c r="F105" t="s">
        <v>12</v>
      </c>
      <c r="G105" t="s">
        <v>422</v>
      </c>
      <c r="H105" t="s">
        <v>424</v>
      </c>
      <c r="I105" t="s">
        <v>31</v>
      </c>
      <c r="J105">
        <v>71528</v>
      </c>
      <c r="K105">
        <v>76</v>
      </c>
      <c r="L105" s="4">
        <v>3.8199999999999998E-2</v>
      </c>
      <c r="M105">
        <v>0.09</v>
      </c>
      <c r="N105" s="4">
        <v>2.7323696000000002</v>
      </c>
      <c r="O105" s="4">
        <v>6.4375199999999992</v>
      </c>
    </row>
    <row r="106" spans="2:15">
      <c r="B106" t="s">
        <v>104</v>
      </c>
      <c r="C106" t="s">
        <v>49</v>
      </c>
      <c r="D106" t="s">
        <v>425</v>
      </c>
      <c r="E106" t="s">
        <v>426</v>
      </c>
      <c r="F106" t="s">
        <v>12</v>
      </c>
      <c r="G106" t="s">
        <v>425</v>
      </c>
      <c r="H106" t="s">
        <v>427</v>
      </c>
      <c r="I106" t="s">
        <v>31</v>
      </c>
      <c r="J106">
        <v>65764</v>
      </c>
      <c r="K106">
        <v>43</v>
      </c>
      <c r="L106" s="4">
        <v>3.8199999999999998E-2</v>
      </c>
      <c r="M106">
        <v>0.09</v>
      </c>
      <c r="N106" s="4">
        <v>2.5121848</v>
      </c>
      <c r="O106" s="4">
        <v>5.9187599999999998</v>
      </c>
    </row>
    <row r="107" spans="2:15">
      <c r="B107" t="s">
        <v>104</v>
      </c>
      <c r="C107" t="s">
        <v>49</v>
      </c>
      <c r="D107" t="s">
        <v>428</v>
      </c>
      <c r="E107" t="s">
        <v>429</v>
      </c>
      <c r="F107" t="s">
        <v>12</v>
      </c>
      <c r="G107" t="s">
        <v>428</v>
      </c>
      <c r="H107" t="s">
        <v>430</v>
      </c>
      <c r="I107" t="s">
        <v>31</v>
      </c>
      <c r="J107">
        <v>100</v>
      </c>
      <c r="K107">
        <v>0</v>
      </c>
      <c r="L107" s="4">
        <v>3.8199999999999998E-2</v>
      </c>
      <c r="M107">
        <v>0.09</v>
      </c>
      <c r="N107" s="4">
        <v>3.82E-3</v>
      </c>
      <c r="O107" s="4">
        <v>8.9999999999999993E-3</v>
      </c>
    </row>
    <row r="108" spans="2:15">
      <c r="B108" t="s">
        <v>104</v>
      </c>
      <c r="C108" t="s">
        <v>49</v>
      </c>
      <c r="D108" t="s">
        <v>175</v>
      </c>
      <c r="E108" t="s">
        <v>176</v>
      </c>
      <c r="F108" t="s">
        <v>12</v>
      </c>
      <c r="G108" t="s">
        <v>175</v>
      </c>
      <c r="H108" t="s">
        <v>177</v>
      </c>
      <c r="I108" t="s">
        <v>31</v>
      </c>
      <c r="J108">
        <v>151</v>
      </c>
      <c r="K108">
        <v>1</v>
      </c>
      <c r="L108" s="4">
        <v>3.8199999999999998E-2</v>
      </c>
      <c r="M108">
        <v>0.09</v>
      </c>
      <c r="N108" s="4">
        <v>5.7681999999999994E-3</v>
      </c>
      <c r="O108" s="4">
        <v>1.359E-2</v>
      </c>
    </row>
    <row r="109" spans="2:15">
      <c r="B109" t="s">
        <v>104</v>
      </c>
      <c r="C109" t="s">
        <v>49</v>
      </c>
      <c r="D109" t="s">
        <v>431</v>
      </c>
      <c r="E109" t="s">
        <v>432</v>
      </c>
      <c r="F109" t="s">
        <v>12</v>
      </c>
      <c r="G109" t="s">
        <v>431</v>
      </c>
      <c r="H109" t="s">
        <v>433</v>
      </c>
      <c r="I109" t="s">
        <v>31</v>
      </c>
      <c r="J109">
        <v>24</v>
      </c>
      <c r="K109">
        <v>0</v>
      </c>
      <c r="L109" s="4">
        <v>3.8199999999999998E-2</v>
      </c>
      <c r="M109">
        <v>0.09</v>
      </c>
      <c r="N109" s="4">
        <v>9.1679999999999995E-4</v>
      </c>
      <c r="O109" s="4">
        <v>2.16E-3</v>
      </c>
    </row>
    <row r="110" spans="2:15">
      <c r="B110" t="s">
        <v>104</v>
      </c>
      <c r="C110" t="s">
        <v>49</v>
      </c>
      <c r="D110" t="s">
        <v>178</v>
      </c>
      <c r="E110" t="s">
        <v>179</v>
      </c>
      <c r="F110" t="s">
        <v>12</v>
      </c>
      <c r="G110" t="s">
        <v>178</v>
      </c>
      <c r="H110" t="s">
        <v>180</v>
      </c>
      <c r="I110" t="s">
        <v>31</v>
      </c>
      <c r="J110">
        <v>38</v>
      </c>
      <c r="K110">
        <v>0</v>
      </c>
      <c r="L110" s="4">
        <v>3.8199999999999998E-2</v>
      </c>
      <c r="M110">
        <v>0.09</v>
      </c>
      <c r="N110" s="4">
        <v>1.4515999999999999E-3</v>
      </c>
      <c r="O110" s="4">
        <v>3.4199999999999999E-3</v>
      </c>
    </row>
    <row r="111" spans="2:15">
      <c r="B111" t="s">
        <v>104</v>
      </c>
      <c r="C111" t="s">
        <v>49</v>
      </c>
      <c r="D111" t="s">
        <v>181</v>
      </c>
      <c r="E111" t="s">
        <v>182</v>
      </c>
      <c r="F111" t="s">
        <v>12</v>
      </c>
      <c r="G111" t="s">
        <v>181</v>
      </c>
      <c r="H111" t="s">
        <v>183</v>
      </c>
      <c r="I111" t="s">
        <v>31</v>
      </c>
      <c r="J111">
        <v>64731</v>
      </c>
      <c r="K111">
        <v>32</v>
      </c>
      <c r="L111" s="4">
        <v>3.8199999999999998E-2</v>
      </c>
      <c r="M111">
        <v>0.09</v>
      </c>
      <c r="N111" s="4">
        <v>2.4727241999999996</v>
      </c>
      <c r="O111" s="4">
        <v>5.8257899999999996</v>
      </c>
    </row>
    <row r="112" spans="2:15">
      <c r="B112" t="s">
        <v>104</v>
      </c>
      <c r="C112" t="s">
        <v>49</v>
      </c>
      <c r="D112" t="s">
        <v>184</v>
      </c>
      <c r="E112" t="s">
        <v>185</v>
      </c>
      <c r="F112" t="s">
        <v>12</v>
      </c>
      <c r="G112" t="s">
        <v>184</v>
      </c>
      <c r="H112" t="s">
        <v>186</v>
      </c>
      <c r="I112" t="s">
        <v>31</v>
      </c>
      <c r="J112">
        <v>676014</v>
      </c>
      <c r="K112">
        <v>359</v>
      </c>
      <c r="L112" s="4">
        <v>3.8199999999999998E-2</v>
      </c>
      <c r="M112">
        <v>0.09</v>
      </c>
      <c r="N112" s="4">
        <v>25.823734799999997</v>
      </c>
      <c r="O112" s="4">
        <v>60.841259999999991</v>
      </c>
    </row>
    <row r="113" spans="2:15">
      <c r="B113" t="s">
        <v>104</v>
      </c>
      <c r="C113" t="s">
        <v>49</v>
      </c>
      <c r="D113" t="s">
        <v>187</v>
      </c>
      <c r="E113" t="s">
        <v>188</v>
      </c>
      <c r="F113" t="s">
        <v>12</v>
      </c>
      <c r="G113" t="s">
        <v>187</v>
      </c>
      <c r="H113" t="s">
        <v>189</v>
      </c>
      <c r="I113" t="s">
        <v>31</v>
      </c>
      <c r="J113">
        <v>161426</v>
      </c>
      <c r="K113">
        <v>119</v>
      </c>
      <c r="L113" s="4">
        <v>3.8199999999999998E-2</v>
      </c>
      <c r="M113">
        <v>0.09</v>
      </c>
      <c r="N113" s="4">
        <v>6.1664731999999995</v>
      </c>
      <c r="O113" s="4">
        <v>14.52834</v>
      </c>
    </row>
    <row r="114" spans="2:15">
      <c r="B114" t="s">
        <v>104</v>
      </c>
      <c r="C114" t="s">
        <v>49</v>
      </c>
      <c r="D114" t="s">
        <v>190</v>
      </c>
      <c r="E114" t="s">
        <v>191</v>
      </c>
      <c r="F114" t="s">
        <v>12</v>
      </c>
      <c r="G114" t="s">
        <v>190</v>
      </c>
      <c r="H114" t="s">
        <v>192</v>
      </c>
      <c r="I114" t="s">
        <v>31</v>
      </c>
      <c r="J114">
        <v>398349</v>
      </c>
      <c r="K114">
        <v>394</v>
      </c>
      <c r="L114" s="4">
        <v>3.8199999999999998E-2</v>
      </c>
      <c r="M114">
        <v>0.09</v>
      </c>
      <c r="N114" s="4">
        <v>15.216931799999999</v>
      </c>
      <c r="O114" s="4">
        <v>35.851409999999994</v>
      </c>
    </row>
    <row r="115" spans="2:15">
      <c r="B115" t="s">
        <v>104</v>
      </c>
      <c r="C115" t="s">
        <v>49</v>
      </c>
      <c r="D115" t="s">
        <v>193</v>
      </c>
      <c r="E115" t="s">
        <v>194</v>
      </c>
      <c r="F115" t="s">
        <v>12</v>
      </c>
      <c r="G115" t="s">
        <v>193</v>
      </c>
      <c r="H115" t="s">
        <v>195</v>
      </c>
      <c r="I115" t="s">
        <v>31</v>
      </c>
      <c r="J115">
        <v>65329</v>
      </c>
      <c r="K115">
        <v>37</v>
      </c>
      <c r="L115" s="4">
        <v>3.8199999999999998E-2</v>
      </c>
      <c r="M115">
        <v>0.09</v>
      </c>
      <c r="N115" s="4">
        <v>2.4955677999999999</v>
      </c>
      <c r="O115" s="4">
        <v>5.8796099999999996</v>
      </c>
    </row>
    <row r="116" spans="2:15">
      <c r="B116" t="s">
        <v>104</v>
      </c>
      <c r="C116" t="s">
        <v>49</v>
      </c>
      <c r="D116" t="s">
        <v>196</v>
      </c>
      <c r="E116" t="s">
        <v>197</v>
      </c>
      <c r="F116" t="s">
        <v>12</v>
      </c>
      <c r="G116" t="s">
        <v>196</v>
      </c>
      <c r="H116" t="s">
        <v>198</v>
      </c>
      <c r="I116" t="s">
        <v>31</v>
      </c>
      <c r="J116">
        <v>671518</v>
      </c>
      <c r="K116">
        <v>286</v>
      </c>
      <c r="L116" s="4">
        <v>3.8199999999999998E-2</v>
      </c>
      <c r="M116">
        <v>0.09</v>
      </c>
      <c r="N116" s="4">
        <v>25.651987599999998</v>
      </c>
      <c r="O116" s="4">
        <v>60.436619999999998</v>
      </c>
    </row>
    <row r="117" spans="2:15">
      <c r="B117" t="s">
        <v>104</v>
      </c>
      <c r="C117" t="s">
        <v>49</v>
      </c>
      <c r="D117" t="s">
        <v>199</v>
      </c>
      <c r="E117" t="s">
        <v>200</v>
      </c>
      <c r="F117" t="s">
        <v>12</v>
      </c>
      <c r="G117" t="s">
        <v>199</v>
      </c>
      <c r="H117" t="s">
        <v>201</v>
      </c>
      <c r="I117" t="s">
        <v>31</v>
      </c>
      <c r="J117">
        <v>163037</v>
      </c>
      <c r="K117">
        <v>119</v>
      </c>
      <c r="L117" s="4">
        <v>3.8199999999999998E-2</v>
      </c>
      <c r="M117">
        <v>0.09</v>
      </c>
      <c r="N117" s="4">
        <v>6.2280134</v>
      </c>
      <c r="O117" s="4">
        <v>14.67333</v>
      </c>
    </row>
    <row r="118" spans="2:15">
      <c r="B118" t="s">
        <v>104</v>
      </c>
      <c r="C118" t="s">
        <v>49</v>
      </c>
      <c r="D118" t="s">
        <v>202</v>
      </c>
      <c r="E118" t="s">
        <v>203</v>
      </c>
      <c r="F118" t="s">
        <v>12</v>
      </c>
      <c r="G118" t="s">
        <v>202</v>
      </c>
      <c r="H118" t="s">
        <v>204</v>
      </c>
      <c r="I118" t="s">
        <v>31</v>
      </c>
      <c r="J118">
        <v>29612</v>
      </c>
      <c r="K118">
        <v>25</v>
      </c>
      <c r="L118" s="4">
        <v>3.8199999999999998E-2</v>
      </c>
      <c r="M118">
        <v>0.09</v>
      </c>
      <c r="N118" s="4">
        <v>1.1311784</v>
      </c>
      <c r="O118" s="4">
        <v>2.6650800000000001</v>
      </c>
    </row>
    <row r="119" spans="2:15">
      <c r="B119" t="s">
        <v>104</v>
      </c>
      <c r="C119" t="s">
        <v>49</v>
      </c>
      <c r="D119" t="s">
        <v>205</v>
      </c>
      <c r="E119" t="s">
        <v>206</v>
      </c>
      <c r="F119" t="s">
        <v>12</v>
      </c>
      <c r="G119" t="s">
        <v>205</v>
      </c>
      <c r="H119" t="s">
        <v>207</v>
      </c>
      <c r="I119" t="s">
        <v>31</v>
      </c>
      <c r="J119">
        <v>2484149</v>
      </c>
      <c r="K119">
        <v>9111</v>
      </c>
      <c r="L119" s="4">
        <v>3.8199999999999998E-2</v>
      </c>
      <c r="M119">
        <v>0.09</v>
      </c>
      <c r="N119" s="4">
        <v>94.894491799999983</v>
      </c>
      <c r="O119" s="4">
        <v>223.57341</v>
      </c>
    </row>
    <row r="120" spans="2:15">
      <c r="B120" t="s">
        <v>104</v>
      </c>
      <c r="C120" t="s">
        <v>49</v>
      </c>
      <c r="D120" t="s">
        <v>208</v>
      </c>
      <c r="E120" t="s">
        <v>209</v>
      </c>
      <c r="F120" t="s">
        <v>12</v>
      </c>
      <c r="G120" t="s">
        <v>208</v>
      </c>
      <c r="H120" t="s">
        <v>210</v>
      </c>
      <c r="I120" t="s">
        <v>31</v>
      </c>
      <c r="J120">
        <v>226225</v>
      </c>
      <c r="K120">
        <v>1275</v>
      </c>
      <c r="L120" s="4">
        <v>3.8199999999999998E-2</v>
      </c>
      <c r="M120">
        <v>0.09</v>
      </c>
      <c r="N120" s="4">
        <v>8.6417950000000001</v>
      </c>
      <c r="O120" s="4">
        <v>20.360250000000001</v>
      </c>
    </row>
    <row r="121" spans="2:15">
      <c r="B121" t="s">
        <v>104</v>
      </c>
      <c r="C121" t="s">
        <v>49</v>
      </c>
      <c r="D121" t="s">
        <v>211</v>
      </c>
      <c r="E121" t="s">
        <v>212</v>
      </c>
      <c r="F121" t="s">
        <v>12</v>
      </c>
      <c r="G121" t="s">
        <v>211</v>
      </c>
      <c r="H121" t="s">
        <v>213</v>
      </c>
      <c r="I121" t="s">
        <v>31</v>
      </c>
      <c r="J121">
        <v>15358</v>
      </c>
      <c r="K121">
        <v>33</v>
      </c>
      <c r="L121" s="4">
        <v>3.8199999999999998E-2</v>
      </c>
      <c r="M121">
        <v>0.09</v>
      </c>
      <c r="N121" s="4">
        <v>0.58667559999999996</v>
      </c>
      <c r="O121" s="4">
        <v>1.38222</v>
      </c>
    </row>
    <row r="122" spans="2:15">
      <c r="B122" t="s">
        <v>104</v>
      </c>
      <c r="C122" t="s">
        <v>49</v>
      </c>
      <c r="D122" t="s">
        <v>434</v>
      </c>
      <c r="E122" t="s">
        <v>435</v>
      </c>
      <c r="F122" t="s">
        <v>10</v>
      </c>
      <c r="G122" t="s">
        <v>434</v>
      </c>
      <c r="H122" t="s">
        <v>436</v>
      </c>
      <c r="I122" t="s">
        <v>32</v>
      </c>
      <c r="J122">
        <v>0</v>
      </c>
      <c r="K122">
        <v>1</v>
      </c>
      <c r="L122" s="4">
        <v>3.5000000000000001E-3</v>
      </c>
      <c r="M122">
        <v>0.02</v>
      </c>
      <c r="N122" s="4">
        <v>3.5000000000000001E-3</v>
      </c>
      <c r="O122" s="4">
        <v>0.02</v>
      </c>
    </row>
    <row r="123" spans="2:15">
      <c r="B123" t="s">
        <v>104</v>
      </c>
      <c r="C123" t="s">
        <v>49</v>
      </c>
      <c r="D123" t="s">
        <v>437</v>
      </c>
      <c r="E123" t="s">
        <v>438</v>
      </c>
      <c r="F123" t="s">
        <v>10</v>
      </c>
      <c r="G123" t="s">
        <v>437</v>
      </c>
      <c r="H123" t="s">
        <v>439</v>
      </c>
      <c r="I123" t="s">
        <v>32</v>
      </c>
      <c r="J123">
        <v>0</v>
      </c>
      <c r="K123">
        <v>2</v>
      </c>
      <c r="L123" s="4">
        <v>3.5000000000000001E-3</v>
      </c>
      <c r="M123">
        <v>0.02</v>
      </c>
      <c r="N123" s="4">
        <v>7.0000000000000001E-3</v>
      </c>
      <c r="O123" s="4">
        <v>0.04</v>
      </c>
    </row>
    <row r="124" spans="2:15">
      <c r="B124" t="s">
        <v>104</v>
      </c>
      <c r="C124" t="s">
        <v>49</v>
      </c>
      <c r="D124" t="s">
        <v>440</v>
      </c>
      <c r="E124" t="s">
        <v>441</v>
      </c>
      <c r="F124" t="s">
        <v>10</v>
      </c>
      <c r="G124" t="s">
        <v>440</v>
      </c>
      <c r="H124" t="s">
        <v>442</v>
      </c>
      <c r="I124" t="s">
        <v>32</v>
      </c>
      <c r="J124">
        <v>0</v>
      </c>
      <c r="K124">
        <v>1</v>
      </c>
      <c r="L124" s="4">
        <v>3.5000000000000001E-3</v>
      </c>
      <c r="M124">
        <v>0.02</v>
      </c>
      <c r="N124" s="4">
        <v>3.5000000000000001E-3</v>
      </c>
      <c r="O124" s="4">
        <v>0.02</v>
      </c>
    </row>
    <row r="125" spans="2:15">
      <c r="B125" t="s">
        <v>104</v>
      </c>
      <c r="C125" t="s">
        <v>49</v>
      </c>
      <c r="D125" t="s">
        <v>443</v>
      </c>
      <c r="E125" t="s">
        <v>444</v>
      </c>
      <c r="F125" t="s">
        <v>10</v>
      </c>
      <c r="G125" t="s">
        <v>443</v>
      </c>
      <c r="H125" t="s">
        <v>445</v>
      </c>
      <c r="I125" t="s">
        <v>32</v>
      </c>
      <c r="J125">
        <v>0</v>
      </c>
      <c r="K125">
        <v>1</v>
      </c>
      <c r="L125" s="4">
        <v>3.5000000000000001E-3</v>
      </c>
      <c r="M125">
        <v>0.02</v>
      </c>
      <c r="N125" s="4">
        <v>3.5000000000000001E-3</v>
      </c>
      <c r="O125" s="4">
        <v>0.02</v>
      </c>
    </row>
    <row r="126" spans="2:15">
      <c r="B126" t="s">
        <v>104</v>
      </c>
      <c r="C126" t="s">
        <v>49</v>
      </c>
      <c r="D126" t="s">
        <v>446</v>
      </c>
      <c r="E126" t="s">
        <v>447</v>
      </c>
      <c r="F126" t="s">
        <v>10</v>
      </c>
      <c r="G126" t="s">
        <v>446</v>
      </c>
      <c r="H126" t="s">
        <v>448</v>
      </c>
      <c r="I126" t="s">
        <v>32</v>
      </c>
      <c r="J126">
        <v>0</v>
      </c>
      <c r="K126">
        <v>1</v>
      </c>
      <c r="L126" s="4">
        <v>3.5000000000000001E-3</v>
      </c>
      <c r="M126">
        <v>0.02</v>
      </c>
      <c r="N126" s="4">
        <v>3.5000000000000001E-3</v>
      </c>
      <c r="O126" s="4">
        <v>0.02</v>
      </c>
    </row>
    <row r="127" spans="2:15">
      <c r="B127" t="s">
        <v>104</v>
      </c>
      <c r="C127" t="s">
        <v>49</v>
      </c>
      <c r="D127" t="s">
        <v>449</v>
      </c>
      <c r="E127" t="s">
        <v>450</v>
      </c>
      <c r="F127" t="s">
        <v>10</v>
      </c>
      <c r="G127" t="s">
        <v>449</v>
      </c>
      <c r="H127" t="s">
        <v>451</v>
      </c>
      <c r="I127" t="s">
        <v>32</v>
      </c>
      <c r="J127">
        <v>0</v>
      </c>
      <c r="K127">
        <v>1</v>
      </c>
      <c r="L127" s="4">
        <v>3.5000000000000001E-3</v>
      </c>
      <c r="M127">
        <v>0.02</v>
      </c>
      <c r="N127" s="4">
        <v>3.5000000000000001E-3</v>
      </c>
      <c r="O127" s="4">
        <v>0.02</v>
      </c>
    </row>
    <row r="128" spans="2:15">
      <c r="B128" t="s">
        <v>104</v>
      </c>
      <c r="C128" t="s">
        <v>49</v>
      </c>
      <c r="D128" t="s">
        <v>452</v>
      </c>
      <c r="E128" t="s">
        <v>453</v>
      </c>
      <c r="F128" t="s">
        <v>10</v>
      </c>
      <c r="G128" t="s">
        <v>452</v>
      </c>
      <c r="H128" t="s">
        <v>454</v>
      </c>
      <c r="I128" t="s">
        <v>32</v>
      </c>
      <c r="J128">
        <v>0</v>
      </c>
      <c r="K128">
        <v>1</v>
      </c>
      <c r="L128" s="4">
        <v>3.5000000000000001E-3</v>
      </c>
      <c r="M128">
        <v>0.02</v>
      </c>
      <c r="N128" s="4">
        <v>3.5000000000000001E-3</v>
      </c>
      <c r="O128" s="4">
        <v>0.02</v>
      </c>
    </row>
    <row r="129" spans="2:15">
      <c r="B129" t="s">
        <v>104</v>
      </c>
      <c r="C129" t="s">
        <v>49</v>
      </c>
      <c r="D129" t="s">
        <v>455</v>
      </c>
      <c r="E129" t="s">
        <v>456</v>
      </c>
      <c r="F129" t="s">
        <v>10</v>
      </c>
      <c r="G129" t="s">
        <v>455</v>
      </c>
      <c r="H129" t="s">
        <v>457</v>
      </c>
      <c r="I129" t="s">
        <v>32</v>
      </c>
      <c r="J129">
        <v>0</v>
      </c>
      <c r="K129">
        <v>1</v>
      </c>
      <c r="L129" s="4">
        <v>3.5000000000000001E-3</v>
      </c>
      <c r="M129">
        <v>0.02</v>
      </c>
      <c r="N129" s="4">
        <v>3.5000000000000001E-3</v>
      </c>
      <c r="O129" s="4">
        <v>0.02</v>
      </c>
    </row>
    <row r="130" spans="2:15">
      <c r="B130" t="s">
        <v>104</v>
      </c>
      <c r="C130" t="s">
        <v>49</v>
      </c>
      <c r="D130" t="s">
        <v>458</v>
      </c>
      <c r="E130" t="s">
        <v>459</v>
      </c>
      <c r="F130" t="s">
        <v>10</v>
      </c>
      <c r="G130" t="s">
        <v>458</v>
      </c>
      <c r="H130" t="s">
        <v>460</v>
      </c>
      <c r="I130" t="s">
        <v>32</v>
      </c>
      <c r="J130">
        <v>0</v>
      </c>
      <c r="K130">
        <v>1</v>
      </c>
      <c r="L130" s="4">
        <v>3.5000000000000001E-3</v>
      </c>
      <c r="M130">
        <v>0.02</v>
      </c>
      <c r="N130" s="4">
        <v>3.5000000000000001E-3</v>
      </c>
      <c r="O130" s="4">
        <v>0.02</v>
      </c>
    </row>
    <row r="131" spans="2:15">
      <c r="B131" t="s">
        <v>104</v>
      </c>
      <c r="C131" t="s">
        <v>49</v>
      </c>
      <c r="D131" t="s">
        <v>461</v>
      </c>
      <c r="E131" t="s">
        <v>462</v>
      </c>
      <c r="F131" t="s">
        <v>10</v>
      </c>
      <c r="G131" t="s">
        <v>461</v>
      </c>
      <c r="H131" t="s">
        <v>463</v>
      </c>
      <c r="I131" t="s">
        <v>32</v>
      </c>
      <c r="J131">
        <v>0</v>
      </c>
      <c r="K131">
        <v>1</v>
      </c>
      <c r="L131" s="4">
        <v>3.5000000000000001E-3</v>
      </c>
      <c r="M131">
        <v>0.02</v>
      </c>
      <c r="N131" s="4">
        <v>3.5000000000000001E-3</v>
      </c>
      <c r="O131" s="4">
        <v>0.02</v>
      </c>
    </row>
    <row r="132" spans="2:15">
      <c r="B132" t="s">
        <v>104</v>
      </c>
      <c r="C132" t="s">
        <v>49</v>
      </c>
      <c r="D132" t="s">
        <v>464</v>
      </c>
      <c r="E132" t="s">
        <v>465</v>
      </c>
      <c r="F132" t="s">
        <v>10</v>
      </c>
      <c r="G132" t="s">
        <v>464</v>
      </c>
      <c r="H132" t="s">
        <v>466</v>
      </c>
      <c r="I132" t="s">
        <v>32</v>
      </c>
      <c r="J132">
        <v>0</v>
      </c>
      <c r="K132">
        <v>1</v>
      </c>
      <c r="L132" s="4">
        <v>3.5000000000000001E-3</v>
      </c>
      <c r="M132">
        <v>0.02</v>
      </c>
      <c r="N132" s="4">
        <v>3.5000000000000001E-3</v>
      </c>
      <c r="O132" s="4">
        <v>0.02</v>
      </c>
    </row>
    <row r="133" spans="2:15">
      <c r="B133" t="s">
        <v>104</v>
      </c>
      <c r="C133" t="s">
        <v>49</v>
      </c>
      <c r="D133" t="s">
        <v>467</v>
      </c>
      <c r="E133" t="s">
        <v>468</v>
      </c>
      <c r="F133" t="s">
        <v>10</v>
      </c>
      <c r="G133" t="s">
        <v>467</v>
      </c>
      <c r="H133" t="s">
        <v>469</v>
      </c>
      <c r="I133" t="s">
        <v>32</v>
      </c>
      <c r="J133">
        <v>0</v>
      </c>
      <c r="K133">
        <v>1</v>
      </c>
      <c r="L133" s="4">
        <v>3.5000000000000001E-3</v>
      </c>
      <c r="M133">
        <v>0.02</v>
      </c>
      <c r="N133" s="4">
        <v>3.5000000000000001E-3</v>
      </c>
      <c r="O133" s="4">
        <v>0.02</v>
      </c>
    </row>
    <row r="134" spans="2:15">
      <c r="B134" t="s">
        <v>104</v>
      </c>
      <c r="C134" t="s">
        <v>49</v>
      </c>
      <c r="D134" t="s">
        <v>470</v>
      </c>
      <c r="E134" t="s">
        <v>471</v>
      </c>
      <c r="F134" t="s">
        <v>10</v>
      </c>
      <c r="G134" t="s">
        <v>470</v>
      </c>
      <c r="H134" t="s">
        <v>472</v>
      </c>
      <c r="I134" t="s">
        <v>32</v>
      </c>
      <c r="J134">
        <v>0</v>
      </c>
      <c r="K134">
        <v>2</v>
      </c>
      <c r="L134" s="4">
        <v>3.5000000000000001E-3</v>
      </c>
      <c r="M134">
        <v>0.02</v>
      </c>
      <c r="N134" s="4">
        <v>7.0000000000000001E-3</v>
      </c>
      <c r="O134" s="4">
        <v>0.04</v>
      </c>
    </row>
    <row r="135" spans="2:15">
      <c r="B135" t="s">
        <v>104</v>
      </c>
      <c r="C135" t="s">
        <v>49</v>
      </c>
      <c r="D135" t="s">
        <v>473</v>
      </c>
      <c r="E135" t="s">
        <v>474</v>
      </c>
      <c r="F135" t="s">
        <v>10</v>
      </c>
      <c r="G135" t="s">
        <v>473</v>
      </c>
      <c r="H135" t="s">
        <v>475</v>
      </c>
      <c r="I135" t="s">
        <v>32</v>
      </c>
      <c r="J135">
        <v>0</v>
      </c>
      <c r="K135">
        <v>3</v>
      </c>
      <c r="L135" s="4">
        <v>3.5000000000000001E-3</v>
      </c>
      <c r="M135">
        <v>0.02</v>
      </c>
      <c r="N135" s="4">
        <v>1.0500000000000001E-2</v>
      </c>
      <c r="O135" s="4">
        <v>0.06</v>
      </c>
    </row>
    <row r="136" spans="2:15">
      <c r="B136" t="s">
        <v>104</v>
      </c>
      <c r="C136" t="s">
        <v>49</v>
      </c>
      <c r="D136" t="s">
        <v>476</v>
      </c>
      <c r="E136" t="s">
        <v>477</v>
      </c>
      <c r="F136" t="s">
        <v>10</v>
      </c>
      <c r="G136" t="s">
        <v>476</v>
      </c>
      <c r="H136" t="s">
        <v>478</v>
      </c>
      <c r="I136" t="s">
        <v>32</v>
      </c>
      <c r="J136">
        <v>0</v>
      </c>
      <c r="K136">
        <v>2</v>
      </c>
      <c r="L136" s="4">
        <v>3.5000000000000001E-3</v>
      </c>
      <c r="M136">
        <v>0.02</v>
      </c>
      <c r="N136" s="4">
        <v>7.0000000000000001E-3</v>
      </c>
      <c r="O136" s="4">
        <v>0.04</v>
      </c>
    </row>
    <row r="137" spans="2:15">
      <c r="B137" t="s">
        <v>104</v>
      </c>
      <c r="C137" t="s">
        <v>49</v>
      </c>
      <c r="D137" t="s">
        <v>479</v>
      </c>
      <c r="E137" t="s">
        <v>480</v>
      </c>
      <c r="F137" t="s">
        <v>10</v>
      </c>
      <c r="G137" t="s">
        <v>479</v>
      </c>
      <c r="H137" t="s">
        <v>481</v>
      </c>
      <c r="I137" t="s">
        <v>32</v>
      </c>
      <c r="J137">
        <v>0</v>
      </c>
      <c r="K137">
        <v>2</v>
      </c>
      <c r="L137" s="4">
        <v>3.5000000000000001E-3</v>
      </c>
      <c r="M137">
        <v>0.02</v>
      </c>
      <c r="N137" s="4">
        <v>7.0000000000000001E-3</v>
      </c>
      <c r="O137" s="4">
        <v>0.04</v>
      </c>
    </row>
    <row r="138" spans="2:15">
      <c r="B138" t="s">
        <v>104</v>
      </c>
      <c r="C138" t="s">
        <v>49</v>
      </c>
      <c r="D138" t="s">
        <v>214</v>
      </c>
      <c r="E138" t="s">
        <v>215</v>
      </c>
      <c r="F138" t="s">
        <v>10</v>
      </c>
      <c r="G138" t="s">
        <v>214</v>
      </c>
      <c r="H138" t="s">
        <v>216</v>
      </c>
      <c r="I138" t="s">
        <v>32</v>
      </c>
      <c r="J138">
        <v>0</v>
      </c>
      <c r="K138">
        <v>4</v>
      </c>
      <c r="L138" s="4">
        <v>3.5000000000000001E-3</v>
      </c>
      <c r="M138">
        <v>0.02</v>
      </c>
      <c r="N138" s="4">
        <v>1.4E-2</v>
      </c>
      <c r="O138" s="4">
        <v>0.08</v>
      </c>
    </row>
    <row r="139" spans="2:15">
      <c r="B139" t="s">
        <v>104</v>
      </c>
      <c r="C139" t="s">
        <v>49</v>
      </c>
      <c r="D139" t="s">
        <v>217</v>
      </c>
      <c r="E139" t="s">
        <v>218</v>
      </c>
      <c r="F139" t="s">
        <v>10</v>
      </c>
      <c r="G139" t="s">
        <v>217</v>
      </c>
      <c r="H139" t="s">
        <v>219</v>
      </c>
      <c r="I139" t="s">
        <v>32</v>
      </c>
      <c r="J139">
        <v>0</v>
      </c>
      <c r="K139">
        <v>8</v>
      </c>
      <c r="L139" s="4">
        <v>3.5000000000000001E-3</v>
      </c>
      <c r="M139">
        <v>0.02</v>
      </c>
      <c r="N139" s="4">
        <v>2.8000000000000001E-2</v>
      </c>
      <c r="O139" s="4">
        <v>0.16</v>
      </c>
    </row>
    <row r="140" spans="2:15">
      <c r="B140" t="s">
        <v>104</v>
      </c>
      <c r="C140" t="s">
        <v>52</v>
      </c>
      <c r="D140" t="s">
        <v>220</v>
      </c>
      <c r="E140" t="s">
        <v>221</v>
      </c>
      <c r="F140" t="s">
        <v>12</v>
      </c>
      <c r="G140" t="s">
        <v>220</v>
      </c>
      <c r="H140" t="s">
        <v>222</v>
      </c>
      <c r="I140" t="s">
        <v>31</v>
      </c>
      <c r="J140">
        <v>4</v>
      </c>
      <c r="K140">
        <v>0</v>
      </c>
      <c r="L140" s="4">
        <v>3.8199999999999998E-2</v>
      </c>
      <c r="M140">
        <v>0.09</v>
      </c>
      <c r="N140" s="4">
        <v>1.528E-4</v>
      </c>
      <c r="O140" s="4">
        <v>3.5999999999999997E-4</v>
      </c>
    </row>
    <row r="141" spans="2:15">
      <c r="B141" t="s">
        <v>104</v>
      </c>
      <c r="C141" t="s">
        <v>52</v>
      </c>
      <c r="D141" t="s">
        <v>223</v>
      </c>
      <c r="E141" t="s">
        <v>224</v>
      </c>
      <c r="F141" t="s">
        <v>12</v>
      </c>
      <c r="G141" t="s">
        <v>223</v>
      </c>
      <c r="H141" t="s">
        <v>225</v>
      </c>
      <c r="I141" t="s">
        <v>31</v>
      </c>
      <c r="J141">
        <v>1</v>
      </c>
      <c r="K141">
        <v>0</v>
      </c>
      <c r="L141" s="4">
        <v>3.8199999999999998E-2</v>
      </c>
      <c r="M141">
        <v>0.09</v>
      </c>
      <c r="N141" s="4">
        <v>3.82E-5</v>
      </c>
      <c r="O141" s="4">
        <v>8.9999999999999992E-5</v>
      </c>
    </row>
    <row r="142" spans="2:15">
      <c r="B142" t="s">
        <v>104</v>
      </c>
      <c r="C142" t="s">
        <v>52</v>
      </c>
      <c r="D142" t="s">
        <v>226</v>
      </c>
      <c r="E142" t="s">
        <v>227</v>
      </c>
      <c r="F142" t="s">
        <v>10</v>
      </c>
      <c r="G142" t="s">
        <v>226</v>
      </c>
      <c r="H142" t="s">
        <v>228</v>
      </c>
      <c r="I142" t="s">
        <v>32</v>
      </c>
      <c r="J142">
        <v>0</v>
      </c>
      <c r="K142">
        <v>2</v>
      </c>
      <c r="L142" s="4">
        <v>3.5000000000000001E-3</v>
      </c>
      <c r="M142">
        <v>0.02</v>
      </c>
      <c r="N142" s="4">
        <v>7.0000000000000001E-3</v>
      </c>
      <c r="O142" s="4">
        <v>0.04</v>
      </c>
    </row>
    <row r="143" spans="2:15">
      <c r="B143" t="s">
        <v>104</v>
      </c>
      <c r="C143" t="s">
        <v>52</v>
      </c>
      <c r="D143" t="s">
        <v>229</v>
      </c>
      <c r="E143" t="s">
        <v>230</v>
      </c>
      <c r="F143" t="s">
        <v>10</v>
      </c>
      <c r="G143" t="s">
        <v>229</v>
      </c>
      <c r="H143" t="s">
        <v>231</v>
      </c>
      <c r="I143" t="s">
        <v>32</v>
      </c>
      <c r="J143">
        <v>0</v>
      </c>
      <c r="K143">
        <v>60</v>
      </c>
      <c r="L143" s="4">
        <v>3.5000000000000001E-3</v>
      </c>
      <c r="M143">
        <v>0.02</v>
      </c>
      <c r="N143" s="4">
        <v>0.21</v>
      </c>
      <c r="O143" s="4">
        <v>1.2</v>
      </c>
    </row>
    <row r="144" spans="2:15">
      <c r="B144" t="s">
        <v>104</v>
      </c>
      <c r="C144" t="s">
        <v>52</v>
      </c>
      <c r="D144" t="s">
        <v>232</v>
      </c>
      <c r="E144" t="s">
        <v>233</v>
      </c>
      <c r="F144" t="s">
        <v>10</v>
      </c>
      <c r="G144" t="s">
        <v>232</v>
      </c>
      <c r="H144" t="s">
        <v>234</v>
      </c>
      <c r="I144" t="s">
        <v>32</v>
      </c>
      <c r="J144">
        <v>0</v>
      </c>
      <c r="K144">
        <v>1</v>
      </c>
      <c r="L144" s="4">
        <v>3.5000000000000001E-3</v>
      </c>
      <c r="M144">
        <v>0.02</v>
      </c>
      <c r="N144" s="4">
        <v>3.5000000000000001E-3</v>
      </c>
      <c r="O144" s="4">
        <v>0.02</v>
      </c>
    </row>
    <row r="145" spans="2:15">
      <c r="B145" t="s">
        <v>104</v>
      </c>
      <c r="C145" t="s">
        <v>51</v>
      </c>
      <c r="D145" t="s">
        <v>482</v>
      </c>
      <c r="E145" t="s">
        <v>483</v>
      </c>
      <c r="F145" t="s">
        <v>10</v>
      </c>
      <c r="G145" t="s">
        <v>482</v>
      </c>
      <c r="H145" t="s">
        <v>484</v>
      </c>
      <c r="I145" t="s">
        <v>32</v>
      </c>
      <c r="J145">
        <v>0</v>
      </c>
      <c r="K145">
        <v>59</v>
      </c>
      <c r="L145" s="4">
        <v>3.5000000000000001E-3</v>
      </c>
      <c r="M145">
        <v>0.02</v>
      </c>
      <c r="N145" s="4">
        <v>0.20650000000000002</v>
      </c>
      <c r="O145" s="4">
        <v>1.18</v>
      </c>
    </row>
    <row r="146" spans="2:15">
      <c r="B146" t="s">
        <v>104</v>
      </c>
      <c r="C146" t="s">
        <v>51</v>
      </c>
      <c r="D146" t="s">
        <v>485</v>
      </c>
      <c r="E146" t="s">
        <v>486</v>
      </c>
      <c r="F146" t="s">
        <v>10</v>
      </c>
      <c r="G146" t="s">
        <v>485</v>
      </c>
      <c r="H146" t="s">
        <v>487</v>
      </c>
      <c r="I146" t="s">
        <v>32</v>
      </c>
      <c r="J146">
        <v>0</v>
      </c>
      <c r="K146">
        <v>6833</v>
      </c>
      <c r="L146" s="4">
        <v>3.5000000000000001E-3</v>
      </c>
      <c r="M146">
        <v>0.02</v>
      </c>
      <c r="N146" s="4">
        <v>23.915500000000002</v>
      </c>
      <c r="O146" s="4">
        <v>136.66</v>
      </c>
    </row>
    <row r="147" spans="2:15">
      <c r="B147" t="s">
        <v>104</v>
      </c>
      <c r="C147" t="s">
        <v>51</v>
      </c>
      <c r="D147" t="s">
        <v>488</v>
      </c>
      <c r="E147" t="s">
        <v>489</v>
      </c>
      <c r="F147" t="s">
        <v>10</v>
      </c>
      <c r="G147" t="s">
        <v>488</v>
      </c>
      <c r="H147" t="s">
        <v>490</v>
      </c>
      <c r="I147" t="s">
        <v>32</v>
      </c>
      <c r="J147">
        <v>0</v>
      </c>
      <c r="K147">
        <v>874</v>
      </c>
      <c r="L147" s="4">
        <v>3.5000000000000001E-3</v>
      </c>
      <c r="M147">
        <v>0.02</v>
      </c>
      <c r="N147" s="4">
        <v>3.0590000000000002</v>
      </c>
      <c r="O147" s="4">
        <v>17.48</v>
      </c>
    </row>
    <row r="148" spans="2:15">
      <c r="B148" t="s">
        <v>235</v>
      </c>
      <c r="C148" t="s">
        <v>50</v>
      </c>
      <c r="D148" t="s">
        <v>236</v>
      </c>
      <c r="E148" t="s">
        <v>237</v>
      </c>
      <c r="F148" t="s">
        <v>10</v>
      </c>
      <c r="G148" t="s">
        <v>236</v>
      </c>
      <c r="H148" t="s">
        <v>238</v>
      </c>
      <c r="I148" t="s">
        <v>32</v>
      </c>
      <c r="J148">
        <v>0</v>
      </c>
      <c r="K148">
        <v>1</v>
      </c>
      <c r="L148" s="4">
        <v>3.5000000000000001E-3</v>
      </c>
      <c r="M148">
        <v>0.02</v>
      </c>
      <c r="N148" s="4">
        <v>3.5000000000000001E-3</v>
      </c>
      <c r="O148" s="4">
        <v>0.02</v>
      </c>
    </row>
    <row r="149" spans="2:15">
      <c r="B149" t="s">
        <v>235</v>
      </c>
      <c r="C149" t="s">
        <v>50</v>
      </c>
      <c r="D149" t="s">
        <v>239</v>
      </c>
      <c r="E149" t="s">
        <v>240</v>
      </c>
      <c r="F149" t="s">
        <v>10</v>
      </c>
      <c r="G149" t="s">
        <v>239</v>
      </c>
      <c r="H149" t="s">
        <v>241</v>
      </c>
      <c r="I149" t="s">
        <v>32</v>
      </c>
      <c r="J149">
        <v>0</v>
      </c>
      <c r="K149">
        <v>1</v>
      </c>
      <c r="L149" s="4">
        <v>3.5000000000000001E-3</v>
      </c>
      <c r="M149">
        <v>0.02</v>
      </c>
      <c r="N149" s="4">
        <v>3.5000000000000001E-3</v>
      </c>
      <c r="O149" s="4">
        <v>0.02</v>
      </c>
    </row>
    <row r="150" spans="2:15">
      <c r="B150" t="s">
        <v>235</v>
      </c>
      <c r="C150" t="s">
        <v>50</v>
      </c>
      <c r="D150" t="s">
        <v>242</v>
      </c>
      <c r="E150" t="s">
        <v>243</v>
      </c>
      <c r="F150" t="s">
        <v>10</v>
      </c>
      <c r="G150" t="s">
        <v>242</v>
      </c>
      <c r="H150" t="s">
        <v>244</v>
      </c>
      <c r="I150" t="s">
        <v>32</v>
      </c>
      <c r="J150">
        <v>0</v>
      </c>
      <c r="K150">
        <v>2</v>
      </c>
      <c r="L150" s="4">
        <v>3.5000000000000001E-3</v>
      </c>
      <c r="M150">
        <v>0.02</v>
      </c>
      <c r="N150" s="4">
        <v>7.0000000000000001E-3</v>
      </c>
      <c r="O150" s="4">
        <v>0.04</v>
      </c>
    </row>
    <row r="151" spans="2:15">
      <c r="B151" t="s">
        <v>235</v>
      </c>
      <c r="C151" t="s">
        <v>50</v>
      </c>
      <c r="D151" t="s">
        <v>245</v>
      </c>
      <c r="E151" t="s">
        <v>246</v>
      </c>
      <c r="F151" t="s">
        <v>10</v>
      </c>
      <c r="G151" t="s">
        <v>245</v>
      </c>
      <c r="H151" t="s">
        <v>247</v>
      </c>
      <c r="I151" t="s">
        <v>32</v>
      </c>
      <c r="J151">
        <v>0</v>
      </c>
      <c r="K151">
        <v>1</v>
      </c>
      <c r="L151" s="4">
        <v>3.5000000000000001E-3</v>
      </c>
      <c r="M151">
        <v>0.02</v>
      </c>
      <c r="N151" s="4">
        <v>3.5000000000000001E-3</v>
      </c>
      <c r="O151" s="4">
        <v>0.02</v>
      </c>
    </row>
    <row r="152" spans="2:15">
      <c r="B152" t="s">
        <v>235</v>
      </c>
      <c r="C152" t="s">
        <v>50</v>
      </c>
      <c r="D152" t="s">
        <v>248</v>
      </c>
      <c r="E152" t="s">
        <v>249</v>
      </c>
      <c r="F152" t="s">
        <v>10</v>
      </c>
      <c r="G152" t="s">
        <v>248</v>
      </c>
      <c r="H152" t="s">
        <v>250</v>
      </c>
      <c r="I152" t="s">
        <v>32</v>
      </c>
      <c r="J152">
        <v>0</v>
      </c>
      <c r="K152">
        <v>3</v>
      </c>
      <c r="L152" s="4">
        <v>3.5000000000000001E-3</v>
      </c>
      <c r="M152">
        <v>0.02</v>
      </c>
      <c r="N152" s="4">
        <v>1.0500000000000001E-2</v>
      </c>
      <c r="O152" s="4">
        <v>0.06</v>
      </c>
    </row>
    <row r="153" spans="2:15">
      <c r="B153" t="s">
        <v>235</v>
      </c>
      <c r="C153" t="s">
        <v>50</v>
      </c>
      <c r="D153" t="s">
        <v>251</v>
      </c>
      <c r="E153" t="s">
        <v>252</v>
      </c>
      <c r="F153" t="s">
        <v>10</v>
      </c>
      <c r="G153" t="s">
        <v>251</v>
      </c>
      <c r="H153" t="s">
        <v>253</v>
      </c>
      <c r="I153" t="s">
        <v>32</v>
      </c>
      <c r="J153">
        <v>0</v>
      </c>
      <c r="K153">
        <v>3</v>
      </c>
      <c r="L153" s="4">
        <v>3.5000000000000001E-3</v>
      </c>
      <c r="M153">
        <v>0.02</v>
      </c>
      <c r="N153" s="4">
        <v>1.0500000000000001E-2</v>
      </c>
      <c r="O153" s="4">
        <v>0.06</v>
      </c>
    </row>
    <row r="154" spans="2:15">
      <c r="B154" t="s">
        <v>235</v>
      </c>
      <c r="C154" t="s">
        <v>50</v>
      </c>
      <c r="D154" t="s">
        <v>254</v>
      </c>
      <c r="E154" t="s">
        <v>255</v>
      </c>
      <c r="F154" t="s">
        <v>10</v>
      </c>
      <c r="G154" t="s">
        <v>254</v>
      </c>
      <c r="H154" t="s">
        <v>256</v>
      </c>
      <c r="I154" t="s">
        <v>32</v>
      </c>
      <c r="J154">
        <v>0</v>
      </c>
      <c r="K154">
        <v>2</v>
      </c>
      <c r="L154" s="4">
        <v>3.5000000000000001E-3</v>
      </c>
      <c r="M154">
        <v>0.02</v>
      </c>
      <c r="N154" s="4">
        <v>7.0000000000000001E-3</v>
      </c>
      <c r="O154" s="4">
        <v>0.04</v>
      </c>
    </row>
    <row r="155" spans="2:15">
      <c r="B155" t="s">
        <v>235</v>
      </c>
      <c r="C155" t="s">
        <v>50</v>
      </c>
      <c r="D155" t="s">
        <v>257</v>
      </c>
      <c r="E155" t="s">
        <v>258</v>
      </c>
      <c r="F155" t="s">
        <v>10</v>
      </c>
      <c r="G155" t="s">
        <v>257</v>
      </c>
      <c r="H155" t="s">
        <v>259</v>
      </c>
      <c r="I155" t="s">
        <v>32</v>
      </c>
      <c r="J155">
        <v>0</v>
      </c>
      <c r="K155">
        <v>2</v>
      </c>
      <c r="L155" s="4">
        <v>3.5000000000000001E-3</v>
      </c>
      <c r="M155">
        <v>0.02</v>
      </c>
      <c r="N155" s="4">
        <v>7.0000000000000001E-3</v>
      </c>
      <c r="O155" s="4">
        <v>0.04</v>
      </c>
    </row>
    <row r="156" spans="2:15">
      <c r="B156" t="s">
        <v>235</v>
      </c>
      <c r="C156" t="s">
        <v>50</v>
      </c>
      <c r="D156" t="s">
        <v>260</v>
      </c>
      <c r="E156" t="s">
        <v>261</v>
      </c>
      <c r="F156" t="s">
        <v>10</v>
      </c>
      <c r="G156" t="s">
        <v>260</v>
      </c>
      <c r="H156" t="s">
        <v>262</v>
      </c>
      <c r="I156" t="s">
        <v>32</v>
      </c>
      <c r="J156">
        <v>0</v>
      </c>
      <c r="K156">
        <v>2</v>
      </c>
      <c r="L156" s="4">
        <v>3.5000000000000001E-3</v>
      </c>
      <c r="M156">
        <v>0.02</v>
      </c>
      <c r="N156" s="4">
        <v>7.0000000000000001E-3</v>
      </c>
      <c r="O156" s="4">
        <v>0.04</v>
      </c>
    </row>
    <row r="157" spans="2:15">
      <c r="B157" t="s">
        <v>235</v>
      </c>
      <c r="C157" t="s">
        <v>50</v>
      </c>
      <c r="D157" t="s">
        <v>263</v>
      </c>
      <c r="E157" t="s">
        <v>264</v>
      </c>
      <c r="F157" t="s">
        <v>10</v>
      </c>
      <c r="G157" t="s">
        <v>263</v>
      </c>
      <c r="H157" t="s">
        <v>265</v>
      </c>
      <c r="I157" t="s">
        <v>32</v>
      </c>
      <c r="J157">
        <v>0</v>
      </c>
      <c r="K157">
        <v>2</v>
      </c>
      <c r="L157" s="4">
        <v>3.5000000000000001E-3</v>
      </c>
      <c r="M157">
        <v>0.02</v>
      </c>
      <c r="N157" s="4">
        <v>7.0000000000000001E-3</v>
      </c>
      <c r="O157" s="4">
        <v>0.04</v>
      </c>
    </row>
    <row r="158" spans="2:15">
      <c r="B158" t="s">
        <v>235</v>
      </c>
      <c r="C158" t="s">
        <v>50</v>
      </c>
      <c r="D158" t="s">
        <v>266</v>
      </c>
      <c r="E158" t="s">
        <v>267</v>
      </c>
      <c r="F158" t="s">
        <v>10</v>
      </c>
      <c r="G158" t="s">
        <v>266</v>
      </c>
      <c r="H158" t="s">
        <v>268</v>
      </c>
      <c r="I158" t="s">
        <v>32</v>
      </c>
      <c r="J158">
        <v>0</v>
      </c>
      <c r="K158">
        <v>1</v>
      </c>
      <c r="L158" s="4">
        <v>3.5000000000000001E-3</v>
      </c>
      <c r="M158">
        <v>0.02</v>
      </c>
      <c r="N158" s="4">
        <v>3.5000000000000001E-3</v>
      </c>
      <c r="O158" s="4">
        <v>0.02</v>
      </c>
    </row>
    <row r="159" spans="2:15">
      <c r="B159" t="s">
        <v>235</v>
      </c>
      <c r="C159" t="s">
        <v>53</v>
      </c>
      <c r="D159" t="s">
        <v>269</v>
      </c>
      <c r="E159" t="s">
        <v>270</v>
      </c>
      <c r="F159" t="s">
        <v>10</v>
      </c>
      <c r="G159" t="s">
        <v>269</v>
      </c>
      <c r="H159" t="s">
        <v>271</v>
      </c>
      <c r="I159" t="s">
        <v>32</v>
      </c>
      <c r="J159">
        <v>0</v>
      </c>
      <c r="K159">
        <v>3</v>
      </c>
      <c r="L159" s="4">
        <v>3.5000000000000001E-3</v>
      </c>
      <c r="M159">
        <v>0.02</v>
      </c>
      <c r="N159" s="4">
        <v>1.0500000000000001E-2</v>
      </c>
      <c r="O159" s="4">
        <v>0.06</v>
      </c>
    </row>
    <row r="160" spans="2:15">
      <c r="B160" t="s">
        <v>235</v>
      </c>
      <c r="C160" t="s">
        <v>53</v>
      </c>
      <c r="D160" t="s">
        <v>272</v>
      </c>
      <c r="E160" t="s">
        <v>273</v>
      </c>
      <c r="F160" t="s">
        <v>10</v>
      </c>
      <c r="G160" t="s">
        <v>272</v>
      </c>
      <c r="H160" t="s">
        <v>274</v>
      </c>
      <c r="I160" t="s">
        <v>32</v>
      </c>
      <c r="J160">
        <v>0</v>
      </c>
      <c r="K160">
        <v>6</v>
      </c>
      <c r="L160" s="4">
        <v>3.5000000000000001E-3</v>
      </c>
      <c r="M160">
        <v>0.02</v>
      </c>
      <c r="N160" s="4">
        <v>2.1000000000000001E-2</v>
      </c>
      <c r="O160" s="4">
        <v>0.12</v>
      </c>
    </row>
    <row r="161" spans="2:15">
      <c r="B161" t="s">
        <v>235</v>
      </c>
      <c r="C161" t="s">
        <v>53</v>
      </c>
      <c r="D161" t="s">
        <v>275</v>
      </c>
      <c r="E161" t="s">
        <v>276</v>
      </c>
      <c r="F161" t="s">
        <v>10</v>
      </c>
      <c r="G161" t="s">
        <v>275</v>
      </c>
      <c r="H161" t="s">
        <v>277</v>
      </c>
      <c r="I161" t="s">
        <v>32</v>
      </c>
      <c r="J161">
        <v>0</v>
      </c>
      <c r="K161">
        <v>4</v>
      </c>
      <c r="L161" s="4">
        <v>3.5000000000000001E-3</v>
      </c>
      <c r="M161">
        <v>0.02</v>
      </c>
      <c r="N161" s="4">
        <v>1.4E-2</v>
      </c>
      <c r="O161" s="4">
        <v>0.08</v>
      </c>
    </row>
    <row r="162" spans="2:15">
      <c r="B162" t="s">
        <v>278</v>
      </c>
      <c r="C162" t="s">
        <v>49</v>
      </c>
      <c r="D162" t="s">
        <v>279</v>
      </c>
      <c r="E162" t="s">
        <v>280</v>
      </c>
      <c r="F162" t="s">
        <v>12</v>
      </c>
      <c r="G162" t="s">
        <v>279</v>
      </c>
      <c r="H162" t="s">
        <v>281</v>
      </c>
      <c r="I162" t="s">
        <v>31</v>
      </c>
      <c r="J162">
        <v>127</v>
      </c>
      <c r="K162">
        <v>7</v>
      </c>
      <c r="L162" s="4">
        <v>3.8199999999999998E-2</v>
      </c>
      <c r="M162">
        <v>0.09</v>
      </c>
      <c r="N162" s="4">
        <v>4.8513999999999996E-3</v>
      </c>
      <c r="O162" s="4">
        <v>1.1429999999999999E-2</v>
      </c>
    </row>
    <row r="163" spans="2:15">
      <c r="N163" s="5"/>
      <c r="O163" s="5"/>
    </row>
    <row r="164" spans="2:15">
      <c r="L164" s="4"/>
      <c r="N164" s="4"/>
      <c r="O164" s="4"/>
    </row>
    <row r="165" spans="2:15">
      <c r="L165" s="4"/>
      <c r="N165" s="4"/>
      <c r="O165" s="4"/>
    </row>
    <row r="166" spans="2:15">
      <c r="L166" s="4"/>
      <c r="N166" s="4"/>
      <c r="O166" s="4"/>
    </row>
    <row r="167" spans="2:15">
      <c r="L167" s="4"/>
      <c r="N167" s="4"/>
      <c r="O167" s="4"/>
    </row>
    <row r="168" spans="2:15">
      <c r="L168" s="4"/>
      <c r="N168" s="4"/>
      <c r="O168" s="4"/>
    </row>
    <row r="169" spans="2:15">
      <c r="L169" s="4"/>
      <c r="N169" s="4"/>
      <c r="O169" s="4"/>
    </row>
    <row r="170" spans="2:15">
      <c r="L170" s="4"/>
      <c r="N170" s="4"/>
      <c r="O170" s="4"/>
    </row>
    <row r="171" spans="2:15">
      <c r="L171" s="4"/>
      <c r="N171" s="4"/>
      <c r="O171" s="4"/>
    </row>
    <row r="172" spans="2:15">
      <c r="L172" s="4"/>
      <c r="N172" s="4"/>
      <c r="O172" s="4"/>
    </row>
    <row r="173" spans="2:15">
      <c r="L173" s="4"/>
      <c r="N173" s="4"/>
      <c r="O173" s="4"/>
    </row>
    <row r="174" spans="2:15">
      <c r="L174" s="4"/>
      <c r="N174" s="4"/>
      <c r="O174" s="4"/>
    </row>
    <row r="175" spans="2:15">
      <c r="L175" s="4"/>
      <c r="N175" s="4"/>
      <c r="O175" s="4"/>
    </row>
    <row r="176" spans="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N374" s="5"/>
      <c r="O374" s="5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N405" s="5"/>
      <c r="O405" s="5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N1231" s="5"/>
      <c r="O1231" s="5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2019-06-24T14:20:21Z</dcterms:modified>
</cp:coreProperties>
</file>