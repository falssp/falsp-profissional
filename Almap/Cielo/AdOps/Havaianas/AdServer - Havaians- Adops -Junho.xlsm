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2876380F-B961-4DD7-AF2D-49A89F775EFB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dados'!$A$1:$J$4189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7" i="6" l="1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3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8" i="6"/>
  <c r="E4759" i="6"/>
  <c r="E4760" i="6"/>
  <c r="E4761" i="6"/>
  <c r="E4762" i="6"/>
  <c r="E4763" i="6"/>
  <c r="E4764" i="6"/>
  <c r="E4765" i="6"/>
  <c r="E4766" i="6"/>
  <c r="E4767" i="6"/>
  <c r="E4768" i="6"/>
  <c r="E4769" i="6"/>
  <c r="E4770" i="6"/>
  <c r="E4771" i="6"/>
  <c r="E4772" i="6"/>
  <c r="E4773" i="6"/>
  <c r="E4774" i="6"/>
  <c r="E4775" i="6"/>
  <c r="E4776" i="6"/>
  <c r="E4777" i="6"/>
  <c r="E4778" i="6"/>
  <c r="E4779" i="6"/>
  <c r="E4780" i="6"/>
  <c r="E4781" i="6"/>
  <c r="E4782" i="6"/>
  <c r="E4783" i="6"/>
  <c r="E4784" i="6"/>
  <c r="E4785" i="6"/>
  <c r="E4786" i="6"/>
  <c r="E4787" i="6"/>
  <c r="E4788" i="6"/>
  <c r="E4789" i="6"/>
  <c r="E4790" i="6"/>
  <c r="E4791" i="6"/>
  <c r="E4792" i="6"/>
  <c r="E4793" i="6"/>
  <c r="E4794" i="6"/>
  <c r="E4795" i="6"/>
  <c r="E4796" i="6"/>
  <c r="E4797" i="6"/>
  <c r="E4798" i="6"/>
  <c r="E4799" i="6"/>
  <c r="E4800" i="6"/>
  <c r="E4801" i="6"/>
  <c r="E4802" i="6"/>
  <c r="E4803" i="6"/>
  <c r="E4804" i="6"/>
  <c r="E4805" i="6"/>
  <c r="E4806" i="6"/>
  <c r="E4807" i="6"/>
  <c r="E4808" i="6"/>
  <c r="E4809" i="6"/>
  <c r="E4810" i="6"/>
  <c r="E4811" i="6"/>
  <c r="E4812" i="6"/>
  <c r="E4813" i="6"/>
  <c r="E4814" i="6"/>
  <c r="E4815" i="6"/>
  <c r="E4816" i="6"/>
  <c r="E4817" i="6"/>
  <c r="E4818" i="6"/>
  <c r="E4819" i="6"/>
  <c r="E4820" i="6"/>
  <c r="E4821" i="6"/>
  <c r="E4822" i="6"/>
  <c r="E4823" i="6"/>
  <c r="E4824" i="6"/>
  <c r="E4825" i="6"/>
  <c r="E4826" i="6"/>
  <c r="E4827" i="6"/>
  <c r="E4828" i="6"/>
  <c r="E4829" i="6"/>
  <c r="E4830" i="6"/>
  <c r="E4831" i="6"/>
  <c r="E4832" i="6"/>
  <c r="E4833" i="6"/>
  <c r="E4834" i="6"/>
  <c r="E4835" i="6"/>
  <c r="E4836" i="6"/>
  <c r="E4837" i="6"/>
  <c r="E4838" i="6"/>
  <c r="E4839" i="6"/>
  <c r="E4840" i="6"/>
  <c r="E4841" i="6"/>
  <c r="E4842" i="6"/>
  <c r="E4843" i="6"/>
  <c r="E4844" i="6"/>
  <c r="E4845" i="6"/>
  <c r="E4846" i="6"/>
  <c r="E4847" i="6"/>
  <c r="E4848" i="6"/>
  <c r="E4849" i="6"/>
  <c r="E4850" i="6"/>
  <c r="E4851" i="6"/>
  <c r="E4852" i="6"/>
  <c r="E4853" i="6"/>
  <c r="E4854" i="6"/>
  <c r="E4855" i="6"/>
  <c r="E4856" i="6"/>
  <c r="E4857" i="6"/>
  <c r="E4858" i="6"/>
  <c r="E4859" i="6"/>
  <c r="E4860" i="6"/>
  <c r="E4861" i="6"/>
  <c r="E4862" i="6"/>
  <c r="E4863" i="6"/>
  <c r="E4864" i="6"/>
  <c r="E4865" i="6"/>
  <c r="E4866" i="6"/>
  <c r="E4867" i="6"/>
  <c r="E4868" i="6"/>
  <c r="E4869" i="6"/>
  <c r="E4870" i="6"/>
  <c r="E4871" i="6"/>
  <c r="E4872" i="6"/>
  <c r="E4873" i="6"/>
  <c r="E4874" i="6"/>
  <c r="E4875" i="6"/>
  <c r="E4876" i="6"/>
  <c r="E4877" i="6"/>
  <c r="E4878" i="6"/>
  <c r="E4879" i="6"/>
  <c r="E4880" i="6"/>
  <c r="E4881" i="6"/>
  <c r="E4882" i="6"/>
  <c r="E4883" i="6"/>
  <c r="E4884" i="6"/>
  <c r="E4885" i="6"/>
  <c r="E4886" i="6"/>
  <c r="E4887" i="6"/>
  <c r="E4888" i="6"/>
  <c r="E4889" i="6"/>
  <c r="E4890" i="6"/>
  <c r="E4891" i="6"/>
  <c r="E4892" i="6"/>
  <c r="E4893" i="6"/>
  <c r="E4894" i="6"/>
  <c r="E4895" i="6"/>
  <c r="E4896" i="6"/>
  <c r="E4897" i="6"/>
  <c r="E4898" i="6"/>
  <c r="E4899" i="6"/>
  <c r="E4900" i="6"/>
  <c r="E4901" i="6"/>
  <c r="E4902" i="6"/>
  <c r="E4903" i="6"/>
  <c r="E4904" i="6"/>
  <c r="E4905" i="6"/>
  <c r="E4906" i="6"/>
  <c r="E4907" i="6"/>
  <c r="E4908" i="6"/>
  <c r="E4909" i="6"/>
  <c r="E4910" i="6"/>
  <c r="E4911" i="6"/>
  <c r="E4912" i="6"/>
  <c r="E4913" i="6"/>
  <c r="E4914" i="6"/>
  <c r="E4915" i="6"/>
  <c r="E4916" i="6"/>
  <c r="E4917" i="6"/>
  <c r="E4918" i="6"/>
  <c r="E4919" i="6"/>
  <c r="E4920" i="6"/>
  <c r="E4921" i="6"/>
  <c r="E4922" i="6"/>
  <c r="E4923" i="6"/>
  <c r="E4924" i="6"/>
  <c r="E4925" i="6"/>
  <c r="E4926" i="6"/>
  <c r="E4927" i="6"/>
  <c r="E4928" i="6"/>
  <c r="E4929" i="6"/>
  <c r="E4930" i="6"/>
  <c r="E4931" i="6"/>
  <c r="E4932" i="6"/>
  <c r="E4933" i="6"/>
  <c r="E4934" i="6"/>
  <c r="E4935" i="6"/>
  <c r="E4936" i="6"/>
  <c r="E4937" i="6"/>
  <c r="E4938" i="6"/>
  <c r="E4939" i="6"/>
  <c r="E4940" i="6"/>
  <c r="E4941" i="6"/>
  <c r="E4942" i="6"/>
  <c r="E4943" i="6"/>
  <c r="E4944" i="6"/>
  <c r="E4945" i="6"/>
  <c r="E4946" i="6"/>
  <c r="E4947" i="6"/>
  <c r="E4948" i="6"/>
  <c r="E4949" i="6"/>
  <c r="E4950" i="6"/>
  <c r="E4951" i="6"/>
  <c r="E4952" i="6"/>
  <c r="E4953" i="6"/>
  <c r="E4954" i="6"/>
  <c r="E4955" i="6"/>
  <c r="E4956" i="6"/>
  <c r="E4957" i="6"/>
  <c r="E4958" i="6"/>
  <c r="E4959" i="6"/>
  <c r="E4960" i="6"/>
  <c r="E4961" i="6"/>
  <c r="E4962" i="6"/>
  <c r="E4963" i="6"/>
  <c r="E4964" i="6"/>
  <c r="E4965" i="6"/>
  <c r="E4966" i="6"/>
  <c r="E4967" i="6"/>
  <c r="E4968" i="6"/>
  <c r="E4969" i="6"/>
  <c r="E4970" i="6"/>
  <c r="E4971" i="6"/>
  <c r="E4972" i="6"/>
  <c r="E4973" i="6"/>
  <c r="E4974" i="6"/>
  <c r="E4975" i="6"/>
  <c r="E4976" i="6"/>
  <c r="E4977" i="6"/>
  <c r="E4978" i="6"/>
  <c r="E4979" i="6"/>
  <c r="E4980" i="6"/>
  <c r="E4981" i="6"/>
  <c r="E4982" i="6"/>
  <c r="E4983" i="6"/>
  <c r="E4984" i="6"/>
  <c r="E4985" i="6"/>
  <c r="E4986" i="6"/>
  <c r="E4987" i="6"/>
  <c r="E4988" i="6"/>
  <c r="E4989" i="6"/>
  <c r="E4990" i="6"/>
  <c r="E4991" i="6"/>
  <c r="E4992" i="6"/>
  <c r="E4993" i="6"/>
  <c r="E4994" i="6"/>
  <c r="E4995" i="6"/>
  <c r="E4996" i="6"/>
  <c r="E4997" i="6"/>
  <c r="E4998" i="6"/>
  <c r="E4999" i="6"/>
  <c r="E5000" i="6"/>
  <c r="E5001" i="6"/>
  <c r="E5002" i="6"/>
  <c r="E5003" i="6"/>
  <c r="E5004" i="6"/>
  <c r="E5005" i="6"/>
  <c r="E5006" i="6"/>
  <c r="E5007" i="6"/>
  <c r="E5008" i="6"/>
  <c r="E5009" i="6"/>
  <c r="E5010" i="6"/>
  <c r="E5011" i="6"/>
  <c r="E5012" i="6"/>
  <c r="E5013" i="6"/>
  <c r="E5014" i="6"/>
  <c r="E5015" i="6"/>
  <c r="E5016" i="6"/>
  <c r="E5017" i="6"/>
  <c r="E5018" i="6"/>
  <c r="E5019" i="6"/>
  <c r="E5020" i="6"/>
  <c r="E5021" i="6"/>
  <c r="E5022" i="6"/>
  <c r="E5023" i="6"/>
  <c r="E5024" i="6"/>
  <c r="E5025" i="6"/>
  <c r="E5026" i="6"/>
  <c r="E5027" i="6"/>
  <c r="E5028" i="6"/>
  <c r="E5029" i="6"/>
  <c r="E5030" i="6"/>
  <c r="E5031" i="6"/>
  <c r="E5032" i="6"/>
  <c r="E5033" i="6"/>
  <c r="E5034" i="6"/>
  <c r="E5035" i="6"/>
  <c r="E5036" i="6"/>
  <c r="E5037" i="6"/>
  <c r="E5038" i="6"/>
  <c r="E5039" i="6"/>
  <c r="E5040" i="6"/>
  <c r="E5041" i="6"/>
  <c r="E5042" i="6"/>
  <c r="E5043" i="6"/>
  <c r="E5044" i="6"/>
  <c r="E5045" i="6"/>
  <c r="E5046" i="6"/>
  <c r="E5047" i="6"/>
  <c r="E5048" i="6"/>
  <c r="E5049" i="6"/>
  <c r="E5050" i="6"/>
  <c r="E5051" i="6"/>
  <c r="E5052" i="6"/>
  <c r="E5053" i="6"/>
  <c r="E5054" i="6"/>
  <c r="E5055" i="6"/>
  <c r="E5056" i="6"/>
  <c r="E5057" i="6"/>
  <c r="E5058" i="6"/>
  <c r="E5059" i="6"/>
  <c r="E5060" i="6"/>
  <c r="E5061" i="6"/>
  <c r="E5062" i="6"/>
  <c r="E5063" i="6"/>
  <c r="E5064" i="6"/>
  <c r="E5065" i="6"/>
  <c r="E5066" i="6"/>
  <c r="E5067" i="6"/>
  <c r="E5068" i="6"/>
  <c r="E5069" i="6"/>
  <c r="E5070" i="6"/>
  <c r="E5071" i="6"/>
  <c r="E5072" i="6"/>
  <c r="E5073" i="6"/>
  <c r="E5074" i="6"/>
  <c r="E5075" i="6"/>
  <c r="E5076" i="6"/>
  <c r="E5077" i="6"/>
  <c r="E5078" i="6"/>
  <c r="E5079" i="6"/>
  <c r="E5080" i="6"/>
  <c r="E5081" i="6"/>
  <c r="E5082" i="6"/>
  <c r="E5083" i="6"/>
  <c r="E5084" i="6"/>
  <c r="E5085" i="6"/>
  <c r="E5086" i="6"/>
  <c r="E5087" i="6"/>
  <c r="E5088" i="6"/>
  <c r="E5089" i="6"/>
  <c r="E5090" i="6"/>
  <c r="E5091" i="6"/>
  <c r="E5092" i="6"/>
  <c r="E5093" i="6"/>
  <c r="E5094" i="6"/>
  <c r="E5095" i="6"/>
  <c r="E5096" i="6"/>
  <c r="E5097" i="6"/>
  <c r="E5098" i="6"/>
  <c r="E5099" i="6"/>
  <c r="E5100" i="6"/>
  <c r="E5101" i="6"/>
  <c r="E5102" i="6"/>
  <c r="E5103" i="6"/>
  <c r="E5104" i="6"/>
  <c r="E5105" i="6"/>
  <c r="E5106" i="6"/>
  <c r="E5107" i="6"/>
  <c r="E5108" i="6"/>
  <c r="E5109" i="6"/>
  <c r="E5110" i="6"/>
  <c r="E5111" i="6"/>
  <c r="E5112" i="6"/>
  <c r="E5113" i="6"/>
  <c r="E5114" i="6"/>
  <c r="E5115" i="6"/>
  <c r="E5116" i="6"/>
  <c r="E5117" i="6"/>
  <c r="E5118" i="6"/>
  <c r="E5119" i="6"/>
  <c r="E5120" i="6"/>
  <c r="E5121" i="6"/>
  <c r="E5122" i="6"/>
  <c r="E5123" i="6"/>
  <c r="E5124" i="6"/>
  <c r="E5125" i="6"/>
  <c r="E5126" i="6"/>
  <c r="E5127" i="6"/>
  <c r="E5128" i="6"/>
  <c r="E5129" i="6"/>
  <c r="E5130" i="6"/>
  <c r="E5131" i="6"/>
  <c r="E5132" i="6"/>
  <c r="E5133" i="6"/>
  <c r="E5134" i="6"/>
  <c r="E5135" i="6"/>
  <c r="E5136" i="6"/>
  <c r="E5137" i="6"/>
  <c r="E5138" i="6"/>
  <c r="E5139" i="6"/>
  <c r="E5140" i="6"/>
  <c r="E5141" i="6"/>
  <c r="E5142" i="6"/>
  <c r="E5143" i="6"/>
  <c r="E5144" i="6"/>
  <c r="E5145" i="6"/>
  <c r="E5146" i="6"/>
  <c r="E5147" i="6"/>
  <c r="E5148" i="6"/>
  <c r="E5149" i="6"/>
  <c r="E5150" i="6"/>
  <c r="E5151" i="6"/>
  <c r="E5152" i="6"/>
  <c r="E5153" i="6"/>
  <c r="E5154" i="6"/>
  <c r="E5155" i="6"/>
  <c r="E5156" i="6"/>
  <c r="E5157" i="6"/>
  <c r="E5158" i="6"/>
  <c r="E5159" i="6"/>
  <c r="E5160" i="6"/>
  <c r="E5161" i="6"/>
  <c r="E5162" i="6"/>
  <c r="E5163" i="6"/>
  <c r="E5164" i="6"/>
  <c r="E5165" i="6"/>
  <c r="E5166" i="6"/>
  <c r="E5167" i="6"/>
  <c r="E5168" i="6"/>
  <c r="E5169" i="6"/>
  <c r="E5170" i="6"/>
  <c r="E5171" i="6"/>
  <c r="E5172" i="6"/>
  <c r="E5173" i="6"/>
  <c r="E5174" i="6"/>
  <c r="E5175" i="6"/>
  <c r="E5176" i="6"/>
  <c r="E5177" i="6"/>
  <c r="E5178" i="6"/>
  <c r="E5179" i="6"/>
  <c r="E5180" i="6"/>
  <c r="E5181" i="6"/>
  <c r="E5182" i="6"/>
  <c r="E5183" i="6"/>
  <c r="E5184" i="6"/>
  <c r="E5185" i="6"/>
  <c r="E5186" i="6"/>
  <c r="E5187" i="6"/>
  <c r="E5188" i="6"/>
  <c r="E5189" i="6"/>
  <c r="E5190" i="6"/>
  <c r="E5191" i="6"/>
  <c r="E5192" i="6"/>
  <c r="E5193" i="6"/>
  <c r="E5194" i="6"/>
  <c r="E5195" i="6"/>
  <c r="E5196" i="6"/>
  <c r="E5197" i="6"/>
  <c r="E5198" i="6"/>
  <c r="E5199" i="6"/>
  <c r="E5200" i="6"/>
  <c r="E5201" i="6"/>
  <c r="E5202" i="6"/>
  <c r="E5203" i="6"/>
  <c r="E5204" i="6"/>
  <c r="E5205" i="6"/>
  <c r="E5206" i="6"/>
  <c r="E5207" i="6"/>
  <c r="E5208" i="6"/>
  <c r="E5209" i="6"/>
  <c r="E5210" i="6"/>
  <c r="E5211" i="6"/>
  <c r="E5212" i="6"/>
  <c r="E5213" i="6"/>
  <c r="E5214" i="6"/>
  <c r="E5215" i="6"/>
  <c r="E5216" i="6"/>
  <c r="E5217" i="6"/>
  <c r="E5218" i="6"/>
  <c r="E5219" i="6"/>
  <c r="E5220" i="6"/>
  <c r="E5221" i="6"/>
  <c r="E5222" i="6"/>
  <c r="E5223" i="6"/>
  <c r="E5224" i="6"/>
  <c r="E5225" i="6"/>
  <c r="E5226" i="6"/>
  <c r="E5227" i="6"/>
  <c r="E5228" i="6"/>
  <c r="E5229" i="6"/>
  <c r="E5230" i="6"/>
  <c r="E5231" i="6"/>
  <c r="E5232" i="6"/>
  <c r="E5233" i="6"/>
  <c r="E5234" i="6"/>
  <c r="E5235" i="6"/>
  <c r="E5236" i="6"/>
  <c r="E5237" i="6"/>
  <c r="E5238" i="6"/>
  <c r="E5239" i="6"/>
  <c r="E5240" i="6"/>
  <c r="E5241" i="6"/>
  <c r="E5242" i="6"/>
  <c r="E5243" i="6"/>
  <c r="E5244" i="6"/>
  <c r="E5245" i="6"/>
  <c r="E5246" i="6"/>
  <c r="E5247" i="6"/>
  <c r="E5248" i="6"/>
  <c r="E5249" i="6"/>
  <c r="E5250" i="6"/>
  <c r="E5251" i="6"/>
  <c r="E5252" i="6"/>
  <c r="E5253" i="6"/>
  <c r="E5254" i="6"/>
  <c r="E5255" i="6"/>
  <c r="E5256" i="6"/>
  <c r="E5257" i="6"/>
  <c r="E5258" i="6"/>
  <c r="E5259" i="6"/>
  <c r="E5260" i="6"/>
  <c r="E5261" i="6"/>
  <c r="E5262" i="6"/>
  <c r="E5263" i="6"/>
  <c r="E5264" i="6"/>
  <c r="E5265" i="6"/>
  <c r="E5266" i="6"/>
  <c r="E5267" i="6"/>
  <c r="E5268" i="6"/>
  <c r="E5269" i="6"/>
  <c r="E5270" i="6"/>
  <c r="E5271" i="6"/>
  <c r="E5272" i="6"/>
  <c r="E5273" i="6"/>
  <c r="E5274" i="6"/>
  <c r="E5275" i="6"/>
  <c r="E5276" i="6"/>
  <c r="E5277" i="6"/>
  <c r="E5278" i="6"/>
  <c r="E5279" i="6"/>
  <c r="E5280" i="6"/>
  <c r="E5281" i="6"/>
  <c r="E5282" i="6"/>
  <c r="E5283" i="6"/>
  <c r="E5284" i="6"/>
  <c r="E5285" i="6"/>
  <c r="E5286" i="6"/>
  <c r="E5287" i="6"/>
  <c r="E5288" i="6"/>
  <c r="E5289" i="6"/>
  <c r="E5290" i="6"/>
  <c r="E5291" i="6"/>
  <c r="E5292" i="6"/>
  <c r="E5293" i="6"/>
  <c r="E5294" i="6"/>
  <c r="E5295" i="6"/>
  <c r="E5296" i="6"/>
  <c r="E5297" i="6"/>
  <c r="E5298" i="6"/>
  <c r="E5299" i="6"/>
  <c r="E5300" i="6"/>
  <c r="E5301" i="6"/>
  <c r="E5302" i="6"/>
  <c r="E5303" i="6"/>
  <c r="E5304" i="6"/>
  <c r="E5305" i="6"/>
  <c r="E5306" i="6"/>
  <c r="E5307" i="6"/>
  <c r="E5308" i="6"/>
  <c r="E5309" i="6"/>
  <c r="E5310" i="6"/>
  <c r="E5311" i="6"/>
  <c r="E5312" i="6"/>
  <c r="E5313" i="6"/>
  <c r="E5314" i="6"/>
  <c r="E5315" i="6"/>
  <c r="E5316" i="6"/>
  <c r="E5317" i="6"/>
  <c r="E5318" i="6"/>
  <c r="E5319" i="6"/>
  <c r="E5320" i="6"/>
  <c r="E5321" i="6"/>
  <c r="E5322" i="6"/>
  <c r="E5323" i="6"/>
  <c r="E5324" i="6"/>
  <c r="E5325" i="6"/>
  <c r="E5326" i="6"/>
  <c r="E5327" i="6"/>
  <c r="E5328" i="6"/>
  <c r="E5329" i="6"/>
  <c r="E5330" i="6"/>
  <c r="E5331" i="6"/>
  <c r="E5332" i="6"/>
  <c r="E5333" i="6"/>
  <c r="E5334" i="6"/>
  <c r="E5335" i="6"/>
  <c r="E5336" i="6"/>
  <c r="E5337" i="6"/>
  <c r="E5338" i="6"/>
  <c r="E5339" i="6"/>
  <c r="E5340" i="6"/>
  <c r="E5341" i="6"/>
  <c r="E5342" i="6"/>
  <c r="E5343" i="6"/>
  <c r="E5344" i="6"/>
  <c r="E5345" i="6"/>
  <c r="E5346" i="6"/>
  <c r="E5347" i="6"/>
  <c r="E5348" i="6"/>
  <c r="E5349" i="6"/>
  <c r="E5350" i="6"/>
  <c r="E5351" i="6"/>
  <c r="E5352" i="6"/>
  <c r="E5353" i="6"/>
  <c r="E5354" i="6"/>
  <c r="E5355" i="6"/>
  <c r="E5356" i="6"/>
  <c r="E5357" i="6"/>
  <c r="E5358" i="6"/>
  <c r="E5359" i="6"/>
  <c r="E5360" i="6"/>
  <c r="E5361" i="6"/>
  <c r="E5362" i="6"/>
  <c r="E5363" i="6"/>
  <c r="E5364" i="6"/>
  <c r="E5365" i="6"/>
  <c r="E5366" i="6"/>
  <c r="E5367" i="6"/>
  <c r="E5368" i="6"/>
  <c r="E5369" i="6"/>
  <c r="E5370" i="6"/>
  <c r="E5371" i="6"/>
  <c r="E5372" i="6"/>
  <c r="E5373" i="6"/>
  <c r="E5374" i="6"/>
  <c r="E5375" i="6"/>
  <c r="E5376" i="6"/>
  <c r="E5377" i="6"/>
  <c r="E5378" i="6"/>
  <c r="E5379" i="6"/>
  <c r="E5380" i="6"/>
  <c r="E5381" i="6"/>
  <c r="E5382" i="6"/>
  <c r="E5383" i="6"/>
  <c r="E5384" i="6"/>
  <c r="E5385" i="6"/>
  <c r="E5386" i="6"/>
  <c r="E5387" i="6"/>
  <c r="E5388" i="6"/>
  <c r="E5389" i="6"/>
  <c r="E5390" i="6"/>
  <c r="E5391" i="6"/>
  <c r="E5392" i="6"/>
  <c r="E5393" i="6"/>
  <c r="E5394" i="6"/>
  <c r="E5395" i="6"/>
  <c r="E5396" i="6"/>
  <c r="E5397" i="6"/>
  <c r="E5398" i="6"/>
  <c r="E5399" i="6"/>
  <c r="E5400" i="6"/>
  <c r="E5401" i="6"/>
  <c r="E5402" i="6"/>
  <c r="E5403" i="6"/>
  <c r="E5404" i="6"/>
  <c r="E5405" i="6"/>
  <c r="E5406" i="6"/>
  <c r="E5407" i="6"/>
  <c r="E5408" i="6"/>
  <c r="E5409" i="6"/>
  <c r="E5410" i="6"/>
  <c r="E5411" i="6"/>
  <c r="E5412" i="6"/>
  <c r="E5413" i="6"/>
  <c r="E5414" i="6"/>
  <c r="E5415" i="6"/>
  <c r="E5416" i="6"/>
  <c r="E5417" i="6"/>
  <c r="E5418" i="6"/>
  <c r="E5419" i="6"/>
  <c r="E5420" i="6"/>
  <c r="E5421" i="6"/>
  <c r="E5422" i="6"/>
  <c r="E5423" i="6"/>
  <c r="E5424" i="6"/>
  <c r="E5425" i="6"/>
  <c r="E5426" i="6"/>
  <c r="E5427" i="6"/>
  <c r="E5428" i="6"/>
  <c r="E5429" i="6"/>
  <c r="E5430" i="6"/>
  <c r="E5431" i="6"/>
  <c r="E5432" i="6"/>
  <c r="E5433" i="6"/>
  <c r="E5434" i="6"/>
  <c r="E5435" i="6"/>
  <c r="E5436" i="6"/>
  <c r="E5437" i="6"/>
  <c r="E5438" i="6"/>
  <c r="E5439" i="6"/>
  <c r="E5440" i="6"/>
  <c r="E5441" i="6"/>
  <c r="E5442" i="6"/>
  <c r="E5443" i="6"/>
  <c r="E5444" i="6"/>
  <c r="E5445" i="6"/>
  <c r="E5446" i="6"/>
  <c r="E5447" i="6"/>
  <c r="E5448" i="6"/>
  <c r="E5449" i="6"/>
  <c r="E5450" i="6"/>
  <c r="E5451" i="6"/>
  <c r="E5452" i="6"/>
  <c r="E5453" i="6"/>
  <c r="E5454" i="6"/>
  <c r="E5455" i="6"/>
  <c r="E5456" i="6"/>
  <c r="E5457" i="6"/>
  <c r="E5458" i="6"/>
  <c r="E5459" i="6"/>
  <c r="E5460" i="6"/>
  <c r="E5461" i="6"/>
  <c r="E5462" i="6"/>
  <c r="E5463" i="6"/>
  <c r="E5464" i="6"/>
  <c r="E5465" i="6"/>
  <c r="E5466" i="6"/>
  <c r="E5467" i="6"/>
  <c r="E5468" i="6"/>
  <c r="E5469" i="6"/>
  <c r="E5470" i="6"/>
  <c r="E5471" i="6"/>
  <c r="E5472" i="6"/>
  <c r="E5473" i="6"/>
  <c r="E5474" i="6"/>
  <c r="E5475" i="6"/>
  <c r="E5476" i="6"/>
  <c r="E5477" i="6"/>
  <c r="E5478" i="6"/>
  <c r="E5479" i="6"/>
  <c r="E5480" i="6"/>
  <c r="E5481" i="6"/>
  <c r="E5482" i="6"/>
  <c r="E5483" i="6"/>
  <c r="E5484" i="6"/>
  <c r="E5485" i="6"/>
  <c r="E5486" i="6"/>
  <c r="E5487" i="6"/>
  <c r="E5488" i="6"/>
  <c r="E5489" i="6"/>
  <c r="E5490" i="6"/>
  <c r="E5491" i="6"/>
  <c r="E5492" i="6"/>
  <c r="E5493" i="6"/>
  <c r="E5494" i="6"/>
  <c r="E5495" i="6"/>
  <c r="E5496" i="6"/>
  <c r="E5497" i="6"/>
  <c r="E5498" i="6"/>
  <c r="E5499" i="6"/>
  <c r="E5500" i="6"/>
  <c r="E5501" i="6"/>
  <c r="E5502" i="6"/>
  <c r="E5503" i="6"/>
  <c r="E5504" i="6"/>
  <c r="E5505" i="6"/>
  <c r="E5506" i="6"/>
  <c r="E5507" i="6"/>
  <c r="E5508" i="6"/>
  <c r="E5509" i="6"/>
  <c r="E5510" i="6"/>
  <c r="E5511" i="6"/>
  <c r="E5512" i="6"/>
  <c r="E5513" i="6"/>
  <c r="E5514" i="6"/>
  <c r="E5515" i="6"/>
  <c r="E5516" i="6"/>
  <c r="E5517" i="6"/>
  <c r="E5518" i="6"/>
  <c r="E5519" i="6"/>
  <c r="E5520" i="6"/>
  <c r="E5521" i="6"/>
  <c r="E5522" i="6"/>
  <c r="E5523" i="6"/>
  <c r="E5524" i="6"/>
  <c r="E5525" i="6"/>
  <c r="E5526" i="6"/>
  <c r="E5527" i="6"/>
  <c r="E5528" i="6"/>
  <c r="E5529" i="6"/>
  <c r="E5530" i="6"/>
  <c r="E5531" i="6"/>
  <c r="E5532" i="6"/>
  <c r="E5533" i="6"/>
  <c r="E5534" i="6"/>
  <c r="E5535" i="6"/>
  <c r="E5536" i="6"/>
  <c r="E5537" i="6"/>
  <c r="E5538" i="6"/>
  <c r="E5539" i="6"/>
  <c r="E5540" i="6"/>
  <c r="E5541" i="6"/>
  <c r="E5542" i="6"/>
  <c r="E5543" i="6"/>
  <c r="E5544" i="6"/>
  <c r="E5545" i="6"/>
  <c r="E5546" i="6"/>
  <c r="E5547" i="6"/>
  <c r="E5548" i="6"/>
  <c r="E5549" i="6"/>
  <c r="E5550" i="6"/>
  <c r="E5551" i="6"/>
  <c r="E5552" i="6"/>
  <c r="E5553" i="6"/>
  <c r="E5554" i="6"/>
  <c r="E5555" i="6"/>
  <c r="E5556" i="6"/>
  <c r="E5557" i="6"/>
  <c r="E5558" i="6"/>
  <c r="E5559" i="6"/>
  <c r="E5560" i="6"/>
  <c r="E5561" i="6"/>
  <c r="E5562" i="6"/>
  <c r="E5563" i="6"/>
  <c r="E5564" i="6"/>
  <c r="E5565" i="6"/>
  <c r="E5566" i="6"/>
  <c r="E5567" i="6"/>
  <c r="E5568" i="6"/>
  <c r="E5569" i="6"/>
  <c r="E5570" i="6"/>
  <c r="E5571" i="6"/>
  <c r="E5572" i="6"/>
  <c r="E5573" i="6"/>
  <c r="E5574" i="6"/>
  <c r="E5575" i="6"/>
  <c r="E5576" i="6"/>
  <c r="E5577" i="6"/>
  <c r="E5578" i="6"/>
  <c r="E5579" i="6"/>
  <c r="E5580" i="6"/>
  <c r="E5581" i="6"/>
  <c r="E5582" i="6"/>
  <c r="E5583" i="6"/>
  <c r="E5584" i="6"/>
  <c r="E5585" i="6"/>
  <c r="E5586" i="6"/>
  <c r="E5587" i="6"/>
  <c r="E5588" i="6"/>
  <c r="E5589" i="6"/>
  <c r="E5590" i="6"/>
  <c r="E5591" i="6"/>
  <c r="E5592" i="6"/>
  <c r="E5593" i="6"/>
  <c r="E5594" i="6"/>
  <c r="E5595" i="6"/>
  <c r="E5596" i="6"/>
  <c r="E5597" i="6"/>
  <c r="E5598" i="6"/>
  <c r="E5599" i="6"/>
  <c r="E5600" i="6"/>
  <c r="E5601" i="6"/>
  <c r="E5602" i="6"/>
  <c r="E5603" i="6"/>
  <c r="E5604" i="6"/>
  <c r="E5605" i="6"/>
  <c r="E5606" i="6"/>
  <c r="E5607" i="6"/>
  <c r="E5608" i="6"/>
  <c r="E5609" i="6"/>
  <c r="E5610" i="6"/>
  <c r="E5611" i="6"/>
  <c r="E5612" i="6"/>
  <c r="E5613" i="6"/>
  <c r="E5614" i="6"/>
  <c r="E5615" i="6"/>
  <c r="E5616" i="6"/>
  <c r="E5617" i="6"/>
  <c r="E5618" i="6"/>
  <c r="E5619" i="6"/>
  <c r="E5620" i="6"/>
  <c r="E5621" i="6"/>
  <c r="E5622" i="6"/>
  <c r="E5623" i="6"/>
  <c r="E5624" i="6"/>
  <c r="E5625" i="6"/>
  <c r="E5626" i="6"/>
  <c r="E5627" i="6"/>
  <c r="E5628" i="6"/>
  <c r="E5629" i="6"/>
  <c r="E5630" i="6"/>
  <c r="E5631" i="6"/>
  <c r="E5632" i="6"/>
  <c r="E5633" i="6"/>
  <c r="E5634" i="6"/>
  <c r="E5635" i="6"/>
  <c r="E5636" i="6"/>
  <c r="E5637" i="6"/>
  <c r="E5638" i="6"/>
  <c r="E5639" i="6"/>
  <c r="E5640" i="6"/>
  <c r="E5641" i="6"/>
  <c r="E5642" i="6"/>
  <c r="E5643" i="6"/>
  <c r="E5644" i="6"/>
  <c r="E5645" i="6"/>
  <c r="E5646" i="6"/>
  <c r="E5647" i="6"/>
  <c r="E5648" i="6"/>
  <c r="E5649" i="6"/>
  <c r="E5650" i="6"/>
  <c r="E5651" i="6"/>
  <c r="E5652" i="6"/>
  <c r="E5653" i="6"/>
  <c r="E5654" i="6"/>
  <c r="E5655" i="6"/>
  <c r="E5656" i="6"/>
  <c r="E5657" i="6"/>
  <c r="E5658" i="6"/>
  <c r="E5659" i="6"/>
  <c r="E5660" i="6"/>
  <c r="E5661" i="6"/>
  <c r="E5662" i="6"/>
  <c r="E5663" i="6"/>
  <c r="E5664" i="6"/>
  <c r="E5665" i="6"/>
  <c r="E5666" i="6"/>
  <c r="E5667" i="6"/>
  <c r="E5668" i="6"/>
  <c r="E5669" i="6"/>
  <c r="E5670" i="6"/>
  <c r="E5671" i="6"/>
  <c r="E5672" i="6"/>
  <c r="E5673" i="6"/>
  <c r="E5674" i="6"/>
  <c r="E5675" i="6"/>
  <c r="E5676" i="6"/>
  <c r="E5677" i="6"/>
  <c r="E5678" i="6"/>
  <c r="E5679" i="6"/>
  <c r="E5680" i="6"/>
  <c r="E5681" i="6"/>
  <c r="E5682" i="6"/>
  <c r="E5683" i="6"/>
  <c r="E5684" i="6"/>
  <c r="E5685" i="6"/>
  <c r="E5686" i="6"/>
  <c r="E5687" i="6"/>
  <c r="E5688" i="6"/>
  <c r="E5689" i="6"/>
  <c r="E5690" i="6"/>
  <c r="E5691" i="6"/>
  <c r="E5692" i="6"/>
  <c r="E5693" i="6"/>
  <c r="E5694" i="6"/>
  <c r="E5695" i="6"/>
  <c r="E5696" i="6"/>
  <c r="E5697" i="6"/>
  <c r="E5698" i="6"/>
  <c r="E5699" i="6"/>
  <c r="E5700" i="6"/>
  <c r="E5701" i="6"/>
  <c r="E5702" i="6"/>
  <c r="E5703" i="6"/>
  <c r="E5704" i="6"/>
  <c r="E5705" i="6"/>
  <c r="E5706" i="6"/>
  <c r="E5707" i="6"/>
  <c r="E5708" i="6"/>
  <c r="E5709" i="6"/>
  <c r="E5710" i="6"/>
  <c r="E5711" i="6"/>
  <c r="E5712" i="6"/>
  <c r="E5713" i="6"/>
  <c r="E5714" i="6"/>
  <c r="E5715" i="6"/>
  <c r="E5716" i="6"/>
  <c r="E5717" i="6"/>
  <c r="E5718" i="6"/>
  <c r="E5719" i="6"/>
  <c r="E5720" i="6"/>
  <c r="E5721" i="6"/>
  <c r="E5722" i="6"/>
  <c r="E5723" i="6"/>
  <c r="E5724" i="6"/>
  <c r="E5725" i="6"/>
  <c r="E5726" i="6"/>
  <c r="E5727" i="6"/>
  <c r="E5728" i="6"/>
  <c r="E5729" i="6"/>
  <c r="E5730" i="6"/>
  <c r="E5731" i="6"/>
  <c r="E5732" i="6"/>
  <c r="E5733" i="6"/>
  <c r="E5734" i="6"/>
  <c r="E5735" i="6"/>
  <c r="E5736" i="6"/>
  <c r="E5737" i="6"/>
  <c r="E5738" i="6"/>
  <c r="E5739" i="6"/>
  <c r="E5740" i="6"/>
  <c r="E5741" i="6"/>
  <c r="E5742" i="6"/>
  <c r="E5743" i="6"/>
  <c r="E5744" i="6"/>
  <c r="E5745" i="6"/>
  <c r="E5746" i="6"/>
  <c r="E5747" i="6"/>
  <c r="E5748" i="6"/>
  <c r="E5749" i="6"/>
  <c r="E5750" i="6"/>
  <c r="E5751" i="6"/>
  <c r="E5752" i="6"/>
  <c r="E5753" i="6"/>
  <c r="E5754" i="6"/>
  <c r="E5755" i="6"/>
  <c r="E5756" i="6"/>
  <c r="E5757" i="6"/>
  <c r="E5758" i="6"/>
  <c r="E5759" i="6"/>
  <c r="E5760" i="6"/>
  <c r="E5761" i="6"/>
  <c r="E5762" i="6"/>
  <c r="E5763" i="6"/>
  <c r="E5764" i="6"/>
  <c r="E5765" i="6"/>
  <c r="E5766" i="6"/>
  <c r="E5767" i="6"/>
  <c r="E5768" i="6"/>
  <c r="E5769" i="6"/>
  <c r="E5770" i="6"/>
  <c r="E5771" i="6"/>
  <c r="E5772" i="6"/>
  <c r="E5773" i="6"/>
  <c r="E5774" i="6"/>
  <c r="E5775" i="6"/>
  <c r="E5776" i="6"/>
  <c r="E5777" i="6"/>
  <c r="E5778" i="6"/>
  <c r="E5779" i="6"/>
  <c r="E5780" i="6"/>
  <c r="E5781" i="6"/>
  <c r="E5782" i="6"/>
  <c r="E5783" i="6"/>
  <c r="E5784" i="6"/>
  <c r="E5785" i="6"/>
  <c r="E5786" i="6"/>
  <c r="E5787" i="6"/>
  <c r="E5788" i="6"/>
  <c r="E5789" i="6"/>
  <c r="E5790" i="6"/>
  <c r="E5791" i="6"/>
  <c r="E5792" i="6"/>
  <c r="E5793" i="6"/>
  <c r="E5794" i="6"/>
  <c r="E5795" i="6"/>
  <c r="E5796" i="6"/>
  <c r="E5797" i="6"/>
  <c r="E5798" i="6"/>
  <c r="E5799" i="6"/>
  <c r="E5800" i="6"/>
  <c r="E5801" i="6"/>
  <c r="E5802" i="6"/>
  <c r="E5803" i="6"/>
  <c r="E5804" i="6"/>
  <c r="E5805" i="6"/>
  <c r="E5806" i="6"/>
  <c r="E5807" i="6"/>
  <c r="E5808" i="6"/>
  <c r="E5809" i="6"/>
  <c r="E5810" i="6"/>
  <c r="E5811" i="6"/>
  <c r="E5812" i="6"/>
  <c r="E5813" i="6"/>
  <c r="E5814" i="6"/>
  <c r="E5815" i="6"/>
  <c r="E5816" i="6"/>
  <c r="E5817" i="6"/>
  <c r="E5818" i="6"/>
  <c r="E5819" i="6"/>
  <c r="E5820" i="6"/>
  <c r="E5821" i="6"/>
  <c r="E5822" i="6"/>
  <c r="E5823" i="6"/>
  <c r="E5824" i="6"/>
  <c r="E5825" i="6"/>
  <c r="E5826" i="6"/>
  <c r="E5827" i="6"/>
  <c r="E5828" i="6"/>
  <c r="E5829" i="6"/>
  <c r="E5830" i="6"/>
  <c r="E5831" i="6"/>
  <c r="E5832" i="6"/>
  <c r="E5833" i="6"/>
  <c r="E5834" i="6"/>
  <c r="E5835" i="6"/>
  <c r="E5836" i="6"/>
  <c r="E5837" i="6"/>
  <c r="E5838" i="6"/>
  <c r="E5839" i="6"/>
  <c r="E5840" i="6"/>
  <c r="E5841" i="6"/>
  <c r="E5842" i="6"/>
  <c r="E5843" i="6"/>
  <c r="E5844" i="6"/>
  <c r="E5845" i="6"/>
  <c r="E5846" i="6"/>
  <c r="E5847" i="6"/>
  <c r="E5848" i="6"/>
  <c r="E5849" i="6"/>
  <c r="E5850" i="6"/>
  <c r="E5851" i="6"/>
  <c r="E5852" i="6"/>
  <c r="E5853" i="6"/>
  <c r="E5854" i="6"/>
  <c r="E5855" i="6"/>
  <c r="E5856" i="6"/>
  <c r="E5857" i="6"/>
  <c r="E5858" i="6"/>
  <c r="E5859" i="6"/>
  <c r="E5860" i="6"/>
  <c r="E5861" i="6"/>
  <c r="E5862" i="6"/>
  <c r="E5863" i="6"/>
  <c r="E5864" i="6"/>
  <c r="E5865" i="6"/>
  <c r="E5866" i="6"/>
  <c r="E5867" i="6"/>
  <c r="E5868" i="6"/>
  <c r="E5869" i="6"/>
  <c r="E5870" i="6"/>
  <c r="E5871" i="6"/>
  <c r="E5872" i="6"/>
  <c r="E5873" i="6"/>
  <c r="E5874" i="6"/>
  <c r="E5875" i="6"/>
  <c r="E5876" i="6"/>
  <c r="E5877" i="6"/>
  <c r="E5878" i="6"/>
  <c r="E5879" i="6"/>
  <c r="E5880" i="6"/>
  <c r="E5881" i="6"/>
  <c r="E5882" i="6"/>
  <c r="E5883" i="6"/>
  <c r="E5884" i="6"/>
  <c r="E5885" i="6"/>
  <c r="E5886" i="6"/>
  <c r="E5887" i="6"/>
  <c r="E5888" i="6"/>
  <c r="E5889" i="6"/>
  <c r="E5890" i="6"/>
  <c r="E5891" i="6"/>
  <c r="E5892" i="6"/>
  <c r="E5893" i="6"/>
  <c r="E5894" i="6"/>
  <c r="E5895" i="6"/>
  <c r="E5896" i="6"/>
  <c r="E5897" i="6"/>
  <c r="E5898" i="6"/>
  <c r="E5899" i="6"/>
  <c r="E5900" i="6"/>
  <c r="E5901" i="6"/>
  <c r="E5902" i="6"/>
  <c r="E5903" i="6"/>
  <c r="E5904" i="6"/>
  <c r="E5905" i="6"/>
  <c r="E5906" i="6"/>
  <c r="E5907" i="6"/>
  <c r="E5908" i="6"/>
  <c r="E5909" i="6"/>
  <c r="E5910" i="6"/>
  <c r="E5911" i="6"/>
  <c r="E5912" i="6"/>
  <c r="E5913" i="6"/>
  <c r="E5914" i="6"/>
  <c r="E5915" i="6"/>
  <c r="E5916" i="6"/>
  <c r="E5917" i="6"/>
  <c r="E5918" i="6"/>
  <c r="E5919" i="6"/>
  <c r="E5920" i="6"/>
  <c r="E5921" i="6"/>
  <c r="E5922" i="6"/>
  <c r="E5923" i="6"/>
  <c r="E5924" i="6"/>
  <c r="E5925" i="6"/>
  <c r="E5926" i="6"/>
  <c r="E5927" i="6"/>
  <c r="E5928" i="6"/>
  <c r="E5929" i="6"/>
  <c r="E5930" i="6"/>
  <c r="E5931" i="6"/>
  <c r="E5932" i="6"/>
  <c r="E5933" i="6"/>
  <c r="E5934" i="6"/>
  <c r="E5935" i="6"/>
  <c r="E5936" i="6"/>
  <c r="E5937" i="6"/>
  <c r="E5938" i="6"/>
  <c r="E5939" i="6"/>
  <c r="E5940" i="6"/>
  <c r="E5941" i="6"/>
  <c r="E5942" i="6"/>
  <c r="E5943" i="6"/>
  <c r="E5944" i="6"/>
  <c r="E5945" i="6"/>
  <c r="E5946" i="6"/>
  <c r="E5947" i="6"/>
  <c r="E5948" i="6"/>
  <c r="E5949" i="6"/>
  <c r="E5950" i="6"/>
  <c r="E5951" i="6"/>
  <c r="E5952" i="6"/>
  <c r="E5953" i="6"/>
  <c r="E5954" i="6"/>
  <c r="E5955" i="6"/>
  <c r="E5956" i="6"/>
  <c r="E5957" i="6"/>
  <c r="E5958" i="6"/>
  <c r="E5959" i="6"/>
  <c r="E5960" i="6"/>
  <c r="E5961" i="6"/>
  <c r="E5962" i="6"/>
  <c r="E5963" i="6"/>
  <c r="E5964" i="6"/>
  <c r="E5965" i="6"/>
  <c r="E5966" i="6"/>
  <c r="E5967" i="6"/>
  <c r="E5968" i="6"/>
  <c r="E5969" i="6"/>
  <c r="E5970" i="6"/>
  <c r="E5971" i="6"/>
  <c r="E5972" i="6"/>
  <c r="E5973" i="6"/>
  <c r="E5974" i="6"/>
  <c r="E5975" i="6"/>
  <c r="E5976" i="6"/>
  <c r="E5977" i="6"/>
  <c r="E5978" i="6"/>
  <c r="E5979" i="6"/>
  <c r="E5980" i="6"/>
  <c r="E5981" i="6"/>
  <c r="E5982" i="6"/>
  <c r="E5983" i="6"/>
  <c r="E5984" i="6"/>
  <c r="E5985" i="6"/>
  <c r="E5986" i="6"/>
  <c r="E5987" i="6"/>
  <c r="E5988" i="6"/>
  <c r="E5989" i="6"/>
  <c r="E5990" i="6"/>
  <c r="E5991" i="6"/>
  <c r="E5992" i="6"/>
  <c r="E5993" i="6"/>
  <c r="E5994" i="6"/>
  <c r="E5995" i="6"/>
  <c r="E5996" i="6"/>
  <c r="E5997" i="6"/>
  <c r="E5998" i="6"/>
  <c r="E5999" i="6"/>
  <c r="E6000" i="6"/>
  <c r="E6001" i="6"/>
  <c r="E6002" i="6"/>
  <c r="E6003" i="6"/>
  <c r="E6004" i="6"/>
  <c r="E6005" i="6"/>
  <c r="E6006" i="6"/>
  <c r="E6007" i="6"/>
  <c r="E6008" i="6"/>
  <c r="E6009" i="6"/>
  <c r="E6010" i="6"/>
  <c r="E6011" i="6"/>
  <c r="E6012" i="6"/>
  <c r="E6013" i="6"/>
  <c r="E6014" i="6"/>
  <c r="E6015" i="6"/>
  <c r="E6016" i="6"/>
  <c r="E6017" i="6"/>
  <c r="E6018" i="6"/>
  <c r="E6019" i="6"/>
  <c r="E6020" i="6"/>
  <c r="E6021" i="6"/>
  <c r="E6022" i="6"/>
  <c r="E6023" i="6"/>
  <c r="E6024" i="6"/>
  <c r="E6025" i="6"/>
  <c r="E6026" i="6"/>
  <c r="E6027" i="6"/>
  <c r="E6028" i="6"/>
  <c r="E6029" i="6"/>
  <c r="E6030" i="6"/>
  <c r="E6031" i="6"/>
  <c r="E6032" i="6"/>
  <c r="E6033" i="6"/>
  <c r="E6034" i="6"/>
  <c r="E6035" i="6"/>
  <c r="E6036" i="6"/>
  <c r="E6037" i="6"/>
  <c r="E6038" i="6"/>
  <c r="E6039" i="6"/>
  <c r="E6040" i="6"/>
  <c r="E6041" i="6"/>
  <c r="E6042" i="6"/>
  <c r="E6043" i="6"/>
  <c r="E6044" i="6"/>
  <c r="E6045" i="6"/>
  <c r="E6046" i="6"/>
  <c r="E6047" i="6"/>
  <c r="E6048" i="6"/>
  <c r="E6049" i="6"/>
  <c r="E6050" i="6"/>
  <c r="E6051" i="6"/>
  <c r="E6052" i="6"/>
  <c r="E6053" i="6"/>
  <c r="E6054" i="6"/>
  <c r="E6055" i="6"/>
  <c r="E6056" i="6"/>
  <c r="E6057" i="6"/>
  <c r="E6058" i="6"/>
  <c r="E6059" i="6"/>
  <c r="E6060" i="6"/>
  <c r="E6061" i="6"/>
  <c r="E6062" i="6"/>
  <c r="E6063" i="6"/>
  <c r="E6064" i="6"/>
  <c r="E6065" i="6"/>
  <c r="E6066" i="6"/>
  <c r="E6067" i="6"/>
  <c r="E6068" i="6"/>
  <c r="E6069" i="6"/>
  <c r="E6070" i="6"/>
  <c r="E6071" i="6"/>
  <c r="E6072" i="6"/>
  <c r="E6073" i="6"/>
  <c r="E6074" i="6"/>
  <c r="E6075" i="6"/>
  <c r="E6076" i="6"/>
  <c r="E6077" i="6"/>
  <c r="E6078" i="6"/>
  <c r="E6079" i="6"/>
  <c r="E6080" i="6"/>
  <c r="E6081" i="6"/>
  <c r="E6082" i="6"/>
  <c r="E6083" i="6"/>
  <c r="E6084" i="6"/>
  <c r="E6085" i="6"/>
  <c r="E6086" i="6"/>
  <c r="E6087" i="6"/>
  <c r="E6088" i="6"/>
  <c r="E6089" i="6"/>
  <c r="E6090" i="6"/>
  <c r="E6091" i="6"/>
  <c r="E6092" i="6"/>
  <c r="E6093" i="6"/>
  <c r="E6094" i="6"/>
  <c r="E6095" i="6"/>
  <c r="E6096" i="6"/>
  <c r="E6097" i="6"/>
  <c r="E6098" i="6"/>
  <c r="E6099" i="6"/>
  <c r="E6100" i="6"/>
  <c r="E6101" i="6"/>
  <c r="E6102" i="6"/>
  <c r="E6103" i="6"/>
  <c r="E6104" i="6"/>
  <c r="E6105" i="6"/>
  <c r="E6106" i="6"/>
  <c r="E6107" i="6"/>
  <c r="E6108" i="6"/>
  <c r="E6109" i="6"/>
  <c r="E6110" i="6"/>
  <c r="E6111" i="6"/>
  <c r="E6112" i="6"/>
  <c r="E6113" i="6"/>
  <c r="E6114" i="6"/>
  <c r="E6115" i="6"/>
  <c r="E6116" i="6"/>
  <c r="E6117" i="6"/>
  <c r="E6118" i="6"/>
  <c r="E6119" i="6"/>
  <c r="E6120" i="6"/>
  <c r="E6121" i="6"/>
  <c r="E6122" i="6"/>
  <c r="E6123" i="6"/>
  <c r="E6124" i="6"/>
  <c r="E6125" i="6"/>
  <c r="E6126" i="6"/>
  <c r="E6127" i="6"/>
  <c r="E6128" i="6"/>
  <c r="E6129" i="6"/>
  <c r="E6130" i="6"/>
  <c r="E6131" i="6"/>
  <c r="E6132" i="6"/>
  <c r="E6133" i="6"/>
  <c r="E6134" i="6"/>
  <c r="E6135" i="6"/>
  <c r="E6136" i="6"/>
  <c r="E6137" i="6"/>
  <c r="E6138" i="6"/>
  <c r="E6139" i="6"/>
  <c r="E6140" i="6"/>
  <c r="E6141" i="6"/>
  <c r="E6142" i="6"/>
  <c r="E6143" i="6"/>
  <c r="E6144" i="6"/>
  <c r="E6145" i="6"/>
  <c r="E6146" i="6"/>
  <c r="E6147" i="6"/>
  <c r="E6148" i="6"/>
  <c r="E6149" i="6"/>
  <c r="E6150" i="6"/>
  <c r="E6151" i="6"/>
  <c r="E6152" i="6"/>
  <c r="E6153" i="6"/>
  <c r="E6154" i="6"/>
  <c r="E6155" i="6"/>
  <c r="E6156" i="6"/>
  <c r="E6157" i="6"/>
  <c r="E6158" i="6"/>
  <c r="E6159" i="6"/>
  <c r="E6160" i="6"/>
  <c r="E6161" i="6"/>
  <c r="E6162" i="6"/>
  <c r="E6163" i="6"/>
  <c r="E6164" i="6"/>
  <c r="E6165" i="6"/>
  <c r="E6166" i="6"/>
  <c r="E6167" i="6"/>
  <c r="E6168" i="6"/>
  <c r="E6169" i="6"/>
  <c r="E6170" i="6"/>
  <c r="E6171" i="6"/>
  <c r="E6172" i="6"/>
  <c r="E6173" i="6"/>
  <c r="E6174" i="6"/>
  <c r="E6175" i="6"/>
  <c r="E6176" i="6"/>
  <c r="E6177" i="6"/>
  <c r="E6178" i="6"/>
  <c r="E6179" i="6"/>
  <c r="E6180" i="6"/>
  <c r="E6181" i="6"/>
  <c r="E6182" i="6"/>
  <c r="E6183" i="6"/>
  <c r="E6184" i="6"/>
  <c r="E6185" i="6"/>
  <c r="E6186" i="6"/>
  <c r="E6187" i="6"/>
  <c r="E6188" i="6"/>
  <c r="E6189" i="6"/>
  <c r="E6190" i="6"/>
  <c r="E6191" i="6"/>
  <c r="E6192" i="6"/>
  <c r="E6193" i="6"/>
  <c r="E6194" i="6"/>
  <c r="E6195" i="6"/>
  <c r="E6196" i="6"/>
  <c r="E6197" i="6"/>
  <c r="E6198" i="6"/>
  <c r="E6199" i="6"/>
  <c r="E6200" i="6"/>
  <c r="E6201" i="6"/>
  <c r="E6202" i="6"/>
  <c r="E6203" i="6"/>
  <c r="E6204" i="6"/>
  <c r="E6205" i="6"/>
  <c r="E6206" i="6"/>
  <c r="E6207" i="6"/>
  <c r="E6208" i="6"/>
  <c r="E6209" i="6"/>
  <c r="E6210" i="6"/>
  <c r="E6211" i="6"/>
  <c r="E6212" i="6"/>
  <c r="E6213" i="6"/>
  <c r="E6214" i="6"/>
  <c r="E6215" i="6"/>
  <c r="E6216" i="6"/>
  <c r="E6217" i="6"/>
  <c r="E6218" i="6"/>
  <c r="E6219" i="6"/>
  <c r="E6220" i="6"/>
  <c r="E6221" i="6"/>
  <c r="E6222" i="6"/>
  <c r="E6223" i="6"/>
  <c r="E6224" i="6"/>
  <c r="E6225" i="6"/>
  <c r="E6226" i="6"/>
  <c r="E6227" i="6"/>
  <c r="E6228" i="6"/>
  <c r="E6229" i="6"/>
  <c r="E6230" i="6"/>
  <c r="E6231" i="6"/>
  <c r="E6232" i="6"/>
  <c r="E6233" i="6"/>
  <c r="E6234" i="6"/>
  <c r="E6235" i="6"/>
  <c r="E6236" i="6"/>
  <c r="E6237" i="6"/>
  <c r="E6238" i="6"/>
  <c r="E6239" i="6"/>
  <c r="E6240" i="6"/>
  <c r="E6241" i="6"/>
  <c r="E6242" i="6"/>
  <c r="E6243" i="6"/>
  <c r="E6244" i="6"/>
  <c r="E6245" i="6"/>
  <c r="E6246" i="6"/>
  <c r="E6247" i="6"/>
  <c r="E6248" i="6"/>
  <c r="E6249" i="6"/>
  <c r="E6250" i="6"/>
  <c r="E6251" i="6"/>
  <c r="E6252" i="6"/>
  <c r="E6253" i="6"/>
  <c r="E6254" i="6"/>
  <c r="E6255" i="6"/>
  <c r="E6256" i="6"/>
  <c r="E6257" i="6"/>
  <c r="E6258" i="6"/>
  <c r="E6259" i="6"/>
  <c r="E6260" i="6"/>
  <c r="E6261" i="6"/>
  <c r="E6262" i="6"/>
  <c r="E6263" i="6"/>
  <c r="E6264" i="6"/>
  <c r="E6265" i="6"/>
  <c r="E6266" i="6"/>
  <c r="E6267" i="6"/>
  <c r="E6268" i="6"/>
  <c r="E6269" i="6"/>
  <c r="E6270" i="6"/>
  <c r="E6271" i="6"/>
  <c r="E6272" i="6"/>
  <c r="E6273" i="6"/>
  <c r="E6274" i="6"/>
  <c r="E6275" i="6"/>
  <c r="E6276" i="6"/>
  <c r="E6277" i="6"/>
  <c r="E6278" i="6"/>
  <c r="E6279" i="6"/>
  <c r="E6280" i="6"/>
  <c r="E6281" i="6"/>
  <c r="E6282" i="6"/>
  <c r="E6283" i="6"/>
  <c r="E6284" i="6"/>
  <c r="E6285" i="6"/>
  <c r="E6286" i="6"/>
  <c r="E6287" i="6"/>
  <c r="E6288" i="6"/>
  <c r="E6289" i="6"/>
  <c r="E6290" i="6"/>
  <c r="E6291" i="6"/>
  <c r="E6292" i="6"/>
  <c r="E6293" i="6"/>
  <c r="E6294" i="6"/>
  <c r="E6295" i="6"/>
  <c r="E6296" i="6"/>
  <c r="E6297" i="6"/>
  <c r="E6298" i="6"/>
  <c r="E6299" i="6"/>
  <c r="E6300" i="6"/>
  <c r="E6301" i="6"/>
  <c r="E6302" i="6"/>
  <c r="E6303" i="6"/>
  <c r="E6304" i="6"/>
  <c r="E6305" i="6"/>
  <c r="E6306" i="6"/>
  <c r="E6307" i="6"/>
  <c r="E6308" i="6"/>
  <c r="E6309" i="6"/>
  <c r="E6310" i="6"/>
  <c r="E6311" i="6"/>
  <c r="E6312" i="6"/>
  <c r="E6313" i="6"/>
  <c r="E6314" i="6"/>
  <c r="E6315" i="6"/>
  <c r="E6316" i="6"/>
  <c r="E6317" i="6"/>
  <c r="E6318" i="6"/>
  <c r="E6319" i="6"/>
  <c r="E6320" i="6"/>
  <c r="E6321" i="6"/>
  <c r="E6322" i="6"/>
  <c r="E6323" i="6"/>
  <c r="E6324" i="6"/>
  <c r="E6325" i="6"/>
  <c r="E6326" i="6"/>
  <c r="E6327" i="6"/>
  <c r="E6328" i="6"/>
  <c r="E6329" i="6"/>
  <c r="E6330" i="6"/>
  <c r="E6331" i="6"/>
  <c r="E6332" i="6"/>
  <c r="E6333" i="6"/>
  <c r="E6334" i="6"/>
  <c r="E6335" i="6"/>
  <c r="E6336" i="6"/>
  <c r="E6337" i="6"/>
  <c r="E6338" i="6"/>
  <c r="E6339" i="6"/>
  <c r="E6340" i="6"/>
  <c r="E6341" i="6"/>
  <c r="E6342" i="6"/>
  <c r="E6343" i="6"/>
  <c r="E6344" i="6"/>
  <c r="E6345" i="6"/>
  <c r="E6346" i="6"/>
  <c r="E6347" i="6"/>
  <c r="E6348" i="6"/>
  <c r="E6349" i="6"/>
  <c r="E6350" i="6"/>
  <c r="E6351" i="6"/>
  <c r="E6352" i="6"/>
  <c r="E6353" i="6"/>
  <c r="E6354" i="6"/>
  <c r="E6355" i="6"/>
  <c r="E6356" i="6"/>
  <c r="E6357" i="6"/>
  <c r="E6358" i="6"/>
  <c r="E6359" i="6"/>
  <c r="E6360" i="6"/>
  <c r="E6361" i="6"/>
  <c r="E6362" i="6"/>
  <c r="E6363" i="6"/>
  <c r="E6364" i="6"/>
  <c r="E6365" i="6"/>
  <c r="E6366" i="6"/>
  <c r="E6367" i="6"/>
  <c r="E6368" i="6"/>
  <c r="E6369" i="6"/>
  <c r="E6370" i="6"/>
  <c r="E6371" i="6"/>
  <c r="E6372" i="6"/>
  <c r="E6373" i="6"/>
  <c r="E6374" i="6"/>
  <c r="E6375" i="6"/>
  <c r="E6376" i="6"/>
  <c r="E6377" i="6"/>
  <c r="E6378" i="6"/>
  <c r="E6379" i="6"/>
  <c r="E6380" i="6"/>
  <c r="E6381" i="6"/>
  <c r="E6382" i="6"/>
  <c r="E6383" i="6"/>
  <c r="E6384" i="6"/>
  <c r="E6385" i="6"/>
  <c r="E6386" i="6"/>
  <c r="E6387" i="6"/>
  <c r="E6388" i="6"/>
  <c r="E6389" i="6"/>
  <c r="E6390" i="6"/>
  <c r="E6391" i="6"/>
  <c r="E6392" i="6"/>
  <c r="E6393" i="6"/>
  <c r="E6394" i="6"/>
  <c r="E6395" i="6"/>
  <c r="E6396" i="6"/>
  <c r="E6397" i="6"/>
  <c r="E6398" i="6"/>
  <c r="E6399" i="6"/>
  <c r="E6400" i="6"/>
  <c r="E6401" i="6"/>
  <c r="E6402" i="6"/>
  <c r="E6403" i="6"/>
  <c r="E6404" i="6"/>
  <c r="E6405" i="6"/>
  <c r="E6406" i="6"/>
  <c r="E6407" i="6"/>
  <c r="E6408" i="6"/>
  <c r="E6409" i="6"/>
  <c r="E6410" i="6"/>
  <c r="E6411" i="6"/>
  <c r="E6412" i="6"/>
  <c r="E6413" i="6"/>
  <c r="E6414" i="6"/>
  <c r="E6415" i="6"/>
  <c r="E6416" i="6"/>
  <c r="E6417" i="6"/>
  <c r="E6418" i="6"/>
  <c r="E6419" i="6"/>
  <c r="E6420" i="6"/>
  <c r="E6421" i="6"/>
  <c r="E6422" i="6"/>
  <c r="E6423" i="6"/>
  <c r="E6424" i="6"/>
  <c r="E6425" i="6"/>
  <c r="E6426" i="6"/>
  <c r="E6427" i="6"/>
  <c r="E6428" i="6"/>
  <c r="E6429" i="6"/>
  <c r="E6430" i="6"/>
  <c r="E6431" i="6"/>
  <c r="E6432" i="6"/>
  <c r="E6433" i="6"/>
  <c r="E6434" i="6"/>
  <c r="E6435" i="6"/>
  <c r="E6436" i="6"/>
  <c r="E6437" i="6"/>
  <c r="E6438" i="6"/>
  <c r="E6439" i="6"/>
  <c r="E6440" i="6"/>
  <c r="E6441" i="6"/>
  <c r="E6442" i="6"/>
  <c r="E6443" i="6"/>
  <c r="E6444" i="6"/>
  <c r="E6445" i="6"/>
  <c r="E6446" i="6"/>
  <c r="E6447" i="6"/>
  <c r="E6448" i="6"/>
  <c r="E6449" i="6"/>
  <c r="E6450" i="6"/>
  <c r="E6451" i="6"/>
  <c r="E6452" i="6"/>
  <c r="E6453" i="6"/>
  <c r="E6454" i="6"/>
  <c r="E6455" i="6"/>
  <c r="E6456" i="6"/>
  <c r="E6457" i="6"/>
  <c r="E6458" i="6"/>
  <c r="E6459" i="6"/>
  <c r="E6460" i="6"/>
  <c r="E6461" i="6"/>
  <c r="E6462" i="6"/>
  <c r="E6463" i="6"/>
  <c r="E6464" i="6"/>
  <c r="E6465" i="6"/>
  <c r="E6466" i="6"/>
  <c r="E6467" i="6"/>
  <c r="E6468" i="6"/>
  <c r="E6469" i="6"/>
  <c r="E6470" i="6"/>
  <c r="E6471" i="6"/>
  <c r="E6472" i="6"/>
  <c r="E6473" i="6"/>
  <c r="E6474" i="6"/>
  <c r="E6475" i="6"/>
  <c r="E6476" i="6"/>
  <c r="E6477" i="6"/>
  <c r="E6478" i="6"/>
  <c r="E6479" i="6"/>
  <c r="E6480" i="6"/>
  <c r="E6481" i="6"/>
  <c r="E6482" i="6"/>
  <c r="E6483" i="6"/>
  <c r="E6484" i="6"/>
  <c r="E6485" i="6"/>
  <c r="E6486" i="6"/>
  <c r="E6487" i="6"/>
  <c r="E6488" i="6"/>
  <c r="E6489" i="6"/>
  <c r="E6490" i="6"/>
  <c r="E6491" i="6"/>
  <c r="E6492" i="6"/>
  <c r="E6493" i="6"/>
  <c r="E6494" i="6"/>
  <c r="E6495" i="6"/>
  <c r="E6496" i="6"/>
  <c r="E6497" i="6"/>
  <c r="E6498" i="6"/>
  <c r="E6499" i="6"/>
  <c r="E6500" i="6"/>
  <c r="E6501" i="6"/>
  <c r="E6502" i="6"/>
  <c r="E6503" i="6"/>
  <c r="E6504" i="6"/>
  <c r="E6505" i="6"/>
  <c r="E6506" i="6"/>
  <c r="E6507" i="6"/>
  <c r="E6508" i="6"/>
  <c r="E6509" i="6"/>
  <c r="E6510" i="6"/>
  <c r="E6511" i="6"/>
  <c r="E6512" i="6"/>
  <c r="E6513" i="6"/>
  <c r="E6514" i="6"/>
  <c r="E6515" i="6"/>
  <c r="E6516" i="6"/>
  <c r="E6517" i="6"/>
  <c r="E6518" i="6"/>
  <c r="E6519" i="6"/>
  <c r="E6520" i="6"/>
  <c r="E6521" i="6"/>
  <c r="E6522" i="6"/>
  <c r="E6523" i="6"/>
  <c r="E6524" i="6"/>
  <c r="E6525" i="6"/>
  <c r="E6526" i="6"/>
  <c r="E6527" i="6"/>
  <c r="E6528" i="6"/>
  <c r="E6529" i="6"/>
  <c r="E6530" i="6"/>
  <c r="E6531" i="6"/>
  <c r="E6532" i="6"/>
  <c r="E6533" i="6"/>
  <c r="E6534" i="6"/>
  <c r="E6535" i="6"/>
  <c r="E6536" i="6"/>
  <c r="E6537" i="6"/>
  <c r="E6538" i="6"/>
  <c r="E6539" i="6"/>
  <c r="E6540" i="6"/>
  <c r="E6541" i="6"/>
  <c r="E6542" i="6"/>
  <c r="E6543" i="6"/>
  <c r="E6544" i="6"/>
  <c r="E6545" i="6"/>
  <c r="E6546" i="6"/>
  <c r="E6547" i="6"/>
  <c r="E6548" i="6"/>
  <c r="E6549" i="6"/>
  <c r="E6550" i="6"/>
  <c r="E6551" i="6"/>
  <c r="E6552" i="6"/>
  <c r="E6553" i="6"/>
  <c r="E6554" i="6"/>
  <c r="E6555" i="6"/>
  <c r="E6556" i="6"/>
  <c r="E6557" i="6"/>
  <c r="E6558" i="6"/>
  <c r="E6559" i="6"/>
  <c r="E6560" i="6"/>
  <c r="E6561" i="6"/>
  <c r="E6562" i="6"/>
  <c r="E6563" i="6"/>
  <c r="E6564" i="6"/>
  <c r="E6565" i="6"/>
  <c r="E6566" i="6"/>
  <c r="E6567" i="6"/>
  <c r="E6568" i="6"/>
  <c r="E6569" i="6"/>
  <c r="E6570" i="6"/>
  <c r="E6571" i="6"/>
  <c r="E6572" i="6"/>
  <c r="E6573" i="6"/>
  <c r="E6574" i="6"/>
  <c r="E6575" i="6"/>
  <c r="E6576" i="6"/>
  <c r="E6577" i="6"/>
  <c r="E6578" i="6"/>
  <c r="E6579" i="6"/>
  <c r="E6580" i="6"/>
  <c r="E6581" i="6"/>
  <c r="E6582" i="6"/>
  <c r="E6583" i="6"/>
  <c r="E6584" i="6"/>
  <c r="E6585" i="6"/>
  <c r="E6586" i="6"/>
  <c r="E6587" i="6"/>
  <c r="E6588" i="6"/>
  <c r="E6589" i="6"/>
  <c r="E6590" i="6"/>
  <c r="E6591" i="6"/>
  <c r="E6592" i="6"/>
  <c r="E6593" i="6"/>
  <c r="E6594" i="6"/>
  <c r="E6595" i="6"/>
  <c r="E6596" i="6"/>
  <c r="E6597" i="6"/>
  <c r="E6598" i="6"/>
  <c r="E6599" i="6"/>
  <c r="E6600" i="6"/>
  <c r="E6601" i="6"/>
  <c r="E6602" i="6"/>
  <c r="E6603" i="6"/>
  <c r="E6604" i="6"/>
  <c r="E6605" i="6"/>
  <c r="E6606" i="6"/>
  <c r="E6607" i="6"/>
  <c r="E6608" i="6"/>
  <c r="E6609" i="6"/>
  <c r="E6610" i="6"/>
  <c r="E6611" i="6"/>
  <c r="E6612" i="6"/>
  <c r="E6613" i="6"/>
  <c r="E6614" i="6"/>
  <c r="E6615" i="6"/>
  <c r="E6616" i="6"/>
  <c r="E6617" i="6"/>
  <c r="E6618" i="6"/>
  <c r="E6619" i="6"/>
  <c r="E6620" i="6"/>
  <c r="E6621" i="6"/>
  <c r="E6622" i="6"/>
  <c r="E6623" i="6"/>
  <c r="E6624" i="6"/>
  <c r="E6625" i="6"/>
  <c r="E6626" i="6"/>
  <c r="E6627" i="6"/>
  <c r="E6628" i="6"/>
  <c r="E6629" i="6"/>
  <c r="E6630" i="6"/>
  <c r="E6631" i="6"/>
  <c r="E6632" i="6"/>
  <c r="E6633" i="6"/>
  <c r="E6634" i="6"/>
  <c r="E6635" i="6"/>
  <c r="E6636" i="6"/>
  <c r="E6637" i="6"/>
  <c r="E6638" i="6"/>
  <c r="E6639" i="6"/>
  <c r="E6640" i="6"/>
  <c r="E6641" i="6"/>
  <c r="E6642" i="6"/>
  <c r="E6643" i="6"/>
  <c r="E6644" i="6"/>
  <c r="E6645" i="6"/>
  <c r="E6646" i="6"/>
  <c r="E6647" i="6"/>
  <c r="E6648" i="6"/>
  <c r="E6649" i="6"/>
  <c r="E6650" i="6"/>
  <c r="E6651" i="6"/>
  <c r="E6652" i="6"/>
  <c r="E6653" i="6"/>
  <c r="E6654" i="6"/>
  <c r="E6655" i="6"/>
  <c r="E6656" i="6"/>
  <c r="E6657" i="6"/>
  <c r="E6658" i="6"/>
  <c r="E6659" i="6"/>
  <c r="E6660" i="6"/>
  <c r="E6661" i="6"/>
  <c r="E6662" i="6"/>
  <c r="E6663" i="6"/>
  <c r="E6664" i="6"/>
  <c r="E6665" i="6"/>
  <c r="E6666" i="6"/>
  <c r="E6667" i="6"/>
  <c r="E6668" i="6"/>
  <c r="E6669" i="6"/>
  <c r="E6670" i="6"/>
  <c r="E6671" i="6"/>
  <c r="E6672" i="6"/>
  <c r="E6673" i="6"/>
  <c r="E6674" i="6"/>
  <c r="E6675" i="6"/>
  <c r="E6676" i="6"/>
  <c r="E6677" i="6"/>
  <c r="E6678" i="6"/>
  <c r="E6679" i="6"/>
  <c r="E6680" i="6"/>
  <c r="E6681" i="6"/>
  <c r="E6682" i="6"/>
  <c r="E6683" i="6"/>
  <c r="E6684" i="6"/>
  <c r="E6685" i="6"/>
  <c r="E6686" i="6"/>
  <c r="E6687" i="6"/>
  <c r="E6688" i="6"/>
  <c r="E6689" i="6"/>
  <c r="E6690" i="6"/>
  <c r="E6691" i="6"/>
  <c r="E6692" i="6"/>
  <c r="E6693" i="6"/>
  <c r="E6694" i="6"/>
  <c r="E6695" i="6"/>
  <c r="E6696" i="6"/>
  <c r="E6697" i="6"/>
  <c r="E6698" i="6"/>
  <c r="E6699" i="6"/>
  <c r="E6700" i="6"/>
  <c r="E6701" i="6"/>
  <c r="E6702" i="6"/>
  <c r="E6703" i="6"/>
  <c r="E6704" i="6"/>
  <c r="E6705" i="6"/>
  <c r="E6706" i="6"/>
  <c r="E6707" i="6"/>
  <c r="E6708" i="6"/>
  <c r="E6709" i="6"/>
  <c r="E6710" i="6"/>
  <c r="E6711" i="6"/>
  <c r="E6712" i="6"/>
  <c r="E6713" i="6"/>
  <c r="E6714" i="6"/>
  <c r="E6715" i="6"/>
  <c r="E6716" i="6"/>
  <c r="E6717" i="6"/>
  <c r="E6718" i="6"/>
  <c r="E6719" i="6"/>
  <c r="E6720" i="6"/>
  <c r="E6721" i="6"/>
  <c r="E6722" i="6"/>
  <c r="E6723" i="6"/>
  <c r="E6724" i="6"/>
  <c r="E6725" i="6"/>
  <c r="E6726" i="6"/>
  <c r="E6727" i="6"/>
  <c r="E6728" i="6"/>
  <c r="E6729" i="6"/>
  <c r="E6730" i="6"/>
  <c r="E6731" i="6"/>
  <c r="E6732" i="6"/>
  <c r="E6733" i="6"/>
  <c r="E6734" i="6"/>
  <c r="E6735" i="6"/>
  <c r="E6736" i="6"/>
  <c r="E6737" i="6"/>
  <c r="E6738" i="6"/>
  <c r="E6739" i="6"/>
  <c r="E6740" i="6"/>
  <c r="E6741" i="6"/>
  <c r="E6742" i="6"/>
  <c r="E6743" i="6"/>
  <c r="E6744" i="6"/>
  <c r="E6745" i="6"/>
  <c r="E6746" i="6"/>
  <c r="E6747" i="6"/>
  <c r="E6748" i="6"/>
  <c r="E6749" i="6"/>
  <c r="E6750" i="6"/>
  <c r="E6751" i="6"/>
  <c r="E6752" i="6"/>
  <c r="E6753" i="6"/>
  <c r="E6754" i="6"/>
  <c r="E6755" i="6"/>
  <c r="E6756" i="6"/>
  <c r="E6757" i="6"/>
  <c r="E6758" i="6"/>
  <c r="E6759" i="6"/>
  <c r="E6760" i="6"/>
  <c r="E6761" i="6"/>
  <c r="E6762" i="6"/>
  <c r="E6763" i="6"/>
  <c r="E6764" i="6"/>
  <c r="E6765" i="6"/>
  <c r="E6766" i="6"/>
  <c r="E6767" i="6"/>
  <c r="E6768" i="6"/>
  <c r="E6769" i="6"/>
  <c r="E6770" i="6"/>
  <c r="E6771" i="6"/>
  <c r="E6772" i="6"/>
  <c r="E6773" i="6"/>
  <c r="E6774" i="6"/>
  <c r="E6775" i="6"/>
  <c r="E6776" i="6"/>
  <c r="E6777" i="6"/>
  <c r="E6778" i="6"/>
  <c r="E6779" i="6"/>
  <c r="E6780" i="6"/>
  <c r="E6781" i="6"/>
  <c r="E6782" i="6"/>
  <c r="E6783" i="6"/>
  <c r="E6784" i="6"/>
  <c r="E6785" i="6"/>
  <c r="E6786" i="6"/>
  <c r="E6787" i="6"/>
  <c r="E6788" i="6"/>
  <c r="E6789" i="6"/>
  <c r="E6790" i="6"/>
  <c r="E6791" i="6"/>
  <c r="E6792" i="6"/>
  <c r="E6793" i="6"/>
  <c r="E6794" i="6"/>
  <c r="E6795" i="6"/>
  <c r="E6796" i="6"/>
  <c r="E6797" i="6"/>
  <c r="E6798" i="6"/>
  <c r="E6799" i="6"/>
  <c r="E6800" i="6"/>
  <c r="E6801" i="6"/>
  <c r="E6802" i="6"/>
  <c r="E6803" i="6"/>
  <c r="E6804" i="6"/>
  <c r="E6805" i="6"/>
  <c r="E6806" i="6"/>
  <c r="E6807" i="6"/>
  <c r="E6808" i="6"/>
  <c r="E6809" i="6"/>
  <c r="E6810" i="6"/>
  <c r="E6811" i="6"/>
  <c r="E6812" i="6"/>
  <c r="E6813" i="6"/>
  <c r="E6814" i="6"/>
  <c r="E6815" i="6"/>
  <c r="E6816" i="6"/>
  <c r="E6817" i="6"/>
  <c r="E6818" i="6"/>
  <c r="E6819" i="6"/>
  <c r="E6820" i="6"/>
  <c r="E6821" i="6"/>
  <c r="E6822" i="6"/>
  <c r="E6823" i="6"/>
  <c r="E6824" i="6"/>
  <c r="E6825" i="6"/>
  <c r="E6826" i="6"/>
  <c r="E6827" i="6"/>
  <c r="E6828" i="6"/>
  <c r="E6829" i="6"/>
  <c r="E6830" i="6"/>
  <c r="E6831" i="6"/>
  <c r="E6832" i="6"/>
  <c r="E6833" i="6"/>
  <c r="E6834" i="6"/>
  <c r="E6835" i="6"/>
  <c r="E6836" i="6"/>
  <c r="E6837" i="6"/>
  <c r="E6838" i="6"/>
  <c r="E6839" i="6"/>
  <c r="E6840" i="6"/>
  <c r="E6841" i="6"/>
  <c r="E6842" i="6"/>
  <c r="E6843" i="6"/>
  <c r="E6844" i="6"/>
  <c r="E6845" i="6"/>
  <c r="E6846" i="6"/>
  <c r="E6847" i="6"/>
  <c r="E6848" i="6"/>
  <c r="E6849" i="6"/>
  <c r="E6850" i="6"/>
  <c r="E6851" i="6"/>
  <c r="E6852" i="6"/>
  <c r="E6853" i="6"/>
  <c r="E6854" i="6"/>
  <c r="E6855" i="6"/>
  <c r="E6856" i="6"/>
  <c r="E6857" i="6"/>
  <c r="E6858" i="6"/>
  <c r="E6859" i="6"/>
  <c r="E6860" i="6"/>
  <c r="E6861" i="6"/>
  <c r="E6862" i="6"/>
  <c r="E6863" i="6"/>
  <c r="E6864" i="6"/>
  <c r="E6865" i="6"/>
  <c r="E6866" i="6"/>
  <c r="E6867" i="6"/>
  <c r="E6868" i="6"/>
  <c r="E6869" i="6"/>
  <c r="E6870" i="6"/>
  <c r="E6871" i="6"/>
  <c r="E6872" i="6"/>
  <c r="E6873" i="6"/>
  <c r="E6874" i="6"/>
  <c r="E6875" i="6"/>
  <c r="E6876" i="6"/>
  <c r="E6877" i="6"/>
  <c r="E6878" i="6"/>
  <c r="E6879" i="6"/>
  <c r="E6880" i="6"/>
  <c r="E6881" i="6"/>
  <c r="E6882" i="6"/>
  <c r="E6883" i="6"/>
  <c r="E6884" i="6"/>
  <c r="E6885" i="6"/>
  <c r="E6886" i="6"/>
  <c r="E6887" i="6"/>
  <c r="E6888" i="6"/>
  <c r="E6889" i="6"/>
  <c r="E6890" i="6"/>
  <c r="E6891" i="6"/>
  <c r="E6892" i="6"/>
  <c r="E6893" i="6"/>
  <c r="E6894" i="6"/>
  <c r="E6895" i="6"/>
  <c r="E6896" i="6"/>
  <c r="E6897" i="6"/>
  <c r="E6898" i="6"/>
  <c r="E6899" i="6"/>
  <c r="E6900" i="6"/>
  <c r="E6901" i="6"/>
  <c r="E6902" i="6"/>
  <c r="E6903" i="6"/>
  <c r="E6904" i="6"/>
  <c r="E6905" i="6"/>
  <c r="E16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2" i="6"/>
  <c r="D7" i="8" l="1"/>
  <c r="E7" i="8" s="1"/>
  <c r="D9" i="8"/>
  <c r="E9" i="8" s="1"/>
  <c r="G5" i="8"/>
  <c r="L2" i="6"/>
  <c r="I2" i="6"/>
  <c r="J2" i="6"/>
  <c r="D4" i="8"/>
  <c r="E4" i="8" s="1"/>
  <c r="H5" i="8"/>
  <c r="L5939" i="6"/>
  <c r="L5923" i="6"/>
  <c r="L5899" i="6"/>
  <c r="L5879" i="6"/>
  <c r="L5863" i="6"/>
  <c r="L5859" i="6"/>
  <c r="L5831" i="6"/>
  <c r="L5827" i="6"/>
  <c r="L5819" i="6"/>
  <c r="L5799" i="6"/>
  <c r="L5787" i="6"/>
  <c r="L5767" i="6"/>
  <c r="L5763" i="6"/>
  <c r="L5743" i="6"/>
  <c r="L5731" i="6"/>
  <c r="L5723" i="6"/>
  <c r="L5699" i="6"/>
  <c r="L5675" i="6"/>
  <c r="L5663" i="6"/>
  <c r="L5647" i="6"/>
  <c r="L5615" i="6"/>
  <c r="L5599" i="6"/>
  <c r="L5595" i="6"/>
  <c r="L5583" i="6"/>
  <c r="L5571" i="6"/>
  <c r="L5567" i="6"/>
  <c r="L5555" i="6"/>
  <c r="L5551" i="6"/>
  <c r="L5539" i="6"/>
  <c r="L5535" i="6"/>
  <c r="L5523" i="6"/>
  <c r="L5459" i="6"/>
  <c r="L5439" i="6"/>
  <c r="L5435" i="6"/>
  <c r="L5423" i="6"/>
  <c r="L5419" i="6"/>
  <c r="L5407" i="6"/>
  <c r="L5403" i="6"/>
  <c r="L5391" i="6"/>
  <c r="L5387" i="6"/>
  <c r="L5307" i="6"/>
  <c r="L5263" i="6"/>
  <c r="L5259" i="6"/>
  <c r="L5247" i="6"/>
  <c r="L5195" i="6"/>
  <c r="L5175" i="6"/>
  <c r="L5159" i="6"/>
  <c r="L5143" i="6"/>
  <c r="L5131" i="6"/>
  <c r="L5051" i="6"/>
  <c r="L5039" i="6"/>
  <c r="L5035" i="6"/>
  <c r="L5023" i="6"/>
  <c r="L5019" i="6"/>
  <c r="L5003" i="6"/>
  <c r="L4995" i="6"/>
  <c r="L4923" i="6"/>
  <c r="L4779" i="6"/>
  <c r="L4755" i="6"/>
  <c r="L4719" i="6"/>
  <c r="L4687" i="6"/>
  <c r="L4667" i="6"/>
  <c r="L4659" i="6"/>
  <c r="L4639" i="6"/>
  <c r="L4623" i="6"/>
  <c r="L4619" i="6"/>
  <c r="L4603" i="6"/>
  <c r="L4583" i="6"/>
  <c r="L4575" i="6"/>
  <c r="L4283" i="6"/>
  <c r="L4255" i="6"/>
  <c r="L4235" i="6"/>
  <c r="L4227" i="6"/>
  <c r="L4219" i="6"/>
  <c r="L4215" i="6"/>
  <c r="L4203" i="6"/>
  <c r="L4199" i="6"/>
  <c r="L4187" i="6"/>
  <c r="L4179" i="6"/>
  <c r="L4163" i="6"/>
  <c r="L4159" i="6"/>
  <c r="L4147" i="6"/>
  <c r="L4135" i="6"/>
  <c r="L4131" i="6"/>
  <c r="L4123" i="6"/>
  <c r="L4119" i="6"/>
  <c r="L4111" i="6"/>
  <c r="L4103" i="6"/>
  <c r="L4099" i="6"/>
  <c r="L4087" i="6"/>
  <c r="L4083" i="6"/>
  <c r="L4079" i="6"/>
  <c r="L4075" i="6"/>
  <c r="L4071" i="6"/>
  <c r="L4063" i="6"/>
  <c r="L4059" i="6"/>
  <c r="L4055" i="6"/>
  <c r="L4051" i="6"/>
  <c r="L4047" i="6"/>
  <c r="L4043" i="6"/>
  <c r="L4039" i="6"/>
  <c r="L4035" i="6"/>
  <c r="L4031" i="6"/>
  <c r="L4027" i="6"/>
  <c r="L4023" i="6"/>
  <c r="L4019" i="6"/>
  <c r="L4015" i="6"/>
  <c r="L4011" i="6"/>
  <c r="L4007" i="6"/>
  <c r="L4003" i="6"/>
  <c r="L3999" i="6"/>
  <c r="L3995" i="6"/>
  <c r="L3991" i="6"/>
  <c r="L3987" i="6"/>
  <c r="L3983" i="6"/>
  <c r="L3979" i="6"/>
  <c r="L3975" i="6"/>
  <c r="L3971" i="6"/>
  <c r="L3967" i="6"/>
  <c r="L3963" i="6"/>
  <c r="L3959" i="6"/>
  <c r="L3955" i="6"/>
  <c r="L3951" i="6"/>
  <c r="L3947" i="6"/>
  <c r="L3943" i="6"/>
  <c r="L3939" i="6"/>
  <c r="L3935" i="6"/>
  <c r="L3931" i="6"/>
  <c r="L3927" i="6"/>
  <c r="L3923" i="6"/>
  <c r="L3919" i="6"/>
  <c r="L3879" i="6"/>
  <c r="L3867" i="6"/>
  <c r="L3851" i="6"/>
  <c r="L3847" i="6"/>
  <c r="L3839" i="6"/>
  <c r="L3831" i="6"/>
  <c r="L3823" i="6"/>
  <c r="L3811" i="6"/>
  <c r="L3799" i="6"/>
  <c r="L3787" i="6"/>
  <c r="L3767" i="6"/>
  <c r="L3763" i="6"/>
  <c r="L3759" i="6"/>
  <c r="L3755" i="6"/>
  <c r="L3735" i="6"/>
  <c r="L3727" i="6"/>
  <c r="L3723" i="6"/>
  <c r="L3719" i="6"/>
  <c r="L3711" i="6"/>
  <c r="L3703" i="6"/>
  <c r="L3695" i="6"/>
  <c r="L3691" i="6"/>
  <c r="L3663" i="6"/>
  <c r="L3655" i="6"/>
  <c r="L3647" i="6"/>
  <c r="L3639" i="6"/>
  <c r="L3631" i="6"/>
  <c r="L3623" i="6"/>
  <c r="L3611" i="6"/>
  <c r="L3603" i="6"/>
  <c r="L3591" i="6"/>
  <c r="L3587" i="6"/>
  <c r="L3583" i="6"/>
  <c r="L3579" i="6"/>
  <c r="L3571" i="6"/>
  <c r="L3563" i="6"/>
  <c r="L3555" i="6"/>
  <c r="L3551" i="6"/>
  <c r="L3543" i="6"/>
  <c r="L3503" i="6"/>
  <c r="L3499" i="6"/>
  <c r="L3491" i="6"/>
  <c r="L3463" i="6"/>
  <c r="L3443" i="6"/>
  <c r="L3439" i="6"/>
  <c r="L3427" i="6"/>
  <c r="L3407" i="6"/>
  <c r="L3399" i="6"/>
  <c r="L3391" i="6"/>
  <c r="L3383" i="6"/>
  <c r="L3379" i="6"/>
  <c r="L3375" i="6"/>
  <c r="L3371" i="6"/>
  <c r="L3367" i="6"/>
  <c r="L3363" i="6"/>
  <c r="L3359" i="6"/>
  <c r="L3355" i="6"/>
  <c r="L3351" i="6"/>
  <c r="L3347" i="6"/>
  <c r="L3343" i="6"/>
  <c r="L3339" i="6"/>
  <c r="L3335" i="6"/>
  <c r="L3331" i="6"/>
  <c r="L3327" i="6"/>
  <c r="L3323" i="6"/>
  <c r="L3319" i="6"/>
  <c r="L3315" i="6"/>
  <c r="L3311" i="6"/>
  <c r="L3179" i="6"/>
  <c r="L3175" i="6"/>
  <c r="L3171" i="6"/>
  <c r="L3167" i="6"/>
  <c r="L3163" i="6"/>
  <c r="L3159" i="6"/>
  <c r="L3155" i="6"/>
  <c r="L3151" i="6"/>
  <c r="L3147" i="6"/>
  <c r="L3143" i="6"/>
  <c r="L3139" i="6"/>
  <c r="L3135" i="6"/>
  <c r="L3127" i="6"/>
  <c r="L3123" i="6"/>
  <c r="L3119" i="6"/>
  <c r="L3111" i="6"/>
  <c r="L3103" i="6"/>
  <c r="L3095" i="6"/>
  <c r="L3051" i="6"/>
  <c r="L3043" i="6"/>
  <c r="L3019" i="6"/>
  <c r="L3016" i="6"/>
  <c r="L3007" i="6"/>
  <c r="L206" i="6"/>
  <c r="L202" i="6"/>
  <c r="L198" i="6"/>
  <c r="L194" i="6"/>
  <c r="L190" i="6"/>
  <c r="L186" i="6"/>
  <c r="L182" i="6"/>
  <c r="L178" i="6"/>
  <c r="L174" i="6"/>
  <c r="L170" i="6"/>
  <c r="L166" i="6"/>
  <c r="L162" i="6"/>
  <c r="L158" i="6"/>
  <c r="L154" i="6"/>
  <c r="L150" i="6"/>
  <c r="L146" i="6"/>
  <c r="L142" i="6"/>
  <c r="L138" i="6"/>
  <c r="L134" i="6"/>
  <c r="L130" i="6"/>
  <c r="L126" i="6"/>
  <c r="L122" i="6"/>
  <c r="L118" i="6"/>
  <c r="L114" i="6"/>
  <c r="L110" i="6"/>
  <c r="L106" i="6"/>
  <c r="L102" i="6"/>
  <c r="L98" i="6"/>
  <c r="L94" i="6"/>
  <c r="L90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K3024" i="6" s="1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K3032" i="6" s="1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K3044" i="6" s="1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K3051" i="6" s="1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K3100" i="6" s="1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K3112" i="6" s="1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K3125" i="6" s="1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K3132" i="6" s="1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K3144" i="6" s="1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K3146" i="6" s="1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K3149" i="6" s="1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K3152" i="6" s="1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K3158" i="6" s="1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K3162" i="6" s="1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K3166" i="6" s="1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K3168" i="6" s="1"/>
  <c r="C3168" i="6"/>
  <c r="L3168" i="6"/>
  <c r="F3168" i="6"/>
  <c r="G3168" i="6"/>
  <c r="H3168" i="6"/>
  <c r="I3168" i="6"/>
  <c r="J3168" i="6"/>
  <c r="A3169" i="6"/>
  <c r="B3169" i="6"/>
  <c r="K3169" i="6" s="1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K3176" i="6" s="1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K3178" i="6" s="1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K3180" i="6" s="1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K3182" i="6" s="1"/>
  <c r="C3182" i="6"/>
  <c r="F3182" i="6"/>
  <c r="G3182" i="6"/>
  <c r="H3182" i="6"/>
  <c r="I3182" i="6"/>
  <c r="J3182" i="6"/>
  <c r="A3183" i="6"/>
  <c r="B3183" i="6"/>
  <c r="K3183" i="6" s="1"/>
  <c r="C3183" i="6"/>
  <c r="F3183" i="6"/>
  <c r="G3183" i="6"/>
  <c r="H3183" i="6"/>
  <c r="I3183" i="6"/>
  <c r="J3183" i="6"/>
  <c r="A3184" i="6"/>
  <c r="B3184" i="6"/>
  <c r="K3184" i="6" s="1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K3189" i="6" s="1"/>
  <c r="C3189" i="6"/>
  <c r="L3189" i="6"/>
  <c r="F3189" i="6"/>
  <c r="G3189" i="6"/>
  <c r="H3189" i="6"/>
  <c r="I3189" i="6"/>
  <c r="J3189" i="6"/>
  <c r="A3190" i="6"/>
  <c r="B3190" i="6"/>
  <c r="K3190" i="6" s="1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K3192" i="6" s="1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K3195" i="6" s="1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K3197" i="6" s="1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K3202" i="6" s="1"/>
  <c r="C3202" i="6"/>
  <c r="F3202" i="6"/>
  <c r="G3202" i="6"/>
  <c r="H3202" i="6"/>
  <c r="I3202" i="6"/>
  <c r="J3202" i="6"/>
  <c r="A3203" i="6"/>
  <c r="B3203" i="6"/>
  <c r="K3203" i="6" s="1"/>
  <c r="C3203" i="6"/>
  <c r="F3203" i="6"/>
  <c r="G3203" i="6"/>
  <c r="H3203" i="6"/>
  <c r="I3203" i="6"/>
  <c r="J3203" i="6"/>
  <c r="A3204" i="6"/>
  <c r="B3204" i="6"/>
  <c r="K3204" i="6" s="1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K3208" i="6" s="1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K3210" i="6" s="1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K3212" i="6" s="1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K3217" i="6" s="1"/>
  <c r="C3217" i="6"/>
  <c r="L3217" i="6"/>
  <c r="F3217" i="6"/>
  <c r="G3217" i="6"/>
  <c r="H3217" i="6"/>
  <c r="I3217" i="6"/>
  <c r="J3217" i="6"/>
  <c r="A3218" i="6"/>
  <c r="B3218" i="6"/>
  <c r="K3218" i="6" s="1"/>
  <c r="C3218" i="6"/>
  <c r="L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K3222" i="6" s="1"/>
  <c r="C3222" i="6"/>
  <c r="F3222" i="6"/>
  <c r="G3222" i="6"/>
  <c r="H3222" i="6"/>
  <c r="I3222" i="6"/>
  <c r="J3222" i="6"/>
  <c r="A3223" i="6"/>
  <c r="B3223" i="6"/>
  <c r="K3223" i="6" s="1"/>
  <c r="C3223" i="6"/>
  <c r="F3223" i="6"/>
  <c r="G3223" i="6"/>
  <c r="H3223" i="6"/>
  <c r="I3223" i="6"/>
  <c r="J3223" i="6"/>
  <c r="A3224" i="6"/>
  <c r="B3224" i="6"/>
  <c r="K3224" i="6" s="1"/>
  <c r="C3224" i="6"/>
  <c r="L3224" i="6"/>
  <c r="F3224" i="6"/>
  <c r="G3224" i="6"/>
  <c r="H3224" i="6"/>
  <c r="I3224" i="6"/>
  <c r="J3224" i="6"/>
  <c r="A3225" i="6"/>
  <c r="B3225" i="6"/>
  <c r="K3225" i="6" s="1"/>
  <c r="C3225" i="6"/>
  <c r="L3225" i="6"/>
  <c r="F3225" i="6"/>
  <c r="G3225" i="6"/>
  <c r="H3225" i="6"/>
  <c r="I3225" i="6"/>
  <c r="J3225" i="6"/>
  <c r="A3226" i="6"/>
  <c r="B3226" i="6"/>
  <c r="K3226" i="6" s="1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K3229" i="6" s="1"/>
  <c r="C3229" i="6"/>
  <c r="L3229" i="6"/>
  <c r="F3229" i="6"/>
  <c r="G3229" i="6"/>
  <c r="H3229" i="6"/>
  <c r="I3229" i="6"/>
  <c r="J3229" i="6"/>
  <c r="A3230" i="6"/>
  <c r="B3230" i="6"/>
  <c r="K3230" i="6" s="1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K3232" i="6" s="1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K3236" i="6" s="1"/>
  <c r="C3236" i="6"/>
  <c r="L3236" i="6"/>
  <c r="F3236" i="6"/>
  <c r="G3236" i="6"/>
  <c r="H3236" i="6"/>
  <c r="I3236" i="6"/>
  <c r="J3236" i="6"/>
  <c r="A3237" i="6"/>
  <c r="B3237" i="6"/>
  <c r="K3237" i="6" s="1"/>
  <c r="C3237" i="6"/>
  <c r="L3237" i="6"/>
  <c r="F3237" i="6"/>
  <c r="G3237" i="6"/>
  <c r="H3237" i="6"/>
  <c r="I3237" i="6"/>
  <c r="J3237" i="6"/>
  <c r="A3238" i="6"/>
  <c r="B3238" i="6"/>
  <c r="K3238" i="6" s="1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K3241" i="6" s="1"/>
  <c r="C3241" i="6"/>
  <c r="L3241" i="6"/>
  <c r="F3241" i="6"/>
  <c r="G3241" i="6"/>
  <c r="H3241" i="6"/>
  <c r="I3241" i="6"/>
  <c r="J3241" i="6"/>
  <c r="A3242" i="6"/>
  <c r="B3242" i="6"/>
  <c r="K3242" i="6" s="1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K3244" i="6" s="1"/>
  <c r="C3244" i="6"/>
  <c r="L3244" i="6"/>
  <c r="F3244" i="6"/>
  <c r="G3244" i="6"/>
  <c r="H3244" i="6"/>
  <c r="I3244" i="6"/>
  <c r="J3244" i="6"/>
  <c r="A3245" i="6"/>
  <c r="B3245" i="6"/>
  <c r="K3245" i="6" s="1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K3249" i="6" s="1"/>
  <c r="C3249" i="6"/>
  <c r="L3249" i="6"/>
  <c r="F3249" i="6"/>
  <c r="G3249" i="6"/>
  <c r="H3249" i="6"/>
  <c r="I3249" i="6"/>
  <c r="J3249" i="6"/>
  <c r="A3250" i="6"/>
  <c r="B3250" i="6"/>
  <c r="K3250" i="6" s="1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K3252" i="6" s="1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K3255" i="6" s="1"/>
  <c r="C3255" i="6"/>
  <c r="F3255" i="6"/>
  <c r="G3255" i="6"/>
  <c r="H3255" i="6"/>
  <c r="I3255" i="6"/>
  <c r="J3255" i="6"/>
  <c r="A3256" i="6"/>
  <c r="B3256" i="6"/>
  <c r="K3256" i="6" s="1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K3258" i="6" s="1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K3262" i="6" s="1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K3264" i="6" s="1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K3269" i="6" s="1"/>
  <c r="C3269" i="6"/>
  <c r="L3269" i="6"/>
  <c r="F3269" i="6"/>
  <c r="G3269" i="6"/>
  <c r="H3269" i="6"/>
  <c r="I3269" i="6"/>
  <c r="J3269" i="6"/>
  <c r="A3270" i="6"/>
  <c r="B3270" i="6"/>
  <c r="K3270" i="6" s="1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K3272" i="6" s="1"/>
  <c r="C3272" i="6"/>
  <c r="L3272" i="6"/>
  <c r="F3272" i="6"/>
  <c r="G3272" i="6"/>
  <c r="H3272" i="6"/>
  <c r="I3272" i="6"/>
  <c r="J3272" i="6"/>
  <c r="A3273" i="6"/>
  <c r="B3273" i="6"/>
  <c r="K3273" i="6" s="1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K3276" i="6" s="1"/>
  <c r="C3276" i="6"/>
  <c r="L3276" i="6"/>
  <c r="F3276" i="6"/>
  <c r="G3276" i="6"/>
  <c r="H3276" i="6"/>
  <c r="I3276" i="6"/>
  <c r="J3276" i="6"/>
  <c r="A3277" i="6"/>
  <c r="B3277" i="6"/>
  <c r="K3277" i="6" s="1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K3281" i="6" s="1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K3286" i="6" s="1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K3288" i="6" s="1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K3291" i="6" s="1"/>
  <c r="C3291" i="6"/>
  <c r="F3291" i="6"/>
  <c r="G3291" i="6"/>
  <c r="H3291" i="6"/>
  <c r="I3291" i="6"/>
  <c r="J3291" i="6"/>
  <c r="A3292" i="6"/>
  <c r="B3292" i="6"/>
  <c r="K3292" i="6" s="1"/>
  <c r="C3292" i="6"/>
  <c r="L3292" i="6"/>
  <c r="F3292" i="6"/>
  <c r="G3292" i="6"/>
  <c r="H3292" i="6"/>
  <c r="I3292" i="6"/>
  <c r="J3292" i="6"/>
  <c r="A3293" i="6"/>
  <c r="B3293" i="6"/>
  <c r="K3293" i="6" s="1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K3297" i="6" s="1"/>
  <c r="C3297" i="6"/>
  <c r="L3297" i="6"/>
  <c r="F3297" i="6"/>
  <c r="G3297" i="6"/>
  <c r="H3297" i="6"/>
  <c r="I3297" i="6"/>
  <c r="J3297" i="6"/>
  <c r="A3298" i="6"/>
  <c r="B3298" i="6"/>
  <c r="K3298" i="6" s="1"/>
  <c r="C3298" i="6"/>
  <c r="L3298" i="6"/>
  <c r="F3298" i="6"/>
  <c r="G3298" i="6"/>
  <c r="H3298" i="6"/>
  <c r="I3298" i="6"/>
  <c r="J3298" i="6"/>
  <c r="A3299" i="6"/>
  <c r="B3299" i="6"/>
  <c r="K3299" i="6" s="1"/>
  <c r="C3299" i="6"/>
  <c r="F3299" i="6"/>
  <c r="G3299" i="6"/>
  <c r="H3299" i="6"/>
  <c r="I3299" i="6"/>
  <c r="J3299" i="6"/>
  <c r="A3300" i="6"/>
  <c r="B3300" i="6"/>
  <c r="K3300" i="6" s="1"/>
  <c r="C3300" i="6"/>
  <c r="F3300" i="6"/>
  <c r="G3300" i="6"/>
  <c r="H3300" i="6"/>
  <c r="I3300" i="6"/>
  <c r="J3300" i="6"/>
  <c r="A3301" i="6"/>
  <c r="B3301" i="6"/>
  <c r="K3301" i="6" s="1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K3304" i="6" s="1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K3309" i="6" s="1"/>
  <c r="C3309" i="6"/>
  <c r="F3309" i="6"/>
  <c r="G3309" i="6"/>
  <c r="H3309" i="6"/>
  <c r="I3309" i="6"/>
  <c r="J3309" i="6"/>
  <c r="A3310" i="6"/>
  <c r="B3310" i="6"/>
  <c r="K3310" i="6" s="1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K3317" i="6" s="1"/>
  <c r="C3317" i="6"/>
  <c r="L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K3319" i="6" s="1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K3329" i="6" s="1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K3331" i="6" s="1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K3337" i="6" s="1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K3341" i="6" s="1"/>
  <c r="C3341" i="6"/>
  <c r="F3341" i="6"/>
  <c r="G3341" i="6"/>
  <c r="H3341" i="6"/>
  <c r="I3341" i="6"/>
  <c r="J3341" i="6"/>
  <c r="A3342" i="6"/>
  <c r="B3342" i="6"/>
  <c r="K3342" i="6" s="1"/>
  <c r="C3342" i="6"/>
  <c r="F3342" i="6"/>
  <c r="G3342" i="6"/>
  <c r="H3342" i="6"/>
  <c r="I3342" i="6"/>
  <c r="J3342" i="6"/>
  <c r="A3343" i="6"/>
  <c r="B3343" i="6"/>
  <c r="K3343" i="6" s="1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K3349" i="6" s="1"/>
  <c r="C3349" i="6"/>
  <c r="F3349" i="6"/>
  <c r="G3349" i="6"/>
  <c r="H3349" i="6"/>
  <c r="I3349" i="6"/>
  <c r="J3349" i="6"/>
  <c r="A3350" i="6"/>
  <c r="B3350" i="6"/>
  <c r="K3350" i="6" s="1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K3352" i="6" s="1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K3358" i="6" s="1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K3365" i="6" s="1"/>
  <c r="C3365" i="6"/>
  <c r="F3365" i="6"/>
  <c r="G3365" i="6"/>
  <c r="H3365" i="6"/>
  <c r="I3365" i="6"/>
  <c r="J3365" i="6"/>
  <c r="A3366" i="6"/>
  <c r="B3366" i="6"/>
  <c r="K3366" i="6" s="1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K3369" i="6" s="1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K3380" i="6" s="1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K3387" i="6" s="1"/>
  <c r="C3387" i="6"/>
  <c r="F3387" i="6"/>
  <c r="G3387" i="6"/>
  <c r="H3387" i="6"/>
  <c r="I3387" i="6"/>
  <c r="J3387" i="6"/>
  <c r="A3388" i="6"/>
  <c r="B3388" i="6"/>
  <c r="K3388" i="6" s="1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K3392" i="6" s="1"/>
  <c r="C3392" i="6"/>
  <c r="L3392" i="6"/>
  <c r="F3392" i="6"/>
  <c r="G3392" i="6"/>
  <c r="H3392" i="6"/>
  <c r="I3392" i="6"/>
  <c r="J3392" i="6"/>
  <c r="A3393" i="6"/>
  <c r="B3393" i="6"/>
  <c r="K3393" i="6" s="1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K3397" i="6" s="1"/>
  <c r="C3397" i="6"/>
  <c r="L3397" i="6"/>
  <c r="F3397" i="6"/>
  <c r="G3397" i="6"/>
  <c r="H3397" i="6"/>
  <c r="I3397" i="6"/>
  <c r="J3397" i="6"/>
  <c r="A3398" i="6"/>
  <c r="B3398" i="6"/>
  <c r="K3398" i="6" s="1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K3401" i="6" s="1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K3410" i="6" s="1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K3415" i="6" s="1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K3417" i="6" s="1"/>
  <c r="C3417" i="6"/>
  <c r="F3417" i="6"/>
  <c r="G3417" i="6"/>
  <c r="H3417" i="6"/>
  <c r="I3417" i="6"/>
  <c r="J3417" i="6"/>
  <c r="A3418" i="6"/>
  <c r="B3418" i="6"/>
  <c r="K3418" i="6" s="1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K3420" i="6" s="1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K3422" i="6" s="1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K3428" i="6" s="1"/>
  <c r="C3428" i="6"/>
  <c r="F3428" i="6"/>
  <c r="G3428" i="6"/>
  <c r="H3428" i="6"/>
  <c r="I3428" i="6"/>
  <c r="J3428" i="6"/>
  <c r="A3429" i="6"/>
  <c r="B3429" i="6"/>
  <c r="K3429" i="6" s="1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K3431" i="6" s="1"/>
  <c r="C3431" i="6"/>
  <c r="F3431" i="6"/>
  <c r="G3431" i="6"/>
  <c r="H3431" i="6"/>
  <c r="I3431" i="6"/>
  <c r="J3431" i="6"/>
  <c r="A3432" i="6"/>
  <c r="B3432" i="6"/>
  <c r="K3432" i="6" s="1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K3450" i="6" s="1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K3453" i="6" s="1"/>
  <c r="C3453" i="6"/>
  <c r="F3453" i="6"/>
  <c r="G3453" i="6"/>
  <c r="H3453" i="6"/>
  <c r="I3453" i="6"/>
  <c r="J3453" i="6"/>
  <c r="A3454" i="6"/>
  <c r="B3454" i="6"/>
  <c r="K3454" i="6" s="1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K3456" i="6" s="1"/>
  <c r="C3456" i="6"/>
  <c r="F3456" i="6"/>
  <c r="G3456" i="6"/>
  <c r="H3456" i="6"/>
  <c r="I3456" i="6"/>
  <c r="J3456" i="6"/>
  <c r="A3457" i="6"/>
  <c r="B3457" i="6"/>
  <c r="K3457" i="6" s="1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K3460" i="6" s="1"/>
  <c r="C3460" i="6"/>
  <c r="F3460" i="6"/>
  <c r="G3460" i="6"/>
  <c r="H3460" i="6"/>
  <c r="I3460" i="6"/>
  <c r="J3460" i="6"/>
  <c r="A3461" i="6"/>
  <c r="B3461" i="6"/>
  <c r="K3461" i="6" s="1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K3467" i="6" s="1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K3472" i="6" s="1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K3486" i="6" s="1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K3489" i="6" s="1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K3500" i="6" s="1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K3506" i="6" s="1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K3508" i="6" s="1"/>
  <c r="C3508" i="6"/>
  <c r="F3508" i="6"/>
  <c r="G3508" i="6"/>
  <c r="H3508" i="6"/>
  <c r="I3508" i="6"/>
  <c r="J3508" i="6"/>
  <c r="A3509" i="6"/>
  <c r="B3509" i="6"/>
  <c r="K3509" i="6" s="1"/>
  <c r="C3509" i="6"/>
  <c r="F3509" i="6"/>
  <c r="G3509" i="6"/>
  <c r="H3509" i="6"/>
  <c r="I3509" i="6"/>
  <c r="J3509" i="6"/>
  <c r="A3510" i="6"/>
  <c r="B3510" i="6"/>
  <c r="K3510" i="6" s="1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K3512" i="6" s="1"/>
  <c r="C3512" i="6"/>
  <c r="F3512" i="6"/>
  <c r="G3512" i="6"/>
  <c r="H3512" i="6"/>
  <c r="I3512" i="6"/>
  <c r="J3512" i="6"/>
  <c r="A3513" i="6"/>
  <c r="B3513" i="6"/>
  <c r="K3513" i="6" s="1"/>
  <c r="C3513" i="6"/>
  <c r="F3513" i="6"/>
  <c r="G3513" i="6"/>
  <c r="H3513" i="6"/>
  <c r="I3513" i="6"/>
  <c r="J3513" i="6"/>
  <c r="A3514" i="6"/>
  <c r="B3514" i="6"/>
  <c r="K3514" i="6" s="1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K3516" i="6" s="1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K3523" i="6" s="1"/>
  <c r="C3523" i="6"/>
  <c r="F3523" i="6"/>
  <c r="G3523" i="6"/>
  <c r="H3523" i="6"/>
  <c r="I3523" i="6"/>
  <c r="J3523" i="6"/>
  <c r="A3524" i="6"/>
  <c r="B3524" i="6"/>
  <c r="K3524" i="6" s="1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K3526" i="6" s="1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K3536" i="6" s="1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K3544" i="6" s="1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K3548" i="6" s="1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K3557" i="6" s="1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K3565" i="6" s="1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K3569" i="6" s="1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K3577" i="6" s="1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K3581" i="6" s="1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K3592" i="6" s="1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K3597" i="6" s="1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K3600" i="6" s="1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K3621" i="6" s="1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K3624" i="6" s="1"/>
  <c r="C3624" i="6"/>
  <c r="F3624" i="6"/>
  <c r="G3624" i="6"/>
  <c r="H3624" i="6"/>
  <c r="I3624" i="6"/>
  <c r="J3624" i="6"/>
  <c r="A3625" i="6"/>
  <c r="B3625" i="6"/>
  <c r="K3625" i="6" s="1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K3627" i="6" s="1"/>
  <c r="C3627" i="6"/>
  <c r="F3627" i="6"/>
  <c r="G3627" i="6"/>
  <c r="H3627" i="6"/>
  <c r="I3627" i="6"/>
  <c r="J3627" i="6"/>
  <c r="A3628" i="6"/>
  <c r="B3628" i="6"/>
  <c r="K3628" i="6" s="1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K3636" i="6" s="1"/>
  <c r="C3636" i="6"/>
  <c r="F3636" i="6"/>
  <c r="G3636" i="6"/>
  <c r="H3636" i="6"/>
  <c r="I3636" i="6"/>
  <c r="J3636" i="6"/>
  <c r="A3637" i="6"/>
  <c r="B3637" i="6"/>
  <c r="K3637" i="6" s="1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K3639" i="6" s="1"/>
  <c r="C3639" i="6"/>
  <c r="F3639" i="6"/>
  <c r="G3639" i="6"/>
  <c r="H3639" i="6"/>
  <c r="I3639" i="6"/>
  <c r="J3639" i="6"/>
  <c r="A3640" i="6"/>
  <c r="B3640" i="6"/>
  <c r="K3640" i="6" s="1"/>
  <c r="C3640" i="6"/>
  <c r="F3640" i="6"/>
  <c r="G3640" i="6"/>
  <c r="H3640" i="6"/>
  <c r="I3640" i="6"/>
  <c r="J3640" i="6"/>
  <c r="A3641" i="6"/>
  <c r="B3641" i="6"/>
  <c r="K3641" i="6" s="1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K3643" i="6" s="1"/>
  <c r="C3643" i="6"/>
  <c r="F3643" i="6"/>
  <c r="G3643" i="6"/>
  <c r="H3643" i="6"/>
  <c r="I3643" i="6"/>
  <c r="J3643" i="6"/>
  <c r="A3644" i="6"/>
  <c r="B3644" i="6"/>
  <c r="K3644" i="6" s="1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K3649" i="6" s="1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K3655" i="6" s="1"/>
  <c r="C3655" i="6"/>
  <c r="F3655" i="6"/>
  <c r="G3655" i="6"/>
  <c r="H3655" i="6"/>
  <c r="I3655" i="6"/>
  <c r="J3655" i="6"/>
  <c r="A3656" i="6"/>
  <c r="B3656" i="6"/>
  <c r="K3656" i="6" s="1"/>
  <c r="C3656" i="6"/>
  <c r="F3656" i="6"/>
  <c r="G3656" i="6"/>
  <c r="H3656" i="6"/>
  <c r="I3656" i="6"/>
  <c r="J3656" i="6"/>
  <c r="A3657" i="6"/>
  <c r="B3657" i="6"/>
  <c r="K3657" i="6" s="1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K3660" i="6" s="1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K3665" i="6" s="1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K3668" i="6" s="1"/>
  <c r="C3668" i="6"/>
  <c r="L3668" i="6"/>
  <c r="F3668" i="6"/>
  <c r="G3668" i="6"/>
  <c r="H3668" i="6"/>
  <c r="I3668" i="6"/>
  <c r="J3668" i="6"/>
  <c r="A3669" i="6"/>
  <c r="B3669" i="6"/>
  <c r="K3669" i="6" s="1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K3676" i="6" s="1"/>
  <c r="C3676" i="6"/>
  <c r="F3676" i="6"/>
  <c r="G3676" i="6"/>
  <c r="H3676" i="6"/>
  <c r="I3676" i="6"/>
  <c r="J3676" i="6"/>
  <c r="A3677" i="6"/>
  <c r="B3677" i="6"/>
  <c r="K3677" i="6" s="1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K3680" i="6" s="1"/>
  <c r="C3680" i="6"/>
  <c r="F3680" i="6"/>
  <c r="G3680" i="6"/>
  <c r="H3680" i="6"/>
  <c r="I3680" i="6"/>
  <c r="J3680" i="6"/>
  <c r="A3681" i="6"/>
  <c r="B3681" i="6"/>
  <c r="K3681" i="6" s="1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K3684" i="6" s="1"/>
  <c r="C3684" i="6"/>
  <c r="L3684" i="6"/>
  <c r="F3684" i="6"/>
  <c r="G3684" i="6"/>
  <c r="H3684" i="6"/>
  <c r="I3684" i="6"/>
  <c r="J3684" i="6"/>
  <c r="A3685" i="6"/>
  <c r="B3685" i="6"/>
  <c r="K3685" i="6" s="1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K3687" i="6" s="1"/>
  <c r="C3687" i="6"/>
  <c r="F3687" i="6"/>
  <c r="G3687" i="6"/>
  <c r="H3687" i="6"/>
  <c r="I3687" i="6"/>
  <c r="J3687" i="6"/>
  <c r="A3688" i="6"/>
  <c r="B3688" i="6"/>
  <c r="K3688" i="6" s="1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K3691" i="6" s="1"/>
  <c r="C3691" i="6"/>
  <c r="F3691" i="6"/>
  <c r="G3691" i="6"/>
  <c r="H3691" i="6"/>
  <c r="I3691" i="6"/>
  <c r="J3691" i="6"/>
  <c r="A3692" i="6"/>
  <c r="B3692" i="6"/>
  <c r="K3692" i="6" s="1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K3696" i="6" s="1"/>
  <c r="C3696" i="6"/>
  <c r="L3696" i="6"/>
  <c r="F3696" i="6"/>
  <c r="G3696" i="6"/>
  <c r="H3696" i="6"/>
  <c r="I3696" i="6"/>
  <c r="J3696" i="6"/>
  <c r="A3697" i="6"/>
  <c r="B3697" i="6"/>
  <c r="K3697" i="6" s="1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K3700" i="6" s="1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K3717" i="6" s="1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K3723" i="6" s="1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K3725" i="6" s="1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K3740" i="6" s="1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K3852" i="6" s="1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K3858" i="6" s="1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K3862" i="6" s="1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K3864" i="6" s="1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K3869" i="6" s="1"/>
  <c r="C3869" i="6"/>
  <c r="F3869" i="6"/>
  <c r="G3869" i="6"/>
  <c r="H3869" i="6"/>
  <c r="I3869" i="6"/>
  <c r="J3869" i="6"/>
  <c r="A3870" i="6"/>
  <c r="B3870" i="6"/>
  <c r="K3870" i="6" s="1"/>
  <c r="C3870" i="6"/>
  <c r="F3870" i="6"/>
  <c r="G3870" i="6"/>
  <c r="H3870" i="6"/>
  <c r="I3870" i="6"/>
  <c r="J3870" i="6"/>
  <c r="A3871" i="6"/>
  <c r="B3871" i="6"/>
  <c r="K3871" i="6" s="1"/>
  <c r="C3871" i="6"/>
  <c r="F3871" i="6"/>
  <c r="G3871" i="6"/>
  <c r="H3871" i="6"/>
  <c r="I3871" i="6"/>
  <c r="J3871" i="6"/>
  <c r="A3872" i="6"/>
  <c r="B3872" i="6"/>
  <c r="K3872" i="6" s="1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K3880" i="6" s="1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K3884" i="6" s="1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K3886" i="6" s="1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K3888" i="6" s="1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K3891" i="6" s="1"/>
  <c r="C3891" i="6"/>
  <c r="F3891" i="6"/>
  <c r="G3891" i="6"/>
  <c r="H3891" i="6"/>
  <c r="I3891" i="6"/>
  <c r="J3891" i="6"/>
  <c r="A3892" i="6"/>
  <c r="B3892" i="6"/>
  <c r="K3892" i="6" s="1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K3894" i="6" s="1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K3901" i="6" s="1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K3903" i="6" s="1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K3906" i="6" s="1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K3911" i="6" s="1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K3913" i="6" s="1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K3915" i="6" s="1"/>
  <c r="C3915" i="6"/>
  <c r="F3915" i="6"/>
  <c r="G3915" i="6"/>
  <c r="H3915" i="6"/>
  <c r="I3915" i="6"/>
  <c r="J3915" i="6"/>
  <c r="A3916" i="6"/>
  <c r="B3916" i="6"/>
  <c r="K3916" i="6" s="1"/>
  <c r="C3916" i="6"/>
  <c r="L3916" i="6"/>
  <c r="F3916" i="6"/>
  <c r="G3916" i="6"/>
  <c r="H3916" i="6"/>
  <c r="I3916" i="6"/>
  <c r="J3916" i="6"/>
  <c r="A3917" i="6"/>
  <c r="B3917" i="6"/>
  <c r="K3917" i="6" s="1"/>
  <c r="C3917" i="6"/>
  <c r="F3917" i="6"/>
  <c r="G3917" i="6"/>
  <c r="H3917" i="6"/>
  <c r="I3917" i="6"/>
  <c r="J3917" i="6"/>
  <c r="A3918" i="6"/>
  <c r="B3918" i="6"/>
  <c r="K3918" i="6" s="1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K3920" i="6" s="1"/>
  <c r="C3920" i="6"/>
  <c r="F3920" i="6"/>
  <c r="G3920" i="6"/>
  <c r="H3920" i="6"/>
  <c r="I3920" i="6"/>
  <c r="J3920" i="6"/>
  <c r="A3921" i="6"/>
  <c r="B3921" i="6"/>
  <c r="K3921" i="6" s="1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K3923" i="6" s="1"/>
  <c r="C3923" i="6"/>
  <c r="F3923" i="6"/>
  <c r="G3923" i="6"/>
  <c r="H3923" i="6"/>
  <c r="I3923" i="6"/>
  <c r="J3923" i="6"/>
  <c r="A3924" i="6"/>
  <c r="B3924" i="6"/>
  <c r="K3924" i="6" s="1"/>
  <c r="C3924" i="6"/>
  <c r="F3924" i="6"/>
  <c r="G3924" i="6"/>
  <c r="H3924" i="6"/>
  <c r="I3924" i="6"/>
  <c r="J3924" i="6"/>
  <c r="A3925" i="6"/>
  <c r="B3925" i="6"/>
  <c r="K3925" i="6" s="1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K3933" i="6" s="1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K3937" i="6" s="1"/>
  <c r="C3937" i="6"/>
  <c r="F3937" i="6"/>
  <c r="G3937" i="6"/>
  <c r="H3937" i="6"/>
  <c r="I3937" i="6"/>
  <c r="J3937" i="6"/>
  <c r="A3938" i="6"/>
  <c r="B3938" i="6"/>
  <c r="K3938" i="6" s="1"/>
  <c r="C3938" i="6"/>
  <c r="L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K3940" i="6" s="1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K3943" i="6" s="1"/>
  <c r="C3943" i="6"/>
  <c r="F3943" i="6"/>
  <c r="G3943" i="6"/>
  <c r="H3943" i="6"/>
  <c r="I3943" i="6"/>
  <c r="J3943" i="6"/>
  <c r="A3944" i="6"/>
  <c r="B3944" i="6"/>
  <c r="K3944" i="6" s="1"/>
  <c r="C3944" i="6"/>
  <c r="F3944" i="6"/>
  <c r="G3944" i="6"/>
  <c r="H3944" i="6"/>
  <c r="I3944" i="6"/>
  <c r="J3944" i="6"/>
  <c r="A3945" i="6"/>
  <c r="B3945" i="6"/>
  <c r="K3945" i="6" s="1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K3951" i="6" s="1"/>
  <c r="C3951" i="6"/>
  <c r="F3951" i="6"/>
  <c r="G3951" i="6"/>
  <c r="H3951" i="6"/>
  <c r="I3951" i="6"/>
  <c r="J3951" i="6"/>
  <c r="A3952" i="6"/>
  <c r="B3952" i="6"/>
  <c r="K3952" i="6" s="1"/>
  <c r="C3952" i="6"/>
  <c r="F3952" i="6"/>
  <c r="G3952" i="6"/>
  <c r="H3952" i="6"/>
  <c r="I3952" i="6"/>
  <c r="J3952" i="6"/>
  <c r="A3953" i="6"/>
  <c r="B3953" i="6"/>
  <c r="K3953" i="6" s="1"/>
  <c r="C3953" i="6"/>
  <c r="F3953" i="6"/>
  <c r="G3953" i="6"/>
  <c r="H3953" i="6"/>
  <c r="I3953" i="6"/>
  <c r="J3953" i="6"/>
  <c r="A3954" i="6"/>
  <c r="B3954" i="6"/>
  <c r="K3954" i="6" s="1"/>
  <c r="C3954" i="6"/>
  <c r="F3954" i="6"/>
  <c r="G3954" i="6"/>
  <c r="H3954" i="6"/>
  <c r="I3954" i="6"/>
  <c r="J3954" i="6"/>
  <c r="A3955" i="6"/>
  <c r="B3955" i="6"/>
  <c r="K3955" i="6" s="1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K3957" i="6" s="1"/>
  <c r="C3957" i="6"/>
  <c r="F3957" i="6"/>
  <c r="G3957" i="6"/>
  <c r="H3957" i="6"/>
  <c r="I3957" i="6"/>
  <c r="J3957" i="6"/>
  <c r="A3958" i="6"/>
  <c r="B3958" i="6"/>
  <c r="K3958" i="6" s="1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K3978" i="6" s="1"/>
  <c r="C3978" i="6"/>
  <c r="F3978" i="6"/>
  <c r="G3978" i="6"/>
  <c r="H3978" i="6"/>
  <c r="I3978" i="6"/>
  <c r="J3978" i="6"/>
  <c r="A3979" i="6"/>
  <c r="B3979" i="6"/>
  <c r="K3979" i="6" s="1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K3981" i="6" s="1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K3986" i="6" s="1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K3990" i="6" s="1"/>
  <c r="C3990" i="6"/>
  <c r="F3990" i="6"/>
  <c r="G3990" i="6"/>
  <c r="H3990" i="6"/>
  <c r="I3990" i="6"/>
  <c r="J3990" i="6"/>
  <c r="A3991" i="6"/>
  <c r="B3991" i="6"/>
  <c r="K3991" i="6" s="1"/>
  <c r="C3991" i="6"/>
  <c r="F3991" i="6"/>
  <c r="G3991" i="6"/>
  <c r="H3991" i="6"/>
  <c r="I3991" i="6"/>
  <c r="J3991" i="6"/>
  <c r="A3992" i="6"/>
  <c r="B3992" i="6"/>
  <c r="K3992" i="6" s="1"/>
  <c r="C3992" i="6"/>
  <c r="F3992" i="6"/>
  <c r="G3992" i="6"/>
  <c r="H3992" i="6"/>
  <c r="I3992" i="6"/>
  <c r="J3992" i="6"/>
  <c r="A3993" i="6"/>
  <c r="B3993" i="6"/>
  <c r="K3993" i="6" s="1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K3999" i="6" s="1"/>
  <c r="C3999" i="6"/>
  <c r="F3999" i="6"/>
  <c r="G3999" i="6"/>
  <c r="H3999" i="6"/>
  <c r="I3999" i="6"/>
  <c r="J3999" i="6"/>
  <c r="A4000" i="6"/>
  <c r="B4000" i="6"/>
  <c r="K4000" i="6" s="1"/>
  <c r="C4000" i="6"/>
  <c r="F4000" i="6"/>
  <c r="G4000" i="6"/>
  <c r="H4000" i="6"/>
  <c r="I4000" i="6"/>
  <c r="J4000" i="6"/>
  <c r="A4001" i="6"/>
  <c r="B4001" i="6"/>
  <c r="K4001" i="6" s="1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K4004" i="6" s="1"/>
  <c r="C4004" i="6"/>
  <c r="F4004" i="6"/>
  <c r="G4004" i="6"/>
  <c r="H4004" i="6"/>
  <c r="I4004" i="6"/>
  <c r="J4004" i="6"/>
  <c r="A4005" i="6"/>
  <c r="B4005" i="6"/>
  <c r="K4005" i="6" s="1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K4012" i="6" s="1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K4014" i="6" s="1"/>
  <c r="C4014" i="6"/>
  <c r="F4014" i="6"/>
  <c r="G4014" i="6"/>
  <c r="H4014" i="6"/>
  <c r="I4014" i="6"/>
  <c r="J4014" i="6"/>
  <c r="A4015" i="6"/>
  <c r="B4015" i="6"/>
  <c r="K4015" i="6" s="1"/>
  <c r="C4015" i="6"/>
  <c r="F4015" i="6"/>
  <c r="G4015" i="6"/>
  <c r="H4015" i="6"/>
  <c r="I4015" i="6"/>
  <c r="J4015" i="6"/>
  <c r="A4016" i="6"/>
  <c r="B4016" i="6"/>
  <c r="K4016" i="6" s="1"/>
  <c r="C4016" i="6"/>
  <c r="F4016" i="6"/>
  <c r="G4016" i="6"/>
  <c r="H4016" i="6"/>
  <c r="I4016" i="6"/>
  <c r="J4016" i="6"/>
  <c r="A4017" i="6"/>
  <c r="B4017" i="6"/>
  <c r="K4017" i="6" s="1"/>
  <c r="C4017" i="6"/>
  <c r="F4017" i="6"/>
  <c r="G4017" i="6"/>
  <c r="H4017" i="6"/>
  <c r="I4017" i="6"/>
  <c r="J4017" i="6"/>
  <c r="A4018" i="6"/>
  <c r="B4018" i="6"/>
  <c r="K4018" i="6" s="1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K4026" i="6" s="1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K4029" i="6" s="1"/>
  <c r="C4029" i="6"/>
  <c r="L4029" i="6"/>
  <c r="F4029" i="6"/>
  <c r="G4029" i="6"/>
  <c r="H4029" i="6"/>
  <c r="I4029" i="6"/>
  <c r="J4029" i="6"/>
  <c r="A4030" i="6"/>
  <c r="B4030" i="6"/>
  <c r="K4030" i="6" s="1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K4033" i="6" s="1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K4040" i="6" s="1"/>
  <c r="C4040" i="6"/>
  <c r="F4040" i="6"/>
  <c r="G4040" i="6"/>
  <c r="H4040" i="6"/>
  <c r="I4040" i="6"/>
  <c r="J4040" i="6"/>
  <c r="A4041" i="6"/>
  <c r="B4041" i="6"/>
  <c r="K4041" i="6" s="1"/>
  <c r="C4041" i="6"/>
  <c r="F4041" i="6"/>
  <c r="G4041" i="6"/>
  <c r="H4041" i="6"/>
  <c r="I4041" i="6"/>
  <c r="J4041" i="6"/>
  <c r="A4042" i="6"/>
  <c r="B4042" i="6"/>
  <c r="K4042" i="6" s="1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K4046" i="6" s="1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K4053" i="6" s="1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K4055" i="6" s="1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K4060" i="6" s="1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K4064" i="6" s="1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K4067" i="6" s="1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K4069" i="6" s="1"/>
  <c r="C4069" i="6"/>
  <c r="F4069" i="6"/>
  <c r="G4069" i="6"/>
  <c r="H4069" i="6"/>
  <c r="I4069" i="6"/>
  <c r="J4069" i="6"/>
  <c r="A4070" i="6"/>
  <c r="B4070" i="6"/>
  <c r="K4070" i="6" s="1"/>
  <c r="C4070" i="6"/>
  <c r="F4070" i="6"/>
  <c r="G4070" i="6"/>
  <c r="H4070" i="6"/>
  <c r="I4070" i="6"/>
  <c r="J4070" i="6"/>
  <c r="A4071" i="6"/>
  <c r="B4071" i="6"/>
  <c r="K4071" i="6" s="1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K4073" i="6" s="1"/>
  <c r="C4073" i="6"/>
  <c r="F4073" i="6"/>
  <c r="G4073" i="6"/>
  <c r="H4073" i="6"/>
  <c r="I4073" i="6"/>
  <c r="J4073" i="6"/>
  <c r="A4074" i="6"/>
  <c r="B4074" i="6"/>
  <c r="K4074" i="6" s="1"/>
  <c r="C4074" i="6"/>
  <c r="F4074" i="6"/>
  <c r="G4074" i="6"/>
  <c r="H4074" i="6"/>
  <c r="I4074" i="6"/>
  <c r="J4074" i="6"/>
  <c r="A4075" i="6"/>
  <c r="B4075" i="6"/>
  <c r="K4075" i="6" s="1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K4079" i="6" s="1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K4084" i="6" s="1"/>
  <c r="C4084" i="6"/>
  <c r="F4084" i="6"/>
  <c r="G4084" i="6"/>
  <c r="H4084" i="6"/>
  <c r="I4084" i="6"/>
  <c r="J4084" i="6"/>
  <c r="A4085" i="6"/>
  <c r="B4085" i="6"/>
  <c r="K4085" i="6" s="1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K4088" i="6" s="1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K4100" i="6" s="1"/>
  <c r="C4100" i="6"/>
  <c r="F4100" i="6"/>
  <c r="G4100" i="6"/>
  <c r="H4100" i="6"/>
  <c r="I4100" i="6"/>
  <c r="J4100" i="6"/>
  <c r="A4101" i="6"/>
  <c r="B4101" i="6"/>
  <c r="K4101" i="6" s="1"/>
  <c r="C4101" i="6"/>
  <c r="F4101" i="6"/>
  <c r="G4101" i="6"/>
  <c r="H4101" i="6"/>
  <c r="I4101" i="6"/>
  <c r="J4101" i="6"/>
  <c r="A4102" i="6"/>
  <c r="B4102" i="6"/>
  <c r="K4102" i="6" s="1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K4104" i="6" s="1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K4112" i="6" s="1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K4114" i="6" s="1"/>
  <c r="C4114" i="6"/>
  <c r="F4114" i="6"/>
  <c r="G4114" i="6"/>
  <c r="H4114" i="6"/>
  <c r="I4114" i="6"/>
  <c r="J4114" i="6"/>
  <c r="A4115" i="6"/>
  <c r="B4115" i="6"/>
  <c r="K4115" i="6" s="1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K4118" i="6" s="1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K4133" i="6" s="1"/>
  <c r="C4133" i="6"/>
  <c r="F4133" i="6"/>
  <c r="G4133" i="6"/>
  <c r="H4133" i="6"/>
  <c r="I4133" i="6"/>
  <c r="J4133" i="6"/>
  <c r="A4134" i="6"/>
  <c r="B4134" i="6"/>
  <c r="K4134" i="6" s="1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K4136" i="6" s="1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K4138" i="6" s="1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K4141" i="6" s="1"/>
  <c r="C4141" i="6"/>
  <c r="F4141" i="6"/>
  <c r="G4141" i="6"/>
  <c r="H4141" i="6"/>
  <c r="I4141" i="6"/>
  <c r="J4141" i="6"/>
  <c r="A4142" i="6"/>
  <c r="B4142" i="6"/>
  <c r="K4142" i="6" s="1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K4144" i="6" s="1"/>
  <c r="C4144" i="6"/>
  <c r="F4144" i="6"/>
  <c r="G4144" i="6"/>
  <c r="H4144" i="6"/>
  <c r="I4144" i="6"/>
  <c r="J4144" i="6"/>
  <c r="A4145" i="6"/>
  <c r="B4145" i="6"/>
  <c r="K4145" i="6" s="1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K4147" i="6" s="1"/>
  <c r="C4147" i="6"/>
  <c r="F4147" i="6"/>
  <c r="G4147" i="6"/>
  <c r="H4147" i="6"/>
  <c r="I4147" i="6"/>
  <c r="J4147" i="6"/>
  <c r="A4148" i="6"/>
  <c r="B4148" i="6"/>
  <c r="K4148" i="6" s="1"/>
  <c r="C4148" i="6"/>
  <c r="F4148" i="6"/>
  <c r="G4148" i="6"/>
  <c r="H4148" i="6"/>
  <c r="I4148" i="6"/>
  <c r="J4148" i="6"/>
  <c r="A4149" i="6"/>
  <c r="B4149" i="6"/>
  <c r="K4149" i="6" s="1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K4152" i="6" s="1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K4156" i="6" s="1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K4166" i="6" s="1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K4175" i="6" s="1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K4184" i="6" s="1"/>
  <c r="C4184" i="6"/>
  <c r="F4184" i="6"/>
  <c r="G4184" i="6"/>
  <c r="H4184" i="6"/>
  <c r="I4184" i="6"/>
  <c r="J4184" i="6"/>
  <c r="A4185" i="6"/>
  <c r="B4185" i="6"/>
  <c r="K4185" i="6" s="1"/>
  <c r="C4185" i="6"/>
  <c r="F4185" i="6"/>
  <c r="G4185" i="6"/>
  <c r="H4185" i="6"/>
  <c r="I4185" i="6"/>
  <c r="J4185" i="6"/>
  <c r="A4186" i="6"/>
  <c r="B4186" i="6"/>
  <c r="K4186" i="6" s="1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K4190" i="6" s="1"/>
  <c r="C4190" i="6"/>
  <c r="F4190" i="6"/>
  <c r="G4190" i="6"/>
  <c r="H4190" i="6"/>
  <c r="I4190" i="6"/>
  <c r="J4190" i="6"/>
  <c r="A4191" i="6"/>
  <c r="B4191" i="6"/>
  <c r="K4191" i="6" s="1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K4195" i="6" s="1"/>
  <c r="C4195" i="6"/>
  <c r="L4195" i="6"/>
  <c r="F4195" i="6"/>
  <c r="G4195" i="6"/>
  <c r="H4195" i="6"/>
  <c r="I4195" i="6"/>
  <c r="J4195" i="6"/>
  <c r="A4196" i="6"/>
  <c r="B4196" i="6"/>
  <c r="K4196" i="6" s="1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M269" i="6" s="1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L5" i="6"/>
  <c r="L6" i="6"/>
  <c r="L7" i="6"/>
  <c r="L9" i="6"/>
  <c r="L11" i="6"/>
  <c r="N11" i="6" s="1"/>
  <c r="L13" i="6"/>
  <c r="L14" i="6"/>
  <c r="L15" i="6"/>
  <c r="N15" i="6" s="1"/>
  <c r="L17" i="6"/>
  <c r="L18" i="6"/>
  <c r="L19" i="6"/>
  <c r="L21" i="6"/>
  <c r="L23" i="6"/>
  <c r="L24" i="6"/>
  <c r="N24" i="6" s="1"/>
  <c r="L25" i="6"/>
  <c r="L27" i="6"/>
  <c r="L29" i="6"/>
  <c r="L30" i="6"/>
  <c r="L31" i="6"/>
  <c r="L32" i="6"/>
  <c r="N32" i="6" s="1"/>
  <c r="L33" i="6"/>
  <c r="L35" i="6"/>
  <c r="L37" i="6"/>
  <c r="L39" i="6"/>
  <c r="L40" i="6"/>
  <c r="N40" i="6" s="1"/>
  <c r="L41" i="6"/>
  <c r="L43" i="6"/>
  <c r="L48" i="6"/>
  <c r="N48" i="6" s="1"/>
  <c r="L49" i="6"/>
  <c r="L52" i="6"/>
  <c r="N52" i="6" s="1"/>
  <c r="L54" i="6"/>
  <c r="L56" i="6"/>
  <c r="N56" i="6" s="1"/>
  <c r="L57" i="6"/>
  <c r="L58" i="6"/>
  <c r="L61" i="6"/>
  <c r="N61" i="6" s="1"/>
  <c r="L62" i="6"/>
  <c r="N62" i="6" s="1"/>
  <c r="L63" i="6"/>
  <c r="N63" i="6" s="1"/>
  <c r="L64" i="6"/>
  <c r="N64" i="6" s="1"/>
  <c r="L65" i="6"/>
  <c r="N65" i="6" s="1"/>
  <c r="L66" i="6"/>
  <c r="N66" i="6" s="1"/>
  <c r="L67" i="6"/>
  <c r="N67" i="6" s="1"/>
  <c r="L70" i="6"/>
  <c r="N70" i="6" s="1"/>
  <c r="L71" i="6"/>
  <c r="N71" i="6" s="1"/>
  <c r="L74" i="6"/>
  <c r="L75" i="6"/>
  <c r="L76" i="6"/>
  <c r="N76" i="6" s="1"/>
  <c r="L78" i="6"/>
  <c r="L79" i="6"/>
  <c r="L80" i="6"/>
  <c r="N80" i="6" s="1"/>
  <c r="L82" i="6"/>
  <c r="L83" i="6"/>
  <c r="L84" i="6"/>
  <c r="N84" i="6" s="1"/>
  <c r="L86" i="6"/>
  <c r="L87" i="6"/>
  <c r="L88" i="6"/>
  <c r="N88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K46" i="6" s="1"/>
  <c r="B47" i="6"/>
  <c r="K47" i="6" s="1"/>
  <c r="B48" i="6"/>
  <c r="B49" i="6"/>
  <c r="B50" i="6"/>
  <c r="K50" i="6" s="1"/>
  <c r="B51" i="6"/>
  <c r="K51" i="6" s="1"/>
  <c r="B52" i="6"/>
  <c r="B53" i="6"/>
  <c r="B54" i="6"/>
  <c r="K54" i="6" s="1"/>
  <c r="B55" i="6"/>
  <c r="K55" i="6" s="1"/>
  <c r="B56" i="6"/>
  <c r="B57" i="6"/>
  <c r="B58" i="6"/>
  <c r="K58" i="6" s="1"/>
  <c r="B59" i="6"/>
  <c r="K59" i="6" s="1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K73" i="6" s="1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K92" i="6" s="1"/>
  <c r="M92" i="6" s="1"/>
  <c r="B93" i="6"/>
  <c r="K93" i="6" s="1"/>
  <c r="B94" i="6"/>
  <c r="B95" i="6"/>
  <c r="B96" i="6"/>
  <c r="K96" i="6" s="1"/>
  <c r="M96" i="6" s="1"/>
  <c r="B97" i="6"/>
  <c r="K97" i="6" s="1"/>
  <c r="B98" i="6"/>
  <c r="B99" i="6"/>
  <c r="B100" i="6"/>
  <c r="B101" i="6"/>
  <c r="B102" i="6"/>
  <c r="B103" i="6"/>
  <c r="B104" i="6"/>
  <c r="K104" i="6" s="1"/>
  <c r="M104" i="6" s="1"/>
  <c r="B105" i="6"/>
  <c r="K105" i="6" s="1"/>
  <c r="B106" i="6"/>
  <c r="B107" i="6"/>
  <c r="B108" i="6"/>
  <c r="K108" i="6" s="1"/>
  <c r="M108" i="6" s="1"/>
  <c r="B109" i="6"/>
  <c r="K109" i="6" s="1"/>
  <c r="B110" i="6"/>
  <c r="B111" i="6"/>
  <c r="B112" i="6"/>
  <c r="B113" i="6"/>
  <c r="K113" i="6" s="1"/>
  <c r="B114" i="6"/>
  <c r="B115" i="6"/>
  <c r="B116" i="6"/>
  <c r="K116" i="6" s="1"/>
  <c r="M116" i="6" s="1"/>
  <c r="B117" i="6"/>
  <c r="K117" i="6" s="1"/>
  <c r="B118" i="6"/>
  <c r="B119" i="6"/>
  <c r="B120" i="6"/>
  <c r="K120" i="6" s="1"/>
  <c r="M120" i="6" s="1"/>
  <c r="B121" i="6"/>
  <c r="K121" i="6" s="1"/>
  <c r="B122" i="6"/>
  <c r="B123" i="6"/>
  <c r="B124" i="6"/>
  <c r="K124" i="6" s="1"/>
  <c r="M124" i="6" s="1"/>
  <c r="B125" i="6"/>
  <c r="K125" i="6" s="1"/>
  <c r="B126" i="6"/>
  <c r="B127" i="6"/>
  <c r="B128" i="6"/>
  <c r="B129" i="6"/>
  <c r="K129" i="6" s="1"/>
  <c r="B130" i="6"/>
  <c r="B131" i="6"/>
  <c r="B132" i="6"/>
  <c r="K132" i="6" s="1"/>
  <c r="M132" i="6" s="1"/>
  <c r="B133" i="6"/>
  <c r="K133" i="6" s="1"/>
  <c r="B134" i="6"/>
  <c r="B135" i="6"/>
  <c r="B136" i="6"/>
  <c r="K136" i="6" s="1"/>
  <c r="M136" i="6" s="1"/>
  <c r="B137" i="6"/>
  <c r="K137" i="6" s="1"/>
  <c r="B138" i="6"/>
  <c r="B139" i="6"/>
  <c r="B140" i="6"/>
  <c r="K140" i="6" s="1"/>
  <c r="M140" i="6" s="1"/>
  <c r="B141" i="6"/>
  <c r="K141" i="6" s="1"/>
  <c r="B142" i="6"/>
  <c r="B143" i="6"/>
  <c r="B144" i="6"/>
  <c r="B145" i="6"/>
  <c r="K145" i="6" s="1"/>
  <c r="B146" i="6"/>
  <c r="B147" i="6"/>
  <c r="B148" i="6"/>
  <c r="K148" i="6" s="1"/>
  <c r="M148" i="6" s="1"/>
  <c r="B149" i="6"/>
  <c r="K149" i="6" s="1"/>
  <c r="B150" i="6"/>
  <c r="B151" i="6"/>
  <c r="B152" i="6"/>
  <c r="K152" i="6" s="1"/>
  <c r="M152" i="6" s="1"/>
  <c r="B153" i="6"/>
  <c r="K153" i="6" s="1"/>
  <c r="B154" i="6"/>
  <c r="B155" i="6"/>
  <c r="B156" i="6"/>
  <c r="K156" i="6" s="1"/>
  <c r="M156" i="6" s="1"/>
  <c r="B157" i="6"/>
  <c r="K157" i="6" s="1"/>
  <c r="B158" i="6"/>
  <c r="B159" i="6"/>
  <c r="B160" i="6"/>
  <c r="K160" i="6" s="1"/>
  <c r="M160" i="6" s="1"/>
  <c r="B161" i="6"/>
  <c r="K161" i="6" s="1"/>
  <c r="B162" i="6"/>
  <c r="B163" i="6"/>
  <c r="B164" i="6"/>
  <c r="K164" i="6" s="1"/>
  <c r="B165" i="6"/>
  <c r="K165" i="6" s="1"/>
  <c r="B166" i="6"/>
  <c r="B167" i="6"/>
  <c r="B168" i="6"/>
  <c r="K168" i="6" s="1"/>
  <c r="B169" i="6"/>
  <c r="K169" i="6" s="1"/>
  <c r="B170" i="6"/>
  <c r="B171" i="6"/>
  <c r="B172" i="6"/>
  <c r="B173" i="6"/>
  <c r="K173" i="6" s="1"/>
  <c r="B174" i="6"/>
  <c r="B175" i="6"/>
  <c r="B176" i="6"/>
  <c r="K176" i="6" s="1"/>
  <c r="M176" i="6" s="1"/>
  <c r="B177" i="6"/>
  <c r="K177" i="6" s="1"/>
  <c r="B178" i="6"/>
  <c r="B179" i="6"/>
  <c r="B180" i="6"/>
  <c r="K180" i="6" s="1"/>
  <c r="B181" i="6"/>
  <c r="K181" i="6" s="1"/>
  <c r="B182" i="6"/>
  <c r="B183" i="6"/>
  <c r="B184" i="6"/>
  <c r="K184" i="6" s="1"/>
  <c r="B185" i="6"/>
  <c r="K185" i="6" s="1"/>
  <c r="B186" i="6"/>
  <c r="B187" i="6"/>
  <c r="B188" i="6"/>
  <c r="B189" i="6"/>
  <c r="K189" i="6" s="1"/>
  <c r="B190" i="6"/>
  <c r="B191" i="6"/>
  <c r="B192" i="6"/>
  <c r="K192" i="6" s="1"/>
  <c r="M192" i="6" s="1"/>
  <c r="B193" i="6"/>
  <c r="K193" i="6" s="1"/>
  <c r="B194" i="6"/>
  <c r="B195" i="6"/>
  <c r="B196" i="6"/>
  <c r="K196" i="6" s="1"/>
  <c r="M196" i="6" s="1"/>
  <c r="B197" i="6"/>
  <c r="K197" i="6" s="1"/>
  <c r="B198" i="6"/>
  <c r="B199" i="6"/>
  <c r="B200" i="6"/>
  <c r="K200" i="6" s="1"/>
  <c r="M200" i="6" s="1"/>
  <c r="B201" i="6"/>
  <c r="K201" i="6" s="1"/>
  <c r="B202" i="6"/>
  <c r="B203" i="6"/>
  <c r="B204" i="6"/>
  <c r="B205" i="6"/>
  <c r="K205" i="6" s="1"/>
  <c r="B206" i="6"/>
  <c r="B207" i="6"/>
  <c r="B208" i="6"/>
  <c r="K208" i="6" s="1"/>
  <c r="B209" i="6"/>
  <c r="K209" i="6" s="1"/>
  <c r="B210" i="6"/>
  <c r="B211" i="6"/>
  <c r="B212" i="6"/>
  <c r="K212" i="6" s="1"/>
  <c r="M212" i="6" s="1"/>
  <c r="B213" i="6"/>
  <c r="K213" i="6" s="1"/>
  <c r="M213" i="6" s="1"/>
  <c r="B214" i="6"/>
  <c r="B215" i="6"/>
  <c r="B216" i="6"/>
  <c r="K216" i="6" s="1"/>
  <c r="M216" i="6" s="1"/>
  <c r="B217" i="6"/>
  <c r="K217" i="6" s="1"/>
  <c r="B218" i="6"/>
  <c r="B219" i="6"/>
  <c r="B220" i="6"/>
  <c r="B221" i="6"/>
  <c r="K221" i="6" s="1"/>
  <c r="B222" i="6"/>
  <c r="B223" i="6"/>
  <c r="B224" i="6"/>
  <c r="K224" i="6" s="1"/>
  <c r="M224" i="6" s="1"/>
  <c r="B225" i="6"/>
  <c r="K225" i="6" s="1"/>
  <c r="B226" i="6"/>
  <c r="B227" i="6"/>
  <c r="B228" i="6"/>
  <c r="K228" i="6" s="1"/>
  <c r="M228" i="6" s="1"/>
  <c r="B229" i="6"/>
  <c r="K229" i="6" s="1"/>
  <c r="B230" i="6"/>
  <c r="B231" i="6"/>
  <c r="B232" i="6"/>
  <c r="K232" i="6" s="1"/>
  <c r="M232" i="6" s="1"/>
  <c r="B233" i="6"/>
  <c r="K233" i="6" s="1"/>
  <c r="B234" i="6"/>
  <c r="B235" i="6"/>
  <c r="B236" i="6"/>
  <c r="B237" i="6"/>
  <c r="K237" i="6" s="1"/>
  <c r="B238" i="6"/>
  <c r="B239" i="6"/>
  <c r="B240" i="6"/>
  <c r="K240" i="6" s="1"/>
  <c r="M240" i="6" s="1"/>
  <c r="B241" i="6"/>
  <c r="K241" i="6" s="1"/>
  <c r="B242" i="6"/>
  <c r="B243" i="6"/>
  <c r="B244" i="6"/>
  <c r="K244" i="6" s="1"/>
  <c r="M244" i="6" s="1"/>
  <c r="B245" i="6"/>
  <c r="K245" i="6" s="1"/>
  <c r="B246" i="6"/>
  <c r="B247" i="6"/>
  <c r="B248" i="6"/>
  <c r="K248" i="6" s="1"/>
  <c r="M248" i="6" s="1"/>
  <c r="B249" i="6"/>
  <c r="K249" i="6" s="1"/>
  <c r="B250" i="6"/>
  <c r="B251" i="6"/>
  <c r="B252" i="6"/>
  <c r="B253" i="6"/>
  <c r="K253" i="6" s="1"/>
  <c r="B254" i="6"/>
  <c r="B255" i="6"/>
  <c r="B256" i="6"/>
  <c r="K256" i="6" s="1"/>
  <c r="M256" i="6" s="1"/>
  <c r="B257" i="6"/>
  <c r="K257" i="6" s="1"/>
  <c r="B258" i="6"/>
  <c r="B259" i="6"/>
  <c r="B260" i="6"/>
  <c r="K260" i="6" s="1"/>
  <c r="M260" i="6" s="1"/>
  <c r="B261" i="6"/>
  <c r="K261" i="6" s="1"/>
  <c r="B262" i="6"/>
  <c r="B263" i="6"/>
  <c r="B264" i="6"/>
  <c r="K264" i="6" s="1"/>
  <c r="B265" i="6"/>
  <c r="K265" i="6" s="1"/>
  <c r="B266" i="6"/>
  <c r="B267" i="6"/>
  <c r="B268" i="6"/>
  <c r="B269" i="6"/>
  <c r="K269" i="6" s="1"/>
  <c r="B270" i="6"/>
  <c r="B271" i="6"/>
  <c r="B272" i="6"/>
  <c r="K272" i="6" s="1"/>
  <c r="M272" i="6" s="1"/>
  <c r="B273" i="6"/>
  <c r="K273" i="6" s="1"/>
  <c r="M273" i="6" s="1"/>
  <c r="B274" i="6"/>
  <c r="B275" i="6"/>
  <c r="B276" i="6"/>
  <c r="B277" i="6"/>
  <c r="K277" i="6" s="1"/>
  <c r="B278" i="6"/>
  <c r="B279" i="6"/>
  <c r="B280" i="6"/>
  <c r="B281" i="6"/>
  <c r="K281" i="6" s="1"/>
  <c r="B282" i="6"/>
  <c r="B283" i="6"/>
  <c r="B284" i="6"/>
  <c r="B285" i="6"/>
  <c r="K285" i="6" s="1"/>
  <c r="B286" i="6"/>
  <c r="B287" i="6"/>
  <c r="B288" i="6"/>
  <c r="B289" i="6"/>
  <c r="K289" i="6" s="1"/>
  <c r="B290" i="6"/>
  <c r="B291" i="6"/>
  <c r="B292" i="6"/>
  <c r="B293" i="6"/>
  <c r="K293" i="6" s="1"/>
  <c r="B294" i="6"/>
  <c r="B295" i="6"/>
  <c r="B296" i="6"/>
  <c r="B297" i="6"/>
  <c r="K297" i="6" s="1"/>
  <c r="B298" i="6"/>
  <c r="B299" i="6"/>
  <c r="B300" i="6"/>
  <c r="B301" i="6"/>
  <c r="K301" i="6" s="1"/>
  <c r="B302" i="6"/>
  <c r="B303" i="6"/>
  <c r="B304" i="6"/>
  <c r="B305" i="6"/>
  <c r="K305" i="6" s="1"/>
  <c r="B306" i="6"/>
  <c r="B307" i="6"/>
  <c r="B308" i="6"/>
  <c r="B309" i="6"/>
  <c r="K309" i="6" s="1"/>
  <c r="B310" i="6"/>
  <c r="B311" i="6"/>
  <c r="B312" i="6"/>
  <c r="B313" i="6"/>
  <c r="K313" i="6" s="1"/>
  <c r="B314" i="6"/>
  <c r="B315" i="6"/>
  <c r="B316" i="6"/>
  <c r="B317" i="6"/>
  <c r="K317" i="6" s="1"/>
  <c r="B318" i="6"/>
  <c r="B319" i="6"/>
  <c r="B320" i="6"/>
  <c r="B321" i="6"/>
  <c r="K321" i="6" s="1"/>
  <c r="B322" i="6"/>
  <c r="B323" i="6"/>
  <c r="B324" i="6"/>
  <c r="B325" i="6"/>
  <c r="K325" i="6" s="1"/>
  <c r="B326" i="6"/>
  <c r="B327" i="6"/>
  <c r="B328" i="6"/>
  <c r="B329" i="6"/>
  <c r="K329" i="6" s="1"/>
  <c r="B330" i="6"/>
  <c r="B331" i="6"/>
  <c r="B332" i="6"/>
  <c r="B333" i="6"/>
  <c r="K333" i="6" s="1"/>
  <c r="B334" i="6"/>
  <c r="B335" i="6"/>
  <c r="B336" i="6"/>
  <c r="B337" i="6"/>
  <c r="K337" i="6" s="1"/>
  <c r="B338" i="6"/>
  <c r="B339" i="6"/>
  <c r="B340" i="6"/>
  <c r="B341" i="6"/>
  <c r="K341" i="6" s="1"/>
  <c r="B342" i="6"/>
  <c r="B343" i="6"/>
  <c r="B344" i="6"/>
  <c r="B345" i="6"/>
  <c r="K345" i="6" s="1"/>
  <c r="B346" i="6"/>
  <c r="B347" i="6"/>
  <c r="B348" i="6"/>
  <c r="B349" i="6"/>
  <c r="K349" i="6" s="1"/>
  <c r="B350" i="6"/>
  <c r="B351" i="6"/>
  <c r="B352" i="6"/>
  <c r="B353" i="6"/>
  <c r="K353" i="6" s="1"/>
  <c r="B354" i="6"/>
  <c r="B355" i="6"/>
  <c r="B356" i="6"/>
  <c r="B357" i="6"/>
  <c r="K357" i="6" s="1"/>
  <c r="B358" i="6"/>
  <c r="B359" i="6"/>
  <c r="B360" i="6"/>
  <c r="B361" i="6"/>
  <c r="K361" i="6" s="1"/>
  <c r="B362" i="6"/>
  <c r="B363" i="6"/>
  <c r="B364" i="6"/>
  <c r="B365" i="6"/>
  <c r="K365" i="6" s="1"/>
  <c r="B366" i="6"/>
  <c r="B367" i="6"/>
  <c r="B368" i="6"/>
  <c r="B369" i="6"/>
  <c r="K369" i="6" s="1"/>
  <c r="B370" i="6"/>
  <c r="B371" i="6"/>
  <c r="B372" i="6"/>
  <c r="B373" i="6"/>
  <c r="K373" i="6" s="1"/>
  <c r="B374" i="6"/>
  <c r="B375" i="6"/>
  <c r="B376" i="6"/>
  <c r="B377" i="6"/>
  <c r="K377" i="6" s="1"/>
  <c r="B378" i="6"/>
  <c r="B379" i="6"/>
  <c r="B380" i="6"/>
  <c r="B381" i="6"/>
  <c r="K381" i="6" s="1"/>
  <c r="B382" i="6"/>
  <c r="B383" i="6"/>
  <c r="B384" i="6"/>
  <c r="B385" i="6"/>
  <c r="K385" i="6" s="1"/>
  <c r="B386" i="6"/>
  <c r="B387" i="6"/>
  <c r="B388" i="6"/>
  <c r="B389" i="6"/>
  <c r="K389" i="6" s="1"/>
  <c r="B390" i="6"/>
  <c r="B391" i="6"/>
  <c r="B392" i="6"/>
  <c r="B393" i="6"/>
  <c r="K393" i="6" s="1"/>
  <c r="B394" i="6"/>
  <c r="B395" i="6"/>
  <c r="B396" i="6"/>
  <c r="B397" i="6"/>
  <c r="K397" i="6" s="1"/>
  <c r="B398" i="6"/>
  <c r="B399" i="6"/>
  <c r="B400" i="6"/>
  <c r="B401" i="6"/>
  <c r="K401" i="6" s="1"/>
  <c r="B402" i="6"/>
  <c r="B403" i="6"/>
  <c r="B404" i="6"/>
  <c r="B405" i="6"/>
  <c r="K405" i="6" s="1"/>
  <c r="B406" i="6"/>
  <c r="B407" i="6"/>
  <c r="B408" i="6"/>
  <c r="B409" i="6"/>
  <c r="K409" i="6" s="1"/>
  <c r="B410" i="6"/>
  <c r="B411" i="6"/>
  <c r="B412" i="6"/>
  <c r="B413" i="6"/>
  <c r="K413" i="6" s="1"/>
  <c r="B414" i="6"/>
  <c r="B415" i="6"/>
  <c r="B416" i="6"/>
  <c r="B417" i="6"/>
  <c r="K417" i="6" s="1"/>
  <c r="B418" i="6"/>
  <c r="B419" i="6"/>
  <c r="B420" i="6"/>
  <c r="B421" i="6"/>
  <c r="K421" i="6" s="1"/>
  <c r="B422" i="6"/>
  <c r="B423" i="6"/>
  <c r="B424" i="6"/>
  <c r="B425" i="6"/>
  <c r="K425" i="6" s="1"/>
  <c r="B426" i="6"/>
  <c r="B427" i="6"/>
  <c r="B428" i="6"/>
  <c r="B429" i="6"/>
  <c r="K429" i="6" s="1"/>
  <c r="B430" i="6"/>
  <c r="B431" i="6"/>
  <c r="B432" i="6"/>
  <c r="B433" i="6"/>
  <c r="K433" i="6" s="1"/>
  <c r="B434" i="6"/>
  <c r="B435" i="6"/>
  <c r="B436" i="6"/>
  <c r="B437" i="6"/>
  <c r="K437" i="6" s="1"/>
  <c r="B438" i="6"/>
  <c r="B439" i="6"/>
  <c r="B440" i="6"/>
  <c r="B441" i="6"/>
  <c r="K441" i="6" s="1"/>
  <c r="B442" i="6"/>
  <c r="B443" i="6"/>
  <c r="B444" i="6"/>
  <c r="B445" i="6"/>
  <c r="K445" i="6" s="1"/>
  <c r="B446" i="6"/>
  <c r="B447" i="6"/>
  <c r="B448" i="6"/>
  <c r="B449" i="6"/>
  <c r="K449" i="6" s="1"/>
  <c r="B450" i="6"/>
  <c r="B451" i="6"/>
  <c r="B452" i="6"/>
  <c r="B453" i="6"/>
  <c r="K453" i="6" s="1"/>
  <c r="B454" i="6"/>
  <c r="B455" i="6"/>
  <c r="B456" i="6"/>
  <c r="B457" i="6"/>
  <c r="K457" i="6" s="1"/>
  <c r="B458" i="6"/>
  <c r="B459" i="6"/>
  <c r="B460" i="6"/>
  <c r="B461" i="6"/>
  <c r="K461" i="6" s="1"/>
  <c r="B462" i="6"/>
  <c r="B463" i="6"/>
  <c r="B464" i="6"/>
  <c r="B465" i="6"/>
  <c r="K465" i="6" s="1"/>
  <c r="B466" i="6"/>
  <c r="B467" i="6"/>
  <c r="B468" i="6"/>
  <c r="B469" i="6"/>
  <c r="B470" i="6"/>
  <c r="B471" i="6"/>
  <c r="B472" i="6"/>
  <c r="B473" i="6"/>
  <c r="K473" i="6" s="1"/>
  <c r="B474" i="6"/>
  <c r="B475" i="6"/>
  <c r="B476" i="6"/>
  <c r="B477" i="6"/>
  <c r="K477" i="6" s="1"/>
  <c r="B478" i="6"/>
  <c r="B479" i="6"/>
  <c r="B480" i="6"/>
  <c r="B481" i="6"/>
  <c r="K481" i="6" s="1"/>
  <c r="B482" i="6"/>
  <c r="B483" i="6"/>
  <c r="B484" i="6"/>
  <c r="B485" i="6"/>
  <c r="K485" i="6" s="1"/>
  <c r="B486" i="6"/>
  <c r="B487" i="6"/>
  <c r="B488" i="6"/>
  <c r="B489" i="6"/>
  <c r="K489" i="6" s="1"/>
  <c r="B490" i="6"/>
  <c r="B491" i="6"/>
  <c r="B492" i="6"/>
  <c r="B493" i="6"/>
  <c r="K493" i="6" s="1"/>
  <c r="B494" i="6"/>
  <c r="B495" i="6"/>
  <c r="B496" i="6"/>
  <c r="B497" i="6"/>
  <c r="K497" i="6" s="1"/>
  <c r="B498" i="6"/>
  <c r="B499" i="6"/>
  <c r="B500" i="6"/>
  <c r="B501" i="6"/>
  <c r="K501" i="6" s="1"/>
  <c r="B502" i="6"/>
  <c r="B503" i="6"/>
  <c r="B504" i="6"/>
  <c r="B505" i="6"/>
  <c r="K505" i="6" s="1"/>
  <c r="B506" i="6"/>
  <c r="B507" i="6"/>
  <c r="B508" i="6"/>
  <c r="B509" i="6"/>
  <c r="K509" i="6" s="1"/>
  <c r="B510" i="6"/>
  <c r="B511" i="6"/>
  <c r="B512" i="6"/>
  <c r="B513" i="6"/>
  <c r="K513" i="6" s="1"/>
  <c r="B514" i="6"/>
  <c r="B515" i="6"/>
  <c r="B516" i="6"/>
  <c r="B517" i="6"/>
  <c r="K517" i="6" s="1"/>
  <c r="B518" i="6"/>
  <c r="B519" i="6"/>
  <c r="B520" i="6"/>
  <c r="B521" i="6"/>
  <c r="K521" i="6" s="1"/>
  <c r="B522" i="6"/>
  <c r="B523" i="6"/>
  <c r="B524" i="6"/>
  <c r="B525" i="6"/>
  <c r="K525" i="6" s="1"/>
  <c r="B526" i="6"/>
  <c r="B527" i="6"/>
  <c r="B528" i="6"/>
  <c r="B529" i="6"/>
  <c r="K529" i="6" s="1"/>
  <c r="B530" i="6"/>
  <c r="B531" i="6"/>
  <c r="B532" i="6"/>
  <c r="B533" i="6"/>
  <c r="K533" i="6" s="1"/>
  <c r="B534" i="6"/>
  <c r="B535" i="6"/>
  <c r="B536" i="6"/>
  <c r="B537" i="6"/>
  <c r="K537" i="6" s="1"/>
  <c r="B538" i="6"/>
  <c r="B539" i="6"/>
  <c r="B540" i="6"/>
  <c r="B541" i="6"/>
  <c r="K541" i="6" s="1"/>
  <c r="B542" i="6"/>
  <c r="B543" i="6"/>
  <c r="B544" i="6"/>
  <c r="B545" i="6"/>
  <c r="K545" i="6" s="1"/>
  <c r="B546" i="6"/>
  <c r="B547" i="6"/>
  <c r="B548" i="6"/>
  <c r="B549" i="6"/>
  <c r="K549" i="6" s="1"/>
  <c r="B550" i="6"/>
  <c r="B551" i="6"/>
  <c r="B552" i="6"/>
  <c r="B553" i="6"/>
  <c r="B554" i="6"/>
  <c r="B555" i="6"/>
  <c r="B556" i="6"/>
  <c r="B557" i="6"/>
  <c r="K557" i="6" s="1"/>
  <c r="B558" i="6"/>
  <c r="B559" i="6"/>
  <c r="B560" i="6"/>
  <c r="B561" i="6"/>
  <c r="K561" i="6" s="1"/>
  <c r="B562" i="6"/>
  <c r="B563" i="6"/>
  <c r="B564" i="6"/>
  <c r="B565" i="6"/>
  <c r="K565" i="6" s="1"/>
  <c r="B566" i="6"/>
  <c r="B567" i="6"/>
  <c r="B568" i="6"/>
  <c r="B569" i="6"/>
  <c r="K569" i="6" s="1"/>
  <c r="B570" i="6"/>
  <c r="B571" i="6"/>
  <c r="B572" i="6"/>
  <c r="B573" i="6"/>
  <c r="K573" i="6" s="1"/>
  <c r="B574" i="6"/>
  <c r="B575" i="6"/>
  <c r="B576" i="6"/>
  <c r="B577" i="6"/>
  <c r="K577" i="6" s="1"/>
  <c r="B578" i="6"/>
  <c r="B579" i="6"/>
  <c r="B580" i="6"/>
  <c r="B581" i="6"/>
  <c r="K581" i="6" s="1"/>
  <c r="B582" i="6"/>
  <c r="B583" i="6"/>
  <c r="B584" i="6"/>
  <c r="B585" i="6"/>
  <c r="K585" i="6" s="1"/>
  <c r="B586" i="6"/>
  <c r="B587" i="6"/>
  <c r="B588" i="6"/>
  <c r="B589" i="6"/>
  <c r="K589" i="6" s="1"/>
  <c r="B590" i="6"/>
  <c r="B591" i="6"/>
  <c r="B592" i="6"/>
  <c r="B593" i="6"/>
  <c r="K593" i="6" s="1"/>
  <c r="B594" i="6"/>
  <c r="B595" i="6"/>
  <c r="B596" i="6"/>
  <c r="B597" i="6"/>
  <c r="K597" i="6" s="1"/>
  <c r="B598" i="6"/>
  <c r="B599" i="6"/>
  <c r="B600" i="6"/>
  <c r="B601" i="6"/>
  <c r="K601" i="6" s="1"/>
  <c r="B602" i="6"/>
  <c r="B603" i="6"/>
  <c r="B604" i="6"/>
  <c r="B605" i="6"/>
  <c r="K605" i="6" s="1"/>
  <c r="B606" i="6"/>
  <c r="B607" i="6"/>
  <c r="B608" i="6"/>
  <c r="B609" i="6"/>
  <c r="K609" i="6" s="1"/>
  <c r="B610" i="6"/>
  <c r="B611" i="6"/>
  <c r="B612" i="6"/>
  <c r="B613" i="6"/>
  <c r="K613" i="6" s="1"/>
  <c r="B614" i="6"/>
  <c r="B615" i="6"/>
  <c r="B616" i="6"/>
  <c r="B617" i="6"/>
  <c r="K617" i="6" s="1"/>
  <c r="B618" i="6"/>
  <c r="B619" i="6"/>
  <c r="B620" i="6"/>
  <c r="B621" i="6"/>
  <c r="K621" i="6" s="1"/>
  <c r="B622" i="6"/>
  <c r="B623" i="6"/>
  <c r="B624" i="6"/>
  <c r="B625" i="6"/>
  <c r="K625" i="6" s="1"/>
  <c r="B626" i="6"/>
  <c r="B627" i="6"/>
  <c r="B628" i="6"/>
  <c r="B629" i="6"/>
  <c r="K629" i="6" s="1"/>
  <c r="B630" i="6"/>
  <c r="B631" i="6"/>
  <c r="B632" i="6"/>
  <c r="B633" i="6"/>
  <c r="K633" i="6" s="1"/>
  <c r="B634" i="6"/>
  <c r="B635" i="6"/>
  <c r="B636" i="6"/>
  <c r="B637" i="6"/>
  <c r="K637" i="6" s="1"/>
  <c r="B638" i="6"/>
  <c r="B639" i="6"/>
  <c r="B640" i="6"/>
  <c r="B641" i="6"/>
  <c r="K641" i="6" s="1"/>
  <c r="B642" i="6"/>
  <c r="B643" i="6"/>
  <c r="B644" i="6"/>
  <c r="B645" i="6"/>
  <c r="K645" i="6" s="1"/>
  <c r="B646" i="6"/>
  <c r="B647" i="6"/>
  <c r="B648" i="6"/>
  <c r="B649" i="6"/>
  <c r="K649" i="6" s="1"/>
  <c r="B650" i="6"/>
  <c r="B651" i="6"/>
  <c r="B652" i="6"/>
  <c r="B653" i="6"/>
  <c r="K653" i="6" s="1"/>
  <c r="B654" i="6"/>
  <c r="B655" i="6"/>
  <c r="B656" i="6"/>
  <c r="B657" i="6"/>
  <c r="K657" i="6" s="1"/>
  <c r="B658" i="6"/>
  <c r="B659" i="6"/>
  <c r="B660" i="6"/>
  <c r="B661" i="6"/>
  <c r="K661" i="6" s="1"/>
  <c r="B662" i="6"/>
  <c r="B663" i="6"/>
  <c r="B664" i="6"/>
  <c r="B665" i="6"/>
  <c r="K665" i="6" s="1"/>
  <c r="B666" i="6"/>
  <c r="B667" i="6"/>
  <c r="B668" i="6"/>
  <c r="B669" i="6"/>
  <c r="K669" i="6" s="1"/>
  <c r="B670" i="6"/>
  <c r="B671" i="6"/>
  <c r="B672" i="6"/>
  <c r="B673" i="6"/>
  <c r="K673" i="6" s="1"/>
  <c r="B674" i="6"/>
  <c r="B675" i="6"/>
  <c r="B676" i="6"/>
  <c r="B677" i="6"/>
  <c r="K677" i="6" s="1"/>
  <c r="B678" i="6"/>
  <c r="B679" i="6"/>
  <c r="B680" i="6"/>
  <c r="B681" i="6"/>
  <c r="K681" i="6" s="1"/>
  <c r="B682" i="6"/>
  <c r="B683" i="6"/>
  <c r="B684" i="6"/>
  <c r="B685" i="6"/>
  <c r="K685" i="6" s="1"/>
  <c r="B686" i="6"/>
  <c r="B687" i="6"/>
  <c r="B688" i="6"/>
  <c r="B689" i="6"/>
  <c r="K689" i="6" s="1"/>
  <c r="B690" i="6"/>
  <c r="B691" i="6"/>
  <c r="B692" i="6"/>
  <c r="B693" i="6"/>
  <c r="K693" i="6" s="1"/>
  <c r="B694" i="6"/>
  <c r="B695" i="6"/>
  <c r="B696" i="6"/>
  <c r="B697" i="6"/>
  <c r="K697" i="6" s="1"/>
  <c r="B698" i="6"/>
  <c r="B699" i="6"/>
  <c r="B700" i="6"/>
  <c r="B701" i="6"/>
  <c r="K701" i="6" s="1"/>
  <c r="B702" i="6"/>
  <c r="B703" i="6"/>
  <c r="B704" i="6"/>
  <c r="B705" i="6"/>
  <c r="K705" i="6" s="1"/>
  <c r="B706" i="6"/>
  <c r="B707" i="6"/>
  <c r="B708" i="6"/>
  <c r="B709" i="6"/>
  <c r="K709" i="6" s="1"/>
  <c r="B710" i="6"/>
  <c r="B711" i="6"/>
  <c r="B712" i="6"/>
  <c r="B713" i="6"/>
  <c r="K713" i="6" s="1"/>
  <c r="B714" i="6"/>
  <c r="B715" i="6"/>
  <c r="B716" i="6"/>
  <c r="B717" i="6"/>
  <c r="K717" i="6" s="1"/>
  <c r="B718" i="6"/>
  <c r="B719" i="6"/>
  <c r="B720" i="6"/>
  <c r="B721" i="6"/>
  <c r="K721" i="6" s="1"/>
  <c r="B722" i="6"/>
  <c r="B723" i="6"/>
  <c r="B724" i="6"/>
  <c r="B725" i="6"/>
  <c r="K725" i="6" s="1"/>
  <c r="B726" i="6"/>
  <c r="B727" i="6"/>
  <c r="B728" i="6"/>
  <c r="B729" i="6"/>
  <c r="K729" i="6" s="1"/>
  <c r="B730" i="6"/>
  <c r="B731" i="6"/>
  <c r="B732" i="6"/>
  <c r="B733" i="6"/>
  <c r="K733" i="6" s="1"/>
  <c r="B734" i="6"/>
  <c r="B735" i="6"/>
  <c r="B736" i="6"/>
  <c r="B737" i="6"/>
  <c r="K737" i="6" s="1"/>
  <c r="B738" i="6"/>
  <c r="B739" i="6"/>
  <c r="B740" i="6"/>
  <c r="B741" i="6"/>
  <c r="K741" i="6" s="1"/>
  <c r="B742" i="6"/>
  <c r="B743" i="6"/>
  <c r="B744" i="6"/>
  <c r="B745" i="6"/>
  <c r="K745" i="6" s="1"/>
  <c r="B746" i="6"/>
  <c r="B747" i="6"/>
  <c r="B748" i="6"/>
  <c r="B749" i="6"/>
  <c r="K749" i="6" s="1"/>
  <c r="B750" i="6"/>
  <c r="B751" i="6"/>
  <c r="B752" i="6"/>
  <c r="B753" i="6"/>
  <c r="K753" i="6" s="1"/>
  <c r="B754" i="6"/>
  <c r="B755" i="6"/>
  <c r="B756" i="6"/>
  <c r="B757" i="6"/>
  <c r="K757" i="6" s="1"/>
  <c r="B758" i="6"/>
  <c r="B759" i="6"/>
  <c r="B760" i="6"/>
  <c r="B761" i="6"/>
  <c r="K761" i="6" s="1"/>
  <c r="B762" i="6"/>
  <c r="B763" i="6"/>
  <c r="B764" i="6"/>
  <c r="B765" i="6"/>
  <c r="K765" i="6" s="1"/>
  <c r="B766" i="6"/>
  <c r="B767" i="6"/>
  <c r="B768" i="6"/>
  <c r="B769" i="6"/>
  <c r="K769" i="6" s="1"/>
  <c r="B770" i="6"/>
  <c r="B771" i="6"/>
  <c r="B772" i="6"/>
  <c r="B773" i="6"/>
  <c r="K773" i="6" s="1"/>
  <c r="B774" i="6"/>
  <c r="B775" i="6"/>
  <c r="B776" i="6"/>
  <c r="B777" i="6"/>
  <c r="K777" i="6" s="1"/>
  <c r="B778" i="6"/>
  <c r="B779" i="6"/>
  <c r="B780" i="6"/>
  <c r="B781" i="6"/>
  <c r="K781" i="6" s="1"/>
  <c r="B782" i="6"/>
  <c r="B783" i="6"/>
  <c r="B784" i="6"/>
  <c r="B785" i="6"/>
  <c r="K785" i="6" s="1"/>
  <c r="B786" i="6"/>
  <c r="B787" i="6"/>
  <c r="B788" i="6"/>
  <c r="B789" i="6"/>
  <c r="K789" i="6" s="1"/>
  <c r="B790" i="6"/>
  <c r="B791" i="6"/>
  <c r="B792" i="6"/>
  <c r="B793" i="6"/>
  <c r="K793" i="6" s="1"/>
  <c r="B794" i="6"/>
  <c r="B795" i="6"/>
  <c r="B796" i="6"/>
  <c r="B797" i="6"/>
  <c r="K797" i="6" s="1"/>
  <c r="B798" i="6"/>
  <c r="B799" i="6"/>
  <c r="B800" i="6"/>
  <c r="B801" i="6"/>
  <c r="K801" i="6" s="1"/>
  <c r="B802" i="6"/>
  <c r="K802" i="6" s="1"/>
  <c r="B803" i="6"/>
  <c r="B804" i="6"/>
  <c r="B805" i="6"/>
  <c r="K805" i="6" s="1"/>
  <c r="B806" i="6"/>
  <c r="K806" i="6" s="1"/>
  <c r="B807" i="6"/>
  <c r="B808" i="6"/>
  <c r="B809" i="6"/>
  <c r="K809" i="6" s="1"/>
  <c r="B810" i="6"/>
  <c r="K810" i="6" s="1"/>
  <c r="B811" i="6"/>
  <c r="B812" i="6"/>
  <c r="B813" i="6"/>
  <c r="K813" i="6" s="1"/>
  <c r="B814" i="6"/>
  <c r="K814" i="6" s="1"/>
  <c r="B815" i="6"/>
  <c r="B816" i="6"/>
  <c r="B817" i="6"/>
  <c r="K817" i="6" s="1"/>
  <c r="B818" i="6"/>
  <c r="K818" i="6" s="1"/>
  <c r="B819" i="6"/>
  <c r="B820" i="6"/>
  <c r="B821" i="6"/>
  <c r="K821" i="6" s="1"/>
  <c r="B822" i="6"/>
  <c r="K822" i="6" s="1"/>
  <c r="B823" i="6"/>
  <c r="B824" i="6"/>
  <c r="B825" i="6"/>
  <c r="K825" i="6" s="1"/>
  <c r="B826" i="6"/>
  <c r="K826" i="6" s="1"/>
  <c r="B827" i="6"/>
  <c r="B828" i="6"/>
  <c r="B829" i="6"/>
  <c r="K829" i="6" s="1"/>
  <c r="B830" i="6"/>
  <c r="K830" i="6" s="1"/>
  <c r="B831" i="6"/>
  <c r="B832" i="6"/>
  <c r="B833" i="6"/>
  <c r="K833" i="6" s="1"/>
  <c r="B834" i="6"/>
  <c r="K834" i="6" s="1"/>
  <c r="B835" i="6"/>
  <c r="B836" i="6"/>
  <c r="B837" i="6"/>
  <c r="K837" i="6" s="1"/>
  <c r="B838" i="6"/>
  <c r="K838" i="6" s="1"/>
  <c r="B839" i="6"/>
  <c r="B840" i="6"/>
  <c r="B841" i="6"/>
  <c r="K841" i="6" s="1"/>
  <c r="B842" i="6"/>
  <c r="K842" i="6" s="1"/>
  <c r="B843" i="6"/>
  <c r="B844" i="6"/>
  <c r="B845" i="6"/>
  <c r="K845" i="6" s="1"/>
  <c r="B846" i="6"/>
  <c r="K846" i="6" s="1"/>
  <c r="B847" i="6"/>
  <c r="B848" i="6"/>
  <c r="B849" i="6"/>
  <c r="K849" i="6" s="1"/>
  <c r="B850" i="6"/>
  <c r="K850" i="6" s="1"/>
  <c r="B851" i="6"/>
  <c r="B852" i="6"/>
  <c r="B853" i="6"/>
  <c r="K853" i="6" s="1"/>
  <c r="B854" i="6"/>
  <c r="K854" i="6" s="1"/>
  <c r="B855" i="6"/>
  <c r="B856" i="6"/>
  <c r="B857" i="6"/>
  <c r="K857" i="6" s="1"/>
  <c r="B858" i="6"/>
  <c r="K858" i="6" s="1"/>
  <c r="B859" i="6"/>
  <c r="B860" i="6"/>
  <c r="B861" i="6"/>
  <c r="K861" i="6" s="1"/>
  <c r="B862" i="6"/>
  <c r="K862" i="6" s="1"/>
  <c r="B863" i="6"/>
  <c r="B864" i="6"/>
  <c r="B865" i="6"/>
  <c r="K865" i="6" s="1"/>
  <c r="B866" i="6"/>
  <c r="K866" i="6" s="1"/>
  <c r="B867" i="6"/>
  <c r="B868" i="6"/>
  <c r="B869" i="6"/>
  <c r="K869" i="6" s="1"/>
  <c r="B870" i="6"/>
  <c r="K870" i="6" s="1"/>
  <c r="B871" i="6"/>
  <c r="B872" i="6"/>
  <c r="B873" i="6"/>
  <c r="K873" i="6" s="1"/>
  <c r="B874" i="6"/>
  <c r="K874" i="6" s="1"/>
  <c r="B875" i="6"/>
  <c r="B876" i="6"/>
  <c r="B877" i="6"/>
  <c r="K877" i="6" s="1"/>
  <c r="B878" i="6"/>
  <c r="K878" i="6" s="1"/>
  <c r="B879" i="6"/>
  <c r="B880" i="6"/>
  <c r="B881" i="6"/>
  <c r="K881" i="6" s="1"/>
  <c r="B882" i="6"/>
  <c r="K882" i="6" s="1"/>
  <c r="B883" i="6"/>
  <c r="B884" i="6"/>
  <c r="B885" i="6"/>
  <c r="K885" i="6" s="1"/>
  <c r="B886" i="6"/>
  <c r="K886" i="6" s="1"/>
  <c r="B887" i="6"/>
  <c r="B888" i="6"/>
  <c r="B889" i="6"/>
  <c r="K889" i="6" s="1"/>
  <c r="B890" i="6"/>
  <c r="K890" i="6" s="1"/>
  <c r="B891" i="6"/>
  <c r="B892" i="6"/>
  <c r="B893" i="6"/>
  <c r="K893" i="6" s="1"/>
  <c r="B894" i="6"/>
  <c r="K894" i="6" s="1"/>
  <c r="B895" i="6"/>
  <c r="B896" i="6"/>
  <c r="B897" i="6"/>
  <c r="K897" i="6" s="1"/>
  <c r="B898" i="6"/>
  <c r="K898" i="6" s="1"/>
  <c r="B899" i="6"/>
  <c r="B900" i="6"/>
  <c r="B901" i="6"/>
  <c r="K901" i="6" s="1"/>
  <c r="B902" i="6"/>
  <c r="K902" i="6" s="1"/>
  <c r="B903" i="6"/>
  <c r="B904" i="6"/>
  <c r="B905" i="6"/>
  <c r="K905" i="6" s="1"/>
  <c r="B906" i="6"/>
  <c r="K906" i="6" s="1"/>
  <c r="B907" i="6"/>
  <c r="B908" i="6"/>
  <c r="B909" i="6"/>
  <c r="K909" i="6" s="1"/>
  <c r="B910" i="6"/>
  <c r="K910" i="6" s="1"/>
  <c r="B911" i="6"/>
  <c r="B912" i="6"/>
  <c r="B913" i="6"/>
  <c r="K913" i="6" s="1"/>
  <c r="B914" i="6"/>
  <c r="K914" i="6" s="1"/>
  <c r="B915" i="6"/>
  <c r="B916" i="6"/>
  <c r="B917" i="6"/>
  <c r="K917" i="6" s="1"/>
  <c r="B918" i="6"/>
  <c r="K918" i="6" s="1"/>
  <c r="B919" i="6"/>
  <c r="B920" i="6"/>
  <c r="B921" i="6"/>
  <c r="K921" i="6" s="1"/>
  <c r="B922" i="6"/>
  <c r="K922" i="6" s="1"/>
  <c r="B923" i="6"/>
  <c r="B924" i="6"/>
  <c r="B925" i="6"/>
  <c r="K925" i="6" s="1"/>
  <c r="B926" i="6"/>
  <c r="K926" i="6" s="1"/>
  <c r="B927" i="6"/>
  <c r="B928" i="6"/>
  <c r="B929" i="6"/>
  <c r="K929" i="6" s="1"/>
  <c r="B930" i="6"/>
  <c r="K930" i="6" s="1"/>
  <c r="B931" i="6"/>
  <c r="B932" i="6"/>
  <c r="B933" i="6"/>
  <c r="K933" i="6" s="1"/>
  <c r="B934" i="6"/>
  <c r="K934" i="6" s="1"/>
  <c r="B935" i="6"/>
  <c r="B936" i="6"/>
  <c r="B937" i="6"/>
  <c r="K937" i="6" s="1"/>
  <c r="B938" i="6"/>
  <c r="K938" i="6" s="1"/>
  <c r="B939" i="6"/>
  <c r="B940" i="6"/>
  <c r="B941" i="6"/>
  <c r="K941" i="6" s="1"/>
  <c r="B942" i="6"/>
  <c r="K942" i="6" s="1"/>
  <c r="B943" i="6"/>
  <c r="B944" i="6"/>
  <c r="B945" i="6"/>
  <c r="K945" i="6" s="1"/>
  <c r="B946" i="6"/>
  <c r="K946" i="6" s="1"/>
  <c r="B947" i="6"/>
  <c r="B948" i="6"/>
  <c r="B949" i="6"/>
  <c r="K949" i="6" s="1"/>
  <c r="B950" i="6"/>
  <c r="K950" i="6" s="1"/>
  <c r="B951" i="6"/>
  <c r="B952" i="6"/>
  <c r="B953" i="6"/>
  <c r="K953" i="6" s="1"/>
  <c r="B954" i="6"/>
  <c r="K954" i="6" s="1"/>
  <c r="B955" i="6"/>
  <c r="B956" i="6"/>
  <c r="B957" i="6"/>
  <c r="K957" i="6" s="1"/>
  <c r="B958" i="6"/>
  <c r="K958" i="6" s="1"/>
  <c r="B959" i="6"/>
  <c r="B960" i="6"/>
  <c r="B961" i="6"/>
  <c r="K961" i="6" s="1"/>
  <c r="B962" i="6"/>
  <c r="K962" i="6" s="1"/>
  <c r="B963" i="6"/>
  <c r="B964" i="6"/>
  <c r="B965" i="6"/>
  <c r="K965" i="6" s="1"/>
  <c r="B966" i="6"/>
  <c r="K966" i="6" s="1"/>
  <c r="B967" i="6"/>
  <c r="B968" i="6"/>
  <c r="B969" i="6"/>
  <c r="K969" i="6" s="1"/>
  <c r="B970" i="6"/>
  <c r="K970" i="6" s="1"/>
  <c r="B971" i="6"/>
  <c r="B972" i="6"/>
  <c r="B973" i="6"/>
  <c r="K973" i="6" s="1"/>
  <c r="B974" i="6"/>
  <c r="K974" i="6" s="1"/>
  <c r="B975" i="6"/>
  <c r="B976" i="6"/>
  <c r="B977" i="6"/>
  <c r="K977" i="6" s="1"/>
  <c r="B978" i="6"/>
  <c r="K978" i="6" s="1"/>
  <c r="B979" i="6"/>
  <c r="B980" i="6"/>
  <c r="B981" i="6"/>
  <c r="K981" i="6" s="1"/>
  <c r="B982" i="6"/>
  <c r="K982" i="6" s="1"/>
  <c r="B983" i="6"/>
  <c r="B984" i="6"/>
  <c r="B985" i="6"/>
  <c r="K985" i="6" s="1"/>
  <c r="B986" i="6"/>
  <c r="K986" i="6" s="1"/>
  <c r="B987" i="6"/>
  <c r="B988" i="6"/>
  <c r="B989" i="6"/>
  <c r="K989" i="6" s="1"/>
  <c r="B990" i="6"/>
  <c r="K990" i="6" s="1"/>
  <c r="B991" i="6"/>
  <c r="B992" i="6"/>
  <c r="B993" i="6"/>
  <c r="K993" i="6" s="1"/>
  <c r="B994" i="6"/>
  <c r="K994" i="6" s="1"/>
  <c r="B995" i="6"/>
  <c r="B996" i="6"/>
  <c r="B997" i="6"/>
  <c r="K997" i="6" s="1"/>
  <c r="B998" i="6"/>
  <c r="K998" i="6" s="1"/>
  <c r="B999" i="6"/>
  <c r="B1000" i="6"/>
  <c r="B1001" i="6"/>
  <c r="K1001" i="6" s="1"/>
  <c r="B1002" i="6"/>
  <c r="K1002" i="6" s="1"/>
  <c r="B1003" i="6"/>
  <c r="B1004" i="6"/>
  <c r="B1005" i="6"/>
  <c r="K1005" i="6" s="1"/>
  <c r="B1006" i="6"/>
  <c r="K1006" i="6" s="1"/>
  <c r="B1007" i="6"/>
  <c r="B1008" i="6"/>
  <c r="B1009" i="6"/>
  <c r="K1009" i="6" s="1"/>
  <c r="B1010" i="6"/>
  <c r="K1010" i="6" s="1"/>
  <c r="B1011" i="6"/>
  <c r="B1012" i="6"/>
  <c r="B1013" i="6"/>
  <c r="K1013" i="6" s="1"/>
  <c r="B1014" i="6"/>
  <c r="K1014" i="6" s="1"/>
  <c r="B1015" i="6"/>
  <c r="B1016" i="6"/>
  <c r="B1017" i="6"/>
  <c r="K1017" i="6" s="1"/>
  <c r="B1018" i="6"/>
  <c r="K1018" i="6" s="1"/>
  <c r="B1019" i="6"/>
  <c r="B1020" i="6"/>
  <c r="B1021" i="6"/>
  <c r="K1021" i="6" s="1"/>
  <c r="B1022" i="6"/>
  <c r="K1022" i="6" s="1"/>
  <c r="B1023" i="6"/>
  <c r="B1024" i="6"/>
  <c r="B1025" i="6"/>
  <c r="K1025" i="6" s="1"/>
  <c r="B1026" i="6"/>
  <c r="K1026" i="6" s="1"/>
  <c r="B1027" i="6"/>
  <c r="B1028" i="6"/>
  <c r="B1029" i="6"/>
  <c r="K1029" i="6" s="1"/>
  <c r="B1030" i="6"/>
  <c r="K1030" i="6" s="1"/>
  <c r="B1031" i="6"/>
  <c r="B1032" i="6"/>
  <c r="B1033" i="6"/>
  <c r="K1033" i="6" s="1"/>
  <c r="B1034" i="6"/>
  <c r="K1034" i="6" s="1"/>
  <c r="B1035" i="6"/>
  <c r="B1036" i="6"/>
  <c r="B1037" i="6"/>
  <c r="K1037" i="6" s="1"/>
  <c r="B1038" i="6"/>
  <c r="K1038" i="6" s="1"/>
  <c r="B1039" i="6"/>
  <c r="B1040" i="6"/>
  <c r="B1041" i="6"/>
  <c r="K1041" i="6" s="1"/>
  <c r="B1042" i="6"/>
  <c r="K1042" i="6" s="1"/>
  <c r="B1043" i="6"/>
  <c r="B1044" i="6"/>
  <c r="B1045" i="6"/>
  <c r="K1045" i="6" s="1"/>
  <c r="B1046" i="6"/>
  <c r="K1046" i="6" s="1"/>
  <c r="B1047" i="6"/>
  <c r="B1048" i="6"/>
  <c r="B1049" i="6"/>
  <c r="K1049" i="6" s="1"/>
  <c r="B1050" i="6"/>
  <c r="K1050" i="6" s="1"/>
  <c r="B1051" i="6"/>
  <c r="B1052" i="6"/>
  <c r="B1053" i="6"/>
  <c r="K1053" i="6" s="1"/>
  <c r="B1054" i="6"/>
  <c r="K1054" i="6" s="1"/>
  <c r="B1055" i="6"/>
  <c r="B1056" i="6"/>
  <c r="B1057" i="6"/>
  <c r="K1057" i="6" s="1"/>
  <c r="B1058" i="6"/>
  <c r="K1058" i="6" s="1"/>
  <c r="B1059" i="6"/>
  <c r="B1060" i="6"/>
  <c r="B1061" i="6"/>
  <c r="K1061" i="6" s="1"/>
  <c r="B1062" i="6"/>
  <c r="K1062" i="6" s="1"/>
  <c r="B1063" i="6"/>
  <c r="B1064" i="6"/>
  <c r="B1065" i="6"/>
  <c r="K1065" i="6" s="1"/>
  <c r="B1066" i="6"/>
  <c r="K1066" i="6" s="1"/>
  <c r="B1067" i="6"/>
  <c r="B1068" i="6"/>
  <c r="B1069" i="6"/>
  <c r="K1069" i="6" s="1"/>
  <c r="B1070" i="6"/>
  <c r="K1070" i="6" s="1"/>
  <c r="B1071" i="6"/>
  <c r="B1072" i="6"/>
  <c r="B1073" i="6"/>
  <c r="K1073" i="6" s="1"/>
  <c r="B1074" i="6"/>
  <c r="K1074" i="6" s="1"/>
  <c r="B1075" i="6"/>
  <c r="B1076" i="6"/>
  <c r="B1077" i="6"/>
  <c r="K1077" i="6" s="1"/>
  <c r="B1078" i="6"/>
  <c r="K1078" i="6" s="1"/>
  <c r="B1079" i="6"/>
  <c r="B1080" i="6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B1089" i="6"/>
  <c r="B1090" i="6"/>
  <c r="K1090" i="6" s="1"/>
  <c r="B1091" i="6"/>
  <c r="B1092" i="6"/>
  <c r="B1093" i="6"/>
  <c r="K1093" i="6" s="1"/>
  <c r="B1094" i="6"/>
  <c r="K1094" i="6" s="1"/>
  <c r="B1095" i="6"/>
  <c r="B1096" i="6"/>
  <c r="B1097" i="6"/>
  <c r="K1097" i="6" s="1"/>
  <c r="B1098" i="6"/>
  <c r="K1098" i="6" s="1"/>
  <c r="B1099" i="6"/>
  <c r="B1100" i="6"/>
  <c r="B1101" i="6"/>
  <c r="K1101" i="6" s="1"/>
  <c r="B1102" i="6"/>
  <c r="K1102" i="6" s="1"/>
  <c r="B1103" i="6"/>
  <c r="B1104" i="6"/>
  <c r="B1105" i="6"/>
  <c r="K1105" i="6" s="1"/>
  <c r="B1106" i="6"/>
  <c r="K1106" i="6" s="1"/>
  <c r="B1107" i="6"/>
  <c r="B1108" i="6"/>
  <c r="B1109" i="6"/>
  <c r="K1109" i="6" s="1"/>
  <c r="B1110" i="6"/>
  <c r="K1110" i="6" s="1"/>
  <c r="B1111" i="6"/>
  <c r="B1112" i="6"/>
  <c r="B1113" i="6"/>
  <c r="K1113" i="6" s="1"/>
  <c r="B1114" i="6"/>
  <c r="K1114" i="6" s="1"/>
  <c r="B1115" i="6"/>
  <c r="B1116" i="6"/>
  <c r="B1117" i="6"/>
  <c r="K1117" i="6" s="1"/>
  <c r="B1118" i="6"/>
  <c r="K1118" i="6" s="1"/>
  <c r="B1119" i="6"/>
  <c r="B1120" i="6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B1129" i="6"/>
  <c r="K1129" i="6" s="1"/>
  <c r="B1130" i="6"/>
  <c r="K1130" i="6" s="1"/>
  <c r="B1131" i="6"/>
  <c r="B1132" i="6"/>
  <c r="B1133" i="6"/>
  <c r="K1133" i="6" s="1"/>
  <c r="B1134" i="6"/>
  <c r="K1134" i="6" s="1"/>
  <c r="B1135" i="6"/>
  <c r="B1136" i="6"/>
  <c r="B1137" i="6"/>
  <c r="K1137" i="6" s="1"/>
  <c r="B1138" i="6"/>
  <c r="K1138" i="6" s="1"/>
  <c r="B1139" i="6"/>
  <c r="B1140" i="6"/>
  <c r="B1141" i="6"/>
  <c r="K1141" i="6" s="1"/>
  <c r="B1142" i="6"/>
  <c r="K1142" i="6" s="1"/>
  <c r="B1143" i="6"/>
  <c r="B1144" i="6"/>
  <c r="B1145" i="6"/>
  <c r="K1145" i="6" s="1"/>
  <c r="B1146" i="6"/>
  <c r="K1146" i="6" s="1"/>
  <c r="B1147" i="6"/>
  <c r="B1148" i="6"/>
  <c r="B1149" i="6"/>
  <c r="K1149" i="6" s="1"/>
  <c r="B1150" i="6"/>
  <c r="K1150" i="6" s="1"/>
  <c r="B1151" i="6"/>
  <c r="B1152" i="6"/>
  <c r="B1153" i="6"/>
  <c r="K1153" i="6" s="1"/>
  <c r="B1154" i="6"/>
  <c r="K1154" i="6" s="1"/>
  <c r="B1155" i="6"/>
  <c r="B1156" i="6"/>
  <c r="B1157" i="6"/>
  <c r="K1157" i="6" s="1"/>
  <c r="B1158" i="6"/>
  <c r="K1158" i="6" s="1"/>
  <c r="B1159" i="6"/>
  <c r="B1160" i="6"/>
  <c r="B1161" i="6"/>
  <c r="K1161" i="6" s="1"/>
  <c r="B1162" i="6"/>
  <c r="K1162" i="6" s="1"/>
  <c r="B1163" i="6"/>
  <c r="B1164" i="6"/>
  <c r="B1165" i="6"/>
  <c r="K1165" i="6" s="1"/>
  <c r="B1166" i="6"/>
  <c r="K1166" i="6" s="1"/>
  <c r="B1167" i="6"/>
  <c r="B1168" i="6"/>
  <c r="B1169" i="6"/>
  <c r="K1169" i="6" s="1"/>
  <c r="B1170" i="6"/>
  <c r="K1170" i="6" s="1"/>
  <c r="B1171" i="6"/>
  <c r="B1172" i="6"/>
  <c r="B1173" i="6"/>
  <c r="K1173" i="6" s="1"/>
  <c r="B1174" i="6"/>
  <c r="K1174" i="6" s="1"/>
  <c r="B1175" i="6"/>
  <c r="B1176" i="6"/>
  <c r="B1177" i="6"/>
  <c r="K1177" i="6" s="1"/>
  <c r="B1178" i="6"/>
  <c r="K1178" i="6" s="1"/>
  <c r="B1179" i="6"/>
  <c r="B1180" i="6"/>
  <c r="B1181" i="6"/>
  <c r="K1181" i="6" s="1"/>
  <c r="B1182" i="6"/>
  <c r="K1182" i="6" s="1"/>
  <c r="B1183" i="6"/>
  <c r="B1184" i="6"/>
  <c r="B1185" i="6"/>
  <c r="K1185" i="6" s="1"/>
  <c r="B1186" i="6"/>
  <c r="K1186" i="6" s="1"/>
  <c r="B1187" i="6"/>
  <c r="B1188" i="6"/>
  <c r="B1189" i="6"/>
  <c r="K1189" i="6" s="1"/>
  <c r="B1190" i="6"/>
  <c r="K1190" i="6" s="1"/>
  <c r="B1191" i="6"/>
  <c r="B1192" i="6"/>
  <c r="B1193" i="6"/>
  <c r="K1193" i="6" s="1"/>
  <c r="B1194" i="6"/>
  <c r="K1194" i="6" s="1"/>
  <c r="B1195" i="6"/>
  <c r="B1196" i="6"/>
  <c r="B1197" i="6"/>
  <c r="K1197" i="6" s="1"/>
  <c r="B1198" i="6"/>
  <c r="K1198" i="6" s="1"/>
  <c r="B1199" i="6"/>
  <c r="B1200" i="6"/>
  <c r="B1201" i="6"/>
  <c r="K1201" i="6" s="1"/>
  <c r="B1202" i="6"/>
  <c r="K1202" i="6" s="1"/>
  <c r="B1203" i="6"/>
  <c r="B1204" i="6"/>
  <c r="B1205" i="6"/>
  <c r="K1205" i="6" s="1"/>
  <c r="B1206" i="6"/>
  <c r="K1206" i="6" s="1"/>
  <c r="B1207" i="6"/>
  <c r="B1208" i="6"/>
  <c r="B1209" i="6"/>
  <c r="K1209" i="6" s="1"/>
  <c r="B1210" i="6"/>
  <c r="K1210" i="6" s="1"/>
  <c r="B1211" i="6"/>
  <c r="B1212" i="6"/>
  <c r="B1213" i="6"/>
  <c r="K1213" i="6" s="1"/>
  <c r="B1214" i="6"/>
  <c r="K1214" i="6" s="1"/>
  <c r="B1215" i="6"/>
  <c r="B1216" i="6"/>
  <c r="B1217" i="6"/>
  <c r="B1218" i="6"/>
  <c r="K1218" i="6" s="1"/>
  <c r="B1219" i="6"/>
  <c r="B1220" i="6"/>
  <c r="B1221" i="6"/>
  <c r="K1221" i="6" s="1"/>
  <c r="B1222" i="6"/>
  <c r="B1223" i="6"/>
  <c r="B1224" i="6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B1233" i="6"/>
  <c r="K1233" i="6" s="1"/>
  <c r="B1234" i="6"/>
  <c r="K1234" i="6" s="1"/>
  <c r="B1235" i="6"/>
  <c r="B1236" i="6"/>
  <c r="B1237" i="6"/>
  <c r="K1237" i="6" s="1"/>
  <c r="B1238" i="6"/>
  <c r="K1238" i="6" s="1"/>
  <c r="B1239" i="6"/>
  <c r="B1240" i="6"/>
  <c r="B1241" i="6"/>
  <c r="K1241" i="6" s="1"/>
  <c r="B1242" i="6"/>
  <c r="K1242" i="6" s="1"/>
  <c r="B1243" i="6"/>
  <c r="B1244" i="6"/>
  <c r="B1245" i="6"/>
  <c r="K1245" i="6" s="1"/>
  <c r="B1246" i="6"/>
  <c r="K1246" i="6" s="1"/>
  <c r="B1247" i="6"/>
  <c r="B1248" i="6"/>
  <c r="B1249" i="6"/>
  <c r="K1249" i="6" s="1"/>
  <c r="B1250" i="6"/>
  <c r="K1250" i="6" s="1"/>
  <c r="B1251" i="6"/>
  <c r="B1252" i="6"/>
  <c r="B1253" i="6"/>
  <c r="K1253" i="6" s="1"/>
  <c r="B1254" i="6"/>
  <c r="K1254" i="6" s="1"/>
  <c r="B1255" i="6"/>
  <c r="B1256" i="6"/>
  <c r="B1257" i="6"/>
  <c r="K1257" i="6" s="1"/>
  <c r="B1258" i="6"/>
  <c r="K1258" i="6" s="1"/>
  <c r="B1259" i="6"/>
  <c r="B1260" i="6"/>
  <c r="B1261" i="6"/>
  <c r="K1261" i="6" s="1"/>
  <c r="B1262" i="6"/>
  <c r="K1262" i="6" s="1"/>
  <c r="B1263" i="6"/>
  <c r="B1264" i="6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B1273" i="6"/>
  <c r="K1273" i="6" s="1"/>
  <c r="B1274" i="6"/>
  <c r="K1274" i="6" s="1"/>
  <c r="B1275" i="6"/>
  <c r="B1276" i="6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B1285" i="6"/>
  <c r="K1285" i="6" s="1"/>
  <c r="B1286" i="6"/>
  <c r="B1287" i="6"/>
  <c r="B1288" i="6"/>
  <c r="B1289" i="6"/>
  <c r="K1289" i="6" s="1"/>
  <c r="B1290" i="6"/>
  <c r="K1290" i="6" s="1"/>
  <c r="B1291" i="6"/>
  <c r="B1292" i="6"/>
  <c r="B1293" i="6"/>
  <c r="K1293" i="6" s="1"/>
  <c r="B1294" i="6"/>
  <c r="K1294" i="6" s="1"/>
  <c r="B1295" i="6"/>
  <c r="B1296" i="6"/>
  <c r="B1297" i="6"/>
  <c r="K1297" i="6" s="1"/>
  <c r="B1298" i="6"/>
  <c r="K1298" i="6" s="1"/>
  <c r="B1299" i="6"/>
  <c r="B1300" i="6"/>
  <c r="B1301" i="6"/>
  <c r="K1301" i="6" s="1"/>
  <c r="B1302" i="6"/>
  <c r="K1302" i="6" s="1"/>
  <c r="B1303" i="6"/>
  <c r="B1304" i="6"/>
  <c r="B1305" i="6"/>
  <c r="B1306" i="6"/>
  <c r="K1306" i="6" s="1"/>
  <c r="B1307" i="6"/>
  <c r="B1308" i="6"/>
  <c r="B1309" i="6"/>
  <c r="K1309" i="6" s="1"/>
  <c r="B1310" i="6"/>
  <c r="K1310" i="6" s="1"/>
  <c r="B1311" i="6"/>
  <c r="B1312" i="6"/>
  <c r="B1313" i="6"/>
  <c r="K1313" i="6" s="1"/>
  <c r="B1314" i="6"/>
  <c r="K1314" i="6" s="1"/>
  <c r="B1315" i="6"/>
  <c r="B1316" i="6"/>
  <c r="B1317" i="6"/>
  <c r="K1317" i="6" s="1"/>
  <c r="B1318" i="6"/>
  <c r="K1318" i="6" s="1"/>
  <c r="B1319" i="6"/>
  <c r="B1320" i="6"/>
  <c r="B1321" i="6"/>
  <c r="K1321" i="6" s="1"/>
  <c r="B1322" i="6"/>
  <c r="K1322" i="6" s="1"/>
  <c r="B1323" i="6"/>
  <c r="B1324" i="6"/>
  <c r="B1325" i="6"/>
  <c r="K1325" i="6" s="1"/>
  <c r="B1326" i="6"/>
  <c r="K1326" i="6" s="1"/>
  <c r="B1327" i="6"/>
  <c r="B1328" i="6"/>
  <c r="B1329" i="6"/>
  <c r="K1329" i="6" s="1"/>
  <c r="B1330" i="6"/>
  <c r="K1330" i="6" s="1"/>
  <c r="B1331" i="6"/>
  <c r="B1332" i="6"/>
  <c r="B1333" i="6"/>
  <c r="K1333" i="6" s="1"/>
  <c r="B1334" i="6"/>
  <c r="K1334" i="6" s="1"/>
  <c r="B1335" i="6"/>
  <c r="B1336" i="6"/>
  <c r="B1337" i="6"/>
  <c r="K1337" i="6" s="1"/>
  <c r="B1338" i="6"/>
  <c r="K1338" i="6" s="1"/>
  <c r="B1339" i="6"/>
  <c r="B1340" i="6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B1349" i="6"/>
  <c r="K1349" i="6" s="1"/>
  <c r="B1350" i="6"/>
  <c r="K1350" i="6" s="1"/>
  <c r="B1351" i="6"/>
  <c r="B1352" i="6"/>
  <c r="B1353" i="6"/>
  <c r="K1353" i="6" s="1"/>
  <c r="B1354" i="6"/>
  <c r="K1354" i="6" s="1"/>
  <c r="B1355" i="6"/>
  <c r="B1356" i="6"/>
  <c r="B1357" i="6"/>
  <c r="K1357" i="6" s="1"/>
  <c r="B1358" i="6"/>
  <c r="K1358" i="6" s="1"/>
  <c r="B1359" i="6"/>
  <c r="B1360" i="6"/>
  <c r="B1361" i="6"/>
  <c r="K1361" i="6" s="1"/>
  <c r="B1362" i="6"/>
  <c r="K1362" i="6" s="1"/>
  <c r="B1363" i="6"/>
  <c r="B1364" i="6"/>
  <c r="B1365" i="6"/>
  <c r="K1365" i="6" s="1"/>
  <c r="B1366" i="6"/>
  <c r="K1366" i="6" s="1"/>
  <c r="B1367" i="6"/>
  <c r="B1368" i="6"/>
  <c r="B1369" i="6"/>
  <c r="K1369" i="6" s="1"/>
  <c r="B1370" i="6"/>
  <c r="K1370" i="6" s="1"/>
  <c r="B1371" i="6"/>
  <c r="B1372" i="6"/>
  <c r="B1373" i="6"/>
  <c r="B1374" i="6"/>
  <c r="K1374" i="6" s="1"/>
  <c r="B1375" i="6"/>
  <c r="B1376" i="6"/>
  <c r="B1377" i="6"/>
  <c r="K1377" i="6" s="1"/>
  <c r="B1378" i="6"/>
  <c r="K1378" i="6" s="1"/>
  <c r="B1379" i="6"/>
  <c r="B1380" i="6"/>
  <c r="B1381" i="6"/>
  <c r="K1381" i="6" s="1"/>
  <c r="B1382" i="6"/>
  <c r="K1382" i="6" s="1"/>
  <c r="B1383" i="6"/>
  <c r="B1384" i="6"/>
  <c r="B1385" i="6"/>
  <c r="K1385" i="6" s="1"/>
  <c r="B1386" i="6"/>
  <c r="K1386" i="6" s="1"/>
  <c r="B1387" i="6"/>
  <c r="B1388" i="6"/>
  <c r="B1389" i="6"/>
  <c r="K1389" i="6" s="1"/>
  <c r="B1390" i="6"/>
  <c r="K1390" i="6" s="1"/>
  <c r="B1391" i="6"/>
  <c r="B1392" i="6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B1401" i="6"/>
  <c r="K1401" i="6" s="1"/>
  <c r="B1402" i="6"/>
  <c r="K1402" i="6" s="1"/>
  <c r="B1403" i="6"/>
  <c r="B1404" i="6"/>
  <c r="B1405" i="6"/>
  <c r="K1405" i="6" s="1"/>
  <c r="B1406" i="6"/>
  <c r="K1406" i="6" s="1"/>
  <c r="B1407" i="6"/>
  <c r="B1408" i="6"/>
  <c r="B1409" i="6"/>
  <c r="K1409" i="6" s="1"/>
  <c r="B1410" i="6"/>
  <c r="K1410" i="6" s="1"/>
  <c r="B1411" i="6"/>
  <c r="B1412" i="6"/>
  <c r="B1413" i="6"/>
  <c r="K1413" i="6" s="1"/>
  <c r="B1414" i="6"/>
  <c r="K1414" i="6" s="1"/>
  <c r="B1415" i="6"/>
  <c r="B1416" i="6"/>
  <c r="B1417" i="6"/>
  <c r="K1417" i="6" s="1"/>
  <c r="B1418" i="6"/>
  <c r="K1418" i="6" s="1"/>
  <c r="B1419" i="6"/>
  <c r="B1420" i="6"/>
  <c r="B1421" i="6"/>
  <c r="K1421" i="6" s="1"/>
  <c r="B1422" i="6"/>
  <c r="K1422" i="6" s="1"/>
  <c r="B1423" i="6"/>
  <c r="B1424" i="6"/>
  <c r="B1425" i="6"/>
  <c r="K1425" i="6" s="1"/>
  <c r="B1426" i="6"/>
  <c r="K1426" i="6" s="1"/>
  <c r="B1427" i="6"/>
  <c r="B1428" i="6"/>
  <c r="B1429" i="6"/>
  <c r="K1429" i="6" s="1"/>
  <c r="B1430" i="6"/>
  <c r="K1430" i="6" s="1"/>
  <c r="B1431" i="6"/>
  <c r="B1432" i="6"/>
  <c r="B1433" i="6"/>
  <c r="K1433" i="6" s="1"/>
  <c r="B1434" i="6"/>
  <c r="K1434" i="6" s="1"/>
  <c r="B1435" i="6"/>
  <c r="B1436" i="6"/>
  <c r="B1437" i="6"/>
  <c r="K1437" i="6" s="1"/>
  <c r="B1438" i="6"/>
  <c r="K1438" i="6" s="1"/>
  <c r="B1439" i="6"/>
  <c r="B1440" i="6"/>
  <c r="B1441" i="6"/>
  <c r="K1441" i="6" s="1"/>
  <c r="B1442" i="6"/>
  <c r="K1442" i="6" s="1"/>
  <c r="B1443" i="6"/>
  <c r="B1444" i="6"/>
  <c r="B1445" i="6"/>
  <c r="K1445" i="6" s="1"/>
  <c r="B1446" i="6"/>
  <c r="K1446" i="6" s="1"/>
  <c r="B1447" i="6"/>
  <c r="B1448" i="6"/>
  <c r="B1449" i="6"/>
  <c r="K1449" i="6" s="1"/>
  <c r="B1450" i="6"/>
  <c r="K1450" i="6" s="1"/>
  <c r="B1451" i="6"/>
  <c r="B1452" i="6"/>
  <c r="B1453" i="6"/>
  <c r="K1453" i="6" s="1"/>
  <c r="B1454" i="6"/>
  <c r="K1454" i="6" s="1"/>
  <c r="B1455" i="6"/>
  <c r="B1456" i="6"/>
  <c r="B1457" i="6"/>
  <c r="K1457" i="6" s="1"/>
  <c r="B1458" i="6"/>
  <c r="K1458" i="6" s="1"/>
  <c r="B1459" i="6"/>
  <c r="B1460" i="6"/>
  <c r="B1461" i="6"/>
  <c r="K1461" i="6" s="1"/>
  <c r="B1462" i="6"/>
  <c r="K1462" i="6" s="1"/>
  <c r="B1463" i="6"/>
  <c r="B1464" i="6"/>
  <c r="B1465" i="6"/>
  <c r="K1465" i="6" s="1"/>
  <c r="B1466" i="6"/>
  <c r="K1466" i="6" s="1"/>
  <c r="B1467" i="6"/>
  <c r="B1468" i="6"/>
  <c r="B1469" i="6"/>
  <c r="K1469" i="6" s="1"/>
  <c r="B1470" i="6"/>
  <c r="K1470" i="6" s="1"/>
  <c r="B1471" i="6"/>
  <c r="B1472" i="6"/>
  <c r="B1473" i="6"/>
  <c r="K1473" i="6" s="1"/>
  <c r="B1474" i="6"/>
  <c r="K1474" i="6" s="1"/>
  <c r="B1475" i="6"/>
  <c r="B1476" i="6"/>
  <c r="B1477" i="6"/>
  <c r="K1477" i="6" s="1"/>
  <c r="B1478" i="6"/>
  <c r="K1478" i="6" s="1"/>
  <c r="B1479" i="6"/>
  <c r="B1480" i="6"/>
  <c r="B1481" i="6"/>
  <c r="K1481" i="6" s="1"/>
  <c r="B1482" i="6"/>
  <c r="K1482" i="6" s="1"/>
  <c r="B1483" i="6"/>
  <c r="B1484" i="6"/>
  <c r="B1485" i="6"/>
  <c r="K1485" i="6" s="1"/>
  <c r="B1486" i="6"/>
  <c r="K1486" i="6" s="1"/>
  <c r="B1487" i="6"/>
  <c r="B1488" i="6"/>
  <c r="B1489" i="6"/>
  <c r="K1489" i="6" s="1"/>
  <c r="B1490" i="6"/>
  <c r="K1490" i="6" s="1"/>
  <c r="B1491" i="6"/>
  <c r="B1492" i="6"/>
  <c r="B1493" i="6"/>
  <c r="K1493" i="6" s="1"/>
  <c r="B1494" i="6"/>
  <c r="K1494" i="6" s="1"/>
  <c r="B1495" i="6"/>
  <c r="B1496" i="6"/>
  <c r="B1497" i="6"/>
  <c r="K1497" i="6" s="1"/>
  <c r="B1498" i="6"/>
  <c r="K1498" i="6" s="1"/>
  <c r="B1499" i="6"/>
  <c r="B1500" i="6"/>
  <c r="B1501" i="6"/>
  <c r="K1501" i="6" s="1"/>
  <c r="B1502" i="6"/>
  <c r="K1502" i="6" s="1"/>
  <c r="B1503" i="6"/>
  <c r="B1504" i="6"/>
  <c r="B1505" i="6"/>
  <c r="K1505" i="6" s="1"/>
  <c r="B1506" i="6"/>
  <c r="K1506" i="6" s="1"/>
  <c r="B1507" i="6"/>
  <c r="B1508" i="6"/>
  <c r="B1509" i="6"/>
  <c r="K1509" i="6" s="1"/>
  <c r="B1510" i="6"/>
  <c r="K1510" i="6" s="1"/>
  <c r="B1511" i="6"/>
  <c r="B1512" i="6"/>
  <c r="B1513" i="6"/>
  <c r="K1513" i="6" s="1"/>
  <c r="B1514" i="6"/>
  <c r="K1514" i="6" s="1"/>
  <c r="B1515" i="6"/>
  <c r="B1516" i="6"/>
  <c r="B1517" i="6"/>
  <c r="K1517" i="6" s="1"/>
  <c r="B1518" i="6"/>
  <c r="K1518" i="6" s="1"/>
  <c r="B1519" i="6"/>
  <c r="B1520" i="6"/>
  <c r="B1521" i="6"/>
  <c r="K1521" i="6" s="1"/>
  <c r="B1522" i="6"/>
  <c r="K1522" i="6" s="1"/>
  <c r="B1523" i="6"/>
  <c r="B1524" i="6"/>
  <c r="B1525" i="6"/>
  <c r="K1525" i="6" s="1"/>
  <c r="B1526" i="6"/>
  <c r="K1526" i="6" s="1"/>
  <c r="B1527" i="6"/>
  <c r="B1528" i="6"/>
  <c r="B1529" i="6"/>
  <c r="K1529" i="6" s="1"/>
  <c r="B1530" i="6"/>
  <c r="K1530" i="6" s="1"/>
  <c r="B1531" i="6"/>
  <c r="B1532" i="6"/>
  <c r="B1533" i="6"/>
  <c r="K1533" i="6" s="1"/>
  <c r="B1534" i="6"/>
  <c r="B1535" i="6"/>
  <c r="B1536" i="6"/>
  <c r="B1537" i="6"/>
  <c r="K1537" i="6" s="1"/>
  <c r="B1538" i="6"/>
  <c r="K1538" i="6" s="1"/>
  <c r="B1539" i="6"/>
  <c r="B1540" i="6"/>
  <c r="B1541" i="6"/>
  <c r="K1541" i="6" s="1"/>
  <c r="B1542" i="6"/>
  <c r="K1542" i="6" s="1"/>
  <c r="B1543" i="6"/>
  <c r="B1544" i="6"/>
  <c r="B1545" i="6"/>
  <c r="K1545" i="6" s="1"/>
  <c r="B1546" i="6"/>
  <c r="B1547" i="6"/>
  <c r="B1548" i="6"/>
  <c r="B1549" i="6"/>
  <c r="K1549" i="6" s="1"/>
  <c r="B1550" i="6"/>
  <c r="K1550" i="6" s="1"/>
  <c r="B1551" i="6"/>
  <c r="B1552" i="6"/>
  <c r="B1553" i="6"/>
  <c r="K1553" i="6" s="1"/>
  <c r="B1554" i="6"/>
  <c r="K1554" i="6" s="1"/>
  <c r="B1555" i="6"/>
  <c r="B1556" i="6"/>
  <c r="B1557" i="6"/>
  <c r="K1557" i="6" s="1"/>
  <c r="B1558" i="6"/>
  <c r="K1558" i="6" s="1"/>
  <c r="B1559" i="6"/>
  <c r="B1560" i="6"/>
  <c r="B1561" i="6"/>
  <c r="K1561" i="6" s="1"/>
  <c r="B1562" i="6"/>
  <c r="K1562" i="6" s="1"/>
  <c r="B1563" i="6"/>
  <c r="B1564" i="6"/>
  <c r="B1565" i="6"/>
  <c r="K1565" i="6" s="1"/>
  <c r="B1566" i="6"/>
  <c r="B1567" i="6"/>
  <c r="B1568" i="6"/>
  <c r="B1569" i="6"/>
  <c r="K1569" i="6" s="1"/>
  <c r="B1570" i="6"/>
  <c r="K1570" i="6" s="1"/>
  <c r="B1571" i="6"/>
  <c r="B1572" i="6"/>
  <c r="B1573" i="6"/>
  <c r="K1573" i="6" s="1"/>
  <c r="B1574" i="6"/>
  <c r="K1574" i="6" s="1"/>
  <c r="B1575" i="6"/>
  <c r="B1576" i="6"/>
  <c r="B1577" i="6"/>
  <c r="B1578" i="6"/>
  <c r="K1578" i="6" s="1"/>
  <c r="B1579" i="6"/>
  <c r="B1580" i="6"/>
  <c r="B1581" i="6"/>
  <c r="K1581" i="6" s="1"/>
  <c r="B1582" i="6"/>
  <c r="B1583" i="6"/>
  <c r="B1584" i="6"/>
  <c r="B1585" i="6"/>
  <c r="K1585" i="6" s="1"/>
  <c r="B1586" i="6"/>
  <c r="K1586" i="6" s="1"/>
  <c r="B1587" i="6"/>
  <c r="B1588" i="6"/>
  <c r="B1589" i="6"/>
  <c r="K1589" i="6" s="1"/>
  <c r="B1590" i="6"/>
  <c r="K1590" i="6" s="1"/>
  <c r="B1591" i="6"/>
  <c r="B1592" i="6"/>
  <c r="B1593" i="6"/>
  <c r="K1593" i="6" s="1"/>
  <c r="B1594" i="6"/>
  <c r="B1595" i="6"/>
  <c r="B1596" i="6"/>
  <c r="B1597" i="6"/>
  <c r="K1597" i="6" s="1"/>
  <c r="B1598" i="6"/>
  <c r="K1598" i="6" s="1"/>
  <c r="B1599" i="6"/>
  <c r="B1600" i="6"/>
  <c r="B1601" i="6"/>
  <c r="K1601" i="6" s="1"/>
  <c r="B1602" i="6"/>
  <c r="K1602" i="6" s="1"/>
  <c r="B1603" i="6"/>
  <c r="B1604" i="6"/>
  <c r="B1605" i="6"/>
  <c r="K1605" i="6" s="1"/>
  <c r="B1606" i="6"/>
  <c r="K1606" i="6" s="1"/>
  <c r="B1607" i="6"/>
  <c r="B1608" i="6"/>
  <c r="B1609" i="6"/>
  <c r="K1609" i="6" s="1"/>
  <c r="B1610" i="6"/>
  <c r="K1610" i="6" s="1"/>
  <c r="B1611" i="6"/>
  <c r="B1612" i="6"/>
  <c r="B1613" i="6"/>
  <c r="K1613" i="6" s="1"/>
  <c r="B1614" i="6"/>
  <c r="B1615" i="6"/>
  <c r="B1616" i="6"/>
  <c r="B1617" i="6"/>
  <c r="K1617" i="6" s="1"/>
  <c r="B1618" i="6"/>
  <c r="K1618" i="6" s="1"/>
  <c r="B1619" i="6"/>
  <c r="B1620" i="6"/>
  <c r="B1621" i="6"/>
  <c r="K1621" i="6" s="1"/>
  <c r="B1622" i="6"/>
  <c r="K1622" i="6" s="1"/>
  <c r="B1623" i="6"/>
  <c r="B1624" i="6"/>
  <c r="B1625" i="6"/>
  <c r="K1625" i="6" s="1"/>
  <c r="B1626" i="6"/>
  <c r="B1627" i="6"/>
  <c r="K1627" i="6" s="1"/>
  <c r="B1628" i="6"/>
  <c r="B1629" i="6"/>
  <c r="K1629" i="6" s="1"/>
  <c r="B1630" i="6"/>
  <c r="K1630" i="6" s="1"/>
  <c r="B1631" i="6"/>
  <c r="K1631" i="6" s="1"/>
  <c r="B1632" i="6"/>
  <c r="B1633" i="6"/>
  <c r="K1633" i="6" s="1"/>
  <c r="B1634" i="6"/>
  <c r="K1634" i="6" s="1"/>
  <c r="B1635" i="6"/>
  <c r="K1635" i="6" s="1"/>
  <c r="B1636" i="6"/>
  <c r="B1637" i="6"/>
  <c r="K1637" i="6" s="1"/>
  <c r="B1638" i="6"/>
  <c r="K1638" i="6" s="1"/>
  <c r="B1639" i="6"/>
  <c r="K1639" i="6" s="1"/>
  <c r="B1640" i="6"/>
  <c r="B1641" i="6"/>
  <c r="K1641" i="6" s="1"/>
  <c r="B1642" i="6"/>
  <c r="K1642" i="6" s="1"/>
  <c r="B1643" i="6"/>
  <c r="K1643" i="6" s="1"/>
  <c r="B1644" i="6"/>
  <c r="B1645" i="6"/>
  <c r="K1645" i="6" s="1"/>
  <c r="B1646" i="6"/>
  <c r="B1647" i="6"/>
  <c r="K1647" i="6" s="1"/>
  <c r="B1648" i="6"/>
  <c r="B1649" i="6"/>
  <c r="K1649" i="6" s="1"/>
  <c r="B1650" i="6"/>
  <c r="K1650" i="6" s="1"/>
  <c r="B1651" i="6"/>
  <c r="K1651" i="6" s="1"/>
  <c r="B1652" i="6"/>
  <c r="B1653" i="6"/>
  <c r="B1654" i="6"/>
  <c r="K1654" i="6" s="1"/>
  <c r="B1655" i="6"/>
  <c r="K1655" i="6" s="1"/>
  <c r="B1656" i="6"/>
  <c r="B1657" i="6"/>
  <c r="K1657" i="6" s="1"/>
  <c r="B1658" i="6"/>
  <c r="B1659" i="6"/>
  <c r="K1659" i="6" s="1"/>
  <c r="B1660" i="6"/>
  <c r="B1661" i="6"/>
  <c r="B1662" i="6"/>
  <c r="B1663" i="6"/>
  <c r="K1663" i="6" s="1"/>
  <c r="B1664" i="6"/>
  <c r="B1665" i="6"/>
  <c r="K1665" i="6" s="1"/>
  <c r="B1666" i="6"/>
  <c r="K1666" i="6" s="1"/>
  <c r="B1667" i="6"/>
  <c r="K1667" i="6" s="1"/>
  <c r="B1668" i="6"/>
  <c r="B1669" i="6"/>
  <c r="K1669" i="6" s="1"/>
  <c r="B1670" i="6"/>
  <c r="K1670" i="6" s="1"/>
  <c r="B1671" i="6"/>
  <c r="K1671" i="6" s="1"/>
  <c r="B1672" i="6"/>
  <c r="B1673" i="6"/>
  <c r="K1673" i="6" s="1"/>
  <c r="B1674" i="6"/>
  <c r="B1675" i="6"/>
  <c r="K1675" i="6" s="1"/>
  <c r="B1676" i="6"/>
  <c r="B1677" i="6"/>
  <c r="K1677" i="6" s="1"/>
  <c r="B1678" i="6"/>
  <c r="K1678" i="6" s="1"/>
  <c r="B1679" i="6"/>
  <c r="K1679" i="6" s="1"/>
  <c r="B1680" i="6"/>
  <c r="B1681" i="6"/>
  <c r="K1681" i="6" s="1"/>
  <c r="B1682" i="6"/>
  <c r="K1682" i="6" s="1"/>
  <c r="B1683" i="6"/>
  <c r="K1683" i="6" s="1"/>
  <c r="B1684" i="6"/>
  <c r="B1685" i="6"/>
  <c r="K1685" i="6" s="1"/>
  <c r="B1686" i="6"/>
  <c r="K1686" i="6" s="1"/>
  <c r="B1687" i="6"/>
  <c r="K1687" i="6" s="1"/>
  <c r="B1688" i="6"/>
  <c r="B1689" i="6"/>
  <c r="K1689" i="6" s="1"/>
  <c r="B1690" i="6"/>
  <c r="K1690" i="6" s="1"/>
  <c r="B1691" i="6"/>
  <c r="K1691" i="6" s="1"/>
  <c r="B1692" i="6"/>
  <c r="B1693" i="6"/>
  <c r="K1693" i="6" s="1"/>
  <c r="B1694" i="6"/>
  <c r="B1695" i="6"/>
  <c r="K1695" i="6" s="1"/>
  <c r="B1696" i="6"/>
  <c r="B1697" i="6"/>
  <c r="K1697" i="6" s="1"/>
  <c r="B1698" i="6"/>
  <c r="K1698" i="6" s="1"/>
  <c r="B1699" i="6"/>
  <c r="K1699" i="6" s="1"/>
  <c r="B1700" i="6"/>
  <c r="B1701" i="6"/>
  <c r="K1701" i="6" s="1"/>
  <c r="B1702" i="6"/>
  <c r="K1702" i="6" s="1"/>
  <c r="B1703" i="6"/>
  <c r="K1703" i="6" s="1"/>
  <c r="B1704" i="6"/>
  <c r="B1705" i="6"/>
  <c r="B1706" i="6"/>
  <c r="B1707" i="6"/>
  <c r="K1707" i="6" s="1"/>
  <c r="B1708" i="6"/>
  <c r="B1709" i="6"/>
  <c r="K1709" i="6" s="1"/>
  <c r="B1710" i="6"/>
  <c r="K1710" i="6" s="1"/>
  <c r="B1711" i="6"/>
  <c r="K1711" i="6" s="1"/>
  <c r="B1712" i="6"/>
  <c r="B1713" i="6"/>
  <c r="K1713" i="6" s="1"/>
  <c r="B1714" i="6"/>
  <c r="K1714" i="6" s="1"/>
  <c r="B1715" i="6"/>
  <c r="K1715" i="6" s="1"/>
  <c r="B1716" i="6"/>
  <c r="B1717" i="6"/>
  <c r="K1717" i="6" s="1"/>
  <c r="B1718" i="6"/>
  <c r="K1718" i="6" s="1"/>
  <c r="B1719" i="6"/>
  <c r="K1719" i="6" s="1"/>
  <c r="B1720" i="6"/>
  <c r="B1721" i="6"/>
  <c r="K1721" i="6" s="1"/>
  <c r="B1722" i="6"/>
  <c r="K1722" i="6" s="1"/>
  <c r="B1723" i="6"/>
  <c r="K1723" i="6" s="1"/>
  <c r="B1724" i="6"/>
  <c r="B1725" i="6"/>
  <c r="K1725" i="6" s="1"/>
  <c r="B1726" i="6"/>
  <c r="B1727" i="6"/>
  <c r="K1727" i="6" s="1"/>
  <c r="B1728" i="6"/>
  <c r="B1729" i="6"/>
  <c r="K1729" i="6" s="1"/>
  <c r="B1730" i="6"/>
  <c r="K1730" i="6" s="1"/>
  <c r="B1731" i="6"/>
  <c r="K1731" i="6" s="1"/>
  <c r="B1732" i="6"/>
  <c r="B1733" i="6"/>
  <c r="K1733" i="6" s="1"/>
  <c r="B1734" i="6"/>
  <c r="K1734" i="6" s="1"/>
  <c r="B1735" i="6"/>
  <c r="K1735" i="6" s="1"/>
  <c r="B1736" i="6"/>
  <c r="B1737" i="6"/>
  <c r="K1737" i="6" s="1"/>
  <c r="B1738" i="6"/>
  <c r="B1739" i="6"/>
  <c r="K1739" i="6" s="1"/>
  <c r="B1740" i="6"/>
  <c r="B1741" i="6"/>
  <c r="K1741" i="6" s="1"/>
  <c r="B1742" i="6"/>
  <c r="K1742" i="6" s="1"/>
  <c r="B1743" i="6"/>
  <c r="K1743" i="6" s="1"/>
  <c r="B1744" i="6"/>
  <c r="B1745" i="6"/>
  <c r="K1745" i="6" s="1"/>
  <c r="B1746" i="6"/>
  <c r="K1746" i="6" s="1"/>
  <c r="B1747" i="6"/>
  <c r="K1747" i="6" s="1"/>
  <c r="B1748" i="6"/>
  <c r="B1749" i="6"/>
  <c r="K1749" i="6" s="1"/>
  <c r="B1750" i="6"/>
  <c r="K1750" i="6" s="1"/>
  <c r="B1751" i="6"/>
  <c r="K1751" i="6" s="1"/>
  <c r="B1752" i="6"/>
  <c r="B1753" i="6"/>
  <c r="K1753" i="6" s="1"/>
  <c r="B1754" i="6"/>
  <c r="K1754" i="6" s="1"/>
  <c r="B1755" i="6"/>
  <c r="K1755" i="6" s="1"/>
  <c r="B1756" i="6"/>
  <c r="B1757" i="6"/>
  <c r="K1757" i="6" s="1"/>
  <c r="B1758" i="6"/>
  <c r="B1759" i="6"/>
  <c r="K1759" i="6" s="1"/>
  <c r="B1760" i="6"/>
  <c r="B1761" i="6"/>
  <c r="K1761" i="6" s="1"/>
  <c r="B1762" i="6"/>
  <c r="K1762" i="6" s="1"/>
  <c r="B1763" i="6"/>
  <c r="K1763" i="6" s="1"/>
  <c r="B1764" i="6"/>
  <c r="B1765" i="6"/>
  <c r="K1765" i="6" s="1"/>
  <c r="B1766" i="6"/>
  <c r="K1766" i="6" s="1"/>
  <c r="B1767" i="6"/>
  <c r="K1767" i="6" s="1"/>
  <c r="B1768" i="6"/>
  <c r="B1769" i="6"/>
  <c r="K1769" i="6" s="1"/>
  <c r="B1770" i="6"/>
  <c r="B1771" i="6"/>
  <c r="K1771" i="6" s="1"/>
  <c r="B1772" i="6"/>
  <c r="B1773" i="6"/>
  <c r="K1773" i="6" s="1"/>
  <c r="B1774" i="6"/>
  <c r="K1774" i="6" s="1"/>
  <c r="B1775" i="6"/>
  <c r="K1775" i="6" s="1"/>
  <c r="B1776" i="6"/>
  <c r="B1777" i="6"/>
  <c r="K1777" i="6" s="1"/>
  <c r="B1778" i="6"/>
  <c r="K1778" i="6" s="1"/>
  <c r="B1779" i="6"/>
  <c r="K1779" i="6" s="1"/>
  <c r="B1780" i="6"/>
  <c r="B1781" i="6"/>
  <c r="B1782" i="6"/>
  <c r="K1782" i="6" s="1"/>
  <c r="B1783" i="6"/>
  <c r="K1783" i="6" s="1"/>
  <c r="B1784" i="6"/>
  <c r="B1785" i="6"/>
  <c r="K1785" i="6" s="1"/>
  <c r="B1786" i="6"/>
  <c r="B1787" i="6"/>
  <c r="K1787" i="6" s="1"/>
  <c r="B1788" i="6"/>
  <c r="B1789" i="6"/>
  <c r="B1790" i="6"/>
  <c r="K1790" i="6" s="1"/>
  <c r="B1791" i="6"/>
  <c r="K1791" i="6" s="1"/>
  <c r="B1792" i="6"/>
  <c r="B1793" i="6"/>
  <c r="K1793" i="6" s="1"/>
  <c r="B1794" i="6"/>
  <c r="K1794" i="6" s="1"/>
  <c r="B1795" i="6"/>
  <c r="K1795" i="6" s="1"/>
  <c r="B1796" i="6"/>
  <c r="B1797" i="6"/>
  <c r="K1797" i="6" s="1"/>
  <c r="B1798" i="6"/>
  <c r="K1798" i="6" s="1"/>
  <c r="B1799" i="6"/>
  <c r="K1799" i="6" s="1"/>
  <c r="B1800" i="6"/>
  <c r="B1801" i="6"/>
  <c r="K1801" i="6" s="1"/>
  <c r="B1802" i="6"/>
  <c r="K1802" i="6" s="1"/>
  <c r="B1803" i="6"/>
  <c r="K1803" i="6" s="1"/>
  <c r="B1804" i="6"/>
  <c r="B1805" i="6"/>
  <c r="K1805" i="6" s="1"/>
  <c r="B1806" i="6"/>
  <c r="B1807" i="6"/>
  <c r="K1807" i="6" s="1"/>
  <c r="B1808" i="6"/>
  <c r="B1809" i="6"/>
  <c r="K1809" i="6" s="1"/>
  <c r="B1810" i="6"/>
  <c r="K1810" i="6" s="1"/>
  <c r="B1811" i="6"/>
  <c r="K1811" i="6" s="1"/>
  <c r="B1812" i="6"/>
  <c r="B1813" i="6"/>
  <c r="K1813" i="6" s="1"/>
  <c r="B1814" i="6"/>
  <c r="K1814" i="6" s="1"/>
  <c r="B1815" i="6"/>
  <c r="K1815" i="6" s="1"/>
  <c r="B1816" i="6"/>
  <c r="B1817" i="6"/>
  <c r="K1817" i="6" s="1"/>
  <c r="B1818" i="6"/>
  <c r="B1819" i="6"/>
  <c r="K1819" i="6" s="1"/>
  <c r="B1820" i="6"/>
  <c r="B1821" i="6"/>
  <c r="K1821" i="6" s="1"/>
  <c r="B1822" i="6"/>
  <c r="K1822" i="6" s="1"/>
  <c r="B1823" i="6"/>
  <c r="K1823" i="6" s="1"/>
  <c r="B1824" i="6"/>
  <c r="B1825" i="6"/>
  <c r="K1825" i="6" s="1"/>
  <c r="B1826" i="6"/>
  <c r="K1826" i="6" s="1"/>
  <c r="B1827" i="6"/>
  <c r="K1827" i="6" s="1"/>
  <c r="B1828" i="6"/>
  <c r="B1829" i="6"/>
  <c r="K1829" i="6" s="1"/>
  <c r="B1830" i="6"/>
  <c r="K1830" i="6" s="1"/>
  <c r="B1831" i="6"/>
  <c r="K1831" i="6" s="1"/>
  <c r="B1832" i="6"/>
  <c r="B1833" i="6"/>
  <c r="B1834" i="6"/>
  <c r="B1835" i="6"/>
  <c r="K1835" i="6" s="1"/>
  <c r="B1836" i="6"/>
  <c r="B1837" i="6"/>
  <c r="K1837" i="6" s="1"/>
  <c r="B1838" i="6"/>
  <c r="K1838" i="6" s="1"/>
  <c r="B1839" i="6"/>
  <c r="K1839" i="6" s="1"/>
  <c r="B1840" i="6"/>
  <c r="B1841" i="6"/>
  <c r="K1841" i="6" s="1"/>
  <c r="B1842" i="6"/>
  <c r="K1842" i="6" s="1"/>
  <c r="B1843" i="6"/>
  <c r="K1843" i="6" s="1"/>
  <c r="B1844" i="6"/>
  <c r="B1845" i="6"/>
  <c r="K1845" i="6" s="1"/>
  <c r="B1846" i="6"/>
  <c r="K1846" i="6" s="1"/>
  <c r="B1847" i="6"/>
  <c r="K1847" i="6" s="1"/>
  <c r="B1848" i="6"/>
  <c r="B1849" i="6"/>
  <c r="K1849" i="6" s="1"/>
  <c r="B1850" i="6"/>
  <c r="K1850" i="6" s="1"/>
  <c r="B1851" i="6"/>
  <c r="K1851" i="6" s="1"/>
  <c r="B1852" i="6"/>
  <c r="B1853" i="6"/>
  <c r="K1853" i="6" s="1"/>
  <c r="B1854" i="6"/>
  <c r="B1855" i="6"/>
  <c r="K1855" i="6" s="1"/>
  <c r="B1856" i="6"/>
  <c r="B1857" i="6"/>
  <c r="K1857" i="6" s="1"/>
  <c r="B1858" i="6"/>
  <c r="K1858" i="6" s="1"/>
  <c r="B1859" i="6"/>
  <c r="K1859" i="6" s="1"/>
  <c r="B1860" i="6"/>
  <c r="B1861" i="6"/>
  <c r="K1861" i="6" s="1"/>
  <c r="B1862" i="6"/>
  <c r="K1862" i="6" s="1"/>
  <c r="B1863" i="6"/>
  <c r="K1863" i="6" s="1"/>
  <c r="B1864" i="6"/>
  <c r="B1865" i="6"/>
  <c r="K1865" i="6" s="1"/>
  <c r="B1866" i="6"/>
  <c r="B1867" i="6"/>
  <c r="K1867" i="6" s="1"/>
  <c r="B1868" i="6"/>
  <c r="B1869" i="6"/>
  <c r="K1869" i="6" s="1"/>
  <c r="B1870" i="6"/>
  <c r="K1870" i="6" s="1"/>
  <c r="B1871" i="6"/>
  <c r="K1871" i="6" s="1"/>
  <c r="B1872" i="6"/>
  <c r="B1873" i="6"/>
  <c r="K1873" i="6" s="1"/>
  <c r="B1874" i="6"/>
  <c r="K1874" i="6" s="1"/>
  <c r="B1875" i="6"/>
  <c r="K1875" i="6" s="1"/>
  <c r="B1876" i="6"/>
  <c r="B1877" i="6"/>
  <c r="K1877" i="6" s="1"/>
  <c r="B1878" i="6"/>
  <c r="K1878" i="6" s="1"/>
  <c r="B1879" i="6"/>
  <c r="K1879" i="6" s="1"/>
  <c r="B1880" i="6"/>
  <c r="B1881" i="6"/>
  <c r="K1881" i="6" s="1"/>
  <c r="B1882" i="6"/>
  <c r="K1882" i="6" s="1"/>
  <c r="B1883" i="6"/>
  <c r="K1883" i="6" s="1"/>
  <c r="B1884" i="6"/>
  <c r="B1885" i="6"/>
  <c r="K1885" i="6" s="1"/>
  <c r="B1886" i="6"/>
  <c r="B1887" i="6"/>
  <c r="K1887" i="6" s="1"/>
  <c r="B1888" i="6"/>
  <c r="B1889" i="6"/>
  <c r="K1889" i="6" s="1"/>
  <c r="B1890" i="6"/>
  <c r="K1890" i="6" s="1"/>
  <c r="B1891" i="6"/>
  <c r="K1891" i="6" s="1"/>
  <c r="B1892" i="6"/>
  <c r="B1893" i="6"/>
  <c r="K1893" i="6" s="1"/>
  <c r="B1894" i="6"/>
  <c r="K1894" i="6" s="1"/>
  <c r="B1895" i="6"/>
  <c r="K1895" i="6" s="1"/>
  <c r="B1896" i="6"/>
  <c r="B1897" i="6"/>
  <c r="K1897" i="6" s="1"/>
  <c r="B1898" i="6"/>
  <c r="B1899" i="6"/>
  <c r="K1899" i="6" s="1"/>
  <c r="B1900" i="6"/>
  <c r="B1901" i="6"/>
  <c r="K1901" i="6" s="1"/>
  <c r="B1902" i="6"/>
  <c r="K1902" i="6" s="1"/>
  <c r="B1903" i="6"/>
  <c r="K1903" i="6" s="1"/>
  <c r="B1904" i="6"/>
  <c r="B1905" i="6"/>
  <c r="K1905" i="6" s="1"/>
  <c r="B1906" i="6"/>
  <c r="K1906" i="6" s="1"/>
  <c r="B1907" i="6"/>
  <c r="K1907" i="6" s="1"/>
  <c r="B1908" i="6"/>
  <c r="B1909" i="6"/>
  <c r="B1910" i="6"/>
  <c r="K1910" i="6" s="1"/>
  <c r="B1911" i="6"/>
  <c r="K1911" i="6" s="1"/>
  <c r="B1912" i="6"/>
  <c r="B1913" i="6"/>
  <c r="K1913" i="6" s="1"/>
  <c r="B1914" i="6"/>
  <c r="K1914" i="6" s="1"/>
  <c r="B1915" i="6"/>
  <c r="K1915" i="6" s="1"/>
  <c r="B1916" i="6"/>
  <c r="B1917" i="6"/>
  <c r="B1918" i="6"/>
  <c r="K1918" i="6" s="1"/>
  <c r="B1919" i="6"/>
  <c r="K1919" i="6" s="1"/>
  <c r="B1920" i="6"/>
  <c r="B1921" i="6"/>
  <c r="K1921" i="6" s="1"/>
  <c r="B1922" i="6"/>
  <c r="K1922" i="6" s="1"/>
  <c r="B1923" i="6"/>
  <c r="K1923" i="6" s="1"/>
  <c r="B1924" i="6"/>
  <c r="B1925" i="6"/>
  <c r="K1925" i="6" s="1"/>
  <c r="B1926" i="6"/>
  <c r="K1926" i="6" s="1"/>
  <c r="B1927" i="6"/>
  <c r="K1927" i="6" s="1"/>
  <c r="B1928" i="6"/>
  <c r="B1929" i="6"/>
  <c r="K1929" i="6" s="1"/>
  <c r="B1930" i="6"/>
  <c r="K1930" i="6" s="1"/>
  <c r="B1931" i="6"/>
  <c r="K1931" i="6" s="1"/>
  <c r="B1932" i="6"/>
  <c r="B1933" i="6"/>
  <c r="K1933" i="6" s="1"/>
  <c r="B1934" i="6"/>
  <c r="B1935" i="6"/>
  <c r="K1935" i="6" s="1"/>
  <c r="B1936" i="6"/>
  <c r="B1937" i="6"/>
  <c r="K1937" i="6" s="1"/>
  <c r="B1938" i="6"/>
  <c r="K1938" i="6" s="1"/>
  <c r="B1939" i="6"/>
  <c r="K1939" i="6" s="1"/>
  <c r="B1940" i="6"/>
  <c r="B1941" i="6"/>
  <c r="K1941" i="6" s="1"/>
  <c r="B1942" i="6"/>
  <c r="K1942" i="6" s="1"/>
  <c r="B1943" i="6"/>
  <c r="K1943" i="6" s="1"/>
  <c r="B1944" i="6"/>
  <c r="B1945" i="6"/>
  <c r="K1945" i="6" s="1"/>
  <c r="B1946" i="6"/>
  <c r="B1947" i="6"/>
  <c r="K1947" i="6" s="1"/>
  <c r="B1948" i="6"/>
  <c r="B1949" i="6"/>
  <c r="K1949" i="6" s="1"/>
  <c r="B1950" i="6"/>
  <c r="K1950" i="6" s="1"/>
  <c r="B1951" i="6"/>
  <c r="K1951" i="6" s="1"/>
  <c r="B1952" i="6"/>
  <c r="B1953" i="6"/>
  <c r="K1953" i="6" s="1"/>
  <c r="B1954" i="6"/>
  <c r="K1954" i="6" s="1"/>
  <c r="B1955" i="6"/>
  <c r="K1955" i="6" s="1"/>
  <c r="B1956" i="6"/>
  <c r="B1957" i="6"/>
  <c r="K1957" i="6" s="1"/>
  <c r="B1958" i="6"/>
  <c r="K1958" i="6" s="1"/>
  <c r="B1959" i="6"/>
  <c r="K1959" i="6" s="1"/>
  <c r="B1960" i="6"/>
  <c r="B1961" i="6"/>
  <c r="B1962" i="6"/>
  <c r="K1962" i="6" s="1"/>
  <c r="B1963" i="6"/>
  <c r="K1963" i="6" s="1"/>
  <c r="B1964" i="6"/>
  <c r="B1965" i="6"/>
  <c r="K1965" i="6" s="1"/>
  <c r="B1966" i="6"/>
  <c r="B1967" i="6"/>
  <c r="K1967" i="6" s="1"/>
  <c r="B1968" i="6"/>
  <c r="B1969" i="6"/>
  <c r="K1969" i="6" s="1"/>
  <c r="B1970" i="6"/>
  <c r="K1970" i="6" s="1"/>
  <c r="B1971" i="6"/>
  <c r="K1971" i="6" s="1"/>
  <c r="B1972" i="6"/>
  <c r="B1973" i="6"/>
  <c r="K1973" i="6" s="1"/>
  <c r="B1974" i="6"/>
  <c r="K1974" i="6" s="1"/>
  <c r="B1975" i="6"/>
  <c r="K1975" i="6" s="1"/>
  <c r="B1976" i="6"/>
  <c r="B1977" i="6"/>
  <c r="K1977" i="6" s="1"/>
  <c r="B1978" i="6"/>
  <c r="B1979" i="6"/>
  <c r="K1979" i="6" s="1"/>
  <c r="B1980" i="6"/>
  <c r="B1981" i="6"/>
  <c r="K1981" i="6" s="1"/>
  <c r="B1982" i="6"/>
  <c r="K1982" i="6" s="1"/>
  <c r="B1983" i="6"/>
  <c r="K1983" i="6" s="1"/>
  <c r="B1984" i="6"/>
  <c r="B1985" i="6"/>
  <c r="K1985" i="6" s="1"/>
  <c r="B1986" i="6"/>
  <c r="K1986" i="6" s="1"/>
  <c r="B1987" i="6"/>
  <c r="K1987" i="6" s="1"/>
  <c r="B1988" i="6"/>
  <c r="B1989" i="6"/>
  <c r="K1989" i="6" s="1"/>
  <c r="B1990" i="6"/>
  <c r="K1990" i="6" s="1"/>
  <c r="B1991" i="6"/>
  <c r="K1991" i="6" s="1"/>
  <c r="B1992" i="6"/>
  <c r="B1993" i="6"/>
  <c r="K1993" i="6" s="1"/>
  <c r="B1994" i="6"/>
  <c r="K1994" i="6" s="1"/>
  <c r="B1995" i="6"/>
  <c r="K1995" i="6" s="1"/>
  <c r="B1996" i="6"/>
  <c r="B1997" i="6"/>
  <c r="K1997" i="6" s="1"/>
  <c r="B1998" i="6"/>
  <c r="B1999" i="6"/>
  <c r="K1999" i="6" s="1"/>
  <c r="B2000" i="6"/>
  <c r="B2001" i="6"/>
  <c r="K2001" i="6" s="1"/>
  <c r="B2002" i="6"/>
  <c r="K2002" i="6" s="1"/>
  <c r="B2003" i="6"/>
  <c r="K2003" i="6" s="1"/>
  <c r="B2004" i="6"/>
  <c r="B2005" i="6"/>
  <c r="K2005" i="6" s="1"/>
  <c r="B2006" i="6"/>
  <c r="K2006" i="6" s="1"/>
  <c r="B2007" i="6"/>
  <c r="K2007" i="6" s="1"/>
  <c r="B2008" i="6"/>
  <c r="B2009" i="6"/>
  <c r="K2009" i="6" s="1"/>
  <c r="B2010" i="6"/>
  <c r="B2011" i="6"/>
  <c r="K2011" i="6" s="1"/>
  <c r="B2012" i="6"/>
  <c r="B2013" i="6"/>
  <c r="K2013" i="6" s="1"/>
  <c r="B2014" i="6"/>
  <c r="K2014" i="6" s="1"/>
  <c r="B2015" i="6"/>
  <c r="K2015" i="6" s="1"/>
  <c r="B2016" i="6"/>
  <c r="B2017" i="6"/>
  <c r="K2017" i="6" s="1"/>
  <c r="B2018" i="6"/>
  <c r="K2018" i="6" s="1"/>
  <c r="B2019" i="6"/>
  <c r="K2019" i="6" s="1"/>
  <c r="B2020" i="6"/>
  <c r="B2021" i="6"/>
  <c r="K2021" i="6" s="1"/>
  <c r="B2022" i="6"/>
  <c r="K2022" i="6" s="1"/>
  <c r="B2023" i="6"/>
  <c r="K2023" i="6" s="1"/>
  <c r="B2024" i="6"/>
  <c r="B2025" i="6"/>
  <c r="K2025" i="6" s="1"/>
  <c r="B2026" i="6"/>
  <c r="K2026" i="6" s="1"/>
  <c r="B2027" i="6"/>
  <c r="K2027" i="6" s="1"/>
  <c r="B2028" i="6"/>
  <c r="B2029" i="6"/>
  <c r="K2029" i="6" s="1"/>
  <c r="B2030" i="6"/>
  <c r="B2031" i="6"/>
  <c r="K2031" i="6" s="1"/>
  <c r="B2032" i="6"/>
  <c r="B2033" i="6"/>
  <c r="K2033" i="6" s="1"/>
  <c r="B2034" i="6"/>
  <c r="K2034" i="6" s="1"/>
  <c r="B2035" i="6"/>
  <c r="K2035" i="6" s="1"/>
  <c r="B2036" i="6"/>
  <c r="B2037" i="6"/>
  <c r="B2038" i="6"/>
  <c r="K2038" i="6" s="1"/>
  <c r="B2039" i="6"/>
  <c r="K2039" i="6" s="1"/>
  <c r="B2040" i="6"/>
  <c r="B2041" i="6"/>
  <c r="K2041" i="6" s="1"/>
  <c r="B2042" i="6"/>
  <c r="K2042" i="6" s="1"/>
  <c r="B2043" i="6"/>
  <c r="K2043" i="6" s="1"/>
  <c r="B2044" i="6"/>
  <c r="B2045" i="6"/>
  <c r="B2046" i="6"/>
  <c r="B2047" i="6"/>
  <c r="K2047" i="6" s="1"/>
  <c r="B2048" i="6"/>
  <c r="B2049" i="6"/>
  <c r="K2049" i="6" s="1"/>
  <c r="B2050" i="6"/>
  <c r="K2050" i="6" s="1"/>
  <c r="B2051" i="6"/>
  <c r="K2051" i="6" s="1"/>
  <c r="B2052" i="6"/>
  <c r="B2053" i="6"/>
  <c r="K2053" i="6" s="1"/>
  <c r="B2054" i="6"/>
  <c r="B2055" i="6"/>
  <c r="K2055" i="6" s="1"/>
  <c r="B2056" i="6"/>
  <c r="B2057" i="6"/>
  <c r="K2057" i="6" s="1"/>
  <c r="B2058" i="6"/>
  <c r="K2058" i="6" s="1"/>
  <c r="B2059" i="6"/>
  <c r="K2059" i="6" s="1"/>
  <c r="B2060" i="6"/>
  <c r="B2061" i="6"/>
  <c r="K2061" i="6" s="1"/>
  <c r="B2062" i="6"/>
  <c r="B2063" i="6"/>
  <c r="K2063" i="6" s="1"/>
  <c r="B2064" i="6"/>
  <c r="B2065" i="6"/>
  <c r="K2065" i="6" s="1"/>
  <c r="B2066" i="6"/>
  <c r="K2066" i="6" s="1"/>
  <c r="B2067" i="6"/>
  <c r="K2067" i="6" s="1"/>
  <c r="B2068" i="6"/>
  <c r="B2069" i="6"/>
  <c r="K2069" i="6" s="1"/>
  <c r="B2070" i="6"/>
  <c r="B2071" i="6"/>
  <c r="K2071" i="6" s="1"/>
  <c r="B2072" i="6"/>
  <c r="B2073" i="6"/>
  <c r="K2073" i="6" s="1"/>
  <c r="B2074" i="6"/>
  <c r="K2074" i="6" s="1"/>
  <c r="B2075" i="6"/>
  <c r="K2075" i="6" s="1"/>
  <c r="B2076" i="6"/>
  <c r="B2077" i="6"/>
  <c r="K2077" i="6" s="1"/>
  <c r="B2078" i="6"/>
  <c r="B2079" i="6"/>
  <c r="K2079" i="6" s="1"/>
  <c r="B2080" i="6"/>
  <c r="B2081" i="6"/>
  <c r="K2081" i="6" s="1"/>
  <c r="B2082" i="6"/>
  <c r="K2082" i="6" s="1"/>
  <c r="B2083" i="6"/>
  <c r="K2083" i="6" s="1"/>
  <c r="B2084" i="6"/>
  <c r="B2085" i="6"/>
  <c r="K2085" i="6" s="1"/>
  <c r="B2086" i="6"/>
  <c r="B2087" i="6"/>
  <c r="K2087" i="6" s="1"/>
  <c r="B2088" i="6"/>
  <c r="B2089" i="6"/>
  <c r="K2089" i="6" s="1"/>
  <c r="B2090" i="6"/>
  <c r="K2090" i="6" s="1"/>
  <c r="B2091" i="6"/>
  <c r="K2091" i="6" s="1"/>
  <c r="B2092" i="6"/>
  <c r="B2093" i="6"/>
  <c r="K2093" i="6" s="1"/>
  <c r="B2094" i="6"/>
  <c r="B2095" i="6"/>
  <c r="K2095" i="6" s="1"/>
  <c r="B2096" i="6"/>
  <c r="B2097" i="6"/>
  <c r="K2097" i="6" s="1"/>
  <c r="B2098" i="6"/>
  <c r="K2098" i="6" s="1"/>
  <c r="B2099" i="6"/>
  <c r="K2099" i="6" s="1"/>
  <c r="B2100" i="6"/>
  <c r="B2101" i="6"/>
  <c r="K2101" i="6" s="1"/>
  <c r="B2102" i="6"/>
  <c r="B2103" i="6"/>
  <c r="K2103" i="6" s="1"/>
  <c r="B2104" i="6"/>
  <c r="B2105" i="6"/>
  <c r="K2105" i="6" s="1"/>
  <c r="B2106" i="6"/>
  <c r="K2106" i="6" s="1"/>
  <c r="B2107" i="6"/>
  <c r="K2107" i="6" s="1"/>
  <c r="B2108" i="6"/>
  <c r="B2109" i="6"/>
  <c r="B2110" i="6"/>
  <c r="K2110" i="6" s="1"/>
  <c r="B2111" i="6"/>
  <c r="K2111" i="6" s="1"/>
  <c r="B2112" i="6"/>
  <c r="B2113" i="6"/>
  <c r="K2113" i="6" s="1"/>
  <c r="B2114" i="6"/>
  <c r="B2115" i="6"/>
  <c r="K2115" i="6" s="1"/>
  <c r="B2116" i="6"/>
  <c r="B2117" i="6"/>
  <c r="K2117" i="6" s="1"/>
  <c r="B2118" i="6"/>
  <c r="K2118" i="6" s="1"/>
  <c r="B2119" i="6"/>
  <c r="K2119" i="6" s="1"/>
  <c r="B2120" i="6"/>
  <c r="B2121" i="6"/>
  <c r="K2121" i="6" s="1"/>
  <c r="B2122" i="6"/>
  <c r="B2123" i="6"/>
  <c r="K2123" i="6" s="1"/>
  <c r="B2124" i="6"/>
  <c r="B2125" i="6"/>
  <c r="K2125" i="6" s="1"/>
  <c r="B2126" i="6"/>
  <c r="K2126" i="6" s="1"/>
  <c r="B2127" i="6"/>
  <c r="K2127" i="6" s="1"/>
  <c r="B2128" i="6"/>
  <c r="B2129" i="6"/>
  <c r="K2129" i="6" s="1"/>
  <c r="B2130" i="6"/>
  <c r="B2131" i="6"/>
  <c r="K2131" i="6" s="1"/>
  <c r="B2132" i="6"/>
  <c r="B2133" i="6"/>
  <c r="K2133" i="6" s="1"/>
  <c r="B2134" i="6"/>
  <c r="K2134" i="6" s="1"/>
  <c r="B2135" i="6"/>
  <c r="K2135" i="6" s="1"/>
  <c r="B2136" i="6"/>
  <c r="B2137" i="6"/>
  <c r="K2137" i="6" s="1"/>
  <c r="B2138" i="6"/>
  <c r="B2139" i="6"/>
  <c r="K2139" i="6" s="1"/>
  <c r="B2140" i="6"/>
  <c r="B2141" i="6"/>
  <c r="K2141" i="6" s="1"/>
  <c r="B2142" i="6"/>
  <c r="K2142" i="6" s="1"/>
  <c r="B2143" i="6"/>
  <c r="K2143" i="6" s="1"/>
  <c r="B2144" i="6"/>
  <c r="B2145" i="6"/>
  <c r="K2145" i="6" s="1"/>
  <c r="B2146" i="6"/>
  <c r="B2147" i="6"/>
  <c r="K2147" i="6" s="1"/>
  <c r="B2148" i="6"/>
  <c r="B2149" i="6"/>
  <c r="K2149" i="6" s="1"/>
  <c r="B2150" i="6"/>
  <c r="K2150" i="6" s="1"/>
  <c r="B2151" i="6"/>
  <c r="K2151" i="6" s="1"/>
  <c r="B2152" i="6"/>
  <c r="B2153" i="6"/>
  <c r="K2153" i="6" s="1"/>
  <c r="B2154" i="6"/>
  <c r="B2155" i="6"/>
  <c r="K2155" i="6" s="1"/>
  <c r="B2156" i="6"/>
  <c r="B2157" i="6"/>
  <c r="K2157" i="6" s="1"/>
  <c r="B2158" i="6"/>
  <c r="K2158" i="6" s="1"/>
  <c r="B2159" i="6"/>
  <c r="K2159" i="6" s="1"/>
  <c r="B2160" i="6"/>
  <c r="B2161" i="6"/>
  <c r="K2161" i="6" s="1"/>
  <c r="B2162" i="6"/>
  <c r="B2163" i="6"/>
  <c r="K2163" i="6" s="1"/>
  <c r="B2164" i="6"/>
  <c r="B2165" i="6"/>
  <c r="K2165" i="6" s="1"/>
  <c r="B2166" i="6"/>
  <c r="K2166" i="6" s="1"/>
  <c r="B2167" i="6"/>
  <c r="K2167" i="6" s="1"/>
  <c r="B2168" i="6"/>
  <c r="B2169" i="6"/>
  <c r="K2169" i="6" s="1"/>
  <c r="B2170" i="6"/>
  <c r="B2171" i="6"/>
  <c r="K2171" i="6" s="1"/>
  <c r="B2172" i="6"/>
  <c r="B2173" i="6"/>
  <c r="B2174" i="6"/>
  <c r="K2174" i="6" s="1"/>
  <c r="B2175" i="6"/>
  <c r="K2175" i="6" s="1"/>
  <c r="B2176" i="6"/>
  <c r="B2177" i="6"/>
  <c r="K2177" i="6" s="1"/>
  <c r="B2178" i="6"/>
  <c r="B2179" i="6"/>
  <c r="B2180" i="6"/>
  <c r="B2181" i="6"/>
  <c r="K2181" i="6" s="1"/>
  <c r="B2182" i="6"/>
  <c r="B2183" i="6"/>
  <c r="B2184" i="6"/>
  <c r="B2185" i="6"/>
  <c r="K2185" i="6" s="1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K2218" i="6" s="1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K2282" i="6" s="1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K2346" i="6" s="1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K2410" i="6" s="1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K2474" i="6" s="1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K2494" i="6" s="1"/>
  <c r="B2495" i="6"/>
  <c r="B2496" i="6"/>
  <c r="B2497" i="6"/>
  <c r="B2498" i="6"/>
  <c r="K2498" i="6" s="1"/>
  <c r="B2499" i="6"/>
  <c r="B2500" i="6"/>
  <c r="B2501" i="6"/>
  <c r="B2502" i="6"/>
  <c r="K2502" i="6" s="1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K2538" i="6" s="1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K2558" i="6" s="1"/>
  <c r="B2559" i="6"/>
  <c r="B2560" i="6"/>
  <c r="B2561" i="6"/>
  <c r="B2562" i="6"/>
  <c r="K2562" i="6" s="1"/>
  <c r="B2563" i="6"/>
  <c r="B2564" i="6"/>
  <c r="B2565" i="6"/>
  <c r="B2566" i="6"/>
  <c r="K2566" i="6" s="1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K2602" i="6" s="1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K2622" i="6" s="1"/>
  <c r="B2623" i="6"/>
  <c r="B2624" i="6"/>
  <c r="B2625" i="6"/>
  <c r="B2626" i="6"/>
  <c r="K2626" i="6" s="1"/>
  <c r="B2627" i="6"/>
  <c r="B2628" i="6"/>
  <c r="B2629" i="6"/>
  <c r="B2630" i="6"/>
  <c r="K2630" i="6" s="1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K2666" i="6" s="1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K2686" i="6" s="1"/>
  <c r="B2687" i="6"/>
  <c r="B2688" i="6"/>
  <c r="B2689" i="6"/>
  <c r="B2690" i="6"/>
  <c r="K2690" i="6" s="1"/>
  <c r="B2691" i="6"/>
  <c r="B2692" i="6"/>
  <c r="B2693" i="6"/>
  <c r="B2694" i="6"/>
  <c r="K2694" i="6" s="1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K2730" i="6" s="1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K2750" i="6" s="1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39" i="6"/>
  <c r="K6840" i="6"/>
  <c r="K6801" i="6"/>
  <c r="K6741" i="6"/>
  <c r="K6433" i="6"/>
  <c r="M6429" i="6"/>
  <c r="L6396" i="6"/>
  <c r="K6260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187" i="6"/>
  <c r="K3205" i="6"/>
  <c r="K3370" i="6"/>
  <c r="K3362" i="6"/>
  <c r="K3157" i="6"/>
  <c r="K3374" i="6"/>
  <c r="K3332" i="6"/>
  <c r="K3214" i="6"/>
  <c r="K3206" i="6"/>
  <c r="K3313" i="6"/>
  <c r="K3174" i="6"/>
  <c r="K3396" i="6"/>
  <c r="K3306" i="6"/>
  <c r="K3357" i="6"/>
  <c r="K3215" i="6"/>
  <c r="K3173" i="6"/>
  <c r="K3284" i="6"/>
  <c r="K3340" i="6"/>
  <c r="K3311" i="6"/>
  <c r="K3290" i="6"/>
  <c r="K3165" i="6"/>
  <c r="K3295" i="6"/>
  <c r="K3377" i="6"/>
  <c r="K3307" i="6"/>
  <c r="K3177" i="6"/>
  <c r="K3150" i="6"/>
  <c r="K3385" i="6"/>
  <c r="K3322" i="6"/>
  <c r="K3266" i="6"/>
  <c r="K3259" i="6"/>
  <c r="K3145" i="6"/>
  <c r="K3361" i="6"/>
  <c r="K3333" i="6"/>
  <c r="K3280" i="6"/>
  <c r="K3381" i="6"/>
  <c r="K3348" i="6"/>
  <c r="K3346" i="6"/>
  <c r="K3153" i="6"/>
  <c r="K3148" i="6"/>
  <c r="K3345" i="6"/>
  <c r="K3338" i="6"/>
  <c r="K3246" i="6"/>
  <c r="K3198" i="6"/>
  <c r="K3194" i="6"/>
  <c r="K3154" i="6"/>
  <c r="K3400" i="6"/>
  <c r="K3382" i="6"/>
  <c r="K3323" i="6"/>
  <c r="K3321" i="6"/>
  <c r="K3316" i="6"/>
  <c r="K3289" i="6"/>
  <c r="K3267" i="6"/>
  <c r="K3257" i="6"/>
  <c r="K3201" i="6"/>
  <c r="K3199" i="6"/>
  <c r="K3185" i="6"/>
  <c r="K3161" i="6"/>
  <c r="K3375" i="6"/>
  <c r="K3373" i="6"/>
  <c r="K3328" i="6"/>
  <c r="K3326" i="6"/>
  <c r="K3294" i="6"/>
  <c r="K3279" i="6"/>
  <c r="K3247" i="6"/>
  <c r="K3164" i="6"/>
  <c r="K5224" i="6"/>
  <c r="K5168" i="6"/>
  <c r="K3390" i="6"/>
  <c r="K3356" i="6"/>
  <c r="K3354" i="6"/>
  <c r="K3254" i="6"/>
  <c r="K3221" i="6"/>
  <c r="K3193" i="6"/>
  <c r="K3191" i="6"/>
  <c r="K3395" i="6"/>
  <c r="K3389" i="6"/>
  <c r="K3353" i="6"/>
  <c r="K3336" i="6"/>
  <c r="K3334" i="6"/>
  <c r="K3325" i="6"/>
  <c r="K3302" i="6"/>
  <c r="K3285" i="6"/>
  <c r="K3283" i="6"/>
  <c r="K3265" i="6"/>
  <c r="K3253" i="6"/>
  <c r="K3209" i="6"/>
  <c r="K3207" i="6"/>
  <c r="K3181" i="6"/>
  <c r="K3156" i="6"/>
  <c r="K6074" i="6"/>
  <c r="K3386" i="6"/>
  <c r="K3364" i="6"/>
  <c r="K3360" i="6"/>
  <c r="K3339" i="6"/>
  <c r="K3335" i="6"/>
  <c r="K3314" i="6"/>
  <c r="K3261" i="6"/>
  <c r="K3234" i="6"/>
  <c r="K3213" i="6"/>
  <c r="K3160" i="6"/>
  <c r="K6073" i="6"/>
  <c r="K3372" i="6"/>
  <c r="K3368" i="6"/>
  <c r="M3368" i="6"/>
  <c r="K3347" i="6"/>
  <c r="K3274" i="6"/>
  <c r="K3260" i="6"/>
  <c r="K3188" i="6"/>
  <c r="K3143" i="6"/>
  <c r="K3406" i="6"/>
  <c r="K3402" i="6"/>
  <c r="K3394" i="6"/>
  <c r="K3376" i="6"/>
  <c r="K3363" i="6"/>
  <c r="K3296" i="6"/>
  <c r="K3278" i="6"/>
  <c r="K3233" i="6"/>
  <c r="K3220" i="6"/>
  <c r="K3216" i="6"/>
  <c r="K3159" i="6"/>
  <c r="K3155" i="6"/>
  <c r="K3305" i="6"/>
  <c r="K3200" i="6"/>
  <c r="K3196" i="6"/>
  <c r="K3172" i="6"/>
  <c r="K3367" i="6"/>
  <c r="K3312" i="6"/>
  <c r="K3308" i="6"/>
  <c r="K3282" i="6"/>
  <c r="K3268" i="6"/>
  <c r="K3228" i="6"/>
  <c r="K3179" i="6"/>
  <c r="K3171" i="6"/>
  <c r="K3383" i="6"/>
  <c r="K3324" i="6"/>
  <c r="K3320" i="6"/>
  <c r="K324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M4085" i="6"/>
  <c r="K4077" i="6"/>
  <c r="M4077" i="6"/>
  <c r="K4065" i="6"/>
  <c r="M4065" i="6"/>
  <c r="M4064" i="6"/>
  <c r="K3783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M416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M4026" i="6"/>
  <c r="N3908" i="6"/>
  <c r="M3621" i="6"/>
  <c r="K3620" i="6"/>
  <c r="M3620" i="6"/>
  <c r="N3494" i="6"/>
  <c r="N3233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M3536" i="6"/>
  <c r="K3531" i="6"/>
  <c r="M3531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M4088" i="6"/>
  <c r="K4045" i="6"/>
  <c r="M4045" i="6"/>
  <c r="K4010" i="6"/>
  <c r="M4010" i="6"/>
  <c r="K3996" i="6"/>
  <c r="M3996" i="6"/>
  <c r="N3856" i="6"/>
  <c r="K3730" i="6"/>
  <c r="M373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M4145" i="6"/>
  <c r="K3807" i="6"/>
  <c r="M3807" i="6"/>
  <c r="M3500" i="6"/>
  <c r="M3383" i="6"/>
  <c r="N3278" i="6"/>
  <c r="M3273" i="6"/>
  <c r="N3111" i="6"/>
  <c r="N5221" i="6"/>
  <c r="N3900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M3119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M4190" i="6"/>
  <c r="N4149" i="6"/>
  <c r="L4138" i="6"/>
  <c r="N4138" i="6"/>
  <c r="M4138" i="6"/>
  <c r="K4092" i="6"/>
  <c r="M4092" i="6"/>
  <c r="L4092" i="6"/>
  <c r="N4092" i="6"/>
  <c r="L4041" i="6"/>
  <c r="N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L3559" i="6"/>
  <c r="N3559" i="6"/>
  <c r="K3559" i="6"/>
  <c r="M3559" i="6"/>
  <c r="L3420" i="6"/>
  <c r="N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M3743" i="6"/>
  <c r="L3715" i="6"/>
  <c r="N3715" i="6"/>
  <c r="M3715" i="6"/>
  <c r="L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M3511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M4014" i="6"/>
  <c r="L4014" i="6"/>
  <c r="N4014" i="6"/>
  <c r="L3978" i="6"/>
  <c r="N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M3675" i="6"/>
  <c r="L3675" i="6"/>
  <c r="N3675" i="6"/>
  <c r="N3534" i="6"/>
  <c r="L3496" i="6"/>
  <c r="K3496" i="6"/>
  <c r="M349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M4018" i="6"/>
  <c r="M3998" i="6"/>
  <c r="K3982" i="6"/>
  <c r="M3982" i="6"/>
  <c r="K3876" i="6"/>
  <c r="M3876" i="6"/>
  <c r="M3870" i="6"/>
  <c r="L3708" i="6"/>
  <c r="N3708" i="6"/>
  <c r="K3708" i="6"/>
  <c r="M3708" i="6"/>
  <c r="L3548" i="6"/>
  <c r="N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M3954" i="6"/>
  <c r="K3767" i="6"/>
  <c r="M376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M3725" i="6"/>
  <c r="K3724" i="6"/>
  <c r="M3724" i="6"/>
  <c r="M3696" i="6"/>
  <c r="M3691" i="6"/>
  <c r="M3644" i="6"/>
  <c r="M3628" i="6"/>
  <c r="M3611" i="6"/>
  <c r="K3609" i="6"/>
  <c r="M3609" i="6"/>
  <c r="K3608" i="6"/>
  <c r="N3555" i="6"/>
  <c r="K3545" i="6"/>
  <c r="M3545" i="6"/>
  <c r="M3544" i="6"/>
  <c r="K3532" i="6"/>
  <c r="M3532" i="6"/>
  <c r="M3515" i="6"/>
  <c r="N3462" i="6"/>
  <c r="K3452" i="6"/>
  <c r="M345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M4101" i="6"/>
  <c r="L4101" i="6"/>
  <c r="N4101" i="6"/>
  <c r="L4076" i="6"/>
  <c r="N4076" i="6"/>
  <c r="K4076" i="6"/>
  <c r="M4076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L3431" i="6"/>
  <c r="N3431" i="6"/>
  <c r="M3428" i="6"/>
  <c r="L3428" i="6"/>
  <c r="N3428" i="6"/>
  <c r="M3411" i="6"/>
  <c r="L3411" i="6"/>
  <c r="N3411" i="6"/>
  <c r="K3088" i="6"/>
  <c r="M3088" i="6"/>
  <c r="L3088" i="6"/>
  <c r="N3088" i="6"/>
  <c r="L3044" i="6"/>
  <c r="N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M4144" i="6"/>
  <c r="L4105" i="6"/>
  <c r="N4105" i="6"/>
  <c r="K4105" i="6"/>
  <c r="M4105" i="6"/>
  <c r="N3896" i="6"/>
  <c r="M3886" i="6"/>
  <c r="L3886" i="6"/>
  <c r="N3886" i="6"/>
  <c r="L3859" i="6"/>
  <c r="N3859" i="6"/>
  <c r="K3859" i="6"/>
  <c r="M3859" i="6"/>
  <c r="L3688" i="6"/>
  <c r="N3688" i="6"/>
  <c r="M3688" i="6"/>
  <c r="L3676" i="6"/>
  <c r="N3676" i="6"/>
  <c r="M3676" i="6"/>
  <c r="N3649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M3759" i="6"/>
  <c r="K3735" i="6"/>
  <c r="M3735" i="6"/>
  <c r="M3723" i="6"/>
  <c r="K3721" i="6"/>
  <c r="M3721" i="6"/>
  <c r="K3720" i="6"/>
  <c r="M3720" i="6"/>
  <c r="K3695" i="6"/>
  <c r="M3695" i="6"/>
  <c r="M3692" i="6"/>
  <c r="M3684" i="6"/>
  <c r="K3651" i="6"/>
  <c r="M3651" i="6"/>
  <c r="L3651" i="6"/>
  <c r="N3651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M3513" i="6"/>
  <c r="L3453" i="6"/>
  <c r="N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M4196" i="6"/>
  <c r="K4188" i="6"/>
  <c r="M4188" i="6"/>
  <c r="M4152" i="6"/>
  <c r="M412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M4017" i="6"/>
  <c r="L4010" i="6"/>
  <c r="N4010" i="6"/>
  <c r="K4009" i="6"/>
  <c r="M4009" i="6"/>
  <c r="M4000" i="6"/>
  <c r="M3992" i="6"/>
  <c r="K3984" i="6"/>
  <c r="M3984" i="6"/>
  <c r="M3957" i="6"/>
  <c r="M3920" i="6"/>
  <c r="M3917" i="6"/>
  <c r="K3860" i="6"/>
  <c r="M3860" i="6"/>
  <c r="N3767" i="6"/>
  <c r="K3763" i="6"/>
  <c r="M3763" i="6"/>
  <c r="M3717" i="6"/>
  <c r="L3656" i="6"/>
  <c r="N3656" i="6"/>
  <c r="M3656" i="6"/>
  <c r="K3635" i="6"/>
  <c r="M3635" i="6"/>
  <c r="L3635" i="6"/>
  <c r="N3635" i="6"/>
  <c r="L3616" i="6"/>
  <c r="N3616" i="6"/>
  <c r="K3616" i="6"/>
  <c r="M3616" i="6"/>
  <c r="L3575" i="6"/>
  <c r="N3575" i="6"/>
  <c r="M3575" i="6"/>
  <c r="K3549" i="6"/>
  <c r="M3549" i="6"/>
  <c r="L3549" i="6"/>
  <c r="N3549" i="6"/>
  <c r="K3495" i="6"/>
  <c r="M3495" i="6"/>
  <c r="L3495" i="6"/>
  <c r="N3495" i="6"/>
  <c r="L3489" i="6"/>
  <c r="N3489" i="6"/>
  <c r="M3489" i="6"/>
  <c r="L3419" i="6"/>
  <c r="N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M4149" i="6"/>
  <c r="K4140" i="6"/>
  <c r="M4140" i="6"/>
  <c r="K4137" i="6"/>
  <c r="M4137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M4056" i="6"/>
  <c r="L4045" i="6"/>
  <c r="N4045" i="6"/>
  <c r="L4034" i="6"/>
  <c r="N4034" i="6"/>
  <c r="M4030" i="6"/>
  <c r="L4026" i="6"/>
  <c r="N4026" i="6"/>
  <c r="K4002" i="6"/>
  <c r="M4002" i="6"/>
  <c r="L3998" i="6"/>
  <c r="N3998" i="6"/>
  <c r="K3994" i="6"/>
  <c r="M3994" i="6"/>
  <c r="L3990" i="6"/>
  <c r="N3990" i="6"/>
  <c r="M3986" i="6"/>
  <c r="L3982" i="6"/>
  <c r="N3982" i="6"/>
  <c r="K3973" i="6"/>
  <c r="M3973" i="6"/>
  <c r="K3965" i="6"/>
  <c r="M3965" i="6"/>
  <c r="M3958" i="6"/>
  <c r="M3944" i="6"/>
  <c r="N3931" i="6"/>
  <c r="M3918" i="6"/>
  <c r="K3910" i="6"/>
  <c r="M3910" i="6"/>
  <c r="M3906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M3659" i="6"/>
  <c r="L3659" i="6"/>
  <c r="N3659" i="6"/>
  <c r="L3640" i="6"/>
  <c r="N3640" i="6"/>
  <c r="M3640" i="6"/>
  <c r="L3619" i="6"/>
  <c r="N3619" i="6"/>
  <c r="K3619" i="6"/>
  <c r="M361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M3657" i="6"/>
  <c r="M3655" i="6"/>
  <c r="K3647" i="6"/>
  <c r="M3647" i="6"/>
  <c r="M3641" i="6"/>
  <c r="M3639" i="6"/>
  <c r="K3631" i="6"/>
  <c r="M3631" i="6"/>
  <c r="M3625" i="6"/>
  <c r="K3623" i="6"/>
  <c r="M3623" i="6"/>
  <c r="K3617" i="6"/>
  <c r="M3617" i="6"/>
  <c r="K3605" i="6"/>
  <c r="M3605" i="6"/>
  <c r="N3579" i="6"/>
  <c r="K3519" i="6"/>
  <c r="M3519" i="6"/>
  <c r="M3514" i="6"/>
  <c r="L3508" i="6"/>
  <c r="N3508" i="6"/>
  <c r="M3507" i="6"/>
  <c r="K3498" i="6"/>
  <c r="M3498" i="6"/>
  <c r="L3473" i="6"/>
  <c r="N3473" i="6"/>
  <c r="K3473" i="6"/>
  <c r="M3473" i="6"/>
  <c r="M3454" i="6"/>
  <c r="N3442" i="6"/>
  <c r="K3434" i="6"/>
  <c r="M3434" i="6"/>
  <c r="L3417" i="6"/>
  <c r="N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M3032" i="6"/>
  <c r="L3032" i="6"/>
  <c r="N3032" i="6"/>
  <c r="N3587" i="6"/>
  <c r="K3583" i="6"/>
  <c r="M3583" i="6"/>
  <c r="M3551" i="6"/>
  <c r="K3543" i="6"/>
  <c r="M3543" i="6"/>
  <c r="K3541" i="6"/>
  <c r="M3541" i="6"/>
  <c r="K3540" i="6"/>
  <c r="M3540" i="6"/>
  <c r="M3535" i="6"/>
  <c r="L3532" i="6"/>
  <c r="N3532" i="6"/>
  <c r="K3520" i="6"/>
  <c r="M3520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M3099" i="6"/>
  <c r="L3055" i="6"/>
  <c r="N3055" i="6"/>
  <c r="K3055" i="6"/>
  <c r="M3055" i="6"/>
  <c r="K3035" i="6"/>
  <c r="M3035" i="6"/>
  <c r="L3035" i="6"/>
  <c r="N3035" i="6"/>
  <c r="L3023" i="6"/>
  <c r="N3023" i="6"/>
  <c r="M3023" i="6"/>
  <c r="N3084" i="6"/>
  <c r="K3048" i="6"/>
  <c r="M3048" i="6"/>
  <c r="K3043" i="6"/>
  <c r="M3043" i="6"/>
  <c r="N3016" i="6"/>
  <c r="K3488" i="6"/>
  <c r="M3488" i="6"/>
  <c r="K3474" i="6"/>
  <c r="M3474" i="6"/>
  <c r="M3472" i="6"/>
  <c r="M3443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M3685" i="6"/>
  <c r="L3685" i="6"/>
  <c r="N3685" i="6"/>
  <c r="L3615" i="6"/>
  <c r="N3615" i="6"/>
  <c r="K3615" i="6"/>
  <c r="M3615" i="6"/>
  <c r="L3512" i="6"/>
  <c r="N3512" i="6"/>
  <c r="M3512" i="6"/>
  <c r="L3455" i="6"/>
  <c r="N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M3937" i="6"/>
  <c r="L3937" i="6"/>
  <c r="N3937" i="6"/>
  <c r="L3934" i="6"/>
  <c r="N3934" i="6"/>
  <c r="K3934" i="6"/>
  <c r="M3934" i="6"/>
  <c r="L3751" i="6"/>
  <c r="N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M4069" i="6"/>
  <c r="M3940" i="6"/>
  <c r="K3929" i="6"/>
  <c r="M3929" i="6"/>
  <c r="L3929" i="6"/>
  <c r="N3929" i="6"/>
  <c r="M3880" i="6"/>
  <c r="L3880" i="6"/>
  <c r="N3880" i="6"/>
  <c r="L3871" i="6"/>
  <c r="N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M4133" i="6"/>
  <c r="L4093" i="6"/>
  <c r="N4093" i="6"/>
  <c r="K4093" i="6"/>
  <c r="M4093" i="6"/>
  <c r="L4073" i="6"/>
  <c r="N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M4141" i="6"/>
  <c r="L4114" i="6"/>
  <c r="N4114" i="6"/>
  <c r="M4114" i="6"/>
  <c r="L4112" i="6"/>
  <c r="N4112" i="6"/>
  <c r="M4112" i="6"/>
  <c r="L4100" i="6"/>
  <c r="N4100" i="6"/>
  <c r="M4100" i="6"/>
  <c r="L4097" i="6"/>
  <c r="N4097" i="6"/>
  <c r="K4097" i="6"/>
  <c r="M4097" i="6"/>
  <c r="L4060" i="6"/>
  <c r="N4060" i="6"/>
  <c r="M4060" i="6"/>
  <c r="L4038" i="6"/>
  <c r="N4038" i="6"/>
  <c r="K4038" i="6"/>
  <c r="M4038" i="6"/>
  <c r="N4035" i="6"/>
  <c r="N4027" i="6"/>
  <c r="M3953" i="6"/>
  <c r="L3953" i="6"/>
  <c r="N3953" i="6"/>
  <c r="L3607" i="6"/>
  <c r="N3607" i="6"/>
  <c r="K3607" i="6"/>
  <c r="M3607" i="6"/>
  <c r="L3525" i="6"/>
  <c r="N3525" i="6"/>
  <c r="K3525" i="6"/>
  <c r="M3525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M3952" i="6"/>
  <c r="K3941" i="6"/>
  <c r="M3941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M4147" i="6"/>
  <c r="K4111" i="6"/>
  <c r="M4111" i="6"/>
  <c r="N4089" i="6"/>
  <c r="K4037" i="6"/>
  <c r="M4037" i="6"/>
  <c r="N4031" i="6"/>
  <c r="N4030" i="6"/>
  <c r="K4021" i="6"/>
  <c r="M4021" i="6"/>
  <c r="N4015" i="6"/>
  <c r="M4005" i="6"/>
  <c r="N3983" i="6"/>
  <c r="N3975" i="6"/>
  <c r="N3967" i="6"/>
  <c r="K3936" i="6"/>
  <c r="M3936" i="6"/>
  <c r="M3924" i="6"/>
  <c r="L3915" i="6"/>
  <c r="N3915" i="6"/>
  <c r="M3915" i="6"/>
  <c r="L3911" i="6"/>
  <c r="N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M3864" i="6"/>
  <c r="L3864" i="6"/>
  <c r="N3864" i="6"/>
  <c r="L3855" i="6"/>
  <c r="N3855" i="6"/>
  <c r="K3855" i="6"/>
  <c r="M3855" i="6"/>
  <c r="M3697" i="6"/>
  <c r="L3697" i="6"/>
  <c r="N3697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M3506" i="6"/>
  <c r="L3506" i="6"/>
  <c r="N3506" i="6"/>
  <c r="L3460" i="6"/>
  <c r="N3460" i="6"/>
  <c r="M3460" i="6"/>
  <c r="M3933" i="6"/>
  <c r="M3925" i="6"/>
  <c r="N3918" i="6"/>
  <c r="M3916" i="6"/>
  <c r="L3903" i="6"/>
  <c r="N3903" i="6"/>
  <c r="M3903" i="6"/>
  <c r="L3887" i="6"/>
  <c r="N3887" i="6"/>
  <c r="K3887" i="6"/>
  <c r="M3887" i="6"/>
  <c r="M3872" i="6"/>
  <c r="K3856" i="6"/>
  <c r="M3856" i="6"/>
  <c r="N3703" i="6"/>
  <c r="N3695" i="6"/>
  <c r="N3691" i="6"/>
  <c r="K3653" i="6"/>
  <c r="M3653" i="6"/>
  <c r="M3637" i="6"/>
  <c r="N3611" i="6"/>
  <c r="N3603" i="6"/>
  <c r="M3526" i="6"/>
  <c r="N345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M4195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M4134" i="6"/>
  <c r="K4130" i="6"/>
  <c r="M4130" i="6"/>
  <c r="L4127" i="6"/>
  <c r="N4127" i="6"/>
  <c r="N4126" i="6"/>
  <c r="M4119" i="6"/>
  <c r="M4118" i="6"/>
  <c r="L4115" i="6"/>
  <c r="N4115" i="6"/>
  <c r="M4033" i="6"/>
  <c r="M4029" i="6"/>
  <c r="K4025" i="6"/>
  <c r="M4025" i="6"/>
  <c r="K4020" i="6"/>
  <c r="M4020" i="6"/>
  <c r="L4017" i="6"/>
  <c r="N4017" i="6"/>
  <c r="M4016" i="6"/>
  <c r="L4013" i="6"/>
  <c r="N4013" i="6"/>
  <c r="M4012" i="6"/>
  <c r="L4009" i="6"/>
  <c r="N4009" i="6"/>
  <c r="N4007" i="6"/>
  <c r="M4001" i="6"/>
  <c r="K3997" i="6"/>
  <c r="M3997" i="6"/>
  <c r="M3993" i="6"/>
  <c r="K3989" i="6"/>
  <c r="M3989" i="6"/>
  <c r="K3985" i="6"/>
  <c r="M3985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M3921" i="6"/>
  <c r="L3899" i="6"/>
  <c r="N3899" i="6"/>
  <c r="K3899" i="6"/>
  <c r="M3899" i="6"/>
  <c r="L3883" i="6"/>
  <c r="N3883" i="6"/>
  <c r="M3883" i="6"/>
  <c r="L3876" i="6"/>
  <c r="N3876" i="6"/>
  <c r="L3874" i="6"/>
  <c r="N3874" i="6"/>
  <c r="K3868" i="6"/>
  <c r="M3868" i="6"/>
  <c r="M3867" i="6"/>
  <c r="L3860" i="6"/>
  <c r="N3860" i="6"/>
  <c r="L3858" i="6"/>
  <c r="N3858" i="6"/>
  <c r="M3852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M3719" i="6"/>
  <c r="K3711" i="6"/>
  <c r="M3711" i="6"/>
  <c r="M3665" i="6"/>
  <c r="N3665" i="6"/>
  <c r="K3664" i="6"/>
  <c r="M3664" i="6"/>
  <c r="L3657" i="6"/>
  <c r="N3657" i="6"/>
  <c r="N3655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M3600" i="6"/>
  <c r="M3597" i="6"/>
  <c r="K3596" i="6"/>
  <c r="M3596" i="6"/>
  <c r="K3593" i="6"/>
  <c r="M3593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M3457" i="6"/>
  <c r="K3442" i="6"/>
  <c r="M3442" i="6"/>
  <c r="K3441" i="6"/>
  <c r="M3441" i="6"/>
  <c r="K3439" i="6"/>
  <c r="M3439" i="6"/>
  <c r="N3436" i="6"/>
  <c r="N3432" i="6"/>
  <c r="K3430" i="6"/>
  <c r="M3430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M3486" i="6"/>
  <c r="K3485" i="6"/>
  <c r="M3485" i="6"/>
  <c r="K3470" i="6"/>
  <c r="M3470" i="6"/>
  <c r="K3469" i="6"/>
  <c r="M3469" i="6"/>
  <c r="L3466" i="6"/>
  <c r="N3466" i="6"/>
  <c r="K3462" i="6"/>
  <c r="M3462" i="6"/>
  <c r="M3461" i="6"/>
  <c r="L3454" i="6"/>
  <c r="N3454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M3892" i="6"/>
  <c r="M3888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M3669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M3581" i="6"/>
  <c r="K3580" i="6"/>
  <c r="M3580" i="6"/>
  <c r="M3577" i="6"/>
  <c r="K3576" i="6"/>
  <c r="M3576" i="6"/>
  <c r="K3573" i="6"/>
  <c r="M3573" i="6"/>
  <c r="K3572" i="6"/>
  <c r="M3572" i="6"/>
  <c r="M3569" i="6"/>
  <c r="K3568" i="6"/>
  <c r="M3568" i="6"/>
  <c r="M3565" i="6"/>
  <c r="K3564" i="6"/>
  <c r="M3564" i="6"/>
  <c r="K3561" i="6"/>
  <c r="M3561" i="6"/>
  <c r="K3560" i="6"/>
  <c r="M3560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M3112" i="6"/>
  <c r="K3109" i="6"/>
  <c r="M3109" i="6"/>
  <c r="K3108" i="6"/>
  <c r="M3108" i="6"/>
  <c r="K3105" i="6"/>
  <c r="M3105" i="6"/>
  <c r="K3104" i="6"/>
  <c r="M3104" i="6"/>
  <c r="K3101" i="6"/>
  <c r="M3101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M4070" i="6"/>
  <c r="L4070" i="6"/>
  <c r="N4070" i="6"/>
  <c r="N4063" i="6"/>
  <c r="K4054" i="6"/>
  <c r="M4054" i="6"/>
  <c r="L4054" i="6"/>
  <c r="N4054" i="6"/>
  <c r="N4047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M4079" i="6"/>
  <c r="M4075" i="6"/>
  <c r="M4071" i="6"/>
  <c r="M4067" i="6"/>
  <c r="K4063" i="6"/>
  <c r="M4063" i="6"/>
  <c r="K4059" i="6"/>
  <c r="M4059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M3999" i="6"/>
  <c r="L3996" i="6"/>
  <c r="N3996" i="6"/>
  <c r="K3995" i="6"/>
  <c r="M3995" i="6"/>
  <c r="L3992" i="6"/>
  <c r="N3992" i="6"/>
  <c r="M3991" i="6"/>
  <c r="L3988" i="6"/>
  <c r="N3988" i="6"/>
  <c r="K3987" i="6"/>
  <c r="M3987" i="6"/>
  <c r="L3984" i="6"/>
  <c r="N3984" i="6"/>
  <c r="K3983" i="6"/>
  <c r="M3983" i="6"/>
  <c r="L3980" i="6"/>
  <c r="N3980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M3955" i="6"/>
  <c r="L3952" i="6"/>
  <c r="N3952" i="6"/>
  <c r="M3951" i="6"/>
  <c r="L3948" i="6"/>
  <c r="N3948" i="6"/>
  <c r="K3947" i="6"/>
  <c r="M3947" i="6"/>
  <c r="L3944" i="6"/>
  <c r="N3944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100" i="6"/>
  <c r="M100" i="6" s="1"/>
  <c r="K101" i="6"/>
  <c r="M101" i="6" s="1"/>
  <c r="K112" i="6"/>
  <c r="M112" i="6" s="1"/>
  <c r="K128" i="6"/>
  <c r="M128" i="6" s="1"/>
  <c r="K144" i="6"/>
  <c r="M144" i="6" s="1"/>
  <c r="K159" i="6"/>
  <c r="K172" i="6"/>
  <c r="M172" i="6" s="1"/>
  <c r="K188" i="6"/>
  <c r="K204" i="6"/>
  <c r="M204" i="6" s="1"/>
  <c r="M217" i="6"/>
  <c r="K220" i="6"/>
  <c r="M220" i="6" s="1"/>
  <c r="M229" i="6"/>
  <c r="M233" i="6"/>
  <c r="K236" i="6"/>
  <c r="M236" i="6" s="1"/>
  <c r="M245" i="6"/>
  <c r="M249" i="6"/>
  <c r="K252" i="6"/>
  <c r="M252" i="6" s="1"/>
  <c r="M261" i="6"/>
  <c r="M265" i="6"/>
  <c r="K268" i="6"/>
  <c r="M268" i="6" s="1"/>
  <c r="M275" i="6"/>
  <c r="K276" i="6"/>
  <c r="M276" i="6"/>
  <c r="M277" i="6"/>
  <c r="M278" i="6"/>
  <c r="M279" i="6"/>
  <c r="K280" i="6"/>
  <c r="M280" i="6"/>
  <c r="M281" i="6"/>
  <c r="M282" i="6"/>
  <c r="M283" i="6"/>
  <c r="K284" i="6"/>
  <c r="M284" i="6"/>
  <c r="M285" i="6"/>
  <c r="M286" i="6"/>
  <c r="M287" i="6"/>
  <c r="K288" i="6"/>
  <c r="M288" i="6"/>
  <c r="M289" i="6"/>
  <c r="M290" i="6"/>
  <c r="M291" i="6"/>
  <c r="K292" i="6"/>
  <c r="M292" i="6"/>
  <c r="M293" i="6"/>
  <c r="M294" i="6"/>
  <c r="M295" i="6"/>
  <c r="K296" i="6"/>
  <c r="M296" i="6"/>
  <c r="M297" i="6"/>
  <c r="M298" i="6"/>
  <c r="M299" i="6"/>
  <c r="K300" i="6"/>
  <c r="M300" i="6"/>
  <c r="M301" i="6"/>
  <c r="M302" i="6"/>
  <c r="M303" i="6"/>
  <c r="K304" i="6"/>
  <c r="M304" i="6"/>
  <c r="M305" i="6"/>
  <c r="M306" i="6"/>
  <c r="M307" i="6"/>
  <c r="K308" i="6"/>
  <c r="M308" i="6"/>
  <c r="M309" i="6"/>
  <c r="M310" i="6"/>
  <c r="M311" i="6"/>
  <c r="K312" i="6"/>
  <c r="M312" i="6"/>
  <c r="M313" i="6"/>
  <c r="M314" i="6"/>
  <c r="M315" i="6"/>
  <c r="K316" i="6"/>
  <c r="M316" i="6"/>
  <c r="M317" i="6"/>
  <c r="M318" i="6"/>
  <c r="M319" i="6"/>
  <c r="K320" i="6"/>
  <c r="M320" i="6"/>
  <c r="M321" i="6"/>
  <c r="M322" i="6"/>
  <c r="M323" i="6"/>
  <c r="K324" i="6"/>
  <c r="M324" i="6"/>
  <c r="M325" i="6"/>
  <c r="M326" i="6"/>
  <c r="M327" i="6"/>
  <c r="K328" i="6"/>
  <c r="M328" i="6"/>
  <c r="M329" i="6"/>
  <c r="M330" i="6"/>
  <c r="M331" i="6"/>
  <c r="K332" i="6"/>
  <c r="M332" i="6"/>
  <c r="M333" i="6"/>
  <c r="M334" i="6"/>
  <c r="M335" i="6"/>
  <c r="K336" i="6"/>
  <c r="M336" i="6"/>
  <c r="M337" i="6"/>
  <c r="M338" i="6"/>
  <c r="M339" i="6"/>
  <c r="K340" i="6"/>
  <c r="M340" i="6"/>
  <c r="M341" i="6"/>
  <c r="M342" i="6"/>
  <c r="M343" i="6"/>
  <c r="K344" i="6"/>
  <c r="M344" i="6"/>
  <c r="M345" i="6"/>
  <c r="M346" i="6"/>
  <c r="M347" i="6"/>
  <c r="K348" i="6"/>
  <c r="M348" i="6"/>
  <c r="M349" i="6"/>
  <c r="M350" i="6"/>
  <c r="M351" i="6"/>
  <c r="K352" i="6"/>
  <c r="M352" i="6"/>
  <c r="M353" i="6"/>
  <c r="M354" i="6"/>
  <c r="M355" i="6"/>
  <c r="K356" i="6"/>
  <c r="M356" i="6"/>
  <c r="M357" i="6"/>
  <c r="M358" i="6"/>
  <c r="M359" i="6"/>
  <c r="K360" i="6"/>
  <c r="M360" i="6"/>
  <c r="M361" i="6"/>
  <c r="M362" i="6"/>
  <c r="M363" i="6"/>
  <c r="K364" i="6"/>
  <c r="M364" i="6"/>
  <c r="M365" i="6"/>
  <c r="M366" i="6"/>
  <c r="M367" i="6"/>
  <c r="K368" i="6"/>
  <c r="M368" i="6"/>
  <c r="M369" i="6"/>
  <c r="M370" i="6"/>
  <c r="M371" i="6"/>
  <c r="K372" i="6"/>
  <c r="M372" i="6"/>
  <c r="M373" i="6"/>
  <c r="M374" i="6"/>
  <c r="M375" i="6"/>
  <c r="K376" i="6"/>
  <c r="M376" i="6"/>
  <c r="M377" i="6"/>
  <c r="M378" i="6"/>
  <c r="M379" i="6"/>
  <c r="K380" i="6"/>
  <c r="M380" i="6"/>
  <c r="M381" i="6"/>
  <c r="M382" i="6"/>
  <c r="M383" i="6"/>
  <c r="K384" i="6"/>
  <c r="M384" i="6"/>
  <c r="M385" i="6"/>
  <c r="M386" i="6"/>
  <c r="M387" i="6"/>
  <c r="K388" i="6"/>
  <c r="M388" i="6"/>
  <c r="M389" i="6"/>
  <c r="M390" i="6"/>
  <c r="M391" i="6"/>
  <c r="K392" i="6"/>
  <c r="M392" i="6"/>
  <c r="M393" i="6"/>
  <c r="M394" i="6"/>
  <c r="M395" i="6"/>
  <c r="K396" i="6"/>
  <c r="M396" i="6"/>
  <c r="M397" i="6"/>
  <c r="M398" i="6"/>
  <c r="M399" i="6"/>
  <c r="K400" i="6"/>
  <c r="M400" i="6"/>
  <c r="M401" i="6"/>
  <c r="M402" i="6"/>
  <c r="M403" i="6"/>
  <c r="K404" i="6"/>
  <c r="M404" i="6"/>
  <c r="M405" i="6"/>
  <c r="M406" i="6"/>
  <c r="M407" i="6"/>
  <c r="K408" i="6"/>
  <c r="M408" i="6"/>
  <c r="M409" i="6"/>
  <c r="M410" i="6"/>
  <c r="M411" i="6"/>
  <c r="K412" i="6"/>
  <c r="M412" i="6"/>
  <c r="M413" i="6"/>
  <c r="M414" i="6"/>
  <c r="M415" i="6"/>
  <c r="K416" i="6"/>
  <c r="M416" i="6"/>
  <c r="M417" i="6"/>
  <c r="M418" i="6"/>
  <c r="M419" i="6"/>
  <c r="K420" i="6"/>
  <c r="M420" i="6"/>
  <c r="M421" i="6"/>
  <c r="M422" i="6"/>
  <c r="M423" i="6"/>
  <c r="K424" i="6"/>
  <c r="M424" i="6"/>
  <c r="M425" i="6"/>
  <c r="M426" i="6"/>
  <c r="M427" i="6"/>
  <c r="K428" i="6"/>
  <c r="M428" i="6"/>
  <c r="M429" i="6"/>
  <c r="M430" i="6"/>
  <c r="M431" i="6"/>
  <c r="K432" i="6"/>
  <c r="M432" i="6"/>
  <c r="M433" i="6"/>
  <c r="M434" i="6"/>
  <c r="M435" i="6"/>
  <c r="K436" i="6"/>
  <c r="M436" i="6"/>
  <c r="M437" i="6"/>
  <c r="M438" i="6"/>
  <c r="M439" i="6"/>
  <c r="K440" i="6"/>
  <c r="M440" i="6"/>
  <c r="M441" i="6"/>
  <c r="M442" i="6"/>
  <c r="M443" i="6"/>
  <c r="K444" i="6"/>
  <c r="M444" i="6"/>
  <c r="M445" i="6"/>
  <c r="M446" i="6"/>
  <c r="M447" i="6"/>
  <c r="K448" i="6"/>
  <c r="M448" i="6"/>
  <c r="M449" i="6"/>
  <c r="M450" i="6"/>
  <c r="M451" i="6"/>
  <c r="K452" i="6"/>
  <c r="M452" i="6"/>
  <c r="M453" i="6"/>
  <c r="M454" i="6"/>
  <c r="M455" i="6"/>
  <c r="K456" i="6"/>
  <c r="M456" i="6"/>
  <c r="M457" i="6"/>
  <c r="M458" i="6"/>
  <c r="M459" i="6"/>
  <c r="K460" i="6"/>
  <c r="M460" i="6"/>
  <c r="M461" i="6"/>
  <c r="M462" i="6"/>
  <c r="M463" i="6"/>
  <c r="K464" i="6"/>
  <c r="M464" i="6"/>
  <c r="M465" i="6"/>
  <c r="M466" i="6"/>
  <c r="M467" i="6"/>
  <c r="K468" i="6"/>
  <c r="M468" i="6"/>
  <c r="K469" i="6"/>
  <c r="M469" i="6"/>
  <c r="M470" i="6"/>
  <c r="M471" i="6"/>
  <c r="K472" i="6"/>
  <c r="M472" i="6"/>
  <c r="M473" i="6"/>
  <c r="M474" i="6"/>
  <c r="M475" i="6"/>
  <c r="K476" i="6"/>
  <c r="M476" i="6"/>
  <c r="M477" i="6"/>
  <c r="M478" i="6"/>
  <c r="M479" i="6"/>
  <c r="K480" i="6"/>
  <c r="M480" i="6"/>
  <c r="M481" i="6"/>
  <c r="M482" i="6"/>
  <c r="M483" i="6"/>
  <c r="K484" i="6"/>
  <c r="M484" i="6"/>
  <c r="M485" i="6"/>
  <c r="M486" i="6"/>
  <c r="M487" i="6"/>
  <c r="K488" i="6"/>
  <c r="M488" i="6"/>
  <c r="M489" i="6"/>
  <c r="M490" i="6"/>
  <c r="M491" i="6"/>
  <c r="K492" i="6"/>
  <c r="M492" i="6"/>
  <c r="M493" i="6"/>
  <c r="M494" i="6"/>
  <c r="M495" i="6"/>
  <c r="K496" i="6"/>
  <c r="M496" i="6"/>
  <c r="M497" i="6"/>
  <c r="M498" i="6"/>
  <c r="M499" i="6"/>
  <c r="K500" i="6"/>
  <c r="M500" i="6"/>
  <c r="M501" i="6"/>
  <c r="M502" i="6"/>
  <c r="M503" i="6"/>
  <c r="K504" i="6"/>
  <c r="M504" i="6"/>
  <c r="M505" i="6"/>
  <c r="M506" i="6"/>
  <c r="M507" i="6"/>
  <c r="K508" i="6"/>
  <c r="M508" i="6"/>
  <c r="M509" i="6"/>
  <c r="M510" i="6"/>
  <c r="M511" i="6"/>
  <c r="K512" i="6"/>
  <c r="M512" i="6"/>
  <c r="M513" i="6"/>
  <c r="M514" i="6"/>
  <c r="M515" i="6"/>
  <c r="K516" i="6"/>
  <c r="M516" i="6"/>
  <c r="M517" i="6"/>
  <c r="M518" i="6"/>
  <c r="M519" i="6"/>
  <c r="K520" i="6"/>
  <c r="M520" i="6"/>
  <c r="M521" i="6"/>
  <c r="M522" i="6"/>
  <c r="M523" i="6"/>
  <c r="K524" i="6"/>
  <c r="M524" i="6"/>
  <c r="M525" i="6"/>
  <c r="M526" i="6"/>
  <c r="M527" i="6"/>
  <c r="K528" i="6"/>
  <c r="M528" i="6"/>
  <c r="M529" i="6"/>
  <c r="M530" i="6"/>
  <c r="M531" i="6"/>
  <c r="K532" i="6"/>
  <c r="M532" i="6"/>
  <c r="M533" i="6"/>
  <c r="M534" i="6"/>
  <c r="M535" i="6"/>
  <c r="K536" i="6"/>
  <c r="M536" i="6"/>
  <c r="M537" i="6"/>
  <c r="M538" i="6"/>
  <c r="M539" i="6"/>
  <c r="K540" i="6"/>
  <c r="M540" i="6"/>
  <c r="M541" i="6"/>
  <c r="M542" i="6"/>
  <c r="M543" i="6"/>
  <c r="K544" i="6"/>
  <c r="M544" i="6"/>
  <c r="M545" i="6"/>
  <c r="M546" i="6"/>
  <c r="M547" i="6"/>
  <c r="K548" i="6"/>
  <c r="M548" i="6"/>
  <c r="M549" i="6"/>
  <c r="M550" i="6"/>
  <c r="M551" i="6"/>
  <c r="K552" i="6"/>
  <c r="M552" i="6"/>
  <c r="K553" i="6"/>
  <c r="M553" i="6"/>
  <c r="M554" i="6"/>
  <c r="M555" i="6"/>
  <c r="K556" i="6"/>
  <c r="M556" i="6"/>
  <c r="M557" i="6"/>
  <c r="M558" i="6"/>
  <c r="M559" i="6"/>
  <c r="K560" i="6"/>
  <c r="M560" i="6"/>
  <c r="M561" i="6"/>
  <c r="M562" i="6"/>
  <c r="M563" i="6"/>
  <c r="K564" i="6"/>
  <c r="M564" i="6"/>
  <c r="M565" i="6"/>
  <c r="M566" i="6"/>
  <c r="M567" i="6"/>
  <c r="K568" i="6"/>
  <c r="M568" i="6"/>
  <c r="M569" i="6"/>
  <c r="M570" i="6"/>
  <c r="M571" i="6"/>
  <c r="K572" i="6"/>
  <c r="M572" i="6"/>
  <c r="M573" i="6"/>
  <c r="M574" i="6"/>
  <c r="M575" i="6"/>
  <c r="K576" i="6"/>
  <c r="M576" i="6"/>
  <c r="M577" i="6"/>
  <c r="M578" i="6"/>
  <c r="M579" i="6"/>
  <c r="K580" i="6"/>
  <c r="M580" i="6"/>
  <c r="M581" i="6"/>
  <c r="M582" i="6"/>
  <c r="M583" i="6"/>
  <c r="K584" i="6"/>
  <c r="M584" i="6"/>
  <c r="M585" i="6"/>
  <c r="M586" i="6"/>
  <c r="M587" i="6"/>
  <c r="K588" i="6"/>
  <c r="M588" i="6"/>
  <c r="M589" i="6"/>
  <c r="M590" i="6"/>
  <c r="M591" i="6"/>
  <c r="K592" i="6"/>
  <c r="M592" i="6"/>
  <c r="M593" i="6"/>
  <c r="M594" i="6"/>
  <c r="M595" i="6"/>
  <c r="K596" i="6"/>
  <c r="M596" i="6"/>
  <c r="M597" i="6"/>
  <c r="M598" i="6"/>
  <c r="M599" i="6"/>
  <c r="K600" i="6"/>
  <c r="M600" i="6"/>
  <c r="M601" i="6"/>
  <c r="M602" i="6"/>
  <c r="M603" i="6"/>
  <c r="K604" i="6"/>
  <c r="M604" i="6"/>
  <c r="M605" i="6"/>
  <c r="M606" i="6"/>
  <c r="M607" i="6"/>
  <c r="K608" i="6"/>
  <c r="M608" i="6"/>
  <c r="M609" i="6"/>
  <c r="M610" i="6"/>
  <c r="M611" i="6"/>
  <c r="K612" i="6"/>
  <c r="M612" i="6"/>
  <c r="M613" i="6"/>
  <c r="M614" i="6"/>
  <c r="M615" i="6"/>
  <c r="K616" i="6"/>
  <c r="M616" i="6"/>
  <c r="M617" i="6"/>
  <c r="M618" i="6"/>
  <c r="M619" i="6"/>
  <c r="K620" i="6"/>
  <c r="M620" i="6"/>
  <c r="M621" i="6"/>
  <c r="M622" i="6"/>
  <c r="M623" i="6"/>
  <c r="K624" i="6"/>
  <c r="M624" i="6"/>
  <c r="M625" i="6"/>
  <c r="M626" i="6"/>
  <c r="M627" i="6"/>
  <c r="K628" i="6"/>
  <c r="M628" i="6"/>
  <c r="M629" i="6"/>
  <c r="M630" i="6"/>
  <c r="M631" i="6"/>
  <c r="K632" i="6"/>
  <c r="M632" i="6"/>
  <c r="M633" i="6"/>
  <c r="M634" i="6"/>
  <c r="M635" i="6"/>
  <c r="K636" i="6"/>
  <c r="M636" i="6"/>
  <c r="M637" i="6"/>
  <c r="M638" i="6"/>
  <c r="M639" i="6"/>
  <c r="K640" i="6"/>
  <c r="M640" i="6"/>
  <c r="M641" i="6"/>
  <c r="M642" i="6"/>
  <c r="M643" i="6"/>
  <c r="K644" i="6"/>
  <c r="M644" i="6"/>
  <c r="M645" i="6"/>
  <c r="M646" i="6"/>
  <c r="M647" i="6"/>
  <c r="K648" i="6"/>
  <c r="M648" i="6"/>
  <c r="M649" i="6"/>
  <c r="M650" i="6"/>
  <c r="M651" i="6"/>
  <c r="K652" i="6"/>
  <c r="M652" i="6"/>
  <c r="M653" i="6"/>
  <c r="M654" i="6"/>
  <c r="M655" i="6"/>
  <c r="K656" i="6"/>
  <c r="M656" i="6"/>
  <c r="M657" i="6"/>
  <c r="M658" i="6"/>
  <c r="M659" i="6"/>
  <c r="K660" i="6"/>
  <c r="M660" i="6"/>
  <c r="M661" i="6"/>
  <c r="M662" i="6"/>
  <c r="M663" i="6"/>
  <c r="K664" i="6"/>
  <c r="M664" i="6"/>
  <c r="M665" i="6"/>
  <c r="M666" i="6"/>
  <c r="M667" i="6"/>
  <c r="K668" i="6"/>
  <c r="M668" i="6"/>
  <c r="M669" i="6"/>
  <c r="M670" i="6"/>
  <c r="M671" i="6"/>
  <c r="K672" i="6"/>
  <c r="M672" i="6"/>
  <c r="M673" i="6"/>
  <c r="M674" i="6"/>
  <c r="M675" i="6"/>
  <c r="K676" i="6"/>
  <c r="M676" i="6"/>
  <c r="M677" i="6"/>
  <c r="M678" i="6"/>
  <c r="M679" i="6"/>
  <c r="K680" i="6"/>
  <c r="M680" i="6"/>
  <c r="M681" i="6"/>
  <c r="M682" i="6"/>
  <c r="M683" i="6"/>
  <c r="K684" i="6"/>
  <c r="M684" i="6"/>
  <c r="M685" i="6"/>
  <c r="M686" i="6"/>
  <c r="M687" i="6"/>
  <c r="K688" i="6"/>
  <c r="M688" i="6"/>
  <c r="M689" i="6"/>
  <c r="M690" i="6"/>
  <c r="M691" i="6"/>
  <c r="K692" i="6"/>
  <c r="M692" i="6"/>
  <c r="M693" i="6"/>
  <c r="M694" i="6"/>
  <c r="M695" i="6"/>
  <c r="K696" i="6"/>
  <c r="M696" i="6"/>
  <c r="M697" i="6"/>
  <c r="M698" i="6"/>
  <c r="M699" i="6"/>
  <c r="K700" i="6"/>
  <c r="M700" i="6"/>
  <c r="M701" i="6"/>
  <c r="M702" i="6"/>
  <c r="M703" i="6"/>
  <c r="K704" i="6"/>
  <c r="M704" i="6"/>
  <c r="M705" i="6"/>
  <c r="M706" i="6"/>
  <c r="K707" i="6"/>
  <c r="M707" i="6"/>
  <c r="K708" i="6"/>
  <c r="M708" i="6"/>
  <c r="M709" i="6"/>
  <c r="M710" i="6"/>
  <c r="M711" i="6"/>
  <c r="K712" i="6"/>
  <c r="M712" i="6"/>
  <c r="M713" i="6"/>
  <c r="M714" i="6"/>
  <c r="M715" i="6"/>
  <c r="K716" i="6"/>
  <c r="M716" i="6"/>
  <c r="M717" i="6"/>
  <c r="M718" i="6"/>
  <c r="M719" i="6"/>
  <c r="K720" i="6"/>
  <c r="M720" i="6"/>
  <c r="M721" i="6"/>
  <c r="M722" i="6"/>
  <c r="M723" i="6"/>
  <c r="K724" i="6"/>
  <c r="M724" i="6"/>
  <c r="M725" i="6"/>
  <c r="M726" i="6"/>
  <c r="M727" i="6"/>
  <c r="K728" i="6"/>
  <c r="M728" i="6"/>
  <c r="M729" i="6"/>
  <c r="M730" i="6"/>
  <c r="M731" i="6"/>
  <c r="K732" i="6"/>
  <c r="M732" i="6"/>
  <c r="M733" i="6"/>
  <c r="M734" i="6"/>
  <c r="M735" i="6"/>
  <c r="K736" i="6"/>
  <c r="M736" i="6"/>
  <c r="M737" i="6"/>
  <c r="M738" i="6"/>
  <c r="M739" i="6"/>
  <c r="K740" i="6"/>
  <c r="M740" i="6"/>
  <c r="M741" i="6"/>
  <c r="M742" i="6"/>
  <c r="M743" i="6"/>
  <c r="K744" i="6"/>
  <c r="M744" i="6"/>
  <c r="M745" i="6"/>
  <c r="M746" i="6"/>
  <c r="M747" i="6"/>
  <c r="K748" i="6"/>
  <c r="M748" i="6"/>
  <c r="M749" i="6"/>
  <c r="M750" i="6"/>
  <c r="M751" i="6"/>
  <c r="K752" i="6"/>
  <c r="M752" i="6"/>
  <c r="M753" i="6"/>
  <c r="M754" i="6"/>
  <c r="M755" i="6"/>
  <c r="K756" i="6"/>
  <c r="M756" i="6"/>
  <c r="M757" i="6"/>
  <c r="M758" i="6"/>
  <c r="M759" i="6"/>
  <c r="K760" i="6"/>
  <c r="M760" i="6"/>
  <c r="M761" i="6"/>
  <c r="M762" i="6"/>
  <c r="M763" i="6"/>
  <c r="K764" i="6"/>
  <c r="M764" i="6"/>
  <c r="M765" i="6"/>
  <c r="M766" i="6"/>
  <c r="M767" i="6"/>
  <c r="K768" i="6"/>
  <c r="M768" i="6"/>
  <c r="M769" i="6"/>
  <c r="M770" i="6"/>
  <c r="M771" i="6"/>
  <c r="K772" i="6"/>
  <c r="M772" i="6"/>
  <c r="M773" i="6"/>
  <c r="M774" i="6"/>
  <c r="M775" i="6"/>
  <c r="K776" i="6"/>
  <c r="M776" i="6"/>
  <c r="M777" i="6"/>
  <c r="M778" i="6"/>
  <c r="M779" i="6"/>
  <c r="K780" i="6"/>
  <c r="M780" i="6"/>
  <c r="M781" i="6"/>
  <c r="M782" i="6"/>
  <c r="M783" i="6"/>
  <c r="K784" i="6"/>
  <c r="M784" i="6"/>
  <c r="M785" i="6"/>
  <c r="M786" i="6"/>
  <c r="M787" i="6"/>
  <c r="K788" i="6"/>
  <c r="M788" i="6"/>
  <c r="M789" i="6"/>
  <c r="M790" i="6"/>
  <c r="M791" i="6"/>
  <c r="K792" i="6"/>
  <c r="M792" i="6"/>
  <c r="M793" i="6"/>
  <c r="M794" i="6"/>
  <c r="M795" i="6"/>
  <c r="K796" i="6"/>
  <c r="M796" i="6"/>
  <c r="M797" i="6"/>
  <c r="M798" i="6"/>
  <c r="M799" i="6"/>
  <c r="K800" i="6"/>
  <c r="M800" i="6"/>
  <c r="M801" i="6"/>
  <c r="M802" i="6"/>
  <c r="M803" i="6"/>
  <c r="K804" i="6"/>
  <c r="M804" i="6"/>
  <c r="M805" i="6"/>
  <c r="M806" i="6"/>
  <c r="M807" i="6"/>
  <c r="K808" i="6"/>
  <c r="M808" i="6"/>
  <c r="M809" i="6"/>
  <c r="M810" i="6"/>
  <c r="M811" i="6"/>
  <c r="K812" i="6"/>
  <c r="M812" i="6"/>
  <c r="M813" i="6"/>
  <c r="M814" i="6"/>
  <c r="M815" i="6"/>
  <c r="K816" i="6"/>
  <c r="M816" i="6"/>
  <c r="M817" i="6"/>
  <c r="M818" i="6"/>
  <c r="M819" i="6"/>
  <c r="K820" i="6"/>
  <c r="M820" i="6"/>
  <c r="M821" i="6"/>
  <c r="M822" i="6"/>
  <c r="M823" i="6"/>
  <c r="K824" i="6"/>
  <c r="M824" i="6"/>
  <c r="M825" i="6"/>
  <c r="M826" i="6"/>
  <c r="M827" i="6"/>
  <c r="K828" i="6"/>
  <c r="M828" i="6"/>
  <c r="M829" i="6"/>
  <c r="M830" i="6"/>
  <c r="M831" i="6"/>
  <c r="K832" i="6"/>
  <c r="M832" i="6"/>
  <c r="M833" i="6"/>
  <c r="M834" i="6"/>
  <c r="M835" i="6"/>
  <c r="K836" i="6"/>
  <c r="M836" i="6"/>
  <c r="M837" i="6"/>
  <c r="M838" i="6"/>
  <c r="M839" i="6"/>
  <c r="K840" i="6"/>
  <c r="M840" i="6"/>
  <c r="M841" i="6"/>
  <c r="M842" i="6"/>
  <c r="M843" i="6"/>
  <c r="K844" i="6"/>
  <c r="M844" i="6"/>
  <c r="M845" i="6"/>
  <c r="M846" i="6"/>
  <c r="M847" i="6"/>
  <c r="K848" i="6"/>
  <c r="M848" i="6"/>
  <c r="M849" i="6"/>
  <c r="M850" i="6"/>
  <c r="M851" i="6"/>
  <c r="K852" i="6"/>
  <c r="M852" i="6"/>
  <c r="M853" i="6"/>
  <c r="M854" i="6"/>
  <c r="M855" i="6"/>
  <c r="K856" i="6"/>
  <c r="M856" i="6"/>
  <c r="M857" i="6"/>
  <c r="M858" i="6"/>
  <c r="M859" i="6"/>
  <c r="K860" i="6"/>
  <c r="M860" i="6"/>
  <c r="M861" i="6"/>
  <c r="M862" i="6"/>
  <c r="M863" i="6"/>
  <c r="K864" i="6"/>
  <c r="M864" i="6"/>
  <c r="M865" i="6"/>
  <c r="M866" i="6"/>
  <c r="M867" i="6"/>
  <c r="K868" i="6"/>
  <c r="M868" i="6"/>
  <c r="M869" i="6"/>
  <c r="M870" i="6"/>
  <c r="M871" i="6"/>
  <c r="K872" i="6"/>
  <c r="M872" i="6"/>
  <c r="M873" i="6"/>
  <c r="M874" i="6"/>
  <c r="M875" i="6"/>
  <c r="K876" i="6"/>
  <c r="M876" i="6"/>
  <c r="M877" i="6"/>
  <c r="M878" i="6"/>
  <c r="M879" i="6"/>
  <c r="K880" i="6"/>
  <c r="M880" i="6"/>
  <c r="M881" i="6"/>
  <c r="M882" i="6"/>
  <c r="M883" i="6"/>
  <c r="K884" i="6"/>
  <c r="M884" i="6"/>
  <c r="M885" i="6"/>
  <c r="M886" i="6"/>
  <c r="M887" i="6"/>
  <c r="K888" i="6"/>
  <c r="M888" i="6"/>
  <c r="M889" i="6"/>
  <c r="M890" i="6"/>
  <c r="M891" i="6"/>
  <c r="K892" i="6"/>
  <c r="M892" i="6"/>
  <c r="M893" i="6"/>
  <c r="M894" i="6"/>
  <c r="M895" i="6"/>
  <c r="K896" i="6"/>
  <c r="M896" i="6"/>
  <c r="M897" i="6"/>
  <c r="M898" i="6"/>
  <c r="M899" i="6"/>
  <c r="K900" i="6"/>
  <c r="M900" i="6"/>
  <c r="M901" i="6"/>
  <c r="M902" i="6"/>
  <c r="M903" i="6"/>
  <c r="K904" i="6"/>
  <c r="M904" i="6"/>
  <c r="M905" i="6"/>
  <c r="M906" i="6"/>
  <c r="M907" i="6"/>
  <c r="K908" i="6"/>
  <c r="M908" i="6"/>
  <c r="M909" i="6"/>
  <c r="M910" i="6"/>
  <c r="M911" i="6"/>
  <c r="K912" i="6"/>
  <c r="M912" i="6"/>
  <c r="M913" i="6"/>
  <c r="M914" i="6"/>
  <c r="M915" i="6"/>
  <c r="K916" i="6"/>
  <c r="M916" i="6"/>
  <c r="M917" i="6"/>
  <c r="M918" i="6"/>
  <c r="M919" i="6"/>
  <c r="K920" i="6"/>
  <c r="M920" i="6"/>
  <c r="M921" i="6"/>
  <c r="M922" i="6"/>
  <c r="M923" i="6"/>
  <c r="K924" i="6"/>
  <c r="M924" i="6"/>
  <c r="M925" i="6"/>
  <c r="M926" i="6"/>
  <c r="M927" i="6"/>
  <c r="K928" i="6"/>
  <c r="M928" i="6"/>
  <c r="M929" i="6"/>
  <c r="M930" i="6"/>
  <c r="M931" i="6"/>
  <c r="K932" i="6"/>
  <c r="M932" i="6"/>
  <c r="M933" i="6"/>
  <c r="M934" i="6"/>
  <c r="M935" i="6"/>
  <c r="K936" i="6"/>
  <c r="M936" i="6"/>
  <c r="M937" i="6"/>
  <c r="M938" i="6"/>
  <c r="M939" i="6"/>
  <c r="K940" i="6"/>
  <c r="M940" i="6"/>
  <c r="M941" i="6"/>
  <c r="M942" i="6"/>
  <c r="M943" i="6"/>
  <c r="K944" i="6"/>
  <c r="M944" i="6"/>
  <c r="M945" i="6"/>
  <c r="M946" i="6"/>
  <c r="M947" i="6"/>
  <c r="K948" i="6"/>
  <c r="M948" i="6"/>
  <c r="M949" i="6"/>
  <c r="M950" i="6"/>
  <c r="M951" i="6"/>
  <c r="K952" i="6"/>
  <c r="M952" i="6"/>
  <c r="M953" i="6"/>
  <c r="M954" i="6"/>
  <c r="M955" i="6"/>
  <c r="K956" i="6"/>
  <c r="M956" i="6"/>
  <c r="M957" i="6"/>
  <c r="M958" i="6"/>
  <c r="M959" i="6"/>
  <c r="K960" i="6"/>
  <c r="M960" i="6"/>
  <c r="M961" i="6"/>
  <c r="M962" i="6"/>
  <c r="M963" i="6"/>
  <c r="K964" i="6"/>
  <c r="M964" i="6"/>
  <c r="M965" i="6"/>
  <c r="M966" i="6"/>
  <c r="M967" i="6"/>
  <c r="K968" i="6"/>
  <c r="M968" i="6"/>
  <c r="M969" i="6"/>
  <c r="M970" i="6"/>
  <c r="M971" i="6"/>
  <c r="K972" i="6"/>
  <c r="M972" i="6"/>
  <c r="M973" i="6"/>
  <c r="M974" i="6"/>
  <c r="M975" i="6"/>
  <c r="K976" i="6"/>
  <c r="M976" i="6"/>
  <c r="M977" i="6"/>
  <c r="M978" i="6"/>
  <c r="M979" i="6"/>
  <c r="K980" i="6"/>
  <c r="M980" i="6"/>
  <c r="M981" i="6"/>
  <c r="M982" i="6"/>
  <c r="M983" i="6"/>
  <c r="K984" i="6"/>
  <c r="M984" i="6"/>
  <c r="M985" i="6"/>
  <c r="M986" i="6"/>
  <c r="M987" i="6"/>
  <c r="K988" i="6"/>
  <c r="M988" i="6"/>
  <c r="M989" i="6"/>
  <c r="M990" i="6"/>
  <c r="M991" i="6"/>
  <c r="K992" i="6"/>
  <c r="M992" i="6"/>
  <c r="M993" i="6"/>
  <c r="M994" i="6"/>
  <c r="M995" i="6"/>
  <c r="K996" i="6"/>
  <c r="M996" i="6"/>
  <c r="M997" i="6"/>
  <c r="M998" i="6"/>
  <c r="M999" i="6"/>
  <c r="K1000" i="6"/>
  <c r="M1000" i="6"/>
  <c r="M1001" i="6"/>
  <c r="M1002" i="6"/>
  <c r="M1003" i="6"/>
  <c r="K1004" i="6"/>
  <c r="M1004" i="6"/>
  <c r="M1005" i="6"/>
  <c r="M1006" i="6"/>
  <c r="M1007" i="6"/>
  <c r="K1008" i="6"/>
  <c r="M1008" i="6"/>
  <c r="M1009" i="6"/>
  <c r="M1010" i="6"/>
  <c r="M1011" i="6"/>
  <c r="K1012" i="6"/>
  <c r="M1012" i="6"/>
  <c r="M1013" i="6"/>
  <c r="M1014" i="6"/>
  <c r="M1015" i="6"/>
  <c r="K1016" i="6"/>
  <c r="M1016" i="6"/>
  <c r="M1017" i="6"/>
  <c r="M1018" i="6"/>
  <c r="M1019" i="6"/>
  <c r="K1020" i="6"/>
  <c r="M1020" i="6"/>
  <c r="M1021" i="6"/>
  <c r="M1022" i="6"/>
  <c r="M1023" i="6"/>
  <c r="K1024" i="6"/>
  <c r="M1024" i="6"/>
  <c r="M1025" i="6"/>
  <c r="M1026" i="6"/>
  <c r="M1027" i="6"/>
  <c r="K1028" i="6"/>
  <c r="M1028" i="6"/>
  <c r="M1029" i="6"/>
  <c r="M1030" i="6"/>
  <c r="M1031" i="6"/>
  <c r="K1032" i="6"/>
  <c r="M1032" i="6"/>
  <c r="M1033" i="6"/>
  <c r="M1034" i="6"/>
  <c r="M1035" i="6"/>
  <c r="K1036" i="6"/>
  <c r="M1036" i="6"/>
  <c r="M1037" i="6"/>
  <c r="M1038" i="6"/>
  <c r="M1039" i="6"/>
  <c r="K1040" i="6"/>
  <c r="M1040" i="6"/>
  <c r="M1041" i="6"/>
  <c r="M1042" i="6"/>
  <c r="M1043" i="6"/>
  <c r="K1044" i="6"/>
  <c r="M1044" i="6"/>
  <c r="M1045" i="6"/>
  <c r="M1046" i="6"/>
  <c r="M1047" i="6"/>
  <c r="K1048" i="6"/>
  <c r="M1048" i="6"/>
  <c r="M1049" i="6"/>
  <c r="M1050" i="6"/>
  <c r="M1051" i="6"/>
  <c r="K1052" i="6"/>
  <c r="M1052" i="6"/>
  <c r="M1053" i="6"/>
  <c r="M1054" i="6"/>
  <c r="M1055" i="6"/>
  <c r="K1056" i="6"/>
  <c r="M1056" i="6"/>
  <c r="M1057" i="6"/>
  <c r="M1058" i="6"/>
  <c r="M1059" i="6"/>
  <c r="K1060" i="6"/>
  <c r="M1060" i="6"/>
  <c r="M1061" i="6"/>
  <c r="M1062" i="6"/>
  <c r="M1063" i="6"/>
  <c r="K1064" i="6"/>
  <c r="M1064" i="6"/>
  <c r="M1065" i="6"/>
  <c r="M1066" i="6"/>
  <c r="M1067" i="6"/>
  <c r="K1068" i="6"/>
  <c r="M1068" i="6"/>
  <c r="M1069" i="6"/>
  <c r="M1070" i="6"/>
  <c r="M1071" i="6"/>
  <c r="K1072" i="6"/>
  <c r="M1072" i="6"/>
  <c r="M1073" i="6"/>
  <c r="M1074" i="6"/>
  <c r="M1075" i="6"/>
  <c r="K1076" i="6"/>
  <c r="M1076" i="6"/>
  <c r="M1077" i="6"/>
  <c r="M1078" i="6"/>
  <c r="M1079" i="6"/>
  <c r="K1080" i="6"/>
  <c r="M1080" i="6"/>
  <c r="M1081" i="6"/>
  <c r="M1082" i="6"/>
  <c r="M1083" i="6"/>
  <c r="K1084" i="6"/>
  <c r="M1084" i="6"/>
  <c r="M1085" i="6"/>
  <c r="M1086" i="6"/>
  <c r="M1087" i="6"/>
  <c r="K1088" i="6"/>
  <c r="M1088" i="6"/>
  <c r="K1089" i="6"/>
  <c r="M1089" i="6"/>
  <c r="M1090" i="6"/>
  <c r="M1091" i="6"/>
  <c r="K1092" i="6"/>
  <c r="M1092" i="6"/>
  <c r="M1093" i="6"/>
  <c r="M1094" i="6"/>
  <c r="M1095" i="6"/>
  <c r="K1096" i="6"/>
  <c r="M1096" i="6"/>
  <c r="M1097" i="6"/>
  <c r="M1098" i="6"/>
  <c r="M1099" i="6"/>
  <c r="K1100" i="6"/>
  <c r="M1100" i="6"/>
  <c r="M1101" i="6"/>
  <c r="M1102" i="6"/>
  <c r="M1103" i="6"/>
  <c r="K1104" i="6"/>
  <c r="M1104" i="6"/>
  <c r="M1105" i="6"/>
  <c r="M1106" i="6"/>
  <c r="M1107" i="6"/>
  <c r="K1108" i="6"/>
  <c r="M1108" i="6"/>
  <c r="M1109" i="6"/>
  <c r="M1110" i="6"/>
  <c r="M1111" i="6"/>
  <c r="K1112" i="6"/>
  <c r="M1112" i="6"/>
  <c r="M1113" i="6"/>
  <c r="M1114" i="6"/>
  <c r="M1115" i="6"/>
  <c r="K1116" i="6"/>
  <c r="M1116" i="6"/>
  <c r="M1117" i="6"/>
  <c r="M1118" i="6"/>
  <c r="M1119" i="6"/>
  <c r="K1120" i="6"/>
  <c r="M1120" i="6"/>
  <c r="M1121" i="6"/>
  <c r="M1122" i="6"/>
  <c r="M1123" i="6"/>
  <c r="K1124" i="6"/>
  <c r="M1124" i="6"/>
  <c r="M1125" i="6"/>
  <c r="M1126" i="6"/>
  <c r="M1127" i="6"/>
  <c r="K1128" i="6"/>
  <c r="M1128" i="6"/>
  <c r="M1129" i="6"/>
  <c r="M1130" i="6"/>
  <c r="M1131" i="6"/>
  <c r="K1132" i="6"/>
  <c r="M1132" i="6"/>
  <c r="M1133" i="6"/>
  <c r="M1134" i="6"/>
  <c r="M1135" i="6"/>
  <c r="K1136" i="6"/>
  <c r="M1136" i="6"/>
  <c r="M1137" i="6"/>
  <c r="M1138" i="6"/>
  <c r="M1139" i="6"/>
  <c r="K1140" i="6"/>
  <c r="M1140" i="6"/>
  <c r="M1141" i="6"/>
  <c r="M1142" i="6"/>
  <c r="M1143" i="6"/>
  <c r="K1144" i="6"/>
  <c r="M1144" i="6"/>
  <c r="M1145" i="6"/>
  <c r="M1146" i="6"/>
  <c r="M1147" i="6"/>
  <c r="K1148" i="6"/>
  <c r="M1148" i="6"/>
  <c r="M1149" i="6"/>
  <c r="M1150" i="6"/>
  <c r="M1151" i="6"/>
  <c r="K1152" i="6"/>
  <c r="M1152" i="6"/>
  <c r="M1153" i="6"/>
  <c r="M1154" i="6"/>
  <c r="M1155" i="6"/>
  <c r="K1156" i="6"/>
  <c r="M1156" i="6"/>
  <c r="M1157" i="6"/>
  <c r="M1158" i="6"/>
  <c r="M1159" i="6"/>
  <c r="K1160" i="6"/>
  <c r="M1160" i="6"/>
  <c r="M1161" i="6"/>
  <c r="M1162" i="6"/>
  <c r="M1163" i="6"/>
  <c r="K1164" i="6"/>
  <c r="M1164" i="6"/>
  <c r="M1165" i="6"/>
  <c r="M1166" i="6"/>
  <c r="M1167" i="6"/>
  <c r="K1168" i="6"/>
  <c r="M1168" i="6"/>
  <c r="M1169" i="6"/>
  <c r="M1170" i="6"/>
  <c r="M1171" i="6"/>
  <c r="K1172" i="6"/>
  <c r="M1172" i="6"/>
  <c r="M1173" i="6"/>
  <c r="M1174" i="6"/>
  <c r="M1175" i="6"/>
  <c r="K1176" i="6"/>
  <c r="M1176" i="6"/>
  <c r="M1177" i="6"/>
  <c r="M1178" i="6"/>
  <c r="M1179" i="6"/>
  <c r="K1180" i="6"/>
  <c r="M1180" i="6"/>
  <c r="M1181" i="6"/>
  <c r="M1182" i="6"/>
  <c r="M1183" i="6"/>
  <c r="K1184" i="6"/>
  <c r="M1184" i="6"/>
  <c r="M1185" i="6"/>
  <c r="M1186" i="6"/>
  <c r="M1187" i="6"/>
  <c r="K1188" i="6"/>
  <c r="M1188" i="6"/>
  <c r="M1189" i="6"/>
  <c r="M1190" i="6"/>
  <c r="M1191" i="6"/>
  <c r="K1192" i="6"/>
  <c r="M1192" i="6"/>
  <c r="M1193" i="6"/>
  <c r="M1194" i="6"/>
  <c r="M1195" i="6"/>
  <c r="K1196" i="6"/>
  <c r="M1196" i="6"/>
  <c r="M1197" i="6"/>
  <c r="M1198" i="6"/>
  <c r="M1199" i="6"/>
  <c r="K1200" i="6"/>
  <c r="M1200" i="6"/>
  <c r="M1201" i="6"/>
  <c r="M1202" i="6"/>
  <c r="M1203" i="6"/>
  <c r="K1204" i="6"/>
  <c r="M1204" i="6"/>
  <c r="M1205" i="6"/>
  <c r="M1206" i="6"/>
  <c r="M1207" i="6"/>
  <c r="K1208" i="6"/>
  <c r="M1208" i="6"/>
  <c r="M1209" i="6"/>
  <c r="M1210" i="6"/>
  <c r="M1211" i="6"/>
  <c r="K1212" i="6"/>
  <c r="M1212" i="6"/>
  <c r="M1213" i="6"/>
  <c r="M1214" i="6"/>
  <c r="M1215" i="6"/>
  <c r="K1216" i="6"/>
  <c r="M1216" i="6"/>
  <c r="K1217" i="6"/>
  <c r="M1217" i="6"/>
  <c r="M1218" i="6"/>
  <c r="M1219" i="6"/>
  <c r="K1220" i="6"/>
  <c r="M1220" i="6"/>
  <c r="M1221" i="6"/>
  <c r="K1222" i="6"/>
  <c r="M1222" i="6"/>
  <c r="M1223" i="6"/>
  <c r="K1224" i="6"/>
  <c r="M1224" i="6"/>
  <c r="K1225" i="6"/>
  <c r="M1225" i="6"/>
  <c r="M1226" i="6"/>
  <c r="M1227" i="6"/>
  <c r="K1228" i="6"/>
  <c r="M1228" i="6"/>
  <c r="M1229" i="6"/>
  <c r="M1230" i="6"/>
  <c r="M1231" i="6"/>
  <c r="K1232" i="6"/>
  <c r="M1232" i="6"/>
  <c r="M1233" i="6"/>
  <c r="M1234" i="6"/>
  <c r="M1235" i="6"/>
  <c r="K1236" i="6"/>
  <c r="M1236" i="6"/>
  <c r="M1237" i="6"/>
  <c r="M1238" i="6"/>
  <c r="M1239" i="6"/>
  <c r="K1240" i="6"/>
  <c r="M1240" i="6"/>
  <c r="M1241" i="6"/>
  <c r="M1242" i="6"/>
  <c r="M1243" i="6"/>
  <c r="K1244" i="6"/>
  <c r="M1244" i="6"/>
  <c r="M1245" i="6"/>
  <c r="M1246" i="6"/>
  <c r="M1247" i="6"/>
  <c r="K1248" i="6"/>
  <c r="M1248" i="6"/>
  <c r="M1249" i="6"/>
  <c r="M1250" i="6"/>
  <c r="M1251" i="6"/>
  <c r="K1252" i="6"/>
  <c r="M1252" i="6"/>
  <c r="M1253" i="6"/>
  <c r="M1254" i="6"/>
  <c r="M1255" i="6"/>
  <c r="K1256" i="6"/>
  <c r="M1256" i="6"/>
  <c r="M1257" i="6"/>
  <c r="M1258" i="6"/>
  <c r="M1259" i="6"/>
  <c r="K1260" i="6"/>
  <c r="M1260" i="6"/>
  <c r="M1261" i="6"/>
  <c r="M1262" i="6"/>
  <c r="M1263" i="6"/>
  <c r="K1264" i="6"/>
  <c r="M1264" i="6"/>
  <c r="M1265" i="6"/>
  <c r="M1266" i="6"/>
  <c r="M1267" i="6"/>
  <c r="K1268" i="6"/>
  <c r="M1268" i="6"/>
  <c r="M1269" i="6"/>
  <c r="M1270" i="6"/>
  <c r="M1271" i="6"/>
  <c r="K1272" i="6"/>
  <c r="M1272" i="6"/>
  <c r="M1273" i="6"/>
  <c r="M1274" i="6"/>
  <c r="M1275" i="6"/>
  <c r="K1276" i="6"/>
  <c r="M1276" i="6"/>
  <c r="M1277" i="6"/>
  <c r="M1278" i="6"/>
  <c r="M1279" i="6"/>
  <c r="K1280" i="6"/>
  <c r="M1280" i="6"/>
  <c r="M1281" i="6"/>
  <c r="M1282" i="6"/>
  <c r="M1283" i="6"/>
  <c r="K1284" i="6"/>
  <c r="M1284" i="6"/>
  <c r="M1285" i="6"/>
  <c r="K1286" i="6"/>
  <c r="M1286" i="6"/>
  <c r="M1287" i="6"/>
  <c r="K1288" i="6"/>
  <c r="M1288" i="6"/>
  <c r="M1289" i="6"/>
  <c r="M1290" i="6"/>
  <c r="K1291" i="6"/>
  <c r="M1291" i="6"/>
  <c r="K1292" i="6"/>
  <c r="M1292" i="6"/>
  <c r="M1293" i="6"/>
  <c r="M1294" i="6"/>
  <c r="M1295" i="6"/>
  <c r="K1296" i="6"/>
  <c r="M1296" i="6"/>
  <c r="M1297" i="6"/>
  <c r="M1298" i="6"/>
  <c r="M1299" i="6"/>
  <c r="K1300" i="6"/>
  <c r="M1300" i="6"/>
  <c r="M1301" i="6"/>
  <c r="M1302" i="6"/>
  <c r="M1303" i="6"/>
  <c r="K1304" i="6"/>
  <c r="M1304" i="6"/>
  <c r="K1305" i="6"/>
  <c r="M1305" i="6"/>
  <c r="M1306" i="6"/>
  <c r="M1307" i="6"/>
  <c r="K1308" i="6"/>
  <c r="M1308" i="6"/>
  <c r="M1309" i="6"/>
  <c r="M1310" i="6"/>
  <c r="M1311" i="6"/>
  <c r="K1312" i="6"/>
  <c r="M1312" i="6"/>
  <c r="M1313" i="6"/>
  <c r="M1314" i="6"/>
  <c r="M1315" i="6"/>
  <c r="K1316" i="6"/>
  <c r="M1316" i="6"/>
  <c r="M1317" i="6"/>
  <c r="M1318" i="6"/>
  <c r="M1319" i="6"/>
  <c r="K1320" i="6"/>
  <c r="M1320" i="6"/>
  <c r="M1321" i="6"/>
  <c r="M1322" i="6"/>
  <c r="M1323" i="6"/>
  <c r="K1324" i="6"/>
  <c r="M1324" i="6"/>
  <c r="M1325" i="6"/>
  <c r="M1326" i="6"/>
  <c r="M1327" i="6"/>
  <c r="K1328" i="6"/>
  <c r="M1328" i="6"/>
  <c r="M1329" i="6"/>
  <c r="M1330" i="6"/>
  <c r="M1331" i="6"/>
  <c r="K1332" i="6"/>
  <c r="M1332" i="6"/>
  <c r="M1333" i="6"/>
  <c r="M1334" i="6"/>
  <c r="M1335" i="6"/>
  <c r="K1336" i="6"/>
  <c r="M1336" i="6"/>
  <c r="M1337" i="6"/>
  <c r="M1338" i="6"/>
  <c r="K1339" i="6"/>
  <c r="M1339" i="6"/>
  <c r="K1340" i="6"/>
  <c r="M1340" i="6"/>
  <c r="M1341" i="6"/>
  <c r="M1342" i="6"/>
  <c r="M1343" i="6"/>
  <c r="K1344" i="6"/>
  <c r="M1344" i="6"/>
  <c r="M1345" i="6"/>
  <c r="M1346" i="6"/>
  <c r="M1347" i="6"/>
  <c r="K1348" i="6"/>
  <c r="M1348" i="6"/>
  <c r="M1349" i="6"/>
  <c r="M1350" i="6"/>
  <c r="M1351" i="6"/>
  <c r="K1352" i="6"/>
  <c r="M1352" i="6"/>
  <c r="M1353" i="6"/>
  <c r="M1354" i="6"/>
  <c r="K1355" i="6"/>
  <c r="M1355" i="6"/>
  <c r="K1356" i="6"/>
  <c r="M1356" i="6"/>
  <c r="M1357" i="6"/>
  <c r="M1358" i="6"/>
  <c r="M1359" i="6"/>
  <c r="K1360" i="6"/>
  <c r="M1360" i="6"/>
  <c r="M1361" i="6"/>
  <c r="M1362" i="6"/>
  <c r="M1363" i="6"/>
  <c r="K1364" i="6"/>
  <c r="M1364" i="6"/>
  <c r="M1365" i="6"/>
  <c r="M1366" i="6"/>
  <c r="M1367" i="6"/>
  <c r="K1368" i="6"/>
  <c r="M1368" i="6"/>
  <c r="M1369" i="6"/>
  <c r="M1370" i="6"/>
  <c r="M1371" i="6"/>
  <c r="K1372" i="6"/>
  <c r="M1372" i="6"/>
  <c r="K1373" i="6"/>
  <c r="M1373" i="6"/>
  <c r="M1374" i="6"/>
  <c r="M1375" i="6"/>
  <c r="K1376" i="6"/>
  <c r="M1376" i="6"/>
  <c r="M1377" i="6"/>
  <c r="M1378" i="6"/>
  <c r="M1379" i="6"/>
  <c r="K1380" i="6"/>
  <c r="M1380" i="6"/>
  <c r="M1381" i="6"/>
  <c r="M1382" i="6"/>
  <c r="M1383" i="6"/>
  <c r="K1384" i="6"/>
  <c r="M1384" i="6"/>
  <c r="M1385" i="6"/>
  <c r="M1386" i="6"/>
  <c r="M1387" i="6"/>
  <c r="K1388" i="6"/>
  <c r="M1388" i="6"/>
  <c r="M1389" i="6"/>
  <c r="M1390" i="6"/>
  <c r="M1391" i="6"/>
  <c r="K1392" i="6"/>
  <c r="M1392" i="6"/>
  <c r="M1393" i="6"/>
  <c r="M1394" i="6"/>
  <c r="M1395" i="6"/>
  <c r="K1396" i="6"/>
  <c r="M1396" i="6"/>
  <c r="M1397" i="6"/>
  <c r="M1398" i="6"/>
  <c r="M1399" i="6"/>
  <c r="K1400" i="6"/>
  <c r="M1400" i="6"/>
  <c r="M1401" i="6"/>
  <c r="M1402" i="6"/>
  <c r="K1403" i="6"/>
  <c r="M1403" i="6"/>
  <c r="K1404" i="6"/>
  <c r="M1404" i="6"/>
  <c r="M1405" i="6"/>
  <c r="M1406" i="6"/>
  <c r="M1407" i="6"/>
  <c r="K1408" i="6"/>
  <c r="M1408" i="6"/>
  <c r="M1409" i="6"/>
  <c r="M1410" i="6"/>
  <c r="M1411" i="6"/>
  <c r="K1412" i="6"/>
  <c r="M1412" i="6"/>
  <c r="M1413" i="6"/>
  <c r="M1414" i="6"/>
  <c r="M1415" i="6"/>
  <c r="K1416" i="6"/>
  <c r="M1416" i="6"/>
  <c r="M1417" i="6"/>
  <c r="M1418" i="6"/>
  <c r="K1419" i="6"/>
  <c r="M1419" i="6"/>
  <c r="K1420" i="6"/>
  <c r="M1420" i="6"/>
  <c r="M1421" i="6"/>
  <c r="M1422" i="6"/>
  <c r="M1423" i="6"/>
  <c r="K1424" i="6"/>
  <c r="M1424" i="6"/>
  <c r="M1425" i="6"/>
  <c r="M1426" i="6"/>
  <c r="M1427" i="6"/>
  <c r="K1428" i="6"/>
  <c r="M1428" i="6"/>
  <c r="M1429" i="6"/>
  <c r="M1430" i="6"/>
  <c r="M1431" i="6"/>
  <c r="K1432" i="6"/>
  <c r="M1432" i="6"/>
  <c r="M1433" i="6"/>
  <c r="M1434" i="6"/>
  <c r="M1435" i="6"/>
  <c r="K1436" i="6"/>
  <c r="M1436" i="6"/>
  <c r="M1437" i="6"/>
  <c r="M1438" i="6"/>
  <c r="M1439" i="6"/>
  <c r="K1440" i="6"/>
  <c r="M1440" i="6"/>
  <c r="M1441" i="6"/>
  <c r="M1442" i="6"/>
  <c r="M1443" i="6"/>
  <c r="K1444" i="6"/>
  <c r="M1444" i="6"/>
  <c r="M1445" i="6"/>
  <c r="M1446" i="6"/>
  <c r="M1447" i="6"/>
  <c r="K1448" i="6"/>
  <c r="M1448" i="6"/>
  <c r="M1449" i="6"/>
  <c r="M1450" i="6"/>
  <c r="M1451" i="6"/>
  <c r="K1452" i="6"/>
  <c r="M1452" i="6"/>
  <c r="M1453" i="6"/>
  <c r="M1454" i="6"/>
  <c r="M1455" i="6"/>
  <c r="K1456" i="6"/>
  <c r="M1456" i="6"/>
  <c r="M1457" i="6"/>
  <c r="M1458" i="6"/>
  <c r="M1459" i="6"/>
  <c r="K1460" i="6"/>
  <c r="M1460" i="6"/>
  <c r="M1461" i="6"/>
  <c r="M1462" i="6"/>
  <c r="M1463" i="6"/>
  <c r="K1464" i="6"/>
  <c r="M1464" i="6"/>
  <c r="M1465" i="6"/>
  <c r="M1466" i="6"/>
  <c r="K1467" i="6"/>
  <c r="M1467" i="6"/>
  <c r="K1468" i="6"/>
  <c r="M1468" i="6"/>
  <c r="M1469" i="6"/>
  <c r="M1470" i="6"/>
  <c r="M1471" i="6"/>
  <c r="K1472" i="6"/>
  <c r="M1472" i="6"/>
  <c r="M1473" i="6"/>
  <c r="M1474" i="6"/>
  <c r="M1475" i="6"/>
  <c r="K1476" i="6"/>
  <c r="M1476" i="6"/>
  <c r="M1477" i="6"/>
  <c r="M1478" i="6"/>
  <c r="M1479" i="6"/>
  <c r="K1480" i="6"/>
  <c r="M1480" i="6"/>
  <c r="M1481" i="6"/>
  <c r="M1482" i="6"/>
  <c r="K1483" i="6"/>
  <c r="M1483" i="6"/>
  <c r="K1484" i="6"/>
  <c r="M1484" i="6"/>
  <c r="M1485" i="6"/>
  <c r="M1486" i="6"/>
  <c r="M1487" i="6"/>
  <c r="K1488" i="6"/>
  <c r="M1488" i="6"/>
  <c r="M1489" i="6"/>
  <c r="M1490" i="6"/>
  <c r="M1491" i="6"/>
  <c r="K1492" i="6"/>
  <c r="M1492" i="6"/>
  <c r="M1493" i="6"/>
  <c r="M1494" i="6"/>
  <c r="M1495" i="6"/>
  <c r="K1496" i="6"/>
  <c r="M1496" i="6"/>
  <c r="M1497" i="6"/>
  <c r="M1498" i="6"/>
  <c r="M1499" i="6"/>
  <c r="K1500" i="6"/>
  <c r="M1500" i="6"/>
  <c r="M1501" i="6"/>
  <c r="M1502" i="6"/>
  <c r="M1503" i="6"/>
  <c r="K1504" i="6"/>
  <c r="M1504" i="6"/>
  <c r="M1505" i="6"/>
  <c r="M1506" i="6"/>
  <c r="M1507" i="6"/>
  <c r="K1508" i="6"/>
  <c r="M1508" i="6"/>
  <c r="M1509" i="6"/>
  <c r="M1510" i="6"/>
  <c r="M1511" i="6"/>
  <c r="K1512" i="6"/>
  <c r="M1512" i="6"/>
  <c r="M1513" i="6"/>
  <c r="M1514" i="6"/>
  <c r="M1515" i="6"/>
  <c r="K1516" i="6"/>
  <c r="M1516" i="6"/>
  <c r="M1517" i="6"/>
  <c r="M1518" i="6"/>
  <c r="M1519" i="6"/>
  <c r="K1520" i="6"/>
  <c r="M1520" i="6"/>
  <c r="M1521" i="6"/>
  <c r="M1522" i="6"/>
  <c r="M1523" i="6"/>
  <c r="K1524" i="6"/>
  <c r="M1524" i="6"/>
  <c r="M1525" i="6"/>
  <c r="M1526" i="6"/>
  <c r="M1527" i="6"/>
  <c r="K1528" i="6"/>
  <c r="M1528" i="6"/>
  <c r="M1529" i="6"/>
  <c r="M1530" i="6"/>
  <c r="M1531" i="6"/>
  <c r="K1532" i="6"/>
  <c r="M1532" i="6"/>
  <c r="M1533" i="6"/>
  <c r="K1534" i="6"/>
  <c r="M1534" i="6"/>
  <c r="M1535" i="6"/>
  <c r="K1536" i="6"/>
  <c r="M1536" i="6"/>
  <c r="M1537" i="6"/>
  <c r="M1538" i="6"/>
  <c r="M1539" i="6"/>
  <c r="K1540" i="6"/>
  <c r="M1540" i="6"/>
  <c r="M1541" i="6"/>
  <c r="M1542" i="6"/>
  <c r="M1543" i="6"/>
  <c r="K1544" i="6"/>
  <c r="M1544" i="6"/>
  <c r="M1545" i="6"/>
  <c r="K1546" i="6"/>
  <c r="M1546" i="6"/>
  <c r="M1547" i="6"/>
  <c r="K1548" i="6"/>
  <c r="M1548" i="6"/>
  <c r="M1549" i="6"/>
  <c r="M1550" i="6"/>
  <c r="M1551" i="6"/>
  <c r="K1552" i="6"/>
  <c r="M1552" i="6"/>
  <c r="M1553" i="6"/>
  <c r="M1554" i="6"/>
  <c r="M1555" i="6"/>
  <c r="K1556" i="6"/>
  <c r="M1556" i="6"/>
  <c r="M1557" i="6"/>
  <c r="M1558" i="6"/>
  <c r="M1559" i="6"/>
  <c r="K1560" i="6"/>
  <c r="M1560" i="6"/>
  <c r="M1561" i="6"/>
  <c r="M1562" i="6"/>
  <c r="M1563" i="6"/>
  <c r="K1564" i="6"/>
  <c r="M1564" i="6"/>
  <c r="M1565" i="6"/>
  <c r="K1566" i="6"/>
  <c r="M1566" i="6"/>
  <c r="M1567" i="6"/>
  <c r="K1568" i="6"/>
  <c r="M1568" i="6"/>
  <c r="M1569" i="6"/>
  <c r="M1570" i="6"/>
  <c r="M1571" i="6"/>
  <c r="K1572" i="6"/>
  <c r="M1572" i="6"/>
  <c r="M1573" i="6"/>
  <c r="M1574" i="6"/>
  <c r="M1575" i="6"/>
  <c r="K1576" i="6"/>
  <c r="M1576" i="6"/>
  <c r="K1577" i="6"/>
  <c r="M1577" i="6"/>
  <c r="M1578" i="6"/>
  <c r="M1579" i="6"/>
  <c r="K1580" i="6"/>
  <c r="M1580" i="6"/>
  <c r="M1581" i="6"/>
  <c r="K1582" i="6"/>
  <c r="M1582" i="6"/>
  <c r="M1583" i="6"/>
  <c r="K1584" i="6"/>
  <c r="M1584" i="6"/>
  <c r="M1585" i="6"/>
  <c r="M1586" i="6"/>
  <c r="M1587" i="6"/>
  <c r="K1588" i="6"/>
  <c r="M1588" i="6"/>
  <c r="M1589" i="6"/>
  <c r="M1590" i="6"/>
  <c r="M1591" i="6"/>
  <c r="K1592" i="6"/>
  <c r="M1592" i="6"/>
  <c r="M1593" i="6"/>
  <c r="K1594" i="6"/>
  <c r="M1594" i="6"/>
  <c r="M1595" i="6"/>
  <c r="K1596" i="6"/>
  <c r="M1596" i="6"/>
  <c r="M1597" i="6"/>
  <c r="M1598" i="6"/>
  <c r="M1599" i="6"/>
  <c r="K1600" i="6"/>
  <c r="M1600" i="6"/>
  <c r="M1601" i="6"/>
  <c r="M1602" i="6"/>
  <c r="M1603" i="6"/>
  <c r="K1604" i="6"/>
  <c r="M1604" i="6"/>
  <c r="M1605" i="6"/>
  <c r="M1606" i="6"/>
  <c r="M1607" i="6"/>
  <c r="K1608" i="6"/>
  <c r="M1608" i="6"/>
  <c r="M1609" i="6"/>
  <c r="M1610" i="6"/>
  <c r="M1611" i="6"/>
  <c r="K1612" i="6"/>
  <c r="M1612" i="6"/>
  <c r="M1613" i="6"/>
  <c r="K1614" i="6"/>
  <c r="M1614" i="6"/>
  <c r="M1615" i="6"/>
  <c r="K1616" i="6"/>
  <c r="M1616" i="6"/>
  <c r="M1617" i="6"/>
  <c r="M1618" i="6"/>
  <c r="M1619" i="6"/>
  <c r="K1620" i="6"/>
  <c r="M1620" i="6"/>
  <c r="M1621" i="6"/>
  <c r="M1622" i="6"/>
  <c r="M1623" i="6"/>
  <c r="K1624" i="6"/>
  <c r="M1624" i="6"/>
  <c r="M1625" i="6"/>
  <c r="K1626" i="6"/>
  <c r="M1626" i="6"/>
  <c r="M1627" i="6"/>
  <c r="K1628" i="6"/>
  <c r="M1628" i="6"/>
  <c r="M1629" i="6"/>
  <c r="M1630" i="6"/>
  <c r="M1631" i="6"/>
  <c r="K1632" i="6"/>
  <c r="M1632" i="6"/>
  <c r="M1633" i="6"/>
  <c r="M1634" i="6"/>
  <c r="M1635" i="6"/>
  <c r="K1636" i="6"/>
  <c r="M1636" i="6"/>
  <c r="M1637" i="6"/>
  <c r="M1638" i="6"/>
  <c r="M1639" i="6"/>
  <c r="K1640" i="6"/>
  <c r="M1640" i="6"/>
  <c r="M1641" i="6"/>
  <c r="M1642" i="6"/>
  <c r="M1643" i="6"/>
  <c r="K1644" i="6"/>
  <c r="M1644" i="6"/>
  <c r="M1645" i="6"/>
  <c r="K1646" i="6"/>
  <c r="M1646" i="6"/>
  <c r="M1647" i="6"/>
  <c r="K1648" i="6"/>
  <c r="M1648" i="6"/>
  <c r="M1649" i="6"/>
  <c r="M1650" i="6"/>
  <c r="M1651" i="6"/>
  <c r="K1652" i="6"/>
  <c r="M1652" i="6"/>
  <c r="K1653" i="6"/>
  <c r="M1653" i="6"/>
  <c r="M1654" i="6"/>
  <c r="M1655" i="6"/>
  <c r="K1656" i="6"/>
  <c r="M1656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M1665" i="6"/>
  <c r="M1666" i="6"/>
  <c r="M1667" i="6"/>
  <c r="K1668" i="6"/>
  <c r="M1668" i="6"/>
  <c r="M1669" i="6"/>
  <c r="M1670" i="6"/>
  <c r="M1671" i="6"/>
  <c r="K1672" i="6"/>
  <c r="M1672" i="6"/>
  <c r="M1673" i="6"/>
  <c r="K1674" i="6"/>
  <c r="M1674" i="6"/>
  <c r="M1675" i="6"/>
  <c r="K1676" i="6"/>
  <c r="M1676" i="6"/>
  <c r="M1677" i="6"/>
  <c r="M1678" i="6"/>
  <c r="M1679" i="6"/>
  <c r="K1680" i="6"/>
  <c r="M1680" i="6"/>
  <c r="M1681" i="6"/>
  <c r="M1682" i="6"/>
  <c r="M1683" i="6"/>
  <c r="K1684" i="6"/>
  <c r="M1684" i="6"/>
  <c r="M1685" i="6"/>
  <c r="M1686" i="6"/>
  <c r="M1687" i="6"/>
  <c r="K1688" i="6"/>
  <c r="M1688" i="6"/>
  <c r="M1689" i="6"/>
  <c r="M1690" i="6"/>
  <c r="M1691" i="6"/>
  <c r="K1692" i="6"/>
  <c r="M1692" i="6"/>
  <c r="M1693" i="6"/>
  <c r="K1694" i="6"/>
  <c r="M1694" i="6"/>
  <c r="M1695" i="6"/>
  <c r="K1696" i="6"/>
  <c r="M1696" i="6"/>
  <c r="M1697" i="6"/>
  <c r="M1698" i="6"/>
  <c r="M1699" i="6"/>
  <c r="K1700" i="6"/>
  <c r="M1700" i="6"/>
  <c r="M1701" i="6"/>
  <c r="M1702" i="6"/>
  <c r="M1703" i="6"/>
  <c r="K1704" i="6"/>
  <c r="M1704" i="6"/>
  <c r="K1705" i="6"/>
  <c r="M1705" i="6"/>
  <c r="K1706" i="6"/>
  <c r="M1706" i="6"/>
  <c r="M1707" i="6"/>
  <c r="K1708" i="6"/>
  <c r="M1708" i="6"/>
  <c r="M1709" i="6"/>
  <c r="M1710" i="6"/>
  <c r="M1711" i="6"/>
  <c r="K1712" i="6"/>
  <c r="M1712" i="6"/>
  <c r="M1713" i="6"/>
  <c r="M1714" i="6"/>
  <c r="M1715" i="6"/>
  <c r="K1716" i="6"/>
  <c r="M1716" i="6"/>
  <c r="M1717" i="6"/>
  <c r="M1718" i="6"/>
  <c r="M1719" i="6"/>
  <c r="K1720" i="6"/>
  <c r="M1720" i="6"/>
  <c r="M1721" i="6"/>
  <c r="M1722" i="6"/>
  <c r="M1723" i="6"/>
  <c r="K1724" i="6"/>
  <c r="M1724" i="6"/>
  <c r="M1725" i="6"/>
  <c r="K1726" i="6"/>
  <c r="M1726" i="6"/>
  <c r="M1727" i="6"/>
  <c r="K1728" i="6"/>
  <c r="M1728" i="6"/>
  <c r="M1729" i="6"/>
  <c r="M1730" i="6"/>
  <c r="M1731" i="6"/>
  <c r="K1732" i="6"/>
  <c r="M1732" i="6"/>
  <c r="M1733" i="6"/>
  <c r="M1734" i="6"/>
  <c r="M1735" i="6"/>
  <c r="K1736" i="6"/>
  <c r="M1736" i="6"/>
  <c r="M1737" i="6"/>
  <c r="K1738" i="6"/>
  <c r="M1738" i="6"/>
  <c r="M1739" i="6"/>
  <c r="K1740" i="6"/>
  <c r="M1740" i="6"/>
  <c r="M1741" i="6"/>
  <c r="M1742" i="6"/>
  <c r="M1743" i="6"/>
  <c r="K1744" i="6"/>
  <c r="M1744" i="6"/>
  <c r="M1745" i="6"/>
  <c r="M1746" i="6"/>
  <c r="M1747" i="6"/>
  <c r="K1748" i="6"/>
  <c r="M1748" i="6"/>
  <c r="M1749" i="6"/>
  <c r="M1750" i="6"/>
  <c r="M1751" i="6"/>
  <c r="K1752" i="6"/>
  <c r="M1752" i="6"/>
  <c r="M1753" i="6"/>
  <c r="M1754" i="6"/>
  <c r="M1755" i="6"/>
  <c r="K1756" i="6"/>
  <c r="M1756" i="6"/>
  <c r="M1757" i="6"/>
  <c r="K1758" i="6"/>
  <c r="M1758" i="6"/>
  <c r="M1759" i="6"/>
  <c r="K1760" i="6"/>
  <c r="M1760" i="6"/>
  <c r="M1761" i="6"/>
  <c r="M1762" i="6"/>
  <c r="M1763" i="6"/>
  <c r="K1764" i="6"/>
  <c r="M1764" i="6"/>
  <c r="M1765" i="6"/>
  <c r="M1766" i="6"/>
  <c r="M1767" i="6"/>
  <c r="K1768" i="6"/>
  <c r="M1768" i="6"/>
  <c r="M1769" i="6"/>
  <c r="K1770" i="6"/>
  <c r="M1770" i="6"/>
  <c r="M1771" i="6"/>
  <c r="K1772" i="6"/>
  <c r="M1772" i="6"/>
  <c r="M1773" i="6"/>
  <c r="M1774" i="6"/>
  <c r="M1775" i="6"/>
  <c r="K1776" i="6"/>
  <c r="M1776" i="6"/>
  <c r="M1777" i="6"/>
  <c r="M1778" i="6"/>
  <c r="M1779" i="6"/>
  <c r="K1780" i="6"/>
  <c r="M1780" i="6"/>
  <c r="K1781" i="6"/>
  <c r="M1781" i="6"/>
  <c r="M1782" i="6"/>
  <c r="M1783" i="6"/>
  <c r="K1784" i="6"/>
  <c r="M1784" i="6"/>
  <c r="M1785" i="6"/>
  <c r="K1786" i="6"/>
  <c r="M1786" i="6"/>
  <c r="M1787" i="6"/>
  <c r="K1788" i="6"/>
  <c r="M1788" i="6"/>
  <c r="K1789" i="6"/>
  <c r="M1789" i="6"/>
  <c r="M1790" i="6"/>
  <c r="M1791" i="6"/>
  <c r="K1792" i="6"/>
  <c r="M1792" i="6"/>
  <c r="M1793" i="6"/>
  <c r="M1794" i="6"/>
  <c r="M1795" i="6"/>
  <c r="K1796" i="6"/>
  <c r="M1796" i="6"/>
  <c r="M1797" i="6"/>
  <c r="M1798" i="6"/>
  <c r="M1799" i="6"/>
  <c r="K1800" i="6"/>
  <c r="M1800" i="6"/>
  <c r="M1801" i="6"/>
  <c r="M1802" i="6"/>
  <c r="M1803" i="6"/>
  <c r="K1804" i="6"/>
  <c r="M1804" i="6"/>
  <c r="M1805" i="6"/>
  <c r="K1806" i="6"/>
  <c r="M1806" i="6"/>
  <c r="M1807" i="6"/>
  <c r="K1808" i="6"/>
  <c r="M1808" i="6"/>
  <c r="M1809" i="6"/>
  <c r="M1810" i="6"/>
  <c r="M1811" i="6"/>
  <c r="K1812" i="6"/>
  <c r="M1812" i="6"/>
  <c r="M1813" i="6"/>
  <c r="M1814" i="6"/>
  <c r="M1815" i="6"/>
  <c r="K1816" i="6"/>
  <c r="M1816" i="6"/>
  <c r="M1817" i="6"/>
  <c r="K1818" i="6"/>
  <c r="M1818" i="6"/>
  <c r="M1819" i="6"/>
  <c r="K1820" i="6"/>
  <c r="M1820" i="6"/>
  <c r="M1821" i="6"/>
  <c r="M1822" i="6"/>
  <c r="M1823" i="6"/>
  <c r="K1824" i="6"/>
  <c r="M1824" i="6"/>
  <c r="M1825" i="6"/>
  <c r="M1826" i="6"/>
  <c r="M1827" i="6"/>
  <c r="K1828" i="6"/>
  <c r="M1828" i="6"/>
  <c r="M1829" i="6"/>
  <c r="M1830" i="6"/>
  <c r="M1831" i="6"/>
  <c r="K1832" i="6"/>
  <c r="M1832" i="6"/>
  <c r="K1833" i="6"/>
  <c r="M1833" i="6"/>
  <c r="K1834" i="6"/>
  <c r="M1834" i="6"/>
  <c r="M1835" i="6"/>
  <c r="K1836" i="6"/>
  <c r="M1836" i="6"/>
  <c r="M1837" i="6"/>
  <c r="M1838" i="6"/>
  <c r="M1839" i="6"/>
  <c r="K1840" i="6"/>
  <c r="M1840" i="6"/>
  <c r="M1841" i="6"/>
  <c r="M1842" i="6"/>
  <c r="M1843" i="6"/>
  <c r="K1844" i="6"/>
  <c r="M1844" i="6"/>
  <c r="M1845" i="6"/>
  <c r="M1846" i="6"/>
  <c r="M1847" i="6"/>
  <c r="K1848" i="6"/>
  <c r="M1848" i="6"/>
  <c r="M1849" i="6"/>
  <c r="M1850" i="6"/>
  <c r="M1851" i="6"/>
  <c r="K1852" i="6"/>
  <c r="M1852" i="6"/>
  <c r="M1853" i="6"/>
  <c r="K1854" i="6"/>
  <c r="M1854" i="6"/>
  <c r="M1855" i="6"/>
  <c r="K1856" i="6"/>
  <c r="M1856" i="6"/>
  <c r="M1857" i="6"/>
  <c r="M1858" i="6"/>
  <c r="M1859" i="6"/>
  <c r="K1860" i="6"/>
  <c r="M1860" i="6"/>
  <c r="M1861" i="6"/>
  <c r="M1862" i="6"/>
  <c r="M1863" i="6"/>
  <c r="K1864" i="6"/>
  <c r="M1864" i="6"/>
  <c r="M1865" i="6"/>
  <c r="K1866" i="6"/>
  <c r="M1866" i="6"/>
  <c r="M1867" i="6"/>
  <c r="K1868" i="6"/>
  <c r="M1868" i="6"/>
  <c r="M1869" i="6"/>
  <c r="M1870" i="6"/>
  <c r="M1871" i="6"/>
  <c r="K1872" i="6"/>
  <c r="M1872" i="6"/>
  <c r="M1873" i="6"/>
  <c r="M1874" i="6"/>
  <c r="M1875" i="6"/>
  <c r="K1876" i="6"/>
  <c r="M1876" i="6"/>
  <c r="M1877" i="6"/>
  <c r="M1878" i="6"/>
  <c r="M1879" i="6"/>
  <c r="K1880" i="6"/>
  <c r="M1880" i="6"/>
  <c r="M1881" i="6"/>
  <c r="M1882" i="6"/>
  <c r="M1883" i="6"/>
  <c r="K1884" i="6"/>
  <c r="M1884" i="6"/>
  <c r="M1885" i="6"/>
  <c r="K1886" i="6"/>
  <c r="M1886" i="6"/>
  <c r="M1887" i="6"/>
  <c r="K1888" i="6"/>
  <c r="M1888" i="6"/>
  <c r="M1889" i="6"/>
  <c r="M1890" i="6"/>
  <c r="M1891" i="6"/>
  <c r="K1892" i="6"/>
  <c r="M1892" i="6"/>
  <c r="M1893" i="6"/>
  <c r="M1894" i="6"/>
  <c r="M1895" i="6"/>
  <c r="K1896" i="6"/>
  <c r="M1896" i="6"/>
  <c r="M1897" i="6"/>
  <c r="K1898" i="6"/>
  <c r="M1898" i="6"/>
  <c r="M1899" i="6"/>
  <c r="K1900" i="6"/>
  <c r="M1900" i="6"/>
  <c r="M1901" i="6"/>
  <c r="M1902" i="6"/>
  <c r="M1903" i="6"/>
  <c r="K1904" i="6"/>
  <c r="M1904" i="6"/>
  <c r="M1905" i="6"/>
  <c r="M1906" i="6"/>
  <c r="M1907" i="6"/>
  <c r="K1908" i="6"/>
  <c r="M1908" i="6"/>
  <c r="K1909" i="6"/>
  <c r="M1909" i="6"/>
  <c r="M1910" i="6"/>
  <c r="M1911" i="6"/>
  <c r="K1912" i="6"/>
  <c r="M1912" i="6"/>
  <c r="M1913" i="6"/>
  <c r="M1914" i="6"/>
  <c r="M1915" i="6"/>
  <c r="K1916" i="6"/>
  <c r="M1916" i="6"/>
  <c r="K1917" i="6"/>
  <c r="M1917" i="6"/>
  <c r="M1918" i="6"/>
  <c r="M1919" i="6"/>
  <c r="K1920" i="6"/>
  <c r="M1920" i="6"/>
  <c r="M1921" i="6"/>
  <c r="M1922" i="6"/>
  <c r="M1923" i="6"/>
  <c r="K1924" i="6"/>
  <c r="M1924" i="6"/>
  <c r="M1925" i="6"/>
  <c r="M1926" i="6"/>
  <c r="M1927" i="6"/>
  <c r="K1928" i="6"/>
  <c r="M1928" i="6"/>
  <c r="M1929" i="6"/>
  <c r="M1930" i="6"/>
  <c r="M1931" i="6"/>
  <c r="K1932" i="6"/>
  <c r="M1932" i="6"/>
  <c r="M1933" i="6"/>
  <c r="K1934" i="6"/>
  <c r="M1934" i="6"/>
  <c r="M1935" i="6"/>
  <c r="K1936" i="6"/>
  <c r="M1936" i="6"/>
  <c r="M1937" i="6"/>
  <c r="M1938" i="6"/>
  <c r="M1939" i="6"/>
  <c r="K1940" i="6"/>
  <c r="M1940" i="6"/>
  <c r="M1941" i="6"/>
  <c r="M1942" i="6"/>
  <c r="M1943" i="6"/>
  <c r="K1944" i="6"/>
  <c r="M1944" i="6"/>
  <c r="M1945" i="6"/>
  <c r="K1946" i="6"/>
  <c r="M1946" i="6"/>
  <c r="M1947" i="6"/>
  <c r="K1948" i="6"/>
  <c r="M1948" i="6"/>
  <c r="M1949" i="6"/>
  <c r="M1950" i="6"/>
  <c r="M1951" i="6"/>
  <c r="K1952" i="6"/>
  <c r="M1952" i="6"/>
  <c r="M1953" i="6"/>
  <c r="M1954" i="6"/>
  <c r="M1955" i="6"/>
  <c r="K1956" i="6"/>
  <c r="M1956" i="6"/>
  <c r="M1957" i="6"/>
  <c r="M1958" i="6"/>
  <c r="M1959" i="6"/>
  <c r="K1960" i="6"/>
  <c r="M1960" i="6"/>
  <c r="K1961" i="6"/>
  <c r="M1961" i="6"/>
  <c r="M1962" i="6"/>
  <c r="M1963" i="6"/>
  <c r="K1964" i="6"/>
  <c r="M1964" i="6"/>
  <c r="M1965" i="6"/>
  <c r="K1966" i="6"/>
  <c r="M1966" i="6"/>
  <c r="M1967" i="6"/>
  <c r="K1968" i="6"/>
  <c r="M1968" i="6"/>
  <c r="M1969" i="6"/>
  <c r="M1970" i="6"/>
  <c r="M1971" i="6"/>
  <c r="K1972" i="6"/>
  <c r="M1972" i="6"/>
  <c r="M1973" i="6"/>
  <c r="M1974" i="6"/>
  <c r="M1975" i="6"/>
  <c r="K1976" i="6"/>
  <c r="M1976" i="6"/>
  <c r="M1977" i="6"/>
  <c r="K1978" i="6"/>
  <c r="M1978" i="6"/>
  <c r="M1979" i="6"/>
  <c r="K1980" i="6"/>
  <c r="M1980" i="6"/>
  <c r="M1981" i="6"/>
  <c r="M1982" i="6"/>
  <c r="M1983" i="6"/>
  <c r="K1984" i="6"/>
  <c r="M1984" i="6"/>
  <c r="M1985" i="6"/>
  <c r="M1986" i="6"/>
  <c r="M1987" i="6"/>
  <c r="K1988" i="6"/>
  <c r="M1988" i="6"/>
  <c r="M1989" i="6"/>
  <c r="M1990" i="6"/>
  <c r="M1991" i="6"/>
  <c r="K1992" i="6"/>
  <c r="M1992" i="6"/>
  <c r="M1993" i="6"/>
  <c r="M1994" i="6"/>
  <c r="M1995" i="6"/>
  <c r="K1996" i="6"/>
  <c r="M1996" i="6"/>
  <c r="M1997" i="6"/>
  <c r="K1998" i="6"/>
  <c r="M1998" i="6"/>
  <c r="M1999" i="6"/>
  <c r="K2000" i="6"/>
  <c r="M2000" i="6"/>
  <c r="M2001" i="6"/>
  <c r="M2002" i="6"/>
  <c r="M2003" i="6"/>
  <c r="K2004" i="6"/>
  <c r="M2004" i="6"/>
  <c r="M2005" i="6"/>
  <c r="M2006" i="6"/>
  <c r="M2007" i="6"/>
  <c r="K2008" i="6"/>
  <c r="M2008" i="6"/>
  <c r="M2009" i="6"/>
  <c r="K2010" i="6"/>
  <c r="M2010" i="6"/>
  <c r="M2011" i="6"/>
  <c r="K2012" i="6"/>
  <c r="M2012" i="6"/>
  <c r="M2013" i="6"/>
  <c r="M2014" i="6"/>
  <c r="M2015" i="6"/>
  <c r="K2016" i="6"/>
  <c r="M2016" i="6"/>
  <c r="M2017" i="6"/>
  <c r="M2018" i="6"/>
  <c r="M2019" i="6"/>
  <c r="K2020" i="6"/>
  <c r="M2020" i="6"/>
  <c r="M2021" i="6"/>
  <c r="M2022" i="6"/>
  <c r="M2023" i="6"/>
  <c r="K2024" i="6"/>
  <c r="M2024" i="6"/>
  <c r="M2025" i="6"/>
  <c r="M2026" i="6"/>
  <c r="M2027" i="6"/>
  <c r="K2028" i="6"/>
  <c r="M2028" i="6"/>
  <c r="M2029" i="6"/>
  <c r="K2030" i="6"/>
  <c r="M2030" i="6"/>
  <c r="M2031" i="6"/>
  <c r="K2032" i="6"/>
  <c r="M2032" i="6"/>
  <c r="M2033" i="6"/>
  <c r="M2034" i="6"/>
  <c r="M2035" i="6"/>
  <c r="K2036" i="6"/>
  <c r="M2036" i="6"/>
  <c r="K2037" i="6"/>
  <c r="M2037" i="6"/>
  <c r="M2038" i="6"/>
  <c r="M2039" i="6"/>
  <c r="K2040" i="6"/>
  <c r="M2040" i="6"/>
  <c r="M2041" i="6"/>
  <c r="M2042" i="6"/>
  <c r="M2043" i="6"/>
  <c r="K2044" i="6"/>
  <c r="M2044" i="6"/>
  <c r="K2045" i="6"/>
  <c r="M2045" i="6"/>
  <c r="K2046" i="6"/>
  <c r="M2046" i="6"/>
  <c r="M2047" i="6"/>
  <c r="K2048" i="6"/>
  <c r="M2048" i="6"/>
  <c r="M2049" i="6"/>
  <c r="M2050" i="6"/>
  <c r="M2051" i="6"/>
  <c r="K2052" i="6"/>
  <c r="M2052" i="6"/>
  <c r="M2053" i="6"/>
  <c r="K2054" i="6"/>
  <c r="M2054" i="6"/>
  <c r="M2055" i="6"/>
  <c r="K2056" i="6"/>
  <c r="M2056" i="6"/>
  <c r="M2057" i="6"/>
  <c r="M2058" i="6"/>
  <c r="M2059" i="6"/>
  <c r="K2060" i="6"/>
  <c r="M2060" i="6"/>
  <c r="M2061" i="6"/>
  <c r="K2062" i="6"/>
  <c r="M2062" i="6"/>
  <c r="M2063" i="6"/>
  <c r="K2064" i="6"/>
  <c r="M2064" i="6"/>
  <c r="M2065" i="6"/>
  <c r="M2066" i="6"/>
  <c r="M2067" i="6"/>
  <c r="K2068" i="6"/>
  <c r="M2068" i="6"/>
  <c r="M2069" i="6"/>
  <c r="K2070" i="6"/>
  <c r="M2070" i="6"/>
  <c r="M2071" i="6"/>
  <c r="K2072" i="6"/>
  <c r="M2072" i="6"/>
  <c r="M2073" i="6"/>
  <c r="M2074" i="6"/>
  <c r="M2075" i="6"/>
  <c r="K2076" i="6"/>
  <c r="M2076" i="6"/>
  <c r="M2077" i="6"/>
  <c r="K2078" i="6"/>
  <c r="M2078" i="6"/>
  <c r="M2079" i="6"/>
  <c r="K2080" i="6"/>
  <c r="M2080" i="6"/>
  <c r="M2081" i="6"/>
  <c r="M2082" i="6"/>
  <c r="M2083" i="6"/>
  <c r="K2084" i="6"/>
  <c r="M2084" i="6"/>
  <c r="M2085" i="6"/>
  <c r="K2086" i="6"/>
  <c r="M2086" i="6"/>
  <c r="M2087" i="6"/>
  <c r="K2088" i="6"/>
  <c r="M2088" i="6"/>
  <c r="M2089" i="6"/>
  <c r="M2090" i="6"/>
  <c r="M2091" i="6"/>
  <c r="K2092" i="6"/>
  <c r="M2092" i="6"/>
  <c r="M2093" i="6"/>
  <c r="K2094" i="6"/>
  <c r="M2094" i="6"/>
  <c r="M2095" i="6"/>
  <c r="K2096" i="6"/>
  <c r="M2096" i="6"/>
  <c r="M2097" i="6"/>
  <c r="M2098" i="6"/>
  <c r="M2099" i="6"/>
  <c r="K2100" i="6"/>
  <c r="M2100" i="6"/>
  <c r="M2101" i="6"/>
  <c r="K2102" i="6"/>
  <c r="M2102" i="6"/>
  <c r="M2103" i="6"/>
  <c r="K2104" i="6"/>
  <c r="M2104" i="6"/>
  <c r="M2105" i="6"/>
  <c r="M2106" i="6"/>
  <c r="M2107" i="6"/>
  <c r="K2108" i="6"/>
  <c r="M2108" i="6"/>
  <c r="K2109" i="6"/>
  <c r="M2109" i="6"/>
  <c r="M2110" i="6"/>
  <c r="M2111" i="6"/>
  <c r="K2112" i="6"/>
  <c r="M2112" i="6"/>
  <c r="M2113" i="6"/>
  <c r="K2114" i="6"/>
  <c r="M2114" i="6"/>
  <c r="M2115" i="6"/>
  <c r="K2116" i="6"/>
  <c r="M2116" i="6"/>
  <c r="M2117" i="6"/>
  <c r="M2118" i="6"/>
  <c r="M2119" i="6"/>
  <c r="K2120" i="6"/>
  <c r="M2120" i="6"/>
  <c r="M2121" i="6"/>
  <c r="K2122" i="6"/>
  <c r="M2122" i="6"/>
  <c r="M2123" i="6"/>
  <c r="K2124" i="6"/>
  <c r="M2124" i="6"/>
  <c r="M2125" i="6"/>
  <c r="M2126" i="6"/>
  <c r="M2127" i="6"/>
  <c r="K2128" i="6"/>
  <c r="M2128" i="6"/>
  <c r="M2129" i="6"/>
  <c r="K2130" i="6"/>
  <c r="M2130" i="6"/>
  <c r="M2131" i="6"/>
  <c r="K2132" i="6"/>
  <c r="M2132" i="6"/>
  <c r="M2133" i="6"/>
  <c r="M2134" i="6"/>
  <c r="M2135" i="6"/>
  <c r="K2136" i="6"/>
  <c r="M2136" i="6"/>
  <c r="M2137" i="6"/>
  <c r="K2138" i="6"/>
  <c r="M2138" i="6"/>
  <c r="M2139" i="6"/>
  <c r="K2140" i="6"/>
  <c r="M2140" i="6"/>
  <c r="M2141" i="6"/>
  <c r="M2142" i="6"/>
  <c r="M2143" i="6"/>
  <c r="K2144" i="6"/>
  <c r="M2144" i="6"/>
  <c r="M2145" i="6"/>
  <c r="K2146" i="6"/>
  <c r="M2146" i="6"/>
  <c r="M2147" i="6"/>
  <c r="K2148" i="6"/>
  <c r="M2148" i="6"/>
  <c r="M2149" i="6"/>
  <c r="M2150" i="6"/>
  <c r="M2151" i="6"/>
  <c r="K2152" i="6"/>
  <c r="M2152" i="6"/>
  <c r="M2153" i="6"/>
  <c r="K2154" i="6"/>
  <c r="M2154" i="6"/>
  <c r="M2155" i="6"/>
  <c r="K2156" i="6"/>
  <c r="M2156" i="6"/>
  <c r="M2157" i="6"/>
  <c r="M2158" i="6"/>
  <c r="M2159" i="6"/>
  <c r="K2160" i="6"/>
  <c r="M2160" i="6"/>
  <c r="M2161" i="6"/>
  <c r="K2162" i="6"/>
  <c r="M2162" i="6"/>
  <c r="M2163" i="6"/>
  <c r="K2164" i="6"/>
  <c r="M2164" i="6"/>
  <c r="M2165" i="6"/>
  <c r="M2166" i="6"/>
  <c r="M2167" i="6"/>
  <c r="K2168" i="6"/>
  <c r="M2168" i="6"/>
  <c r="M2169" i="6"/>
  <c r="K2170" i="6"/>
  <c r="M2170" i="6"/>
  <c r="M2171" i="6"/>
  <c r="K2172" i="6"/>
  <c r="M2172" i="6"/>
  <c r="K2173" i="6"/>
  <c r="M2173" i="6"/>
  <c r="M2174" i="6"/>
  <c r="M2175" i="6"/>
  <c r="K2176" i="6"/>
  <c r="M2176" i="6"/>
  <c r="M2177" i="6"/>
  <c r="K2178" i="6"/>
  <c r="M2178" i="6"/>
  <c r="K2179" i="6"/>
  <c r="M2179" i="6"/>
  <c r="K2180" i="6"/>
  <c r="M2180" i="6"/>
  <c r="M2181" i="6"/>
  <c r="K2182" i="6"/>
  <c r="M2182" i="6"/>
  <c r="K2183" i="6"/>
  <c r="M2183" i="6"/>
  <c r="K2184" i="6"/>
  <c r="M2184" i="6"/>
  <c r="M2185" i="6"/>
  <c r="M2186" i="6"/>
  <c r="K2187" i="6"/>
  <c r="M2187" i="6"/>
  <c r="K2188" i="6"/>
  <c r="M2188" i="6"/>
  <c r="K2189" i="6"/>
  <c r="M2189" i="6"/>
  <c r="M2190" i="6"/>
  <c r="K2191" i="6"/>
  <c r="M2191" i="6"/>
  <c r="K2192" i="6"/>
  <c r="M2192" i="6"/>
  <c r="K2193" i="6"/>
  <c r="M2193" i="6"/>
  <c r="M2194" i="6"/>
  <c r="K2195" i="6"/>
  <c r="M2195" i="6"/>
  <c r="K2196" i="6"/>
  <c r="M2196" i="6"/>
  <c r="K2197" i="6"/>
  <c r="M2197" i="6"/>
  <c r="M2198" i="6"/>
  <c r="K2199" i="6"/>
  <c r="M2199" i="6"/>
  <c r="K2200" i="6"/>
  <c r="M2200" i="6"/>
  <c r="K2201" i="6"/>
  <c r="M2201" i="6"/>
  <c r="M2202" i="6"/>
  <c r="K2203" i="6"/>
  <c r="M2203" i="6"/>
  <c r="K2204" i="6"/>
  <c r="M2204" i="6"/>
  <c r="K2205" i="6"/>
  <c r="M2205" i="6"/>
  <c r="M2206" i="6"/>
  <c r="K2207" i="6"/>
  <c r="M2207" i="6"/>
  <c r="K2208" i="6"/>
  <c r="M2208" i="6"/>
  <c r="K2209" i="6"/>
  <c r="M2209" i="6"/>
  <c r="M2210" i="6"/>
  <c r="K2211" i="6"/>
  <c r="M2211" i="6"/>
  <c r="K2212" i="6"/>
  <c r="M2212" i="6"/>
  <c r="K2213" i="6"/>
  <c r="M2213" i="6"/>
  <c r="M2214" i="6"/>
  <c r="K2215" i="6"/>
  <c r="M2215" i="6"/>
  <c r="K2216" i="6"/>
  <c r="M2216" i="6"/>
  <c r="K2217" i="6"/>
  <c r="M2217" i="6"/>
  <c r="M2218" i="6"/>
  <c r="K2219" i="6"/>
  <c r="M2219" i="6"/>
  <c r="K2220" i="6"/>
  <c r="M2220" i="6"/>
  <c r="K2221" i="6"/>
  <c r="M2221" i="6"/>
  <c r="M2222" i="6"/>
  <c r="K2223" i="6"/>
  <c r="M2223" i="6"/>
  <c r="K2224" i="6"/>
  <c r="M2224" i="6"/>
  <c r="K2225" i="6"/>
  <c r="M2225" i="6"/>
  <c r="M2226" i="6"/>
  <c r="K2227" i="6"/>
  <c r="M2227" i="6"/>
  <c r="K2228" i="6"/>
  <c r="M2228" i="6"/>
  <c r="K2229" i="6"/>
  <c r="M2229" i="6"/>
  <c r="M2230" i="6"/>
  <c r="K2231" i="6"/>
  <c r="M2231" i="6"/>
  <c r="K2232" i="6"/>
  <c r="M2232" i="6"/>
  <c r="K2233" i="6"/>
  <c r="M2233" i="6"/>
  <c r="M2234" i="6"/>
  <c r="K2235" i="6"/>
  <c r="M2235" i="6"/>
  <c r="K2236" i="6"/>
  <c r="M2236" i="6"/>
  <c r="K2237" i="6"/>
  <c r="M2237" i="6"/>
  <c r="M2238" i="6"/>
  <c r="K2239" i="6"/>
  <c r="M2239" i="6"/>
  <c r="K2240" i="6"/>
  <c r="M2240" i="6"/>
  <c r="K2241" i="6"/>
  <c r="M2241" i="6"/>
  <c r="M2242" i="6"/>
  <c r="K2243" i="6"/>
  <c r="M2243" i="6"/>
  <c r="K2244" i="6"/>
  <c r="M2244" i="6"/>
  <c r="K2245" i="6"/>
  <c r="M2245" i="6"/>
  <c r="M2246" i="6"/>
  <c r="K2247" i="6"/>
  <c r="M2247" i="6"/>
  <c r="K2248" i="6"/>
  <c r="M2248" i="6"/>
  <c r="K2249" i="6"/>
  <c r="M2249" i="6"/>
  <c r="M2250" i="6"/>
  <c r="K2251" i="6"/>
  <c r="M2251" i="6"/>
  <c r="K2252" i="6"/>
  <c r="M2252" i="6"/>
  <c r="K2253" i="6"/>
  <c r="M2253" i="6"/>
  <c r="M2254" i="6"/>
  <c r="K2255" i="6"/>
  <c r="M2255" i="6"/>
  <c r="K2256" i="6"/>
  <c r="M2256" i="6"/>
  <c r="K2257" i="6"/>
  <c r="M2257" i="6"/>
  <c r="M2258" i="6"/>
  <c r="K2259" i="6"/>
  <c r="M2259" i="6"/>
  <c r="K2260" i="6"/>
  <c r="M2260" i="6"/>
  <c r="K2261" i="6"/>
  <c r="M2261" i="6"/>
  <c r="M2262" i="6"/>
  <c r="K2263" i="6"/>
  <c r="M2263" i="6"/>
  <c r="K2264" i="6"/>
  <c r="M2264" i="6"/>
  <c r="K2265" i="6"/>
  <c r="M2265" i="6"/>
  <c r="M2266" i="6"/>
  <c r="K2267" i="6"/>
  <c r="M2267" i="6"/>
  <c r="K2268" i="6"/>
  <c r="M2268" i="6"/>
  <c r="K2269" i="6"/>
  <c r="M2269" i="6"/>
  <c r="M2270" i="6"/>
  <c r="K2271" i="6"/>
  <c r="M2271" i="6"/>
  <c r="K2272" i="6"/>
  <c r="M2272" i="6"/>
  <c r="K2273" i="6"/>
  <c r="M2273" i="6"/>
  <c r="M2274" i="6"/>
  <c r="K2275" i="6"/>
  <c r="M2275" i="6"/>
  <c r="K2276" i="6"/>
  <c r="M2276" i="6"/>
  <c r="K2277" i="6"/>
  <c r="M2277" i="6"/>
  <c r="M2278" i="6"/>
  <c r="K2279" i="6"/>
  <c r="M2279" i="6"/>
  <c r="K2280" i="6"/>
  <c r="M2280" i="6"/>
  <c r="K2281" i="6"/>
  <c r="M2281" i="6"/>
  <c r="M2282" i="6"/>
  <c r="K2283" i="6"/>
  <c r="M2283" i="6"/>
  <c r="K2284" i="6"/>
  <c r="M2284" i="6"/>
  <c r="K2285" i="6"/>
  <c r="M2285" i="6"/>
  <c r="M2286" i="6"/>
  <c r="K2287" i="6"/>
  <c r="M2287" i="6"/>
  <c r="K2288" i="6"/>
  <c r="M2288" i="6"/>
  <c r="K2289" i="6"/>
  <c r="M2289" i="6"/>
  <c r="M2290" i="6"/>
  <c r="K2291" i="6"/>
  <c r="M2291" i="6"/>
  <c r="K2292" i="6"/>
  <c r="M2292" i="6"/>
  <c r="K2293" i="6"/>
  <c r="M2293" i="6"/>
  <c r="M2294" i="6"/>
  <c r="K2295" i="6"/>
  <c r="M2295" i="6"/>
  <c r="K2296" i="6"/>
  <c r="M2296" i="6"/>
  <c r="K2297" i="6"/>
  <c r="M2297" i="6"/>
  <c r="M2298" i="6"/>
  <c r="K2299" i="6"/>
  <c r="M2299" i="6"/>
  <c r="K2300" i="6"/>
  <c r="M2300" i="6"/>
  <c r="K2301" i="6"/>
  <c r="M2301" i="6"/>
  <c r="M2302" i="6"/>
  <c r="K2303" i="6"/>
  <c r="M2303" i="6"/>
  <c r="K2304" i="6"/>
  <c r="M2304" i="6"/>
  <c r="K2305" i="6"/>
  <c r="M2305" i="6"/>
  <c r="M2306" i="6"/>
  <c r="K2307" i="6"/>
  <c r="M2307" i="6"/>
  <c r="K2308" i="6"/>
  <c r="M2308" i="6"/>
  <c r="K2309" i="6"/>
  <c r="M2309" i="6"/>
  <c r="M2310" i="6"/>
  <c r="K2311" i="6"/>
  <c r="M2311" i="6"/>
  <c r="K2312" i="6"/>
  <c r="M2312" i="6"/>
  <c r="K2313" i="6"/>
  <c r="M2313" i="6"/>
  <c r="M2314" i="6"/>
  <c r="K2315" i="6"/>
  <c r="M2315" i="6"/>
  <c r="K2316" i="6"/>
  <c r="M2316" i="6"/>
  <c r="K2317" i="6"/>
  <c r="M2317" i="6"/>
  <c r="M2318" i="6"/>
  <c r="K2319" i="6"/>
  <c r="M2319" i="6"/>
  <c r="K2320" i="6"/>
  <c r="M2320" i="6"/>
  <c r="K2321" i="6"/>
  <c r="M2321" i="6"/>
  <c r="M2322" i="6"/>
  <c r="K2323" i="6"/>
  <c r="M2323" i="6"/>
  <c r="K2324" i="6"/>
  <c r="M2324" i="6"/>
  <c r="K2325" i="6"/>
  <c r="M2325" i="6"/>
  <c r="M2326" i="6"/>
  <c r="K2327" i="6"/>
  <c r="M2327" i="6"/>
  <c r="K2328" i="6"/>
  <c r="M2328" i="6"/>
  <c r="K2329" i="6"/>
  <c r="M2329" i="6"/>
  <c r="M2330" i="6"/>
  <c r="K2331" i="6"/>
  <c r="M2331" i="6"/>
  <c r="K2332" i="6"/>
  <c r="M2332" i="6"/>
  <c r="K2333" i="6"/>
  <c r="M2333" i="6"/>
  <c r="M2334" i="6"/>
  <c r="K2335" i="6"/>
  <c r="M2335" i="6"/>
  <c r="K2336" i="6"/>
  <c r="M2336" i="6"/>
  <c r="K2337" i="6"/>
  <c r="M2337" i="6"/>
  <c r="M2338" i="6"/>
  <c r="K2339" i="6"/>
  <c r="M2339" i="6"/>
  <c r="K2340" i="6"/>
  <c r="M2340" i="6"/>
  <c r="K2341" i="6"/>
  <c r="M2341" i="6"/>
  <c r="M2342" i="6"/>
  <c r="K2343" i="6"/>
  <c r="M2343" i="6"/>
  <c r="K2344" i="6"/>
  <c r="M2344" i="6"/>
  <c r="K2345" i="6"/>
  <c r="M2345" i="6"/>
  <c r="M2346" i="6"/>
  <c r="K2347" i="6"/>
  <c r="M2347" i="6"/>
  <c r="K2348" i="6"/>
  <c r="M2348" i="6"/>
  <c r="K2349" i="6"/>
  <c r="M2349" i="6"/>
  <c r="M2350" i="6"/>
  <c r="K2351" i="6"/>
  <c r="M2351" i="6"/>
  <c r="K2352" i="6"/>
  <c r="M2352" i="6"/>
  <c r="K2353" i="6"/>
  <c r="M2353" i="6"/>
  <c r="M2354" i="6"/>
  <c r="K2355" i="6"/>
  <c r="M2355" i="6"/>
  <c r="K2356" i="6"/>
  <c r="M2356" i="6"/>
  <c r="K2357" i="6"/>
  <c r="M2357" i="6"/>
  <c r="M2358" i="6"/>
  <c r="K2359" i="6"/>
  <c r="M2359" i="6"/>
  <c r="K2360" i="6"/>
  <c r="M2360" i="6"/>
  <c r="K2361" i="6"/>
  <c r="M2361" i="6"/>
  <c r="M2362" i="6"/>
  <c r="K2363" i="6"/>
  <c r="M2363" i="6"/>
  <c r="K2364" i="6"/>
  <c r="M2364" i="6"/>
  <c r="K2365" i="6"/>
  <c r="M2365" i="6"/>
  <c r="M2366" i="6"/>
  <c r="K2367" i="6"/>
  <c r="M2367" i="6"/>
  <c r="K2368" i="6"/>
  <c r="M2368" i="6"/>
  <c r="K2369" i="6"/>
  <c r="M2369" i="6"/>
  <c r="M2370" i="6"/>
  <c r="K2371" i="6"/>
  <c r="M2371" i="6"/>
  <c r="K2372" i="6"/>
  <c r="M2372" i="6"/>
  <c r="K2373" i="6"/>
  <c r="M2373" i="6"/>
  <c r="M2374" i="6"/>
  <c r="K2375" i="6"/>
  <c r="M2375" i="6"/>
  <c r="K2376" i="6"/>
  <c r="M2376" i="6"/>
  <c r="K2377" i="6"/>
  <c r="M2377" i="6"/>
  <c r="M2378" i="6"/>
  <c r="K2379" i="6"/>
  <c r="M2379" i="6"/>
  <c r="K2380" i="6"/>
  <c r="M2380" i="6"/>
  <c r="K2381" i="6"/>
  <c r="M2381" i="6"/>
  <c r="M2382" i="6"/>
  <c r="K2383" i="6"/>
  <c r="M2383" i="6"/>
  <c r="K2384" i="6"/>
  <c r="M2384" i="6"/>
  <c r="K2385" i="6"/>
  <c r="M2385" i="6"/>
  <c r="M2386" i="6"/>
  <c r="K2387" i="6"/>
  <c r="M2387" i="6"/>
  <c r="K2388" i="6"/>
  <c r="M2388" i="6"/>
  <c r="K2389" i="6"/>
  <c r="M2389" i="6"/>
  <c r="M2390" i="6"/>
  <c r="K2391" i="6"/>
  <c r="M2391" i="6"/>
  <c r="K2392" i="6"/>
  <c r="M2392" i="6"/>
  <c r="K2393" i="6"/>
  <c r="M2393" i="6"/>
  <c r="M2394" i="6"/>
  <c r="K2395" i="6"/>
  <c r="M2395" i="6"/>
  <c r="K2396" i="6"/>
  <c r="M2396" i="6"/>
  <c r="K2397" i="6"/>
  <c r="M2397" i="6"/>
  <c r="M2398" i="6"/>
  <c r="K2399" i="6"/>
  <c r="M2399" i="6"/>
  <c r="K2400" i="6"/>
  <c r="M2400" i="6"/>
  <c r="K2401" i="6"/>
  <c r="M2401" i="6"/>
  <c r="M2402" i="6"/>
  <c r="K2403" i="6"/>
  <c r="M2403" i="6"/>
  <c r="K2404" i="6"/>
  <c r="M2404" i="6"/>
  <c r="K2405" i="6"/>
  <c r="M2405" i="6"/>
  <c r="M2406" i="6"/>
  <c r="K2407" i="6"/>
  <c r="M2407" i="6"/>
  <c r="K2408" i="6"/>
  <c r="M2408" i="6"/>
  <c r="K2409" i="6"/>
  <c r="M2409" i="6"/>
  <c r="M2410" i="6"/>
  <c r="K2411" i="6"/>
  <c r="M2411" i="6"/>
  <c r="K2412" i="6"/>
  <c r="M2412" i="6"/>
  <c r="K2413" i="6"/>
  <c r="M2413" i="6"/>
  <c r="M2414" i="6"/>
  <c r="K2415" i="6"/>
  <c r="M2415" i="6"/>
  <c r="K2416" i="6"/>
  <c r="M2416" i="6"/>
  <c r="K2417" i="6"/>
  <c r="M2417" i="6"/>
  <c r="M2418" i="6"/>
  <c r="K2419" i="6"/>
  <c r="M2419" i="6"/>
  <c r="K2420" i="6"/>
  <c r="M2420" i="6"/>
  <c r="K2421" i="6"/>
  <c r="M2421" i="6"/>
  <c r="M2422" i="6"/>
  <c r="K2423" i="6"/>
  <c r="M2423" i="6"/>
  <c r="K2424" i="6"/>
  <c r="M2424" i="6"/>
  <c r="K2425" i="6"/>
  <c r="M2425" i="6"/>
  <c r="M2426" i="6"/>
  <c r="K2427" i="6"/>
  <c r="M2427" i="6"/>
  <c r="K2428" i="6"/>
  <c r="M2428" i="6"/>
  <c r="K2429" i="6"/>
  <c r="M2429" i="6"/>
  <c r="M2430" i="6"/>
  <c r="K2431" i="6"/>
  <c r="M2431" i="6"/>
  <c r="K2432" i="6"/>
  <c r="M2432" i="6"/>
  <c r="K2433" i="6"/>
  <c r="M2433" i="6"/>
  <c r="M2434" i="6"/>
  <c r="K2435" i="6"/>
  <c r="M2435" i="6"/>
  <c r="K2436" i="6"/>
  <c r="M2436" i="6"/>
  <c r="K2437" i="6"/>
  <c r="M2437" i="6"/>
  <c r="M2438" i="6"/>
  <c r="K2439" i="6"/>
  <c r="M2439" i="6"/>
  <c r="K2440" i="6"/>
  <c r="M2440" i="6"/>
  <c r="K2441" i="6"/>
  <c r="M2441" i="6"/>
  <c r="M2442" i="6"/>
  <c r="K2443" i="6"/>
  <c r="M2443" i="6"/>
  <c r="K2444" i="6"/>
  <c r="M2444" i="6"/>
  <c r="K2445" i="6"/>
  <c r="M2445" i="6"/>
  <c r="M2446" i="6"/>
  <c r="K2447" i="6"/>
  <c r="M2447" i="6"/>
  <c r="K2448" i="6"/>
  <c r="M2448" i="6"/>
  <c r="K2449" i="6"/>
  <c r="M2449" i="6"/>
  <c r="M2450" i="6"/>
  <c r="K2451" i="6"/>
  <c r="M2451" i="6"/>
  <c r="K2452" i="6"/>
  <c r="M2452" i="6"/>
  <c r="K2453" i="6"/>
  <c r="M2453" i="6"/>
  <c r="M2454" i="6"/>
  <c r="K2455" i="6"/>
  <c r="M2455" i="6"/>
  <c r="K2456" i="6"/>
  <c r="M2456" i="6"/>
  <c r="K2457" i="6"/>
  <c r="M2457" i="6"/>
  <c r="M2458" i="6"/>
  <c r="K2459" i="6"/>
  <c r="M2459" i="6"/>
  <c r="K2460" i="6"/>
  <c r="M2460" i="6"/>
  <c r="K2461" i="6"/>
  <c r="M2461" i="6"/>
  <c r="M2462" i="6"/>
  <c r="K2463" i="6"/>
  <c r="M2463" i="6"/>
  <c r="K2464" i="6"/>
  <c r="M2464" i="6"/>
  <c r="K2465" i="6"/>
  <c r="M2465" i="6"/>
  <c r="M2466" i="6"/>
  <c r="K2467" i="6"/>
  <c r="M2467" i="6"/>
  <c r="K2468" i="6"/>
  <c r="M2468" i="6"/>
  <c r="K2469" i="6"/>
  <c r="M2469" i="6"/>
  <c r="M2470" i="6"/>
  <c r="K2471" i="6"/>
  <c r="M2471" i="6"/>
  <c r="K2472" i="6"/>
  <c r="M2472" i="6"/>
  <c r="K2473" i="6"/>
  <c r="M2473" i="6"/>
  <c r="M2474" i="6"/>
  <c r="K2475" i="6"/>
  <c r="M2475" i="6"/>
  <c r="K2476" i="6"/>
  <c r="M2476" i="6"/>
  <c r="K2477" i="6"/>
  <c r="M2477" i="6"/>
  <c r="M2478" i="6"/>
  <c r="K2479" i="6"/>
  <c r="M2479" i="6"/>
  <c r="K2480" i="6"/>
  <c r="M2480" i="6"/>
  <c r="K2481" i="6"/>
  <c r="M2481" i="6"/>
  <c r="M2482" i="6"/>
  <c r="K2483" i="6"/>
  <c r="M2483" i="6"/>
  <c r="K2484" i="6"/>
  <c r="M2484" i="6"/>
  <c r="K2485" i="6"/>
  <c r="M2485" i="6"/>
  <c r="M2486" i="6"/>
  <c r="K2487" i="6"/>
  <c r="M2487" i="6"/>
  <c r="K2488" i="6"/>
  <c r="M2488" i="6"/>
  <c r="K2489" i="6"/>
  <c r="M2489" i="6"/>
  <c r="M2490" i="6"/>
  <c r="K2491" i="6"/>
  <c r="M2491" i="6"/>
  <c r="K2492" i="6"/>
  <c r="M2492" i="6"/>
  <c r="K2493" i="6"/>
  <c r="M2493" i="6"/>
  <c r="M2494" i="6"/>
  <c r="K2495" i="6"/>
  <c r="M2495" i="6"/>
  <c r="K2496" i="6"/>
  <c r="M2496" i="6"/>
  <c r="K2497" i="6"/>
  <c r="M2497" i="6"/>
  <c r="M2498" i="6"/>
  <c r="K2499" i="6"/>
  <c r="M2499" i="6"/>
  <c r="K2500" i="6"/>
  <c r="M2500" i="6"/>
  <c r="K2501" i="6"/>
  <c r="M2501" i="6"/>
  <c r="M2502" i="6"/>
  <c r="K2503" i="6"/>
  <c r="M2503" i="6"/>
  <c r="K2504" i="6"/>
  <c r="M2504" i="6"/>
  <c r="K2505" i="6"/>
  <c r="M2505" i="6"/>
  <c r="M2506" i="6"/>
  <c r="K2507" i="6"/>
  <c r="M2507" i="6"/>
  <c r="K2508" i="6"/>
  <c r="M2508" i="6"/>
  <c r="K2509" i="6"/>
  <c r="M2509" i="6"/>
  <c r="M2510" i="6"/>
  <c r="K2511" i="6"/>
  <c r="M2511" i="6"/>
  <c r="K2512" i="6"/>
  <c r="M2512" i="6"/>
  <c r="K2513" i="6"/>
  <c r="M2513" i="6"/>
  <c r="M2514" i="6"/>
  <c r="K2515" i="6"/>
  <c r="M2515" i="6"/>
  <c r="K2516" i="6"/>
  <c r="M2516" i="6"/>
  <c r="K2517" i="6"/>
  <c r="M2517" i="6"/>
  <c r="M2518" i="6"/>
  <c r="K2519" i="6"/>
  <c r="M2519" i="6"/>
  <c r="K2520" i="6"/>
  <c r="M2520" i="6"/>
  <c r="K2521" i="6"/>
  <c r="M2521" i="6"/>
  <c r="M2522" i="6"/>
  <c r="K2523" i="6"/>
  <c r="M2523" i="6"/>
  <c r="K2524" i="6"/>
  <c r="M2524" i="6"/>
  <c r="K2525" i="6"/>
  <c r="M2525" i="6"/>
  <c r="M2526" i="6"/>
  <c r="K2527" i="6"/>
  <c r="M2527" i="6"/>
  <c r="K2528" i="6"/>
  <c r="M2528" i="6"/>
  <c r="K2529" i="6"/>
  <c r="M2529" i="6"/>
  <c r="M2530" i="6"/>
  <c r="K2531" i="6"/>
  <c r="M2531" i="6"/>
  <c r="K2532" i="6"/>
  <c r="M2532" i="6"/>
  <c r="K2533" i="6"/>
  <c r="M2533" i="6"/>
  <c r="M2534" i="6"/>
  <c r="K2535" i="6"/>
  <c r="M2535" i="6"/>
  <c r="K2536" i="6"/>
  <c r="M2536" i="6"/>
  <c r="K2537" i="6"/>
  <c r="M2537" i="6"/>
  <c r="M2538" i="6"/>
  <c r="K2539" i="6"/>
  <c r="M2539" i="6"/>
  <c r="K2540" i="6"/>
  <c r="M2540" i="6"/>
  <c r="K2541" i="6"/>
  <c r="M2541" i="6"/>
  <c r="M2542" i="6"/>
  <c r="K2543" i="6"/>
  <c r="M2543" i="6"/>
  <c r="K2544" i="6"/>
  <c r="M2544" i="6"/>
  <c r="K2545" i="6"/>
  <c r="M2545" i="6"/>
  <c r="M2546" i="6"/>
  <c r="K2547" i="6"/>
  <c r="M2547" i="6"/>
  <c r="K2548" i="6"/>
  <c r="M2548" i="6"/>
  <c r="K2549" i="6"/>
  <c r="M2549" i="6"/>
  <c r="M2550" i="6"/>
  <c r="K2551" i="6"/>
  <c r="M2551" i="6"/>
  <c r="K2552" i="6"/>
  <c r="M2552" i="6"/>
  <c r="K2553" i="6"/>
  <c r="M2553" i="6"/>
  <c r="M2554" i="6"/>
  <c r="K2555" i="6"/>
  <c r="M2555" i="6"/>
  <c r="K2556" i="6"/>
  <c r="M2556" i="6"/>
  <c r="K2557" i="6"/>
  <c r="M2557" i="6"/>
  <c r="M2558" i="6"/>
  <c r="K2559" i="6"/>
  <c r="M2559" i="6"/>
  <c r="K2560" i="6"/>
  <c r="M2560" i="6"/>
  <c r="K2561" i="6"/>
  <c r="M2561" i="6"/>
  <c r="M2562" i="6"/>
  <c r="K2563" i="6"/>
  <c r="M2563" i="6"/>
  <c r="K2564" i="6"/>
  <c r="M2564" i="6"/>
  <c r="K2565" i="6"/>
  <c r="M2565" i="6"/>
  <c r="M2566" i="6"/>
  <c r="K2567" i="6"/>
  <c r="M2567" i="6"/>
  <c r="K2568" i="6"/>
  <c r="M2568" i="6"/>
  <c r="K2569" i="6"/>
  <c r="M2569" i="6"/>
  <c r="M2570" i="6"/>
  <c r="K2571" i="6"/>
  <c r="M2571" i="6"/>
  <c r="K2572" i="6"/>
  <c r="M2572" i="6"/>
  <c r="K2573" i="6"/>
  <c r="M2573" i="6"/>
  <c r="M2574" i="6"/>
  <c r="K2575" i="6"/>
  <c r="M2575" i="6"/>
  <c r="K2576" i="6"/>
  <c r="M2576" i="6"/>
  <c r="K2577" i="6"/>
  <c r="M2577" i="6"/>
  <c r="M2578" i="6"/>
  <c r="K2579" i="6"/>
  <c r="M2579" i="6"/>
  <c r="K2580" i="6"/>
  <c r="M2580" i="6"/>
  <c r="K2581" i="6"/>
  <c r="M2581" i="6"/>
  <c r="M2582" i="6"/>
  <c r="K2583" i="6"/>
  <c r="M2583" i="6"/>
  <c r="K2584" i="6"/>
  <c r="M2584" i="6"/>
  <c r="K2585" i="6"/>
  <c r="M2585" i="6"/>
  <c r="M2586" i="6"/>
  <c r="K2587" i="6"/>
  <c r="M2587" i="6"/>
  <c r="K2588" i="6"/>
  <c r="M2588" i="6"/>
  <c r="K2589" i="6"/>
  <c r="M2589" i="6"/>
  <c r="M2590" i="6"/>
  <c r="K2591" i="6"/>
  <c r="M2591" i="6"/>
  <c r="K2592" i="6"/>
  <c r="M2592" i="6"/>
  <c r="K2593" i="6"/>
  <c r="M2593" i="6"/>
  <c r="M2594" i="6"/>
  <c r="K2595" i="6"/>
  <c r="M2595" i="6"/>
  <c r="K2596" i="6"/>
  <c r="M2596" i="6"/>
  <c r="K2597" i="6"/>
  <c r="M2597" i="6"/>
  <c r="M2598" i="6"/>
  <c r="K2599" i="6"/>
  <c r="M2599" i="6"/>
  <c r="K2600" i="6"/>
  <c r="M2600" i="6"/>
  <c r="K2601" i="6"/>
  <c r="M2601" i="6"/>
  <c r="M2602" i="6"/>
  <c r="K2603" i="6"/>
  <c r="M2603" i="6"/>
  <c r="K2604" i="6"/>
  <c r="M2604" i="6"/>
  <c r="K2605" i="6"/>
  <c r="M2605" i="6"/>
  <c r="M2606" i="6"/>
  <c r="K2607" i="6"/>
  <c r="M2607" i="6"/>
  <c r="K2608" i="6"/>
  <c r="M2608" i="6"/>
  <c r="K2609" i="6"/>
  <c r="M2609" i="6"/>
  <c r="M2610" i="6"/>
  <c r="K2611" i="6"/>
  <c r="M2611" i="6"/>
  <c r="K2612" i="6"/>
  <c r="M2612" i="6"/>
  <c r="K2613" i="6"/>
  <c r="M2613" i="6"/>
  <c r="M2614" i="6"/>
  <c r="K2615" i="6"/>
  <c r="M2615" i="6"/>
  <c r="K2616" i="6"/>
  <c r="M2616" i="6"/>
  <c r="K2617" i="6"/>
  <c r="M2617" i="6"/>
  <c r="M2618" i="6"/>
  <c r="K2619" i="6"/>
  <c r="M2619" i="6"/>
  <c r="K2620" i="6"/>
  <c r="M2620" i="6"/>
  <c r="K2621" i="6"/>
  <c r="M2621" i="6"/>
  <c r="M2622" i="6"/>
  <c r="K2623" i="6"/>
  <c r="M2623" i="6"/>
  <c r="K2624" i="6"/>
  <c r="M2624" i="6"/>
  <c r="K2625" i="6"/>
  <c r="M2625" i="6"/>
  <c r="M2626" i="6"/>
  <c r="K2627" i="6"/>
  <c r="M2627" i="6"/>
  <c r="K2628" i="6"/>
  <c r="M2628" i="6"/>
  <c r="K2629" i="6"/>
  <c r="M2629" i="6"/>
  <c r="M2630" i="6"/>
  <c r="K2631" i="6"/>
  <c r="M2631" i="6"/>
  <c r="K2632" i="6"/>
  <c r="M2632" i="6"/>
  <c r="K2633" i="6"/>
  <c r="M2633" i="6"/>
  <c r="M2634" i="6"/>
  <c r="K2635" i="6"/>
  <c r="M2635" i="6"/>
  <c r="K2636" i="6"/>
  <c r="M2636" i="6"/>
  <c r="K2637" i="6"/>
  <c r="M2637" i="6"/>
  <c r="M2638" i="6"/>
  <c r="K2639" i="6"/>
  <c r="M2639" i="6"/>
  <c r="K2640" i="6"/>
  <c r="M2640" i="6"/>
  <c r="K2641" i="6"/>
  <c r="M2641" i="6"/>
  <c r="M2642" i="6"/>
  <c r="K2643" i="6"/>
  <c r="M2643" i="6"/>
  <c r="K2644" i="6"/>
  <c r="M2644" i="6"/>
  <c r="K2645" i="6"/>
  <c r="M2645" i="6"/>
  <c r="M2646" i="6"/>
  <c r="K2647" i="6"/>
  <c r="M2647" i="6"/>
  <c r="K2648" i="6"/>
  <c r="M2648" i="6"/>
  <c r="K2649" i="6"/>
  <c r="M2649" i="6"/>
  <c r="M2650" i="6"/>
  <c r="K2651" i="6"/>
  <c r="M2651" i="6"/>
  <c r="K2652" i="6"/>
  <c r="M2652" i="6"/>
  <c r="K2653" i="6"/>
  <c r="M2653" i="6"/>
  <c r="M2654" i="6"/>
  <c r="K2655" i="6"/>
  <c r="M2655" i="6"/>
  <c r="K2656" i="6"/>
  <c r="M2656" i="6"/>
  <c r="K2657" i="6"/>
  <c r="M2657" i="6"/>
  <c r="M2658" i="6"/>
  <c r="K2659" i="6"/>
  <c r="M2659" i="6"/>
  <c r="K2660" i="6"/>
  <c r="M2660" i="6"/>
  <c r="K2661" i="6"/>
  <c r="M2661" i="6"/>
  <c r="M2662" i="6"/>
  <c r="K2663" i="6"/>
  <c r="M2663" i="6"/>
  <c r="K2664" i="6"/>
  <c r="M2664" i="6"/>
  <c r="K2665" i="6"/>
  <c r="M2665" i="6"/>
  <c r="M2666" i="6"/>
  <c r="K2667" i="6"/>
  <c r="M2667" i="6"/>
  <c r="K2668" i="6"/>
  <c r="M2668" i="6"/>
  <c r="K2669" i="6"/>
  <c r="M2669" i="6"/>
  <c r="M2670" i="6"/>
  <c r="K2671" i="6"/>
  <c r="M2671" i="6"/>
  <c r="K2672" i="6"/>
  <c r="M2672" i="6"/>
  <c r="K2673" i="6"/>
  <c r="M2673" i="6"/>
  <c r="M2674" i="6"/>
  <c r="K2675" i="6"/>
  <c r="M2675" i="6"/>
  <c r="K2676" i="6"/>
  <c r="M2676" i="6"/>
  <c r="K2677" i="6"/>
  <c r="M2677" i="6"/>
  <c r="M2678" i="6"/>
  <c r="K2679" i="6"/>
  <c r="M2679" i="6"/>
  <c r="K2680" i="6"/>
  <c r="M2680" i="6"/>
  <c r="K2681" i="6"/>
  <c r="M2681" i="6"/>
  <c r="M2682" i="6"/>
  <c r="K2683" i="6"/>
  <c r="M2683" i="6"/>
  <c r="K2684" i="6"/>
  <c r="M2684" i="6"/>
  <c r="K2685" i="6"/>
  <c r="M2685" i="6"/>
  <c r="M2686" i="6"/>
  <c r="K2687" i="6"/>
  <c r="M2687" i="6"/>
  <c r="K2688" i="6"/>
  <c r="M2688" i="6"/>
  <c r="K2689" i="6"/>
  <c r="M2689" i="6"/>
  <c r="M2690" i="6"/>
  <c r="K2691" i="6"/>
  <c r="M2691" i="6"/>
  <c r="K2692" i="6"/>
  <c r="M2692" i="6"/>
  <c r="K2693" i="6"/>
  <c r="M2693" i="6"/>
  <c r="M2694" i="6"/>
  <c r="K2695" i="6"/>
  <c r="M2695" i="6"/>
  <c r="K2696" i="6"/>
  <c r="M2696" i="6"/>
  <c r="K2697" i="6"/>
  <c r="M2697" i="6"/>
  <c r="M2698" i="6"/>
  <c r="K2699" i="6"/>
  <c r="M2699" i="6"/>
  <c r="K2700" i="6"/>
  <c r="M2700" i="6"/>
  <c r="K2701" i="6"/>
  <c r="M2701" i="6"/>
  <c r="M2702" i="6"/>
  <c r="K2703" i="6"/>
  <c r="M2703" i="6"/>
  <c r="K2704" i="6"/>
  <c r="M2704" i="6"/>
  <c r="K2705" i="6"/>
  <c r="M2705" i="6"/>
  <c r="M2706" i="6"/>
  <c r="K2707" i="6"/>
  <c r="M2707" i="6"/>
  <c r="K2708" i="6"/>
  <c r="M2708" i="6"/>
  <c r="K2709" i="6"/>
  <c r="M2709" i="6"/>
  <c r="M2710" i="6"/>
  <c r="K2711" i="6"/>
  <c r="M2711" i="6"/>
  <c r="K2712" i="6"/>
  <c r="M2712" i="6"/>
  <c r="K2713" i="6"/>
  <c r="M2713" i="6"/>
  <c r="M2714" i="6"/>
  <c r="K2715" i="6"/>
  <c r="M2715" i="6"/>
  <c r="K2716" i="6"/>
  <c r="M2716" i="6"/>
  <c r="K2717" i="6"/>
  <c r="M2717" i="6"/>
  <c r="M2718" i="6"/>
  <c r="K2719" i="6"/>
  <c r="M2719" i="6"/>
  <c r="K2720" i="6"/>
  <c r="M2720" i="6"/>
  <c r="K2721" i="6"/>
  <c r="M2721" i="6"/>
  <c r="M2722" i="6"/>
  <c r="K2723" i="6"/>
  <c r="M2723" i="6"/>
  <c r="K2724" i="6"/>
  <c r="M2724" i="6"/>
  <c r="K2725" i="6"/>
  <c r="M2725" i="6"/>
  <c r="M2726" i="6"/>
  <c r="K2727" i="6"/>
  <c r="M2727" i="6"/>
  <c r="K2728" i="6"/>
  <c r="M2728" i="6"/>
  <c r="K2729" i="6"/>
  <c r="M2729" i="6"/>
  <c r="M2730" i="6"/>
  <c r="K2731" i="6"/>
  <c r="M2731" i="6"/>
  <c r="K2732" i="6"/>
  <c r="M2732" i="6"/>
  <c r="K2733" i="6"/>
  <c r="M2733" i="6"/>
  <c r="M2734" i="6"/>
  <c r="K2735" i="6"/>
  <c r="M2735" i="6"/>
  <c r="K2736" i="6"/>
  <c r="M2736" i="6"/>
  <c r="K2737" i="6"/>
  <c r="M2737" i="6"/>
  <c r="M2738" i="6"/>
  <c r="K2739" i="6"/>
  <c r="M2739" i="6"/>
  <c r="K2740" i="6"/>
  <c r="M2740" i="6"/>
  <c r="K2741" i="6"/>
  <c r="M2741" i="6"/>
  <c r="M2742" i="6"/>
  <c r="K2743" i="6"/>
  <c r="M2743" i="6"/>
  <c r="K2744" i="6"/>
  <c r="M2744" i="6"/>
  <c r="K2745" i="6"/>
  <c r="M2745" i="6"/>
  <c r="M2746" i="6"/>
  <c r="K2747" i="6"/>
  <c r="M2747" i="6"/>
  <c r="K2748" i="6"/>
  <c r="M2748" i="6"/>
  <c r="K2749" i="6"/>
  <c r="M2749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10" i="6"/>
  <c r="N10" i="6" s="1"/>
  <c r="L16" i="6"/>
  <c r="N16" i="6" s="1"/>
  <c r="L22" i="6"/>
  <c r="N22" i="6" s="1"/>
  <c r="L26" i="6"/>
  <c r="N26" i="6" s="1"/>
  <c r="L34" i="6"/>
  <c r="N34" i="6" s="1"/>
  <c r="L38" i="6"/>
  <c r="N38" i="6" s="1"/>
  <c r="L42" i="6"/>
  <c r="N42" i="6" s="1"/>
  <c r="L45" i="6"/>
  <c r="L46" i="6"/>
  <c r="N46" i="6" s="1"/>
  <c r="L47" i="6"/>
  <c r="L50" i="6"/>
  <c r="N50" i="6" s="1"/>
  <c r="L51" i="6"/>
  <c r="L55" i="6"/>
  <c r="L59" i="6"/>
  <c r="L60" i="6"/>
  <c r="N60" i="6" s="1"/>
  <c r="L68" i="6"/>
  <c r="N68" i="6" s="1"/>
  <c r="L69" i="6"/>
  <c r="N69" i="6" s="1"/>
  <c r="L72" i="6"/>
  <c r="N72" i="6" s="1"/>
  <c r="L73" i="6"/>
  <c r="L77" i="6"/>
  <c r="L81" i="6"/>
  <c r="N81" i="6" s="1"/>
  <c r="L85" i="6"/>
  <c r="N85" i="6" s="1"/>
  <c r="L89" i="6"/>
  <c r="L91" i="6"/>
  <c r="L92" i="6"/>
  <c r="N92" i="6" s="1"/>
  <c r="L93" i="6"/>
  <c r="N93" i="6" s="1"/>
  <c r="L95" i="6"/>
  <c r="L96" i="6"/>
  <c r="N96" i="6" s="1"/>
  <c r="L97" i="6"/>
  <c r="N97" i="6" s="1"/>
  <c r="L99" i="6"/>
  <c r="L100" i="6"/>
  <c r="N100" i="6" s="1"/>
  <c r="L101" i="6"/>
  <c r="L103" i="6"/>
  <c r="L104" i="6"/>
  <c r="N104" i="6" s="1"/>
  <c r="L105" i="6"/>
  <c r="L107" i="6"/>
  <c r="L108" i="6"/>
  <c r="N108" i="6" s="1"/>
  <c r="L109" i="6"/>
  <c r="N109" i="6" s="1"/>
  <c r="L111" i="6"/>
  <c r="L112" i="6"/>
  <c r="N112" i="6" s="1"/>
  <c r="L113" i="6"/>
  <c r="N113" i="6" s="1"/>
  <c r="L115" i="6"/>
  <c r="L116" i="6"/>
  <c r="N116" i="6" s="1"/>
  <c r="L117" i="6"/>
  <c r="L119" i="6"/>
  <c r="L120" i="6"/>
  <c r="N120" i="6" s="1"/>
  <c r="L121" i="6"/>
  <c r="L123" i="6"/>
  <c r="L124" i="6"/>
  <c r="N124" i="6" s="1"/>
  <c r="L125" i="6"/>
  <c r="N125" i="6" s="1"/>
  <c r="L127" i="6"/>
  <c r="L128" i="6"/>
  <c r="N128" i="6" s="1"/>
  <c r="L129" i="6"/>
  <c r="N129" i="6" s="1"/>
  <c r="L131" i="6"/>
  <c r="L132" i="6"/>
  <c r="N132" i="6" s="1"/>
  <c r="L133" i="6"/>
  <c r="L135" i="6"/>
  <c r="L136" i="6"/>
  <c r="N136" i="6" s="1"/>
  <c r="L137" i="6"/>
  <c r="L139" i="6"/>
  <c r="L140" i="6"/>
  <c r="N140" i="6" s="1"/>
  <c r="L141" i="6"/>
  <c r="N141" i="6" s="1"/>
  <c r="L143" i="6"/>
  <c r="L144" i="6"/>
  <c r="N144" i="6" s="1"/>
  <c r="L145" i="6"/>
  <c r="N145" i="6" s="1"/>
  <c r="L147" i="6"/>
  <c r="L148" i="6"/>
  <c r="N148" i="6" s="1"/>
  <c r="L149" i="6"/>
  <c r="L151" i="6"/>
  <c r="L152" i="6"/>
  <c r="N152" i="6" s="1"/>
  <c r="L153" i="6"/>
  <c r="L155" i="6"/>
  <c r="L156" i="6"/>
  <c r="N156" i="6" s="1"/>
  <c r="L157" i="6"/>
  <c r="N157" i="6" s="1"/>
  <c r="L159" i="6"/>
  <c r="L160" i="6"/>
  <c r="N160" i="6" s="1"/>
  <c r="L161" i="6"/>
  <c r="N161" i="6" s="1"/>
  <c r="L163" i="6"/>
  <c r="N163" i="6" s="1"/>
  <c r="L164" i="6"/>
  <c r="N164" i="6" s="1"/>
  <c r="L165" i="6"/>
  <c r="L167" i="6"/>
  <c r="L168" i="6"/>
  <c r="N168" i="6" s="1"/>
  <c r="L169" i="6"/>
  <c r="L171" i="6"/>
  <c r="L172" i="6"/>
  <c r="N172" i="6" s="1"/>
  <c r="L173" i="6"/>
  <c r="N173" i="6" s="1"/>
  <c r="L175" i="6"/>
  <c r="L176" i="6"/>
  <c r="N176" i="6" s="1"/>
  <c r="L177" i="6"/>
  <c r="N177" i="6" s="1"/>
  <c r="L179" i="6"/>
  <c r="L180" i="6"/>
  <c r="N180" i="6" s="1"/>
  <c r="L181" i="6"/>
  <c r="L183" i="6"/>
  <c r="L184" i="6"/>
  <c r="N184" i="6" s="1"/>
  <c r="L185" i="6"/>
  <c r="L187" i="6"/>
  <c r="L188" i="6"/>
  <c r="N188" i="6" s="1"/>
  <c r="L189" i="6"/>
  <c r="N189" i="6" s="1"/>
  <c r="L191" i="6"/>
  <c r="L192" i="6"/>
  <c r="N192" i="6" s="1"/>
  <c r="L193" i="6"/>
  <c r="L195" i="6"/>
  <c r="L196" i="6"/>
  <c r="N196" i="6" s="1"/>
  <c r="L197" i="6"/>
  <c r="L199" i="6"/>
  <c r="L200" i="6"/>
  <c r="N200" i="6" s="1"/>
  <c r="L201" i="6"/>
  <c r="L203" i="6"/>
  <c r="N203" i="6" s="1"/>
  <c r="L204" i="6"/>
  <c r="N204" i="6" s="1"/>
  <c r="L205" i="6"/>
  <c r="L207" i="6"/>
  <c r="N207" i="6" s="1"/>
  <c r="L208" i="6"/>
  <c r="N208" i="6" s="1"/>
  <c r="L209" i="6"/>
  <c r="N209" i="6" s="1"/>
  <c r="L210" i="6"/>
  <c r="N210" i="6" s="1"/>
  <c r="L211" i="6"/>
  <c r="N211" i="6" s="1"/>
  <c r="L212" i="6"/>
  <c r="N212" i="6" s="1"/>
  <c r="L213" i="6"/>
  <c r="N213" i="6" s="1"/>
  <c r="L214" i="6"/>
  <c r="N214" i="6" s="1"/>
  <c r="L215" i="6"/>
  <c r="N215" i="6" s="1"/>
  <c r="L216" i="6"/>
  <c r="N216" i="6" s="1"/>
  <c r="L217" i="6"/>
  <c r="N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N223" i="6" s="1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N229" i="6" s="1"/>
  <c r="L230" i="6"/>
  <c r="N230" i="6" s="1"/>
  <c r="L231" i="6"/>
  <c r="N231" i="6" s="1"/>
  <c r="L232" i="6"/>
  <c r="N232" i="6" s="1"/>
  <c r="L233" i="6"/>
  <c r="N233" i="6" s="1"/>
  <c r="L234" i="6"/>
  <c r="N234" i="6" s="1"/>
  <c r="L235" i="6"/>
  <c r="N235" i="6" s="1"/>
  <c r="L236" i="6"/>
  <c r="N236" i="6" s="1"/>
  <c r="L237" i="6"/>
  <c r="N237" i="6" s="1"/>
  <c r="L238" i="6"/>
  <c r="N238" i="6" s="1"/>
  <c r="L239" i="6"/>
  <c r="N239" i="6" s="1"/>
  <c r="L240" i="6"/>
  <c r="N240" i="6" s="1"/>
  <c r="L241" i="6"/>
  <c r="N241" i="6" s="1"/>
  <c r="L242" i="6"/>
  <c r="N242" i="6" s="1"/>
  <c r="L243" i="6"/>
  <c r="N243" i="6" s="1"/>
  <c r="L244" i="6"/>
  <c r="N244" i="6" s="1"/>
  <c r="L245" i="6"/>
  <c r="N245" i="6" s="1"/>
  <c r="L246" i="6"/>
  <c r="N246" i="6" s="1"/>
  <c r="L247" i="6"/>
  <c r="N247" i="6" s="1"/>
  <c r="L248" i="6"/>
  <c r="N248" i="6" s="1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N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N266" i="6" s="1"/>
  <c r="L267" i="6"/>
  <c r="N267" i="6" s="1"/>
  <c r="L268" i="6"/>
  <c r="N268" i="6" s="1"/>
  <c r="L269" i="6"/>
  <c r="N269" i="6" s="1"/>
  <c r="L270" i="6"/>
  <c r="N270" i="6" s="1"/>
  <c r="L271" i="6"/>
  <c r="N271" i="6" s="1"/>
  <c r="L272" i="6"/>
  <c r="N272" i="6" s="1"/>
  <c r="L273" i="6"/>
  <c r="N273" i="6" s="1"/>
  <c r="L274" i="6"/>
  <c r="N274" i="6" s="1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K3227" i="6" l="1"/>
  <c r="M264" i="6"/>
  <c r="N86" i="6"/>
  <c r="N82" i="6"/>
  <c r="N78" i="6"/>
  <c r="N74" i="6"/>
  <c r="K69" i="6"/>
  <c r="M69" i="6" s="1"/>
  <c r="M257" i="6"/>
  <c r="M253" i="6"/>
  <c r="M241" i="6"/>
  <c r="M237" i="6"/>
  <c r="M225" i="6"/>
  <c r="M221" i="6"/>
  <c r="M209" i="6"/>
  <c r="N181" i="6"/>
  <c r="N149" i="6"/>
  <c r="N133" i="6"/>
  <c r="N117" i="6"/>
  <c r="N101" i="6"/>
  <c r="N77" i="6"/>
  <c r="N45" i="6"/>
  <c r="N14" i="6"/>
  <c r="N201" i="6"/>
  <c r="N185" i="6"/>
  <c r="N169" i="6"/>
  <c r="N153" i="6"/>
  <c r="N137" i="6"/>
  <c r="N121" i="6"/>
  <c r="N105" i="6"/>
  <c r="N89" i="6"/>
  <c r="N73" i="6"/>
  <c r="N41" i="6"/>
  <c r="N37" i="6"/>
  <c r="N33" i="6"/>
  <c r="N29" i="6"/>
  <c r="N25" i="6"/>
  <c r="N21" i="6"/>
  <c r="N17" i="6"/>
  <c r="N13" i="6"/>
  <c r="N9" i="6"/>
  <c r="N5" i="6"/>
  <c r="K15" i="6"/>
  <c r="M15" i="6" s="1"/>
  <c r="K56" i="6"/>
  <c r="M56" i="6" s="1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474" i="6"/>
  <c r="K45" i="6"/>
  <c r="M45" i="6" s="1"/>
  <c r="K52" i="6"/>
  <c r="M52" i="6" s="1"/>
  <c r="N146" i="6"/>
  <c r="N150" i="6"/>
  <c r="N166" i="6"/>
  <c r="N170" i="6"/>
  <c r="N178" i="6"/>
  <c r="N182" i="6"/>
  <c r="N190" i="6"/>
  <c r="N194" i="6"/>
  <c r="N206" i="6"/>
  <c r="K3251" i="6"/>
  <c r="M205" i="6"/>
  <c r="M201" i="6"/>
  <c r="M197" i="6"/>
  <c r="M189" i="6"/>
  <c r="M185" i="6"/>
  <c r="M181" i="6"/>
  <c r="M177" i="6"/>
  <c r="M173" i="6"/>
  <c r="M169" i="6"/>
  <c r="M161" i="6"/>
  <c r="M157" i="6"/>
  <c r="M153" i="6"/>
  <c r="M149" i="6"/>
  <c r="M145" i="6"/>
  <c r="M141" i="6"/>
  <c r="M137" i="6"/>
  <c r="M133" i="6"/>
  <c r="M129" i="6"/>
  <c r="M125" i="6"/>
  <c r="M121" i="6"/>
  <c r="M117" i="6"/>
  <c r="M113" i="6"/>
  <c r="M109" i="6"/>
  <c r="M105" i="6"/>
  <c r="M97" i="6"/>
  <c r="M93" i="6"/>
  <c r="M73" i="6"/>
  <c r="N57" i="6"/>
  <c r="N49" i="6"/>
  <c r="K36" i="6"/>
  <c r="M36" i="6" s="1"/>
  <c r="K28" i="6"/>
  <c r="M28" i="6" s="1"/>
  <c r="K20" i="6"/>
  <c r="M20" i="6" s="1"/>
  <c r="K16" i="6"/>
  <c r="M16" i="6" s="1"/>
  <c r="K12" i="6"/>
  <c r="M12" i="6" s="1"/>
  <c r="K8" i="6"/>
  <c r="M8" i="6" s="1"/>
  <c r="K4" i="6"/>
  <c r="M4" i="6" s="1"/>
  <c r="K43" i="6"/>
  <c r="K39" i="6"/>
  <c r="K35" i="6"/>
  <c r="K31" i="6"/>
  <c r="M31" i="6" s="1"/>
  <c r="K27" i="6"/>
  <c r="K23" i="6"/>
  <c r="K19" i="6"/>
  <c r="K48" i="6"/>
  <c r="M48" i="6" s="1"/>
  <c r="K86" i="6"/>
  <c r="K82" i="6"/>
  <c r="M82" i="6" s="1"/>
  <c r="K78" i="6"/>
  <c r="M78" i="6" s="1"/>
  <c r="K74" i="6"/>
  <c r="M74" i="6" s="1"/>
  <c r="K65" i="6"/>
  <c r="M65" i="6" s="1"/>
  <c r="K61" i="6"/>
  <c r="M61" i="6" s="1"/>
  <c r="N90" i="6"/>
  <c r="N94" i="6"/>
  <c r="N98" i="6"/>
  <c r="N102" i="6"/>
  <c r="N106" i="6"/>
  <c r="N110" i="6"/>
  <c r="N114" i="6"/>
  <c r="N118" i="6"/>
  <c r="N122" i="6"/>
  <c r="N126" i="6"/>
  <c r="N130" i="6"/>
  <c r="N134" i="6"/>
  <c r="N138" i="6"/>
  <c r="N142" i="6"/>
  <c r="N154" i="6"/>
  <c r="N158" i="6"/>
  <c r="N162" i="6"/>
  <c r="N174" i="6"/>
  <c r="N186" i="6"/>
  <c r="N198" i="6"/>
  <c r="N202" i="6"/>
  <c r="M180" i="6"/>
  <c r="M168" i="6"/>
  <c r="K3759" i="6"/>
  <c r="M208" i="6"/>
  <c r="M188" i="6"/>
  <c r="M184" i="6"/>
  <c r="M164" i="6"/>
  <c r="K686" i="6"/>
  <c r="K682" i="6"/>
  <c r="K678" i="6"/>
  <c r="K674" i="6"/>
  <c r="K670" i="6"/>
  <c r="K666" i="6"/>
  <c r="K662" i="6"/>
  <c r="K658" i="6"/>
  <c r="K654" i="6"/>
  <c r="K4163" i="6"/>
  <c r="K4119" i="6"/>
  <c r="K24" i="6"/>
  <c r="M24" i="6" s="1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K394" i="6"/>
  <c r="K390" i="6"/>
  <c r="K386" i="6"/>
  <c r="K382" i="6"/>
  <c r="K378" i="6"/>
  <c r="K374" i="6"/>
  <c r="K370" i="6"/>
  <c r="K366" i="6"/>
  <c r="K362" i="6"/>
  <c r="K358" i="6"/>
  <c r="K354" i="6"/>
  <c r="K350" i="6"/>
  <c r="M86" i="6"/>
  <c r="M58" i="6"/>
  <c r="M54" i="6"/>
  <c r="M50" i="6"/>
  <c r="M46" i="6"/>
  <c r="N58" i="6"/>
  <c r="N54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53" i="6"/>
  <c r="M53" i="6" s="1"/>
  <c r="L44" i="6"/>
  <c r="N44" i="6" s="1"/>
  <c r="K44" i="6"/>
  <c r="M44" i="6" s="1"/>
  <c r="K3039" i="6"/>
  <c r="K3235" i="6"/>
  <c r="K3275" i="6"/>
  <c r="K3303" i="6"/>
  <c r="N30" i="6"/>
  <c r="N18" i="6"/>
  <c r="N6" i="6"/>
  <c r="L8" i="6"/>
  <c r="N8" i="6" s="1"/>
  <c r="K7" i="6"/>
  <c r="K3" i="6"/>
  <c r="M3" i="6" s="1"/>
  <c r="L28" i="6"/>
  <c r="N28" i="6" s="1"/>
  <c r="K57" i="6"/>
  <c r="M57" i="6" s="1"/>
  <c r="K49" i="6"/>
  <c r="K40" i="6"/>
  <c r="M40" i="6" s="1"/>
  <c r="L53" i="6"/>
  <c r="N53" i="6" s="1"/>
  <c r="L20" i="6"/>
  <c r="N20" i="6" s="1"/>
  <c r="L12" i="6"/>
  <c r="N12" i="6" s="1"/>
  <c r="K32" i="6"/>
  <c r="M32" i="6" s="1"/>
  <c r="K3095" i="6"/>
  <c r="K3163" i="6"/>
  <c r="K3371" i="6"/>
  <c r="K3351" i="6"/>
  <c r="K3147" i="6"/>
  <c r="K3355" i="6"/>
  <c r="N3171" i="6"/>
  <c r="K3167" i="6"/>
  <c r="K3151" i="6"/>
  <c r="K3327" i="6"/>
  <c r="K3391" i="6"/>
  <c r="K3315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L36" i="6"/>
  <c r="N36" i="6" s="1"/>
  <c r="L4" i="6"/>
  <c r="N4" i="6" s="1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70" i="6"/>
  <c r="M70" i="6" s="1"/>
  <c r="K66" i="6"/>
  <c r="M66" i="6" s="1"/>
  <c r="K62" i="6"/>
  <c r="M62" i="6" s="1"/>
  <c r="K431" i="6"/>
  <c r="K427" i="6"/>
  <c r="K423" i="6"/>
  <c r="K419" i="6"/>
  <c r="K415" i="6"/>
  <c r="K411" i="6"/>
  <c r="K407" i="6"/>
  <c r="K403" i="6"/>
  <c r="K399" i="6"/>
  <c r="K395" i="6"/>
  <c r="K391" i="6"/>
  <c r="K387" i="6"/>
  <c r="K383" i="6"/>
  <c r="K379" i="6"/>
  <c r="K375" i="6"/>
  <c r="K371" i="6"/>
  <c r="K367" i="6"/>
  <c r="K363" i="6"/>
  <c r="K359" i="6"/>
  <c r="K355" i="6"/>
  <c r="K351" i="6"/>
  <c r="K347" i="6"/>
  <c r="K343" i="6"/>
  <c r="K339" i="6"/>
  <c r="K335" i="6"/>
  <c r="K331" i="6"/>
  <c r="K327" i="6"/>
  <c r="K323" i="6"/>
  <c r="K319" i="6"/>
  <c r="K315" i="6"/>
  <c r="K311" i="6"/>
  <c r="K307" i="6"/>
  <c r="K303" i="6"/>
  <c r="K299" i="6"/>
  <c r="K295" i="6"/>
  <c r="K291" i="6"/>
  <c r="K287" i="6"/>
  <c r="K283" i="6"/>
  <c r="K279" i="6"/>
  <c r="K275" i="6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K127" i="6"/>
  <c r="M127" i="6" s="1"/>
  <c r="K123" i="6"/>
  <c r="M123" i="6" s="1"/>
  <c r="K119" i="6"/>
  <c r="M119" i="6" s="1"/>
  <c r="K115" i="6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60" i="6"/>
  <c r="M60" i="6" s="1"/>
  <c r="K11" i="6"/>
  <c r="M11" i="6" s="1"/>
  <c r="K346" i="6"/>
  <c r="K342" i="6"/>
  <c r="K338" i="6"/>
  <c r="K334" i="6"/>
  <c r="K330" i="6"/>
  <c r="K326" i="6"/>
  <c r="K322" i="6"/>
  <c r="K318" i="6"/>
  <c r="K314" i="6"/>
  <c r="K310" i="6"/>
  <c r="K306" i="6"/>
  <c r="K302" i="6"/>
  <c r="K298" i="6"/>
  <c r="K294" i="6"/>
  <c r="K290" i="6"/>
  <c r="K286" i="6"/>
  <c r="K282" i="6"/>
  <c r="K278" i="6"/>
  <c r="K274" i="6"/>
  <c r="M274" i="6" s="1"/>
  <c r="K270" i="6"/>
  <c r="M270" i="6" s="1"/>
  <c r="K266" i="6"/>
  <c r="M266" i="6" s="1"/>
  <c r="K262" i="6"/>
  <c r="M262" i="6" s="1"/>
  <c r="K258" i="6"/>
  <c r="M258" i="6" s="1"/>
  <c r="K254" i="6"/>
  <c r="M254" i="6" s="1"/>
  <c r="K250" i="6"/>
  <c r="M250" i="6" s="1"/>
  <c r="K246" i="6"/>
  <c r="M246" i="6" s="1"/>
  <c r="K242" i="6"/>
  <c r="M242" i="6" s="1"/>
  <c r="K238" i="6"/>
  <c r="M238" i="6" s="1"/>
  <c r="K234" i="6"/>
  <c r="M234" i="6" s="1"/>
  <c r="K230" i="6"/>
  <c r="M230" i="6" s="1"/>
  <c r="K226" i="6"/>
  <c r="M226" i="6" s="1"/>
  <c r="K222" i="6"/>
  <c r="M222" i="6" s="1"/>
  <c r="K218" i="6"/>
  <c r="M218" i="6" s="1"/>
  <c r="K214" i="6"/>
  <c r="M214" i="6" s="1"/>
  <c r="K210" i="6"/>
  <c r="M210" i="6" s="1"/>
  <c r="K206" i="6"/>
  <c r="M206" i="6" s="1"/>
  <c r="K202" i="6"/>
  <c r="M202" i="6" s="1"/>
  <c r="K198" i="6"/>
  <c r="M198" i="6" s="1"/>
  <c r="K194" i="6"/>
  <c r="M194" i="6" s="1"/>
  <c r="K190" i="6"/>
  <c r="M190" i="6" s="1"/>
  <c r="K186" i="6"/>
  <c r="M186" i="6" s="1"/>
  <c r="K182" i="6"/>
  <c r="M182" i="6" s="1"/>
  <c r="K178" i="6"/>
  <c r="M178" i="6" s="1"/>
  <c r="K174" i="6"/>
  <c r="M174" i="6" s="1"/>
  <c r="K170" i="6"/>
  <c r="M170" i="6" s="1"/>
  <c r="K166" i="6"/>
  <c r="M166" i="6" s="1"/>
  <c r="K162" i="6"/>
  <c r="M162" i="6" s="1"/>
  <c r="K158" i="6"/>
  <c r="M158" i="6" s="1"/>
  <c r="K154" i="6"/>
  <c r="M154" i="6" s="1"/>
  <c r="K150" i="6"/>
  <c r="M150" i="6" s="1"/>
  <c r="K146" i="6"/>
  <c r="M146" i="6" s="1"/>
  <c r="K142" i="6"/>
  <c r="M142" i="6" s="1"/>
  <c r="K138" i="6"/>
  <c r="M138" i="6" s="1"/>
  <c r="K134" i="6"/>
  <c r="M134" i="6" s="1"/>
  <c r="K130" i="6"/>
  <c r="M130" i="6" s="1"/>
  <c r="K126" i="6"/>
  <c r="M126" i="6" s="1"/>
  <c r="K122" i="6"/>
  <c r="M122" i="6" s="1"/>
  <c r="K118" i="6"/>
  <c r="M118" i="6" s="1"/>
  <c r="K114" i="6"/>
  <c r="M114" i="6" s="1"/>
  <c r="K110" i="6"/>
  <c r="M110" i="6" s="1"/>
  <c r="K106" i="6"/>
  <c r="M106" i="6" s="1"/>
  <c r="K102" i="6"/>
  <c r="M102" i="6" s="1"/>
  <c r="K98" i="6"/>
  <c r="M98" i="6" s="1"/>
  <c r="K94" i="6"/>
  <c r="M94" i="6" s="1"/>
  <c r="K90" i="6"/>
  <c r="M90" i="6" s="1"/>
  <c r="K3883" i="6"/>
  <c r="K3867" i="6"/>
  <c r="K3851" i="6"/>
  <c r="K3779" i="6"/>
  <c r="K3775" i="6"/>
  <c r="K3771" i="6"/>
  <c r="K3751" i="6"/>
  <c r="K3743" i="6"/>
  <c r="K3683" i="6"/>
  <c r="K3675" i="6"/>
  <c r="K3719" i="6"/>
  <c r="K3715" i="6"/>
  <c r="M39" i="6"/>
  <c r="K34" i="6"/>
  <c r="M34" i="6" s="1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M165" i="6"/>
  <c r="N59" i="6"/>
  <c r="N55" i="6"/>
  <c r="N23" i="6"/>
  <c r="N7" i="6"/>
  <c r="N3" i="6"/>
  <c r="M159" i="6"/>
  <c r="N205" i="6"/>
  <c r="N197" i="6"/>
  <c r="N193" i="6"/>
  <c r="N165" i="6"/>
  <c r="N51" i="6"/>
  <c r="N47" i="6"/>
  <c r="N43" i="6"/>
  <c r="N39" i="6"/>
  <c r="N35" i="6"/>
  <c r="N31" i="6"/>
  <c r="N27" i="6"/>
  <c r="M193" i="6"/>
  <c r="K89" i="6"/>
  <c r="M89" i="6" s="1"/>
  <c r="K85" i="6"/>
  <c r="K81" i="6"/>
  <c r="K77" i="6"/>
  <c r="M77" i="6" s="1"/>
  <c r="K72" i="6"/>
  <c r="M72" i="6" s="1"/>
  <c r="K64" i="6"/>
  <c r="M64" i="6" s="1"/>
  <c r="K3611" i="6"/>
  <c r="K3599" i="6"/>
  <c r="K3443" i="6"/>
  <c r="K3399" i="6"/>
  <c r="K3287" i="6"/>
  <c r="K3271" i="6"/>
  <c r="K3263" i="6"/>
  <c r="K3243" i="6"/>
  <c r="K3231" i="6"/>
  <c r="K3211" i="6"/>
  <c r="K3099" i="6"/>
  <c r="K3575" i="6"/>
  <c r="K3551" i="6"/>
  <c r="K3535" i="6"/>
  <c r="K3515" i="6"/>
  <c r="K3511" i="6"/>
  <c r="K3507" i="6"/>
  <c r="K3463" i="6"/>
  <c r="K3455" i="6"/>
  <c r="K3403" i="6"/>
  <c r="K3379" i="6"/>
  <c r="K3359" i="6"/>
  <c r="M199" i="6"/>
  <c r="M131" i="6"/>
  <c r="M115" i="6"/>
  <c r="M59" i="6"/>
  <c r="M43" i="6"/>
  <c r="M35" i="6"/>
  <c r="M27" i="6"/>
  <c r="M23" i="6"/>
  <c r="M19" i="6"/>
  <c r="M7" i="6"/>
  <c r="K42" i="6"/>
  <c r="M42" i="6" s="1"/>
  <c r="K38" i="6"/>
  <c r="M38" i="6" s="1"/>
  <c r="K30" i="6"/>
  <c r="M30" i="6" s="1"/>
  <c r="K3659" i="6"/>
  <c r="K3587" i="6"/>
  <c r="K3491" i="6"/>
  <c r="K3419" i="6"/>
  <c r="K3411" i="6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3119" i="6"/>
  <c r="K3023" i="6"/>
  <c r="K3175" i="6"/>
  <c r="K88" i="6"/>
  <c r="M88" i="6" s="1"/>
  <c r="K84" i="6"/>
  <c r="M84" i="6" s="1"/>
  <c r="K80" i="6"/>
  <c r="M80" i="6" s="1"/>
  <c r="K76" i="6"/>
  <c r="M76" i="6" s="1"/>
  <c r="K71" i="6"/>
  <c r="M71" i="6" s="1"/>
  <c r="K67" i="6"/>
  <c r="M67" i="6" s="1"/>
  <c r="K63" i="6"/>
  <c r="M63" i="6" s="1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N2" i="6"/>
  <c r="K3219" i="6"/>
  <c r="E10" i="8"/>
  <c r="M83" i="6"/>
  <c r="M49" i="6"/>
  <c r="M85" i="6"/>
  <c r="M81" i="6"/>
  <c r="M55" i="6"/>
  <c r="M51" i="6"/>
  <c r="M47" i="6"/>
</calcChain>
</file>

<file path=xl/sharedStrings.xml><?xml version="1.0" encoding="utf-8"?>
<sst xmlns="http://schemas.openxmlformats.org/spreadsheetml/2006/main" count="4320" uniqueCount="853">
  <si>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</si>
  <si>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</si>
  <si>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</si>
  <si>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</si>
  <si>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</si>
  <si>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</si>
  <si>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</si>
  <si>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</si>
  <si>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</si>
  <si>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</si>
  <si>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</si>
  <si>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</si>
  <si>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</si>
  <si>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</si>
  <si>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</si>
  <si>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</si>
  <si>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</si>
  <si>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</si>
  <si>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</si>
  <si>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</si>
  <si>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</si>
  <si>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</si>
  <si>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</si>
  <si>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</si>
  <si>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</si>
  <si>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</si>
  <si>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</si>
  <si>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</si>
  <si>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</si>
  <si>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</si>
  <si>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</si>
  <si>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</si>
  <si>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</si>
  <si>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</si>
  <si>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</si>
  <si>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</si>
  <si>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</si>
  <si>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</si>
  <si>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</si>
  <si>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</si>
  <si>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</si>
  <si>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</si>
  <si>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</si>
  <si>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</si>
  <si>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</si>
  <si>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</si>
  <si>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</si>
  <si>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</si>
  <si>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</si>
  <si>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</si>
  <si>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</si>
  <si>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</si>
  <si>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</si>
  <si>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</si>
  <si>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alp_ecom_conversao_ecom_facebook_social_carrossel_social_got_curte-havaianas_cpc_1080x1080_111122</t>
  </si>
  <si>
    <t>242863374</t>
  </si>
  <si>
    <t>439371379</t>
  </si>
  <si>
    <t>alp_ecom_conversao_ecom_facebook_social_carrossel_social_got_interesse-got_cpc_1080x1080_111122</t>
  </si>
  <si>
    <t>242863353</t>
  </si>
  <si>
    <t>439371358</t>
  </si>
  <si>
    <t>alp_ecom_conversao_ecom_facebook_social_carrossel_social_got_look-1-mobile_cpc_1080x1080_111122</t>
  </si>
  <si>
    <t>242863368</t>
  </si>
  <si>
    <t>439371373</t>
  </si>
  <si>
    <t>alp_ecom_conversao_ecom_facebook_social_carrossel_social_got_rmk-30-mobile_cpc_1080x1080_111122</t>
  </si>
  <si>
    <t>242863356</t>
  </si>
  <si>
    <t>439371361</t>
  </si>
  <si>
    <t>alp_ecom_conversao_ecom_facebook_social_pagepost_social_alpargatas-soft_curte-havaianas_cpc_1200x628_111117</t>
  </si>
  <si>
    <t>242342643</t>
  </si>
  <si>
    <t>438874479</t>
  </si>
  <si>
    <t>alp_ecom_conversao_ecom_facebook_social_pagepost_social_alpargatas-soft_look-1-desk_cpc_1200x628_111117</t>
  </si>
  <si>
    <t>242342640</t>
  </si>
  <si>
    <t>438874476</t>
  </si>
  <si>
    <t>alp_ecom_conversao_ecom_facebook_social_pagepost_social_got_curte-havaianas_cpc_1200x628_111121</t>
  </si>
  <si>
    <t>242863398</t>
  </si>
  <si>
    <t>439371403</t>
  </si>
  <si>
    <t>alp_ecom_conversao_ecom_facebook_social_pagepost_social_got_interesse-got_cpc_1200x628_111121</t>
  </si>
  <si>
    <t>242863377</t>
  </si>
  <si>
    <t>439371382</t>
  </si>
  <si>
    <t>alp_ecom_conversao_ecom_facebook_social_pagepost_social_got_look-1-desk_cpc_1200x628_111121</t>
  </si>
  <si>
    <t>242863395</t>
  </si>
  <si>
    <t>439371400</t>
  </si>
  <si>
    <t>alp_ecom_conversao_ecom_facebook_social_pagepost_social_got_look-1-mobile_cpc_1200x628_111121</t>
  </si>
  <si>
    <t>242863392</t>
  </si>
  <si>
    <t>439371397</t>
  </si>
  <si>
    <t>alp_ecom_conversao_ecom_facebook_social_pagepost_social_got_look-2-desk_cpc_1200x628_111121</t>
  </si>
  <si>
    <t>242863389</t>
  </si>
  <si>
    <t>439371394</t>
  </si>
  <si>
    <t>alp_ecom_conversao_ecom_facebook_social_pagepost_social_got_look-2-mobile_cpc_1200x628_111121</t>
  </si>
  <si>
    <t>242863386</t>
  </si>
  <si>
    <t>439371391</t>
  </si>
  <si>
    <t>alp_ecom_conversao_ecom_facebook_social_pagepost_social_got_rmk-30-mobile_cpc_1200x628_111121</t>
  </si>
  <si>
    <t>242863380</t>
  </si>
  <si>
    <t>439371385</t>
  </si>
  <si>
    <t>alp_ecom_conversao_ecom_facebook_social_pagepost_social_got_rmk-30_cpc_1200x628_111121</t>
  </si>
  <si>
    <t>242863383</t>
  </si>
  <si>
    <t>439371388</t>
  </si>
  <si>
    <t>alp_ecom_conversao_ecom_facebook_social_pagepost_social_harry-potter_look-1-desk_cpc_1200x628_111119</t>
  </si>
  <si>
    <t>242342682</t>
  </si>
  <si>
    <t>438874518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</si>
  <si>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</si>
  <si>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</si>
  <si>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</si>
  <si>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</si>
  <si>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</si>
  <si>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</si>
  <si>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alp_ecom_conversao_ecom_facebook_social_pagepost_social_rasteiras-you_look-1-desk_cpc_1200x628_111113</t>
  </si>
  <si>
    <t>242206014</t>
  </si>
  <si>
    <t>438842630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</si>
  <si>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</si>
  <si>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</si>
  <si>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</si>
  <si>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alp_ecom_conversao_ecom_facebook_social_pagepost_social_rasteiras-you_look-2-desk_cpc_1200x628_111113</t>
  </si>
  <si>
    <t>242206011</t>
  </si>
  <si>
    <t>438842627</t>
  </si>
  <si>
    <t>alp_ecom_conversao_ecom_facebook_social_pagepost_social_rasteiras-you_look-2-mobile_cpc_1200x628_111113</t>
  </si>
  <si>
    <t>242206005</t>
  </si>
  <si>
    <t>438842621</t>
  </si>
  <si>
    <t>alp_ecom_conversao_ecom_facebook_social_pagepost_social_rasteiras-you_rmk-30-mobile_cpc_1200x628_111113</t>
  </si>
  <si>
    <t>242206008</t>
  </si>
  <si>
    <t>438842624</t>
  </si>
  <si>
    <t>alp_ecom_conversao_ecom_facebook_social_pagepost_social_rasteiras-you_rmk-30_cpc_1200x628_111113</t>
  </si>
  <si>
    <t>242206020</t>
  </si>
  <si>
    <t>438842636</t>
  </si>
  <si>
    <t>alp_ecom_conversao_ecom_facebook_social_pagepost_social_simpsons_curte-havaianas_cpc_1200x628_111116</t>
  </si>
  <si>
    <t>242342664</t>
  </si>
  <si>
    <t>438874500</t>
  </si>
  <si>
    <t>alp_ecom_conversao_ecom_facebook_social_pagepost_social_slim-pets_look-10_cpc_1200x628_111124</t>
  </si>
  <si>
    <t>243056646</t>
  </si>
  <si>
    <t>439566910</t>
  </si>
  <si>
    <t>243623883</t>
  </si>
  <si>
    <t>440131555</t>
  </si>
  <si>
    <t>alp_marca</t>
  </si>
  <si>
    <t>Elhombre_Puig</t>
  </si>
  <si>
    <t>242963447</t>
  </si>
  <si>
    <t>439773337</t>
  </si>
  <si>
    <t>243290121</t>
  </si>
  <si>
    <t>439773376</t>
  </si>
  <si>
    <t>243290136</t>
  </si>
  <si>
    <t>439764581</t>
  </si>
  <si>
    <t>243290370</t>
  </si>
  <si>
    <t>439674651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</si>
  <si>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</si>
  <si>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</si>
  <si>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</si>
  <si>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</si>
  <si>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</si>
  <si>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</si>
  <si>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</si>
  <si>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Catraca Livre</t>
  </si>
  <si>
    <t>alp_ecom_conversao_ecom_catraca-livre_conteudo-veiculo_publieditorial_social_dia-das-maes_all_fixo_no-size_111168</t>
  </si>
  <si>
    <t>245950312</t>
  </si>
  <si>
    <t>442463052</t>
  </si>
  <si>
    <t>Instagram</t>
  </si>
  <si>
    <t>alp_ecom_conversao_ecom_instagram_social_stories_social_dia-das-maes_all_cpm_de-5s-ate-10s_111157</t>
  </si>
  <si>
    <t>245414191</t>
  </si>
  <si>
    <t>442093346</t>
  </si>
  <si>
    <t>alp_ecom_conversao_ecom_instagram_social_stories_social_dia-das-maes_all_cpm_de-5s-ate-10s_111158</t>
  </si>
  <si>
    <t>245444752</t>
  </si>
  <si>
    <t>442146295</t>
  </si>
  <si>
    <t>alp_ecom_conversao_ecom_instagram_social_stories_social_slim-pets_interesse-pet_cpm_de-5s-ate-10s_111146</t>
  </si>
  <si>
    <t>245065884</t>
  </si>
  <si>
    <t>441548403</t>
  </si>
  <si>
    <t>Oath BR</t>
  </si>
  <si>
    <t>alp_ecom_conversao_ecom_oath_native_native-ads_ros_dia-das-maes_all_cpc_no-size_111148</t>
  </si>
  <si>
    <t>245433304</t>
  </si>
  <si>
    <t>442019208</t>
  </si>
  <si>
    <t>OutBrain - Br</t>
  </si>
  <si>
    <t>alp_ecom_conversao_ecom_outbrain_native_native-ads_ros_dia-das-maes_all_cpc_no-size_111149</t>
  </si>
  <si>
    <t>245434138</t>
  </si>
  <si>
    <t>442124315</t>
  </si>
  <si>
    <t>Steal The Look</t>
  </si>
  <si>
    <t>alp_ecom_conversao_ecom_steal-the-look_display_webdoor_home_dia-das-maes_all_cpm_600x390_111159</t>
  </si>
  <si>
    <t>245330990</t>
  </si>
  <si>
    <t>442147087</t>
  </si>
  <si>
    <t>alp_ecom_conversao_ecom_facebook_social_carrossel_social_dia-das-maes_all_cpm_1080x1080_111160</t>
  </si>
  <si>
    <t>245709507</t>
  </si>
  <si>
    <t>442078347</t>
  </si>
  <si>
    <t>alp_ecom_conversao_ecom_facebook_social_carrossel_social_slim-pets_curte-havaianas_cpm_1080x1080_111142</t>
  </si>
  <si>
    <t>244356914</t>
  </si>
  <si>
    <t>441297992</t>
  </si>
  <si>
    <t>alp_ecom_conversao_ecom_facebook_social_carrossel_social_slim-pets_look-1-desk_cpm_1080x1080_111142</t>
  </si>
  <si>
    <t>244356908</t>
  </si>
  <si>
    <t>441297986</t>
  </si>
  <si>
    <t>alp_ecom_conversao_ecom_facebook_social_carrossel_social_slim-pets_look-1-mobile_cpm_1080x1080_111142</t>
  </si>
  <si>
    <t>244356902</t>
  </si>
  <si>
    <t>441297980</t>
  </si>
  <si>
    <t>alp_ecom_conversao_ecom_facebook_social_carrossel_social_slim-pets_look-2-mobile_cpm_1080x1080_111142</t>
  </si>
  <si>
    <t>244356896</t>
  </si>
  <si>
    <t>441297974</t>
  </si>
  <si>
    <t>alp_ecom_conversao_ecom_facebook_social_carrossel_social_slim-pets_rmk-30-mobile_cpm_1080x1080_111142</t>
  </si>
  <si>
    <t>244356890</t>
  </si>
  <si>
    <t>441297968</t>
  </si>
  <si>
    <t>alp_ecom_conversao_ecom_facebook_social_carrossel_social_slim-pets_rmk-30_cpm_1080x1080_111142</t>
  </si>
  <si>
    <t>244356893</t>
  </si>
  <si>
    <t>441297971</t>
  </si>
  <si>
    <t>alp_ecom_conversao_ecom_facebook_social_collection_social_star-wars_curte-havaianas_cpm_dinamico_111167</t>
  </si>
  <si>
    <t>245922826</t>
  </si>
  <si>
    <t>442542748</t>
  </si>
  <si>
    <t>alp_ecom_conversao_ecom_facebook_social_collection_social_star-wars_look-1-mobile_cpm_dinamico_111167</t>
  </si>
  <si>
    <t>245922820</t>
  </si>
  <si>
    <t>442542742</t>
  </si>
  <si>
    <t>alp_ecom_conversao_ecom_facebook_social_collection_social_star-wars_look-2-mobile_cpm_dinamico_111167</t>
  </si>
  <si>
    <t>245922814</t>
  </si>
  <si>
    <t>442542736</t>
  </si>
  <si>
    <t>alp_ecom_conversao_ecom_facebook_social_collection_social_star-wars_rmk-30-mobile_cpm_dinamico_111167</t>
  </si>
  <si>
    <t>245922808</t>
  </si>
  <si>
    <t>442542730</t>
  </si>
  <si>
    <t>alp_ecom_conversao_ecom_facebook_social_pagepost_social_alpargatas-soft_curte-havaianas_cpm_1200x628_111117</t>
  </si>
  <si>
    <t>245616669</t>
  </si>
  <si>
    <t>442111790</t>
  </si>
  <si>
    <t>alp_ecom_conversao_ecom_facebook_social_pagepost_social_alpargatas-soft_look-1-desk_cpm_1200x628_111117</t>
  </si>
  <si>
    <t>245616666</t>
  </si>
  <si>
    <t>442111787</t>
  </si>
  <si>
    <t>alp_ecom_conversao_ecom_facebook_social_pagepost_social_alpargatas-soft_look-1-mobile_cpm_1200x628_111117</t>
  </si>
  <si>
    <t>245616663</t>
  </si>
  <si>
    <t>442111784</t>
  </si>
  <si>
    <t>alp_ecom_conversao_ecom_facebook_social_pagepost_social_alpargatas-soft_look-2-desk_cpm_1200x628_111117</t>
  </si>
  <si>
    <t>245616660</t>
  </si>
  <si>
    <t>442111781</t>
  </si>
  <si>
    <t>alp_ecom_conversao_ecom_facebook_social_pagepost_social_alpargatas-soft_look-2-mobile_cpm_1200x628_111117</t>
  </si>
  <si>
    <t>245616657</t>
  </si>
  <si>
    <t>442111778</t>
  </si>
  <si>
    <t>alp_ecom_conversao_ecom_facebook_social_pagepost_social_alpargatas-soft_rmk-30-mobile_cpm_1200x628_111117</t>
  </si>
  <si>
    <t>245616651</t>
  </si>
  <si>
    <t>442111772</t>
  </si>
  <si>
    <t>alp_ecom_conversao_ecom_facebook_social_pagepost_social_alpargatas-soft_rmk-30_cpm_1200x628_111117</t>
  </si>
  <si>
    <t>245616654</t>
  </si>
  <si>
    <t>442111775</t>
  </si>
  <si>
    <t>alp_ecom_conversao_ecom_facebook_social_pagepost_social_dia-das-maes_all_cpm_1200x628_111156</t>
  </si>
  <si>
    <t>245414194</t>
  </si>
  <si>
    <t>442093349</t>
  </si>
  <si>
    <t>alp_ecom_conversao_ecom_facebook_social_pagepost_social_havaianas-nautical_curte-havaianas_cpm_1200x628_111147</t>
  </si>
  <si>
    <t>245616690</t>
  </si>
  <si>
    <t>442111811</t>
  </si>
  <si>
    <t>alp_ecom_conversao_ecom_facebook_social_pagepost_social_havaianas-nautical_look-1-desk_cpm_1200x628_111147</t>
  </si>
  <si>
    <t>245616687</t>
  </si>
  <si>
    <t>442111808</t>
  </si>
  <si>
    <t>alp_ecom_conversao_ecom_facebook_social_pagepost_social_havaianas-nautical_look-1-mobile_cpm_1200x628_111147</t>
  </si>
  <si>
    <t>245616684</t>
  </si>
  <si>
    <t>442111805</t>
  </si>
  <si>
    <t>alp_ecom_conversao_ecom_facebook_social_pagepost_social_havaianas-nautical_look-2-mobile_cpm_1200x628_111147</t>
  </si>
  <si>
    <t>245616678</t>
  </si>
  <si>
    <t>442111799</t>
  </si>
  <si>
    <t>alp_ecom_conversao_ecom_facebook_social_pagepost_social_havaianas-nautical_rmk-30-mobile_cpm_1200x628_111147</t>
  </si>
  <si>
    <t>245616672</t>
  </si>
  <si>
    <t>442111793</t>
  </si>
  <si>
    <t>alp_ecom_conversao_ecom_facebook_social_pagepost_social_havaianas-nautical_rmk-30_cpm_1200x628_111147</t>
  </si>
  <si>
    <t>245616675</t>
  </si>
  <si>
    <t>442111796</t>
  </si>
  <si>
    <t>alp_ecom_conversao_ecom_facebook_social_pagepost_social_slim-pets_curte-havaianas_cpm_1200x628_111123</t>
  </si>
  <si>
    <t>243725972</t>
  </si>
  <si>
    <t>440444148</t>
  </si>
  <si>
    <t>alp_ecom_conversao_ecom_facebook_social_pagepost_social_slim-pets_look-1-desk_cpm_1200x628_111123</t>
  </si>
  <si>
    <t>243725969</t>
  </si>
  <si>
    <t>440444145</t>
  </si>
  <si>
    <t>alp_ecom_conversao_ecom_facebook_social_pagepost_social_slim-pets_look-1-mobile_cpm_1200x628_111123</t>
  </si>
  <si>
    <t>243725966</t>
  </si>
  <si>
    <t>440444142</t>
  </si>
  <si>
    <t>alp_ecom_conversao_ecom_facebook_social_pagepost_social_slim-pets_look-2-mobile_cpm_1200x628_111123</t>
  </si>
  <si>
    <t>243725960</t>
  </si>
  <si>
    <t>440444136</t>
  </si>
  <si>
    <t>alp_ecom_conversao_ecom_facebook_social_pagepost_social_slim-pets_rmk-30-mobile_cpm_1200x628_111123</t>
  </si>
  <si>
    <t>243725954</t>
  </si>
  <si>
    <t>440444130</t>
  </si>
  <si>
    <t>alp_ecom_conversao_ecom_facebook_social_pagepost_social_slim-pets_rmk-30_cpm_1200x628_111123</t>
  </si>
  <si>
    <t>243725957</t>
  </si>
  <si>
    <t>440444133</t>
  </si>
  <si>
    <t>alp_ecom_conversao_ecom_facebook_social_pagepost_social_star-wars_curte-havaianas_cpm_1200x628_111166</t>
  </si>
  <si>
    <t>245833360</t>
  </si>
  <si>
    <t>442356531</t>
  </si>
  <si>
    <t>alp_ecom_conversao_ecom_facebook_social_pagepost_social_star-wars_rmk-30-mobile_cpm_1200x628_111166</t>
  </si>
  <si>
    <t>245815051</t>
  </si>
  <si>
    <t>442443041</t>
  </si>
  <si>
    <t>alp_ecom_conversao_ecom_facebook_social_pagepost_social_top-disney_curte-havaianas_cpm_1200x628_111161</t>
  </si>
  <si>
    <t>245715951</t>
  </si>
  <si>
    <t>442194964</t>
  </si>
  <si>
    <t>alp_ecom_conversao_ecom_facebook_social_pagepost_social_top-disney_look-1-desk_cpm_1200x628_111161</t>
  </si>
  <si>
    <t>245715948</t>
  </si>
  <si>
    <t>442194961</t>
  </si>
  <si>
    <t>alp_ecom_conversao_ecom_facebook_social_pagepost_social_top-disney_look-1-mobile_cpm_1200x628_111161</t>
  </si>
  <si>
    <t>245715945</t>
  </si>
  <si>
    <t>442194958</t>
  </si>
  <si>
    <t>alp_ecom_conversao_ecom_facebook_social_pagepost_social_top-disney_look-2-desk_cpm_1200x628_111161</t>
  </si>
  <si>
    <t>245715942</t>
  </si>
  <si>
    <t>442194955</t>
  </si>
  <si>
    <t>alp_ecom_conversao_ecom_facebook_social_pagepost_social_top-disney_look-2-mobile_cpm_1200x628_111161</t>
  </si>
  <si>
    <t>245715939</t>
  </si>
  <si>
    <t>442194952</t>
  </si>
  <si>
    <t>alp_ecom_conversao_ecom_facebook_social_pagepost_social_top-disney_rmk-30-mobile_cpm_1200x628_111161</t>
  </si>
  <si>
    <t>245715933</t>
  </si>
  <si>
    <t>442194946</t>
  </si>
  <si>
    <t>alp_ecom_conversao_ecom_facebook_social_pagepost_social_top-disney_rmk-30_cpm_1200x628_111161</t>
  </si>
  <si>
    <t>245715936</t>
  </si>
  <si>
    <t>442194949</t>
  </si>
  <si>
    <t>alp_ecom_conversao_ecom_facebook_social_stories_social_got_interesse-got_cpm_de-5s-ate-10s_111136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</si>
  <si>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</si>
  <si>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</si>
  <si>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</si>
  <si>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</si>
  <si>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</si>
  <si>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</si>
  <si>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</si>
  <si>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</si>
  <si>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</si>
  <si>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alp_marca_alcance_masculino_el-hombre_display_diaria-bg_home_havaianas-urban_all_cpm_1900x1020_111132</t>
  </si>
  <si>
    <t>243862051</t>
  </si>
  <si>
    <t>440590061</t>
  </si>
  <si>
    <t>alp_marca_alcance_masculino_el-hombre_display_interstitial-mobile_home_havaianas-urban_all_cpm_320x480_111133</t>
  </si>
  <si>
    <t>243749696</t>
  </si>
  <si>
    <t>440571883</t>
  </si>
  <si>
    <t>GQ (Brazil)</t>
  </si>
  <si>
    <t>alp_marca_engajamentos_masculino_gq_display_half-page_ros_havaianas-urban_all_cpm_300x600_111152</t>
  </si>
  <si>
    <t>245844403</t>
  </si>
  <si>
    <t>442478521</t>
  </si>
  <si>
    <t>alp_marca_engajamentos_masculino_gq_display_half-page_ros_havaianas-urban_all_cpm_300x600_111153</t>
  </si>
  <si>
    <t>245844400</t>
  </si>
  <si>
    <t>442478518</t>
  </si>
  <si>
    <t>alp_marca_engajamentos_masculino_gq_display_retangulo_ros_havaianas-urban_all_cpm_300x250_111152</t>
  </si>
  <si>
    <t>245853229</t>
  </si>
  <si>
    <t>442486690</t>
  </si>
  <si>
    <t>alp_marca_engajamentos_masculino_gq_display_retangulo_ros_havaianas-urban_all_cpm_300x250_111153</t>
  </si>
  <si>
    <t>245844406</t>
  </si>
  <si>
    <t>442478524</t>
  </si>
  <si>
    <t>alp_marca_engajamentos_masculino_gq_display_superbanner_ros_havaianas-urban_all_cpm_728x90_111152</t>
  </si>
  <si>
    <t>245844397</t>
  </si>
  <si>
    <t>442478515</t>
  </si>
  <si>
    <t>alp_marca_engajamentos_masculino_gq_display_superbanner_ros_havaianas-urban_all_cpm_728x90_111153</t>
  </si>
  <si>
    <t>245844394</t>
  </si>
  <si>
    <t>442478512</t>
  </si>
  <si>
    <t>Google GDN</t>
  </si>
  <si>
    <t>alp_marca_alcance_todos_instagram_social_stories_social_conteudo-marca_all_cpm_de-5s-ate-10s_111170</t>
  </si>
  <si>
    <t>245628353</t>
  </si>
  <si>
    <t>442289331</t>
  </si>
  <si>
    <t>MTV Brasil</t>
  </si>
  <si>
    <t>alp_marca_engajamentos_jovem_display_retangulo_ros_all_cpm_300x250</t>
  </si>
  <si>
    <t>243544618</t>
  </si>
  <si>
    <t>alp_marca_engajamentos_jovem_mtv_display_retangulo_ros_slim-pets_all_cpm_300x250_111127</t>
  </si>
  <si>
    <t>440229389</t>
  </si>
  <si>
    <t>alp_marca_engajamentos_jovem_mtv_display_retangulo_ros_slim-sensation_all_cpm_300x250_111129</t>
  </si>
  <si>
    <t>440228756</t>
  </si>
  <si>
    <t>alp_marca_engajamentos_jovem_display_superbanner_ros_all_cpm_728x90</t>
  </si>
  <si>
    <t>243747774</t>
  </si>
  <si>
    <t>alp_marca_engajamentos_jovem_mtv_display_superbanner_ros_slim-pets_all_cpm_728x90_111128</t>
  </si>
  <si>
    <t>440228762</t>
  </si>
  <si>
    <t>alp_marca_engajamentos_jovem_mtv_display_superbanner_ros_slim-sensation_all_cpm_728x90_111130</t>
  </si>
  <si>
    <t>440237479</t>
  </si>
  <si>
    <t>alp_marca_engajamentos_jovem_mtv_display_logo_ros_logo_all_cpm_no-size_111117</t>
  </si>
  <si>
    <t>243403010</t>
  </si>
  <si>
    <t>440229374</t>
  </si>
  <si>
    <t>alp_marca_engajamentos_jovem_mtv_display_retangulo_ros_slim-pets_all_cpm_350X50_111149</t>
  </si>
  <si>
    <t>245159962</t>
  </si>
  <si>
    <t>441894583</t>
  </si>
  <si>
    <t>alp_marca_engajamentos_jovem_mtv_video_pre-roll_ros_slim-paisage_all_cpm_de-11s-ate-29s_111126</t>
  </si>
  <si>
    <t>243432638</t>
  </si>
  <si>
    <t>440143092</t>
  </si>
  <si>
    <t>alp_marca_engajamentos_jovem_mtv_video_pre-roll_ros_slim-sensation_all_cpm_de-11s-ate-29s_111125</t>
  </si>
  <si>
    <t>243430961</t>
  </si>
  <si>
    <t>440147475</t>
  </si>
  <si>
    <t>Omelete</t>
  </si>
  <si>
    <t>alp_marca_alcance_jovem_omelete_display_billboard_ros_got_all_fixo_970x250_111145</t>
  </si>
  <si>
    <t>244560569</t>
  </si>
  <si>
    <t>441402756</t>
  </si>
  <si>
    <t>alp_marca_alcance_jovem_omelete_display_diaria-bg_ros_got_all_fixo_1800x100_111156</t>
  </si>
  <si>
    <t>245972910</t>
  </si>
  <si>
    <t>442369673</t>
  </si>
  <si>
    <t>alp_marca_alcance_jovem_omelete_display_retangulo_ros_got_all_fixo_300x250_111154</t>
  </si>
  <si>
    <t>245972916</t>
  </si>
  <si>
    <t>442369679</t>
  </si>
  <si>
    <t>alp_marca_alcance_jovem_omelete_display_superheader-mobile_ros_got_all_fixo_320x100_111155</t>
  </si>
  <si>
    <t>245972913</t>
  </si>
  <si>
    <t>442369676</t>
  </si>
  <si>
    <t>alp_marca_engajamentos_masculino_outbrain_native_native-ads_ros_masculino-cinderello_all_cpm_no-size_111143</t>
  </si>
  <si>
    <t>244289813</t>
  </si>
  <si>
    <t>441119934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</si>
  <si>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</si>
  <si>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</si>
  <si>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</si>
  <si>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</si>
  <si>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alp_marca_alcance_feminino_facebook_social_video-social_social_artistas-pomb_all_cpm_de-11s-ate-29s_111169</t>
  </si>
  <si>
    <t>245972877</t>
  </si>
  <si>
    <t>442369637</t>
  </si>
  <si>
    <t>alp_marca_alcance_jovem_facebook_social_dark-post_social_got_all_cpm_1080x1080_111120</t>
  </si>
  <si>
    <t>alp_marca_alcance_jovem_facebook_social_dark-post_social_got_all_cpm_1080x1080_111121</t>
  </si>
  <si>
    <t>alp_marca_alcance_jovem_facebook_social_dark-post_social_got_all_cpm_1080x1080_111122</t>
  </si>
  <si>
    <t>alp_marca_alcance_jovem_facebook_social_dark-post_social_got_all_cpm_1080x1080_111123</t>
  </si>
  <si>
    <t>alp_marca_alcance_jovem_facebook_social_dark-post_social_got_all_cpm_1080x1080_111136</t>
  </si>
  <si>
    <t>244294036</t>
  </si>
  <si>
    <t>441044553</t>
  </si>
  <si>
    <t>alp_marca_alcance_jovem_facebook_social_dark-post_social_got_all_cpm_1080x1080_111137</t>
  </si>
  <si>
    <t>244529484</t>
  </si>
  <si>
    <t>441159217</t>
  </si>
  <si>
    <t>alp_marca_engajamentos_jovem_facebook_social_dark-post_social_got_all_cpm_1080x1080_111131</t>
  </si>
  <si>
    <t>243533123</t>
  </si>
  <si>
    <t>440337479</t>
  </si>
  <si>
    <t>jovemnerd.com.br</t>
  </si>
  <si>
    <t>alp_marca_alcance_jovem_jovem-nerd_display_half-page_ros_got_all_cpm_300x600_111158</t>
  </si>
  <si>
    <t>245972907</t>
  </si>
  <si>
    <t>1x1 Default Web Ad</t>
  </si>
  <si>
    <t>438503523</t>
  </si>
  <si>
    <t>442369667</t>
  </si>
  <si>
    <t>246075390</t>
  </si>
  <si>
    <t>442506469</t>
  </si>
  <si>
    <t>alp_marca_alcance_jovem_jovem-nerd_display_retangulo_ros_got_all_cpm_300x250_111157</t>
  </si>
  <si>
    <t>245974686</t>
  </si>
  <si>
    <t>alp_marca_alcance_jovem_jovem-nerd_display_superbanner_ros_got_all_cpm_728x90_111159</t>
  </si>
  <si>
    <t>245972904</t>
  </si>
  <si>
    <t>442369664</t>
  </si>
  <si>
    <t>alp_marca_engajamentos_jovem_jovem-nerd_conteudo-veiculo_pagepost-azaghal_social_star-wars_all_fixo_1080x1080_111168</t>
  </si>
  <si>
    <t>245972880</t>
  </si>
  <si>
    <t>442369640</t>
  </si>
  <si>
    <t>alp_marca_engajamentos_jovem_jovem-nerd_conteudo-veiculo_pagepost-jovemnerd_social_star-wars_all_fixo_1080x1080_111164</t>
  </si>
  <si>
    <t>245972892</t>
  </si>
  <si>
    <t>442369652</t>
  </si>
  <si>
    <t>alp_marca_engajamentos_jovem_jovem-nerd_conteudo-veiculo_stories-azaghal_social_got_all_fixo_de-11s-ate-29s_111164</t>
  </si>
  <si>
    <t>245972889</t>
  </si>
  <si>
    <t>442369649</t>
  </si>
  <si>
    <t>alp_marca_engajamentos_jovem_jovem-nerd_conteudo-veiculo_stories-azaghal_social_star-wars_all_fixo_de-11s-ate-29s_111167</t>
  </si>
  <si>
    <t>245972883</t>
  </si>
  <si>
    <t>442369643</t>
  </si>
  <si>
    <t>alp_marca_engajamentos_jovem_jovem-nerd_conteudo-veiculo_stories-jovemnerd_social_got_all_fixo_de-11s-ate-29s_111161</t>
  </si>
  <si>
    <t>245972901</t>
  </si>
  <si>
    <t>442369661</t>
  </si>
  <si>
    <t>alp</t>
  </si>
  <si>
    <t>Standard_Tracking</t>
  </si>
  <si>
    <t>alp_ecom_conversao_ecom_catraca-livre_conteudo-veiculo_publieditorial_social_dia-das-maes_all_fixo_no-size_111169</t>
  </si>
  <si>
    <t>245966624</t>
  </si>
  <si>
    <t>442727782</t>
  </si>
  <si>
    <t>alp_ecom_conversao_ecom_catraca-livre_conteudo-veiculo_publieditorial_social_dia-das-maes_all_fixo_no-size_111170</t>
  </si>
  <si>
    <t>245966618</t>
  </si>
  <si>
    <t>442727776</t>
  </si>
  <si>
    <t>alp_ecom_conversao_ecom_catraca-livre_conteudo-veiculo_publieditorial_social_dia-das-maes_all_fixo_no-size_111171</t>
  </si>
  <si>
    <t>245966615</t>
  </si>
  <si>
    <t>442727773</t>
  </si>
  <si>
    <t>alp_ecom_conversao_ecom_catraca-livre_conteudo-veiculo_publieditorial_social_dia-das-maes_all_fixo_no-size_111172</t>
  </si>
  <si>
    <t>245966612</t>
  </si>
  <si>
    <t>442727770</t>
  </si>
  <si>
    <t>alp_ecom_conversao_ecom_catraca-livre_conteudo-veiculo_publieditorial_social_dia-das-maes_all_fixo_no-size_111173</t>
  </si>
  <si>
    <t>245966609</t>
  </si>
  <si>
    <t>442727767</t>
  </si>
  <si>
    <t>alp_ecom_conversao_ecom_catraca-livre_conteudo-veiculo_publieditorial_social_dia-das-maes_all_fixo_no-size_111174</t>
  </si>
  <si>
    <t>245966606</t>
  </si>
  <si>
    <t>442727764</t>
  </si>
  <si>
    <t>alp_ecom_conversao_ecom_catraca-livre_conteudo-veiculo_publieditorial_social_dia-das-maes_all_fixo_no-size_111175</t>
  </si>
  <si>
    <t>245966603</t>
  </si>
  <si>
    <t>442727761</t>
  </si>
  <si>
    <t>alp_ecom_conversao_ecom_catraca-livre_conteudo-veiculo_publieditorial_social_dia-das-maes_all_fixo_no-size_111176</t>
  </si>
  <si>
    <t>245966600</t>
  </si>
  <si>
    <t>442727758</t>
  </si>
  <si>
    <t>alp_ecom_conversao_ecom_catraca-livre_conteudo-veiculo_publieditorial_social_dia-das-maes_all_fixo_no-size_111177</t>
  </si>
  <si>
    <t>245966621</t>
  </si>
  <si>
    <t>442727779</t>
  </si>
  <si>
    <t>alp_ecom_conversao_ecom_instagram_social_stories_social_dia-das-maes_all_fixo_de-5s-ate-10s_111193</t>
  </si>
  <si>
    <t>246394282</t>
  </si>
  <si>
    <t>442938316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</si>
  <si>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</si>
  <si>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</si>
  <si>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</si>
  <si>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</si>
  <si>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</si>
  <si>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</si>
  <si>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alp_ecom_conversao_ecom_steal-the-look_conteudo-veiculo_publieditorial_home_dia-das-maes_all_fixo_no-size_111181</t>
  </si>
  <si>
    <t>246161908</t>
  </si>
  <si>
    <t>442749076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</si>
  <si>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</si>
  <si>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</si>
  <si>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</si>
  <si>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</si>
  <si>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</si>
  <si>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</si>
  <si>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</si>
  <si>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</si>
  <si>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</si>
  <si>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</si>
  <si>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</si>
  <si>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</si>
  <si>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</si>
  <si>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</si>
  <si>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</si>
  <si>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</si>
  <si>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</si>
  <si>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</si>
  <si>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</si>
  <si>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</si>
  <si>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</si>
  <si>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</si>
  <si>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</si>
  <si>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</si>
  <si>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</si>
  <si>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</si>
  <si>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</si>
  <si>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</si>
  <si>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</si>
  <si>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</si>
  <si>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</si>
  <si>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</si>
  <si>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</si>
  <si>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alp_ecom_conversao_ecom_steal-the-look_social_stories_social_dia-das-maes_all_fixo_de-5s-ate-10s_111193</t>
  </si>
  <si>
    <t>246575226</t>
  </si>
  <si>
    <t>442830480</t>
  </si>
  <si>
    <t>Steal The Look 1</t>
  </si>
  <si>
    <t>alp_ecom_conversao_ecom_steal-the-look_conteudo-veiculo_publieditorial_home_dia-das-maes_all_fixo_no-size_111178</t>
  </si>
  <si>
    <t>246118867</t>
  </si>
  <si>
    <t>442734241</t>
  </si>
  <si>
    <t>alp_ecom_conversao_ecom_criteo_display_half-page_rmkt_liquida-feira_rmk-criteo_cpc_300x600_111198</t>
  </si>
  <si>
    <t>247089749</t>
  </si>
  <si>
    <t>443680141</t>
  </si>
  <si>
    <t>alp_ecom_conversao_ecom_criteo_display_retangulo_rmkt_liquida-feira_rmk-criteo_cpc_300x250_111197</t>
  </si>
  <si>
    <t>247089755</t>
  </si>
  <si>
    <t>443680147</t>
  </si>
  <si>
    <t>alp_ecom_conversao_ecom_criteo_display_superbanner_rmkt_liquida-feira_rmk-criteo_cpc_728x90_111199</t>
  </si>
  <si>
    <t>247089743</t>
  </si>
  <si>
    <t>443680135</t>
  </si>
  <si>
    <t>alp_ecom_conversao_ecom_facebook_social_carrossel_social_dia-das-maes_curte-havaianas_cpm_1080x1080_111160</t>
  </si>
  <si>
    <t>246090857</t>
  </si>
  <si>
    <t>442719930</t>
  </si>
  <si>
    <t>alp_ecom_conversao_ecom_facebook_social_carrossel_social_dia-das-maes_look-1-desk_cpm_1080x1080_111160</t>
  </si>
  <si>
    <t>246090854</t>
  </si>
  <si>
    <t>442719927</t>
  </si>
  <si>
    <t>alp_ecom_conversao_ecom_facebook_social_carrossel_social_dia-das-maes_look-1-mobile_cpm_1080x1080_111160</t>
  </si>
  <si>
    <t>246090851</t>
  </si>
  <si>
    <t>442719924</t>
  </si>
  <si>
    <t>alp_ecom_conversao_ecom_facebook_social_carrossel_social_dia-das-maes_look-2-desk_cpm_1080x1080_111160</t>
  </si>
  <si>
    <t>246090848</t>
  </si>
  <si>
    <t>442719921</t>
  </si>
  <si>
    <t>alp_ecom_conversao_ecom_facebook_social_carrossel_social_dia-das-maes_look-2-mobile_cpm_1080x1080_111160</t>
  </si>
  <si>
    <t>246090845</t>
  </si>
  <si>
    <t>442719918</t>
  </si>
  <si>
    <t>alp_ecom_conversao_ecom_facebook_social_carrossel_social_dia-das-maes_rmk-30-mobile_cpm_1080x1080_111160</t>
  </si>
  <si>
    <t>246090839</t>
  </si>
  <si>
    <t>442719912</t>
  </si>
  <si>
    <t>alp_ecom_conversao_ecom_facebook_social_carrossel_social_dia-das-maes_rmk-30_cpm_1080x1080_111160</t>
  </si>
  <si>
    <t>246090842</t>
  </si>
  <si>
    <t>442719915</t>
  </si>
  <si>
    <t>alp_ecom_conversao_ecom_facebook_social_carrossel_social_got_look-1-desk_cpc_1080x1080_111122</t>
  </si>
  <si>
    <t>242863371</t>
  </si>
  <si>
    <t>439371376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</si>
  <si>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</si>
  <si>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</si>
  <si>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</si>
  <si>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</si>
  <si>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</si>
  <si>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</si>
  <si>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</si>
  <si>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</si>
  <si>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</si>
  <si>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</si>
  <si>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</si>
  <si>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</si>
  <si>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</si>
  <si>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</si>
  <si>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</si>
  <si>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</si>
  <si>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</si>
  <si>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</si>
  <si>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</si>
  <si>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</si>
  <si>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</si>
  <si>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</si>
  <si>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</si>
  <si>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</si>
  <si>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alp_ecom_conversao_ecom_facebook_social_pagepost_social_got_look-1-mobile_cpm_1200x628_111202</t>
  </si>
  <si>
    <t>247894831</t>
  </si>
  <si>
    <t>444247235</t>
  </si>
  <si>
    <t>alp_ecom_conversao_ecom_facebook_social_pagepost_social_got_look-2-desk_cpm_1200x628_111202</t>
  </si>
  <si>
    <t>247894828</t>
  </si>
  <si>
    <t>444247232</t>
  </si>
  <si>
    <t>alp_ecom_conversao_ecom_facebook_social_pagepost_social_got_rmk-30-mobile_cpm_1200x628_111202</t>
  </si>
  <si>
    <t>247894819</t>
  </si>
  <si>
    <t>444247223</t>
  </si>
  <si>
    <t>alp_ecom_conversao_ecom_facebook_social_pagepost_social_got_rmk-30_cpm_1200x628_111202</t>
  </si>
  <si>
    <t>247894822</t>
  </si>
  <si>
    <t>444247226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</si>
  <si>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</si>
  <si>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</si>
  <si>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</si>
  <si>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</si>
  <si>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</si>
  <si>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</si>
  <si>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alp_ecom_conversao_ecom_facebook_social_pagepost_social_havaianas-outlet_look-1-desk_cpm_1200x628_111205</t>
  </si>
  <si>
    <t>248092943</t>
  </si>
  <si>
    <t>444520665</t>
  </si>
  <si>
    <t>alp_ecom_conversao_ecom_facebook_social_pagepost_social_havaianas-outlet_look-1-mobile_cpm_1200x628_111205</t>
  </si>
  <si>
    <t>248092940</t>
  </si>
  <si>
    <t>444520662</t>
  </si>
  <si>
    <t>alp_ecom_conversao_ecom_facebook_social_pagepost_social_havaianas-outlet_look-2-desk_cpm_1200x628_111205</t>
  </si>
  <si>
    <t>248092937</t>
  </si>
  <si>
    <t>444520659</t>
  </si>
  <si>
    <t>alp_ecom_conversao_ecom_facebook_social_pagepost_social_havaianas-outlet_look-2-mobile_cpm_1200x628_111205</t>
  </si>
  <si>
    <t>248092934</t>
  </si>
  <si>
    <t>444520656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</si>
  <si>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</si>
  <si>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</si>
  <si>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</si>
  <si>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</si>
  <si>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</si>
  <si>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</si>
  <si>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</si>
  <si>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</si>
  <si>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</si>
  <si>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alp_ecom_conversao_ecom_facebook_social_pagepost_social_liquida-feira_curte-havaianas_cpm_1200x628_111196</t>
  </si>
  <si>
    <t>247089722</t>
  </si>
  <si>
    <t>443680114</t>
  </si>
  <si>
    <t>alp_ecom_conversao_ecom_facebook_social_pagepost_social_liquida-feira_look-1-desk_cpm_1200x628_111196</t>
  </si>
  <si>
    <t>247089719</t>
  </si>
  <si>
    <t>443680111</t>
  </si>
  <si>
    <t>alp_ecom_conversao_ecom_facebook_social_pagepost_social_liquida-feira_look-1-mobile_cpm_1200x628_111196</t>
  </si>
  <si>
    <t>247089785</t>
  </si>
  <si>
    <t>443680177</t>
  </si>
  <si>
    <t>alp_ecom_conversao_ecom_facebook_social_pagepost_social_liquida-feira_look-2-desk_cpm_1200x628_111196</t>
  </si>
  <si>
    <t>247089779</t>
  </si>
  <si>
    <t>443680171</t>
  </si>
  <si>
    <t>alp_ecom_conversao_ecom_facebook_social_pagepost_social_liquida-feira_look-2-mobile_cpm_1200x628_111196</t>
  </si>
  <si>
    <t>247089773</t>
  </si>
  <si>
    <t>443680165</t>
  </si>
  <si>
    <t>alp_ecom_conversao_ecom_facebook_social_pagepost_social_liquida-feira_rmk-30-mobile_cpm_1200x628_111196</t>
  </si>
  <si>
    <t>247089761</t>
  </si>
  <si>
    <t>443680153</t>
  </si>
  <si>
    <t>alp_ecom_conversao_ecom_facebook_social_pagepost_social_liquida-feira_rmk-30_cpm_1200x628_111196</t>
  </si>
  <si>
    <t>247089767</t>
  </si>
  <si>
    <t>443680159</t>
  </si>
  <si>
    <t>alp_ecom_conversao_ecom_facebook_social_pagepost_social_namorados_curte-havaianas_cpm_1200x628_111203</t>
  </si>
  <si>
    <t>247774619</t>
  </si>
  <si>
    <t>444222291</t>
  </si>
  <si>
    <t>alp_ecom_conversao_ecom_facebook_social_pagepost_social_namorados_look-1-mobile_cpm_1200x628_111203</t>
  </si>
  <si>
    <t>247774613</t>
  </si>
  <si>
    <t>444222285</t>
  </si>
  <si>
    <t>alp_ecom_conversao_ecom_facebook_social_pagepost_social_namorados_look-2-mobile_cpm_1200x628_111203</t>
  </si>
  <si>
    <t>247774607</t>
  </si>
  <si>
    <t>444222279</t>
  </si>
  <si>
    <t>alp_ecom_conversao_ecom_facebook_social_pagepost_social_namorados_rmk-30-mobile_cpm_1200x628_111203</t>
  </si>
  <si>
    <t>247774601</t>
  </si>
  <si>
    <t>444222273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</si>
  <si>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</si>
  <si>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</si>
  <si>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</si>
  <si>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</si>
  <si>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</si>
  <si>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</si>
  <si>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</si>
  <si>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</si>
  <si>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</si>
  <si>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alp_ecom_conversao_ecom_facebook_social_pagepost_social_rei-leao_look-2-desk_cpm_1200x628_111194</t>
  </si>
  <si>
    <t>247089770</t>
  </si>
  <si>
    <t>443680162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</si>
  <si>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</si>
  <si>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</si>
  <si>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</si>
  <si>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</si>
  <si>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</si>
  <si>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</si>
  <si>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</si>
  <si>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</si>
  <si>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</si>
  <si>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</si>
  <si>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</si>
  <si>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</si>
  <si>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</si>
  <si>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</si>
  <si>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</si>
  <si>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</si>
  <si>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</si>
  <si>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</si>
  <si>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</si>
  <si>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</si>
  <si>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</si>
  <si>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</si>
  <si>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</si>
  <si>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</si>
  <si>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</si>
  <si>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</si>
  <si>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</si>
  <si>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</si>
  <si>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</si>
  <si>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</si>
  <si>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alp_ecom_conversao_ecom_facebook_social_pagepost_social_slim-pets_look-10_cpc_1200x628_111126</t>
  </si>
  <si>
    <t>242723141</t>
  </si>
  <si>
    <t>439462806</t>
  </si>
  <si>
    <t>alp_ecom_conversao_ecom_facebook_social_pagepost_social_slim-pets_look-2-desk_cpm_1200x628_111123</t>
  </si>
  <si>
    <t>243725963</t>
  </si>
  <si>
    <t>440444139</t>
  </si>
  <si>
    <t>alp_ecom_conversao_ecom_facebook_social_pagepost_social_star-wars_look-1-desk_cpm_1200x628_111166</t>
  </si>
  <si>
    <t>245833357</t>
  </si>
  <si>
    <t>442356528</t>
  </si>
  <si>
    <t>alp_ecom_conversao_ecom_facebook_social_pagepost_social_star-wars_look-1-mobile_cpm_1200x628_111166</t>
  </si>
  <si>
    <t>245833354</t>
  </si>
  <si>
    <t>442356525</t>
  </si>
  <si>
    <t>alp_ecom_conversao_ecom_facebook_social_pagepost_social_star-wars_look-2-desk_cpm_1200x628_111166</t>
  </si>
  <si>
    <t>245833351</t>
  </si>
  <si>
    <t>442356522</t>
  </si>
  <si>
    <t>alp_ecom_conversao_ecom_facebook_social_pagepost_social_star-wars_rmk-30_cpm_1200x628_111166</t>
  </si>
  <si>
    <t>245833345</t>
  </si>
  <si>
    <t>442356516</t>
  </si>
  <si>
    <t>alp_ecom_conversao_ecom_facebook_social_stories_social_slim-hits_interesse-carnaval_cpm_de-5s-ate-10s_111201</t>
  </si>
  <si>
    <t>247726375</t>
  </si>
  <si>
    <t>443998695</t>
  </si>
  <si>
    <t>alp_marca_engajamentos_feminino_gdn_display_native-ads_ros_rasteiras_all_cpc_dinamico_111157</t>
  </si>
  <si>
    <t>246200198</t>
  </si>
  <si>
    <t>442890182</t>
  </si>
  <si>
    <t>alp_marca_engajamentos_feminino_gdn_display_quadrado-pequeno_ros_rasteiras_all_cpc_200x200_111157</t>
  </si>
  <si>
    <t>246200210</t>
  </si>
  <si>
    <t>442890194</t>
  </si>
  <si>
    <t>alp_marca_engajamentos_feminino_gdn_display_retangulo-grande_ros_rasteiras_all_cpc_336x280_111157</t>
  </si>
  <si>
    <t>246200201</t>
  </si>
  <si>
    <t>442890185</t>
  </si>
  <si>
    <t>alp_marca_alcance_jovem_instagram_social_stories_social_star-wars_all_cpm_de-11s-ate-29s_111156</t>
  </si>
  <si>
    <t>246468618</t>
  </si>
  <si>
    <t>442841875</t>
  </si>
  <si>
    <t>alp_marca_alcance_masculino_instagram_social_pagepost_social_havaianas-urban_all_cpm_1080x1080_111154</t>
  </si>
  <si>
    <t>246256633</t>
  </si>
  <si>
    <t>442805822</t>
  </si>
  <si>
    <t>alp_marca_conversao_todos_instagram_social_stories_social_liquida-feira_curte-havaianas_cpm_de-5s-ate-10s_111192</t>
  </si>
  <si>
    <t>247377199</t>
  </si>
  <si>
    <t>443774206</t>
  </si>
  <si>
    <t>alp_marca_conversao_todos_instagram_social_stories_social_liquida-feira_curte-havaianas_cpm_de-5s-ate-10s_111194</t>
  </si>
  <si>
    <t>247760056</t>
  </si>
  <si>
    <t>444155563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</si>
  <si>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</si>
  <si>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</si>
  <si>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</si>
  <si>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</si>
  <si>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</si>
  <si>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</si>
  <si>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alp_marca_engajamentos_jovem_omelete_conteudo-veiculo_pagepost-omelete_social_got_all_fixo_de-11s-ate-29s_111181</t>
  </si>
  <si>
    <t>247069119</t>
  </si>
  <si>
    <t>443322539</t>
  </si>
  <si>
    <t>alp_marca_engajamentos_jovem_omelete_conteudo-veiculo_stories-curiovo_social_got_all_fixo_de-11s-ate-29s_111180</t>
  </si>
  <si>
    <t>247066716</t>
  </si>
  <si>
    <t>443322524</t>
  </si>
  <si>
    <t>alp_marca_engajamentos_jovem_omelete_conteudo-veiculo_video-ytb_social_got_all_fixo_no-size_111182</t>
  </si>
  <si>
    <t>246890461</t>
  </si>
  <si>
    <t>443322008</t>
  </si>
  <si>
    <t>Pipocando</t>
  </si>
  <si>
    <t>alp_marca_engajamentos_jovem_pipocando_conteudo-veiculo_stories_social_got_all_fixo_de-11s-ate-29s_111178</t>
  </si>
  <si>
    <t>247069242</t>
  </si>
  <si>
    <t>443321381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</si>
  <si>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</si>
  <si>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</si>
  <si>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</si>
  <si>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</si>
  <si>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</si>
  <si>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</si>
  <si>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alp_marca_alcance_feminino_facebook_social_video-social_social_artistas-pomb_all_cpm_de-11s-ate-29s_111186</t>
  </si>
  <si>
    <t>246776921</t>
  </si>
  <si>
    <t>443425195</t>
  </si>
  <si>
    <t>alp_marca_alcance_feminino_facebook_social_video-social_social_artistas-pomb_all_cpm_de-5s-ate-10s_111155</t>
  </si>
  <si>
    <t>246452568</t>
  </si>
  <si>
    <t>442808246</t>
  </si>
  <si>
    <t>alp_marca_alcance_masculino_facebook_social_carrossel_social_qualquer-joao_all_cpm_1080x1080_111205</t>
  </si>
  <si>
    <t>247729694</t>
  </si>
  <si>
    <t>444180258</t>
  </si>
  <si>
    <t>alp_marca_alcance_masculino_facebook_social_carrossel_social_qualquer-joao_envolvimento-pagina_cpm_1080x1080_111205</t>
  </si>
  <si>
    <t>248145765</t>
  </si>
  <si>
    <t>444314762</t>
  </si>
  <si>
    <t>alp_marca_alcance_masculino_facebook_social_carrossel_social_qualquer-joao_viu-stories-cinderelo_cpm_1080x1080_111205</t>
  </si>
  <si>
    <t>247805435</t>
  </si>
  <si>
    <t>444313973</t>
  </si>
  <si>
    <t>alp_marca_alcance_masculino_facebook_social_pagepost_social_equity_all_cpm_1080x1080_111177</t>
  </si>
  <si>
    <t>246545567</t>
  </si>
  <si>
    <t>443217460</t>
  </si>
  <si>
    <t>alp_marca_alcance_masculino_facebook_social_pagepost_social_havaianas-urban_all_cpm_1080x1080_111193</t>
  </si>
  <si>
    <t>247484848</t>
  </si>
  <si>
    <t>443741100</t>
  </si>
  <si>
    <t>alp_marca_alcance_todos_facebook_social_video-social_social_artistas-barbara_all_cpm_de-11s-ate-29s_111206</t>
  </si>
  <si>
    <t>248114715</t>
  </si>
  <si>
    <t>444221403</t>
  </si>
  <si>
    <t>alp_marca_alcance_todos_facebook_social_video-social_social_artistas-barbara_all_cpm_de-11s-ate-29s_111207</t>
  </si>
  <si>
    <t>247774241</t>
  </si>
  <si>
    <t>444221814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</si>
  <si>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</si>
  <si>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</si>
  <si>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</si>
  <si>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</si>
  <si>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</si>
  <si>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</si>
  <si>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</si>
  <si>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</si>
  <si>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</si>
  <si>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</si>
  <si>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</si>
  <si>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</si>
  <si>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alp_marca_engajamentos_feminino_facebook_social_pagepost-betinadeluca_social_slim-hits_all_cpm_1080x1080_111200</t>
  </si>
  <si>
    <t>247999119</t>
  </si>
  <si>
    <t>444224035</t>
  </si>
  <si>
    <t>alp_marca_engajamentos_feminino_facebook_social_pagepost-carolinasilvano_social_slim-hits_all_cpm_1080x1080_111204</t>
  </si>
  <si>
    <t>247999107</t>
  </si>
  <si>
    <t>444224023</t>
  </si>
  <si>
    <t>alp_marca_engajamentos_feminino_facebook_social_pagepost-carolponce_social_slim-hits_all_cpm_1080x1080_111198</t>
  </si>
  <si>
    <t>247999125</t>
  </si>
  <si>
    <t>444224041</t>
  </si>
  <si>
    <t>alp_marca_engajamentos_feminino_facebook_social_pagepost-chicacapeto_social_slim-hits_all_cpm_1080x1080_111202</t>
  </si>
  <si>
    <t>247999113</t>
  </si>
  <si>
    <t>444224029</t>
  </si>
  <si>
    <t>alp_marca_engajamentos_feminino_facebook_social_stories-betinadeluca_social_slim-hits_all_cpm_de-11s-ate-29s_111199</t>
  </si>
  <si>
    <t>247999122</t>
  </si>
  <si>
    <t>444224038</t>
  </si>
  <si>
    <t>alp_marca_engajamentos_feminino_facebook_social_stories-carolinasilvano_social_slim-hits_all_cpm_de-11s-ate-29s_111203</t>
  </si>
  <si>
    <t>247999110</t>
  </si>
  <si>
    <t>444224026</t>
  </si>
  <si>
    <t>alp_marca_engajamentos_feminino_facebook_social_stories-carolponce_social_slim-hits_all_cpm_de-11s-ate-29s_111197</t>
  </si>
  <si>
    <t>247999128</t>
  </si>
  <si>
    <t>444224044</t>
  </si>
  <si>
    <t>alp_marca_engajamentos_feminino_facebook_social_stories-chicacapeto_social_slim-hits_all_cpm_de-11s-ate-29s_111201</t>
  </si>
  <si>
    <t>247999116</t>
  </si>
  <si>
    <t>444224032</t>
  </si>
  <si>
    <t>alp_marca_engajamentos_feminino_facebook_social_stories_social_slim-hits_all_cpm_de-5s-ate-10s_111196</t>
  </si>
  <si>
    <t>248134073</t>
  </si>
  <si>
    <t>444678952</t>
  </si>
  <si>
    <t>alp_marca_engajamentos_feminino_facebook_social_video-social_social_slim-hits_all_cpm_acima-de-30s_111196</t>
  </si>
  <si>
    <t>247816462</t>
  </si>
  <si>
    <t>444083526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</si>
  <si>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</si>
  <si>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</si>
  <si>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</si>
  <si>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</si>
  <si>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</si>
  <si>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</si>
  <si>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</si>
  <si>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</si>
  <si>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</si>
  <si>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alp_marca_engajamentos_masculino_facebook_social_dark-post_social_havaianas-urban_moda_cpm_1080x1080_111206</t>
  </si>
  <si>
    <t>247818761</t>
  </si>
  <si>
    <t>444395944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</si>
  <si>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</si>
  <si>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</si>
  <si>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</si>
  <si>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alp_marca_engajamentos_masculino_facebook_social_dark-post_social_havaianas-urban_moda_cpm_500x500_111190</t>
  </si>
  <si>
    <t>246959846</t>
  </si>
  <si>
    <t>alp_marca_engajamentos_masculino_facebook_social_dark-post_social_havaianas-urban_moda_cpm_500x500_111191</t>
  </si>
  <si>
    <t>443465067</t>
  </si>
  <si>
    <t>246959843</t>
  </si>
  <si>
    <t>alp_marca_engajamentos_masculino_facebook_social_dark-post_social_havaianas-urban_licenciados_cpm_500x500_111191</t>
  </si>
  <si>
    <t>443465064</t>
  </si>
  <si>
    <t>alp_marca_engajamentos_masculino_facebook_social_dark-post_social_hype_sports_cpm_500x500_111188</t>
  </si>
  <si>
    <t>246959852</t>
  </si>
  <si>
    <t>443465073</t>
  </si>
  <si>
    <t>alp_marca_engajamentos_masculino_facebook_social_pagepost_social_havaianas-urban_all_cpm_1080x1080_111195</t>
  </si>
  <si>
    <t>247938105</t>
  </si>
  <si>
    <t>444155815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</si>
  <si>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</si>
  <si>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</si>
  <si>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</si>
  <si>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</si>
  <si>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</si>
  <si>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</si>
  <si>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</si>
  <si>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</si>
  <si>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</si>
  <si>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</si>
  <si>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alp_marca_alcance_jovem_jovem-nerd_display_intervencao_ros_got_all_diaria_1280x700_111160</t>
  </si>
  <si>
    <t>442369670</t>
  </si>
  <si>
    <t>teste</t>
  </si>
  <si>
    <t>246180691</t>
  </si>
  <si>
    <t>442763029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</si>
</sst>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40"/>
  <sheetViews>
    <sheetView workbookViewId="0">
      <selection activeCell="H2" sqref="H2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148</v>
      </c>
      <c r="C2" s="19" t="s">
        <v>149</v>
      </c>
      <c r="D2" s="19" t="s">
        <v>150</v>
      </c>
      <c r="E2" s="20" t="s">
        <v>32</v>
      </c>
      <c r="F2" s="19" t="s">
        <v>149</v>
      </c>
      <c r="G2" s="19" t="s">
        <v>151</v>
      </c>
      <c r="H2" s="19" t="s">
        <v>32</v>
      </c>
      <c r="I2" s="26">
        <v>0</v>
      </c>
      <c r="J2">
        <v>8</v>
      </c>
      <c r="K2" s="1"/>
    </row>
    <row r="3" spans="1:11">
      <c r="A3" s="17" t="s">
        <v>52</v>
      </c>
      <c r="B3" s="19" t="s">
        <v>148</v>
      </c>
      <c r="C3" s="19" t="s">
        <v>424</v>
      </c>
      <c r="D3" s="19" t="s">
        <v>425</v>
      </c>
      <c r="E3" s="20" t="s">
        <v>32</v>
      </c>
      <c r="F3" s="19" t="s">
        <v>424</v>
      </c>
      <c r="G3" s="19" t="s">
        <v>426</v>
      </c>
      <c r="H3" s="19" t="s">
        <v>32</v>
      </c>
      <c r="I3">
        <v>0</v>
      </c>
      <c r="J3">
        <v>9</v>
      </c>
      <c r="K3" s="1"/>
    </row>
    <row r="4" spans="1:11">
      <c r="A4" s="17" t="s">
        <v>52</v>
      </c>
      <c r="B4" s="19" t="s">
        <v>148</v>
      </c>
      <c r="C4" s="19" t="s">
        <v>427</v>
      </c>
      <c r="D4" s="19" t="s">
        <v>428</v>
      </c>
      <c r="E4" s="20" t="s">
        <v>32</v>
      </c>
      <c r="F4" s="19" t="s">
        <v>427</v>
      </c>
      <c r="G4" s="19" t="s">
        <v>429</v>
      </c>
      <c r="H4" s="19" t="s">
        <v>32</v>
      </c>
      <c r="I4">
        <v>0</v>
      </c>
      <c r="J4">
        <v>4</v>
      </c>
      <c r="K4" s="1"/>
    </row>
    <row r="5" spans="1:11">
      <c r="A5" s="17" t="s">
        <v>52</v>
      </c>
      <c r="B5" s="19" t="s">
        <v>148</v>
      </c>
      <c r="C5" s="19" t="s">
        <v>430</v>
      </c>
      <c r="D5" s="19" t="s">
        <v>431</v>
      </c>
      <c r="E5" s="20" t="s">
        <v>32</v>
      </c>
      <c r="F5" s="19" t="s">
        <v>430</v>
      </c>
      <c r="G5" s="19" t="s">
        <v>432</v>
      </c>
      <c r="H5" s="19" t="s">
        <v>32</v>
      </c>
      <c r="I5">
        <v>0</v>
      </c>
      <c r="J5">
        <v>3</v>
      </c>
      <c r="K5" s="1"/>
    </row>
    <row r="6" spans="1:11">
      <c r="A6" s="17" t="s">
        <v>52</v>
      </c>
      <c r="B6" s="19" t="s">
        <v>148</v>
      </c>
      <c r="C6" s="19" t="s">
        <v>433</v>
      </c>
      <c r="D6" s="19" t="s">
        <v>434</v>
      </c>
      <c r="E6" s="20" t="s">
        <v>32</v>
      </c>
      <c r="F6" s="19" t="s">
        <v>433</v>
      </c>
      <c r="G6" s="19" t="s">
        <v>435</v>
      </c>
      <c r="H6" s="19" t="s">
        <v>32</v>
      </c>
      <c r="I6" s="26">
        <v>0</v>
      </c>
      <c r="J6">
        <v>3</v>
      </c>
      <c r="K6" s="1"/>
    </row>
    <row r="7" spans="1:11">
      <c r="A7" s="17" t="s">
        <v>52</v>
      </c>
      <c r="B7" s="19" t="s">
        <v>148</v>
      </c>
      <c r="C7" s="19" t="s">
        <v>436</v>
      </c>
      <c r="D7" s="19" t="s">
        <v>437</v>
      </c>
      <c r="E7" s="20" t="s">
        <v>32</v>
      </c>
      <c r="F7" s="19" t="s">
        <v>436</v>
      </c>
      <c r="G7" s="19" t="s">
        <v>438</v>
      </c>
      <c r="H7" s="19" t="s">
        <v>32</v>
      </c>
      <c r="I7" s="26">
        <v>0</v>
      </c>
      <c r="J7">
        <v>5</v>
      </c>
      <c r="K7" s="1"/>
    </row>
    <row r="8" spans="1:11">
      <c r="A8" s="17" t="s">
        <v>52</v>
      </c>
      <c r="B8" s="19" t="s">
        <v>148</v>
      </c>
      <c r="C8" s="19" t="s">
        <v>439</v>
      </c>
      <c r="D8" s="19" t="s">
        <v>440</v>
      </c>
      <c r="E8" s="20" t="s">
        <v>32</v>
      </c>
      <c r="F8" s="19" t="s">
        <v>439</v>
      </c>
      <c r="G8" s="19" t="s">
        <v>441</v>
      </c>
      <c r="H8" s="19" t="s">
        <v>32</v>
      </c>
      <c r="I8" s="26">
        <v>0</v>
      </c>
      <c r="J8">
        <v>4</v>
      </c>
      <c r="K8" s="1"/>
    </row>
    <row r="9" spans="1:11">
      <c r="A9" s="17" t="s">
        <v>52</v>
      </c>
      <c r="B9" s="19" t="s">
        <v>148</v>
      </c>
      <c r="C9" s="19" t="s">
        <v>442</v>
      </c>
      <c r="D9" s="19" t="s">
        <v>443</v>
      </c>
      <c r="E9" s="20" t="s">
        <v>32</v>
      </c>
      <c r="F9" s="19" t="s">
        <v>442</v>
      </c>
      <c r="G9" s="19" t="s">
        <v>444</v>
      </c>
      <c r="H9" s="19" t="s">
        <v>32</v>
      </c>
      <c r="I9" s="26">
        <v>0</v>
      </c>
      <c r="J9">
        <v>2</v>
      </c>
      <c r="K9" s="1"/>
    </row>
    <row r="10" spans="1:11">
      <c r="A10" s="17" t="s">
        <v>52</v>
      </c>
      <c r="B10" s="19" t="s">
        <v>148</v>
      </c>
      <c r="C10" s="19" t="s">
        <v>445</v>
      </c>
      <c r="D10" s="19" t="s">
        <v>446</v>
      </c>
      <c r="E10" s="20" t="s">
        <v>32</v>
      </c>
      <c r="F10" s="19" t="s">
        <v>445</v>
      </c>
      <c r="G10" s="19" t="s">
        <v>447</v>
      </c>
      <c r="H10" s="19" t="s">
        <v>32</v>
      </c>
      <c r="I10" s="26">
        <v>0</v>
      </c>
      <c r="J10">
        <v>3</v>
      </c>
      <c r="K10" s="1"/>
    </row>
    <row r="11" spans="1:11">
      <c r="A11" s="17" t="s">
        <v>52</v>
      </c>
      <c r="B11" s="19" t="s">
        <v>148</v>
      </c>
      <c r="C11" s="19" t="s">
        <v>448</v>
      </c>
      <c r="D11" s="19" t="s">
        <v>449</v>
      </c>
      <c r="E11" s="20" t="s">
        <v>32</v>
      </c>
      <c r="F11" s="19" t="s">
        <v>448</v>
      </c>
      <c r="G11" s="19" t="s">
        <v>450</v>
      </c>
      <c r="H11" s="19" t="s">
        <v>32</v>
      </c>
      <c r="I11" s="26">
        <v>0</v>
      </c>
      <c r="J11">
        <v>4</v>
      </c>
      <c r="K11" s="1"/>
    </row>
    <row r="12" spans="1:11">
      <c r="A12" s="17" t="s">
        <v>52</v>
      </c>
      <c r="B12" s="19" t="s">
        <v>152</v>
      </c>
      <c r="C12" s="19" t="s">
        <v>153</v>
      </c>
      <c r="D12" s="19" t="s">
        <v>154</v>
      </c>
      <c r="E12" s="20" t="s">
        <v>32</v>
      </c>
      <c r="F12" s="19" t="s">
        <v>153</v>
      </c>
      <c r="G12" s="19" t="s">
        <v>155</v>
      </c>
      <c r="H12" s="19" t="s">
        <v>32</v>
      </c>
      <c r="I12" s="26">
        <v>0</v>
      </c>
      <c r="J12">
        <v>810</v>
      </c>
      <c r="K12" s="1"/>
    </row>
    <row r="13" spans="1:11">
      <c r="A13" s="17" t="s">
        <v>52</v>
      </c>
      <c r="B13" s="19" t="s">
        <v>152</v>
      </c>
      <c r="C13" s="19" t="s">
        <v>156</v>
      </c>
      <c r="D13" s="19" t="s">
        <v>157</v>
      </c>
      <c r="E13" s="20" t="s">
        <v>32</v>
      </c>
      <c r="F13" s="19" t="s">
        <v>156</v>
      </c>
      <c r="G13" s="19" t="s">
        <v>158</v>
      </c>
      <c r="H13" s="19" t="s">
        <v>32</v>
      </c>
      <c r="I13" s="26">
        <v>0</v>
      </c>
      <c r="J13">
        <v>4808</v>
      </c>
      <c r="K13" s="1"/>
    </row>
    <row r="14" spans="1:11">
      <c r="A14" s="17" t="s">
        <v>52</v>
      </c>
      <c r="B14" s="19" t="s">
        <v>152</v>
      </c>
      <c r="C14" s="19" t="s">
        <v>451</v>
      </c>
      <c r="D14" s="19" t="s">
        <v>452</v>
      </c>
      <c r="E14" s="20" t="s">
        <v>32</v>
      </c>
      <c r="F14" s="19" t="s">
        <v>451</v>
      </c>
      <c r="G14" s="19" t="s">
        <v>453</v>
      </c>
      <c r="H14" s="19" t="s">
        <v>32</v>
      </c>
      <c r="I14" s="26">
        <v>0</v>
      </c>
      <c r="J14">
        <v>416</v>
      </c>
      <c r="K14" s="1"/>
    </row>
    <row r="15" spans="1:11">
      <c r="A15" s="17" t="s">
        <v>52</v>
      </c>
      <c r="B15" s="19" t="s">
        <v>152</v>
      </c>
      <c r="C15" s="19" t="s">
        <v>159</v>
      </c>
      <c r="D15" s="19" t="s">
        <v>160</v>
      </c>
      <c r="E15" s="20" t="s">
        <v>32</v>
      </c>
      <c r="F15" s="19" t="s">
        <v>159</v>
      </c>
      <c r="G15" s="19" t="s">
        <v>161</v>
      </c>
      <c r="H15" s="19" t="s">
        <v>32</v>
      </c>
      <c r="I15" s="26">
        <v>0</v>
      </c>
      <c r="J15">
        <v>677</v>
      </c>
      <c r="K15" s="1"/>
    </row>
    <row r="16" spans="1:11">
      <c r="A16" s="17" t="s">
        <v>52</v>
      </c>
      <c r="B16" s="19" t="s">
        <v>162</v>
      </c>
      <c r="C16" s="19" t="s">
        <v>163</v>
      </c>
      <c r="D16" s="19" t="s">
        <v>164</v>
      </c>
      <c r="E16" s="20" t="s">
        <v>32</v>
      </c>
      <c r="F16" s="19" t="s">
        <v>163</v>
      </c>
      <c r="G16" s="19" t="s">
        <v>165</v>
      </c>
      <c r="H16" s="19" t="s">
        <v>32</v>
      </c>
      <c r="I16" s="26">
        <v>3952153</v>
      </c>
      <c r="J16">
        <v>43071</v>
      </c>
      <c r="K16" s="1"/>
    </row>
    <row r="17" spans="1:11">
      <c r="A17" s="17" t="s">
        <v>52</v>
      </c>
      <c r="B17" s="19" t="s">
        <v>166</v>
      </c>
      <c r="C17" s="19" t="s">
        <v>167</v>
      </c>
      <c r="D17" s="19" t="s">
        <v>168</v>
      </c>
      <c r="E17" s="20" t="s">
        <v>32</v>
      </c>
      <c r="F17" s="19" t="s">
        <v>167</v>
      </c>
      <c r="G17" s="19" t="s">
        <v>169</v>
      </c>
      <c r="H17" s="19" t="s">
        <v>32</v>
      </c>
      <c r="I17" s="26">
        <v>0</v>
      </c>
      <c r="J17">
        <v>15490</v>
      </c>
      <c r="K17" s="1"/>
    </row>
    <row r="18" spans="1:11">
      <c r="A18" s="17" t="s">
        <v>52</v>
      </c>
      <c r="B18" s="19" t="s">
        <v>170</v>
      </c>
      <c r="C18" s="19" t="s">
        <v>454</v>
      </c>
      <c r="D18" s="19" t="s">
        <v>455</v>
      </c>
      <c r="E18" s="20" t="s">
        <v>32</v>
      </c>
      <c r="F18" s="19" t="s">
        <v>454</v>
      </c>
      <c r="G18" s="19" t="s">
        <v>456</v>
      </c>
      <c r="H18" s="19" t="s">
        <v>32</v>
      </c>
      <c r="I18" s="26">
        <v>3533</v>
      </c>
      <c r="J18">
        <v>74</v>
      </c>
      <c r="K18" s="1"/>
    </row>
    <row r="19" spans="1:11">
      <c r="A19" s="17" t="s">
        <v>52</v>
      </c>
      <c r="B19" s="19" t="s">
        <v>170</v>
      </c>
      <c r="C19" s="19" t="s">
        <v>457</v>
      </c>
      <c r="D19" s="19" t="s">
        <v>458</v>
      </c>
      <c r="E19" s="20" t="s">
        <v>32</v>
      </c>
      <c r="F19" s="19" t="s">
        <v>457</v>
      </c>
      <c r="G19" s="19" t="s">
        <v>459</v>
      </c>
      <c r="H19" s="19" t="s">
        <v>32</v>
      </c>
      <c r="I19" s="26">
        <v>3517</v>
      </c>
      <c r="J19">
        <v>15</v>
      </c>
      <c r="K19" s="1"/>
    </row>
    <row r="20" spans="1:11">
      <c r="A20" s="17" t="s">
        <v>52</v>
      </c>
      <c r="B20" s="19" t="s">
        <v>170</v>
      </c>
      <c r="C20" s="19" t="s">
        <v>460</v>
      </c>
      <c r="D20" s="19" t="s">
        <v>461</v>
      </c>
      <c r="E20" s="20" t="s">
        <v>32</v>
      </c>
      <c r="F20" s="19" t="s">
        <v>460</v>
      </c>
      <c r="G20" s="19" t="s">
        <v>462</v>
      </c>
      <c r="H20" s="19" t="s">
        <v>32</v>
      </c>
      <c r="I20" s="26">
        <v>0</v>
      </c>
      <c r="J20">
        <v>40</v>
      </c>
      <c r="K20" s="1"/>
    </row>
    <row r="21" spans="1:11">
      <c r="A21" s="17" t="s">
        <v>52</v>
      </c>
      <c r="B21" s="19" t="s">
        <v>170</v>
      </c>
      <c r="C21" s="19" t="s">
        <v>463</v>
      </c>
      <c r="D21" s="19" t="s">
        <v>464</v>
      </c>
      <c r="E21" s="20" t="s">
        <v>32</v>
      </c>
      <c r="F21" s="19" t="s">
        <v>463</v>
      </c>
      <c r="G21" s="19" t="s">
        <v>465</v>
      </c>
      <c r="H21" s="19" t="s">
        <v>32</v>
      </c>
      <c r="I21" s="26">
        <v>3526</v>
      </c>
      <c r="J21">
        <v>15</v>
      </c>
      <c r="K21" s="1"/>
    </row>
    <row r="22" spans="1:11">
      <c r="A22" s="17" t="s">
        <v>52</v>
      </c>
      <c r="B22" s="19" t="s">
        <v>170</v>
      </c>
      <c r="C22" s="19" t="s">
        <v>466</v>
      </c>
      <c r="D22" s="19" t="s">
        <v>467</v>
      </c>
      <c r="E22" s="20" t="s">
        <v>32</v>
      </c>
      <c r="F22" s="19" t="s">
        <v>466</v>
      </c>
      <c r="G22" s="19" t="s">
        <v>468</v>
      </c>
      <c r="H22" s="19" t="s">
        <v>32</v>
      </c>
      <c r="I22" s="26">
        <v>3515</v>
      </c>
      <c r="J22">
        <v>13</v>
      </c>
      <c r="K22" s="1"/>
    </row>
    <row r="23" spans="1:11">
      <c r="A23" s="17" t="s">
        <v>52</v>
      </c>
      <c r="B23" s="19" t="s">
        <v>170</v>
      </c>
      <c r="C23" s="19" t="s">
        <v>469</v>
      </c>
      <c r="D23" s="19" t="s">
        <v>470</v>
      </c>
      <c r="E23" s="20" t="s">
        <v>32</v>
      </c>
      <c r="F23" s="19" t="s">
        <v>469</v>
      </c>
      <c r="G23" s="19" t="s">
        <v>471</v>
      </c>
      <c r="H23" s="19" t="s">
        <v>32</v>
      </c>
      <c r="I23" s="26">
        <v>3517</v>
      </c>
      <c r="J23">
        <v>14</v>
      </c>
      <c r="K23" s="1"/>
    </row>
    <row r="24" spans="1:11">
      <c r="A24" s="17" t="s">
        <v>52</v>
      </c>
      <c r="B24" s="19" t="s">
        <v>170</v>
      </c>
      <c r="C24" s="19" t="s">
        <v>472</v>
      </c>
      <c r="D24" s="19" t="s">
        <v>473</v>
      </c>
      <c r="E24" s="20" t="s">
        <v>32</v>
      </c>
      <c r="F24" s="19" t="s">
        <v>472</v>
      </c>
      <c r="G24" s="19" t="s">
        <v>474</v>
      </c>
      <c r="H24" s="19" t="s">
        <v>32</v>
      </c>
      <c r="I24" s="26">
        <v>3539</v>
      </c>
      <c r="J24">
        <v>86</v>
      </c>
      <c r="K24" s="1"/>
    </row>
    <row r="25" spans="1:11">
      <c r="A25" s="17" t="s">
        <v>52</v>
      </c>
      <c r="B25" s="19" t="s">
        <v>170</v>
      </c>
      <c r="C25" s="19" t="s">
        <v>475</v>
      </c>
      <c r="D25" s="19" t="s">
        <v>476</v>
      </c>
      <c r="E25" s="20" t="s">
        <v>32</v>
      </c>
      <c r="F25" s="19" t="s">
        <v>475</v>
      </c>
      <c r="G25" s="19" t="s">
        <v>477</v>
      </c>
      <c r="H25" s="19" t="s">
        <v>32</v>
      </c>
      <c r="I25" s="26">
        <v>3528</v>
      </c>
      <c r="J25">
        <v>8</v>
      </c>
      <c r="K25" s="1"/>
    </row>
    <row r="26" spans="1:11">
      <c r="A26" s="17" t="s">
        <v>52</v>
      </c>
      <c r="B26" s="19" t="s">
        <v>170</v>
      </c>
      <c r="C26" s="19" t="s">
        <v>478</v>
      </c>
      <c r="D26" s="19" t="s">
        <v>479</v>
      </c>
      <c r="E26" s="20" t="s">
        <v>32</v>
      </c>
      <c r="F26" s="19" t="s">
        <v>478</v>
      </c>
      <c r="G26" s="19" t="s">
        <v>480</v>
      </c>
      <c r="H26" s="19" t="s">
        <v>32</v>
      </c>
      <c r="I26" s="26">
        <v>3526</v>
      </c>
      <c r="J26">
        <v>5</v>
      </c>
      <c r="K26" s="1"/>
    </row>
    <row r="27" spans="1:11">
      <c r="A27" s="17" t="s">
        <v>52</v>
      </c>
      <c r="B27" s="19" t="s">
        <v>170</v>
      </c>
      <c r="C27" s="19" t="s">
        <v>481</v>
      </c>
      <c r="D27" s="19" t="s">
        <v>482</v>
      </c>
      <c r="E27" s="20" t="s">
        <v>32</v>
      </c>
      <c r="F27" s="19" t="s">
        <v>481</v>
      </c>
      <c r="G27" s="19" t="s">
        <v>483</v>
      </c>
      <c r="H27" s="19" t="s">
        <v>32</v>
      </c>
      <c r="I27" s="26">
        <v>3525</v>
      </c>
      <c r="J27">
        <v>21</v>
      </c>
      <c r="K27" s="1"/>
    </row>
    <row r="28" spans="1:11">
      <c r="A28" s="17" t="s">
        <v>52</v>
      </c>
      <c r="B28" s="19" t="s">
        <v>170</v>
      </c>
      <c r="C28" s="19" t="s">
        <v>484</v>
      </c>
      <c r="D28" s="19" t="s">
        <v>485</v>
      </c>
      <c r="E28" s="20" t="s">
        <v>32</v>
      </c>
      <c r="F28" s="19" t="s">
        <v>484</v>
      </c>
      <c r="G28" s="19" t="s">
        <v>486</v>
      </c>
      <c r="H28" s="19" t="s">
        <v>32</v>
      </c>
      <c r="I28" s="26">
        <v>3524</v>
      </c>
      <c r="J28">
        <v>15</v>
      </c>
      <c r="K28" s="1"/>
    </row>
    <row r="29" spans="1:11">
      <c r="A29" s="17" t="s">
        <v>52</v>
      </c>
      <c r="B29" s="19" t="s">
        <v>170</v>
      </c>
      <c r="C29" s="19" t="s">
        <v>487</v>
      </c>
      <c r="D29" s="19" t="s">
        <v>488</v>
      </c>
      <c r="E29" s="20" t="s">
        <v>32</v>
      </c>
      <c r="F29" s="19" t="s">
        <v>487</v>
      </c>
      <c r="G29" s="19" t="s">
        <v>489</v>
      </c>
      <c r="H29" s="19" t="s">
        <v>32</v>
      </c>
      <c r="I29" s="26">
        <v>3494</v>
      </c>
      <c r="J29">
        <v>18</v>
      </c>
      <c r="K29" s="1"/>
    </row>
    <row r="30" spans="1:11">
      <c r="A30" s="17" t="s">
        <v>52</v>
      </c>
      <c r="B30" s="19" t="s">
        <v>170</v>
      </c>
      <c r="C30" s="19" t="s">
        <v>490</v>
      </c>
      <c r="D30" s="19" t="s">
        <v>491</v>
      </c>
      <c r="E30" s="20" t="s">
        <v>32</v>
      </c>
      <c r="F30" s="19" t="s">
        <v>490</v>
      </c>
      <c r="G30" s="19" t="s">
        <v>492</v>
      </c>
      <c r="H30" s="19" t="s">
        <v>32</v>
      </c>
      <c r="I30" s="26">
        <v>3497</v>
      </c>
      <c r="J30">
        <v>16</v>
      </c>
      <c r="K30" s="1"/>
    </row>
    <row r="31" spans="1:11">
      <c r="A31" s="17" t="s">
        <v>52</v>
      </c>
      <c r="B31" s="19" t="s">
        <v>170</v>
      </c>
      <c r="C31" s="19" t="s">
        <v>493</v>
      </c>
      <c r="D31" s="19" t="s">
        <v>494</v>
      </c>
      <c r="E31" s="20" t="s">
        <v>32</v>
      </c>
      <c r="F31" s="19" t="s">
        <v>493</v>
      </c>
      <c r="G31" s="19" t="s">
        <v>495</v>
      </c>
      <c r="H31" s="19" t="s">
        <v>32</v>
      </c>
      <c r="I31" s="26">
        <v>3496</v>
      </c>
      <c r="J31">
        <v>25</v>
      </c>
      <c r="K31" s="1"/>
    </row>
    <row r="32" spans="1:11">
      <c r="A32" s="17" t="s">
        <v>52</v>
      </c>
      <c r="B32" s="19" t="s">
        <v>170</v>
      </c>
      <c r="C32" s="19" t="s">
        <v>171</v>
      </c>
      <c r="D32" s="19" t="s">
        <v>172</v>
      </c>
      <c r="E32" s="20" t="s">
        <v>32</v>
      </c>
      <c r="F32" s="19" t="s">
        <v>171</v>
      </c>
      <c r="G32" s="19" t="s">
        <v>173</v>
      </c>
      <c r="H32" s="19" t="s">
        <v>32</v>
      </c>
      <c r="I32" s="26">
        <v>11590</v>
      </c>
      <c r="J32">
        <v>7</v>
      </c>
      <c r="K32" s="1"/>
    </row>
    <row r="33" spans="1:11">
      <c r="A33" s="17" t="s">
        <v>52</v>
      </c>
      <c r="B33" s="19" t="s">
        <v>170</v>
      </c>
      <c r="C33" s="19" t="s">
        <v>496</v>
      </c>
      <c r="D33" s="19" t="s">
        <v>497</v>
      </c>
      <c r="E33" s="20" t="s">
        <v>32</v>
      </c>
      <c r="F33" s="19" t="s">
        <v>496</v>
      </c>
      <c r="G33" s="19" t="s">
        <v>498</v>
      </c>
      <c r="H33" s="19" t="s">
        <v>32</v>
      </c>
      <c r="I33" s="26">
        <v>3</v>
      </c>
      <c r="J33">
        <v>5</v>
      </c>
      <c r="K33" s="1"/>
    </row>
    <row r="34" spans="1:11">
      <c r="A34" s="17" t="s">
        <v>52</v>
      </c>
      <c r="B34" s="19" t="s">
        <v>499</v>
      </c>
      <c r="C34" s="19" t="s">
        <v>500</v>
      </c>
      <c r="D34" s="19" t="s">
        <v>501</v>
      </c>
      <c r="E34" s="20" t="s">
        <v>32</v>
      </c>
      <c r="F34" s="19" t="s">
        <v>500</v>
      </c>
      <c r="G34" s="19" t="s">
        <v>502</v>
      </c>
      <c r="H34" s="19" t="s">
        <v>32</v>
      </c>
      <c r="I34" s="26">
        <v>3</v>
      </c>
      <c r="J34">
        <v>19</v>
      </c>
      <c r="K34" s="1"/>
    </row>
    <row r="35" spans="1:11">
      <c r="A35" s="17" t="s">
        <v>52</v>
      </c>
      <c r="B35" s="19" t="s">
        <v>53</v>
      </c>
      <c r="C35" s="19" t="s">
        <v>503</v>
      </c>
      <c r="D35" s="19" t="s">
        <v>504</v>
      </c>
      <c r="E35" s="20" t="s">
        <v>32</v>
      </c>
      <c r="F35" s="19" t="s">
        <v>503</v>
      </c>
      <c r="G35" s="19" t="s">
        <v>505</v>
      </c>
      <c r="H35" s="19" t="s">
        <v>32</v>
      </c>
      <c r="I35" s="26">
        <v>0</v>
      </c>
      <c r="J35">
        <v>17</v>
      </c>
      <c r="K35" s="1"/>
    </row>
    <row r="36" spans="1:11">
      <c r="A36" s="17" t="s">
        <v>52</v>
      </c>
      <c r="B36" s="19" t="s">
        <v>53</v>
      </c>
      <c r="C36" s="19" t="s">
        <v>506</v>
      </c>
      <c r="D36" s="19" t="s">
        <v>507</v>
      </c>
      <c r="E36" s="20" t="s">
        <v>32</v>
      </c>
      <c r="F36" s="19" t="s">
        <v>506</v>
      </c>
      <c r="G36" s="19" t="s">
        <v>508</v>
      </c>
      <c r="H36" s="19" t="s">
        <v>32</v>
      </c>
      <c r="I36" s="26">
        <v>0</v>
      </c>
      <c r="J36">
        <v>1215</v>
      </c>
      <c r="K36" s="1"/>
    </row>
    <row r="37" spans="1:11">
      <c r="A37" s="17" t="s">
        <v>52</v>
      </c>
      <c r="B37" s="19" t="s">
        <v>53</v>
      </c>
      <c r="C37" s="19" t="s">
        <v>509</v>
      </c>
      <c r="D37" s="19" t="s">
        <v>510</v>
      </c>
      <c r="E37" s="20" t="s">
        <v>32</v>
      </c>
      <c r="F37" s="19" t="s">
        <v>509</v>
      </c>
      <c r="G37" s="19" t="s">
        <v>511</v>
      </c>
      <c r="H37" s="19" t="s">
        <v>32</v>
      </c>
      <c r="I37" s="26">
        <v>0</v>
      </c>
      <c r="J37">
        <v>4</v>
      </c>
      <c r="K37" s="1"/>
    </row>
    <row r="38" spans="1:11">
      <c r="A38" s="17" t="s">
        <v>52</v>
      </c>
      <c r="B38" s="19" t="s">
        <v>53</v>
      </c>
      <c r="C38" s="19" t="s">
        <v>174</v>
      </c>
      <c r="D38" s="19" t="s">
        <v>175</v>
      </c>
      <c r="E38" s="20" t="s">
        <v>32</v>
      </c>
      <c r="F38" s="19" t="s">
        <v>174</v>
      </c>
      <c r="G38" s="19" t="s">
        <v>176</v>
      </c>
      <c r="H38" s="19" t="s">
        <v>32</v>
      </c>
      <c r="I38" s="26">
        <v>0</v>
      </c>
      <c r="J38">
        <v>12881</v>
      </c>
      <c r="K38" s="1"/>
    </row>
    <row r="39" spans="1:11">
      <c r="A39" s="17" t="s">
        <v>52</v>
      </c>
      <c r="B39" s="19" t="s">
        <v>53</v>
      </c>
      <c r="C39" s="19" t="s">
        <v>512</v>
      </c>
      <c r="D39" s="19" t="s">
        <v>513</v>
      </c>
      <c r="E39" s="20" t="s">
        <v>32</v>
      </c>
      <c r="F39" s="19" t="s">
        <v>512</v>
      </c>
      <c r="G39" s="19" t="s">
        <v>514</v>
      </c>
      <c r="H39" s="19" t="s">
        <v>32</v>
      </c>
      <c r="I39" s="26">
        <v>0</v>
      </c>
      <c r="J39">
        <v>562</v>
      </c>
      <c r="K39" s="1"/>
    </row>
    <row r="40" spans="1:11">
      <c r="A40" s="17" t="s">
        <v>52</v>
      </c>
      <c r="B40" s="19" t="s">
        <v>53</v>
      </c>
      <c r="C40" s="19" t="s">
        <v>515</v>
      </c>
      <c r="D40" s="19" t="s">
        <v>516</v>
      </c>
      <c r="E40" s="20" t="s">
        <v>32</v>
      </c>
      <c r="F40" s="19" t="s">
        <v>515</v>
      </c>
      <c r="G40" s="19" t="s">
        <v>517</v>
      </c>
      <c r="H40" s="19" t="s">
        <v>32</v>
      </c>
      <c r="I40" s="26">
        <v>0</v>
      </c>
      <c r="J40">
        <v>3</v>
      </c>
      <c r="K40" s="1"/>
    </row>
    <row r="41" spans="1:11">
      <c r="A41" s="17" t="s">
        <v>52</v>
      </c>
      <c r="B41" s="19" t="s">
        <v>53</v>
      </c>
      <c r="C41" s="19" t="s">
        <v>518</v>
      </c>
      <c r="D41" s="19" t="s">
        <v>519</v>
      </c>
      <c r="E41" s="20" t="s">
        <v>32</v>
      </c>
      <c r="F41" s="19" t="s">
        <v>518</v>
      </c>
      <c r="G41" s="19" t="s">
        <v>520</v>
      </c>
      <c r="H41" s="19" t="s">
        <v>32</v>
      </c>
      <c r="I41" s="26">
        <v>0</v>
      </c>
      <c r="J41">
        <v>58</v>
      </c>
      <c r="K41" s="1"/>
    </row>
    <row r="42" spans="1:11">
      <c r="A42" s="17" t="s">
        <v>52</v>
      </c>
      <c r="B42" s="19" t="s">
        <v>53</v>
      </c>
      <c r="C42" s="19" t="s">
        <v>521</v>
      </c>
      <c r="D42" s="19" t="s">
        <v>522</v>
      </c>
      <c r="E42" s="20" t="s">
        <v>32</v>
      </c>
      <c r="F42" s="19" t="s">
        <v>521</v>
      </c>
      <c r="G42" s="19" t="s">
        <v>523</v>
      </c>
      <c r="H42" s="19" t="s">
        <v>32</v>
      </c>
      <c r="I42" s="26">
        <v>0</v>
      </c>
      <c r="J42">
        <v>3</v>
      </c>
      <c r="K42" s="1"/>
    </row>
    <row r="43" spans="1:11">
      <c r="A43" s="17" t="s">
        <v>52</v>
      </c>
      <c r="B43" s="19" t="s">
        <v>53</v>
      </c>
      <c r="C43" s="19" t="s">
        <v>524</v>
      </c>
      <c r="D43" s="19" t="s">
        <v>525</v>
      </c>
      <c r="E43" s="20" t="s">
        <v>32</v>
      </c>
      <c r="F43" s="19" t="s">
        <v>524</v>
      </c>
      <c r="G43" s="19" t="s">
        <v>526</v>
      </c>
      <c r="H43" s="19" t="s">
        <v>32</v>
      </c>
      <c r="I43" s="26">
        <v>0</v>
      </c>
      <c r="J43">
        <v>5</v>
      </c>
      <c r="K43" s="1"/>
    </row>
    <row r="44" spans="1:11">
      <c r="A44" s="17" t="s">
        <v>52</v>
      </c>
      <c r="B44" s="19" t="s">
        <v>53</v>
      </c>
      <c r="C44" s="19" t="s">
        <v>527</v>
      </c>
      <c r="D44" s="19" t="s">
        <v>528</v>
      </c>
      <c r="E44" s="20" t="s">
        <v>32</v>
      </c>
      <c r="F44" s="19" t="s">
        <v>527</v>
      </c>
      <c r="G44" s="19" t="s">
        <v>529</v>
      </c>
      <c r="H44" s="19" t="s">
        <v>32</v>
      </c>
      <c r="I44" s="26">
        <v>0</v>
      </c>
      <c r="J44">
        <v>192</v>
      </c>
      <c r="K44" s="1"/>
    </row>
    <row r="45" spans="1:11">
      <c r="A45" s="17" t="s">
        <v>52</v>
      </c>
      <c r="B45" s="19" t="s">
        <v>53</v>
      </c>
      <c r="C45" s="19" t="s">
        <v>530</v>
      </c>
      <c r="D45" s="19" t="s">
        <v>531</v>
      </c>
      <c r="E45" s="20" t="s">
        <v>32</v>
      </c>
      <c r="F45" s="19" t="s">
        <v>530</v>
      </c>
      <c r="G45" s="19" t="s">
        <v>532</v>
      </c>
      <c r="H45" s="19" t="s">
        <v>32</v>
      </c>
      <c r="I45" s="26">
        <v>0</v>
      </c>
      <c r="J45">
        <v>9</v>
      </c>
      <c r="K45" s="1"/>
    </row>
    <row r="46" spans="1:11">
      <c r="A46" s="17" t="s">
        <v>52</v>
      </c>
      <c r="B46" s="19" t="s">
        <v>53</v>
      </c>
      <c r="C46" s="19" t="s">
        <v>54</v>
      </c>
      <c r="D46" s="19" t="s">
        <v>55</v>
      </c>
      <c r="E46" s="20" t="s">
        <v>32</v>
      </c>
      <c r="F46" s="19" t="s">
        <v>54</v>
      </c>
      <c r="G46" s="19" t="s">
        <v>56</v>
      </c>
      <c r="H46" s="19" t="s">
        <v>32</v>
      </c>
      <c r="I46" s="26">
        <v>0</v>
      </c>
      <c r="J46">
        <v>91</v>
      </c>
      <c r="K46" s="1"/>
    </row>
    <row r="47" spans="1:11">
      <c r="A47" s="17" t="s">
        <v>52</v>
      </c>
      <c r="B47" s="19" t="s">
        <v>53</v>
      </c>
      <c r="C47" s="19" t="s">
        <v>57</v>
      </c>
      <c r="D47" s="19" t="s">
        <v>58</v>
      </c>
      <c r="E47" s="20" t="s">
        <v>32</v>
      </c>
      <c r="F47" s="19" t="s">
        <v>57</v>
      </c>
      <c r="G47" s="19" t="s">
        <v>59</v>
      </c>
      <c r="H47" s="19" t="s">
        <v>32</v>
      </c>
      <c r="I47" s="26">
        <v>0</v>
      </c>
      <c r="J47">
        <v>1092</v>
      </c>
      <c r="K47" s="1"/>
    </row>
    <row r="48" spans="1:11">
      <c r="A48" s="17" t="s">
        <v>52</v>
      </c>
      <c r="B48" s="19" t="s">
        <v>53</v>
      </c>
      <c r="C48" s="19" t="s">
        <v>533</v>
      </c>
      <c r="D48" s="19" t="s">
        <v>534</v>
      </c>
      <c r="E48" s="20" t="s">
        <v>32</v>
      </c>
      <c r="F48" s="19" t="s">
        <v>533</v>
      </c>
      <c r="G48" s="19" t="s">
        <v>535</v>
      </c>
      <c r="H48" s="19" t="s">
        <v>32</v>
      </c>
      <c r="I48" s="26">
        <v>0</v>
      </c>
      <c r="J48">
        <v>1</v>
      </c>
      <c r="K48" s="1"/>
    </row>
    <row r="49" spans="1:11">
      <c r="A49" s="17" t="s">
        <v>52</v>
      </c>
      <c r="B49" s="19" t="s">
        <v>53</v>
      </c>
      <c r="C49" s="19" t="s">
        <v>60</v>
      </c>
      <c r="D49" s="19" t="s">
        <v>61</v>
      </c>
      <c r="E49" s="20" t="s">
        <v>32</v>
      </c>
      <c r="F49" s="19" t="s">
        <v>60</v>
      </c>
      <c r="G49" s="19" t="s">
        <v>62</v>
      </c>
      <c r="H49" s="19" t="s">
        <v>32</v>
      </c>
      <c r="I49" s="26">
        <v>0</v>
      </c>
      <c r="J49">
        <v>12</v>
      </c>
      <c r="K49" s="1"/>
    </row>
    <row r="50" spans="1:11">
      <c r="A50" s="17" t="s">
        <v>52</v>
      </c>
      <c r="B50" s="19" t="s">
        <v>53</v>
      </c>
      <c r="C50" s="19" t="s">
        <v>63</v>
      </c>
      <c r="D50" s="19" t="s">
        <v>64</v>
      </c>
      <c r="E50" s="20" t="s">
        <v>32</v>
      </c>
      <c r="F50" s="19" t="s">
        <v>63</v>
      </c>
      <c r="G50" s="19" t="s">
        <v>65</v>
      </c>
      <c r="H50" s="19" t="s">
        <v>32</v>
      </c>
      <c r="I50" s="26">
        <v>0</v>
      </c>
      <c r="J50">
        <v>10</v>
      </c>
      <c r="K50" s="1"/>
    </row>
    <row r="51" spans="1:11">
      <c r="A51" s="17" t="s">
        <v>52</v>
      </c>
      <c r="B51" s="19" t="s">
        <v>53</v>
      </c>
      <c r="C51" s="19" t="s">
        <v>536</v>
      </c>
      <c r="D51" s="19" t="s">
        <v>537</v>
      </c>
      <c r="E51" s="20" t="s">
        <v>32</v>
      </c>
      <c r="F51" s="19" t="s">
        <v>536</v>
      </c>
      <c r="G51" s="19" t="s">
        <v>538</v>
      </c>
      <c r="H51" s="19" t="s">
        <v>32</v>
      </c>
      <c r="I51" s="26">
        <v>0</v>
      </c>
      <c r="J51">
        <v>2245</v>
      </c>
      <c r="K51" s="1"/>
    </row>
    <row r="52" spans="1:11">
      <c r="A52" s="17" t="s">
        <v>52</v>
      </c>
      <c r="B52" s="19" t="s">
        <v>53</v>
      </c>
      <c r="C52" s="19" t="s">
        <v>539</v>
      </c>
      <c r="D52" s="19" t="s">
        <v>540</v>
      </c>
      <c r="E52" s="20" t="s">
        <v>32</v>
      </c>
      <c r="F52" s="19" t="s">
        <v>539</v>
      </c>
      <c r="G52" s="19" t="s">
        <v>541</v>
      </c>
      <c r="H52" s="19" t="s">
        <v>32</v>
      </c>
      <c r="I52" s="26">
        <v>0</v>
      </c>
      <c r="J52">
        <v>13</v>
      </c>
      <c r="K52" s="1"/>
    </row>
    <row r="53" spans="1:11">
      <c r="A53" s="17" t="s">
        <v>52</v>
      </c>
      <c r="B53" s="19" t="s">
        <v>53</v>
      </c>
      <c r="C53" s="19" t="s">
        <v>542</v>
      </c>
      <c r="D53" s="19" t="s">
        <v>543</v>
      </c>
      <c r="E53" s="20" t="s">
        <v>32</v>
      </c>
      <c r="F53" s="19" t="s">
        <v>542</v>
      </c>
      <c r="G53" s="19" t="s">
        <v>544</v>
      </c>
      <c r="H53" s="19" t="s">
        <v>32</v>
      </c>
      <c r="I53" s="26">
        <v>0</v>
      </c>
      <c r="J53">
        <v>15</v>
      </c>
      <c r="K53" s="1"/>
    </row>
    <row r="54" spans="1:11">
      <c r="A54" s="17" t="s">
        <v>52</v>
      </c>
      <c r="B54" s="19" t="s">
        <v>53</v>
      </c>
      <c r="C54" s="19" t="s">
        <v>545</v>
      </c>
      <c r="D54" s="19" t="s">
        <v>546</v>
      </c>
      <c r="E54" s="20" t="s">
        <v>32</v>
      </c>
      <c r="F54" s="19" t="s">
        <v>545</v>
      </c>
      <c r="G54" s="19" t="s">
        <v>547</v>
      </c>
      <c r="H54" s="19" t="s">
        <v>32</v>
      </c>
      <c r="I54" s="26">
        <v>0</v>
      </c>
      <c r="J54">
        <v>3</v>
      </c>
      <c r="K54" s="1"/>
    </row>
    <row r="55" spans="1:11">
      <c r="A55" s="17" t="s">
        <v>52</v>
      </c>
      <c r="B55" s="19" t="s">
        <v>53</v>
      </c>
      <c r="C55" s="19" t="s">
        <v>548</v>
      </c>
      <c r="D55" s="19" t="s">
        <v>549</v>
      </c>
      <c r="E55" s="20" t="s">
        <v>32</v>
      </c>
      <c r="F55" s="19" t="s">
        <v>548</v>
      </c>
      <c r="G55" s="19" t="s">
        <v>550</v>
      </c>
      <c r="H55" s="19" t="s">
        <v>32</v>
      </c>
      <c r="I55" s="26">
        <v>0</v>
      </c>
      <c r="J55">
        <v>108</v>
      </c>
      <c r="K55" s="1"/>
    </row>
    <row r="56" spans="1:11">
      <c r="A56" s="17" t="s">
        <v>52</v>
      </c>
      <c r="B56" s="19" t="s">
        <v>53</v>
      </c>
      <c r="C56" s="19" t="s">
        <v>551</v>
      </c>
      <c r="D56" s="19" t="s">
        <v>552</v>
      </c>
      <c r="E56" s="20" t="s">
        <v>32</v>
      </c>
      <c r="F56" s="19" t="s">
        <v>551</v>
      </c>
      <c r="G56" s="19" t="s">
        <v>553</v>
      </c>
      <c r="H56" s="19" t="s">
        <v>32</v>
      </c>
      <c r="I56" s="26">
        <v>0</v>
      </c>
      <c r="J56">
        <v>6</v>
      </c>
      <c r="K56" s="1"/>
    </row>
    <row r="57" spans="1:11">
      <c r="A57" s="17" t="s">
        <v>52</v>
      </c>
      <c r="B57" s="19" t="s">
        <v>53</v>
      </c>
      <c r="C57" s="19" t="s">
        <v>177</v>
      </c>
      <c r="D57" s="19" t="s">
        <v>178</v>
      </c>
      <c r="E57" s="20" t="s">
        <v>32</v>
      </c>
      <c r="F57" s="19" t="s">
        <v>177</v>
      </c>
      <c r="G57" s="19" t="s">
        <v>179</v>
      </c>
      <c r="H57" s="19" t="s">
        <v>32</v>
      </c>
      <c r="I57" s="26">
        <v>0</v>
      </c>
      <c r="J57">
        <v>390</v>
      </c>
      <c r="K57" s="1"/>
    </row>
    <row r="58" spans="1:11">
      <c r="A58" s="17" t="s">
        <v>52</v>
      </c>
      <c r="B58" s="19" t="s">
        <v>53</v>
      </c>
      <c r="C58" s="19" t="s">
        <v>180</v>
      </c>
      <c r="D58" s="19" t="s">
        <v>181</v>
      </c>
      <c r="E58" s="20" t="s">
        <v>32</v>
      </c>
      <c r="F58" s="19" t="s">
        <v>180</v>
      </c>
      <c r="G58" s="19" t="s">
        <v>182</v>
      </c>
      <c r="H58" s="19" t="s">
        <v>32</v>
      </c>
      <c r="I58" s="26">
        <v>0</v>
      </c>
      <c r="J58">
        <v>2</v>
      </c>
      <c r="K58" s="1"/>
    </row>
    <row r="59" spans="1:11">
      <c r="A59" s="17" t="s">
        <v>52</v>
      </c>
      <c r="B59" s="19" t="s">
        <v>53</v>
      </c>
      <c r="C59" s="19" t="s">
        <v>183</v>
      </c>
      <c r="D59" s="19" t="s">
        <v>184</v>
      </c>
      <c r="E59" s="20" t="s">
        <v>32</v>
      </c>
      <c r="F59" s="19" t="s">
        <v>183</v>
      </c>
      <c r="G59" s="19" t="s">
        <v>185</v>
      </c>
      <c r="H59" s="19" t="s">
        <v>32</v>
      </c>
      <c r="I59" s="26">
        <v>0</v>
      </c>
      <c r="J59">
        <v>9</v>
      </c>
      <c r="K59" s="1"/>
    </row>
    <row r="60" spans="1:11">
      <c r="A60" s="17" t="s">
        <v>52</v>
      </c>
      <c r="B60" s="19" t="s">
        <v>53</v>
      </c>
      <c r="C60" s="19" t="s">
        <v>186</v>
      </c>
      <c r="D60" s="19" t="s">
        <v>187</v>
      </c>
      <c r="E60" s="20" t="s">
        <v>32</v>
      </c>
      <c r="F60" s="19" t="s">
        <v>186</v>
      </c>
      <c r="G60" s="19" t="s">
        <v>188</v>
      </c>
      <c r="H60" s="19" t="s">
        <v>32</v>
      </c>
      <c r="I60" s="26">
        <v>0</v>
      </c>
      <c r="J60">
        <v>4</v>
      </c>
      <c r="K60" s="1"/>
    </row>
    <row r="61" spans="1:11">
      <c r="A61" s="17" t="s">
        <v>52</v>
      </c>
      <c r="B61" s="19" t="s">
        <v>53</v>
      </c>
      <c r="C61" s="19" t="s">
        <v>189</v>
      </c>
      <c r="D61" s="19" t="s">
        <v>190</v>
      </c>
      <c r="E61" s="20" t="s">
        <v>32</v>
      </c>
      <c r="F61" s="19" t="s">
        <v>189</v>
      </c>
      <c r="G61" s="19" t="s">
        <v>191</v>
      </c>
      <c r="H61" s="19" t="s">
        <v>32</v>
      </c>
      <c r="I61" s="26">
        <v>0</v>
      </c>
      <c r="J61">
        <v>99</v>
      </c>
      <c r="K61" s="1"/>
    </row>
    <row r="62" spans="1:11">
      <c r="A62" s="17" t="s">
        <v>52</v>
      </c>
      <c r="B62" s="19" t="s">
        <v>53</v>
      </c>
      <c r="C62" s="19" t="s">
        <v>192</v>
      </c>
      <c r="D62" s="19" t="s">
        <v>193</v>
      </c>
      <c r="E62" s="20" t="s">
        <v>32</v>
      </c>
      <c r="F62" s="19" t="s">
        <v>192</v>
      </c>
      <c r="G62" s="19" t="s">
        <v>194</v>
      </c>
      <c r="H62" s="19" t="s">
        <v>32</v>
      </c>
      <c r="I62" s="26">
        <v>0</v>
      </c>
      <c r="J62">
        <v>3</v>
      </c>
      <c r="K62" s="1"/>
    </row>
    <row r="63" spans="1:11">
      <c r="A63" s="17" t="s">
        <v>52</v>
      </c>
      <c r="B63" s="19" t="s">
        <v>53</v>
      </c>
      <c r="C63" s="19" t="s">
        <v>195</v>
      </c>
      <c r="D63" s="19" t="s">
        <v>196</v>
      </c>
      <c r="E63" s="20" t="s">
        <v>32</v>
      </c>
      <c r="F63" s="19" t="s">
        <v>195</v>
      </c>
      <c r="G63" s="19" t="s">
        <v>197</v>
      </c>
      <c r="H63" s="19" t="s">
        <v>32</v>
      </c>
      <c r="I63" s="26">
        <v>0</v>
      </c>
      <c r="J63">
        <v>1202</v>
      </c>
      <c r="K63" s="1"/>
    </row>
    <row r="64" spans="1:11">
      <c r="A64" s="17" t="s">
        <v>52</v>
      </c>
      <c r="B64" s="19" t="s">
        <v>53</v>
      </c>
      <c r="C64" s="19" t="s">
        <v>198</v>
      </c>
      <c r="D64" s="19" t="s">
        <v>199</v>
      </c>
      <c r="E64" s="20" t="s">
        <v>32</v>
      </c>
      <c r="F64" s="19" t="s">
        <v>198</v>
      </c>
      <c r="G64" s="19" t="s">
        <v>200</v>
      </c>
      <c r="H64" s="19" t="s">
        <v>32</v>
      </c>
      <c r="I64" s="26">
        <v>0</v>
      </c>
      <c r="J64">
        <v>43</v>
      </c>
      <c r="K64" s="1"/>
    </row>
    <row r="65" spans="1:11">
      <c r="A65" s="17" t="s">
        <v>52</v>
      </c>
      <c r="B65" s="19" t="s">
        <v>53</v>
      </c>
      <c r="C65" s="19" t="s">
        <v>201</v>
      </c>
      <c r="D65" s="19" t="s">
        <v>202</v>
      </c>
      <c r="E65" s="20" t="s">
        <v>32</v>
      </c>
      <c r="F65" s="19" t="s">
        <v>201</v>
      </c>
      <c r="G65" s="19" t="s">
        <v>203</v>
      </c>
      <c r="H65" s="19" t="s">
        <v>32</v>
      </c>
      <c r="I65" s="26">
        <v>0</v>
      </c>
      <c r="J65">
        <v>18</v>
      </c>
      <c r="K65" s="1"/>
    </row>
    <row r="66" spans="1:11">
      <c r="A66" s="17" t="s">
        <v>52</v>
      </c>
      <c r="B66" s="19" t="s">
        <v>53</v>
      </c>
      <c r="C66" s="19" t="s">
        <v>204</v>
      </c>
      <c r="D66" s="19" t="s">
        <v>205</v>
      </c>
      <c r="E66" s="20" t="s">
        <v>32</v>
      </c>
      <c r="F66" s="19" t="s">
        <v>204</v>
      </c>
      <c r="G66" s="19" t="s">
        <v>206</v>
      </c>
      <c r="H66" s="19" t="s">
        <v>32</v>
      </c>
      <c r="I66" s="26">
        <v>0</v>
      </c>
      <c r="J66">
        <v>675</v>
      </c>
      <c r="K66" s="1"/>
    </row>
    <row r="67" spans="1:11">
      <c r="A67" s="17" t="s">
        <v>52</v>
      </c>
      <c r="B67" s="19" t="s">
        <v>53</v>
      </c>
      <c r="C67" s="19" t="s">
        <v>66</v>
      </c>
      <c r="D67" s="19" t="s">
        <v>67</v>
      </c>
      <c r="E67" s="20" t="s">
        <v>32</v>
      </c>
      <c r="F67" s="19" t="s">
        <v>66</v>
      </c>
      <c r="G67" s="19" t="s">
        <v>68</v>
      </c>
      <c r="H67" s="19" t="s">
        <v>32</v>
      </c>
      <c r="I67" s="26">
        <v>0</v>
      </c>
      <c r="J67">
        <v>4</v>
      </c>
      <c r="K67" s="1"/>
    </row>
    <row r="68" spans="1:11">
      <c r="A68" s="17" t="s">
        <v>52</v>
      </c>
      <c r="B68" s="19" t="s">
        <v>53</v>
      </c>
      <c r="C68" s="19" t="s">
        <v>207</v>
      </c>
      <c r="D68" s="19" t="s">
        <v>208</v>
      </c>
      <c r="E68" s="20" t="s">
        <v>32</v>
      </c>
      <c r="F68" s="19" t="s">
        <v>207</v>
      </c>
      <c r="G68" s="19" t="s">
        <v>209</v>
      </c>
      <c r="H68" s="19" t="s">
        <v>32</v>
      </c>
      <c r="I68" s="26">
        <v>0</v>
      </c>
      <c r="J68">
        <v>4417</v>
      </c>
      <c r="K68" s="1"/>
    </row>
    <row r="69" spans="1:11">
      <c r="A69" s="17" t="s">
        <v>52</v>
      </c>
      <c r="B69" s="19" t="s">
        <v>53</v>
      </c>
      <c r="C69" s="19" t="s">
        <v>69</v>
      </c>
      <c r="D69" s="19" t="s">
        <v>70</v>
      </c>
      <c r="E69" s="20" t="s">
        <v>32</v>
      </c>
      <c r="F69" s="19" t="s">
        <v>69</v>
      </c>
      <c r="G69" s="19" t="s">
        <v>71</v>
      </c>
      <c r="H69" s="19" t="s">
        <v>32</v>
      </c>
      <c r="I69" s="26">
        <v>0</v>
      </c>
      <c r="J69">
        <v>1</v>
      </c>
      <c r="K69" s="1"/>
    </row>
    <row r="70" spans="1:11">
      <c r="A70" s="17" t="s">
        <v>52</v>
      </c>
      <c r="B70" s="19" t="s">
        <v>53</v>
      </c>
      <c r="C70" s="19" t="s">
        <v>210</v>
      </c>
      <c r="D70" s="19" t="s">
        <v>211</v>
      </c>
      <c r="E70" s="20" t="s">
        <v>32</v>
      </c>
      <c r="F70" s="19" t="s">
        <v>210</v>
      </c>
      <c r="G70" s="19" t="s">
        <v>212</v>
      </c>
      <c r="H70" s="19" t="s">
        <v>32</v>
      </c>
      <c r="I70" s="26">
        <v>0</v>
      </c>
      <c r="J70">
        <v>119</v>
      </c>
      <c r="K70" s="1"/>
    </row>
    <row r="71" spans="1:11">
      <c r="A71" s="17" t="s">
        <v>52</v>
      </c>
      <c r="B71" s="19" t="s">
        <v>53</v>
      </c>
      <c r="C71" s="19" t="s">
        <v>213</v>
      </c>
      <c r="D71" s="19" t="s">
        <v>214</v>
      </c>
      <c r="E71" s="20" t="s">
        <v>32</v>
      </c>
      <c r="F71" s="19" t="s">
        <v>213</v>
      </c>
      <c r="G71" s="19" t="s">
        <v>215</v>
      </c>
      <c r="H71" s="19" t="s">
        <v>32</v>
      </c>
      <c r="I71" s="26">
        <v>0</v>
      </c>
      <c r="J71">
        <v>110</v>
      </c>
      <c r="K71" s="1"/>
    </row>
    <row r="72" spans="1:11">
      <c r="A72" s="17" t="s">
        <v>52</v>
      </c>
      <c r="B72" s="19" t="s">
        <v>53</v>
      </c>
      <c r="C72" s="19" t="s">
        <v>216</v>
      </c>
      <c r="D72" s="19" t="s">
        <v>217</v>
      </c>
      <c r="E72" s="20" t="s">
        <v>32</v>
      </c>
      <c r="F72" s="19" t="s">
        <v>216</v>
      </c>
      <c r="G72" s="19" t="s">
        <v>218</v>
      </c>
      <c r="H72" s="19" t="s">
        <v>32</v>
      </c>
      <c r="I72" s="26">
        <v>0</v>
      </c>
      <c r="J72">
        <v>35</v>
      </c>
      <c r="K72" s="1"/>
    </row>
    <row r="73" spans="1:11">
      <c r="A73" s="17" t="s">
        <v>52</v>
      </c>
      <c r="B73" s="19" t="s">
        <v>53</v>
      </c>
      <c r="C73" s="19" t="s">
        <v>219</v>
      </c>
      <c r="D73" s="19" t="s">
        <v>220</v>
      </c>
      <c r="E73" s="20" t="s">
        <v>32</v>
      </c>
      <c r="F73" s="19" t="s">
        <v>219</v>
      </c>
      <c r="G73" s="19" t="s">
        <v>221</v>
      </c>
      <c r="H73" s="19" t="s">
        <v>32</v>
      </c>
      <c r="I73" s="26">
        <v>0</v>
      </c>
      <c r="J73">
        <v>55</v>
      </c>
      <c r="K73" s="1"/>
    </row>
    <row r="74" spans="1:11">
      <c r="A74" s="17" t="s">
        <v>52</v>
      </c>
      <c r="B74" s="19" t="s">
        <v>53</v>
      </c>
      <c r="C74" s="19" t="s">
        <v>222</v>
      </c>
      <c r="D74" s="19" t="s">
        <v>223</v>
      </c>
      <c r="E74" s="20" t="s">
        <v>32</v>
      </c>
      <c r="F74" s="19" t="s">
        <v>222</v>
      </c>
      <c r="G74" s="19" t="s">
        <v>224</v>
      </c>
      <c r="H74" s="19" t="s">
        <v>32</v>
      </c>
      <c r="I74" s="26">
        <v>0</v>
      </c>
      <c r="J74">
        <v>196</v>
      </c>
      <c r="K74" s="1"/>
    </row>
    <row r="75" spans="1:11">
      <c r="A75" s="17" t="s">
        <v>52</v>
      </c>
      <c r="B75" s="19" t="s">
        <v>53</v>
      </c>
      <c r="C75" s="19" t="s">
        <v>225</v>
      </c>
      <c r="D75" s="19" t="s">
        <v>226</v>
      </c>
      <c r="E75" s="20" t="s">
        <v>32</v>
      </c>
      <c r="F75" s="19" t="s">
        <v>225</v>
      </c>
      <c r="G75" s="19" t="s">
        <v>227</v>
      </c>
      <c r="H75" s="19" t="s">
        <v>32</v>
      </c>
      <c r="I75" s="26">
        <v>0</v>
      </c>
      <c r="J75">
        <v>23</v>
      </c>
      <c r="K75" s="1"/>
    </row>
    <row r="76" spans="1:11">
      <c r="A76" s="17" t="s">
        <v>52</v>
      </c>
      <c r="B76" s="19" t="s">
        <v>53</v>
      </c>
      <c r="C76" s="19" t="s">
        <v>228</v>
      </c>
      <c r="D76" s="19" t="s">
        <v>229</v>
      </c>
      <c r="E76" s="20" t="s">
        <v>32</v>
      </c>
      <c r="F76" s="19" t="s">
        <v>228</v>
      </c>
      <c r="G76" s="19" t="s">
        <v>230</v>
      </c>
      <c r="H76" s="19" t="s">
        <v>32</v>
      </c>
      <c r="I76" s="26">
        <v>0</v>
      </c>
      <c r="J76">
        <v>738</v>
      </c>
      <c r="K76" s="1"/>
    </row>
    <row r="77" spans="1:11">
      <c r="A77" s="17" t="s">
        <v>52</v>
      </c>
      <c r="B77" s="19" t="s">
        <v>53</v>
      </c>
      <c r="C77" s="19" t="s">
        <v>72</v>
      </c>
      <c r="D77" s="19" t="s">
        <v>73</v>
      </c>
      <c r="E77" s="20" t="s">
        <v>32</v>
      </c>
      <c r="F77" s="19" t="s">
        <v>72</v>
      </c>
      <c r="G77" s="19" t="s">
        <v>74</v>
      </c>
      <c r="H77" s="19" t="s">
        <v>32</v>
      </c>
      <c r="I77" s="26">
        <v>0</v>
      </c>
      <c r="J77">
        <v>1359</v>
      </c>
      <c r="K77" s="1"/>
    </row>
    <row r="78" spans="1:11">
      <c r="A78" s="17" t="s">
        <v>52</v>
      </c>
      <c r="B78" s="19" t="s">
        <v>53</v>
      </c>
      <c r="C78" s="19" t="s">
        <v>554</v>
      </c>
      <c r="D78" s="19" t="s">
        <v>555</v>
      </c>
      <c r="E78" s="20" t="s">
        <v>32</v>
      </c>
      <c r="F78" s="19" t="s">
        <v>554</v>
      </c>
      <c r="G78" s="19" t="s">
        <v>556</v>
      </c>
      <c r="H78" s="19" t="s">
        <v>32</v>
      </c>
      <c r="I78" s="26">
        <v>0</v>
      </c>
      <c r="J78">
        <v>220</v>
      </c>
      <c r="K78" s="1"/>
    </row>
    <row r="79" spans="1:11">
      <c r="A79" s="17" t="s">
        <v>52</v>
      </c>
      <c r="B79" s="19" t="s">
        <v>53</v>
      </c>
      <c r="C79" s="19" t="s">
        <v>75</v>
      </c>
      <c r="D79" s="19" t="s">
        <v>76</v>
      </c>
      <c r="E79" s="20" t="s">
        <v>32</v>
      </c>
      <c r="F79" s="19" t="s">
        <v>75</v>
      </c>
      <c r="G79" s="19" t="s">
        <v>77</v>
      </c>
      <c r="H79" s="19" t="s">
        <v>32</v>
      </c>
      <c r="I79" s="26">
        <v>0</v>
      </c>
      <c r="J79">
        <v>753</v>
      </c>
      <c r="K79" s="1"/>
    </row>
    <row r="80" spans="1:11">
      <c r="A80" s="17" t="s">
        <v>52</v>
      </c>
      <c r="B80" s="19" t="s">
        <v>53</v>
      </c>
      <c r="C80" s="19" t="s">
        <v>557</v>
      </c>
      <c r="D80" s="19" t="s">
        <v>558</v>
      </c>
      <c r="E80" s="20" t="s">
        <v>32</v>
      </c>
      <c r="F80" s="19" t="s">
        <v>557</v>
      </c>
      <c r="G80" s="19" t="s">
        <v>559</v>
      </c>
      <c r="H80" s="19" t="s">
        <v>32</v>
      </c>
      <c r="I80" s="26">
        <v>0</v>
      </c>
      <c r="J80">
        <v>313</v>
      </c>
      <c r="K80" s="1"/>
    </row>
    <row r="81" spans="1:11">
      <c r="A81" s="17" t="s">
        <v>52</v>
      </c>
      <c r="B81" s="19" t="s">
        <v>53</v>
      </c>
      <c r="C81" s="19" t="s">
        <v>78</v>
      </c>
      <c r="D81" s="19" t="s">
        <v>79</v>
      </c>
      <c r="E81" s="20" t="s">
        <v>32</v>
      </c>
      <c r="F81" s="19" t="s">
        <v>78</v>
      </c>
      <c r="G81" s="19" t="s">
        <v>80</v>
      </c>
      <c r="H81" s="19" t="s">
        <v>32</v>
      </c>
      <c r="I81" s="26">
        <v>0</v>
      </c>
      <c r="J81">
        <v>17</v>
      </c>
      <c r="K81" s="1"/>
    </row>
    <row r="82" spans="1:11">
      <c r="A82" s="17" t="s">
        <v>52</v>
      </c>
      <c r="B82" s="19" t="s">
        <v>53</v>
      </c>
      <c r="C82" s="19" t="s">
        <v>81</v>
      </c>
      <c r="D82" s="19" t="s">
        <v>82</v>
      </c>
      <c r="E82" s="20" t="s">
        <v>32</v>
      </c>
      <c r="F82" s="19" t="s">
        <v>81</v>
      </c>
      <c r="G82" s="19" t="s">
        <v>83</v>
      </c>
      <c r="H82" s="19" t="s">
        <v>32</v>
      </c>
      <c r="I82" s="26">
        <v>0</v>
      </c>
      <c r="J82">
        <v>144</v>
      </c>
      <c r="K82" s="1"/>
    </row>
    <row r="83" spans="1:11">
      <c r="A83" s="17" t="s">
        <v>52</v>
      </c>
      <c r="B83" s="19" t="s">
        <v>53</v>
      </c>
      <c r="C83" s="19" t="s">
        <v>560</v>
      </c>
      <c r="D83" s="19" t="s">
        <v>561</v>
      </c>
      <c r="E83" s="20" t="s">
        <v>32</v>
      </c>
      <c r="F83" s="19" t="s">
        <v>560</v>
      </c>
      <c r="G83" s="19" t="s">
        <v>562</v>
      </c>
      <c r="H83" s="19" t="s">
        <v>32</v>
      </c>
      <c r="I83" s="26">
        <v>0</v>
      </c>
      <c r="J83">
        <v>1</v>
      </c>
      <c r="K83" s="1"/>
    </row>
    <row r="84" spans="1:11">
      <c r="A84" s="17" t="s">
        <v>52</v>
      </c>
      <c r="B84" s="19" t="s">
        <v>53</v>
      </c>
      <c r="C84" s="19" t="s">
        <v>84</v>
      </c>
      <c r="D84" s="19" t="s">
        <v>85</v>
      </c>
      <c r="E84" s="20" t="s">
        <v>32</v>
      </c>
      <c r="F84" s="19" t="s">
        <v>84</v>
      </c>
      <c r="G84" s="19" t="s">
        <v>86</v>
      </c>
      <c r="H84" s="19" t="s">
        <v>32</v>
      </c>
      <c r="I84" s="26">
        <v>0</v>
      </c>
      <c r="J84">
        <v>31</v>
      </c>
      <c r="K84" s="1"/>
    </row>
    <row r="85" spans="1:11">
      <c r="A85" s="17" t="s">
        <v>52</v>
      </c>
      <c r="B85" s="19" t="s">
        <v>53</v>
      </c>
      <c r="C85" s="19" t="s">
        <v>563</v>
      </c>
      <c r="D85" s="19" t="s">
        <v>564</v>
      </c>
      <c r="E85" s="20" t="s">
        <v>32</v>
      </c>
      <c r="F85" s="19" t="s">
        <v>563</v>
      </c>
      <c r="G85" s="19" t="s">
        <v>565</v>
      </c>
      <c r="H85" s="19" t="s">
        <v>32</v>
      </c>
      <c r="I85" s="26">
        <v>0</v>
      </c>
      <c r="J85">
        <v>1</v>
      </c>
      <c r="K85" s="1"/>
    </row>
    <row r="86" spans="1:11">
      <c r="A86" s="17" t="s">
        <v>52</v>
      </c>
      <c r="B86" s="19" t="s">
        <v>53</v>
      </c>
      <c r="C86" s="19" t="s">
        <v>87</v>
      </c>
      <c r="D86" s="19" t="s">
        <v>88</v>
      </c>
      <c r="E86" s="20" t="s">
        <v>32</v>
      </c>
      <c r="F86" s="19" t="s">
        <v>87</v>
      </c>
      <c r="G86" s="19" t="s">
        <v>89</v>
      </c>
      <c r="H86" s="19" t="s">
        <v>32</v>
      </c>
      <c r="I86" s="26">
        <v>0</v>
      </c>
      <c r="J86">
        <v>179</v>
      </c>
      <c r="K86" s="1"/>
    </row>
    <row r="87" spans="1:11">
      <c r="A87" s="17" t="s">
        <v>52</v>
      </c>
      <c r="B87" s="19" t="s">
        <v>53</v>
      </c>
      <c r="C87" s="19" t="s">
        <v>90</v>
      </c>
      <c r="D87" s="19" t="s">
        <v>91</v>
      </c>
      <c r="E87" s="20" t="s">
        <v>32</v>
      </c>
      <c r="F87" s="19" t="s">
        <v>90</v>
      </c>
      <c r="G87" s="19" t="s">
        <v>92</v>
      </c>
      <c r="H87" s="19" t="s">
        <v>32</v>
      </c>
      <c r="I87" s="26">
        <v>0</v>
      </c>
      <c r="J87">
        <v>376</v>
      </c>
      <c r="K87" s="1"/>
    </row>
    <row r="88" spans="1:11">
      <c r="A88" s="17" t="s">
        <v>52</v>
      </c>
      <c r="B88" s="19" t="s">
        <v>53</v>
      </c>
      <c r="C88" s="19" t="s">
        <v>566</v>
      </c>
      <c r="D88" s="19" t="s">
        <v>567</v>
      </c>
      <c r="E88" s="20" t="s">
        <v>32</v>
      </c>
      <c r="F88" s="19" t="s">
        <v>566</v>
      </c>
      <c r="G88" s="19" t="s">
        <v>568</v>
      </c>
      <c r="H88" s="19" t="s">
        <v>32</v>
      </c>
      <c r="I88" s="26">
        <v>0</v>
      </c>
      <c r="J88">
        <v>16</v>
      </c>
      <c r="K88" s="1"/>
    </row>
    <row r="89" spans="1:11">
      <c r="A89" s="17" t="s">
        <v>52</v>
      </c>
      <c r="B89" s="19" t="s">
        <v>53</v>
      </c>
      <c r="C89" s="19" t="s">
        <v>93</v>
      </c>
      <c r="D89" s="19" t="s">
        <v>94</v>
      </c>
      <c r="E89" s="20" t="s">
        <v>32</v>
      </c>
      <c r="F89" s="19" t="s">
        <v>93</v>
      </c>
      <c r="G89" s="19" t="s">
        <v>95</v>
      </c>
      <c r="H89" s="19" t="s">
        <v>32</v>
      </c>
      <c r="I89" s="26">
        <v>0</v>
      </c>
      <c r="J89">
        <v>53</v>
      </c>
      <c r="K89" s="1"/>
    </row>
    <row r="90" spans="1:11">
      <c r="A90" s="17" t="s">
        <v>52</v>
      </c>
      <c r="B90" s="19" t="s">
        <v>53</v>
      </c>
      <c r="C90" s="19" t="s">
        <v>569</v>
      </c>
      <c r="D90" s="19" t="s">
        <v>570</v>
      </c>
      <c r="E90" s="20" t="s">
        <v>32</v>
      </c>
      <c r="F90" s="19" t="s">
        <v>569</v>
      </c>
      <c r="G90" s="19" t="s">
        <v>571</v>
      </c>
      <c r="H90" s="19" t="s">
        <v>32</v>
      </c>
      <c r="I90" s="26">
        <v>0</v>
      </c>
      <c r="J90">
        <v>1</v>
      </c>
      <c r="K90" s="1"/>
    </row>
    <row r="91" spans="1:11">
      <c r="A91" s="17" t="s">
        <v>52</v>
      </c>
      <c r="B91" s="19" t="s">
        <v>53</v>
      </c>
      <c r="C91" s="19" t="s">
        <v>96</v>
      </c>
      <c r="D91" s="19" t="s">
        <v>97</v>
      </c>
      <c r="E91" s="20" t="s">
        <v>32</v>
      </c>
      <c r="F91" s="19" t="s">
        <v>96</v>
      </c>
      <c r="G91" s="19" t="s">
        <v>98</v>
      </c>
      <c r="H91" s="19" t="s">
        <v>32</v>
      </c>
      <c r="I91" s="26">
        <v>0</v>
      </c>
      <c r="J91">
        <v>1</v>
      </c>
      <c r="K91" s="1"/>
    </row>
    <row r="92" spans="1:11">
      <c r="A92" s="17" t="s">
        <v>52</v>
      </c>
      <c r="B92" s="19" t="s">
        <v>53</v>
      </c>
      <c r="C92" s="19" t="s">
        <v>231</v>
      </c>
      <c r="D92" s="19" t="s">
        <v>232</v>
      </c>
      <c r="E92" s="20" t="s">
        <v>32</v>
      </c>
      <c r="F92" s="19" t="s">
        <v>231</v>
      </c>
      <c r="G92" s="19" t="s">
        <v>233</v>
      </c>
      <c r="H92" s="19" t="s">
        <v>32</v>
      </c>
      <c r="I92" s="26">
        <v>0</v>
      </c>
      <c r="J92">
        <v>183</v>
      </c>
      <c r="K92" s="1"/>
    </row>
    <row r="93" spans="1:11">
      <c r="A93" s="17" t="s">
        <v>52</v>
      </c>
      <c r="B93" s="19" t="s">
        <v>53</v>
      </c>
      <c r="C93" s="19" t="s">
        <v>234</v>
      </c>
      <c r="D93" s="19" t="s">
        <v>235</v>
      </c>
      <c r="E93" s="20" t="s">
        <v>32</v>
      </c>
      <c r="F93" s="19" t="s">
        <v>234</v>
      </c>
      <c r="G93" s="19" t="s">
        <v>236</v>
      </c>
      <c r="H93" s="19" t="s">
        <v>32</v>
      </c>
      <c r="I93" s="26">
        <v>0</v>
      </c>
      <c r="J93">
        <v>2</v>
      </c>
      <c r="K93" s="1"/>
    </row>
    <row r="94" spans="1:11">
      <c r="A94" s="17" t="s">
        <v>52</v>
      </c>
      <c r="B94" s="19" t="s">
        <v>53</v>
      </c>
      <c r="C94" s="19" t="s">
        <v>237</v>
      </c>
      <c r="D94" s="19" t="s">
        <v>238</v>
      </c>
      <c r="E94" s="20" t="s">
        <v>32</v>
      </c>
      <c r="F94" s="19" t="s">
        <v>237</v>
      </c>
      <c r="G94" s="19" t="s">
        <v>239</v>
      </c>
      <c r="H94" s="19" t="s">
        <v>32</v>
      </c>
      <c r="I94" s="26">
        <v>0</v>
      </c>
      <c r="J94">
        <v>9</v>
      </c>
      <c r="K94" s="1"/>
    </row>
    <row r="95" spans="1:11">
      <c r="A95" s="17" t="s">
        <v>52</v>
      </c>
      <c r="B95" s="19" t="s">
        <v>53</v>
      </c>
      <c r="C95" s="19" t="s">
        <v>240</v>
      </c>
      <c r="D95" s="19" t="s">
        <v>241</v>
      </c>
      <c r="E95" s="20" t="s">
        <v>32</v>
      </c>
      <c r="F95" s="19" t="s">
        <v>240</v>
      </c>
      <c r="G95" s="19" t="s">
        <v>242</v>
      </c>
      <c r="H95" s="19" t="s">
        <v>32</v>
      </c>
      <c r="I95" s="26">
        <v>0</v>
      </c>
      <c r="J95">
        <v>7</v>
      </c>
      <c r="K95" s="1"/>
    </row>
    <row r="96" spans="1:11">
      <c r="A96" s="17" t="s">
        <v>52</v>
      </c>
      <c r="B96" s="19" t="s">
        <v>53</v>
      </c>
      <c r="C96" s="19" t="s">
        <v>243</v>
      </c>
      <c r="D96" s="19" t="s">
        <v>244</v>
      </c>
      <c r="E96" s="20" t="s">
        <v>32</v>
      </c>
      <c r="F96" s="19" t="s">
        <v>243</v>
      </c>
      <c r="G96" s="19" t="s">
        <v>245</v>
      </c>
      <c r="H96" s="19" t="s">
        <v>32</v>
      </c>
      <c r="I96" s="26">
        <v>0</v>
      </c>
      <c r="J96">
        <v>84</v>
      </c>
      <c r="K96" s="1"/>
    </row>
    <row r="97" spans="1:11">
      <c r="A97" s="17" t="s">
        <v>52</v>
      </c>
      <c r="B97" s="19" t="s">
        <v>53</v>
      </c>
      <c r="C97" s="19" t="s">
        <v>246</v>
      </c>
      <c r="D97" s="19" t="s">
        <v>247</v>
      </c>
      <c r="E97" s="20" t="s">
        <v>32</v>
      </c>
      <c r="F97" s="19" t="s">
        <v>246</v>
      </c>
      <c r="G97" s="19" t="s">
        <v>248</v>
      </c>
      <c r="H97" s="19" t="s">
        <v>32</v>
      </c>
      <c r="I97" s="26">
        <v>0</v>
      </c>
      <c r="J97">
        <v>4</v>
      </c>
      <c r="K97" s="1"/>
    </row>
    <row r="98" spans="1:11">
      <c r="A98" s="17" t="s">
        <v>52</v>
      </c>
      <c r="B98" s="19" t="s">
        <v>53</v>
      </c>
      <c r="C98" s="19" t="s">
        <v>572</v>
      </c>
      <c r="D98" s="19" t="s">
        <v>573</v>
      </c>
      <c r="E98" s="20" t="s">
        <v>32</v>
      </c>
      <c r="F98" s="19" t="s">
        <v>572</v>
      </c>
      <c r="G98" s="19" t="s">
        <v>574</v>
      </c>
      <c r="H98" s="19" t="s">
        <v>32</v>
      </c>
      <c r="I98" s="26">
        <v>0</v>
      </c>
      <c r="J98">
        <v>26</v>
      </c>
      <c r="K98" s="1"/>
    </row>
    <row r="99" spans="1:11">
      <c r="A99" s="17" t="s">
        <v>52</v>
      </c>
      <c r="B99" s="19" t="s">
        <v>53</v>
      </c>
      <c r="C99" s="19" t="s">
        <v>575</v>
      </c>
      <c r="D99" s="19" t="s">
        <v>576</v>
      </c>
      <c r="E99" s="20" t="s">
        <v>32</v>
      </c>
      <c r="F99" s="19" t="s">
        <v>575</v>
      </c>
      <c r="G99" s="19" t="s">
        <v>577</v>
      </c>
      <c r="H99" s="19" t="s">
        <v>32</v>
      </c>
      <c r="I99" s="26">
        <v>0</v>
      </c>
      <c r="J99">
        <v>10</v>
      </c>
      <c r="K99" s="1"/>
    </row>
    <row r="100" spans="1:11">
      <c r="A100" s="17" t="s">
        <v>52</v>
      </c>
      <c r="B100" s="19" t="s">
        <v>53</v>
      </c>
      <c r="C100" s="19" t="s">
        <v>578</v>
      </c>
      <c r="D100" s="19" t="s">
        <v>579</v>
      </c>
      <c r="E100" s="20" t="s">
        <v>32</v>
      </c>
      <c r="F100" s="19" t="s">
        <v>578</v>
      </c>
      <c r="G100" s="19" t="s">
        <v>580</v>
      </c>
      <c r="H100" s="19" t="s">
        <v>32</v>
      </c>
      <c r="I100" s="26">
        <v>0</v>
      </c>
      <c r="J100">
        <v>1</v>
      </c>
      <c r="K100" s="1"/>
    </row>
    <row r="101" spans="1:11">
      <c r="A101" s="17" t="s">
        <v>52</v>
      </c>
      <c r="B101" s="19" t="s">
        <v>53</v>
      </c>
      <c r="C101" s="19" t="s">
        <v>581</v>
      </c>
      <c r="D101" s="19" t="s">
        <v>582</v>
      </c>
      <c r="E101" s="20" t="s">
        <v>32</v>
      </c>
      <c r="F101" s="19" t="s">
        <v>581</v>
      </c>
      <c r="G101" s="19" t="s">
        <v>583</v>
      </c>
      <c r="H101" s="19" t="s">
        <v>32</v>
      </c>
      <c r="I101" s="26">
        <v>0</v>
      </c>
      <c r="J101">
        <v>1</v>
      </c>
      <c r="K101" s="1"/>
    </row>
    <row r="102" spans="1:11">
      <c r="A102" s="17" t="s">
        <v>52</v>
      </c>
      <c r="B102" s="19" t="s">
        <v>53</v>
      </c>
      <c r="C102" s="19" t="s">
        <v>584</v>
      </c>
      <c r="D102" s="19" t="s">
        <v>585</v>
      </c>
      <c r="E102" s="20" t="s">
        <v>32</v>
      </c>
      <c r="F102" s="19" t="s">
        <v>584</v>
      </c>
      <c r="G102" s="19" t="s">
        <v>586</v>
      </c>
      <c r="H102" s="19" t="s">
        <v>32</v>
      </c>
      <c r="I102" s="26">
        <v>0</v>
      </c>
      <c r="J102">
        <v>1</v>
      </c>
      <c r="K102" s="1"/>
    </row>
    <row r="103" spans="1:11">
      <c r="A103" s="17" t="s">
        <v>52</v>
      </c>
      <c r="B103" s="19" t="s">
        <v>53</v>
      </c>
      <c r="C103" s="19" t="s">
        <v>587</v>
      </c>
      <c r="D103" s="19" t="s">
        <v>588</v>
      </c>
      <c r="E103" s="20" t="s">
        <v>32</v>
      </c>
      <c r="F103" s="19" t="s">
        <v>587</v>
      </c>
      <c r="G103" s="19" t="s">
        <v>589</v>
      </c>
      <c r="H103" s="19" t="s">
        <v>32</v>
      </c>
      <c r="I103" s="26">
        <v>0</v>
      </c>
      <c r="J103">
        <v>1</v>
      </c>
      <c r="K103" s="1"/>
    </row>
    <row r="104" spans="1:11">
      <c r="A104" s="17" t="s">
        <v>52</v>
      </c>
      <c r="B104" s="19" t="s">
        <v>53</v>
      </c>
      <c r="C104" s="19" t="s">
        <v>590</v>
      </c>
      <c r="D104" s="19" t="s">
        <v>591</v>
      </c>
      <c r="E104" s="20" t="s">
        <v>32</v>
      </c>
      <c r="F104" s="19" t="s">
        <v>590</v>
      </c>
      <c r="G104" s="19" t="s">
        <v>592</v>
      </c>
      <c r="H104" s="19" t="s">
        <v>32</v>
      </c>
      <c r="I104" s="26">
        <v>0</v>
      </c>
      <c r="J104">
        <v>1</v>
      </c>
      <c r="K104" s="1"/>
    </row>
    <row r="105" spans="1:11">
      <c r="A105" s="17" t="s">
        <v>52</v>
      </c>
      <c r="B105" s="19" t="s">
        <v>53</v>
      </c>
      <c r="C105" s="19" t="s">
        <v>593</v>
      </c>
      <c r="D105" s="19" t="s">
        <v>594</v>
      </c>
      <c r="E105" s="20" t="s">
        <v>32</v>
      </c>
      <c r="F105" s="19" t="s">
        <v>593</v>
      </c>
      <c r="G105" s="19" t="s">
        <v>595</v>
      </c>
      <c r="H105" s="19" t="s">
        <v>32</v>
      </c>
      <c r="I105" s="26">
        <v>0</v>
      </c>
      <c r="J105">
        <v>59</v>
      </c>
      <c r="K105" s="1"/>
    </row>
    <row r="106" spans="1:11">
      <c r="A106" s="17" t="s">
        <v>52</v>
      </c>
      <c r="B106" s="19" t="s">
        <v>53</v>
      </c>
      <c r="C106" s="19" t="s">
        <v>596</v>
      </c>
      <c r="D106" s="19" t="s">
        <v>597</v>
      </c>
      <c r="E106" s="20" t="s">
        <v>32</v>
      </c>
      <c r="F106" s="19" t="s">
        <v>596</v>
      </c>
      <c r="G106" s="19" t="s">
        <v>598</v>
      </c>
      <c r="H106" s="19" t="s">
        <v>32</v>
      </c>
      <c r="I106" s="26">
        <v>0</v>
      </c>
      <c r="J106">
        <v>265</v>
      </c>
      <c r="K106" s="1"/>
    </row>
    <row r="107" spans="1:11">
      <c r="A107" s="17" t="s">
        <v>52</v>
      </c>
      <c r="B107" s="19" t="s">
        <v>53</v>
      </c>
      <c r="C107" s="19" t="s">
        <v>599</v>
      </c>
      <c r="D107" s="19" t="s">
        <v>600</v>
      </c>
      <c r="E107" s="20" t="s">
        <v>32</v>
      </c>
      <c r="F107" s="19" t="s">
        <v>599</v>
      </c>
      <c r="G107" s="19" t="s">
        <v>601</v>
      </c>
      <c r="H107" s="19" t="s">
        <v>32</v>
      </c>
      <c r="I107" s="26">
        <v>0</v>
      </c>
      <c r="J107">
        <v>18912</v>
      </c>
      <c r="K107" s="1"/>
    </row>
    <row r="108" spans="1:11">
      <c r="A108" s="17" t="s">
        <v>52</v>
      </c>
      <c r="B108" s="19" t="s">
        <v>53</v>
      </c>
      <c r="C108" s="19" t="s">
        <v>602</v>
      </c>
      <c r="D108" s="19" t="s">
        <v>603</v>
      </c>
      <c r="E108" s="20" t="s">
        <v>32</v>
      </c>
      <c r="F108" s="19" t="s">
        <v>602</v>
      </c>
      <c r="G108" s="19" t="s">
        <v>604</v>
      </c>
      <c r="H108" s="19" t="s">
        <v>32</v>
      </c>
      <c r="I108" s="26">
        <v>0</v>
      </c>
      <c r="J108">
        <v>107</v>
      </c>
      <c r="K108" s="1"/>
    </row>
    <row r="109" spans="1:11">
      <c r="A109" s="17" t="s">
        <v>52</v>
      </c>
      <c r="B109" s="19" t="s">
        <v>53</v>
      </c>
      <c r="C109" s="19" t="s">
        <v>605</v>
      </c>
      <c r="D109" s="19" t="s">
        <v>606</v>
      </c>
      <c r="E109" s="20" t="s">
        <v>32</v>
      </c>
      <c r="F109" s="19" t="s">
        <v>605</v>
      </c>
      <c r="G109" s="19" t="s">
        <v>607</v>
      </c>
      <c r="H109" s="19" t="s">
        <v>32</v>
      </c>
      <c r="I109" s="26">
        <v>0</v>
      </c>
      <c r="J109">
        <v>1024</v>
      </c>
      <c r="K109" s="1"/>
    </row>
    <row r="110" spans="1:11">
      <c r="A110" s="17" t="s">
        <v>52</v>
      </c>
      <c r="B110" s="19" t="s">
        <v>53</v>
      </c>
      <c r="C110" s="19" t="s">
        <v>608</v>
      </c>
      <c r="D110" s="19" t="s">
        <v>609</v>
      </c>
      <c r="E110" s="20" t="s">
        <v>32</v>
      </c>
      <c r="F110" s="19" t="s">
        <v>608</v>
      </c>
      <c r="G110" s="19" t="s">
        <v>610</v>
      </c>
      <c r="H110" s="19" t="s">
        <v>32</v>
      </c>
      <c r="I110" s="26">
        <v>0</v>
      </c>
      <c r="J110">
        <v>14</v>
      </c>
      <c r="K110" s="1"/>
    </row>
    <row r="111" spans="1:11">
      <c r="A111" s="17" t="s">
        <v>52</v>
      </c>
      <c r="B111" s="19" t="s">
        <v>53</v>
      </c>
      <c r="C111" s="19" t="s">
        <v>611</v>
      </c>
      <c r="D111" s="19" t="s">
        <v>612</v>
      </c>
      <c r="E111" s="20" t="s">
        <v>32</v>
      </c>
      <c r="F111" s="19" t="s">
        <v>611</v>
      </c>
      <c r="G111" s="19" t="s">
        <v>613</v>
      </c>
      <c r="H111" s="19" t="s">
        <v>32</v>
      </c>
      <c r="I111" s="26">
        <v>0</v>
      </c>
      <c r="J111">
        <v>309</v>
      </c>
      <c r="K111" s="1"/>
    </row>
    <row r="112" spans="1:11">
      <c r="A112" s="17" t="s">
        <v>52</v>
      </c>
      <c r="B112" s="19" t="s">
        <v>53</v>
      </c>
      <c r="C112" s="19" t="s">
        <v>614</v>
      </c>
      <c r="D112" s="19" t="s">
        <v>615</v>
      </c>
      <c r="E112" s="20" t="s">
        <v>32</v>
      </c>
      <c r="F112" s="19" t="s">
        <v>614</v>
      </c>
      <c r="G112" s="19" t="s">
        <v>616</v>
      </c>
      <c r="H112" s="19" t="s">
        <v>32</v>
      </c>
      <c r="I112" s="26">
        <v>0</v>
      </c>
      <c r="J112">
        <v>2193</v>
      </c>
      <c r="K112" s="1"/>
    </row>
    <row r="113" spans="1:11">
      <c r="A113" s="17" t="s">
        <v>52</v>
      </c>
      <c r="B113" s="19" t="s">
        <v>53</v>
      </c>
      <c r="C113" s="19" t="s">
        <v>617</v>
      </c>
      <c r="D113" s="19" t="s">
        <v>618</v>
      </c>
      <c r="E113" s="20" t="s">
        <v>32</v>
      </c>
      <c r="F113" s="19" t="s">
        <v>617</v>
      </c>
      <c r="G113" s="19" t="s">
        <v>619</v>
      </c>
      <c r="H113" s="19" t="s">
        <v>32</v>
      </c>
      <c r="I113" s="26">
        <v>0</v>
      </c>
      <c r="J113">
        <v>79</v>
      </c>
      <c r="K113" s="1"/>
    </row>
    <row r="114" spans="1:11">
      <c r="A114" s="17" t="s">
        <v>52</v>
      </c>
      <c r="B114" s="19" t="s">
        <v>53</v>
      </c>
      <c r="C114" s="19" t="s">
        <v>99</v>
      </c>
      <c r="D114" s="19" t="s">
        <v>100</v>
      </c>
      <c r="E114" s="20" t="s">
        <v>32</v>
      </c>
      <c r="F114" s="19" t="s">
        <v>99</v>
      </c>
      <c r="G114" s="19" t="s">
        <v>101</v>
      </c>
      <c r="H114" s="19" t="s">
        <v>32</v>
      </c>
      <c r="I114" s="26">
        <v>0</v>
      </c>
      <c r="J114">
        <v>1</v>
      </c>
      <c r="K114" s="1"/>
    </row>
    <row r="115" spans="1:11">
      <c r="A115" s="17" t="s">
        <v>52</v>
      </c>
      <c r="B115" s="19" t="s">
        <v>53</v>
      </c>
      <c r="C115" s="19" t="s">
        <v>620</v>
      </c>
      <c r="D115" s="19" t="s">
        <v>621</v>
      </c>
      <c r="E115" s="20" t="s">
        <v>32</v>
      </c>
      <c r="F115" s="19" t="s">
        <v>620</v>
      </c>
      <c r="G115" s="19" t="s">
        <v>622</v>
      </c>
      <c r="H115" s="19" t="s">
        <v>32</v>
      </c>
      <c r="I115" s="26">
        <v>0</v>
      </c>
      <c r="J115">
        <v>198</v>
      </c>
      <c r="K115" s="1"/>
    </row>
    <row r="116" spans="1:11">
      <c r="A116" s="17" t="s">
        <v>52</v>
      </c>
      <c r="B116" s="19" t="s">
        <v>53</v>
      </c>
      <c r="C116" s="19" t="s">
        <v>623</v>
      </c>
      <c r="D116" s="19" t="s">
        <v>624</v>
      </c>
      <c r="E116" s="20" t="s">
        <v>32</v>
      </c>
      <c r="F116" s="19" t="s">
        <v>623</v>
      </c>
      <c r="G116" s="19" t="s">
        <v>625</v>
      </c>
      <c r="H116" s="19" t="s">
        <v>32</v>
      </c>
      <c r="I116" s="26">
        <v>0</v>
      </c>
      <c r="J116">
        <v>1</v>
      </c>
      <c r="K116" s="1"/>
    </row>
    <row r="117" spans="1:11">
      <c r="A117" s="17" t="s">
        <v>52</v>
      </c>
      <c r="B117" s="19" t="s">
        <v>53</v>
      </c>
      <c r="C117" s="19" t="s">
        <v>626</v>
      </c>
      <c r="D117" s="19" t="s">
        <v>627</v>
      </c>
      <c r="E117" s="20" t="s">
        <v>32</v>
      </c>
      <c r="F117" s="19" t="s">
        <v>626</v>
      </c>
      <c r="G117" s="19" t="s">
        <v>628</v>
      </c>
      <c r="H117" s="19" t="s">
        <v>32</v>
      </c>
      <c r="I117" s="26">
        <v>0</v>
      </c>
      <c r="J117">
        <v>1</v>
      </c>
      <c r="K117" s="1"/>
    </row>
    <row r="118" spans="1:11">
      <c r="A118" s="17" t="s">
        <v>52</v>
      </c>
      <c r="B118" s="19" t="s">
        <v>53</v>
      </c>
      <c r="C118" s="19" t="s">
        <v>629</v>
      </c>
      <c r="D118" s="19" t="s">
        <v>630</v>
      </c>
      <c r="E118" s="20" t="s">
        <v>32</v>
      </c>
      <c r="F118" s="19" t="s">
        <v>629</v>
      </c>
      <c r="G118" s="19" t="s">
        <v>631</v>
      </c>
      <c r="H118" s="19" t="s">
        <v>32</v>
      </c>
      <c r="I118" s="26">
        <v>0</v>
      </c>
      <c r="J118">
        <v>59</v>
      </c>
      <c r="K118" s="1"/>
    </row>
    <row r="119" spans="1:11">
      <c r="A119" s="17" t="s">
        <v>52</v>
      </c>
      <c r="B119" s="19" t="s">
        <v>53</v>
      </c>
      <c r="C119" s="19" t="s">
        <v>102</v>
      </c>
      <c r="D119" s="19" t="s">
        <v>103</v>
      </c>
      <c r="E119" s="20" t="s">
        <v>32</v>
      </c>
      <c r="F119" s="19" t="s">
        <v>102</v>
      </c>
      <c r="G119" s="19" t="s">
        <v>104</v>
      </c>
      <c r="H119" s="19" t="s">
        <v>32</v>
      </c>
      <c r="I119" s="26">
        <v>0</v>
      </c>
      <c r="J119">
        <v>5069</v>
      </c>
      <c r="K119" s="1"/>
    </row>
    <row r="120" spans="1:11">
      <c r="A120" s="17" t="s">
        <v>52</v>
      </c>
      <c r="B120" s="19" t="s">
        <v>53</v>
      </c>
      <c r="C120" s="19" t="s">
        <v>105</v>
      </c>
      <c r="D120" s="19" t="s">
        <v>106</v>
      </c>
      <c r="E120" s="20" t="s">
        <v>32</v>
      </c>
      <c r="F120" s="19" t="s">
        <v>105</v>
      </c>
      <c r="G120" s="19" t="s">
        <v>107</v>
      </c>
      <c r="H120" s="19" t="s">
        <v>32</v>
      </c>
      <c r="I120" s="26">
        <v>0</v>
      </c>
      <c r="J120">
        <v>39</v>
      </c>
      <c r="K120" s="1"/>
    </row>
    <row r="121" spans="1:11">
      <c r="A121" s="17" t="s">
        <v>52</v>
      </c>
      <c r="B121" s="19" t="s">
        <v>53</v>
      </c>
      <c r="C121" s="19" t="s">
        <v>108</v>
      </c>
      <c r="D121" s="19" t="s">
        <v>109</v>
      </c>
      <c r="E121" s="20" t="s">
        <v>32</v>
      </c>
      <c r="F121" s="19" t="s">
        <v>108</v>
      </c>
      <c r="G121" s="19" t="s">
        <v>110</v>
      </c>
      <c r="H121" s="19" t="s">
        <v>32</v>
      </c>
      <c r="I121" s="26">
        <v>0</v>
      </c>
      <c r="J121">
        <v>249</v>
      </c>
      <c r="K121" s="1"/>
    </row>
    <row r="122" spans="1:11">
      <c r="A122" s="17" t="s">
        <v>52</v>
      </c>
      <c r="B122" s="19" t="s">
        <v>53</v>
      </c>
      <c r="C122" s="19" t="s">
        <v>111</v>
      </c>
      <c r="D122" s="19" t="s">
        <v>112</v>
      </c>
      <c r="E122" s="20" t="s">
        <v>32</v>
      </c>
      <c r="F122" s="19" t="s">
        <v>111</v>
      </c>
      <c r="G122" s="19" t="s">
        <v>113</v>
      </c>
      <c r="H122" s="19" t="s">
        <v>32</v>
      </c>
      <c r="I122" s="26">
        <v>0</v>
      </c>
      <c r="J122">
        <v>39</v>
      </c>
      <c r="K122" s="1"/>
    </row>
    <row r="123" spans="1:11">
      <c r="A123" s="17" t="s">
        <v>52</v>
      </c>
      <c r="B123" s="19" t="s">
        <v>53</v>
      </c>
      <c r="C123" s="19" t="s">
        <v>114</v>
      </c>
      <c r="D123" s="19" t="s">
        <v>115</v>
      </c>
      <c r="E123" s="20" t="s">
        <v>32</v>
      </c>
      <c r="F123" s="19" t="s">
        <v>114</v>
      </c>
      <c r="G123" s="19" t="s">
        <v>116</v>
      </c>
      <c r="H123" s="19" t="s">
        <v>32</v>
      </c>
      <c r="I123" s="26">
        <v>0</v>
      </c>
      <c r="J123">
        <v>94</v>
      </c>
      <c r="K123" s="1"/>
    </row>
    <row r="124" spans="1:11">
      <c r="A124" s="17" t="s">
        <v>52</v>
      </c>
      <c r="B124" s="19" t="s">
        <v>53</v>
      </c>
      <c r="C124" s="19" t="s">
        <v>117</v>
      </c>
      <c r="D124" s="19" t="s">
        <v>118</v>
      </c>
      <c r="E124" s="20" t="s">
        <v>32</v>
      </c>
      <c r="F124" s="19" t="s">
        <v>117</v>
      </c>
      <c r="G124" s="19" t="s">
        <v>119</v>
      </c>
      <c r="H124" s="19" t="s">
        <v>32</v>
      </c>
      <c r="I124" s="26">
        <v>0</v>
      </c>
      <c r="J124">
        <v>1282</v>
      </c>
      <c r="K124" s="1"/>
    </row>
    <row r="125" spans="1:11">
      <c r="A125" s="17" t="s">
        <v>52</v>
      </c>
      <c r="B125" s="19" t="s">
        <v>53</v>
      </c>
      <c r="C125" s="19" t="s">
        <v>120</v>
      </c>
      <c r="D125" s="19" t="s">
        <v>121</v>
      </c>
      <c r="E125" s="20" t="s">
        <v>32</v>
      </c>
      <c r="F125" s="19" t="s">
        <v>120</v>
      </c>
      <c r="G125" s="19" t="s">
        <v>122</v>
      </c>
      <c r="H125" s="19" t="s">
        <v>32</v>
      </c>
      <c r="I125" s="26">
        <v>0</v>
      </c>
      <c r="J125">
        <v>91</v>
      </c>
      <c r="K125" s="1"/>
    </row>
    <row r="126" spans="1:11">
      <c r="A126" s="17" t="s">
        <v>52</v>
      </c>
      <c r="B126" s="19" t="s">
        <v>53</v>
      </c>
      <c r="C126" s="19" t="s">
        <v>632</v>
      </c>
      <c r="D126" s="19" t="s">
        <v>633</v>
      </c>
      <c r="E126" s="20" t="s">
        <v>32</v>
      </c>
      <c r="F126" s="19" t="s">
        <v>632</v>
      </c>
      <c r="G126" s="19" t="s">
        <v>634</v>
      </c>
      <c r="H126" s="19" t="s">
        <v>32</v>
      </c>
      <c r="I126" s="26">
        <v>0</v>
      </c>
      <c r="J126">
        <v>990</v>
      </c>
      <c r="K126" s="1"/>
    </row>
    <row r="127" spans="1:11">
      <c r="A127" s="17" t="s">
        <v>52</v>
      </c>
      <c r="B127" s="19" t="s">
        <v>53</v>
      </c>
      <c r="C127" s="19" t="s">
        <v>635</v>
      </c>
      <c r="D127" s="19" t="s">
        <v>636</v>
      </c>
      <c r="E127" s="20" t="s">
        <v>32</v>
      </c>
      <c r="F127" s="19" t="s">
        <v>635</v>
      </c>
      <c r="G127" s="19" t="s">
        <v>637</v>
      </c>
      <c r="H127" s="19" t="s">
        <v>32</v>
      </c>
      <c r="I127" s="26">
        <v>0</v>
      </c>
      <c r="J127">
        <v>22</v>
      </c>
      <c r="K127" s="1"/>
    </row>
    <row r="128" spans="1:11">
      <c r="A128" s="17" t="s">
        <v>52</v>
      </c>
      <c r="B128" s="19" t="s">
        <v>53</v>
      </c>
      <c r="C128" s="19" t="s">
        <v>638</v>
      </c>
      <c r="D128" s="19" t="s">
        <v>639</v>
      </c>
      <c r="E128" s="20" t="s">
        <v>32</v>
      </c>
      <c r="F128" s="19" t="s">
        <v>638</v>
      </c>
      <c r="G128" s="19" t="s">
        <v>640</v>
      </c>
      <c r="H128" s="19" t="s">
        <v>32</v>
      </c>
      <c r="I128" s="26">
        <v>0</v>
      </c>
      <c r="J128">
        <v>78</v>
      </c>
      <c r="K128" s="1"/>
    </row>
    <row r="129" spans="1:11">
      <c r="A129" s="17" t="s">
        <v>52</v>
      </c>
      <c r="B129" s="19" t="s">
        <v>53</v>
      </c>
      <c r="C129" s="19" t="s">
        <v>641</v>
      </c>
      <c r="D129" s="19" t="s">
        <v>642</v>
      </c>
      <c r="E129" s="20" t="s">
        <v>32</v>
      </c>
      <c r="F129" s="19" t="s">
        <v>641</v>
      </c>
      <c r="G129" s="19" t="s">
        <v>643</v>
      </c>
      <c r="H129" s="19" t="s">
        <v>32</v>
      </c>
      <c r="I129" s="26">
        <v>0</v>
      </c>
      <c r="J129">
        <v>1</v>
      </c>
      <c r="K129" s="1"/>
    </row>
    <row r="130" spans="1:11">
      <c r="A130" s="17" t="s">
        <v>52</v>
      </c>
      <c r="B130" s="19" t="s">
        <v>53</v>
      </c>
      <c r="C130" s="19" t="s">
        <v>644</v>
      </c>
      <c r="D130" s="19" t="s">
        <v>645</v>
      </c>
      <c r="E130" s="20" t="s">
        <v>32</v>
      </c>
      <c r="F130" s="19" t="s">
        <v>644</v>
      </c>
      <c r="G130" s="19" t="s">
        <v>646</v>
      </c>
      <c r="H130" s="19" t="s">
        <v>32</v>
      </c>
      <c r="I130" s="26">
        <v>0</v>
      </c>
      <c r="J130">
        <v>12</v>
      </c>
      <c r="K130" s="1"/>
    </row>
    <row r="131" spans="1:11">
      <c r="A131" s="17" t="s">
        <v>52</v>
      </c>
      <c r="B131" s="19" t="s">
        <v>53</v>
      </c>
      <c r="C131" s="19" t="s">
        <v>647</v>
      </c>
      <c r="D131" s="19" t="s">
        <v>648</v>
      </c>
      <c r="E131" s="20" t="s">
        <v>32</v>
      </c>
      <c r="F131" s="19" t="s">
        <v>647</v>
      </c>
      <c r="G131" s="19" t="s">
        <v>649</v>
      </c>
      <c r="H131" s="19" t="s">
        <v>32</v>
      </c>
      <c r="I131" s="26">
        <v>0</v>
      </c>
      <c r="J131">
        <v>133</v>
      </c>
      <c r="K131" s="1"/>
    </row>
    <row r="132" spans="1:11">
      <c r="A132" s="17" t="s">
        <v>52</v>
      </c>
      <c r="B132" s="19" t="s">
        <v>53</v>
      </c>
      <c r="C132" s="19" t="s">
        <v>650</v>
      </c>
      <c r="D132" s="19" t="s">
        <v>651</v>
      </c>
      <c r="E132" s="20" t="s">
        <v>32</v>
      </c>
      <c r="F132" s="19" t="s">
        <v>650</v>
      </c>
      <c r="G132" s="19" t="s">
        <v>652</v>
      </c>
      <c r="H132" s="19" t="s">
        <v>32</v>
      </c>
      <c r="I132" s="26">
        <v>0</v>
      </c>
      <c r="J132">
        <v>19</v>
      </c>
      <c r="K132" s="1"/>
    </row>
    <row r="133" spans="1:11">
      <c r="A133" s="17" t="s">
        <v>52</v>
      </c>
      <c r="B133" s="19" t="s">
        <v>53</v>
      </c>
      <c r="C133" s="19" t="s">
        <v>123</v>
      </c>
      <c r="D133" s="19" t="s">
        <v>124</v>
      </c>
      <c r="E133" s="20" t="s">
        <v>32</v>
      </c>
      <c r="F133" s="19" t="s">
        <v>123</v>
      </c>
      <c r="G133" s="19" t="s">
        <v>125</v>
      </c>
      <c r="H133" s="19" t="s">
        <v>32</v>
      </c>
      <c r="I133" s="26">
        <v>0</v>
      </c>
      <c r="J133">
        <v>1</v>
      </c>
      <c r="K133" s="1"/>
    </row>
    <row r="134" spans="1:11">
      <c r="A134" s="17" t="s">
        <v>52</v>
      </c>
      <c r="B134" s="19" t="s">
        <v>53</v>
      </c>
      <c r="C134" s="19" t="s">
        <v>653</v>
      </c>
      <c r="D134" s="19" t="s">
        <v>654</v>
      </c>
      <c r="E134" s="20" t="s">
        <v>32</v>
      </c>
      <c r="F134" s="19" t="s">
        <v>653</v>
      </c>
      <c r="G134" s="19" t="s">
        <v>655</v>
      </c>
      <c r="H134" s="19" t="s">
        <v>32</v>
      </c>
      <c r="I134" s="26">
        <v>0</v>
      </c>
      <c r="J134">
        <v>20992</v>
      </c>
      <c r="K134" s="1"/>
    </row>
    <row r="135" spans="1:11">
      <c r="A135" s="17" t="s">
        <v>52</v>
      </c>
      <c r="B135" s="19" t="s">
        <v>53</v>
      </c>
      <c r="C135" s="19" t="s">
        <v>656</v>
      </c>
      <c r="D135" s="19" t="s">
        <v>657</v>
      </c>
      <c r="E135" s="20" t="s">
        <v>32</v>
      </c>
      <c r="F135" s="19" t="s">
        <v>656</v>
      </c>
      <c r="G135" s="19" t="s">
        <v>658</v>
      </c>
      <c r="H135" s="19" t="s">
        <v>32</v>
      </c>
      <c r="I135" s="26">
        <v>0</v>
      </c>
      <c r="J135">
        <v>36</v>
      </c>
      <c r="K135" s="1"/>
    </row>
    <row r="136" spans="1:11">
      <c r="A136" s="17" t="s">
        <v>52</v>
      </c>
      <c r="B136" s="19" t="s">
        <v>53</v>
      </c>
      <c r="C136" s="19" t="s">
        <v>659</v>
      </c>
      <c r="D136" s="19" t="s">
        <v>660</v>
      </c>
      <c r="E136" s="20" t="s">
        <v>32</v>
      </c>
      <c r="F136" s="19" t="s">
        <v>659</v>
      </c>
      <c r="G136" s="19" t="s">
        <v>661</v>
      </c>
      <c r="H136" s="19" t="s">
        <v>32</v>
      </c>
      <c r="I136">
        <v>0</v>
      </c>
      <c r="J136">
        <v>511</v>
      </c>
      <c r="K136" s="1"/>
    </row>
    <row r="137" spans="1:11">
      <c r="A137" s="17" t="s">
        <v>52</v>
      </c>
      <c r="B137" s="19" t="s">
        <v>53</v>
      </c>
      <c r="C137" s="19" t="s">
        <v>662</v>
      </c>
      <c r="D137" s="19" t="s">
        <v>663</v>
      </c>
      <c r="E137" s="20" t="s">
        <v>32</v>
      </c>
      <c r="F137" s="19" t="s">
        <v>662</v>
      </c>
      <c r="G137" s="19" t="s">
        <v>664</v>
      </c>
      <c r="H137" s="19" t="s">
        <v>32</v>
      </c>
      <c r="I137">
        <v>0</v>
      </c>
      <c r="J137">
        <v>7</v>
      </c>
      <c r="K137" s="1"/>
    </row>
    <row r="138" spans="1:11">
      <c r="A138" s="17" t="s">
        <v>52</v>
      </c>
      <c r="B138" s="19" t="s">
        <v>53</v>
      </c>
      <c r="C138" s="19" t="s">
        <v>665</v>
      </c>
      <c r="D138" s="19" t="s">
        <v>666</v>
      </c>
      <c r="E138" s="20" t="s">
        <v>32</v>
      </c>
      <c r="F138" s="19" t="s">
        <v>665</v>
      </c>
      <c r="G138" s="19" t="s">
        <v>667</v>
      </c>
      <c r="H138" s="19" t="s">
        <v>32</v>
      </c>
      <c r="I138" s="26">
        <v>0</v>
      </c>
      <c r="J138">
        <v>451</v>
      </c>
      <c r="K138" s="1"/>
    </row>
    <row r="139" spans="1:11">
      <c r="A139" s="17" t="s">
        <v>52</v>
      </c>
      <c r="B139" s="19" t="s">
        <v>53</v>
      </c>
      <c r="C139" s="19" t="s">
        <v>668</v>
      </c>
      <c r="D139" s="19" t="s">
        <v>669</v>
      </c>
      <c r="E139" s="20" t="s">
        <v>32</v>
      </c>
      <c r="F139" s="19" t="s">
        <v>668</v>
      </c>
      <c r="G139" s="19" t="s">
        <v>670</v>
      </c>
      <c r="H139" s="19" t="s">
        <v>32</v>
      </c>
      <c r="I139" s="26">
        <v>0</v>
      </c>
      <c r="J139">
        <v>1884</v>
      </c>
      <c r="K139" s="1"/>
    </row>
    <row r="140" spans="1:11">
      <c r="A140" s="17" t="s">
        <v>52</v>
      </c>
      <c r="B140" s="19" t="s">
        <v>53</v>
      </c>
      <c r="C140" s="19" t="s">
        <v>671</v>
      </c>
      <c r="D140" s="19" t="s">
        <v>672</v>
      </c>
      <c r="E140" s="20" t="s">
        <v>32</v>
      </c>
      <c r="F140" s="19" t="s">
        <v>671</v>
      </c>
      <c r="G140" s="19" t="s">
        <v>673</v>
      </c>
      <c r="H140" s="19" t="s">
        <v>32</v>
      </c>
      <c r="I140">
        <v>0</v>
      </c>
      <c r="J140">
        <v>43</v>
      </c>
      <c r="K140" s="1"/>
    </row>
    <row r="141" spans="1:11">
      <c r="A141" s="17" t="s">
        <v>52</v>
      </c>
      <c r="B141" s="19" t="s">
        <v>53</v>
      </c>
      <c r="C141" s="19" t="s">
        <v>249</v>
      </c>
      <c r="D141" s="19" t="s">
        <v>250</v>
      </c>
      <c r="E141" s="20" t="s">
        <v>32</v>
      </c>
      <c r="F141" s="19" t="s">
        <v>249</v>
      </c>
      <c r="G141" s="19" t="s">
        <v>251</v>
      </c>
      <c r="H141" s="19" t="s">
        <v>32</v>
      </c>
      <c r="I141">
        <v>0</v>
      </c>
      <c r="J141">
        <v>216</v>
      </c>
      <c r="K141" s="1"/>
    </row>
    <row r="142" spans="1:11">
      <c r="A142" s="17" t="s">
        <v>52</v>
      </c>
      <c r="B142" s="19" t="s">
        <v>53</v>
      </c>
      <c r="C142" s="19" t="s">
        <v>252</v>
      </c>
      <c r="D142" s="19" t="s">
        <v>253</v>
      </c>
      <c r="E142" s="20" t="s">
        <v>32</v>
      </c>
      <c r="F142" s="19" t="s">
        <v>252</v>
      </c>
      <c r="G142" s="19" t="s">
        <v>254</v>
      </c>
      <c r="H142" s="19" t="s">
        <v>32</v>
      </c>
      <c r="I142" s="26">
        <v>0</v>
      </c>
      <c r="J142">
        <v>4</v>
      </c>
      <c r="K142" s="1"/>
    </row>
    <row r="143" spans="1:11">
      <c r="A143" s="17" t="s">
        <v>52</v>
      </c>
      <c r="B143" s="19" t="s">
        <v>53</v>
      </c>
      <c r="C143" s="19" t="s">
        <v>255</v>
      </c>
      <c r="D143" s="19" t="s">
        <v>256</v>
      </c>
      <c r="E143" s="20" t="s">
        <v>32</v>
      </c>
      <c r="F143" s="19" t="s">
        <v>255</v>
      </c>
      <c r="G143" s="19" t="s">
        <v>257</v>
      </c>
      <c r="H143" s="19" t="s">
        <v>32</v>
      </c>
      <c r="I143" s="26">
        <v>0</v>
      </c>
      <c r="J143">
        <v>8</v>
      </c>
      <c r="K143" s="1"/>
    </row>
    <row r="144" spans="1:11">
      <c r="A144" s="17" t="s">
        <v>52</v>
      </c>
      <c r="B144" s="19" t="s">
        <v>53</v>
      </c>
      <c r="C144" s="19" t="s">
        <v>126</v>
      </c>
      <c r="D144" s="19" t="s">
        <v>127</v>
      </c>
      <c r="E144" s="20" t="s">
        <v>32</v>
      </c>
      <c r="F144" s="19" t="s">
        <v>126</v>
      </c>
      <c r="G144" s="19" t="s">
        <v>128</v>
      </c>
      <c r="H144" s="19" t="s">
        <v>32</v>
      </c>
      <c r="I144" s="26">
        <v>0</v>
      </c>
      <c r="J144">
        <v>1</v>
      </c>
      <c r="K144" s="1"/>
    </row>
    <row r="145" spans="1:11">
      <c r="A145" s="17" t="s">
        <v>52</v>
      </c>
      <c r="B145" s="19" t="s">
        <v>53</v>
      </c>
      <c r="C145" s="19" t="s">
        <v>674</v>
      </c>
      <c r="D145" s="19" t="s">
        <v>675</v>
      </c>
      <c r="E145" s="20" t="s">
        <v>32</v>
      </c>
      <c r="F145" s="19" t="s">
        <v>674</v>
      </c>
      <c r="G145" s="19" t="s">
        <v>676</v>
      </c>
      <c r="H145" s="19" t="s">
        <v>32</v>
      </c>
      <c r="I145" s="26">
        <v>0</v>
      </c>
      <c r="J145">
        <v>1</v>
      </c>
      <c r="K145" s="1"/>
    </row>
    <row r="146" spans="1:11">
      <c r="A146" s="17" t="s">
        <v>52</v>
      </c>
      <c r="B146" s="19" t="s">
        <v>53</v>
      </c>
      <c r="C146" s="19" t="s">
        <v>677</v>
      </c>
      <c r="D146" s="19" t="s">
        <v>678</v>
      </c>
      <c r="E146" s="20" t="s">
        <v>32</v>
      </c>
      <c r="F146" s="19" t="s">
        <v>677</v>
      </c>
      <c r="G146" s="19" t="s">
        <v>679</v>
      </c>
      <c r="H146" s="19" t="s">
        <v>32</v>
      </c>
      <c r="I146" s="26">
        <v>0</v>
      </c>
      <c r="J146">
        <v>1</v>
      </c>
      <c r="K146" s="1"/>
    </row>
    <row r="147" spans="1:11">
      <c r="A147" s="17" t="s">
        <v>52</v>
      </c>
      <c r="B147" s="19" t="s">
        <v>53</v>
      </c>
      <c r="C147" s="19" t="s">
        <v>258</v>
      </c>
      <c r="D147" s="19" t="s">
        <v>259</v>
      </c>
      <c r="E147" s="20" t="s">
        <v>32</v>
      </c>
      <c r="F147" s="19" t="s">
        <v>258</v>
      </c>
      <c r="G147" s="19" t="s">
        <v>260</v>
      </c>
      <c r="H147" s="19" t="s">
        <v>32</v>
      </c>
      <c r="I147" s="26">
        <v>0</v>
      </c>
      <c r="J147">
        <v>11</v>
      </c>
      <c r="K147" s="1"/>
    </row>
    <row r="148" spans="1:11">
      <c r="A148" s="17" t="s">
        <v>52</v>
      </c>
      <c r="B148" s="19" t="s">
        <v>53</v>
      </c>
      <c r="C148" s="19" t="s">
        <v>261</v>
      </c>
      <c r="D148" s="19" t="s">
        <v>262</v>
      </c>
      <c r="E148" s="20" t="s">
        <v>32</v>
      </c>
      <c r="F148" s="19" t="s">
        <v>261</v>
      </c>
      <c r="G148" s="19" t="s">
        <v>263</v>
      </c>
      <c r="H148" s="19" t="s">
        <v>32</v>
      </c>
      <c r="I148" s="26">
        <v>0</v>
      </c>
      <c r="J148">
        <v>229</v>
      </c>
      <c r="K148" s="1"/>
    </row>
    <row r="149" spans="1:11">
      <c r="A149" s="17" t="s">
        <v>52</v>
      </c>
      <c r="B149" s="19" t="s">
        <v>53</v>
      </c>
      <c r="C149" s="19" t="s">
        <v>264</v>
      </c>
      <c r="D149" s="19" t="s">
        <v>265</v>
      </c>
      <c r="E149" s="20" t="s">
        <v>32</v>
      </c>
      <c r="F149" s="19" t="s">
        <v>264</v>
      </c>
      <c r="G149" s="19" t="s">
        <v>266</v>
      </c>
      <c r="H149" s="19" t="s">
        <v>32</v>
      </c>
      <c r="I149" s="26">
        <v>0</v>
      </c>
      <c r="J149">
        <v>8</v>
      </c>
      <c r="K149" s="1"/>
    </row>
    <row r="150" spans="1:11">
      <c r="A150" s="17" t="s">
        <v>52</v>
      </c>
      <c r="B150" s="19" t="s">
        <v>53</v>
      </c>
      <c r="C150" s="19" t="s">
        <v>267</v>
      </c>
      <c r="D150" s="19" t="s">
        <v>268</v>
      </c>
      <c r="E150" s="20" t="s">
        <v>32</v>
      </c>
      <c r="F150" s="19" t="s">
        <v>267</v>
      </c>
      <c r="G150" s="19" t="s">
        <v>269</v>
      </c>
      <c r="H150" s="19" t="s">
        <v>32</v>
      </c>
      <c r="I150">
        <v>0</v>
      </c>
      <c r="J150">
        <v>51</v>
      </c>
      <c r="K150" s="1"/>
    </row>
    <row r="151" spans="1:11">
      <c r="A151" s="17" t="s">
        <v>52</v>
      </c>
      <c r="B151" s="19" t="s">
        <v>53</v>
      </c>
      <c r="C151" s="19" t="s">
        <v>680</v>
      </c>
      <c r="D151" s="19" t="s">
        <v>681</v>
      </c>
      <c r="E151" s="20" t="s">
        <v>32</v>
      </c>
      <c r="F151" s="19" t="s">
        <v>680</v>
      </c>
      <c r="G151" s="19" t="s">
        <v>682</v>
      </c>
      <c r="H151" s="19" t="s">
        <v>32</v>
      </c>
      <c r="I151">
        <v>0</v>
      </c>
      <c r="J151">
        <v>4</v>
      </c>
      <c r="K151" s="1"/>
    </row>
    <row r="152" spans="1:11">
      <c r="A152" s="17" t="s">
        <v>52</v>
      </c>
      <c r="B152" s="19" t="s">
        <v>53</v>
      </c>
      <c r="C152" s="19" t="s">
        <v>683</v>
      </c>
      <c r="D152" s="19" t="s">
        <v>684</v>
      </c>
      <c r="E152" s="20" t="s">
        <v>32</v>
      </c>
      <c r="F152" s="19" t="s">
        <v>683</v>
      </c>
      <c r="G152" s="19" t="s">
        <v>685</v>
      </c>
      <c r="H152" s="19" t="s">
        <v>32</v>
      </c>
      <c r="I152" s="26">
        <v>0</v>
      </c>
      <c r="J152">
        <v>5</v>
      </c>
      <c r="K152" s="1"/>
    </row>
    <row r="153" spans="1:11">
      <c r="A153" s="17" t="s">
        <v>52</v>
      </c>
      <c r="B153" s="19" t="s">
        <v>53</v>
      </c>
      <c r="C153" s="19" t="s">
        <v>686</v>
      </c>
      <c r="D153" s="19" t="s">
        <v>687</v>
      </c>
      <c r="E153" s="20" t="s">
        <v>32</v>
      </c>
      <c r="F153" s="19" t="s">
        <v>686</v>
      </c>
      <c r="G153" s="19" t="s">
        <v>688</v>
      </c>
      <c r="H153" s="19" t="s">
        <v>32</v>
      </c>
      <c r="I153">
        <v>0</v>
      </c>
      <c r="J153">
        <v>5</v>
      </c>
      <c r="K153" s="1"/>
    </row>
    <row r="154" spans="1:11">
      <c r="A154" s="17" t="s">
        <v>52</v>
      </c>
      <c r="B154" s="19" t="s">
        <v>53</v>
      </c>
      <c r="C154" s="19" t="s">
        <v>270</v>
      </c>
      <c r="D154" s="19" t="s">
        <v>271</v>
      </c>
      <c r="E154" s="20" t="s">
        <v>32</v>
      </c>
      <c r="F154" s="19" t="s">
        <v>270</v>
      </c>
      <c r="G154" s="19" t="s">
        <v>272</v>
      </c>
      <c r="H154" s="19" t="s">
        <v>32</v>
      </c>
      <c r="I154">
        <v>0</v>
      </c>
      <c r="J154">
        <v>17</v>
      </c>
      <c r="K154" s="1"/>
    </row>
    <row r="155" spans="1:11">
      <c r="A155" s="17" t="s">
        <v>52</v>
      </c>
      <c r="B155" s="19" t="s">
        <v>53</v>
      </c>
      <c r="C155" s="19" t="s">
        <v>689</v>
      </c>
      <c r="D155" s="19" t="s">
        <v>690</v>
      </c>
      <c r="E155" s="20" t="s">
        <v>32</v>
      </c>
      <c r="F155" s="19" t="s">
        <v>689</v>
      </c>
      <c r="G155" s="19" t="s">
        <v>691</v>
      </c>
      <c r="H155" s="19" t="s">
        <v>32</v>
      </c>
      <c r="I155">
        <v>0</v>
      </c>
      <c r="J155">
        <v>5</v>
      </c>
      <c r="K155" s="1"/>
    </row>
    <row r="156" spans="1:11">
      <c r="A156" s="17" t="s">
        <v>52</v>
      </c>
      <c r="B156" s="19" t="s">
        <v>53</v>
      </c>
      <c r="C156" s="19" t="s">
        <v>273</v>
      </c>
      <c r="D156" s="19" t="s">
        <v>274</v>
      </c>
      <c r="E156" s="20" t="s">
        <v>32</v>
      </c>
      <c r="F156" s="19" t="s">
        <v>273</v>
      </c>
      <c r="G156" s="19" t="s">
        <v>275</v>
      </c>
      <c r="H156" s="19" t="s">
        <v>32</v>
      </c>
      <c r="I156">
        <v>0</v>
      </c>
      <c r="J156">
        <v>5971</v>
      </c>
      <c r="K156" s="1"/>
    </row>
    <row r="157" spans="1:11">
      <c r="A157" s="17" t="s">
        <v>52</v>
      </c>
      <c r="B157" s="19" t="s">
        <v>53</v>
      </c>
      <c r="C157" s="19" t="s">
        <v>276</v>
      </c>
      <c r="D157" s="19" t="s">
        <v>277</v>
      </c>
      <c r="E157" s="20" t="s">
        <v>32</v>
      </c>
      <c r="F157" s="19" t="s">
        <v>276</v>
      </c>
      <c r="G157" s="19" t="s">
        <v>278</v>
      </c>
      <c r="H157" s="19" t="s">
        <v>32</v>
      </c>
      <c r="I157">
        <v>0</v>
      </c>
      <c r="J157">
        <v>5</v>
      </c>
      <c r="K157" s="1"/>
    </row>
    <row r="158" spans="1:11">
      <c r="A158" s="17" t="s">
        <v>52</v>
      </c>
      <c r="B158" s="19" t="s">
        <v>53</v>
      </c>
      <c r="C158" s="19" t="s">
        <v>279</v>
      </c>
      <c r="D158" s="19" t="s">
        <v>280</v>
      </c>
      <c r="E158" s="20" t="s">
        <v>32</v>
      </c>
      <c r="F158" s="19" t="s">
        <v>279</v>
      </c>
      <c r="G158" s="19" t="s">
        <v>281</v>
      </c>
      <c r="H158" s="19" t="s">
        <v>32</v>
      </c>
      <c r="I158">
        <v>0</v>
      </c>
      <c r="J158">
        <v>81</v>
      </c>
      <c r="K158" s="1"/>
    </row>
    <row r="159" spans="1:11">
      <c r="A159" s="17" t="s">
        <v>52</v>
      </c>
      <c r="B159" s="19" t="s">
        <v>53</v>
      </c>
      <c r="C159" s="19" t="s">
        <v>282</v>
      </c>
      <c r="D159" s="19" t="s">
        <v>283</v>
      </c>
      <c r="E159" s="20" t="s">
        <v>32</v>
      </c>
      <c r="F159" s="19" t="s">
        <v>282</v>
      </c>
      <c r="G159" s="19" t="s">
        <v>284</v>
      </c>
      <c r="H159" s="19" t="s">
        <v>32</v>
      </c>
      <c r="I159">
        <v>0</v>
      </c>
      <c r="J159">
        <v>4</v>
      </c>
      <c r="K159" s="1"/>
    </row>
    <row r="160" spans="1:11">
      <c r="A160" s="17" t="s">
        <v>52</v>
      </c>
      <c r="B160" s="19" t="s">
        <v>53</v>
      </c>
      <c r="C160" s="19" t="s">
        <v>285</v>
      </c>
      <c r="D160" s="19" t="s">
        <v>286</v>
      </c>
      <c r="E160" s="20" t="s">
        <v>32</v>
      </c>
      <c r="F160" s="19" t="s">
        <v>285</v>
      </c>
      <c r="G160" s="19" t="s">
        <v>287</v>
      </c>
      <c r="H160" s="19" t="s">
        <v>32</v>
      </c>
      <c r="I160">
        <v>0</v>
      </c>
      <c r="J160">
        <v>56</v>
      </c>
      <c r="K160" s="1"/>
    </row>
    <row r="161" spans="1:11">
      <c r="A161" s="17" t="s">
        <v>52</v>
      </c>
      <c r="B161" s="19" t="s">
        <v>53</v>
      </c>
      <c r="C161" s="19" t="s">
        <v>288</v>
      </c>
      <c r="D161" s="19" t="s">
        <v>289</v>
      </c>
      <c r="E161" s="20" t="s">
        <v>32</v>
      </c>
      <c r="F161" s="19" t="s">
        <v>288</v>
      </c>
      <c r="G161" s="19" t="s">
        <v>290</v>
      </c>
      <c r="H161" s="19" t="s">
        <v>32</v>
      </c>
      <c r="I161">
        <v>0</v>
      </c>
      <c r="J161">
        <v>118</v>
      </c>
      <c r="K161" s="1"/>
    </row>
    <row r="162" spans="1:11">
      <c r="A162" s="17" t="s">
        <v>52</v>
      </c>
      <c r="B162" s="19" t="s">
        <v>53</v>
      </c>
      <c r="C162" s="19" t="s">
        <v>291</v>
      </c>
      <c r="D162" s="19" t="s">
        <v>292</v>
      </c>
      <c r="E162" s="20" t="s">
        <v>32</v>
      </c>
      <c r="F162" s="19" t="s">
        <v>291</v>
      </c>
      <c r="G162" s="19" t="s">
        <v>293</v>
      </c>
      <c r="H162" s="19" t="s">
        <v>32</v>
      </c>
      <c r="I162" s="26">
        <v>0</v>
      </c>
      <c r="J162">
        <v>5</v>
      </c>
      <c r="K162" s="1"/>
    </row>
    <row r="163" spans="1:11">
      <c r="A163" s="17" t="s">
        <v>52</v>
      </c>
      <c r="B163" s="19" t="s">
        <v>53</v>
      </c>
      <c r="C163" s="19" t="s">
        <v>294</v>
      </c>
      <c r="D163" s="19" t="s">
        <v>129</v>
      </c>
      <c r="E163" s="20" t="s">
        <v>32</v>
      </c>
      <c r="F163" s="19" t="s">
        <v>294</v>
      </c>
      <c r="G163" s="19" t="s">
        <v>130</v>
      </c>
      <c r="H163" s="19" t="s">
        <v>32</v>
      </c>
      <c r="I163" s="26">
        <v>0</v>
      </c>
      <c r="J163">
        <v>1</v>
      </c>
      <c r="K163" s="1"/>
    </row>
    <row r="164" spans="1:11">
      <c r="A164" s="17" t="s">
        <v>52</v>
      </c>
      <c r="B164" s="19" t="s">
        <v>53</v>
      </c>
      <c r="C164" s="19" t="s">
        <v>295</v>
      </c>
      <c r="D164" s="19" t="s">
        <v>296</v>
      </c>
      <c r="E164" s="20" t="s">
        <v>32</v>
      </c>
      <c r="F164" s="19" t="s">
        <v>295</v>
      </c>
      <c r="G164" s="19" t="s">
        <v>297</v>
      </c>
      <c r="H164" s="19" t="s">
        <v>32</v>
      </c>
      <c r="I164" s="26">
        <v>0</v>
      </c>
      <c r="J164">
        <v>454</v>
      </c>
      <c r="K164" s="1"/>
    </row>
    <row r="165" spans="1:11">
      <c r="A165" s="17" t="s">
        <v>52</v>
      </c>
      <c r="B165" s="19" t="s">
        <v>53</v>
      </c>
      <c r="C165" s="19" t="s">
        <v>298</v>
      </c>
      <c r="D165" s="19" t="s">
        <v>299</v>
      </c>
      <c r="E165" s="20" t="s">
        <v>32</v>
      </c>
      <c r="F165" s="19" t="s">
        <v>298</v>
      </c>
      <c r="G165" s="19" t="s">
        <v>300</v>
      </c>
      <c r="H165" s="19" t="s">
        <v>32</v>
      </c>
      <c r="I165" s="26">
        <v>0</v>
      </c>
      <c r="J165">
        <v>762</v>
      </c>
      <c r="K165" s="1"/>
    </row>
    <row r="166" spans="1:11">
      <c r="A166" s="17" t="s">
        <v>52</v>
      </c>
      <c r="B166" s="19" t="s">
        <v>53</v>
      </c>
      <c r="C166" s="19" t="s">
        <v>301</v>
      </c>
      <c r="D166" s="19" t="s">
        <v>302</v>
      </c>
      <c r="E166" s="20" t="s">
        <v>32</v>
      </c>
      <c r="F166" s="19" t="s">
        <v>301</v>
      </c>
      <c r="G166" s="19" t="s">
        <v>303</v>
      </c>
      <c r="H166" s="19" t="s">
        <v>32</v>
      </c>
      <c r="I166" s="26">
        <v>0</v>
      </c>
      <c r="J166">
        <v>1411</v>
      </c>
      <c r="K166" s="1"/>
    </row>
    <row r="167" spans="1:11">
      <c r="A167" s="17" t="s">
        <v>52</v>
      </c>
      <c r="B167" s="19" t="s">
        <v>53</v>
      </c>
      <c r="C167" s="19" t="s">
        <v>692</v>
      </c>
      <c r="D167" s="19" t="s">
        <v>693</v>
      </c>
      <c r="E167" s="20" t="s">
        <v>32</v>
      </c>
      <c r="F167" s="19" t="s">
        <v>692</v>
      </c>
      <c r="G167" s="19" t="s">
        <v>694</v>
      </c>
      <c r="H167" s="19" t="s">
        <v>32</v>
      </c>
      <c r="I167">
        <v>0</v>
      </c>
      <c r="J167">
        <v>2993</v>
      </c>
      <c r="K167" s="1"/>
    </row>
    <row r="168" spans="1:11">
      <c r="A168" s="17" t="s">
        <v>131</v>
      </c>
      <c r="B168" s="19" t="s">
        <v>132</v>
      </c>
      <c r="C168" s="19" t="s">
        <v>304</v>
      </c>
      <c r="D168" s="19" t="s">
        <v>305</v>
      </c>
      <c r="E168" s="20" t="s">
        <v>32</v>
      </c>
      <c r="F168" s="19" t="s">
        <v>304</v>
      </c>
      <c r="G168" s="19" t="s">
        <v>306</v>
      </c>
      <c r="H168" s="19" t="s">
        <v>32</v>
      </c>
      <c r="I168">
        <v>42244</v>
      </c>
      <c r="J168">
        <v>0</v>
      </c>
      <c r="K168" s="1"/>
    </row>
    <row r="169" spans="1:11">
      <c r="A169" s="17" t="s">
        <v>131</v>
      </c>
      <c r="B169" s="19" t="s">
        <v>132</v>
      </c>
      <c r="C169" s="19" t="s">
        <v>307</v>
      </c>
      <c r="D169" s="19" t="s">
        <v>308</v>
      </c>
      <c r="E169" s="20" t="s">
        <v>32</v>
      </c>
      <c r="F169" s="19" t="s">
        <v>307</v>
      </c>
      <c r="G169" s="19" t="s">
        <v>309</v>
      </c>
      <c r="H169" s="19" t="s">
        <v>32</v>
      </c>
      <c r="I169" s="26">
        <v>0</v>
      </c>
      <c r="J169">
        <v>3</v>
      </c>
      <c r="K169" s="1"/>
    </row>
    <row r="170" spans="1:11">
      <c r="A170" s="17" t="s">
        <v>131</v>
      </c>
      <c r="B170" s="19" t="s">
        <v>310</v>
      </c>
      <c r="C170" s="19" t="s">
        <v>311</v>
      </c>
      <c r="D170" s="19" t="s">
        <v>312</v>
      </c>
      <c r="E170" s="20" t="s">
        <v>32</v>
      </c>
      <c r="F170" s="19" t="s">
        <v>311</v>
      </c>
      <c r="G170" s="19" t="s">
        <v>313</v>
      </c>
      <c r="H170" s="19" t="s">
        <v>32</v>
      </c>
      <c r="I170">
        <v>60</v>
      </c>
      <c r="J170">
        <v>0</v>
      </c>
      <c r="K170" s="1"/>
    </row>
    <row r="171" spans="1:11">
      <c r="A171" s="17" t="s">
        <v>131</v>
      </c>
      <c r="B171" s="19" t="s">
        <v>310</v>
      </c>
      <c r="C171" s="19" t="s">
        <v>314</v>
      </c>
      <c r="D171" s="19" t="s">
        <v>315</v>
      </c>
      <c r="E171" s="20" t="s">
        <v>32</v>
      </c>
      <c r="F171" s="19" t="s">
        <v>314</v>
      </c>
      <c r="G171" s="19" t="s">
        <v>316</v>
      </c>
      <c r="H171" s="19" t="s">
        <v>32</v>
      </c>
      <c r="I171">
        <v>63</v>
      </c>
      <c r="J171">
        <v>2</v>
      </c>
      <c r="K171" s="1"/>
    </row>
    <row r="172" spans="1:11">
      <c r="A172" s="17" t="s">
        <v>131</v>
      </c>
      <c r="B172" s="19" t="s">
        <v>310</v>
      </c>
      <c r="C172" s="19" t="s">
        <v>317</v>
      </c>
      <c r="D172" s="19" t="s">
        <v>318</v>
      </c>
      <c r="E172" s="20" t="s">
        <v>32</v>
      </c>
      <c r="F172" s="19" t="s">
        <v>317</v>
      </c>
      <c r="G172" s="19" t="s">
        <v>319</v>
      </c>
      <c r="H172" s="19" t="s">
        <v>32</v>
      </c>
      <c r="I172">
        <v>593</v>
      </c>
      <c r="J172">
        <v>9</v>
      </c>
      <c r="K172" s="1"/>
    </row>
    <row r="173" spans="1:11">
      <c r="A173" s="17" t="s">
        <v>131</v>
      </c>
      <c r="B173" s="19" t="s">
        <v>310</v>
      </c>
      <c r="C173" s="19" t="s">
        <v>320</v>
      </c>
      <c r="D173" s="19" t="s">
        <v>321</v>
      </c>
      <c r="E173" s="20" t="s">
        <v>32</v>
      </c>
      <c r="F173" s="19" t="s">
        <v>320</v>
      </c>
      <c r="G173" s="19" t="s">
        <v>322</v>
      </c>
      <c r="H173" s="19" t="s">
        <v>32</v>
      </c>
      <c r="I173" s="26">
        <v>653</v>
      </c>
      <c r="J173">
        <v>7</v>
      </c>
      <c r="K173" s="1"/>
    </row>
    <row r="174" spans="1:11">
      <c r="A174" s="17" t="s">
        <v>131</v>
      </c>
      <c r="B174" s="19" t="s">
        <v>310</v>
      </c>
      <c r="C174" s="19" t="s">
        <v>323</v>
      </c>
      <c r="D174" s="19" t="s">
        <v>324</v>
      </c>
      <c r="E174" s="20" t="s">
        <v>32</v>
      </c>
      <c r="F174" s="19" t="s">
        <v>323</v>
      </c>
      <c r="G174" s="19" t="s">
        <v>325</v>
      </c>
      <c r="H174" s="19" t="s">
        <v>32</v>
      </c>
      <c r="I174">
        <v>145</v>
      </c>
      <c r="J174">
        <v>2</v>
      </c>
      <c r="K174" s="1"/>
    </row>
    <row r="175" spans="1:11">
      <c r="A175" s="17" t="s">
        <v>131</v>
      </c>
      <c r="B175" s="19" t="s">
        <v>310</v>
      </c>
      <c r="C175" s="19" t="s">
        <v>326</v>
      </c>
      <c r="D175" s="19" t="s">
        <v>327</v>
      </c>
      <c r="E175" s="20" t="s">
        <v>32</v>
      </c>
      <c r="F175" s="19" t="s">
        <v>326</v>
      </c>
      <c r="G175" s="19" t="s">
        <v>328</v>
      </c>
      <c r="H175" s="19" t="s">
        <v>32</v>
      </c>
      <c r="I175">
        <v>107</v>
      </c>
      <c r="J175">
        <v>0</v>
      </c>
      <c r="K175" s="1"/>
    </row>
    <row r="176" spans="1:11">
      <c r="A176" s="17" t="s">
        <v>131</v>
      </c>
      <c r="B176" s="19" t="s">
        <v>329</v>
      </c>
      <c r="C176" s="19" t="s">
        <v>695</v>
      </c>
      <c r="D176" s="19" t="s">
        <v>696</v>
      </c>
      <c r="E176" s="20" t="s">
        <v>32</v>
      </c>
      <c r="F176" s="19" t="s">
        <v>695</v>
      </c>
      <c r="G176" s="19" t="s">
        <v>697</v>
      </c>
      <c r="H176" s="19" t="s">
        <v>32</v>
      </c>
      <c r="I176" s="26">
        <v>0</v>
      </c>
      <c r="J176">
        <v>1</v>
      </c>
      <c r="K176" s="1"/>
    </row>
    <row r="177" spans="1:11">
      <c r="A177" s="17" t="s">
        <v>131</v>
      </c>
      <c r="B177" s="19" t="s">
        <v>329</v>
      </c>
      <c r="C177" s="19" t="s">
        <v>698</v>
      </c>
      <c r="D177" s="19" t="s">
        <v>699</v>
      </c>
      <c r="E177" s="20" t="s">
        <v>32</v>
      </c>
      <c r="F177" s="19" t="s">
        <v>698</v>
      </c>
      <c r="G177" s="19" t="s">
        <v>700</v>
      </c>
      <c r="H177" s="19" t="s">
        <v>32</v>
      </c>
      <c r="I177">
        <v>0</v>
      </c>
      <c r="J177">
        <v>1</v>
      </c>
      <c r="K177" s="1"/>
    </row>
    <row r="178" spans="1:11">
      <c r="A178" s="17" t="s">
        <v>131</v>
      </c>
      <c r="B178" s="19" t="s">
        <v>329</v>
      </c>
      <c r="C178" s="19" t="s">
        <v>701</v>
      </c>
      <c r="D178" s="19" t="s">
        <v>702</v>
      </c>
      <c r="E178" s="20" t="s">
        <v>32</v>
      </c>
      <c r="F178" s="19" t="s">
        <v>701</v>
      </c>
      <c r="G178" s="19" t="s">
        <v>703</v>
      </c>
      <c r="H178" s="19" t="s">
        <v>32</v>
      </c>
      <c r="I178">
        <v>0</v>
      </c>
      <c r="J178">
        <v>1</v>
      </c>
      <c r="K178" s="1"/>
    </row>
    <row r="179" spans="1:11">
      <c r="A179" s="17" t="s">
        <v>131</v>
      </c>
      <c r="B179" s="19" t="s">
        <v>152</v>
      </c>
      <c r="C179" s="19" t="s">
        <v>704</v>
      </c>
      <c r="D179" s="19" t="s">
        <v>705</v>
      </c>
      <c r="E179" s="20" t="s">
        <v>32</v>
      </c>
      <c r="F179" s="19" t="s">
        <v>704</v>
      </c>
      <c r="G179" s="19" t="s">
        <v>706</v>
      </c>
      <c r="H179" s="19" t="s">
        <v>32</v>
      </c>
      <c r="I179">
        <v>397</v>
      </c>
      <c r="J179">
        <v>4830</v>
      </c>
      <c r="K179" s="1"/>
    </row>
    <row r="180" spans="1:11">
      <c r="A180" s="17" t="s">
        <v>131</v>
      </c>
      <c r="B180" s="19" t="s">
        <v>152</v>
      </c>
      <c r="C180" s="19" t="s">
        <v>707</v>
      </c>
      <c r="D180" s="19" t="s">
        <v>708</v>
      </c>
      <c r="E180" s="20" t="s">
        <v>32</v>
      </c>
      <c r="F180" s="19" t="s">
        <v>707</v>
      </c>
      <c r="G180" s="19" t="s">
        <v>709</v>
      </c>
      <c r="H180" s="19" t="s">
        <v>32</v>
      </c>
      <c r="I180">
        <v>1034</v>
      </c>
      <c r="J180">
        <v>0</v>
      </c>
      <c r="K180" s="1"/>
    </row>
    <row r="181" spans="1:11">
      <c r="A181" s="17" t="s">
        <v>131</v>
      </c>
      <c r="B181" s="19" t="s">
        <v>152</v>
      </c>
      <c r="C181" s="19" t="s">
        <v>330</v>
      </c>
      <c r="D181" s="19" t="s">
        <v>331</v>
      </c>
      <c r="E181" s="20" t="s">
        <v>32</v>
      </c>
      <c r="F181" s="19" t="s">
        <v>330</v>
      </c>
      <c r="G181" s="19" t="s">
        <v>332</v>
      </c>
      <c r="H181" s="19" t="s">
        <v>32</v>
      </c>
      <c r="I181" s="26">
        <v>13</v>
      </c>
      <c r="J181">
        <v>4</v>
      </c>
      <c r="K181" s="1"/>
    </row>
    <row r="182" spans="1:11">
      <c r="A182" s="17" t="s">
        <v>131</v>
      </c>
      <c r="B182" s="19" t="s">
        <v>152</v>
      </c>
      <c r="C182" s="19" t="s">
        <v>710</v>
      </c>
      <c r="D182" s="19" t="s">
        <v>711</v>
      </c>
      <c r="E182" s="20" t="s">
        <v>32</v>
      </c>
      <c r="F182" s="19" t="s">
        <v>710</v>
      </c>
      <c r="G182" s="19" t="s">
        <v>712</v>
      </c>
      <c r="H182" s="19" t="s">
        <v>32</v>
      </c>
      <c r="I182">
        <v>0</v>
      </c>
      <c r="J182">
        <v>5971</v>
      </c>
      <c r="K182" s="1"/>
    </row>
    <row r="183" spans="1:11">
      <c r="A183" s="17" t="s">
        <v>131</v>
      </c>
      <c r="B183" s="19" t="s">
        <v>152</v>
      </c>
      <c r="C183" s="19" t="s">
        <v>713</v>
      </c>
      <c r="D183" s="19" t="s">
        <v>714</v>
      </c>
      <c r="E183" s="20" t="s">
        <v>32</v>
      </c>
      <c r="F183" s="19" t="s">
        <v>713</v>
      </c>
      <c r="G183" s="19" t="s">
        <v>715</v>
      </c>
      <c r="H183" s="19" t="s">
        <v>32</v>
      </c>
      <c r="I183">
        <v>0</v>
      </c>
      <c r="J183">
        <v>6632</v>
      </c>
      <c r="K183" s="1"/>
    </row>
    <row r="184" spans="1:11">
      <c r="A184" s="17" t="s">
        <v>131</v>
      </c>
      <c r="B184" s="19" t="s">
        <v>333</v>
      </c>
      <c r="C184" s="19" t="s">
        <v>334</v>
      </c>
      <c r="D184" s="19" t="s">
        <v>335</v>
      </c>
      <c r="E184" s="20" t="s">
        <v>12</v>
      </c>
      <c r="F184" s="19" t="s">
        <v>336</v>
      </c>
      <c r="G184" s="19" t="s">
        <v>337</v>
      </c>
      <c r="H184" s="19" t="s">
        <v>31</v>
      </c>
      <c r="I184">
        <v>1775279</v>
      </c>
      <c r="J184">
        <v>74807</v>
      </c>
      <c r="K184" s="1"/>
    </row>
    <row r="185" spans="1:11">
      <c r="A185" s="17" t="s">
        <v>131</v>
      </c>
      <c r="B185" s="19" t="s">
        <v>333</v>
      </c>
      <c r="C185" s="19" t="s">
        <v>334</v>
      </c>
      <c r="D185" s="19" t="s">
        <v>335</v>
      </c>
      <c r="E185" s="20" t="s">
        <v>12</v>
      </c>
      <c r="F185" s="19" t="s">
        <v>338</v>
      </c>
      <c r="G185" s="19" t="s">
        <v>339</v>
      </c>
      <c r="H185" s="19" t="s">
        <v>31</v>
      </c>
      <c r="I185" s="26">
        <v>1775542</v>
      </c>
      <c r="J185">
        <v>72730</v>
      </c>
      <c r="K185" s="1"/>
    </row>
    <row r="186" spans="1:11">
      <c r="A186" s="17" t="s">
        <v>131</v>
      </c>
      <c r="B186" s="19" t="s">
        <v>333</v>
      </c>
      <c r="C186" s="19" t="s">
        <v>340</v>
      </c>
      <c r="D186" s="19" t="s">
        <v>341</v>
      </c>
      <c r="E186" s="20" t="s">
        <v>12</v>
      </c>
      <c r="F186" s="19" t="s">
        <v>342</v>
      </c>
      <c r="G186" s="19" t="s">
        <v>343</v>
      </c>
      <c r="H186" s="19" t="s">
        <v>31</v>
      </c>
      <c r="I186" s="26">
        <v>57378</v>
      </c>
      <c r="J186">
        <v>40</v>
      </c>
      <c r="K186" s="1"/>
    </row>
    <row r="187" spans="1:11">
      <c r="A187" s="17" t="s">
        <v>131</v>
      </c>
      <c r="B187" s="19" t="s">
        <v>333</v>
      </c>
      <c r="C187" s="19" t="s">
        <v>340</v>
      </c>
      <c r="D187" s="19" t="s">
        <v>341</v>
      </c>
      <c r="E187" s="20" t="s">
        <v>12</v>
      </c>
      <c r="F187" s="19" t="s">
        <v>344</v>
      </c>
      <c r="G187" s="19" t="s">
        <v>345</v>
      </c>
      <c r="H187" s="19" t="s">
        <v>31</v>
      </c>
      <c r="I187">
        <v>57255</v>
      </c>
      <c r="J187">
        <v>31</v>
      </c>
      <c r="K187" s="1"/>
    </row>
    <row r="188" spans="1:11">
      <c r="A188" s="17" t="s">
        <v>131</v>
      </c>
      <c r="B188" s="19" t="s">
        <v>333</v>
      </c>
      <c r="C188" s="19" t="s">
        <v>346</v>
      </c>
      <c r="D188" s="19" t="s">
        <v>347</v>
      </c>
      <c r="E188" s="20" t="s">
        <v>32</v>
      </c>
      <c r="F188" s="19" t="s">
        <v>346</v>
      </c>
      <c r="G188" s="19" t="s">
        <v>348</v>
      </c>
      <c r="H188" s="19" t="s">
        <v>32</v>
      </c>
      <c r="I188" s="26">
        <v>1667891</v>
      </c>
      <c r="J188">
        <v>24573</v>
      </c>
      <c r="K188" s="1"/>
    </row>
    <row r="189" spans="1:11">
      <c r="A189" s="17" t="s">
        <v>131</v>
      </c>
      <c r="B189" s="19" t="s">
        <v>333</v>
      </c>
      <c r="C189" s="19" t="s">
        <v>349</v>
      </c>
      <c r="D189" s="19" t="s">
        <v>350</v>
      </c>
      <c r="E189" s="20" t="s">
        <v>12</v>
      </c>
      <c r="F189" s="19" t="s">
        <v>349</v>
      </c>
      <c r="G189" s="19" t="s">
        <v>351</v>
      </c>
      <c r="H189" s="19" t="s">
        <v>31</v>
      </c>
      <c r="I189" s="26">
        <v>1391505</v>
      </c>
      <c r="J189">
        <v>1321</v>
      </c>
      <c r="K189" s="1"/>
    </row>
    <row r="190" spans="1:11">
      <c r="A190" s="17" t="s">
        <v>131</v>
      </c>
      <c r="B190" s="19" t="s">
        <v>333</v>
      </c>
      <c r="C190" s="19" t="s">
        <v>716</v>
      </c>
      <c r="D190" s="19" t="s">
        <v>717</v>
      </c>
      <c r="E190" s="20" t="s">
        <v>32</v>
      </c>
      <c r="F190" s="19" t="s">
        <v>716</v>
      </c>
      <c r="G190" s="19" t="s">
        <v>718</v>
      </c>
      <c r="H190" s="19" t="s">
        <v>32</v>
      </c>
      <c r="I190" s="26">
        <v>167</v>
      </c>
      <c r="J190">
        <v>10</v>
      </c>
      <c r="K190" s="1"/>
    </row>
    <row r="191" spans="1:11">
      <c r="A191" s="17" t="s">
        <v>131</v>
      </c>
      <c r="B191" s="19" t="s">
        <v>333</v>
      </c>
      <c r="C191" s="19" t="s">
        <v>719</v>
      </c>
      <c r="D191" s="19" t="s">
        <v>720</v>
      </c>
      <c r="E191" s="20" t="s">
        <v>32</v>
      </c>
      <c r="F191" s="19" t="s">
        <v>719</v>
      </c>
      <c r="G191" s="19" t="s">
        <v>721</v>
      </c>
      <c r="H191" s="19" t="s">
        <v>32</v>
      </c>
      <c r="I191" s="26">
        <v>172</v>
      </c>
      <c r="J191">
        <v>10</v>
      </c>
      <c r="K191" s="1"/>
    </row>
    <row r="192" spans="1:11">
      <c r="A192" s="17" t="s">
        <v>131</v>
      </c>
      <c r="B192" s="19" t="s">
        <v>333</v>
      </c>
      <c r="C192" s="19" t="s">
        <v>352</v>
      </c>
      <c r="D192" s="19" t="s">
        <v>353</v>
      </c>
      <c r="E192" s="20" t="s">
        <v>32</v>
      </c>
      <c r="F192" s="19" t="s">
        <v>352</v>
      </c>
      <c r="G192" s="19" t="s">
        <v>354</v>
      </c>
      <c r="H192" s="19" t="s">
        <v>32</v>
      </c>
      <c r="I192" s="26">
        <v>108</v>
      </c>
      <c r="J192">
        <v>6</v>
      </c>
      <c r="K192" s="1"/>
    </row>
    <row r="193" spans="1:11">
      <c r="A193" s="17" t="s">
        <v>131</v>
      </c>
      <c r="B193" s="19" t="s">
        <v>333</v>
      </c>
      <c r="C193" s="19" t="s">
        <v>355</v>
      </c>
      <c r="D193" s="19" t="s">
        <v>356</v>
      </c>
      <c r="E193" s="20" t="s">
        <v>32</v>
      </c>
      <c r="F193" s="19" t="s">
        <v>355</v>
      </c>
      <c r="G193" s="19" t="s">
        <v>357</v>
      </c>
      <c r="H193" s="19" t="s">
        <v>32</v>
      </c>
      <c r="I193">
        <v>92</v>
      </c>
      <c r="J193">
        <v>9</v>
      </c>
      <c r="K193" s="1"/>
    </row>
    <row r="194" spans="1:11">
      <c r="A194" s="17" t="s">
        <v>131</v>
      </c>
      <c r="B194" s="19" t="s">
        <v>358</v>
      </c>
      <c r="C194" s="19" t="s">
        <v>359</v>
      </c>
      <c r="D194" s="19" t="s">
        <v>360</v>
      </c>
      <c r="E194" s="20" t="s">
        <v>32</v>
      </c>
      <c r="F194" s="19" t="s">
        <v>359</v>
      </c>
      <c r="G194" s="19" t="s">
        <v>361</v>
      </c>
      <c r="H194" s="19" t="s">
        <v>32</v>
      </c>
      <c r="I194">
        <v>595497</v>
      </c>
      <c r="J194">
        <v>339</v>
      </c>
      <c r="K194" s="1"/>
    </row>
    <row r="195" spans="1:11">
      <c r="A195" s="17" t="s">
        <v>131</v>
      </c>
      <c r="B195" s="19" t="s">
        <v>358</v>
      </c>
      <c r="C195" s="19" t="s">
        <v>362</v>
      </c>
      <c r="D195" s="19" t="s">
        <v>363</v>
      </c>
      <c r="E195" s="20" t="s">
        <v>32</v>
      </c>
      <c r="F195" s="19" t="s">
        <v>362</v>
      </c>
      <c r="G195" s="19" t="s">
        <v>364</v>
      </c>
      <c r="H195" s="19" t="s">
        <v>32</v>
      </c>
      <c r="I195">
        <v>114745</v>
      </c>
      <c r="J195">
        <v>593</v>
      </c>
      <c r="K195" s="1"/>
    </row>
    <row r="196" spans="1:11">
      <c r="A196" s="17" t="s">
        <v>131</v>
      </c>
      <c r="B196" s="19" t="s">
        <v>358</v>
      </c>
      <c r="C196" s="19" t="s">
        <v>365</v>
      </c>
      <c r="D196" s="19" t="s">
        <v>366</v>
      </c>
      <c r="E196" s="20" t="s">
        <v>32</v>
      </c>
      <c r="F196" s="19" t="s">
        <v>365</v>
      </c>
      <c r="G196" s="19" t="s">
        <v>367</v>
      </c>
      <c r="H196" s="19" t="s">
        <v>32</v>
      </c>
      <c r="I196">
        <v>244054</v>
      </c>
      <c r="J196">
        <v>106</v>
      </c>
      <c r="K196" s="1"/>
    </row>
    <row r="197" spans="1:11">
      <c r="A197" s="17" t="s">
        <v>131</v>
      </c>
      <c r="B197" s="19" t="s">
        <v>358</v>
      </c>
      <c r="C197" s="19" t="s">
        <v>368</v>
      </c>
      <c r="D197" s="19" t="s">
        <v>369</v>
      </c>
      <c r="E197" s="20" t="s">
        <v>32</v>
      </c>
      <c r="F197" s="19" t="s">
        <v>368</v>
      </c>
      <c r="G197" s="19" t="s">
        <v>370</v>
      </c>
      <c r="H197" s="19" t="s">
        <v>32</v>
      </c>
      <c r="I197">
        <v>132372</v>
      </c>
      <c r="J197">
        <v>532</v>
      </c>
      <c r="K197" s="1"/>
    </row>
    <row r="198" spans="1:11">
      <c r="A198" s="17" t="s">
        <v>131</v>
      </c>
      <c r="B198" s="19" t="s">
        <v>358</v>
      </c>
      <c r="C198" s="19" t="s">
        <v>722</v>
      </c>
      <c r="D198" s="19" t="s">
        <v>723</v>
      </c>
      <c r="E198" s="20" t="s">
        <v>32</v>
      </c>
      <c r="F198" s="19" t="s">
        <v>722</v>
      </c>
      <c r="G198" s="19" t="s">
        <v>724</v>
      </c>
      <c r="H198" s="19" t="s">
        <v>32</v>
      </c>
      <c r="I198">
        <v>0</v>
      </c>
      <c r="J198">
        <v>1701</v>
      </c>
      <c r="K198" s="1"/>
    </row>
    <row r="199" spans="1:11">
      <c r="A199" s="17" t="s">
        <v>131</v>
      </c>
      <c r="B199" s="19" t="s">
        <v>358</v>
      </c>
      <c r="C199" s="19" t="s">
        <v>725</v>
      </c>
      <c r="D199" s="19" t="s">
        <v>726</v>
      </c>
      <c r="E199" s="20" t="s">
        <v>32</v>
      </c>
      <c r="F199" s="19" t="s">
        <v>725</v>
      </c>
      <c r="G199" s="19" t="s">
        <v>727</v>
      </c>
      <c r="H199" s="19" t="s">
        <v>32</v>
      </c>
      <c r="I199">
        <v>0</v>
      </c>
      <c r="J199">
        <v>686</v>
      </c>
      <c r="K199" s="1"/>
    </row>
    <row r="200" spans="1:11">
      <c r="A200" s="17" t="s">
        <v>131</v>
      </c>
      <c r="B200" s="19" t="s">
        <v>358</v>
      </c>
      <c r="C200" s="19" t="s">
        <v>728</v>
      </c>
      <c r="D200" s="19" t="s">
        <v>729</v>
      </c>
      <c r="E200" s="20" t="s">
        <v>32</v>
      </c>
      <c r="F200" s="19" t="s">
        <v>728</v>
      </c>
      <c r="G200" s="19" t="s">
        <v>730</v>
      </c>
      <c r="H200" s="19" t="s">
        <v>32</v>
      </c>
      <c r="I200">
        <v>0</v>
      </c>
      <c r="J200">
        <v>1</v>
      </c>
      <c r="K200" s="1"/>
    </row>
    <row r="201" spans="1:11">
      <c r="A201" s="17" t="s">
        <v>131</v>
      </c>
      <c r="B201" s="19" t="s">
        <v>166</v>
      </c>
      <c r="C201" s="19" t="s">
        <v>371</v>
      </c>
      <c r="D201" s="19" t="s">
        <v>372</v>
      </c>
      <c r="E201" s="20" t="s">
        <v>32</v>
      </c>
      <c r="F201" s="19" t="s">
        <v>371</v>
      </c>
      <c r="G201" s="19" t="s">
        <v>373</v>
      </c>
      <c r="H201" s="19" t="s">
        <v>32</v>
      </c>
      <c r="I201">
        <v>0</v>
      </c>
      <c r="J201">
        <v>1</v>
      </c>
      <c r="K201" s="1"/>
    </row>
    <row r="202" spans="1:11">
      <c r="A202" s="17" t="s">
        <v>131</v>
      </c>
      <c r="B202" s="19" t="s">
        <v>731</v>
      </c>
      <c r="C202" s="19" t="s">
        <v>732</v>
      </c>
      <c r="D202" s="19" t="s">
        <v>733</v>
      </c>
      <c r="E202" s="20" t="s">
        <v>32</v>
      </c>
      <c r="F202" s="19" t="s">
        <v>732</v>
      </c>
      <c r="G202" s="19" t="s">
        <v>734</v>
      </c>
      <c r="H202" s="19" t="s">
        <v>32</v>
      </c>
      <c r="I202">
        <v>0</v>
      </c>
      <c r="J202">
        <v>377</v>
      </c>
      <c r="K202" s="1"/>
    </row>
    <row r="203" spans="1:11">
      <c r="A203" s="17" t="s">
        <v>131</v>
      </c>
      <c r="B203" s="19" t="s">
        <v>731</v>
      </c>
      <c r="C203" s="19" t="s">
        <v>735</v>
      </c>
      <c r="D203" s="19" t="s">
        <v>736</v>
      </c>
      <c r="E203" s="20" t="s">
        <v>32</v>
      </c>
      <c r="F203" s="19" t="s">
        <v>735</v>
      </c>
      <c r="G203" s="19" t="s">
        <v>737</v>
      </c>
      <c r="H203" s="19" t="s">
        <v>32</v>
      </c>
      <c r="I203">
        <v>0</v>
      </c>
      <c r="J203">
        <v>389</v>
      </c>
      <c r="K203" s="1"/>
    </row>
    <row r="204" spans="1:11">
      <c r="A204" s="17" t="s">
        <v>131</v>
      </c>
      <c r="B204" s="19" t="s">
        <v>374</v>
      </c>
      <c r="C204" s="19" t="s">
        <v>375</v>
      </c>
      <c r="D204" s="19" t="s">
        <v>376</v>
      </c>
      <c r="E204" s="20" t="s">
        <v>32</v>
      </c>
      <c r="F204" s="19" t="s">
        <v>375</v>
      </c>
      <c r="G204" s="19" t="s">
        <v>377</v>
      </c>
      <c r="H204" s="19" t="s">
        <v>32</v>
      </c>
      <c r="I204">
        <v>0</v>
      </c>
      <c r="J204">
        <v>23</v>
      </c>
      <c r="K204" s="1"/>
    </row>
    <row r="205" spans="1:11">
      <c r="A205" s="17" t="s">
        <v>131</v>
      </c>
      <c r="B205" s="19" t="s">
        <v>53</v>
      </c>
      <c r="C205" s="19" t="s">
        <v>738</v>
      </c>
      <c r="D205" s="19" t="s">
        <v>739</v>
      </c>
      <c r="E205" s="20" t="s">
        <v>32</v>
      </c>
      <c r="F205" s="19" t="s">
        <v>738</v>
      </c>
      <c r="G205" s="19" t="s">
        <v>740</v>
      </c>
      <c r="H205" s="19" t="s">
        <v>32</v>
      </c>
      <c r="I205">
        <v>6</v>
      </c>
      <c r="J205">
        <v>580</v>
      </c>
      <c r="K205" s="1"/>
    </row>
    <row r="206" spans="1:11">
      <c r="A206" s="17" t="s">
        <v>131</v>
      </c>
      <c r="B206" s="19" t="s">
        <v>53</v>
      </c>
      <c r="C206" s="19" t="s">
        <v>378</v>
      </c>
      <c r="D206" s="19" t="s">
        <v>379</v>
      </c>
      <c r="E206" s="20" t="s">
        <v>32</v>
      </c>
      <c r="F206" s="19" t="s">
        <v>378</v>
      </c>
      <c r="G206" s="19" t="s">
        <v>380</v>
      </c>
      <c r="H206" s="19" t="s">
        <v>32</v>
      </c>
      <c r="I206">
        <v>43</v>
      </c>
      <c r="J206">
        <v>0</v>
      </c>
      <c r="K206" s="1"/>
    </row>
    <row r="207" spans="1:11">
      <c r="A207" s="17" t="s">
        <v>131</v>
      </c>
      <c r="B207" s="19" t="s">
        <v>53</v>
      </c>
      <c r="C207" s="19" t="s">
        <v>741</v>
      </c>
      <c r="D207" s="19" t="s">
        <v>742</v>
      </c>
      <c r="E207" s="20" t="s">
        <v>32</v>
      </c>
      <c r="F207" s="19" t="s">
        <v>741</v>
      </c>
      <c r="G207" s="19" t="s">
        <v>743</v>
      </c>
      <c r="H207" s="19" t="s">
        <v>32</v>
      </c>
      <c r="I207">
        <v>6411925</v>
      </c>
      <c r="J207">
        <v>0</v>
      </c>
      <c r="K207" s="1"/>
    </row>
    <row r="208" spans="1:11">
      <c r="A208" s="17" t="s">
        <v>131</v>
      </c>
      <c r="B208" s="19" t="s">
        <v>53</v>
      </c>
      <c r="C208" s="19" t="s">
        <v>744</v>
      </c>
      <c r="D208" s="19" t="s">
        <v>745</v>
      </c>
      <c r="E208" s="20" t="s">
        <v>32</v>
      </c>
      <c r="F208" s="19" t="s">
        <v>744</v>
      </c>
      <c r="G208" s="19" t="s">
        <v>746</v>
      </c>
      <c r="H208" s="19" t="s">
        <v>32</v>
      </c>
      <c r="I208">
        <v>1504</v>
      </c>
      <c r="J208">
        <v>1</v>
      </c>
      <c r="K208" s="1"/>
    </row>
    <row r="209" spans="1:11">
      <c r="A209" s="17" t="s">
        <v>131</v>
      </c>
      <c r="B209" s="19" t="s">
        <v>53</v>
      </c>
      <c r="C209" s="19" t="s">
        <v>381</v>
      </c>
      <c r="D209" s="19" t="s">
        <v>133</v>
      </c>
      <c r="E209" s="20" t="s">
        <v>32</v>
      </c>
      <c r="F209" s="19" t="s">
        <v>381</v>
      </c>
      <c r="G209" s="19" t="s">
        <v>134</v>
      </c>
      <c r="H209" s="19" t="s">
        <v>32</v>
      </c>
      <c r="I209">
        <v>0</v>
      </c>
      <c r="J209">
        <v>6</v>
      </c>
      <c r="K209" s="1"/>
    </row>
    <row r="210" spans="1:11">
      <c r="A210" s="17" t="s">
        <v>131</v>
      </c>
      <c r="B210" s="19" t="s">
        <v>53</v>
      </c>
      <c r="C210" s="19" t="s">
        <v>382</v>
      </c>
      <c r="D210" s="19" t="s">
        <v>135</v>
      </c>
      <c r="E210" s="20" t="s">
        <v>32</v>
      </c>
      <c r="F210" s="19" t="s">
        <v>382</v>
      </c>
      <c r="G210" s="19" t="s">
        <v>136</v>
      </c>
      <c r="H210" s="19" t="s">
        <v>32</v>
      </c>
      <c r="I210">
        <v>0</v>
      </c>
      <c r="J210">
        <v>26</v>
      </c>
      <c r="K210" s="1"/>
    </row>
    <row r="211" spans="1:11">
      <c r="A211" s="17" t="s">
        <v>131</v>
      </c>
      <c r="B211" s="19" t="s">
        <v>53</v>
      </c>
      <c r="C211" s="19" t="s">
        <v>383</v>
      </c>
      <c r="D211" s="19" t="s">
        <v>137</v>
      </c>
      <c r="E211" s="20" t="s">
        <v>32</v>
      </c>
      <c r="F211" s="19" t="s">
        <v>383</v>
      </c>
      <c r="G211" s="19" t="s">
        <v>138</v>
      </c>
      <c r="H211" s="19" t="s">
        <v>32</v>
      </c>
      <c r="I211">
        <v>0</v>
      </c>
      <c r="J211">
        <v>3</v>
      </c>
      <c r="K211" s="1"/>
    </row>
    <row r="212" spans="1:11">
      <c r="A212" s="17" t="s">
        <v>131</v>
      </c>
      <c r="B212" s="19" t="s">
        <v>53</v>
      </c>
      <c r="C212" s="19" t="s">
        <v>384</v>
      </c>
      <c r="D212" s="19" t="s">
        <v>139</v>
      </c>
      <c r="E212" s="20" t="s">
        <v>32</v>
      </c>
      <c r="F212" s="19" t="s">
        <v>384</v>
      </c>
      <c r="G212" s="19" t="s">
        <v>140</v>
      </c>
      <c r="H212" s="19" t="s">
        <v>32</v>
      </c>
      <c r="I212">
        <v>0</v>
      </c>
      <c r="J212">
        <v>2</v>
      </c>
      <c r="K212" s="1"/>
    </row>
    <row r="213" spans="1:11">
      <c r="A213" s="17" t="s">
        <v>131</v>
      </c>
      <c r="B213" s="19" t="s">
        <v>53</v>
      </c>
      <c r="C213" s="19" t="s">
        <v>385</v>
      </c>
      <c r="D213" s="19" t="s">
        <v>386</v>
      </c>
      <c r="E213" s="20" t="s">
        <v>32</v>
      </c>
      <c r="F213" s="19" t="s">
        <v>385</v>
      </c>
      <c r="G213" s="19" t="s">
        <v>387</v>
      </c>
      <c r="H213" s="19" t="s">
        <v>32</v>
      </c>
      <c r="I213">
        <v>0</v>
      </c>
      <c r="J213">
        <v>10</v>
      </c>
      <c r="K213" s="1"/>
    </row>
    <row r="214" spans="1:11">
      <c r="A214" s="17" t="s">
        <v>131</v>
      </c>
      <c r="B214" s="19" t="s">
        <v>53</v>
      </c>
      <c r="C214" s="19" t="s">
        <v>388</v>
      </c>
      <c r="D214" s="19" t="s">
        <v>389</v>
      </c>
      <c r="E214" s="20" t="s">
        <v>32</v>
      </c>
      <c r="F214" s="19" t="s">
        <v>388</v>
      </c>
      <c r="G214" s="19" t="s">
        <v>390</v>
      </c>
      <c r="H214" s="19" t="s">
        <v>32</v>
      </c>
      <c r="I214">
        <v>0</v>
      </c>
      <c r="J214">
        <v>2</v>
      </c>
      <c r="K214" s="1"/>
    </row>
    <row r="215" spans="1:11">
      <c r="A215" s="17" t="s">
        <v>131</v>
      </c>
      <c r="B215" s="19" t="s">
        <v>53</v>
      </c>
      <c r="C215" s="19" t="s">
        <v>747</v>
      </c>
      <c r="D215" s="19" t="s">
        <v>748</v>
      </c>
      <c r="E215" s="20" t="s">
        <v>32</v>
      </c>
      <c r="F215" s="19" t="s">
        <v>747</v>
      </c>
      <c r="G215" s="19" t="s">
        <v>749</v>
      </c>
      <c r="H215" s="19" t="s">
        <v>32</v>
      </c>
      <c r="I215">
        <v>2617</v>
      </c>
      <c r="J215">
        <v>11605</v>
      </c>
      <c r="K215" s="1"/>
    </row>
    <row r="216" spans="1:11">
      <c r="A216" s="17" t="s">
        <v>131</v>
      </c>
      <c r="B216" s="19" t="s">
        <v>53</v>
      </c>
      <c r="C216" s="19" t="s">
        <v>750</v>
      </c>
      <c r="D216" s="19" t="s">
        <v>751</v>
      </c>
      <c r="E216" s="20" t="s">
        <v>32</v>
      </c>
      <c r="F216" s="19" t="s">
        <v>750</v>
      </c>
      <c r="G216" s="19" t="s">
        <v>752</v>
      </c>
      <c r="H216" s="19" t="s">
        <v>32</v>
      </c>
      <c r="I216">
        <v>0</v>
      </c>
      <c r="J216">
        <v>1596</v>
      </c>
      <c r="K216" s="1"/>
    </row>
    <row r="217" spans="1:11">
      <c r="A217" s="17" t="s">
        <v>131</v>
      </c>
      <c r="B217" s="19" t="s">
        <v>53</v>
      </c>
      <c r="C217" s="19" t="s">
        <v>753</v>
      </c>
      <c r="D217" s="19" t="s">
        <v>754</v>
      </c>
      <c r="E217" s="20" t="s">
        <v>32</v>
      </c>
      <c r="F217" s="19" t="s">
        <v>753</v>
      </c>
      <c r="G217" s="19" t="s">
        <v>755</v>
      </c>
      <c r="H217" s="19" t="s">
        <v>32</v>
      </c>
      <c r="I217">
        <v>4</v>
      </c>
      <c r="J217">
        <v>3143</v>
      </c>
      <c r="K217" s="1"/>
    </row>
    <row r="218" spans="1:11">
      <c r="A218" s="17" t="s">
        <v>131</v>
      </c>
      <c r="B218" s="19" t="s">
        <v>53</v>
      </c>
      <c r="C218" s="19" t="s">
        <v>756</v>
      </c>
      <c r="D218" s="19" t="s">
        <v>757</v>
      </c>
      <c r="E218" s="20" t="s">
        <v>32</v>
      </c>
      <c r="F218" s="19" t="s">
        <v>756</v>
      </c>
      <c r="G218" s="19" t="s">
        <v>758</v>
      </c>
      <c r="H218" s="19" t="s">
        <v>32</v>
      </c>
      <c r="I218">
        <v>268</v>
      </c>
      <c r="J218">
        <v>0</v>
      </c>
      <c r="K218" s="1"/>
    </row>
    <row r="219" spans="1:11">
      <c r="A219" s="17" t="s">
        <v>131</v>
      </c>
      <c r="B219" s="19" t="s">
        <v>53</v>
      </c>
      <c r="C219" s="19" t="s">
        <v>759</v>
      </c>
      <c r="D219" s="19" t="s">
        <v>760</v>
      </c>
      <c r="E219" s="20" t="s">
        <v>32</v>
      </c>
      <c r="F219" s="19" t="s">
        <v>759</v>
      </c>
      <c r="G219" s="19" t="s">
        <v>761</v>
      </c>
      <c r="H219" s="19" t="s">
        <v>32</v>
      </c>
      <c r="I219">
        <v>1020</v>
      </c>
      <c r="J219">
        <v>0</v>
      </c>
      <c r="K219" s="1"/>
    </row>
    <row r="220" spans="1:11">
      <c r="A220" s="17" t="s">
        <v>131</v>
      </c>
      <c r="B220" s="19" t="s">
        <v>53</v>
      </c>
      <c r="C220" s="19" t="s">
        <v>762</v>
      </c>
      <c r="D220" s="19" t="s">
        <v>763</v>
      </c>
      <c r="E220" s="20" t="s">
        <v>32</v>
      </c>
      <c r="F220" s="19" t="s">
        <v>762</v>
      </c>
      <c r="G220" s="19" t="s">
        <v>764</v>
      </c>
      <c r="H220" s="19" t="s">
        <v>32</v>
      </c>
      <c r="I220">
        <v>1703</v>
      </c>
      <c r="J220">
        <v>0</v>
      </c>
      <c r="K220" s="1"/>
    </row>
    <row r="221" spans="1:11">
      <c r="A221" s="17" t="s">
        <v>131</v>
      </c>
      <c r="B221" s="19" t="s">
        <v>53</v>
      </c>
      <c r="C221" s="19" t="s">
        <v>765</v>
      </c>
      <c r="D221" s="19" t="s">
        <v>766</v>
      </c>
      <c r="E221" s="20" t="s">
        <v>32</v>
      </c>
      <c r="F221" s="19" t="s">
        <v>765</v>
      </c>
      <c r="G221" s="19" t="s">
        <v>767</v>
      </c>
      <c r="H221" s="19" t="s">
        <v>32</v>
      </c>
      <c r="I221">
        <v>1710</v>
      </c>
      <c r="J221">
        <v>0</v>
      </c>
      <c r="K221" s="1"/>
    </row>
    <row r="222" spans="1:11">
      <c r="A222" s="17" t="s">
        <v>131</v>
      </c>
      <c r="B222" s="19" t="s">
        <v>53</v>
      </c>
      <c r="C222" s="19" t="s">
        <v>768</v>
      </c>
      <c r="D222" s="19" t="s">
        <v>769</v>
      </c>
      <c r="E222" s="20" t="s">
        <v>32</v>
      </c>
      <c r="F222" s="19" t="s">
        <v>768</v>
      </c>
      <c r="G222" s="19" t="s">
        <v>770</v>
      </c>
      <c r="H222" s="19" t="s">
        <v>32</v>
      </c>
      <c r="I222">
        <v>3990880</v>
      </c>
      <c r="J222">
        <v>5007</v>
      </c>
      <c r="K222" s="1"/>
    </row>
    <row r="223" spans="1:11">
      <c r="A223" s="17" t="s">
        <v>131</v>
      </c>
      <c r="B223" s="19" t="s">
        <v>53</v>
      </c>
      <c r="C223" s="19" t="s">
        <v>771</v>
      </c>
      <c r="D223" s="19" t="s">
        <v>772</v>
      </c>
      <c r="E223" s="20" t="s">
        <v>32</v>
      </c>
      <c r="F223" s="19" t="s">
        <v>771</v>
      </c>
      <c r="G223" s="19" t="s">
        <v>773</v>
      </c>
      <c r="H223" s="19" t="s">
        <v>32</v>
      </c>
      <c r="I223">
        <v>2621817</v>
      </c>
      <c r="J223">
        <v>10126</v>
      </c>
      <c r="K223" s="1"/>
    </row>
    <row r="224" spans="1:11">
      <c r="A224" s="17" t="s">
        <v>131</v>
      </c>
      <c r="B224" s="19" t="s">
        <v>53</v>
      </c>
      <c r="C224" s="19" t="s">
        <v>774</v>
      </c>
      <c r="D224" s="19" t="s">
        <v>775</v>
      </c>
      <c r="E224" s="20" t="s">
        <v>32</v>
      </c>
      <c r="F224" s="19" t="s">
        <v>774</v>
      </c>
      <c r="G224" s="19" t="s">
        <v>776</v>
      </c>
      <c r="H224" s="19" t="s">
        <v>32</v>
      </c>
      <c r="I224">
        <v>801138</v>
      </c>
      <c r="J224">
        <v>2978</v>
      </c>
      <c r="K224" s="1"/>
    </row>
    <row r="225" spans="1:11">
      <c r="A225" s="17" t="s">
        <v>131</v>
      </c>
      <c r="B225" s="19" t="s">
        <v>53</v>
      </c>
      <c r="C225" s="19" t="s">
        <v>777</v>
      </c>
      <c r="D225" s="19" t="s">
        <v>778</v>
      </c>
      <c r="E225" s="20" t="s">
        <v>32</v>
      </c>
      <c r="F225" s="19" t="s">
        <v>777</v>
      </c>
      <c r="G225" s="19" t="s">
        <v>779</v>
      </c>
      <c r="H225" s="19" t="s">
        <v>32</v>
      </c>
      <c r="I225">
        <v>4125708</v>
      </c>
      <c r="J225">
        <v>2172</v>
      </c>
      <c r="K225" s="1"/>
    </row>
    <row r="226" spans="1:11">
      <c r="A226" s="17" t="s">
        <v>131</v>
      </c>
      <c r="B226" s="19" t="s">
        <v>53</v>
      </c>
      <c r="C226" s="19" t="s">
        <v>780</v>
      </c>
      <c r="D226" s="19" t="s">
        <v>781</v>
      </c>
      <c r="E226" s="20" t="s">
        <v>32</v>
      </c>
      <c r="F226" s="19" t="s">
        <v>780</v>
      </c>
      <c r="G226" s="19" t="s">
        <v>782</v>
      </c>
      <c r="H226" s="19" t="s">
        <v>32</v>
      </c>
      <c r="I226">
        <v>0</v>
      </c>
      <c r="J226">
        <v>1</v>
      </c>
      <c r="K226" s="1"/>
    </row>
    <row r="227" spans="1:11">
      <c r="A227" s="17" t="s">
        <v>131</v>
      </c>
      <c r="B227" s="19" t="s">
        <v>53</v>
      </c>
      <c r="C227" s="19" t="s">
        <v>783</v>
      </c>
      <c r="D227" s="19" t="s">
        <v>784</v>
      </c>
      <c r="E227" s="20" t="s">
        <v>32</v>
      </c>
      <c r="F227" s="19" t="s">
        <v>783</v>
      </c>
      <c r="G227" s="19" t="s">
        <v>785</v>
      </c>
      <c r="H227" s="19" t="s">
        <v>32</v>
      </c>
      <c r="I227">
        <v>0</v>
      </c>
      <c r="J227">
        <v>3</v>
      </c>
      <c r="K227" s="1"/>
    </row>
    <row r="228" spans="1:11">
      <c r="A228" s="17" t="s">
        <v>131</v>
      </c>
      <c r="B228" s="19" t="s">
        <v>53</v>
      </c>
      <c r="C228" s="19" t="s">
        <v>786</v>
      </c>
      <c r="D228" s="19" t="s">
        <v>787</v>
      </c>
      <c r="E228" s="20" t="s">
        <v>32</v>
      </c>
      <c r="F228" s="19" t="s">
        <v>786</v>
      </c>
      <c r="G228" s="19" t="s">
        <v>788</v>
      </c>
      <c r="H228" s="19" t="s">
        <v>32</v>
      </c>
      <c r="I228">
        <v>0</v>
      </c>
      <c r="J228">
        <v>1</v>
      </c>
      <c r="K228" s="1"/>
    </row>
    <row r="229" spans="1:11">
      <c r="A229" s="17" t="s">
        <v>131</v>
      </c>
      <c r="B229" s="19" t="s">
        <v>53</v>
      </c>
      <c r="C229" s="19" t="s">
        <v>789</v>
      </c>
      <c r="D229" s="19" t="s">
        <v>790</v>
      </c>
      <c r="E229" s="20" t="s">
        <v>32</v>
      </c>
      <c r="F229" s="19" t="s">
        <v>789</v>
      </c>
      <c r="G229" s="19" t="s">
        <v>791</v>
      </c>
      <c r="H229" s="19" t="s">
        <v>32</v>
      </c>
      <c r="I229">
        <v>0</v>
      </c>
      <c r="J229">
        <v>1</v>
      </c>
      <c r="K229" s="1"/>
    </row>
    <row r="230" spans="1:11">
      <c r="A230" s="17" t="s">
        <v>131</v>
      </c>
      <c r="B230" s="19" t="s">
        <v>53</v>
      </c>
      <c r="C230" s="19" t="s">
        <v>792</v>
      </c>
      <c r="D230" s="19" t="s">
        <v>793</v>
      </c>
      <c r="E230" s="20" t="s">
        <v>32</v>
      </c>
      <c r="F230" s="19" t="s">
        <v>792</v>
      </c>
      <c r="G230" s="19" t="s">
        <v>794</v>
      </c>
      <c r="H230" s="19" t="s">
        <v>32</v>
      </c>
      <c r="I230">
        <v>0</v>
      </c>
      <c r="J230">
        <v>3</v>
      </c>
      <c r="K230" s="1"/>
    </row>
    <row r="231" spans="1:11">
      <c r="A231" s="17" t="s">
        <v>131</v>
      </c>
      <c r="B231" s="19" t="s">
        <v>53</v>
      </c>
      <c r="C231" s="19" t="s">
        <v>795</v>
      </c>
      <c r="D231" s="19" t="s">
        <v>796</v>
      </c>
      <c r="E231" s="20" t="s">
        <v>32</v>
      </c>
      <c r="F231" s="19" t="s">
        <v>795</v>
      </c>
      <c r="G231" s="19" t="s">
        <v>797</v>
      </c>
      <c r="H231" s="19" t="s">
        <v>32</v>
      </c>
      <c r="I231">
        <v>0</v>
      </c>
      <c r="J231">
        <v>21</v>
      </c>
      <c r="K231" s="1"/>
    </row>
    <row r="232" spans="1:11">
      <c r="A232" s="17" t="s">
        <v>131</v>
      </c>
      <c r="B232" s="19" t="s">
        <v>53</v>
      </c>
      <c r="C232" s="19" t="s">
        <v>798</v>
      </c>
      <c r="D232" s="19" t="s">
        <v>799</v>
      </c>
      <c r="E232" s="20" t="s">
        <v>32</v>
      </c>
      <c r="F232" s="19" t="s">
        <v>798</v>
      </c>
      <c r="G232" s="19" t="s">
        <v>800</v>
      </c>
      <c r="H232" s="19" t="s">
        <v>32</v>
      </c>
      <c r="I232">
        <v>0</v>
      </c>
      <c r="J232">
        <v>3</v>
      </c>
      <c r="K232" s="1"/>
    </row>
    <row r="233" spans="1:11">
      <c r="A233" s="17" t="s">
        <v>131</v>
      </c>
      <c r="B233" s="19" t="s">
        <v>53</v>
      </c>
      <c r="C233" s="19" t="s">
        <v>801</v>
      </c>
      <c r="D233" s="19" t="s">
        <v>802</v>
      </c>
      <c r="E233" s="20" t="s">
        <v>32</v>
      </c>
      <c r="F233" s="19" t="s">
        <v>801</v>
      </c>
      <c r="G233" s="19" t="s">
        <v>803</v>
      </c>
      <c r="H233" s="19" t="s">
        <v>32</v>
      </c>
      <c r="I233">
        <v>0</v>
      </c>
      <c r="J233">
        <v>2</v>
      </c>
      <c r="K233" s="1"/>
    </row>
    <row r="234" spans="1:11">
      <c r="A234" s="17" t="s">
        <v>131</v>
      </c>
      <c r="B234" s="19" t="s">
        <v>53</v>
      </c>
      <c r="C234" s="19" t="s">
        <v>804</v>
      </c>
      <c r="D234" s="19" t="s">
        <v>805</v>
      </c>
      <c r="E234" s="20" t="s">
        <v>32</v>
      </c>
      <c r="F234" s="19" t="s">
        <v>804</v>
      </c>
      <c r="G234" s="19" t="s">
        <v>806</v>
      </c>
      <c r="H234" s="19" t="s">
        <v>32</v>
      </c>
      <c r="I234">
        <v>4</v>
      </c>
      <c r="J234">
        <v>1</v>
      </c>
      <c r="K234" s="1"/>
    </row>
    <row r="235" spans="1:11">
      <c r="A235" s="17" t="s">
        <v>131</v>
      </c>
      <c r="B235" s="19" t="s">
        <v>53</v>
      </c>
      <c r="C235" s="19" t="s">
        <v>807</v>
      </c>
      <c r="D235" s="19" t="s">
        <v>808</v>
      </c>
      <c r="E235" s="20" t="s">
        <v>32</v>
      </c>
      <c r="F235" s="19" t="s">
        <v>807</v>
      </c>
      <c r="G235" s="19" t="s">
        <v>809</v>
      </c>
      <c r="H235" s="19" t="s">
        <v>32</v>
      </c>
      <c r="I235">
        <v>6074317</v>
      </c>
      <c r="J235">
        <v>19033</v>
      </c>
      <c r="K235" s="1"/>
    </row>
    <row r="236" spans="1:11">
      <c r="A236" s="17" t="s">
        <v>131</v>
      </c>
      <c r="B236" s="19" t="s">
        <v>53</v>
      </c>
      <c r="C236" s="19" t="s">
        <v>810</v>
      </c>
      <c r="D236" s="19" t="s">
        <v>811</v>
      </c>
      <c r="E236" s="20" t="s">
        <v>32</v>
      </c>
      <c r="F236" s="19" t="s">
        <v>810</v>
      </c>
      <c r="G236" s="19" t="s">
        <v>812</v>
      </c>
      <c r="H236" s="19" t="s">
        <v>32</v>
      </c>
      <c r="I236">
        <v>2</v>
      </c>
      <c r="J236">
        <v>2</v>
      </c>
      <c r="K236" s="1"/>
    </row>
    <row r="237" spans="1:11">
      <c r="A237" s="17" t="s">
        <v>131</v>
      </c>
      <c r="B237" s="19" t="s">
        <v>53</v>
      </c>
      <c r="C237" s="19" t="s">
        <v>391</v>
      </c>
      <c r="D237" s="19" t="s">
        <v>392</v>
      </c>
      <c r="E237" s="20" t="s">
        <v>32</v>
      </c>
      <c r="F237" s="19" t="s">
        <v>391</v>
      </c>
      <c r="G237" s="19" t="s">
        <v>393</v>
      </c>
      <c r="H237" s="19" t="s">
        <v>32</v>
      </c>
      <c r="I237">
        <v>0</v>
      </c>
      <c r="J237">
        <v>7</v>
      </c>
      <c r="K237" s="1"/>
    </row>
    <row r="238" spans="1:11">
      <c r="A238" s="17" t="s">
        <v>131</v>
      </c>
      <c r="B238" s="19" t="s">
        <v>53</v>
      </c>
      <c r="C238" s="19" t="s">
        <v>813</v>
      </c>
      <c r="D238" s="19" t="s">
        <v>814</v>
      </c>
      <c r="E238" s="20" t="s">
        <v>32</v>
      </c>
      <c r="F238" s="19" t="s">
        <v>813</v>
      </c>
      <c r="G238" s="19" t="s">
        <v>815</v>
      </c>
      <c r="H238" s="19" t="s">
        <v>32</v>
      </c>
      <c r="I238">
        <v>2748</v>
      </c>
      <c r="J238">
        <v>8568</v>
      </c>
      <c r="K238" s="1"/>
    </row>
    <row r="239" spans="1:11">
      <c r="A239" s="17" t="s">
        <v>131</v>
      </c>
      <c r="B239" s="19" t="s">
        <v>53</v>
      </c>
      <c r="C239" s="19" t="s">
        <v>816</v>
      </c>
      <c r="D239" s="19" t="s">
        <v>817</v>
      </c>
      <c r="E239" s="20" t="s">
        <v>32</v>
      </c>
      <c r="F239" s="19" t="s">
        <v>816</v>
      </c>
      <c r="G239" s="19" t="s">
        <v>818</v>
      </c>
      <c r="H239" s="19" t="s">
        <v>32</v>
      </c>
      <c r="I239">
        <v>2177</v>
      </c>
      <c r="J239">
        <v>2948</v>
      </c>
      <c r="K239" s="1"/>
    </row>
    <row r="240" spans="1:11">
      <c r="A240" s="17" t="s">
        <v>131</v>
      </c>
      <c r="B240" s="19" t="s">
        <v>53</v>
      </c>
      <c r="C240" s="19" t="s">
        <v>819</v>
      </c>
      <c r="D240" s="19" t="s">
        <v>820</v>
      </c>
      <c r="E240" s="20" t="s">
        <v>32</v>
      </c>
      <c r="F240" s="19" t="s">
        <v>819</v>
      </c>
      <c r="G240" s="19" t="s">
        <v>821</v>
      </c>
      <c r="H240" s="19" t="s">
        <v>32</v>
      </c>
      <c r="I240">
        <v>556</v>
      </c>
      <c r="J240">
        <v>5483</v>
      </c>
      <c r="K240" s="1"/>
    </row>
    <row r="241" spans="1:11">
      <c r="A241" s="17" t="s">
        <v>131</v>
      </c>
      <c r="B241" s="19" t="s">
        <v>53</v>
      </c>
      <c r="C241" s="19" t="s">
        <v>822</v>
      </c>
      <c r="D241" s="19" t="s">
        <v>823</v>
      </c>
      <c r="E241" s="20" t="s">
        <v>32</v>
      </c>
      <c r="F241" s="19" t="s">
        <v>822</v>
      </c>
      <c r="G241" s="19" t="s">
        <v>824</v>
      </c>
      <c r="H241" s="19" t="s">
        <v>32</v>
      </c>
      <c r="I241">
        <v>75</v>
      </c>
      <c r="J241">
        <v>239</v>
      </c>
      <c r="K241" s="1"/>
    </row>
    <row r="242" spans="1:11">
      <c r="A242" s="17" t="s">
        <v>131</v>
      </c>
      <c r="B242" s="19" t="s">
        <v>53</v>
      </c>
      <c r="C242" s="19" t="s">
        <v>825</v>
      </c>
      <c r="D242" s="19" t="s">
        <v>826</v>
      </c>
      <c r="E242" s="20" t="s">
        <v>32</v>
      </c>
      <c r="F242" s="19" t="s">
        <v>827</v>
      </c>
      <c r="G242" s="19" t="s">
        <v>828</v>
      </c>
      <c r="H242" s="19" t="s">
        <v>32</v>
      </c>
      <c r="I242">
        <v>1289</v>
      </c>
      <c r="J242">
        <v>1685</v>
      </c>
      <c r="K242" s="1"/>
    </row>
    <row r="243" spans="1:11">
      <c r="A243" s="17" t="s">
        <v>131</v>
      </c>
      <c r="B243" s="19" t="s">
        <v>53</v>
      </c>
      <c r="C243" s="19" t="s">
        <v>827</v>
      </c>
      <c r="D243" s="19" t="s">
        <v>829</v>
      </c>
      <c r="E243" s="20" t="s">
        <v>32</v>
      </c>
      <c r="F243" s="19" t="s">
        <v>830</v>
      </c>
      <c r="G243" s="19" t="s">
        <v>831</v>
      </c>
      <c r="H243" s="19" t="s">
        <v>32</v>
      </c>
      <c r="I243">
        <v>14</v>
      </c>
      <c r="J243">
        <v>3</v>
      </c>
      <c r="K243" s="1"/>
    </row>
    <row r="244" spans="1:11">
      <c r="A244" s="17" t="s">
        <v>131</v>
      </c>
      <c r="B244" s="19" t="s">
        <v>53</v>
      </c>
      <c r="C244" s="19" t="s">
        <v>832</v>
      </c>
      <c r="D244" s="19" t="s">
        <v>833</v>
      </c>
      <c r="E244" s="20" t="s">
        <v>32</v>
      </c>
      <c r="F244" s="19" t="s">
        <v>832</v>
      </c>
      <c r="G244" s="19" t="s">
        <v>834</v>
      </c>
      <c r="H244" s="19" t="s">
        <v>32</v>
      </c>
      <c r="I244">
        <v>2394</v>
      </c>
      <c r="J244">
        <v>6139</v>
      </c>
      <c r="K244" s="1"/>
    </row>
    <row r="245" spans="1:11">
      <c r="A245" s="17" t="s">
        <v>131</v>
      </c>
      <c r="B245" s="19" t="s">
        <v>53</v>
      </c>
      <c r="C245" s="19" t="s">
        <v>835</v>
      </c>
      <c r="D245" s="19" t="s">
        <v>836</v>
      </c>
      <c r="E245" s="20" t="s">
        <v>32</v>
      </c>
      <c r="F245" s="19" t="s">
        <v>835</v>
      </c>
      <c r="G245" s="19" t="s">
        <v>837</v>
      </c>
      <c r="H245" s="19" t="s">
        <v>32</v>
      </c>
      <c r="I245">
        <v>1120</v>
      </c>
      <c r="J245">
        <v>0</v>
      </c>
      <c r="K245" s="1"/>
    </row>
    <row r="246" spans="1:11">
      <c r="A246" s="17" t="s">
        <v>131</v>
      </c>
      <c r="B246" s="19" t="s">
        <v>838</v>
      </c>
      <c r="C246" s="19" t="s">
        <v>839</v>
      </c>
      <c r="D246" s="19" t="s">
        <v>840</v>
      </c>
      <c r="E246" s="20" t="s">
        <v>11</v>
      </c>
      <c r="F246" s="19" t="s">
        <v>397</v>
      </c>
      <c r="G246" s="19" t="s">
        <v>398</v>
      </c>
      <c r="H246" s="19" t="s">
        <v>31</v>
      </c>
      <c r="I246">
        <v>1</v>
      </c>
      <c r="J246">
        <v>0</v>
      </c>
      <c r="K246" s="1"/>
    </row>
    <row r="247" spans="1:11">
      <c r="A247" s="17" t="s">
        <v>131</v>
      </c>
      <c r="B247" s="19" t="s">
        <v>838</v>
      </c>
      <c r="C247" s="19" t="s">
        <v>839</v>
      </c>
      <c r="D247" s="19" t="s">
        <v>840</v>
      </c>
      <c r="E247" s="20" t="s">
        <v>32</v>
      </c>
      <c r="F247" s="19" t="s">
        <v>839</v>
      </c>
      <c r="G247" s="19" t="s">
        <v>841</v>
      </c>
      <c r="H247" s="19" t="s">
        <v>32</v>
      </c>
      <c r="I247">
        <v>36225</v>
      </c>
      <c r="J247">
        <v>41</v>
      </c>
      <c r="K247" s="1"/>
    </row>
    <row r="248" spans="1:11">
      <c r="A248" s="17" t="s">
        <v>131</v>
      </c>
      <c r="B248" s="19" t="s">
        <v>838</v>
      </c>
      <c r="C248" s="19" t="s">
        <v>842</v>
      </c>
      <c r="D248" s="19" t="s">
        <v>843</v>
      </c>
      <c r="E248" s="20" t="s">
        <v>32</v>
      </c>
      <c r="F248" s="19" t="s">
        <v>842</v>
      </c>
      <c r="G248" s="19" t="s">
        <v>844</v>
      </c>
      <c r="H248" s="19" t="s">
        <v>32</v>
      </c>
      <c r="I248">
        <v>25953</v>
      </c>
      <c r="J248">
        <v>14</v>
      </c>
      <c r="K248" s="1"/>
    </row>
    <row r="249" spans="1:11">
      <c r="A249" s="17" t="s">
        <v>131</v>
      </c>
      <c r="B249" s="19" t="s">
        <v>838</v>
      </c>
      <c r="C249" s="19" t="s">
        <v>845</v>
      </c>
      <c r="D249" s="19" t="s">
        <v>846</v>
      </c>
      <c r="E249" s="20" t="s">
        <v>32</v>
      </c>
      <c r="F249" s="19" t="s">
        <v>845</v>
      </c>
      <c r="G249" s="19" t="s">
        <v>847</v>
      </c>
      <c r="H249" s="19" t="s">
        <v>32</v>
      </c>
      <c r="I249">
        <v>2929157</v>
      </c>
      <c r="J249">
        <v>7376</v>
      </c>
      <c r="K249" s="1"/>
    </row>
    <row r="250" spans="1:11">
      <c r="A250" s="17" t="s">
        <v>131</v>
      </c>
      <c r="B250" s="19" t="s">
        <v>394</v>
      </c>
      <c r="C250" s="19" t="s">
        <v>395</v>
      </c>
      <c r="D250" s="19" t="s">
        <v>396</v>
      </c>
      <c r="E250" s="20" t="s">
        <v>11</v>
      </c>
      <c r="F250" s="19" t="s">
        <v>397</v>
      </c>
      <c r="G250" s="19" t="s">
        <v>398</v>
      </c>
      <c r="H250" s="19" t="s">
        <v>31</v>
      </c>
      <c r="I250">
        <v>2343</v>
      </c>
      <c r="J250">
        <v>0</v>
      </c>
      <c r="K250" s="1"/>
    </row>
    <row r="251" spans="1:11">
      <c r="A251" s="17" t="s">
        <v>131</v>
      </c>
      <c r="B251" s="19" t="s">
        <v>394</v>
      </c>
      <c r="C251" s="19" t="s">
        <v>395</v>
      </c>
      <c r="D251" s="19" t="s">
        <v>396</v>
      </c>
      <c r="E251" s="20" t="s">
        <v>32</v>
      </c>
      <c r="F251" s="19" t="s">
        <v>395</v>
      </c>
      <c r="G251" s="19" t="s">
        <v>399</v>
      </c>
      <c r="H251" s="19" t="s">
        <v>32</v>
      </c>
      <c r="I251">
        <v>0</v>
      </c>
      <c r="J251">
        <v>47</v>
      </c>
      <c r="K251" s="1"/>
    </row>
    <row r="252" spans="1:11">
      <c r="A252" s="17" t="s">
        <v>131</v>
      </c>
      <c r="B252" s="19" t="s">
        <v>394</v>
      </c>
      <c r="C252" s="19" t="s">
        <v>848</v>
      </c>
      <c r="D252" s="19" t="s">
        <v>400</v>
      </c>
      <c r="E252" s="20" t="s">
        <v>12</v>
      </c>
      <c r="F252" s="19" t="s">
        <v>848</v>
      </c>
      <c r="G252" s="19" t="s">
        <v>401</v>
      </c>
      <c r="H252" s="19" t="s">
        <v>31</v>
      </c>
      <c r="I252">
        <v>361982</v>
      </c>
      <c r="J252">
        <v>2826</v>
      </c>
      <c r="K252" s="1"/>
    </row>
    <row r="253" spans="1:11">
      <c r="A253" s="17" t="s">
        <v>131</v>
      </c>
      <c r="B253" s="19" t="s">
        <v>394</v>
      </c>
      <c r="C253" s="19" t="s">
        <v>402</v>
      </c>
      <c r="D253" s="19" t="s">
        <v>403</v>
      </c>
      <c r="E253" s="20" t="s">
        <v>11</v>
      </c>
      <c r="F253" s="19" t="s">
        <v>397</v>
      </c>
      <c r="G253" s="19" t="s">
        <v>398</v>
      </c>
      <c r="H253" s="19" t="s">
        <v>31</v>
      </c>
      <c r="I253">
        <v>19647</v>
      </c>
      <c r="J253">
        <v>19</v>
      </c>
      <c r="K253" s="1"/>
    </row>
    <row r="254" spans="1:11">
      <c r="A254" s="17" t="s">
        <v>131</v>
      </c>
      <c r="B254" s="19" t="s">
        <v>394</v>
      </c>
      <c r="C254" s="19" t="s">
        <v>402</v>
      </c>
      <c r="D254" s="19" t="s">
        <v>403</v>
      </c>
      <c r="E254" s="20" t="s">
        <v>32</v>
      </c>
      <c r="F254" s="19" t="s">
        <v>402</v>
      </c>
      <c r="G254" s="19" t="s">
        <v>849</v>
      </c>
      <c r="H254" s="19" t="s">
        <v>32</v>
      </c>
      <c r="I254">
        <v>0</v>
      </c>
      <c r="J254">
        <v>1278</v>
      </c>
      <c r="K254" s="1"/>
    </row>
    <row r="255" spans="1:11">
      <c r="A255" s="17" t="s">
        <v>131</v>
      </c>
      <c r="B255" s="19" t="s">
        <v>394</v>
      </c>
      <c r="C255" s="19" t="s">
        <v>404</v>
      </c>
      <c r="D255" s="19" t="s">
        <v>405</v>
      </c>
      <c r="E255" s="20" t="s">
        <v>11</v>
      </c>
      <c r="F255" s="19" t="s">
        <v>397</v>
      </c>
      <c r="G255" s="19" t="s">
        <v>398</v>
      </c>
      <c r="H255" s="19" t="s">
        <v>31</v>
      </c>
      <c r="I255">
        <v>8544</v>
      </c>
      <c r="J255">
        <v>3</v>
      </c>
      <c r="K255" s="1"/>
    </row>
    <row r="256" spans="1:11">
      <c r="A256" s="17" t="s">
        <v>131</v>
      </c>
      <c r="B256" s="19" t="s">
        <v>394</v>
      </c>
      <c r="C256" s="19" t="s">
        <v>404</v>
      </c>
      <c r="D256" s="19" t="s">
        <v>405</v>
      </c>
      <c r="E256" s="20" t="s">
        <v>32</v>
      </c>
      <c r="F256" s="19" t="s">
        <v>404</v>
      </c>
      <c r="G256" s="19" t="s">
        <v>406</v>
      </c>
      <c r="H256" s="19" t="s">
        <v>32</v>
      </c>
      <c r="I256">
        <v>0</v>
      </c>
      <c r="J256">
        <v>839</v>
      </c>
      <c r="K256" s="1"/>
    </row>
    <row r="257" spans="1:11">
      <c r="A257" s="17" t="s">
        <v>131</v>
      </c>
      <c r="B257" s="19" t="s">
        <v>394</v>
      </c>
      <c r="C257" s="19" t="s">
        <v>407</v>
      </c>
      <c r="D257" s="19" t="s">
        <v>408</v>
      </c>
      <c r="E257" s="20" t="s">
        <v>32</v>
      </c>
      <c r="F257" s="19" t="s">
        <v>407</v>
      </c>
      <c r="G257" s="19" t="s">
        <v>409</v>
      </c>
      <c r="H257" s="19" t="s">
        <v>32</v>
      </c>
      <c r="I257">
        <v>0</v>
      </c>
      <c r="J257">
        <v>124</v>
      </c>
      <c r="K257" s="1"/>
    </row>
    <row r="258" spans="1:11">
      <c r="A258" s="17" t="s">
        <v>131</v>
      </c>
      <c r="B258" s="19" t="s">
        <v>394</v>
      </c>
      <c r="C258" s="19" t="s">
        <v>410</v>
      </c>
      <c r="D258" s="19" t="s">
        <v>411</v>
      </c>
      <c r="E258" s="20" t="s">
        <v>32</v>
      </c>
      <c r="F258" s="19" t="s">
        <v>410</v>
      </c>
      <c r="G258" s="19" t="s">
        <v>412</v>
      </c>
      <c r="H258" s="19" t="s">
        <v>32</v>
      </c>
      <c r="I258">
        <v>0</v>
      </c>
      <c r="J258">
        <v>66</v>
      </c>
      <c r="K258" s="1"/>
    </row>
    <row r="259" spans="1:11">
      <c r="A259" s="17" t="s">
        <v>131</v>
      </c>
      <c r="B259" s="19" t="s">
        <v>394</v>
      </c>
      <c r="C259" s="19" t="s">
        <v>413</v>
      </c>
      <c r="D259" s="19" t="s">
        <v>414</v>
      </c>
      <c r="E259" s="20" t="s">
        <v>32</v>
      </c>
      <c r="F259" s="19" t="s">
        <v>413</v>
      </c>
      <c r="G259" s="19" t="s">
        <v>415</v>
      </c>
      <c r="H259" s="19" t="s">
        <v>32</v>
      </c>
      <c r="I259">
        <v>0</v>
      </c>
      <c r="J259">
        <v>656</v>
      </c>
      <c r="K259" s="1"/>
    </row>
    <row r="260" spans="1:11">
      <c r="A260" s="17" t="s">
        <v>131</v>
      </c>
      <c r="B260" s="19" t="s">
        <v>394</v>
      </c>
      <c r="C260" s="19" t="s">
        <v>416</v>
      </c>
      <c r="D260" s="19" t="s">
        <v>417</v>
      </c>
      <c r="E260" s="20" t="s">
        <v>32</v>
      </c>
      <c r="F260" s="19" t="s">
        <v>416</v>
      </c>
      <c r="G260" s="19" t="s">
        <v>418</v>
      </c>
      <c r="H260" s="19" t="s">
        <v>32</v>
      </c>
      <c r="I260">
        <v>0</v>
      </c>
      <c r="J260">
        <v>59</v>
      </c>
      <c r="K260" s="1"/>
    </row>
    <row r="261" spans="1:11">
      <c r="A261" s="17" t="s">
        <v>131</v>
      </c>
      <c r="B261" s="19" t="s">
        <v>394</v>
      </c>
      <c r="C261" s="19" t="s">
        <v>419</v>
      </c>
      <c r="D261" s="19" t="s">
        <v>420</v>
      </c>
      <c r="E261" s="20" t="s">
        <v>32</v>
      </c>
      <c r="F261" s="19" t="s">
        <v>419</v>
      </c>
      <c r="G261" s="19" t="s">
        <v>421</v>
      </c>
      <c r="H261" s="19" t="s">
        <v>32</v>
      </c>
      <c r="I261">
        <v>0</v>
      </c>
      <c r="J261">
        <v>345</v>
      </c>
      <c r="K261" s="1"/>
    </row>
    <row r="262" spans="1:11">
      <c r="A262" s="17" t="s">
        <v>131</v>
      </c>
      <c r="B262" s="19" t="s">
        <v>394</v>
      </c>
      <c r="C262" s="19" t="s">
        <v>850</v>
      </c>
      <c r="D262" s="19" t="s">
        <v>851</v>
      </c>
      <c r="E262" s="20" t="s">
        <v>12</v>
      </c>
      <c r="F262" s="19" t="s">
        <v>850</v>
      </c>
      <c r="G262" s="19" t="s">
        <v>852</v>
      </c>
      <c r="H262" s="19" t="s">
        <v>30</v>
      </c>
      <c r="I262">
        <v>41</v>
      </c>
      <c r="J262">
        <v>0</v>
      </c>
      <c r="K262" s="1"/>
    </row>
    <row r="263" spans="1:11">
      <c r="A263" s="17" t="s">
        <v>131</v>
      </c>
      <c r="B263" s="19" t="s">
        <v>141</v>
      </c>
      <c r="C263" s="19" t="s">
        <v>142</v>
      </c>
      <c r="D263" s="19" t="s">
        <v>143</v>
      </c>
      <c r="E263" s="20" t="s">
        <v>12</v>
      </c>
      <c r="F263" s="19" t="s">
        <v>142</v>
      </c>
      <c r="G263" s="19" t="s">
        <v>144</v>
      </c>
      <c r="H263" s="19" t="s">
        <v>31</v>
      </c>
      <c r="I263">
        <v>62567</v>
      </c>
      <c r="J263">
        <v>60</v>
      </c>
      <c r="K263" s="1"/>
    </row>
    <row r="264" spans="1:11">
      <c r="A264" s="17" t="s">
        <v>131</v>
      </c>
      <c r="B264" s="19" t="s">
        <v>141</v>
      </c>
      <c r="C264" s="19" t="s">
        <v>145</v>
      </c>
      <c r="D264" s="19" t="s">
        <v>146</v>
      </c>
      <c r="E264" s="20" t="s">
        <v>12</v>
      </c>
      <c r="F264" s="19" t="s">
        <v>145</v>
      </c>
      <c r="G264" s="19" t="s">
        <v>147</v>
      </c>
      <c r="H264" s="19" t="s">
        <v>31</v>
      </c>
      <c r="I264">
        <v>346368</v>
      </c>
      <c r="J264">
        <v>420</v>
      </c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K1838" s="1"/>
    </row>
    <row r="1839" spans="1:11">
      <c r="K1839" s="1"/>
    </row>
    <row r="1840" spans="1:11">
      <c r="K1840" s="1"/>
    </row>
  </sheetData>
  <autoFilter ref="A1:J4189" xr:uid="{00000000-0009-0000-0000-000000000000}"/>
  <conditionalFormatting sqref="C1:C1837">
    <cfRule type="duplicateValues" dxfId="0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2" sqref="C2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423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D1" zoomScaleNormal="100" workbookViewId="0">
      <selection activeCell="E4" sqref="E4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Catraca Livre</v>
      </c>
      <c r="C2" t="str">
        <f t="shared" ref="C2:C65" si="2">bd_placement</f>
        <v>alp_ecom_conversao_ecom_catraca-livre_conteudo-veiculo_publieditorial_social_dia-das-maes_all_fixo_no-size_111168</v>
      </c>
      <c r="D2" t="str">
        <f t="shared" ref="D2:D65" si="3">bd_placementID</f>
        <v>245950312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alp_ecom_conversao_ecom_catraca-livre_conteudo-veiculo_publieditorial_social_dia-das-maes_all_fixo_no-size_111168</v>
      </c>
      <c r="G2" t="str">
        <f t="shared" ref="G2:G65" si="5">bd_adid</f>
        <v>442463052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8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2.5000000000000001E-2</v>
      </c>
      <c r="M2" s="4">
        <f t="shared" ref="M2:M34" si="11">IF(E2="Dynamic Click",J2*K2,K2*$I2/1000)</f>
        <v>2.8000000000000001E-2</v>
      </c>
      <c r="N2" s="4">
        <f>IF(E2="Dynamic Click",J2*L2,L2*$I2/1000)</f>
        <v>0.2</v>
      </c>
    </row>
    <row r="3" spans="1:14">
      <c r="A3" t="str">
        <f t="shared" si="0"/>
        <v>alp_ecom</v>
      </c>
      <c r="B3" t="str">
        <f t="shared" si="1"/>
        <v>Catraca Livre</v>
      </c>
      <c r="C3" t="str">
        <f t="shared" si="2"/>
        <v>alp_ecom_conversao_ecom_catraca-livre_conteudo-veiculo_publieditorial_social_dia-das-maes_all_fixo_no-size_111169</v>
      </c>
      <c r="D3" t="str">
        <f t="shared" si="3"/>
        <v>245966624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alp_ecom_conversao_ecom_catraca-livre_conteudo-veiculo_publieditorial_social_dia-das-maes_all_fixo_no-size_111169</v>
      </c>
      <c r="G3" t="str">
        <f t="shared" si="5"/>
        <v>442727782</v>
      </c>
      <c r="H3" t="str">
        <f t="shared" si="6"/>
        <v>Tracking</v>
      </c>
      <c r="I3">
        <f t="shared" si="7"/>
        <v>0</v>
      </c>
      <c r="J3">
        <f t="shared" si="8"/>
        <v>9</v>
      </c>
      <c r="K3" s="4">
        <f t="shared" si="9"/>
        <v>3.5000000000000001E-3</v>
      </c>
      <c r="L3">
        <f t="shared" si="10"/>
        <v>2.5000000000000001E-2</v>
      </c>
      <c r="M3" s="4">
        <f t="shared" si="11"/>
        <v>3.15E-2</v>
      </c>
      <c r="N3" s="4">
        <f t="shared" ref="N3:N34" si="12">IF(E3="Dynamic Click",J3*L3,L3*$I3/1000)</f>
        <v>0.22500000000000001</v>
      </c>
    </row>
    <row r="4" spans="1:14">
      <c r="A4" t="str">
        <f t="shared" si="0"/>
        <v>alp_ecom</v>
      </c>
      <c r="B4" t="str">
        <f t="shared" si="1"/>
        <v>Catraca Livre</v>
      </c>
      <c r="C4" t="str">
        <f t="shared" si="2"/>
        <v>alp_ecom_conversao_ecom_catraca-livre_conteudo-veiculo_publieditorial_social_dia-das-maes_all_fixo_no-size_111170</v>
      </c>
      <c r="D4" t="str">
        <f t="shared" si="3"/>
        <v>245966618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alp_ecom_conversao_ecom_catraca-livre_conteudo-veiculo_publieditorial_social_dia-das-maes_all_fixo_no-size_111170</v>
      </c>
      <c r="G4" t="str">
        <f t="shared" si="5"/>
        <v>442727776</v>
      </c>
      <c r="H4" t="str">
        <f t="shared" si="6"/>
        <v>Tracking</v>
      </c>
      <c r="I4">
        <f t="shared" si="7"/>
        <v>0</v>
      </c>
      <c r="J4">
        <f t="shared" si="8"/>
        <v>4</v>
      </c>
      <c r="K4" s="4">
        <f t="shared" si="9"/>
        <v>3.5000000000000001E-3</v>
      </c>
      <c r="L4">
        <f t="shared" si="10"/>
        <v>2.5000000000000001E-2</v>
      </c>
      <c r="M4" s="4">
        <f t="shared" si="11"/>
        <v>1.4E-2</v>
      </c>
      <c r="N4" s="4">
        <f t="shared" si="12"/>
        <v>0.1</v>
      </c>
    </row>
    <row r="5" spans="1:14">
      <c r="A5" t="str">
        <f t="shared" si="0"/>
        <v>alp_ecom</v>
      </c>
      <c r="B5" t="str">
        <f t="shared" si="1"/>
        <v>Catraca Livre</v>
      </c>
      <c r="C5" t="str">
        <f t="shared" si="2"/>
        <v>alp_ecom_conversao_ecom_catraca-livre_conteudo-veiculo_publieditorial_social_dia-das-maes_all_fixo_no-size_111171</v>
      </c>
      <c r="D5" t="str">
        <f t="shared" si="3"/>
        <v>245966615</v>
      </c>
      <c r="E5" t="str">
        <f>IF(Table1[[#This Row],[Impressions]]&gt;Table1[[#This Row],[Clicks]],"Standard",VLOOKUP(CONCATENATE(bd_adtype,"_",bd_creativetype),tabela,2,FALSE))</f>
        <v>Dynamic Click</v>
      </c>
      <c r="F5" t="str">
        <f t="shared" si="4"/>
        <v>alp_ecom_conversao_ecom_catraca-livre_conteudo-veiculo_publieditorial_social_dia-das-maes_all_fixo_no-size_111171</v>
      </c>
      <c r="G5" t="str">
        <f t="shared" si="5"/>
        <v>442727773</v>
      </c>
      <c r="H5" t="str">
        <f t="shared" si="6"/>
        <v>Tracking</v>
      </c>
      <c r="I5">
        <f t="shared" si="7"/>
        <v>0</v>
      </c>
      <c r="J5">
        <f t="shared" si="8"/>
        <v>3</v>
      </c>
      <c r="K5" s="4">
        <f t="shared" si="9"/>
        <v>3.5000000000000001E-3</v>
      </c>
      <c r="L5">
        <f t="shared" si="10"/>
        <v>2.5000000000000001E-2</v>
      </c>
      <c r="M5" s="4">
        <f t="shared" si="11"/>
        <v>1.0500000000000001E-2</v>
      </c>
      <c r="N5" s="4">
        <f t="shared" si="12"/>
        <v>7.5000000000000011E-2</v>
      </c>
    </row>
    <row r="6" spans="1:14">
      <c r="A6" t="str">
        <f t="shared" si="0"/>
        <v>alp_ecom</v>
      </c>
      <c r="B6" t="str">
        <f t="shared" si="1"/>
        <v>Catraca Livre</v>
      </c>
      <c r="C6" t="str">
        <f t="shared" si="2"/>
        <v>alp_ecom_conversao_ecom_catraca-livre_conteudo-veiculo_publieditorial_social_dia-das-maes_all_fixo_no-size_111172</v>
      </c>
      <c r="D6" t="str">
        <f t="shared" si="3"/>
        <v>245966612</v>
      </c>
      <c r="E6" t="str">
        <f>IF(Table1[[#This Row],[Impressions]]&gt;Table1[[#This Row],[Clicks]],"Standard",VLOOKUP(CONCATENATE(bd_adtype,"_",bd_creativetype),tabela,2,FALSE))</f>
        <v>Dynamic Click</v>
      </c>
      <c r="F6" t="str">
        <f t="shared" si="4"/>
        <v>alp_ecom_conversao_ecom_catraca-livre_conteudo-veiculo_publieditorial_social_dia-das-maes_all_fixo_no-size_111172</v>
      </c>
      <c r="G6" t="str">
        <f t="shared" si="5"/>
        <v>442727770</v>
      </c>
      <c r="H6" t="str">
        <f t="shared" si="6"/>
        <v>Tracking</v>
      </c>
      <c r="I6">
        <f t="shared" si="7"/>
        <v>0</v>
      </c>
      <c r="J6">
        <f t="shared" si="8"/>
        <v>3</v>
      </c>
      <c r="K6" s="4">
        <f t="shared" si="9"/>
        <v>3.5000000000000001E-3</v>
      </c>
      <c r="L6">
        <f t="shared" si="10"/>
        <v>2.5000000000000001E-2</v>
      </c>
      <c r="M6" s="4">
        <f t="shared" si="11"/>
        <v>1.0500000000000001E-2</v>
      </c>
      <c r="N6" s="4">
        <f t="shared" si="12"/>
        <v>7.5000000000000011E-2</v>
      </c>
    </row>
    <row r="7" spans="1:14">
      <c r="A7" t="str">
        <f t="shared" si="0"/>
        <v>alp_ecom</v>
      </c>
      <c r="B7" t="str">
        <f t="shared" si="1"/>
        <v>Catraca Livre</v>
      </c>
      <c r="C7" t="str">
        <f t="shared" si="2"/>
        <v>alp_ecom_conversao_ecom_catraca-livre_conteudo-veiculo_publieditorial_social_dia-das-maes_all_fixo_no-size_111173</v>
      </c>
      <c r="D7" t="str">
        <f t="shared" si="3"/>
        <v>245966609</v>
      </c>
      <c r="E7" t="str">
        <f>IF(Table1[[#This Row],[Impressions]]&gt;Table1[[#This Row],[Clicks]],"Standard",VLOOKUP(CONCATENATE(bd_adtype,"_",bd_creativetype),tabela,2,FALSE))</f>
        <v>Dynamic Click</v>
      </c>
      <c r="F7" t="str">
        <f t="shared" si="4"/>
        <v>alp_ecom_conversao_ecom_catraca-livre_conteudo-veiculo_publieditorial_social_dia-das-maes_all_fixo_no-size_111173</v>
      </c>
      <c r="G7" t="str">
        <f t="shared" si="5"/>
        <v>442727767</v>
      </c>
      <c r="H7" t="str">
        <f t="shared" si="6"/>
        <v>Tracking</v>
      </c>
      <c r="I7">
        <f t="shared" si="7"/>
        <v>0</v>
      </c>
      <c r="J7">
        <f t="shared" si="8"/>
        <v>5</v>
      </c>
      <c r="K7" s="4">
        <f t="shared" si="9"/>
        <v>3.5000000000000001E-3</v>
      </c>
      <c r="L7">
        <f t="shared" si="10"/>
        <v>2.5000000000000001E-2</v>
      </c>
      <c r="M7" s="4">
        <f t="shared" si="11"/>
        <v>1.7500000000000002E-2</v>
      </c>
      <c r="N7" s="4">
        <f t="shared" si="12"/>
        <v>0.125</v>
      </c>
    </row>
    <row r="8" spans="1:14">
      <c r="A8" t="str">
        <f t="shared" si="0"/>
        <v>alp_ecom</v>
      </c>
      <c r="B8" t="str">
        <f t="shared" si="1"/>
        <v>Catraca Livre</v>
      </c>
      <c r="C8" t="str">
        <f t="shared" si="2"/>
        <v>alp_ecom_conversao_ecom_catraca-livre_conteudo-veiculo_publieditorial_social_dia-das-maes_all_fixo_no-size_111174</v>
      </c>
      <c r="D8" t="str">
        <f t="shared" si="3"/>
        <v>245966606</v>
      </c>
      <c r="E8" t="str">
        <f>IF(Table1[[#This Row],[Impressions]]&gt;Table1[[#This Row],[Clicks]],"Standard",VLOOKUP(CONCATENATE(bd_adtype,"_",bd_creativetype),tabela,2,FALSE))</f>
        <v>Dynamic Click</v>
      </c>
      <c r="F8" t="str">
        <f t="shared" si="4"/>
        <v>alp_ecom_conversao_ecom_catraca-livre_conteudo-veiculo_publieditorial_social_dia-das-maes_all_fixo_no-size_111174</v>
      </c>
      <c r="G8" t="str">
        <f t="shared" si="5"/>
        <v>442727764</v>
      </c>
      <c r="H8" t="str">
        <f t="shared" si="6"/>
        <v>Tracking</v>
      </c>
      <c r="I8">
        <f t="shared" si="7"/>
        <v>0</v>
      </c>
      <c r="J8">
        <f t="shared" si="8"/>
        <v>4</v>
      </c>
      <c r="K8" s="4">
        <f t="shared" si="9"/>
        <v>3.5000000000000001E-3</v>
      </c>
      <c r="L8">
        <f t="shared" si="10"/>
        <v>2.5000000000000001E-2</v>
      </c>
      <c r="M8" s="4">
        <f t="shared" si="11"/>
        <v>1.4E-2</v>
      </c>
      <c r="N8" s="4">
        <f t="shared" si="12"/>
        <v>0.1</v>
      </c>
    </row>
    <row r="9" spans="1:14">
      <c r="A9" t="str">
        <f t="shared" si="0"/>
        <v>alp_ecom</v>
      </c>
      <c r="B9" t="str">
        <f t="shared" si="1"/>
        <v>Catraca Livre</v>
      </c>
      <c r="C9" t="str">
        <f t="shared" si="2"/>
        <v>alp_ecom_conversao_ecom_catraca-livre_conteudo-veiculo_publieditorial_social_dia-das-maes_all_fixo_no-size_111175</v>
      </c>
      <c r="D9" t="str">
        <f t="shared" si="3"/>
        <v>245966603</v>
      </c>
      <c r="E9" t="str">
        <f>IF(Table1[[#This Row],[Impressions]]&gt;Table1[[#This Row],[Clicks]],"Standard",VLOOKUP(CONCATENATE(bd_adtype,"_",bd_creativetype),tabela,2,FALSE))</f>
        <v>Dynamic Click</v>
      </c>
      <c r="F9" t="str">
        <f t="shared" si="4"/>
        <v>alp_ecom_conversao_ecom_catraca-livre_conteudo-veiculo_publieditorial_social_dia-das-maes_all_fixo_no-size_111175</v>
      </c>
      <c r="G9" t="str">
        <f t="shared" si="5"/>
        <v>442727761</v>
      </c>
      <c r="H9" t="str">
        <f t="shared" si="6"/>
        <v>Tracking</v>
      </c>
      <c r="I9">
        <f t="shared" si="7"/>
        <v>0</v>
      </c>
      <c r="J9">
        <f t="shared" si="8"/>
        <v>2</v>
      </c>
      <c r="K9" s="4">
        <f t="shared" si="9"/>
        <v>3.5000000000000001E-3</v>
      </c>
      <c r="L9">
        <f t="shared" si="10"/>
        <v>2.5000000000000001E-2</v>
      </c>
      <c r="M9" s="4">
        <f t="shared" si="11"/>
        <v>7.0000000000000001E-3</v>
      </c>
      <c r="N9" s="4">
        <f t="shared" si="12"/>
        <v>0.05</v>
      </c>
    </row>
    <row r="10" spans="1:14">
      <c r="A10" t="str">
        <f t="shared" si="0"/>
        <v>alp_ecom</v>
      </c>
      <c r="B10" t="str">
        <f t="shared" si="1"/>
        <v>Catraca Livre</v>
      </c>
      <c r="C10" t="str">
        <f t="shared" si="2"/>
        <v>alp_ecom_conversao_ecom_catraca-livre_conteudo-veiculo_publieditorial_social_dia-das-maes_all_fixo_no-size_111176</v>
      </c>
      <c r="D10" t="str">
        <f t="shared" si="3"/>
        <v>245966600</v>
      </c>
      <c r="E10" t="str">
        <f>IF(Table1[[#This Row],[Impressions]]&gt;Table1[[#This Row],[Clicks]],"Standard",VLOOKUP(CONCATENATE(bd_adtype,"_",bd_creativetype),tabela,2,FALSE))</f>
        <v>Dynamic Click</v>
      </c>
      <c r="F10" t="str">
        <f t="shared" si="4"/>
        <v>alp_ecom_conversao_ecom_catraca-livre_conteudo-veiculo_publieditorial_social_dia-das-maes_all_fixo_no-size_111176</v>
      </c>
      <c r="G10" t="str">
        <f t="shared" si="5"/>
        <v>442727758</v>
      </c>
      <c r="H10" t="str">
        <f t="shared" si="6"/>
        <v>Tracking</v>
      </c>
      <c r="I10">
        <f t="shared" si="7"/>
        <v>0</v>
      </c>
      <c r="J10">
        <f t="shared" si="8"/>
        <v>3</v>
      </c>
      <c r="K10" s="4">
        <f t="shared" si="9"/>
        <v>3.5000000000000001E-3</v>
      </c>
      <c r="L10">
        <f t="shared" si="10"/>
        <v>2.5000000000000001E-2</v>
      </c>
      <c r="M10" s="4">
        <f t="shared" si="11"/>
        <v>1.0500000000000001E-2</v>
      </c>
      <c r="N10" s="4">
        <f t="shared" si="12"/>
        <v>7.5000000000000011E-2</v>
      </c>
    </row>
    <row r="11" spans="1:14">
      <c r="A11" t="str">
        <f t="shared" si="0"/>
        <v>alp_ecom</v>
      </c>
      <c r="B11" t="str">
        <f t="shared" si="1"/>
        <v>Catraca Livre</v>
      </c>
      <c r="C11" t="str">
        <f t="shared" si="2"/>
        <v>alp_ecom_conversao_ecom_catraca-livre_conteudo-veiculo_publieditorial_social_dia-das-maes_all_fixo_no-size_111177</v>
      </c>
      <c r="D11" t="str">
        <f t="shared" si="3"/>
        <v>245966621</v>
      </c>
      <c r="E11" t="str">
        <f>IF(Table1[[#This Row],[Impressions]]&gt;Table1[[#This Row],[Clicks]],"Standard",VLOOKUP(CONCATENATE(bd_adtype,"_",bd_creativetype),tabela,2,FALSE))</f>
        <v>Dynamic Click</v>
      </c>
      <c r="F11" t="str">
        <f t="shared" si="4"/>
        <v>alp_ecom_conversao_ecom_catraca-livre_conteudo-veiculo_publieditorial_social_dia-das-maes_all_fixo_no-size_111177</v>
      </c>
      <c r="G11" t="str">
        <f t="shared" si="5"/>
        <v>442727779</v>
      </c>
      <c r="H11" t="str">
        <f t="shared" si="6"/>
        <v>Tracking</v>
      </c>
      <c r="I11">
        <f t="shared" si="7"/>
        <v>0</v>
      </c>
      <c r="J11">
        <f t="shared" si="8"/>
        <v>4</v>
      </c>
      <c r="K11" s="4">
        <f t="shared" si="9"/>
        <v>3.5000000000000001E-3</v>
      </c>
      <c r="L11">
        <f t="shared" si="10"/>
        <v>2.5000000000000001E-2</v>
      </c>
      <c r="M11" s="4">
        <f t="shared" si="11"/>
        <v>1.4E-2</v>
      </c>
      <c r="N11" s="4">
        <f>IF(E11="Dynamic Click",J11*L11,L11*$I11/1000)</f>
        <v>0.1</v>
      </c>
    </row>
    <row r="12" spans="1:14">
      <c r="A12" t="str">
        <f t="shared" si="0"/>
        <v>alp_ecom</v>
      </c>
      <c r="B12" t="str">
        <f t="shared" si="1"/>
        <v>Instagram</v>
      </c>
      <c r="C12" t="str">
        <f t="shared" si="2"/>
        <v>alp_ecom_conversao_ecom_instagram_social_stories_social_dia-das-maes_all_cpm_de-5s-ate-10s_111157</v>
      </c>
      <c r="D12" t="str">
        <f t="shared" si="3"/>
        <v>245414191</v>
      </c>
      <c r="E12" t="str">
        <f>IF(Table1[[#This Row],[Impressions]]&gt;Table1[[#This Row],[Clicks]],"Standard",VLOOKUP(CONCATENATE(bd_adtype,"_",bd_creativetype),tabela,2,FALSE))</f>
        <v>Dynamic Click</v>
      </c>
      <c r="F12" t="str">
        <f t="shared" si="4"/>
        <v>alp_ecom_conversao_ecom_instagram_social_stories_social_dia-das-maes_all_cpm_de-5s-ate-10s_111157</v>
      </c>
      <c r="G12" t="str">
        <f t="shared" si="5"/>
        <v>442093346</v>
      </c>
      <c r="H12" t="str">
        <f t="shared" si="6"/>
        <v>Tracking</v>
      </c>
      <c r="I12">
        <f t="shared" si="7"/>
        <v>0</v>
      </c>
      <c r="J12">
        <f t="shared" si="8"/>
        <v>810</v>
      </c>
      <c r="K12" s="4">
        <f t="shared" si="9"/>
        <v>3.5000000000000001E-3</v>
      </c>
      <c r="L12">
        <f t="shared" si="10"/>
        <v>2.5000000000000001E-2</v>
      </c>
      <c r="M12" s="4">
        <f t="shared" si="11"/>
        <v>2.835</v>
      </c>
      <c r="N12" s="4">
        <f t="shared" si="12"/>
        <v>20.25</v>
      </c>
    </row>
    <row r="13" spans="1:14">
      <c r="A13" t="str">
        <f t="shared" si="0"/>
        <v>alp_ecom</v>
      </c>
      <c r="B13" t="str">
        <f t="shared" si="1"/>
        <v>Instagram</v>
      </c>
      <c r="C13" t="str">
        <f t="shared" si="2"/>
        <v>alp_ecom_conversao_ecom_instagram_social_stories_social_dia-das-maes_all_cpm_de-5s-ate-10s_111158</v>
      </c>
      <c r="D13" t="str">
        <f t="shared" si="3"/>
        <v>245444752</v>
      </c>
      <c r="E13" t="str">
        <f>IF(Table1[[#This Row],[Impressions]]&gt;Table1[[#This Row],[Clicks]],"Standard",VLOOKUP(CONCATENATE(bd_adtype,"_",bd_creativetype),tabela,2,FALSE))</f>
        <v>Dynamic Click</v>
      </c>
      <c r="F13" t="str">
        <f t="shared" si="4"/>
        <v>alp_ecom_conversao_ecom_instagram_social_stories_social_dia-das-maes_all_cpm_de-5s-ate-10s_111158</v>
      </c>
      <c r="G13" t="str">
        <f t="shared" si="5"/>
        <v>442146295</v>
      </c>
      <c r="H13" t="str">
        <f t="shared" si="6"/>
        <v>Tracking</v>
      </c>
      <c r="I13">
        <f t="shared" si="7"/>
        <v>0</v>
      </c>
      <c r="J13">
        <f t="shared" si="8"/>
        <v>4808</v>
      </c>
      <c r="K13" s="4">
        <f t="shared" si="9"/>
        <v>3.5000000000000001E-3</v>
      </c>
      <c r="L13">
        <f t="shared" si="10"/>
        <v>2.5000000000000001E-2</v>
      </c>
      <c r="M13" s="4">
        <f t="shared" si="11"/>
        <v>16.827999999999999</v>
      </c>
      <c r="N13" s="4">
        <f t="shared" si="12"/>
        <v>120.2</v>
      </c>
    </row>
    <row r="14" spans="1:14">
      <c r="A14" t="str">
        <f t="shared" si="0"/>
        <v>alp_ecom</v>
      </c>
      <c r="B14" t="str">
        <f t="shared" si="1"/>
        <v>Instagram</v>
      </c>
      <c r="C14" t="str">
        <f t="shared" si="2"/>
        <v>alp_ecom_conversao_ecom_instagram_social_stories_social_dia-das-maes_all_fixo_de-5s-ate-10s_111193</v>
      </c>
      <c r="D14" t="str">
        <f t="shared" si="3"/>
        <v>246394282</v>
      </c>
      <c r="E14" t="str">
        <f>IF(Table1[[#This Row],[Impressions]]&gt;Table1[[#This Row],[Clicks]],"Standard",VLOOKUP(CONCATENATE(bd_adtype,"_",bd_creativetype),tabela,2,FALSE))</f>
        <v>Dynamic Click</v>
      </c>
      <c r="F14" t="str">
        <f t="shared" si="4"/>
        <v>alp_ecom_conversao_ecom_instagram_social_stories_social_dia-das-maes_all_fixo_de-5s-ate-10s_111193</v>
      </c>
      <c r="G14" t="str">
        <f t="shared" si="5"/>
        <v>442938316</v>
      </c>
      <c r="H14" t="str">
        <f t="shared" si="6"/>
        <v>Tracking</v>
      </c>
      <c r="I14">
        <f t="shared" si="7"/>
        <v>0</v>
      </c>
      <c r="J14">
        <f t="shared" si="8"/>
        <v>416</v>
      </c>
      <c r="K14" s="4">
        <f t="shared" si="9"/>
        <v>3.5000000000000001E-3</v>
      </c>
      <c r="L14">
        <f t="shared" si="10"/>
        <v>2.5000000000000001E-2</v>
      </c>
      <c r="M14" s="4">
        <f t="shared" si="11"/>
        <v>1.456</v>
      </c>
      <c r="N14" s="4">
        <f t="shared" si="12"/>
        <v>10.4</v>
      </c>
    </row>
    <row r="15" spans="1:14">
      <c r="A15" t="str">
        <f t="shared" si="0"/>
        <v>alp_ecom</v>
      </c>
      <c r="B15" t="str">
        <f t="shared" si="1"/>
        <v>Instagram</v>
      </c>
      <c r="C15" t="str">
        <f t="shared" si="2"/>
        <v>alp_ecom_conversao_ecom_instagram_social_stories_social_slim-pets_interesse-pet_cpm_de-5s-ate-10s_111146</v>
      </c>
      <c r="D15" t="str">
        <f t="shared" si="3"/>
        <v>245065884</v>
      </c>
      <c r="E15" t="str">
        <f>IF(Table1[[#This Row],[Impressions]]&gt;Table1[[#This Row],[Clicks]],"Standard",VLOOKUP(CONCATENATE(bd_adtype,"_",bd_creativetype),tabela,2,FALSE))</f>
        <v>Dynamic Click</v>
      </c>
      <c r="F15" t="str">
        <f t="shared" si="4"/>
        <v>alp_ecom_conversao_ecom_instagram_social_stories_social_slim-pets_interesse-pet_cpm_de-5s-ate-10s_111146</v>
      </c>
      <c r="G15" t="str">
        <f t="shared" si="5"/>
        <v>441548403</v>
      </c>
      <c r="H15" t="str">
        <f t="shared" si="6"/>
        <v>Tracking</v>
      </c>
      <c r="I15">
        <f t="shared" si="7"/>
        <v>0</v>
      </c>
      <c r="J15">
        <f t="shared" si="8"/>
        <v>677</v>
      </c>
      <c r="K15" s="4">
        <f t="shared" si="9"/>
        <v>3.5000000000000001E-3</v>
      </c>
      <c r="L15">
        <f t="shared" si="10"/>
        <v>2.5000000000000001E-2</v>
      </c>
      <c r="M15" s="4">
        <f t="shared" si="11"/>
        <v>2.3694999999999999</v>
      </c>
      <c r="N15" s="4">
        <f t="shared" si="12"/>
        <v>16.925000000000001</v>
      </c>
    </row>
    <row r="16" spans="1:14">
      <c r="A16" t="str">
        <f t="shared" si="0"/>
        <v>alp_ecom</v>
      </c>
      <c r="B16" t="str">
        <f t="shared" si="1"/>
        <v>Oath BR</v>
      </c>
      <c r="C16" t="str">
        <f t="shared" si="2"/>
        <v>alp_ecom_conversao_ecom_oath_native_native-ads_ros_dia-das-maes_all_cpc_no-size_111148</v>
      </c>
      <c r="D16" t="str">
        <f t="shared" si="3"/>
        <v>245433304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alp_ecom_conversao_ecom_oath_native_native-ads_ros_dia-das-maes_all_cpc_no-size_111148</v>
      </c>
      <c r="G16" t="str">
        <f t="shared" si="5"/>
        <v>442019208</v>
      </c>
      <c r="H16" t="str">
        <f t="shared" si="6"/>
        <v>Tracking</v>
      </c>
      <c r="I16">
        <f t="shared" si="7"/>
        <v>3952153</v>
      </c>
      <c r="J16">
        <f t="shared" si="8"/>
        <v>43071</v>
      </c>
      <c r="K16" s="4">
        <f t="shared" si="9"/>
        <v>3.8199999999999998E-2</v>
      </c>
      <c r="L16">
        <f t="shared" si="10"/>
        <v>0.09</v>
      </c>
      <c r="M16" s="4">
        <f t="shared" si="11"/>
        <v>150.97224460000001</v>
      </c>
      <c r="N16" s="4">
        <f t="shared" si="12"/>
        <v>355.69376999999997</v>
      </c>
    </row>
    <row r="17" spans="1:14">
      <c r="A17" t="str">
        <f t="shared" si="0"/>
        <v>alp_ecom</v>
      </c>
      <c r="B17" t="str">
        <f t="shared" si="1"/>
        <v>OutBrain - Br</v>
      </c>
      <c r="C17" t="str">
        <f t="shared" si="2"/>
        <v>alp_ecom_conversao_ecom_outbrain_native_native-ads_ros_dia-das-maes_all_cpc_no-size_111149</v>
      </c>
      <c r="D17" t="str">
        <f t="shared" si="3"/>
        <v>245434138</v>
      </c>
      <c r="E17" t="str">
        <f>IF(Table1[[#This Row],[Impressions]]&gt;Table1[[#This Row],[Clicks]],"Standard",VLOOKUP(CONCATENATE(bd_adtype,"_",bd_creativetype),tabela,2,FALSE))</f>
        <v>Dynamic Click</v>
      </c>
      <c r="F17" t="str">
        <f t="shared" si="4"/>
        <v>alp_ecom_conversao_ecom_outbrain_native_native-ads_ros_dia-das-maes_all_cpc_no-size_111149</v>
      </c>
      <c r="G17" t="str">
        <f t="shared" si="5"/>
        <v>442124315</v>
      </c>
      <c r="H17" t="str">
        <f t="shared" si="6"/>
        <v>Tracking</v>
      </c>
      <c r="I17">
        <f t="shared" si="7"/>
        <v>0</v>
      </c>
      <c r="J17">
        <f t="shared" si="8"/>
        <v>15490</v>
      </c>
      <c r="K17" s="4">
        <f t="shared" si="9"/>
        <v>3.5000000000000001E-3</v>
      </c>
      <c r="L17">
        <f t="shared" si="10"/>
        <v>2.5000000000000001E-2</v>
      </c>
      <c r="M17" s="4">
        <f t="shared" si="11"/>
        <v>54.215000000000003</v>
      </c>
      <c r="N17" s="4">
        <f t="shared" si="12"/>
        <v>387.25</v>
      </c>
    </row>
    <row r="18" spans="1:14">
      <c r="A18" t="str">
        <f t="shared" si="0"/>
        <v>alp_ecom</v>
      </c>
      <c r="B18" t="str">
        <f t="shared" si="1"/>
        <v>Steal The Look</v>
      </c>
      <c r="C18" t="str">
        <f t="shared" si="2"/>
        <v>alp_ecom_conversao_ecom_steal-the-look_conteudo-veiculo_publieditorial_home_dia-das-maes_all_fixo_no-size_111179</v>
      </c>
      <c r="D18" t="str">
        <f t="shared" si="3"/>
        <v>246161914</v>
      </c>
      <c r="E18" t="str">
        <f>IF(Table1[[#This Row],[Impressions]]&gt;Table1[[#This Row],[Clicks]],"Standard",VLOOKUP(CONCATENATE(bd_adtype,"_",bd_creativetype),tabela,2,FALSE))</f>
        <v>Standard</v>
      </c>
      <c r="F18" t="str">
        <f t="shared" si="4"/>
        <v>alp_ecom_conversao_ecom_steal-the-look_conteudo-veiculo_publieditorial_home_dia-das-maes_all_fixo_no-size_111179</v>
      </c>
      <c r="G18" t="str">
        <f t="shared" si="5"/>
        <v>442638264</v>
      </c>
      <c r="H18" t="str">
        <f t="shared" si="6"/>
        <v>Tracking</v>
      </c>
      <c r="I18">
        <f t="shared" si="7"/>
        <v>3533</v>
      </c>
      <c r="J18">
        <f t="shared" si="8"/>
        <v>74</v>
      </c>
      <c r="K18" s="4">
        <f t="shared" si="9"/>
        <v>3.8199999999999998E-2</v>
      </c>
      <c r="L18">
        <f t="shared" si="10"/>
        <v>0.09</v>
      </c>
      <c r="M18" s="4">
        <f t="shared" si="11"/>
        <v>0.13496059999999999</v>
      </c>
      <c r="N18" s="4">
        <f t="shared" si="12"/>
        <v>0.31796999999999997</v>
      </c>
    </row>
    <row r="19" spans="1:14">
      <c r="A19" t="str">
        <f t="shared" si="0"/>
        <v>alp_ecom</v>
      </c>
      <c r="B19" t="str">
        <f t="shared" si="1"/>
        <v>Steal The Look</v>
      </c>
      <c r="C19" t="str">
        <f t="shared" si="2"/>
        <v>alp_ecom_conversao_ecom_steal-the-look_conteudo-veiculo_publieditorial_home_dia-das-maes_all_fixo_no-size_111180</v>
      </c>
      <c r="D19" t="str">
        <f t="shared" si="3"/>
        <v>246161911</v>
      </c>
      <c r="E19" t="str">
        <f>IF(Table1[[#This Row],[Impressions]]&gt;Table1[[#This Row],[Clicks]],"Standard",VLOOKUP(CONCATENATE(bd_adtype,"_",bd_creativetype),tabela,2,FALSE))</f>
        <v>Standard</v>
      </c>
      <c r="F19" t="str">
        <f t="shared" si="4"/>
        <v>alp_ecom_conversao_ecom_steal-the-look_conteudo-veiculo_publieditorial_home_dia-das-maes_all_fixo_no-size_111180</v>
      </c>
      <c r="G19" t="str">
        <f t="shared" si="5"/>
        <v>442727507</v>
      </c>
      <c r="H19" t="str">
        <f t="shared" si="6"/>
        <v>Tracking</v>
      </c>
      <c r="I19">
        <f t="shared" si="7"/>
        <v>3517</v>
      </c>
      <c r="J19">
        <f t="shared" si="8"/>
        <v>15</v>
      </c>
      <c r="K19" s="4">
        <f t="shared" si="9"/>
        <v>3.8199999999999998E-2</v>
      </c>
      <c r="L19">
        <f t="shared" si="10"/>
        <v>0.09</v>
      </c>
      <c r="M19" s="4">
        <f t="shared" si="11"/>
        <v>0.13434940000000001</v>
      </c>
      <c r="N19" s="4">
        <f t="shared" si="12"/>
        <v>0.31652999999999998</v>
      </c>
    </row>
    <row r="20" spans="1:14">
      <c r="A20" t="str">
        <f t="shared" si="0"/>
        <v>alp_ecom</v>
      </c>
      <c r="B20" t="str">
        <f t="shared" si="1"/>
        <v>Steal The Look</v>
      </c>
      <c r="C20" t="str">
        <f t="shared" si="2"/>
        <v>alp_ecom_conversao_ecom_steal-the-look_conteudo-veiculo_publieditorial_home_dia-das-maes_all_fixo_no-size_111181</v>
      </c>
      <c r="D20" t="str">
        <f t="shared" si="3"/>
        <v>246161908</v>
      </c>
      <c r="E20" t="str">
        <f>IF(Table1[[#This Row],[Impressions]]&gt;Table1[[#This Row],[Clicks]],"Standard",VLOOKUP(CONCATENATE(bd_adtype,"_",bd_creativetype),tabela,2,FALSE))</f>
        <v>Dynamic Click</v>
      </c>
      <c r="F20" t="str">
        <f t="shared" si="4"/>
        <v>alp_ecom_conversao_ecom_steal-the-look_conteudo-veiculo_publieditorial_home_dia-das-maes_all_fixo_no-size_111181</v>
      </c>
      <c r="G20" t="str">
        <f t="shared" si="5"/>
        <v>442749076</v>
      </c>
      <c r="H20" t="str">
        <f t="shared" si="6"/>
        <v>Tracking</v>
      </c>
      <c r="I20">
        <f t="shared" si="7"/>
        <v>0</v>
      </c>
      <c r="J20">
        <f t="shared" si="8"/>
        <v>40</v>
      </c>
      <c r="K20" s="4">
        <f t="shared" si="9"/>
        <v>3.5000000000000001E-3</v>
      </c>
      <c r="L20">
        <f t="shared" si="10"/>
        <v>2.5000000000000001E-2</v>
      </c>
      <c r="M20" s="4">
        <f t="shared" si="11"/>
        <v>0.14000000000000001</v>
      </c>
      <c r="N20" s="4">
        <f t="shared" si="12"/>
        <v>1</v>
      </c>
    </row>
    <row r="21" spans="1:14">
      <c r="A21" t="str">
        <f t="shared" si="0"/>
        <v>alp_ecom</v>
      </c>
      <c r="B21" t="str">
        <f t="shared" si="1"/>
        <v>Steal The Look</v>
      </c>
      <c r="C21" t="str">
        <f t="shared" si="2"/>
        <v>alp_ecom_conversao_ecom_steal-the-look_conteudo-veiculo_publieditorial_home_dia-das-maes_all_fixo_no-size_111182</v>
      </c>
      <c r="D21" t="str">
        <f t="shared" si="3"/>
        <v>246161905</v>
      </c>
      <c r="E21" t="str">
        <f>IF(Table1[[#This Row],[Impressions]]&gt;Table1[[#This Row],[Clicks]],"Standard",VLOOKUP(CONCATENATE(bd_adtype,"_",bd_creativetype),tabela,2,FALSE))</f>
        <v>Standard</v>
      </c>
      <c r="F21" t="str">
        <f t="shared" si="4"/>
        <v>alp_ecom_conversao_ecom_steal-the-look_conteudo-veiculo_publieditorial_home_dia-das-maes_all_fixo_no-size_111182</v>
      </c>
      <c r="G21" t="str">
        <f t="shared" si="5"/>
        <v>442637265</v>
      </c>
      <c r="H21" t="str">
        <f t="shared" si="6"/>
        <v>Tracking</v>
      </c>
      <c r="I21">
        <f t="shared" si="7"/>
        <v>3526</v>
      </c>
      <c r="J21">
        <f t="shared" si="8"/>
        <v>15</v>
      </c>
      <c r="K21" s="4">
        <f t="shared" si="9"/>
        <v>3.8199999999999998E-2</v>
      </c>
      <c r="L21">
        <f t="shared" si="10"/>
        <v>0.09</v>
      </c>
      <c r="M21" s="4">
        <f t="shared" si="11"/>
        <v>0.13469319999999999</v>
      </c>
      <c r="N21" s="4">
        <f t="shared" si="12"/>
        <v>0.31733999999999996</v>
      </c>
    </row>
    <row r="22" spans="1:14">
      <c r="A22" t="str">
        <f t="shared" si="0"/>
        <v>alp_ecom</v>
      </c>
      <c r="B22" t="str">
        <f t="shared" si="1"/>
        <v>Steal The Look</v>
      </c>
      <c r="C22" t="str">
        <f t="shared" si="2"/>
        <v>alp_ecom_conversao_ecom_steal-the-look_conteudo-veiculo_publieditorial_home_dia-das-maes_all_fixo_no-size_111183</v>
      </c>
      <c r="D22" t="str">
        <f t="shared" si="3"/>
        <v>246161902</v>
      </c>
      <c r="E22" t="str">
        <f>IF(Table1[[#This Row],[Impressions]]&gt;Table1[[#This Row],[Clicks]],"Standard",VLOOKUP(CONCATENATE(bd_adtype,"_",bd_creativetype),tabela,2,FALSE))</f>
        <v>Standard</v>
      </c>
      <c r="F22" t="str">
        <f t="shared" si="4"/>
        <v>alp_ecom_conversao_ecom_steal-the-look_conteudo-veiculo_publieditorial_home_dia-das-maes_all_fixo_no-size_111183</v>
      </c>
      <c r="G22" t="str">
        <f t="shared" si="5"/>
        <v>442637262</v>
      </c>
      <c r="H22" t="str">
        <f t="shared" si="6"/>
        <v>Tracking</v>
      </c>
      <c r="I22">
        <f t="shared" si="7"/>
        <v>3515</v>
      </c>
      <c r="J22">
        <f t="shared" si="8"/>
        <v>13</v>
      </c>
      <c r="K22" s="4">
        <f t="shared" si="9"/>
        <v>3.8199999999999998E-2</v>
      </c>
      <c r="L22">
        <f t="shared" si="10"/>
        <v>0.09</v>
      </c>
      <c r="M22" s="4">
        <f t="shared" si="11"/>
        <v>0.134273</v>
      </c>
      <c r="N22" s="4">
        <f t="shared" si="12"/>
        <v>0.31634999999999996</v>
      </c>
    </row>
    <row r="23" spans="1:14">
      <c r="A23" t="str">
        <f t="shared" si="0"/>
        <v>alp_ecom</v>
      </c>
      <c r="B23" t="str">
        <f t="shared" si="1"/>
        <v>Steal The Look</v>
      </c>
      <c r="C23" t="str">
        <f t="shared" si="2"/>
        <v>alp_ecom_conversao_ecom_steal-the-look_conteudo-veiculo_publieditorial_home_dia-das-maes_all_fixo_no-size_111184</v>
      </c>
      <c r="D23" t="str">
        <f t="shared" si="3"/>
        <v>246161899</v>
      </c>
      <c r="E23" t="str">
        <f>IF(Table1[[#This Row],[Impressions]]&gt;Table1[[#This Row],[Clicks]],"Standard",VLOOKUP(CONCATENATE(bd_adtype,"_",bd_creativetype),tabela,2,FALSE))</f>
        <v>Standard</v>
      </c>
      <c r="F23" t="str">
        <f t="shared" si="4"/>
        <v>alp_ecom_conversao_ecom_steal-the-look_conteudo-veiculo_publieditorial_home_dia-das-maes_all_fixo_no-size_111184</v>
      </c>
      <c r="G23" t="str">
        <f t="shared" si="5"/>
        <v>442749079</v>
      </c>
      <c r="H23" t="str">
        <f t="shared" si="6"/>
        <v>Tracking</v>
      </c>
      <c r="I23">
        <f t="shared" si="7"/>
        <v>3517</v>
      </c>
      <c r="J23">
        <f t="shared" si="8"/>
        <v>14</v>
      </c>
      <c r="K23" s="4">
        <f t="shared" si="9"/>
        <v>3.8199999999999998E-2</v>
      </c>
      <c r="L23">
        <f t="shared" si="10"/>
        <v>0.09</v>
      </c>
      <c r="M23" s="4">
        <f t="shared" si="11"/>
        <v>0.13434940000000001</v>
      </c>
      <c r="N23" s="4">
        <f t="shared" si="12"/>
        <v>0.31652999999999998</v>
      </c>
    </row>
    <row r="24" spans="1:14">
      <c r="A24" t="str">
        <f t="shared" si="0"/>
        <v>alp_ecom</v>
      </c>
      <c r="B24" t="str">
        <f t="shared" si="1"/>
        <v>Steal The Look</v>
      </c>
      <c r="C24" t="str">
        <f t="shared" si="2"/>
        <v>alp_ecom_conversao_ecom_steal-the-look_conteudo-veiculo_publieditorial_home_dia-das-maes_all_fixo_no-size_111185</v>
      </c>
      <c r="D24" t="str">
        <f t="shared" si="3"/>
        <v>246161896</v>
      </c>
      <c r="E24" t="str">
        <f>IF(Table1[[#This Row],[Impressions]]&gt;Table1[[#This Row],[Clicks]],"Standard",VLOOKUP(CONCATENATE(bd_adtype,"_",bd_creativetype),tabela,2,FALSE))</f>
        <v>Standard</v>
      </c>
      <c r="F24" t="str">
        <f t="shared" si="4"/>
        <v>alp_ecom_conversao_ecom_steal-the-look_conteudo-veiculo_publieditorial_home_dia-das-maes_all_fixo_no-size_111185</v>
      </c>
      <c r="G24" t="str">
        <f t="shared" si="5"/>
        <v>442637259</v>
      </c>
      <c r="H24" t="str">
        <f t="shared" si="6"/>
        <v>Tracking</v>
      </c>
      <c r="I24">
        <f t="shared" si="7"/>
        <v>3539</v>
      </c>
      <c r="J24">
        <f t="shared" si="8"/>
        <v>86</v>
      </c>
      <c r="K24" s="4">
        <f t="shared" si="9"/>
        <v>3.8199999999999998E-2</v>
      </c>
      <c r="L24">
        <f t="shared" si="10"/>
        <v>0.09</v>
      </c>
      <c r="M24" s="4">
        <f t="shared" si="11"/>
        <v>0.1351898</v>
      </c>
      <c r="N24" s="4">
        <f t="shared" si="12"/>
        <v>0.31851000000000002</v>
      </c>
    </row>
    <row r="25" spans="1:14">
      <c r="A25" t="str">
        <f t="shared" si="0"/>
        <v>alp_ecom</v>
      </c>
      <c r="B25" t="str">
        <f t="shared" si="1"/>
        <v>Steal The Look</v>
      </c>
      <c r="C25" t="str">
        <f t="shared" si="2"/>
        <v>alp_ecom_conversao_ecom_steal-the-look_conteudo-veiculo_publieditorial_home_dia-das-maes_all_fixo_no-size_111186</v>
      </c>
      <c r="D25" t="str">
        <f t="shared" si="3"/>
        <v>246161893</v>
      </c>
      <c r="E25" t="str">
        <f>IF(Table1[[#This Row],[Impressions]]&gt;Table1[[#This Row],[Clicks]],"Standard",VLOOKUP(CONCATENATE(bd_adtype,"_",bd_creativetype),tabela,2,FALSE))</f>
        <v>Standard</v>
      </c>
      <c r="F25" t="str">
        <f t="shared" si="4"/>
        <v>alp_ecom_conversao_ecom_steal-the-look_conteudo-veiculo_publieditorial_home_dia-das-maes_all_fixo_no-size_111186</v>
      </c>
      <c r="G25" t="str">
        <f t="shared" si="5"/>
        <v>442638279</v>
      </c>
      <c r="H25" t="str">
        <f t="shared" si="6"/>
        <v>Tracking</v>
      </c>
      <c r="I25">
        <f t="shared" si="7"/>
        <v>3528</v>
      </c>
      <c r="J25">
        <f t="shared" si="8"/>
        <v>8</v>
      </c>
      <c r="K25" s="4">
        <f t="shared" si="9"/>
        <v>3.8199999999999998E-2</v>
      </c>
      <c r="L25">
        <f t="shared" si="10"/>
        <v>0.09</v>
      </c>
      <c r="M25" s="4">
        <f t="shared" si="11"/>
        <v>0.13476959999999999</v>
      </c>
      <c r="N25" s="4">
        <f t="shared" si="12"/>
        <v>0.31751999999999997</v>
      </c>
    </row>
    <row r="26" spans="1:14">
      <c r="A26" t="str">
        <f t="shared" si="0"/>
        <v>alp_ecom</v>
      </c>
      <c r="B26" t="str">
        <f t="shared" si="1"/>
        <v>Steal The Look</v>
      </c>
      <c r="C26" t="str">
        <f t="shared" si="2"/>
        <v>alp_ecom_conversao_ecom_steal-the-look_conteudo-veiculo_publieditorial_home_dia-das-maes_all_fixo_no-size_111187</v>
      </c>
      <c r="D26" t="str">
        <f t="shared" si="3"/>
        <v>246161890</v>
      </c>
      <c r="E26" t="str">
        <f>IF(Table1[[#This Row],[Impressions]]&gt;Table1[[#This Row],[Clicks]],"Standard",VLOOKUP(CONCATENATE(bd_adtype,"_",bd_creativetype),tabela,2,FALSE))</f>
        <v>Standard</v>
      </c>
      <c r="F26" t="str">
        <f t="shared" si="4"/>
        <v>alp_ecom_conversao_ecom_steal-the-look_conteudo-veiculo_publieditorial_home_dia-das-maes_all_fixo_no-size_111187</v>
      </c>
      <c r="G26" t="str">
        <f t="shared" si="5"/>
        <v>442638282</v>
      </c>
      <c r="H26" t="str">
        <f t="shared" si="6"/>
        <v>Tracking</v>
      </c>
      <c r="I26">
        <f t="shared" si="7"/>
        <v>3526</v>
      </c>
      <c r="J26">
        <f t="shared" si="8"/>
        <v>5</v>
      </c>
      <c r="K26" s="4">
        <f t="shared" si="9"/>
        <v>3.8199999999999998E-2</v>
      </c>
      <c r="L26">
        <f t="shared" si="10"/>
        <v>0.09</v>
      </c>
      <c r="M26" s="4">
        <f t="shared" si="11"/>
        <v>0.13469319999999999</v>
      </c>
      <c r="N26" s="4">
        <f t="shared" si="12"/>
        <v>0.31733999999999996</v>
      </c>
    </row>
    <row r="27" spans="1:14">
      <c r="A27" t="str">
        <f t="shared" si="0"/>
        <v>alp_ecom</v>
      </c>
      <c r="B27" t="str">
        <f t="shared" si="1"/>
        <v>Steal The Look</v>
      </c>
      <c r="C27" t="str">
        <f t="shared" si="2"/>
        <v>alp_ecom_conversao_ecom_steal-the-look_conteudo-veiculo_publieditorial_home_dia-das-maes_all_fixo_no-size_111188</v>
      </c>
      <c r="D27" t="str">
        <f t="shared" si="3"/>
        <v>246161887</v>
      </c>
      <c r="E27" t="str">
        <f>IF(Table1[[#This Row],[Impressions]]&gt;Table1[[#This Row],[Clicks]],"Standard",VLOOKUP(CONCATENATE(bd_adtype,"_",bd_creativetype),tabela,2,FALSE))</f>
        <v>Standard</v>
      </c>
      <c r="F27" t="str">
        <f t="shared" si="4"/>
        <v>alp_ecom_conversao_ecom_steal-the-look_conteudo-veiculo_publieditorial_home_dia-das-maes_all_fixo_no-size_111188</v>
      </c>
      <c r="G27" t="str">
        <f t="shared" si="5"/>
        <v>442728605</v>
      </c>
      <c r="H27" t="str">
        <f t="shared" si="6"/>
        <v>Tracking</v>
      </c>
      <c r="I27">
        <f t="shared" si="7"/>
        <v>3525</v>
      </c>
      <c r="J27">
        <f t="shared" si="8"/>
        <v>21</v>
      </c>
      <c r="K27" s="4">
        <f t="shared" si="9"/>
        <v>3.8199999999999998E-2</v>
      </c>
      <c r="L27">
        <f t="shared" si="10"/>
        <v>0.09</v>
      </c>
      <c r="M27" s="4">
        <f t="shared" si="11"/>
        <v>0.134655</v>
      </c>
      <c r="N27" s="4">
        <f t="shared" si="12"/>
        <v>0.31724999999999998</v>
      </c>
    </row>
    <row r="28" spans="1:14">
      <c r="A28" t="str">
        <f t="shared" si="0"/>
        <v>alp_ecom</v>
      </c>
      <c r="B28" t="str">
        <f t="shared" si="1"/>
        <v>Steal The Look</v>
      </c>
      <c r="C28" t="str">
        <f t="shared" si="2"/>
        <v>alp_ecom_conversao_ecom_steal-the-look_conteudo-veiculo_publieditorial_home_dia-das-maes_all_fixo_no-size_111189</v>
      </c>
      <c r="D28" t="str">
        <f t="shared" si="3"/>
        <v>246161884</v>
      </c>
      <c r="E28" t="str">
        <f>IF(Table1[[#This Row],[Impressions]]&gt;Table1[[#This Row],[Clicks]],"Standard",VLOOKUP(CONCATENATE(bd_adtype,"_",bd_creativetype),tabela,2,FALSE))</f>
        <v>Standard</v>
      </c>
      <c r="F28" t="str">
        <f t="shared" si="4"/>
        <v>alp_ecom_conversao_ecom_steal-the-look_conteudo-veiculo_publieditorial_home_dia-das-maes_all_fixo_no-size_111189</v>
      </c>
      <c r="G28" t="str">
        <f t="shared" si="5"/>
        <v>442727276</v>
      </c>
      <c r="H28" t="str">
        <f t="shared" si="6"/>
        <v>Tracking</v>
      </c>
      <c r="I28">
        <f t="shared" si="7"/>
        <v>3524</v>
      </c>
      <c r="J28">
        <f t="shared" si="8"/>
        <v>15</v>
      </c>
      <c r="K28" s="4">
        <f t="shared" si="9"/>
        <v>3.8199999999999998E-2</v>
      </c>
      <c r="L28">
        <f t="shared" si="10"/>
        <v>0.09</v>
      </c>
      <c r="M28" s="4">
        <f t="shared" si="11"/>
        <v>0.13461679999999998</v>
      </c>
      <c r="N28" s="4">
        <f t="shared" si="12"/>
        <v>0.31715999999999994</v>
      </c>
    </row>
    <row r="29" spans="1:14">
      <c r="A29" t="str">
        <f t="shared" si="0"/>
        <v>alp_ecom</v>
      </c>
      <c r="B29" t="str">
        <f t="shared" si="1"/>
        <v>Steal The Look</v>
      </c>
      <c r="C29" t="str">
        <f t="shared" si="2"/>
        <v>alp_ecom_conversao_ecom_steal-the-look_conteudo-veiculo_publieditorial_home_dia-das-maes_all_fixo_no-size_111190</v>
      </c>
      <c r="D29" t="str">
        <f t="shared" si="3"/>
        <v>246161881</v>
      </c>
      <c r="E29" t="str">
        <f>IF(Table1[[#This Row],[Impressions]]&gt;Table1[[#This Row],[Clicks]],"Standard",VLOOKUP(CONCATENATE(bd_adtype,"_",bd_creativetype),tabela,2,FALSE))</f>
        <v>Standard</v>
      </c>
      <c r="F29" t="str">
        <f t="shared" si="4"/>
        <v>alp_ecom_conversao_ecom_steal-the-look_conteudo-veiculo_publieditorial_home_dia-das-maes_all_fixo_no-size_111190</v>
      </c>
      <c r="G29" t="str">
        <f t="shared" si="5"/>
        <v>442637256</v>
      </c>
      <c r="H29" t="str">
        <f t="shared" si="6"/>
        <v>Tracking</v>
      </c>
      <c r="I29">
        <f t="shared" si="7"/>
        <v>3494</v>
      </c>
      <c r="J29">
        <f t="shared" si="8"/>
        <v>18</v>
      </c>
      <c r="K29" s="4">
        <f t="shared" si="9"/>
        <v>3.8199999999999998E-2</v>
      </c>
      <c r="L29">
        <f t="shared" si="10"/>
        <v>0.09</v>
      </c>
      <c r="M29" s="4">
        <f t="shared" si="11"/>
        <v>0.1334708</v>
      </c>
      <c r="N29" s="4">
        <f t="shared" si="12"/>
        <v>0.31445999999999996</v>
      </c>
    </row>
    <row r="30" spans="1:14">
      <c r="A30" t="str">
        <f t="shared" si="0"/>
        <v>alp_ecom</v>
      </c>
      <c r="B30" t="str">
        <f t="shared" si="1"/>
        <v>Steal The Look</v>
      </c>
      <c r="C30" t="str">
        <f t="shared" si="2"/>
        <v>alp_ecom_conversao_ecom_steal-the-look_conteudo-veiculo_publieditorial_home_dia-das-maes_all_fixo_no-size_111191</v>
      </c>
      <c r="D30" t="str">
        <f t="shared" si="3"/>
        <v>246161878</v>
      </c>
      <c r="E30" t="str">
        <f>IF(Table1[[#This Row],[Impressions]]&gt;Table1[[#This Row],[Clicks]],"Standard",VLOOKUP(CONCATENATE(bd_adtype,"_",bd_creativetype),tabela,2,FALSE))</f>
        <v>Standard</v>
      </c>
      <c r="F30" t="str">
        <f t="shared" si="4"/>
        <v>alp_ecom_conversao_ecom_steal-the-look_conteudo-veiculo_publieditorial_home_dia-das-maes_all_fixo_no-size_111191</v>
      </c>
      <c r="G30" t="str">
        <f t="shared" si="5"/>
        <v>442637253</v>
      </c>
      <c r="H30" t="str">
        <f t="shared" si="6"/>
        <v>Tracking</v>
      </c>
      <c r="I30">
        <f t="shared" si="7"/>
        <v>3497</v>
      </c>
      <c r="J30">
        <f t="shared" si="8"/>
        <v>16</v>
      </c>
      <c r="K30" s="4">
        <f t="shared" si="9"/>
        <v>3.8199999999999998E-2</v>
      </c>
      <c r="L30">
        <f t="shared" si="10"/>
        <v>0.09</v>
      </c>
      <c r="M30" s="4">
        <f t="shared" si="11"/>
        <v>0.13358539999999999</v>
      </c>
      <c r="N30" s="4">
        <f t="shared" si="12"/>
        <v>0.31472999999999995</v>
      </c>
    </row>
    <row r="31" spans="1:14">
      <c r="A31" t="str">
        <f t="shared" si="0"/>
        <v>alp_ecom</v>
      </c>
      <c r="B31" t="str">
        <f t="shared" si="1"/>
        <v>Steal The Look</v>
      </c>
      <c r="C31" t="str">
        <f t="shared" si="2"/>
        <v>alp_ecom_conversao_ecom_steal-the-look_conteudo-veiculo_publieditorial_home_dia-das-maes_all_fixo_no-size_111192</v>
      </c>
      <c r="D31" t="str">
        <f t="shared" si="3"/>
        <v>246161875</v>
      </c>
      <c r="E31" t="str">
        <f>IF(Table1[[#This Row],[Impressions]]&gt;Table1[[#This Row],[Clicks]],"Standard",VLOOKUP(CONCATENATE(bd_adtype,"_",bd_creativetype),tabela,2,FALSE))</f>
        <v>Standard</v>
      </c>
      <c r="F31" t="str">
        <f t="shared" si="4"/>
        <v>alp_ecom_conversao_ecom_steal-the-look_conteudo-veiculo_publieditorial_home_dia-das-maes_all_fixo_no-size_111192</v>
      </c>
      <c r="G31" t="str">
        <f t="shared" si="5"/>
        <v>442728956</v>
      </c>
      <c r="H31" t="str">
        <f t="shared" si="6"/>
        <v>Tracking</v>
      </c>
      <c r="I31">
        <f t="shared" si="7"/>
        <v>3496</v>
      </c>
      <c r="J31">
        <f t="shared" si="8"/>
        <v>25</v>
      </c>
      <c r="K31" s="4">
        <f t="shared" si="9"/>
        <v>3.8199999999999998E-2</v>
      </c>
      <c r="L31">
        <f t="shared" si="10"/>
        <v>0.09</v>
      </c>
      <c r="M31" s="4">
        <f t="shared" si="11"/>
        <v>0.1335472</v>
      </c>
      <c r="N31" s="4">
        <f t="shared" si="12"/>
        <v>0.31463999999999998</v>
      </c>
    </row>
    <row r="32" spans="1:14">
      <c r="A32" t="str">
        <f t="shared" si="0"/>
        <v>alp_ecom</v>
      </c>
      <c r="B32" t="str">
        <f t="shared" si="1"/>
        <v>Steal The Look</v>
      </c>
      <c r="C32" t="str">
        <f t="shared" si="2"/>
        <v>alp_ecom_conversao_ecom_steal-the-look_display_webdoor_home_dia-das-maes_all_cpm_600x390_111159</v>
      </c>
      <c r="D32" t="str">
        <f t="shared" si="3"/>
        <v>245330990</v>
      </c>
      <c r="E32" t="str">
        <f>IF(Table1[[#This Row],[Impressions]]&gt;Table1[[#This Row],[Clicks]],"Standard",VLOOKUP(CONCATENATE(bd_adtype,"_",bd_creativetype),tabela,2,FALSE))</f>
        <v>Standard</v>
      </c>
      <c r="F32" t="str">
        <f t="shared" si="4"/>
        <v>alp_ecom_conversao_ecom_steal-the-look_display_webdoor_home_dia-das-maes_all_cpm_600x390_111159</v>
      </c>
      <c r="G32" t="str">
        <f t="shared" si="5"/>
        <v>442147087</v>
      </c>
      <c r="H32" t="str">
        <f t="shared" si="6"/>
        <v>Tracking</v>
      </c>
      <c r="I32">
        <f t="shared" si="7"/>
        <v>11590</v>
      </c>
      <c r="J32">
        <f t="shared" si="8"/>
        <v>7</v>
      </c>
      <c r="K32" s="4">
        <f t="shared" si="9"/>
        <v>3.8199999999999998E-2</v>
      </c>
      <c r="L32">
        <f t="shared" si="10"/>
        <v>0.09</v>
      </c>
      <c r="M32" s="4">
        <f t="shared" si="11"/>
        <v>0.44273800000000002</v>
      </c>
      <c r="N32" s="4">
        <f t="shared" si="12"/>
        <v>1.0430999999999999</v>
      </c>
    </row>
    <row r="33" spans="1:14">
      <c r="A33" t="str">
        <f t="shared" si="0"/>
        <v>alp_ecom</v>
      </c>
      <c r="B33" t="str">
        <f t="shared" si="1"/>
        <v>Steal The Look</v>
      </c>
      <c r="C33" t="str">
        <f t="shared" si="2"/>
        <v>alp_ecom_conversao_ecom_steal-the-look_social_stories_social_dia-das-maes_all_fixo_de-5s-ate-10s_111193</v>
      </c>
      <c r="D33" t="str">
        <f t="shared" si="3"/>
        <v>246575226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alp_ecom_conversao_ecom_steal-the-look_social_stories_social_dia-das-maes_all_fixo_de-5s-ate-10s_111193</v>
      </c>
      <c r="G33" t="str">
        <f t="shared" si="5"/>
        <v>442830480</v>
      </c>
      <c r="H33" t="str">
        <f t="shared" si="6"/>
        <v>Tracking</v>
      </c>
      <c r="I33">
        <f t="shared" si="7"/>
        <v>3</v>
      </c>
      <c r="J33">
        <f t="shared" si="8"/>
        <v>5</v>
      </c>
      <c r="K33" s="4">
        <f t="shared" si="9"/>
        <v>3.5000000000000001E-3</v>
      </c>
      <c r="L33">
        <f t="shared" si="10"/>
        <v>2.5000000000000001E-2</v>
      </c>
      <c r="M33" s="4">
        <f t="shared" si="11"/>
        <v>1.7500000000000002E-2</v>
      </c>
      <c r="N33" s="4">
        <f t="shared" si="12"/>
        <v>0.125</v>
      </c>
    </row>
    <row r="34" spans="1:14">
      <c r="A34" t="str">
        <f t="shared" si="0"/>
        <v>alp_ecom</v>
      </c>
      <c r="B34" t="str">
        <f t="shared" si="1"/>
        <v>Steal The Look 1</v>
      </c>
      <c r="C34" t="str">
        <f t="shared" si="2"/>
        <v>alp_ecom_conversao_ecom_steal-the-look_conteudo-veiculo_publieditorial_home_dia-das-maes_all_fixo_no-size_111178</v>
      </c>
      <c r="D34" t="str">
        <f t="shared" si="3"/>
        <v>246118867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alp_ecom_conversao_ecom_steal-the-look_conteudo-veiculo_publieditorial_home_dia-das-maes_all_fixo_no-size_111178</v>
      </c>
      <c r="G34" t="str">
        <f t="shared" si="5"/>
        <v>442734241</v>
      </c>
      <c r="H34" t="str">
        <f t="shared" si="6"/>
        <v>Tracking</v>
      </c>
      <c r="I34">
        <f t="shared" si="7"/>
        <v>3</v>
      </c>
      <c r="J34">
        <f t="shared" si="8"/>
        <v>19</v>
      </c>
      <c r="K34" s="4">
        <f t="shared" si="9"/>
        <v>3.5000000000000001E-3</v>
      </c>
      <c r="L34">
        <f t="shared" si="10"/>
        <v>2.5000000000000001E-2</v>
      </c>
      <c r="M34" s="4">
        <f t="shared" si="11"/>
        <v>6.6500000000000004E-2</v>
      </c>
      <c r="N34" s="4">
        <f t="shared" si="12"/>
        <v>0.47500000000000003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alp_ecom_conversao_ecom_criteo_display_half-page_rmkt_liquida-feira_rmk-criteo_cpc_300x600_111198</v>
      </c>
      <c r="D35" t="str">
        <f t="shared" si="3"/>
        <v>247089749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alp_ecom_conversao_ecom_criteo_display_half-page_rmkt_liquida-feira_rmk-criteo_cpc_300x600_111198</v>
      </c>
      <c r="G35" t="str">
        <f t="shared" si="5"/>
        <v>443680141</v>
      </c>
      <c r="H35" t="str">
        <f t="shared" si="6"/>
        <v>Tracking</v>
      </c>
      <c r="I35">
        <f t="shared" si="7"/>
        <v>0</v>
      </c>
      <c r="J35">
        <f t="shared" si="8"/>
        <v>17</v>
      </c>
      <c r="K35" s="4">
        <f t="shared" si="9"/>
        <v>3.5000000000000001E-3</v>
      </c>
      <c r="L35">
        <f t="shared" si="10"/>
        <v>2.5000000000000001E-2</v>
      </c>
      <c r="M35" s="4">
        <f t="shared" ref="M35:M98" si="13">IF(E35="Dynamic Click",J35*K35,K35*$I35/1000)</f>
        <v>5.9500000000000004E-2</v>
      </c>
      <c r="N35" s="4">
        <f t="shared" ref="N35:N98" si="14">IF(E35="Dynamic Click",J35*L35,L35*$I35/1000)</f>
        <v>0.42500000000000004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alp_ecom_conversao_ecom_criteo_display_retangulo_rmkt_liquida-feira_rmk-criteo_cpc_300x250_111197</v>
      </c>
      <c r="D36" t="str">
        <f t="shared" si="3"/>
        <v>247089755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alp_ecom_conversao_ecom_criteo_display_retangulo_rmkt_liquida-feira_rmk-criteo_cpc_300x250_111197</v>
      </c>
      <c r="G36" t="str">
        <f t="shared" si="5"/>
        <v>443680147</v>
      </c>
      <c r="H36" t="str">
        <f t="shared" si="6"/>
        <v>Tracking</v>
      </c>
      <c r="I36">
        <f t="shared" si="7"/>
        <v>0</v>
      </c>
      <c r="J36">
        <f t="shared" si="8"/>
        <v>1215</v>
      </c>
      <c r="K36" s="4">
        <f t="shared" si="9"/>
        <v>3.5000000000000001E-3</v>
      </c>
      <c r="L36">
        <f t="shared" si="10"/>
        <v>2.5000000000000001E-2</v>
      </c>
      <c r="M36" s="4">
        <f t="shared" si="13"/>
        <v>4.2525000000000004</v>
      </c>
      <c r="N36" s="4">
        <f t="shared" si="14"/>
        <v>30.375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alp_ecom_conversao_ecom_criteo_display_superbanner_rmkt_liquida-feira_rmk-criteo_cpc_728x90_111199</v>
      </c>
      <c r="D37" t="str">
        <f t="shared" si="3"/>
        <v>247089743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alp_ecom_conversao_ecom_criteo_display_superbanner_rmkt_liquida-feira_rmk-criteo_cpc_728x90_111199</v>
      </c>
      <c r="G37" t="str">
        <f t="shared" si="5"/>
        <v>443680135</v>
      </c>
      <c r="H37" t="str">
        <f t="shared" si="6"/>
        <v>Tracking</v>
      </c>
      <c r="I37">
        <f t="shared" si="7"/>
        <v>0</v>
      </c>
      <c r="J37">
        <f t="shared" si="8"/>
        <v>4</v>
      </c>
      <c r="K37" s="4">
        <f t="shared" si="9"/>
        <v>3.5000000000000001E-3</v>
      </c>
      <c r="L37">
        <f t="shared" si="10"/>
        <v>2.5000000000000001E-2</v>
      </c>
      <c r="M37" s="4">
        <f t="shared" si="13"/>
        <v>1.4E-2</v>
      </c>
      <c r="N37" s="4">
        <f t="shared" si="14"/>
        <v>0.1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alp_ecom_conversao_ecom_facebook_social_carrossel_social_dia-das-maes_all_cpm_1080x1080_111160</v>
      </c>
      <c r="D38" t="str">
        <f t="shared" si="3"/>
        <v>245709507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alp_ecom_conversao_ecom_facebook_social_carrossel_social_dia-das-maes_all_cpm_1080x1080_111160</v>
      </c>
      <c r="G38" t="str">
        <f t="shared" si="5"/>
        <v>442078347</v>
      </c>
      <c r="H38" t="str">
        <f t="shared" si="6"/>
        <v>Tracking</v>
      </c>
      <c r="I38">
        <f t="shared" si="7"/>
        <v>0</v>
      </c>
      <c r="J38">
        <f t="shared" si="8"/>
        <v>12881</v>
      </c>
      <c r="K38" s="4">
        <f t="shared" si="9"/>
        <v>3.5000000000000001E-3</v>
      </c>
      <c r="L38">
        <f t="shared" si="10"/>
        <v>2.5000000000000001E-2</v>
      </c>
      <c r="M38" s="4">
        <f t="shared" si="13"/>
        <v>45.083500000000001</v>
      </c>
      <c r="N38" s="4">
        <f t="shared" si="14"/>
        <v>322.02500000000003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alp_ecom_conversao_ecom_facebook_social_carrossel_social_dia-das-maes_curte-havaianas_cpm_1080x1080_111160</v>
      </c>
      <c r="D39" t="str">
        <f t="shared" si="3"/>
        <v>246090857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alp_ecom_conversao_ecom_facebook_social_carrossel_social_dia-das-maes_curte-havaianas_cpm_1080x1080_111160</v>
      </c>
      <c r="G39" t="str">
        <f t="shared" si="5"/>
        <v>442719930</v>
      </c>
      <c r="H39" t="str">
        <f t="shared" si="6"/>
        <v>Tracking</v>
      </c>
      <c r="I39">
        <f t="shared" si="7"/>
        <v>0</v>
      </c>
      <c r="J39">
        <f t="shared" si="8"/>
        <v>562</v>
      </c>
      <c r="K39" s="4">
        <f t="shared" si="9"/>
        <v>3.5000000000000001E-3</v>
      </c>
      <c r="L39">
        <f t="shared" si="10"/>
        <v>2.5000000000000001E-2</v>
      </c>
      <c r="M39" s="4">
        <f t="shared" si="13"/>
        <v>1.9670000000000001</v>
      </c>
      <c r="N39" s="4">
        <f t="shared" si="14"/>
        <v>14.05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alp_ecom_conversao_ecom_facebook_social_carrossel_social_dia-das-maes_look-1-desk_cpm_1080x1080_111160</v>
      </c>
      <c r="D40" t="str">
        <f t="shared" si="3"/>
        <v>246090854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alp_ecom_conversao_ecom_facebook_social_carrossel_social_dia-das-maes_look-1-desk_cpm_1080x1080_111160</v>
      </c>
      <c r="G40" t="str">
        <f t="shared" si="5"/>
        <v>442719927</v>
      </c>
      <c r="H40" t="str">
        <f t="shared" si="6"/>
        <v>Tracking</v>
      </c>
      <c r="I40">
        <f t="shared" si="7"/>
        <v>0</v>
      </c>
      <c r="J40">
        <f t="shared" si="8"/>
        <v>3</v>
      </c>
      <c r="K40" s="4">
        <f t="shared" si="9"/>
        <v>3.5000000000000001E-3</v>
      </c>
      <c r="L40">
        <f t="shared" si="10"/>
        <v>2.5000000000000001E-2</v>
      </c>
      <c r="M40" s="4">
        <f t="shared" si="13"/>
        <v>1.0500000000000001E-2</v>
      </c>
      <c r="N40" s="4">
        <f t="shared" si="14"/>
        <v>7.5000000000000011E-2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alp_ecom_conversao_ecom_facebook_social_carrossel_social_dia-das-maes_look-1-mobile_cpm_1080x1080_111160</v>
      </c>
      <c r="D41" t="str">
        <f t="shared" si="3"/>
        <v>246090851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alp_ecom_conversao_ecom_facebook_social_carrossel_social_dia-das-maes_look-1-mobile_cpm_1080x1080_111160</v>
      </c>
      <c r="G41" t="str">
        <f t="shared" si="5"/>
        <v>442719924</v>
      </c>
      <c r="H41" t="str">
        <f t="shared" si="6"/>
        <v>Tracking</v>
      </c>
      <c r="I41">
        <f t="shared" si="7"/>
        <v>0</v>
      </c>
      <c r="J41">
        <f t="shared" si="8"/>
        <v>58</v>
      </c>
      <c r="K41" s="4">
        <f t="shared" si="9"/>
        <v>3.5000000000000001E-3</v>
      </c>
      <c r="L41">
        <f t="shared" si="10"/>
        <v>2.5000000000000001E-2</v>
      </c>
      <c r="M41" s="4">
        <f t="shared" si="13"/>
        <v>0.20300000000000001</v>
      </c>
      <c r="N41" s="4">
        <f t="shared" si="14"/>
        <v>1.4500000000000002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alp_ecom_conversao_ecom_facebook_social_carrossel_social_dia-das-maes_look-2-desk_cpm_1080x1080_111160</v>
      </c>
      <c r="D42" t="str">
        <f t="shared" si="3"/>
        <v>246090848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alp_ecom_conversao_ecom_facebook_social_carrossel_social_dia-das-maes_look-2-desk_cpm_1080x1080_111160</v>
      </c>
      <c r="G42" t="str">
        <f t="shared" si="5"/>
        <v>442719921</v>
      </c>
      <c r="H42" t="str">
        <f t="shared" si="6"/>
        <v>Tracking</v>
      </c>
      <c r="I42">
        <f t="shared" si="7"/>
        <v>0</v>
      </c>
      <c r="J42">
        <f t="shared" si="8"/>
        <v>3</v>
      </c>
      <c r="K42" s="4">
        <f t="shared" si="9"/>
        <v>3.5000000000000001E-3</v>
      </c>
      <c r="L42">
        <f t="shared" si="10"/>
        <v>2.5000000000000001E-2</v>
      </c>
      <c r="M42" s="4">
        <f t="shared" si="13"/>
        <v>1.0500000000000001E-2</v>
      </c>
      <c r="N42" s="4">
        <f t="shared" si="14"/>
        <v>7.5000000000000011E-2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alp_ecom_conversao_ecom_facebook_social_carrossel_social_dia-das-maes_look-2-mobile_cpm_1080x1080_111160</v>
      </c>
      <c r="D43" t="str">
        <f t="shared" si="3"/>
        <v>246090845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alp_ecom_conversao_ecom_facebook_social_carrossel_social_dia-das-maes_look-2-mobile_cpm_1080x1080_111160</v>
      </c>
      <c r="G43" t="str">
        <f t="shared" si="5"/>
        <v>442719918</v>
      </c>
      <c r="H43" t="str">
        <f t="shared" si="6"/>
        <v>Tracking</v>
      </c>
      <c r="I43">
        <f t="shared" si="7"/>
        <v>0</v>
      </c>
      <c r="J43">
        <f t="shared" si="8"/>
        <v>5</v>
      </c>
      <c r="K43" s="4">
        <f t="shared" si="9"/>
        <v>3.5000000000000001E-3</v>
      </c>
      <c r="L43">
        <f t="shared" si="10"/>
        <v>2.5000000000000001E-2</v>
      </c>
      <c r="M43" s="4">
        <f t="shared" si="13"/>
        <v>1.7500000000000002E-2</v>
      </c>
      <c r="N43" s="4">
        <f t="shared" si="14"/>
        <v>0.125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alp_ecom_conversao_ecom_facebook_social_carrossel_social_dia-das-maes_rmk-30-mobile_cpm_1080x1080_111160</v>
      </c>
      <c r="D44" t="str">
        <f t="shared" si="3"/>
        <v>246090839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alp_ecom_conversao_ecom_facebook_social_carrossel_social_dia-das-maes_rmk-30-mobile_cpm_1080x1080_111160</v>
      </c>
      <c r="G44" t="str">
        <f t="shared" si="5"/>
        <v>442719912</v>
      </c>
      <c r="H44" t="str">
        <f t="shared" si="6"/>
        <v>Tracking</v>
      </c>
      <c r="I44">
        <f t="shared" si="7"/>
        <v>0</v>
      </c>
      <c r="J44">
        <f t="shared" si="8"/>
        <v>192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2.5000000000000001E-2</v>
      </c>
      <c r="M44" s="4">
        <f t="shared" si="13"/>
        <v>0.67200000000000004</v>
      </c>
      <c r="N44" s="4">
        <f t="shared" si="14"/>
        <v>4.8000000000000007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alp_ecom_conversao_ecom_facebook_social_carrossel_social_dia-das-maes_rmk-30_cpm_1080x1080_111160</v>
      </c>
      <c r="D45" t="str">
        <f t="shared" si="3"/>
        <v>246090842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alp_ecom_conversao_ecom_facebook_social_carrossel_social_dia-das-maes_rmk-30_cpm_1080x1080_111160</v>
      </c>
      <c r="G45" t="str">
        <f t="shared" si="5"/>
        <v>442719915</v>
      </c>
      <c r="H45" t="str">
        <f t="shared" si="6"/>
        <v>Tracking</v>
      </c>
      <c r="I45">
        <f t="shared" si="7"/>
        <v>0</v>
      </c>
      <c r="J45">
        <f t="shared" si="8"/>
        <v>9</v>
      </c>
      <c r="K45" s="4">
        <f t="shared" si="15"/>
        <v>3.5000000000000001E-3</v>
      </c>
      <c r="L45">
        <f t="shared" si="16"/>
        <v>2.5000000000000001E-2</v>
      </c>
      <c r="M45" s="4">
        <f t="shared" si="13"/>
        <v>3.15E-2</v>
      </c>
      <c r="N45" s="4">
        <f t="shared" si="14"/>
        <v>0.22500000000000001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alp_ecom_conversao_ecom_facebook_social_carrossel_social_got_curte-havaianas_cpc_1080x1080_111122</v>
      </c>
      <c r="D46" t="str">
        <f t="shared" si="3"/>
        <v>242863374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alp_ecom_conversao_ecom_facebook_social_carrossel_social_got_curte-havaianas_cpc_1080x1080_111122</v>
      </c>
      <c r="G46" t="str">
        <f t="shared" si="5"/>
        <v>439371379</v>
      </c>
      <c r="H46" t="str">
        <f t="shared" si="6"/>
        <v>Tracking</v>
      </c>
      <c r="I46">
        <f t="shared" si="7"/>
        <v>0</v>
      </c>
      <c r="J46">
        <f t="shared" si="8"/>
        <v>91</v>
      </c>
      <c r="K46" s="4">
        <f t="shared" si="15"/>
        <v>3.5000000000000001E-3</v>
      </c>
      <c r="L46">
        <f t="shared" si="16"/>
        <v>2.5000000000000001E-2</v>
      </c>
      <c r="M46" s="4">
        <f t="shared" si="13"/>
        <v>0.31850000000000001</v>
      </c>
      <c r="N46" s="4">
        <f t="shared" si="14"/>
        <v>2.2749999999999999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alp_ecom_conversao_ecom_facebook_social_carrossel_social_got_interesse-got_cpc_1080x1080_111122</v>
      </c>
      <c r="D47" t="str">
        <f t="shared" si="3"/>
        <v>242863353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alp_ecom_conversao_ecom_facebook_social_carrossel_social_got_interesse-got_cpc_1080x1080_111122</v>
      </c>
      <c r="G47" t="str">
        <f t="shared" si="5"/>
        <v>439371358</v>
      </c>
      <c r="H47" t="str">
        <f t="shared" si="6"/>
        <v>Tracking</v>
      </c>
      <c r="I47">
        <f t="shared" si="7"/>
        <v>0</v>
      </c>
      <c r="J47">
        <f t="shared" si="8"/>
        <v>1092</v>
      </c>
      <c r="K47" s="4">
        <f t="shared" si="15"/>
        <v>3.5000000000000001E-3</v>
      </c>
      <c r="L47">
        <f t="shared" si="16"/>
        <v>2.5000000000000001E-2</v>
      </c>
      <c r="M47" s="4">
        <f t="shared" si="13"/>
        <v>3.8220000000000001</v>
      </c>
      <c r="N47" s="4">
        <f t="shared" si="14"/>
        <v>27.3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alp_ecom_conversao_ecom_facebook_social_carrossel_social_got_look-1-desk_cpc_1080x1080_111122</v>
      </c>
      <c r="D48" t="str">
        <f t="shared" si="3"/>
        <v>242863371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alp_ecom_conversao_ecom_facebook_social_carrossel_social_got_look-1-desk_cpc_1080x1080_111122</v>
      </c>
      <c r="G48" t="str">
        <f t="shared" si="5"/>
        <v>439371376</v>
      </c>
      <c r="H48" t="str">
        <f t="shared" si="6"/>
        <v>Tracking</v>
      </c>
      <c r="I48">
        <f t="shared" si="7"/>
        <v>0</v>
      </c>
      <c r="J48">
        <f t="shared" si="8"/>
        <v>1</v>
      </c>
      <c r="K48" s="4">
        <f t="shared" si="15"/>
        <v>3.5000000000000001E-3</v>
      </c>
      <c r="L48">
        <f t="shared" si="16"/>
        <v>2.5000000000000001E-2</v>
      </c>
      <c r="M48" s="4">
        <f t="shared" si="13"/>
        <v>3.5000000000000001E-3</v>
      </c>
      <c r="N48" s="4">
        <f t="shared" si="14"/>
        <v>2.5000000000000001E-2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alp_ecom_conversao_ecom_facebook_social_carrossel_social_got_look-1-mobile_cpc_1080x1080_111122</v>
      </c>
      <c r="D49" t="str">
        <f t="shared" si="3"/>
        <v>242863368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alp_ecom_conversao_ecom_facebook_social_carrossel_social_got_look-1-mobile_cpc_1080x1080_111122</v>
      </c>
      <c r="G49" t="str">
        <f t="shared" si="5"/>
        <v>439371373</v>
      </c>
      <c r="H49" t="str">
        <f t="shared" si="6"/>
        <v>Tracking</v>
      </c>
      <c r="I49">
        <f t="shared" si="7"/>
        <v>0</v>
      </c>
      <c r="J49">
        <f t="shared" si="8"/>
        <v>12</v>
      </c>
      <c r="K49" s="4">
        <f t="shared" si="15"/>
        <v>3.5000000000000001E-3</v>
      </c>
      <c r="L49">
        <f t="shared" si="16"/>
        <v>2.5000000000000001E-2</v>
      </c>
      <c r="M49" s="4">
        <f t="shared" si="13"/>
        <v>4.2000000000000003E-2</v>
      </c>
      <c r="N49" s="4">
        <f t="shared" si="14"/>
        <v>0.30000000000000004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alp_ecom_conversao_ecom_facebook_social_carrossel_social_got_rmk-30-mobile_cpc_1080x1080_111122</v>
      </c>
      <c r="D50" t="str">
        <f t="shared" si="3"/>
        <v>242863356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alp_ecom_conversao_ecom_facebook_social_carrossel_social_got_rmk-30-mobile_cpc_1080x1080_111122</v>
      </c>
      <c r="G50" t="str">
        <f t="shared" si="5"/>
        <v>439371361</v>
      </c>
      <c r="H50" t="str">
        <f t="shared" si="6"/>
        <v>Tracking</v>
      </c>
      <c r="I50">
        <f t="shared" si="7"/>
        <v>0</v>
      </c>
      <c r="J50">
        <f t="shared" si="8"/>
        <v>10</v>
      </c>
      <c r="K50" s="4">
        <f t="shared" si="15"/>
        <v>3.5000000000000001E-3</v>
      </c>
      <c r="L50">
        <f t="shared" si="16"/>
        <v>2.5000000000000001E-2</v>
      </c>
      <c r="M50" s="4">
        <f t="shared" si="13"/>
        <v>3.5000000000000003E-2</v>
      </c>
      <c r="N50" s="4">
        <f t="shared" si="14"/>
        <v>0.25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alp_ecom_conversao_ecom_facebook_social_carrossel_social_rei-leao_curte-havaianas_cpm_1080x1080_111195</v>
      </c>
      <c r="D51" t="str">
        <f t="shared" si="3"/>
        <v>247089746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alp_ecom_conversao_ecom_facebook_social_carrossel_social_rei-leao_curte-havaianas_cpm_1080x1080_111195</v>
      </c>
      <c r="G51" t="str">
        <f t="shared" si="5"/>
        <v>443680138</v>
      </c>
      <c r="H51" t="str">
        <f t="shared" si="6"/>
        <v>Tracking</v>
      </c>
      <c r="I51">
        <f t="shared" si="7"/>
        <v>0</v>
      </c>
      <c r="J51">
        <f t="shared" si="8"/>
        <v>2245</v>
      </c>
      <c r="K51" s="4">
        <f t="shared" si="15"/>
        <v>3.5000000000000001E-3</v>
      </c>
      <c r="L51">
        <f t="shared" si="16"/>
        <v>2.5000000000000001E-2</v>
      </c>
      <c r="M51" s="4">
        <f t="shared" si="13"/>
        <v>7.8574999999999999</v>
      </c>
      <c r="N51" s="4">
        <f t="shared" si="14"/>
        <v>56.125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alp_ecom_conversao_ecom_facebook_social_carrossel_social_rei-leao_look-1-desk_cpm_1080x1080_111195</v>
      </c>
      <c r="D52" t="str">
        <f t="shared" si="3"/>
        <v>247089740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alp_ecom_conversao_ecom_facebook_social_carrossel_social_rei-leao_look-1-desk_cpm_1080x1080_111195</v>
      </c>
      <c r="G52" t="str">
        <f t="shared" si="5"/>
        <v>443680132</v>
      </c>
      <c r="H52" t="str">
        <f t="shared" si="6"/>
        <v>Tracking</v>
      </c>
      <c r="I52">
        <f t="shared" si="7"/>
        <v>0</v>
      </c>
      <c r="J52">
        <f t="shared" si="8"/>
        <v>13</v>
      </c>
      <c r="K52" s="4">
        <f t="shared" si="15"/>
        <v>3.5000000000000001E-3</v>
      </c>
      <c r="L52">
        <f t="shared" si="16"/>
        <v>2.5000000000000001E-2</v>
      </c>
      <c r="M52" s="4">
        <f t="shared" si="13"/>
        <v>4.5499999999999999E-2</v>
      </c>
      <c r="N52" s="4">
        <f t="shared" si="14"/>
        <v>0.32500000000000001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alp_ecom_conversao_ecom_facebook_social_carrossel_social_rei-leao_look-1-mobile_cpm_1080x1080_111195</v>
      </c>
      <c r="D53" t="str">
        <f t="shared" si="3"/>
        <v>247089737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alp_ecom_conversao_ecom_facebook_social_carrossel_social_rei-leao_look-1-mobile_cpm_1080x1080_111195</v>
      </c>
      <c r="G53" t="str">
        <f t="shared" si="5"/>
        <v>443680129</v>
      </c>
      <c r="H53" t="str">
        <f t="shared" si="6"/>
        <v>Tracking</v>
      </c>
      <c r="I53">
        <f t="shared" si="7"/>
        <v>0</v>
      </c>
      <c r="J53">
        <f t="shared" si="8"/>
        <v>15</v>
      </c>
      <c r="K53" s="4">
        <f t="shared" si="15"/>
        <v>3.5000000000000001E-3</v>
      </c>
      <c r="L53">
        <f t="shared" si="16"/>
        <v>2.5000000000000001E-2</v>
      </c>
      <c r="M53" s="4">
        <f t="shared" si="13"/>
        <v>5.2499999999999998E-2</v>
      </c>
      <c r="N53" s="4">
        <f t="shared" si="14"/>
        <v>0.375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alp_ecom_conversao_ecom_facebook_social_carrossel_social_rei-leao_look-2-mobile_cpm_1080x1080_111195</v>
      </c>
      <c r="D54" t="str">
        <f t="shared" si="3"/>
        <v>247089731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alp_ecom_conversao_ecom_facebook_social_carrossel_social_rei-leao_look-2-mobile_cpm_1080x1080_111195</v>
      </c>
      <c r="G54" t="str">
        <f t="shared" si="5"/>
        <v>443680123</v>
      </c>
      <c r="H54" t="str">
        <f t="shared" si="6"/>
        <v>Tracking</v>
      </c>
      <c r="I54">
        <f t="shared" si="7"/>
        <v>0</v>
      </c>
      <c r="J54">
        <f t="shared" si="8"/>
        <v>3</v>
      </c>
      <c r="K54" s="4">
        <f t="shared" si="15"/>
        <v>3.5000000000000001E-3</v>
      </c>
      <c r="L54">
        <f t="shared" si="16"/>
        <v>2.5000000000000001E-2</v>
      </c>
      <c r="M54" s="4">
        <f t="shared" si="13"/>
        <v>1.0500000000000001E-2</v>
      </c>
      <c r="N54" s="4">
        <f t="shared" si="14"/>
        <v>7.5000000000000011E-2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alp_ecom_conversao_ecom_facebook_social_carrossel_social_rei-leao_rmk-30-mobile_cpm_1080x1080_111195</v>
      </c>
      <c r="D55" t="str">
        <f t="shared" si="3"/>
        <v>247089725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alp_ecom_conversao_ecom_facebook_social_carrossel_social_rei-leao_rmk-30-mobile_cpm_1080x1080_111195</v>
      </c>
      <c r="G55" t="str">
        <f t="shared" si="5"/>
        <v>443680117</v>
      </c>
      <c r="H55" t="str">
        <f t="shared" si="6"/>
        <v>Tracking</v>
      </c>
      <c r="I55">
        <f t="shared" si="7"/>
        <v>0</v>
      </c>
      <c r="J55">
        <f t="shared" si="8"/>
        <v>108</v>
      </c>
      <c r="K55" s="4">
        <f t="shared" si="15"/>
        <v>3.5000000000000001E-3</v>
      </c>
      <c r="L55">
        <f t="shared" si="16"/>
        <v>2.5000000000000001E-2</v>
      </c>
      <c r="M55" s="4">
        <f t="shared" si="13"/>
        <v>0.378</v>
      </c>
      <c r="N55" s="4">
        <f t="shared" si="14"/>
        <v>2.7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alp_ecom_conversao_ecom_facebook_social_carrossel_social_rei-leao_rmk-30_cpm_1080x1080_111195</v>
      </c>
      <c r="D56" t="str">
        <f t="shared" si="3"/>
        <v>247089728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alp_ecom_conversao_ecom_facebook_social_carrossel_social_rei-leao_rmk-30_cpm_1080x1080_111195</v>
      </c>
      <c r="G56" t="str">
        <f t="shared" si="5"/>
        <v>443680120</v>
      </c>
      <c r="H56" t="str">
        <f t="shared" si="6"/>
        <v>Tracking</v>
      </c>
      <c r="I56">
        <f t="shared" si="7"/>
        <v>0</v>
      </c>
      <c r="J56">
        <f t="shared" si="8"/>
        <v>6</v>
      </c>
      <c r="K56" s="4">
        <f t="shared" si="15"/>
        <v>3.5000000000000001E-3</v>
      </c>
      <c r="L56">
        <f t="shared" si="16"/>
        <v>2.5000000000000001E-2</v>
      </c>
      <c r="M56" s="4">
        <f t="shared" si="13"/>
        <v>2.1000000000000001E-2</v>
      </c>
      <c r="N56" s="4">
        <f t="shared" si="14"/>
        <v>0.15000000000000002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alp_ecom_conversao_ecom_facebook_social_carrossel_social_slim-pets_curte-havaianas_cpm_1080x1080_111142</v>
      </c>
      <c r="D57" t="str">
        <f t="shared" si="3"/>
        <v>244356914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alp_ecom_conversao_ecom_facebook_social_carrossel_social_slim-pets_curte-havaianas_cpm_1080x1080_111142</v>
      </c>
      <c r="G57" t="str">
        <f t="shared" si="5"/>
        <v>441297992</v>
      </c>
      <c r="H57" t="str">
        <f t="shared" si="6"/>
        <v>Tracking</v>
      </c>
      <c r="I57">
        <f t="shared" si="7"/>
        <v>0</v>
      </c>
      <c r="J57">
        <f t="shared" si="8"/>
        <v>390</v>
      </c>
      <c r="K57" s="4">
        <f t="shared" si="15"/>
        <v>3.5000000000000001E-3</v>
      </c>
      <c r="L57">
        <f t="shared" si="16"/>
        <v>2.5000000000000001E-2</v>
      </c>
      <c r="M57" s="4">
        <f t="shared" si="13"/>
        <v>1.365</v>
      </c>
      <c r="N57" s="4">
        <f t="shared" si="14"/>
        <v>9.75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alp_ecom_conversao_ecom_facebook_social_carrossel_social_slim-pets_look-1-desk_cpm_1080x1080_111142</v>
      </c>
      <c r="D58" t="str">
        <f t="shared" si="3"/>
        <v>244356908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alp_ecom_conversao_ecom_facebook_social_carrossel_social_slim-pets_look-1-desk_cpm_1080x1080_111142</v>
      </c>
      <c r="G58" t="str">
        <f t="shared" si="5"/>
        <v>441297986</v>
      </c>
      <c r="H58" t="str">
        <f t="shared" si="6"/>
        <v>Tracking</v>
      </c>
      <c r="I58">
        <f t="shared" si="7"/>
        <v>0</v>
      </c>
      <c r="J58">
        <f t="shared" si="8"/>
        <v>2</v>
      </c>
      <c r="K58" s="4">
        <f t="shared" si="15"/>
        <v>3.5000000000000001E-3</v>
      </c>
      <c r="L58">
        <f t="shared" si="16"/>
        <v>2.5000000000000001E-2</v>
      </c>
      <c r="M58" s="4">
        <f t="shared" si="13"/>
        <v>7.0000000000000001E-3</v>
      </c>
      <c r="N58" s="4">
        <f t="shared" si="14"/>
        <v>0.05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alp_ecom_conversao_ecom_facebook_social_carrossel_social_slim-pets_look-1-mobile_cpm_1080x1080_111142</v>
      </c>
      <c r="D59" t="str">
        <f t="shared" si="3"/>
        <v>244356902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alp_ecom_conversao_ecom_facebook_social_carrossel_social_slim-pets_look-1-mobile_cpm_1080x1080_111142</v>
      </c>
      <c r="G59" t="str">
        <f t="shared" si="5"/>
        <v>441297980</v>
      </c>
      <c r="H59" t="str">
        <f t="shared" si="6"/>
        <v>Tracking</v>
      </c>
      <c r="I59">
        <f t="shared" si="7"/>
        <v>0</v>
      </c>
      <c r="J59">
        <f t="shared" si="8"/>
        <v>9</v>
      </c>
      <c r="K59" s="4">
        <f t="shared" si="15"/>
        <v>3.5000000000000001E-3</v>
      </c>
      <c r="L59">
        <f t="shared" si="16"/>
        <v>2.5000000000000001E-2</v>
      </c>
      <c r="M59" s="4">
        <f t="shared" si="13"/>
        <v>3.15E-2</v>
      </c>
      <c r="N59" s="4">
        <f t="shared" si="14"/>
        <v>0.22500000000000001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alp_ecom_conversao_ecom_facebook_social_carrossel_social_slim-pets_look-2-mobile_cpm_1080x1080_111142</v>
      </c>
      <c r="D60" t="str">
        <f t="shared" si="3"/>
        <v>244356896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alp_ecom_conversao_ecom_facebook_social_carrossel_social_slim-pets_look-2-mobile_cpm_1080x1080_111142</v>
      </c>
      <c r="G60" t="str">
        <f t="shared" si="5"/>
        <v>441297974</v>
      </c>
      <c r="H60" t="str">
        <f t="shared" si="6"/>
        <v>Tracking</v>
      </c>
      <c r="I60">
        <f t="shared" si="7"/>
        <v>0</v>
      </c>
      <c r="J60">
        <f t="shared" si="8"/>
        <v>4</v>
      </c>
      <c r="K60" s="4">
        <f t="shared" si="15"/>
        <v>3.5000000000000001E-3</v>
      </c>
      <c r="L60">
        <f t="shared" si="16"/>
        <v>2.5000000000000001E-2</v>
      </c>
      <c r="M60" s="4">
        <f t="shared" si="13"/>
        <v>1.4E-2</v>
      </c>
      <c r="N60" s="4">
        <f t="shared" si="14"/>
        <v>0.1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alp_ecom_conversao_ecom_facebook_social_carrossel_social_slim-pets_rmk-30-mobile_cpm_1080x1080_111142</v>
      </c>
      <c r="D61" t="str">
        <f t="shared" si="3"/>
        <v>244356890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alp_ecom_conversao_ecom_facebook_social_carrossel_social_slim-pets_rmk-30-mobile_cpm_1080x1080_111142</v>
      </c>
      <c r="G61" t="str">
        <f t="shared" si="5"/>
        <v>441297968</v>
      </c>
      <c r="H61" t="str">
        <f t="shared" si="6"/>
        <v>Tracking</v>
      </c>
      <c r="I61">
        <f t="shared" si="7"/>
        <v>0</v>
      </c>
      <c r="J61">
        <f t="shared" si="8"/>
        <v>99</v>
      </c>
      <c r="K61" s="4">
        <f t="shared" si="15"/>
        <v>3.5000000000000001E-3</v>
      </c>
      <c r="L61">
        <f t="shared" si="16"/>
        <v>2.5000000000000001E-2</v>
      </c>
      <c r="M61" s="4">
        <f t="shared" si="13"/>
        <v>0.34650000000000003</v>
      </c>
      <c r="N61" s="4">
        <f t="shared" si="14"/>
        <v>2.4750000000000001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alp_ecom_conversao_ecom_facebook_social_carrossel_social_slim-pets_rmk-30_cpm_1080x1080_111142</v>
      </c>
      <c r="D62" t="str">
        <f t="shared" si="3"/>
        <v>244356893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alp_ecom_conversao_ecom_facebook_social_carrossel_social_slim-pets_rmk-30_cpm_1080x1080_111142</v>
      </c>
      <c r="G62" t="str">
        <f t="shared" si="5"/>
        <v>441297971</v>
      </c>
      <c r="H62" t="str">
        <f t="shared" si="6"/>
        <v>Tracking</v>
      </c>
      <c r="I62">
        <f t="shared" si="7"/>
        <v>0</v>
      </c>
      <c r="J62">
        <f t="shared" si="8"/>
        <v>3</v>
      </c>
      <c r="K62" s="4">
        <f t="shared" si="15"/>
        <v>3.5000000000000001E-3</v>
      </c>
      <c r="L62">
        <f t="shared" si="16"/>
        <v>2.5000000000000001E-2</v>
      </c>
      <c r="M62" s="4">
        <f t="shared" si="13"/>
        <v>1.0500000000000001E-2</v>
      </c>
      <c r="N62" s="4">
        <f t="shared" si="14"/>
        <v>7.5000000000000011E-2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alp_ecom_conversao_ecom_facebook_social_collection_social_star-wars_curte-havaianas_cpm_dinamico_111167</v>
      </c>
      <c r="D63" t="str">
        <f t="shared" si="3"/>
        <v>245922826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alp_ecom_conversao_ecom_facebook_social_collection_social_star-wars_curte-havaianas_cpm_dinamico_111167</v>
      </c>
      <c r="G63" t="str">
        <f t="shared" si="5"/>
        <v>442542748</v>
      </c>
      <c r="H63" t="str">
        <f t="shared" si="6"/>
        <v>Tracking</v>
      </c>
      <c r="I63">
        <f t="shared" si="7"/>
        <v>0</v>
      </c>
      <c r="J63">
        <f t="shared" si="8"/>
        <v>1202</v>
      </c>
      <c r="K63" s="4">
        <f t="shared" si="15"/>
        <v>3.5000000000000001E-3</v>
      </c>
      <c r="L63">
        <f t="shared" si="16"/>
        <v>2.5000000000000001E-2</v>
      </c>
      <c r="M63" s="4">
        <f t="shared" si="13"/>
        <v>4.2069999999999999</v>
      </c>
      <c r="N63" s="4">
        <f t="shared" si="14"/>
        <v>30.05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alp_ecom_conversao_ecom_facebook_social_collection_social_star-wars_look-1-mobile_cpm_dinamico_111167</v>
      </c>
      <c r="D64" t="str">
        <f t="shared" si="3"/>
        <v>245922820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alp_ecom_conversao_ecom_facebook_social_collection_social_star-wars_look-1-mobile_cpm_dinamico_111167</v>
      </c>
      <c r="G64" t="str">
        <f t="shared" si="5"/>
        <v>442542742</v>
      </c>
      <c r="H64" t="str">
        <f t="shared" si="6"/>
        <v>Tracking</v>
      </c>
      <c r="I64">
        <f t="shared" si="7"/>
        <v>0</v>
      </c>
      <c r="J64">
        <f t="shared" si="8"/>
        <v>43</v>
      </c>
      <c r="K64" s="4">
        <f t="shared" si="15"/>
        <v>3.5000000000000001E-3</v>
      </c>
      <c r="L64">
        <f t="shared" si="16"/>
        <v>2.5000000000000001E-2</v>
      </c>
      <c r="M64" s="4">
        <f t="shared" si="13"/>
        <v>0.15049999999999999</v>
      </c>
      <c r="N64" s="4">
        <f t="shared" si="14"/>
        <v>1.075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alp_ecom_conversao_ecom_facebook_social_collection_social_star-wars_look-2-mobile_cpm_dinamico_111167</v>
      </c>
      <c r="D65" t="str">
        <f t="shared" si="3"/>
        <v>245922814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alp_ecom_conversao_ecom_facebook_social_collection_social_star-wars_look-2-mobile_cpm_dinamico_111167</v>
      </c>
      <c r="G65" t="str">
        <f t="shared" si="5"/>
        <v>442542736</v>
      </c>
      <c r="H65" t="str">
        <f t="shared" si="6"/>
        <v>Tracking</v>
      </c>
      <c r="I65">
        <f t="shared" si="7"/>
        <v>0</v>
      </c>
      <c r="J65">
        <f t="shared" si="8"/>
        <v>18</v>
      </c>
      <c r="K65" s="4">
        <f t="shared" si="15"/>
        <v>3.5000000000000001E-3</v>
      </c>
      <c r="L65">
        <f t="shared" si="16"/>
        <v>2.5000000000000001E-2</v>
      </c>
      <c r="M65" s="4">
        <f t="shared" si="13"/>
        <v>6.3E-2</v>
      </c>
      <c r="N65" s="4">
        <f t="shared" si="14"/>
        <v>0.45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alp_ecom_conversao_ecom_facebook_social_collection_social_star-wars_rmk-30-mobile_cpm_dinamico_111167</v>
      </c>
      <c r="D66" t="str">
        <f t="shared" ref="D66:D129" si="20">bd_placementID</f>
        <v>245922808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alp_ecom_conversao_ecom_facebook_social_collection_social_star-wars_rmk-30-mobile_cpm_dinamico_111167</v>
      </c>
      <c r="G66" t="str">
        <f t="shared" ref="G66:G129" si="22">bd_adid</f>
        <v>442542730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675</v>
      </c>
      <c r="K66" s="4">
        <f t="shared" si="15"/>
        <v>3.5000000000000001E-3</v>
      </c>
      <c r="L66">
        <f t="shared" si="16"/>
        <v>2.5000000000000001E-2</v>
      </c>
      <c r="M66" s="4">
        <f t="shared" si="13"/>
        <v>2.3625000000000003</v>
      </c>
      <c r="N66" s="4">
        <f t="shared" si="14"/>
        <v>16.875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alp_ecom_conversao_ecom_facebook_social_pagepost_social_alpargatas-soft_curte-havaianas_cpc_1200x628_111117</v>
      </c>
      <c r="D67" t="str">
        <f t="shared" si="20"/>
        <v>242342643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alp_ecom_conversao_ecom_facebook_social_pagepost_social_alpargatas-soft_curte-havaianas_cpc_1200x628_111117</v>
      </c>
      <c r="G67" t="str">
        <f t="shared" si="22"/>
        <v>438874479</v>
      </c>
      <c r="H67" t="str">
        <f t="shared" si="23"/>
        <v>Tracking</v>
      </c>
      <c r="I67">
        <f t="shared" si="24"/>
        <v>0</v>
      </c>
      <c r="J67">
        <f t="shared" si="25"/>
        <v>4</v>
      </c>
      <c r="K67" s="4">
        <f t="shared" si="15"/>
        <v>3.5000000000000001E-3</v>
      </c>
      <c r="L67">
        <f t="shared" si="16"/>
        <v>2.5000000000000001E-2</v>
      </c>
      <c r="M67" s="4">
        <f t="shared" si="13"/>
        <v>1.4E-2</v>
      </c>
      <c r="N67" s="4">
        <f t="shared" si="14"/>
        <v>0.1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alp_ecom_conversao_ecom_facebook_social_pagepost_social_alpargatas-soft_curte-havaianas_cpm_1200x628_111117</v>
      </c>
      <c r="D68" t="str">
        <f t="shared" si="20"/>
        <v>245616669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alp_ecom_conversao_ecom_facebook_social_pagepost_social_alpargatas-soft_curte-havaianas_cpm_1200x628_111117</v>
      </c>
      <c r="G68" t="str">
        <f t="shared" si="22"/>
        <v>442111790</v>
      </c>
      <c r="H68" t="str">
        <f t="shared" si="23"/>
        <v>Tracking</v>
      </c>
      <c r="I68">
        <f t="shared" si="24"/>
        <v>0</v>
      </c>
      <c r="J68">
        <f t="shared" si="25"/>
        <v>4417</v>
      </c>
      <c r="K68" s="4">
        <f t="shared" si="15"/>
        <v>3.5000000000000001E-3</v>
      </c>
      <c r="L68">
        <f t="shared" si="16"/>
        <v>2.5000000000000001E-2</v>
      </c>
      <c r="M68" s="4">
        <f t="shared" si="13"/>
        <v>15.4595</v>
      </c>
      <c r="N68" s="4">
        <f t="shared" si="14"/>
        <v>110.42500000000001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alp_ecom_conversao_ecom_facebook_social_pagepost_social_alpargatas-soft_look-1-desk_cpc_1200x628_111117</v>
      </c>
      <c r="D69" t="str">
        <f t="shared" si="20"/>
        <v>242342640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alp_ecom_conversao_ecom_facebook_social_pagepost_social_alpargatas-soft_look-1-desk_cpc_1200x628_111117</v>
      </c>
      <c r="G69" t="str">
        <f t="shared" si="22"/>
        <v>438874476</v>
      </c>
      <c r="H69" t="str">
        <f t="shared" si="23"/>
        <v>Tracking</v>
      </c>
      <c r="I69">
        <f t="shared" si="24"/>
        <v>0</v>
      </c>
      <c r="J69">
        <f t="shared" si="25"/>
        <v>1</v>
      </c>
      <c r="K69" s="4">
        <f t="shared" si="15"/>
        <v>3.5000000000000001E-3</v>
      </c>
      <c r="L69">
        <f t="shared" si="16"/>
        <v>2.5000000000000001E-2</v>
      </c>
      <c r="M69" s="4">
        <f t="shared" si="13"/>
        <v>3.5000000000000001E-3</v>
      </c>
      <c r="N69" s="4">
        <f t="shared" si="14"/>
        <v>2.5000000000000001E-2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alp_ecom_conversao_ecom_facebook_social_pagepost_social_alpargatas-soft_look-1-desk_cpm_1200x628_111117</v>
      </c>
      <c r="D70" t="str">
        <f t="shared" si="20"/>
        <v>245616666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alp_ecom_conversao_ecom_facebook_social_pagepost_social_alpargatas-soft_look-1-desk_cpm_1200x628_111117</v>
      </c>
      <c r="G70" t="str">
        <f t="shared" si="22"/>
        <v>442111787</v>
      </c>
      <c r="H70" t="str">
        <f t="shared" si="23"/>
        <v>Tracking</v>
      </c>
      <c r="I70">
        <f t="shared" si="24"/>
        <v>0</v>
      </c>
      <c r="J70">
        <f t="shared" si="25"/>
        <v>119</v>
      </c>
      <c r="K70" s="4">
        <f t="shared" si="15"/>
        <v>3.5000000000000001E-3</v>
      </c>
      <c r="L70">
        <f t="shared" si="16"/>
        <v>2.5000000000000001E-2</v>
      </c>
      <c r="M70" s="4">
        <f t="shared" si="13"/>
        <v>0.41649999999999998</v>
      </c>
      <c r="N70" s="4">
        <f t="shared" si="14"/>
        <v>2.9750000000000001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alp_ecom_conversao_ecom_facebook_social_pagepost_social_alpargatas-soft_look-1-mobile_cpm_1200x628_111117</v>
      </c>
      <c r="D71" t="str">
        <f t="shared" si="20"/>
        <v>245616663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alp_ecom_conversao_ecom_facebook_social_pagepost_social_alpargatas-soft_look-1-mobile_cpm_1200x628_111117</v>
      </c>
      <c r="G71" t="str">
        <f t="shared" si="22"/>
        <v>442111784</v>
      </c>
      <c r="H71" t="str">
        <f t="shared" si="23"/>
        <v>Tracking</v>
      </c>
      <c r="I71">
        <f t="shared" si="24"/>
        <v>0</v>
      </c>
      <c r="J71">
        <f t="shared" si="25"/>
        <v>110</v>
      </c>
      <c r="K71" s="4">
        <f t="shared" si="15"/>
        <v>3.5000000000000001E-3</v>
      </c>
      <c r="L71">
        <f t="shared" si="16"/>
        <v>2.5000000000000001E-2</v>
      </c>
      <c r="M71" s="4">
        <f t="shared" si="13"/>
        <v>0.38500000000000001</v>
      </c>
      <c r="N71" s="4">
        <f t="shared" si="14"/>
        <v>2.75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alp_ecom_conversao_ecom_facebook_social_pagepost_social_alpargatas-soft_look-2-desk_cpm_1200x628_111117</v>
      </c>
      <c r="D72" t="str">
        <f t="shared" si="20"/>
        <v>245616660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alp_ecom_conversao_ecom_facebook_social_pagepost_social_alpargatas-soft_look-2-desk_cpm_1200x628_111117</v>
      </c>
      <c r="G72" t="str">
        <f t="shared" si="22"/>
        <v>442111781</v>
      </c>
      <c r="H72" t="str">
        <f t="shared" si="23"/>
        <v>Tracking</v>
      </c>
      <c r="I72">
        <f t="shared" si="24"/>
        <v>0</v>
      </c>
      <c r="J72">
        <f t="shared" si="25"/>
        <v>35</v>
      </c>
      <c r="K72" s="4">
        <f t="shared" si="15"/>
        <v>3.5000000000000001E-3</v>
      </c>
      <c r="L72">
        <f t="shared" si="16"/>
        <v>2.5000000000000001E-2</v>
      </c>
      <c r="M72" s="4">
        <f t="shared" si="13"/>
        <v>0.1225</v>
      </c>
      <c r="N72" s="4">
        <f t="shared" si="14"/>
        <v>0.875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alp_ecom_conversao_ecom_facebook_social_pagepost_social_alpargatas-soft_look-2-mobile_cpm_1200x628_111117</v>
      </c>
      <c r="D73" t="str">
        <f t="shared" si="20"/>
        <v>245616657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alp_ecom_conversao_ecom_facebook_social_pagepost_social_alpargatas-soft_look-2-mobile_cpm_1200x628_111117</v>
      </c>
      <c r="G73" t="str">
        <f t="shared" si="22"/>
        <v>442111778</v>
      </c>
      <c r="H73" t="str">
        <f t="shared" si="23"/>
        <v>Tracking</v>
      </c>
      <c r="I73">
        <f t="shared" si="24"/>
        <v>0</v>
      </c>
      <c r="J73">
        <f t="shared" si="25"/>
        <v>55</v>
      </c>
      <c r="K73" s="4">
        <f t="shared" si="15"/>
        <v>3.5000000000000001E-3</v>
      </c>
      <c r="L73">
        <f t="shared" si="16"/>
        <v>2.5000000000000001E-2</v>
      </c>
      <c r="M73" s="4">
        <f t="shared" si="13"/>
        <v>0.1925</v>
      </c>
      <c r="N73" s="4">
        <f t="shared" si="14"/>
        <v>1.375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alp_ecom_conversao_ecom_facebook_social_pagepost_social_alpargatas-soft_rmk-30-mobile_cpm_1200x628_111117</v>
      </c>
      <c r="D74" t="str">
        <f t="shared" si="20"/>
        <v>245616651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alp_ecom_conversao_ecom_facebook_social_pagepost_social_alpargatas-soft_rmk-30-mobile_cpm_1200x628_111117</v>
      </c>
      <c r="G74" t="str">
        <f t="shared" si="22"/>
        <v>442111772</v>
      </c>
      <c r="H74" t="str">
        <f t="shared" si="23"/>
        <v>Tracking</v>
      </c>
      <c r="I74">
        <f t="shared" si="24"/>
        <v>0</v>
      </c>
      <c r="J74">
        <f t="shared" si="25"/>
        <v>196</v>
      </c>
      <c r="K74" s="4">
        <f t="shared" si="15"/>
        <v>3.5000000000000001E-3</v>
      </c>
      <c r="L74">
        <f t="shared" si="16"/>
        <v>2.5000000000000001E-2</v>
      </c>
      <c r="M74" s="4">
        <f t="shared" si="13"/>
        <v>0.68600000000000005</v>
      </c>
      <c r="N74" s="4">
        <f t="shared" si="14"/>
        <v>4.9000000000000004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alp_ecom_conversao_ecom_facebook_social_pagepost_social_alpargatas-soft_rmk-30_cpm_1200x628_111117</v>
      </c>
      <c r="D75" t="str">
        <f t="shared" si="20"/>
        <v>245616654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alp_ecom_conversao_ecom_facebook_social_pagepost_social_alpargatas-soft_rmk-30_cpm_1200x628_111117</v>
      </c>
      <c r="G75" t="str">
        <f t="shared" si="22"/>
        <v>442111775</v>
      </c>
      <c r="H75" t="str">
        <f t="shared" si="23"/>
        <v>Tracking</v>
      </c>
      <c r="I75">
        <f t="shared" si="24"/>
        <v>0</v>
      </c>
      <c r="J75">
        <f t="shared" si="25"/>
        <v>23</v>
      </c>
      <c r="K75" s="4">
        <f t="shared" si="15"/>
        <v>3.5000000000000001E-3</v>
      </c>
      <c r="L75">
        <f t="shared" si="16"/>
        <v>2.5000000000000001E-2</v>
      </c>
      <c r="M75" s="4">
        <f t="shared" si="13"/>
        <v>8.0500000000000002E-2</v>
      </c>
      <c r="N75" s="4">
        <f t="shared" si="14"/>
        <v>0.57500000000000007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alp_ecom_conversao_ecom_facebook_social_pagepost_social_dia-das-maes_all_cpm_1200x628_111156</v>
      </c>
      <c r="D76" t="str">
        <f t="shared" si="20"/>
        <v>245414194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alp_ecom_conversao_ecom_facebook_social_pagepost_social_dia-das-maes_all_cpm_1200x628_111156</v>
      </c>
      <c r="G76" t="str">
        <f t="shared" si="22"/>
        <v>442093349</v>
      </c>
      <c r="H76" t="str">
        <f t="shared" si="23"/>
        <v>Tracking</v>
      </c>
      <c r="I76">
        <f t="shared" si="24"/>
        <v>0</v>
      </c>
      <c r="J76">
        <f t="shared" si="25"/>
        <v>738</v>
      </c>
      <c r="K76" s="4">
        <f t="shared" si="15"/>
        <v>3.5000000000000001E-3</v>
      </c>
      <c r="L76">
        <f t="shared" si="16"/>
        <v>2.5000000000000001E-2</v>
      </c>
      <c r="M76" s="4">
        <f t="shared" si="13"/>
        <v>2.5830000000000002</v>
      </c>
      <c r="N76" s="4">
        <f t="shared" si="14"/>
        <v>18.45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alp_ecom_conversao_ecom_facebook_social_pagepost_social_got_curte-havaianas_cpc_1200x628_111121</v>
      </c>
      <c r="D77" t="str">
        <f t="shared" si="20"/>
        <v>242863398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alp_ecom_conversao_ecom_facebook_social_pagepost_social_got_curte-havaianas_cpc_1200x628_111121</v>
      </c>
      <c r="G77" t="str">
        <f t="shared" si="22"/>
        <v>439371403</v>
      </c>
      <c r="H77" t="str">
        <f t="shared" si="23"/>
        <v>Tracking</v>
      </c>
      <c r="I77">
        <f t="shared" si="24"/>
        <v>0</v>
      </c>
      <c r="J77">
        <f t="shared" si="25"/>
        <v>1359</v>
      </c>
      <c r="K77" s="4">
        <f t="shared" si="15"/>
        <v>3.5000000000000001E-3</v>
      </c>
      <c r="L77">
        <f t="shared" si="16"/>
        <v>2.5000000000000001E-2</v>
      </c>
      <c r="M77" s="4">
        <f t="shared" si="13"/>
        <v>4.7565</v>
      </c>
      <c r="N77" s="4">
        <f t="shared" si="14"/>
        <v>33.975000000000001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alp_ecom_conversao_ecom_facebook_social_pagepost_social_got_curte-havaianas_cpm_1200x628_111202</v>
      </c>
      <c r="D78" t="str">
        <f t="shared" si="20"/>
        <v>247894837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alp_ecom_conversao_ecom_facebook_social_pagepost_social_got_curte-havaianas_cpm_1200x628_111202</v>
      </c>
      <c r="G78" t="str">
        <f t="shared" si="22"/>
        <v>444247241</v>
      </c>
      <c r="H78" t="str">
        <f t="shared" si="23"/>
        <v>Tracking</v>
      </c>
      <c r="I78">
        <f t="shared" si="24"/>
        <v>0</v>
      </c>
      <c r="J78">
        <f t="shared" si="25"/>
        <v>220</v>
      </c>
      <c r="K78" s="4">
        <f t="shared" si="15"/>
        <v>3.5000000000000001E-3</v>
      </c>
      <c r="L78">
        <f t="shared" si="16"/>
        <v>2.5000000000000001E-2</v>
      </c>
      <c r="M78" s="4">
        <f t="shared" si="13"/>
        <v>0.77</v>
      </c>
      <c r="N78" s="4">
        <f t="shared" si="14"/>
        <v>5.5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alp_ecom_conversao_ecom_facebook_social_pagepost_social_got_interesse-got_cpc_1200x628_111121</v>
      </c>
      <c r="D79" t="str">
        <f t="shared" si="20"/>
        <v>242863377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alp_ecom_conversao_ecom_facebook_social_pagepost_social_got_interesse-got_cpc_1200x628_111121</v>
      </c>
      <c r="G79" t="str">
        <f t="shared" si="22"/>
        <v>439371382</v>
      </c>
      <c r="H79" t="str">
        <f t="shared" si="23"/>
        <v>Tracking</v>
      </c>
      <c r="I79">
        <f t="shared" si="24"/>
        <v>0</v>
      </c>
      <c r="J79">
        <f t="shared" si="25"/>
        <v>753</v>
      </c>
      <c r="K79" s="4">
        <f t="shared" si="15"/>
        <v>3.5000000000000001E-3</v>
      </c>
      <c r="L79">
        <f t="shared" si="16"/>
        <v>2.5000000000000001E-2</v>
      </c>
      <c r="M79" s="4">
        <f t="shared" si="13"/>
        <v>2.6355</v>
      </c>
      <c r="N79" s="4">
        <f t="shared" si="14"/>
        <v>18.824999999999999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alp_ecom_conversao_ecom_facebook_social_pagepost_social_got_interesse-got_cpm_1200x628_111202</v>
      </c>
      <c r="D80" t="str">
        <f t="shared" si="20"/>
        <v>247894816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alp_ecom_conversao_ecom_facebook_social_pagepost_social_got_interesse-got_cpm_1200x628_111202</v>
      </c>
      <c r="G80" t="str">
        <f t="shared" si="22"/>
        <v>444247220</v>
      </c>
      <c r="H80" t="str">
        <f t="shared" si="23"/>
        <v>Tracking</v>
      </c>
      <c r="I80">
        <f t="shared" si="24"/>
        <v>0</v>
      </c>
      <c r="J80">
        <f t="shared" si="25"/>
        <v>313</v>
      </c>
      <c r="K80" s="4">
        <f t="shared" si="15"/>
        <v>3.5000000000000001E-3</v>
      </c>
      <c r="L80">
        <f t="shared" si="16"/>
        <v>2.5000000000000001E-2</v>
      </c>
      <c r="M80" s="4">
        <f t="shared" si="13"/>
        <v>1.0954999999999999</v>
      </c>
      <c r="N80" s="4">
        <f t="shared" si="14"/>
        <v>7.8250000000000002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alp_ecom_conversao_ecom_facebook_social_pagepost_social_got_look-1-desk_cpc_1200x628_111121</v>
      </c>
      <c r="D81" t="str">
        <f t="shared" si="20"/>
        <v>242863395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alp_ecom_conversao_ecom_facebook_social_pagepost_social_got_look-1-desk_cpc_1200x628_111121</v>
      </c>
      <c r="G81" t="str">
        <f t="shared" si="22"/>
        <v>439371400</v>
      </c>
      <c r="H81" t="str">
        <f t="shared" si="23"/>
        <v>Tracking</v>
      </c>
      <c r="I81">
        <f t="shared" si="24"/>
        <v>0</v>
      </c>
      <c r="J81">
        <f t="shared" si="25"/>
        <v>17</v>
      </c>
      <c r="K81" s="4">
        <f t="shared" si="15"/>
        <v>3.5000000000000001E-3</v>
      </c>
      <c r="L81">
        <f t="shared" si="16"/>
        <v>2.5000000000000001E-2</v>
      </c>
      <c r="M81" s="4">
        <f t="shared" si="13"/>
        <v>5.9500000000000004E-2</v>
      </c>
      <c r="N81" s="4">
        <f t="shared" si="14"/>
        <v>0.42500000000000004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alp_ecom_conversao_ecom_facebook_social_pagepost_social_got_look-1-mobile_cpc_1200x628_111121</v>
      </c>
      <c r="D82" t="str">
        <f t="shared" si="20"/>
        <v>242863392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alp_ecom_conversao_ecom_facebook_social_pagepost_social_got_look-1-mobile_cpc_1200x628_111121</v>
      </c>
      <c r="G82" t="str">
        <f t="shared" si="22"/>
        <v>439371397</v>
      </c>
      <c r="H82" t="str">
        <f t="shared" si="23"/>
        <v>Tracking</v>
      </c>
      <c r="I82">
        <f t="shared" si="24"/>
        <v>0</v>
      </c>
      <c r="J82">
        <f t="shared" si="25"/>
        <v>144</v>
      </c>
      <c r="K82" s="4">
        <f t="shared" si="15"/>
        <v>3.5000000000000001E-3</v>
      </c>
      <c r="L82">
        <f t="shared" si="16"/>
        <v>2.5000000000000001E-2</v>
      </c>
      <c r="M82" s="4">
        <f t="shared" si="13"/>
        <v>0.504</v>
      </c>
      <c r="N82" s="4">
        <f t="shared" si="14"/>
        <v>3.6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alp_ecom_conversao_ecom_facebook_social_pagepost_social_got_look-1-mobile_cpm_1200x628_111202</v>
      </c>
      <c r="D83" t="str">
        <f t="shared" si="20"/>
        <v>247894831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alp_ecom_conversao_ecom_facebook_social_pagepost_social_got_look-1-mobile_cpm_1200x628_111202</v>
      </c>
      <c r="G83" t="str">
        <f t="shared" si="22"/>
        <v>444247235</v>
      </c>
      <c r="H83" t="str">
        <f t="shared" si="23"/>
        <v>Tracking</v>
      </c>
      <c r="I83">
        <f t="shared" si="24"/>
        <v>0</v>
      </c>
      <c r="J83">
        <f t="shared" si="25"/>
        <v>1</v>
      </c>
      <c r="K83" s="4">
        <f t="shared" si="15"/>
        <v>3.5000000000000001E-3</v>
      </c>
      <c r="L83">
        <f t="shared" si="16"/>
        <v>2.5000000000000001E-2</v>
      </c>
      <c r="M83" s="4">
        <f t="shared" si="13"/>
        <v>3.5000000000000001E-3</v>
      </c>
      <c r="N83" s="4">
        <f t="shared" si="14"/>
        <v>2.5000000000000001E-2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alp_ecom_conversao_ecom_facebook_social_pagepost_social_got_look-2-desk_cpc_1200x628_111121</v>
      </c>
      <c r="D84" t="str">
        <f t="shared" si="20"/>
        <v>242863389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alp_ecom_conversao_ecom_facebook_social_pagepost_social_got_look-2-desk_cpc_1200x628_111121</v>
      </c>
      <c r="G84" t="str">
        <f t="shared" si="22"/>
        <v>439371394</v>
      </c>
      <c r="H84" t="str">
        <f t="shared" si="23"/>
        <v>Tracking</v>
      </c>
      <c r="I84">
        <f t="shared" si="24"/>
        <v>0</v>
      </c>
      <c r="J84">
        <f t="shared" si="25"/>
        <v>31</v>
      </c>
      <c r="K84" s="4">
        <f t="shared" si="15"/>
        <v>3.5000000000000001E-3</v>
      </c>
      <c r="L84">
        <f t="shared" si="16"/>
        <v>2.5000000000000001E-2</v>
      </c>
      <c r="M84" s="4">
        <f t="shared" si="13"/>
        <v>0.1085</v>
      </c>
      <c r="N84" s="4">
        <f t="shared" si="14"/>
        <v>0.77500000000000002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alp_ecom_conversao_ecom_facebook_social_pagepost_social_got_look-2-desk_cpm_1200x628_111202</v>
      </c>
      <c r="D85" t="str">
        <f t="shared" si="20"/>
        <v>247894828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alp_ecom_conversao_ecom_facebook_social_pagepost_social_got_look-2-desk_cpm_1200x628_111202</v>
      </c>
      <c r="G85" t="str">
        <f t="shared" si="22"/>
        <v>444247232</v>
      </c>
      <c r="H85" t="str">
        <f t="shared" si="23"/>
        <v>Tracking</v>
      </c>
      <c r="I85">
        <f t="shared" si="24"/>
        <v>0</v>
      </c>
      <c r="J85">
        <f t="shared" si="25"/>
        <v>1</v>
      </c>
      <c r="K85" s="4">
        <f t="shared" si="15"/>
        <v>3.5000000000000001E-3</v>
      </c>
      <c r="L85">
        <f t="shared" si="16"/>
        <v>2.5000000000000001E-2</v>
      </c>
      <c r="M85" s="4">
        <f t="shared" si="13"/>
        <v>3.5000000000000001E-3</v>
      </c>
      <c r="N85" s="4">
        <f t="shared" si="14"/>
        <v>2.5000000000000001E-2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alp_ecom_conversao_ecom_facebook_social_pagepost_social_got_look-2-mobile_cpc_1200x628_111121</v>
      </c>
      <c r="D86" t="str">
        <f t="shared" si="20"/>
        <v>242863386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alp_ecom_conversao_ecom_facebook_social_pagepost_social_got_look-2-mobile_cpc_1200x628_111121</v>
      </c>
      <c r="G86" t="str">
        <f t="shared" si="22"/>
        <v>439371391</v>
      </c>
      <c r="H86" t="str">
        <f t="shared" si="23"/>
        <v>Tracking</v>
      </c>
      <c r="I86">
        <f t="shared" si="24"/>
        <v>0</v>
      </c>
      <c r="J86">
        <f t="shared" si="25"/>
        <v>179</v>
      </c>
      <c r="K86" s="4">
        <f t="shared" si="15"/>
        <v>3.5000000000000001E-3</v>
      </c>
      <c r="L86">
        <f t="shared" si="16"/>
        <v>2.5000000000000001E-2</v>
      </c>
      <c r="M86" s="4">
        <f t="shared" si="13"/>
        <v>0.62650000000000006</v>
      </c>
      <c r="N86" s="4">
        <f t="shared" si="14"/>
        <v>4.4750000000000005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alp_ecom_conversao_ecom_facebook_social_pagepost_social_got_rmk-30-mobile_cpc_1200x628_111121</v>
      </c>
      <c r="D87" t="str">
        <f t="shared" si="20"/>
        <v>242863380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alp_ecom_conversao_ecom_facebook_social_pagepost_social_got_rmk-30-mobile_cpc_1200x628_111121</v>
      </c>
      <c r="G87" t="str">
        <f t="shared" si="22"/>
        <v>439371385</v>
      </c>
      <c r="H87" t="str">
        <f t="shared" si="23"/>
        <v>Tracking</v>
      </c>
      <c r="I87">
        <f t="shared" si="24"/>
        <v>0</v>
      </c>
      <c r="J87">
        <f t="shared" si="25"/>
        <v>376</v>
      </c>
      <c r="K87" s="4">
        <f t="shared" si="15"/>
        <v>3.5000000000000001E-3</v>
      </c>
      <c r="L87">
        <f t="shared" si="16"/>
        <v>2.5000000000000001E-2</v>
      </c>
      <c r="M87" s="4">
        <f t="shared" si="13"/>
        <v>1.3160000000000001</v>
      </c>
      <c r="N87" s="4">
        <f t="shared" si="14"/>
        <v>9.4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alp_ecom_conversao_ecom_facebook_social_pagepost_social_got_rmk-30-mobile_cpm_1200x628_111202</v>
      </c>
      <c r="D88" t="str">
        <f t="shared" si="20"/>
        <v>247894819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alp_ecom_conversao_ecom_facebook_social_pagepost_social_got_rmk-30-mobile_cpm_1200x628_111202</v>
      </c>
      <c r="G88" t="str">
        <f t="shared" si="22"/>
        <v>444247223</v>
      </c>
      <c r="H88" t="str">
        <f t="shared" si="23"/>
        <v>Tracking</v>
      </c>
      <c r="I88">
        <f t="shared" si="24"/>
        <v>0</v>
      </c>
      <c r="J88">
        <f t="shared" si="25"/>
        <v>16</v>
      </c>
      <c r="K88" s="4">
        <f t="shared" si="15"/>
        <v>3.5000000000000001E-3</v>
      </c>
      <c r="L88">
        <f t="shared" si="16"/>
        <v>2.5000000000000001E-2</v>
      </c>
      <c r="M88" s="4">
        <f t="shared" si="13"/>
        <v>5.6000000000000001E-2</v>
      </c>
      <c r="N88" s="4">
        <f t="shared" si="14"/>
        <v>0.4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alp_ecom_conversao_ecom_facebook_social_pagepost_social_got_rmk-30_cpc_1200x628_111121</v>
      </c>
      <c r="D89" t="str">
        <f t="shared" si="20"/>
        <v>242863383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alp_ecom_conversao_ecom_facebook_social_pagepost_social_got_rmk-30_cpc_1200x628_111121</v>
      </c>
      <c r="G89" t="str">
        <f t="shared" si="22"/>
        <v>439371388</v>
      </c>
      <c r="H89" t="str">
        <f t="shared" si="23"/>
        <v>Tracking</v>
      </c>
      <c r="I89">
        <f t="shared" si="24"/>
        <v>0</v>
      </c>
      <c r="J89">
        <f t="shared" si="25"/>
        <v>53</v>
      </c>
      <c r="K89" s="4">
        <f t="shared" si="15"/>
        <v>3.5000000000000001E-3</v>
      </c>
      <c r="L89">
        <f t="shared" si="16"/>
        <v>2.5000000000000001E-2</v>
      </c>
      <c r="M89" s="4">
        <f t="shared" si="13"/>
        <v>0.1855</v>
      </c>
      <c r="N89" s="4">
        <f t="shared" si="14"/>
        <v>1.3250000000000002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alp_ecom_conversao_ecom_facebook_social_pagepost_social_got_rmk-30_cpm_1200x628_111202</v>
      </c>
      <c r="D90" t="str">
        <f t="shared" si="20"/>
        <v>247894822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alp_ecom_conversao_ecom_facebook_social_pagepost_social_got_rmk-30_cpm_1200x628_111202</v>
      </c>
      <c r="G90" t="str">
        <f t="shared" si="22"/>
        <v>444247226</v>
      </c>
      <c r="H90" t="str">
        <f t="shared" si="23"/>
        <v>Tracking</v>
      </c>
      <c r="I90">
        <f t="shared" si="24"/>
        <v>0</v>
      </c>
      <c r="J90">
        <f t="shared" si="25"/>
        <v>1</v>
      </c>
      <c r="K90" s="4">
        <f t="shared" si="15"/>
        <v>3.5000000000000001E-3</v>
      </c>
      <c r="L90">
        <f t="shared" si="16"/>
        <v>2.5000000000000001E-2</v>
      </c>
      <c r="M90" s="4">
        <f t="shared" si="13"/>
        <v>3.5000000000000001E-3</v>
      </c>
      <c r="N90" s="4">
        <f t="shared" si="14"/>
        <v>2.5000000000000001E-2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alp_ecom_conversao_ecom_facebook_social_pagepost_social_harry-potter_look-1-desk_cpc_1200x628_111119</v>
      </c>
      <c r="D91" t="str">
        <f t="shared" si="20"/>
        <v>242342682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alp_ecom_conversao_ecom_facebook_social_pagepost_social_harry-potter_look-1-desk_cpc_1200x628_111119</v>
      </c>
      <c r="G91" t="str">
        <f t="shared" si="22"/>
        <v>438874518</v>
      </c>
      <c r="H91" t="str">
        <f t="shared" si="23"/>
        <v>Tracking</v>
      </c>
      <c r="I91">
        <f t="shared" si="24"/>
        <v>0</v>
      </c>
      <c r="J91">
        <f t="shared" si="25"/>
        <v>1</v>
      </c>
      <c r="K91" s="4">
        <f t="shared" si="15"/>
        <v>3.5000000000000001E-3</v>
      </c>
      <c r="L91">
        <f t="shared" si="16"/>
        <v>2.5000000000000001E-2</v>
      </c>
      <c r="M91" s="4">
        <f t="shared" si="13"/>
        <v>3.5000000000000001E-3</v>
      </c>
      <c r="N91" s="4">
        <f t="shared" si="14"/>
        <v>2.5000000000000001E-2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alp_ecom_conversao_ecom_facebook_social_pagepost_social_havaianas-nautical_curte-havaianas_cpm_1200x628_111147</v>
      </c>
      <c r="D92" t="str">
        <f t="shared" si="20"/>
        <v>245616690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alp_ecom_conversao_ecom_facebook_social_pagepost_social_havaianas-nautical_curte-havaianas_cpm_1200x628_111147</v>
      </c>
      <c r="G92" t="str">
        <f t="shared" si="22"/>
        <v>442111811</v>
      </c>
      <c r="H92" t="str">
        <f t="shared" si="23"/>
        <v>Tracking</v>
      </c>
      <c r="I92">
        <f t="shared" si="24"/>
        <v>0</v>
      </c>
      <c r="J92">
        <f t="shared" si="25"/>
        <v>183</v>
      </c>
      <c r="K92" s="4">
        <f t="shared" si="15"/>
        <v>3.5000000000000001E-3</v>
      </c>
      <c r="L92">
        <f t="shared" si="16"/>
        <v>2.5000000000000001E-2</v>
      </c>
      <c r="M92" s="4">
        <f t="shared" si="13"/>
        <v>0.64049999999999996</v>
      </c>
      <c r="N92" s="4">
        <f t="shared" si="14"/>
        <v>4.5750000000000002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alp_ecom_conversao_ecom_facebook_social_pagepost_social_havaianas-nautical_look-1-desk_cpm_1200x628_111147</v>
      </c>
      <c r="D93" t="str">
        <f t="shared" si="20"/>
        <v>245616687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alp_ecom_conversao_ecom_facebook_social_pagepost_social_havaianas-nautical_look-1-desk_cpm_1200x628_111147</v>
      </c>
      <c r="G93" t="str">
        <f t="shared" si="22"/>
        <v>442111808</v>
      </c>
      <c r="H93" t="str">
        <f t="shared" si="23"/>
        <v>Tracking</v>
      </c>
      <c r="I93">
        <f t="shared" si="24"/>
        <v>0</v>
      </c>
      <c r="J93">
        <f t="shared" si="25"/>
        <v>2</v>
      </c>
      <c r="K93" s="4">
        <f t="shared" si="15"/>
        <v>3.5000000000000001E-3</v>
      </c>
      <c r="L93">
        <f t="shared" si="16"/>
        <v>2.5000000000000001E-2</v>
      </c>
      <c r="M93" s="4">
        <f t="shared" si="13"/>
        <v>7.0000000000000001E-3</v>
      </c>
      <c r="N93" s="4">
        <f t="shared" si="14"/>
        <v>0.05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alp_ecom_conversao_ecom_facebook_social_pagepost_social_havaianas-nautical_look-1-mobile_cpm_1200x628_111147</v>
      </c>
      <c r="D94" t="str">
        <f t="shared" si="20"/>
        <v>245616684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alp_ecom_conversao_ecom_facebook_social_pagepost_social_havaianas-nautical_look-1-mobile_cpm_1200x628_111147</v>
      </c>
      <c r="G94" t="str">
        <f t="shared" si="22"/>
        <v>442111805</v>
      </c>
      <c r="H94" t="str">
        <f t="shared" si="23"/>
        <v>Tracking</v>
      </c>
      <c r="I94">
        <f t="shared" si="24"/>
        <v>0</v>
      </c>
      <c r="J94">
        <f t="shared" si="25"/>
        <v>9</v>
      </c>
      <c r="K94" s="4">
        <f t="shared" si="15"/>
        <v>3.5000000000000001E-3</v>
      </c>
      <c r="L94">
        <f t="shared" si="16"/>
        <v>2.5000000000000001E-2</v>
      </c>
      <c r="M94" s="4">
        <f t="shared" si="13"/>
        <v>3.15E-2</v>
      </c>
      <c r="N94" s="4">
        <f t="shared" si="14"/>
        <v>0.22500000000000001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alp_ecom_conversao_ecom_facebook_social_pagepost_social_havaianas-nautical_look-2-mobile_cpm_1200x628_111147</v>
      </c>
      <c r="D95" t="str">
        <f t="shared" si="20"/>
        <v>245616678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alp_ecom_conversao_ecom_facebook_social_pagepost_social_havaianas-nautical_look-2-mobile_cpm_1200x628_111147</v>
      </c>
      <c r="G95" t="str">
        <f t="shared" si="22"/>
        <v>442111799</v>
      </c>
      <c r="H95" t="str">
        <f t="shared" si="23"/>
        <v>Tracking</v>
      </c>
      <c r="I95">
        <f t="shared" si="24"/>
        <v>0</v>
      </c>
      <c r="J95">
        <f t="shared" si="25"/>
        <v>7</v>
      </c>
      <c r="K95" s="4">
        <f t="shared" si="15"/>
        <v>3.5000000000000001E-3</v>
      </c>
      <c r="L95">
        <f t="shared" si="16"/>
        <v>2.5000000000000001E-2</v>
      </c>
      <c r="M95" s="4">
        <f t="shared" si="13"/>
        <v>2.4500000000000001E-2</v>
      </c>
      <c r="N95" s="4">
        <f t="shared" si="14"/>
        <v>0.17500000000000002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alp_ecom_conversao_ecom_facebook_social_pagepost_social_havaianas-nautical_rmk-30-mobile_cpm_1200x628_111147</v>
      </c>
      <c r="D96" t="str">
        <f t="shared" si="20"/>
        <v>245616672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alp_ecom_conversao_ecom_facebook_social_pagepost_social_havaianas-nautical_rmk-30-mobile_cpm_1200x628_111147</v>
      </c>
      <c r="G96" t="str">
        <f t="shared" si="22"/>
        <v>442111793</v>
      </c>
      <c r="H96" t="str">
        <f t="shared" si="23"/>
        <v>Tracking</v>
      </c>
      <c r="I96">
        <f t="shared" si="24"/>
        <v>0</v>
      </c>
      <c r="J96">
        <f t="shared" si="25"/>
        <v>84</v>
      </c>
      <c r="K96" s="4">
        <f t="shared" si="15"/>
        <v>3.5000000000000001E-3</v>
      </c>
      <c r="L96">
        <f t="shared" si="16"/>
        <v>2.5000000000000001E-2</v>
      </c>
      <c r="M96" s="4">
        <f t="shared" si="13"/>
        <v>0.29399999999999998</v>
      </c>
      <c r="N96" s="4">
        <f t="shared" si="14"/>
        <v>2.1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alp_ecom_conversao_ecom_facebook_social_pagepost_social_havaianas-nautical_rmk-30_cpm_1200x628_111147</v>
      </c>
      <c r="D97" t="str">
        <f t="shared" si="20"/>
        <v>245616675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alp_ecom_conversao_ecom_facebook_social_pagepost_social_havaianas-nautical_rmk-30_cpm_1200x628_111147</v>
      </c>
      <c r="G97" t="str">
        <f t="shared" si="22"/>
        <v>442111796</v>
      </c>
      <c r="H97" t="str">
        <f t="shared" si="23"/>
        <v>Tracking</v>
      </c>
      <c r="I97">
        <f t="shared" si="24"/>
        <v>0</v>
      </c>
      <c r="J97">
        <f t="shared" si="25"/>
        <v>4</v>
      </c>
      <c r="K97" s="4">
        <f t="shared" si="15"/>
        <v>3.5000000000000001E-3</v>
      </c>
      <c r="L97">
        <f t="shared" si="16"/>
        <v>2.5000000000000001E-2</v>
      </c>
      <c r="M97" s="4">
        <f t="shared" si="13"/>
        <v>1.4E-2</v>
      </c>
      <c r="N97" s="4">
        <f t="shared" si="14"/>
        <v>0.1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alp_ecom_conversao_ecom_facebook_social_pagepost_social_havaianas-outlet_curte-havaianas_cpm_1200x628_111205</v>
      </c>
      <c r="D98" t="str">
        <f t="shared" si="20"/>
        <v>248092946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alp_ecom_conversao_ecom_facebook_social_pagepost_social_havaianas-outlet_curte-havaianas_cpm_1200x628_111205</v>
      </c>
      <c r="G98" t="str">
        <f t="shared" si="22"/>
        <v>444520668</v>
      </c>
      <c r="H98" t="str">
        <f t="shared" si="23"/>
        <v>Tracking</v>
      </c>
      <c r="I98">
        <f t="shared" si="24"/>
        <v>0</v>
      </c>
      <c r="J98">
        <f t="shared" si="25"/>
        <v>26</v>
      </c>
      <c r="K98" s="4">
        <f t="shared" si="15"/>
        <v>3.5000000000000001E-3</v>
      </c>
      <c r="L98">
        <f t="shared" si="16"/>
        <v>2.5000000000000001E-2</v>
      </c>
      <c r="M98" s="4">
        <f t="shared" si="13"/>
        <v>9.0999999999999998E-2</v>
      </c>
      <c r="N98" s="4">
        <f t="shared" si="14"/>
        <v>0.65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alp_ecom_conversao_ecom_facebook_social_pagepost_social_havaianas-outlet_interesse-promocao_cpm_1200x628_111205</v>
      </c>
      <c r="D99" t="str">
        <f t="shared" si="20"/>
        <v>248092925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alp_ecom_conversao_ecom_facebook_social_pagepost_social_havaianas-outlet_interesse-promocao_cpm_1200x628_111205</v>
      </c>
      <c r="G99" t="str">
        <f t="shared" si="22"/>
        <v>444520647</v>
      </c>
      <c r="H99" t="str">
        <f t="shared" si="23"/>
        <v>Tracking</v>
      </c>
      <c r="I99">
        <f t="shared" si="24"/>
        <v>0</v>
      </c>
      <c r="J99">
        <f t="shared" si="25"/>
        <v>10</v>
      </c>
      <c r="K99" s="4">
        <f t="shared" si="15"/>
        <v>3.5000000000000001E-3</v>
      </c>
      <c r="L99">
        <f t="shared" si="16"/>
        <v>2.5000000000000001E-2</v>
      </c>
      <c r="M99" s="4">
        <f t="shared" ref="M99:M162" si="26">IF(E99="Dynamic Click",J99*K99,K99*$I99/1000)</f>
        <v>3.5000000000000003E-2</v>
      </c>
      <c r="N99" s="4">
        <f t="shared" ref="N99:N162" si="27">IF(E99="Dynamic Click",J99*L99,L99*$I99/1000)</f>
        <v>0.25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alp_ecom_conversao_ecom_facebook_social_pagepost_social_havaianas-outlet_look-1-desk_cpm_1200x628_111205</v>
      </c>
      <c r="D100" t="str">
        <f t="shared" si="20"/>
        <v>248092943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alp_ecom_conversao_ecom_facebook_social_pagepost_social_havaianas-outlet_look-1-desk_cpm_1200x628_111205</v>
      </c>
      <c r="G100" t="str">
        <f t="shared" si="22"/>
        <v>444520665</v>
      </c>
      <c r="H100" t="str">
        <f t="shared" si="23"/>
        <v>Tracking</v>
      </c>
      <c r="I100">
        <f t="shared" si="24"/>
        <v>0</v>
      </c>
      <c r="J100">
        <f t="shared" si="25"/>
        <v>1</v>
      </c>
      <c r="K100" s="4">
        <f t="shared" si="15"/>
        <v>3.5000000000000001E-3</v>
      </c>
      <c r="L100">
        <f t="shared" si="16"/>
        <v>2.5000000000000001E-2</v>
      </c>
      <c r="M100" s="4">
        <f t="shared" si="26"/>
        <v>3.5000000000000001E-3</v>
      </c>
      <c r="N100" s="4">
        <f t="shared" si="27"/>
        <v>2.5000000000000001E-2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alp_ecom_conversao_ecom_facebook_social_pagepost_social_havaianas-outlet_look-1-mobile_cpm_1200x628_111205</v>
      </c>
      <c r="D101" t="str">
        <f t="shared" si="20"/>
        <v>248092940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alp_ecom_conversao_ecom_facebook_social_pagepost_social_havaianas-outlet_look-1-mobile_cpm_1200x628_111205</v>
      </c>
      <c r="G101" t="str">
        <f t="shared" si="22"/>
        <v>444520662</v>
      </c>
      <c r="H101" t="str">
        <f t="shared" si="23"/>
        <v>Tracking</v>
      </c>
      <c r="I101">
        <f t="shared" si="24"/>
        <v>0</v>
      </c>
      <c r="J101">
        <f t="shared" si="25"/>
        <v>1</v>
      </c>
      <c r="K101" s="4">
        <f t="shared" si="15"/>
        <v>3.5000000000000001E-3</v>
      </c>
      <c r="L101">
        <f t="shared" si="16"/>
        <v>2.5000000000000001E-2</v>
      </c>
      <c r="M101" s="4">
        <f t="shared" si="26"/>
        <v>3.5000000000000001E-3</v>
      </c>
      <c r="N101" s="4">
        <f t="shared" si="27"/>
        <v>2.5000000000000001E-2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alp_ecom_conversao_ecom_facebook_social_pagepost_social_havaianas-outlet_look-2-desk_cpm_1200x628_111205</v>
      </c>
      <c r="D102" t="str">
        <f t="shared" si="20"/>
        <v>248092937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alp_ecom_conversao_ecom_facebook_social_pagepost_social_havaianas-outlet_look-2-desk_cpm_1200x628_111205</v>
      </c>
      <c r="G102" t="str">
        <f t="shared" si="22"/>
        <v>444520659</v>
      </c>
      <c r="H102" t="str">
        <f t="shared" si="23"/>
        <v>Tracking</v>
      </c>
      <c r="I102">
        <f t="shared" si="24"/>
        <v>0</v>
      </c>
      <c r="J102">
        <f t="shared" si="25"/>
        <v>1</v>
      </c>
      <c r="K102" s="4">
        <f t="shared" si="15"/>
        <v>3.5000000000000001E-3</v>
      </c>
      <c r="L102">
        <f t="shared" si="16"/>
        <v>2.5000000000000001E-2</v>
      </c>
      <c r="M102" s="4">
        <f t="shared" si="26"/>
        <v>3.5000000000000001E-3</v>
      </c>
      <c r="N102" s="4">
        <f t="shared" si="27"/>
        <v>2.5000000000000001E-2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alp_ecom_conversao_ecom_facebook_social_pagepost_social_havaianas-outlet_look-2-mobile_cpm_1200x628_111205</v>
      </c>
      <c r="D103" t="str">
        <f t="shared" si="20"/>
        <v>248092934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alp_ecom_conversao_ecom_facebook_social_pagepost_social_havaianas-outlet_look-2-mobile_cpm_1200x628_111205</v>
      </c>
      <c r="G103" t="str">
        <f t="shared" si="22"/>
        <v>444520656</v>
      </c>
      <c r="H103" t="str">
        <f t="shared" si="23"/>
        <v>Tracking</v>
      </c>
      <c r="I103">
        <f t="shared" si="24"/>
        <v>0</v>
      </c>
      <c r="J103">
        <f t="shared" si="25"/>
        <v>1</v>
      </c>
      <c r="K103" s="4">
        <f t="shared" si="15"/>
        <v>3.5000000000000001E-3</v>
      </c>
      <c r="L103">
        <f t="shared" si="16"/>
        <v>2.5000000000000001E-2</v>
      </c>
      <c r="M103" s="4">
        <f t="shared" si="26"/>
        <v>3.5000000000000001E-3</v>
      </c>
      <c r="N103" s="4">
        <f t="shared" si="27"/>
        <v>2.5000000000000001E-2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alp_ecom_conversao_ecom_facebook_social_pagepost_social_havaianas-outlet_rmk-30-mobile_cpm_1200x628_111205</v>
      </c>
      <c r="D104" t="str">
        <f t="shared" si="20"/>
        <v>248092928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alp_ecom_conversao_ecom_facebook_social_pagepost_social_havaianas-outlet_rmk-30-mobile_cpm_1200x628_111205</v>
      </c>
      <c r="G104" t="str">
        <f t="shared" si="22"/>
        <v>444520650</v>
      </c>
      <c r="H104" t="str">
        <f t="shared" si="23"/>
        <v>Tracking</v>
      </c>
      <c r="I104">
        <f t="shared" si="24"/>
        <v>0</v>
      </c>
      <c r="J104">
        <f t="shared" si="25"/>
        <v>1</v>
      </c>
      <c r="K104" s="4">
        <f t="shared" si="15"/>
        <v>3.5000000000000001E-3</v>
      </c>
      <c r="L104">
        <f t="shared" si="16"/>
        <v>2.5000000000000001E-2</v>
      </c>
      <c r="M104" s="4">
        <f t="shared" si="26"/>
        <v>3.5000000000000001E-3</v>
      </c>
      <c r="N104" s="4">
        <f t="shared" si="27"/>
        <v>2.5000000000000001E-2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alp_ecom_conversao_ecom_facebook_social_pagepost_social_havaianas-tarsila_curte-havaianas_cpm_1200x628_111204</v>
      </c>
      <c r="D105" t="str">
        <f t="shared" si="20"/>
        <v>248200612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alp_ecom_conversao_ecom_facebook_social_pagepost_social_havaianas-tarsila_curte-havaianas_cpm_1200x628_111204</v>
      </c>
      <c r="G105" t="str">
        <f t="shared" si="22"/>
        <v>444464439</v>
      </c>
      <c r="H105" t="str">
        <f t="shared" si="23"/>
        <v>Tracking</v>
      </c>
      <c r="I105">
        <f t="shared" si="24"/>
        <v>0</v>
      </c>
      <c r="J105">
        <f t="shared" si="25"/>
        <v>59</v>
      </c>
      <c r="K105" s="4">
        <f t="shared" si="15"/>
        <v>3.5000000000000001E-3</v>
      </c>
      <c r="L105">
        <f t="shared" si="16"/>
        <v>2.5000000000000001E-2</v>
      </c>
      <c r="M105" s="4">
        <f t="shared" si="26"/>
        <v>0.20650000000000002</v>
      </c>
      <c r="N105" s="4">
        <f t="shared" si="27"/>
        <v>1.4750000000000001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alp_ecom_conversao_ecom_facebook_social_pagepost_social_havaianas-tarsila_interesse-artes_cpm_1200x628_111204</v>
      </c>
      <c r="D106" t="str">
        <f t="shared" si="20"/>
        <v>248042777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alp_ecom_conversao_ecom_facebook_social_pagepost_social_havaianas-tarsila_interesse-artes_cpm_1200x628_111204</v>
      </c>
      <c r="G106" t="str">
        <f t="shared" si="22"/>
        <v>444535433</v>
      </c>
      <c r="H106" t="str">
        <f t="shared" si="23"/>
        <v>Tracking</v>
      </c>
      <c r="I106">
        <f t="shared" si="24"/>
        <v>0</v>
      </c>
      <c r="J106">
        <f t="shared" si="25"/>
        <v>265</v>
      </c>
      <c r="K106" s="4">
        <f t="shared" si="15"/>
        <v>3.5000000000000001E-3</v>
      </c>
      <c r="L106">
        <f t="shared" si="16"/>
        <v>2.5000000000000001E-2</v>
      </c>
      <c r="M106" s="4">
        <f t="shared" si="26"/>
        <v>0.92749999999999999</v>
      </c>
      <c r="N106" s="4">
        <f t="shared" si="27"/>
        <v>6.625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alp_ecom_conversao_ecom_facebook_social_pagepost_social_liquida-feira_curte-havaianas_cpm_1200x628_111196</v>
      </c>
      <c r="D107" t="str">
        <f t="shared" si="20"/>
        <v>247089722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alp_ecom_conversao_ecom_facebook_social_pagepost_social_liquida-feira_curte-havaianas_cpm_1200x628_111196</v>
      </c>
      <c r="G107" t="str">
        <f t="shared" si="22"/>
        <v>443680114</v>
      </c>
      <c r="H107" t="str">
        <f t="shared" si="23"/>
        <v>Tracking</v>
      </c>
      <c r="I107">
        <f t="shared" si="24"/>
        <v>0</v>
      </c>
      <c r="J107">
        <f t="shared" si="25"/>
        <v>18912</v>
      </c>
      <c r="K107" s="4">
        <f t="shared" si="15"/>
        <v>3.5000000000000001E-3</v>
      </c>
      <c r="L107">
        <f t="shared" si="16"/>
        <v>2.5000000000000001E-2</v>
      </c>
      <c r="M107" s="4">
        <f t="shared" si="26"/>
        <v>66.192000000000007</v>
      </c>
      <c r="N107" s="4">
        <f t="shared" si="27"/>
        <v>472.8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alp_ecom_conversao_ecom_facebook_social_pagepost_social_liquida-feira_look-1-desk_cpm_1200x628_111196</v>
      </c>
      <c r="D108" t="str">
        <f t="shared" si="20"/>
        <v>247089719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alp_ecom_conversao_ecom_facebook_social_pagepost_social_liquida-feira_look-1-desk_cpm_1200x628_111196</v>
      </c>
      <c r="G108" t="str">
        <f t="shared" si="22"/>
        <v>443680111</v>
      </c>
      <c r="H108" t="str">
        <f t="shared" si="23"/>
        <v>Tracking</v>
      </c>
      <c r="I108">
        <f t="shared" si="24"/>
        <v>0</v>
      </c>
      <c r="J108">
        <f t="shared" si="25"/>
        <v>107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2.5000000000000001E-2</v>
      </c>
      <c r="M108" s="4">
        <f t="shared" si="26"/>
        <v>0.3745</v>
      </c>
      <c r="N108" s="4">
        <f t="shared" si="27"/>
        <v>2.6750000000000003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alp_ecom_conversao_ecom_facebook_social_pagepost_social_liquida-feira_look-1-mobile_cpm_1200x628_111196</v>
      </c>
      <c r="D109" t="str">
        <f t="shared" si="20"/>
        <v>247089785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alp_ecom_conversao_ecom_facebook_social_pagepost_social_liquida-feira_look-1-mobile_cpm_1200x628_111196</v>
      </c>
      <c r="G109" t="str">
        <f t="shared" si="22"/>
        <v>443680177</v>
      </c>
      <c r="H109" t="str">
        <f t="shared" si="23"/>
        <v>Tracking</v>
      </c>
      <c r="I109">
        <f t="shared" si="24"/>
        <v>0</v>
      </c>
      <c r="J109">
        <f t="shared" si="25"/>
        <v>1024</v>
      </c>
      <c r="K109" s="4">
        <f t="shared" si="28"/>
        <v>3.5000000000000001E-3</v>
      </c>
      <c r="L109">
        <f t="shared" si="29"/>
        <v>2.5000000000000001E-2</v>
      </c>
      <c r="M109" s="4">
        <f t="shared" si="26"/>
        <v>3.5840000000000001</v>
      </c>
      <c r="N109" s="4">
        <f t="shared" si="27"/>
        <v>25.6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alp_ecom_conversao_ecom_facebook_social_pagepost_social_liquida-feira_look-2-desk_cpm_1200x628_111196</v>
      </c>
      <c r="D110" t="str">
        <f t="shared" si="20"/>
        <v>247089779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alp_ecom_conversao_ecom_facebook_social_pagepost_social_liquida-feira_look-2-desk_cpm_1200x628_111196</v>
      </c>
      <c r="G110" t="str">
        <f t="shared" si="22"/>
        <v>443680171</v>
      </c>
      <c r="H110" t="str">
        <f t="shared" si="23"/>
        <v>Tracking</v>
      </c>
      <c r="I110">
        <f t="shared" si="24"/>
        <v>0</v>
      </c>
      <c r="J110">
        <f t="shared" si="25"/>
        <v>14</v>
      </c>
      <c r="K110" s="4">
        <f t="shared" si="28"/>
        <v>3.5000000000000001E-3</v>
      </c>
      <c r="L110">
        <f t="shared" si="29"/>
        <v>2.5000000000000001E-2</v>
      </c>
      <c r="M110" s="4">
        <f t="shared" si="26"/>
        <v>4.9000000000000002E-2</v>
      </c>
      <c r="N110" s="4">
        <f t="shared" si="27"/>
        <v>0.35000000000000003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alp_ecom_conversao_ecom_facebook_social_pagepost_social_liquida-feira_look-2-mobile_cpm_1200x628_111196</v>
      </c>
      <c r="D111" t="str">
        <f t="shared" si="20"/>
        <v>247089773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alp_ecom_conversao_ecom_facebook_social_pagepost_social_liquida-feira_look-2-mobile_cpm_1200x628_111196</v>
      </c>
      <c r="G111" t="str">
        <f t="shared" si="22"/>
        <v>443680165</v>
      </c>
      <c r="H111" t="str">
        <f t="shared" si="23"/>
        <v>Tracking</v>
      </c>
      <c r="I111">
        <f t="shared" si="24"/>
        <v>0</v>
      </c>
      <c r="J111">
        <f t="shared" si="25"/>
        <v>309</v>
      </c>
      <c r="K111" s="4">
        <f t="shared" si="28"/>
        <v>3.5000000000000001E-3</v>
      </c>
      <c r="L111">
        <f t="shared" si="29"/>
        <v>2.5000000000000001E-2</v>
      </c>
      <c r="M111" s="4">
        <f t="shared" si="26"/>
        <v>1.0815000000000001</v>
      </c>
      <c r="N111" s="4">
        <f t="shared" si="27"/>
        <v>7.7250000000000005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alp_ecom_conversao_ecom_facebook_social_pagepost_social_liquida-feira_rmk-30-mobile_cpm_1200x628_111196</v>
      </c>
      <c r="D112" t="str">
        <f t="shared" si="20"/>
        <v>247089761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alp_ecom_conversao_ecom_facebook_social_pagepost_social_liquida-feira_rmk-30-mobile_cpm_1200x628_111196</v>
      </c>
      <c r="G112" t="str">
        <f t="shared" si="22"/>
        <v>443680153</v>
      </c>
      <c r="H112" t="str">
        <f t="shared" si="23"/>
        <v>Tracking</v>
      </c>
      <c r="I112">
        <f t="shared" si="24"/>
        <v>0</v>
      </c>
      <c r="J112">
        <f t="shared" si="25"/>
        <v>2193</v>
      </c>
      <c r="K112" s="4">
        <f t="shared" si="28"/>
        <v>3.5000000000000001E-3</v>
      </c>
      <c r="L112">
        <f t="shared" si="29"/>
        <v>2.5000000000000001E-2</v>
      </c>
      <c r="M112" s="4">
        <f t="shared" si="26"/>
        <v>7.6755000000000004</v>
      </c>
      <c r="N112" s="4">
        <f t="shared" si="27"/>
        <v>54.825000000000003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alp_ecom_conversao_ecom_facebook_social_pagepost_social_liquida-feira_rmk-30_cpm_1200x628_111196</v>
      </c>
      <c r="D113" t="str">
        <f t="shared" si="20"/>
        <v>247089767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alp_ecom_conversao_ecom_facebook_social_pagepost_social_liquida-feira_rmk-30_cpm_1200x628_111196</v>
      </c>
      <c r="G113" t="str">
        <f t="shared" si="22"/>
        <v>443680159</v>
      </c>
      <c r="H113" t="str">
        <f t="shared" si="23"/>
        <v>Tracking</v>
      </c>
      <c r="I113">
        <f t="shared" si="24"/>
        <v>0</v>
      </c>
      <c r="J113">
        <f t="shared" si="25"/>
        <v>79</v>
      </c>
      <c r="K113" s="4">
        <f t="shared" si="28"/>
        <v>3.5000000000000001E-3</v>
      </c>
      <c r="L113">
        <f t="shared" si="29"/>
        <v>2.5000000000000001E-2</v>
      </c>
      <c r="M113" s="4">
        <f t="shared" si="26"/>
        <v>0.27650000000000002</v>
      </c>
      <c r="N113" s="4">
        <f t="shared" si="27"/>
        <v>1.9750000000000001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alp_ecom_conversao_ecom_facebook_social_pagepost_social_mario-bros_curte-havaianas_cpc_1200x628_111118</v>
      </c>
      <c r="D114" t="str">
        <f t="shared" si="20"/>
        <v>242342706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alp_ecom_conversao_ecom_facebook_social_pagepost_social_mario-bros_curte-havaianas_cpc_1200x628_111118</v>
      </c>
      <c r="G114" t="str">
        <f t="shared" si="22"/>
        <v>438874542</v>
      </c>
      <c r="H114" t="str">
        <f t="shared" si="23"/>
        <v>Tracking</v>
      </c>
      <c r="I114">
        <f t="shared" si="24"/>
        <v>0</v>
      </c>
      <c r="J114">
        <f t="shared" si="25"/>
        <v>1</v>
      </c>
      <c r="K114" s="4">
        <f t="shared" si="28"/>
        <v>3.5000000000000001E-3</v>
      </c>
      <c r="L114">
        <f t="shared" si="29"/>
        <v>2.5000000000000001E-2</v>
      </c>
      <c r="M114" s="4">
        <f t="shared" si="26"/>
        <v>3.5000000000000001E-3</v>
      </c>
      <c r="N114" s="4">
        <f t="shared" si="27"/>
        <v>2.5000000000000001E-2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alp_ecom_conversao_ecom_facebook_social_pagepost_social_namorados_curte-havaianas_cpm_1200x628_111203</v>
      </c>
      <c r="D115" t="str">
        <f t="shared" si="20"/>
        <v>247774619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alp_ecom_conversao_ecom_facebook_social_pagepost_social_namorados_curte-havaianas_cpm_1200x628_111203</v>
      </c>
      <c r="G115" t="str">
        <f t="shared" si="22"/>
        <v>444222291</v>
      </c>
      <c r="H115" t="str">
        <f t="shared" si="23"/>
        <v>Tracking</v>
      </c>
      <c r="I115">
        <f t="shared" si="24"/>
        <v>0</v>
      </c>
      <c r="J115">
        <f t="shared" si="25"/>
        <v>198</v>
      </c>
      <c r="K115" s="4">
        <f t="shared" si="28"/>
        <v>3.5000000000000001E-3</v>
      </c>
      <c r="L115">
        <f t="shared" si="29"/>
        <v>2.5000000000000001E-2</v>
      </c>
      <c r="M115" s="4">
        <f t="shared" si="26"/>
        <v>0.69300000000000006</v>
      </c>
      <c r="N115" s="4">
        <f t="shared" si="27"/>
        <v>4.95</v>
      </c>
    </row>
    <row r="116" spans="1:14">
      <c r="A116" t="str">
        <f t="shared" si="17"/>
        <v>alp_ecom</v>
      </c>
      <c r="B116" t="str">
        <f t="shared" si="18"/>
        <v>facebook.com.br</v>
      </c>
      <c r="C116" t="str">
        <f t="shared" si="19"/>
        <v>alp_ecom_conversao_ecom_facebook_social_pagepost_social_namorados_look-1-mobile_cpm_1200x628_111203</v>
      </c>
      <c r="D116" t="str">
        <f t="shared" si="20"/>
        <v>247774613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alp_ecom_conversao_ecom_facebook_social_pagepost_social_namorados_look-1-mobile_cpm_1200x628_111203</v>
      </c>
      <c r="G116" t="str">
        <f t="shared" si="22"/>
        <v>444222285</v>
      </c>
      <c r="H116" t="str">
        <f t="shared" si="23"/>
        <v>Tracking</v>
      </c>
      <c r="I116">
        <f t="shared" si="24"/>
        <v>0</v>
      </c>
      <c r="J116">
        <f t="shared" si="25"/>
        <v>1</v>
      </c>
      <c r="K116" s="4">
        <f t="shared" si="28"/>
        <v>3.5000000000000001E-3</v>
      </c>
      <c r="L116">
        <f t="shared" si="29"/>
        <v>2.5000000000000001E-2</v>
      </c>
      <c r="M116" s="4">
        <f t="shared" si="26"/>
        <v>3.5000000000000001E-3</v>
      </c>
      <c r="N116" s="4">
        <f t="shared" si="27"/>
        <v>2.5000000000000001E-2</v>
      </c>
    </row>
    <row r="117" spans="1:14">
      <c r="A117" t="str">
        <f t="shared" si="17"/>
        <v>alp_ecom</v>
      </c>
      <c r="B117" t="str">
        <f t="shared" si="18"/>
        <v>facebook.com.br</v>
      </c>
      <c r="C117" t="str">
        <f t="shared" si="19"/>
        <v>alp_ecom_conversao_ecom_facebook_social_pagepost_social_namorados_look-2-mobile_cpm_1200x628_111203</v>
      </c>
      <c r="D117" t="str">
        <f t="shared" si="20"/>
        <v>247774607</v>
      </c>
      <c r="E117" t="str">
        <f>IF(Table1[[#This Row],[Impressions]]&gt;Table1[[#This Row],[Clicks]],"Standard",VLOOKUP(CONCATENATE(bd_adtype,"_",bd_creativetype),tabela,2,FALSE))</f>
        <v>Dynamic Click</v>
      </c>
      <c r="F117" t="str">
        <f t="shared" si="21"/>
        <v>alp_ecom_conversao_ecom_facebook_social_pagepost_social_namorados_look-2-mobile_cpm_1200x628_111203</v>
      </c>
      <c r="G117" t="str">
        <f t="shared" si="22"/>
        <v>444222279</v>
      </c>
      <c r="H117" t="str">
        <f t="shared" si="23"/>
        <v>Tracking</v>
      </c>
      <c r="I117">
        <f t="shared" si="24"/>
        <v>0</v>
      </c>
      <c r="J117">
        <f t="shared" si="25"/>
        <v>1</v>
      </c>
      <c r="K117" s="4">
        <f t="shared" si="28"/>
        <v>3.5000000000000001E-3</v>
      </c>
      <c r="L117">
        <f t="shared" si="29"/>
        <v>2.5000000000000001E-2</v>
      </c>
      <c r="M117" s="4">
        <f t="shared" si="26"/>
        <v>3.5000000000000001E-3</v>
      </c>
      <c r="N117" s="4">
        <f t="shared" si="27"/>
        <v>2.5000000000000001E-2</v>
      </c>
    </row>
    <row r="118" spans="1:14">
      <c r="A118" t="str">
        <f t="shared" si="17"/>
        <v>alp_ecom</v>
      </c>
      <c r="B118" t="str">
        <f t="shared" si="18"/>
        <v>facebook.com.br</v>
      </c>
      <c r="C118" t="str">
        <f t="shared" si="19"/>
        <v>alp_ecom_conversao_ecom_facebook_social_pagepost_social_namorados_rmk-30-mobile_cpm_1200x628_111203</v>
      </c>
      <c r="D118" t="str">
        <f t="shared" si="20"/>
        <v>247774601</v>
      </c>
      <c r="E118" t="str">
        <f>IF(Table1[[#This Row],[Impressions]]&gt;Table1[[#This Row],[Clicks]],"Standard",VLOOKUP(CONCATENATE(bd_adtype,"_",bd_creativetype),tabela,2,FALSE))</f>
        <v>Dynamic Click</v>
      </c>
      <c r="F118" t="str">
        <f t="shared" si="21"/>
        <v>alp_ecom_conversao_ecom_facebook_social_pagepost_social_namorados_rmk-30-mobile_cpm_1200x628_111203</v>
      </c>
      <c r="G118" t="str">
        <f t="shared" si="22"/>
        <v>444222273</v>
      </c>
      <c r="H118" t="str">
        <f t="shared" si="23"/>
        <v>Tracking</v>
      </c>
      <c r="I118">
        <f t="shared" si="24"/>
        <v>0</v>
      </c>
      <c r="J118">
        <f t="shared" si="25"/>
        <v>59</v>
      </c>
      <c r="K118" s="4">
        <f t="shared" si="28"/>
        <v>3.5000000000000001E-3</v>
      </c>
      <c r="L118">
        <f t="shared" si="29"/>
        <v>2.5000000000000001E-2</v>
      </c>
      <c r="M118" s="4">
        <f t="shared" si="26"/>
        <v>0.20650000000000002</v>
      </c>
      <c r="N118" s="4">
        <f t="shared" si="27"/>
        <v>1.4750000000000001</v>
      </c>
    </row>
    <row r="119" spans="1:14">
      <c r="A119" t="str">
        <f t="shared" si="17"/>
        <v>alp_ecom</v>
      </c>
      <c r="B119" t="str">
        <f t="shared" si="18"/>
        <v>facebook.com.br</v>
      </c>
      <c r="C119" t="str">
        <f t="shared" si="19"/>
        <v>alp_ecom_conversao_ecom_facebook_social_pagepost_social_rasteiras-you_curte-havaianas_cpc_1200x628_111113</v>
      </c>
      <c r="D119" t="str">
        <f t="shared" si="20"/>
        <v>242206023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1"/>
        <v>alp_ecom_conversao_ecom_facebook_social_pagepost_social_rasteiras-you_curte-havaianas_cpc_1200x628_111113</v>
      </c>
      <c r="G119" t="str">
        <f t="shared" si="22"/>
        <v>438842639</v>
      </c>
      <c r="H119" t="str">
        <f t="shared" si="23"/>
        <v>Tracking</v>
      </c>
      <c r="I119">
        <f t="shared" si="24"/>
        <v>0</v>
      </c>
      <c r="J119">
        <f t="shared" si="25"/>
        <v>5069</v>
      </c>
      <c r="K119" s="4">
        <f t="shared" si="28"/>
        <v>3.5000000000000001E-3</v>
      </c>
      <c r="L119">
        <f t="shared" si="29"/>
        <v>2.5000000000000001E-2</v>
      </c>
      <c r="M119" s="4">
        <f t="shared" si="26"/>
        <v>17.741500000000002</v>
      </c>
      <c r="N119" s="4">
        <f t="shared" si="27"/>
        <v>126.72500000000001</v>
      </c>
    </row>
    <row r="120" spans="1:14">
      <c r="A120" t="str">
        <f t="shared" si="17"/>
        <v>alp_ecom</v>
      </c>
      <c r="B120" t="str">
        <f t="shared" si="18"/>
        <v>facebook.com.br</v>
      </c>
      <c r="C120" t="str">
        <f t="shared" si="19"/>
        <v>alp_ecom_conversao_ecom_facebook_social_pagepost_social_rasteiras-you_look-1-desk_cpc_1200x628_111113</v>
      </c>
      <c r="D120" t="str">
        <f t="shared" si="20"/>
        <v>242206014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alp_ecom_conversao_ecom_facebook_social_pagepost_social_rasteiras-you_look-1-desk_cpc_1200x628_111113</v>
      </c>
      <c r="G120" t="str">
        <f t="shared" si="22"/>
        <v>438842630</v>
      </c>
      <c r="H120" t="str">
        <f t="shared" si="23"/>
        <v>Tracking</v>
      </c>
      <c r="I120">
        <f t="shared" si="24"/>
        <v>0</v>
      </c>
      <c r="J120">
        <f t="shared" si="25"/>
        <v>39</v>
      </c>
      <c r="K120" s="4">
        <f t="shared" si="28"/>
        <v>3.5000000000000001E-3</v>
      </c>
      <c r="L120">
        <f t="shared" si="29"/>
        <v>2.5000000000000001E-2</v>
      </c>
      <c r="M120" s="4">
        <f t="shared" si="26"/>
        <v>0.13650000000000001</v>
      </c>
      <c r="N120" s="4">
        <f t="shared" si="27"/>
        <v>0.97500000000000009</v>
      </c>
    </row>
    <row r="121" spans="1:14">
      <c r="A121" t="str">
        <f t="shared" si="17"/>
        <v>alp_ecom</v>
      </c>
      <c r="B121" t="str">
        <f t="shared" si="18"/>
        <v>facebook.com.br</v>
      </c>
      <c r="C121" t="str">
        <f t="shared" si="19"/>
        <v>alp_ecom_conversao_ecom_facebook_social_pagepost_social_rasteiras-you_look-1-mobile_cpc_1200x628_111113</v>
      </c>
      <c r="D121" t="str">
        <f t="shared" si="20"/>
        <v>242206017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1"/>
        <v>alp_ecom_conversao_ecom_facebook_social_pagepost_social_rasteiras-you_look-1-mobile_cpc_1200x628_111113</v>
      </c>
      <c r="G121" t="str">
        <f t="shared" si="22"/>
        <v>438842633</v>
      </c>
      <c r="H121" t="str">
        <f t="shared" si="23"/>
        <v>Tracking</v>
      </c>
      <c r="I121">
        <f t="shared" si="24"/>
        <v>0</v>
      </c>
      <c r="J121">
        <f t="shared" si="25"/>
        <v>249</v>
      </c>
      <c r="K121" s="4">
        <f t="shared" si="28"/>
        <v>3.5000000000000001E-3</v>
      </c>
      <c r="L121">
        <f t="shared" si="29"/>
        <v>2.5000000000000001E-2</v>
      </c>
      <c r="M121" s="4">
        <f t="shared" si="26"/>
        <v>0.87150000000000005</v>
      </c>
      <c r="N121" s="4">
        <f t="shared" si="27"/>
        <v>6.2250000000000005</v>
      </c>
    </row>
    <row r="122" spans="1:14">
      <c r="A122" t="str">
        <f t="shared" si="17"/>
        <v>alp_ecom</v>
      </c>
      <c r="B122" t="str">
        <f t="shared" si="18"/>
        <v>facebook.com.br</v>
      </c>
      <c r="C122" t="str">
        <f t="shared" si="19"/>
        <v>alp_ecom_conversao_ecom_facebook_social_pagepost_social_rasteiras-you_look-2-desk_cpc_1200x628_111113</v>
      </c>
      <c r="D122" t="str">
        <f t="shared" si="20"/>
        <v>242206011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alp_ecom_conversao_ecom_facebook_social_pagepost_social_rasteiras-you_look-2-desk_cpc_1200x628_111113</v>
      </c>
      <c r="G122" t="str">
        <f t="shared" si="22"/>
        <v>438842627</v>
      </c>
      <c r="H122" t="str">
        <f t="shared" si="23"/>
        <v>Tracking</v>
      </c>
      <c r="I122">
        <f t="shared" si="24"/>
        <v>0</v>
      </c>
      <c r="J122">
        <f t="shared" si="25"/>
        <v>39</v>
      </c>
      <c r="K122" s="4">
        <f t="shared" si="28"/>
        <v>3.5000000000000001E-3</v>
      </c>
      <c r="L122">
        <f t="shared" si="29"/>
        <v>2.5000000000000001E-2</v>
      </c>
      <c r="M122" s="4">
        <f t="shared" si="26"/>
        <v>0.13650000000000001</v>
      </c>
      <c r="N122" s="4">
        <f t="shared" si="27"/>
        <v>0.97500000000000009</v>
      </c>
    </row>
    <row r="123" spans="1:14">
      <c r="A123" t="str">
        <f t="shared" si="17"/>
        <v>alp_ecom</v>
      </c>
      <c r="B123" t="str">
        <f t="shared" si="18"/>
        <v>facebook.com.br</v>
      </c>
      <c r="C123" t="str">
        <f t="shared" si="19"/>
        <v>alp_ecom_conversao_ecom_facebook_social_pagepost_social_rasteiras-you_look-2-mobile_cpc_1200x628_111113</v>
      </c>
      <c r="D123" t="str">
        <f t="shared" si="20"/>
        <v>242206005</v>
      </c>
      <c r="E123" t="str">
        <f>IF(Table1[[#This Row],[Impressions]]&gt;Table1[[#This Row],[Clicks]],"Standard",VLOOKUP(CONCATENATE(bd_adtype,"_",bd_creativetype),tabela,2,FALSE))</f>
        <v>Dynamic Click</v>
      </c>
      <c r="F123" t="str">
        <f t="shared" si="21"/>
        <v>alp_ecom_conversao_ecom_facebook_social_pagepost_social_rasteiras-you_look-2-mobile_cpc_1200x628_111113</v>
      </c>
      <c r="G123" t="str">
        <f t="shared" si="22"/>
        <v>438842621</v>
      </c>
      <c r="H123" t="str">
        <f t="shared" si="23"/>
        <v>Tracking</v>
      </c>
      <c r="I123">
        <f t="shared" si="24"/>
        <v>0</v>
      </c>
      <c r="J123">
        <f t="shared" si="25"/>
        <v>94</v>
      </c>
      <c r="K123" s="4">
        <f t="shared" si="28"/>
        <v>3.5000000000000001E-3</v>
      </c>
      <c r="L123">
        <f t="shared" si="29"/>
        <v>2.5000000000000001E-2</v>
      </c>
      <c r="M123" s="4">
        <f t="shared" si="26"/>
        <v>0.32900000000000001</v>
      </c>
      <c r="N123" s="4">
        <f t="shared" si="27"/>
        <v>2.35</v>
      </c>
    </row>
    <row r="124" spans="1:14">
      <c r="A124" t="str">
        <f t="shared" si="17"/>
        <v>alp_ecom</v>
      </c>
      <c r="B124" t="str">
        <f t="shared" si="18"/>
        <v>facebook.com.br</v>
      </c>
      <c r="C124" t="str">
        <f t="shared" si="19"/>
        <v>alp_ecom_conversao_ecom_facebook_social_pagepost_social_rasteiras-you_rmk-30-mobile_cpc_1200x628_111113</v>
      </c>
      <c r="D124" t="str">
        <f t="shared" si="20"/>
        <v>242206008</v>
      </c>
      <c r="E124" t="str">
        <f>IF(Table1[[#This Row],[Impressions]]&gt;Table1[[#This Row],[Clicks]],"Standard",VLOOKUP(CONCATENATE(bd_adtype,"_",bd_creativetype),tabela,2,FALSE))</f>
        <v>Dynamic Click</v>
      </c>
      <c r="F124" t="str">
        <f t="shared" si="21"/>
        <v>alp_ecom_conversao_ecom_facebook_social_pagepost_social_rasteiras-you_rmk-30-mobile_cpc_1200x628_111113</v>
      </c>
      <c r="G124" t="str">
        <f t="shared" si="22"/>
        <v>438842624</v>
      </c>
      <c r="H124" t="str">
        <f t="shared" si="23"/>
        <v>Tracking</v>
      </c>
      <c r="I124">
        <f t="shared" si="24"/>
        <v>0</v>
      </c>
      <c r="J124">
        <f t="shared" si="25"/>
        <v>1282</v>
      </c>
      <c r="K124" s="4">
        <f t="shared" si="28"/>
        <v>3.5000000000000001E-3</v>
      </c>
      <c r="L124">
        <f t="shared" si="29"/>
        <v>2.5000000000000001E-2</v>
      </c>
      <c r="M124" s="4">
        <f t="shared" si="26"/>
        <v>4.4870000000000001</v>
      </c>
      <c r="N124" s="4">
        <f t="shared" si="27"/>
        <v>32.050000000000004</v>
      </c>
    </row>
    <row r="125" spans="1:14">
      <c r="A125" t="str">
        <f t="shared" si="17"/>
        <v>alp_ecom</v>
      </c>
      <c r="B125" t="str">
        <f t="shared" si="18"/>
        <v>facebook.com.br</v>
      </c>
      <c r="C125" t="str">
        <f t="shared" si="19"/>
        <v>alp_ecom_conversao_ecom_facebook_social_pagepost_social_rasteiras-you_rmk-30_cpc_1200x628_111113</v>
      </c>
      <c r="D125" t="str">
        <f t="shared" si="20"/>
        <v>242206020</v>
      </c>
      <c r="E125" t="str">
        <f>IF(Table1[[#This Row],[Impressions]]&gt;Table1[[#This Row],[Clicks]],"Standard",VLOOKUP(CONCATENATE(bd_adtype,"_",bd_creativetype),tabela,2,FALSE))</f>
        <v>Dynamic Click</v>
      </c>
      <c r="F125" t="str">
        <f t="shared" si="21"/>
        <v>alp_ecom_conversao_ecom_facebook_social_pagepost_social_rasteiras-you_rmk-30_cpc_1200x628_111113</v>
      </c>
      <c r="G125" t="str">
        <f t="shared" si="22"/>
        <v>438842636</v>
      </c>
      <c r="H125" t="str">
        <f t="shared" si="23"/>
        <v>Tracking</v>
      </c>
      <c r="I125">
        <f t="shared" si="24"/>
        <v>0</v>
      </c>
      <c r="J125">
        <f t="shared" si="25"/>
        <v>91</v>
      </c>
      <c r="K125" s="4">
        <f t="shared" si="28"/>
        <v>3.5000000000000001E-3</v>
      </c>
      <c r="L125">
        <f t="shared" si="29"/>
        <v>2.5000000000000001E-2</v>
      </c>
      <c r="M125" s="4">
        <f t="shared" si="26"/>
        <v>0.31850000000000001</v>
      </c>
      <c r="N125" s="4">
        <f t="shared" si="27"/>
        <v>2.2749999999999999</v>
      </c>
    </row>
    <row r="126" spans="1:14">
      <c r="A126" t="str">
        <f t="shared" si="17"/>
        <v>alp_ecom</v>
      </c>
      <c r="B126" t="str">
        <f t="shared" si="18"/>
        <v>facebook.com.br</v>
      </c>
      <c r="C126" t="str">
        <f t="shared" si="19"/>
        <v>alp_ecom_conversao_ecom_facebook_social_pagepost_social_rei-leao_curte-havaianas_cpm_1200x628_111194</v>
      </c>
      <c r="D126" t="str">
        <f t="shared" si="20"/>
        <v>247089788</v>
      </c>
      <c r="E126" t="str">
        <f>IF(Table1[[#This Row],[Impressions]]&gt;Table1[[#This Row],[Clicks]],"Standard",VLOOKUP(CONCATENATE(bd_adtype,"_",bd_creativetype),tabela,2,FALSE))</f>
        <v>Dynamic Click</v>
      </c>
      <c r="F126" t="str">
        <f t="shared" si="21"/>
        <v>alp_ecom_conversao_ecom_facebook_social_pagepost_social_rei-leao_curte-havaianas_cpm_1200x628_111194</v>
      </c>
      <c r="G126" t="str">
        <f t="shared" si="22"/>
        <v>443680180</v>
      </c>
      <c r="H126" t="str">
        <f t="shared" si="23"/>
        <v>Tracking</v>
      </c>
      <c r="I126">
        <f t="shared" si="24"/>
        <v>0</v>
      </c>
      <c r="J126">
        <f t="shared" si="25"/>
        <v>990</v>
      </c>
      <c r="K126" s="4">
        <f t="shared" si="28"/>
        <v>3.5000000000000001E-3</v>
      </c>
      <c r="L126">
        <f t="shared" si="29"/>
        <v>2.5000000000000001E-2</v>
      </c>
      <c r="M126" s="4">
        <f t="shared" si="26"/>
        <v>3.4649999999999999</v>
      </c>
      <c r="N126" s="4">
        <f t="shared" si="27"/>
        <v>24.75</v>
      </c>
    </row>
    <row r="127" spans="1:14">
      <c r="A127" t="str">
        <f t="shared" si="17"/>
        <v>alp_ecom</v>
      </c>
      <c r="B127" t="str">
        <f t="shared" si="18"/>
        <v>facebook.com.br</v>
      </c>
      <c r="C127" t="str">
        <f t="shared" si="19"/>
        <v>alp_ecom_conversao_ecom_facebook_social_pagepost_social_rei-leao_look-1-desk_cpm_1200x628_111194</v>
      </c>
      <c r="D127" t="str">
        <f t="shared" si="20"/>
        <v>247089782</v>
      </c>
      <c r="E127" t="str">
        <f>IF(Table1[[#This Row],[Impressions]]&gt;Table1[[#This Row],[Clicks]],"Standard",VLOOKUP(CONCATENATE(bd_adtype,"_",bd_creativetype),tabela,2,FALSE))</f>
        <v>Dynamic Click</v>
      </c>
      <c r="F127" t="str">
        <f t="shared" si="21"/>
        <v>alp_ecom_conversao_ecom_facebook_social_pagepost_social_rei-leao_look-1-desk_cpm_1200x628_111194</v>
      </c>
      <c r="G127" t="str">
        <f t="shared" si="22"/>
        <v>443680174</v>
      </c>
      <c r="H127" t="str">
        <f t="shared" si="23"/>
        <v>Tracking</v>
      </c>
      <c r="I127">
        <f t="shared" si="24"/>
        <v>0</v>
      </c>
      <c r="J127">
        <f t="shared" si="25"/>
        <v>22</v>
      </c>
      <c r="K127" s="4">
        <f t="shared" si="28"/>
        <v>3.5000000000000001E-3</v>
      </c>
      <c r="L127">
        <f t="shared" si="29"/>
        <v>2.5000000000000001E-2</v>
      </c>
      <c r="M127" s="4">
        <f t="shared" si="26"/>
        <v>7.6999999999999999E-2</v>
      </c>
      <c r="N127" s="4">
        <f t="shared" si="27"/>
        <v>0.55000000000000004</v>
      </c>
    </row>
    <row r="128" spans="1:14">
      <c r="A128" t="str">
        <f t="shared" si="17"/>
        <v>alp_ecom</v>
      </c>
      <c r="B128" t="str">
        <f t="shared" si="18"/>
        <v>facebook.com.br</v>
      </c>
      <c r="C128" t="str">
        <f t="shared" si="19"/>
        <v>alp_ecom_conversao_ecom_facebook_social_pagepost_social_rei-leao_look-1-mobile_cpm_1200x628_111194</v>
      </c>
      <c r="D128" t="str">
        <f t="shared" si="20"/>
        <v>247089776</v>
      </c>
      <c r="E128" t="str">
        <f>IF(Table1[[#This Row],[Impressions]]&gt;Table1[[#This Row],[Clicks]],"Standard",VLOOKUP(CONCATENATE(bd_adtype,"_",bd_creativetype),tabela,2,FALSE))</f>
        <v>Dynamic Click</v>
      </c>
      <c r="F128" t="str">
        <f t="shared" si="21"/>
        <v>alp_ecom_conversao_ecom_facebook_social_pagepost_social_rei-leao_look-1-mobile_cpm_1200x628_111194</v>
      </c>
      <c r="G128" t="str">
        <f t="shared" si="22"/>
        <v>443680168</v>
      </c>
      <c r="H128" t="str">
        <f t="shared" si="23"/>
        <v>Tracking</v>
      </c>
      <c r="I128">
        <f t="shared" si="24"/>
        <v>0</v>
      </c>
      <c r="J128">
        <f t="shared" si="25"/>
        <v>78</v>
      </c>
      <c r="K128" s="4">
        <f t="shared" si="28"/>
        <v>3.5000000000000001E-3</v>
      </c>
      <c r="L128">
        <f t="shared" si="29"/>
        <v>2.5000000000000001E-2</v>
      </c>
      <c r="M128" s="4">
        <f t="shared" si="26"/>
        <v>0.27300000000000002</v>
      </c>
      <c r="N128" s="4">
        <f t="shared" si="27"/>
        <v>1.9500000000000002</v>
      </c>
    </row>
    <row r="129" spans="1:14">
      <c r="A129" t="str">
        <f t="shared" si="17"/>
        <v>alp_ecom</v>
      </c>
      <c r="B129" t="str">
        <f t="shared" si="18"/>
        <v>facebook.com.br</v>
      </c>
      <c r="C129" t="str">
        <f t="shared" si="19"/>
        <v>alp_ecom_conversao_ecom_facebook_social_pagepost_social_rei-leao_look-2-desk_cpm_1200x628_111194</v>
      </c>
      <c r="D129" t="str">
        <f t="shared" si="20"/>
        <v>247089770</v>
      </c>
      <c r="E129" t="str">
        <f>IF(Table1[[#This Row],[Impressions]]&gt;Table1[[#This Row],[Clicks]],"Standard",VLOOKUP(CONCATENATE(bd_adtype,"_",bd_creativetype),tabela,2,FALSE))</f>
        <v>Dynamic Click</v>
      </c>
      <c r="F129" t="str">
        <f t="shared" si="21"/>
        <v>alp_ecom_conversao_ecom_facebook_social_pagepost_social_rei-leao_look-2-desk_cpm_1200x628_111194</v>
      </c>
      <c r="G129" t="str">
        <f t="shared" si="22"/>
        <v>443680162</v>
      </c>
      <c r="H129" t="str">
        <f t="shared" si="23"/>
        <v>Tracking</v>
      </c>
      <c r="I129">
        <f t="shared" si="24"/>
        <v>0</v>
      </c>
      <c r="J129">
        <f t="shared" si="25"/>
        <v>1</v>
      </c>
      <c r="K129" s="4">
        <f t="shared" si="28"/>
        <v>3.5000000000000001E-3</v>
      </c>
      <c r="L129">
        <f t="shared" si="29"/>
        <v>2.5000000000000001E-2</v>
      </c>
      <c r="M129" s="4">
        <f t="shared" si="26"/>
        <v>3.5000000000000001E-3</v>
      </c>
      <c r="N129" s="4">
        <f t="shared" si="27"/>
        <v>2.5000000000000001E-2</v>
      </c>
    </row>
    <row r="130" spans="1:14">
      <c r="A130" t="str">
        <f t="shared" ref="A130:A193" si="30">bd_campaign</f>
        <v>alp_ecom</v>
      </c>
      <c r="B130" t="str">
        <f t="shared" ref="B130:B193" si="31">bd_site</f>
        <v>facebook.com.br</v>
      </c>
      <c r="C130" t="str">
        <f t="shared" ref="C130:C193" si="32">bd_placement</f>
        <v>alp_ecom_conversao_ecom_facebook_social_pagepost_social_rei-leao_look-2-mobile_cpm_1200x628_111194</v>
      </c>
      <c r="D130" t="str">
        <f t="shared" ref="D130:D193" si="33">bd_placementID</f>
        <v>247089764</v>
      </c>
      <c r="E130" t="str">
        <f>IF(Table1[[#This Row],[Impressions]]&gt;Table1[[#This Row],[Clicks]],"Standard",VLOOKUP(CONCATENATE(bd_adtype,"_",bd_creativetype),tabela,2,FALSE))</f>
        <v>Dynamic Click</v>
      </c>
      <c r="F130" t="str">
        <f t="shared" ref="F130:F193" si="34">bd_ad</f>
        <v>alp_ecom_conversao_ecom_facebook_social_pagepost_social_rei-leao_look-2-mobile_cpm_1200x628_111194</v>
      </c>
      <c r="G130" t="str">
        <f t="shared" ref="G130:G193" si="35">bd_adid</f>
        <v>443680156</v>
      </c>
      <c r="H130" t="str">
        <f t="shared" ref="H130:H193" si="36">bd_creativetype</f>
        <v>Tracking</v>
      </c>
      <c r="I130">
        <f t="shared" ref="I130:I193" si="37">bd_impression</f>
        <v>0</v>
      </c>
      <c r="J130">
        <f t="shared" ref="J130:J193" si="38">bd_clicks</f>
        <v>12</v>
      </c>
      <c r="K130" s="4">
        <f t="shared" si="28"/>
        <v>3.5000000000000001E-3</v>
      </c>
      <c r="L130">
        <f t="shared" si="29"/>
        <v>2.5000000000000001E-2</v>
      </c>
      <c r="M130" s="4">
        <f t="shared" si="26"/>
        <v>4.2000000000000003E-2</v>
      </c>
      <c r="N130" s="4">
        <f t="shared" si="27"/>
        <v>0.30000000000000004</v>
      </c>
    </row>
    <row r="131" spans="1:14">
      <c r="A131" t="str">
        <f t="shared" si="30"/>
        <v>alp_ecom</v>
      </c>
      <c r="B131" t="str">
        <f t="shared" si="31"/>
        <v>facebook.com.br</v>
      </c>
      <c r="C131" t="str">
        <f t="shared" si="32"/>
        <v>alp_ecom_conversao_ecom_facebook_social_pagepost_social_rei-leao_rmk-30-mobile_cpm_1200x628_111194</v>
      </c>
      <c r="D131" t="str">
        <f t="shared" si="33"/>
        <v>247089752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alp_ecom_conversao_ecom_facebook_social_pagepost_social_rei-leao_rmk-30-mobile_cpm_1200x628_111194</v>
      </c>
      <c r="G131" t="str">
        <f t="shared" si="35"/>
        <v>443680144</v>
      </c>
      <c r="H131" t="str">
        <f t="shared" si="36"/>
        <v>Tracking</v>
      </c>
      <c r="I131">
        <f t="shared" si="37"/>
        <v>0</v>
      </c>
      <c r="J131">
        <f t="shared" si="38"/>
        <v>133</v>
      </c>
      <c r="K131" s="4">
        <f t="shared" si="28"/>
        <v>3.5000000000000001E-3</v>
      </c>
      <c r="L131">
        <f t="shared" si="29"/>
        <v>2.5000000000000001E-2</v>
      </c>
      <c r="M131" s="4">
        <f t="shared" si="26"/>
        <v>0.46550000000000002</v>
      </c>
      <c r="N131" s="4">
        <f t="shared" si="27"/>
        <v>3.3250000000000002</v>
      </c>
    </row>
    <row r="132" spans="1:14">
      <c r="A132" t="str">
        <f t="shared" si="30"/>
        <v>alp_ecom</v>
      </c>
      <c r="B132" t="str">
        <f t="shared" si="31"/>
        <v>facebook.com.br</v>
      </c>
      <c r="C132" t="str">
        <f t="shared" si="32"/>
        <v>alp_ecom_conversao_ecom_facebook_social_pagepost_social_rei-leao_rmk-30_cpm_1200x628_111194</v>
      </c>
      <c r="D132" t="str">
        <f t="shared" si="33"/>
        <v>247089758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alp_ecom_conversao_ecom_facebook_social_pagepost_social_rei-leao_rmk-30_cpm_1200x628_111194</v>
      </c>
      <c r="G132" t="str">
        <f t="shared" si="35"/>
        <v>443680150</v>
      </c>
      <c r="H132" t="str">
        <f t="shared" si="36"/>
        <v>Tracking</v>
      </c>
      <c r="I132">
        <f t="shared" si="37"/>
        <v>0</v>
      </c>
      <c r="J132">
        <f t="shared" si="38"/>
        <v>19</v>
      </c>
      <c r="K132" s="4">
        <f t="shared" si="28"/>
        <v>3.5000000000000001E-3</v>
      </c>
      <c r="L132">
        <f t="shared" si="29"/>
        <v>2.5000000000000001E-2</v>
      </c>
      <c r="M132" s="4">
        <f t="shared" si="26"/>
        <v>6.6500000000000004E-2</v>
      </c>
      <c r="N132" s="4">
        <f t="shared" si="27"/>
        <v>0.47500000000000003</v>
      </c>
    </row>
    <row r="133" spans="1:14">
      <c r="A133" t="str">
        <f t="shared" si="30"/>
        <v>alp_ecom</v>
      </c>
      <c r="B133" t="str">
        <f t="shared" si="31"/>
        <v>facebook.com.br</v>
      </c>
      <c r="C133" t="str">
        <f t="shared" si="32"/>
        <v>alp_ecom_conversao_ecom_facebook_social_pagepost_social_simpsons_curte-havaianas_cpc_1200x628_111116</v>
      </c>
      <c r="D133" t="str">
        <f t="shared" si="33"/>
        <v>242342664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alp_ecom_conversao_ecom_facebook_social_pagepost_social_simpsons_curte-havaianas_cpc_1200x628_111116</v>
      </c>
      <c r="G133" t="str">
        <f t="shared" si="35"/>
        <v>438874500</v>
      </c>
      <c r="H133" t="str">
        <f t="shared" si="36"/>
        <v>Tracking</v>
      </c>
      <c r="I133">
        <f t="shared" si="37"/>
        <v>0</v>
      </c>
      <c r="J133">
        <f t="shared" si="38"/>
        <v>1</v>
      </c>
      <c r="K133" s="4">
        <f t="shared" si="28"/>
        <v>3.5000000000000001E-3</v>
      </c>
      <c r="L133">
        <f t="shared" si="29"/>
        <v>2.5000000000000001E-2</v>
      </c>
      <c r="M133" s="4">
        <f t="shared" si="26"/>
        <v>3.5000000000000001E-3</v>
      </c>
      <c r="N133" s="4">
        <f t="shared" si="27"/>
        <v>2.5000000000000001E-2</v>
      </c>
    </row>
    <row r="134" spans="1:14">
      <c r="A134" t="str">
        <f t="shared" si="30"/>
        <v>alp_ecom</v>
      </c>
      <c r="B134" t="str">
        <f t="shared" si="31"/>
        <v>facebook.com.br</v>
      </c>
      <c r="C134" t="str">
        <f t="shared" si="32"/>
        <v>alp_ecom_conversao_ecom_facebook_social_pagepost_social_slim-hits_curte-havaianas_cpm_1200x628_111200</v>
      </c>
      <c r="D134" t="str">
        <f t="shared" si="33"/>
        <v>247726396</v>
      </c>
      <c r="E134" t="str">
        <f>IF(Table1[[#This Row],[Impressions]]&gt;Table1[[#This Row],[Clicks]],"Standard",VLOOKUP(CONCATENATE(bd_adtype,"_",bd_creativetype),tabela,2,FALSE))</f>
        <v>Dynamic Click</v>
      </c>
      <c r="F134" t="str">
        <f t="shared" si="34"/>
        <v>alp_ecom_conversao_ecom_facebook_social_pagepost_social_slim-hits_curte-havaianas_cpm_1200x628_111200</v>
      </c>
      <c r="G134" t="str">
        <f t="shared" si="35"/>
        <v>443998716</v>
      </c>
      <c r="H134" t="str">
        <f t="shared" si="36"/>
        <v>Tracking</v>
      </c>
      <c r="I134">
        <f t="shared" si="37"/>
        <v>0</v>
      </c>
      <c r="J134">
        <f t="shared" si="38"/>
        <v>20992</v>
      </c>
      <c r="K134" s="4">
        <f t="shared" si="28"/>
        <v>3.5000000000000001E-3</v>
      </c>
      <c r="L134">
        <f t="shared" si="29"/>
        <v>2.5000000000000001E-2</v>
      </c>
      <c r="M134" s="4">
        <f t="shared" si="26"/>
        <v>73.472000000000008</v>
      </c>
      <c r="N134" s="4">
        <f t="shared" si="27"/>
        <v>524.80000000000007</v>
      </c>
    </row>
    <row r="135" spans="1:14">
      <c r="A135" t="str">
        <f t="shared" si="30"/>
        <v>alp_ecom</v>
      </c>
      <c r="B135" t="str">
        <f t="shared" si="31"/>
        <v>facebook.com.br</v>
      </c>
      <c r="C135" t="str">
        <f t="shared" si="32"/>
        <v>alp_ecom_conversao_ecom_facebook_social_pagepost_social_slim-hits_look-1-desk_cpm_1200x628_111200</v>
      </c>
      <c r="D135" t="str">
        <f t="shared" si="33"/>
        <v>247726393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alp_ecom_conversao_ecom_facebook_social_pagepost_social_slim-hits_look-1-desk_cpm_1200x628_111200</v>
      </c>
      <c r="G135" t="str">
        <f t="shared" si="35"/>
        <v>443998713</v>
      </c>
      <c r="H135" t="str">
        <f t="shared" si="36"/>
        <v>Tracking</v>
      </c>
      <c r="I135">
        <f t="shared" si="37"/>
        <v>0</v>
      </c>
      <c r="J135">
        <f t="shared" si="38"/>
        <v>36</v>
      </c>
      <c r="K135" s="4">
        <f t="shared" si="28"/>
        <v>3.5000000000000001E-3</v>
      </c>
      <c r="L135">
        <f t="shared" si="29"/>
        <v>2.5000000000000001E-2</v>
      </c>
      <c r="M135" s="4">
        <f t="shared" si="26"/>
        <v>0.126</v>
      </c>
      <c r="N135" s="4">
        <f t="shared" si="27"/>
        <v>0.9</v>
      </c>
    </row>
    <row r="136" spans="1:14">
      <c r="A136" t="str">
        <f t="shared" si="30"/>
        <v>alp_ecom</v>
      </c>
      <c r="B136" t="str">
        <f t="shared" si="31"/>
        <v>facebook.com.br</v>
      </c>
      <c r="C136" t="str">
        <f t="shared" si="32"/>
        <v>alp_ecom_conversao_ecom_facebook_social_pagepost_social_slim-hits_look-1-mobile_cpm_1200x628_111200</v>
      </c>
      <c r="D136" t="str">
        <f t="shared" si="33"/>
        <v>247726390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alp_ecom_conversao_ecom_facebook_social_pagepost_social_slim-hits_look-1-mobile_cpm_1200x628_111200</v>
      </c>
      <c r="G136" t="str">
        <f t="shared" si="35"/>
        <v>443998710</v>
      </c>
      <c r="H136" t="str">
        <f t="shared" si="36"/>
        <v>Tracking</v>
      </c>
      <c r="I136">
        <f t="shared" si="37"/>
        <v>0</v>
      </c>
      <c r="J136">
        <f t="shared" si="38"/>
        <v>511</v>
      </c>
      <c r="K136" s="4">
        <f t="shared" si="28"/>
        <v>3.5000000000000001E-3</v>
      </c>
      <c r="L136">
        <f t="shared" si="29"/>
        <v>2.5000000000000001E-2</v>
      </c>
      <c r="M136" s="4">
        <f t="shared" si="26"/>
        <v>1.7885</v>
      </c>
      <c r="N136" s="4">
        <f t="shared" si="27"/>
        <v>12.775</v>
      </c>
    </row>
    <row r="137" spans="1:14">
      <c r="A137" t="str">
        <f t="shared" si="30"/>
        <v>alp_ecom</v>
      </c>
      <c r="B137" t="str">
        <f t="shared" si="31"/>
        <v>facebook.com.br</v>
      </c>
      <c r="C137" t="str">
        <f t="shared" si="32"/>
        <v>alp_ecom_conversao_ecom_facebook_social_pagepost_social_slim-hits_look-2-desk_cpm_1200x628_111200</v>
      </c>
      <c r="D137" t="str">
        <f t="shared" si="33"/>
        <v>247726387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alp_ecom_conversao_ecom_facebook_social_pagepost_social_slim-hits_look-2-desk_cpm_1200x628_111200</v>
      </c>
      <c r="G137" t="str">
        <f t="shared" si="35"/>
        <v>443998707</v>
      </c>
      <c r="H137" t="str">
        <f t="shared" si="36"/>
        <v>Tracking</v>
      </c>
      <c r="I137">
        <f t="shared" si="37"/>
        <v>0</v>
      </c>
      <c r="J137">
        <f t="shared" si="38"/>
        <v>7</v>
      </c>
      <c r="K137" s="4">
        <f t="shared" si="28"/>
        <v>3.5000000000000001E-3</v>
      </c>
      <c r="L137">
        <f t="shared" si="29"/>
        <v>2.5000000000000001E-2</v>
      </c>
      <c r="M137" s="4">
        <f t="shared" si="26"/>
        <v>2.4500000000000001E-2</v>
      </c>
      <c r="N137" s="4">
        <f t="shared" si="27"/>
        <v>0.17500000000000002</v>
      </c>
    </row>
    <row r="138" spans="1:14">
      <c r="A138" t="str">
        <f t="shared" si="30"/>
        <v>alp_ecom</v>
      </c>
      <c r="B138" t="str">
        <f t="shared" si="31"/>
        <v>facebook.com.br</v>
      </c>
      <c r="C138" t="str">
        <f t="shared" si="32"/>
        <v>alp_ecom_conversao_ecom_facebook_social_pagepost_social_slim-hits_look-2-mobile_cpm_1200x628_111200</v>
      </c>
      <c r="D138" t="str">
        <f t="shared" si="33"/>
        <v>247726384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alp_ecom_conversao_ecom_facebook_social_pagepost_social_slim-hits_look-2-mobile_cpm_1200x628_111200</v>
      </c>
      <c r="G138" t="str">
        <f t="shared" si="35"/>
        <v>443998704</v>
      </c>
      <c r="H138" t="str">
        <f t="shared" si="36"/>
        <v>Tracking</v>
      </c>
      <c r="I138">
        <f t="shared" si="37"/>
        <v>0</v>
      </c>
      <c r="J138">
        <f t="shared" si="38"/>
        <v>451</v>
      </c>
      <c r="K138" s="4">
        <f t="shared" si="28"/>
        <v>3.5000000000000001E-3</v>
      </c>
      <c r="L138">
        <f t="shared" si="29"/>
        <v>2.5000000000000001E-2</v>
      </c>
      <c r="M138" s="4">
        <f t="shared" si="26"/>
        <v>1.5785</v>
      </c>
      <c r="N138" s="4">
        <f t="shared" si="27"/>
        <v>11.275</v>
      </c>
    </row>
    <row r="139" spans="1:14">
      <c r="A139" t="str">
        <f t="shared" si="30"/>
        <v>alp_ecom</v>
      </c>
      <c r="B139" t="str">
        <f t="shared" si="31"/>
        <v>facebook.com.br</v>
      </c>
      <c r="C139" t="str">
        <f t="shared" si="32"/>
        <v>alp_ecom_conversao_ecom_facebook_social_pagepost_social_slim-hits_rmk-30-mobile_cpm_1200x628_111200</v>
      </c>
      <c r="D139" t="str">
        <f t="shared" si="33"/>
        <v>247726378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alp_ecom_conversao_ecom_facebook_social_pagepost_social_slim-hits_rmk-30-mobile_cpm_1200x628_111200</v>
      </c>
      <c r="G139" t="str">
        <f t="shared" si="35"/>
        <v>443998698</v>
      </c>
      <c r="H139" t="str">
        <f t="shared" si="36"/>
        <v>Tracking</v>
      </c>
      <c r="I139">
        <f t="shared" si="37"/>
        <v>0</v>
      </c>
      <c r="J139">
        <f t="shared" si="38"/>
        <v>1884</v>
      </c>
      <c r="K139" s="4">
        <f t="shared" si="28"/>
        <v>3.5000000000000001E-3</v>
      </c>
      <c r="L139">
        <f t="shared" si="29"/>
        <v>2.5000000000000001E-2</v>
      </c>
      <c r="M139" s="4">
        <f t="shared" si="26"/>
        <v>6.5940000000000003</v>
      </c>
      <c r="N139" s="4">
        <f t="shared" si="27"/>
        <v>47.1</v>
      </c>
    </row>
    <row r="140" spans="1:14">
      <c r="A140" t="str">
        <f t="shared" si="30"/>
        <v>alp_ecom</v>
      </c>
      <c r="B140" t="str">
        <f t="shared" si="31"/>
        <v>facebook.com.br</v>
      </c>
      <c r="C140" t="str">
        <f t="shared" si="32"/>
        <v>alp_ecom_conversao_ecom_facebook_social_pagepost_social_slim-hits_rmk-30_cpm_1200x628_111200</v>
      </c>
      <c r="D140" t="str">
        <f t="shared" si="33"/>
        <v>247726381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alp_ecom_conversao_ecom_facebook_social_pagepost_social_slim-hits_rmk-30_cpm_1200x628_111200</v>
      </c>
      <c r="G140" t="str">
        <f t="shared" si="35"/>
        <v>443998701</v>
      </c>
      <c r="H140" t="str">
        <f t="shared" si="36"/>
        <v>Tracking</v>
      </c>
      <c r="I140">
        <f t="shared" si="37"/>
        <v>0</v>
      </c>
      <c r="J140">
        <f t="shared" si="38"/>
        <v>43</v>
      </c>
      <c r="K140" s="4">
        <f t="shared" si="28"/>
        <v>3.5000000000000001E-3</v>
      </c>
      <c r="L140">
        <f t="shared" si="29"/>
        <v>2.5000000000000001E-2</v>
      </c>
      <c r="M140" s="4">
        <f t="shared" si="26"/>
        <v>0.15049999999999999</v>
      </c>
      <c r="N140" s="4">
        <f t="shared" si="27"/>
        <v>1.075</v>
      </c>
    </row>
    <row r="141" spans="1:14">
      <c r="A141" t="str">
        <f t="shared" si="30"/>
        <v>alp_ecom</v>
      </c>
      <c r="B141" t="str">
        <f t="shared" si="31"/>
        <v>facebook.com.br</v>
      </c>
      <c r="C141" t="str">
        <f t="shared" si="32"/>
        <v>alp_ecom_conversao_ecom_facebook_social_pagepost_social_slim-pets_curte-havaianas_cpm_1200x628_111123</v>
      </c>
      <c r="D141" t="str">
        <f t="shared" si="33"/>
        <v>243725972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alp_ecom_conversao_ecom_facebook_social_pagepost_social_slim-pets_curte-havaianas_cpm_1200x628_111123</v>
      </c>
      <c r="G141" t="str">
        <f t="shared" si="35"/>
        <v>440444148</v>
      </c>
      <c r="H141" t="str">
        <f t="shared" si="36"/>
        <v>Tracking</v>
      </c>
      <c r="I141">
        <f t="shared" si="37"/>
        <v>0</v>
      </c>
      <c r="J141">
        <f t="shared" si="38"/>
        <v>216</v>
      </c>
      <c r="K141" s="4">
        <f t="shared" si="28"/>
        <v>3.5000000000000001E-3</v>
      </c>
      <c r="L141">
        <f t="shared" si="29"/>
        <v>2.5000000000000001E-2</v>
      </c>
      <c r="M141" s="4">
        <f t="shared" si="26"/>
        <v>0.75600000000000001</v>
      </c>
      <c r="N141" s="4">
        <f t="shared" si="27"/>
        <v>5.4</v>
      </c>
    </row>
    <row r="142" spans="1:14">
      <c r="A142" t="str">
        <f t="shared" si="30"/>
        <v>alp_ecom</v>
      </c>
      <c r="B142" t="str">
        <f t="shared" si="31"/>
        <v>facebook.com.br</v>
      </c>
      <c r="C142" t="str">
        <f t="shared" si="32"/>
        <v>alp_ecom_conversao_ecom_facebook_social_pagepost_social_slim-pets_look-1-desk_cpm_1200x628_111123</v>
      </c>
      <c r="D142" t="str">
        <f t="shared" si="33"/>
        <v>243725969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alp_ecom_conversao_ecom_facebook_social_pagepost_social_slim-pets_look-1-desk_cpm_1200x628_111123</v>
      </c>
      <c r="G142" t="str">
        <f t="shared" si="35"/>
        <v>440444145</v>
      </c>
      <c r="H142" t="str">
        <f t="shared" si="36"/>
        <v>Tracking</v>
      </c>
      <c r="I142">
        <f t="shared" si="37"/>
        <v>0</v>
      </c>
      <c r="J142">
        <f t="shared" si="38"/>
        <v>4</v>
      </c>
      <c r="K142" s="4">
        <f t="shared" si="28"/>
        <v>3.5000000000000001E-3</v>
      </c>
      <c r="L142">
        <f t="shared" si="29"/>
        <v>2.5000000000000001E-2</v>
      </c>
      <c r="M142" s="4">
        <f t="shared" si="26"/>
        <v>1.4E-2</v>
      </c>
      <c r="N142" s="4">
        <f t="shared" si="27"/>
        <v>0.1</v>
      </c>
    </row>
    <row r="143" spans="1:14">
      <c r="A143" t="str">
        <f t="shared" si="30"/>
        <v>alp_ecom</v>
      </c>
      <c r="B143" t="str">
        <f t="shared" si="31"/>
        <v>facebook.com.br</v>
      </c>
      <c r="C143" t="str">
        <f t="shared" si="32"/>
        <v>alp_ecom_conversao_ecom_facebook_social_pagepost_social_slim-pets_look-1-mobile_cpm_1200x628_111123</v>
      </c>
      <c r="D143" t="str">
        <f t="shared" si="33"/>
        <v>243725966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alp_ecom_conversao_ecom_facebook_social_pagepost_social_slim-pets_look-1-mobile_cpm_1200x628_111123</v>
      </c>
      <c r="G143" t="str">
        <f t="shared" si="35"/>
        <v>440444142</v>
      </c>
      <c r="H143" t="str">
        <f t="shared" si="36"/>
        <v>Tracking</v>
      </c>
      <c r="I143">
        <f t="shared" si="37"/>
        <v>0</v>
      </c>
      <c r="J143">
        <f t="shared" si="38"/>
        <v>8</v>
      </c>
      <c r="K143" s="4">
        <f t="shared" si="28"/>
        <v>3.5000000000000001E-3</v>
      </c>
      <c r="L143">
        <f t="shared" si="29"/>
        <v>2.5000000000000001E-2</v>
      </c>
      <c r="M143" s="4">
        <f t="shared" si="26"/>
        <v>2.8000000000000001E-2</v>
      </c>
      <c r="N143" s="4">
        <f t="shared" si="27"/>
        <v>0.2</v>
      </c>
    </row>
    <row r="144" spans="1:14">
      <c r="A144" t="str">
        <f t="shared" si="30"/>
        <v>alp_ecom</v>
      </c>
      <c r="B144" t="str">
        <f t="shared" si="31"/>
        <v>facebook.com.br</v>
      </c>
      <c r="C144" t="str">
        <f t="shared" si="32"/>
        <v>alp_ecom_conversao_ecom_facebook_social_pagepost_social_slim-pets_look-10_cpc_1200x628_111124</v>
      </c>
      <c r="D144" t="str">
        <f t="shared" si="33"/>
        <v>243056646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alp_ecom_conversao_ecom_facebook_social_pagepost_social_slim-pets_look-10_cpc_1200x628_111124</v>
      </c>
      <c r="G144" t="str">
        <f t="shared" si="35"/>
        <v>439566910</v>
      </c>
      <c r="H144" t="str">
        <f t="shared" si="36"/>
        <v>Tracking</v>
      </c>
      <c r="I144">
        <f t="shared" si="37"/>
        <v>0</v>
      </c>
      <c r="J144">
        <f t="shared" si="38"/>
        <v>1</v>
      </c>
      <c r="K144" s="4">
        <f t="shared" si="28"/>
        <v>3.5000000000000001E-3</v>
      </c>
      <c r="L144">
        <f t="shared" si="29"/>
        <v>2.5000000000000001E-2</v>
      </c>
      <c r="M144" s="4">
        <f t="shared" si="26"/>
        <v>3.5000000000000001E-3</v>
      </c>
      <c r="N144" s="4">
        <f t="shared" si="27"/>
        <v>2.5000000000000001E-2</v>
      </c>
    </row>
    <row r="145" spans="1:14">
      <c r="A145" t="str">
        <f t="shared" si="30"/>
        <v>alp_ecom</v>
      </c>
      <c r="B145" t="str">
        <f t="shared" si="31"/>
        <v>facebook.com.br</v>
      </c>
      <c r="C145" t="str">
        <f t="shared" si="32"/>
        <v>alp_ecom_conversao_ecom_facebook_social_pagepost_social_slim-pets_look-10_cpc_1200x628_111126</v>
      </c>
      <c r="D145" t="str">
        <f t="shared" si="33"/>
        <v>242723141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alp_ecom_conversao_ecom_facebook_social_pagepost_social_slim-pets_look-10_cpc_1200x628_111126</v>
      </c>
      <c r="G145" t="str">
        <f t="shared" si="35"/>
        <v>439462806</v>
      </c>
      <c r="H145" t="str">
        <f t="shared" si="36"/>
        <v>Tracking</v>
      </c>
      <c r="I145">
        <f t="shared" si="37"/>
        <v>0</v>
      </c>
      <c r="J145">
        <f t="shared" si="38"/>
        <v>1</v>
      </c>
      <c r="K145" s="4">
        <f t="shared" si="28"/>
        <v>3.5000000000000001E-3</v>
      </c>
      <c r="L145">
        <f t="shared" si="29"/>
        <v>2.5000000000000001E-2</v>
      </c>
      <c r="M145" s="4">
        <f t="shared" si="26"/>
        <v>3.5000000000000001E-3</v>
      </c>
      <c r="N145" s="4">
        <f t="shared" si="27"/>
        <v>2.5000000000000001E-2</v>
      </c>
    </row>
    <row r="146" spans="1:14">
      <c r="A146" t="str">
        <f t="shared" si="30"/>
        <v>alp_ecom</v>
      </c>
      <c r="B146" t="str">
        <f t="shared" si="31"/>
        <v>facebook.com.br</v>
      </c>
      <c r="C146" t="str">
        <f t="shared" si="32"/>
        <v>alp_ecom_conversao_ecom_facebook_social_pagepost_social_slim-pets_look-2-desk_cpm_1200x628_111123</v>
      </c>
      <c r="D146" t="str">
        <f t="shared" si="33"/>
        <v>243725963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alp_ecom_conversao_ecom_facebook_social_pagepost_social_slim-pets_look-2-desk_cpm_1200x628_111123</v>
      </c>
      <c r="G146" t="str">
        <f t="shared" si="35"/>
        <v>440444139</v>
      </c>
      <c r="H146" t="str">
        <f t="shared" si="36"/>
        <v>Tracking</v>
      </c>
      <c r="I146">
        <f t="shared" si="37"/>
        <v>0</v>
      </c>
      <c r="J146">
        <f t="shared" si="38"/>
        <v>1</v>
      </c>
      <c r="K146" s="4">
        <f t="shared" si="28"/>
        <v>3.5000000000000001E-3</v>
      </c>
      <c r="L146">
        <f t="shared" si="29"/>
        <v>2.5000000000000001E-2</v>
      </c>
      <c r="M146" s="4">
        <f t="shared" si="26"/>
        <v>3.5000000000000001E-3</v>
      </c>
      <c r="N146" s="4">
        <f t="shared" si="27"/>
        <v>2.5000000000000001E-2</v>
      </c>
    </row>
    <row r="147" spans="1:14">
      <c r="A147" t="str">
        <f t="shared" si="30"/>
        <v>alp_ecom</v>
      </c>
      <c r="B147" t="str">
        <f t="shared" si="31"/>
        <v>facebook.com.br</v>
      </c>
      <c r="C147" t="str">
        <f t="shared" si="32"/>
        <v>alp_ecom_conversao_ecom_facebook_social_pagepost_social_slim-pets_look-2-mobile_cpm_1200x628_111123</v>
      </c>
      <c r="D147" t="str">
        <f t="shared" si="33"/>
        <v>243725960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alp_ecom_conversao_ecom_facebook_social_pagepost_social_slim-pets_look-2-mobile_cpm_1200x628_111123</v>
      </c>
      <c r="G147" t="str">
        <f t="shared" si="35"/>
        <v>440444136</v>
      </c>
      <c r="H147" t="str">
        <f t="shared" si="36"/>
        <v>Tracking</v>
      </c>
      <c r="I147">
        <f t="shared" si="37"/>
        <v>0</v>
      </c>
      <c r="J147">
        <f t="shared" si="38"/>
        <v>11</v>
      </c>
      <c r="K147" s="4">
        <f t="shared" si="28"/>
        <v>3.5000000000000001E-3</v>
      </c>
      <c r="L147">
        <f t="shared" si="29"/>
        <v>2.5000000000000001E-2</v>
      </c>
      <c r="M147" s="4">
        <f t="shared" si="26"/>
        <v>3.85E-2</v>
      </c>
      <c r="N147" s="4">
        <f t="shared" si="27"/>
        <v>0.27500000000000002</v>
      </c>
    </row>
    <row r="148" spans="1:14">
      <c r="A148" t="str">
        <f t="shared" si="30"/>
        <v>alp_ecom</v>
      </c>
      <c r="B148" t="str">
        <f t="shared" si="31"/>
        <v>facebook.com.br</v>
      </c>
      <c r="C148" t="str">
        <f t="shared" si="32"/>
        <v>alp_ecom_conversao_ecom_facebook_social_pagepost_social_slim-pets_rmk-30-mobile_cpm_1200x628_111123</v>
      </c>
      <c r="D148" t="str">
        <f t="shared" si="33"/>
        <v>243725954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alp_ecom_conversao_ecom_facebook_social_pagepost_social_slim-pets_rmk-30-mobile_cpm_1200x628_111123</v>
      </c>
      <c r="G148" t="str">
        <f t="shared" si="35"/>
        <v>440444130</v>
      </c>
      <c r="H148" t="str">
        <f t="shared" si="36"/>
        <v>Tracking</v>
      </c>
      <c r="I148">
        <f t="shared" si="37"/>
        <v>0</v>
      </c>
      <c r="J148">
        <f t="shared" si="38"/>
        <v>229</v>
      </c>
      <c r="K148" s="4">
        <f t="shared" si="28"/>
        <v>3.5000000000000001E-3</v>
      </c>
      <c r="L148">
        <f t="shared" si="29"/>
        <v>2.5000000000000001E-2</v>
      </c>
      <c r="M148" s="4">
        <f t="shared" si="26"/>
        <v>0.80149999999999999</v>
      </c>
      <c r="N148" s="4">
        <f t="shared" si="27"/>
        <v>5.7250000000000005</v>
      </c>
    </row>
    <row r="149" spans="1:14">
      <c r="A149" t="str">
        <f t="shared" si="30"/>
        <v>alp_ecom</v>
      </c>
      <c r="B149" t="str">
        <f t="shared" si="31"/>
        <v>facebook.com.br</v>
      </c>
      <c r="C149" t="str">
        <f t="shared" si="32"/>
        <v>alp_ecom_conversao_ecom_facebook_social_pagepost_social_slim-pets_rmk-30_cpm_1200x628_111123</v>
      </c>
      <c r="D149" t="str">
        <f t="shared" si="33"/>
        <v>243725957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alp_ecom_conversao_ecom_facebook_social_pagepost_social_slim-pets_rmk-30_cpm_1200x628_111123</v>
      </c>
      <c r="G149" t="str">
        <f t="shared" si="35"/>
        <v>440444133</v>
      </c>
      <c r="H149" t="str">
        <f t="shared" si="36"/>
        <v>Tracking</v>
      </c>
      <c r="I149">
        <f t="shared" si="37"/>
        <v>0</v>
      </c>
      <c r="J149">
        <f t="shared" si="38"/>
        <v>8</v>
      </c>
      <c r="K149" s="4">
        <f t="shared" si="28"/>
        <v>3.5000000000000001E-3</v>
      </c>
      <c r="L149">
        <f t="shared" si="29"/>
        <v>2.5000000000000001E-2</v>
      </c>
      <c r="M149" s="4">
        <f t="shared" si="26"/>
        <v>2.8000000000000001E-2</v>
      </c>
      <c r="N149" s="4">
        <f t="shared" si="27"/>
        <v>0.2</v>
      </c>
    </row>
    <row r="150" spans="1:14">
      <c r="A150" t="str">
        <f t="shared" si="30"/>
        <v>alp_ecom</v>
      </c>
      <c r="B150" t="str">
        <f t="shared" si="31"/>
        <v>facebook.com.br</v>
      </c>
      <c r="C150" t="str">
        <f t="shared" si="32"/>
        <v>alp_ecom_conversao_ecom_facebook_social_pagepost_social_star-wars_curte-havaianas_cpm_1200x628_111166</v>
      </c>
      <c r="D150" t="str">
        <f t="shared" si="33"/>
        <v>245833360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alp_ecom_conversao_ecom_facebook_social_pagepost_social_star-wars_curte-havaianas_cpm_1200x628_111166</v>
      </c>
      <c r="G150" t="str">
        <f t="shared" si="35"/>
        <v>442356531</v>
      </c>
      <c r="H150" t="str">
        <f t="shared" si="36"/>
        <v>Tracking</v>
      </c>
      <c r="I150">
        <f t="shared" si="37"/>
        <v>0</v>
      </c>
      <c r="J150">
        <f t="shared" si="38"/>
        <v>51</v>
      </c>
      <c r="K150" s="4">
        <f t="shared" si="28"/>
        <v>3.5000000000000001E-3</v>
      </c>
      <c r="L150">
        <f t="shared" si="29"/>
        <v>2.5000000000000001E-2</v>
      </c>
      <c r="M150" s="4">
        <f t="shared" si="26"/>
        <v>0.17849999999999999</v>
      </c>
      <c r="N150" s="4">
        <f t="shared" si="27"/>
        <v>1.2750000000000001</v>
      </c>
    </row>
    <row r="151" spans="1:14">
      <c r="A151" t="str">
        <f t="shared" si="30"/>
        <v>alp_ecom</v>
      </c>
      <c r="B151" t="str">
        <f t="shared" si="31"/>
        <v>facebook.com.br</v>
      </c>
      <c r="C151" t="str">
        <f t="shared" si="32"/>
        <v>alp_ecom_conversao_ecom_facebook_social_pagepost_social_star-wars_look-1-desk_cpm_1200x628_111166</v>
      </c>
      <c r="D151" t="str">
        <f t="shared" si="33"/>
        <v>245833357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alp_ecom_conversao_ecom_facebook_social_pagepost_social_star-wars_look-1-desk_cpm_1200x628_111166</v>
      </c>
      <c r="G151" t="str">
        <f t="shared" si="35"/>
        <v>442356528</v>
      </c>
      <c r="H151" t="str">
        <f t="shared" si="36"/>
        <v>Tracking</v>
      </c>
      <c r="I151">
        <f t="shared" si="37"/>
        <v>0</v>
      </c>
      <c r="J151">
        <f t="shared" si="38"/>
        <v>4</v>
      </c>
      <c r="K151" s="4">
        <f t="shared" si="28"/>
        <v>3.5000000000000001E-3</v>
      </c>
      <c r="L151">
        <f t="shared" si="29"/>
        <v>2.5000000000000001E-2</v>
      </c>
      <c r="M151" s="4">
        <f t="shared" si="26"/>
        <v>1.4E-2</v>
      </c>
      <c r="N151" s="4">
        <f t="shared" si="27"/>
        <v>0.1</v>
      </c>
    </row>
    <row r="152" spans="1:14">
      <c r="A152" t="str">
        <f t="shared" si="30"/>
        <v>alp_ecom</v>
      </c>
      <c r="B152" t="str">
        <f t="shared" si="31"/>
        <v>facebook.com.br</v>
      </c>
      <c r="C152" t="str">
        <f t="shared" si="32"/>
        <v>alp_ecom_conversao_ecom_facebook_social_pagepost_social_star-wars_look-1-mobile_cpm_1200x628_111166</v>
      </c>
      <c r="D152" t="str">
        <f t="shared" si="33"/>
        <v>245833354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alp_ecom_conversao_ecom_facebook_social_pagepost_social_star-wars_look-1-mobile_cpm_1200x628_111166</v>
      </c>
      <c r="G152" t="str">
        <f t="shared" si="35"/>
        <v>442356525</v>
      </c>
      <c r="H152" t="str">
        <f t="shared" si="36"/>
        <v>Tracking</v>
      </c>
      <c r="I152">
        <f t="shared" si="37"/>
        <v>0</v>
      </c>
      <c r="J152">
        <f t="shared" si="38"/>
        <v>5</v>
      </c>
      <c r="K152" s="4">
        <f t="shared" si="28"/>
        <v>3.5000000000000001E-3</v>
      </c>
      <c r="L152">
        <f t="shared" si="29"/>
        <v>2.5000000000000001E-2</v>
      </c>
      <c r="M152" s="4">
        <f t="shared" si="26"/>
        <v>1.7500000000000002E-2</v>
      </c>
      <c r="N152" s="4">
        <f t="shared" si="27"/>
        <v>0.125</v>
      </c>
    </row>
    <row r="153" spans="1:14">
      <c r="A153" t="str">
        <f t="shared" si="30"/>
        <v>alp_ecom</v>
      </c>
      <c r="B153" t="str">
        <f t="shared" si="31"/>
        <v>facebook.com.br</v>
      </c>
      <c r="C153" t="str">
        <f t="shared" si="32"/>
        <v>alp_ecom_conversao_ecom_facebook_social_pagepost_social_star-wars_look-2-desk_cpm_1200x628_111166</v>
      </c>
      <c r="D153" t="str">
        <f t="shared" si="33"/>
        <v>245833351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alp_ecom_conversao_ecom_facebook_social_pagepost_social_star-wars_look-2-desk_cpm_1200x628_111166</v>
      </c>
      <c r="G153" t="str">
        <f t="shared" si="35"/>
        <v>442356522</v>
      </c>
      <c r="H153" t="str">
        <f t="shared" si="36"/>
        <v>Tracking</v>
      </c>
      <c r="I153">
        <f t="shared" si="37"/>
        <v>0</v>
      </c>
      <c r="J153">
        <f t="shared" si="38"/>
        <v>5</v>
      </c>
      <c r="K153" s="4">
        <f t="shared" si="28"/>
        <v>3.5000000000000001E-3</v>
      </c>
      <c r="L153">
        <f t="shared" si="29"/>
        <v>2.5000000000000001E-2</v>
      </c>
      <c r="M153" s="4">
        <f t="shared" si="26"/>
        <v>1.7500000000000002E-2</v>
      </c>
      <c r="N153" s="4">
        <f t="shared" si="27"/>
        <v>0.125</v>
      </c>
    </row>
    <row r="154" spans="1:14">
      <c r="A154" t="str">
        <f t="shared" si="30"/>
        <v>alp_ecom</v>
      </c>
      <c r="B154" t="str">
        <f t="shared" si="31"/>
        <v>facebook.com.br</v>
      </c>
      <c r="C154" t="str">
        <f t="shared" si="32"/>
        <v>alp_ecom_conversao_ecom_facebook_social_pagepost_social_star-wars_rmk-30-mobile_cpm_1200x628_111166</v>
      </c>
      <c r="D154" t="str">
        <f t="shared" si="33"/>
        <v>245815051</v>
      </c>
      <c r="E154" t="str">
        <f>IF(Table1[[#This Row],[Impressions]]&gt;Table1[[#This Row],[Clicks]],"Standard",VLOOKUP(CONCATENATE(bd_adtype,"_",bd_creativetype),tabela,2,FALSE))</f>
        <v>Dynamic Click</v>
      </c>
      <c r="F154" t="str">
        <f t="shared" si="34"/>
        <v>alp_ecom_conversao_ecom_facebook_social_pagepost_social_star-wars_rmk-30-mobile_cpm_1200x628_111166</v>
      </c>
      <c r="G154" t="str">
        <f t="shared" si="35"/>
        <v>442443041</v>
      </c>
      <c r="H154" t="str">
        <f t="shared" si="36"/>
        <v>Tracking</v>
      </c>
      <c r="I154">
        <f t="shared" si="37"/>
        <v>0</v>
      </c>
      <c r="J154">
        <f t="shared" si="38"/>
        <v>17</v>
      </c>
      <c r="K154" s="4">
        <f t="shared" si="28"/>
        <v>3.5000000000000001E-3</v>
      </c>
      <c r="L154">
        <f t="shared" si="29"/>
        <v>2.5000000000000001E-2</v>
      </c>
      <c r="M154" s="4">
        <f t="shared" si="26"/>
        <v>5.9500000000000004E-2</v>
      </c>
      <c r="N154" s="4">
        <f t="shared" si="27"/>
        <v>0.42500000000000004</v>
      </c>
    </row>
    <row r="155" spans="1:14">
      <c r="A155" t="str">
        <f t="shared" si="30"/>
        <v>alp_ecom</v>
      </c>
      <c r="B155" t="str">
        <f t="shared" si="31"/>
        <v>facebook.com.br</v>
      </c>
      <c r="C155" t="str">
        <f t="shared" si="32"/>
        <v>alp_ecom_conversao_ecom_facebook_social_pagepost_social_star-wars_rmk-30_cpm_1200x628_111166</v>
      </c>
      <c r="D155" t="str">
        <f t="shared" si="33"/>
        <v>245833345</v>
      </c>
      <c r="E155" t="str">
        <f>IF(Table1[[#This Row],[Impressions]]&gt;Table1[[#This Row],[Clicks]],"Standard",VLOOKUP(CONCATENATE(bd_adtype,"_",bd_creativetype),tabela,2,FALSE))</f>
        <v>Dynamic Click</v>
      </c>
      <c r="F155" t="str">
        <f t="shared" si="34"/>
        <v>alp_ecom_conversao_ecom_facebook_social_pagepost_social_star-wars_rmk-30_cpm_1200x628_111166</v>
      </c>
      <c r="G155" t="str">
        <f t="shared" si="35"/>
        <v>442356516</v>
      </c>
      <c r="H155" t="str">
        <f t="shared" si="36"/>
        <v>Tracking</v>
      </c>
      <c r="I155">
        <f t="shared" si="37"/>
        <v>0</v>
      </c>
      <c r="J155">
        <f t="shared" si="38"/>
        <v>5</v>
      </c>
      <c r="K155" s="4">
        <f t="shared" si="28"/>
        <v>3.5000000000000001E-3</v>
      </c>
      <c r="L155">
        <f t="shared" si="29"/>
        <v>2.5000000000000001E-2</v>
      </c>
      <c r="M155" s="4">
        <f t="shared" si="26"/>
        <v>1.7500000000000002E-2</v>
      </c>
      <c r="N155" s="4">
        <f t="shared" si="27"/>
        <v>0.125</v>
      </c>
    </row>
    <row r="156" spans="1:14">
      <c r="A156" t="str">
        <f t="shared" si="30"/>
        <v>alp_ecom</v>
      </c>
      <c r="B156" t="str">
        <f t="shared" si="31"/>
        <v>facebook.com.br</v>
      </c>
      <c r="C156" t="str">
        <f t="shared" si="32"/>
        <v>alp_ecom_conversao_ecom_facebook_social_pagepost_social_top-disney_curte-havaianas_cpm_1200x628_111161</v>
      </c>
      <c r="D156" t="str">
        <f t="shared" si="33"/>
        <v>245715951</v>
      </c>
      <c r="E156" t="str">
        <f>IF(Table1[[#This Row],[Impressions]]&gt;Table1[[#This Row],[Clicks]],"Standard",VLOOKUP(CONCATENATE(bd_adtype,"_",bd_creativetype),tabela,2,FALSE))</f>
        <v>Dynamic Click</v>
      </c>
      <c r="F156" t="str">
        <f t="shared" si="34"/>
        <v>alp_ecom_conversao_ecom_facebook_social_pagepost_social_top-disney_curte-havaianas_cpm_1200x628_111161</v>
      </c>
      <c r="G156" t="str">
        <f t="shared" si="35"/>
        <v>442194964</v>
      </c>
      <c r="H156" t="str">
        <f t="shared" si="36"/>
        <v>Tracking</v>
      </c>
      <c r="I156">
        <f t="shared" si="37"/>
        <v>0</v>
      </c>
      <c r="J156">
        <f t="shared" si="38"/>
        <v>5971</v>
      </c>
      <c r="K156" s="4">
        <f t="shared" si="28"/>
        <v>3.5000000000000001E-3</v>
      </c>
      <c r="L156">
        <f t="shared" si="29"/>
        <v>2.5000000000000001E-2</v>
      </c>
      <c r="M156" s="4">
        <f t="shared" si="26"/>
        <v>20.898500000000002</v>
      </c>
      <c r="N156" s="4">
        <f t="shared" si="27"/>
        <v>149.27500000000001</v>
      </c>
    </row>
    <row r="157" spans="1:14">
      <c r="A157" t="str">
        <f t="shared" si="30"/>
        <v>alp_ecom</v>
      </c>
      <c r="B157" t="str">
        <f t="shared" si="31"/>
        <v>facebook.com.br</v>
      </c>
      <c r="C157" t="str">
        <f t="shared" si="32"/>
        <v>alp_ecom_conversao_ecom_facebook_social_pagepost_social_top-disney_look-1-desk_cpm_1200x628_111161</v>
      </c>
      <c r="D157" t="str">
        <f t="shared" si="33"/>
        <v>245715948</v>
      </c>
      <c r="E157" t="str">
        <f>IF(Table1[[#This Row],[Impressions]]&gt;Table1[[#This Row],[Clicks]],"Standard",VLOOKUP(CONCATENATE(bd_adtype,"_",bd_creativetype),tabela,2,FALSE))</f>
        <v>Dynamic Click</v>
      </c>
      <c r="F157" t="str">
        <f t="shared" si="34"/>
        <v>alp_ecom_conversao_ecom_facebook_social_pagepost_social_top-disney_look-1-desk_cpm_1200x628_111161</v>
      </c>
      <c r="G157" t="str">
        <f t="shared" si="35"/>
        <v>442194961</v>
      </c>
      <c r="H157" t="str">
        <f t="shared" si="36"/>
        <v>Tracking</v>
      </c>
      <c r="I157">
        <f t="shared" si="37"/>
        <v>0</v>
      </c>
      <c r="J157">
        <f t="shared" si="38"/>
        <v>5</v>
      </c>
      <c r="K157" s="4">
        <f t="shared" si="28"/>
        <v>3.5000000000000001E-3</v>
      </c>
      <c r="L157">
        <f t="shared" si="29"/>
        <v>2.5000000000000001E-2</v>
      </c>
      <c r="M157" s="4">
        <f t="shared" si="26"/>
        <v>1.7500000000000002E-2</v>
      </c>
      <c r="N157" s="4">
        <f t="shared" si="27"/>
        <v>0.125</v>
      </c>
    </row>
    <row r="158" spans="1:14">
      <c r="A158" t="str">
        <f t="shared" si="30"/>
        <v>alp_ecom</v>
      </c>
      <c r="B158" t="str">
        <f t="shared" si="31"/>
        <v>facebook.com.br</v>
      </c>
      <c r="C158" t="str">
        <f t="shared" si="32"/>
        <v>alp_ecom_conversao_ecom_facebook_social_pagepost_social_top-disney_look-1-mobile_cpm_1200x628_111161</v>
      </c>
      <c r="D158" t="str">
        <f t="shared" si="33"/>
        <v>245715945</v>
      </c>
      <c r="E158" t="str">
        <f>IF(Table1[[#This Row],[Impressions]]&gt;Table1[[#This Row],[Clicks]],"Standard",VLOOKUP(CONCATENATE(bd_adtype,"_",bd_creativetype),tabela,2,FALSE))</f>
        <v>Dynamic Click</v>
      </c>
      <c r="F158" t="str">
        <f t="shared" si="34"/>
        <v>alp_ecom_conversao_ecom_facebook_social_pagepost_social_top-disney_look-1-mobile_cpm_1200x628_111161</v>
      </c>
      <c r="G158" t="str">
        <f t="shared" si="35"/>
        <v>442194958</v>
      </c>
      <c r="H158" t="str">
        <f t="shared" si="36"/>
        <v>Tracking</v>
      </c>
      <c r="I158">
        <f t="shared" si="37"/>
        <v>0</v>
      </c>
      <c r="J158">
        <f t="shared" si="38"/>
        <v>81</v>
      </c>
      <c r="K158" s="4">
        <f t="shared" si="28"/>
        <v>3.5000000000000001E-3</v>
      </c>
      <c r="L158">
        <f t="shared" si="29"/>
        <v>2.5000000000000001E-2</v>
      </c>
      <c r="M158" s="4">
        <f t="shared" si="26"/>
        <v>0.28350000000000003</v>
      </c>
      <c r="N158" s="4">
        <f t="shared" si="27"/>
        <v>2.0249999999999999</v>
      </c>
    </row>
    <row r="159" spans="1:14">
      <c r="A159" t="str">
        <f t="shared" si="30"/>
        <v>alp_ecom</v>
      </c>
      <c r="B159" t="str">
        <f t="shared" si="31"/>
        <v>facebook.com.br</v>
      </c>
      <c r="C159" t="str">
        <f t="shared" si="32"/>
        <v>alp_ecom_conversao_ecom_facebook_social_pagepost_social_top-disney_look-2-desk_cpm_1200x628_111161</v>
      </c>
      <c r="D159" t="str">
        <f t="shared" si="33"/>
        <v>245715942</v>
      </c>
      <c r="E159" t="str">
        <f>IF(Table1[[#This Row],[Impressions]]&gt;Table1[[#This Row],[Clicks]],"Standard",VLOOKUP(CONCATENATE(bd_adtype,"_",bd_creativetype),tabela,2,FALSE))</f>
        <v>Dynamic Click</v>
      </c>
      <c r="F159" t="str">
        <f t="shared" si="34"/>
        <v>alp_ecom_conversao_ecom_facebook_social_pagepost_social_top-disney_look-2-desk_cpm_1200x628_111161</v>
      </c>
      <c r="G159" t="str">
        <f t="shared" si="35"/>
        <v>442194955</v>
      </c>
      <c r="H159" t="str">
        <f t="shared" si="36"/>
        <v>Tracking</v>
      </c>
      <c r="I159">
        <f t="shared" si="37"/>
        <v>0</v>
      </c>
      <c r="J159">
        <f t="shared" si="38"/>
        <v>4</v>
      </c>
      <c r="K159" s="4">
        <f t="shared" si="28"/>
        <v>3.5000000000000001E-3</v>
      </c>
      <c r="L159">
        <f t="shared" si="29"/>
        <v>2.5000000000000001E-2</v>
      </c>
      <c r="M159" s="4">
        <f t="shared" si="26"/>
        <v>1.4E-2</v>
      </c>
      <c r="N159" s="4">
        <f t="shared" si="27"/>
        <v>0.1</v>
      </c>
    </row>
    <row r="160" spans="1:14">
      <c r="A160" t="str">
        <f t="shared" si="30"/>
        <v>alp_ecom</v>
      </c>
      <c r="B160" t="str">
        <f t="shared" si="31"/>
        <v>facebook.com.br</v>
      </c>
      <c r="C160" t="str">
        <f t="shared" si="32"/>
        <v>alp_ecom_conversao_ecom_facebook_social_pagepost_social_top-disney_look-2-mobile_cpm_1200x628_111161</v>
      </c>
      <c r="D160" t="str">
        <f t="shared" si="33"/>
        <v>245715939</v>
      </c>
      <c r="E160" t="str">
        <f>IF(Table1[[#This Row],[Impressions]]&gt;Table1[[#This Row],[Clicks]],"Standard",VLOOKUP(CONCATENATE(bd_adtype,"_",bd_creativetype),tabela,2,FALSE))</f>
        <v>Dynamic Click</v>
      </c>
      <c r="F160" t="str">
        <f t="shared" si="34"/>
        <v>alp_ecom_conversao_ecom_facebook_social_pagepost_social_top-disney_look-2-mobile_cpm_1200x628_111161</v>
      </c>
      <c r="G160" t="str">
        <f t="shared" si="35"/>
        <v>442194952</v>
      </c>
      <c r="H160" t="str">
        <f t="shared" si="36"/>
        <v>Tracking</v>
      </c>
      <c r="I160">
        <f t="shared" si="37"/>
        <v>0</v>
      </c>
      <c r="J160">
        <f t="shared" si="38"/>
        <v>56</v>
      </c>
      <c r="K160" s="4">
        <f t="shared" si="28"/>
        <v>3.5000000000000001E-3</v>
      </c>
      <c r="L160">
        <f t="shared" si="29"/>
        <v>2.5000000000000001E-2</v>
      </c>
      <c r="M160" s="4">
        <f t="shared" si="26"/>
        <v>0.19600000000000001</v>
      </c>
      <c r="N160" s="4">
        <f t="shared" si="27"/>
        <v>1.4000000000000001</v>
      </c>
    </row>
    <row r="161" spans="1:14">
      <c r="A161" t="str">
        <f t="shared" si="30"/>
        <v>alp_ecom</v>
      </c>
      <c r="B161" t="str">
        <f t="shared" si="31"/>
        <v>facebook.com.br</v>
      </c>
      <c r="C161" t="str">
        <f t="shared" si="32"/>
        <v>alp_ecom_conversao_ecom_facebook_social_pagepost_social_top-disney_rmk-30-mobile_cpm_1200x628_111161</v>
      </c>
      <c r="D161" t="str">
        <f t="shared" si="33"/>
        <v>245715933</v>
      </c>
      <c r="E161" t="str">
        <f>IF(Table1[[#This Row],[Impressions]]&gt;Table1[[#This Row],[Clicks]],"Standard",VLOOKUP(CONCATENATE(bd_adtype,"_",bd_creativetype),tabela,2,FALSE))</f>
        <v>Dynamic Click</v>
      </c>
      <c r="F161" t="str">
        <f t="shared" si="34"/>
        <v>alp_ecom_conversao_ecom_facebook_social_pagepost_social_top-disney_rmk-30-mobile_cpm_1200x628_111161</v>
      </c>
      <c r="G161" t="str">
        <f t="shared" si="35"/>
        <v>442194946</v>
      </c>
      <c r="H161" t="str">
        <f t="shared" si="36"/>
        <v>Tracking</v>
      </c>
      <c r="I161">
        <f t="shared" si="37"/>
        <v>0</v>
      </c>
      <c r="J161">
        <f t="shared" si="38"/>
        <v>118</v>
      </c>
      <c r="K161" s="4">
        <f t="shared" si="28"/>
        <v>3.5000000000000001E-3</v>
      </c>
      <c r="L161">
        <f t="shared" si="29"/>
        <v>2.5000000000000001E-2</v>
      </c>
      <c r="M161" s="4">
        <f t="shared" si="26"/>
        <v>0.41300000000000003</v>
      </c>
      <c r="N161" s="4">
        <f t="shared" si="27"/>
        <v>2.95</v>
      </c>
    </row>
    <row r="162" spans="1:14">
      <c r="A162" t="str">
        <f t="shared" si="30"/>
        <v>alp_ecom</v>
      </c>
      <c r="B162" t="str">
        <f t="shared" si="31"/>
        <v>facebook.com.br</v>
      </c>
      <c r="C162" t="str">
        <f t="shared" si="32"/>
        <v>alp_ecom_conversao_ecom_facebook_social_pagepost_social_top-disney_rmk-30_cpm_1200x628_111161</v>
      </c>
      <c r="D162" t="str">
        <f t="shared" si="33"/>
        <v>245715936</v>
      </c>
      <c r="E162" t="str">
        <f>IF(Table1[[#This Row],[Impressions]]&gt;Table1[[#This Row],[Clicks]],"Standard",VLOOKUP(CONCATENATE(bd_adtype,"_",bd_creativetype),tabela,2,FALSE))</f>
        <v>Dynamic Click</v>
      </c>
      <c r="F162" t="str">
        <f t="shared" si="34"/>
        <v>alp_ecom_conversao_ecom_facebook_social_pagepost_social_top-disney_rmk-30_cpm_1200x628_111161</v>
      </c>
      <c r="G162" t="str">
        <f t="shared" si="35"/>
        <v>442194949</v>
      </c>
      <c r="H162" t="str">
        <f t="shared" si="36"/>
        <v>Tracking</v>
      </c>
      <c r="I162">
        <f t="shared" si="37"/>
        <v>0</v>
      </c>
      <c r="J162">
        <f t="shared" si="38"/>
        <v>5</v>
      </c>
      <c r="K162" s="4">
        <f t="shared" si="28"/>
        <v>3.5000000000000001E-3</v>
      </c>
      <c r="L162">
        <f t="shared" si="29"/>
        <v>2.5000000000000001E-2</v>
      </c>
      <c r="M162" s="4">
        <f t="shared" si="26"/>
        <v>1.7500000000000002E-2</v>
      </c>
      <c r="N162" s="4">
        <f t="shared" si="27"/>
        <v>0.125</v>
      </c>
    </row>
    <row r="163" spans="1:14">
      <c r="A163" t="str">
        <f t="shared" si="30"/>
        <v>alp_ecom</v>
      </c>
      <c r="B163" t="str">
        <f t="shared" si="31"/>
        <v>facebook.com.br</v>
      </c>
      <c r="C163" t="str">
        <f t="shared" si="32"/>
        <v>alp_ecom_conversao_ecom_facebook_social_stories_social_got_interesse-got_cpm_de-5s-ate-10s_111136</v>
      </c>
      <c r="D163" t="str">
        <f t="shared" si="33"/>
        <v>243623883</v>
      </c>
      <c r="E163" t="str">
        <f>IF(Table1[[#This Row],[Impressions]]&gt;Table1[[#This Row],[Clicks]],"Standard",VLOOKUP(CONCATENATE(bd_adtype,"_",bd_creativetype),tabela,2,FALSE))</f>
        <v>Dynamic Click</v>
      </c>
      <c r="F163" t="str">
        <f t="shared" si="34"/>
        <v>alp_ecom_conversao_ecom_facebook_social_stories_social_got_interesse-got_cpm_de-5s-ate-10s_111136</v>
      </c>
      <c r="G163" t="str">
        <f t="shared" si="35"/>
        <v>440131555</v>
      </c>
      <c r="H163" t="str">
        <f t="shared" si="36"/>
        <v>Tracking</v>
      </c>
      <c r="I163">
        <f t="shared" si="37"/>
        <v>0</v>
      </c>
      <c r="J163">
        <f t="shared" si="38"/>
        <v>1</v>
      </c>
      <c r="K163" s="4">
        <f t="shared" si="28"/>
        <v>3.5000000000000001E-3</v>
      </c>
      <c r="L163">
        <f t="shared" si="29"/>
        <v>2.5000000000000001E-2</v>
      </c>
      <c r="M163" s="4">
        <f t="shared" ref="M163:M226" si="39">IF(E163="Dynamic Click",J163*K163,K163*$I163/1000)</f>
        <v>3.5000000000000001E-3</v>
      </c>
      <c r="N163" s="4">
        <f t="shared" ref="N163:N226" si="40">IF(E163="Dynamic Click",J163*L163,L163*$I163/1000)</f>
        <v>2.5000000000000001E-2</v>
      </c>
    </row>
    <row r="164" spans="1:14">
      <c r="A164" t="str">
        <f t="shared" si="30"/>
        <v>alp_ecom</v>
      </c>
      <c r="B164" t="str">
        <f t="shared" si="31"/>
        <v>facebook.com.br</v>
      </c>
      <c r="C164" t="str">
        <f t="shared" si="32"/>
        <v>alp_ecom_conversao_ecom_facebook_social_stories_social_got_interesse-got_cpm_de-5s-ate-10s_111143</v>
      </c>
      <c r="D164" t="str">
        <f t="shared" si="33"/>
        <v>244356887</v>
      </c>
      <c r="E164" t="str">
        <f>IF(Table1[[#This Row],[Impressions]]&gt;Table1[[#This Row],[Clicks]],"Standard",VLOOKUP(CONCATENATE(bd_adtype,"_",bd_creativetype),tabela,2,FALSE))</f>
        <v>Dynamic Click</v>
      </c>
      <c r="F164" t="str">
        <f t="shared" si="34"/>
        <v>alp_ecom_conversao_ecom_facebook_social_stories_social_got_interesse-got_cpm_de-5s-ate-10s_111143</v>
      </c>
      <c r="G164" t="str">
        <f t="shared" si="35"/>
        <v>441297965</v>
      </c>
      <c r="H164" t="str">
        <f t="shared" si="36"/>
        <v>Tracking</v>
      </c>
      <c r="I164">
        <f t="shared" si="37"/>
        <v>0</v>
      </c>
      <c r="J164">
        <f t="shared" si="38"/>
        <v>454</v>
      </c>
      <c r="K164" s="4">
        <f t="shared" si="28"/>
        <v>3.5000000000000001E-3</v>
      </c>
      <c r="L164">
        <f t="shared" si="29"/>
        <v>2.5000000000000001E-2</v>
      </c>
      <c r="M164" s="4">
        <f t="shared" si="39"/>
        <v>1.589</v>
      </c>
      <c r="N164" s="4">
        <f t="shared" si="40"/>
        <v>11.350000000000001</v>
      </c>
    </row>
    <row r="165" spans="1:14">
      <c r="A165" t="str">
        <f t="shared" si="30"/>
        <v>alp_ecom</v>
      </c>
      <c r="B165" t="str">
        <f t="shared" si="31"/>
        <v>facebook.com.br</v>
      </c>
      <c r="C165" t="str">
        <f t="shared" si="32"/>
        <v>alp_ecom_conversao_ecom_facebook_social_stories_social_got_interesse-got_cpm_de-5s-ate-10s_111144</v>
      </c>
      <c r="D165" t="str">
        <f t="shared" si="33"/>
        <v>244356911</v>
      </c>
      <c r="E165" t="str">
        <f>IF(Table1[[#This Row],[Impressions]]&gt;Table1[[#This Row],[Clicks]],"Standard",VLOOKUP(CONCATENATE(bd_adtype,"_",bd_creativetype),tabela,2,FALSE))</f>
        <v>Dynamic Click</v>
      </c>
      <c r="F165" t="str">
        <f t="shared" si="34"/>
        <v>alp_ecom_conversao_ecom_facebook_social_stories_social_got_interesse-got_cpm_de-5s-ate-10s_111144</v>
      </c>
      <c r="G165" t="str">
        <f t="shared" si="35"/>
        <v>441297989</v>
      </c>
      <c r="H165" t="str">
        <f t="shared" si="36"/>
        <v>Tracking</v>
      </c>
      <c r="I165">
        <f t="shared" si="37"/>
        <v>0</v>
      </c>
      <c r="J165">
        <f t="shared" si="38"/>
        <v>762</v>
      </c>
      <c r="K165" s="4">
        <f t="shared" si="28"/>
        <v>3.5000000000000001E-3</v>
      </c>
      <c r="L165">
        <f t="shared" si="29"/>
        <v>2.5000000000000001E-2</v>
      </c>
      <c r="M165" s="4">
        <f t="shared" si="39"/>
        <v>2.6670000000000003</v>
      </c>
      <c r="N165" s="4">
        <f t="shared" si="40"/>
        <v>19.05</v>
      </c>
    </row>
    <row r="166" spans="1:14">
      <c r="A166" t="str">
        <f t="shared" si="30"/>
        <v>alp_ecom</v>
      </c>
      <c r="B166" t="str">
        <f t="shared" si="31"/>
        <v>facebook.com.br</v>
      </c>
      <c r="C166" t="str">
        <f t="shared" si="32"/>
        <v>alp_ecom_conversao_ecom_facebook_social_stories_social_got_interesse-got_cpm_de-5s-ate-10s_111145</v>
      </c>
      <c r="D166" t="str">
        <f t="shared" si="33"/>
        <v>244356905</v>
      </c>
      <c r="E166" t="str">
        <f>IF(Table1[[#This Row],[Impressions]]&gt;Table1[[#This Row],[Clicks]],"Standard",VLOOKUP(CONCATENATE(bd_adtype,"_",bd_creativetype),tabela,2,FALSE))</f>
        <v>Dynamic Click</v>
      </c>
      <c r="F166" t="str">
        <f t="shared" si="34"/>
        <v>alp_ecom_conversao_ecom_facebook_social_stories_social_got_interesse-got_cpm_de-5s-ate-10s_111145</v>
      </c>
      <c r="G166" t="str">
        <f t="shared" si="35"/>
        <v>441297983</v>
      </c>
      <c r="H166" t="str">
        <f t="shared" si="36"/>
        <v>Tracking</v>
      </c>
      <c r="I166">
        <f t="shared" si="37"/>
        <v>0</v>
      </c>
      <c r="J166">
        <f t="shared" si="38"/>
        <v>1411</v>
      </c>
      <c r="K166" s="4">
        <f t="shared" si="28"/>
        <v>3.5000000000000001E-3</v>
      </c>
      <c r="L166">
        <f t="shared" si="29"/>
        <v>2.5000000000000001E-2</v>
      </c>
      <c r="M166" s="4">
        <f t="shared" si="39"/>
        <v>4.9385000000000003</v>
      </c>
      <c r="N166" s="4">
        <f t="shared" si="40"/>
        <v>35.274999999999999</v>
      </c>
    </row>
    <row r="167" spans="1:14">
      <c r="A167" t="str">
        <f t="shared" si="30"/>
        <v>alp_ecom</v>
      </c>
      <c r="B167" t="str">
        <f t="shared" si="31"/>
        <v>facebook.com.br</v>
      </c>
      <c r="C167" t="str">
        <f t="shared" si="32"/>
        <v>alp_ecom_conversao_ecom_facebook_social_stories_social_slim-hits_interesse-carnaval_cpm_de-5s-ate-10s_111201</v>
      </c>
      <c r="D167" t="str">
        <f t="shared" si="33"/>
        <v>247726375</v>
      </c>
      <c r="E167" t="str">
        <f>IF(Table1[[#This Row],[Impressions]]&gt;Table1[[#This Row],[Clicks]],"Standard",VLOOKUP(CONCATENATE(bd_adtype,"_",bd_creativetype),tabela,2,FALSE))</f>
        <v>Dynamic Click</v>
      </c>
      <c r="F167" t="str">
        <f t="shared" si="34"/>
        <v>alp_ecom_conversao_ecom_facebook_social_stories_social_slim-hits_interesse-carnaval_cpm_de-5s-ate-10s_111201</v>
      </c>
      <c r="G167" t="str">
        <f t="shared" si="35"/>
        <v>443998695</v>
      </c>
      <c r="H167" t="str">
        <f t="shared" si="36"/>
        <v>Tracking</v>
      </c>
      <c r="I167">
        <f t="shared" si="37"/>
        <v>0</v>
      </c>
      <c r="J167">
        <f t="shared" si="38"/>
        <v>2993</v>
      </c>
      <c r="K167" s="4">
        <f t="shared" si="28"/>
        <v>3.5000000000000001E-3</v>
      </c>
      <c r="L167">
        <f t="shared" si="29"/>
        <v>2.5000000000000001E-2</v>
      </c>
      <c r="M167" s="4">
        <f t="shared" si="39"/>
        <v>10.4755</v>
      </c>
      <c r="N167" s="4">
        <f t="shared" si="40"/>
        <v>74.825000000000003</v>
      </c>
    </row>
    <row r="168" spans="1:14">
      <c r="A168" t="str">
        <f t="shared" si="30"/>
        <v>alp_marca</v>
      </c>
      <c r="B168" t="str">
        <f t="shared" si="31"/>
        <v>Elhombre_Puig</v>
      </c>
      <c r="C168" t="str">
        <f t="shared" si="32"/>
        <v>alp_marca_alcance_masculino_el-hombre_display_diaria-bg_home_havaianas-urban_all_cpm_1900x1020_111132</v>
      </c>
      <c r="D168" t="str">
        <f t="shared" si="33"/>
        <v>243862051</v>
      </c>
      <c r="E168" t="str">
        <f>IF(Table1[[#This Row],[Impressions]]&gt;Table1[[#This Row],[Clicks]],"Standard",VLOOKUP(CONCATENATE(bd_adtype,"_",bd_creativetype),tabela,2,FALSE))</f>
        <v>Standard</v>
      </c>
      <c r="F168" t="str">
        <f t="shared" si="34"/>
        <v>alp_marca_alcance_masculino_el-hombre_display_diaria-bg_home_havaianas-urban_all_cpm_1900x1020_111132</v>
      </c>
      <c r="G168" t="str">
        <f t="shared" si="35"/>
        <v>440590061</v>
      </c>
      <c r="H168" t="str">
        <f t="shared" si="36"/>
        <v>Tracking</v>
      </c>
      <c r="I168">
        <f t="shared" si="37"/>
        <v>42244</v>
      </c>
      <c r="J168">
        <f t="shared" si="38"/>
        <v>0</v>
      </c>
      <c r="K168" s="4">
        <f t="shared" si="28"/>
        <v>3.8199999999999998E-2</v>
      </c>
      <c r="L168">
        <f t="shared" si="29"/>
        <v>0.09</v>
      </c>
      <c r="M168" s="4">
        <f t="shared" si="39"/>
        <v>1.6137207999999998</v>
      </c>
      <c r="N168" s="4">
        <f t="shared" si="40"/>
        <v>3.8019600000000002</v>
      </c>
    </row>
    <row r="169" spans="1:14">
      <c r="A169" t="str">
        <f t="shared" si="30"/>
        <v>alp_marca</v>
      </c>
      <c r="B169" t="str">
        <f t="shared" si="31"/>
        <v>Elhombre_Puig</v>
      </c>
      <c r="C169" t="str">
        <f t="shared" si="32"/>
        <v>alp_marca_alcance_masculino_el-hombre_display_interstitial-mobile_home_havaianas-urban_all_cpm_320x480_111133</v>
      </c>
      <c r="D169" t="str">
        <f t="shared" si="33"/>
        <v>243749696</v>
      </c>
      <c r="E169" t="str">
        <f>IF(Table1[[#This Row],[Impressions]]&gt;Table1[[#This Row],[Clicks]],"Standard",VLOOKUP(CONCATENATE(bd_adtype,"_",bd_creativetype),tabela,2,FALSE))</f>
        <v>Dynamic Click</v>
      </c>
      <c r="F169" t="str">
        <f t="shared" si="34"/>
        <v>alp_marca_alcance_masculino_el-hombre_display_interstitial-mobile_home_havaianas-urban_all_cpm_320x480_111133</v>
      </c>
      <c r="G169" t="str">
        <f t="shared" si="35"/>
        <v>440571883</v>
      </c>
      <c r="H169" t="str">
        <f t="shared" si="36"/>
        <v>Tracking</v>
      </c>
      <c r="I169">
        <f t="shared" si="37"/>
        <v>0</v>
      </c>
      <c r="J169">
        <f t="shared" si="38"/>
        <v>3</v>
      </c>
      <c r="K169" s="4">
        <f t="shared" si="28"/>
        <v>3.5000000000000001E-3</v>
      </c>
      <c r="L169">
        <f t="shared" si="29"/>
        <v>2.5000000000000001E-2</v>
      </c>
      <c r="M169" s="4">
        <f t="shared" si="39"/>
        <v>1.0500000000000001E-2</v>
      </c>
      <c r="N169" s="4">
        <f t="shared" si="40"/>
        <v>7.5000000000000011E-2</v>
      </c>
    </row>
    <row r="170" spans="1:14">
      <c r="A170" t="str">
        <f t="shared" si="30"/>
        <v>alp_marca</v>
      </c>
      <c r="B170" t="str">
        <f t="shared" si="31"/>
        <v>GQ (Brazil)</v>
      </c>
      <c r="C170" t="str">
        <f t="shared" si="32"/>
        <v>alp_marca_engajamentos_masculino_gq_display_half-page_ros_havaianas-urban_all_cpm_300x600_111152</v>
      </c>
      <c r="D170" t="str">
        <f t="shared" si="33"/>
        <v>245844403</v>
      </c>
      <c r="E170" t="str">
        <f>IF(Table1[[#This Row],[Impressions]]&gt;Table1[[#This Row],[Clicks]],"Standard",VLOOKUP(CONCATENATE(bd_adtype,"_",bd_creativetype),tabela,2,FALSE))</f>
        <v>Standard</v>
      </c>
      <c r="F170" t="str">
        <f t="shared" si="34"/>
        <v>alp_marca_engajamentos_masculino_gq_display_half-page_ros_havaianas-urban_all_cpm_300x600_111152</v>
      </c>
      <c r="G170" t="str">
        <f t="shared" si="35"/>
        <v>442478521</v>
      </c>
      <c r="H170" t="str">
        <f t="shared" si="36"/>
        <v>Tracking</v>
      </c>
      <c r="I170">
        <f t="shared" si="37"/>
        <v>60</v>
      </c>
      <c r="J170">
        <f t="shared" si="38"/>
        <v>0</v>
      </c>
      <c r="K170" s="4">
        <f t="shared" si="28"/>
        <v>3.8199999999999998E-2</v>
      </c>
      <c r="L170">
        <f t="shared" si="29"/>
        <v>0.09</v>
      </c>
      <c r="M170" s="4">
        <f t="shared" si="39"/>
        <v>2.2919999999999998E-3</v>
      </c>
      <c r="N170" s="4">
        <f t="shared" si="40"/>
        <v>5.3999999999999994E-3</v>
      </c>
    </row>
    <row r="171" spans="1:14">
      <c r="A171" t="str">
        <f t="shared" si="30"/>
        <v>alp_marca</v>
      </c>
      <c r="B171" t="str">
        <f t="shared" si="31"/>
        <v>GQ (Brazil)</v>
      </c>
      <c r="C171" t="str">
        <f t="shared" si="32"/>
        <v>alp_marca_engajamentos_masculino_gq_display_half-page_ros_havaianas-urban_all_cpm_300x600_111153</v>
      </c>
      <c r="D171" t="str">
        <f t="shared" si="33"/>
        <v>245844400</v>
      </c>
      <c r="E171" t="str">
        <f>IF(Table1[[#This Row],[Impressions]]&gt;Table1[[#This Row],[Clicks]],"Standard",VLOOKUP(CONCATENATE(bd_adtype,"_",bd_creativetype),tabela,2,FALSE))</f>
        <v>Standard</v>
      </c>
      <c r="F171" t="str">
        <f t="shared" si="34"/>
        <v>alp_marca_engajamentos_masculino_gq_display_half-page_ros_havaianas-urban_all_cpm_300x600_111153</v>
      </c>
      <c r="G171" t="str">
        <f t="shared" si="35"/>
        <v>442478518</v>
      </c>
      <c r="H171" t="str">
        <f t="shared" si="36"/>
        <v>Tracking</v>
      </c>
      <c r="I171">
        <f t="shared" si="37"/>
        <v>63</v>
      </c>
      <c r="J171">
        <f t="shared" si="38"/>
        <v>2</v>
      </c>
      <c r="K171" s="4">
        <f t="shared" si="28"/>
        <v>3.8199999999999998E-2</v>
      </c>
      <c r="L171">
        <f t="shared" si="29"/>
        <v>0.09</v>
      </c>
      <c r="M171" s="4">
        <f t="shared" si="39"/>
        <v>2.4066000000000001E-3</v>
      </c>
      <c r="N171" s="4">
        <f t="shared" si="40"/>
        <v>5.6699999999999997E-3</v>
      </c>
    </row>
    <row r="172" spans="1:14">
      <c r="A172" t="str">
        <f t="shared" si="30"/>
        <v>alp_marca</v>
      </c>
      <c r="B172" t="str">
        <f t="shared" si="31"/>
        <v>GQ (Brazil)</v>
      </c>
      <c r="C172" t="str">
        <f t="shared" si="32"/>
        <v>alp_marca_engajamentos_masculino_gq_display_retangulo_ros_havaianas-urban_all_cpm_300x250_111152</v>
      </c>
      <c r="D172" t="str">
        <f t="shared" si="33"/>
        <v>245853229</v>
      </c>
      <c r="E172" t="str">
        <f>IF(Table1[[#This Row],[Impressions]]&gt;Table1[[#This Row],[Clicks]],"Standard",VLOOKUP(CONCATENATE(bd_adtype,"_",bd_creativetype),tabela,2,FALSE))</f>
        <v>Standard</v>
      </c>
      <c r="F172" t="str">
        <f t="shared" si="34"/>
        <v>alp_marca_engajamentos_masculino_gq_display_retangulo_ros_havaianas-urban_all_cpm_300x250_111152</v>
      </c>
      <c r="G172" t="str">
        <f t="shared" si="35"/>
        <v>442486690</v>
      </c>
      <c r="H172" t="str">
        <f t="shared" si="36"/>
        <v>Tracking</v>
      </c>
      <c r="I172">
        <f t="shared" si="37"/>
        <v>593</v>
      </c>
      <c r="J172">
        <f t="shared" si="38"/>
        <v>9</v>
      </c>
      <c r="K172" s="4">
        <f t="shared" ref="K172:K235" si="41">IF(LEFT(B172,3)="DBM",0,VLOOKUP(E172,tabela,2,FALSE))</f>
        <v>3.8199999999999998E-2</v>
      </c>
      <c r="L172">
        <f t="shared" ref="L172:L235" si="42">VLOOKUP(E172,tabela,3,FALSE)</f>
        <v>0.09</v>
      </c>
      <c r="M172" s="4">
        <f t="shared" si="39"/>
        <v>2.2652599999999998E-2</v>
      </c>
      <c r="N172" s="4">
        <f t="shared" si="40"/>
        <v>5.3370000000000001E-2</v>
      </c>
    </row>
    <row r="173" spans="1:14">
      <c r="A173" t="str">
        <f t="shared" si="30"/>
        <v>alp_marca</v>
      </c>
      <c r="B173" t="str">
        <f t="shared" si="31"/>
        <v>GQ (Brazil)</v>
      </c>
      <c r="C173" t="str">
        <f t="shared" si="32"/>
        <v>alp_marca_engajamentos_masculino_gq_display_retangulo_ros_havaianas-urban_all_cpm_300x250_111153</v>
      </c>
      <c r="D173" t="str">
        <f t="shared" si="33"/>
        <v>245844406</v>
      </c>
      <c r="E173" t="str">
        <f>IF(Table1[[#This Row],[Impressions]]&gt;Table1[[#This Row],[Clicks]],"Standard",VLOOKUP(CONCATENATE(bd_adtype,"_",bd_creativetype),tabela,2,FALSE))</f>
        <v>Standard</v>
      </c>
      <c r="F173" t="str">
        <f t="shared" si="34"/>
        <v>alp_marca_engajamentos_masculino_gq_display_retangulo_ros_havaianas-urban_all_cpm_300x250_111153</v>
      </c>
      <c r="G173" t="str">
        <f t="shared" si="35"/>
        <v>442478524</v>
      </c>
      <c r="H173" t="str">
        <f t="shared" si="36"/>
        <v>Tracking</v>
      </c>
      <c r="I173">
        <f t="shared" si="37"/>
        <v>653</v>
      </c>
      <c r="J173">
        <f t="shared" si="38"/>
        <v>7</v>
      </c>
      <c r="K173" s="4">
        <f t="shared" si="41"/>
        <v>3.8199999999999998E-2</v>
      </c>
      <c r="L173">
        <f t="shared" si="42"/>
        <v>0.09</v>
      </c>
      <c r="M173" s="4">
        <f t="shared" si="39"/>
        <v>2.4944599999999997E-2</v>
      </c>
      <c r="N173" s="4">
        <f t="shared" si="40"/>
        <v>5.8769999999999996E-2</v>
      </c>
    </row>
    <row r="174" spans="1:14">
      <c r="A174" t="str">
        <f t="shared" si="30"/>
        <v>alp_marca</v>
      </c>
      <c r="B174" t="str">
        <f t="shared" si="31"/>
        <v>GQ (Brazil)</v>
      </c>
      <c r="C174" t="str">
        <f t="shared" si="32"/>
        <v>alp_marca_engajamentos_masculino_gq_display_superbanner_ros_havaianas-urban_all_cpm_728x90_111152</v>
      </c>
      <c r="D174" t="str">
        <f t="shared" si="33"/>
        <v>245844397</v>
      </c>
      <c r="E174" t="str">
        <f>IF(Table1[[#This Row],[Impressions]]&gt;Table1[[#This Row],[Clicks]],"Standard",VLOOKUP(CONCATENATE(bd_adtype,"_",bd_creativetype),tabela,2,FALSE))</f>
        <v>Standard</v>
      </c>
      <c r="F174" t="str">
        <f t="shared" si="34"/>
        <v>alp_marca_engajamentos_masculino_gq_display_superbanner_ros_havaianas-urban_all_cpm_728x90_111152</v>
      </c>
      <c r="G174" t="str">
        <f t="shared" si="35"/>
        <v>442478515</v>
      </c>
      <c r="H174" t="str">
        <f t="shared" si="36"/>
        <v>Tracking</v>
      </c>
      <c r="I174">
        <f t="shared" si="37"/>
        <v>145</v>
      </c>
      <c r="J174">
        <f t="shared" si="38"/>
        <v>2</v>
      </c>
      <c r="K174" s="4">
        <f t="shared" si="41"/>
        <v>3.8199999999999998E-2</v>
      </c>
      <c r="L174">
        <f t="shared" si="42"/>
        <v>0.09</v>
      </c>
      <c r="M174" s="4">
        <f t="shared" si="39"/>
        <v>5.5389999999999997E-3</v>
      </c>
      <c r="N174" s="4">
        <f t="shared" si="40"/>
        <v>1.3049999999999999E-2</v>
      </c>
    </row>
    <row r="175" spans="1:14">
      <c r="A175" t="str">
        <f t="shared" si="30"/>
        <v>alp_marca</v>
      </c>
      <c r="B175" t="str">
        <f t="shared" si="31"/>
        <v>GQ (Brazil)</v>
      </c>
      <c r="C175" t="str">
        <f t="shared" si="32"/>
        <v>alp_marca_engajamentos_masculino_gq_display_superbanner_ros_havaianas-urban_all_cpm_728x90_111153</v>
      </c>
      <c r="D175" t="str">
        <f t="shared" si="33"/>
        <v>245844394</v>
      </c>
      <c r="E175" t="str">
        <f>IF(Table1[[#This Row],[Impressions]]&gt;Table1[[#This Row],[Clicks]],"Standard",VLOOKUP(CONCATENATE(bd_adtype,"_",bd_creativetype),tabela,2,FALSE))</f>
        <v>Standard</v>
      </c>
      <c r="F175" t="str">
        <f t="shared" si="34"/>
        <v>alp_marca_engajamentos_masculino_gq_display_superbanner_ros_havaianas-urban_all_cpm_728x90_111153</v>
      </c>
      <c r="G175" t="str">
        <f t="shared" si="35"/>
        <v>442478512</v>
      </c>
      <c r="H175" t="str">
        <f t="shared" si="36"/>
        <v>Tracking</v>
      </c>
      <c r="I175">
        <f t="shared" si="37"/>
        <v>107</v>
      </c>
      <c r="J175">
        <f t="shared" si="38"/>
        <v>0</v>
      </c>
      <c r="K175" s="4">
        <f t="shared" si="41"/>
        <v>3.8199999999999998E-2</v>
      </c>
      <c r="L175">
        <f t="shared" si="42"/>
        <v>0.09</v>
      </c>
      <c r="M175" s="4">
        <f t="shared" si="39"/>
        <v>4.0873999999999997E-3</v>
      </c>
      <c r="N175" s="4">
        <f t="shared" si="40"/>
        <v>9.6299999999999997E-3</v>
      </c>
    </row>
    <row r="176" spans="1:14">
      <c r="A176" t="str">
        <f t="shared" si="30"/>
        <v>alp_marca</v>
      </c>
      <c r="B176" t="str">
        <f t="shared" si="31"/>
        <v>Google GDN</v>
      </c>
      <c r="C176" t="str">
        <f t="shared" si="32"/>
        <v>alp_marca_engajamentos_feminino_gdn_display_native-ads_ros_rasteiras_all_cpc_dinamico_111157</v>
      </c>
      <c r="D176" t="str">
        <f t="shared" si="33"/>
        <v>246200198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alp_marca_engajamentos_feminino_gdn_display_native-ads_ros_rasteiras_all_cpc_dinamico_111157</v>
      </c>
      <c r="G176" t="str">
        <f t="shared" si="35"/>
        <v>442890182</v>
      </c>
      <c r="H176" t="str">
        <f t="shared" si="36"/>
        <v>Tracking</v>
      </c>
      <c r="I176">
        <f t="shared" si="37"/>
        <v>0</v>
      </c>
      <c r="J176">
        <f t="shared" si="38"/>
        <v>1</v>
      </c>
      <c r="K176" s="4">
        <f t="shared" si="41"/>
        <v>3.5000000000000001E-3</v>
      </c>
      <c r="L176">
        <f t="shared" si="42"/>
        <v>2.5000000000000001E-2</v>
      </c>
      <c r="M176" s="4">
        <f t="shared" si="39"/>
        <v>3.5000000000000001E-3</v>
      </c>
      <c r="N176" s="4">
        <f t="shared" si="40"/>
        <v>2.5000000000000001E-2</v>
      </c>
    </row>
    <row r="177" spans="1:14">
      <c r="A177" t="str">
        <f t="shared" si="30"/>
        <v>alp_marca</v>
      </c>
      <c r="B177" t="str">
        <f t="shared" si="31"/>
        <v>Google GDN</v>
      </c>
      <c r="C177" t="str">
        <f t="shared" si="32"/>
        <v>alp_marca_engajamentos_feminino_gdn_display_quadrado-pequeno_ros_rasteiras_all_cpc_200x200_111157</v>
      </c>
      <c r="D177" t="str">
        <f t="shared" si="33"/>
        <v>246200210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alp_marca_engajamentos_feminino_gdn_display_quadrado-pequeno_ros_rasteiras_all_cpc_200x200_111157</v>
      </c>
      <c r="G177" t="str">
        <f t="shared" si="35"/>
        <v>442890194</v>
      </c>
      <c r="H177" t="str">
        <f t="shared" si="36"/>
        <v>Tracking</v>
      </c>
      <c r="I177">
        <f t="shared" si="37"/>
        <v>0</v>
      </c>
      <c r="J177">
        <f t="shared" si="38"/>
        <v>1</v>
      </c>
      <c r="K177" s="4">
        <f t="shared" si="41"/>
        <v>3.5000000000000001E-3</v>
      </c>
      <c r="L177">
        <f t="shared" si="42"/>
        <v>2.5000000000000001E-2</v>
      </c>
      <c r="M177" s="4">
        <f t="shared" si="39"/>
        <v>3.5000000000000001E-3</v>
      </c>
      <c r="N177" s="4">
        <f t="shared" si="40"/>
        <v>2.5000000000000001E-2</v>
      </c>
    </row>
    <row r="178" spans="1:14">
      <c r="A178" t="str">
        <f t="shared" si="30"/>
        <v>alp_marca</v>
      </c>
      <c r="B178" t="str">
        <f t="shared" si="31"/>
        <v>Google GDN</v>
      </c>
      <c r="C178" t="str">
        <f t="shared" si="32"/>
        <v>alp_marca_engajamentos_feminino_gdn_display_retangulo-grande_ros_rasteiras_all_cpc_336x280_111157</v>
      </c>
      <c r="D178" t="str">
        <f t="shared" si="33"/>
        <v>246200201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alp_marca_engajamentos_feminino_gdn_display_retangulo-grande_ros_rasteiras_all_cpc_336x280_111157</v>
      </c>
      <c r="G178" t="str">
        <f t="shared" si="35"/>
        <v>442890185</v>
      </c>
      <c r="H178" t="str">
        <f t="shared" si="36"/>
        <v>Tracking</v>
      </c>
      <c r="I178">
        <f t="shared" si="37"/>
        <v>0</v>
      </c>
      <c r="J178">
        <f t="shared" si="38"/>
        <v>1</v>
      </c>
      <c r="K178" s="4">
        <f t="shared" si="41"/>
        <v>3.5000000000000001E-3</v>
      </c>
      <c r="L178">
        <f t="shared" si="42"/>
        <v>2.5000000000000001E-2</v>
      </c>
      <c r="M178" s="4">
        <f t="shared" si="39"/>
        <v>3.5000000000000001E-3</v>
      </c>
      <c r="N178" s="4">
        <f t="shared" si="40"/>
        <v>2.5000000000000001E-2</v>
      </c>
    </row>
    <row r="179" spans="1:14">
      <c r="A179" t="str">
        <f t="shared" si="30"/>
        <v>alp_marca</v>
      </c>
      <c r="B179" t="str">
        <f t="shared" si="31"/>
        <v>Instagram</v>
      </c>
      <c r="C179" t="str">
        <f t="shared" si="32"/>
        <v>alp_marca_alcance_jovem_instagram_social_stories_social_star-wars_all_cpm_de-11s-ate-29s_111156</v>
      </c>
      <c r="D179" t="str">
        <f t="shared" si="33"/>
        <v>246468618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alp_marca_alcance_jovem_instagram_social_stories_social_star-wars_all_cpm_de-11s-ate-29s_111156</v>
      </c>
      <c r="G179" t="str">
        <f t="shared" si="35"/>
        <v>442841875</v>
      </c>
      <c r="H179" t="str">
        <f t="shared" si="36"/>
        <v>Tracking</v>
      </c>
      <c r="I179">
        <f t="shared" si="37"/>
        <v>397</v>
      </c>
      <c r="J179">
        <f t="shared" si="38"/>
        <v>4830</v>
      </c>
      <c r="K179" s="4">
        <f t="shared" si="41"/>
        <v>3.5000000000000001E-3</v>
      </c>
      <c r="L179">
        <f t="shared" si="42"/>
        <v>2.5000000000000001E-2</v>
      </c>
      <c r="M179" s="4">
        <f t="shared" si="39"/>
        <v>16.905000000000001</v>
      </c>
      <c r="N179" s="4">
        <f t="shared" si="40"/>
        <v>120.75</v>
      </c>
    </row>
    <row r="180" spans="1:14">
      <c r="A180" t="str">
        <f t="shared" si="30"/>
        <v>alp_marca</v>
      </c>
      <c r="B180" t="str">
        <f t="shared" si="31"/>
        <v>Instagram</v>
      </c>
      <c r="C180" t="str">
        <f t="shared" si="32"/>
        <v>alp_marca_alcance_masculino_instagram_social_pagepost_social_havaianas-urban_all_cpm_1080x1080_111154</v>
      </c>
      <c r="D180" t="str">
        <f t="shared" si="33"/>
        <v>246256633</v>
      </c>
      <c r="E180" t="str">
        <f>IF(Table1[[#This Row],[Impressions]]&gt;Table1[[#This Row],[Clicks]],"Standard",VLOOKUP(CONCATENATE(bd_adtype,"_",bd_creativetype),tabela,2,FALSE))</f>
        <v>Standard</v>
      </c>
      <c r="F180" t="str">
        <f t="shared" si="34"/>
        <v>alp_marca_alcance_masculino_instagram_social_pagepost_social_havaianas-urban_all_cpm_1080x1080_111154</v>
      </c>
      <c r="G180" t="str">
        <f t="shared" si="35"/>
        <v>442805822</v>
      </c>
      <c r="H180" t="str">
        <f t="shared" si="36"/>
        <v>Tracking</v>
      </c>
      <c r="I180">
        <f t="shared" si="37"/>
        <v>1034</v>
      </c>
      <c r="J180">
        <f t="shared" si="38"/>
        <v>0</v>
      </c>
      <c r="K180" s="4">
        <f t="shared" si="41"/>
        <v>3.8199999999999998E-2</v>
      </c>
      <c r="L180">
        <f t="shared" si="42"/>
        <v>0.09</v>
      </c>
      <c r="M180" s="4">
        <f t="shared" si="39"/>
        <v>3.9498799999999994E-2</v>
      </c>
      <c r="N180" s="4">
        <f t="shared" si="40"/>
        <v>9.3060000000000004E-2</v>
      </c>
    </row>
    <row r="181" spans="1:14">
      <c r="A181" t="str">
        <f t="shared" si="30"/>
        <v>alp_marca</v>
      </c>
      <c r="B181" t="str">
        <f t="shared" si="31"/>
        <v>Instagram</v>
      </c>
      <c r="C181" t="str">
        <f t="shared" si="32"/>
        <v>alp_marca_alcance_todos_instagram_social_stories_social_conteudo-marca_all_cpm_de-5s-ate-10s_111170</v>
      </c>
      <c r="D181" t="str">
        <f t="shared" si="33"/>
        <v>245628353</v>
      </c>
      <c r="E181" t="str">
        <f>IF(Table1[[#This Row],[Impressions]]&gt;Table1[[#This Row],[Clicks]],"Standard",VLOOKUP(CONCATENATE(bd_adtype,"_",bd_creativetype),tabela,2,FALSE))</f>
        <v>Standard</v>
      </c>
      <c r="F181" t="str">
        <f t="shared" si="34"/>
        <v>alp_marca_alcance_todos_instagram_social_stories_social_conteudo-marca_all_cpm_de-5s-ate-10s_111170</v>
      </c>
      <c r="G181" t="str">
        <f t="shared" si="35"/>
        <v>442289331</v>
      </c>
      <c r="H181" t="str">
        <f t="shared" si="36"/>
        <v>Tracking</v>
      </c>
      <c r="I181">
        <f t="shared" si="37"/>
        <v>13</v>
      </c>
      <c r="J181">
        <f t="shared" si="38"/>
        <v>4</v>
      </c>
      <c r="K181" s="4">
        <f t="shared" si="41"/>
        <v>3.8199999999999998E-2</v>
      </c>
      <c r="L181">
        <f t="shared" si="42"/>
        <v>0.09</v>
      </c>
      <c r="M181" s="4">
        <f t="shared" si="39"/>
        <v>4.9660000000000004E-4</v>
      </c>
      <c r="N181" s="4">
        <f t="shared" si="40"/>
        <v>1.17E-3</v>
      </c>
    </row>
    <row r="182" spans="1:14">
      <c r="A182" t="str">
        <f t="shared" si="30"/>
        <v>alp_marca</v>
      </c>
      <c r="B182" t="str">
        <f t="shared" si="31"/>
        <v>Instagram</v>
      </c>
      <c r="C182" t="str">
        <f t="shared" si="32"/>
        <v>alp_marca_conversao_todos_instagram_social_stories_social_liquida-feira_curte-havaianas_cpm_de-5s-ate-10s_111192</v>
      </c>
      <c r="D182" t="str">
        <f t="shared" si="33"/>
        <v>247377199</v>
      </c>
      <c r="E182" t="str">
        <f>IF(Table1[[#This Row],[Impressions]]&gt;Table1[[#This Row],[Clicks]],"Standard",VLOOKUP(CONCATENATE(bd_adtype,"_",bd_creativetype),tabela,2,FALSE))</f>
        <v>Dynamic Click</v>
      </c>
      <c r="F182" t="str">
        <f t="shared" si="34"/>
        <v>alp_marca_conversao_todos_instagram_social_stories_social_liquida-feira_curte-havaianas_cpm_de-5s-ate-10s_111192</v>
      </c>
      <c r="G182" t="str">
        <f t="shared" si="35"/>
        <v>443774206</v>
      </c>
      <c r="H182" t="str">
        <f t="shared" si="36"/>
        <v>Tracking</v>
      </c>
      <c r="I182">
        <f t="shared" si="37"/>
        <v>0</v>
      </c>
      <c r="J182">
        <f t="shared" si="38"/>
        <v>5971</v>
      </c>
      <c r="K182" s="4">
        <f t="shared" si="41"/>
        <v>3.5000000000000001E-3</v>
      </c>
      <c r="L182">
        <f t="shared" si="42"/>
        <v>2.5000000000000001E-2</v>
      </c>
      <c r="M182" s="4">
        <f t="shared" si="39"/>
        <v>20.898500000000002</v>
      </c>
      <c r="N182" s="4">
        <f t="shared" si="40"/>
        <v>149.27500000000001</v>
      </c>
    </row>
    <row r="183" spans="1:14">
      <c r="A183" t="str">
        <f t="shared" si="30"/>
        <v>alp_marca</v>
      </c>
      <c r="B183" t="str">
        <f t="shared" si="31"/>
        <v>Instagram</v>
      </c>
      <c r="C183" t="str">
        <f t="shared" si="32"/>
        <v>alp_marca_conversao_todos_instagram_social_stories_social_liquida-feira_curte-havaianas_cpm_de-5s-ate-10s_111194</v>
      </c>
      <c r="D183" t="str">
        <f t="shared" si="33"/>
        <v>247760056</v>
      </c>
      <c r="E183" t="str">
        <f>IF(Table1[[#This Row],[Impressions]]&gt;Table1[[#This Row],[Clicks]],"Standard",VLOOKUP(CONCATENATE(bd_adtype,"_",bd_creativetype),tabela,2,FALSE))</f>
        <v>Dynamic Click</v>
      </c>
      <c r="F183" t="str">
        <f t="shared" si="34"/>
        <v>alp_marca_conversao_todos_instagram_social_stories_social_liquida-feira_curte-havaianas_cpm_de-5s-ate-10s_111194</v>
      </c>
      <c r="G183" t="str">
        <f t="shared" si="35"/>
        <v>444155563</v>
      </c>
      <c r="H183" t="str">
        <f t="shared" si="36"/>
        <v>Tracking</v>
      </c>
      <c r="I183">
        <f t="shared" si="37"/>
        <v>0</v>
      </c>
      <c r="J183">
        <f t="shared" si="38"/>
        <v>6632</v>
      </c>
      <c r="K183" s="4">
        <f t="shared" si="41"/>
        <v>3.5000000000000001E-3</v>
      </c>
      <c r="L183">
        <f t="shared" si="42"/>
        <v>2.5000000000000001E-2</v>
      </c>
      <c r="M183" s="4">
        <f t="shared" si="39"/>
        <v>23.212</v>
      </c>
      <c r="N183" s="4">
        <f t="shared" si="40"/>
        <v>165.8</v>
      </c>
    </row>
    <row r="184" spans="1:14">
      <c r="A184" t="str">
        <f t="shared" si="30"/>
        <v>alp_marca</v>
      </c>
      <c r="B184" t="str">
        <f t="shared" si="31"/>
        <v>MTV Brasil</v>
      </c>
      <c r="C184" t="str">
        <f t="shared" si="32"/>
        <v>alp_marca_engajamentos_jovem_display_retangulo_ros_all_cpm_300x250</v>
      </c>
      <c r="D184" t="str">
        <f t="shared" si="33"/>
        <v>243544618</v>
      </c>
      <c r="E184" t="str">
        <f>IF(Table1[[#This Row],[Impressions]]&gt;Table1[[#This Row],[Clicks]],"Standard",VLOOKUP(CONCATENATE(bd_adtype,"_",bd_creativetype),tabela,2,FALSE))</f>
        <v>Standard</v>
      </c>
      <c r="F184" t="str">
        <f t="shared" si="34"/>
        <v>alp_marca_engajamentos_jovem_mtv_display_retangulo_ros_slim-pets_all_cpm_300x250_111127</v>
      </c>
      <c r="G184" t="str">
        <f t="shared" si="35"/>
        <v>440229389</v>
      </c>
      <c r="H184" t="str">
        <f t="shared" si="36"/>
        <v>Display</v>
      </c>
      <c r="I184">
        <f t="shared" si="37"/>
        <v>1775279</v>
      </c>
      <c r="J184">
        <f t="shared" si="38"/>
        <v>74807</v>
      </c>
      <c r="K184" s="4">
        <f t="shared" si="41"/>
        <v>3.8199999999999998E-2</v>
      </c>
      <c r="L184">
        <f t="shared" si="42"/>
        <v>0.09</v>
      </c>
      <c r="M184" s="4">
        <f t="shared" si="39"/>
        <v>67.815657799999997</v>
      </c>
      <c r="N184" s="4">
        <f t="shared" si="40"/>
        <v>159.77510999999998</v>
      </c>
    </row>
    <row r="185" spans="1:14">
      <c r="A185" t="str">
        <f t="shared" si="30"/>
        <v>alp_marca</v>
      </c>
      <c r="B185" t="str">
        <f t="shared" si="31"/>
        <v>MTV Brasil</v>
      </c>
      <c r="C185" t="str">
        <f t="shared" si="32"/>
        <v>alp_marca_engajamentos_jovem_display_retangulo_ros_all_cpm_300x250</v>
      </c>
      <c r="D185" t="str">
        <f t="shared" si="33"/>
        <v>243544618</v>
      </c>
      <c r="E185" t="str">
        <f>IF(Table1[[#This Row],[Impressions]]&gt;Table1[[#This Row],[Clicks]],"Standard",VLOOKUP(CONCATENATE(bd_adtype,"_",bd_creativetype),tabela,2,FALSE))</f>
        <v>Standard</v>
      </c>
      <c r="F185" t="str">
        <f t="shared" si="34"/>
        <v>alp_marca_engajamentos_jovem_mtv_display_retangulo_ros_slim-sensation_all_cpm_300x250_111129</v>
      </c>
      <c r="G185" t="str">
        <f t="shared" si="35"/>
        <v>440228756</v>
      </c>
      <c r="H185" t="str">
        <f t="shared" si="36"/>
        <v>Display</v>
      </c>
      <c r="I185">
        <f t="shared" si="37"/>
        <v>1775542</v>
      </c>
      <c r="J185">
        <f t="shared" si="38"/>
        <v>72730</v>
      </c>
      <c r="K185" s="4">
        <f t="shared" si="41"/>
        <v>3.8199999999999998E-2</v>
      </c>
      <c r="L185">
        <f t="shared" si="42"/>
        <v>0.09</v>
      </c>
      <c r="M185" s="4">
        <f t="shared" si="39"/>
        <v>67.825704400000006</v>
      </c>
      <c r="N185" s="4">
        <f t="shared" si="40"/>
        <v>159.79877999999999</v>
      </c>
    </row>
    <row r="186" spans="1:14">
      <c r="A186" t="str">
        <f t="shared" si="30"/>
        <v>alp_marca</v>
      </c>
      <c r="B186" t="str">
        <f t="shared" si="31"/>
        <v>MTV Brasil</v>
      </c>
      <c r="C186" t="str">
        <f t="shared" si="32"/>
        <v>alp_marca_engajamentos_jovem_display_superbanner_ros_all_cpm_728x90</v>
      </c>
      <c r="D186" t="str">
        <f t="shared" si="33"/>
        <v>243747774</v>
      </c>
      <c r="E186" t="str">
        <f>IF(Table1[[#This Row],[Impressions]]&gt;Table1[[#This Row],[Clicks]],"Standard",VLOOKUP(CONCATENATE(bd_adtype,"_",bd_creativetype),tabela,2,FALSE))</f>
        <v>Standard</v>
      </c>
      <c r="F186" t="str">
        <f t="shared" si="34"/>
        <v>alp_marca_engajamentos_jovem_mtv_display_superbanner_ros_slim-pets_all_cpm_728x90_111128</v>
      </c>
      <c r="G186" t="str">
        <f t="shared" si="35"/>
        <v>440228762</v>
      </c>
      <c r="H186" t="str">
        <f t="shared" si="36"/>
        <v>Display</v>
      </c>
      <c r="I186">
        <f t="shared" si="37"/>
        <v>57378</v>
      </c>
      <c r="J186">
        <f t="shared" si="38"/>
        <v>40</v>
      </c>
      <c r="K186" s="4">
        <f t="shared" si="41"/>
        <v>3.8199999999999998E-2</v>
      </c>
      <c r="L186">
        <f t="shared" si="42"/>
        <v>0.09</v>
      </c>
      <c r="M186" s="4">
        <f t="shared" si="39"/>
        <v>2.1918395999999998</v>
      </c>
      <c r="N186" s="4">
        <f t="shared" si="40"/>
        <v>5.1640199999999998</v>
      </c>
    </row>
    <row r="187" spans="1:14">
      <c r="A187" t="str">
        <f t="shared" si="30"/>
        <v>alp_marca</v>
      </c>
      <c r="B187" t="str">
        <f t="shared" si="31"/>
        <v>MTV Brasil</v>
      </c>
      <c r="C187" t="str">
        <f t="shared" si="32"/>
        <v>alp_marca_engajamentos_jovem_display_superbanner_ros_all_cpm_728x90</v>
      </c>
      <c r="D187" t="str">
        <f t="shared" si="33"/>
        <v>243747774</v>
      </c>
      <c r="E187" t="str">
        <f>IF(Table1[[#This Row],[Impressions]]&gt;Table1[[#This Row],[Clicks]],"Standard",VLOOKUP(CONCATENATE(bd_adtype,"_",bd_creativetype),tabela,2,FALSE))</f>
        <v>Standard</v>
      </c>
      <c r="F187" t="str">
        <f t="shared" si="34"/>
        <v>alp_marca_engajamentos_jovem_mtv_display_superbanner_ros_slim-sensation_all_cpm_728x90_111130</v>
      </c>
      <c r="G187" t="str">
        <f t="shared" si="35"/>
        <v>440237479</v>
      </c>
      <c r="H187" t="str">
        <f t="shared" si="36"/>
        <v>Display</v>
      </c>
      <c r="I187">
        <f t="shared" si="37"/>
        <v>57255</v>
      </c>
      <c r="J187">
        <f t="shared" si="38"/>
        <v>31</v>
      </c>
      <c r="K187" s="4">
        <f t="shared" si="41"/>
        <v>3.8199999999999998E-2</v>
      </c>
      <c r="L187">
        <f t="shared" si="42"/>
        <v>0.09</v>
      </c>
      <c r="M187" s="4">
        <f t="shared" si="39"/>
        <v>2.187141</v>
      </c>
      <c r="N187" s="4">
        <f t="shared" si="40"/>
        <v>5.1529499999999997</v>
      </c>
    </row>
    <row r="188" spans="1:14">
      <c r="A188" t="str">
        <f t="shared" si="30"/>
        <v>alp_marca</v>
      </c>
      <c r="B188" t="str">
        <f t="shared" si="31"/>
        <v>MTV Brasil</v>
      </c>
      <c r="C188" t="str">
        <f t="shared" si="32"/>
        <v>alp_marca_engajamentos_jovem_mtv_display_logo_ros_logo_all_cpm_no-size_111117</v>
      </c>
      <c r="D188" t="str">
        <f t="shared" si="33"/>
        <v>243403010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alp_marca_engajamentos_jovem_mtv_display_logo_ros_logo_all_cpm_no-size_111117</v>
      </c>
      <c r="G188" t="str">
        <f t="shared" si="35"/>
        <v>440229374</v>
      </c>
      <c r="H188" t="str">
        <f t="shared" si="36"/>
        <v>Tracking</v>
      </c>
      <c r="I188">
        <f t="shared" si="37"/>
        <v>1667891</v>
      </c>
      <c r="J188">
        <f t="shared" si="38"/>
        <v>24573</v>
      </c>
      <c r="K188" s="4">
        <f t="shared" si="41"/>
        <v>3.8199999999999998E-2</v>
      </c>
      <c r="L188">
        <f t="shared" si="42"/>
        <v>0.09</v>
      </c>
      <c r="M188" s="4">
        <f t="shared" si="39"/>
        <v>63.713436199999997</v>
      </c>
      <c r="N188" s="4">
        <f t="shared" si="40"/>
        <v>150.11018999999999</v>
      </c>
    </row>
    <row r="189" spans="1:14">
      <c r="A189" t="str">
        <f t="shared" si="30"/>
        <v>alp_marca</v>
      </c>
      <c r="B189" t="str">
        <f t="shared" si="31"/>
        <v>MTV Brasil</v>
      </c>
      <c r="C189" t="str">
        <f t="shared" si="32"/>
        <v>alp_marca_engajamentos_jovem_mtv_display_retangulo_ros_slim-pets_all_cpm_350X50_111149</v>
      </c>
      <c r="D189" t="str">
        <f t="shared" si="33"/>
        <v>245159962</v>
      </c>
      <c r="E189" t="str">
        <f>IF(Table1[[#This Row],[Impressions]]&gt;Table1[[#This Row],[Clicks]],"Standard",VLOOKUP(CONCATENATE(bd_adtype,"_",bd_creativetype),tabela,2,FALSE))</f>
        <v>Standard</v>
      </c>
      <c r="F189" t="str">
        <f t="shared" si="34"/>
        <v>alp_marca_engajamentos_jovem_mtv_display_retangulo_ros_slim-pets_all_cpm_350X50_111149</v>
      </c>
      <c r="G189" t="str">
        <f t="shared" si="35"/>
        <v>441894583</v>
      </c>
      <c r="H189" t="str">
        <f t="shared" si="36"/>
        <v>Display</v>
      </c>
      <c r="I189">
        <f t="shared" si="37"/>
        <v>1391505</v>
      </c>
      <c r="J189">
        <f t="shared" si="38"/>
        <v>1321</v>
      </c>
      <c r="K189" s="4">
        <f t="shared" si="41"/>
        <v>3.8199999999999998E-2</v>
      </c>
      <c r="L189">
        <f t="shared" si="42"/>
        <v>0.09</v>
      </c>
      <c r="M189" s="4">
        <f t="shared" si="39"/>
        <v>53.155490999999998</v>
      </c>
      <c r="N189" s="4">
        <f t="shared" si="40"/>
        <v>125.23545</v>
      </c>
    </row>
    <row r="190" spans="1:14">
      <c r="A190" t="str">
        <f t="shared" si="30"/>
        <v>alp_marca</v>
      </c>
      <c r="B190" t="str">
        <f t="shared" si="31"/>
        <v>MTV Brasil</v>
      </c>
      <c r="C190" t="str">
        <f t="shared" si="32"/>
        <v>alp_marca_engajamentos_jovem_mtv_video_pre-roll_ros_hype_all_cpm_de-11s-ate-29s_111171</v>
      </c>
      <c r="D190" t="str">
        <f t="shared" si="33"/>
        <v>246698169</v>
      </c>
      <c r="E190" t="str">
        <f>IF(Table1[[#This Row],[Impressions]]&gt;Table1[[#This Row],[Clicks]],"Standard",VLOOKUP(CONCATENATE(bd_adtype,"_",bd_creativetype),tabela,2,FALSE))</f>
        <v>Standard</v>
      </c>
      <c r="F190" t="str">
        <f t="shared" si="34"/>
        <v>alp_marca_engajamentos_jovem_mtv_video_pre-roll_ros_hype_all_cpm_de-11s-ate-29s_111171</v>
      </c>
      <c r="G190" t="str">
        <f t="shared" si="35"/>
        <v>443048503</v>
      </c>
      <c r="H190" t="str">
        <f t="shared" si="36"/>
        <v>Tracking</v>
      </c>
      <c r="I190">
        <f t="shared" si="37"/>
        <v>167</v>
      </c>
      <c r="J190">
        <f t="shared" si="38"/>
        <v>10</v>
      </c>
      <c r="K190" s="4">
        <f t="shared" si="41"/>
        <v>3.8199999999999998E-2</v>
      </c>
      <c r="L190">
        <f t="shared" si="42"/>
        <v>0.09</v>
      </c>
      <c r="M190" s="4">
        <f t="shared" si="39"/>
        <v>6.3793999999999995E-3</v>
      </c>
      <c r="N190" s="4">
        <f t="shared" si="40"/>
        <v>1.503E-2</v>
      </c>
    </row>
    <row r="191" spans="1:14">
      <c r="A191" t="str">
        <f t="shared" si="30"/>
        <v>alp_marca</v>
      </c>
      <c r="B191" t="str">
        <f t="shared" si="31"/>
        <v>MTV Brasil</v>
      </c>
      <c r="C191" t="str">
        <f t="shared" si="32"/>
        <v>alp_marca_engajamentos_jovem_mtv_video_pre-roll_ros_slim-hibisco_all_cpm_de-11s-ate-29s_111172</v>
      </c>
      <c r="D191" t="str">
        <f t="shared" si="33"/>
        <v>246346778</v>
      </c>
      <c r="E191" t="str">
        <f>IF(Table1[[#This Row],[Impressions]]&gt;Table1[[#This Row],[Clicks]],"Standard",VLOOKUP(CONCATENATE(bd_adtype,"_",bd_creativetype),tabela,2,FALSE))</f>
        <v>Standard</v>
      </c>
      <c r="F191" t="str">
        <f t="shared" si="34"/>
        <v>alp_marca_engajamentos_jovem_mtv_video_pre-roll_ros_slim-hibisco_all_cpm_de-11s-ate-29s_111172</v>
      </c>
      <c r="G191" t="str">
        <f t="shared" si="35"/>
        <v>443031713</v>
      </c>
      <c r="H191" t="str">
        <f t="shared" si="36"/>
        <v>Tracking</v>
      </c>
      <c r="I191">
        <f t="shared" si="37"/>
        <v>172</v>
      </c>
      <c r="J191">
        <f t="shared" si="38"/>
        <v>10</v>
      </c>
      <c r="K191" s="4">
        <f t="shared" si="41"/>
        <v>3.8199999999999998E-2</v>
      </c>
      <c r="L191">
        <f t="shared" si="42"/>
        <v>0.09</v>
      </c>
      <c r="M191" s="4">
        <f t="shared" si="39"/>
        <v>6.5703999999999997E-3</v>
      </c>
      <c r="N191" s="4">
        <f t="shared" si="40"/>
        <v>1.5479999999999999E-2</v>
      </c>
    </row>
    <row r="192" spans="1:14">
      <c r="A192" t="str">
        <f t="shared" si="30"/>
        <v>alp_marca</v>
      </c>
      <c r="B192" t="str">
        <f t="shared" si="31"/>
        <v>MTV Brasil</v>
      </c>
      <c r="C192" t="str">
        <f t="shared" si="32"/>
        <v>alp_marca_engajamentos_jovem_mtv_video_pre-roll_ros_slim-paisage_all_cpm_de-11s-ate-29s_111126</v>
      </c>
      <c r="D192" t="str">
        <f t="shared" si="33"/>
        <v>243432638</v>
      </c>
      <c r="E192" t="str">
        <f>IF(Table1[[#This Row],[Impressions]]&gt;Table1[[#This Row],[Clicks]],"Standard",VLOOKUP(CONCATENATE(bd_adtype,"_",bd_creativetype),tabela,2,FALSE))</f>
        <v>Standard</v>
      </c>
      <c r="F192" t="str">
        <f t="shared" si="34"/>
        <v>alp_marca_engajamentos_jovem_mtv_video_pre-roll_ros_slim-paisage_all_cpm_de-11s-ate-29s_111126</v>
      </c>
      <c r="G192" t="str">
        <f t="shared" si="35"/>
        <v>440143092</v>
      </c>
      <c r="H192" t="str">
        <f t="shared" si="36"/>
        <v>Tracking</v>
      </c>
      <c r="I192">
        <f t="shared" si="37"/>
        <v>108</v>
      </c>
      <c r="J192">
        <f t="shared" si="38"/>
        <v>6</v>
      </c>
      <c r="K192" s="4">
        <f t="shared" si="41"/>
        <v>3.8199999999999998E-2</v>
      </c>
      <c r="L192">
        <f t="shared" si="42"/>
        <v>0.09</v>
      </c>
      <c r="M192" s="4">
        <f t="shared" si="39"/>
        <v>4.1255999999999992E-3</v>
      </c>
      <c r="N192" s="4">
        <f t="shared" si="40"/>
        <v>9.7199999999999995E-3</v>
      </c>
    </row>
    <row r="193" spans="1:14">
      <c r="A193" t="str">
        <f t="shared" si="30"/>
        <v>alp_marca</v>
      </c>
      <c r="B193" t="str">
        <f t="shared" si="31"/>
        <v>MTV Brasil</v>
      </c>
      <c r="C193" t="str">
        <f t="shared" si="32"/>
        <v>alp_marca_engajamentos_jovem_mtv_video_pre-roll_ros_slim-sensation_all_cpm_de-11s-ate-29s_111125</v>
      </c>
      <c r="D193" t="str">
        <f t="shared" si="33"/>
        <v>243430961</v>
      </c>
      <c r="E193" t="str">
        <f>IF(Table1[[#This Row],[Impressions]]&gt;Table1[[#This Row],[Clicks]],"Standard",VLOOKUP(CONCATENATE(bd_adtype,"_",bd_creativetype),tabela,2,FALSE))</f>
        <v>Standard</v>
      </c>
      <c r="F193" t="str">
        <f t="shared" si="34"/>
        <v>alp_marca_engajamentos_jovem_mtv_video_pre-roll_ros_slim-sensation_all_cpm_de-11s-ate-29s_111125</v>
      </c>
      <c r="G193" t="str">
        <f t="shared" si="35"/>
        <v>440147475</v>
      </c>
      <c r="H193" t="str">
        <f t="shared" si="36"/>
        <v>Tracking</v>
      </c>
      <c r="I193">
        <f t="shared" si="37"/>
        <v>92</v>
      </c>
      <c r="J193">
        <f t="shared" si="38"/>
        <v>9</v>
      </c>
      <c r="K193" s="4">
        <f t="shared" si="41"/>
        <v>3.8199999999999998E-2</v>
      </c>
      <c r="L193">
        <f t="shared" si="42"/>
        <v>0.09</v>
      </c>
      <c r="M193" s="4">
        <f t="shared" si="39"/>
        <v>3.5143999999999996E-3</v>
      </c>
      <c r="N193" s="4">
        <f t="shared" si="40"/>
        <v>8.2799999999999992E-3</v>
      </c>
    </row>
    <row r="194" spans="1:14">
      <c r="A194" t="str">
        <f t="shared" ref="A194:A257" si="43">bd_campaign</f>
        <v>alp_marca</v>
      </c>
      <c r="B194" t="str">
        <f t="shared" ref="B194:B257" si="44">bd_site</f>
        <v>Omelete</v>
      </c>
      <c r="C194" t="str">
        <f t="shared" ref="C194:C257" si="45">bd_placement</f>
        <v>alp_marca_alcance_jovem_omelete_display_billboard_ros_got_all_fixo_970x250_111145</v>
      </c>
      <c r="D194" t="str">
        <f t="shared" ref="D194:D257" si="46">bd_placementID</f>
        <v>244560569</v>
      </c>
      <c r="E194" t="str">
        <f>IF(Table1[[#This Row],[Impressions]]&gt;Table1[[#This Row],[Clicks]],"Standard",VLOOKUP(CONCATENATE(bd_adtype,"_",bd_creativetype),tabela,2,FALSE))</f>
        <v>Standard</v>
      </c>
      <c r="F194" t="str">
        <f t="shared" ref="F194:F257" si="47">bd_ad</f>
        <v>alp_marca_alcance_jovem_omelete_display_billboard_ros_got_all_fixo_970x250_111145</v>
      </c>
      <c r="G194" t="str">
        <f t="shared" ref="G194:G257" si="48">bd_adid</f>
        <v>441402756</v>
      </c>
      <c r="H194" t="str">
        <f t="shared" ref="H194:H257" si="49">bd_creativetype</f>
        <v>Tracking</v>
      </c>
      <c r="I194">
        <f t="shared" ref="I194:I257" si="50">bd_impression</f>
        <v>595497</v>
      </c>
      <c r="J194">
        <f t="shared" ref="J194:J257" si="51">bd_clicks</f>
        <v>339</v>
      </c>
      <c r="K194" s="4">
        <f t="shared" si="41"/>
        <v>3.8199999999999998E-2</v>
      </c>
      <c r="L194">
        <f t="shared" si="42"/>
        <v>0.09</v>
      </c>
      <c r="M194" s="4">
        <f t="shared" si="39"/>
        <v>22.747985399999997</v>
      </c>
      <c r="N194" s="4">
        <f t="shared" si="40"/>
        <v>53.594729999999998</v>
      </c>
    </row>
    <row r="195" spans="1:14">
      <c r="A195" t="str">
        <f t="shared" si="43"/>
        <v>alp_marca</v>
      </c>
      <c r="B195" t="str">
        <f t="shared" si="44"/>
        <v>Omelete</v>
      </c>
      <c r="C195" t="str">
        <f t="shared" si="45"/>
        <v>alp_marca_alcance_jovem_omelete_display_diaria-bg_ros_got_all_fixo_1800x100_111156</v>
      </c>
      <c r="D195" t="str">
        <f t="shared" si="46"/>
        <v>245972910</v>
      </c>
      <c r="E195" t="str">
        <f>IF(Table1[[#This Row],[Impressions]]&gt;Table1[[#This Row],[Clicks]],"Standard",VLOOKUP(CONCATENATE(bd_adtype,"_",bd_creativetype),tabela,2,FALSE))</f>
        <v>Standard</v>
      </c>
      <c r="F195" t="str">
        <f t="shared" si="47"/>
        <v>alp_marca_alcance_jovem_omelete_display_diaria-bg_ros_got_all_fixo_1800x100_111156</v>
      </c>
      <c r="G195" t="str">
        <f t="shared" si="48"/>
        <v>442369673</v>
      </c>
      <c r="H195" t="str">
        <f t="shared" si="49"/>
        <v>Tracking</v>
      </c>
      <c r="I195">
        <f t="shared" si="50"/>
        <v>114745</v>
      </c>
      <c r="J195">
        <f t="shared" si="51"/>
        <v>593</v>
      </c>
      <c r="K195" s="4">
        <f t="shared" si="41"/>
        <v>3.8199999999999998E-2</v>
      </c>
      <c r="L195">
        <f t="shared" si="42"/>
        <v>0.09</v>
      </c>
      <c r="M195" s="4">
        <f t="shared" si="39"/>
        <v>4.3832589999999998</v>
      </c>
      <c r="N195" s="4">
        <f t="shared" si="40"/>
        <v>10.32705</v>
      </c>
    </row>
    <row r="196" spans="1:14">
      <c r="A196" t="str">
        <f t="shared" si="43"/>
        <v>alp_marca</v>
      </c>
      <c r="B196" t="str">
        <f t="shared" si="44"/>
        <v>Omelete</v>
      </c>
      <c r="C196" t="str">
        <f t="shared" si="45"/>
        <v>alp_marca_alcance_jovem_omelete_display_retangulo_ros_got_all_fixo_300x250_111154</v>
      </c>
      <c r="D196" t="str">
        <f t="shared" si="46"/>
        <v>245972916</v>
      </c>
      <c r="E196" t="str">
        <f>IF(Table1[[#This Row],[Impressions]]&gt;Table1[[#This Row],[Clicks]],"Standard",VLOOKUP(CONCATENATE(bd_adtype,"_",bd_creativetype),tabela,2,FALSE))</f>
        <v>Standard</v>
      </c>
      <c r="F196" t="str">
        <f t="shared" si="47"/>
        <v>alp_marca_alcance_jovem_omelete_display_retangulo_ros_got_all_fixo_300x250_111154</v>
      </c>
      <c r="G196" t="str">
        <f t="shared" si="48"/>
        <v>442369679</v>
      </c>
      <c r="H196" t="str">
        <f t="shared" si="49"/>
        <v>Tracking</v>
      </c>
      <c r="I196">
        <f t="shared" si="50"/>
        <v>244054</v>
      </c>
      <c r="J196">
        <f t="shared" si="51"/>
        <v>106</v>
      </c>
      <c r="K196" s="4">
        <f t="shared" si="41"/>
        <v>3.8199999999999998E-2</v>
      </c>
      <c r="L196">
        <f t="shared" si="42"/>
        <v>0.09</v>
      </c>
      <c r="M196" s="4">
        <f t="shared" si="39"/>
        <v>9.3228627999999993</v>
      </c>
      <c r="N196" s="4">
        <f t="shared" si="40"/>
        <v>21.964860000000002</v>
      </c>
    </row>
    <row r="197" spans="1:14">
      <c r="A197" t="str">
        <f t="shared" si="43"/>
        <v>alp_marca</v>
      </c>
      <c r="B197" t="str">
        <f t="shared" si="44"/>
        <v>Omelete</v>
      </c>
      <c r="C197" t="str">
        <f t="shared" si="45"/>
        <v>alp_marca_alcance_jovem_omelete_display_superheader-mobile_ros_got_all_fixo_320x100_111155</v>
      </c>
      <c r="D197" t="str">
        <f t="shared" si="46"/>
        <v>245972913</v>
      </c>
      <c r="E197" t="str">
        <f>IF(Table1[[#This Row],[Impressions]]&gt;Table1[[#This Row],[Clicks]],"Standard",VLOOKUP(CONCATENATE(bd_adtype,"_",bd_creativetype),tabela,2,FALSE))</f>
        <v>Standard</v>
      </c>
      <c r="F197" t="str">
        <f t="shared" si="47"/>
        <v>alp_marca_alcance_jovem_omelete_display_superheader-mobile_ros_got_all_fixo_320x100_111155</v>
      </c>
      <c r="G197" t="str">
        <f t="shared" si="48"/>
        <v>442369676</v>
      </c>
      <c r="H197" t="str">
        <f t="shared" si="49"/>
        <v>Tracking</v>
      </c>
      <c r="I197">
        <f t="shared" si="50"/>
        <v>132372</v>
      </c>
      <c r="J197">
        <f t="shared" si="51"/>
        <v>532</v>
      </c>
      <c r="K197" s="4">
        <f t="shared" si="41"/>
        <v>3.8199999999999998E-2</v>
      </c>
      <c r="L197">
        <f t="shared" si="42"/>
        <v>0.09</v>
      </c>
      <c r="M197" s="4">
        <f t="shared" si="39"/>
        <v>5.0566103999999994</v>
      </c>
      <c r="N197" s="4">
        <f t="shared" si="40"/>
        <v>11.91348</v>
      </c>
    </row>
    <row r="198" spans="1:14">
      <c r="A198" t="str">
        <f t="shared" si="43"/>
        <v>alp_marca</v>
      </c>
      <c r="B198" t="str">
        <f t="shared" si="44"/>
        <v>Omelete</v>
      </c>
      <c r="C198" t="str">
        <f t="shared" si="45"/>
        <v>alp_marca_engajamentos_jovem_omelete_conteudo-veiculo_pagepost-omelete_social_got_all_fixo_de-11s-ate-29s_111181</v>
      </c>
      <c r="D198" t="str">
        <f t="shared" si="46"/>
        <v>247069119</v>
      </c>
      <c r="E198" t="str">
        <f>IF(Table1[[#This Row],[Impressions]]&gt;Table1[[#This Row],[Clicks]],"Standard",VLOOKUP(CONCATENATE(bd_adtype,"_",bd_creativetype),tabela,2,FALSE))</f>
        <v>Dynamic Click</v>
      </c>
      <c r="F198" t="str">
        <f t="shared" si="47"/>
        <v>alp_marca_engajamentos_jovem_omelete_conteudo-veiculo_pagepost-omelete_social_got_all_fixo_de-11s-ate-29s_111181</v>
      </c>
      <c r="G198" t="str">
        <f t="shared" si="48"/>
        <v>443322539</v>
      </c>
      <c r="H198" t="str">
        <f t="shared" si="49"/>
        <v>Tracking</v>
      </c>
      <c r="I198">
        <f t="shared" si="50"/>
        <v>0</v>
      </c>
      <c r="J198">
        <f t="shared" si="51"/>
        <v>1701</v>
      </c>
      <c r="K198" s="4">
        <f t="shared" si="41"/>
        <v>3.5000000000000001E-3</v>
      </c>
      <c r="L198">
        <f t="shared" si="42"/>
        <v>2.5000000000000001E-2</v>
      </c>
      <c r="M198" s="4">
        <f t="shared" si="39"/>
        <v>5.9535</v>
      </c>
      <c r="N198" s="4">
        <f t="shared" si="40"/>
        <v>42.525000000000006</v>
      </c>
    </row>
    <row r="199" spans="1:14">
      <c r="A199" t="str">
        <f t="shared" si="43"/>
        <v>alp_marca</v>
      </c>
      <c r="B199" t="str">
        <f t="shared" si="44"/>
        <v>Omelete</v>
      </c>
      <c r="C199" t="str">
        <f t="shared" si="45"/>
        <v>alp_marca_engajamentos_jovem_omelete_conteudo-veiculo_stories-curiovo_social_got_all_fixo_de-11s-ate-29s_111180</v>
      </c>
      <c r="D199" t="str">
        <f t="shared" si="46"/>
        <v>247066716</v>
      </c>
      <c r="E199" t="str">
        <f>IF(Table1[[#This Row],[Impressions]]&gt;Table1[[#This Row],[Clicks]],"Standard",VLOOKUP(CONCATENATE(bd_adtype,"_",bd_creativetype),tabela,2,FALSE))</f>
        <v>Dynamic Click</v>
      </c>
      <c r="F199" t="str">
        <f t="shared" si="47"/>
        <v>alp_marca_engajamentos_jovem_omelete_conteudo-veiculo_stories-curiovo_social_got_all_fixo_de-11s-ate-29s_111180</v>
      </c>
      <c r="G199" t="str">
        <f t="shared" si="48"/>
        <v>443322524</v>
      </c>
      <c r="H199" t="str">
        <f t="shared" si="49"/>
        <v>Tracking</v>
      </c>
      <c r="I199">
        <f t="shared" si="50"/>
        <v>0</v>
      </c>
      <c r="J199">
        <f t="shared" si="51"/>
        <v>686</v>
      </c>
      <c r="K199" s="4">
        <f t="shared" si="41"/>
        <v>3.5000000000000001E-3</v>
      </c>
      <c r="L199">
        <f t="shared" si="42"/>
        <v>2.5000000000000001E-2</v>
      </c>
      <c r="M199" s="4">
        <f t="shared" si="39"/>
        <v>2.4010000000000002</v>
      </c>
      <c r="N199" s="4">
        <f t="shared" si="40"/>
        <v>17.150000000000002</v>
      </c>
    </row>
    <row r="200" spans="1:14">
      <c r="A200" t="str">
        <f t="shared" si="43"/>
        <v>alp_marca</v>
      </c>
      <c r="B200" t="str">
        <f t="shared" si="44"/>
        <v>Omelete</v>
      </c>
      <c r="C200" t="str">
        <f t="shared" si="45"/>
        <v>alp_marca_engajamentos_jovem_omelete_conteudo-veiculo_video-ytb_social_got_all_fixo_no-size_111182</v>
      </c>
      <c r="D200" t="str">
        <f t="shared" si="46"/>
        <v>246890461</v>
      </c>
      <c r="E200" t="str">
        <f>IF(Table1[[#This Row],[Impressions]]&gt;Table1[[#This Row],[Clicks]],"Standard",VLOOKUP(CONCATENATE(bd_adtype,"_",bd_creativetype),tabela,2,FALSE))</f>
        <v>Dynamic Click</v>
      </c>
      <c r="F200" t="str">
        <f t="shared" si="47"/>
        <v>alp_marca_engajamentos_jovem_omelete_conteudo-veiculo_video-ytb_social_got_all_fixo_no-size_111182</v>
      </c>
      <c r="G200" t="str">
        <f t="shared" si="48"/>
        <v>443322008</v>
      </c>
      <c r="H200" t="str">
        <f t="shared" si="49"/>
        <v>Tracking</v>
      </c>
      <c r="I200">
        <f t="shared" si="50"/>
        <v>0</v>
      </c>
      <c r="J200">
        <f t="shared" si="51"/>
        <v>1</v>
      </c>
      <c r="K200" s="4">
        <f t="shared" si="41"/>
        <v>3.5000000000000001E-3</v>
      </c>
      <c r="L200">
        <f t="shared" si="42"/>
        <v>2.5000000000000001E-2</v>
      </c>
      <c r="M200" s="4">
        <f t="shared" si="39"/>
        <v>3.5000000000000001E-3</v>
      </c>
      <c r="N200" s="4">
        <f t="shared" si="40"/>
        <v>2.5000000000000001E-2</v>
      </c>
    </row>
    <row r="201" spans="1:14">
      <c r="A201" t="str">
        <f t="shared" si="43"/>
        <v>alp_marca</v>
      </c>
      <c r="B201" t="str">
        <f t="shared" si="44"/>
        <v>OutBrain - Br</v>
      </c>
      <c r="C201" t="str">
        <f t="shared" si="45"/>
        <v>alp_marca_engajamentos_masculino_outbrain_native_native-ads_ros_masculino-cinderello_all_cpm_no-size_111143</v>
      </c>
      <c r="D201" t="str">
        <f t="shared" si="46"/>
        <v>244289813</v>
      </c>
      <c r="E201" t="str">
        <f>IF(Table1[[#This Row],[Impressions]]&gt;Table1[[#This Row],[Clicks]],"Standard",VLOOKUP(CONCATENATE(bd_adtype,"_",bd_creativetype),tabela,2,FALSE))</f>
        <v>Dynamic Click</v>
      </c>
      <c r="F201" t="str">
        <f t="shared" si="47"/>
        <v>alp_marca_engajamentos_masculino_outbrain_native_native-ads_ros_masculino-cinderello_all_cpm_no-size_111143</v>
      </c>
      <c r="G201" t="str">
        <f t="shared" si="48"/>
        <v>441119934</v>
      </c>
      <c r="H201" t="str">
        <f t="shared" si="49"/>
        <v>Tracking</v>
      </c>
      <c r="I201">
        <f t="shared" si="50"/>
        <v>0</v>
      </c>
      <c r="J201">
        <f t="shared" si="51"/>
        <v>1</v>
      </c>
      <c r="K201" s="4">
        <f t="shared" si="41"/>
        <v>3.5000000000000001E-3</v>
      </c>
      <c r="L201">
        <f t="shared" si="42"/>
        <v>2.5000000000000001E-2</v>
      </c>
      <c r="M201" s="4">
        <f t="shared" si="39"/>
        <v>3.5000000000000001E-3</v>
      </c>
      <c r="N201" s="4">
        <f t="shared" si="40"/>
        <v>2.5000000000000001E-2</v>
      </c>
    </row>
    <row r="202" spans="1:14">
      <c r="A202" t="str">
        <f t="shared" si="43"/>
        <v>alp_marca</v>
      </c>
      <c r="B202" t="str">
        <f t="shared" si="44"/>
        <v>Pipocando</v>
      </c>
      <c r="C202" t="str">
        <f t="shared" si="45"/>
        <v>alp_marca_engajamentos_jovem_pipocando_conteudo-veiculo_stories_social_got_all_fixo_de-11s-ate-29s_111178</v>
      </c>
      <c r="D202" t="str">
        <f t="shared" si="46"/>
        <v>247069242</v>
      </c>
      <c r="E202" t="str">
        <f>IF(Table1[[#This Row],[Impressions]]&gt;Table1[[#This Row],[Clicks]],"Standard",VLOOKUP(CONCATENATE(bd_adtype,"_",bd_creativetype),tabela,2,FALSE))</f>
        <v>Dynamic Click</v>
      </c>
      <c r="F202" t="str">
        <f t="shared" si="47"/>
        <v>alp_marca_engajamentos_jovem_pipocando_conteudo-veiculo_stories_social_got_all_fixo_de-11s-ate-29s_111178</v>
      </c>
      <c r="G202" t="str">
        <f t="shared" si="48"/>
        <v>443321381</v>
      </c>
      <c r="H202" t="str">
        <f t="shared" si="49"/>
        <v>Tracking</v>
      </c>
      <c r="I202">
        <f t="shared" si="50"/>
        <v>0</v>
      </c>
      <c r="J202">
        <f t="shared" si="51"/>
        <v>377</v>
      </c>
      <c r="K202" s="4">
        <f t="shared" si="41"/>
        <v>3.5000000000000001E-3</v>
      </c>
      <c r="L202">
        <f t="shared" si="42"/>
        <v>2.5000000000000001E-2</v>
      </c>
      <c r="M202" s="4">
        <f t="shared" si="39"/>
        <v>1.3195000000000001</v>
      </c>
      <c r="N202" s="4">
        <f t="shared" si="40"/>
        <v>9.4250000000000007</v>
      </c>
    </row>
    <row r="203" spans="1:14">
      <c r="A203" t="str">
        <f t="shared" si="43"/>
        <v>alp_marca</v>
      </c>
      <c r="B203" t="str">
        <f t="shared" si="44"/>
        <v>Pipocando</v>
      </c>
      <c r="C203" t="str">
        <f t="shared" si="45"/>
        <v>alp_marca_engajamentos_jovem_pipocando_conteudo-veiculo_video-ytb_social_got_all_fixo_no-size_111179</v>
      </c>
      <c r="D203" t="str">
        <f t="shared" si="46"/>
        <v>247069035</v>
      </c>
      <c r="E203" t="str">
        <f>IF(Table1[[#This Row],[Impressions]]&gt;Table1[[#This Row],[Clicks]],"Standard",VLOOKUP(CONCATENATE(bd_adtype,"_",bd_creativetype),tabela,2,FALSE))</f>
        <v>Dynamic Click</v>
      </c>
      <c r="F203" t="str">
        <f t="shared" si="47"/>
        <v>alp_marca_engajamentos_jovem_pipocando_conteudo-veiculo_video-ytb_social_got_all_fixo_no-size_111179</v>
      </c>
      <c r="G203" t="str">
        <f t="shared" si="48"/>
        <v>443322287</v>
      </c>
      <c r="H203" t="str">
        <f t="shared" si="49"/>
        <v>Tracking</v>
      </c>
      <c r="I203">
        <f t="shared" si="50"/>
        <v>0</v>
      </c>
      <c r="J203">
        <f t="shared" si="51"/>
        <v>389</v>
      </c>
      <c r="K203" s="4">
        <f t="shared" si="41"/>
        <v>3.5000000000000001E-3</v>
      </c>
      <c r="L203">
        <f t="shared" si="42"/>
        <v>2.5000000000000001E-2</v>
      </c>
      <c r="M203" s="4">
        <f t="shared" si="39"/>
        <v>1.3614999999999999</v>
      </c>
      <c r="N203" s="4">
        <f t="shared" si="40"/>
        <v>9.7250000000000014</v>
      </c>
    </row>
    <row r="204" spans="1:14">
      <c r="A204" t="str">
        <f t="shared" si="43"/>
        <v>alp_marca</v>
      </c>
      <c r="B204" t="str">
        <f t="shared" si="44"/>
        <v>Taboola</v>
      </c>
      <c r="C204" t="str">
        <f t="shared" si="45"/>
        <v>alp_marca_engajamentos_masculino_taboola_native_native-ads_ros_masculino-cinderello_all_cpm_no-size_111144</v>
      </c>
      <c r="D204" t="str">
        <f t="shared" si="46"/>
        <v>244631547</v>
      </c>
      <c r="E204" t="str">
        <f>IF(Table1[[#This Row],[Impressions]]&gt;Table1[[#This Row],[Clicks]],"Standard",VLOOKUP(CONCATENATE(bd_adtype,"_",bd_creativetype),tabela,2,FALSE))</f>
        <v>Dynamic Click</v>
      </c>
      <c r="F204" t="str">
        <f t="shared" si="47"/>
        <v>alp_marca_engajamentos_masculino_taboola_native_native-ads_ros_masculino-cinderello_all_cpm_no-size_111144</v>
      </c>
      <c r="G204" t="str">
        <f t="shared" si="48"/>
        <v>441127803</v>
      </c>
      <c r="H204" t="str">
        <f t="shared" si="49"/>
        <v>Tracking</v>
      </c>
      <c r="I204">
        <f t="shared" si="50"/>
        <v>0</v>
      </c>
      <c r="J204">
        <f t="shared" si="51"/>
        <v>23</v>
      </c>
      <c r="K204" s="4">
        <f t="shared" si="41"/>
        <v>3.5000000000000001E-3</v>
      </c>
      <c r="L204">
        <f t="shared" si="42"/>
        <v>2.5000000000000001E-2</v>
      </c>
      <c r="M204" s="4">
        <f t="shared" si="39"/>
        <v>8.0500000000000002E-2</v>
      </c>
      <c r="N204" s="4">
        <f t="shared" si="40"/>
        <v>0.57500000000000007</v>
      </c>
    </row>
    <row r="205" spans="1:14">
      <c r="A205" t="str">
        <f t="shared" si="43"/>
        <v>alp_marca</v>
      </c>
      <c r="B205" t="str">
        <f t="shared" si="44"/>
        <v>facebook.com.br</v>
      </c>
      <c r="C205" t="str">
        <f t="shared" si="45"/>
        <v>alp_marca_alcance_feminino_facebook_social_pagepost_social_slim-hits_all_cpm_1200x628_111196</v>
      </c>
      <c r="D205" t="str">
        <f t="shared" si="46"/>
        <v>248134076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alp_marca_alcance_feminino_facebook_social_pagepost_social_slim-hits_all_cpm_1200x628_111196</v>
      </c>
      <c r="G205" t="str">
        <f t="shared" si="48"/>
        <v>444678955</v>
      </c>
      <c r="H205" t="str">
        <f t="shared" si="49"/>
        <v>Tracking</v>
      </c>
      <c r="I205">
        <f t="shared" si="50"/>
        <v>6</v>
      </c>
      <c r="J205">
        <f t="shared" si="51"/>
        <v>580</v>
      </c>
      <c r="K205" s="4">
        <f t="shared" si="41"/>
        <v>3.5000000000000001E-3</v>
      </c>
      <c r="L205">
        <f t="shared" si="42"/>
        <v>2.5000000000000001E-2</v>
      </c>
      <c r="M205" s="4">
        <f t="shared" si="39"/>
        <v>2.0300000000000002</v>
      </c>
      <c r="N205" s="4">
        <f t="shared" si="40"/>
        <v>14.5</v>
      </c>
    </row>
    <row r="206" spans="1:14">
      <c r="A206" t="str">
        <f t="shared" si="43"/>
        <v>alp_marca</v>
      </c>
      <c r="B206" t="str">
        <f t="shared" si="44"/>
        <v>facebook.com.br</v>
      </c>
      <c r="C206" t="str">
        <f t="shared" si="45"/>
        <v>alp_marca_alcance_feminino_facebook_social_video-social_social_artistas-pomb_all_cpm_de-11s-ate-29s_111169</v>
      </c>
      <c r="D206" t="str">
        <f t="shared" si="46"/>
        <v>245972877</v>
      </c>
      <c r="E206" t="str">
        <f>IF(Table1[[#This Row],[Impressions]]&gt;Table1[[#This Row],[Clicks]],"Standard",VLOOKUP(CONCATENATE(bd_adtype,"_",bd_creativetype),tabela,2,FALSE))</f>
        <v>Standard</v>
      </c>
      <c r="F206" t="str">
        <f t="shared" si="47"/>
        <v>alp_marca_alcance_feminino_facebook_social_video-social_social_artistas-pomb_all_cpm_de-11s-ate-29s_111169</v>
      </c>
      <c r="G206" t="str">
        <f t="shared" si="48"/>
        <v>442369637</v>
      </c>
      <c r="H206" t="str">
        <f t="shared" si="49"/>
        <v>Tracking</v>
      </c>
      <c r="I206">
        <f t="shared" si="50"/>
        <v>43</v>
      </c>
      <c r="J206">
        <f t="shared" si="51"/>
        <v>0</v>
      </c>
      <c r="K206" s="4">
        <f t="shared" si="41"/>
        <v>3.8199999999999998E-2</v>
      </c>
      <c r="L206">
        <f t="shared" si="42"/>
        <v>0.09</v>
      </c>
      <c r="M206" s="4">
        <f t="shared" si="39"/>
        <v>1.6425999999999999E-3</v>
      </c>
      <c r="N206" s="4">
        <f t="shared" si="40"/>
        <v>3.8699999999999997E-3</v>
      </c>
    </row>
    <row r="207" spans="1:14">
      <c r="A207" t="str">
        <f t="shared" si="43"/>
        <v>alp_marca</v>
      </c>
      <c r="B207" t="str">
        <f t="shared" si="44"/>
        <v>facebook.com.br</v>
      </c>
      <c r="C207" t="str">
        <f t="shared" si="45"/>
        <v>alp_marca_alcance_feminino_facebook_social_video-social_social_artistas-pomb_all_cpm_de-11s-ate-29s_111186</v>
      </c>
      <c r="D207" t="str">
        <f t="shared" si="46"/>
        <v>246776921</v>
      </c>
      <c r="E207" t="str">
        <f>IF(Table1[[#This Row],[Impressions]]&gt;Table1[[#This Row],[Clicks]],"Standard",VLOOKUP(CONCATENATE(bd_adtype,"_",bd_creativetype),tabela,2,FALSE))</f>
        <v>Standard</v>
      </c>
      <c r="F207" t="str">
        <f t="shared" si="47"/>
        <v>alp_marca_alcance_feminino_facebook_social_video-social_social_artistas-pomb_all_cpm_de-11s-ate-29s_111186</v>
      </c>
      <c r="G207" t="str">
        <f t="shared" si="48"/>
        <v>443425195</v>
      </c>
      <c r="H207" t="str">
        <f t="shared" si="49"/>
        <v>Tracking</v>
      </c>
      <c r="I207">
        <f t="shared" si="50"/>
        <v>6411925</v>
      </c>
      <c r="J207">
        <f t="shared" si="51"/>
        <v>0</v>
      </c>
      <c r="K207" s="4">
        <f t="shared" si="41"/>
        <v>3.8199999999999998E-2</v>
      </c>
      <c r="L207">
        <f t="shared" si="42"/>
        <v>0.09</v>
      </c>
      <c r="M207" s="4">
        <f t="shared" si="39"/>
        <v>244.93553499999999</v>
      </c>
      <c r="N207" s="4">
        <f t="shared" si="40"/>
        <v>577.07325000000003</v>
      </c>
    </row>
    <row r="208" spans="1:14">
      <c r="A208" t="str">
        <f t="shared" si="43"/>
        <v>alp_marca</v>
      </c>
      <c r="B208" t="str">
        <f t="shared" si="44"/>
        <v>facebook.com.br</v>
      </c>
      <c r="C208" t="str">
        <f t="shared" si="45"/>
        <v>alp_marca_alcance_feminino_facebook_social_video-social_social_artistas-pomb_all_cpm_de-5s-ate-10s_111155</v>
      </c>
      <c r="D208" t="str">
        <f t="shared" si="46"/>
        <v>246452568</v>
      </c>
      <c r="E208" t="str">
        <f>IF(Table1[[#This Row],[Impressions]]&gt;Table1[[#This Row],[Clicks]],"Standard",VLOOKUP(CONCATENATE(bd_adtype,"_",bd_creativetype),tabela,2,FALSE))</f>
        <v>Standard</v>
      </c>
      <c r="F208" t="str">
        <f t="shared" si="47"/>
        <v>alp_marca_alcance_feminino_facebook_social_video-social_social_artistas-pomb_all_cpm_de-5s-ate-10s_111155</v>
      </c>
      <c r="G208" t="str">
        <f t="shared" si="48"/>
        <v>442808246</v>
      </c>
      <c r="H208" t="str">
        <f t="shared" si="49"/>
        <v>Tracking</v>
      </c>
      <c r="I208">
        <f t="shared" si="50"/>
        <v>1504</v>
      </c>
      <c r="J208">
        <f t="shared" si="51"/>
        <v>1</v>
      </c>
      <c r="K208" s="4">
        <f t="shared" si="41"/>
        <v>3.8199999999999998E-2</v>
      </c>
      <c r="L208">
        <f t="shared" si="42"/>
        <v>0.09</v>
      </c>
      <c r="M208" s="4">
        <f t="shared" si="39"/>
        <v>5.7452799999999998E-2</v>
      </c>
      <c r="N208" s="4">
        <f t="shared" si="40"/>
        <v>0.13535999999999998</v>
      </c>
    </row>
    <row r="209" spans="1:14">
      <c r="A209" t="str">
        <f t="shared" si="43"/>
        <v>alp_marca</v>
      </c>
      <c r="B209" t="str">
        <f t="shared" si="44"/>
        <v>facebook.com.br</v>
      </c>
      <c r="C209" t="str">
        <f t="shared" si="45"/>
        <v>alp_marca_alcance_jovem_facebook_social_dark-post_social_got_all_cpm_1080x1080_111120</v>
      </c>
      <c r="D209" t="str">
        <f t="shared" si="46"/>
        <v>242963447</v>
      </c>
      <c r="E209" t="str">
        <f>IF(Table1[[#This Row],[Impressions]]&gt;Table1[[#This Row],[Clicks]],"Standard",VLOOKUP(CONCATENATE(bd_adtype,"_",bd_creativetype),tabela,2,FALSE))</f>
        <v>Dynamic Click</v>
      </c>
      <c r="F209" t="str">
        <f t="shared" si="47"/>
        <v>alp_marca_alcance_jovem_facebook_social_dark-post_social_got_all_cpm_1080x1080_111120</v>
      </c>
      <c r="G209" t="str">
        <f t="shared" si="48"/>
        <v>439773337</v>
      </c>
      <c r="H209" t="str">
        <f t="shared" si="49"/>
        <v>Tracking</v>
      </c>
      <c r="I209">
        <f t="shared" si="50"/>
        <v>0</v>
      </c>
      <c r="J209">
        <f t="shared" si="51"/>
        <v>6</v>
      </c>
      <c r="K209" s="4">
        <f t="shared" si="41"/>
        <v>3.5000000000000001E-3</v>
      </c>
      <c r="L209">
        <f t="shared" si="42"/>
        <v>2.5000000000000001E-2</v>
      </c>
      <c r="M209" s="4">
        <f t="shared" si="39"/>
        <v>2.1000000000000001E-2</v>
      </c>
      <c r="N209" s="4">
        <f t="shared" si="40"/>
        <v>0.15000000000000002</v>
      </c>
    </row>
    <row r="210" spans="1:14">
      <c r="A210" t="str">
        <f t="shared" si="43"/>
        <v>alp_marca</v>
      </c>
      <c r="B210" t="str">
        <f t="shared" si="44"/>
        <v>facebook.com.br</v>
      </c>
      <c r="C210" t="str">
        <f t="shared" si="45"/>
        <v>alp_marca_alcance_jovem_facebook_social_dark-post_social_got_all_cpm_1080x1080_111121</v>
      </c>
      <c r="D210" t="str">
        <f t="shared" si="46"/>
        <v>243290121</v>
      </c>
      <c r="E210" t="str">
        <f>IF(Table1[[#This Row],[Impressions]]&gt;Table1[[#This Row],[Clicks]],"Standard",VLOOKUP(CONCATENATE(bd_adtype,"_",bd_creativetype),tabela,2,FALSE))</f>
        <v>Dynamic Click</v>
      </c>
      <c r="F210" t="str">
        <f t="shared" si="47"/>
        <v>alp_marca_alcance_jovem_facebook_social_dark-post_social_got_all_cpm_1080x1080_111121</v>
      </c>
      <c r="G210" t="str">
        <f t="shared" si="48"/>
        <v>439773376</v>
      </c>
      <c r="H210" t="str">
        <f t="shared" si="49"/>
        <v>Tracking</v>
      </c>
      <c r="I210">
        <f t="shared" si="50"/>
        <v>0</v>
      </c>
      <c r="J210">
        <f t="shared" si="51"/>
        <v>26</v>
      </c>
      <c r="K210" s="4">
        <f t="shared" si="41"/>
        <v>3.5000000000000001E-3</v>
      </c>
      <c r="L210">
        <f t="shared" si="42"/>
        <v>2.5000000000000001E-2</v>
      </c>
      <c r="M210" s="4">
        <f t="shared" si="39"/>
        <v>9.0999999999999998E-2</v>
      </c>
      <c r="N210" s="4">
        <f t="shared" si="40"/>
        <v>0.65</v>
      </c>
    </row>
    <row r="211" spans="1:14">
      <c r="A211" t="str">
        <f t="shared" si="43"/>
        <v>alp_marca</v>
      </c>
      <c r="B211" t="str">
        <f t="shared" si="44"/>
        <v>facebook.com.br</v>
      </c>
      <c r="C211" t="str">
        <f t="shared" si="45"/>
        <v>alp_marca_alcance_jovem_facebook_social_dark-post_social_got_all_cpm_1080x1080_111122</v>
      </c>
      <c r="D211" t="str">
        <f t="shared" si="46"/>
        <v>243290136</v>
      </c>
      <c r="E211" t="str">
        <f>IF(Table1[[#This Row],[Impressions]]&gt;Table1[[#This Row],[Clicks]],"Standard",VLOOKUP(CONCATENATE(bd_adtype,"_",bd_creativetype),tabela,2,FALSE))</f>
        <v>Dynamic Click</v>
      </c>
      <c r="F211" t="str">
        <f t="shared" si="47"/>
        <v>alp_marca_alcance_jovem_facebook_social_dark-post_social_got_all_cpm_1080x1080_111122</v>
      </c>
      <c r="G211" t="str">
        <f t="shared" si="48"/>
        <v>439764581</v>
      </c>
      <c r="H211" t="str">
        <f t="shared" si="49"/>
        <v>Tracking</v>
      </c>
      <c r="I211">
        <f t="shared" si="50"/>
        <v>0</v>
      </c>
      <c r="J211">
        <f t="shared" si="51"/>
        <v>3</v>
      </c>
      <c r="K211" s="4">
        <f t="shared" si="41"/>
        <v>3.5000000000000001E-3</v>
      </c>
      <c r="L211">
        <f t="shared" si="42"/>
        <v>2.5000000000000001E-2</v>
      </c>
      <c r="M211" s="4">
        <f t="shared" si="39"/>
        <v>1.0500000000000001E-2</v>
      </c>
      <c r="N211" s="4">
        <f t="shared" si="40"/>
        <v>7.5000000000000011E-2</v>
      </c>
    </row>
    <row r="212" spans="1:14">
      <c r="A212" t="str">
        <f t="shared" si="43"/>
        <v>alp_marca</v>
      </c>
      <c r="B212" t="str">
        <f t="shared" si="44"/>
        <v>facebook.com.br</v>
      </c>
      <c r="C212" t="str">
        <f t="shared" si="45"/>
        <v>alp_marca_alcance_jovem_facebook_social_dark-post_social_got_all_cpm_1080x1080_111123</v>
      </c>
      <c r="D212" t="str">
        <f t="shared" si="46"/>
        <v>243290370</v>
      </c>
      <c r="E212" t="str">
        <f>IF(Table1[[#This Row],[Impressions]]&gt;Table1[[#This Row],[Clicks]],"Standard",VLOOKUP(CONCATENATE(bd_adtype,"_",bd_creativetype),tabela,2,FALSE))</f>
        <v>Dynamic Click</v>
      </c>
      <c r="F212" t="str">
        <f t="shared" si="47"/>
        <v>alp_marca_alcance_jovem_facebook_social_dark-post_social_got_all_cpm_1080x1080_111123</v>
      </c>
      <c r="G212" t="str">
        <f t="shared" si="48"/>
        <v>439674651</v>
      </c>
      <c r="H212" t="str">
        <f t="shared" si="49"/>
        <v>Tracking</v>
      </c>
      <c r="I212">
        <f t="shared" si="50"/>
        <v>0</v>
      </c>
      <c r="J212">
        <f t="shared" si="51"/>
        <v>2</v>
      </c>
      <c r="K212" s="4">
        <f t="shared" si="41"/>
        <v>3.5000000000000001E-3</v>
      </c>
      <c r="L212">
        <f t="shared" si="42"/>
        <v>2.5000000000000001E-2</v>
      </c>
      <c r="M212" s="4">
        <f t="shared" si="39"/>
        <v>7.0000000000000001E-3</v>
      </c>
      <c r="N212" s="4">
        <f t="shared" si="40"/>
        <v>0.05</v>
      </c>
    </row>
    <row r="213" spans="1:14">
      <c r="A213" t="str">
        <f t="shared" si="43"/>
        <v>alp_marca</v>
      </c>
      <c r="B213" t="str">
        <f t="shared" si="44"/>
        <v>facebook.com.br</v>
      </c>
      <c r="C213" t="str">
        <f t="shared" si="45"/>
        <v>alp_marca_alcance_jovem_facebook_social_dark-post_social_got_all_cpm_1080x1080_111136</v>
      </c>
      <c r="D213" t="str">
        <f t="shared" si="46"/>
        <v>244294036</v>
      </c>
      <c r="E213" t="str">
        <f>IF(Table1[[#This Row],[Impressions]]&gt;Table1[[#This Row],[Clicks]],"Standard",VLOOKUP(CONCATENATE(bd_adtype,"_",bd_creativetype),tabela,2,FALSE))</f>
        <v>Dynamic Click</v>
      </c>
      <c r="F213" t="str">
        <f t="shared" si="47"/>
        <v>alp_marca_alcance_jovem_facebook_social_dark-post_social_got_all_cpm_1080x1080_111136</v>
      </c>
      <c r="G213" t="str">
        <f t="shared" si="48"/>
        <v>441044553</v>
      </c>
      <c r="H213" t="str">
        <f t="shared" si="49"/>
        <v>Tracking</v>
      </c>
      <c r="I213">
        <f t="shared" si="50"/>
        <v>0</v>
      </c>
      <c r="J213">
        <f t="shared" si="51"/>
        <v>10</v>
      </c>
      <c r="K213" s="4">
        <f t="shared" si="41"/>
        <v>3.5000000000000001E-3</v>
      </c>
      <c r="L213">
        <f t="shared" si="42"/>
        <v>2.5000000000000001E-2</v>
      </c>
      <c r="M213" s="4">
        <f t="shared" si="39"/>
        <v>3.5000000000000003E-2</v>
      </c>
      <c r="N213" s="4">
        <f t="shared" si="40"/>
        <v>0.25</v>
      </c>
    </row>
    <row r="214" spans="1:14">
      <c r="A214" t="str">
        <f t="shared" si="43"/>
        <v>alp_marca</v>
      </c>
      <c r="B214" t="str">
        <f t="shared" si="44"/>
        <v>facebook.com.br</v>
      </c>
      <c r="C214" t="str">
        <f t="shared" si="45"/>
        <v>alp_marca_alcance_jovem_facebook_social_dark-post_social_got_all_cpm_1080x1080_111137</v>
      </c>
      <c r="D214" t="str">
        <f t="shared" si="46"/>
        <v>244529484</v>
      </c>
      <c r="E214" t="str">
        <f>IF(Table1[[#This Row],[Impressions]]&gt;Table1[[#This Row],[Clicks]],"Standard",VLOOKUP(CONCATENATE(bd_adtype,"_",bd_creativetype),tabela,2,FALSE))</f>
        <v>Dynamic Click</v>
      </c>
      <c r="F214" t="str">
        <f t="shared" si="47"/>
        <v>alp_marca_alcance_jovem_facebook_social_dark-post_social_got_all_cpm_1080x1080_111137</v>
      </c>
      <c r="G214" t="str">
        <f t="shared" si="48"/>
        <v>441159217</v>
      </c>
      <c r="H214" t="str">
        <f t="shared" si="49"/>
        <v>Tracking</v>
      </c>
      <c r="I214">
        <f t="shared" si="50"/>
        <v>0</v>
      </c>
      <c r="J214">
        <f t="shared" si="51"/>
        <v>2</v>
      </c>
      <c r="K214" s="4">
        <f t="shared" si="41"/>
        <v>3.5000000000000001E-3</v>
      </c>
      <c r="L214">
        <f t="shared" si="42"/>
        <v>2.5000000000000001E-2</v>
      </c>
      <c r="M214" s="4">
        <f t="shared" si="39"/>
        <v>7.0000000000000001E-3</v>
      </c>
      <c r="N214" s="4">
        <f t="shared" si="40"/>
        <v>0.05</v>
      </c>
    </row>
    <row r="215" spans="1:14">
      <c r="A215" t="str">
        <f t="shared" si="43"/>
        <v>alp_marca</v>
      </c>
      <c r="B215" t="str">
        <f t="shared" si="44"/>
        <v>facebook.com.br</v>
      </c>
      <c r="C215" t="str">
        <f t="shared" si="45"/>
        <v>alp_marca_alcance_masculino_facebook_social_carrossel_social_qualquer-joao_all_cpm_1080x1080_111205</v>
      </c>
      <c r="D215" t="str">
        <f t="shared" si="46"/>
        <v>247729694</v>
      </c>
      <c r="E215" t="str">
        <f>IF(Table1[[#This Row],[Impressions]]&gt;Table1[[#This Row],[Clicks]],"Standard",VLOOKUP(CONCATENATE(bd_adtype,"_",bd_creativetype),tabela,2,FALSE))</f>
        <v>Dynamic Click</v>
      </c>
      <c r="F215" t="str">
        <f t="shared" si="47"/>
        <v>alp_marca_alcance_masculino_facebook_social_carrossel_social_qualquer-joao_all_cpm_1080x1080_111205</v>
      </c>
      <c r="G215" t="str">
        <f t="shared" si="48"/>
        <v>444180258</v>
      </c>
      <c r="H215" t="str">
        <f t="shared" si="49"/>
        <v>Tracking</v>
      </c>
      <c r="I215">
        <f t="shared" si="50"/>
        <v>2617</v>
      </c>
      <c r="J215">
        <f t="shared" si="51"/>
        <v>11605</v>
      </c>
      <c r="K215" s="4">
        <f t="shared" si="41"/>
        <v>3.5000000000000001E-3</v>
      </c>
      <c r="L215">
        <f t="shared" si="42"/>
        <v>2.5000000000000001E-2</v>
      </c>
      <c r="M215" s="4">
        <f t="shared" si="39"/>
        <v>40.6175</v>
      </c>
      <c r="N215" s="4">
        <f t="shared" si="40"/>
        <v>290.125</v>
      </c>
    </row>
    <row r="216" spans="1:14">
      <c r="A216" t="str">
        <f t="shared" si="43"/>
        <v>alp_marca</v>
      </c>
      <c r="B216" t="str">
        <f t="shared" si="44"/>
        <v>facebook.com.br</v>
      </c>
      <c r="C216" t="str">
        <f t="shared" si="45"/>
        <v>alp_marca_alcance_masculino_facebook_social_carrossel_social_qualquer-joao_envolvimento-pagina_cpm_1080x1080_111205</v>
      </c>
      <c r="D216" t="str">
        <f t="shared" si="46"/>
        <v>248145765</v>
      </c>
      <c r="E216" t="str">
        <f>IF(Table1[[#This Row],[Impressions]]&gt;Table1[[#This Row],[Clicks]],"Standard",VLOOKUP(CONCATENATE(bd_adtype,"_",bd_creativetype),tabela,2,FALSE))</f>
        <v>Dynamic Click</v>
      </c>
      <c r="F216" t="str">
        <f t="shared" si="47"/>
        <v>alp_marca_alcance_masculino_facebook_social_carrossel_social_qualquer-joao_envolvimento-pagina_cpm_1080x1080_111205</v>
      </c>
      <c r="G216" t="str">
        <f t="shared" si="48"/>
        <v>444314762</v>
      </c>
      <c r="H216" t="str">
        <f t="shared" si="49"/>
        <v>Tracking</v>
      </c>
      <c r="I216">
        <f t="shared" si="50"/>
        <v>0</v>
      </c>
      <c r="J216">
        <f t="shared" si="51"/>
        <v>1596</v>
      </c>
      <c r="K216" s="4">
        <f t="shared" si="41"/>
        <v>3.5000000000000001E-3</v>
      </c>
      <c r="L216">
        <f t="shared" si="42"/>
        <v>2.5000000000000001E-2</v>
      </c>
      <c r="M216" s="4">
        <f t="shared" si="39"/>
        <v>5.5860000000000003</v>
      </c>
      <c r="N216" s="4">
        <f t="shared" si="40"/>
        <v>39.900000000000006</v>
      </c>
    </row>
    <row r="217" spans="1:14">
      <c r="A217" t="str">
        <f t="shared" si="43"/>
        <v>alp_marca</v>
      </c>
      <c r="B217" t="str">
        <f t="shared" si="44"/>
        <v>facebook.com.br</v>
      </c>
      <c r="C217" t="str">
        <f t="shared" si="45"/>
        <v>alp_marca_alcance_masculino_facebook_social_carrossel_social_qualquer-joao_viu-stories-cinderelo_cpm_1080x1080_111205</v>
      </c>
      <c r="D217" t="str">
        <f t="shared" si="46"/>
        <v>247805435</v>
      </c>
      <c r="E217" t="str">
        <f>IF(Table1[[#This Row],[Impressions]]&gt;Table1[[#This Row],[Clicks]],"Standard",VLOOKUP(CONCATENATE(bd_adtype,"_",bd_creativetype),tabela,2,FALSE))</f>
        <v>Dynamic Click</v>
      </c>
      <c r="F217" t="str">
        <f t="shared" si="47"/>
        <v>alp_marca_alcance_masculino_facebook_social_carrossel_social_qualquer-joao_viu-stories-cinderelo_cpm_1080x1080_111205</v>
      </c>
      <c r="G217" t="str">
        <f t="shared" si="48"/>
        <v>444313973</v>
      </c>
      <c r="H217" t="str">
        <f t="shared" si="49"/>
        <v>Tracking</v>
      </c>
      <c r="I217">
        <f t="shared" si="50"/>
        <v>4</v>
      </c>
      <c r="J217">
        <f t="shared" si="51"/>
        <v>3143</v>
      </c>
      <c r="K217" s="4">
        <f t="shared" si="41"/>
        <v>3.5000000000000001E-3</v>
      </c>
      <c r="L217">
        <f t="shared" si="42"/>
        <v>2.5000000000000001E-2</v>
      </c>
      <c r="M217" s="4">
        <f t="shared" si="39"/>
        <v>11.000500000000001</v>
      </c>
      <c r="N217" s="4">
        <f t="shared" si="40"/>
        <v>78.575000000000003</v>
      </c>
    </row>
    <row r="218" spans="1:14">
      <c r="A218" t="str">
        <f t="shared" si="43"/>
        <v>alp_marca</v>
      </c>
      <c r="B218" t="str">
        <f t="shared" si="44"/>
        <v>facebook.com.br</v>
      </c>
      <c r="C218" t="str">
        <f t="shared" si="45"/>
        <v>alp_marca_alcance_masculino_facebook_social_pagepost_social_equity_all_cpm_1080x1080_111177</v>
      </c>
      <c r="D218" t="str">
        <f t="shared" si="46"/>
        <v>246545567</v>
      </c>
      <c r="E218" t="str">
        <f>IF(Table1[[#This Row],[Impressions]]&gt;Table1[[#This Row],[Clicks]],"Standard",VLOOKUP(CONCATENATE(bd_adtype,"_",bd_creativetype),tabela,2,FALSE))</f>
        <v>Standard</v>
      </c>
      <c r="F218" t="str">
        <f t="shared" si="47"/>
        <v>alp_marca_alcance_masculino_facebook_social_pagepost_social_equity_all_cpm_1080x1080_111177</v>
      </c>
      <c r="G218" t="str">
        <f t="shared" si="48"/>
        <v>443217460</v>
      </c>
      <c r="H218" t="str">
        <f t="shared" si="49"/>
        <v>Tracking</v>
      </c>
      <c r="I218">
        <f t="shared" si="50"/>
        <v>268</v>
      </c>
      <c r="J218">
        <f t="shared" si="51"/>
        <v>0</v>
      </c>
      <c r="K218" s="4">
        <f t="shared" si="41"/>
        <v>3.8199999999999998E-2</v>
      </c>
      <c r="L218">
        <f t="shared" si="42"/>
        <v>0.09</v>
      </c>
      <c r="M218" s="4">
        <f t="shared" si="39"/>
        <v>1.0237599999999999E-2</v>
      </c>
      <c r="N218" s="4">
        <f t="shared" si="40"/>
        <v>2.4119999999999999E-2</v>
      </c>
    </row>
    <row r="219" spans="1:14">
      <c r="A219" t="str">
        <f t="shared" si="43"/>
        <v>alp_marca</v>
      </c>
      <c r="B219" t="str">
        <f t="shared" si="44"/>
        <v>facebook.com.br</v>
      </c>
      <c r="C219" t="str">
        <f t="shared" si="45"/>
        <v>alp_marca_alcance_masculino_facebook_social_pagepost_social_havaianas-urban_all_cpm_1080x1080_111193</v>
      </c>
      <c r="D219" t="str">
        <f t="shared" si="46"/>
        <v>247484848</v>
      </c>
      <c r="E219" t="str">
        <f>IF(Table1[[#This Row],[Impressions]]&gt;Table1[[#This Row],[Clicks]],"Standard",VLOOKUP(CONCATENATE(bd_adtype,"_",bd_creativetype),tabela,2,FALSE))</f>
        <v>Standard</v>
      </c>
      <c r="F219" t="str">
        <f t="shared" si="47"/>
        <v>alp_marca_alcance_masculino_facebook_social_pagepost_social_havaianas-urban_all_cpm_1080x1080_111193</v>
      </c>
      <c r="G219" t="str">
        <f t="shared" si="48"/>
        <v>443741100</v>
      </c>
      <c r="H219" t="str">
        <f t="shared" si="49"/>
        <v>Tracking</v>
      </c>
      <c r="I219">
        <f t="shared" si="50"/>
        <v>1020</v>
      </c>
      <c r="J219">
        <f t="shared" si="51"/>
        <v>0</v>
      </c>
      <c r="K219" s="4">
        <f t="shared" si="41"/>
        <v>3.8199999999999998E-2</v>
      </c>
      <c r="L219">
        <f t="shared" si="42"/>
        <v>0.09</v>
      </c>
      <c r="M219" s="4">
        <f t="shared" si="39"/>
        <v>3.8963999999999999E-2</v>
      </c>
      <c r="N219" s="4">
        <f t="shared" si="40"/>
        <v>9.1799999999999993E-2</v>
      </c>
    </row>
    <row r="220" spans="1:14">
      <c r="A220" t="str">
        <f t="shared" si="43"/>
        <v>alp_marca</v>
      </c>
      <c r="B220" t="str">
        <f t="shared" si="44"/>
        <v>facebook.com.br</v>
      </c>
      <c r="C220" t="str">
        <f t="shared" si="45"/>
        <v>alp_marca_alcance_todos_facebook_social_video-social_social_artistas-barbara_all_cpm_de-11s-ate-29s_111206</v>
      </c>
      <c r="D220" t="str">
        <f t="shared" si="46"/>
        <v>248114715</v>
      </c>
      <c r="E220" t="str">
        <f>IF(Table1[[#This Row],[Impressions]]&gt;Table1[[#This Row],[Clicks]],"Standard",VLOOKUP(CONCATENATE(bd_adtype,"_",bd_creativetype),tabela,2,FALSE))</f>
        <v>Standard</v>
      </c>
      <c r="F220" t="str">
        <f t="shared" si="47"/>
        <v>alp_marca_alcance_todos_facebook_social_video-social_social_artistas-barbara_all_cpm_de-11s-ate-29s_111206</v>
      </c>
      <c r="G220" t="str">
        <f t="shared" si="48"/>
        <v>444221403</v>
      </c>
      <c r="H220" t="str">
        <f t="shared" si="49"/>
        <v>Tracking</v>
      </c>
      <c r="I220">
        <f t="shared" si="50"/>
        <v>1703</v>
      </c>
      <c r="J220">
        <f t="shared" si="51"/>
        <v>0</v>
      </c>
      <c r="K220" s="4">
        <f t="shared" si="41"/>
        <v>3.8199999999999998E-2</v>
      </c>
      <c r="L220">
        <f t="shared" si="42"/>
        <v>0.09</v>
      </c>
      <c r="M220" s="4">
        <f t="shared" si="39"/>
        <v>6.505459999999999E-2</v>
      </c>
      <c r="N220" s="4">
        <f t="shared" si="40"/>
        <v>0.15326999999999999</v>
      </c>
    </row>
    <row r="221" spans="1:14">
      <c r="A221" t="str">
        <f t="shared" si="43"/>
        <v>alp_marca</v>
      </c>
      <c r="B221" t="str">
        <f t="shared" si="44"/>
        <v>facebook.com.br</v>
      </c>
      <c r="C221" t="str">
        <f t="shared" si="45"/>
        <v>alp_marca_alcance_todos_facebook_social_video-social_social_artistas-barbara_all_cpm_de-11s-ate-29s_111207</v>
      </c>
      <c r="D221" t="str">
        <f t="shared" si="46"/>
        <v>247774241</v>
      </c>
      <c r="E221" t="str">
        <f>IF(Table1[[#This Row],[Impressions]]&gt;Table1[[#This Row],[Clicks]],"Standard",VLOOKUP(CONCATENATE(bd_adtype,"_",bd_creativetype),tabela,2,FALSE))</f>
        <v>Standard</v>
      </c>
      <c r="F221" t="str">
        <f t="shared" si="47"/>
        <v>alp_marca_alcance_todos_facebook_social_video-social_social_artistas-barbara_all_cpm_de-11s-ate-29s_111207</v>
      </c>
      <c r="G221" t="str">
        <f t="shared" si="48"/>
        <v>444221814</v>
      </c>
      <c r="H221" t="str">
        <f t="shared" si="49"/>
        <v>Tracking</v>
      </c>
      <c r="I221">
        <f t="shared" si="50"/>
        <v>1710</v>
      </c>
      <c r="J221">
        <f t="shared" si="51"/>
        <v>0</v>
      </c>
      <c r="K221" s="4">
        <f t="shared" si="41"/>
        <v>3.8199999999999998E-2</v>
      </c>
      <c r="L221">
        <f t="shared" si="42"/>
        <v>0.09</v>
      </c>
      <c r="M221" s="4">
        <f t="shared" si="39"/>
        <v>6.5322000000000005E-2</v>
      </c>
      <c r="N221" s="4">
        <f t="shared" si="40"/>
        <v>0.15390000000000001</v>
      </c>
    </row>
    <row r="222" spans="1:14">
      <c r="A222" t="str">
        <f t="shared" si="43"/>
        <v>alp_marca</v>
      </c>
      <c r="B222" t="str">
        <f t="shared" si="44"/>
        <v>facebook.com.br</v>
      </c>
      <c r="C222" t="str">
        <f t="shared" si="45"/>
        <v>alp_marca_engajamentos_feminino_facebook_social_dark-post_social_rasteiras_fashion_cpm_500x500_111175</v>
      </c>
      <c r="D222" t="str">
        <f t="shared" si="46"/>
        <v>246346793</v>
      </c>
      <c r="E222" t="str">
        <f>IF(Table1[[#This Row],[Impressions]]&gt;Table1[[#This Row],[Clicks]],"Standard",VLOOKUP(CONCATENATE(bd_adtype,"_",bd_creativetype),tabela,2,FALSE))</f>
        <v>Standard</v>
      </c>
      <c r="F222" t="str">
        <f t="shared" si="47"/>
        <v>alp_marca_engajamentos_feminino_facebook_social_dark-post_social_rasteiras_fashion_cpm_500x500_111175</v>
      </c>
      <c r="G222" t="str">
        <f t="shared" si="48"/>
        <v>443048506</v>
      </c>
      <c r="H222" t="str">
        <f t="shared" si="49"/>
        <v>Tracking</v>
      </c>
      <c r="I222">
        <f t="shared" si="50"/>
        <v>3990880</v>
      </c>
      <c r="J222">
        <f t="shared" si="51"/>
        <v>5007</v>
      </c>
      <c r="K222" s="4">
        <f t="shared" si="41"/>
        <v>3.8199999999999998E-2</v>
      </c>
      <c r="L222">
        <f t="shared" si="42"/>
        <v>0.09</v>
      </c>
      <c r="M222" s="4">
        <f t="shared" si="39"/>
        <v>152.45161599999997</v>
      </c>
      <c r="N222" s="4">
        <f t="shared" si="40"/>
        <v>359.17920000000004</v>
      </c>
    </row>
    <row r="223" spans="1:14">
      <c r="A223" t="str">
        <f t="shared" si="43"/>
        <v>alp_marca</v>
      </c>
      <c r="B223" t="str">
        <f t="shared" si="44"/>
        <v>facebook.com.br</v>
      </c>
      <c r="C223" t="str">
        <f t="shared" si="45"/>
        <v>alp_marca_engajamentos_feminino_facebook_social_dark-post_social_rasteiras_funcional_cpm_500x500_111173</v>
      </c>
      <c r="D223" t="str">
        <f t="shared" si="46"/>
        <v>246698184</v>
      </c>
      <c r="E223" t="str">
        <f>IF(Table1[[#This Row],[Impressions]]&gt;Table1[[#This Row],[Clicks]],"Standard",VLOOKUP(CONCATENATE(bd_adtype,"_",bd_creativetype),tabela,2,FALSE))</f>
        <v>Standard</v>
      </c>
      <c r="F223" t="str">
        <f t="shared" si="47"/>
        <v>alp_marca_engajamentos_feminino_facebook_social_dark-post_social_rasteiras_funcional_cpm_500x500_111173</v>
      </c>
      <c r="G223" t="str">
        <f t="shared" si="48"/>
        <v>442925904</v>
      </c>
      <c r="H223" t="str">
        <f t="shared" si="49"/>
        <v>Tracking</v>
      </c>
      <c r="I223">
        <f t="shared" si="50"/>
        <v>2621817</v>
      </c>
      <c r="J223">
        <f t="shared" si="51"/>
        <v>10126</v>
      </c>
      <c r="K223" s="4">
        <f t="shared" si="41"/>
        <v>3.8199999999999998E-2</v>
      </c>
      <c r="L223">
        <f t="shared" si="42"/>
        <v>0.09</v>
      </c>
      <c r="M223" s="4">
        <f t="shared" si="39"/>
        <v>100.15340939999999</v>
      </c>
      <c r="N223" s="4">
        <f t="shared" si="40"/>
        <v>235.96352999999999</v>
      </c>
    </row>
    <row r="224" spans="1:14">
      <c r="A224" t="str">
        <f t="shared" si="43"/>
        <v>alp_marca</v>
      </c>
      <c r="B224" t="str">
        <f t="shared" si="44"/>
        <v>facebook.com.br</v>
      </c>
      <c r="C224" t="str">
        <f t="shared" si="45"/>
        <v>alp_marca_engajamentos_feminino_facebook_social_dark-post_social_rasteiras_funcional_cpm_500x500_111174</v>
      </c>
      <c r="D224" t="str">
        <f t="shared" si="46"/>
        <v>246344630</v>
      </c>
      <c r="E224" t="str">
        <f>IF(Table1[[#This Row],[Impressions]]&gt;Table1[[#This Row],[Clicks]],"Standard",VLOOKUP(CONCATENATE(bd_adtype,"_",bd_creativetype),tabela,2,FALSE))</f>
        <v>Standard</v>
      </c>
      <c r="F224" t="str">
        <f t="shared" si="47"/>
        <v>alp_marca_engajamentos_feminino_facebook_social_dark-post_social_rasteiras_funcional_cpm_500x500_111174</v>
      </c>
      <c r="G224" t="str">
        <f t="shared" si="48"/>
        <v>443031545</v>
      </c>
      <c r="H224" t="str">
        <f t="shared" si="49"/>
        <v>Tracking</v>
      </c>
      <c r="I224">
        <f t="shared" si="50"/>
        <v>801138</v>
      </c>
      <c r="J224">
        <f t="shared" si="51"/>
        <v>2978</v>
      </c>
      <c r="K224" s="4">
        <f t="shared" si="41"/>
        <v>3.8199999999999998E-2</v>
      </c>
      <c r="L224">
        <f t="shared" si="42"/>
        <v>0.09</v>
      </c>
      <c r="M224" s="4">
        <f t="shared" si="39"/>
        <v>30.603471599999999</v>
      </c>
      <c r="N224" s="4">
        <f t="shared" si="40"/>
        <v>72.102419999999995</v>
      </c>
    </row>
    <row r="225" spans="1:14">
      <c r="A225" t="str">
        <f t="shared" si="43"/>
        <v>alp_marca</v>
      </c>
      <c r="B225" t="str">
        <f t="shared" si="44"/>
        <v>facebook.com.br</v>
      </c>
      <c r="C225" t="str">
        <f t="shared" si="45"/>
        <v>alp_marca_engajamentos_feminino_facebook_social_dark-post_social_rasteiras_style_cpm_500x500_111176</v>
      </c>
      <c r="D225" t="str">
        <f t="shared" si="46"/>
        <v>246588286</v>
      </c>
      <c r="E225" t="str">
        <f>IF(Table1[[#This Row],[Impressions]]&gt;Table1[[#This Row],[Clicks]],"Standard",VLOOKUP(CONCATENATE(bd_adtype,"_",bd_creativetype),tabela,2,FALSE))</f>
        <v>Standard</v>
      </c>
      <c r="F225" t="str">
        <f t="shared" si="47"/>
        <v>alp_marca_engajamentos_feminino_facebook_social_dark-post_social_rasteiras_style_cpm_500x500_111176</v>
      </c>
      <c r="G225" t="str">
        <f t="shared" si="48"/>
        <v>442981506</v>
      </c>
      <c r="H225" t="str">
        <f t="shared" si="49"/>
        <v>Tracking</v>
      </c>
      <c r="I225">
        <f t="shared" si="50"/>
        <v>4125708</v>
      </c>
      <c r="J225">
        <f t="shared" si="51"/>
        <v>2172</v>
      </c>
      <c r="K225" s="4">
        <f t="shared" si="41"/>
        <v>3.8199999999999998E-2</v>
      </c>
      <c r="L225">
        <f t="shared" si="42"/>
        <v>0.09</v>
      </c>
      <c r="M225" s="4">
        <f t="shared" si="39"/>
        <v>157.6020456</v>
      </c>
      <c r="N225" s="4">
        <f t="shared" si="40"/>
        <v>371.31371999999999</v>
      </c>
    </row>
    <row r="226" spans="1:14">
      <c r="A226" t="str">
        <f t="shared" si="43"/>
        <v>alp_marca</v>
      </c>
      <c r="B226" t="str">
        <f t="shared" si="44"/>
        <v>facebook.com.br</v>
      </c>
      <c r="C226" t="str">
        <f t="shared" si="45"/>
        <v>alp_marca_engajamentos_feminino_facebook_social_pagepost-betinadeluca_social_slim-hits_all_cpm_1080x1080_111200</v>
      </c>
      <c r="D226" t="str">
        <f t="shared" si="46"/>
        <v>247999119</v>
      </c>
      <c r="E226" t="str">
        <f>IF(Table1[[#This Row],[Impressions]]&gt;Table1[[#This Row],[Clicks]],"Standard",VLOOKUP(CONCATENATE(bd_adtype,"_",bd_creativetype),tabela,2,FALSE))</f>
        <v>Dynamic Click</v>
      </c>
      <c r="F226" t="str">
        <f t="shared" si="47"/>
        <v>alp_marca_engajamentos_feminino_facebook_social_pagepost-betinadeluca_social_slim-hits_all_cpm_1080x1080_111200</v>
      </c>
      <c r="G226" t="str">
        <f t="shared" si="48"/>
        <v>444224035</v>
      </c>
      <c r="H226" t="str">
        <f t="shared" si="49"/>
        <v>Tracking</v>
      </c>
      <c r="I226">
        <f t="shared" si="50"/>
        <v>0</v>
      </c>
      <c r="J226">
        <f t="shared" si="51"/>
        <v>1</v>
      </c>
      <c r="K226" s="4">
        <f t="shared" si="41"/>
        <v>3.5000000000000001E-3</v>
      </c>
      <c r="L226">
        <f t="shared" si="42"/>
        <v>2.5000000000000001E-2</v>
      </c>
      <c r="M226" s="4">
        <f t="shared" si="39"/>
        <v>3.5000000000000001E-3</v>
      </c>
      <c r="N226" s="4">
        <f t="shared" si="40"/>
        <v>2.5000000000000001E-2</v>
      </c>
    </row>
    <row r="227" spans="1:14">
      <c r="A227" t="str">
        <f t="shared" si="43"/>
        <v>alp_marca</v>
      </c>
      <c r="B227" t="str">
        <f t="shared" si="44"/>
        <v>facebook.com.br</v>
      </c>
      <c r="C227" t="str">
        <f t="shared" si="45"/>
        <v>alp_marca_engajamentos_feminino_facebook_social_pagepost-carolinasilvano_social_slim-hits_all_cpm_1080x1080_111204</v>
      </c>
      <c r="D227" t="str">
        <f t="shared" si="46"/>
        <v>247999107</v>
      </c>
      <c r="E227" t="str">
        <f>IF(Table1[[#This Row],[Impressions]]&gt;Table1[[#This Row],[Clicks]],"Standard",VLOOKUP(CONCATENATE(bd_adtype,"_",bd_creativetype),tabela,2,FALSE))</f>
        <v>Dynamic Click</v>
      </c>
      <c r="F227" t="str">
        <f t="shared" si="47"/>
        <v>alp_marca_engajamentos_feminino_facebook_social_pagepost-carolinasilvano_social_slim-hits_all_cpm_1080x1080_111204</v>
      </c>
      <c r="G227" t="str">
        <f t="shared" si="48"/>
        <v>444224023</v>
      </c>
      <c r="H227" t="str">
        <f t="shared" si="49"/>
        <v>Tracking</v>
      </c>
      <c r="I227">
        <f t="shared" si="50"/>
        <v>0</v>
      </c>
      <c r="J227">
        <f t="shared" si="51"/>
        <v>3</v>
      </c>
      <c r="K227" s="4">
        <f t="shared" si="41"/>
        <v>3.5000000000000001E-3</v>
      </c>
      <c r="L227">
        <f t="shared" si="42"/>
        <v>2.5000000000000001E-2</v>
      </c>
      <c r="M227" s="4">
        <f t="shared" ref="M227:M290" si="52">IF(E227="Dynamic Click",J227*K227,K227*$I227/1000)</f>
        <v>1.0500000000000001E-2</v>
      </c>
      <c r="N227" s="4">
        <f t="shared" ref="N227:N290" si="53">IF(E227="Dynamic Click",J227*L227,L227*$I227/1000)</f>
        <v>7.5000000000000011E-2</v>
      </c>
    </row>
    <row r="228" spans="1:14">
      <c r="A228" t="str">
        <f t="shared" si="43"/>
        <v>alp_marca</v>
      </c>
      <c r="B228" t="str">
        <f t="shared" si="44"/>
        <v>facebook.com.br</v>
      </c>
      <c r="C228" t="str">
        <f t="shared" si="45"/>
        <v>alp_marca_engajamentos_feminino_facebook_social_pagepost-carolponce_social_slim-hits_all_cpm_1080x1080_111198</v>
      </c>
      <c r="D228" t="str">
        <f t="shared" si="46"/>
        <v>247999125</v>
      </c>
      <c r="E228" t="str">
        <f>IF(Table1[[#This Row],[Impressions]]&gt;Table1[[#This Row],[Clicks]],"Standard",VLOOKUP(CONCATENATE(bd_adtype,"_",bd_creativetype),tabela,2,FALSE))</f>
        <v>Dynamic Click</v>
      </c>
      <c r="F228" t="str">
        <f t="shared" si="47"/>
        <v>alp_marca_engajamentos_feminino_facebook_social_pagepost-carolponce_social_slim-hits_all_cpm_1080x1080_111198</v>
      </c>
      <c r="G228" t="str">
        <f t="shared" si="48"/>
        <v>444224041</v>
      </c>
      <c r="H228" t="str">
        <f t="shared" si="49"/>
        <v>Tracking</v>
      </c>
      <c r="I228">
        <f t="shared" si="50"/>
        <v>0</v>
      </c>
      <c r="J228">
        <f t="shared" si="51"/>
        <v>1</v>
      </c>
      <c r="K228" s="4">
        <f t="shared" si="41"/>
        <v>3.5000000000000001E-3</v>
      </c>
      <c r="L228">
        <f t="shared" si="42"/>
        <v>2.5000000000000001E-2</v>
      </c>
      <c r="M228" s="4">
        <f t="shared" si="52"/>
        <v>3.5000000000000001E-3</v>
      </c>
      <c r="N228" s="4">
        <f t="shared" si="53"/>
        <v>2.5000000000000001E-2</v>
      </c>
    </row>
    <row r="229" spans="1:14">
      <c r="A229" t="str">
        <f t="shared" si="43"/>
        <v>alp_marca</v>
      </c>
      <c r="B229" t="str">
        <f t="shared" si="44"/>
        <v>facebook.com.br</v>
      </c>
      <c r="C229" t="str">
        <f t="shared" si="45"/>
        <v>alp_marca_engajamentos_feminino_facebook_social_pagepost-chicacapeto_social_slim-hits_all_cpm_1080x1080_111202</v>
      </c>
      <c r="D229" t="str">
        <f t="shared" si="46"/>
        <v>247999113</v>
      </c>
      <c r="E229" t="str">
        <f>IF(Table1[[#This Row],[Impressions]]&gt;Table1[[#This Row],[Clicks]],"Standard",VLOOKUP(CONCATENATE(bd_adtype,"_",bd_creativetype),tabela,2,FALSE))</f>
        <v>Dynamic Click</v>
      </c>
      <c r="F229" t="str">
        <f t="shared" si="47"/>
        <v>alp_marca_engajamentos_feminino_facebook_social_pagepost-chicacapeto_social_slim-hits_all_cpm_1080x1080_111202</v>
      </c>
      <c r="G229" t="str">
        <f t="shared" si="48"/>
        <v>444224029</v>
      </c>
      <c r="H229" t="str">
        <f t="shared" si="49"/>
        <v>Tracking</v>
      </c>
      <c r="I229">
        <f t="shared" si="50"/>
        <v>0</v>
      </c>
      <c r="J229">
        <f t="shared" si="51"/>
        <v>1</v>
      </c>
      <c r="K229" s="4">
        <f t="shared" si="41"/>
        <v>3.5000000000000001E-3</v>
      </c>
      <c r="L229">
        <f t="shared" si="42"/>
        <v>2.5000000000000001E-2</v>
      </c>
      <c r="M229" s="4">
        <f t="shared" si="52"/>
        <v>3.5000000000000001E-3</v>
      </c>
      <c r="N229" s="4">
        <f t="shared" si="53"/>
        <v>2.5000000000000001E-2</v>
      </c>
    </row>
    <row r="230" spans="1:14">
      <c r="A230" t="str">
        <f t="shared" si="43"/>
        <v>alp_marca</v>
      </c>
      <c r="B230" t="str">
        <f t="shared" si="44"/>
        <v>facebook.com.br</v>
      </c>
      <c r="C230" t="str">
        <f t="shared" si="45"/>
        <v>alp_marca_engajamentos_feminino_facebook_social_stories-betinadeluca_social_slim-hits_all_cpm_de-11s-ate-29s_111199</v>
      </c>
      <c r="D230" t="str">
        <f t="shared" si="46"/>
        <v>247999122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alp_marca_engajamentos_feminino_facebook_social_stories-betinadeluca_social_slim-hits_all_cpm_de-11s-ate-29s_111199</v>
      </c>
      <c r="G230" t="str">
        <f t="shared" si="48"/>
        <v>444224038</v>
      </c>
      <c r="H230" t="str">
        <f t="shared" si="49"/>
        <v>Tracking</v>
      </c>
      <c r="I230">
        <f t="shared" si="50"/>
        <v>0</v>
      </c>
      <c r="J230">
        <f t="shared" si="51"/>
        <v>3</v>
      </c>
      <c r="K230" s="4">
        <f t="shared" si="41"/>
        <v>3.5000000000000001E-3</v>
      </c>
      <c r="L230">
        <f t="shared" si="42"/>
        <v>2.5000000000000001E-2</v>
      </c>
      <c r="M230" s="4">
        <f t="shared" si="52"/>
        <v>1.0500000000000001E-2</v>
      </c>
      <c r="N230" s="4">
        <f t="shared" si="53"/>
        <v>7.5000000000000011E-2</v>
      </c>
    </row>
    <row r="231" spans="1:14">
      <c r="A231" t="str">
        <f t="shared" si="43"/>
        <v>alp_marca</v>
      </c>
      <c r="B231" t="str">
        <f t="shared" si="44"/>
        <v>facebook.com.br</v>
      </c>
      <c r="C231" t="str">
        <f t="shared" si="45"/>
        <v>alp_marca_engajamentos_feminino_facebook_social_stories-carolinasilvano_social_slim-hits_all_cpm_de-11s-ate-29s_111203</v>
      </c>
      <c r="D231" t="str">
        <f t="shared" si="46"/>
        <v>247999110</v>
      </c>
      <c r="E231" t="str">
        <f>IF(Table1[[#This Row],[Impressions]]&gt;Table1[[#This Row],[Clicks]],"Standard",VLOOKUP(CONCATENATE(bd_adtype,"_",bd_creativetype),tabela,2,FALSE))</f>
        <v>Dynamic Click</v>
      </c>
      <c r="F231" t="str">
        <f t="shared" si="47"/>
        <v>alp_marca_engajamentos_feminino_facebook_social_stories-carolinasilvano_social_slim-hits_all_cpm_de-11s-ate-29s_111203</v>
      </c>
      <c r="G231" t="str">
        <f t="shared" si="48"/>
        <v>444224026</v>
      </c>
      <c r="H231" t="str">
        <f t="shared" si="49"/>
        <v>Tracking</v>
      </c>
      <c r="I231">
        <f t="shared" si="50"/>
        <v>0</v>
      </c>
      <c r="J231">
        <f t="shared" si="51"/>
        <v>21</v>
      </c>
      <c r="K231" s="4">
        <f t="shared" si="41"/>
        <v>3.5000000000000001E-3</v>
      </c>
      <c r="L231">
        <f t="shared" si="42"/>
        <v>2.5000000000000001E-2</v>
      </c>
      <c r="M231" s="4">
        <f t="shared" si="52"/>
        <v>7.3499999999999996E-2</v>
      </c>
      <c r="N231" s="4">
        <f t="shared" si="53"/>
        <v>0.52500000000000002</v>
      </c>
    </row>
    <row r="232" spans="1:14">
      <c r="A232" t="str">
        <f t="shared" si="43"/>
        <v>alp_marca</v>
      </c>
      <c r="B232" t="str">
        <f t="shared" si="44"/>
        <v>facebook.com.br</v>
      </c>
      <c r="C232" t="str">
        <f t="shared" si="45"/>
        <v>alp_marca_engajamentos_feminino_facebook_social_stories-carolponce_social_slim-hits_all_cpm_de-11s-ate-29s_111197</v>
      </c>
      <c r="D232" t="str">
        <f t="shared" si="46"/>
        <v>247999128</v>
      </c>
      <c r="E232" t="str">
        <f>IF(Table1[[#This Row],[Impressions]]&gt;Table1[[#This Row],[Clicks]],"Standard",VLOOKUP(CONCATENATE(bd_adtype,"_",bd_creativetype),tabela,2,FALSE))</f>
        <v>Dynamic Click</v>
      </c>
      <c r="F232" t="str">
        <f t="shared" si="47"/>
        <v>alp_marca_engajamentos_feminino_facebook_social_stories-carolponce_social_slim-hits_all_cpm_de-11s-ate-29s_111197</v>
      </c>
      <c r="G232" t="str">
        <f t="shared" si="48"/>
        <v>444224044</v>
      </c>
      <c r="H232" t="str">
        <f t="shared" si="49"/>
        <v>Tracking</v>
      </c>
      <c r="I232">
        <f t="shared" si="50"/>
        <v>0</v>
      </c>
      <c r="J232">
        <f t="shared" si="51"/>
        <v>3</v>
      </c>
      <c r="K232" s="4">
        <f t="shared" si="41"/>
        <v>3.5000000000000001E-3</v>
      </c>
      <c r="L232">
        <f t="shared" si="42"/>
        <v>2.5000000000000001E-2</v>
      </c>
      <c r="M232" s="4">
        <f t="shared" si="52"/>
        <v>1.0500000000000001E-2</v>
      </c>
      <c r="N232" s="4">
        <f t="shared" si="53"/>
        <v>7.5000000000000011E-2</v>
      </c>
    </row>
    <row r="233" spans="1:14">
      <c r="A233" t="str">
        <f t="shared" si="43"/>
        <v>alp_marca</v>
      </c>
      <c r="B233" t="str">
        <f t="shared" si="44"/>
        <v>facebook.com.br</v>
      </c>
      <c r="C233" t="str">
        <f t="shared" si="45"/>
        <v>alp_marca_engajamentos_feminino_facebook_social_stories-chicacapeto_social_slim-hits_all_cpm_de-11s-ate-29s_111201</v>
      </c>
      <c r="D233" t="str">
        <f t="shared" si="46"/>
        <v>247999116</v>
      </c>
      <c r="E233" t="str">
        <f>IF(Table1[[#This Row],[Impressions]]&gt;Table1[[#This Row],[Clicks]],"Standard",VLOOKUP(CONCATENATE(bd_adtype,"_",bd_creativetype),tabela,2,FALSE))</f>
        <v>Dynamic Click</v>
      </c>
      <c r="F233" t="str">
        <f t="shared" si="47"/>
        <v>alp_marca_engajamentos_feminino_facebook_social_stories-chicacapeto_social_slim-hits_all_cpm_de-11s-ate-29s_111201</v>
      </c>
      <c r="G233" t="str">
        <f t="shared" si="48"/>
        <v>444224032</v>
      </c>
      <c r="H233" t="str">
        <f t="shared" si="49"/>
        <v>Tracking</v>
      </c>
      <c r="I233">
        <f t="shared" si="50"/>
        <v>0</v>
      </c>
      <c r="J233">
        <f t="shared" si="51"/>
        <v>2</v>
      </c>
      <c r="K233" s="4">
        <f t="shared" si="41"/>
        <v>3.5000000000000001E-3</v>
      </c>
      <c r="L233">
        <f t="shared" si="42"/>
        <v>2.5000000000000001E-2</v>
      </c>
      <c r="M233" s="4">
        <f t="shared" si="52"/>
        <v>7.0000000000000001E-3</v>
      </c>
      <c r="N233" s="4">
        <f t="shared" si="53"/>
        <v>0.05</v>
      </c>
    </row>
    <row r="234" spans="1:14">
      <c r="A234" t="str">
        <f t="shared" si="43"/>
        <v>alp_marca</v>
      </c>
      <c r="B234" t="str">
        <f t="shared" si="44"/>
        <v>facebook.com.br</v>
      </c>
      <c r="C234" t="str">
        <f t="shared" si="45"/>
        <v>alp_marca_engajamentos_feminino_facebook_social_stories_social_slim-hits_all_cpm_de-5s-ate-10s_111196</v>
      </c>
      <c r="D234" t="str">
        <f t="shared" si="46"/>
        <v>248134073</v>
      </c>
      <c r="E234" t="str">
        <f>IF(Table1[[#This Row],[Impressions]]&gt;Table1[[#This Row],[Clicks]],"Standard",VLOOKUP(CONCATENATE(bd_adtype,"_",bd_creativetype),tabela,2,FALSE))</f>
        <v>Standard</v>
      </c>
      <c r="F234" t="str">
        <f t="shared" si="47"/>
        <v>alp_marca_engajamentos_feminino_facebook_social_stories_social_slim-hits_all_cpm_de-5s-ate-10s_111196</v>
      </c>
      <c r="G234" t="str">
        <f t="shared" si="48"/>
        <v>444678952</v>
      </c>
      <c r="H234" t="str">
        <f t="shared" si="49"/>
        <v>Tracking</v>
      </c>
      <c r="I234">
        <f t="shared" si="50"/>
        <v>4</v>
      </c>
      <c r="J234">
        <f t="shared" si="51"/>
        <v>1</v>
      </c>
      <c r="K234" s="4">
        <f t="shared" si="41"/>
        <v>3.8199999999999998E-2</v>
      </c>
      <c r="L234">
        <f t="shared" si="42"/>
        <v>0.09</v>
      </c>
      <c r="M234" s="4">
        <f t="shared" si="52"/>
        <v>1.528E-4</v>
      </c>
      <c r="N234" s="4">
        <f t="shared" si="53"/>
        <v>3.5999999999999997E-4</v>
      </c>
    </row>
    <row r="235" spans="1:14">
      <c r="A235" t="str">
        <f t="shared" si="43"/>
        <v>alp_marca</v>
      </c>
      <c r="B235" t="str">
        <f t="shared" si="44"/>
        <v>facebook.com.br</v>
      </c>
      <c r="C235" t="str">
        <f t="shared" si="45"/>
        <v>alp_marca_engajamentos_feminino_facebook_social_video-social_social_slim-hits_all_cpm_acima-de-30s_111196</v>
      </c>
      <c r="D235" t="str">
        <f t="shared" si="46"/>
        <v>247816462</v>
      </c>
      <c r="E235" t="str">
        <f>IF(Table1[[#This Row],[Impressions]]&gt;Table1[[#This Row],[Clicks]],"Standard",VLOOKUP(CONCATENATE(bd_adtype,"_",bd_creativetype),tabela,2,FALSE))</f>
        <v>Standard</v>
      </c>
      <c r="F235" t="str">
        <f t="shared" si="47"/>
        <v>alp_marca_engajamentos_feminino_facebook_social_video-social_social_slim-hits_all_cpm_acima-de-30s_111196</v>
      </c>
      <c r="G235" t="str">
        <f t="shared" si="48"/>
        <v>444083526</v>
      </c>
      <c r="H235" t="str">
        <f t="shared" si="49"/>
        <v>Tracking</v>
      </c>
      <c r="I235">
        <f t="shared" si="50"/>
        <v>6074317</v>
      </c>
      <c r="J235">
        <f t="shared" si="51"/>
        <v>19033</v>
      </c>
      <c r="K235" s="4">
        <f t="shared" si="41"/>
        <v>3.8199999999999998E-2</v>
      </c>
      <c r="L235">
        <f t="shared" si="42"/>
        <v>0.09</v>
      </c>
      <c r="M235" s="4">
        <f t="shared" si="52"/>
        <v>232.03890939999997</v>
      </c>
      <c r="N235" s="4">
        <f t="shared" si="53"/>
        <v>546.68853000000001</v>
      </c>
    </row>
    <row r="236" spans="1:14">
      <c r="A236" t="str">
        <f t="shared" si="43"/>
        <v>alp_marca</v>
      </c>
      <c r="B236" t="str">
        <f t="shared" si="44"/>
        <v>facebook.com.br</v>
      </c>
      <c r="C236" t="str">
        <f t="shared" si="45"/>
        <v>alp_marca_engajamentos_feminino_facebook_social_video-social_social_slim-hits_all_cpm_acima-de-30s_111208</v>
      </c>
      <c r="D236" t="str">
        <f t="shared" si="46"/>
        <v>248134070</v>
      </c>
      <c r="E236" t="str">
        <f>IF(Table1[[#This Row],[Impressions]]&gt;Table1[[#This Row],[Clicks]],"Standard",VLOOKUP(CONCATENATE(bd_adtype,"_",bd_creativetype),tabela,2,FALSE))</f>
        <v>Dynamic Click</v>
      </c>
      <c r="F236" t="str">
        <f t="shared" si="47"/>
        <v>alp_marca_engajamentos_feminino_facebook_social_video-social_social_slim-hits_all_cpm_acima-de-30s_111208</v>
      </c>
      <c r="G236" t="str">
        <f t="shared" si="48"/>
        <v>444678949</v>
      </c>
      <c r="H236" t="str">
        <f t="shared" si="49"/>
        <v>Tracking</v>
      </c>
      <c r="I236">
        <f t="shared" si="50"/>
        <v>2</v>
      </c>
      <c r="J236">
        <f t="shared" si="51"/>
        <v>2</v>
      </c>
      <c r="K236" s="4">
        <f t="shared" ref="K236:K299" si="54">IF(LEFT(B236,3)="DBM",0,VLOOKUP(E236,tabela,2,FALSE))</f>
        <v>3.5000000000000001E-3</v>
      </c>
      <c r="L236">
        <f t="shared" ref="L236:L299" si="55">VLOOKUP(E236,tabela,3,FALSE)</f>
        <v>2.5000000000000001E-2</v>
      </c>
      <c r="M236" s="4">
        <f t="shared" si="52"/>
        <v>7.0000000000000001E-3</v>
      </c>
      <c r="N236" s="4">
        <f t="shared" si="53"/>
        <v>0.05</v>
      </c>
    </row>
    <row r="237" spans="1:14">
      <c r="A237" t="str">
        <f t="shared" si="43"/>
        <v>alp_marca</v>
      </c>
      <c r="B237" t="str">
        <f t="shared" si="44"/>
        <v>facebook.com.br</v>
      </c>
      <c r="C237" t="str">
        <f t="shared" si="45"/>
        <v>alp_marca_engajamentos_jovem_facebook_social_dark-post_social_got_all_cpm_1080x1080_111131</v>
      </c>
      <c r="D237" t="str">
        <f t="shared" si="46"/>
        <v>243533123</v>
      </c>
      <c r="E237" t="str">
        <f>IF(Table1[[#This Row],[Impressions]]&gt;Table1[[#This Row],[Clicks]],"Standard",VLOOKUP(CONCATENATE(bd_adtype,"_",bd_creativetype),tabela,2,FALSE))</f>
        <v>Dynamic Click</v>
      </c>
      <c r="F237" t="str">
        <f t="shared" si="47"/>
        <v>alp_marca_engajamentos_jovem_facebook_social_dark-post_social_got_all_cpm_1080x1080_111131</v>
      </c>
      <c r="G237" t="str">
        <f t="shared" si="48"/>
        <v>440337479</v>
      </c>
      <c r="H237" t="str">
        <f t="shared" si="49"/>
        <v>Tracking</v>
      </c>
      <c r="I237">
        <f t="shared" si="50"/>
        <v>0</v>
      </c>
      <c r="J237">
        <f t="shared" si="51"/>
        <v>7</v>
      </c>
      <c r="K237" s="4">
        <f t="shared" si="54"/>
        <v>3.5000000000000001E-3</v>
      </c>
      <c r="L237">
        <f t="shared" si="55"/>
        <v>2.5000000000000001E-2</v>
      </c>
      <c r="M237" s="4">
        <f t="shared" si="52"/>
        <v>2.4500000000000001E-2</v>
      </c>
      <c r="N237" s="4">
        <f t="shared" si="53"/>
        <v>0.17500000000000002</v>
      </c>
    </row>
    <row r="238" spans="1:14">
      <c r="A238" t="str">
        <f t="shared" si="43"/>
        <v>alp_marca</v>
      </c>
      <c r="B238" t="str">
        <f t="shared" si="44"/>
        <v>facebook.com.br</v>
      </c>
      <c r="C238" t="str">
        <f t="shared" si="45"/>
        <v>alp_marca_engajamentos_masculino_facebook_social_dark-post_social_harry-potter_licenciados_cpm_500x500_111187</v>
      </c>
      <c r="D238" t="str">
        <f t="shared" si="46"/>
        <v>246959855</v>
      </c>
      <c r="E238" t="str">
        <f>IF(Table1[[#This Row],[Impressions]]&gt;Table1[[#This Row],[Clicks]],"Standard",VLOOKUP(CONCATENATE(bd_adtype,"_",bd_creativetype),tabela,2,FALSE))</f>
        <v>Dynamic Click</v>
      </c>
      <c r="F238" t="str">
        <f t="shared" si="47"/>
        <v>alp_marca_engajamentos_masculino_facebook_social_dark-post_social_harry-potter_licenciados_cpm_500x500_111187</v>
      </c>
      <c r="G238" t="str">
        <f t="shared" si="48"/>
        <v>443465076</v>
      </c>
      <c r="H238" t="str">
        <f t="shared" si="49"/>
        <v>Tracking</v>
      </c>
      <c r="I238">
        <f t="shared" si="50"/>
        <v>2748</v>
      </c>
      <c r="J238">
        <f t="shared" si="51"/>
        <v>8568</v>
      </c>
      <c r="K238" s="4">
        <f t="shared" si="54"/>
        <v>3.5000000000000001E-3</v>
      </c>
      <c r="L238">
        <f t="shared" si="55"/>
        <v>2.5000000000000001E-2</v>
      </c>
      <c r="M238" s="4">
        <f t="shared" si="52"/>
        <v>29.988</v>
      </c>
      <c r="N238" s="4">
        <f t="shared" si="53"/>
        <v>214.20000000000002</v>
      </c>
    </row>
    <row r="239" spans="1:14">
      <c r="A239" t="str">
        <f t="shared" si="43"/>
        <v>alp_marca</v>
      </c>
      <c r="B239" t="str">
        <f t="shared" si="44"/>
        <v>facebook.com.br</v>
      </c>
      <c r="C239" t="str">
        <f t="shared" si="45"/>
        <v>alp_marca_engajamentos_masculino_facebook_social_dark-post_social_havaianas-top-max_automoveis_cpm_500x500_111189</v>
      </c>
      <c r="D239" t="str">
        <f t="shared" si="46"/>
        <v>246959849</v>
      </c>
      <c r="E239" t="str">
        <f>IF(Table1[[#This Row],[Impressions]]&gt;Table1[[#This Row],[Clicks]],"Standard",VLOOKUP(CONCATENATE(bd_adtype,"_",bd_creativetype),tabela,2,FALSE))</f>
        <v>Dynamic Click</v>
      </c>
      <c r="F239" t="str">
        <f t="shared" si="47"/>
        <v>alp_marca_engajamentos_masculino_facebook_social_dark-post_social_havaianas-top-max_automoveis_cpm_500x500_111189</v>
      </c>
      <c r="G239" t="str">
        <f t="shared" si="48"/>
        <v>443465070</v>
      </c>
      <c r="H239" t="str">
        <f t="shared" si="49"/>
        <v>Tracking</v>
      </c>
      <c r="I239">
        <f t="shared" si="50"/>
        <v>2177</v>
      </c>
      <c r="J239">
        <f t="shared" si="51"/>
        <v>2948</v>
      </c>
      <c r="K239" s="4">
        <f t="shared" si="54"/>
        <v>3.5000000000000001E-3</v>
      </c>
      <c r="L239">
        <f t="shared" si="55"/>
        <v>2.5000000000000001E-2</v>
      </c>
      <c r="M239" s="4">
        <f t="shared" si="52"/>
        <v>10.318</v>
      </c>
      <c r="N239" s="4">
        <f t="shared" si="53"/>
        <v>73.7</v>
      </c>
    </row>
    <row r="240" spans="1:14">
      <c r="A240" t="str">
        <f t="shared" si="43"/>
        <v>alp_marca</v>
      </c>
      <c r="B240" t="str">
        <f t="shared" si="44"/>
        <v>facebook.com.br</v>
      </c>
      <c r="C240" t="str">
        <f t="shared" si="45"/>
        <v>alp_marca_engajamentos_masculino_facebook_social_dark-post_social_havaianas-urban_moda_cpm_1080x1080_111206</v>
      </c>
      <c r="D240" t="str">
        <f t="shared" si="46"/>
        <v>247818761</v>
      </c>
      <c r="E240" t="str">
        <f>IF(Table1[[#This Row],[Impressions]]&gt;Table1[[#This Row],[Clicks]],"Standard",VLOOKUP(CONCATENATE(bd_adtype,"_",bd_creativetype),tabela,2,FALSE))</f>
        <v>Dynamic Click</v>
      </c>
      <c r="F240" t="str">
        <f t="shared" si="47"/>
        <v>alp_marca_engajamentos_masculino_facebook_social_dark-post_social_havaianas-urban_moda_cpm_1080x1080_111206</v>
      </c>
      <c r="G240" t="str">
        <f t="shared" si="48"/>
        <v>444395944</v>
      </c>
      <c r="H240" t="str">
        <f t="shared" si="49"/>
        <v>Tracking</v>
      </c>
      <c r="I240">
        <f t="shared" si="50"/>
        <v>556</v>
      </c>
      <c r="J240">
        <f t="shared" si="51"/>
        <v>5483</v>
      </c>
      <c r="K240" s="4">
        <f t="shared" si="54"/>
        <v>3.5000000000000001E-3</v>
      </c>
      <c r="L240">
        <f t="shared" si="55"/>
        <v>2.5000000000000001E-2</v>
      </c>
      <c r="M240" s="4">
        <f t="shared" si="52"/>
        <v>19.1905</v>
      </c>
      <c r="N240" s="4">
        <f t="shared" si="53"/>
        <v>137.07500000000002</v>
      </c>
    </row>
    <row r="241" spans="1:14">
      <c r="A241" t="str">
        <f t="shared" si="43"/>
        <v>alp_marca</v>
      </c>
      <c r="B241" t="str">
        <f t="shared" si="44"/>
        <v>facebook.com.br</v>
      </c>
      <c r="C241" t="str">
        <f t="shared" si="45"/>
        <v>alp_marca_engajamentos_masculino_facebook_social_dark-post_social_havaianas-urban_moda_cpm_1200x628_111206</v>
      </c>
      <c r="D241" t="str">
        <f t="shared" si="46"/>
        <v>248168370</v>
      </c>
      <c r="E241" t="str">
        <f>IF(Table1[[#This Row],[Impressions]]&gt;Table1[[#This Row],[Clicks]],"Standard",VLOOKUP(CONCATENATE(bd_adtype,"_",bd_creativetype),tabela,2,FALSE))</f>
        <v>Dynamic Click</v>
      </c>
      <c r="F241" t="str">
        <f t="shared" si="47"/>
        <v>alp_marca_engajamentos_masculino_facebook_social_dark-post_social_havaianas-urban_moda_cpm_1200x628_111206</v>
      </c>
      <c r="G241" t="str">
        <f t="shared" si="48"/>
        <v>444396418</v>
      </c>
      <c r="H241" t="str">
        <f t="shared" si="49"/>
        <v>Tracking</v>
      </c>
      <c r="I241">
        <f t="shared" si="50"/>
        <v>75</v>
      </c>
      <c r="J241">
        <f t="shared" si="51"/>
        <v>239</v>
      </c>
      <c r="K241" s="4">
        <f t="shared" si="54"/>
        <v>3.5000000000000001E-3</v>
      </c>
      <c r="L241">
        <f t="shared" si="55"/>
        <v>2.5000000000000001E-2</v>
      </c>
      <c r="M241" s="4">
        <f t="shared" si="52"/>
        <v>0.83650000000000002</v>
      </c>
      <c r="N241" s="4">
        <f t="shared" si="53"/>
        <v>5.9750000000000005</v>
      </c>
    </row>
    <row r="242" spans="1:14">
      <c r="A242" t="str">
        <f t="shared" si="43"/>
        <v>alp_marca</v>
      </c>
      <c r="B242" t="str">
        <f t="shared" si="44"/>
        <v>facebook.com.br</v>
      </c>
      <c r="C242" t="str">
        <f t="shared" si="45"/>
        <v>alp_marca_engajamentos_masculino_facebook_social_dark-post_social_havaianas-urban_moda_cpm_500x500_111190</v>
      </c>
      <c r="D242" t="str">
        <f t="shared" si="46"/>
        <v>246959846</v>
      </c>
      <c r="E242" t="str">
        <f>IF(Table1[[#This Row],[Impressions]]&gt;Table1[[#This Row],[Clicks]],"Standard",VLOOKUP(CONCATENATE(bd_adtype,"_",bd_creativetype),tabela,2,FALSE))</f>
        <v>Dynamic Click</v>
      </c>
      <c r="F242" t="str">
        <f t="shared" si="47"/>
        <v>alp_marca_engajamentos_masculino_facebook_social_dark-post_social_havaianas-urban_moda_cpm_500x500_111191</v>
      </c>
      <c r="G242" t="str">
        <f t="shared" si="48"/>
        <v>443465067</v>
      </c>
      <c r="H242" t="str">
        <f t="shared" si="49"/>
        <v>Tracking</v>
      </c>
      <c r="I242">
        <f t="shared" si="50"/>
        <v>1289</v>
      </c>
      <c r="J242">
        <f t="shared" si="51"/>
        <v>1685</v>
      </c>
      <c r="K242" s="4">
        <f t="shared" si="54"/>
        <v>3.5000000000000001E-3</v>
      </c>
      <c r="L242">
        <f t="shared" si="55"/>
        <v>2.5000000000000001E-2</v>
      </c>
      <c r="M242" s="4">
        <f t="shared" si="52"/>
        <v>5.8975</v>
      </c>
      <c r="N242" s="4">
        <f t="shared" si="53"/>
        <v>42.125</v>
      </c>
    </row>
    <row r="243" spans="1:14">
      <c r="A243" t="str">
        <f t="shared" si="43"/>
        <v>alp_marca</v>
      </c>
      <c r="B243" t="str">
        <f t="shared" si="44"/>
        <v>facebook.com.br</v>
      </c>
      <c r="C243" t="str">
        <f t="shared" si="45"/>
        <v>alp_marca_engajamentos_masculino_facebook_social_dark-post_social_havaianas-urban_moda_cpm_500x500_111191</v>
      </c>
      <c r="D243" t="str">
        <f t="shared" si="46"/>
        <v>246959843</v>
      </c>
      <c r="E243" t="str">
        <f>IF(Table1[[#This Row],[Impressions]]&gt;Table1[[#This Row],[Clicks]],"Standard",VLOOKUP(CONCATENATE(bd_adtype,"_",bd_creativetype),tabela,2,FALSE))</f>
        <v>Standard</v>
      </c>
      <c r="F243" t="str">
        <f t="shared" si="47"/>
        <v>alp_marca_engajamentos_masculino_facebook_social_dark-post_social_havaianas-urban_licenciados_cpm_500x500_111191</v>
      </c>
      <c r="G243" t="str">
        <f t="shared" si="48"/>
        <v>443465064</v>
      </c>
      <c r="H243" t="str">
        <f t="shared" si="49"/>
        <v>Tracking</v>
      </c>
      <c r="I243">
        <f t="shared" si="50"/>
        <v>14</v>
      </c>
      <c r="J243">
        <f t="shared" si="51"/>
        <v>3</v>
      </c>
      <c r="K243" s="4">
        <f t="shared" si="54"/>
        <v>3.8199999999999998E-2</v>
      </c>
      <c r="L243">
        <f t="shared" si="55"/>
        <v>0.09</v>
      </c>
      <c r="M243" s="4">
        <f t="shared" si="52"/>
        <v>5.3479999999999999E-4</v>
      </c>
      <c r="N243" s="4">
        <f t="shared" si="53"/>
        <v>1.2600000000000001E-3</v>
      </c>
    </row>
    <row r="244" spans="1:14">
      <c r="A244" t="str">
        <f t="shared" si="43"/>
        <v>alp_marca</v>
      </c>
      <c r="B244" t="str">
        <f t="shared" si="44"/>
        <v>facebook.com.br</v>
      </c>
      <c r="C244" t="str">
        <f t="shared" si="45"/>
        <v>alp_marca_engajamentos_masculino_facebook_social_dark-post_social_hype_sports_cpm_500x500_111188</v>
      </c>
      <c r="D244" t="str">
        <f t="shared" si="46"/>
        <v>246959852</v>
      </c>
      <c r="E244" t="str">
        <f>IF(Table1[[#This Row],[Impressions]]&gt;Table1[[#This Row],[Clicks]],"Standard",VLOOKUP(CONCATENATE(bd_adtype,"_",bd_creativetype),tabela,2,FALSE))</f>
        <v>Dynamic Click</v>
      </c>
      <c r="F244" t="str">
        <f t="shared" si="47"/>
        <v>alp_marca_engajamentos_masculino_facebook_social_dark-post_social_hype_sports_cpm_500x500_111188</v>
      </c>
      <c r="G244" t="str">
        <f t="shared" si="48"/>
        <v>443465073</v>
      </c>
      <c r="H244" t="str">
        <f t="shared" si="49"/>
        <v>Tracking</v>
      </c>
      <c r="I244">
        <f t="shared" si="50"/>
        <v>2394</v>
      </c>
      <c r="J244">
        <f t="shared" si="51"/>
        <v>6139</v>
      </c>
      <c r="K244" s="4">
        <f t="shared" si="54"/>
        <v>3.5000000000000001E-3</v>
      </c>
      <c r="L244">
        <f t="shared" si="55"/>
        <v>2.5000000000000001E-2</v>
      </c>
      <c r="M244" s="4">
        <f t="shared" si="52"/>
        <v>21.486499999999999</v>
      </c>
      <c r="N244" s="4">
        <f t="shared" si="53"/>
        <v>153.47500000000002</v>
      </c>
    </row>
    <row r="245" spans="1:14">
      <c r="A245" t="str">
        <f t="shared" si="43"/>
        <v>alp_marca</v>
      </c>
      <c r="B245" t="str">
        <f t="shared" si="44"/>
        <v>facebook.com.br</v>
      </c>
      <c r="C245" t="str">
        <f t="shared" si="45"/>
        <v>alp_marca_engajamentos_masculino_facebook_social_pagepost_social_havaianas-urban_all_cpm_1080x1080_111195</v>
      </c>
      <c r="D245" t="str">
        <f t="shared" si="46"/>
        <v>247938105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alp_marca_engajamentos_masculino_facebook_social_pagepost_social_havaianas-urban_all_cpm_1080x1080_111195</v>
      </c>
      <c r="G245" t="str">
        <f t="shared" si="48"/>
        <v>444155815</v>
      </c>
      <c r="H245" t="str">
        <f t="shared" si="49"/>
        <v>Tracking</v>
      </c>
      <c r="I245">
        <f t="shared" si="50"/>
        <v>1120</v>
      </c>
      <c r="J245">
        <f t="shared" si="51"/>
        <v>0</v>
      </c>
      <c r="K245" s="4">
        <f t="shared" si="54"/>
        <v>3.8199999999999998E-2</v>
      </c>
      <c r="L245">
        <f t="shared" si="55"/>
        <v>0.09</v>
      </c>
      <c r="M245" s="4">
        <f t="shared" si="52"/>
        <v>4.2783999999999996E-2</v>
      </c>
      <c r="N245" s="4">
        <f t="shared" si="53"/>
        <v>0.1008</v>
      </c>
    </row>
    <row r="246" spans="1:14">
      <c r="A246" t="str">
        <f t="shared" si="43"/>
        <v>alp_marca</v>
      </c>
      <c r="B246" t="str">
        <f t="shared" si="44"/>
        <v>globoesporte.globo.com</v>
      </c>
      <c r="C246" t="str">
        <f t="shared" si="45"/>
        <v>alp_marca_engajamentos_masculino_globo-esporte_display_billboard_ros_hype_all_cpm_970x250_111184</v>
      </c>
      <c r="D246" t="str">
        <f t="shared" si="46"/>
        <v>246923194</v>
      </c>
      <c r="E246" t="str">
        <f>IF(Table1[[#This Row],[Impressions]]&gt;Table1[[#This Row],[Clicks]],"Standard",VLOOKUP(CONCATENATE(bd_adtype,"_",bd_creativetype),tabela,2,FALSE))</f>
        <v>Standard</v>
      </c>
      <c r="F246" t="str">
        <f t="shared" si="47"/>
        <v>1x1 Default Web Ad</v>
      </c>
      <c r="G246" t="str">
        <f t="shared" si="48"/>
        <v>438503523</v>
      </c>
      <c r="H246" t="str">
        <f t="shared" si="49"/>
        <v>Display</v>
      </c>
      <c r="I246">
        <f t="shared" si="50"/>
        <v>1</v>
      </c>
      <c r="J246">
        <f t="shared" si="51"/>
        <v>0</v>
      </c>
      <c r="K246" s="4">
        <f t="shared" si="54"/>
        <v>3.8199999999999998E-2</v>
      </c>
      <c r="L246">
        <f t="shared" si="55"/>
        <v>0.09</v>
      </c>
      <c r="M246" s="4">
        <f t="shared" si="52"/>
        <v>3.82E-5</v>
      </c>
      <c r="N246" s="4">
        <f t="shared" si="53"/>
        <v>8.9999999999999992E-5</v>
      </c>
    </row>
    <row r="247" spans="1:14">
      <c r="A247" t="str">
        <f t="shared" si="43"/>
        <v>alp_marca</v>
      </c>
      <c r="B247" t="str">
        <f t="shared" si="44"/>
        <v>globoesporte.globo.com</v>
      </c>
      <c r="C247" t="str">
        <f t="shared" si="45"/>
        <v>alp_marca_engajamentos_masculino_globo-esporte_display_billboard_ros_hype_all_cpm_970x250_111184</v>
      </c>
      <c r="D247" t="str">
        <f t="shared" si="46"/>
        <v>246923194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alp_marca_engajamentos_masculino_globo-esporte_display_billboard_ros_hype_all_cpm_970x250_111184</v>
      </c>
      <c r="G247" t="str">
        <f t="shared" si="48"/>
        <v>443284830</v>
      </c>
      <c r="H247" t="str">
        <f t="shared" si="49"/>
        <v>Tracking</v>
      </c>
      <c r="I247">
        <f t="shared" si="50"/>
        <v>36225</v>
      </c>
      <c r="J247">
        <f t="shared" si="51"/>
        <v>41</v>
      </c>
      <c r="K247" s="4">
        <f t="shared" si="54"/>
        <v>3.8199999999999998E-2</v>
      </c>
      <c r="L247">
        <f t="shared" si="55"/>
        <v>0.09</v>
      </c>
      <c r="M247" s="4">
        <f t="shared" si="52"/>
        <v>1.3837949999999999</v>
      </c>
      <c r="N247" s="4">
        <f t="shared" si="53"/>
        <v>3.2602500000000001</v>
      </c>
    </row>
    <row r="248" spans="1:14">
      <c r="A248" t="str">
        <f t="shared" si="43"/>
        <v>alp_marca</v>
      </c>
      <c r="B248" t="str">
        <f t="shared" si="44"/>
        <v>globoesporte.globo.com</v>
      </c>
      <c r="C248" t="str">
        <f t="shared" si="45"/>
        <v>alp_marca_engajamentos_masculino_globo-esporte_display_maxiboard_ros_hype_all_cpm_970x150_111185</v>
      </c>
      <c r="D248" t="str">
        <f t="shared" si="46"/>
        <v>247105770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alp_marca_engajamentos_masculino_globo-esporte_display_maxiboard_ros_hype_all_cpm_970x150_111185</v>
      </c>
      <c r="G248" t="str">
        <f t="shared" si="48"/>
        <v>443353328</v>
      </c>
      <c r="H248" t="str">
        <f t="shared" si="49"/>
        <v>Tracking</v>
      </c>
      <c r="I248">
        <f t="shared" si="50"/>
        <v>25953</v>
      </c>
      <c r="J248">
        <f t="shared" si="51"/>
        <v>14</v>
      </c>
      <c r="K248" s="4">
        <f t="shared" si="54"/>
        <v>3.8199999999999998E-2</v>
      </c>
      <c r="L248">
        <f t="shared" si="55"/>
        <v>0.09</v>
      </c>
      <c r="M248" s="4">
        <f t="shared" si="52"/>
        <v>0.99140459999999997</v>
      </c>
      <c r="N248" s="4">
        <f t="shared" si="53"/>
        <v>2.3357700000000001</v>
      </c>
    </row>
    <row r="249" spans="1:14">
      <c r="A249" t="str">
        <f t="shared" si="43"/>
        <v>alp_marca</v>
      </c>
      <c r="B249" t="str">
        <f t="shared" si="44"/>
        <v>globoesporte.globo.com</v>
      </c>
      <c r="C249" t="str">
        <f t="shared" si="45"/>
        <v>alp_marca_engajamentos_masculino_globo-esporte_display_retangulo_ros_hype_all_cpm_300x250_111183</v>
      </c>
      <c r="D249" t="str">
        <f t="shared" si="46"/>
        <v>247101153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alp_marca_engajamentos_masculino_globo-esporte_display_retangulo_ros_hype_all_cpm_300x250_111183</v>
      </c>
      <c r="G249" t="str">
        <f t="shared" si="48"/>
        <v>443416780</v>
      </c>
      <c r="H249" t="str">
        <f t="shared" si="49"/>
        <v>Tracking</v>
      </c>
      <c r="I249">
        <f t="shared" si="50"/>
        <v>2929157</v>
      </c>
      <c r="J249">
        <f t="shared" si="51"/>
        <v>7376</v>
      </c>
      <c r="K249" s="4">
        <f t="shared" si="54"/>
        <v>3.8199999999999998E-2</v>
      </c>
      <c r="L249">
        <f t="shared" si="55"/>
        <v>0.09</v>
      </c>
      <c r="M249" s="4">
        <f t="shared" si="52"/>
        <v>111.8937974</v>
      </c>
      <c r="N249" s="4">
        <f t="shared" si="53"/>
        <v>263.62412999999998</v>
      </c>
    </row>
    <row r="250" spans="1:14">
      <c r="A250" t="str">
        <f t="shared" si="43"/>
        <v>alp_marca</v>
      </c>
      <c r="B250" t="str">
        <f t="shared" si="44"/>
        <v>jovemnerd.com.br</v>
      </c>
      <c r="C250" t="str">
        <f t="shared" si="45"/>
        <v>alp_marca_alcance_jovem_jovem-nerd_display_half-page_ros_got_all_cpm_300x600_111158</v>
      </c>
      <c r="D250" t="str">
        <f t="shared" si="46"/>
        <v>245972907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1x1 Default Web Ad</v>
      </c>
      <c r="G250" t="str">
        <f t="shared" si="48"/>
        <v>438503523</v>
      </c>
      <c r="H250" t="str">
        <f t="shared" si="49"/>
        <v>Display</v>
      </c>
      <c r="I250">
        <f t="shared" si="50"/>
        <v>2343</v>
      </c>
      <c r="J250">
        <f t="shared" si="51"/>
        <v>0</v>
      </c>
      <c r="K250" s="4">
        <f t="shared" si="54"/>
        <v>3.8199999999999998E-2</v>
      </c>
      <c r="L250">
        <f t="shared" si="55"/>
        <v>0.09</v>
      </c>
      <c r="M250" s="4">
        <f t="shared" si="52"/>
        <v>8.9502600000000002E-2</v>
      </c>
      <c r="N250" s="4">
        <f t="shared" si="53"/>
        <v>0.21087</v>
      </c>
    </row>
    <row r="251" spans="1:14">
      <c r="A251" t="str">
        <f t="shared" si="43"/>
        <v>alp_marca</v>
      </c>
      <c r="B251" t="str">
        <f t="shared" si="44"/>
        <v>jovemnerd.com.br</v>
      </c>
      <c r="C251" t="str">
        <f t="shared" si="45"/>
        <v>alp_marca_alcance_jovem_jovem-nerd_display_half-page_ros_got_all_cpm_300x600_111158</v>
      </c>
      <c r="D251" t="str">
        <f t="shared" si="46"/>
        <v>245972907</v>
      </c>
      <c r="E251" t="str">
        <f>IF(Table1[[#This Row],[Impressions]]&gt;Table1[[#This Row],[Clicks]],"Standard",VLOOKUP(CONCATENATE(bd_adtype,"_",bd_creativetype),tabela,2,FALSE))</f>
        <v>Dynamic Click</v>
      </c>
      <c r="F251" t="str">
        <f t="shared" si="47"/>
        <v>alp_marca_alcance_jovem_jovem-nerd_display_half-page_ros_got_all_cpm_300x600_111158</v>
      </c>
      <c r="G251" t="str">
        <f t="shared" si="48"/>
        <v>442369667</v>
      </c>
      <c r="H251" t="str">
        <f t="shared" si="49"/>
        <v>Tracking</v>
      </c>
      <c r="I251">
        <f t="shared" si="50"/>
        <v>0</v>
      </c>
      <c r="J251">
        <f t="shared" si="51"/>
        <v>47</v>
      </c>
      <c r="K251" s="4">
        <f t="shared" si="54"/>
        <v>3.5000000000000001E-3</v>
      </c>
      <c r="L251">
        <f t="shared" si="55"/>
        <v>2.5000000000000001E-2</v>
      </c>
      <c r="M251" s="4">
        <f t="shared" si="52"/>
        <v>0.16450000000000001</v>
      </c>
      <c r="N251" s="4">
        <f t="shared" si="53"/>
        <v>1.175</v>
      </c>
    </row>
    <row r="252" spans="1:14">
      <c r="A252" t="str">
        <f t="shared" si="43"/>
        <v>alp_marca</v>
      </c>
      <c r="B252" t="str">
        <f t="shared" si="44"/>
        <v>jovemnerd.com.br</v>
      </c>
      <c r="C252" t="str">
        <f t="shared" si="45"/>
        <v>alp_marca_alcance_jovem_jovem-nerd_display_intervencao_ros_got_all_diaria_1280x700_111160</v>
      </c>
      <c r="D252" t="str">
        <f t="shared" si="46"/>
        <v>246075390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alp_marca_alcance_jovem_jovem-nerd_display_intervencao_ros_got_all_diaria_1280x700_111160</v>
      </c>
      <c r="G252" t="str">
        <f t="shared" si="48"/>
        <v>442506469</v>
      </c>
      <c r="H252" t="str">
        <f t="shared" si="49"/>
        <v>Display</v>
      </c>
      <c r="I252">
        <f t="shared" si="50"/>
        <v>361982</v>
      </c>
      <c r="J252">
        <f t="shared" si="51"/>
        <v>2826</v>
      </c>
      <c r="K252" s="4">
        <f t="shared" si="54"/>
        <v>3.8199999999999998E-2</v>
      </c>
      <c r="L252">
        <f t="shared" si="55"/>
        <v>0.09</v>
      </c>
      <c r="M252" s="4">
        <f t="shared" si="52"/>
        <v>13.827712399999999</v>
      </c>
      <c r="N252" s="4">
        <f t="shared" si="53"/>
        <v>32.578379999999996</v>
      </c>
    </row>
    <row r="253" spans="1:14">
      <c r="A253" t="str">
        <f t="shared" si="43"/>
        <v>alp_marca</v>
      </c>
      <c r="B253" t="str">
        <f t="shared" si="44"/>
        <v>jovemnerd.com.br</v>
      </c>
      <c r="C253" t="str">
        <f t="shared" si="45"/>
        <v>alp_marca_alcance_jovem_jovem-nerd_display_retangulo_ros_got_all_cpm_300x250_111157</v>
      </c>
      <c r="D253" t="str">
        <f t="shared" si="46"/>
        <v>245974686</v>
      </c>
      <c r="E253" t="str">
        <f>IF(Table1[[#This Row],[Impressions]]&gt;Table1[[#This Row],[Clicks]],"Standard",VLOOKUP(CONCATENATE(bd_adtype,"_",bd_creativetype),tabela,2,FALSE))</f>
        <v>Standard</v>
      </c>
      <c r="F253" t="str">
        <f t="shared" si="47"/>
        <v>1x1 Default Web Ad</v>
      </c>
      <c r="G253" t="str">
        <f t="shared" si="48"/>
        <v>438503523</v>
      </c>
      <c r="H253" t="str">
        <f t="shared" si="49"/>
        <v>Display</v>
      </c>
      <c r="I253">
        <f t="shared" si="50"/>
        <v>19647</v>
      </c>
      <c r="J253">
        <f t="shared" si="51"/>
        <v>19</v>
      </c>
      <c r="K253" s="4">
        <f t="shared" si="54"/>
        <v>3.8199999999999998E-2</v>
      </c>
      <c r="L253">
        <f t="shared" si="55"/>
        <v>0.09</v>
      </c>
      <c r="M253" s="4">
        <f t="shared" si="52"/>
        <v>0.75051540000000005</v>
      </c>
      <c r="N253" s="4">
        <f t="shared" si="53"/>
        <v>1.76823</v>
      </c>
    </row>
    <row r="254" spans="1:14">
      <c r="A254" t="str">
        <f t="shared" si="43"/>
        <v>alp_marca</v>
      </c>
      <c r="B254" t="str">
        <f t="shared" si="44"/>
        <v>jovemnerd.com.br</v>
      </c>
      <c r="C254" t="str">
        <f t="shared" si="45"/>
        <v>alp_marca_alcance_jovem_jovem-nerd_display_retangulo_ros_got_all_cpm_300x250_111157</v>
      </c>
      <c r="D254" t="str">
        <f t="shared" si="46"/>
        <v>245974686</v>
      </c>
      <c r="E254" t="str">
        <f>IF(Table1[[#This Row],[Impressions]]&gt;Table1[[#This Row],[Clicks]],"Standard",VLOOKUP(CONCATENATE(bd_adtype,"_",bd_creativetype),tabela,2,FALSE))</f>
        <v>Dynamic Click</v>
      </c>
      <c r="F254" t="str">
        <f t="shared" si="47"/>
        <v>alp_marca_alcance_jovem_jovem-nerd_display_retangulo_ros_got_all_cpm_300x250_111157</v>
      </c>
      <c r="G254" t="str">
        <f t="shared" si="48"/>
        <v>442369670</v>
      </c>
      <c r="H254" t="str">
        <f t="shared" si="49"/>
        <v>Tracking</v>
      </c>
      <c r="I254">
        <f t="shared" si="50"/>
        <v>0</v>
      </c>
      <c r="J254">
        <f t="shared" si="51"/>
        <v>1278</v>
      </c>
      <c r="K254" s="4">
        <f t="shared" si="54"/>
        <v>3.5000000000000001E-3</v>
      </c>
      <c r="L254">
        <f t="shared" si="55"/>
        <v>2.5000000000000001E-2</v>
      </c>
      <c r="M254" s="4">
        <f t="shared" si="52"/>
        <v>4.4729999999999999</v>
      </c>
      <c r="N254" s="4">
        <f t="shared" si="53"/>
        <v>31.950000000000003</v>
      </c>
    </row>
    <row r="255" spans="1:14">
      <c r="A255" t="str">
        <f t="shared" si="43"/>
        <v>alp_marca</v>
      </c>
      <c r="B255" t="str">
        <f t="shared" si="44"/>
        <v>jovemnerd.com.br</v>
      </c>
      <c r="C255" t="str">
        <f t="shared" si="45"/>
        <v>alp_marca_alcance_jovem_jovem-nerd_display_superbanner_ros_got_all_cpm_728x90_111159</v>
      </c>
      <c r="D255" t="str">
        <f t="shared" si="46"/>
        <v>245972904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1x1 Default Web Ad</v>
      </c>
      <c r="G255" t="str">
        <f t="shared" si="48"/>
        <v>438503523</v>
      </c>
      <c r="H255" t="str">
        <f t="shared" si="49"/>
        <v>Display</v>
      </c>
      <c r="I255">
        <f t="shared" si="50"/>
        <v>8544</v>
      </c>
      <c r="J255">
        <f t="shared" si="51"/>
        <v>3</v>
      </c>
      <c r="K255" s="4">
        <f t="shared" si="54"/>
        <v>3.8199999999999998E-2</v>
      </c>
      <c r="L255">
        <f t="shared" si="55"/>
        <v>0.09</v>
      </c>
      <c r="M255" s="4">
        <f t="shared" si="52"/>
        <v>0.32638079999999997</v>
      </c>
      <c r="N255" s="4">
        <f t="shared" si="53"/>
        <v>0.76895999999999998</v>
      </c>
    </row>
    <row r="256" spans="1:14">
      <c r="A256" t="str">
        <f t="shared" si="43"/>
        <v>alp_marca</v>
      </c>
      <c r="B256" t="str">
        <f t="shared" si="44"/>
        <v>jovemnerd.com.br</v>
      </c>
      <c r="C256" t="str">
        <f t="shared" si="45"/>
        <v>alp_marca_alcance_jovem_jovem-nerd_display_superbanner_ros_got_all_cpm_728x90_111159</v>
      </c>
      <c r="D256" t="str">
        <f t="shared" si="46"/>
        <v>245972904</v>
      </c>
      <c r="E256" t="str">
        <f>IF(Table1[[#This Row],[Impressions]]&gt;Table1[[#This Row],[Clicks]],"Standard",VLOOKUP(CONCATENATE(bd_adtype,"_",bd_creativetype),tabela,2,FALSE))</f>
        <v>Dynamic Click</v>
      </c>
      <c r="F256" t="str">
        <f t="shared" si="47"/>
        <v>alp_marca_alcance_jovem_jovem-nerd_display_superbanner_ros_got_all_cpm_728x90_111159</v>
      </c>
      <c r="G256" t="str">
        <f t="shared" si="48"/>
        <v>442369664</v>
      </c>
      <c r="H256" t="str">
        <f t="shared" si="49"/>
        <v>Tracking</v>
      </c>
      <c r="I256">
        <f t="shared" si="50"/>
        <v>0</v>
      </c>
      <c r="J256">
        <f t="shared" si="51"/>
        <v>839</v>
      </c>
      <c r="K256" s="4">
        <f t="shared" si="54"/>
        <v>3.5000000000000001E-3</v>
      </c>
      <c r="L256">
        <f t="shared" si="55"/>
        <v>2.5000000000000001E-2</v>
      </c>
      <c r="M256" s="4">
        <f t="shared" si="52"/>
        <v>2.9365000000000001</v>
      </c>
      <c r="N256" s="4">
        <f t="shared" si="53"/>
        <v>20.975000000000001</v>
      </c>
    </row>
    <row r="257" spans="1:14">
      <c r="A257" t="str">
        <f t="shared" si="43"/>
        <v>alp_marca</v>
      </c>
      <c r="B257" t="str">
        <f t="shared" si="44"/>
        <v>jovemnerd.com.br</v>
      </c>
      <c r="C257" t="str">
        <f t="shared" si="45"/>
        <v>alp_marca_engajamentos_jovem_jovem-nerd_conteudo-veiculo_pagepost-azaghal_social_star-wars_all_fixo_1080x1080_111168</v>
      </c>
      <c r="D257" t="str">
        <f t="shared" si="46"/>
        <v>245972880</v>
      </c>
      <c r="E257" t="str">
        <f>IF(Table1[[#This Row],[Impressions]]&gt;Table1[[#This Row],[Clicks]],"Standard",VLOOKUP(CONCATENATE(bd_adtype,"_",bd_creativetype),tabela,2,FALSE))</f>
        <v>Dynamic Click</v>
      </c>
      <c r="F257" t="str">
        <f t="shared" si="47"/>
        <v>alp_marca_engajamentos_jovem_jovem-nerd_conteudo-veiculo_pagepost-azaghal_social_star-wars_all_fixo_1080x1080_111168</v>
      </c>
      <c r="G257" t="str">
        <f t="shared" si="48"/>
        <v>442369640</v>
      </c>
      <c r="H257" t="str">
        <f t="shared" si="49"/>
        <v>Tracking</v>
      </c>
      <c r="I257">
        <f t="shared" si="50"/>
        <v>0</v>
      </c>
      <c r="J257">
        <f t="shared" si="51"/>
        <v>124</v>
      </c>
      <c r="K257" s="4">
        <f t="shared" si="54"/>
        <v>3.5000000000000001E-3</v>
      </c>
      <c r="L257">
        <f t="shared" si="55"/>
        <v>2.5000000000000001E-2</v>
      </c>
      <c r="M257" s="4">
        <f t="shared" si="52"/>
        <v>0.434</v>
      </c>
      <c r="N257" s="4">
        <f t="shared" si="53"/>
        <v>3.1</v>
      </c>
    </row>
    <row r="258" spans="1:14">
      <c r="A258" t="str">
        <f t="shared" ref="A258:A321" si="56">bd_campaign</f>
        <v>alp_marca</v>
      </c>
      <c r="B258" t="str">
        <f t="shared" ref="B258:B321" si="57">bd_site</f>
        <v>jovemnerd.com.br</v>
      </c>
      <c r="C258" t="str">
        <f t="shared" ref="C258:C321" si="58">bd_placement</f>
        <v>alp_marca_engajamentos_jovem_jovem-nerd_conteudo-veiculo_pagepost-jovemnerd_social_star-wars_all_fixo_1080x1080_111164</v>
      </c>
      <c r="D258" t="str">
        <f t="shared" ref="D258:D321" si="59">bd_placementID</f>
        <v>245972892</v>
      </c>
      <c r="E258" t="str">
        <f>IF(Table1[[#This Row],[Impressions]]&gt;Table1[[#This Row],[Clicks]],"Standard",VLOOKUP(CONCATENATE(bd_adtype,"_",bd_creativetype),tabela,2,FALSE))</f>
        <v>Dynamic Click</v>
      </c>
      <c r="F258" t="str">
        <f t="shared" ref="F258:F321" si="60">bd_ad</f>
        <v>alp_marca_engajamentos_jovem_jovem-nerd_conteudo-veiculo_pagepost-jovemnerd_social_star-wars_all_fixo_1080x1080_111164</v>
      </c>
      <c r="G258" t="str">
        <f t="shared" ref="G258:G321" si="61">bd_adid</f>
        <v>442369652</v>
      </c>
      <c r="H258" t="str">
        <f t="shared" ref="H258:H321" si="62">bd_creativetype</f>
        <v>Tracking</v>
      </c>
      <c r="I258">
        <f t="shared" ref="I258:I321" si="63">bd_impression</f>
        <v>0</v>
      </c>
      <c r="J258">
        <f t="shared" ref="J258:J321" si="64">bd_clicks</f>
        <v>66</v>
      </c>
      <c r="K258" s="4">
        <f t="shared" si="54"/>
        <v>3.5000000000000001E-3</v>
      </c>
      <c r="L258">
        <f t="shared" si="55"/>
        <v>2.5000000000000001E-2</v>
      </c>
      <c r="M258" s="4">
        <f t="shared" si="52"/>
        <v>0.23100000000000001</v>
      </c>
      <c r="N258" s="4">
        <f t="shared" si="53"/>
        <v>1.6500000000000001</v>
      </c>
    </row>
    <row r="259" spans="1:14">
      <c r="A259" t="str">
        <f t="shared" si="56"/>
        <v>alp_marca</v>
      </c>
      <c r="B259" t="str">
        <f t="shared" si="57"/>
        <v>jovemnerd.com.br</v>
      </c>
      <c r="C259" t="str">
        <f t="shared" si="58"/>
        <v>alp_marca_engajamentos_jovem_jovem-nerd_conteudo-veiculo_stories-azaghal_social_got_all_fixo_de-11s-ate-29s_111164</v>
      </c>
      <c r="D259" t="str">
        <f t="shared" si="59"/>
        <v>245972889</v>
      </c>
      <c r="E259" t="str">
        <f>IF(Table1[[#This Row],[Impressions]]&gt;Table1[[#This Row],[Clicks]],"Standard",VLOOKUP(CONCATENATE(bd_adtype,"_",bd_creativetype),tabela,2,FALSE))</f>
        <v>Dynamic Click</v>
      </c>
      <c r="F259" t="str">
        <f t="shared" si="60"/>
        <v>alp_marca_engajamentos_jovem_jovem-nerd_conteudo-veiculo_stories-azaghal_social_got_all_fixo_de-11s-ate-29s_111164</v>
      </c>
      <c r="G259" t="str">
        <f t="shared" si="61"/>
        <v>442369649</v>
      </c>
      <c r="H259" t="str">
        <f t="shared" si="62"/>
        <v>Tracking</v>
      </c>
      <c r="I259">
        <f t="shared" si="63"/>
        <v>0</v>
      </c>
      <c r="J259">
        <f t="shared" si="64"/>
        <v>656</v>
      </c>
      <c r="K259" s="4">
        <f t="shared" si="54"/>
        <v>3.5000000000000001E-3</v>
      </c>
      <c r="L259">
        <f t="shared" si="55"/>
        <v>2.5000000000000001E-2</v>
      </c>
      <c r="M259" s="4">
        <f t="shared" si="52"/>
        <v>2.2960000000000003</v>
      </c>
      <c r="N259" s="4">
        <f t="shared" si="53"/>
        <v>16.400000000000002</v>
      </c>
    </row>
    <row r="260" spans="1:14">
      <c r="A260" t="str">
        <f t="shared" si="56"/>
        <v>alp_marca</v>
      </c>
      <c r="B260" t="str">
        <f t="shared" si="57"/>
        <v>jovemnerd.com.br</v>
      </c>
      <c r="C260" t="str">
        <f t="shared" si="58"/>
        <v>alp_marca_engajamentos_jovem_jovem-nerd_conteudo-veiculo_stories-azaghal_social_star-wars_all_fixo_de-11s-ate-29s_111167</v>
      </c>
      <c r="D260" t="str">
        <f t="shared" si="59"/>
        <v>245972883</v>
      </c>
      <c r="E260" t="str">
        <f>IF(Table1[[#This Row],[Impressions]]&gt;Table1[[#This Row],[Clicks]],"Standard",VLOOKUP(CONCATENATE(bd_adtype,"_",bd_creativetype),tabela,2,FALSE))</f>
        <v>Dynamic Click</v>
      </c>
      <c r="F260" t="str">
        <f t="shared" si="60"/>
        <v>alp_marca_engajamentos_jovem_jovem-nerd_conteudo-veiculo_stories-azaghal_social_star-wars_all_fixo_de-11s-ate-29s_111167</v>
      </c>
      <c r="G260" t="str">
        <f t="shared" si="61"/>
        <v>442369643</v>
      </c>
      <c r="H260" t="str">
        <f t="shared" si="62"/>
        <v>Tracking</v>
      </c>
      <c r="I260">
        <f t="shared" si="63"/>
        <v>0</v>
      </c>
      <c r="J260">
        <f t="shared" si="64"/>
        <v>59</v>
      </c>
      <c r="K260" s="4">
        <f t="shared" si="54"/>
        <v>3.5000000000000001E-3</v>
      </c>
      <c r="L260">
        <f t="shared" si="55"/>
        <v>2.5000000000000001E-2</v>
      </c>
      <c r="M260" s="4">
        <f t="shared" si="52"/>
        <v>0.20650000000000002</v>
      </c>
      <c r="N260" s="4">
        <f t="shared" si="53"/>
        <v>1.4750000000000001</v>
      </c>
    </row>
    <row r="261" spans="1:14">
      <c r="A261" t="str">
        <f t="shared" si="56"/>
        <v>alp_marca</v>
      </c>
      <c r="B261" t="str">
        <f t="shared" si="57"/>
        <v>jovemnerd.com.br</v>
      </c>
      <c r="C261" t="str">
        <f t="shared" si="58"/>
        <v>alp_marca_engajamentos_jovem_jovem-nerd_conteudo-veiculo_stories-jovemnerd_social_got_all_fixo_de-11s-ate-29s_111161</v>
      </c>
      <c r="D261" t="str">
        <f t="shared" si="59"/>
        <v>245972901</v>
      </c>
      <c r="E261" t="str">
        <f>IF(Table1[[#This Row],[Impressions]]&gt;Table1[[#This Row],[Clicks]],"Standard",VLOOKUP(CONCATENATE(bd_adtype,"_",bd_creativetype),tabela,2,FALSE))</f>
        <v>Dynamic Click</v>
      </c>
      <c r="F261" t="str">
        <f t="shared" si="60"/>
        <v>alp_marca_engajamentos_jovem_jovem-nerd_conteudo-veiculo_stories-jovemnerd_social_got_all_fixo_de-11s-ate-29s_111161</v>
      </c>
      <c r="G261" t="str">
        <f t="shared" si="61"/>
        <v>442369661</v>
      </c>
      <c r="H261" t="str">
        <f t="shared" si="62"/>
        <v>Tracking</v>
      </c>
      <c r="I261">
        <f t="shared" si="63"/>
        <v>0</v>
      </c>
      <c r="J261">
        <f t="shared" si="64"/>
        <v>345</v>
      </c>
      <c r="K261" s="4">
        <f t="shared" si="54"/>
        <v>3.5000000000000001E-3</v>
      </c>
      <c r="L261">
        <f t="shared" si="55"/>
        <v>2.5000000000000001E-2</v>
      </c>
      <c r="M261" s="4">
        <f t="shared" si="52"/>
        <v>1.2075</v>
      </c>
      <c r="N261" s="4">
        <f t="shared" si="53"/>
        <v>8.625</v>
      </c>
    </row>
    <row r="262" spans="1:14">
      <c r="A262" t="str">
        <f t="shared" si="56"/>
        <v>alp_marca</v>
      </c>
      <c r="B262" t="str">
        <f t="shared" si="57"/>
        <v>jovemnerd.com.br</v>
      </c>
      <c r="C262" t="str">
        <f t="shared" si="58"/>
        <v>teste</v>
      </c>
      <c r="D262" t="str">
        <f t="shared" si="59"/>
        <v>246180691</v>
      </c>
      <c r="E262" t="str">
        <f>IF(Table1[[#This Row],[Impressions]]&gt;Table1[[#This Row],[Clicks]],"Standard",VLOOKUP(CONCATENATE(bd_adtype,"_",bd_creativetype),tabela,2,FALSE))</f>
        <v>Standard</v>
      </c>
      <c r="F262" t="str">
        <f t="shared" si="60"/>
        <v>teste</v>
      </c>
      <c r="G262" t="str">
        <f t="shared" si="61"/>
        <v>442763029</v>
      </c>
      <c r="H262" t="str">
        <f t="shared" si="62"/>
        <v>Rich Media display banner</v>
      </c>
      <c r="I262">
        <f t="shared" si="63"/>
        <v>41</v>
      </c>
      <c r="J262">
        <f t="shared" si="64"/>
        <v>0</v>
      </c>
      <c r="K262" s="4">
        <f t="shared" si="54"/>
        <v>3.8199999999999998E-2</v>
      </c>
      <c r="L262">
        <f t="shared" si="55"/>
        <v>0.09</v>
      </c>
      <c r="M262" s="4">
        <f t="shared" si="52"/>
        <v>1.5661999999999998E-3</v>
      </c>
      <c r="N262" s="4">
        <f t="shared" si="53"/>
        <v>3.6900000000000001E-3</v>
      </c>
    </row>
    <row r="263" spans="1:14">
      <c r="A263" t="str">
        <f t="shared" si="56"/>
        <v>alp_marca</v>
      </c>
      <c r="B263" t="str">
        <f t="shared" si="57"/>
        <v>papodehomem.com.br</v>
      </c>
      <c r="C263" t="str">
        <f t="shared" si="58"/>
        <v>alp_marca_alcance_masculino_papo-de-homem_display_billboard_ros_havaianas-urban_all_cpm_970x250_111113</v>
      </c>
      <c r="D263" t="str">
        <f t="shared" si="59"/>
        <v>241382692</v>
      </c>
      <c r="E263" t="str">
        <f>IF(Table1[[#This Row],[Impressions]]&gt;Table1[[#This Row],[Clicks]],"Standard",VLOOKUP(CONCATENATE(bd_adtype,"_",bd_creativetype),tabela,2,FALSE))</f>
        <v>Standard</v>
      </c>
      <c r="F263" t="str">
        <f t="shared" si="60"/>
        <v>alp_marca_alcance_masculino_papo-de-homem_display_billboard_ros_havaianas-urban_all_cpm_970x250_111113</v>
      </c>
      <c r="G263" t="str">
        <f t="shared" si="61"/>
        <v>438204942</v>
      </c>
      <c r="H263" t="str">
        <f t="shared" si="62"/>
        <v>Display</v>
      </c>
      <c r="I263">
        <f t="shared" si="63"/>
        <v>62567</v>
      </c>
      <c r="J263">
        <f t="shared" si="64"/>
        <v>60</v>
      </c>
      <c r="K263" s="4">
        <f t="shared" si="54"/>
        <v>3.8199999999999998E-2</v>
      </c>
      <c r="L263">
        <f t="shared" si="55"/>
        <v>0.09</v>
      </c>
      <c r="M263" s="4">
        <f t="shared" si="52"/>
        <v>2.3900593999999997</v>
      </c>
      <c r="N263" s="4">
        <f t="shared" si="53"/>
        <v>5.63103</v>
      </c>
    </row>
    <row r="264" spans="1:14">
      <c r="A264" t="str">
        <f t="shared" si="56"/>
        <v>alp_marca</v>
      </c>
      <c r="B264" t="str">
        <f t="shared" si="57"/>
        <v>papodehomem.com.br</v>
      </c>
      <c r="C264" t="str">
        <f t="shared" si="58"/>
        <v>alp_marca_alcance_masculino_papo-de-homem_display_retangulo_ros_havaianas-urban_all_cpm_300x250_111116</v>
      </c>
      <c r="D264" t="str">
        <f t="shared" si="59"/>
        <v>241295873</v>
      </c>
      <c r="E264" t="str">
        <f>IF(Table1[[#This Row],[Impressions]]&gt;Table1[[#This Row],[Clicks]],"Standard",VLOOKUP(CONCATENATE(bd_adtype,"_",bd_creativetype),tabela,2,FALSE))</f>
        <v>Standard</v>
      </c>
      <c r="F264" t="str">
        <f t="shared" si="60"/>
        <v>alp_marca_alcance_masculino_papo-de-homem_display_retangulo_ros_havaianas-urban_all_cpm_300x250_111116</v>
      </c>
      <c r="G264" t="str">
        <f t="shared" si="61"/>
        <v>438178371</v>
      </c>
      <c r="H264" t="str">
        <f t="shared" si="62"/>
        <v>Display</v>
      </c>
      <c r="I264">
        <f t="shared" si="63"/>
        <v>346368</v>
      </c>
      <c r="J264">
        <f t="shared" si="64"/>
        <v>420</v>
      </c>
      <c r="K264" s="4">
        <f t="shared" si="54"/>
        <v>3.8199999999999998E-2</v>
      </c>
      <c r="L264">
        <f t="shared" si="55"/>
        <v>0.09</v>
      </c>
      <c r="M264" s="4">
        <f t="shared" si="52"/>
        <v>13.231257599999999</v>
      </c>
      <c r="N264" s="4">
        <f t="shared" si="53"/>
        <v>31.173119999999997</v>
      </c>
    </row>
    <row r="265" spans="1:14">
      <c r="A265">
        <f t="shared" si="56"/>
        <v>0</v>
      </c>
      <c r="B265">
        <f t="shared" si="57"/>
        <v>0</v>
      </c>
      <c r="C265">
        <f t="shared" si="58"/>
        <v>0</v>
      </c>
      <c r="D265">
        <f t="shared" si="59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60"/>
        <v>0</v>
      </c>
      <c r="G265">
        <f t="shared" si="61"/>
        <v>0</v>
      </c>
      <c r="H265">
        <f t="shared" si="62"/>
        <v>0</v>
      </c>
      <c r="I265">
        <f t="shared" si="63"/>
        <v>0</v>
      </c>
      <c r="J265">
        <f t="shared" si="64"/>
        <v>0</v>
      </c>
      <c r="K265" s="4" t="e">
        <f t="shared" si="54"/>
        <v>#N/A</v>
      </c>
      <c r="L265" t="e">
        <f t="shared" si="55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6"/>
        <v>0</v>
      </c>
      <c r="B266">
        <f t="shared" si="57"/>
        <v>0</v>
      </c>
      <c r="C266">
        <f t="shared" si="58"/>
        <v>0</v>
      </c>
      <c r="D266">
        <f t="shared" si="59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60"/>
        <v>0</v>
      </c>
      <c r="G266">
        <f t="shared" si="61"/>
        <v>0</v>
      </c>
      <c r="H266">
        <f t="shared" si="62"/>
        <v>0</v>
      </c>
      <c r="I266">
        <f t="shared" si="63"/>
        <v>0</v>
      </c>
      <c r="J266">
        <f t="shared" si="64"/>
        <v>0</v>
      </c>
      <c r="K266" s="4" t="e">
        <f t="shared" si="54"/>
        <v>#N/A</v>
      </c>
      <c r="L266" t="e">
        <f t="shared" si="55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6"/>
        <v>0</v>
      </c>
      <c r="B267">
        <f t="shared" si="57"/>
        <v>0</v>
      </c>
      <c r="C267">
        <f t="shared" si="58"/>
        <v>0</v>
      </c>
      <c r="D267">
        <f t="shared" si="59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60"/>
        <v>0</v>
      </c>
      <c r="G267">
        <f t="shared" si="61"/>
        <v>0</v>
      </c>
      <c r="H267">
        <f t="shared" si="62"/>
        <v>0</v>
      </c>
      <c r="I267">
        <f t="shared" si="63"/>
        <v>0</v>
      </c>
      <c r="J267">
        <f t="shared" si="64"/>
        <v>0</v>
      </c>
      <c r="K267" s="4" t="e">
        <f t="shared" si="54"/>
        <v>#N/A</v>
      </c>
      <c r="L267" t="e">
        <f t="shared" si="55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6"/>
        <v>0</v>
      </c>
      <c r="B268">
        <f t="shared" si="57"/>
        <v>0</v>
      </c>
      <c r="C268">
        <f t="shared" si="58"/>
        <v>0</v>
      </c>
      <c r="D268">
        <f t="shared" si="59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60"/>
        <v>0</v>
      </c>
      <c r="G268">
        <f t="shared" si="61"/>
        <v>0</v>
      </c>
      <c r="H268">
        <f t="shared" si="62"/>
        <v>0</v>
      </c>
      <c r="I268">
        <f t="shared" si="63"/>
        <v>0</v>
      </c>
      <c r="J268">
        <f t="shared" si="64"/>
        <v>0</v>
      </c>
      <c r="K268" s="4" t="e">
        <f t="shared" si="54"/>
        <v>#N/A</v>
      </c>
      <c r="L268" t="e">
        <f t="shared" si="55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6"/>
        <v>0</v>
      </c>
      <c r="B269">
        <f t="shared" si="57"/>
        <v>0</v>
      </c>
      <c r="C269">
        <f t="shared" si="58"/>
        <v>0</v>
      </c>
      <c r="D269">
        <f t="shared" si="59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60"/>
        <v>0</v>
      </c>
      <c r="G269">
        <f t="shared" si="61"/>
        <v>0</v>
      </c>
      <c r="H269">
        <f t="shared" si="62"/>
        <v>0</v>
      </c>
      <c r="I269">
        <f t="shared" si="63"/>
        <v>0</v>
      </c>
      <c r="J269">
        <f t="shared" si="64"/>
        <v>0</v>
      </c>
      <c r="K269" s="4" t="e">
        <f t="shared" si="54"/>
        <v>#N/A</v>
      </c>
      <c r="L269" t="e">
        <f t="shared" si="55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6"/>
        <v>0</v>
      </c>
      <c r="B270">
        <f t="shared" si="57"/>
        <v>0</v>
      </c>
      <c r="C270">
        <f t="shared" si="58"/>
        <v>0</v>
      </c>
      <c r="D270">
        <f t="shared" si="59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60"/>
        <v>0</v>
      </c>
      <c r="G270">
        <f t="shared" si="61"/>
        <v>0</v>
      </c>
      <c r="H270">
        <f t="shared" si="62"/>
        <v>0</v>
      </c>
      <c r="I270">
        <f t="shared" si="63"/>
        <v>0</v>
      </c>
      <c r="J270">
        <f t="shared" si="64"/>
        <v>0</v>
      </c>
      <c r="K270" s="4" t="e">
        <f t="shared" si="54"/>
        <v>#N/A</v>
      </c>
      <c r="L270" t="e">
        <f t="shared" si="55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6"/>
        <v>0</v>
      </c>
      <c r="B271">
        <f t="shared" si="57"/>
        <v>0</v>
      </c>
      <c r="C271">
        <f t="shared" si="58"/>
        <v>0</v>
      </c>
      <c r="D271">
        <f t="shared" si="59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60"/>
        <v>0</v>
      </c>
      <c r="G271">
        <f t="shared" si="61"/>
        <v>0</v>
      </c>
      <c r="H271">
        <f t="shared" si="62"/>
        <v>0</v>
      </c>
      <c r="I271">
        <f t="shared" si="63"/>
        <v>0</v>
      </c>
      <c r="J271">
        <f t="shared" si="64"/>
        <v>0</v>
      </c>
      <c r="K271" s="4" t="e">
        <f t="shared" si="54"/>
        <v>#N/A</v>
      </c>
      <c r="L271" t="e">
        <f t="shared" si="55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6"/>
        <v>0</v>
      </c>
      <c r="B272">
        <f t="shared" si="57"/>
        <v>0</v>
      </c>
      <c r="C272">
        <f t="shared" si="58"/>
        <v>0</v>
      </c>
      <c r="D272">
        <f t="shared" si="59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60"/>
        <v>0</v>
      </c>
      <c r="G272">
        <f t="shared" si="61"/>
        <v>0</v>
      </c>
      <c r="H272">
        <f t="shared" si="62"/>
        <v>0</v>
      </c>
      <c r="I272">
        <f t="shared" si="63"/>
        <v>0</v>
      </c>
      <c r="J272">
        <f t="shared" si="64"/>
        <v>0</v>
      </c>
      <c r="K272" s="4" t="e">
        <f t="shared" si="54"/>
        <v>#N/A</v>
      </c>
      <c r="L272" t="e">
        <f t="shared" si="55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6"/>
        <v>0</v>
      </c>
      <c r="B273">
        <f t="shared" si="57"/>
        <v>0</v>
      </c>
      <c r="C273">
        <f t="shared" si="58"/>
        <v>0</v>
      </c>
      <c r="D273">
        <f t="shared" si="59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60"/>
        <v>0</v>
      </c>
      <c r="G273">
        <f t="shared" si="61"/>
        <v>0</v>
      </c>
      <c r="H273">
        <f t="shared" si="62"/>
        <v>0</v>
      </c>
      <c r="I273">
        <f t="shared" si="63"/>
        <v>0</v>
      </c>
      <c r="J273">
        <f t="shared" si="64"/>
        <v>0</v>
      </c>
      <c r="K273" s="4" t="e">
        <f t="shared" si="54"/>
        <v>#N/A</v>
      </c>
      <c r="L273" t="e">
        <f t="shared" si="55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6"/>
        <v>0</v>
      </c>
      <c r="B274">
        <f t="shared" si="57"/>
        <v>0</v>
      </c>
      <c r="C274">
        <f t="shared" si="58"/>
        <v>0</v>
      </c>
      <c r="D274">
        <f t="shared" si="59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60"/>
        <v>0</v>
      </c>
      <c r="G274">
        <f t="shared" si="61"/>
        <v>0</v>
      </c>
      <c r="H274">
        <f t="shared" si="62"/>
        <v>0</v>
      </c>
      <c r="I274">
        <f t="shared" si="63"/>
        <v>0</v>
      </c>
      <c r="J274">
        <f t="shared" si="64"/>
        <v>0</v>
      </c>
      <c r="K274" s="4" t="e">
        <f t="shared" si="54"/>
        <v>#N/A</v>
      </c>
      <c r="L274" t="e">
        <f t="shared" si="55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6"/>
        <v>0</v>
      </c>
      <c r="B275">
        <f t="shared" si="57"/>
        <v>0</v>
      </c>
      <c r="C275">
        <f t="shared" si="58"/>
        <v>0</v>
      </c>
      <c r="D275">
        <f t="shared" si="59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60"/>
        <v>0</v>
      </c>
      <c r="G275">
        <f t="shared" si="61"/>
        <v>0</v>
      </c>
      <c r="H275">
        <f t="shared" si="62"/>
        <v>0</v>
      </c>
      <c r="I275">
        <f t="shared" si="63"/>
        <v>0</v>
      </c>
      <c r="J275">
        <f t="shared" si="64"/>
        <v>0</v>
      </c>
      <c r="K275" s="4" t="e">
        <f t="shared" si="54"/>
        <v>#N/A</v>
      </c>
      <c r="L275" t="e">
        <f t="shared" si="55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6"/>
        <v>0</v>
      </c>
      <c r="B276">
        <f t="shared" si="57"/>
        <v>0</v>
      </c>
      <c r="C276">
        <f t="shared" si="58"/>
        <v>0</v>
      </c>
      <c r="D276">
        <f t="shared" si="59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60"/>
        <v>0</v>
      </c>
      <c r="G276">
        <f t="shared" si="61"/>
        <v>0</v>
      </c>
      <c r="H276">
        <f t="shared" si="62"/>
        <v>0</v>
      </c>
      <c r="I276">
        <f t="shared" si="63"/>
        <v>0</v>
      </c>
      <c r="J276">
        <f t="shared" si="64"/>
        <v>0</v>
      </c>
      <c r="K276" s="4" t="e">
        <f t="shared" si="54"/>
        <v>#N/A</v>
      </c>
      <c r="L276" t="e">
        <f t="shared" si="55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6"/>
        <v>0</v>
      </c>
      <c r="B277">
        <f t="shared" si="57"/>
        <v>0</v>
      </c>
      <c r="C277">
        <f t="shared" si="58"/>
        <v>0</v>
      </c>
      <c r="D277">
        <f t="shared" si="59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60"/>
        <v>0</v>
      </c>
      <c r="G277">
        <f t="shared" si="61"/>
        <v>0</v>
      </c>
      <c r="H277">
        <f t="shared" si="62"/>
        <v>0</v>
      </c>
      <c r="I277">
        <f t="shared" si="63"/>
        <v>0</v>
      </c>
      <c r="J277">
        <f t="shared" si="64"/>
        <v>0</v>
      </c>
      <c r="K277" s="4" t="e">
        <f t="shared" si="54"/>
        <v>#N/A</v>
      </c>
      <c r="L277" t="e">
        <f t="shared" si="55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6"/>
        <v>0</v>
      </c>
      <c r="B278">
        <f t="shared" si="57"/>
        <v>0</v>
      </c>
      <c r="C278">
        <f t="shared" si="58"/>
        <v>0</v>
      </c>
      <c r="D278">
        <f t="shared" si="59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60"/>
        <v>0</v>
      </c>
      <c r="G278">
        <f t="shared" si="61"/>
        <v>0</v>
      </c>
      <c r="H278">
        <f t="shared" si="62"/>
        <v>0</v>
      </c>
      <c r="I278">
        <f t="shared" si="63"/>
        <v>0</v>
      </c>
      <c r="J278">
        <f t="shared" si="64"/>
        <v>0</v>
      </c>
      <c r="K278" s="4" t="e">
        <f t="shared" si="54"/>
        <v>#N/A</v>
      </c>
      <c r="L278" t="e">
        <f t="shared" si="55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6"/>
        <v>0</v>
      </c>
      <c r="B279">
        <f t="shared" si="57"/>
        <v>0</v>
      </c>
      <c r="C279">
        <f t="shared" si="58"/>
        <v>0</v>
      </c>
      <c r="D279">
        <f t="shared" si="59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60"/>
        <v>0</v>
      </c>
      <c r="G279">
        <f t="shared" si="61"/>
        <v>0</v>
      </c>
      <c r="H279">
        <f t="shared" si="62"/>
        <v>0</v>
      </c>
      <c r="I279">
        <f t="shared" si="63"/>
        <v>0</v>
      </c>
      <c r="J279">
        <f t="shared" si="64"/>
        <v>0</v>
      </c>
      <c r="K279" s="4" t="e">
        <f t="shared" si="54"/>
        <v>#N/A</v>
      </c>
      <c r="L279" t="e">
        <f t="shared" si="55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6"/>
        <v>0</v>
      </c>
      <c r="B280">
        <f t="shared" si="57"/>
        <v>0</v>
      </c>
      <c r="C280">
        <f t="shared" si="58"/>
        <v>0</v>
      </c>
      <c r="D280">
        <f t="shared" si="59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60"/>
        <v>0</v>
      </c>
      <c r="G280">
        <f t="shared" si="61"/>
        <v>0</v>
      </c>
      <c r="H280">
        <f t="shared" si="62"/>
        <v>0</v>
      </c>
      <c r="I280">
        <f t="shared" si="63"/>
        <v>0</v>
      </c>
      <c r="J280">
        <f t="shared" si="64"/>
        <v>0</v>
      </c>
      <c r="K280" s="4" t="e">
        <f t="shared" si="54"/>
        <v>#N/A</v>
      </c>
      <c r="L280" t="e">
        <f t="shared" si="55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6"/>
        <v>0</v>
      </c>
      <c r="B281">
        <f t="shared" si="57"/>
        <v>0</v>
      </c>
      <c r="C281">
        <f t="shared" si="58"/>
        <v>0</v>
      </c>
      <c r="D281">
        <f t="shared" si="59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60"/>
        <v>0</v>
      </c>
      <c r="G281">
        <f t="shared" si="61"/>
        <v>0</v>
      </c>
      <c r="H281">
        <f t="shared" si="62"/>
        <v>0</v>
      </c>
      <c r="I281">
        <f t="shared" si="63"/>
        <v>0</v>
      </c>
      <c r="J281">
        <f t="shared" si="64"/>
        <v>0</v>
      </c>
      <c r="K281" s="4" t="e">
        <f t="shared" si="54"/>
        <v>#N/A</v>
      </c>
      <c r="L281" t="e">
        <f t="shared" si="55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6"/>
        <v>0</v>
      </c>
      <c r="B282">
        <f t="shared" si="57"/>
        <v>0</v>
      </c>
      <c r="C282">
        <f t="shared" si="58"/>
        <v>0</v>
      </c>
      <c r="D282">
        <f t="shared" si="59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60"/>
        <v>0</v>
      </c>
      <c r="G282">
        <f t="shared" si="61"/>
        <v>0</v>
      </c>
      <c r="H282">
        <f t="shared" si="62"/>
        <v>0</v>
      </c>
      <c r="I282">
        <f t="shared" si="63"/>
        <v>0</v>
      </c>
      <c r="J282">
        <f t="shared" si="64"/>
        <v>0</v>
      </c>
      <c r="K282" s="4" t="e">
        <f t="shared" si="54"/>
        <v>#N/A</v>
      </c>
      <c r="L282" t="e">
        <f t="shared" si="55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6"/>
        <v>0</v>
      </c>
      <c r="B283">
        <f t="shared" si="57"/>
        <v>0</v>
      </c>
      <c r="C283">
        <f t="shared" si="58"/>
        <v>0</v>
      </c>
      <c r="D283">
        <f t="shared" si="59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60"/>
        <v>0</v>
      </c>
      <c r="G283">
        <f t="shared" si="61"/>
        <v>0</v>
      </c>
      <c r="H283">
        <f t="shared" si="62"/>
        <v>0</v>
      </c>
      <c r="I283">
        <f t="shared" si="63"/>
        <v>0</v>
      </c>
      <c r="J283">
        <f t="shared" si="64"/>
        <v>0</v>
      </c>
      <c r="K283" s="4" t="e">
        <f t="shared" si="54"/>
        <v>#N/A</v>
      </c>
      <c r="L283" t="e">
        <f t="shared" si="55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6"/>
        <v>0</v>
      </c>
      <c r="B284">
        <f t="shared" si="57"/>
        <v>0</v>
      </c>
      <c r="C284">
        <f t="shared" si="58"/>
        <v>0</v>
      </c>
      <c r="D284">
        <f t="shared" si="59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60"/>
        <v>0</v>
      </c>
      <c r="G284">
        <f t="shared" si="61"/>
        <v>0</v>
      </c>
      <c r="H284">
        <f t="shared" si="62"/>
        <v>0</v>
      </c>
      <c r="I284">
        <f t="shared" si="63"/>
        <v>0</v>
      </c>
      <c r="J284">
        <f t="shared" si="64"/>
        <v>0</v>
      </c>
      <c r="K284" s="4" t="e">
        <f t="shared" si="54"/>
        <v>#N/A</v>
      </c>
      <c r="L284" t="e">
        <f t="shared" si="55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6"/>
        <v>0</v>
      </c>
      <c r="B285">
        <f t="shared" si="57"/>
        <v>0</v>
      </c>
      <c r="C285">
        <f t="shared" si="58"/>
        <v>0</v>
      </c>
      <c r="D285">
        <f t="shared" si="59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60"/>
        <v>0</v>
      </c>
      <c r="G285">
        <f t="shared" si="61"/>
        <v>0</v>
      </c>
      <c r="H285">
        <f t="shared" si="62"/>
        <v>0</v>
      </c>
      <c r="I285">
        <f t="shared" si="63"/>
        <v>0</v>
      </c>
      <c r="J285">
        <f t="shared" si="64"/>
        <v>0</v>
      </c>
      <c r="K285" s="4" t="e">
        <f t="shared" si="54"/>
        <v>#N/A</v>
      </c>
      <c r="L285" t="e">
        <f t="shared" si="55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6"/>
        <v>0</v>
      </c>
      <c r="B286">
        <f t="shared" si="57"/>
        <v>0</v>
      </c>
      <c r="C286">
        <f t="shared" si="58"/>
        <v>0</v>
      </c>
      <c r="D286">
        <f t="shared" si="59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60"/>
        <v>0</v>
      </c>
      <c r="G286">
        <f t="shared" si="61"/>
        <v>0</v>
      </c>
      <c r="H286">
        <f t="shared" si="62"/>
        <v>0</v>
      </c>
      <c r="I286">
        <f t="shared" si="63"/>
        <v>0</v>
      </c>
      <c r="J286">
        <f t="shared" si="64"/>
        <v>0</v>
      </c>
      <c r="K286" s="4" t="e">
        <f t="shared" si="54"/>
        <v>#N/A</v>
      </c>
      <c r="L286" t="e">
        <f t="shared" si="55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6"/>
        <v>0</v>
      </c>
      <c r="B287">
        <f t="shared" si="57"/>
        <v>0</v>
      </c>
      <c r="C287">
        <f t="shared" si="58"/>
        <v>0</v>
      </c>
      <c r="D287">
        <f t="shared" si="59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60"/>
        <v>0</v>
      </c>
      <c r="G287">
        <f t="shared" si="61"/>
        <v>0</v>
      </c>
      <c r="H287">
        <f t="shared" si="62"/>
        <v>0</v>
      </c>
      <c r="I287">
        <f t="shared" si="63"/>
        <v>0</v>
      </c>
      <c r="J287">
        <f t="shared" si="64"/>
        <v>0</v>
      </c>
      <c r="K287" s="4" t="e">
        <f t="shared" si="54"/>
        <v>#N/A</v>
      </c>
      <c r="L287" t="e">
        <f t="shared" si="55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6"/>
        <v>0</v>
      </c>
      <c r="B288">
        <f t="shared" si="57"/>
        <v>0</v>
      </c>
      <c r="C288">
        <f t="shared" si="58"/>
        <v>0</v>
      </c>
      <c r="D288">
        <f t="shared" si="59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60"/>
        <v>0</v>
      </c>
      <c r="G288">
        <f t="shared" si="61"/>
        <v>0</v>
      </c>
      <c r="H288">
        <f t="shared" si="62"/>
        <v>0</v>
      </c>
      <c r="I288">
        <f t="shared" si="63"/>
        <v>0</v>
      </c>
      <c r="J288">
        <f t="shared" si="64"/>
        <v>0</v>
      </c>
      <c r="K288" s="4" t="e">
        <f t="shared" si="54"/>
        <v>#N/A</v>
      </c>
      <c r="L288" t="e">
        <f t="shared" si="55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6"/>
        <v>0</v>
      </c>
      <c r="B289">
        <f t="shared" si="57"/>
        <v>0</v>
      </c>
      <c r="C289">
        <f t="shared" si="58"/>
        <v>0</v>
      </c>
      <c r="D289">
        <f t="shared" si="59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60"/>
        <v>0</v>
      </c>
      <c r="G289">
        <f t="shared" si="61"/>
        <v>0</v>
      </c>
      <c r="H289">
        <f t="shared" si="62"/>
        <v>0</v>
      </c>
      <c r="I289">
        <f t="shared" si="63"/>
        <v>0</v>
      </c>
      <c r="J289">
        <f t="shared" si="64"/>
        <v>0</v>
      </c>
      <c r="K289" s="4" t="e">
        <f t="shared" si="54"/>
        <v>#N/A</v>
      </c>
      <c r="L289" t="e">
        <f t="shared" si="55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6"/>
        <v>0</v>
      </c>
      <c r="B290">
        <f t="shared" si="57"/>
        <v>0</v>
      </c>
      <c r="C290">
        <f t="shared" si="58"/>
        <v>0</v>
      </c>
      <c r="D290">
        <f t="shared" si="59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60"/>
        <v>0</v>
      </c>
      <c r="G290">
        <f t="shared" si="61"/>
        <v>0</v>
      </c>
      <c r="H290">
        <f t="shared" si="62"/>
        <v>0</v>
      </c>
      <c r="I290">
        <f t="shared" si="63"/>
        <v>0</v>
      </c>
      <c r="J290">
        <f t="shared" si="64"/>
        <v>0</v>
      </c>
      <c r="K290" s="4" t="e">
        <f t="shared" si="54"/>
        <v>#N/A</v>
      </c>
      <c r="L290" t="e">
        <f t="shared" si="55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6"/>
        <v>0</v>
      </c>
      <c r="B291">
        <f t="shared" si="57"/>
        <v>0</v>
      </c>
      <c r="C291">
        <f t="shared" si="58"/>
        <v>0</v>
      </c>
      <c r="D291">
        <f t="shared" si="59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60"/>
        <v>0</v>
      </c>
      <c r="G291">
        <f t="shared" si="61"/>
        <v>0</v>
      </c>
      <c r="H291">
        <f t="shared" si="62"/>
        <v>0</v>
      </c>
      <c r="I291">
        <f t="shared" si="63"/>
        <v>0</v>
      </c>
      <c r="J291">
        <f t="shared" si="64"/>
        <v>0</v>
      </c>
      <c r="K291" s="4" t="e">
        <f t="shared" si="54"/>
        <v>#N/A</v>
      </c>
      <c r="L291" t="e">
        <f t="shared" si="55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6"/>
        <v>0</v>
      </c>
      <c r="B292">
        <f t="shared" si="57"/>
        <v>0</v>
      </c>
      <c r="C292">
        <f t="shared" si="58"/>
        <v>0</v>
      </c>
      <c r="D292">
        <f t="shared" si="59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60"/>
        <v>0</v>
      </c>
      <c r="G292">
        <f t="shared" si="61"/>
        <v>0</v>
      </c>
      <c r="H292">
        <f t="shared" si="62"/>
        <v>0</v>
      </c>
      <c r="I292">
        <f t="shared" si="63"/>
        <v>0</v>
      </c>
      <c r="J292">
        <f t="shared" si="64"/>
        <v>0</v>
      </c>
      <c r="K292" s="4" t="e">
        <f t="shared" si="54"/>
        <v>#N/A</v>
      </c>
      <c r="L292" t="e">
        <f t="shared" si="55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6"/>
        <v>0</v>
      </c>
      <c r="B293">
        <f t="shared" si="57"/>
        <v>0</v>
      </c>
      <c r="C293">
        <f t="shared" si="58"/>
        <v>0</v>
      </c>
      <c r="D293">
        <f t="shared" si="59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60"/>
        <v>0</v>
      </c>
      <c r="G293">
        <f t="shared" si="61"/>
        <v>0</v>
      </c>
      <c r="H293">
        <f t="shared" si="62"/>
        <v>0</v>
      </c>
      <c r="I293">
        <f t="shared" si="63"/>
        <v>0</v>
      </c>
      <c r="J293">
        <f t="shared" si="64"/>
        <v>0</v>
      </c>
      <c r="K293" s="4" t="e">
        <f t="shared" si="54"/>
        <v>#N/A</v>
      </c>
      <c r="L293" t="e">
        <f t="shared" si="55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6"/>
        <v>0</v>
      </c>
      <c r="B294">
        <f t="shared" si="57"/>
        <v>0</v>
      </c>
      <c r="C294">
        <f t="shared" si="58"/>
        <v>0</v>
      </c>
      <c r="D294">
        <f t="shared" si="59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60"/>
        <v>0</v>
      </c>
      <c r="G294">
        <f t="shared" si="61"/>
        <v>0</v>
      </c>
      <c r="H294">
        <f t="shared" si="62"/>
        <v>0</v>
      </c>
      <c r="I294">
        <f t="shared" si="63"/>
        <v>0</v>
      </c>
      <c r="J294">
        <f t="shared" si="64"/>
        <v>0</v>
      </c>
      <c r="K294" s="4" t="e">
        <f t="shared" si="54"/>
        <v>#N/A</v>
      </c>
      <c r="L294" t="e">
        <f t="shared" si="55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6"/>
        <v>0</v>
      </c>
      <c r="B295">
        <f t="shared" si="57"/>
        <v>0</v>
      </c>
      <c r="C295">
        <f t="shared" si="58"/>
        <v>0</v>
      </c>
      <c r="D295">
        <f t="shared" si="59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60"/>
        <v>0</v>
      </c>
      <c r="G295">
        <f t="shared" si="61"/>
        <v>0</v>
      </c>
      <c r="H295">
        <f t="shared" si="62"/>
        <v>0</v>
      </c>
      <c r="I295">
        <f t="shared" si="63"/>
        <v>0</v>
      </c>
      <c r="J295">
        <f t="shared" si="64"/>
        <v>0</v>
      </c>
      <c r="K295" s="4" t="e">
        <f t="shared" si="54"/>
        <v>#N/A</v>
      </c>
      <c r="L295" t="e">
        <f t="shared" si="55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6"/>
        <v>0</v>
      </c>
      <c r="B296">
        <f t="shared" si="57"/>
        <v>0</v>
      </c>
      <c r="C296">
        <f t="shared" si="58"/>
        <v>0</v>
      </c>
      <c r="D296">
        <f t="shared" si="59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60"/>
        <v>0</v>
      </c>
      <c r="G296">
        <f t="shared" si="61"/>
        <v>0</v>
      </c>
      <c r="H296">
        <f t="shared" si="62"/>
        <v>0</v>
      </c>
      <c r="I296">
        <f t="shared" si="63"/>
        <v>0</v>
      </c>
      <c r="J296">
        <f t="shared" si="64"/>
        <v>0</v>
      </c>
      <c r="K296" s="4" t="e">
        <f t="shared" si="54"/>
        <v>#N/A</v>
      </c>
      <c r="L296" t="e">
        <f t="shared" si="55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6"/>
        <v>0</v>
      </c>
      <c r="B297">
        <f t="shared" si="57"/>
        <v>0</v>
      </c>
      <c r="C297">
        <f t="shared" si="58"/>
        <v>0</v>
      </c>
      <c r="D297">
        <f t="shared" si="59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60"/>
        <v>0</v>
      </c>
      <c r="G297">
        <f t="shared" si="61"/>
        <v>0</v>
      </c>
      <c r="H297">
        <f t="shared" si="62"/>
        <v>0</v>
      </c>
      <c r="I297">
        <f t="shared" si="63"/>
        <v>0</v>
      </c>
      <c r="J297">
        <f t="shared" si="64"/>
        <v>0</v>
      </c>
      <c r="K297" s="4" t="e">
        <f t="shared" si="54"/>
        <v>#N/A</v>
      </c>
      <c r="L297" t="e">
        <f t="shared" si="55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6"/>
        <v>0</v>
      </c>
      <c r="B298">
        <f t="shared" si="57"/>
        <v>0</v>
      </c>
      <c r="C298">
        <f t="shared" si="58"/>
        <v>0</v>
      </c>
      <c r="D298">
        <f t="shared" si="59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60"/>
        <v>0</v>
      </c>
      <c r="G298">
        <f t="shared" si="61"/>
        <v>0</v>
      </c>
      <c r="H298">
        <f t="shared" si="62"/>
        <v>0</v>
      </c>
      <c r="I298">
        <f t="shared" si="63"/>
        <v>0</v>
      </c>
      <c r="J298">
        <f t="shared" si="64"/>
        <v>0</v>
      </c>
      <c r="K298" s="4" t="e">
        <f t="shared" si="54"/>
        <v>#N/A</v>
      </c>
      <c r="L298" t="e">
        <f t="shared" si="55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6"/>
        <v>0</v>
      </c>
      <c r="B299">
        <f t="shared" si="57"/>
        <v>0</v>
      </c>
      <c r="C299">
        <f t="shared" si="58"/>
        <v>0</v>
      </c>
      <c r="D299">
        <f t="shared" si="59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60"/>
        <v>0</v>
      </c>
      <c r="G299">
        <f t="shared" si="61"/>
        <v>0</v>
      </c>
      <c r="H299">
        <f t="shared" si="62"/>
        <v>0</v>
      </c>
      <c r="I299">
        <f t="shared" si="63"/>
        <v>0</v>
      </c>
      <c r="J299">
        <f t="shared" si="64"/>
        <v>0</v>
      </c>
      <c r="K299" s="4" t="e">
        <f t="shared" si="54"/>
        <v>#N/A</v>
      </c>
      <c r="L299" t="e">
        <f t="shared" si="55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6"/>
        <v>0</v>
      </c>
      <c r="B300">
        <f t="shared" si="57"/>
        <v>0</v>
      </c>
      <c r="C300">
        <f t="shared" si="58"/>
        <v>0</v>
      </c>
      <c r="D300">
        <f t="shared" si="59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60"/>
        <v>0</v>
      </c>
      <c r="G300">
        <f t="shared" si="61"/>
        <v>0</v>
      </c>
      <c r="H300">
        <f t="shared" si="62"/>
        <v>0</v>
      </c>
      <c r="I300">
        <f t="shared" si="63"/>
        <v>0</v>
      </c>
      <c r="J300">
        <f t="shared" si="64"/>
        <v>0</v>
      </c>
      <c r="K300" s="4" t="e">
        <f t="shared" ref="K300:K363" si="67">IF(LEFT(B300,3)="DBM",0,VLOOKUP(E300,tabela,2,FALSE))</f>
        <v>#N/A</v>
      </c>
      <c r="L300" t="e">
        <f t="shared" ref="L300:L363" si="68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6"/>
        <v>0</v>
      </c>
      <c r="B301">
        <f t="shared" si="57"/>
        <v>0</v>
      </c>
      <c r="C301">
        <f t="shared" si="58"/>
        <v>0</v>
      </c>
      <c r="D301">
        <f t="shared" si="59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60"/>
        <v>0</v>
      </c>
      <c r="G301">
        <f t="shared" si="61"/>
        <v>0</v>
      </c>
      <c r="H301">
        <f t="shared" si="62"/>
        <v>0</v>
      </c>
      <c r="I301">
        <f t="shared" si="63"/>
        <v>0</v>
      </c>
      <c r="J301">
        <f t="shared" si="64"/>
        <v>0</v>
      </c>
      <c r="K301" s="4" t="e">
        <f t="shared" si="67"/>
        <v>#N/A</v>
      </c>
      <c r="L301" t="e">
        <f t="shared" si="68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6"/>
        <v>0</v>
      </c>
      <c r="B302">
        <f t="shared" si="57"/>
        <v>0</v>
      </c>
      <c r="C302">
        <f t="shared" si="58"/>
        <v>0</v>
      </c>
      <c r="D302">
        <f t="shared" si="59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60"/>
        <v>0</v>
      </c>
      <c r="G302">
        <f t="shared" si="61"/>
        <v>0</v>
      </c>
      <c r="H302">
        <f t="shared" si="62"/>
        <v>0</v>
      </c>
      <c r="I302">
        <f t="shared" si="63"/>
        <v>0</v>
      </c>
      <c r="J302">
        <f t="shared" si="64"/>
        <v>0</v>
      </c>
      <c r="K302" s="4" t="e">
        <f t="shared" si="67"/>
        <v>#N/A</v>
      </c>
      <c r="L302" t="e">
        <f t="shared" si="68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6"/>
        <v>0</v>
      </c>
      <c r="B303">
        <f t="shared" si="57"/>
        <v>0</v>
      </c>
      <c r="C303">
        <f t="shared" si="58"/>
        <v>0</v>
      </c>
      <c r="D303">
        <f t="shared" si="59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60"/>
        <v>0</v>
      </c>
      <c r="G303">
        <f t="shared" si="61"/>
        <v>0</v>
      </c>
      <c r="H303">
        <f t="shared" si="62"/>
        <v>0</v>
      </c>
      <c r="I303">
        <f t="shared" si="63"/>
        <v>0</v>
      </c>
      <c r="J303">
        <f t="shared" si="64"/>
        <v>0</v>
      </c>
      <c r="K303" s="4" t="e">
        <f t="shared" si="67"/>
        <v>#N/A</v>
      </c>
      <c r="L303" t="e">
        <f t="shared" si="68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6"/>
        <v>0</v>
      </c>
      <c r="B304">
        <f t="shared" si="57"/>
        <v>0</v>
      </c>
      <c r="C304">
        <f t="shared" si="58"/>
        <v>0</v>
      </c>
      <c r="D304">
        <f t="shared" si="59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60"/>
        <v>0</v>
      </c>
      <c r="G304">
        <f t="shared" si="61"/>
        <v>0</v>
      </c>
      <c r="H304">
        <f t="shared" si="62"/>
        <v>0</v>
      </c>
      <c r="I304">
        <f t="shared" si="63"/>
        <v>0</v>
      </c>
      <c r="J304">
        <f t="shared" si="64"/>
        <v>0</v>
      </c>
      <c r="K304" s="4" t="e">
        <f t="shared" si="67"/>
        <v>#N/A</v>
      </c>
      <c r="L304" t="e">
        <f t="shared" si="68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6"/>
        <v>0</v>
      </c>
      <c r="B305">
        <f t="shared" si="57"/>
        <v>0</v>
      </c>
      <c r="C305">
        <f t="shared" si="58"/>
        <v>0</v>
      </c>
      <c r="D305">
        <f t="shared" si="59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60"/>
        <v>0</v>
      </c>
      <c r="G305">
        <f t="shared" si="61"/>
        <v>0</v>
      </c>
      <c r="H305">
        <f t="shared" si="62"/>
        <v>0</v>
      </c>
      <c r="I305">
        <f t="shared" si="63"/>
        <v>0</v>
      </c>
      <c r="J305">
        <f t="shared" si="64"/>
        <v>0</v>
      </c>
      <c r="K305" s="4" t="e">
        <f t="shared" si="67"/>
        <v>#N/A</v>
      </c>
      <c r="L305" t="e">
        <f t="shared" si="68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6"/>
        <v>0</v>
      </c>
      <c r="B306">
        <f t="shared" si="57"/>
        <v>0</v>
      </c>
      <c r="C306">
        <f t="shared" si="58"/>
        <v>0</v>
      </c>
      <c r="D306">
        <f t="shared" si="59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60"/>
        <v>0</v>
      </c>
      <c r="G306">
        <f t="shared" si="61"/>
        <v>0</v>
      </c>
      <c r="H306">
        <f t="shared" si="62"/>
        <v>0</v>
      </c>
      <c r="I306">
        <f t="shared" si="63"/>
        <v>0</v>
      </c>
      <c r="J306">
        <f t="shared" si="64"/>
        <v>0</v>
      </c>
      <c r="K306" s="4" t="e">
        <f t="shared" si="67"/>
        <v>#N/A</v>
      </c>
      <c r="L306" t="e">
        <f t="shared" si="68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6"/>
        <v>0</v>
      </c>
      <c r="B307">
        <f t="shared" si="57"/>
        <v>0</v>
      </c>
      <c r="C307">
        <f t="shared" si="58"/>
        <v>0</v>
      </c>
      <c r="D307">
        <f t="shared" si="59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60"/>
        <v>0</v>
      </c>
      <c r="G307">
        <f t="shared" si="61"/>
        <v>0</v>
      </c>
      <c r="H307">
        <f t="shared" si="62"/>
        <v>0</v>
      </c>
      <c r="I307">
        <f t="shared" si="63"/>
        <v>0</v>
      </c>
      <c r="J307">
        <f t="shared" si="64"/>
        <v>0</v>
      </c>
      <c r="K307" s="4" t="e">
        <f t="shared" si="67"/>
        <v>#N/A</v>
      </c>
      <c r="L307" t="e">
        <f t="shared" si="68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6"/>
        <v>0</v>
      </c>
      <c r="B308">
        <f t="shared" si="57"/>
        <v>0</v>
      </c>
      <c r="C308">
        <f t="shared" si="58"/>
        <v>0</v>
      </c>
      <c r="D308">
        <f t="shared" si="59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60"/>
        <v>0</v>
      </c>
      <c r="G308">
        <f t="shared" si="61"/>
        <v>0</v>
      </c>
      <c r="H308">
        <f t="shared" si="62"/>
        <v>0</v>
      </c>
      <c r="I308">
        <f t="shared" si="63"/>
        <v>0</v>
      </c>
      <c r="J308">
        <f t="shared" si="64"/>
        <v>0</v>
      </c>
      <c r="K308" s="4" t="e">
        <f t="shared" si="67"/>
        <v>#N/A</v>
      </c>
      <c r="L308" t="e">
        <f t="shared" si="68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6"/>
        <v>0</v>
      </c>
      <c r="B309">
        <f t="shared" si="57"/>
        <v>0</v>
      </c>
      <c r="C309">
        <f t="shared" si="58"/>
        <v>0</v>
      </c>
      <c r="D309">
        <f t="shared" si="59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60"/>
        <v>0</v>
      </c>
      <c r="G309">
        <f t="shared" si="61"/>
        <v>0</v>
      </c>
      <c r="H309">
        <f t="shared" si="62"/>
        <v>0</v>
      </c>
      <c r="I309">
        <f t="shared" si="63"/>
        <v>0</v>
      </c>
      <c r="J309">
        <f t="shared" si="64"/>
        <v>0</v>
      </c>
      <c r="K309" s="4" t="e">
        <f t="shared" si="67"/>
        <v>#N/A</v>
      </c>
      <c r="L309" t="e">
        <f t="shared" si="68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6"/>
        <v>0</v>
      </c>
      <c r="B310">
        <f t="shared" si="57"/>
        <v>0</v>
      </c>
      <c r="C310">
        <f t="shared" si="58"/>
        <v>0</v>
      </c>
      <c r="D310">
        <f t="shared" si="59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60"/>
        <v>0</v>
      </c>
      <c r="G310">
        <f t="shared" si="61"/>
        <v>0</v>
      </c>
      <c r="H310">
        <f t="shared" si="62"/>
        <v>0</v>
      </c>
      <c r="I310">
        <f t="shared" si="63"/>
        <v>0</v>
      </c>
      <c r="J310">
        <f t="shared" si="64"/>
        <v>0</v>
      </c>
      <c r="K310" s="4" t="e">
        <f t="shared" si="67"/>
        <v>#N/A</v>
      </c>
      <c r="L310" t="e">
        <f t="shared" si="68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6"/>
        <v>0</v>
      </c>
      <c r="B311">
        <f t="shared" si="57"/>
        <v>0</v>
      </c>
      <c r="C311">
        <f t="shared" si="58"/>
        <v>0</v>
      </c>
      <c r="D311">
        <f t="shared" si="59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60"/>
        <v>0</v>
      </c>
      <c r="G311">
        <f t="shared" si="61"/>
        <v>0</v>
      </c>
      <c r="H311">
        <f t="shared" si="62"/>
        <v>0</v>
      </c>
      <c r="I311">
        <f t="shared" si="63"/>
        <v>0</v>
      </c>
      <c r="J311">
        <f t="shared" si="64"/>
        <v>0</v>
      </c>
      <c r="K311" s="4" t="e">
        <f t="shared" si="67"/>
        <v>#N/A</v>
      </c>
      <c r="L311" t="e">
        <f t="shared" si="68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6"/>
        <v>0</v>
      </c>
      <c r="B312">
        <f t="shared" si="57"/>
        <v>0</v>
      </c>
      <c r="C312">
        <f t="shared" si="58"/>
        <v>0</v>
      </c>
      <c r="D312">
        <f t="shared" si="59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60"/>
        <v>0</v>
      </c>
      <c r="G312">
        <f t="shared" si="61"/>
        <v>0</v>
      </c>
      <c r="H312">
        <f t="shared" si="62"/>
        <v>0</v>
      </c>
      <c r="I312">
        <f t="shared" si="63"/>
        <v>0</v>
      </c>
      <c r="J312">
        <f t="shared" si="64"/>
        <v>0</v>
      </c>
      <c r="K312" s="4" t="e">
        <f t="shared" si="67"/>
        <v>#N/A</v>
      </c>
      <c r="L312" t="e">
        <f t="shared" si="68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6"/>
        <v>0</v>
      </c>
      <c r="B313">
        <f t="shared" si="57"/>
        <v>0</v>
      </c>
      <c r="C313">
        <f t="shared" si="58"/>
        <v>0</v>
      </c>
      <c r="D313">
        <f t="shared" si="59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60"/>
        <v>0</v>
      </c>
      <c r="G313">
        <f t="shared" si="61"/>
        <v>0</v>
      </c>
      <c r="H313">
        <f t="shared" si="62"/>
        <v>0</v>
      </c>
      <c r="I313">
        <f t="shared" si="63"/>
        <v>0</v>
      </c>
      <c r="J313">
        <f t="shared" si="64"/>
        <v>0</v>
      </c>
      <c r="K313" s="4" t="e">
        <f t="shared" si="67"/>
        <v>#N/A</v>
      </c>
      <c r="L313" t="e">
        <f t="shared" si="68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6"/>
        <v>0</v>
      </c>
      <c r="B314">
        <f t="shared" si="57"/>
        <v>0</v>
      </c>
      <c r="C314">
        <f t="shared" si="58"/>
        <v>0</v>
      </c>
      <c r="D314">
        <f t="shared" si="59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60"/>
        <v>0</v>
      </c>
      <c r="G314">
        <f t="shared" si="61"/>
        <v>0</v>
      </c>
      <c r="H314">
        <f t="shared" si="62"/>
        <v>0</v>
      </c>
      <c r="I314">
        <f t="shared" si="63"/>
        <v>0</v>
      </c>
      <c r="J314">
        <f t="shared" si="64"/>
        <v>0</v>
      </c>
      <c r="K314" s="4" t="e">
        <f t="shared" si="67"/>
        <v>#N/A</v>
      </c>
      <c r="L314" t="e">
        <f t="shared" si="68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6"/>
        <v>0</v>
      </c>
      <c r="B315">
        <f t="shared" si="57"/>
        <v>0</v>
      </c>
      <c r="C315">
        <f t="shared" si="58"/>
        <v>0</v>
      </c>
      <c r="D315">
        <f t="shared" si="59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60"/>
        <v>0</v>
      </c>
      <c r="G315">
        <f t="shared" si="61"/>
        <v>0</v>
      </c>
      <c r="H315">
        <f t="shared" si="62"/>
        <v>0</v>
      </c>
      <c r="I315">
        <f t="shared" si="63"/>
        <v>0</v>
      </c>
      <c r="J315">
        <f t="shared" si="64"/>
        <v>0</v>
      </c>
      <c r="K315" s="4" t="e">
        <f t="shared" si="67"/>
        <v>#N/A</v>
      </c>
      <c r="L315" t="e">
        <f t="shared" si="68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6"/>
        <v>0</v>
      </c>
      <c r="B316">
        <f t="shared" si="57"/>
        <v>0</v>
      </c>
      <c r="C316">
        <f t="shared" si="58"/>
        <v>0</v>
      </c>
      <c r="D316">
        <f t="shared" si="59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60"/>
        <v>0</v>
      </c>
      <c r="G316">
        <f t="shared" si="61"/>
        <v>0</v>
      </c>
      <c r="H316">
        <f t="shared" si="62"/>
        <v>0</v>
      </c>
      <c r="I316">
        <f t="shared" si="63"/>
        <v>0</v>
      </c>
      <c r="J316">
        <f t="shared" si="64"/>
        <v>0</v>
      </c>
      <c r="K316" s="4" t="e">
        <f t="shared" si="67"/>
        <v>#N/A</v>
      </c>
      <c r="L316" t="e">
        <f t="shared" si="68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6"/>
        <v>0</v>
      </c>
      <c r="B317">
        <f t="shared" si="57"/>
        <v>0</v>
      </c>
      <c r="C317">
        <f t="shared" si="58"/>
        <v>0</v>
      </c>
      <c r="D317">
        <f t="shared" si="59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60"/>
        <v>0</v>
      </c>
      <c r="G317">
        <f t="shared" si="61"/>
        <v>0</v>
      </c>
      <c r="H317">
        <f t="shared" si="62"/>
        <v>0</v>
      </c>
      <c r="I317">
        <f t="shared" si="63"/>
        <v>0</v>
      </c>
      <c r="J317">
        <f t="shared" si="64"/>
        <v>0</v>
      </c>
      <c r="K317" s="4" t="e">
        <f t="shared" si="67"/>
        <v>#N/A</v>
      </c>
      <c r="L317" t="e">
        <f t="shared" si="68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6"/>
        <v>0</v>
      </c>
      <c r="B318">
        <f t="shared" si="57"/>
        <v>0</v>
      </c>
      <c r="C318">
        <f t="shared" si="58"/>
        <v>0</v>
      </c>
      <c r="D318">
        <f t="shared" si="59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60"/>
        <v>0</v>
      </c>
      <c r="G318">
        <f t="shared" si="61"/>
        <v>0</v>
      </c>
      <c r="H318">
        <f t="shared" si="62"/>
        <v>0</v>
      </c>
      <c r="I318">
        <f t="shared" si="63"/>
        <v>0</v>
      </c>
      <c r="J318">
        <f t="shared" si="64"/>
        <v>0</v>
      </c>
      <c r="K318" s="4" t="e">
        <f t="shared" si="67"/>
        <v>#N/A</v>
      </c>
      <c r="L318" t="e">
        <f t="shared" si="68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6"/>
        <v>0</v>
      </c>
      <c r="B319">
        <f t="shared" si="57"/>
        <v>0</v>
      </c>
      <c r="C319">
        <f t="shared" si="58"/>
        <v>0</v>
      </c>
      <c r="D319">
        <f t="shared" si="59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60"/>
        <v>0</v>
      </c>
      <c r="G319">
        <f t="shared" si="61"/>
        <v>0</v>
      </c>
      <c r="H319">
        <f t="shared" si="62"/>
        <v>0</v>
      </c>
      <c r="I319">
        <f t="shared" si="63"/>
        <v>0</v>
      </c>
      <c r="J319">
        <f t="shared" si="64"/>
        <v>0</v>
      </c>
      <c r="K319" s="4" t="e">
        <f t="shared" si="67"/>
        <v>#N/A</v>
      </c>
      <c r="L319" t="e">
        <f t="shared" si="68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6"/>
        <v>0</v>
      </c>
      <c r="B320">
        <f t="shared" si="57"/>
        <v>0</v>
      </c>
      <c r="C320">
        <f t="shared" si="58"/>
        <v>0</v>
      </c>
      <c r="D320">
        <f t="shared" si="59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60"/>
        <v>0</v>
      </c>
      <c r="G320">
        <f t="shared" si="61"/>
        <v>0</v>
      </c>
      <c r="H320">
        <f t="shared" si="62"/>
        <v>0</v>
      </c>
      <c r="I320">
        <f t="shared" si="63"/>
        <v>0</v>
      </c>
      <c r="J320">
        <f t="shared" si="64"/>
        <v>0</v>
      </c>
      <c r="K320" s="4" t="e">
        <f t="shared" si="67"/>
        <v>#N/A</v>
      </c>
      <c r="L320" t="e">
        <f t="shared" si="68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6"/>
        <v>0</v>
      </c>
      <c r="B321">
        <f t="shared" si="57"/>
        <v>0</v>
      </c>
      <c r="C321">
        <f t="shared" si="58"/>
        <v>0</v>
      </c>
      <c r="D321">
        <f t="shared" si="59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60"/>
        <v>0</v>
      </c>
      <c r="G321">
        <f t="shared" si="61"/>
        <v>0</v>
      </c>
      <c r="H321">
        <f t="shared" si="62"/>
        <v>0</v>
      </c>
      <c r="I321">
        <f t="shared" si="63"/>
        <v>0</v>
      </c>
      <c r="J321">
        <f t="shared" si="64"/>
        <v>0</v>
      </c>
      <c r="K321" s="4" t="e">
        <f t="shared" si="67"/>
        <v>#N/A</v>
      </c>
      <c r="L321" t="e">
        <f t="shared" si="68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9">bd_campaign</f>
        <v>0</v>
      </c>
      <c r="B322">
        <f t="shared" ref="B322:B385" si="70">bd_site</f>
        <v>0</v>
      </c>
      <c r="C322">
        <f t="shared" ref="C322:C385" si="71">bd_placement</f>
        <v>0</v>
      </c>
      <c r="D322">
        <f t="shared" ref="D322:D385" si="72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3">bd_ad</f>
        <v>0</v>
      </c>
      <c r="G322">
        <f t="shared" ref="G322:G385" si="74">bd_adid</f>
        <v>0</v>
      </c>
      <c r="H322">
        <f t="shared" ref="H322:H385" si="75">bd_creativetype</f>
        <v>0</v>
      </c>
      <c r="I322">
        <f t="shared" ref="I322:I385" si="76">bd_impression</f>
        <v>0</v>
      </c>
      <c r="J322">
        <f t="shared" ref="J322:J385" si="77">bd_clicks</f>
        <v>0</v>
      </c>
      <c r="K322" s="4" t="e">
        <f t="shared" si="67"/>
        <v>#N/A</v>
      </c>
      <c r="L322" t="e">
        <f t="shared" si="68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9"/>
        <v>0</v>
      </c>
      <c r="B323">
        <f t="shared" si="70"/>
        <v>0</v>
      </c>
      <c r="C323">
        <f t="shared" si="71"/>
        <v>0</v>
      </c>
      <c r="D323">
        <f t="shared" si="72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3"/>
        <v>0</v>
      </c>
      <c r="G323">
        <f t="shared" si="74"/>
        <v>0</v>
      </c>
      <c r="H323">
        <f t="shared" si="75"/>
        <v>0</v>
      </c>
      <c r="I323">
        <f t="shared" si="76"/>
        <v>0</v>
      </c>
      <c r="J323">
        <f t="shared" si="77"/>
        <v>0</v>
      </c>
      <c r="K323" s="4" t="e">
        <f t="shared" si="67"/>
        <v>#N/A</v>
      </c>
      <c r="L323" t="e">
        <f t="shared" si="68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9"/>
        <v>0</v>
      </c>
      <c r="B324">
        <f t="shared" si="70"/>
        <v>0</v>
      </c>
      <c r="C324">
        <f t="shared" si="71"/>
        <v>0</v>
      </c>
      <c r="D324">
        <f t="shared" si="72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3"/>
        <v>0</v>
      </c>
      <c r="G324">
        <f t="shared" si="74"/>
        <v>0</v>
      </c>
      <c r="H324">
        <f t="shared" si="75"/>
        <v>0</v>
      </c>
      <c r="I324">
        <f t="shared" si="76"/>
        <v>0</v>
      </c>
      <c r="J324">
        <f t="shared" si="77"/>
        <v>0</v>
      </c>
      <c r="K324" s="4" t="e">
        <f t="shared" si="67"/>
        <v>#N/A</v>
      </c>
      <c r="L324" t="e">
        <f t="shared" si="68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9"/>
        <v>0</v>
      </c>
      <c r="B325">
        <f t="shared" si="70"/>
        <v>0</v>
      </c>
      <c r="C325">
        <f t="shared" si="71"/>
        <v>0</v>
      </c>
      <c r="D325">
        <f t="shared" si="72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3"/>
        <v>0</v>
      </c>
      <c r="G325">
        <f t="shared" si="74"/>
        <v>0</v>
      </c>
      <c r="H325">
        <f t="shared" si="75"/>
        <v>0</v>
      </c>
      <c r="I325">
        <f t="shared" si="76"/>
        <v>0</v>
      </c>
      <c r="J325">
        <f t="shared" si="77"/>
        <v>0</v>
      </c>
      <c r="K325" s="4" t="e">
        <f t="shared" si="67"/>
        <v>#N/A</v>
      </c>
      <c r="L325" t="e">
        <f t="shared" si="68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9"/>
        <v>0</v>
      </c>
      <c r="B326">
        <f t="shared" si="70"/>
        <v>0</v>
      </c>
      <c r="C326">
        <f t="shared" si="71"/>
        <v>0</v>
      </c>
      <c r="D326">
        <f t="shared" si="72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3"/>
        <v>0</v>
      </c>
      <c r="G326">
        <f t="shared" si="74"/>
        <v>0</v>
      </c>
      <c r="H326">
        <f t="shared" si="75"/>
        <v>0</v>
      </c>
      <c r="I326">
        <f t="shared" si="76"/>
        <v>0</v>
      </c>
      <c r="J326">
        <f t="shared" si="77"/>
        <v>0</v>
      </c>
      <c r="K326" s="4" t="e">
        <f t="shared" si="67"/>
        <v>#N/A</v>
      </c>
      <c r="L326" t="e">
        <f t="shared" si="68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9"/>
        <v>0</v>
      </c>
      <c r="B327">
        <f t="shared" si="70"/>
        <v>0</v>
      </c>
      <c r="C327">
        <f t="shared" si="71"/>
        <v>0</v>
      </c>
      <c r="D327">
        <f t="shared" si="72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3"/>
        <v>0</v>
      </c>
      <c r="G327">
        <f t="shared" si="74"/>
        <v>0</v>
      </c>
      <c r="H327">
        <f t="shared" si="75"/>
        <v>0</v>
      </c>
      <c r="I327">
        <f t="shared" si="76"/>
        <v>0</v>
      </c>
      <c r="J327">
        <f t="shared" si="77"/>
        <v>0</v>
      </c>
      <c r="K327" s="4" t="e">
        <f t="shared" si="67"/>
        <v>#N/A</v>
      </c>
      <c r="L327" t="e">
        <f t="shared" si="68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9"/>
        <v>0</v>
      </c>
      <c r="B328">
        <f t="shared" si="70"/>
        <v>0</v>
      </c>
      <c r="C328">
        <f t="shared" si="71"/>
        <v>0</v>
      </c>
      <c r="D328">
        <f t="shared" si="72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3"/>
        <v>0</v>
      </c>
      <c r="G328">
        <f t="shared" si="74"/>
        <v>0</v>
      </c>
      <c r="H328">
        <f t="shared" si="75"/>
        <v>0</v>
      </c>
      <c r="I328">
        <f t="shared" si="76"/>
        <v>0</v>
      </c>
      <c r="J328">
        <f t="shared" si="77"/>
        <v>0</v>
      </c>
      <c r="K328" s="4" t="e">
        <f t="shared" si="67"/>
        <v>#N/A</v>
      </c>
      <c r="L328" t="e">
        <f t="shared" si="68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9"/>
        <v>0</v>
      </c>
      <c r="B329">
        <f t="shared" si="70"/>
        <v>0</v>
      </c>
      <c r="C329">
        <f t="shared" si="71"/>
        <v>0</v>
      </c>
      <c r="D329">
        <f t="shared" si="72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3"/>
        <v>0</v>
      </c>
      <c r="G329">
        <f t="shared" si="74"/>
        <v>0</v>
      </c>
      <c r="H329">
        <f t="shared" si="75"/>
        <v>0</v>
      </c>
      <c r="I329">
        <f t="shared" si="76"/>
        <v>0</v>
      </c>
      <c r="J329">
        <f t="shared" si="77"/>
        <v>0</v>
      </c>
      <c r="K329" s="4" t="e">
        <f t="shared" si="67"/>
        <v>#N/A</v>
      </c>
      <c r="L329" t="e">
        <f t="shared" si="68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9"/>
        <v>0</v>
      </c>
      <c r="B330">
        <f t="shared" si="70"/>
        <v>0</v>
      </c>
      <c r="C330">
        <f t="shared" si="71"/>
        <v>0</v>
      </c>
      <c r="D330">
        <f t="shared" si="72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3"/>
        <v>0</v>
      </c>
      <c r="G330">
        <f t="shared" si="74"/>
        <v>0</v>
      </c>
      <c r="H330">
        <f t="shared" si="75"/>
        <v>0</v>
      </c>
      <c r="I330">
        <f t="shared" si="76"/>
        <v>0</v>
      </c>
      <c r="J330">
        <f t="shared" si="77"/>
        <v>0</v>
      </c>
      <c r="K330" s="4" t="e">
        <f t="shared" si="67"/>
        <v>#N/A</v>
      </c>
      <c r="L330" t="e">
        <f t="shared" si="68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9"/>
        <v>0</v>
      </c>
      <c r="B331">
        <f t="shared" si="70"/>
        <v>0</v>
      </c>
      <c r="C331">
        <f t="shared" si="71"/>
        <v>0</v>
      </c>
      <c r="D331">
        <f t="shared" si="72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3"/>
        <v>0</v>
      </c>
      <c r="G331">
        <f t="shared" si="74"/>
        <v>0</v>
      </c>
      <c r="H331">
        <f t="shared" si="75"/>
        <v>0</v>
      </c>
      <c r="I331">
        <f t="shared" si="76"/>
        <v>0</v>
      </c>
      <c r="J331">
        <f t="shared" si="77"/>
        <v>0</v>
      </c>
      <c r="K331" s="4" t="e">
        <f t="shared" si="67"/>
        <v>#N/A</v>
      </c>
      <c r="L331" t="e">
        <f t="shared" si="68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9"/>
        <v>0</v>
      </c>
      <c r="B332">
        <f t="shared" si="70"/>
        <v>0</v>
      </c>
      <c r="C332">
        <f t="shared" si="71"/>
        <v>0</v>
      </c>
      <c r="D332">
        <f t="shared" si="72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3"/>
        <v>0</v>
      </c>
      <c r="G332">
        <f t="shared" si="74"/>
        <v>0</v>
      </c>
      <c r="H332">
        <f t="shared" si="75"/>
        <v>0</v>
      </c>
      <c r="I332">
        <f t="shared" si="76"/>
        <v>0</v>
      </c>
      <c r="J332">
        <f t="shared" si="77"/>
        <v>0</v>
      </c>
      <c r="K332" s="4" t="e">
        <f t="shared" si="67"/>
        <v>#N/A</v>
      </c>
      <c r="L332" t="e">
        <f t="shared" si="68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9"/>
        <v>0</v>
      </c>
      <c r="B333">
        <f t="shared" si="70"/>
        <v>0</v>
      </c>
      <c r="C333">
        <f t="shared" si="71"/>
        <v>0</v>
      </c>
      <c r="D333">
        <f t="shared" si="72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3"/>
        <v>0</v>
      </c>
      <c r="G333">
        <f t="shared" si="74"/>
        <v>0</v>
      </c>
      <c r="H333">
        <f t="shared" si="75"/>
        <v>0</v>
      </c>
      <c r="I333">
        <f t="shared" si="76"/>
        <v>0</v>
      </c>
      <c r="J333">
        <f t="shared" si="77"/>
        <v>0</v>
      </c>
      <c r="K333" s="4" t="e">
        <f t="shared" si="67"/>
        <v>#N/A</v>
      </c>
      <c r="L333" t="e">
        <f t="shared" si="68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9"/>
        <v>0</v>
      </c>
      <c r="B334">
        <f t="shared" si="70"/>
        <v>0</v>
      </c>
      <c r="C334">
        <f t="shared" si="71"/>
        <v>0</v>
      </c>
      <c r="D334">
        <f t="shared" si="72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3"/>
        <v>0</v>
      </c>
      <c r="G334">
        <f t="shared" si="74"/>
        <v>0</v>
      </c>
      <c r="H334">
        <f t="shared" si="75"/>
        <v>0</v>
      </c>
      <c r="I334">
        <f t="shared" si="76"/>
        <v>0</v>
      </c>
      <c r="J334">
        <f t="shared" si="77"/>
        <v>0</v>
      </c>
      <c r="K334" s="4" t="e">
        <f t="shared" si="67"/>
        <v>#N/A</v>
      </c>
      <c r="L334" t="e">
        <f t="shared" si="68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9"/>
        <v>0</v>
      </c>
      <c r="B335">
        <f t="shared" si="70"/>
        <v>0</v>
      </c>
      <c r="C335">
        <f t="shared" si="71"/>
        <v>0</v>
      </c>
      <c r="D335">
        <f t="shared" si="72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3"/>
        <v>0</v>
      </c>
      <c r="G335">
        <f t="shared" si="74"/>
        <v>0</v>
      </c>
      <c r="H335">
        <f t="shared" si="75"/>
        <v>0</v>
      </c>
      <c r="I335">
        <f t="shared" si="76"/>
        <v>0</v>
      </c>
      <c r="J335">
        <f t="shared" si="77"/>
        <v>0</v>
      </c>
      <c r="K335" s="4" t="e">
        <f t="shared" si="67"/>
        <v>#N/A</v>
      </c>
      <c r="L335" t="e">
        <f t="shared" si="68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9"/>
        <v>0</v>
      </c>
      <c r="B336">
        <f t="shared" si="70"/>
        <v>0</v>
      </c>
      <c r="C336">
        <f t="shared" si="71"/>
        <v>0</v>
      </c>
      <c r="D336">
        <f t="shared" si="72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3"/>
        <v>0</v>
      </c>
      <c r="G336">
        <f t="shared" si="74"/>
        <v>0</v>
      </c>
      <c r="H336">
        <f t="shared" si="75"/>
        <v>0</v>
      </c>
      <c r="I336">
        <f t="shared" si="76"/>
        <v>0</v>
      </c>
      <c r="J336">
        <f t="shared" si="77"/>
        <v>0</v>
      </c>
      <c r="K336" s="4" t="e">
        <f t="shared" si="67"/>
        <v>#N/A</v>
      </c>
      <c r="L336" t="e">
        <f t="shared" si="68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9"/>
        <v>0</v>
      </c>
      <c r="B337">
        <f t="shared" si="70"/>
        <v>0</v>
      </c>
      <c r="C337">
        <f t="shared" si="71"/>
        <v>0</v>
      </c>
      <c r="D337">
        <f t="shared" si="72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3"/>
        <v>0</v>
      </c>
      <c r="G337">
        <f t="shared" si="74"/>
        <v>0</v>
      </c>
      <c r="H337">
        <f t="shared" si="75"/>
        <v>0</v>
      </c>
      <c r="I337">
        <f t="shared" si="76"/>
        <v>0</v>
      </c>
      <c r="J337">
        <f t="shared" si="77"/>
        <v>0</v>
      </c>
      <c r="K337" s="4" t="e">
        <f t="shared" si="67"/>
        <v>#N/A</v>
      </c>
      <c r="L337" t="e">
        <f t="shared" si="68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9"/>
        <v>0</v>
      </c>
      <c r="B338">
        <f t="shared" si="70"/>
        <v>0</v>
      </c>
      <c r="C338">
        <f t="shared" si="71"/>
        <v>0</v>
      </c>
      <c r="D338">
        <f t="shared" si="72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3"/>
        <v>0</v>
      </c>
      <c r="G338">
        <f t="shared" si="74"/>
        <v>0</v>
      </c>
      <c r="H338">
        <f t="shared" si="75"/>
        <v>0</v>
      </c>
      <c r="I338">
        <f t="shared" si="76"/>
        <v>0</v>
      </c>
      <c r="J338">
        <f t="shared" si="77"/>
        <v>0</v>
      </c>
      <c r="K338" s="4" t="e">
        <f t="shared" si="67"/>
        <v>#N/A</v>
      </c>
      <c r="L338" t="e">
        <f t="shared" si="68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9"/>
        <v>0</v>
      </c>
      <c r="B339">
        <f t="shared" si="70"/>
        <v>0</v>
      </c>
      <c r="C339">
        <f t="shared" si="71"/>
        <v>0</v>
      </c>
      <c r="D339">
        <f t="shared" si="72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3"/>
        <v>0</v>
      </c>
      <c r="G339">
        <f t="shared" si="74"/>
        <v>0</v>
      </c>
      <c r="H339">
        <f t="shared" si="75"/>
        <v>0</v>
      </c>
      <c r="I339">
        <f t="shared" si="76"/>
        <v>0</v>
      </c>
      <c r="J339">
        <f t="shared" si="77"/>
        <v>0</v>
      </c>
      <c r="K339" s="4" t="e">
        <f t="shared" si="67"/>
        <v>#N/A</v>
      </c>
      <c r="L339" t="e">
        <f t="shared" si="68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9"/>
        <v>0</v>
      </c>
      <c r="B340">
        <f t="shared" si="70"/>
        <v>0</v>
      </c>
      <c r="C340">
        <f t="shared" si="71"/>
        <v>0</v>
      </c>
      <c r="D340">
        <f t="shared" si="72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3"/>
        <v>0</v>
      </c>
      <c r="G340">
        <f t="shared" si="74"/>
        <v>0</v>
      </c>
      <c r="H340">
        <f t="shared" si="75"/>
        <v>0</v>
      </c>
      <c r="I340">
        <f t="shared" si="76"/>
        <v>0</v>
      </c>
      <c r="J340">
        <f t="shared" si="77"/>
        <v>0</v>
      </c>
      <c r="K340" s="4" t="e">
        <f t="shared" si="67"/>
        <v>#N/A</v>
      </c>
      <c r="L340" t="e">
        <f t="shared" si="68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9"/>
        <v>0</v>
      </c>
      <c r="B341">
        <f t="shared" si="70"/>
        <v>0</v>
      </c>
      <c r="C341">
        <f t="shared" si="71"/>
        <v>0</v>
      </c>
      <c r="D341">
        <f t="shared" si="72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3"/>
        <v>0</v>
      </c>
      <c r="G341">
        <f t="shared" si="74"/>
        <v>0</v>
      </c>
      <c r="H341">
        <f t="shared" si="75"/>
        <v>0</v>
      </c>
      <c r="I341">
        <f t="shared" si="76"/>
        <v>0</v>
      </c>
      <c r="J341">
        <f t="shared" si="77"/>
        <v>0</v>
      </c>
      <c r="K341" s="4" t="e">
        <f t="shared" si="67"/>
        <v>#N/A</v>
      </c>
      <c r="L341" t="e">
        <f t="shared" si="68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9"/>
        <v>0</v>
      </c>
      <c r="B342">
        <f t="shared" si="70"/>
        <v>0</v>
      </c>
      <c r="C342">
        <f t="shared" si="71"/>
        <v>0</v>
      </c>
      <c r="D342">
        <f t="shared" si="72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3"/>
        <v>0</v>
      </c>
      <c r="G342">
        <f t="shared" si="74"/>
        <v>0</v>
      </c>
      <c r="H342">
        <f t="shared" si="75"/>
        <v>0</v>
      </c>
      <c r="I342">
        <f t="shared" si="76"/>
        <v>0</v>
      </c>
      <c r="J342">
        <f t="shared" si="77"/>
        <v>0</v>
      </c>
      <c r="K342" s="4" t="e">
        <f t="shared" si="67"/>
        <v>#N/A</v>
      </c>
      <c r="L342" t="e">
        <f t="shared" si="68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9"/>
        <v>0</v>
      </c>
      <c r="B343">
        <f t="shared" si="70"/>
        <v>0</v>
      </c>
      <c r="C343">
        <f t="shared" si="71"/>
        <v>0</v>
      </c>
      <c r="D343">
        <f t="shared" si="72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3"/>
        <v>0</v>
      </c>
      <c r="G343">
        <f t="shared" si="74"/>
        <v>0</v>
      </c>
      <c r="H343">
        <f t="shared" si="75"/>
        <v>0</v>
      </c>
      <c r="I343">
        <f t="shared" si="76"/>
        <v>0</v>
      </c>
      <c r="J343">
        <f t="shared" si="77"/>
        <v>0</v>
      </c>
      <c r="K343" s="4" t="e">
        <f t="shared" si="67"/>
        <v>#N/A</v>
      </c>
      <c r="L343" t="e">
        <f t="shared" si="68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9"/>
        <v>0</v>
      </c>
      <c r="B344">
        <f t="shared" si="70"/>
        <v>0</v>
      </c>
      <c r="C344">
        <f t="shared" si="71"/>
        <v>0</v>
      </c>
      <c r="D344">
        <f t="shared" si="72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3"/>
        <v>0</v>
      </c>
      <c r="G344">
        <f t="shared" si="74"/>
        <v>0</v>
      </c>
      <c r="H344">
        <f t="shared" si="75"/>
        <v>0</v>
      </c>
      <c r="I344">
        <f t="shared" si="76"/>
        <v>0</v>
      </c>
      <c r="J344">
        <f t="shared" si="77"/>
        <v>0</v>
      </c>
      <c r="K344" s="4" t="e">
        <f t="shared" si="67"/>
        <v>#N/A</v>
      </c>
      <c r="L344" t="e">
        <f t="shared" si="68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9"/>
        <v>0</v>
      </c>
      <c r="B345">
        <f t="shared" si="70"/>
        <v>0</v>
      </c>
      <c r="C345">
        <f t="shared" si="71"/>
        <v>0</v>
      </c>
      <c r="D345">
        <f t="shared" si="72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3"/>
        <v>0</v>
      </c>
      <c r="G345">
        <f t="shared" si="74"/>
        <v>0</v>
      </c>
      <c r="H345">
        <f t="shared" si="75"/>
        <v>0</v>
      </c>
      <c r="I345">
        <f t="shared" si="76"/>
        <v>0</v>
      </c>
      <c r="J345">
        <f t="shared" si="77"/>
        <v>0</v>
      </c>
      <c r="K345" s="4" t="e">
        <f t="shared" si="67"/>
        <v>#N/A</v>
      </c>
      <c r="L345" t="e">
        <f t="shared" si="68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9"/>
        <v>0</v>
      </c>
      <c r="B346">
        <f t="shared" si="70"/>
        <v>0</v>
      </c>
      <c r="C346">
        <f t="shared" si="71"/>
        <v>0</v>
      </c>
      <c r="D346">
        <f t="shared" si="72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3"/>
        <v>0</v>
      </c>
      <c r="G346">
        <f t="shared" si="74"/>
        <v>0</v>
      </c>
      <c r="H346">
        <f t="shared" si="75"/>
        <v>0</v>
      </c>
      <c r="I346">
        <f t="shared" si="76"/>
        <v>0</v>
      </c>
      <c r="J346">
        <f t="shared" si="77"/>
        <v>0</v>
      </c>
      <c r="K346" s="4" t="e">
        <f t="shared" si="67"/>
        <v>#N/A</v>
      </c>
      <c r="L346" t="e">
        <f t="shared" si="68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9"/>
        <v>0</v>
      </c>
      <c r="B347">
        <f t="shared" si="70"/>
        <v>0</v>
      </c>
      <c r="C347">
        <f t="shared" si="71"/>
        <v>0</v>
      </c>
      <c r="D347">
        <f t="shared" si="72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3"/>
        <v>0</v>
      </c>
      <c r="G347">
        <f t="shared" si="74"/>
        <v>0</v>
      </c>
      <c r="H347">
        <f t="shared" si="75"/>
        <v>0</v>
      </c>
      <c r="I347">
        <f t="shared" si="76"/>
        <v>0</v>
      </c>
      <c r="J347">
        <f t="shared" si="77"/>
        <v>0</v>
      </c>
      <c r="K347" s="4" t="e">
        <f t="shared" si="67"/>
        <v>#N/A</v>
      </c>
      <c r="L347" t="e">
        <f t="shared" si="68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9"/>
        <v>0</v>
      </c>
      <c r="B348">
        <f t="shared" si="70"/>
        <v>0</v>
      </c>
      <c r="C348">
        <f t="shared" si="71"/>
        <v>0</v>
      </c>
      <c r="D348">
        <f t="shared" si="72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3"/>
        <v>0</v>
      </c>
      <c r="G348">
        <f t="shared" si="74"/>
        <v>0</v>
      </c>
      <c r="H348">
        <f t="shared" si="75"/>
        <v>0</v>
      </c>
      <c r="I348">
        <f t="shared" si="76"/>
        <v>0</v>
      </c>
      <c r="J348">
        <f t="shared" si="77"/>
        <v>0</v>
      </c>
      <c r="K348" s="4" t="e">
        <f t="shared" si="67"/>
        <v>#N/A</v>
      </c>
      <c r="L348" t="e">
        <f t="shared" si="68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9"/>
        <v>0</v>
      </c>
      <c r="B349">
        <f t="shared" si="70"/>
        <v>0</v>
      </c>
      <c r="C349">
        <f t="shared" si="71"/>
        <v>0</v>
      </c>
      <c r="D349">
        <f t="shared" si="72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3"/>
        <v>0</v>
      </c>
      <c r="G349">
        <f t="shared" si="74"/>
        <v>0</v>
      </c>
      <c r="H349">
        <f t="shared" si="75"/>
        <v>0</v>
      </c>
      <c r="I349">
        <f t="shared" si="76"/>
        <v>0</v>
      </c>
      <c r="J349">
        <f t="shared" si="77"/>
        <v>0</v>
      </c>
      <c r="K349" s="4" t="e">
        <f t="shared" si="67"/>
        <v>#N/A</v>
      </c>
      <c r="L349" t="e">
        <f t="shared" si="68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9"/>
        <v>0</v>
      </c>
      <c r="B350">
        <f t="shared" si="70"/>
        <v>0</v>
      </c>
      <c r="C350">
        <f t="shared" si="71"/>
        <v>0</v>
      </c>
      <c r="D350">
        <f t="shared" si="72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3"/>
        <v>0</v>
      </c>
      <c r="G350">
        <f t="shared" si="74"/>
        <v>0</v>
      </c>
      <c r="H350">
        <f t="shared" si="75"/>
        <v>0</v>
      </c>
      <c r="I350">
        <f t="shared" si="76"/>
        <v>0</v>
      </c>
      <c r="J350">
        <f t="shared" si="77"/>
        <v>0</v>
      </c>
      <c r="K350" s="4" t="e">
        <f t="shared" si="67"/>
        <v>#N/A</v>
      </c>
      <c r="L350" t="e">
        <f t="shared" si="68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9"/>
        <v>0</v>
      </c>
      <c r="B351">
        <f t="shared" si="70"/>
        <v>0</v>
      </c>
      <c r="C351">
        <f t="shared" si="71"/>
        <v>0</v>
      </c>
      <c r="D351">
        <f t="shared" si="72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3"/>
        <v>0</v>
      </c>
      <c r="G351">
        <f t="shared" si="74"/>
        <v>0</v>
      </c>
      <c r="H351">
        <f t="shared" si="75"/>
        <v>0</v>
      </c>
      <c r="I351">
        <f t="shared" si="76"/>
        <v>0</v>
      </c>
      <c r="J351">
        <f t="shared" si="77"/>
        <v>0</v>
      </c>
      <c r="K351" s="4" t="e">
        <f t="shared" si="67"/>
        <v>#N/A</v>
      </c>
      <c r="L351" t="e">
        <f t="shared" si="68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9"/>
        <v>0</v>
      </c>
      <c r="B352">
        <f t="shared" si="70"/>
        <v>0</v>
      </c>
      <c r="C352">
        <f t="shared" si="71"/>
        <v>0</v>
      </c>
      <c r="D352">
        <f t="shared" si="72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3"/>
        <v>0</v>
      </c>
      <c r="G352">
        <f t="shared" si="74"/>
        <v>0</v>
      </c>
      <c r="H352">
        <f t="shared" si="75"/>
        <v>0</v>
      </c>
      <c r="I352">
        <f t="shared" si="76"/>
        <v>0</v>
      </c>
      <c r="J352">
        <f t="shared" si="77"/>
        <v>0</v>
      </c>
      <c r="K352" s="4" t="e">
        <f t="shared" si="67"/>
        <v>#N/A</v>
      </c>
      <c r="L352" t="e">
        <f t="shared" si="68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9"/>
        <v>0</v>
      </c>
      <c r="B353">
        <f t="shared" si="70"/>
        <v>0</v>
      </c>
      <c r="C353">
        <f t="shared" si="71"/>
        <v>0</v>
      </c>
      <c r="D353">
        <f t="shared" si="72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3"/>
        <v>0</v>
      </c>
      <c r="G353">
        <f t="shared" si="74"/>
        <v>0</v>
      </c>
      <c r="H353">
        <f t="shared" si="75"/>
        <v>0</v>
      </c>
      <c r="I353">
        <f t="shared" si="76"/>
        <v>0</v>
      </c>
      <c r="J353">
        <f t="shared" si="77"/>
        <v>0</v>
      </c>
      <c r="K353" s="4" t="e">
        <f t="shared" si="67"/>
        <v>#N/A</v>
      </c>
      <c r="L353" t="e">
        <f t="shared" si="68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9"/>
        <v>0</v>
      </c>
      <c r="B354">
        <f t="shared" si="70"/>
        <v>0</v>
      </c>
      <c r="C354">
        <f t="shared" si="71"/>
        <v>0</v>
      </c>
      <c r="D354">
        <f t="shared" si="72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3"/>
        <v>0</v>
      </c>
      <c r="G354">
        <f t="shared" si="74"/>
        <v>0</v>
      </c>
      <c r="H354">
        <f t="shared" si="75"/>
        <v>0</v>
      </c>
      <c r="I354">
        <f t="shared" si="76"/>
        <v>0</v>
      </c>
      <c r="J354">
        <f t="shared" si="77"/>
        <v>0</v>
      </c>
      <c r="K354" s="4" t="e">
        <f t="shared" si="67"/>
        <v>#N/A</v>
      </c>
      <c r="L354" t="e">
        <f t="shared" si="68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9"/>
        <v>0</v>
      </c>
      <c r="B355">
        <f t="shared" si="70"/>
        <v>0</v>
      </c>
      <c r="C355">
        <f t="shared" si="71"/>
        <v>0</v>
      </c>
      <c r="D355">
        <f t="shared" si="72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3"/>
        <v>0</v>
      </c>
      <c r="G355">
        <f t="shared" si="74"/>
        <v>0</v>
      </c>
      <c r="H355">
        <f t="shared" si="75"/>
        <v>0</v>
      </c>
      <c r="I355">
        <f t="shared" si="76"/>
        <v>0</v>
      </c>
      <c r="J355">
        <f t="shared" si="77"/>
        <v>0</v>
      </c>
      <c r="K355" s="4" t="e">
        <f t="shared" si="67"/>
        <v>#N/A</v>
      </c>
      <c r="L355" t="e">
        <f t="shared" si="68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9"/>
        <v>0</v>
      </c>
      <c r="B356">
        <f t="shared" si="70"/>
        <v>0</v>
      </c>
      <c r="C356">
        <f t="shared" si="71"/>
        <v>0</v>
      </c>
      <c r="D356">
        <f t="shared" si="72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3"/>
        <v>0</v>
      </c>
      <c r="G356">
        <f t="shared" si="74"/>
        <v>0</v>
      </c>
      <c r="H356">
        <f t="shared" si="75"/>
        <v>0</v>
      </c>
      <c r="I356">
        <f t="shared" si="76"/>
        <v>0</v>
      </c>
      <c r="J356">
        <f t="shared" si="77"/>
        <v>0</v>
      </c>
      <c r="K356" s="4" t="e">
        <f t="shared" si="67"/>
        <v>#N/A</v>
      </c>
      <c r="L356" t="e">
        <f t="shared" si="68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9"/>
        <v>0</v>
      </c>
      <c r="B357">
        <f t="shared" si="70"/>
        <v>0</v>
      </c>
      <c r="C357">
        <f t="shared" si="71"/>
        <v>0</v>
      </c>
      <c r="D357">
        <f t="shared" si="72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3"/>
        <v>0</v>
      </c>
      <c r="G357">
        <f t="shared" si="74"/>
        <v>0</v>
      </c>
      <c r="H357">
        <f t="shared" si="75"/>
        <v>0</v>
      </c>
      <c r="I357">
        <f t="shared" si="76"/>
        <v>0</v>
      </c>
      <c r="J357">
        <f t="shared" si="77"/>
        <v>0</v>
      </c>
      <c r="K357" s="4" t="e">
        <f t="shared" si="67"/>
        <v>#N/A</v>
      </c>
      <c r="L357" t="e">
        <f t="shared" si="68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9"/>
        <v>0</v>
      </c>
      <c r="B358">
        <f t="shared" si="70"/>
        <v>0</v>
      </c>
      <c r="C358">
        <f t="shared" si="71"/>
        <v>0</v>
      </c>
      <c r="D358">
        <f t="shared" si="72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3"/>
        <v>0</v>
      </c>
      <c r="G358">
        <f t="shared" si="74"/>
        <v>0</v>
      </c>
      <c r="H358">
        <f t="shared" si="75"/>
        <v>0</v>
      </c>
      <c r="I358">
        <f t="shared" si="76"/>
        <v>0</v>
      </c>
      <c r="J358">
        <f t="shared" si="77"/>
        <v>0</v>
      </c>
      <c r="K358" s="4" t="e">
        <f t="shared" si="67"/>
        <v>#N/A</v>
      </c>
      <c r="L358" t="e">
        <f t="shared" si="68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9"/>
        <v>0</v>
      </c>
      <c r="B359">
        <f t="shared" si="70"/>
        <v>0</v>
      </c>
      <c r="C359">
        <f t="shared" si="71"/>
        <v>0</v>
      </c>
      <c r="D359">
        <f t="shared" si="72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3"/>
        <v>0</v>
      </c>
      <c r="G359">
        <f t="shared" si="74"/>
        <v>0</v>
      </c>
      <c r="H359">
        <f t="shared" si="75"/>
        <v>0</v>
      </c>
      <c r="I359">
        <f t="shared" si="76"/>
        <v>0</v>
      </c>
      <c r="J359">
        <f t="shared" si="77"/>
        <v>0</v>
      </c>
      <c r="K359" s="4" t="e">
        <f t="shared" si="67"/>
        <v>#N/A</v>
      </c>
      <c r="L359" t="e">
        <f t="shared" si="68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9"/>
        <v>0</v>
      </c>
      <c r="B360">
        <f t="shared" si="70"/>
        <v>0</v>
      </c>
      <c r="C360">
        <f t="shared" si="71"/>
        <v>0</v>
      </c>
      <c r="D360">
        <f t="shared" si="72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3"/>
        <v>0</v>
      </c>
      <c r="G360">
        <f t="shared" si="74"/>
        <v>0</v>
      </c>
      <c r="H360">
        <f t="shared" si="75"/>
        <v>0</v>
      </c>
      <c r="I360">
        <f t="shared" si="76"/>
        <v>0</v>
      </c>
      <c r="J360">
        <f t="shared" si="77"/>
        <v>0</v>
      </c>
      <c r="K360" s="4" t="e">
        <f t="shared" si="67"/>
        <v>#N/A</v>
      </c>
      <c r="L360" t="e">
        <f t="shared" si="68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9"/>
        <v>0</v>
      </c>
      <c r="B361">
        <f t="shared" si="70"/>
        <v>0</v>
      </c>
      <c r="C361">
        <f t="shared" si="71"/>
        <v>0</v>
      </c>
      <c r="D361">
        <f t="shared" si="72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3"/>
        <v>0</v>
      </c>
      <c r="G361">
        <f t="shared" si="74"/>
        <v>0</v>
      </c>
      <c r="H361">
        <f t="shared" si="75"/>
        <v>0</v>
      </c>
      <c r="I361">
        <f t="shared" si="76"/>
        <v>0</v>
      </c>
      <c r="J361">
        <f t="shared" si="77"/>
        <v>0</v>
      </c>
      <c r="K361" s="4" t="e">
        <f t="shared" si="67"/>
        <v>#N/A</v>
      </c>
      <c r="L361" t="e">
        <f t="shared" si="68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9"/>
        <v>0</v>
      </c>
      <c r="B362">
        <f t="shared" si="70"/>
        <v>0</v>
      </c>
      <c r="C362">
        <f t="shared" si="71"/>
        <v>0</v>
      </c>
      <c r="D362">
        <f t="shared" si="72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3"/>
        <v>0</v>
      </c>
      <c r="G362">
        <f t="shared" si="74"/>
        <v>0</v>
      </c>
      <c r="H362">
        <f t="shared" si="75"/>
        <v>0</v>
      </c>
      <c r="I362">
        <f t="shared" si="76"/>
        <v>0</v>
      </c>
      <c r="J362">
        <f t="shared" si="77"/>
        <v>0</v>
      </c>
      <c r="K362" s="4" t="e">
        <f t="shared" si="67"/>
        <v>#N/A</v>
      </c>
      <c r="L362" t="e">
        <f t="shared" si="68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9"/>
        <v>0</v>
      </c>
      <c r="B363">
        <f t="shared" si="70"/>
        <v>0</v>
      </c>
      <c r="C363">
        <f t="shared" si="71"/>
        <v>0</v>
      </c>
      <c r="D363">
        <f t="shared" si="72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3"/>
        <v>0</v>
      </c>
      <c r="G363">
        <f t="shared" si="74"/>
        <v>0</v>
      </c>
      <c r="H363">
        <f t="shared" si="75"/>
        <v>0</v>
      </c>
      <c r="I363">
        <f t="shared" si="76"/>
        <v>0</v>
      </c>
      <c r="J363">
        <f t="shared" si="77"/>
        <v>0</v>
      </c>
      <c r="K363" s="4" t="e">
        <f t="shared" si="67"/>
        <v>#N/A</v>
      </c>
      <c r="L363" t="e">
        <f t="shared" si="68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9"/>
        <v>0</v>
      </c>
      <c r="B364">
        <f t="shared" si="70"/>
        <v>0</v>
      </c>
      <c r="C364">
        <f t="shared" si="71"/>
        <v>0</v>
      </c>
      <c r="D364">
        <f t="shared" si="72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3"/>
        <v>0</v>
      </c>
      <c r="G364">
        <f t="shared" si="74"/>
        <v>0</v>
      </c>
      <c r="H364">
        <f t="shared" si="75"/>
        <v>0</v>
      </c>
      <c r="I364">
        <f t="shared" si="76"/>
        <v>0</v>
      </c>
      <c r="J364">
        <f t="shared" si="77"/>
        <v>0</v>
      </c>
      <c r="K364" s="4" t="e">
        <f t="shared" ref="K364:K427" si="80">IF(LEFT(B364,3)="DBM",0,VLOOKUP(E364,tabela,2,FALSE))</f>
        <v>#N/A</v>
      </c>
      <c r="L364" t="e">
        <f t="shared" ref="L364:L427" si="81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9"/>
        <v>0</v>
      </c>
      <c r="B365">
        <f t="shared" si="70"/>
        <v>0</v>
      </c>
      <c r="C365">
        <f t="shared" si="71"/>
        <v>0</v>
      </c>
      <c r="D365">
        <f t="shared" si="72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3"/>
        <v>0</v>
      </c>
      <c r="G365">
        <f t="shared" si="74"/>
        <v>0</v>
      </c>
      <c r="H365">
        <f t="shared" si="75"/>
        <v>0</v>
      </c>
      <c r="I365">
        <f t="shared" si="76"/>
        <v>0</v>
      </c>
      <c r="J365">
        <f t="shared" si="77"/>
        <v>0</v>
      </c>
      <c r="K365" s="4" t="e">
        <f t="shared" si="80"/>
        <v>#N/A</v>
      </c>
      <c r="L365" t="e">
        <f t="shared" si="81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9"/>
        <v>0</v>
      </c>
      <c r="B366">
        <f t="shared" si="70"/>
        <v>0</v>
      </c>
      <c r="C366">
        <f t="shared" si="71"/>
        <v>0</v>
      </c>
      <c r="D366">
        <f t="shared" si="72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3"/>
        <v>0</v>
      </c>
      <c r="G366">
        <f t="shared" si="74"/>
        <v>0</v>
      </c>
      <c r="H366">
        <f t="shared" si="75"/>
        <v>0</v>
      </c>
      <c r="I366">
        <f t="shared" si="76"/>
        <v>0</v>
      </c>
      <c r="J366">
        <f t="shared" si="77"/>
        <v>0</v>
      </c>
      <c r="K366" s="4" t="e">
        <f t="shared" si="80"/>
        <v>#N/A</v>
      </c>
      <c r="L366" t="e">
        <f t="shared" si="81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9"/>
        <v>0</v>
      </c>
      <c r="B367">
        <f t="shared" si="70"/>
        <v>0</v>
      </c>
      <c r="C367">
        <f t="shared" si="71"/>
        <v>0</v>
      </c>
      <c r="D367">
        <f t="shared" si="72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3"/>
        <v>0</v>
      </c>
      <c r="G367">
        <f t="shared" si="74"/>
        <v>0</v>
      </c>
      <c r="H367">
        <f t="shared" si="75"/>
        <v>0</v>
      </c>
      <c r="I367">
        <f t="shared" si="76"/>
        <v>0</v>
      </c>
      <c r="J367">
        <f t="shared" si="77"/>
        <v>0</v>
      </c>
      <c r="K367" s="4" t="e">
        <f t="shared" si="80"/>
        <v>#N/A</v>
      </c>
      <c r="L367" t="e">
        <f t="shared" si="81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9"/>
        <v>0</v>
      </c>
      <c r="B368">
        <f t="shared" si="70"/>
        <v>0</v>
      </c>
      <c r="C368">
        <f t="shared" si="71"/>
        <v>0</v>
      </c>
      <c r="D368">
        <f t="shared" si="72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3"/>
        <v>0</v>
      </c>
      <c r="G368">
        <f t="shared" si="74"/>
        <v>0</v>
      </c>
      <c r="H368">
        <f t="shared" si="75"/>
        <v>0</v>
      </c>
      <c r="I368">
        <f t="shared" si="76"/>
        <v>0</v>
      </c>
      <c r="J368">
        <f t="shared" si="77"/>
        <v>0</v>
      </c>
      <c r="K368" s="4" t="e">
        <f t="shared" si="80"/>
        <v>#N/A</v>
      </c>
      <c r="L368" t="e">
        <f t="shared" si="81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9"/>
        <v>0</v>
      </c>
      <c r="B369">
        <f t="shared" si="70"/>
        <v>0</v>
      </c>
      <c r="C369">
        <f t="shared" si="71"/>
        <v>0</v>
      </c>
      <c r="D369">
        <f t="shared" si="72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3"/>
        <v>0</v>
      </c>
      <c r="G369">
        <f t="shared" si="74"/>
        <v>0</v>
      </c>
      <c r="H369">
        <f t="shared" si="75"/>
        <v>0</v>
      </c>
      <c r="I369">
        <f t="shared" si="76"/>
        <v>0</v>
      </c>
      <c r="J369">
        <f t="shared" si="77"/>
        <v>0</v>
      </c>
      <c r="K369" s="4" t="e">
        <f t="shared" si="80"/>
        <v>#N/A</v>
      </c>
      <c r="L369" t="e">
        <f t="shared" si="81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9"/>
        <v>0</v>
      </c>
      <c r="B370">
        <f t="shared" si="70"/>
        <v>0</v>
      </c>
      <c r="C370">
        <f t="shared" si="71"/>
        <v>0</v>
      </c>
      <c r="D370">
        <f t="shared" si="72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3"/>
        <v>0</v>
      </c>
      <c r="G370">
        <f t="shared" si="74"/>
        <v>0</v>
      </c>
      <c r="H370">
        <f t="shared" si="75"/>
        <v>0</v>
      </c>
      <c r="I370">
        <f t="shared" si="76"/>
        <v>0</v>
      </c>
      <c r="J370">
        <f t="shared" si="77"/>
        <v>0</v>
      </c>
      <c r="K370" s="4" t="e">
        <f t="shared" si="80"/>
        <v>#N/A</v>
      </c>
      <c r="L370" t="e">
        <f t="shared" si="81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9"/>
        <v>0</v>
      </c>
      <c r="B371">
        <f t="shared" si="70"/>
        <v>0</v>
      </c>
      <c r="C371">
        <f t="shared" si="71"/>
        <v>0</v>
      </c>
      <c r="D371">
        <f t="shared" si="72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3"/>
        <v>0</v>
      </c>
      <c r="G371">
        <f t="shared" si="74"/>
        <v>0</v>
      </c>
      <c r="H371">
        <f t="shared" si="75"/>
        <v>0</v>
      </c>
      <c r="I371">
        <f t="shared" si="76"/>
        <v>0</v>
      </c>
      <c r="J371">
        <f t="shared" si="77"/>
        <v>0</v>
      </c>
      <c r="K371" s="4" t="e">
        <f t="shared" si="80"/>
        <v>#N/A</v>
      </c>
      <c r="L371" t="e">
        <f t="shared" si="81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9"/>
        <v>0</v>
      </c>
      <c r="B372">
        <f t="shared" si="70"/>
        <v>0</v>
      </c>
      <c r="C372">
        <f t="shared" si="71"/>
        <v>0</v>
      </c>
      <c r="D372">
        <f t="shared" si="72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3"/>
        <v>0</v>
      </c>
      <c r="G372">
        <f t="shared" si="74"/>
        <v>0</v>
      </c>
      <c r="H372">
        <f t="shared" si="75"/>
        <v>0</v>
      </c>
      <c r="I372">
        <f t="shared" si="76"/>
        <v>0</v>
      </c>
      <c r="J372">
        <f t="shared" si="77"/>
        <v>0</v>
      </c>
      <c r="K372" s="4" t="e">
        <f t="shared" si="80"/>
        <v>#N/A</v>
      </c>
      <c r="L372" t="e">
        <f t="shared" si="81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9"/>
        <v>0</v>
      </c>
      <c r="B373">
        <f t="shared" si="70"/>
        <v>0</v>
      </c>
      <c r="C373">
        <f t="shared" si="71"/>
        <v>0</v>
      </c>
      <c r="D373">
        <f t="shared" si="72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3"/>
        <v>0</v>
      </c>
      <c r="G373">
        <f t="shared" si="74"/>
        <v>0</v>
      </c>
      <c r="H373">
        <f t="shared" si="75"/>
        <v>0</v>
      </c>
      <c r="I373">
        <f t="shared" si="76"/>
        <v>0</v>
      </c>
      <c r="J373">
        <f t="shared" si="77"/>
        <v>0</v>
      </c>
      <c r="K373" s="4" t="e">
        <f t="shared" si="80"/>
        <v>#N/A</v>
      </c>
      <c r="L373" t="e">
        <f t="shared" si="81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9"/>
        <v>0</v>
      </c>
      <c r="B374">
        <f t="shared" si="70"/>
        <v>0</v>
      </c>
      <c r="C374">
        <f t="shared" si="71"/>
        <v>0</v>
      </c>
      <c r="D374">
        <f t="shared" si="72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3"/>
        <v>0</v>
      </c>
      <c r="G374">
        <f t="shared" si="74"/>
        <v>0</v>
      </c>
      <c r="H374">
        <f t="shared" si="75"/>
        <v>0</v>
      </c>
      <c r="I374">
        <f t="shared" si="76"/>
        <v>0</v>
      </c>
      <c r="J374">
        <f t="shared" si="77"/>
        <v>0</v>
      </c>
      <c r="K374" s="4" t="e">
        <f t="shared" si="80"/>
        <v>#N/A</v>
      </c>
      <c r="L374" t="e">
        <f t="shared" si="81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9"/>
        <v>0</v>
      </c>
      <c r="B375">
        <f t="shared" si="70"/>
        <v>0</v>
      </c>
      <c r="C375">
        <f t="shared" si="71"/>
        <v>0</v>
      </c>
      <c r="D375">
        <f t="shared" si="72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3"/>
        <v>0</v>
      </c>
      <c r="G375">
        <f t="shared" si="74"/>
        <v>0</v>
      </c>
      <c r="H375">
        <f t="shared" si="75"/>
        <v>0</v>
      </c>
      <c r="I375">
        <f t="shared" si="76"/>
        <v>0</v>
      </c>
      <c r="J375">
        <f t="shared" si="77"/>
        <v>0</v>
      </c>
      <c r="K375" s="4" t="e">
        <f t="shared" si="80"/>
        <v>#N/A</v>
      </c>
      <c r="L375" t="e">
        <f t="shared" si="81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9"/>
        <v>0</v>
      </c>
      <c r="B376">
        <f t="shared" si="70"/>
        <v>0</v>
      </c>
      <c r="C376">
        <f t="shared" si="71"/>
        <v>0</v>
      </c>
      <c r="D376">
        <f t="shared" si="72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3"/>
        <v>0</v>
      </c>
      <c r="G376">
        <f t="shared" si="74"/>
        <v>0</v>
      </c>
      <c r="H376">
        <f t="shared" si="75"/>
        <v>0</v>
      </c>
      <c r="I376">
        <f t="shared" si="76"/>
        <v>0</v>
      </c>
      <c r="J376">
        <f t="shared" si="77"/>
        <v>0</v>
      </c>
      <c r="K376" s="4" t="e">
        <f t="shared" si="80"/>
        <v>#N/A</v>
      </c>
      <c r="L376" t="e">
        <f t="shared" si="81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9"/>
        <v>0</v>
      </c>
      <c r="B377">
        <f t="shared" si="70"/>
        <v>0</v>
      </c>
      <c r="C377">
        <f t="shared" si="71"/>
        <v>0</v>
      </c>
      <c r="D377">
        <f t="shared" si="72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3"/>
        <v>0</v>
      </c>
      <c r="G377">
        <f t="shared" si="74"/>
        <v>0</v>
      </c>
      <c r="H377">
        <f t="shared" si="75"/>
        <v>0</v>
      </c>
      <c r="I377">
        <f t="shared" si="76"/>
        <v>0</v>
      </c>
      <c r="J377">
        <f t="shared" si="77"/>
        <v>0</v>
      </c>
      <c r="K377" s="4" t="e">
        <f t="shared" si="80"/>
        <v>#N/A</v>
      </c>
      <c r="L377" t="e">
        <f t="shared" si="81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2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H5" sqref="H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39692448</v>
      </c>
      <c r="E4" s="14">
        <f>C4*D4/1000</f>
        <v>3572.3203199999998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8237.1953199999989</v>
      </c>
      <c r="H5" s="14">
        <f>SUM(total_ferramenta_filtrada)</f>
        <v>2169.3340136000002</v>
      </c>
    </row>
    <row r="6" spans="1:8">
      <c r="B6" s="13" t="s">
        <v>10</v>
      </c>
      <c r="C6" s="2">
        <v>0.02</v>
      </c>
      <c r="D6" s="2">
        <f>SUMIF(adtype_filtrada,$B6,clicks_filtrada)</f>
        <v>186595</v>
      </c>
      <c r="E6" s="14">
        <f>C6*D6</f>
        <v>3731.9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7304.2203200000004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422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148</v>
      </c>
      <c r="D20" t="s">
        <v>149</v>
      </c>
      <c r="E20" t="s">
        <v>150</v>
      </c>
      <c r="F20" t="s">
        <v>10</v>
      </c>
      <c r="G20" t="s">
        <v>149</v>
      </c>
      <c r="H20" t="s">
        <v>151</v>
      </c>
      <c r="I20" t="s">
        <v>32</v>
      </c>
      <c r="J20">
        <v>0</v>
      </c>
      <c r="K20">
        <v>8</v>
      </c>
      <c r="L20" s="4">
        <v>3.5000000000000001E-3</v>
      </c>
      <c r="M20">
        <v>2.5000000000000001E-2</v>
      </c>
      <c r="N20" s="4">
        <v>2.8000000000000001E-2</v>
      </c>
      <c r="O20" s="4">
        <v>0.2</v>
      </c>
    </row>
    <row r="21" spans="1:15">
      <c r="B21" t="s">
        <v>52</v>
      </c>
      <c r="C21" t="s">
        <v>148</v>
      </c>
      <c r="D21" t="s">
        <v>424</v>
      </c>
      <c r="E21" t="s">
        <v>425</v>
      </c>
      <c r="F21" t="s">
        <v>10</v>
      </c>
      <c r="G21" t="s">
        <v>424</v>
      </c>
      <c r="H21" t="s">
        <v>426</v>
      </c>
      <c r="I21" t="s">
        <v>32</v>
      </c>
      <c r="J21">
        <v>0</v>
      </c>
      <c r="K21">
        <v>9</v>
      </c>
      <c r="L21" s="4">
        <v>3.5000000000000001E-3</v>
      </c>
      <c r="M21">
        <v>2.5000000000000001E-2</v>
      </c>
      <c r="N21" s="4">
        <v>3.15E-2</v>
      </c>
      <c r="O21" s="4">
        <v>0.22500000000000001</v>
      </c>
    </row>
    <row r="22" spans="1:15">
      <c r="B22" t="s">
        <v>52</v>
      </c>
      <c r="C22" t="s">
        <v>148</v>
      </c>
      <c r="D22" t="s">
        <v>427</v>
      </c>
      <c r="E22" t="s">
        <v>428</v>
      </c>
      <c r="F22" t="s">
        <v>10</v>
      </c>
      <c r="G22" t="s">
        <v>427</v>
      </c>
      <c r="H22" t="s">
        <v>429</v>
      </c>
      <c r="I22" t="s">
        <v>32</v>
      </c>
      <c r="J22">
        <v>0</v>
      </c>
      <c r="K22">
        <v>4</v>
      </c>
      <c r="L22" s="4">
        <v>3.5000000000000001E-3</v>
      </c>
      <c r="M22">
        <v>2.5000000000000001E-2</v>
      </c>
      <c r="N22" s="4">
        <v>1.4E-2</v>
      </c>
      <c r="O22" s="4">
        <v>0.1</v>
      </c>
    </row>
    <row r="23" spans="1:15">
      <c r="B23" t="s">
        <v>52</v>
      </c>
      <c r="C23" t="s">
        <v>148</v>
      </c>
      <c r="D23" t="s">
        <v>430</v>
      </c>
      <c r="E23" t="s">
        <v>431</v>
      </c>
      <c r="F23" t="s">
        <v>10</v>
      </c>
      <c r="G23" t="s">
        <v>430</v>
      </c>
      <c r="H23" t="s">
        <v>432</v>
      </c>
      <c r="I23" t="s">
        <v>32</v>
      </c>
      <c r="J23">
        <v>0</v>
      </c>
      <c r="K23">
        <v>3</v>
      </c>
      <c r="L23" s="4">
        <v>3.5000000000000001E-3</v>
      </c>
      <c r="M23">
        <v>2.5000000000000001E-2</v>
      </c>
      <c r="N23" s="4">
        <v>1.0500000000000001E-2</v>
      </c>
      <c r="O23" s="4">
        <v>7.5000000000000011E-2</v>
      </c>
    </row>
    <row r="24" spans="1:15">
      <c r="B24" t="s">
        <v>52</v>
      </c>
      <c r="C24" t="s">
        <v>148</v>
      </c>
      <c r="D24" t="s">
        <v>433</v>
      </c>
      <c r="E24" t="s">
        <v>434</v>
      </c>
      <c r="F24" t="s">
        <v>10</v>
      </c>
      <c r="G24" t="s">
        <v>433</v>
      </c>
      <c r="H24" t="s">
        <v>435</v>
      </c>
      <c r="I24" t="s">
        <v>32</v>
      </c>
      <c r="J24">
        <v>0</v>
      </c>
      <c r="K24">
        <v>3</v>
      </c>
      <c r="L24" s="4">
        <v>3.5000000000000001E-3</v>
      </c>
      <c r="M24">
        <v>2.5000000000000001E-2</v>
      </c>
      <c r="N24" s="4">
        <v>1.0500000000000001E-2</v>
      </c>
      <c r="O24" s="4">
        <v>7.5000000000000011E-2</v>
      </c>
    </row>
    <row r="25" spans="1:15">
      <c r="B25" t="s">
        <v>52</v>
      </c>
      <c r="C25" t="s">
        <v>148</v>
      </c>
      <c r="D25" t="s">
        <v>436</v>
      </c>
      <c r="E25" t="s">
        <v>437</v>
      </c>
      <c r="F25" t="s">
        <v>10</v>
      </c>
      <c r="G25" t="s">
        <v>436</v>
      </c>
      <c r="H25" t="s">
        <v>438</v>
      </c>
      <c r="I25" t="s">
        <v>32</v>
      </c>
      <c r="J25">
        <v>0</v>
      </c>
      <c r="K25">
        <v>5</v>
      </c>
      <c r="L25" s="4">
        <v>3.5000000000000001E-3</v>
      </c>
      <c r="M25">
        <v>2.5000000000000001E-2</v>
      </c>
      <c r="N25" s="4">
        <v>1.7500000000000002E-2</v>
      </c>
      <c r="O25" s="4">
        <v>0.125</v>
      </c>
    </row>
    <row r="26" spans="1:15">
      <c r="B26" t="s">
        <v>52</v>
      </c>
      <c r="C26" t="s">
        <v>148</v>
      </c>
      <c r="D26" t="s">
        <v>439</v>
      </c>
      <c r="E26" t="s">
        <v>440</v>
      </c>
      <c r="F26" t="s">
        <v>10</v>
      </c>
      <c r="G26" t="s">
        <v>439</v>
      </c>
      <c r="H26" t="s">
        <v>441</v>
      </c>
      <c r="I26" t="s">
        <v>32</v>
      </c>
      <c r="J26">
        <v>0</v>
      </c>
      <c r="K26">
        <v>4</v>
      </c>
      <c r="L26" s="4">
        <v>3.5000000000000001E-3</v>
      </c>
      <c r="M26">
        <v>2.5000000000000001E-2</v>
      </c>
      <c r="N26" s="4">
        <v>1.4E-2</v>
      </c>
      <c r="O26" s="4">
        <v>0.1</v>
      </c>
    </row>
    <row r="27" spans="1:15">
      <c r="B27" t="s">
        <v>52</v>
      </c>
      <c r="C27" t="s">
        <v>148</v>
      </c>
      <c r="D27" t="s">
        <v>442</v>
      </c>
      <c r="E27" t="s">
        <v>443</v>
      </c>
      <c r="F27" t="s">
        <v>10</v>
      </c>
      <c r="G27" t="s">
        <v>442</v>
      </c>
      <c r="H27" t="s">
        <v>444</v>
      </c>
      <c r="I27" t="s">
        <v>32</v>
      </c>
      <c r="J27">
        <v>0</v>
      </c>
      <c r="K27">
        <v>2</v>
      </c>
      <c r="L27" s="4">
        <v>3.5000000000000001E-3</v>
      </c>
      <c r="M27">
        <v>2.5000000000000001E-2</v>
      </c>
      <c r="N27" s="4">
        <v>7.0000000000000001E-3</v>
      </c>
      <c r="O27" s="4">
        <v>0.05</v>
      </c>
    </row>
    <row r="28" spans="1:15">
      <c r="B28" t="s">
        <v>52</v>
      </c>
      <c r="C28" t="s">
        <v>148</v>
      </c>
      <c r="D28" t="s">
        <v>445</v>
      </c>
      <c r="E28" t="s">
        <v>446</v>
      </c>
      <c r="F28" t="s">
        <v>10</v>
      </c>
      <c r="G28" t="s">
        <v>445</v>
      </c>
      <c r="H28" t="s">
        <v>447</v>
      </c>
      <c r="I28" t="s">
        <v>32</v>
      </c>
      <c r="J28">
        <v>0</v>
      </c>
      <c r="K28">
        <v>3</v>
      </c>
      <c r="L28" s="4">
        <v>3.5000000000000001E-3</v>
      </c>
      <c r="M28">
        <v>2.5000000000000001E-2</v>
      </c>
      <c r="N28" s="4">
        <v>1.0500000000000001E-2</v>
      </c>
      <c r="O28" s="4">
        <v>7.5000000000000011E-2</v>
      </c>
    </row>
    <row r="29" spans="1:15">
      <c r="B29" t="s">
        <v>52</v>
      </c>
      <c r="C29" t="s">
        <v>148</v>
      </c>
      <c r="D29" t="s">
        <v>448</v>
      </c>
      <c r="E29" t="s">
        <v>449</v>
      </c>
      <c r="F29" t="s">
        <v>10</v>
      </c>
      <c r="G29" t="s">
        <v>448</v>
      </c>
      <c r="H29" t="s">
        <v>450</v>
      </c>
      <c r="I29" t="s">
        <v>32</v>
      </c>
      <c r="J29">
        <v>0</v>
      </c>
      <c r="K29">
        <v>4</v>
      </c>
      <c r="L29" s="4">
        <v>3.5000000000000001E-3</v>
      </c>
      <c r="M29">
        <v>2.5000000000000001E-2</v>
      </c>
      <c r="N29" s="4">
        <v>1.4E-2</v>
      </c>
      <c r="O29" s="4">
        <v>0.1</v>
      </c>
    </row>
    <row r="30" spans="1:15">
      <c r="B30" t="s">
        <v>52</v>
      </c>
      <c r="C30" t="s">
        <v>152</v>
      </c>
      <c r="D30" t="s">
        <v>153</v>
      </c>
      <c r="E30" t="s">
        <v>154</v>
      </c>
      <c r="F30" t="s">
        <v>10</v>
      </c>
      <c r="G30" t="s">
        <v>153</v>
      </c>
      <c r="H30" t="s">
        <v>155</v>
      </c>
      <c r="I30" t="s">
        <v>32</v>
      </c>
      <c r="J30">
        <v>0</v>
      </c>
      <c r="K30">
        <v>810</v>
      </c>
      <c r="L30" s="4">
        <v>3.5000000000000001E-3</v>
      </c>
      <c r="M30">
        <v>2.5000000000000001E-2</v>
      </c>
      <c r="N30" s="4">
        <v>2.835</v>
      </c>
      <c r="O30" s="4">
        <v>20.25</v>
      </c>
    </row>
    <row r="31" spans="1:15">
      <c r="B31" t="s">
        <v>52</v>
      </c>
      <c r="C31" t="s">
        <v>152</v>
      </c>
      <c r="D31" t="s">
        <v>156</v>
      </c>
      <c r="E31" t="s">
        <v>157</v>
      </c>
      <c r="F31" t="s">
        <v>10</v>
      </c>
      <c r="G31" t="s">
        <v>156</v>
      </c>
      <c r="H31" t="s">
        <v>158</v>
      </c>
      <c r="I31" t="s">
        <v>32</v>
      </c>
      <c r="J31">
        <v>0</v>
      </c>
      <c r="K31">
        <v>4808</v>
      </c>
      <c r="L31" s="4">
        <v>3.5000000000000001E-3</v>
      </c>
      <c r="M31">
        <v>2.5000000000000001E-2</v>
      </c>
      <c r="N31" s="4">
        <v>16.827999999999999</v>
      </c>
      <c r="O31" s="4">
        <v>120.2</v>
      </c>
    </row>
    <row r="32" spans="1:15">
      <c r="B32" t="s">
        <v>52</v>
      </c>
      <c r="C32" t="s">
        <v>152</v>
      </c>
      <c r="D32" t="s">
        <v>451</v>
      </c>
      <c r="E32" t="s">
        <v>452</v>
      </c>
      <c r="F32" t="s">
        <v>10</v>
      </c>
      <c r="G32" t="s">
        <v>451</v>
      </c>
      <c r="H32" t="s">
        <v>453</v>
      </c>
      <c r="I32" t="s">
        <v>32</v>
      </c>
      <c r="J32">
        <v>0</v>
      </c>
      <c r="K32">
        <v>416</v>
      </c>
      <c r="L32" s="4">
        <v>3.5000000000000001E-3</v>
      </c>
      <c r="M32">
        <v>2.5000000000000001E-2</v>
      </c>
      <c r="N32" s="4">
        <v>1.456</v>
      </c>
      <c r="O32" s="4">
        <v>10.4</v>
      </c>
    </row>
    <row r="33" spans="2:15">
      <c r="B33" t="s">
        <v>52</v>
      </c>
      <c r="C33" t="s">
        <v>152</v>
      </c>
      <c r="D33" t="s">
        <v>159</v>
      </c>
      <c r="E33" t="s">
        <v>160</v>
      </c>
      <c r="F33" t="s">
        <v>10</v>
      </c>
      <c r="G33" t="s">
        <v>159</v>
      </c>
      <c r="H33" t="s">
        <v>161</v>
      </c>
      <c r="I33" t="s">
        <v>32</v>
      </c>
      <c r="J33">
        <v>0</v>
      </c>
      <c r="K33">
        <v>677</v>
      </c>
      <c r="L33" s="4">
        <v>3.5000000000000001E-3</v>
      </c>
      <c r="M33">
        <v>2.5000000000000001E-2</v>
      </c>
      <c r="N33" s="4">
        <v>2.3694999999999999</v>
      </c>
      <c r="O33" s="4">
        <v>16.925000000000001</v>
      </c>
    </row>
    <row r="34" spans="2:15">
      <c r="B34" t="s">
        <v>52</v>
      </c>
      <c r="C34" t="s">
        <v>162</v>
      </c>
      <c r="D34" t="s">
        <v>163</v>
      </c>
      <c r="E34" t="s">
        <v>164</v>
      </c>
      <c r="F34" t="s">
        <v>12</v>
      </c>
      <c r="G34" t="s">
        <v>163</v>
      </c>
      <c r="H34" t="s">
        <v>165</v>
      </c>
      <c r="I34" t="s">
        <v>32</v>
      </c>
      <c r="J34">
        <v>3952153</v>
      </c>
      <c r="K34">
        <v>43071</v>
      </c>
      <c r="L34" s="4">
        <v>3.8199999999999998E-2</v>
      </c>
      <c r="M34">
        <v>0.09</v>
      </c>
      <c r="N34" s="4">
        <v>150.97224460000001</v>
      </c>
      <c r="O34" s="4">
        <v>355.69376999999997</v>
      </c>
    </row>
    <row r="35" spans="2:15">
      <c r="B35" t="s">
        <v>52</v>
      </c>
      <c r="C35" t="s">
        <v>166</v>
      </c>
      <c r="D35" t="s">
        <v>167</v>
      </c>
      <c r="E35" t="s">
        <v>168</v>
      </c>
      <c r="F35" t="s">
        <v>10</v>
      </c>
      <c r="G35" t="s">
        <v>167</v>
      </c>
      <c r="H35" t="s">
        <v>169</v>
      </c>
      <c r="I35" t="s">
        <v>32</v>
      </c>
      <c r="J35">
        <v>0</v>
      </c>
      <c r="K35">
        <v>15490</v>
      </c>
      <c r="L35" s="4">
        <v>3.5000000000000001E-3</v>
      </c>
      <c r="M35">
        <v>2.5000000000000001E-2</v>
      </c>
      <c r="N35" s="4">
        <v>54.215000000000003</v>
      </c>
      <c r="O35" s="4">
        <v>387.25</v>
      </c>
    </row>
    <row r="36" spans="2:15">
      <c r="B36" t="s">
        <v>52</v>
      </c>
      <c r="C36" t="s">
        <v>170</v>
      </c>
      <c r="D36" t="s">
        <v>454</v>
      </c>
      <c r="E36" t="s">
        <v>455</v>
      </c>
      <c r="F36" t="s">
        <v>12</v>
      </c>
      <c r="G36" t="s">
        <v>454</v>
      </c>
      <c r="H36" t="s">
        <v>456</v>
      </c>
      <c r="I36" t="s">
        <v>32</v>
      </c>
      <c r="J36">
        <v>3533</v>
      </c>
      <c r="K36">
        <v>74</v>
      </c>
      <c r="L36" s="4">
        <v>3.8199999999999998E-2</v>
      </c>
      <c r="M36">
        <v>0.09</v>
      </c>
      <c r="N36" s="4">
        <v>0.13496059999999999</v>
      </c>
      <c r="O36" s="4">
        <v>0.31796999999999997</v>
      </c>
    </row>
    <row r="37" spans="2:15">
      <c r="B37" t="s">
        <v>52</v>
      </c>
      <c r="C37" t="s">
        <v>170</v>
      </c>
      <c r="D37" t="s">
        <v>457</v>
      </c>
      <c r="E37" t="s">
        <v>458</v>
      </c>
      <c r="F37" t="s">
        <v>12</v>
      </c>
      <c r="G37" t="s">
        <v>457</v>
      </c>
      <c r="H37" t="s">
        <v>459</v>
      </c>
      <c r="I37" t="s">
        <v>32</v>
      </c>
      <c r="J37">
        <v>3517</v>
      </c>
      <c r="K37">
        <v>15</v>
      </c>
      <c r="L37" s="4">
        <v>3.8199999999999998E-2</v>
      </c>
      <c r="M37">
        <v>0.09</v>
      </c>
      <c r="N37" s="4">
        <v>0.13434940000000001</v>
      </c>
      <c r="O37" s="4">
        <v>0.31652999999999998</v>
      </c>
    </row>
    <row r="38" spans="2:15">
      <c r="B38" t="s">
        <v>52</v>
      </c>
      <c r="C38" t="s">
        <v>170</v>
      </c>
      <c r="D38" t="s">
        <v>460</v>
      </c>
      <c r="E38" t="s">
        <v>461</v>
      </c>
      <c r="F38" t="s">
        <v>10</v>
      </c>
      <c r="G38" t="s">
        <v>460</v>
      </c>
      <c r="H38" t="s">
        <v>462</v>
      </c>
      <c r="I38" t="s">
        <v>32</v>
      </c>
      <c r="J38">
        <v>0</v>
      </c>
      <c r="K38">
        <v>40</v>
      </c>
      <c r="L38" s="4">
        <v>3.5000000000000001E-3</v>
      </c>
      <c r="M38">
        <v>2.5000000000000001E-2</v>
      </c>
      <c r="N38" s="4">
        <v>0.14000000000000001</v>
      </c>
      <c r="O38" s="4">
        <v>1</v>
      </c>
    </row>
    <row r="39" spans="2:15">
      <c r="B39" t="s">
        <v>52</v>
      </c>
      <c r="C39" t="s">
        <v>170</v>
      </c>
      <c r="D39" t="s">
        <v>463</v>
      </c>
      <c r="E39" t="s">
        <v>464</v>
      </c>
      <c r="F39" t="s">
        <v>12</v>
      </c>
      <c r="G39" t="s">
        <v>463</v>
      </c>
      <c r="H39" t="s">
        <v>465</v>
      </c>
      <c r="I39" t="s">
        <v>32</v>
      </c>
      <c r="J39">
        <v>3526</v>
      </c>
      <c r="K39">
        <v>15</v>
      </c>
      <c r="L39" s="4">
        <v>3.8199999999999998E-2</v>
      </c>
      <c r="M39">
        <v>0.09</v>
      </c>
      <c r="N39" s="4">
        <v>0.13469319999999999</v>
      </c>
      <c r="O39" s="4">
        <v>0.31733999999999996</v>
      </c>
    </row>
    <row r="40" spans="2:15">
      <c r="B40" t="s">
        <v>52</v>
      </c>
      <c r="C40" t="s">
        <v>170</v>
      </c>
      <c r="D40" t="s">
        <v>466</v>
      </c>
      <c r="E40" t="s">
        <v>467</v>
      </c>
      <c r="F40" t="s">
        <v>12</v>
      </c>
      <c r="G40" t="s">
        <v>466</v>
      </c>
      <c r="H40" t="s">
        <v>468</v>
      </c>
      <c r="I40" t="s">
        <v>32</v>
      </c>
      <c r="J40">
        <v>3515</v>
      </c>
      <c r="K40">
        <v>13</v>
      </c>
      <c r="L40" s="4">
        <v>3.8199999999999998E-2</v>
      </c>
      <c r="M40">
        <v>0.09</v>
      </c>
      <c r="N40" s="4">
        <v>0.134273</v>
      </c>
      <c r="O40" s="4">
        <v>0.31634999999999996</v>
      </c>
    </row>
    <row r="41" spans="2:15">
      <c r="B41" t="s">
        <v>52</v>
      </c>
      <c r="C41" t="s">
        <v>170</v>
      </c>
      <c r="D41" t="s">
        <v>469</v>
      </c>
      <c r="E41" t="s">
        <v>470</v>
      </c>
      <c r="F41" t="s">
        <v>12</v>
      </c>
      <c r="G41" t="s">
        <v>469</v>
      </c>
      <c r="H41" t="s">
        <v>471</v>
      </c>
      <c r="I41" t="s">
        <v>32</v>
      </c>
      <c r="J41">
        <v>3517</v>
      </c>
      <c r="K41">
        <v>14</v>
      </c>
      <c r="L41" s="4">
        <v>3.8199999999999998E-2</v>
      </c>
      <c r="M41">
        <v>0.09</v>
      </c>
      <c r="N41" s="4">
        <v>0.13434940000000001</v>
      </c>
      <c r="O41" s="4">
        <v>0.31652999999999998</v>
      </c>
    </row>
    <row r="42" spans="2:15">
      <c r="B42" t="s">
        <v>52</v>
      </c>
      <c r="C42" t="s">
        <v>170</v>
      </c>
      <c r="D42" t="s">
        <v>472</v>
      </c>
      <c r="E42" t="s">
        <v>473</v>
      </c>
      <c r="F42" t="s">
        <v>12</v>
      </c>
      <c r="G42" t="s">
        <v>472</v>
      </c>
      <c r="H42" t="s">
        <v>474</v>
      </c>
      <c r="I42" t="s">
        <v>32</v>
      </c>
      <c r="J42">
        <v>3539</v>
      </c>
      <c r="K42">
        <v>86</v>
      </c>
      <c r="L42" s="4">
        <v>3.8199999999999998E-2</v>
      </c>
      <c r="M42">
        <v>0.09</v>
      </c>
      <c r="N42" s="4">
        <v>0.1351898</v>
      </c>
      <c r="O42" s="4">
        <v>0.31851000000000002</v>
      </c>
    </row>
    <row r="43" spans="2:15">
      <c r="B43" t="s">
        <v>52</v>
      </c>
      <c r="C43" t="s">
        <v>170</v>
      </c>
      <c r="D43" t="s">
        <v>475</v>
      </c>
      <c r="E43" t="s">
        <v>476</v>
      </c>
      <c r="F43" t="s">
        <v>12</v>
      </c>
      <c r="G43" t="s">
        <v>475</v>
      </c>
      <c r="H43" t="s">
        <v>477</v>
      </c>
      <c r="I43" t="s">
        <v>32</v>
      </c>
      <c r="J43">
        <v>3528</v>
      </c>
      <c r="K43">
        <v>8</v>
      </c>
      <c r="L43" s="4">
        <v>3.8199999999999998E-2</v>
      </c>
      <c r="M43">
        <v>0.09</v>
      </c>
      <c r="N43" s="4">
        <v>0.13476959999999999</v>
      </c>
      <c r="O43" s="4">
        <v>0.31751999999999997</v>
      </c>
    </row>
    <row r="44" spans="2:15">
      <c r="B44" t="s">
        <v>52</v>
      </c>
      <c r="C44" t="s">
        <v>170</v>
      </c>
      <c r="D44" t="s">
        <v>478</v>
      </c>
      <c r="E44" t="s">
        <v>479</v>
      </c>
      <c r="F44" t="s">
        <v>12</v>
      </c>
      <c r="G44" t="s">
        <v>478</v>
      </c>
      <c r="H44" t="s">
        <v>480</v>
      </c>
      <c r="I44" t="s">
        <v>32</v>
      </c>
      <c r="J44">
        <v>3526</v>
      </c>
      <c r="K44">
        <v>5</v>
      </c>
      <c r="L44" s="4">
        <v>3.8199999999999998E-2</v>
      </c>
      <c r="M44">
        <v>0.09</v>
      </c>
      <c r="N44" s="4">
        <v>0.13469319999999999</v>
      </c>
      <c r="O44" s="4">
        <v>0.31733999999999996</v>
      </c>
    </row>
    <row r="45" spans="2:15">
      <c r="B45" t="s">
        <v>52</v>
      </c>
      <c r="C45" t="s">
        <v>170</v>
      </c>
      <c r="D45" t="s">
        <v>481</v>
      </c>
      <c r="E45" t="s">
        <v>482</v>
      </c>
      <c r="F45" t="s">
        <v>12</v>
      </c>
      <c r="G45" t="s">
        <v>481</v>
      </c>
      <c r="H45" t="s">
        <v>483</v>
      </c>
      <c r="I45" t="s">
        <v>32</v>
      </c>
      <c r="J45">
        <v>3525</v>
      </c>
      <c r="K45">
        <v>21</v>
      </c>
      <c r="L45" s="4">
        <v>3.8199999999999998E-2</v>
      </c>
      <c r="M45">
        <v>0.09</v>
      </c>
      <c r="N45" s="4">
        <v>0.134655</v>
      </c>
      <c r="O45" s="4">
        <v>0.31724999999999998</v>
      </c>
    </row>
    <row r="46" spans="2:15">
      <c r="B46" t="s">
        <v>52</v>
      </c>
      <c r="C46" t="s">
        <v>170</v>
      </c>
      <c r="D46" t="s">
        <v>484</v>
      </c>
      <c r="E46" t="s">
        <v>485</v>
      </c>
      <c r="F46" t="s">
        <v>12</v>
      </c>
      <c r="G46" t="s">
        <v>484</v>
      </c>
      <c r="H46" t="s">
        <v>486</v>
      </c>
      <c r="I46" t="s">
        <v>32</v>
      </c>
      <c r="J46">
        <v>3524</v>
      </c>
      <c r="K46">
        <v>15</v>
      </c>
      <c r="L46" s="4">
        <v>3.8199999999999998E-2</v>
      </c>
      <c r="M46">
        <v>0.09</v>
      </c>
      <c r="N46" s="4">
        <v>0.13461679999999998</v>
      </c>
      <c r="O46" s="4">
        <v>0.31715999999999994</v>
      </c>
    </row>
    <row r="47" spans="2:15">
      <c r="B47" t="s">
        <v>52</v>
      </c>
      <c r="C47" t="s">
        <v>170</v>
      </c>
      <c r="D47" t="s">
        <v>487</v>
      </c>
      <c r="E47" t="s">
        <v>488</v>
      </c>
      <c r="F47" t="s">
        <v>12</v>
      </c>
      <c r="G47" t="s">
        <v>487</v>
      </c>
      <c r="H47" t="s">
        <v>489</v>
      </c>
      <c r="I47" t="s">
        <v>32</v>
      </c>
      <c r="J47">
        <v>3494</v>
      </c>
      <c r="K47">
        <v>18</v>
      </c>
      <c r="L47" s="4">
        <v>3.8199999999999998E-2</v>
      </c>
      <c r="M47">
        <v>0.09</v>
      </c>
      <c r="N47" s="4">
        <v>0.1334708</v>
      </c>
      <c r="O47" s="4">
        <v>0.31445999999999996</v>
      </c>
    </row>
    <row r="48" spans="2:15">
      <c r="B48" t="s">
        <v>52</v>
      </c>
      <c r="C48" t="s">
        <v>170</v>
      </c>
      <c r="D48" t="s">
        <v>490</v>
      </c>
      <c r="E48" t="s">
        <v>491</v>
      </c>
      <c r="F48" t="s">
        <v>12</v>
      </c>
      <c r="G48" t="s">
        <v>490</v>
      </c>
      <c r="H48" t="s">
        <v>492</v>
      </c>
      <c r="I48" t="s">
        <v>32</v>
      </c>
      <c r="J48">
        <v>3497</v>
      </c>
      <c r="K48">
        <v>16</v>
      </c>
      <c r="L48" s="4">
        <v>3.8199999999999998E-2</v>
      </c>
      <c r="M48">
        <v>0.09</v>
      </c>
      <c r="N48" s="4">
        <v>0.13358539999999999</v>
      </c>
      <c r="O48" s="4">
        <v>0.31472999999999995</v>
      </c>
    </row>
    <row r="49" spans="2:15">
      <c r="B49" t="s">
        <v>52</v>
      </c>
      <c r="C49" t="s">
        <v>170</v>
      </c>
      <c r="D49" t="s">
        <v>493</v>
      </c>
      <c r="E49" t="s">
        <v>494</v>
      </c>
      <c r="F49" t="s">
        <v>12</v>
      </c>
      <c r="G49" t="s">
        <v>493</v>
      </c>
      <c r="H49" t="s">
        <v>495</v>
      </c>
      <c r="I49" t="s">
        <v>32</v>
      </c>
      <c r="J49">
        <v>3496</v>
      </c>
      <c r="K49">
        <v>25</v>
      </c>
      <c r="L49" s="4">
        <v>3.8199999999999998E-2</v>
      </c>
      <c r="M49">
        <v>0.09</v>
      </c>
      <c r="N49" s="4">
        <v>0.1335472</v>
      </c>
      <c r="O49" s="4">
        <v>0.31463999999999998</v>
      </c>
    </row>
    <row r="50" spans="2:15">
      <c r="B50" t="s">
        <v>52</v>
      </c>
      <c r="C50" t="s">
        <v>170</v>
      </c>
      <c r="D50" t="s">
        <v>171</v>
      </c>
      <c r="E50" t="s">
        <v>172</v>
      </c>
      <c r="F50" t="s">
        <v>12</v>
      </c>
      <c r="G50" t="s">
        <v>171</v>
      </c>
      <c r="H50" t="s">
        <v>173</v>
      </c>
      <c r="I50" t="s">
        <v>32</v>
      </c>
      <c r="J50">
        <v>11590</v>
      </c>
      <c r="K50">
        <v>7</v>
      </c>
      <c r="L50" s="4">
        <v>3.8199999999999998E-2</v>
      </c>
      <c r="M50">
        <v>0.09</v>
      </c>
      <c r="N50" s="4">
        <v>0.44273800000000002</v>
      </c>
      <c r="O50" s="4">
        <v>1.0430999999999999</v>
      </c>
    </row>
    <row r="51" spans="2:15">
      <c r="B51" t="s">
        <v>52</v>
      </c>
      <c r="C51" t="s">
        <v>170</v>
      </c>
      <c r="D51" t="s">
        <v>496</v>
      </c>
      <c r="E51" t="s">
        <v>497</v>
      </c>
      <c r="F51" t="s">
        <v>10</v>
      </c>
      <c r="G51" t="s">
        <v>496</v>
      </c>
      <c r="H51" t="s">
        <v>498</v>
      </c>
      <c r="I51" t="s">
        <v>32</v>
      </c>
      <c r="J51">
        <v>3</v>
      </c>
      <c r="K51">
        <v>5</v>
      </c>
      <c r="L51" s="4">
        <v>3.5000000000000001E-3</v>
      </c>
      <c r="M51">
        <v>2.5000000000000001E-2</v>
      </c>
      <c r="N51" s="4">
        <v>1.7500000000000002E-2</v>
      </c>
      <c r="O51" s="4">
        <v>0.125</v>
      </c>
    </row>
    <row r="52" spans="2:15">
      <c r="B52" t="s">
        <v>52</v>
      </c>
      <c r="C52" t="s">
        <v>499</v>
      </c>
      <c r="D52" t="s">
        <v>500</v>
      </c>
      <c r="E52" t="s">
        <v>501</v>
      </c>
      <c r="F52" t="s">
        <v>10</v>
      </c>
      <c r="G52" t="s">
        <v>500</v>
      </c>
      <c r="H52" t="s">
        <v>502</v>
      </c>
      <c r="I52" t="s">
        <v>32</v>
      </c>
      <c r="J52">
        <v>3</v>
      </c>
      <c r="K52">
        <v>19</v>
      </c>
      <c r="L52" s="4">
        <v>3.5000000000000001E-3</v>
      </c>
      <c r="M52">
        <v>2.5000000000000001E-2</v>
      </c>
      <c r="N52" s="4">
        <v>6.6500000000000004E-2</v>
      </c>
      <c r="O52" s="4">
        <v>0.47500000000000003</v>
      </c>
    </row>
    <row r="53" spans="2:15">
      <c r="B53" t="s">
        <v>52</v>
      </c>
      <c r="C53" t="s">
        <v>53</v>
      </c>
      <c r="D53" t="s">
        <v>503</v>
      </c>
      <c r="E53" t="s">
        <v>504</v>
      </c>
      <c r="F53" t="s">
        <v>10</v>
      </c>
      <c r="G53" t="s">
        <v>503</v>
      </c>
      <c r="H53" t="s">
        <v>505</v>
      </c>
      <c r="I53" t="s">
        <v>32</v>
      </c>
      <c r="J53">
        <v>0</v>
      </c>
      <c r="K53">
        <v>17</v>
      </c>
      <c r="L53" s="4">
        <v>3.5000000000000001E-3</v>
      </c>
      <c r="M53">
        <v>2.5000000000000001E-2</v>
      </c>
      <c r="N53" s="4">
        <v>5.9500000000000004E-2</v>
      </c>
      <c r="O53" s="4">
        <v>0.42500000000000004</v>
      </c>
    </row>
    <row r="54" spans="2:15">
      <c r="B54" t="s">
        <v>52</v>
      </c>
      <c r="C54" t="s">
        <v>53</v>
      </c>
      <c r="D54" t="s">
        <v>506</v>
      </c>
      <c r="E54" t="s">
        <v>507</v>
      </c>
      <c r="F54" t="s">
        <v>10</v>
      </c>
      <c r="G54" t="s">
        <v>506</v>
      </c>
      <c r="H54" t="s">
        <v>508</v>
      </c>
      <c r="I54" t="s">
        <v>32</v>
      </c>
      <c r="J54">
        <v>0</v>
      </c>
      <c r="K54">
        <v>1215</v>
      </c>
      <c r="L54" s="4">
        <v>3.5000000000000001E-3</v>
      </c>
      <c r="M54">
        <v>2.5000000000000001E-2</v>
      </c>
      <c r="N54" s="4">
        <v>4.2525000000000004</v>
      </c>
      <c r="O54" s="4">
        <v>30.375</v>
      </c>
    </row>
    <row r="55" spans="2:15">
      <c r="B55" t="s">
        <v>52</v>
      </c>
      <c r="C55" t="s">
        <v>53</v>
      </c>
      <c r="D55" t="s">
        <v>509</v>
      </c>
      <c r="E55" t="s">
        <v>510</v>
      </c>
      <c r="F55" t="s">
        <v>10</v>
      </c>
      <c r="G55" t="s">
        <v>509</v>
      </c>
      <c r="H55" t="s">
        <v>511</v>
      </c>
      <c r="I55" t="s">
        <v>32</v>
      </c>
      <c r="J55">
        <v>0</v>
      </c>
      <c r="K55">
        <v>4</v>
      </c>
      <c r="L55" s="4">
        <v>3.5000000000000001E-3</v>
      </c>
      <c r="M55">
        <v>2.5000000000000001E-2</v>
      </c>
      <c r="N55" s="4">
        <v>1.4E-2</v>
      </c>
      <c r="O55" s="4">
        <v>0.1</v>
      </c>
    </row>
    <row r="56" spans="2:15">
      <c r="B56" t="s">
        <v>52</v>
      </c>
      <c r="C56" t="s">
        <v>53</v>
      </c>
      <c r="D56" t="s">
        <v>174</v>
      </c>
      <c r="E56" t="s">
        <v>175</v>
      </c>
      <c r="F56" t="s">
        <v>10</v>
      </c>
      <c r="G56" t="s">
        <v>174</v>
      </c>
      <c r="H56" t="s">
        <v>176</v>
      </c>
      <c r="I56" t="s">
        <v>32</v>
      </c>
      <c r="J56">
        <v>0</v>
      </c>
      <c r="K56">
        <v>12881</v>
      </c>
      <c r="L56" s="4">
        <v>3.5000000000000001E-3</v>
      </c>
      <c r="M56">
        <v>2.5000000000000001E-2</v>
      </c>
      <c r="N56" s="4">
        <v>45.083500000000001</v>
      </c>
      <c r="O56" s="4">
        <v>322.02500000000003</v>
      </c>
    </row>
    <row r="57" spans="2:15">
      <c r="B57" t="s">
        <v>52</v>
      </c>
      <c r="C57" t="s">
        <v>53</v>
      </c>
      <c r="D57" t="s">
        <v>512</v>
      </c>
      <c r="E57" t="s">
        <v>513</v>
      </c>
      <c r="F57" t="s">
        <v>10</v>
      </c>
      <c r="G57" t="s">
        <v>512</v>
      </c>
      <c r="H57" t="s">
        <v>514</v>
      </c>
      <c r="I57" t="s">
        <v>32</v>
      </c>
      <c r="J57">
        <v>0</v>
      </c>
      <c r="K57">
        <v>562</v>
      </c>
      <c r="L57" s="4">
        <v>3.5000000000000001E-3</v>
      </c>
      <c r="M57">
        <v>2.5000000000000001E-2</v>
      </c>
      <c r="N57" s="4">
        <v>1.9670000000000001</v>
      </c>
      <c r="O57" s="4">
        <v>14.05</v>
      </c>
    </row>
    <row r="58" spans="2:15">
      <c r="B58" t="s">
        <v>52</v>
      </c>
      <c r="C58" t="s">
        <v>53</v>
      </c>
      <c r="D58" t="s">
        <v>515</v>
      </c>
      <c r="E58" t="s">
        <v>516</v>
      </c>
      <c r="F58" t="s">
        <v>10</v>
      </c>
      <c r="G58" t="s">
        <v>515</v>
      </c>
      <c r="H58" t="s">
        <v>517</v>
      </c>
      <c r="I58" t="s">
        <v>32</v>
      </c>
      <c r="J58">
        <v>0</v>
      </c>
      <c r="K58">
        <v>3</v>
      </c>
      <c r="L58" s="4">
        <v>3.5000000000000001E-3</v>
      </c>
      <c r="M58">
        <v>2.5000000000000001E-2</v>
      </c>
      <c r="N58" s="4">
        <v>1.0500000000000001E-2</v>
      </c>
      <c r="O58" s="4">
        <v>7.5000000000000011E-2</v>
      </c>
    </row>
    <row r="59" spans="2:15">
      <c r="B59" t="s">
        <v>52</v>
      </c>
      <c r="C59" t="s">
        <v>53</v>
      </c>
      <c r="D59" t="s">
        <v>518</v>
      </c>
      <c r="E59" t="s">
        <v>519</v>
      </c>
      <c r="F59" t="s">
        <v>10</v>
      </c>
      <c r="G59" t="s">
        <v>518</v>
      </c>
      <c r="H59" t="s">
        <v>520</v>
      </c>
      <c r="I59" t="s">
        <v>32</v>
      </c>
      <c r="J59">
        <v>0</v>
      </c>
      <c r="K59">
        <v>58</v>
      </c>
      <c r="L59" s="4">
        <v>3.5000000000000001E-3</v>
      </c>
      <c r="M59">
        <v>2.5000000000000001E-2</v>
      </c>
      <c r="N59" s="4">
        <v>0.20300000000000001</v>
      </c>
      <c r="O59" s="4">
        <v>1.4500000000000002</v>
      </c>
    </row>
    <row r="60" spans="2:15">
      <c r="B60" t="s">
        <v>52</v>
      </c>
      <c r="C60" t="s">
        <v>53</v>
      </c>
      <c r="D60" t="s">
        <v>521</v>
      </c>
      <c r="E60" t="s">
        <v>522</v>
      </c>
      <c r="F60" t="s">
        <v>10</v>
      </c>
      <c r="G60" t="s">
        <v>521</v>
      </c>
      <c r="H60" t="s">
        <v>523</v>
      </c>
      <c r="I60" t="s">
        <v>32</v>
      </c>
      <c r="J60">
        <v>0</v>
      </c>
      <c r="K60">
        <v>3</v>
      </c>
      <c r="L60" s="4">
        <v>3.5000000000000001E-3</v>
      </c>
      <c r="M60">
        <v>2.5000000000000001E-2</v>
      </c>
      <c r="N60" s="4">
        <v>1.0500000000000001E-2</v>
      </c>
      <c r="O60" s="4">
        <v>7.5000000000000011E-2</v>
      </c>
    </row>
    <row r="61" spans="2:15">
      <c r="B61" t="s">
        <v>52</v>
      </c>
      <c r="C61" t="s">
        <v>53</v>
      </c>
      <c r="D61" t="s">
        <v>524</v>
      </c>
      <c r="E61" t="s">
        <v>525</v>
      </c>
      <c r="F61" t="s">
        <v>10</v>
      </c>
      <c r="G61" t="s">
        <v>524</v>
      </c>
      <c r="H61" t="s">
        <v>526</v>
      </c>
      <c r="I61" t="s">
        <v>32</v>
      </c>
      <c r="J61">
        <v>0</v>
      </c>
      <c r="K61">
        <v>5</v>
      </c>
      <c r="L61" s="4">
        <v>3.5000000000000001E-3</v>
      </c>
      <c r="M61">
        <v>2.5000000000000001E-2</v>
      </c>
      <c r="N61" s="4">
        <v>1.7500000000000002E-2</v>
      </c>
      <c r="O61" s="4">
        <v>0.125</v>
      </c>
    </row>
    <row r="62" spans="2:15">
      <c r="B62" t="s">
        <v>52</v>
      </c>
      <c r="C62" t="s">
        <v>53</v>
      </c>
      <c r="D62" t="s">
        <v>527</v>
      </c>
      <c r="E62" t="s">
        <v>528</v>
      </c>
      <c r="F62" t="s">
        <v>10</v>
      </c>
      <c r="G62" t="s">
        <v>527</v>
      </c>
      <c r="H62" t="s">
        <v>529</v>
      </c>
      <c r="I62" t="s">
        <v>32</v>
      </c>
      <c r="J62">
        <v>0</v>
      </c>
      <c r="K62">
        <v>192</v>
      </c>
      <c r="L62" s="4">
        <v>3.5000000000000001E-3</v>
      </c>
      <c r="M62">
        <v>2.5000000000000001E-2</v>
      </c>
      <c r="N62" s="4">
        <v>0.67200000000000004</v>
      </c>
      <c r="O62" s="4">
        <v>4.8000000000000007</v>
      </c>
    </row>
    <row r="63" spans="2:15">
      <c r="B63" t="s">
        <v>52</v>
      </c>
      <c r="C63" t="s">
        <v>53</v>
      </c>
      <c r="D63" t="s">
        <v>530</v>
      </c>
      <c r="E63" t="s">
        <v>531</v>
      </c>
      <c r="F63" t="s">
        <v>10</v>
      </c>
      <c r="G63" t="s">
        <v>530</v>
      </c>
      <c r="H63" t="s">
        <v>532</v>
      </c>
      <c r="I63" t="s">
        <v>32</v>
      </c>
      <c r="J63">
        <v>0</v>
      </c>
      <c r="K63">
        <v>9</v>
      </c>
      <c r="L63" s="4">
        <v>3.5000000000000001E-3</v>
      </c>
      <c r="M63">
        <v>2.5000000000000001E-2</v>
      </c>
      <c r="N63" s="4">
        <v>3.15E-2</v>
      </c>
      <c r="O63" s="4">
        <v>0.22500000000000001</v>
      </c>
    </row>
    <row r="64" spans="2:15">
      <c r="B64" t="s">
        <v>52</v>
      </c>
      <c r="C64" t="s">
        <v>53</v>
      </c>
      <c r="D64" t="s">
        <v>54</v>
      </c>
      <c r="E64" t="s">
        <v>55</v>
      </c>
      <c r="F64" t="s">
        <v>10</v>
      </c>
      <c r="G64" t="s">
        <v>54</v>
      </c>
      <c r="H64" t="s">
        <v>56</v>
      </c>
      <c r="I64" t="s">
        <v>32</v>
      </c>
      <c r="J64">
        <v>0</v>
      </c>
      <c r="K64">
        <v>91</v>
      </c>
      <c r="L64" s="4">
        <v>3.5000000000000001E-3</v>
      </c>
      <c r="M64">
        <v>2.5000000000000001E-2</v>
      </c>
      <c r="N64" s="4">
        <v>0.31850000000000001</v>
      </c>
      <c r="O64" s="4">
        <v>2.2749999999999999</v>
      </c>
    </row>
    <row r="65" spans="2:15">
      <c r="B65" t="s">
        <v>52</v>
      </c>
      <c r="C65" t="s">
        <v>53</v>
      </c>
      <c r="D65" t="s">
        <v>57</v>
      </c>
      <c r="E65" t="s">
        <v>58</v>
      </c>
      <c r="F65" t="s">
        <v>10</v>
      </c>
      <c r="G65" t="s">
        <v>57</v>
      </c>
      <c r="H65" t="s">
        <v>59</v>
      </c>
      <c r="I65" t="s">
        <v>32</v>
      </c>
      <c r="J65">
        <v>0</v>
      </c>
      <c r="K65">
        <v>1092</v>
      </c>
      <c r="L65" s="4">
        <v>3.5000000000000001E-3</v>
      </c>
      <c r="M65">
        <v>2.5000000000000001E-2</v>
      </c>
      <c r="N65" s="4">
        <v>3.8220000000000001</v>
      </c>
      <c r="O65" s="4">
        <v>27.3</v>
      </c>
    </row>
    <row r="66" spans="2:15">
      <c r="B66" t="s">
        <v>52</v>
      </c>
      <c r="C66" t="s">
        <v>53</v>
      </c>
      <c r="D66" t="s">
        <v>533</v>
      </c>
      <c r="E66" t="s">
        <v>534</v>
      </c>
      <c r="F66" t="s">
        <v>10</v>
      </c>
      <c r="G66" t="s">
        <v>533</v>
      </c>
      <c r="H66" t="s">
        <v>535</v>
      </c>
      <c r="I66" t="s">
        <v>32</v>
      </c>
      <c r="J66">
        <v>0</v>
      </c>
      <c r="K66">
        <v>1</v>
      </c>
      <c r="L66" s="4">
        <v>3.5000000000000001E-3</v>
      </c>
      <c r="M66">
        <v>2.5000000000000001E-2</v>
      </c>
      <c r="N66" s="4">
        <v>3.5000000000000001E-3</v>
      </c>
      <c r="O66" s="4">
        <v>2.5000000000000001E-2</v>
      </c>
    </row>
    <row r="67" spans="2:15">
      <c r="B67" t="s">
        <v>52</v>
      </c>
      <c r="C67" t="s">
        <v>53</v>
      </c>
      <c r="D67" t="s">
        <v>60</v>
      </c>
      <c r="E67" t="s">
        <v>61</v>
      </c>
      <c r="F67" t="s">
        <v>10</v>
      </c>
      <c r="G67" t="s">
        <v>60</v>
      </c>
      <c r="H67" t="s">
        <v>62</v>
      </c>
      <c r="I67" t="s">
        <v>32</v>
      </c>
      <c r="J67">
        <v>0</v>
      </c>
      <c r="K67">
        <v>12</v>
      </c>
      <c r="L67" s="4">
        <v>3.5000000000000001E-3</v>
      </c>
      <c r="M67">
        <v>2.5000000000000001E-2</v>
      </c>
      <c r="N67" s="4">
        <v>4.2000000000000003E-2</v>
      </c>
      <c r="O67" s="4">
        <v>0.30000000000000004</v>
      </c>
    </row>
    <row r="68" spans="2:15">
      <c r="B68" t="s">
        <v>52</v>
      </c>
      <c r="C68" t="s">
        <v>53</v>
      </c>
      <c r="D68" t="s">
        <v>63</v>
      </c>
      <c r="E68" t="s">
        <v>64</v>
      </c>
      <c r="F68" t="s">
        <v>10</v>
      </c>
      <c r="G68" t="s">
        <v>63</v>
      </c>
      <c r="H68" t="s">
        <v>65</v>
      </c>
      <c r="I68" t="s">
        <v>32</v>
      </c>
      <c r="J68">
        <v>0</v>
      </c>
      <c r="K68">
        <v>10</v>
      </c>
      <c r="L68" s="4">
        <v>3.5000000000000001E-3</v>
      </c>
      <c r="M68">
        <v>2.5000000000000001E-2</v>
      </c>
      <c r="N68" s="4">
        <v>3.5000000000000003E-2</v>
      </c>
      <c r="O68" s="4">
        <v>0.25</v>
      </c>
    </row>
    <row r="69" spans="2:15">
      <c r="B69" t="s">
        <v>52</v>
      </c>
      <c r="C69" t="s">
        <v>53</v>
      </c>
      <c r="D69" t="s">
        <v>536</v>
      </c>
      <c r="E69" t="s">
        <v>537</v>
      </c>
      <c r="F69" t="s">
        <v>10</v>
      </c>
      <c r="G69" t="s">
        <v>536</v>
      </c>
      <c r="H69" t="s">
        <v>538</v>
      </c>
      <c r="I69" t="s">
        <v>32</v>
      </c>
      <c r="J69">
        <v>0</v>
      </c>
      <c r="K69">
        <v>2245</v>
      </c>
      <c r="L69" s="4">
        <v>3.5000000000000001E-3</v>
      </c>
      <c r="M69">
        <v>2.5000000000000001E-2</v>
      </c>
      <c r="N69" s="4">
        <v>7.8574999999999999</v>
      </c>
      <c r="O69" s="4">
        <v>56.125</v>
      </c>
    </row>
    <row r="70" spans="2:15">
      <c r="B70" t="s">
        <v>52</v>
      </c>
      <c r="C70" t="s">
        <v>53</v>
      </c>
      <c r="D70" t="s">
        <v>539</v>
      </c>
      <c r="E70" t="s">
        <v>540</v>
      </c>
      <c r="F70" t="s">
        <v>10</v>
      </c>
      <c r="G70" t="s">
        <v>539</v>
      </c>
      <c r="H70" t="s">
        <v>541</v>
      </c>
      <c r="I70" t="s">
        <v>32</v>
      </c>
      <c r="J70">
        <v>0</v>
      </c>
      <c r="K70">
        <v>13</v>
      </c>
      <c r="L70" s="4">
        <v>3.5000000000000001E-3</v>
      </c>
      <c r="M70">
        <v>2.5000000000000001E-2</v>
      </c>
      <c r="N70" s="4">
        <v>4.5499999999999999E-2</v>
      </c>
      <c r="O70" s="4">
        <v>0.32500000000000001</v>
      </c>
    </row>
    <row r="71" spans="2:15">
      <c r="B71" t="s">
        <v>52</v>
      </c>
      <c r="C71" t="s">
        <v>53</v>
      </c>
      <c r="D71" t="s">
        <v>542</v>
      </c>
      <c r="E71" t="s">
        <v>543</v>
      </c>
      <c r="F71" t="s">
        <v>10</v>
      </c>
      <c r="G71" t="s">
        <v>542</v>
      </c>
      <c r="H71" t="s">
        <v>544</v>
      </c>
      <c r="I71" t="s">
        <v>32</v>
      </c>
      <c r="J71">
        <v>0</v>
      </c>
      <c r="K71">
        <v>15</v>
      </c>
      <c r="L71" s="4">
        <v>3.5000000000000001E-3</v>
      </c>
      <c r="M71">
        <v>2.5000000000000001E-2</v>
      </c>
      <c r="N71" s="4">
        <v>5.2499999999999998E-2</v>
      </c>
      <c r="O71" s="4">
        <v>0.375</v>
      </c>
    </row>
    <row r="72" spans="2:15">
      <c r="B72" t="s">
        <v>52</v>
      </c>
      <c r="C72" t="s">
        <v>53</v>
      </c>
      <c r="D72" t="s">
        <v>545</v>
      </c>
      <c r="E72" t="s">
        <v>546</v>
      </c>
      <c r="F72" t="s">
        <v>10</v>
      </c>
      <c r="G72" t="s">
        <v>545</v>
      </c>
      <c r="H72" t="s">
        <v>547</v>
      </c>
      <c r="I72" t="s">
        <v>32</v>
      </c>
      <c r="J72">
        <v>0</v>
      </c>
      <c r="K72">
        <v>3</v>
      </c>
      <c r="L72" s="4">
        <v>3.5000000000000001E-3</v>
      </c>
      <c r="M72">
        <v>2.5000000000000001E-2</v>
      </c>
      <c r="N72" s="4">
        <v>1.0500000000000001E-2</v>
      </c>
      <c r="O72" s="4">
        <v>7.5000000000000011E-2</v>
      </c>
    </row>
    <row r="73" spans="2:15">
      <c r="B73" t="s">
        <v>52</v>
      </c>
      <c r="C73" t="s">
        <v>53</v>
      </c>
      <c r="D73" t="s">
        <v>548</v>
      </c>
      <c r="E73" t="s">
        <v>549</v>
      </c>
      <c r="F73" t="s">
        <v>10</v>
      </c>
      <c r="G73" t="s">
        <v>548</v>
      </c>
      <c r="H73" t="s">
        <v>550</v>
      </c>
      <c r="I73" t="s">
        <v>32</v>
      </c>
      <c r="J73">
        <v>0</v>
      </c>
      <c r="K73">
        <v>108</v>
      </c>
      <c r="L73" s="4">
        <v>3.5000000000000001E-3</v>
      </c>
      <c r="M73">
        <v>2.5000000000000001E-2</v>
      </c>
      <c r="N73" s="4">
        <v>0.378</v>
      </c>
      <c r="O73" s="4">
        <v>2.7</v>
      </c>
    </row>
    <row r="74" spans="2:15">
      <c r="B74" t="s">
        <v>52</v>
      </c>
      <c r="C74" t="s">
        <v>53</v>
      </c>
      <c r="D74" t="s">
        <v>551</v>
      </c>
      <c r="E74" t="s">
        <v>552</v>
      </c>
      <c r="F74" t="s">
        <v>10</v>
      </c>
      <c r="G74" t="s">
        <v>551</v>
      </c>
      <c r="H74" t="s">
        <v>553</v>
      </c>
      <c r="I74" t="s">
        <v>32</v>
      </c>
      <c r="J74">
        <v>0</v>
      </c>
      <c r="K74">
        <v>6</v>
      </c>
      <c r="L74" s="4">
        <v>3.5000000000000001E-3</v>
      </c>
      <c r="M74">
        <v>2.5000000000000001E-2</v>
      </c>
      <c r="N74" s="4">
        <v>2.1000000000000001E-2</v>
      </c>
      <c r="O74" s="4">
        <v>0.15000000000000002</v>
      </c>
    </row>
    <row r="75" spans="2:15">
      <c r="B75" t="s">
        <v>52</v>
      </c>
      <c r="C75" t="s">
        <v>53</v>
      </c>
      <c r="D75" t="s">
        <v>177</v>
      </c>
      <c r="E75" t="s">
        <v>178</v>
      </c>
      <c r="F75" t="s">
        <v>10</v>
      </c>
      <c r="G75" t="s">
        <v>177</v>
      </c>
      <c r="H75" t="s">
        <v>179</v>
      </c>
      <c r="I75" t="s">
        <v>32</v>
      </c>
      <c r="J75">
        <v>0</v>
      </c>
      <c r="K75">
        <v>390</v>
      </c>
      <c r="L75" s="4">
        <v>3.5000000000000001E-3</v>
      </c>
      <c r="M75">
        <v>2.5000000000000001E-2</v>
      </c>
      <c r="N75" s="4">
        <v>1.365</v>
      </c>
      <c r="O75" s="4">
        <v>9.75</v>
      </c>
    </row>
    <row r="76" spans="2:15">
      <c r="B76" t="s">
        <v>52</v>
      </c>
      <c r="C76" t="s">
        <v>53</v>
      </c>
      <c r="D76" t="s">
        <v>180</v>
      </c>
      <c r="E76" t="s">
        <v>181</v>
      </c>
      <c r="F76" t="s">
        <v>10</v>
      </c>
      <c r="G76" t="s">
        <v>180</v>
      </c>
      <c r="H76" t="s">
        <v>182</v>
      </c>
      <c r="I76" t="s">
        <v>32</v>
      </c>
      <c r="J76">
        <v>0</v>
      </c>
      <c r="K76">
        <v>2</v>
      </c>
      <c r="L76" s="4">
        <v>3.5000000000000001E-3</v>
      </c>
      <c r="M76">
        <v>2.5000000000000001E-2</v>
      </c>
      <c r="N76" s="4">
        <v>7.0000000000000001E-3</v>
      </c>
      <c r="O76" s="4">
        <v>0.05</v>
      </c>
    </row>
    <row r="77" spans="2:15">
      <c r="B77" t="s">
        <v>52</v>
      </c>
      <c r="C77" t="s">
        <v>53</v>
      </c>
      <c r="D77" t="s">
        <v>183</v>
      </c>
      <c r="E77" t="s">
        <v>184</v>
      </c>
      <c r="F77" t="s">
        <v>10</v>
      </c>
      <c r="G77" t="s">
        <v>183</v>
      </c>
      <c r="H77" t="s">
        <v>185</v>
      </c>
      <c r="I77" t="s">
        <v>32</v>
      </c>
      <c r="J77">
        <v>0</v>
      </c>
      <c r="K77">
        <v>9</v>
      </c>
      <c r="L77" s="4">
        <v>3.5000000000000001E-3</v>
      </c>
      <c r="M77">
        <v>2.5000000000000001E-2</v>
      </c>
      <c r="N77" s="4">
        <v>3.15E-2</v>
      </c>
      <c r="O77" s="4">
        <v>0.22500000000000001</v>
      </c>
    </row>
    <row r="78" spans="2:15">
      <c r="B78" t="s">
        <v>52</v>
      </c>
      <c r="C78" t="s">
        <v>53</v>
      </c>
      <c r="D78" t="s">
        <v>186</v>
      </c>
      <c r="E78" t="s">
        <v>187</v>
      </c>
      <c r="F78" t="s">
        <v>10</v>
      </c>
      <c r="G78" t="s">
        <v>186</v>
      </c>
      <c r="H78" t="s">
        <v>188</v>
      </c>
      <c r="I78" t="s">
        <v>32</v>
      </c>
      <c r="J78">
        <v>0</v>
      </c>
      <c r="K78">
        <v>4</v>
      </c>
      <c r="L78" s="4">
        <v>3.5000000000000001E-3</v>
      </c>
      <c r="M78">
        <v>2.5000000000000001E-2</v>
      </c>
      <c r="N78" s="4">
        <v>1.4E-2</v>
      </c>
      <c r="O78" s="4">
        <v>0.1</v>
      </c>
    </row>
    <row r="79" spans="2:15">
      <c r="B79" t="s">
        <v>52</v>
      </c>
      <c r="C79" t="s">
        <v>53</v>
      </c>
      <c r="D79" t="s">
        <v>189</v>
      </c>
      <c r="E79" t="s">
        <v>190</v>
      </c>
      <c r="F79" t="s">
        <v>10</v>
      </c>
      <c r="G79" t="s">
        <v>189</v>
      </c>
      <c r="H79" t="s">
        <v>191</v>
      </c>
      <c r="I79" t="s">
        <v>32</v>
      </c>
      <c r="J79">
        <v>0</v>
      </c>
      <c r="K79">
        <v>99</v>
      </c>
      <c r="L79" s="4">
        <v>3.5000000000000001E-3</v>
      </c>
      <c r="M79">
        <v>2.5000000000000001E-2</v>
      </c>
      <c r="N79" s="4">
        <v>0.34650000000000003</v>
      </c>
      <c r="O79" s="4">
        <v>2.4750000000000001</v>
      </c>
    </row>
    <row r="80" spans="2:15">
      <c r="B80" t="s">
        <v>52</v>
      </c>
      <c r="C80" t="s">
        <v>53</v>
      </c>
      <c r="D80" t="s">
        <v>192</v>
      </c>
      <c r="E80" t="s">
        <v>193</v>
      </c>
      <c r="F80" t="s">
        <v>10</v>
      </c>
      <c r="G80" t="s">
        <v>192</v>
      </c>
      <c r="H80" t="s">
        <v>194</v>
      </c>
      <c r="I80" t="s">
        <v>32</v>
      </c>
      <c r="J80">
        <v>0</v>
      </c>
      <c r="K80">
        <v>3</v>
      </c>
      <c r="L80" s="4">
        <v>3.5000000000000001E-3</v>
      </c>
      <c r="M80">
        <v>2.5000000000000001E-2</v>
      </c>
      <c r="N80" s="4">
        <v>1.0500000000000001E-2</v>
      </c>
      <c r="O80" s="4">
        <v>7.5000000000000011E-2</v>
      </c>
    </row>
    <row r="81" spans="2:15">
      <c r="B81" t="s">
        <v>52</v>
      </c>
      <c r="C81" t="s">
        <v>53</v>
      </c>
      <c r="D81" t="s">
        <v>195</v>
      </c>
      <c r="E81" t="s">
        <v>196</v>
      </c>
      <c r="F81" t="s">
        <v>10</v>
      </c>
      <c r="G81" t="s">
        <v>195</v>
      </c>
      <c r="H81" t="s">
        <v>197</v>
      </c>
      <c r="I81" t="s">
        <v>32</v>
      </c>
      <c r="J81">
        <v>0</v>
      </c>
      <c r="K81">
        <v>1202</v>
      </c>
      <c r="L81" s="4">
        <v>3.5000000000000001E-3</v>
      </c>
      <c r="M81">
        <v>2.5000000000000001E-2</v>
      </c>
      <c r="N81" s="4">
        <v>4.2069999999999999</v>
      </c>
      <c r="O81" s="4">
        <v>30.05</v>
      </c>
    </row>
    <row r="82" spans="2:15">
      <c r="B82" t="s">
        <v>52</v>
      </c>
      <c r="C82" t="s">
        <v>53</v>
      </c>
      <c r="D82" t="s">
        <v>198</v>
      </c>
      <c r="E82" t="s">
        <v>199</v>
      </c>
      <c r="F82" t="s">
        <v>10</v>
      </c>
      <c r="G82" t="s">
        <v>198</v>
      </c>
      <c r="H82" t="s">
        <v>200</v>
      </c>
      <c r="I82" t="s">
        <v>32</v>
      </c>
      <c r="J82">
        <v>0</v>
      </c>
      <c r="K82">
        <v>43</v>
      </c>
      <c r="L82" s="4">
        <v>3.5000000000000001E-3</v>
      </c>
      <c r="M82">
        <v>2.5000000000000001E-2</v>
      </c>
      <c r="N82" s="4">
        <v>0.15049999999999999</v>
      </c>
      <c r="O82" s="4">
        <v>1.075</v>
      </c>
    </row>
    <row r="83" spans="2:15">
      <c r="B83" t="s">
        <v>52</v>
      </c>
      <c r="C83" t="s">
        <v>53</v>
      </c>
      <c r="D83" t="s">
        <v>201</v>
      </c>
      <c r="E83" t="s">
        <v>202</v>
      </c>
      <c r="F83" t="s">
        <v>10</v>
      </c>
      <c r="G83" t="s">
        <v>201</v>
      </c>
      <c r="H83" t="s">
        <v>203</v>
      </c>
      <c r="I83" t="s">
        <v>32</v>
      </c>
      <c r="J83">
        <v>0</v>
      </c>
      <c r="K83">
        <v>18</v>
      </c>
      <c r="L83" s="4">
        <v>3.5000000000000001E-3</v>
      </c>
      <c r="M83">
        <v>2.5000000000000001E-2</v>
      </c>
      <c r="N83" s="4">
        <v>6.3E-2</v>
      </c>
      <c r="O83" s="4">
        <v>0.45</v>
      </c>
    </row>
    <row r="84" spans="2:15">
      <c r="B84" t="s">
        <v>52</v>
      </c>
      <c r="C84" t="s">
        <v>53</v>
      </c>
      <c r="D84" t="s">
        <v>204</v>
      </c>
      <c r="E84" t="s">
        <v>205</v>
      </c>
      <c r="F84" t="s">
        <v>10</v>
      </c>
      <c r="G84" t="s">
        <v>204</v>
      </c>
      <c r="H84" t="s">
        <v>206</v>
      </c>
      <c r="I84" t="s">
        <v>32</v>
      </c>
      <c r="J84">
        <v>0</v>
      </c>
      <c r="K84">
        <v>675</v>
      </c>
      <c r="L84" s="4">
        <v>3.5000000000000001E-3</v>
      </c>
      <c r="M84">
        <v>2.5000000000000001E-2</v>
      </c>
      <c r="N84" s="4">
        <v>2.3625000000000003</v>
      </c>
      <c r="O84" s="4">
        <v>16.875</v>
      </c>
    </row>
    <row r="85" spans="2:15">
      <c r="B85" t="s">
        <v>52</v>
      </c>
      <c r="C85" t="s">
        <v>53</v>
      </c>
      <c r="D85" t="s">
        <v>66</v>
      </c>
      <c r="E85" t="s">
        <v>67</v>
      </c>
      <c r="F85" t="s">
        <v>10</v>
      </c>
      <c r="G85" t="s">
        <v>66</v>
      </c>
      <c r="H85" t="s">
        <v>68</v>
      </c>
      <c r="I85" t="s">
        <v>32</v>
      </c>
      <c r="J85">
        <v>0</v>
      </c>
      <c r="K85">
        <v>4</v>
      </c>
      <c r="L85" s="4">
        <v>3.5000000000000001E-3</v>
      </c>
      <c r="M85">
        <v>2.5000000000000001E-2</v>
      </c>
      <c r="N85" s="4">
        <v>1.4E-2</v>
      </c>
      <c r="O85" s="4">
        <v>0.1</v>
      </c>
    </row>
    <row r="86" spans="2:15">
      <c r="B86" t="s">
        <v>52</v>
      </c>
      <c r="C86" t="s">
        <v>53</v>
      </c>
      <c r="D86" t="s">
        <v>207</v>
      </c>
      <c r="E86" t="s">
        <v>208</v>
      </c>
      <c r="F86" t="s">
        <v>10</v>
      </c>
      <c r="G86" t="s">
        <v>207</v>
      </c>
      <c r="H86" t="s">
        <v>209</v>
      </c>
      <c r="I86" t="s">
        <v>32</v>
      </c>
      <c r="J86">
        <v>0</v>
      </c>
      <c r="K86">
        <v>4417</v>
      </c>
      <c r="L86" s="4">
        <v>3.5000000000000001E-3</v>
      </c>
      <c r="M86">
        <v>2.5000000000000001E-2</v>
      </c>
      <c r="N86" s="4">
        <v>15.4595</v>
      </c>
      <c r="O86" s="4">
        <v>110.42500000000001</v>
      </c>
    </row>
    <row r="87" spans="2:15">
      <c r="B87" t="s">
        <v>52</v>
      </c>
      <c r="C87" t="s">
        <v>53</v>
      </c>
      <c r="D87" t="s">
        <v>69</v>
      </c>
      <c r="E87" t="s">
        <v>70</v>
      </c>
      <c r="F87" t="s">
        <v>10</v>
      </c>
      <c r="G87" t="s">
        <v>69</v>
      </c>
      <c r="H87" t="s">
        <v>71</v>
      </c>
      <c r="I87" t="s">
        <v>32</v>
      </c>
      <c r="J87">
        <v>0</v>
      </c>
      <c r="K87">
        <v>1</v>
      </c>
      <c r="L87" s="4">
        <v>3.5000000000000001E-3</v>
      </c>
      <c r="M87">
        <v>2.5000000000000001E-2</v>
      </c>
      <c r="N87" s="4">
        <v>3.5000000000000001E-3</v>
      </c>
      <c r="O87" s="4">
        <v>2.5000000000000001E-2</v>
      </c>
    </row>
    <row r="88" spans="2:15">
      <c r="B88" t="s">
        <v>52</v>
      </c>
      <c r="C88" t="s">
        <v>53</v>
      </c>
      <c r="D88" t="s">
        <v>210</v>
      </c>
      <c r="E88" t="s">
        <v>211</v>
      </c>
      <c r="F88" t="s">
        <v>10</v>
      </c>
      <c r="G88" t="s">
        <v>210</v>
      </c>
      <c r="H88" t="s">
        <v>212</v>
      </c>
      <c r="I88" t="s">
        <v>32</v>
      </c>
      <c r="J88">
        <v>0</v>
      </c>
      <c r="K88">
        <v>119</v>
      </c>
      <c r="L88" s="4">
        <v>3.5000000000000001E-3</v>
      </c>
      <c r="M88">
        <v>2.5000000000000001E-2</v>
      </c>
      <c r="N88" s="4">
        <v>0.41649999999999998</v>
      </c>
      <c r="O88" s="4">
        <v>2.9750000000000001</v>
      </c>
    </row>
    <row r="89" spans="2:15">
      <c r="B89" t="s">
        <v>52</v>
      </c>
      <c r="C89" t="s">
        <v>53</v>
      </c>
      <c r="D89" t="s">
        <v>213</v>
      </c>
      <c r="E89" t="s">
        <v>214</v>
      </c>
      <c r="F89" t="s">
        <v>10</v>
      </c>
      <c r="G89" t="s">
        <v>213</v>
      </c>
      <c r="H89" t="s">
        <v>215</v>
      </c>
      <c r="I89" t="s">
        <v>32</v>
      </c>
      <c r="J89">
        <v>0</v>
      </c>
      <c r="K89">
        <v>110</v>
      </c>
      <c r="L89" s="4">
        <v>3.5000000000000001E-3</v>
      </c>
      <c r="M89">
        <v>2.5000000000000001E-2</v>
      </c>
      <c r="N89" s="4">
        <v>0.38500000000000001</v>
      </c>
      <c r="O89" s="4">
        <v>2.75</v>
      </c>
    </row>
    <row r="90" spans="2:15">
      <c r="B90" t="s">
        <v>52</v>
      </c>
      <c r="C90" t="s">
        <v>53</v>
      </c>
      <c r="D90" t="s">
        <v>216</v>
      </c>
      <c r="E90" t="s">
        <v>217</v>
      </c>
      <c r="F90" t="s">
        <v>10</v>
      </c>
      <c r="G90" t="s">
        <v>216</v>
      </c>
      <c r="H90" t="s">
        <v>218</v>
      </c>
      <c r="I90" t="s">
        <v>32</v>
      </c>
      <c r="J90">
        <v>0</v>
      </c>
      <c r="K90">
        <v>35</v>
      </c>
      <c r="L90" s="4">
        <v>3.5000000000000001E-3</v>
      </c>
      <c r="M90">
        <v>2.5000000000000001E-2</v>
      </c>
      <c r="N90" s="4">
        <v>0.1225</v>
      </c>
      <c r="O90" s="4">
        <v>0.875</v>
      </c>
    </row>
    <row r="91" spans="2:15">
      <c r="B91" t="s">
        <v>52</v>
      </c>
      <c r="C91" t="s">
        <v>53</v>
      </c>
      <c r="D91" t="s">
        <v>219</v>
      </c>
      <c r="E91" t="s">
        <v>220</v>
      </c>
      <c r="F91" t="s">
        <v>10</v>
      </c>
      <c r="G91" t="s">
        <v>219</v>
      </c>
      <c r="H91" t="s">
        <v>221</v>
      </c>
      <c r="I91" t="s">
        <v>32</v>
      </c>
      <c r="J91">
        <v>0</v>
      </c>
      <c r="K91">
        <v>55</v>
      </c>
      <c r="L91" s="4">
        <v>3.5000000000000001E-3</v>
      </c>
      <c r="M91">
        <v>2.5000000000000001E-2</v>
      </c>
      <c r="N91" s="4">
        <v>0.1925</v>
      </c>
      <c r="O91" s="4">
        <v>1.375</v>
      </c>
    </row>
    <row r="92" spans="2:15">
      <c r="B92" t="s">
        <v>52</v>
      </c>
      <c r="C92" t="s">
        <v>53</v>
      </c>
      <c r="D92" t="s">
        <v>222</v>
      </c>
      <c r="E92" t="s">
        <v>223</v>
      </c>
      <c r="F92" t="s">
        <v>10</v>
      </c>
      <c r="G92" t="s">
        <v>222</v>
      </c>
      <c r="H92" t="s">
        <v>224</v>
      </c>
      <c r="I92" t="s">
        <v>32</v>
      </c>
      <c r="J92">
        <v>0</v>
      </c>
      <c r="K92">
        <v>196</v>
      </c>
      <c r="L92" s="4">
        <v>3.5000000000000001E-3</v>
      </c>
      <c r="M92">
        <v>2.5000000000000001E-2</v>
      </c>
      <c r="N92" s="4">
        <v>0.68600000000000005</v>
      </c>
      <c r="O92" s="4">
        <v>4.9000000000000004</v>
      </c>
    </row>
    <row r="93" spans="2:15">
      <c r="B93" t="s">
        <v>52</v>
      </c>
      <c r="C93" t="s">
        <v>53</v>
      </c>
      <c r="D93" t="s">
        <v>225</v>
      </c>
      <c r="E93" t="s">
        <v>226</v>
      </c>
      <c r="F93" t="s">
        <v>10</v>
      </c>
      <c r="G93" t="s">
        <v>225</v>
      </c>
      <c r="H93" t="s">
        <v>227</v>
      </c>
      <c r="I93" t="s">
        <v>32</v>
      </c>
      <c r="J93">
        <v>0</v>
      </c>
      <c r="K93">
        <v>23</v>
      </c>
      <c r="L93" s="4">
        <v>3.5000000000000001E-3</v>
      </c>
      <c r="M93">
        <v>2.5000000000000001E-2</v>
      </c>
      <c r="N93" s="4">
        <v>8.0500000000000002E-2</v>
      </c>
      <c r="O93" s="4">
        <v>0.57500000000000007</v>
      </c>
    </row>
    <row r="94" spans="2:15">
      <c r="B94" t="s">
        <v>52</v>
      </c>
      <c r="C94" t="s">
        <v>53</v>
      </c>
      <c r="D94" t="s">
        <v>228</v>
      </c>
      <c r="E94" t="s">
        <v>229</v>
      </c>
      <c r="F94" t="s">
        <v>10</v>
      </c>
      <c r="G94" t="s">
        <v>228</v>
      </c>
      <c r="H94" t="s">
        <v>230</v>
      </c>
      <c r="I94" t="s">
        <v>32</v>
      </c>
      <c r="J94">
        <v>0</v>
      </c>
      <c r="K94">
        <v>738</v>
      </c>
      <c r="L94" s="4">
        <v>3.5000000000000001E-3</v>
      </c>
      <c r="M94">
        <v>2.5000000000000001E-2</v>
      </c>
      <c r="N94" s="4">
        <v>2.5830000000000002</v>
      </c>
      <c r="O94" s="4">
        <v>18.45</v>
      </c>
    </row>
    <row r="95" spans="2:15">
      <c r="B95" t="s">
        <v>52</v>
      </c>
      <c r="C95" t="s">
        <v>53</v>
      </c>
      <c r="D95" t="s">
        <v>72</v>
      </c>
      <c r="E95" t="s">
        <v>73</v>
      </c>
      <c r="F95" t="s">
        <v>10</v>
      </c>
      <c r="G95" t="s">
        <v>72</v>
      </c>
      <c r="H95" t="s">
        <v>74</v>
      </c>
      <c r="I95" t="s">
        <v>32</v>
      </c>
      <c r="J95">
        <v>0</v>
      </c>
      <c r="K95">
        <v>1359</v>
      </c>
      <c r="L95" s="4">
        <v>3.5000000000000001E-3</v>
      </c>
      <c r="M95">
        <v>2.5000000000000001E-2</v>
      </c>
      <c r="N95" s="4">
        <v>4.7565</v>
      </c>
      <c r="O95" s="4">
        <v>33.975000000000001</v>
      </c>
    </row>
    <row r="96" spans="2:15">
      <c r="B96" t="s">
        <v>52</v>
      </c>
      <c r="C96" t="s">
        <v>53</v>
      </c>
      <c r="D96" t="s">
        <v>554</v>
      </c>
      <c r="E96" t="s">
        <v>555</v>
      </c>
      <c r="F96" t="s">
        <v>10</v>
      </c>
      <c r="G96" t="s">
        <v>554</v>
      </c>
      <c r="H96" t="s">
        <v>556</v>
      </c>
      <c r="I96" t="s">
        <v>32</v>
      </c>
      <c r="J96">
        <v>0</v>
      </c>
      <c r="K96">
        <v>220</v>
      </c>
      <c r="L96" s="4">
        <v>3.5000000000000001E-3</v>
      </c>
      <c r="M96">
        <v>2.5000000000000001E-2</v>
      </c>
      <c r="N96" s="4">
        <v>0.77</v>
      </c>
      <c r="O96" s="4">
        <v>5.5</v>
      </c>
    </row>
    <row r="97" spans="2:15">
      <c r="B97" t="s">
        <v>52</v>
      </c>
      <c r="C97" t="s">
        <v>53</v>
      </c>
      <c r="D97" t="s">
        <v>75</v>
      </c>
      <c r="E97" t="s">
        <v>76</v>
      </c>
      <c r="F97" t="s">
        <v>10</v>
      </c>
      <c r="G97" t="s">
        <v>75</v>
      </c>
      <c r="H97" t="s">
        <v>77</v>
      </c>
      <c r="I97" t="s">
        <v>32</v>
      </c>
      <c r="J97">
        <v>0</v>
      </c>
      <c r="K97">
        <v>753</v>
      </c>
      <c r="L97" s="4">
        <v>3.5000000000000001E-3</v>
      </c>
      <c r="M97">
        <v>2.5000000000000001E-2</v>
      </c>
      <c r="N97" s="4">
        <v>2.6355</v>
      </c>
      <c r="O97" s="4">
        <v>18.824999999999999</v>
      </c>
    </row>
    <row r="98" spans="2:15">
      <c r="B98" t="s">
        <v>52</v>
      </c>
      <c r="C98" t="s">
        <v>53</v>
      </c>
      <c r="D98" t="s">
        <v>557</v>
      </c>
      <c r="E98" t="s">
        <v>558</v>
      </c>
      <c r="F98" t="s">
        <v>10</v>
      </c>
      <c r="G98" t="s">
        <v>557</v>
      </c>
      <c r="H98" t="s">
        <v>559</v>
      </c>
      <c r="I98" t="s">
        <v>32</v>
      </c>
      <c r="J98">
        <v>0</v>
      </c>
      <c r="K98">
        <v>313</v>
      </c>
      <c r="L98" s="4">
        <v>3.5000000000000001E-3</v>
      </c>
      <c r="M98">
        <v>2.5000000000000001E-2</v>
      </c>
      <c r="N98" s="4">
        <v>1.0954999999999999</v>
      </c>
      <c r="O98" s="4">
        <v>7.8250000000000002</v>
      </c>
    </row>
    <row r="99" spans="2:15">
      <c r="B99" t="s">
        <v>52</v>
      </c>
      <c r="C99" t="s">
        <v>53</v>
      </c>
      <c r="D99" t="s">
        <v>78</v>
      </c>
      <c r="E99" t="s">
        <v>79</v>
      </c>
      <c r="F99" t="s">
        <v>10</v>
      </c>
      <c r="G99" t="s">
        <v>78</v>
      </c>
      <c r="H99" t="s">
        <v>80</v>
      </c>
      <c r="I99" t="s">
        <v>32</v>
      </c>
      <c r="J99">
        <v>0</v>
      </c>
      <c r="K99">
        <v>17</v>
      </c>
      <c r="L99" s="4">
        <v>3.5000000000000001E-3</v>
      </c>
      <c r="M99">
        <v>2.5000000000000001E-2</v>
      </c>
      <c r="N99" s="4">
        <v>5.9500000000000004E-2</v>
      </c>
      <c r="O99" s="4">
        <v>0.42500000000000004</v>
      </c>
    </row>
    <row r="100" spans="2:15">
      <c r="B100" t="s">
        <v>52</v>
      </c>
      <c r="C100" t="s">
        <v>53</v>
      </c>
      <c r="D100" t="s">
        <v>81</v>
      </c>
      <c r="E100" t="s">
        <v>82</v>
      </c>
      <c r="F100" t="s">
        <v>10</v>
      </c>
      <c r="G100" t="s">
        <v>81</v>
      </c>
      <c r="H100" t="s">
        <v>83</v>
      </c>
      <c r="I100" t="s">
        <v>32</v>
      </c>
      <c r="J100">
        <v>0</v>
      </c>
      <c r="K100">
        <v>144</v>
      </c>
      <c r="L100" s="4">
        <v>3.5000000000000001E-3</v>
      </c>
      <c r="M100">
        <v>2.5000000000000001E-2</v>
      </c>
      <c r="N100" s="4">
        <v>0.504</v>
      </c>
      <c r="O100" s="4">
        <v>3.6</v>
      </c>
    </row>
    <row r="101" spans="2:15">
      <c r="B101" t="s">
        <v>52</v>
      </c>
      <c r="C101" t="s">
        <v>53</v>
      </c>
      <c r="D101" t="s">
        <v>560</v>
      </c>
      <c r="E101" t="s">
        <v>561</v>
      </c>
      <c r="F101" t="s">
        <v>10</v>
      </c>
      <c r="G101" t="s">
        <v>560</v>
      </c>
      <c r="H101" t="s">
        <v>562</v>
      </c>
      <c r="I101" t="s">
        <v>32</v>
      </c>
      <c r="J101">
        <v>0</v>
      </c>
      <c r="K101">
        <v>1</v>
      </c>
      <c r="L101" s="4">
        <v>3.5000000000000001E-3</v>
      </c>
      <c r="M101">
        <v>2.5000000000000001E-2</v>
      </c>
      <c r="N101" s="4">
        <v>3.5000000000000001E-3</v>
      </c>
      <c r="O101" s="4">
        <v>2.5000000000000001E-2</v>
      </c>
    </row>
    <row r="102" spans="2:15">
      <c r="B102" t="s">
        <v>52</v>
      </c>
      <c r="C102" t="s">
        <v>53</v>
      </c>
      <c r="D102" t="s">
        <v>84</v>
      </c>
      <c r="E102" t="s">
        <v>85</v>
      </c>
      <c r="F102" t="s">
        <v>10</v>
      </c>
      <c r="G102" t="s">
        <v>84</v>
      </c>
      <c r="H102" t="s">
        <v>86</v>
      </c>
      <c r="I102" t="s">
        <v>32</v>
      </c>
      <c r="J102">
        <v>0</v>
      </c>
      <c r="K102">
        <v>31</v>
      </c>
      <c r="L102" s="4">
        <v>3.5000000000000001E-3</v>
      </c>
      <c r="M102">
        <v>2.5000000000000001E-2</v>
      </c>
      <c r="N102" s="4">
        <v>0.1085</v>
      </c>
      <c r="O102" s="4">
        <v>0.77500000000000002</v>
      </c>
    </row>
    <row r="103" spans="2:15">
      <c r="B103" t="s">
        <v>52</v>
      </c>
      <c r="C103" t="s">
        <v>53</v>
      </c>
      <c r="D103" t="s">
        <v>563</v>
      </c>
      <c r="E103" t="s">
        <v>564</v>
      </c>
      <c r="F103" t="s">
        <v>10</v>
      </c>
      <c r="G103" t="s">
        <v>563</v>
      </c>
      <c r="H103" t="s">
        <v>565</v>
      </c>
      <c r="I103" t="s">
        <v>32</v>
      </c>
      <c r="J103">
        <v>0</v>
      </c>
      <c r="K103">
        <v>1</v>
      </c>
      <c r="L103" s="4">
        <v>3.5000000000000001E-3</v>
      </c>
      <c r="M103">
        <v>2.5000000000000001E-2</v>
      </c>
      <c r="N103" s="4">
        <v>3.5000000000000001E-3</v>
      </c>
      <c r="O103" s="4">
        <v>2.5000000000000001E-2</v>
      </c>
    </row>
    <row r="104" spans="2:15">
      <c r="B104" t="s">
        <v>52</v>
      </c>
      <c r="C104" t="s">
        <v>53</v>
      </c>
      <c r="D104" t="s">
        <v>87</v>
      </c>
      <c r="E104" t="s">
        <v>88</v>
      </c>
      <c r="F104" t="s">
        <v>10</v>
      </c>
      <c r="G104" t="s">
        <v>87</v>
      </c>
      <c r="H104" t="s">
        <v>89</v>
      </c>
      <c r="I104" t="s">
        <v>32</v>
      </c>
      <c r="J104">
        <v>0</v>
      </c>
      <c r="K104">
        <v>179</v>
      </c>
      <c r="L104" s="4">
        <v>3.5000000000000001E-3</v>
      </c>
      <c r="M104">
        <v>2.5000000000000001E-2</v>
      </c>
      <c r="N104" s="4">
        <v>0.62650000000000006</v>
      </c>
      <c r="O104" s="4">
        <v>4.4750000000000005</v>
      </c>
    </row>
    <row r="105" spans="2:15">
      <c r="B105" t="s">
        <v>52</v>
      </c>
      <c r="C105" t="s">
        <v>53</v>
      </c>
      <c r="D105" t="s">
        <v>90</v>
      </c>
      <c r="E105" t="s">
        <v>91</v>
      </c>
      <c r="F105" t="s">
        <v>10</v>
      </c>
      <c r="G105" t="s">
        <v>90</v>
      </c>
      <c r="H105" t="s">
        <v>92</v>
      </c>
      <c r="I105" t="s">
        <v>32</v>
      </c>
      <c r="J105">
        <v>0</v>
      </c>
      <c r="K105">
        <v>376</v>
      </c>
      <c r="L105" s="4">
        <v>3.5000000000000001E-3</v>
      </c>
      <c r="M105">
        <v>2.5000000000000001E-2</v>
      </c>
      <c r="N105" s="4">
        <v>1.3160000000000001</v>
      </c>
      <c r="O105" s="4">
        <v>9.4</v>
      </c>
    </row>
    <row r="106" spans="2:15">
      <c r="B106" t="s">
        <v>52</v>
      </c>
      <c r="C106" t="s">
        <v>53</v>
      </c>
      <c r="D106" t="s">
        <v>566</v>
      </c>
      <c r="E106" t="s">
        <v>567</v>
      </c>
      <c r="F106" t="s">
        <v>10</v>
      </c>
      <c r="G106" t="s">
        <v>566</v>
      </c>
      <c r="H106" t="s">
        <v>568</v>
      </c>
      <c r="I106" t="s">
        <v>32</v>
      </c>
      <c r="J106">
        <v>0</v>
      </c>
      <c r="K106">
        <v>16</v>
      </c>
      <c r="L106" s="4">
        <v>3.5000000000000001E-3</v>
      </c>
      <c r="M106">
        <v>2.5000000000000001E-2</v>
      </c>
      <c r="N106" s="4">
        <v>5.6000000000000001E-2</v>
      </c>
      <c r="O106" s="4">
        <v>0.4</v>
      </c>
    </row>
    <row r="107" spans="2:15">
      <c r="B107" t="s">
        <v>52</v>
      </c>
      <c r="C107" t="s">
        <v>53</v>
      </c>
      <c r="D107" t="s">
        <v>93</v>
      </c>
      <c r="E107" t="s">
        <v>94</v>
      </c>
      <c r="F107" t="s">
        <v>10</v>
      </c>
      <c r="G107" t="s">
        <v>93</v>
      </c>
      <c r="H107" t="s">
        <v>95</v>
      </c>
      <c r="I107" t="s">
        <v>32</v>
      </c>
      <c r="J107">
        <v>0</v>
      </c>
      <c r="K107">
        <v>53</v>
      </c>
      <c r="L107" s="4">
        <v>3.5000000000000001E-3</v>
      </c>
      <c r="M107">
        <v>2.5000000000000001E-2</v>
      </c>
      <c r="N107" s="4">
        <v>0.1855</v>
      </c>
      <c r="O107" s="4">
        <v>1.3250000000000002</v>
      </c>
    </row>
    <row r="108" spans="2:15">
      <c r="B108" t="s">
        <v>52</v>
      </c>
      <c r="C108" t="s">
        <v>53</v>
      </c>
      <c r="D108" t="s">
        <v>569</v>
      </c>
      <c r="E108" t="s">
        <v>570</v>
      </c>
      <c r="F108" t="s">
        <v>10</v>
      </c>
      <c r="G108" t="s">
        <v>569</v>
      </c>
      <c r="H108" t="s">
        <v>571</v>
      </c>
      <c r="I108" t="s">
        <v>32</v>
      </c>
      <c r="J108">
        <v>0</v>
      </c>
      <c r="K108">
        <v>1</v>
      </c>
      <c r="L108" s="4">
        <v>3.5000000000000001E-3</v>
      </c>
      <c r="M108">
        <v>2.5000000000000001E-2</v>
      </c>
      <c r="N108" s="4">
        <v>3.5000000000000001E-3</v>
      </c>
      <c r="O108" s="4">
        <v>2.5000000000000001E-2</v>
      </c>
    </row>
    <row r="109" spans="2:15">
      <c r="B109" t="s">
        <v>52</v>
      </c>
      <c r="C109" t="s">
        <v>53</v>
      </c>
      <c r="D109" t="s">
        <v>96</v>
      </c>
      <c r="E109" t="s">
        <v>97</v>
      </c>
      <c r="F109" t="s">
        <v>10</v>
      </c>
      <c r="G109" t="s">
        <v>96</v>
      </c>
      <c r="H109" t="s">
        <v>98</v>
      </c>
      <c r="I109" t="s">
        <v>32</v>
      </c>
      <c r="J109">
        <v>0</v>
      </c>
      <c r="K109">
        <v>1</v>
      </c>
      <c r="L109" s="4">
        <v>3.5000000000000001E-3</v>
      </c>
      <c r="M109">
        <v>2.5000000000000001E-2</v>
      </c>
      <c r="N109" s="4">
        <v>3.5000000000000001E-3</v>
      </c>
      <c r="O109" s="4">
        <v>2.5000000000000001E-2</v>
      </c>
    </row>
    <row r="110" spans="2:15">
      <c r="B110" t="s">
        <v>52</v>
      </c>
      <c r="C110" t="s">
        <v>53</v>
      </c>
      <c r="D110" t="s">
        <v>231</v>
      </c>
      <c r="E110" t="s">
        <v>232</v>
      </c>
      <c r="F110" t="s">
        <v>10</v>
      </c>
      <c r="G110" t="s">
        <v>231</v>
      </c>
      <c r="H110" t="s">
        <v>233</v>
      </c>
      <c r="I110" t="s">
        <v>32</v>
      </c>
      <c r="J110">
        <v>0</v>
      </c>
      <c r="K110">
        <v>183</v>
      </c>
      <c r="L110" s="4">
        <v>3.5000000000000001E-3</v>
      </c>
      <c r="M110">
        <v>2.5000000000000001E-2</v>
      </c>
      <c r="N110" s="4">
        <v>0.64049999999999996</v>
      </c>
      <c r="O110" s="4">
        <v>4.5750000000000002</v>
      </c>
    </row>
    <row r="111" spans="2:15">
      <c r="B111" t="s">
        <v>52</v>
      </c>
      <c r="C111" t="s">
        <v>53</v>
      </c>
      <c r="D111" t="s">
        <v>234</v>
      </c>
      <c r="E111" t="s">
        <v>235</v>
      </c>
      <c r="F111" t="s">
        <v>10</v>
      </c>
      <c r="G111" t="s">
        <v>234</v>
      </c>
      <c r="H111" t="s">
        <v>236</v>
      </c>
      <c r="I111" t="s">
        <v>32</v>
      </c>
      <c r="J111">
        <v>0</v>
      </c>
      <c r="K111">
        <v>2</v>
      </c>
      <c r="L111" s="4">
        <v>3.5000000000000001E-3</v>
      </c>
      <c r="M111">
        <v>2.5000000000000001E-2</v>
      </c>
      <c r="N111" s="4">
        <v>7.0000000000000001E-3</v>
      </c>
      <c r="O111" s="4">
        <v>0.05</v>
      </c>
    </row>
    <row r="112" spans="2:15">
      <c r="B112" t="s">
        <v>52</v>
      </c>
      <c r="C112" t="s">
        <v>53</v>
      </c>
      <c r="D112" t="s">
        <v>237</v>
      </c>
      <c r="E112" t="s">
        <v>238</v>
      </c>
      <c r="F112" t="s">
        <v>10</v>
      </c>
      <c r="G112" t="s">
        <v>237</v>
      </c>
      <c r="H112" t="s">
        <v>239</v>
      </c>
      <c r="I112" t="s">
        <v>32</v>
      </c>
      <c r="J112">
        <v>0</v>
      </c>
      <c r="K112">
        <v>9</v>
      </c>
      <c r="L112" s="4">
        <v>3.5000000000000001E-3</v>
      </c>
      <c r="M112">
        <v>2.5000000000000001E-2</v>
      </c>
      <c r="N112" s="4">
        <v>3.15E-2</v>
      </c>
      <c r="O112" s="4">
        <v>0.22500000000000001</v>
      </c>
    </row>
    <row r="113" spans="2:15">
      <c r="B113" t="s">
        <v>52</v>
      </c>
      <c r="C113" t="s">
        <v>53</v>
      </c>
      <c r="D113" t="s">
        <v>240</v>
      </c>
      <c r="E113" t="s">
        <v>241</v>
      </c>
      <c r="F113" t="s">
        <v>10</v>
      </c>
      <c r="G113" t="s">
        <v>240</v>
      </c>
      <c r="H113" t="s">
        <v>242</v>
      </c>
      <c r="I113" t="s">
        <v>32</v>
      </c>
      <c r="J113">
        <v>0</v>
      </c>
      <c r="K113">
        <v>7</v>
      </c>
      <c r="L113" s="4">
        <v>3.5000000000000001E-3</v>
      </c>
      <c r="M113">
        <v>2.5000000000000001E-2</v>
      </c>
      <c r="N113" s="4">
        <v>2.4500000000000001E-2</v>
      </c>
      <c r="O113" s="4">
        <v>0.17500000000000002</v>
      </c>
    </row>
    <row r="114" spans="2:15">
      <c r="B114" t="s">
        <v>52</v>
      </c>
      <c r="C114" t="s">
        <v>53</v>
      </c>
      <c r="D114" t="s">
        <v>243</v>
      </c>
      <c r="E114" t="s">
        <v>244</v>
      </c>
      <c r="F114" t="s">
        <v>10</v>
      </c>
      <c r="G114" t="s">
        <v>243</v>
      </c>
      <c r="H114" t="s">
        <v>245</v>
      </c>
      <c r="I114" t="s">
        <v>32</v>
      </c>
      <c r="J114">
        <v>0</v>
      </c>
      <c r="K114">
        <v>84</v>
      </c>
      <c r="L114" s="4">
        <v>3.5000000000000001E-3</v>
      </c>
      <c r="M114">
        <v>2.5000000000000001E-2</v>
      </c>
      <c r="N114" s="4">
        <v>0.29399999999999998</v>
      </c>
      <c r="O114" s="4">
        <v>2.1</v>
      </c>
    </row>
    <row r="115" spans="2:15">
      <c r="B115" t="s">
        <v>52</v>
      </c>
      <c r="C115" t="s">
        <v>53</v>
      </c>
      <c r="D115" t="s">
        <v>246</v>
      </c>
      <c r="E115" t="s">
        <v>247</v>
      </c>
      <c r="F115" t="s">
        <v>10</v>
      </c>
      <c r="G115" t="s">
        <v>246</v>
      </c>
      <c r="H115" t="s">
        <v>248</v>
      </c>
      <c r="I115" t="s">
        <v>32</v>
      </c>
      <c r="J115">
        <v>0</v>
      </c>
      <c r="K115">
        <v>4</v>
      </c>
      <c r="L115" s="4">
        <v>3.5000000000000001E-3</v>
      </c>
      <c r="M115">
        <v>2.5000000000000001E-2</v>
      </c>
      <c r="N115" s="4">
        <v>1.4E-2</v>
      </c>
      <c r="O115" s="4">
        <v>0.1</v>
      </c>
    </row>
    <row r="116" spans="2:15">
      <c r="B116" t="s">
        <v>52</v>
      </c>
      <c r="C116" t="s">
        <v>53</v>
      </c>
      <c r="D116" t="s">
        <v>572</v>
      </c>
      <c r="E116" t="s">
        <v>573</v>
      </c>
      <c r="F116" t="s">
        <v>10</v>
      </c>
      <c r="G116" t="s">
        <v>572</v>
      </c>
      <c r="H116" t="s">
        <v>574</v>
      </c>
      <c r="I116" t="s">
        <v>32</v>
      </c>
      <c r="J116">
        <v>0</v>
      </c>
      <c r="K116">
        <v>26</v>
      </c>
      <c r="L116" s="4">
        <v>3.5000000000000001E-3</v>
      </c>
      <c r="M116">
        <v>2.5000000000000001E-2</v>
      </c>
      <c r="N116" s="4">
        <v>9.0999999999999998E-2</v>
      </c>
      <c r="O116" s="4">
        <v>0.65</v>
      </c>
    </row>
    <row r="117" spans="2:15">
      <c r="B117" t="s">
        <v>52</v>
      </c>
      <c r="C117" t="s">
        <v>53</v>
      </c>
      <c r="D117" t="s">
        <v>575</v>
      </c>
      <c r="E117" t="s">
        <v>576</v>
      </c>
      <c r="F117" t="s">
        <v>10</v>
      </c>
      <c r="G117" t="s">
        <v>575</v>
      </c>
      <c r="H117" t="s">
        <v>577</v>
      </c>
      <c r="I117" t="s">
        <v>32</v>
      </c>
      <c r="J117">
        <v>0</v>
      </c>
      <c r="K117">
        <v>10</v>
      </c>
      <c r="L117" s="4">
        <v>3.5000000000000001E-3</v>
      </c>
      <c r="M117">
        <v>2.5000000000000001E-2</v>
      </c>
      <c r="N117" s="4">
        <v>3.5000000000000003E-2</v>
      </c>
      <c r="O117" s="4">
        <v>0.25</v>
      </c>
    </row>
    <row r="118" spans="2:15">
      <c r="B118" t="s">
        <v>52</v>
      </c>
      <c r="C118" t="s">
        <v>53</v>
      </c>
      <c r="D118" t="s">
        <v>578</v>
      </c>
      <c r="E118" t="s">
        <v>579</v>
      </c>
      <c r="F118" t="s">
        <v>10</v>
      </c>
      <c r="G118" t="s">
        <v>578</v>
      </c>
      <c r="H118" t="s">
        <v>580</v>
      </c>
      <c r="I118" t="s">
        <v>32</v>
      </c>
      <c r="J118">
        <v>0</v>
      </c>
      <c r="K118">
        <v>1</v>
      </c>
      <c r="L118" s="4">
        <v>3.5000000000000001E-3</v>
      </c>
      <c r="M118">
        <v>2.5000000000000001E-2</v>
      </c>
      <c r="N118" s="4">
        <v>3.5000000000000001E-3</v>
      </c>
      <c r="O118" s="4">
        <v>2.5000000000000001E-2</v>
      </c>
    </row>
    <row r="119" spans="2:15">
      <c r="B119" t="s">
        <v>52</v>
      </c>
      <c r="C119" t="s">
        <v>53</v>
      </c>
      <c r="D119" t="s">
        <v>581</v>
      </c>
      <c r="E119" t="s">
        <v>582</v>
      </c>
      <c r="F119" t="s">
        <v>10</v>
      </c>
      <c r="G119" t="s">
        <v>581</v>
      </c>
      <c r="H119" t="s">
        <v>583</v>
      </c>
      <c r="I119" t="s">
        <v>32</v>
      </c>
      <c r="J119">
        <v>0</v>
      </c>
      <c r="K119">
        <v>1</v>
      </c>
      <c r="L119" s="4">
        <v>3.5000000000000001E-3</v>
      </c>
      <c r="M119">
        <v>2.5000000000000001E-2</v>
      </c>
      <c r="N119" s="4">
        <v>3.5000000000000001E-3</v>
      </c>
      <c r="O119" s="4">
        <v>2.5000000000000001E-2</v>
      </c>
    </row>
    <row r="120" spans="2:15">
      <c r="B120" t="s">
        <v>52</v>
      </c>
      <c r="C120" t="s">
        <v>53</v>
      </c>
      <c r="D120" t="s">
        <v>584</v>
      </c>
      <c r="E120" t="s">
        <v>585</v>
      </c>
      <c r="F120" t="s">
        <v>10</v>
      </c>
      <c r="G120" t="s">
        <v>584</v>
      </c>
      <c r="H120" t="s">
        <v>586</v>
      </c>
      <c r="I120" t="s">
        <v>32</v>
      </c>
      <c r="J120">
        <v>0</v>
      </c>
      <c r="K120">
        <v>1</v>
      </c>
      <c r="L120" s="4">
        <v>3.5000000000000001E-3</v>
      </c>
      <c r="M120">
        <v>2.5000000000000001E-2</v>
      </c>
      <c r="N120" s="4">
        <v>3.5000000000000001E-3</v>
      </c>
      <c r="O120" s="4">
        <v>2.5000000000000001E-2</v>
      </c>
    </row>
    <row r="121" spans="2:15">
      <c r="B121" t="s">
        <v>52</v>
      </c>
      <c r="C121" t="s">
        <v>53</v>
      </c>
      <c r="D121" t="s">
        <v>587</v>
      </c>
      <c r="E121" t="s">
        <v>588</v>
      </c>
      <c r="F121" t="s">
        <v>10</v>
      </c>
      <c r="G121" t="s">
        <v>587</v>
      </c>
      <c r="H121" t="s">
        <v>589</v>
      </c>
      <c r="I121" t="s">
        <v>32</v>
      </c>
      <c r="J121">
        <v>0</v>
      </c>
      <c r="K121">
        <v>1</v>
      </c>
      <c r="L121" s="4">
        <v>3.5000000000000001E-3</v>
      </c>
      <c r="M121">
        <v>2.5000000000000001E-2</v>
      </c>
      <c r="N121" s="4">
        <v>3.5000000000000001E-3</v>
      </c>
      <c r="O121" s="4">
        <v>2.5000000000000001E-2</v>
      </c>
    </row>
    <row r="122" spans="2:15">
      <c r="B122" t="s">
        <v>52</v>
      </c>
      <c r="C122" t="s">
        <v>53</v>
      </c>
      <c r="D122" t="s">
        <v>590</v>
      </c>
      <c r="E122" t="s">
        <v>591</v>
      </c>
      <c r="F122" t="s">
        <v>10</v>
      </c>
      <c r="G122" t="s">
        <v>590</v>
      </c>
      <c r="H122" t="s">
        <v>592</v>
      </c>
      <c r="I122" t="s">
        <v>32</v>
      </c>
      <c r="J122">
        <v>0</v>
      </c>
      <c r="K122">
        <v>1</v>
      </c>
      <c r="L122" s="4">
        <v>3.5000000000000001E-3</v>
      </c>
      <c r="M122">
        <v>2.5000000000000001E-2</v>
      </c>
      <c r="N122" s="4">
        <v>3.5000000000000001E-3</v>
      </c>
      <c r="O122" s="4">
        <v>2.5000000000000001E-2</v>
      </c>
    </row>
    <row r="123" spans="2:15">
      <c r="B123" t="s">
        <v>52</v>
      </c>
      <c r="C123" t="s">
        <v>53</v>
      </c>
      <c r="D123" t="s">
        <v>593</v>
      </c>
      <c r="E123" t="s">
        <v>594</v>
      </c>
      <c r="F123" t="s">
        <v>10</v>
      </c>
      <c r="G123" t="s">
        <v>593</v>
      </c>
      <c r="H123" t="s">
        <v>595</v>
      </c>
      <c r="I123" t="s">
        <v>32</v>
      </c>
      <c r="J123">
        <v>0</v>
      </c>
      <c r="K123">
        <v>59</v>
      </c>
      <c r="L123" s="4">
        <v>3.5000000000000001E-3</v>
      </c>
      <c r="M123">
        <v>2.5000000000000001E-2</v>
      </c>
      <c r="N123" s="4">
        <v>0.20650000000000002</v>
      </c>
      <c r="O123" s="4">
        <v>1.4750000000000001</v>
      </c>
    </row>
    <row r="124" spans="2:15">
      <c r="B124" t="s">
        <v>52</v>
      </c>
      <c r="C124" t="s">
        <v>53</v>
      </c>
      <c r="D124" t="s">
        <v>596</v>
      </c>
      <c r="E124" t="s">
        <v>597</v>
      </c>
      <c r="F124" t="s">
        <v>10</v>
      </c>
      <c r="G124" t="s">
        <v>596</v>
      </c>
      <c r="H124" t="s">
        <v>598</v>
      </c>
      <c r="I124" t="s">
        <v>32</v>
      </c>
      <c r="J124">
        <v>0</v>
      </c>
      <c r="K124">
        <v>265</v>
      </c>
      <c r="L124" s="4">
        <v>3.5000000000000001E-3</v>
      </c>
      <c r="M124">
        <v>2.5000000000000001E-2</v>
      </c>
      <c r="N124" s="4">
        <v>0.92749999999999999</v>
      </c>
      <c r="O124" s="4">
        <v>6.625</v>
      </c>
    </row>
    <row r="125" spans="2:15">
      <c r="B125" t="s">
        <v>52</v>
      </c>
      <c r="C125" t="s">
        <v>53</v>
      </c>
      <c r="D125" t="s">
        <v>599</v>
      </c>
      <c r="E125" t="s">
        <v>600</v>
      </c>
      <c r="F125" t="s">
        <v>10</v>
      </c>
      <c r="G125" t="s">
        <v>599</v>
      </c>
      <c r="H125" t="s">
        <v>601</v>
      </c>
      <c r="I125" t="s">
        <v>32</v>
      </c>
      <c r="J125">
        <v>0</v>
      </c>
      <c r="K125">
        <v>18912</v>
      </c>
      <c r="L125" s="4">
        <v>3.5000000000000001E-3</v>
      </c>
      <c r="M125">
        <v>2.5000000000000001E-2</v>
      </c>
      <c r="N125" s="4">
        <v>66.192000000000007</v>
      </c>
      <c r="O125" s="4">
        <v>472.8</v>
      </c>
    </row>
    <row r="126" spans="2:15">
      <c r="B126" t="s">
        <v>52</v>
      </c>
      <c r="C126" t="s">
        <v>53</v>
      </c>
      <c r="D126" t="s">
        <v>602</v>
      </c>
      <c r="E126" t="s">
        <v>603</v>
      </c>
      <c r="F126" t="s">
        <v>10</v>
      </c>
      <c r="G126" t="s">
        <v>602</v>
      </c>
      <c r="H126" t="s">
        <v>604</v>
      </c>
      <c r="I126" t="s">
        <v>32</v>
      </c>
      <c r="J126">
        <v>0</v>
      </c>
      <c r="K126">
        <v>107</v>
      </c>
      <c r="L126" s="4">
        <v>3.5000000000000001E-3</v>
      </c>
      <c r="M126">
        <v>2.5000000000000001E-2</v>
      </c>
      <c r="N126" s="4">
        <v>0.3745</v>
      </c>
      <c r="O126" s="4">
        <v>2.6750000000000003</v>
      </c>
    </row>
    <row r="127" spans="2:15">
      <c r="B127" t="s">
        <v>52</v>
      </c>
      <c r="C127" t="s">
        <v>53</v>
      </c>
      <c r="D127" t="s">
        <v>605</v>
      </c>
      <c r="E127" t="s">
        <v>606</v>
      </c>
      <c r="F127" t="s">
        <v>10</v>
      </c>
      <c r="G127" t="s">
        <v>605</v>
      </c>
      <c r="H127" t="s">
        <v>607</v>
      </c>
      <c r="I127" t="s">
        <v>32</v>
      </c>
      <c r="J127">
        <v>0</v>
      </c>
      <c r="K127">
        <v>1024</v>
      </c>
      <c r="L127" s="4">
        <v>3.5000000000000001E-3</v>
      </c>
      <c r="M127">
        <v>2.5000000000000001E-2</v>
      </c>
      <c r="N127" s="4">
        <v>3.5840000000000001</v>
      </c>
      <c r="O127" s="4">
        <v>25.6</v>
      </c>
    </row>
    <row r="128" spans="2:15">
      <c r="B128" t="s">
        <v>52</v>
      </c>
      <c r="C128" t="s">
        <v>53</v>
      </c>
      <c r="D128" t="s">
        <v>608</v>
      </c>
      <c r="E128" t="s">
        <v>609</v>
      </c>
      <c r="F128" t="s">
        <v>10</v>
      </c>
      <c r="G128" t="s">
        <v>608</v>
      </c>
      <c r="H128" t="s">
        <v>610</v>
      </c>
      <c r="I128" t="s">
        <v>32</v>
      </c>
      <c r="J128">
        <v>0</v>
      </c>
      <c r="K128">
        <v>14</v>
      </c>
      <c r="L128" s="4">
        <v>3.5000000000000001E-3</v>
      </c>
      <c r="M128">
        <v>2.5000000000000001E-2</v>
      </c>
      <c r="N128" s="4">
        <v>4.9000000000000002E-2</v>
      </c>
      <c r="O128" s="4">
        <v>0.35000000000000003</v>
      </c>
    </row>
    <row r="129" spans="2:15">
      <c r="B129" t="s">
        <v>52</v>
      </c>
      <c r="C129" t="s">
        <v>53</v>
      </c>
      <c r="D129" t="s">
        <v>611</v>
      </c>
      <c r="E129" t="s">
        <v>612</v>
      </c>
      <c r="F129" t="s">
        <v>10</v>
      </c>
      <c r="G129" t="s">
        <v>611</v>
      </c>
      <c r="H129" t="s">
        <v>613</v>
      </c>
      <c r="I129" t="s">
        <v>32</v>
      </c>
      <c r="J129">
        <v>0</v>
      </c>
      <c r="K129">
        <v>309</v>
      </c>
      <c r="L129" s="4">
        <v>3.5000000000000001E-3</v>
      </c>
      <c r="M129">
        <v>2.5000000000000001E-2</v>
      </c>
      <c r="N129" s="4">
        <v>1.0815000000000001</v>
      </c>
      <c r="O129" s="4">
        <v>7.7250000000000005</v>
      </c>
    </row>
    <row r="130" spans="2:15">
      <c r="B130" t="s">
        <v>52</v>
      </c>
      <c r="C130" t="s">
        <v>53</v>
      </c>
      <c r="D130" t="s">
        <v>614</v>
      </c>
      <c r="E130" t="s">
        <v>615</v>
      </c>
      <c r="F130" t="s">
        <v>10</v>
      </c>
      <c r="G130" t="s">
        <v>614</v>
      </c>
      <c r="H130" t="s">
        <v>616</v>
      </c>
      <c r="I130" t="s">
        <v>32</v>
      </c>
      <c r="J130">
        <v>0</v>
      </c>
      <c r="K130">
        <v>2193</v>
      </c>
      <c r="L130" s="4">
        <v>3.5000000000000001E-3</v>
      </c>
      <c r="M130">
        <v>2.5000000000000001E-2</v>
      </c>
      <c r="N130" s="4">
        <v>7.6755000000000004</v>
      </c>
      <c r="O130" s="4">
        <v>54.825000000000003</v>
      </c>
    </row>
    <row r="131" spans="2:15">
      <c r="B131" t="s">
        <v>52</v>
      </c>
      <c r="C131" t="s">
        <v>53</v>
      </c>
      <c r="D131" t="s">
        <v>617</v>
      </c>
      <c r="E131" t="s">
        <v>618</v>
      </c>
      <c r="F131" t="s">
        <v>10</v>
      </c>
      <c r="G131" t="s">
        <v>617</v>
      </c>
      <c r="H131" t="s">
        <v>619</v>
      </c>
      <c r="I131" t="s">
        <v>32</v>
      </c>
      <c r="J131">
        <v>0</v>
      </c>
      <c r="K131">
        <v>79</v>
      </c>
      <c r="L131" s="4">
        <v>3.5000000000000001E-3</v>
      </c>
      <c r="M131">
        <v>2.5000000000000001E-2</v>
      </c>
      <c r="N131" s="4">
        <v>0.27650000000000002</v>
      </c>
      <c r="O131" s="4">
        <v>1.9750000000000001</v>
      </c>
    </row>
    <row r="132" spans="2:15">
      <c r="B132" t="s">
        <v>52</v>
      </c>
      <c r="C132" t="s">
        <v>53</v>
      </c>
      <c r="D132" t="s">
        <v>99</v>
      </c>
      <c r="E132" t="s">
        <v>100</v>
      </c>
      <c r="F132" t="s">
        <v>10</v>
      </c>
      <c r="G132" t="s">
        <v>99</v>
      </c>
      <c r="H132" t="s">
        <v>101</v>
      </c>
      <c r="I132" t="s">
        <v>32</v>
      </c>
      <c r="J132">
        <v>0</v>
      </c>
      <c r="K132">
        <v>1</v>
      </c>
      <c r="L132" s="4">
        <v>3.5000000000000001E-3</v>
      </c>
      <c r="M132">
        <v>2.5000000000000001E-2</v>
      </c>
      <c r="N132" s="4">
        <v>3.5000000000000001E-3</v>
      </c>
      <c r="O132" s="4">
        <v>2.5000000000000001E-2</v>
      </c>
    </row>
    <row r="133" spans="2:15">
      <c r="B133" t="s">
        <v>52</v>
      </c>
      <c r="C133" t="s">
        <v>53</v>
      </c>
      <c r="D133" t="s">
        <v>620</v>
      </c>
      <c r="E133" t="s">
        <v>621</v>
      </c>
      <c r="F133" t="s">
        <v>10</v>
      </c>
      <c r="G133" t="s">
        <v>620</v>
      </c>
      <c r="H133" t="s">
        <v>622</v>
      </c>
      <c r="I133" t="s">
        <v>32</v>
      </c>
      <c r="J133">
        <v>0</v>
      </c>
      <c r="K133">
        <v>198</v>
      </c>
      <c r="L133" s="4">
        <v>3.5000000000000001E-3</v>
      </c>
      <c r="M133">
        <v>2.5000000000000001E-2</v>
      </c>
      <c r="N133" s="4">
        <v>0.69300000000000006</v>
      </c>
      <c r="O133" s="4">
        <v>4.95</v>
      </c>
    </row>
    <row r="134" spans="2:15">
      <c r="B134" t="s">
        <v>52</v>
      </c>
      <c r="C134" t="s">
        <v>53</v>
      </c>
      <c r="D134" t="s">
        <v>623</v>
      </c>
      <c r="E134" t="s">
        <v>624</v>
      </c>
      <c r="F134" t="s">
        <v>10</v>
      </c>
      <c r="G134" t="s">
        <v>623</v>
      </c>
      <c r="H134" t="s">
        <v>625</v>
      </c>
      <c r="I134" t="s">
        <v>32</v>
      </c>
      <c r="J134">
        <v>0</v>
      </c>
      <c r="K134">
        <v>1</v>
      </c>
      <c r="L134" s="4">
        <v>3.5000000000000001E-3</v>
      </c>
      <c r="M134">
        <v>2.5000000000000001E-2</v>
      </c>
      <c r="N134" s="4">
        <v>3.5000000000000001E-3</v>
      </c>
      <c r="O134" s="4">
        <v>2.5000000000000001E-2</v>
      </c>
    </row>
    <row r="135" spans="2:15">
      <c r="B135" t="s">
        <v>52</v>
      </c>
      <c r="C135" t="s">
        <v>53</v>
      </c>
      <c r="D135" t="s">
        <v>626</v>
      </c>
      <c r="E135" t="s">
        <v>627</v>
      </c>
      <c r="F135" t="s">
        <v>10</v>
      </c>
      <c r="G135" t="s">
        <v>626</v>
      </c>
      <c r="H135" t="s">
        <v>628</v>
      </c>
      <c r="I135" t="s">
        <v>32</v>
      </c>
      <c r="J135">
        <v>0</v>
      </c>
      <c r="K135">
        <v>1</v>
      </c>
      <c r="L135" s="4">
        <v>3.5000000000000001E-3</v>
      </c>
      <c r="M135">
        <v>2.5000000000000001E-2</v>
      </c>
      <c r="N135" s="4">
        <v>3.5000000000000001E-3</v>
      </c>
      <c r="O135" s="4">
        <v>2.5000000000000001E-2</v>
      </c>
    </row>
    <row r="136" spans="2:15">
      <c r="B136" t="s">
        <v>52</v>
      </c>
      <c r="C136" t="s">
        <v>53</v>
      </c>
      <c r="D136" t="s">
        <v>629</v>
      </c>
      <c r="E136" t="s">
        <v>630</v>
      </c>
      <c r="F136" t="s">
        <v>10</v>
      </c>
      <c r="G136" t="s">
        <v>629</v>
      </c>
      <c r="H136" t="s">
        <v>631</v>
      </c>
      <c r="I136" t="s">
        <v>32</v>
      </c>
      <c r="J136">
        <v>0</v>
      </c>
      <c r="K136">
        <v>59</v>
      </c>
      <c r="L136" s="4">
        <v>3.5000000000000001E-3</v>
      </c>
      <c r="M136">
        <v>2.5000000000000001E-2</v>
      </c>
      <c r="N136" s="4">
        <v>0.20650000000000002</v>
      </c>
      <c r="O136" s="4">
        <v>1.4750000000000001</v>
      </c>
    </row>
    <row r="137" spans="2:15">
      <c r="B137" t="s">
        <v>52</v>
      </c>
      <c r="C137" t="s">
        <v>53</v>
      </c>
      <c r="D137" t="s">
        <v>102</v>
      </c>
      <c r="E137" t="s">
        <v>103</v>
      </c>
      <c r="F137" t="s">
        <v>10</v>
      </c>
      <c r="G137" t="s">
        <v>102</v>
      </c>
      <c r="H137" t="s">
        <v>104</v>
      </c>
      <c r="I137" t="s">
        <v>32</v>
      </c>
      <c r="J137">
        <v>0</v>
      </c>
      <c r="K137">
        <v>5069</v>
      </c>
      <c r="L137" s="4">
        <v>3.5000000000000001E-3</v>
      </c>
      <c r="M137">
        <v>2.5000000000000001E-2</v>
      </c>
      <c r="N137" s="4">
        <v>17.741500000000002</v>
      </c>
      <c r="O137" s="4">
        <v>126.72500000000001</v>
      </c>
    </row>
    <row r="138" spans="2:15">
      <c r="B138" t="s">
        <v>52</v>
      </c>
      <c r="C138" t="s">
        <v>53</v>
      </c>
      <c r="D138" t="s">
        <v>105</v>
      </c>
      <c r="E138" t="s">
        <v>106</v>
      </c>
      <c r="F138" t="s">
        <v>10</v>
      </c>
      <c r="G138" t="s">
        <v>105</v>
      </c>
      <c r="H138" t="s">
        <v>107</v>
      </c>
      <c r="I138" t="s">
        <v>32</v>
      </c>
      <c r="J138">
        <v>0</v>
      </c>
      <c r="K138">
        <v>39</v>
      </c>
      <c r="L138" s="4">
        <v>3.5000000000000001E-3</v>
      </c>
      <c r="M138">
        <v>2.5000000000000001E-2</v>
      </c>
      <c r="N138" s="4">
        <v>0.13650000000000001</v>
      </c>
      <c r="O138" s="4">
        <v>0.97500000000000009</v>
      </c>
    </row>
    <row r="139" spans="2:15">
      <c r="B139" t="s">
        <v>52</v>
      </c>
      <c r="C139" t="s">
        <v>53</v>
      </c>
      <c r="D139" t="s">
        <v>108</v>
      </c>
      <c r="E139" t="s">
        <v>109</v>
      </c>
      <c r="F139" t="s">
        <v>10</v>
      </c>
      <c r="G139" t="s">
        <v>108</v>
      </c>
      <c r="H139" t="s">
        <v>110</v>
      </c>
      <c r="I139" t="s">
        <v>32</v>
      </c>
      <c r="J139">
        <v>0</v>
      </c>
      <c r="K139">
        <v>249</v>
      </c>
      <c r="L139" s="4">
        <v>3.5000000000000001E-3</v>
      </c>
      <c r="M139">
        <v>2.5000000000000001E-2</v>
      </c>
      <c r="N139" s="4">
        <v>0.87150000000000005</v>
      </c>
      <c r="O139" s="4">
        <v>6.2250000000000005</v>
      </c>
    </row>
    <row r="140" spans="2:15">
      <c r="B140" t="s">
        <v>52</v>
      </c>
      <c r="C140" t="s">
        <v>53</v>
      </c>
      <c r="D140" t="s">
        <v>111</v>
      </c>
      <c r="E140" t="s">
        <v>112</v>
      </c>
      <c r="F140" t="s">
        <v>10</v>
      </c>
      <c r="G140" t="s">
        <v>111</v>
      </c>
      <c r="H140" t="s">
        <v>113</v>
      </c>
      <c r="I140" t="s">
        <v>32</v>
      </c>
      <c r="J140">
        <v>0</v>
      </c>
      <c r="K140">
        <v>39</v>
      </c>
      <c r="L140" s="4">
        <v>3.5000000000000001E-3</v>
      </c>
      <c r="M140">
        <v>2.5000000000000001E-2</v>
      </c>
      <c r="N140" s="4">
        <v>0.13650000000000001</v>
      </c>
      <c r="O140" s="4">
        <v>0.97500000000000009</v>
      </c>
    </row>
    <row r="141" spans="2:15">
      <c r="B141" t="s">
        <v>52</v>
      </c>
      <c r="C141" t="s">
        <v>53</v>
      </c>
      <c r="D141" t="s">
        <v>114</v>
      </c>
      <c r="E141" t="s">
        <v>115</v>
      </c>
      <c r="F141" t="s">
        <v>10</v>
      </c>
      <c r="G141" t="s">
        <v>114</v>
      </c>
      <c r="H141" t="s">
        <v>116</v>
      </c>
      <c r="I141" t="s">
        <v>32</v>
      </c>
      <c r="J141">
        <v>0</v>
      </c>
      <c r="K141">
        <v>94</v>
      </c>
      <c r="L141" s="4">
        <v>3.5000000000000001E-3</v>
      </c>
      <c r="M141">
        <v>2.5000000000000001E-2</v>
      </c>
      <c r="N141" s="4">
        <v>0.32900000000000001</v>
      </c>
      <c r="O141" s="4">
        <v>2.35</v>
      </c>
    </row>
    <row r="142" spans="2:15">
      <c r="B142" t="s">
        <v>52</v>
      </c>
      <c r="C142" t="s">
        <v>53</v>
      </c>
      <c r="D142" t="s">
        <v>117</v>
      </c>
      <c r="E142" t="s">
        <v>118</v>
      </c>
      <c r="F142" t="s">
        <v>10</v>
      </c>
      <c r="G142" t="s">
        <v>117</v>
      </c>
      <c r="H142" t="s">
        <v>119</v>
      </c>
      <c r="I142" t="s">
        <v>32</v>
      </c>
      <c r="J142">
        <v>0</v>
      </c>
      <c r="K142">
        <v>1282</v>
      </c>
      <c r="L142" s="4">
        <v>3.5000000000000001E-3</v>
      </c>
      <c r="M142">
        <v>2.5000000000000001E-2</v>
      </c>
      <c r="N142" s="4">
        <v>4.4870000000000001</v>
      </c>
      <c r="O142" s="4">
        <v>32.050000000000004</v>
      </c>
    </row>
    <row r="143" spans="2:15">
      <c r="B143" t="s">
        <v>52</v>
      </c>
      <c r="C143" t="s">
        <v>53</v>
      </c>
      <c r="D143" t="s">
        <v>120</v>
      </c>
      <c r="E143" t="s">
        <v>121</v>
      </c>
      <c r="F143" t="s">
        <v>10</v>
      </c>
      <c r="G143" t="s">
        <v>120</v>
      </c>
      <c r="H143" t="s">
        <v>122</v>
      </c>
      <c r="I143" t="s">
        <v>32</v>
      </c>
      <c r="J143">
        <v>0</v>
      </c>
      <c r="K143">
        <v>91</v>
      </c>
      <c r="L143" s="4">
        <v>3.5000000000000001E-3</v>
      </c>
      <c r="M143">
        <v>2.5000000000000001E-2</v>
      </c>
      <c r="N143" s="4">
        <v>0.31850000000000001</v>
      </c>
      <c r="O143" s="4">
        <v>2.2749999999999999</v>
      </c>
    </row>
    <row r="144" spans="2:15">
      <c r="B144" t="s">
        <v>52</v>
      </c>
      <c r="C144" t="s">
        <v>53</v>
      </c>
      <c r="D144" t="s">
        <v>632</v>
      </c>
      <c r="E144" t="s">
        <v>633</v>
      </c>
      <c r="F144" t="s">
        <v>10</v>
      </c>
      <c r="G144" t="s">
        <v>632</v>
      </c>
      <c r="H144" t="s">
        <v>634</v>
      </c>
      <c r="I144" t="s">
        <v>32</v>
      </c>
      <c r="J144">
        <v>0</v>
      </c>
      <c r="K144">
        <v>990</v>
      </c>
      <c r="L144" s="4">
        <v>3.5000000000000001E-3</v>
      </c>
      <c r="M144">
        <v>2.5000000000000001E-2</v>
      </c>
      <c r="N144" s="4">
        <v>3.4649999999999999</v>
      </c>
      <c r="O144" s="4">
        <v>24.75</v>
      </c>
    </row>
    <row r="145" spans="2:15">
      <c r="B145" t="s">
        <v>52</v>
      </c>
      <c r="C145" t="s">
        <v>53</v>
      </c>
      <c r="D145" t="s">
        <v>635</v>
      </c>
      <c r="E145" t="s">
        <v>636</v>
      </c>
      <c r="F145" t="s">
        <v>10</v>
      </c>
      <c r="G145" t="s">
        <v>635</v>
      </c>
      <c r="H145" t="s">
        <v>637</v>
      </c>
      <c r="I145" t="s">
        <v>32</v>
      </c>
      <c r="J145">
        <v>0</v>
      </c>
      <c r="K145">
        <v>22</v>
      </c>
      <c r="L145" s="4">
        <v>3.5000000000000001E-3</v>
      </c>
      <c r="M145">
        <v>2.5000000000000001E-2</v>
      </c>
      <c r="N145" s="4">
        <v>7.6999999999999999E-2</v>
      </c>
      <c r="O145" s="4">
        <v>0.55000000000000004</v>
      </c>
    </row>
    <row r="146" spans="2:15">
      <c r="B146" t="s">
        <v>52</v>
      </c>
      <c r="C146" t="s">
        <v>53</v>
      </c>
      <c r="D146" t="s">
        <v>638</v>
      </c>
      <c r="E146" t="s">
        <v>639</v>
      </c>
      <c r="F146" t="s">
        <v>10</v>
      </c>
      <c r="G146" t="s">
        <v>638</v>
      </c>
      <c r="H146" t="s">
        <v>640</v>
      </c>
      <c r="I146" t="s">
        <v>32</v>
      </c>
      <c r="J146">
        <v>0</v>
      </c>
      <c r="K146">
        <v>78</v>
      </c>
      <c r="L146" s="4">
        <v>3.5000000000000001E-3</v>
      </c>
      <c r="M146">
        <v>2.5000000000000001E-2</v>
      </c>
      <c r="N146" s="4">
        <v>0.27300000000000002</v>
      </c>
      <c r="O146" s="4">
        <v>1.9500000000000002</v>
      </c>
    </row>
    <row r="147" spans="2:15">
      <c r="B147" t="s">
        <v>52</v>
      </c>
      <c r="C147" t="s">
        <v>53</v>
      </c>
      <c r="D147" t="s">
        <v>641</v>
      </c>
      <c r="E147" t="s">
        <v>642</v>
      </c>
      <c r="F147" t="s">
        <v>10</v>
      </c>
      <c r="G147" t="s">
        <v>641</v>
      </c>
      <c r="H147" t="s">
        <v>643</v>
      </c>
      <c r="I147" t="s">
        <v>32</v>
      </c>
      <c r="J147">
        <v>0</v>
      </c>
      <c r="K147">
        <v>1</v>
      </c>
      <c r="L147" s="4">
        <v>3.5000000000000001E-3</v>
      </c>
      <c r="M147">
        <v>2.5000000000000001E-2</v>
      </c>
      <c r="N147" s="4">
        <v>3.5000000000000001E-3</v>
      </c>
      <c r="O147" s="4">
        <v>2.5000000000000001E-2</v>
      </c>
    </row>
    <row r="148" spans="2:15">
      <c r="B148" t="s">
        <v>52</v>
      </c>
      <c r="C148" t="s">
        <v>53</v>
      </c>
      <c r="D148" t="s">
        <v>644</v>
      </c>
      <c r="E148" t="s">
        <v>645</v>
      </c>
      <c r="F148" t="s">
        <v>10</v>
      </c>
      <c r="G148" t="s">
        <v>644</v>
      </c>
      <c r="H148" t="s">
        <v>646</v>
      </c>
      <c r="I148" t="s">
        <v>32</v>
      </c>
      <c r="J148">
        <v>0</v>
      </c>
      <c r="K148">
        <v>12</v>
      </c>
      <c r="L148" s="4">
        <v>3.5000000000000001E-3</v>
      </c>
      <c r="M148">
        <v>2.5000000000000001E-2</v>
      </c>
      <c r="N148" s="4">
        <v>4.2000000000000003E-2</v>
      </c>
      <c r="O148" s="4">
        <v>0.30000000000000004</v>
      </c>
    </row>
    <row r="149" spans="2:15">
      <c r="B149" t="s">
        <v>52</v>
      </c>
      <c r="C149" t="s">
        <v>53</v>
      </c>
      <c r="D149" t="s">
        <v>647</v>
      </c>
      <c r="E149" t="s">
        <v>648</v>
      </c>
      <c r="F149" t="s">
        <v>10</v>
      </c>
      <c r="G149" t="s">
        <v>647</v>
      </c>
      <c r="H149" t="s">
        <v>649</v>
      </c>
      <c r="I149" t="s">
        <v>32</v>
      </c>
      <c r="J149">
        <v>0</v>
      </c>
      <c r="K149">
        <v>133</v>
      </c>
      <c r="L149" s="4">
        <v>3.5000000000000001E-3</v>
      </c>
      <c r="M149">
        <v>2.5000000000000001E-2</v>
      </c>
      <c r="N149" s="4">
        <v>0.46550000000000002</v>
      </c>
      <c r="O149" s="4">
        <v>3.3250000000000002</v>
      </c>
    </row>
    <row r="150" spans="2:15">
      <c r="B150" t="s">
        <v>52</v>
      </c>
      <c r="C150" t="s">
        <v>53</v>
      </c>
      <c r="D150" t="s">
        <v>650</v>
      </c>
      <c r="E150" t="s">
        <v>651</v>
      </c>
      <c r="F150" t="s">
        <v>10</v>
      </c>
      <c r="G150" t="s">
        <v>650</v>
      </c>
      <c r="H150" t="s">
        <v>652</v>
      </c>
      <c r="I150" t="s">
        <v>32</v>
      </c>
      <c r="J150">
        <v>0</v>
      </c>
      <c r="K150">
        <v>19</v>
      </c>
      <c r="L150" s="4">
        <v>3.5000000000000001E-3</v>
      </c>
      <c r="M150">
        <v>2.5000000000000001E-2</v>
      </c>
      <c r="N150" s="4">
        <v>6.6500000000000004E-2</v>
      </c>
      <c r="O150" s="4">
        <v>0.47500000000000003</v>
      </c>
    </row>
    <row r="151" spans="2:15">
      <c r="B151" t="s">
        <v>52</v>
      </c>
      <c r="C151" t="s">
        <v>53</v>
      </c>
      <c r="D151" t="s">
        <v>123</v>
      </c>
      <c r="E151" t="s">
        <v>124</v>
      </c>
      <c r="F151" t="s">
        <v>10</v>
      </c>
      <c r="G151" t="s">
        <v>123</v>
      </c>
      <c r="H151" t="s">
        <v>125</v>
      </c>
      <c r="I151" t="s">
        <v>32</v>
      </c>
      <c r="J151">
        <v>0</v>
      </c>
      <c r="K151">
        <v>1</v>
      </c>
      <c r="L151" s="4">
        <v>3.5000000000000001E-3</v>
      </c>
      <c r="M151">
        <v>2.5000000000000001E-2</v>
      </c>
      <c r="N151" s="4">
        <v>3.5000000000000001E-3</v>
      </c>
      <c r="O151" s="4">
        <v>2.5000000000000001E-2</v>
      </c>
    </row>
    <row r="152" spans="2:15">
      <c r="B152" t="s">
        <v>52</v>
      </c>
      <c r="C152" t="s">
        <v>53</v>
      </c>
      <c r="D152" t="s">
        <v>653</v>
      </c>
      <c r="E152" t="s">
        <v>654</v>
      </c>
      <c r="F152" t="s">
        <v>10</v>
      </c>
      <c r="G152" t="s">
        <v>653</v>
      </c>
      <c r="H152" t="s">
        <v>655</v>
      </c>
      <c r="I152" t="s">
        <v>32</v>
      </c>
      <c r="J152">
        <v>0</v>
      </c>
      <c r="K152">
        <v>20992</v>
      </c>
      <c r="L152" s="4">
        <v>3.5000000000000001E-3</v>
      </c>
      <c r="M152">
        <v>2.5000000000000001E-2</v>
      </c>
      <c r="N152" s="4">
        <v>73.472000000000008</v>
      </c>
      <c r="O152" s="4">
        <v>524.80000000000007</v>
      </c>
    </row>
    <row r="153" spans="2:15">
      <c r="B153" t="s">
        <v>52</v>
      </c>
      <c r="C153" t="s">
        <v>53</v>
      </c>
      <c r="D153" t="s">
        <v>656</v>
      </c>
      <c r="E153" t="s">
        <v>657</v>
      </c>
      <c r="F153" t="s">
        <v>10</v>
      </c>
      <c r="G153" t="s">
        <v>656</v>
      </c>
      <c r="H153" t="s">
        <v>658</v>
      </c>
      <c r="I153" t="s">
        <v>32</v>
      </c>
      <c r="J153">
        <v>0</v>
      </c>
      <c r="K153">
        <v>36</v>
      </c>
      <c r="L153" s="4">
        <v>3.5000000000000001E-3</v>
      </c>
      <c r="M153">
        <v>2.5000000000000001E-2</v>
      </c>
      <c r="N153" s="4">
        <v>0.126</v>
      </c>
      <c r="O153" s="4">
        <v>0.9</v>
      </c>
    </row>
    <row r="154" spans="2:15">
      <c r="B154" t="s">
        <v>52</v>
      </c>
      <c r="C154" t="s">
        <v>53</v>
      </c>
      <c r="D154" t="s">
        <v>659</v>
      </c>
      <c r="E154" t="s">
        <v>660</v>
      </c>
      <c r="F154" t="s">
        <v>10</v>
      </c>
      <c r="G154" t="s">
        <v>659</v>
      </c>
      <c r="H154" t="s">
        <v>661</v>
      </c>
      <c r="I154" t="s">
        <v>32</v>
      </c>
      <c r="J154">
        <v>0</v>
      </c>
      <c r="K154">
        <v>511</v>
      </c>
      <c r="L154" s="4">
        <v>3.5000000000000001E-3</v>
      </c>
      <c r="M154">
        <v>2.5000000000000001E-2</v>
      </c>
      <c r="N154" s="4">
        <v>1.7885</v>
      </c>
      <c r="O154" s="4">
        <v>12.775</v>
      </c>
    </row>
    <row r="155" spans="2:15">
      <c r="B155" t="s">
        <v>52</v>
      </c>
      <c r="C155" t="s">
        <v>53</v>
      </c>
      <c r="D155" t="s">
        <v>662</v>
      </c>
      <c r="E155" t="s">
        <v>663</v>
      </c>
      <c r="F155" t="s">
        <v>10</v>
      </c>
      <c r="G155" t="s">
        <v>662</v>
      </c>
      <c r="H155" t="s">
        <v>664</v>
      </c>
      <c r="I155" t="s">
        <v>32</v>
      </c>
      <c r="J155">
        <v>0</v>
      </c>
      <c r="K155">
        <v>7</v>
      </c>
      <c r="L155" s="4">
        <v>3.5000000000000001E-3</v>
      </c>
      <c r="M155">
        <v>2.5000000000000001E-2</v>
      </c>
      <c r="N155" s="4">
        <v>2.4500000000000001E-2</v>
      </c>
      <c r="O155" s="4">
        <v>0.17500000000000002</v>
      </c>
    </row>
    <row r="156" spans="2:15">
      <c r="B156" t="s">
        <v>52</v>
      </c>
      <c r="C156" t="s">
        <v>53</v>
      </c>
      <c r="D156" t="s">
        <v>665</v>
      </c>
      <c r="E156" t="s">
        <v>666</v>
      </c>
      <c r="F156" t="s">
        <v>10</v>
      </c>
      <c r="G156" t="s">
        <v>665</v>
      </c>
      <c r="H156" t="s">
        <v>667</v>
      </c>
      <c r="I156" t="s">
        <v>32</v>
      </c>
      <c r="J156">
        <v>0</v>
      </c>
      <c r="K156">
        <v>451</v>
      </c>
      <c r="L156" s="4">
        <v>3.5000000000000001E-3</v>
      </c>
      <c r="M156">
        <v>2.5000000000000001E-2</v>
      </c>
      <c r="N156" s="4">
        <v>1.5785</v>
      </c>
      <c r="O156" s="4">
        <v>11.275</v>
      </c>
    </row>
    <row r="157" spans="2:15">
      <c r="B157" t="s">
        <v>52</v>
      </c>
      <c r="C157" t="s">
        <v>53</v>
      </c>
      <c r="D157" t="s">
        <v>668</v>
      </c>
      <c r="E157" t="s">
        <v>669</v>
      </c>
      <c r="F157" t="s">
        <v>10</v>
      </c>
      <c r="G157" t="s">
        <v>668</v>
      </c>
      <c r="H157" t="s">
        <v>670</v>
      </c>
      <c r="I157" t="s">
        <v>32</v>
      </c>
      <c r="J157">
        <v>0</v>
      </c>
      <c r="K157">
        <v>1884</v>
      </c>
      <c r="L157" s="4">
        <v>3.5000000000000001E-3</v>
      </c>
      <c r="M157">
        <v>2.5000000000000001E-2</v>
      </c>
      <c r="N157" s="4">
        <v>6.5940000000000003</v>
      </c>
      <c r="O157" s="4">
        <v>47.1</v>
      </c>
    </row>
    <row r="158" spans="2:15">
      <c r="B158" t="s">
        <v>52</v>
      </c>
      <c r="C158" t="s">
        <v>53</v>
      </c>
      <c r="D158" t="s">
        <v>671</v>
      </c>
      <c r="E158" t="s">
        <v>672</v>
      </c>
      <c r="F158" t="s">
        <v>10</v>
      </c>
      <c r="G158" t="s">
        <v>671</v>
      </c>
      <c r="H158" t="s">
        <v>673</v>
      </c>
      <c r="I158" t="s">
        <v>32</v>
      </c>
      <c r="J158">
        <v>0</v>
      </c>
      <c r="K158">
        <v>43</v>
      </c>
      <c r="L158" s="4">
        <v>3.5000000000000001E-3</v>
      </c>
      <c r="M158">
        <v>2.5000000000000001E-2</v>
      </c>
      <c r="N158" s="4">
        <v>0.15049999999999999</v>
      </c>
      <c r="O158" s="4">
        <v>1.075</v>
      </c>
    </row>
    <row r="159" spans="2:15">
      <c r="B159" t="s">
        <v>52</v>
      </c>
      <c r="C159" t="s">
        <v>53</v>
      </c>
      <c r="D159" t="s">
        <v>249</v>
      </c>
      <c r="E159" t="s">
        <v>250</v>
      </c>
      <c r="F159" t="s">
        <v>10</v>
      </c>
      <c r="G159" t="s">
        <v>249</v>
      </c>
      <c r="H159" t="s">
        <v>251</v>
      </c>
      <c r="I159" t="s">
        <v>32</v>
      </c>
      <c r="J159">
        <v>0</v>
      </c>
      <c r="K159">
        <v>216</v>
      </c>
      <c r="L159" s="4">
        <v>3.5000000000000001E-3</v>
      </c>
      <c r="M159">
        <v>2.5000000000000001E-2</v>
      </c>
      <c r="N159" s="4">
        <v>0.75600000000000001</v>
      </c>
      <c r="O159" s="4">
        <v>5.4</v>
      </c>
    </row>
    <row r="160" spans="2:15">
      <c r="B160" t="s">
        <v>52</v>
      </c>
      <c r="C160" t="s">
        <v>53</v>
      </c>
      <c r="D160" t="s">
        <v>252</v>
      </c>
      <c r="E160" t="s">
        <v>253</v>
      </c>
      <c r="F160" t="s">
        <v>10</v>
      </c>
      <c r="G160" t="s">
        <v>252</v>
      </c>
      <c r="H160" t="s">
        <v>254</v>
      </c>
      <c r="I160" t="s">
        <v>32</v>
      </c>
      <c r="J160">
        <v>0</v>
      </c>
      <c r="K160">
        <v>4</v>
      </c>
      <c r="L160" s="4">
        <v>3.5000000000000001E-3</v>
      </c>
      <c r="M160">
        <v>2.5000000000000001E-2</v>
      </c>
      <c r="N160" s="4">
        <v>1.4E-2</v>
      </c>
      <c r="O160" s="4">
        <v>0.1</v>
      </c>
    </row>
    <row r="161" spans="2:15">
      <c r="B161" t="s">
        <v>52</v>
      </c>
      <c r="C161" t="s">
        <v>53</v>
      </c>
      <c r="D161" t="s">
        <v>255</v>
      </c>
      <c r="E161" t="s">
        <v>256</v>
      </c>
      <c r="F161" t="s">
        <v>10</v>
      </c>
      <c r="G161" t="s">
        <v>255</v>
      </c>
      <c r="H161" t="s">
        <v>257</v>
      </c>
      <c r="I161" t="s">
        <v>32</v>
      </c>
      <c r="J161">
        <v>0</v>
      </c>
      <c r="K161">
        <v>8</v>
      </c>
      <c r="L161" s="4">
        <v>3.5000000000000001E-3</v>
      </c>
      <c r="M161">
        <v>2.5000000000000001E-2</v>
      </c>
      <c r="N161" s="4">
        <v>2.8000000000000001E-2</v>
      </c>
      <c r="O161" s="4">
        <v>0.2</v>
      </c>
    </row>
    <row r="162" spans="2:15">
      <c r="B162" t="s">
        <v>52</v>
      </c>
      <c r="C162" t="s">
        <v>53</v>
      </c>
      <c r="D162" t="s">
        <v>126</v>
      </c>
      <c r="E162" t="s">
        <v>127</v>
      </c>
      <c r="F162" t="s">
        <v>10</v>
      </c>
      <c r="G162" t="s">
        <v>126</v>
      </c>
      <c r="H162" t="s">
        <v>128</v>
      </c>
      <c r="I162" t="s">
        <v>32</v>
      </c>
      <c r="J162">
        <v>0</v>
      </c>
      <c r="K162">
        <v>1</v>
      </c>
      <c r="L162" s="4">
        <v>3.5000000000000001E-3</v>
      </c>
      <c r="M162">
        <v>2.5000000000000001E-2</v>
      </c>
      <c r="N162" s="4">
        <v>3.5000000000000001E-3</v>
      </c>
      <c r="O162" s="4">
        <v>2.5000000000000001E-2</v>
      </c>
    </row>
    <row r="163" spans="2:15">
      <c r="B163" t="s">
        <v>52</v>
      </c>
      <c r="C163" t="s">
        <v>53</v>
      </c>
      <c r="D163" t="s">
        <v>674</v>
      </c>
      <c r="E163" t="s">
        <v>675</v>
      </c>
      <c r="F163" t="s">
        <v>10</v>
      </c>
      <c r="G163" t="s">
        <v>674</v>
      </c>
      <c r="H163" t="s">
        <v>676</v>
      </c>
      <c r="I163" t="s">
        <v>32</v>
      </c>
      <c r="J163">
        <v>0</v>
      </c>
      <c r="K163">
        <v>1</v>
      </c>
      <c r="L163" s="4">
        <v>3.5000000000000001E-3</v>
      </c>
      <c r="M163">
        <v>2.5000000000000001E-2</v>
      </c>
      <c r="N163" s="4">
        <v>3.5000000000000001E-3</v>
      </c>
      <c r="O163" s="4">
        <v>2.5000000000000001E-2</v>
      </c>
    </row>
    <row r="164" spans="2:15">
      <c r="B164" t="s">
        <v>52</v>
      </c>
      <c r="C164" t="s">
        <v>53</v>
      </c>
      <c r="D164" t="s">
        <v>677</v>
      </c>
      <c r="E164" t="s">
        <v>678</v>
      </c>
      <c r="F164" t="s">
        <v>10</v>
      </c>
      <c r="G164" t="s">
        <v>677</v>
      </c>
      <c r="H164" t="s">
        <v>679</v>
      </c>
      <c r="I164" t="s">
        <v>32</v>
      </c>
      <c r="J164">
        <v>0</v>
      </c>
      <c r="K164">
        <v>1</v>
      </c>
      <c r="L164" s="4">
        <v>3.5000000000000001E-3</v>
      </c>
      <c r="M164">
        <v>2.5000000000000001E-2</v>
      </c>
      <c r="N164" s="4">
        <v>3.5000000000000001E-3</v>
      </c>
      <c r="O164" s="4">
        <v>2.5000000000000001E-2</v>
      </c>
    </row>
    <row r="165" spans="2:15">
      <c r="B165" t="s">
        <v>52</v>
      </c>
      <c r="C165" t="s">
        <v>53</v>
      </c>
      <c r="D165" t="s">
        <v>258</v>
      </c>
      <c r="E165" t="s">
        <v>259</v>
      </c>
      <c r="F165" t="s">
        <v>10</v>
      </c>
      <c r="G165" t="s">
        <v>258</v>
      </c>
      <c r="H165" t="s">
        <v>260</v>
      </c>
      <c r="I165" t="s">
        <v>32</v>
      </c>
      <c r="J165">
        <v>0</v>
      </c>
      <c r="K165">
        <v>11</v>
      </c>
      <c r="L165" s="4">
        <v>3.5000000000000001E-3</v>
      </c>
      <c r="M165">
        <v>2.5000000000000001E-2</v>
      </c>
      <c r="N165" s="4">
        <v>3.85E-2</v>
      </c>
      <c r="O165" s="4">
        <v>0.27500000000000002</v>
      </c>
    </row>
    <row r="166" spans="2:15">
      <c r="B166" t="s">
        <v>52</v>
      </c>
      <c r="C166" t="s">
        <v>53</v>
      </c>
      <c r="D166" t="s">
        <v>261</v>
      </c>
      <c r="E166" t="s">
        <v>262</v>
      </c>
      <c r="F166" t="s">
        <v>10</v>
      </c>
      <c r="G166" t="s">
        <v>261</v>
      </c>
      <c r="H166" t="s">
        <v>263</v>
      </c>
      <c r="I166" t="s">
        <v>32</v>
      </c>
      <c r="J166">
        <v>0</v>
      </c>
      <c r="K166">
        <v>229</v>
      </c>
      <c r="L166" s="4">
        <v>3.5000000000000001E-3</v>
      </c>
      <c r="M166">
        <v>2.5000000000000001E-2</v>
      </c>
      <c r="N166" s="4">
        <v>0.80149999999999999</v>
      </c>
      <c r="O166" s="4">
        <v>5.7250000000000005</v>
      </c>
    </row>
    <row r="167" spans="2:15">
      <c r="B167" t="s">
        <v>52</v>
      </c>
      <c r="C167" t="s">
        <v>53</v>
      </c>
      <c r="D167" t="s">
        <v>264</v>
      </c>
      <c r="E167" t="s">
        <v>265</v>
      </c>
      <c r="F167" t="s">
        <v>10</v>
      </c>
      <c r="G167" t="s">
        <v>264</v>
      </c>
      <c r="H167" t="s">
        <v>266</v>
      </c>
      <c r="I167" t="s">
        <v>32</v>
      </c>
      <c r="J167">
        <v>0</v>
      </c>
      <c r="K167">
        <v>8</v>
      </c>
      <c r="L167" s="4">
        <v>3.5000000000000001E-3</v>
      </c>
      <c r="M167">
        <v>2.5000000000000001E-2</v>
      </c>
      <c r="N167" s="4">
        <v>2.8000000000000001E-2</v>
      </c>
      <c r="O167" s="4">
        <v>0.2</v>
      </c>
    </row>
    <row r="168" spans="2:15">
      <c r="B168" t="s">
        <v>52</v>
      </c>
      <c r="C168" t="s">
        <v>53</v>
      </c>
      <c r="D168" t="s">
        <v>267</v>
      </c>
      <c r="E168" t="s">
        <v>268</v>
      </c>
      <c r="F168" t="s">
        <v>10</v>
      </c>
      <c r="G168" t="s">
        <v>267</v>
      </c>
      <c r="H168" t="s">
        <v>269</v>
      </c>
      <c r="I168" t="s">
        <v>32</v>
      </c>
      <c r="J168">
        <v>0</v>
      </c>
      <c r="K168">
        <v>51</v>
      </c>
      <c r="L168" s="4">
        <v>3.5000000000000001E-3</v>
      </c>
      <c r="M168">
        <v>2.5000000000000001E-2</v>
      </c>
      <c r="N168" s="4">
        <v>0.17849999999999999</v>
      </c>
      <c r="O168" s="4">
        <v>1.2750000000000001</v>
      </c>
    </row>
    <row r="169" spans="2:15">
      <c r="B169" t="s">
        <v>52</v>
      </c>
      <c r="C169" t="s">
        <v>53</v>
      </c>
      <c r="D169" t="s">
        <v>680</v>
      </c>
      <c r="E169" t="s">
        <v>681</v>
      </c>
      <c r="F169" t="s">
        <v>10</v>
      </c>
      <c r="G169" t="s">
        <v>680</v>
      </c>
      <c r="H169" t="s">
        <v>682</v>
      </c>
      <c r="I169" t="s">
        <v>32</v>
      </c>
      <c r="J169">
        <v>0</v>
      </c>
      <c r="K169">
        <v>4</v>
      </c>
      <c r="L169" s="4">
        <v>3.5000000000000001E-3</v>
      </c>
      <c r="M169">
        <v>2.5000000000000001E-2</v>
      </c>
      <c r="N169" s="4">
        <v>1.4E-2</v>
      </c>
      <c r="O169" s="4">
        <v>0.1</v>
      </c>
    </row>
    <row r="170" spans="2:15">
      <c r="B170" t="s">
        <v>52</v>
      </c>
      <c r="C170" t="s">
        <v>53</v>
      </c>
      <c r="D170" t="s">
        <v>683</v>
      </c>
      <c r="E170" t="s">
        <v>684</v>
      </c>
      <c r="F170" t="s">
        <v>10</v>
      </c>
      <c r="G170" t="s">
        <v>683</v>
      </c>
      <c r="H170" t="s">
        <v>685</v>
      </c>
      <c r="I170" t="s">
        <v>32</v>
      </c>
      <c r="J170">
        <v>0</v>
      </c>
      <c r="K170">
        <v>5</v>
      </c>
      <c r="L170" s="4">
        <v>3.5000000000000001E-3</v>
      </c>
      <c r="M170">
        <v>2.5000000000000001E-2</v>
      </c>
      <c r="N170" s="4">
        <v>1.7500000000000002E-2</v>
      </c>
      <c r="O170" s="4">
        <v>0.125</v>
      </c>
    </row>
    <row r="171" spans="2:15">
      <c r="B171" t="s">
        <v>52</v>
      </c>
      <c r="C171" t="s">
        <v>53</v>
      </c>
      <c r="D171" t="s">
        <v>686</v>
      </c>
      <c r="E171" t="s">
        <v>687</v>
      </c>
      <c r="F171" t="s">
        <v>10</v>
      </c>
      <c r="G171" t="s">
        <v>686</v>
      </c>
      <c r="H171" t="s">
        <v>688</v>
      </c>
      <c r="I171" t="s">
        <v>32</v>
      </c>
      <c r="J171">
        <v>0</v>
      </c>
      <c r="K171">
        <v>5</v>
      </c>
      <c r="L171" s="4">
        <v>3.5000000000000001E-3</v>
      </c>
      <c r="M171">
        <v>2.5000000000000001E-2</v>
      </c>
      <c r="N171" s="4">
        <v>1.7500000000000002E-2</v>
      </c>
      <c r="O171" s="4">
        <v>0.125</v>
      </c>
    </row>
    <row r="172" spans="2:15">
      <c r="B172" t="s">
        <v>52</v>
      </c>
      <c r="C172" t="s">
        <v>53</v>
      </c>
      <c r="D172" t="s">
        <v>270</v>
      </c>
      <c r="E172" t="s">
        <v>271</v>
      </c>
      <c r="F172" t="s">
        <v>10</v>
      </c>
      <c r="G172" t="s">
        <v>270</v>
      </c>
      <c r="H172" t="s">
        <v>272</v>
      </c>
      <c r="I172" t="s">
        <v>32</v>
      </c>
      <c r="J172">
        <v>0</v>
      </c>
      <c r="K172">
        <v>17</v>
      </c>
      <c r="L172" s="4">
        <v>3.5000000000000001E-3</v>
      </c>
      <c r="M172">
        <v>2.5000000000000001E-2</v>
      </c>
      <c r="N172" s="4">
        <v>5.9500000000000004E-2</v>
      </c>
      <c r="O172" s="4">
        <v>0.42500000000000004</v>
      </c>
    </row>
    <row r="173" spans="2:15">
      <c r="B173" t="s">
        <v>52</v>
      </c>
      <c r="C173" t="s">
        <v>53</v>
      </c>
      <c r="D173" t="s">
        <v>689</v>
      </c>
      <c r="E173" t="s">
        <v>690</v>
      </c>
      <c r="F173" t="s">
        <v>10</v>
      </c>
      <c r="G173" t="s">
        <v>689</v>
      </c>
      <c r="H173" t="s">
        <v>691</v>
      </c>
      <c r="I173" t="s">
        <v>32</v>
      </c>
      <c r="J173">
        <v>0</v>
      </c>
      <c r="K173">
        <v>5</v>
      </c>
      <c r="L173" s="4">
        <v>3.5000000000000001E-3</v>
      </c>
      <c r="M173">
        <v>2.5000000000000001E-2</v>
      </c>
      <c r="N173" s="4">
        <v>1.7500000000000002E-2</v>
      </c>
      <c r="O173" s="4">
        <v>0.125</v>
      </c>
    </row>
    <row r="174" spans="2:15">
      <c r="B174" t="s">
        <v>52</v>
      </c>
      <c r="C174" t="s">
        <v>53</v>
      </c>
      <c r="D174" t="s">
        <v>273</v>
      </c>
      <c r="E174" t="s">
        <v>274</v>
      </c>
      <c r="F174" t="s">
        <v>10</v>
      </c>
      <c r="G174" t="s">
        <v>273</v>
      </c>
      <c r="H174" t="s">
        <v>275</v>
      </c>
      <c r="I174" t="s">
        <v>32</v>
      </c>
      <c r="J174">
        <v>0</v>
      </c>
      <c r="K174">
        <v>5971</v>
      </c>
      <c r="L174" s="4">
        <v>3.5000000000000001E-3</v>
      </c>
      <c r="M174">
        <v>2.5000000000000001E-2</v>
      </c>
      <c r="N174" s="4">
        <v>20.898500000000002</v>
      </c>
      <c r="O174" s="4">
        <v>149.27500000000001</v>
      </c>
    </row>
    <row r="175" spans="2:15">
      <c r="B175" t="s">
        <v>52</v>
      </c>
      <c r="C175" t="s">
        <v>53</v>
      </c>
      <c r="D175" t="s">
        <v>276</v>
      </c>
      <c r="E175" t="s">
        <v>277</v>
      </c>
      <c r="F175" t="s">
        <v>10</v>
      </c>
      <c r="G175" t="s">
        <v>276</v>
      </c>
      <c r="H175" t="s">
        <v>278</v>
      </c>
      <c r="I175" t="s">
        <v>32</v>
      </c>
      <c r="J175">
        <v>0</v>
      </c>
      <c r="K175">
        <v>5</v>
      </c>
      <c r="L175" s="4">
        <v>3.5000000000000001E-3</v>
      </c>
      <c r="M175">
        <v>2.5000000000000001E-2</v>
      </c>
      <c r="N175" s="4">
        <v>1.7500000000000002E-2</v>
      </c>
      <c r="O175" s="4">
        <v>0.125</v>
      </c>
    </row>
    <row r="176" spans="2:15">
      <c r="B176" t="s">
        <v>52</v>
      </c>
      <c r="C176" t="s">
        <v>53</v>
      </c>
      <c r="D176" t="s">
        <v>279</v>
      </c>
      <c r="E176" t="s">
        <v>280</v>
      </c>
      <c r="F176" t="s">
        <v>10</v>
      </c>
      <c r="G176" t="s">
        <v>279</v>
      </c>
      <c r="H176" t="s">
        <v>281</v>
      </c>
      <c r="I176" t="s">
        <v>32</v>
      </c>
      <c r="J176">
        <v>0</v>
      </c>
      <c r="K176">
        <v>81</v>
      </c>
      <c r="L176" s="4">
        <v>3.5000000000000001E-3</v>
      </c>
      <c r="M176">
        <v>2.5000000000000001E-2</v>
      </c>
      <c r="N176" s="4">
        <v>0.28350000000000003</v>
      </c>
      <c r="O176" s="4">
        <v>2.0249999999999999</v>
      </c>
    </row>
    <row r="177" spans="2:15">
      <c r="B177" t="s">
        <v>52</v>
      </c>
      <c r="C177" t="s">
        <v>53</v>
      </c>
      <c r="D177" t="s">
        <v>282</v>
      </c>
      <c r="E177" t="s">
        <v>283</v>
      </c>
      <c r="F177" t="s">
        <v>10</v>
      </c>
      <c r="G177" t="s">
        <v>282</v>
      </c>
      <c r="H177" t="s">
        <v>284</v>
      </c>
      <c r="I177" t="s">
        <v>32</v>
      </c>
      <c r="J177">
        <v>0</v>
      </c>
      <c r="K177">
        <v>4</v>
      </c>
      <c r="L177" s="4">
        <v>3.5000000000000001E-3</v>
      </c>
      <c r="M177">
        <v>2.5000000000000001E-2</v>
      </c>
      <c r="N177" s="4">
        <v>1.4E-2</v>
      </c>
      <c r="O177" s="4">
        <v>0.1</v>
      </c>
    </row>
    <row r="178" spans="2:15">
      <c r="B178" t="s">
        <v>52</v>
      </c>
      <c r="C178" t="s">
        <v>53</v>
      </c>
      <c r="D178" t="s">
        <v>285</v>
      </c>
      <c r="E178" t="s">
        <v>286</v>
      </c>
      <c r="F178" t="s">
        <v>10</v>
      </c>
      <c r="G178" t="s">
        <v>285</v>
      </c>
      <c r="H178" t="s">
        <v>287</v>
      </c>
      <c r="I178" t="s">
        <v>32</v>
      </c>
      <c r="J178">
        <v>0</v>
      </c>
      <c r="K178">
        <v>56</v>
      </c>
      <c r="L178" s="4">
        <v>3.5000000000000001E-3</v>
      </c>
      <c r="M178">
        <v>2.5000000000000001E-2</v>
      </c>
      <c r="N178" s="4">
        <v>0.19600000000000001</v>
      </c>
      <c r="O178" s="4">
        <v>1.4000000000000001</v>
      </c>
    </row>
    <row r="179" spans="2:15">
      <c r="B179" t="s">
        <v>52</v>
      </c>
      <c r="C179" t="s">
        <v>53</v>
      </c>
      <c r="D179" t="s">
        <v>288</v>
      </c>
      <c r="E179" t="s">
        <v>289</v>
      </c>
      <c r="F179" t="s">
        <v>10</v>
      </c>
      <c r="G179" t="s">
        <v>288</v>
      </c>
      <c r="H179" t="s">
        <v>290</v>
      </c>
      <c r="I179" t="s">
        <v>32</v>
      </c>
      <c r="J179">
        <v>0</v>
      </c>
      <c r="K179">
        <v>118</v>
      </c>
      <c r="L179" s="4">
        <v>3.5000000000000001E-3</v>
      </c>
      <c r="M179">
        <v>2.5000000000000001E-2</v>
      </c>
      <c r="N179" s="4">
        <v>0.41300000000000003</v>
      </c>
      <c r="O179" s="4">
        <v>2.95</v>
      </c>
    </row>
    <row r="180" spans="2:15">
      <c r="B180" t="s">
        <v>52</v>
      </c>
      <c r="C180" t="s">
        <v>53</v>
      </c>
      <c r="D180" t="s">
        <v>291</v>
      </c>
      <c r="E180" t="s">
        <v>292</v>
      </c>
      <c r="F180" t="s">
        <v>10</v>
      </c>
      <c r="G180" t="s">
        <v>291</v>
      </c>
      <c r="H180" t="s">
        <v>293</v>
      </c>
      <c r="I180" t="s">
        <v>32</v>
      </c>
      <c r="J180">
        <v>0</v>
      </c>
      <c r="K180">
        <v>5</v>
      </c>
      <c r="L180" s="4">
        <v>3.5000000000000001E-3</v>
      </c>
      <c r="M180">
        <v>2.5000000000000001E-2</v>
      </c>
      <c r="N180" s="4">
        <v>1.7500000000000002E-2</v>
      </c>
      <c r="O180" s="4">
        <v>0.125</v>
      </c>
    </row>
    <row r="181" spans="2:15">
      <c r="B181" t="s">
        <v>52</v>
      </c>
      <c r="C181" t="s">
        <v>53</v>
      </c>
      <c r="D181" t="s">
        <v>294</v>
      </c>
      <c r="E181" t="s">
        <v>129</v>
      </c>
      <c r="F181" t="s">
        <v>10</v>
      </c>
      <c r="G181" t="s">
        <v>294</v>
      </c>
      <c r="H181" t="s">
        <v>130</v>
      </c>
      <c r="I181" t="s">
        <v>32</v>
      </c>
      <c r="J181">
        <v>0</v>
      </c>
      <c r="K181">
        <v>1</v>
      </c>
      <c r="L181" s="4">
        <v>3.5000000000000001E-3</v>
      </c>
      <c r="M181">
        <v>2.5000000000000001E-2</v>
      </c>
      <c r="N181" s="4">
        <v>3.5000000000000001E-3</v>
      </c>
      <c r="O181" s="4">
        <v>2.5000000000000001E-2</v>
      </c>
    </row>
    <row r="182" spans="2:15">
      <c r="B182" t="s">
        <v>52</v>
      </c>
      <c r="C182" t="s">
        <v>53</v>
      </c>
      <c r="D182" t="s">
        <v>295</v>
      </c>
      <c r="E182" t="s">
        <v>296</v>
      </c>
      <c r="F182" t="s">
        <v>10</v>
      </c>
      <c r="G182" t="s">
        <v>295</v>
      </c>
      <c r="H182" t="s">
        <v>297</v>
      </c>
      <c r="I182" t="s">
        <v>32</v>
      </c>
      <c r="J182">
        <v>0</v>
      </c>
      <c r="K182">
        <v>454</v>
      </c>
      <c r="L182" s="4">
        <v>3.5000000000000001E-3</v>
      </c>
      <c r="M182">
        <v>2.5000000000000001E-2</v>
      </c>
      <c r="N182" s="4">
        <v>1.589</v>
      </c>
      <c r="O182" s="4">
        <v>11.350000000000001</v>
      </c>
    </row>
    <row r="183" spans="2:15">
      <c r="B183" t="s">
        <v>52</v>
      </c>
      <c r="C183" t="s">
        <v>53</v>
      </c>
      <c r="D183" t="s">
        <v>298</v>
      </c>
      <c r="E183" t="s">
        <v>299</v>
      </c>
      <c r="F183" t="s">
        <v>10</v>
      </c>
      <c r="G183" t="s">
        <v>298</v>
      </c>
      <c r="H183" t="s">
        <v>300</v>
      </c>
      <c r="I183" t="s">
        <v>32</v>
      </c>
      <c r="J183">
        <v>0</v>
      </c>
      <c r="K183">
        <v>762</v>
      </c>
      <c r="L183" s="4">
        <v>3.5000000000000001E-3</v>
      </c>
      <c r="M183">
        <v>2.5000000000000001E-2</v>
      </c>
      <c r="N183" s="4">
        <v>2.6670000000000003</v>
      </c>
      <c r="O183" s="4">
        <v>19.05</v>
      </c>
    </row>
    <row r="184" spans="2:15">
      <c r="B184" t="s">
        <v>52</v>
      </c>
      <c r="C184" t="s">
        <v>53</v>
      </c>
      <c r="D184" t="s">
        <v>301</v>
      </c>
      <c r="E184" t="s">
        <v>302</v>
      </c>
      <c r="F184" t="s">
        <v>10</v>
      </c>
      <c r="G184" t="s">
        <v>301</v>
      </c>
      <c r="H184" t="s">
        <v>303</v>
      </c>
      <c r="I184" t="s">
        <v>32</v>
      </c>
      <c r="J184">
        <v>0</v>
      </c>
      <c r="K184">
        <v>1411</v>
      </c>
      <c r="L184" s="4">
        <v>3.5000000000000001E-3</v>
      </c>
      <c r="M184">
        <v>2.5000000000000001E-2</v>
      </c>
      <c r="N184" s="4">
        <v>4.9385000000000003</v>
      </c>
      <c r="O184" s="4">
        <v>35.274999999999999</v>
      </c>
    </row>
    <row r="185" spans="2:15">
      <c r="B185" t="s">
        <v>52</v>
      </c>
      <c r="C185" t="s">
        <v>53</v>
      </c>
      <c r="D185" t="s">
        <v>692</v>
      </c>
      <c r="E185" t="s">
        <v>693</v>
      </c>
      <c r="F185" t="s">
        <v>10</v>
      </c>
      <c r="G185" t="s">
        <v>692</v>
      </c>
      <c r="H185" t="s">
        <v>694</v>
      </c>
      <c r="I185" t="s">
        <v>32</v>
      </c>
      <c r="J185">
        <v>0</v>
      </c>
      <c r="K185">
        <v>2993</v>
      </c>
      <c r="L185" s="4">
        <v>3.5000000000000001E-3</v>
      </c>
      <c r="M185">
        <v>2.5000000000000001E-2</v>
      </c>
      <c r="N185" s="4">
        <v>10.4755</v>
      </c>
      <c r="O185" s="4">
        <v>74.825000000000003</v>
      </c>
    </row>
    <row r="186" spans="2:15">
      <c r="B186" t="s">
        <v>131</v>
      </c>
      <c r="C186" t="s">
        <v>132</v>
      </c>
      <c r="D186" t="s">
        <v>304</v>
      </c>
      <c r="E186" t="s">
        <v>305</v>
      </c>
      <c r="F186" t="s">
        <v>12</v>
      </c>
      <c r="G186" t="s">
        <v>304</v>
      </c>
      <c r="H186" t="s">
        <v>306</v>
      </c>
      <c r="I186" t="s">
        <v>32</v>
      </c>
      <c r="J186">
        <v>42244</v>
      </c>
      <c r="K186">
        <v>0</v>
      </c>
      <c r="L186" s="4">
        <v>3.8199999999999998E-2</v>
      </c>
      <c r="M186">
        <v>0.09</v>
      </c>
      <c r="N186" s="4">
        <v>1.6137207999999998</v>
      </c>
      <c r="O186" s="4">
        <v>3.8019600000000002</v>
      </c>
    </row>
    <row r="187" spans="2:15">
      <c r="B187" t="s">
        <v>131</v>
      </c>
      <c r="C187" t="s">
        <v>132</v>
      </c>
      <c r="D187" t="s">
        <v>307</v>
      </c>
      <c r="E187" t="s">
        <v>308</v>
      </c>
      <c r="F187" t="s">
        <v>10</v>
      </c>
      <c r="G187" t="s">
        <v>307</v>
      </c>
      <c r="H187" t="s">
        <v>309</v>
      </c>
      <c r="I187" t="s">
        <v>32</v>
      </c>
      <c r="J187">
        <v>0</v>
      </c>
      <c r="K187">
        <v>3</v>
      </c>
      <c r="L187" s="4">
        <v>3.5000000000000001E-3</v>
      </c>
      <c r="M187">
        <v>2.5000000000000001E-2</v>
      </c>
      <c r="N187" s="4">
        <v>1.0500000000000001E-2</v>
      </c>
      <c r="O187" s="4">
        <v>7.5000000000000011E-2</v>
      </c>
    </row>
    <row r="188" spans="2:15">
      <c r="B188" t="s">
        <v>131</v>
      </c>
      <c r="C188" t="s">
        <v>310</v>
      </c>
      <c r="D188" t="s">
        <v>311</v>
      </c>
      <c r="E188" t="s">
        <v>312</v>
      </c>
      <c r="F188" t="s">
        <v>12</v>
      </c>
      <c r="G188" t="s">
        <v>311</v>
      </c>
      <c r="H188" t="s">
        <v>313</v>
      </c>
      <c r="I188" t="s">
        <v>32</v>
      </c>
      <c r="J188">
        <v>60</v>
      </c>
      <c r="K188">
        <v>0</v>
      </c>
      <c r="L188" s="4">
        <v>3.8199999999999998E-2</v>
      </c>
      <c r="M188">
        <v>0.09</v>
      </c>
      <c r="N188" s="4">
        <v>2.2919999999999998E-3</v>
      </c>
      <c r="O188" s="4">
        <v>5.3999999999999994E-3</v>
      </c>
    </row>
    <row r="189" spans="2:15">
      <c r="B189" t="s">
        <v>131</v>
      </c>
      <c r="C189" t="s">
        <v>310</v>
      </c>
      <c r="D189" t="s">
        <v>314</v>
      </c>
      <c r="E189" t="s">
        <v>315</v>
      </c>
      <c r="F189" t="s">
        <v>12</v>
      </c>
      <c r="G189" t="s">
        <v>314</v>
      </c>
      <c r="H189" t="s">
        <v>316</v>
      </c>
      <c r="I189" t="s">
        <v>32</v>
      </c>
      <c r="J189">
        <v>63</v>
      </c>
      <c r="K189">
        <v>2</v>
      </c>
      <c r="L189" s="4">
        <v>3.8199999999999998E-2</v>
      </c>
      <c r="M189">
        <v>0.09</v>
      </c>
      <c r="N189" s="4">
        <v>2.4066000000000001E-3</v>
      </c>
      <c r="O189" s="4">
        <v>5.6699999999999997E-3</v>
      </c>
    </row>
    <row r="190" spans="2:15">
      <c r="B190" t="s">
        <v>131</v>
      </c>
      <c r="C190" t="s">
        <v>310</v>
      </c>
      <c r="D190" t="s">
        <v>317</v>
      </c>
      <c r="E190" t="s">
        <v>318</v>
      </c>
      <c r="F190" t="s">
        <v>12</v>
      </c>
      <c r="G190" t="s">
        <v>317</v>
      </c>
      <c r="H190" t="s">
        <v>319</v>
      </c>
      <c r="I190" t="s">
        <v>32</v>
      </c>
      <c r="J190">
        <v>593</v>
      </c>
      <c r="K190">
        <v>9</v>
      </c>
      <c r="L190" s="4">
        <v>3.8199999999999998E-2</v>
      </c>
      <c r="M190">
        <v>0.09</v>
      </c>
      <c r="N190" s="4">
        <v>2.2652599999999998E-2</v>
      </c>
      <c r="O190" s="4">
        <v>5.3370000000000001E-2</v>
      </c>
    </row>
    <row r="191" spans="2:15">
      <c r="B191" t="s">
        <v>131</v>
      </c>
      <c r="C191" t="s">
        <v>310</v>
      </c>
      <c r="D191" t="s">
        <v>320</v>
      </c>
      <c r="E191" t="s">
        <v>321</v>
      </c>
      <c r="F191" t="s">
        <v>12</v>
      </c>
      <c r="G191" t="s">
        <v>320</v>
      </c>
      <c r="H191" t="s">
        <v>322</v>
      </c>
      <c r="I191" t="s">
        <v>32</v>
      </c>
      <c r="J191">
        <v>653</v>
      </c>
      <c r="K191">
        <v>7</v>
      </c>
      <c r="L191" s="4">
        <v>3.8199999999999998E-2</v>
      </c>
      <c r="M191">
        <v>0.09</v>
      </c>
      <c r="N191" s="4">
        <v>2.4944599999999997E-2</v>
      </c>
      <c r="O191" s="4">
        <v>5.8769999999999996E-2</v>
      </c>
    </row>
    <row r="192" spans="2:15">
      <c r="B192" t="s">
        <v>131</v>
      </c>
      <c r="C192" t="s">
        <v>310</v>
      </c>
      <c r="D192" t="s">
        <v>323</v>
      </c>
      <c r="E192" t="s">
        <v>324</v>
      </c>
      <c r="F192" t="s">
        <v>12</v>
      </c>
      <c r="G192" t="s">
        <v>323</v>
      </c>
      <c r="H192" t="s">
        <v>325</v>
      </c>
      <c r="I192" t="s">
        <v>32</v>
      </c>
      <c r="J192">
        <v>145</v>
      </c>
      <c r="K192">
        <v>2</v>
      </c>
      <c r="L192" s="4">
        <v>3.8199999999999998E-2</v>
      </c>
      <c r="M192">
        <v>0.09</v>
      </c>
      <c r="N192" s="4">
        <v>5.5389999999999997E-3</v>
      </c>
      <c r="O192" s="4">
        <v>1.3049999999999999E-2</v>
      </c>
    </row>
    <row r="193" spans="2:15">
      <c r="B193" t="s">
        <v>131</v>
      </c>
      <c r="C193" t="s">
        <v>310</v>
      </c>
      <c r="D193" t="s">
        <v>326</v>
      </c>
      <c r="E193" t="s">
        <v>327</v>
      </c>
      <c r="F193" t="s">
        <v>12</v>
      </c>
      <c r="G193" t="s">
        <v>326</v>
      </c>
      <c r="H193" t="s">
        <v>328</v>
      </c>
      <c r="I193" t="s">
        <v>32</v>
      </c>
      <c r="J193">
        <v>107</v>
      </c>
      <c r="K193">
        <v>0</v>
      </c>
      <c r="L193" s="4">
        <v>3.8199999999999998E-2</v>
      </c>
      <c r="M193">
        <v>0.09</v>
      </c>
      <c r="N193" s="4">
        <v>4.0873999999999997E-3</v>
      </c>
      <c r="O193" s="4">
        <v>9.6299999999999997E-3</v>
      </c>
    </row>
    <row r="194" spans="2:15">
      <c r="B194" t="s">
        <v>131</v>
      </c>
      <c r="C194" t="s">
        <v>329</v>
      </c>
      <c r="D194" t="s">
        <v>695</v>
      </c>
      <c r="E194" t="s">
        <v>696</v>
      </c>
      <c r="F194" t="s">
        <v>10</v>
      </c>
      <c r="G194" t="s">
        <v>695</v>
      </c>
      <c r="H194" t="s">
        <v>697</v>
      </c>
      <c r="I194" t="s">
        <v>32</v>
      </c>
      <c r="J194">
        <v>0</v>
      </c>
      <c r="K194">
        <v>1</v>
      </c>
      <c r="L194" s="4">
        <v>3.5000000000000001E-3</v>
      </c>
      <c r="M194">
        <v>2.5000000000000001E-2</v>
      </c>
      <c r="N194" s="4">
        <v>3.5000000000000001E-3</v>
      </c>
      <c r="O194" s="4">
        <v>2.5000000000000001E-2</v>
      </c>
    </row>
    <row r="195" spans="2:15">
      <c r="B195" t="s">
        <v>131</v>
      </c>
      <c r="C195" t="s">
        <v>329</v>
      </c>
      <c r="D195" t="s">
        <v>698</v>
      </c>
      <c r="E195" t="s">
        <v>699</v>
      </c>
      <c r="F195" t="s">
        <v>10</v>
      </c>
      <c r="G195" t="s">
        <v>698</v>
      </c>
      <c r="H195" t="s">
        <v>700</v>
      </c>
      <c r="I195" t="s">
        <v>32</v>
      </c>
      <c r="J195">
        <v>0</v>
      </c>
      <c r="K195">
        <v>1</v>
      </c>
      <c r="L195" s="4">
        <v>3.5000000000000001E-3</v>
      </c>
      <c r="M195">
        <v>2.5000000000000001E-2</v>
      </c>
      <c r="N195" s="4">
        <v>3.5000000000000001E-3</v>
      </c>
      <c r="O195" s="4">
        <v>2.5000000000000001E-2</v>
      </c>
    </row>
    <row r="196" spans="2:15">
      <c r="B196" t="s">
        <v>131</v>
      </c>
      <c r="C196" t="s">
        <v>329</v>
      </c>
      <c r="D196" t="s">
        <v>701</v>
      </c>
      <c r="E196" t="s">
        <v>702</v>
      </c>
      <c r="F196" t="s">
        <v>10</v>
      </c>
      <c r="G196" t="s">
        <v>701</v>
      </c>
      <c r="H196" t="s">
        <v>703</v>
      </c>
      <c r="I196" t="s">
        <v>32</v>
      </c>
      <c r="J196">
        <v>0</v>
      </c>
      <c r="K196">
        <v>1</v>
      </c>
      <c r="L196" s="4">
        <v>3.5000000000000001E-3</v>
      </c>
      <c r="M196">
        <v>2.5000000000000001E-2</v>
      </c>
      <c r="N196" s="4">
        <v>3.5000000000000001E-3</v>
      </c>
      <c r="O196" s="4">
        <v>2.5000000000000001E-2</v>
      </c>
    </row>
    <row r="197" spans="2:15">
      <c r="B197" t="s">
        <v>131</v>
      </c>
      <c r="C197" t="s">
        <v>152</v>
      </c>
      <c r="D197" t="s">
        <v>704</v>
      </c>
      <c r="E197" t="s">
        <v>705</v>
      </c>
      <c r="F197" t="s">
        <v>10</v>
      </c>
      <c r="G197" t="s">
        <v>704</v>
      </c>
      <c r="H197" t="s">
        <v>706</v>
      </c>
      <c r="I197" t="s">
        <v>32</v>
      </c>
      <c r="J197">
        <v>397</v>
      </c>
      <c r="K197">
        <v>4830</v>
      </c>
      <c r="L197" s="4">
        <v>3.5000000000000001E-3</v>
      </c>
      <c r="M197">
        <v>2.5000000000000001E-2</v>
      </c>
      <c r="N197" s="4">
        <v>16.905000000000001</v>
      </c>
      <c r="O197" s="4">
        <v>120.75</v>
      </c>
    </row>
    <row r="198" spans="2:15">
      <c r="B198" t="s">
        <v>131</v>
      </c>
      <c r="C198" t="s">
        <v>152</v>
      </c>
      <c r="D198" t="s">
        <v>707</v>
      </c>
      <c r="E198" t="s">
        <v>708</v>
      </c>
      <c r="F198" t="s">
        <v>12</v>
      </c>
      <c r="G198" t="s">
        <v>707</v>
      </c>
      <c r="H198" t="s">
        <v>709</v>
      </c>
      <c r="I198" t="s">
        <v>32</v>
      </c>
      <c r="J198">
        <v>1034</v>
      </c>
      <c r="K198">
        <v>0</v>
      </c>
      <c r="L198" s="4">
        <v>3.8199999999999998E-2</v>
      </c>
      <c r="M198">
        <v>0.09</v>
      </c>
      <c r="N198" s="4">
        <v>3.9498799999999994E-2</v>
      </c>
      <c r="O198" s="4">
        <v>9.3060000000000004E-2</v>
      </c>
    </row>
    <row r="199" spans="2:15">
      <c r="B199" t="s">
        <v>131</v>
      </c>
      <c r="C199" t="s">
        <v>152</v>
      </c>
      <c r="D199" t="s">
        <v>330</v>
      </c>
      <c r="E199" t="s">
        <v>331</v>
      </c>
      <c r="F199" t="s">
        <v>12</v>
      </c>
      <c r="G199" t="s">
        <v>330</v>
      </c>
      <c r="H199" t="s">
        <v>332</v>
      </c>
      <c r="I199" t="s">
        <v>32</v>
      </c>
      <c r="J199">
        <v>13</v>
      </c>
      <c r="K199">
        <v>4</v>
      </c>
      <c r="L199" s="4">
        <v>3.8199999999999998E-2</v>
      </c>
      <c r="M199">
        <v>0.09</v>
      </c>
      <c r="N199" s="4">
        <v>4.9660000000000004E-4</v>
      </c>
      <c r="O199" s="4">
        <v>1.17E-3</v>
      </c>
    </row>
    <row r="200" spans="2:15">
      <c r="B200" t="s">
        <v>131</v>
      </c>
      <c r="C200" t="s">
        <v>152</v>
      </c>
      <c r="D200" t="s">
        <v>710</v>
      </c>
      <c r="E200" t="s">
        <v>711</v>
      </c>
      <c r="F200" t="s">
        <v>10</v>
      </c>
      <c r="G200" t="s">
        <v>710</v>
      </c>
      <c r="H200" t="s">
        <v>712</v>
      </c>
      <c r="I200" t="s">
        <v>32</v>
      </c>
      <c r="J200">
        <v>0</v>
      </c>
      <c r="K200">
        <v>5971</v>
      </c>
      <c r="L200" s="4">
        <v>3.5000000000000001E-3</v>
      </c>
      <c r="M200">
        <v>2.5000000000000001E-2</v>
      </c>
      <c r="N200" s="4">
        <v>20.898500000000002</v>
      </c>
      <c r="O200" s="4">
        <v>149.27500000000001</v>
      </c>
    </row>
    <row r="201" spans="2:15">
      <c r="B201" t="s">
        <v>131</v>
      </c>
      <c r="C201" t="s">
        <v>152</v>
      </c>
      <c r="D201" t="s">
        <v>713</v>
      </c>
      <c r="E201" t="s">
        <v>714</v>
      </c>
      <c r="F201" t="s">
        <v>10</v>
      </c>
      <c r="G201" t="s">
        <v>713</v>
      </c>
      <c r="H201" t="s">
        <v>715</v>
      </c>
      <c r="I201" t="s">
        <v>32</v>
      </c>
      <c r="J201">
        <v>0</v>
      </c>
      <c r="K201">
        <v>6632</v>
      </c>
      <c r="L201" s="4">
        <v>3.5000000000000001E-3</v>
      </c>
      <c r="M201">
        <v>2.5000000000000001E-2</v>
      </c>
      <c r="N201" s="4">
        <v>23.212</v>
      </c>
      <c r="O201" s="4">
        <v>165.8</v>
      </c>
    </row>
    <row r="202" spans="2:15">
      <c r="B202" t="s">
        <v>131</v>
      </c>
      <c r="C202" t="s">
        <v>333</v>
      </c>
      <c r="D202" t="s">
        <v>334</v>
      </c>
      <c r="E202" t="s">
        <v>335</v>
      </c>
      <c r="F202" t="s">
        <v>12</v>
      </c>
      <c r="G202" t="s">
        <v>336</v>
      </c>
      <c r="H202" t="s">
        <v>337</v>
      </c>
      <c r="I202" t="s">
        <v>31</v>
      </c>
      <c r="J202">
        <v>1775279</v>
      </c>
      <c r="K202">
        <v>74807</v>
      </c>
      <c r="L202" s="4">
        <v>3.8199999999999998E-2</v>
      </c>
      <c r="M202">
        <v>0.09</v>
      </c>
      <c r="N202" s="4">
        <v>67.815657799999997</v>
      </c>
      <c r="O202" s="4">
        <v>159.77510999999998</v>
      </c>
    </row>
    <row r="203" spans="2:15">
      <c r="B203" t="s">
        <v>131</v>
      </c>
      <c r="C203" t="s">
        <v>333</v>
      </c>
      <c r="D203" t="s">
        <v>334</v>
      </c>
      <c r="E203" t="s">
        <v>335</v>
      </c>
      <c r="F203" t="s">
        <v>12</v>
      </c>
      <c r="G203" t="s">
        <v>338</v>
      </c>
      <c r="H203" t="s">
        <v>339</v>
      </c>
      <c r="I203" t="s">
        <v>31</v>
      </c>
      <c r="J203">
        <v>1775542</v>
      </c>
      <c r="K203">
        <v>72730</v>
      </c>
      <c r="L203" s="4">
        <v>3.8199999999999998E-2</v>
      </c>
      <c r="M203">
        <v>0.09</v>
      </c>
      <c r="N203" s="4">
        <v>67.825704400000006</v>
      </c>
      <c r="O203" s="4">
        <v>159.79877999999999</v>
      </c>
    </row>
    <row r="204" spans="2:15">
      <c r="B204" t="s">
        <v>131</v>
      </c>
      <c r="C204" t="s">
        <v>333</v>
      </c>
      <c r="D204" t="s">
        <v>340</v>
      </c>
      <c r="E204" t="s">
        <v>341</v>
      </c>
      <c r="F204" t="s">
        <v>12</v>
      </c>
      <c r="G204" t="s">
        <v>342</v>
      </c>
      <c r="H204" t="s">
        <v>343</v>
      </c>
      <c r="I204" t="s">
        <v>31</v>
      </c>
      <c r="J204">
        <v>57378</v>
      </c>
      <c r="K204">
        <v>40</v>
      </c>
      <c r="L204" s="4">
        <v>3.8199999999999998E-2</v>
      </c>
      <c r="M204">
        <v>0.09</v>
      </c>
      <c r="N204" s="4">
        <v>2.1918395999999998</v>
      </c>
      <c r="O204" s="4">
        <v>5.1640199999999998</v>
      </c>
    </row>
    <row r="205" spans="2:15">
      <c r="B205" t="s">
        <v>131</v>
      </c>
      <c r="C205" t="s">
        <v>333</v>
      </c>
      <c r="D205" t="s">
        <v>340</v>
      </c>
      <c r="E205" t="s">
        <v>341</v>
      </c>
      <c r="F205" t="s">
        <v>12</v>
      </c>
      <c r="G205" t="s">
        <v>344</v>
      </c>
      <c r="H205" t="s">
        <v>345</v>
      </c>
      <c r="I205" t="s">
        <v>31</v>
      </c>
      <c r="J205">
        <v>57255</v>
      </c>
      <c r="K205">
        <v>31</v>
      </c>
      <c r="L205" s="4">
        <v>3.8199999999999998E-2</v>
      </c>
      <c r="M205">
        <v>0.09</v>
      </c>
      <c r="N205" s="4">
        <v>2.187141</v>
      </c>
      <c r="O205" s="4">
        <v>5.1529499999999997</v>
      </c>
    </row>
    <row r="206" spans="2:15">
      <c r="B206" t="s">
        <v>131</v>
      </c>
      <c r="C206" t="s">
        <v>333</v>
      </c>
      <c r="D206" t="s">
        <v>346</v>
      </c>
      <c r="E206" t="s">
        <v>347</v>
      </c>
      <c r="F206" t="s">
        <v>12</v>
      </c>
      <c r="G206" t="s">
        <v>346</v>
      </c>
      <c r="H206" t="s">
        <v>348</v>
      </c>
      <c r="I206" t="s">
        <v>32</v>
      </c>
      <c r="J206">
        <v>1667891</v>
      </c>
      <c r="K206">
        <v>24573</v>
      </c>
      <c r="L206" s="4">
        <v>3.8199999999999998E-2</v>
      </c>
      <c r="M206">
        <v>0.09</v>
      </c>
      <c r="N206" s="4">
        <v>63.713436199999997</v>
      </c>
      <c r="O206" s="4">
        <v>150.11018999999999</v>
      </c>
    </row>
    <row r="207" spans="2:15">
      <c r="B207" t="s">
        <v>131</v>
      </c>
      <c r="C207" t="s">
        <v>333</v>
      </c>
      <c r="D207" t="s">
        <v>349</v>
      </c>
      <c r="E207" t="s">
        <v>350</v>
      </c>
      <c r="F207" t="s">
        <v>12</v>
      </c>
      <c r="G207" t="s">
        <v>349</v>
      </c>
      <c r="H207" t="s">
        <v>351</v>
      </c>
      <c r="I207" t="s">
        <v>31</v>
      </c>
      <c r="J207">
        <v>1391505</v>
      </c>
      <c r="K207">
        <v>1321</v>
      </c>
      <c r="L207" s="4">
        <v>3.8199999999999998E-2</v>
      </c>
      <c r="M207">
        <v>0.09</v>
      </c>
      <c r="N207" s="4">
        <v>53.155490999999998</v>
      </c>
      <c r="O207" s="4">
        <v>125.23545</v>
      </c>
    </row>
    <row r="208" spans="2:15">
      <c r="B208" t="s">
        <v>131</v>
      </c>
      <c r="C208" t="s">
        <v>333</v>
      </c>
      <c r="D208" t="s">
        <v>716</v>
      </c>
      <c r="E208" t="s">
        <v>717</v>
      </c>
      <c r="F208" t="s">
        <v>12</v>
      </c>
      <c r="G208" t="s">
        <v>716</v>
      </c>
      <c r="H208" t="s">
        <v>718</v>
      </c>
      <c r="I208" t="s">
        <v>32</v>
      </c>
      <c r="J208">
        <v>167</v>
      </c>
      <c r="K208">
        <v>10</v>
      </c>
      <c r="L208" s="4">
        <v>3.8199999999999998E-2</v>
      </c>
      <c r="M208">
        <v>0.09</v>
      </c>
      <c r="N208" s="4">
        <v>6.3793999999999995E-3</v>
      </c>
      <c r="O208" s="4">
        <v>1.503E-2</v>
      </c>
    </row>
    <row r="209" spans="2:15">
      <c r="B209" t="s">
        <v>131</v>
      </c>
      <c r="C209" t="s">
        <v>333</v>
      </c>
      <c r="D209" t="s">
        <v>719</v>
      </c>
      <c r="E209" t="s">
        <v>720</v>
      </c>
      <c r="F209" t="s">
        <v>12</v>
      </c>
      <c r="G209" t="s">
        <v>719</v>
      </c>
      <c r="H209" t="s">
        <v>721</v>
      </c>
      <c r="I209" t="s">
        <v>32</v>
      </c>
      <c r="J209">
        <v>172</v>
      </c>
      <c r="K209">
        <v>10</v>
      </c>
      <c r="L209" s="4">
        <v>3.8199999999999998E-2</v>
      </c>
      <c r="M209">
        <v>0.09</v>
      </c>
      <c r="N209" s="4">
        <v>6.5703999999999997E-3</v>
      </c>
      <c r="O209" s="4">
        <v>1.5479999999999999E-2</v>
      </c>
    </row>
    <row r="210" spans="2:15">
      <c r="B210" t="s">
        <v>131</v>
      </c>
      <c r="C210" t="s">
        <v>333</v>
      </c>
      <c r="D210" t="s">
        <v>352</v>
      </c>
      <c r="E210" t="s">
        <v>353</v>
      </c>
      <c r="F210" t="s">
        <v>12</v>
      </c>
      <c r="G210" t="s">
        <v>352</v>
      </c>
      <c r="H210" t="s">
        <v>354</v>
      </c>
      <c r="I210" t="s">
        <v>32</v>
      </c>
      <c r="J210">
        <v>108</v>
      </c>
      <c r="K210">
        <v>6</v>
      </c>
      <c r="L210" s="4">
        <v>3.8199999999999998E-2</v>
      </c>
      <c r="M210">
        <v>0.09</v>
      </c>
      <c r="N210" s="4">
        <v>4.1255999999999992E-3</v>
      </c>
      <c r="O210" s="4">
        <v>9.7199999999999995E-3</v>
      </c>
    </row>
    <row r="211" spans="2:15">
      <c r="B211" t="s">
        <v>131</v>
      </c>
      <c r="C211" t="s">
        <v>333</v>
      </c>
      <c r="D211" t="s">
        <v>355</v>
      </c>
      <c r="E211" t="s">
        <v>356</v>
      </c>
      <c r="F211" t="s">
        <v>12</v>
      </c>
      <c r="G211" t="s">
        <v>355</v>
      </c>
      <c r="H211" t="s">
        <v>357</v>
      </c>
      <c r="I211" t="s">
        <v>32</v>
      </c>
      <c r="J211">
        <v>92</v>
      </c>
      <c r="K211">
        <v>9</v>
      </c>
      <c r="L211" s="4">
        <v>3.8199999999999998E-2</v>
      </c>
      <c r="M211">
        <v>0.09</v>
      </c>
      <c r="N211" s="4">
        <v>3.5143999999999996E-3</v>
      </c>
      <c r="O211" s="4">
        <v>8.2799999999999992E-3</v>
      </c>
    </row>
    <row r="212" spans="2:15">
      <c r="B212" t="s">
        <v>131</v>
      </c>
      <c r="C212" t="s">
        <v>358</v>
      </c>
      <c r="D212" t="s">
        <v>359</v>
      </c>
      <c r="E212" t="s">
        <v>360</v>
      </c>
      <c r="F212" t="s">
        <v>12</v>
      </c>
      <c r="G212" t="s">
        <v>359</v>
      </c>
      <c r="H212" t="s">
        <v>361</v>
      </c>
      <c r="I212" t="s">
        <v>32</v>
      </c>
      <c r="J212">
        <v>595497</v>
      </c>
      <c r="K212">
        <v>339</v>
      </c>
      <c r="L212" s="4">
        <v>3.8199999999999998E-2</v>
      </c>
      <c r="M212">
        <v>0.09</v>
      </c>
      <c r="N212" s="4">
        <v>22.747985399999997</v>
      </c>
      <c r="O212" s="4">
        <v>53.594729999999998</v>
      </c>
    </row>
    <row r="213" spans="2:15">
      <c r="B213" t="s">
        <v>131</v>
      </c>
      <c r="C213" t="s">
        <v>358</v>
      </c>
      <c r="D213" t="s">
        <v>362</v>
      </c>
      <c r="E213" t="s">
        <v>363</v>
      </c>
      <c r="F213" t="s">
        <v>12</v>
      </c>
      <c r="G213" t="s">
        <v>362</v>
      </c>
      <c r="H213" t="s">
        <v>364</v>
      </c>
      <c r="I213" t="s">
        <v>32</v>
      </c>
      <c r="J213">
        <v>114745</v>
      </c>
      <c r="K213">
        <v>593</v>
      </c>
      <c r="L213" s="4">
        <v>3.8199999999999998E-2</v>
      </c>
      <c r="M213">
        <v>0.09</v>
      </c>
      <c r="N213" s="4">
        <v>4.3832589999999998</v>
      </c>
      <c r="O213" s="4">
        <v>10.32705</v>
      </c>
    </row>
    <row r="214" spans="2:15">
      <c r="B214" t="s">
        <v>131</v>
      </c>
      <c r="C214" t="s">
        <v>358</v>
      </c>
      <c r="D214" t="s">
        <v>365</v>
      </c>
      <c r="E214" t="s">
        <v>366</v>
      </c>
      <c r="F214" t="s">
        <v>12</v>
      </c>
      <c r="G214" t="s">
        <v>365</v>
      </c>
      <c r="H214" t="s">
        <v>367</v>
      </c>
      <c r="I214" t="s">
        <v>32</v>
      </c>
      <c r="J214">
        <v>244054</v>
      </c>
      <c r="K214">
        <v>106</v>
      </c>
      <c r="L214" s="4">
        <v>3.8199999999999998E-2</v>
      </c>
      <c r="M214">
        <v>0.09</v>
      </c>
      <c r="N214" s="4">
        <v>9.3228627999999993</v>
      </c>
      <c r="O214" s="4">
        <v>21.964860000000002</v>
      </c>
    </row>
    <row r="215" spans="2:15">
      <c r="B215" t="s">
        <v>131</v>
      </c>
      <c r="C215" t="s">
        <v>358</v>
      </c>
      <c r="D215" t="s">
        <v>368</v>
      </c>
      <c r="E215" t="s">
        <v>369</v>
      </c>
      <c r="F215" t="s">
        <v>12</v>
      </c>
      <c r="G215" t="s">
        <v>368</v>
      </c>
      <c r="H215" t="s">
        <v>370</v>
      </c>
      <c r="I215" t="s">
        <v>32</v>
      </c>
      <c r="J215">
        <v>132372</v>
      </c>
      <c r="K215">
        <v>532</v>
      </c>
      <c r="L215" s="4">
        <v>3.8199999999999998E-2</v>
      </c>
      <c r="M215">
        <v>0.09</v>
      </c>
      <c r="N215" s="4">
        <v>5.0566103999999994</v>
      </c>
      <c r="O215" s="4">
        <v>11.91348</v>
      </c>
    </row>
    <row r="216" spans="2:15">
      <c r="B216" t="s">
        <v>131</v>
      </c>
      <c r="C216" t="s">
        <v>358</v>
      </c>
      <c r="D216" t="s">
        <v>722</v>
      </c>
      <c r="E216" t="s">
        <v>723</v>
      </c>
      <c r="F216" t="s">
        <v>10</v>
      </c>
      <c r="G216" t="s">
        <v>722</v>
      </c>
      <c r="H216" t="s">
        <v>724</v>
      </c>
      <c r="I216" t="s">
        <v>32</v>
      </c>
      <c r="J216">
        <v>0</v>
      </c>
      <c r="K216">
        <v>1701</v>
      </c>
      <c r="L216" s="4">
        <v>3.5000000000000001E-3</v>
      </c>
      <c r="M216">
        <v>2.5000000000000001E-2</v>
      </c>
      <c r="N216" s="4">
        <v>5.9535</v>
      </c>
      <c r="O216" s="4">
        <v>42.525000000000006</v>
      </c>
    </row>
    <row r="217" spans="2:15">
      <c r="B217" t="s">
        <v>131</v>
      </c>
      <c r="C217" t="s">
        <v>358</v>
      </c>
      <c r="D217" t="s">
        <v>725</v>
      </c>
      <c r="E217" t="s">
        <v>726</v>
      </c>
      <c r="F217" t="s">
        <v>10</v>
      </c>
      <c r="G217" t="s">
        <v>725</v>
      </c>
      <c r="H217" t="s">
        <v>727</v>
      </c>
      <c r="I217" t="s">
        <v>32</v>
      </c>
      <c r="J217">
        <v>0</v>
      </c>
      <c r="K217">
        <v>686</v>
      </c>
      <c r="L217" s="4">
        <v>3.5000000000000001E-3</v>
      </c>
      <c r="M217">
        <v>2.5000000000000001E-2</v>
      </c>
      <c r="N217" s="4">
        <v>2.4010000000000002</v>
      </c>
      <c r="O217" s="4">
        <v>17.150000000000002</v>
      </c>
    </row>
    <row r="218" spans="2:15">
      <c r="B218" t="s">
        <v>131</v>
      </c>
      <c r="C218" t="s">
        <v>358</v>
      </c>
      <c r="D218" t="s">
        <v>728</v>
      </c>
      <c r="E218" t="s">
        <v>729</v>
      </c>
      <c r="F218" t="s">
        <v>10</v>
      </c>
      <c r="G218" t="s">
        <v>728</v>
      </c>
      <c r="H218" t="s">
        <v>730</v>
      </c>
      <c r="I218" t="s">
        <v>32</v>
      </c>
      <c r="J218">
        <v>0</v>
      </c>
      <c r="K218">
        <v>1</v>
      </c>
      <c r="L218" s="4">
        <v>3.5000000000000001E-3</v>
      </c>
      <c r="M218">
        <v>2.5000000000000001E-2</v>
      </c>
      <c r="N218" s="4">
        <v>3.5000000000000001E-3</v>
      </c>
      <c r="O218" s="4">
        <v>2.5000000000000001E-2</v>
      </c>
    </row>
    <row r="219" spans="2:15">
      <c r="B219" t="s">
        <v>131</v>
      </c>
      <c r="C219" t="s">
        <v>166</v>
      </c>
      <c r="D219" t="s">
        <v>371</v>
      </c>
      <c r="E219" t="s">
        <v>372</v>
      </c>
      <c r="F219" t="s">
        <v>10</v>
      </c>
      <c r="G219" t="s">
        <v>371</v>
      </c>
      <c r="H219" t="s">
        <v>373</v>
      </c>
      <c r="I219" t="s">
        <v>32</v>
      </c>
      <c r="J219">
        <v>0</v>
      </c>
      <c r="K219">
        <v>1</v>
      </c>
      <c r="L219" s="4">
        <v>3.5000000000000001E-3</v>
      </c>
      <c r="M219">
        <v>2.5000000000000001E-2</v>
      </c>
      <c r="N219" s="4">
        <v>3.5000000000000001E-3</v>
      </c>
      <c r="O219" s="4">
        <v>2.5000000000000001E-2</v>
      </c>
    </row>
    <row r="220" spans="2:15">
      <c r="B220" t="s">
        <v>131</v>
      </c>
      <c r="C220" t="s">
        <v>731</v>
      </c>
      <c r="D220" t="s">
        <v>732</v>
      </c>
      <c r="E220" t="s">
        <v>733</v>
      </c>
      <c r="F220" t="s">
        <v>10</v>
      </c>
      <c r="G220" t="s">
        <v>732</v>
      </c>
      <c r="H220" t="s">
        <v>734</v>
      </c>
      <c r="I220" t="s">
        <v>32</v>
      </c>
      <c r="J220">
        <v>0</v>
      </c>
      <c r="K220">
        <v>377</v>
      </c>
      <c r="L220" s="4">
        <v>3.5000000000000001E-3</v>
      </c>
      <c r="M220">
        <v>2.5000000000000001E-2</v>
      </c>
      <c r="N220" s="4">
        <v>1.3195000000000001</v>
      </c>
      <c r="O220" s="4">
        <v>9.4250000000000007</v>
      </c>
    </row>
    <row r="221" spans="2:15">
      <c r="B221" t="s">
        <v>131</v>
      </c>
      <c r="C221" t="s">
        <v>731</v>
      </c>
      <c r="D221" t="s">
        <v>735</v>
      </c>
      <c r="E221" t="s">
        <v>736</v>
      </c>
      <c r="F221" t="s">
        <v>10</v>
      </c>
      <c r="G221" t="s">
        <v>735</v>
      </c>
      <c r="H221" t="s">
        <v>737</v>
      </c>
      <c r="I221" t="s">
        <v>32</v>
      </c>
      <c r="J221">
        <v>0</v>
      </c>
      <c r="K221">
        <v>389</v>
      </c>
      <c r="L221" s="4">
        <v>3.5000000000000001E-3</v>
      </c>
      <c r="M221">
        <v>2.5000000000000001E-2</v>
      </c>
      <c r="N221" s="4">
        <v>1.3614999999999999</v>
      </c>
      <c r="O221" s="4">
        <v>9.7250000000000014</v>
      </c>
    </row>
    <row r="222" spans="2:15">
      <c r="B222" t="s">
        <v>131</v>
      </c>
      <c r="C222" t="s">
        <v>374</v>
      </c>
      <c r="D222" t="s">
        <v>375</v>
      </c>
      <c r="E222" t="s">
        <v>376</v>
      </c>
      <c r="F222" t="s">
        <v>10</v>
      </c>
      <c r="G222" t="s">
        <v>375</v>
      </c>
      <c r="H222" t="s">
        <v>377</v>
      </c>
      <c r="I222" t="s">
        <v>32</v>
      </c>
      <c r="J222">
        <v>0</v>
      </c>
      <c r="K222">
        <v>23</v>
      </c>
      <c r="L222" s="4">
        <v>3.5000000000000001E-3</v>
      </c>
      <c r="M222">
        <v>2.5000000000000001E-2</v>
      </c>
      <c r="N222" s="4">
        <v>8.0500000000000002E-2</v>
      </c>
      <c r="O222" s="4">
        <v>0.57500000000000007</v>
      </c>
    </row>
    <row r="223" spans="2:15">
      <c r="B223" t="s">
        <v>131</v>
      </c>
      <c r="C223" t="s">
        <v>53</v>
      </c>
      <c r="D223" t="s">
        <v>738</v>
      </c>
      <c r="E223" t="s">
        <v>739</v>
      </c>
      <c r="F223" t="s">
        <v>10</v>
      </c>
      <c r="G223" t="s">
        <v>738</v>
      </c>
      <c r="H223" t="s">
        <v>740</v>
      </c>
      <c r="I223" t="s">
        <v>32</v>
      </c>
      <c r="J223">
        <v>6</v>
      </c>
      <c r="K223">
        <v>580</v>
      </c>
      <c r="L223" s="4">
        <v>3.5000000000000001E-3</v>
      </c>
      <c r="M223">
        <v>2.5000000000000001E-2</v>
      </c>
      <c r="N223" s="4">
        <v>2.0300000000000002</v>
      </c>
      <c r="O223" s="4">
        <v>14.5</v>
      </c>
    </row>
    <row r="224" spans="2:15">
      <c r="B224" t="s">
        <v>131</v>
      </c>
      <c r="C224" t="s">
        <v>53</v>
      </c>
      <c r="D224" t="s">
        <v>378</v>
      </c>
      <c r="E224" t="s">
        <v>379</v>
      </c>
      <c r="F224" t="s">
        <v>12</v>
      </c>
      <c r="G224" t="s">
        <v>378</v>
      </c>
      <c r="H224" t="s">
        <v>380</v>
      </c>
      <c r="I224" t="s">
        <v>32</v>
      </c>
      <c r="J224">
        <v>43</v>
      </c>
      <c r="K224">
        <v>0</v>
      </c>
      <c r="L224" s="4">
        <v>3.8199999999999998E-2</v>
      </c>
      <c r="M224">
        <v>0.09</v>
      </c>
      <c r="N224" s="4">
        <v>1.6425999999999999E-3</v>
      </c>
      <c r="O224" s="4">
        <v>3.8699999999999997E-3</v>
      </c>
    </row>
    <row r="225" spans="2:15">
      <c r="B225" t="s">
        <v>131</v>
      </c>
      <c r="C225" t="s">
        <v>53</v>
      </c>
      <c r="D225" t="s">
        <v>741</v>
      </c>
      <c r="E225" t="s">
        <v>742</v>
      </c>
      <c r="F225" t="s">
        <v>12</v>
      </c>
      <c r="G225" t="s">
        <v>741</v>
      </c>
      <c r="H225" t="s">
        <v>743</v>
      </c>
      <c r="I225" t="s">
        <v>32</v>
      </c>
      <c r="J225">
        <v>6411925</v>
      </c>
      <c r="K225">
        <v>0</v>
      </c>
      <c r="L225" s="4">
        <v>3.8199999999999998E-2</v>
      </c>
      <c r="M225">
        <v>0.09</v>
      </c>
      <c r="N225" s="4">
        <v>244.93553499999999</v>
      </c>
      <c r="O225" s="4">
        <v>577.07325000000003</v>
      </c>
    </row>
    <row r="226" spans="2:15">
      <c r="B226" t="s">
        <v>131</v>
      </c>
      <c r="C226" t="s">
        <v>53</v>
      </c>
      <c r="D226" t="s">
        <v>744</v>
      </c>
      <c r="E226" t="s">
        <v>745</v>
      </c>
      <c r="F226" t="s">
        <v>12</v>
      </c>
      <c r="G226" t="s">
        <v>744</v>
      </c>
      <c r="H226" t="s">
        <v>746</v>
      </c>
      <c r="I226" t="s">
        <v>32</v>
      </c>
      <c r="J226">
        <v>1504</v>
      </c>
      <c r="K226">
        <v>1</v>
      </c>
      <c r="L226" s="4">
        <v>3.8199999999999998E-2</v>
      </c>
      <c r="M226">
        <v>0.09</v>
      </c>
      <c r="N226" s="4">
        <v>5.7452799999999998E-2</v>
      </c>
      <c r="O226" s="4">
        <v>0.13535999999999998</v>
      </c>
    </row>
    <row r="227" spans="2:15">
      <c r="B227" t="s">
        <v>131</v>
      </c>
      <c r="C227" t="s">
        <v>53</v>
      </c>
      <c r="D227" t="s">
        <v>381</v>
      </c>
      <c r="E227" t="s">
        <v>133</v>
      </c>
      <c r="F227" t="s">
        <v>10</v>
      </c>
      <c r="G227" t="s">
        <v>381</v>
      </c>
      <c r="H227" t="s">
        <v>134</v>
      </c>
      <c r="I227" t="s">
        <v>32</v>
      </c>
      <c r="J227">
        <v>0</v>
      </c>
      <c r="K227">
        <v>6</v>
      </c>
      <c r="L227" s="4">
        <v>3.5000000000000001E-3</v>
      </c>
      <c r="M227">
        <v>2.5000000000000001E-2</v>
      </c>
      <c r="N227" s="4">
        <v>2.1000000000000001E-2</v>
      </c>
      <c r="O227" s="4">
        <v>0.15000000000000002</v>
      </c>
    </row>
    <row r="228" spans="2:15">
      <c r="B228" t="s">
        <v>131</v>
      </c>
      <c r="C228" t="s">
        <v>53</v>
      </c>
      <c r="D228" t="s">
        <v>382</v>
      </c>
      <c r="E228" t="s">
        <v>135</v>
      </c>
      <c r="F228" t="s">
        <v>10</v>
      </c>
      <c r="G228" t="s">
        <v>382</v>
      </c>
      <c r="H228" t="s">
        <v>136</v>
      </c>
      <c r="I228" t="s">
        <v>32</v>
      </c>
      <c r="J228">
        <v>0</v>
      </c>
      <c r="K228">
        <v>26</v>
      </c>
      <c r="L228" s="4">
        <v>3.5000000000000001E-3</v>
      </c>
      <c r="M228">
        <v>2.5000000000000001E-2</v>
      </c>
      <c r="N228" s="4">
        <v>9.0999999999999998E-2</v>
      </c>
      <c r="O228" s="4">
        <v>0.65</v>
      </c>
    </row>
    <row r="229" spans="2:15">
      <c r="B229" t="s">
        <v>131</v>
      </c>
      <c r="C229" t="s">
        <v>53</v>
      </c>
      <c r="D229" t="s">
        <v>383</v>
      </c>
      <c r="E229" t="s">
        <v>137</v>
      </c>
      <c r="F229" t="s">
        <v>10</v>
      </c>
      <c r="G229" t="s">
        <v>383</v>
      </c>
      <c r="H229" t="s">
        <v>138</v>
      </c>
      <c r="I229" t="s">
        <v>32</v>
      </c>
      <c r="J229">
        <v>0</v>
      </c>
      <c r="K229">
        <v>3</v>
      </c>
      <c r="L229" s="4">
        <v>3.5000000000000001E-3</v>
      </c>
      <c r="M229">
        <v>2.5000000000000001E-2</v>
      </c>
      <c r="N229" s="4">
        <v>1.0500000000000001E-2</v>
      </c>
      <c r="O229" s="4">
        <v>7.5000000000000011E-2</v>
      </c>
    </row>
    <row r="230" spans="2:15">
      <c r="B230" t="s">
        <v>131</v>
      </c>
      <c r="C230" t="s">
        <v>53</v>
      </c>
      <c r="D230" t="s">
        <v>384</v>
      </c>
      <c r="E230" t="s">
        <v>139</v>
      </c>
      <c r="F230" t="s">
        <v>10</v>
      </c>
      <c r="G230" t="s">
        <v>384</v>
      </c>
      <c r="H230" t="s">
        <v>140</v>
      </c>
      <c r="I230" t="s">
        <v>32</v>
      </c>
      <c r="J230">
        <v>0</v>
      </c>
      <c r="K230">
        <v>2</v>
      </c>
      <c r="L230" s="4">
        <v>3.5000000000000001E-3</v>
      </c>
      <c r="M230">
        <v>2.5000000000000001E-2</v>
      </c>
      <c r="N230" s="4">
        <v>7.0000000000000001E-3</v>
      </c>
      <c r="O230" s="4">
        <v>0.05</v>
      </c>
    </row>
    <row r="231" spans="2:15">
      <c r="B231" t="s">
        <v>131</v>
      </c>
      <c r="C231" t="s">
        <v>53</v>
      </c>
      <c r="D231" t="s">
        <v>385</v>
      </c>
      <c r="E231" t="s">
        <v>386</v>
      </c>
      <c r="F231" t="s">
        <v>10</v>
      </c>
      <c r="G231" t="s">
        <v>385</v>
      </c>
      <c r="H231" t="s">
        <v>387</v>
      </c>
      <c r="I231" t="s">
        <v>32</v>
      </c>
      <c r="J231">
        <v>0</v>
      </c>
      <c r="K231">
        <v>10</v>
      </c>
      <c r="L231" s="4">
        <v>3.5000000000000001E-3</v>
      </c>
      <c r="M231">
        <v>2.5000000000000001E-2</v>
      </c>
      <c r="N231" s="4">
        <v>3.5000000000000003E-2</v>
      </c>
      <c r="O231" s="4">
        <v>0.25</v>
      </c>
    </row>
    <row r="232" spans="2:15">
      <c r="B232" t="s">
        <v>131</v>
      </c>
      <c r="C232" t="s">
        <v>53</v>
      </c>
      <c r="D232" t="s">
        <v>388</v>
      </c>
      <c r="E232" t="s">
        <v>389</v>
      </c>
      <c r="F232" t="s">
        <v>10</v>
      </c>
      <c r="G232" t="s">
        <v>388</v>
      </c>
      <c r="H232" t="s">
        <v>390</v>
      </c>
      <c r="I232" t="s">
        <v>32</v>
      </c>
      <c r="J232">
        <v>0</v>
      </c>
      <c r="K232">
        <v>2</v>
      </c>
      <c r="L232" s="4">
        <v>3.5000000000000001E-3</v>
      </c>
      <c r="M232">
        <v>2.5000000000000001E-2</v>
      </c>
      <c r="N232" s="4">
        <v>7.0000000000000001E-3</v>
      </c>
      <c r="O232" s="4">
        <v>0.05</v>
      </c>
    </row>
    <row r="233" spans="2:15">
      <c r="B233" t="s">
        <v>131</v>
      </c>
      <c r="C233" t="s">
        <v>53</v>
      </c>
      <c r="D233" t="s">
        <v>747</v>
      </c>
      <c r="E233" t="s">
        <v>748</v>
      </c>
      <c r="F233" t="s">
        <v>10</v>
      </c>
      <c r="G233" t="s">
        <v>747</v>
      </c>
      <c r="H233" t="s">
        <v>749</v>
      </c>
      <c r="I233" t="s">
        <v>32</v>
      </c>
      <c r="J233">
        <v>2617</v>
      </c>
      <c r="K233">
        <v>11605</v>
      </c>
      <c r="L233" s="4">
        <v>3.5000000000000001E-3</v>
      </c>
      <c r="M233">
        <v>2.5000000000000001E-2</v>
      </c>
      <c r="N233" s="4">
        <v>40.6175</v>
      </c>
      <c r="O233" s="4">
        <v>290.125</v>
      </c>
    </row>
    <row r="234" spans="2:15">
      <c r="B234" t="s">
        <v>131</v>
      </c>
      <c r="C234" t="s">
        <v>53</v>
      </c>
      <c r="D234" t="s">
        <v>750</v>
      </c>
      <c r="E234" t="s">
        <v>751</v>
      </c>
      <c r="F234" t="s">
        <v>10</v>
      </c>
      <c r="G234" t="s">
        <v>750</v>
      </c>
      <c r="H234" t="s">
        <v>752</v>
      </c>
      <c r="I234" t="s">
        <v>32</v>
      </c>
      <c r="J234">
        <v>0</v>
      </c>
      <c r="K234">
        <v>1596</v>
      </c>
      <c r="L234" s="4">
        <v>3.5000000000000001E-3</v>
      </c>
      <c r="M234">
        <v>2.5000000000000001E-2</v>
      </c>
      <c r="N234" s="4">
        <v>5.5860000000000003</v>
      </c>
      <c r="O234" s="4">
        <v>39.900000000000006</v>
      </c>
    </row>
    <row r="235" spans="2:15">
      <c r="B235" t="s">
        <v>131</v>
      </c>
      <c r="C235" t="s">
        <v>53</v>
      </c>
      <c r="D235" t="s">
        <v>753</v>
      </c>
      <c r="E235" t="s">
        <v>754</v>
      </c>
      <c r="F235" t="s">
        <v>10</v>
      </c>
      <c r="G235" t="s">
        <v>753</v>
      </c>
      <c r="H235" t="s">
        <v>755</v>
      </c>
      <c r="I235" t="s">
        <v>32</v>
      </c>
      <c r="J235">
        <v>4</v>
      </c>
      <c r="K235">
        <v>3143</v>
      </c>
      <c r="L235" s="4">
        <v>3.5000000000000001E-3</v>
      </c>
      <c r="M235">
        <v>2.5000000000000001E-2</v>
      </c>
      <c r="N235" s="4">
        <v>11.000500000000001</v>
      </c>
      <c r="O235" s="4">
        <v>78.575000000000003</v>
      </c>
    </row>
    <row r="236" spans="2:15">
      <c r="B236" t="s">
        <v>131</v>
      </c>
      <c r="C236" t="s">
        <v>53</v>
      </c>
      <c r="D236" t="s">
        <v>756</v>
      </c>
      <c r="E236" t="s">
        <v>757</v>
      </c>
      <c r="F236" t="s">
        <v>12</v>
      </c>
      <c r="G236" t="s">
        <v>756</v>
      </c>
      <c r="H236" t="s">
        <v>758</v>
      </c>
      <c r="I236" t="s">
        <v>32</v>
      </c>
      <c r="J236">
        <v>268</v>
      </c>
      <c r="K236">
        <v>0</v>
      </c>
      <c r="L236" s="4">
        <v>3.8199999999999998E-2</v>
      </c>
      <c r="M236">
        <v>0.09</v>
      </c>
      <c r="N236" s="4">
        <v>1.0237599999999999E-2</v>
      </c>
      <c r="O236" s="4">
        <v>2.4119999999999999E-2</v>
      </c>
    </row>
    <row r="237" spans="2:15">
      <c r="B237" t="s">
        <v>131</v>
      </c>
      <c r="C237" t="s">
        <v>53</v>
      </c>
      <c r="D237" t="s">
        <v>759</v>
      </c>
      <c r="E237" t="s">
        <v>760</v>
      </c>
      <c r="F237" t="s">
        <v>12</v>
      </c>
      <c r="G237" t="s">
        <v>759</v>
      </c>
      <c r="H237" t="s">
        <v>761</v>
      </c>
      <c r="I237" t="s">
        <v>32</v>
      </c>
      <c r="J237">
        <v>1020</v>
      </c>
      <c r="K237">
        <v>0</v>
      </c>
      <c r="L237" s="4">
        <v>3.8199999999999998E-2</v>
      </c>
      <c r="M237">
        <v>0.09</v>
      </c>
      <c r="N237" s="4">
        <v>3.8963999999999999E-2</v>
      </c>
      <c r="O237" s="4">
        <v>9.1799999999999993E-2</v>
      </c>
    </row>
    <row r="238" spans="2:15">
      <c r="B238" t="s">
        <v>131</v>
      </c>
      <c r="C238" t="s">
        <v>53</v>
      </c>
      <c r="D238" t="s">
        <v>762</v>
      </c>
      <c r="E238" t="s">
        <v>763</v>
      </c>
      <c r="F238" t="s">
        <v>12</v>
      </c>
      <c r="G238" t="s">
        <v>762</v>
      </c>
      <c r="H238" t="s">
        <v>764</v>
      </c>
      <c r="I238" t="s">
        <v>32</v>
      </c>
      <c r="J238">
        <v>1703</v>
      </c>
      <c r="K238">
        <v>0</v>
      </c>
      <c r="L238" s="4">
        <v>3.8199999999999998E-2</v>
      </c>
      <c r="M238">
        <v>0.09</v>
      </c>
      <c r="N238" s="4">
        <v>6.505459999999999E-2</v>
      </c>
      <c r="O238" s="4">
        <v>0.15326999999999999</v>
      </c>
    </row>
    <row r="239" spans="2:15">
      <c r="B239" t="s">
        <v>131</v>
      </c>
      <c r="C239" t="s">
        <v>53</v>
      </c>
      <c r="D239" t="s">
        <v>765</v>
      </c>
      <c r="E239" t="s">
        <v>766</v>
      </c>
      <c r="F239" t="s">
        <v>12</v>
      </c>
      <c r="G239" t="s">
        <v>765</v>
      </c>
      <c r="H239" t="s">
        <v>767</v>
      </c>
      <c r="I239" t="s">
        <v>32</v>
      </c>
      <c r="J239">
        <v>1710</v>
      </c>
      <c r="K239">
        <v>0</v>
      </c>
      <c r="L239" s="4">
        <v>3.8199999999999998E-2</v>
      </c>
      <c r="M239">
        <v>0.09</v>
      </c>
      <c r="N239" s="4">
        <v>6.5322000000000005E-2</v>
      </c>
      <c r="O239" s="4">
        <v>0.15390000000000001</v>
      </c>
    </row>
    <row r="240" spans="2:15">
      <c r="B240" t="s">
        <v>131</v>
      </c>
      <c r="C240" t="s">
        <v>53</v>
      </c>
      <c r="D240" t="s">
        <v>768</v>
      </c>
      <c r="E240" t="s">
        <v>769</v>
      </c>
      <c r="F240" t="s">
        <v>12</v>
      </c>
      <c r="G240" t="s">
        <v>768</v>
      </c>
      <c r="H240" t="s">
        <v>770</v>
      </c>
      <c r="I240" t="s">
        <v>32</v>
      </c>
      <c r="J240">
        <v>3990880</v>
      </c>
      <c r="K240">
        <v>5007</v>
      </c>
      <c r="L240" s="4">
        <v>3.8199999999999998E-2</v>
      </c>
      <c r="M240">
        <v>0.09</v>
      </c>
      <c r="N240" s="4">
        <v>152.45161599999997</v>
      </c>
      <c r="O240" s="4">
        <v>359.17920000000004</v>
      </c>
    </row>
    <row r="241" spans="2:15">
      <c r="B241" t="s">
        <v>131</v>
      </c>
      <c r="C241" t="s">
        <v>53</v>
      </c>
      <c r="D241" t="s">
        <v>771</v>
      </c>
      <c r="E241" t="s">
        <v>772</v>
      </c>
      <c r="F241" t="s">
        <v>12</v>
      </c>
      <c r="G241" t="s">
        <v>771</v>
      </c>
      <c r="H241" t="s">
        <v>773</v>
      </c>
      <c r="I241" t="s">
        <v>32</v>
      </c>
      <c r="J241">
        <v>2621817</v>
      </c>
      <c r="K241">
        <v>10126</v>
      </c>
      <c r="L241" s="4">
        <v>3.8199999999999998E-2</v>
      </c>
      <c r="M241">
        <v>0.09</v>
      </c>
      <c r="N241" s="4">
        <v>100.15340939999999</v>
      </c>
      <c r="O241" s="4">
        <v>235.96352999999999</v>
      </c>
    </row>
    <row r="242" spans="2:15">
      <c r="B242" t="s">
        <v>131</v>
      </c>
      <c r="C242" t="s">
        <v>53</v>
      </c>
      <c r="D242" t="s">
        <v>774</v>
      </c>
      <c r="E242" t="s">
        <v>775</v>
      </c>
      <c r="F242" t="s">
        <v>12</v>
      </c>
      <c r="G242" t="s">
        <v>774</v>
      </c>
      <c r="H242" t="s">
        <v>776</v>
      </c>
      <c r="I242" t="s">
        <v>32</v>
      </c>
      <c r="J242">
        <v>801138</v>
      </c>
      <c r="K242">
        <v>2978</v>
      </c>
      <c r="L242" s="4">
        <v>3.8199999999999998E-2</v>
      </c>
      <c r="M242">
        <v>0.09</v>
      </c>
      <c r="N242" s="4">
        <v>30.603471599999999</v>
      </c>
      <c r="O242" s="4">
        <v>72.102419999999995</v>
      </c>
    </row>
    <row r="243" spans="2:15">
      <c r="B243" t="s">
        <v>131</v>
      </c>
      <c r="C243" t="s">
        <v>53</v>
      </c>
      <c r="D243" t="s">
        <v>777</v>
      </c>
      <c r="E243" t="s">
        <v>778</v>
      </c>
      <c r="F243" t="s">
        <v>12</v>
      </c>
      <c r="G243" t="s">
        <v>777</v>
      </c>
      <c r="H243" t="s">
        <v>779</v>
      </c>
      <c r="I243" t="s">
        <v>32</v>
      </c>
      <c r="J243">
        <v>4125708</v>
      </c>
      <c r="K243">
        <v>2172</v>
      </c>
      <c r="L243" s="4">
        <v>3.8199999999999998E-2</v>
      </c>
      <c r="M243">
        <v>0.09</v>
      </c>
      <c r="N243" s="4">
        <v>157.6020456</v>
      </c>
      <c r="O243" s="4">
        <v>371.31371999999999</v>
      </c>
    </row>
    <row r="244" spans="2:15">
      <c r="B244" t="s">
        <v>131</v>
      </c>
      <c r="C244" t="s">
        <v>53</v>
      </c>
      <c r="D244" t="s">
        <v>780</v>
      </c>
      <c r="E244" t="s">
        <v>781</v>
      </c>
      <c r="F244" t="s">
        <v>10</v>
      </c>
      <c r="G244" t="s">
        <v>780</v>
      </c>
      <c r="H244" t="s">
        <v>782</v>
      </c>
      <c r="I244" t="s">
        <v>32</v>
      </c>
      <c r="J244">
        <v>0</v>
      </c>
      <c r="K244">
        <v>1</v>
      </c>
      <c r="L244" s="4">
        <v>3.5000000000000001E-3</v>
      </c>
      <c r="M244">
        <v>2.5000000000000001E-2</v>
      </c>
      <c r="N244" s="4">
        <v>3.5000000000000001E-3</v>
      </c>
      <c r="O244" s="4">
        <v>2.5000000000000001E-2</v>
      </c>
    </row>
    <row r="245" spans="2:15">
      <c r="B245" t="s">
        <v>131</v>
      </c>
      <c r="C245" t="s">
        <v>53</v>
      </c>
      <c r="D245" t="s">
        <v>783</v>
      </c>
      <c r="E245" t="s">
        <v>784</v>
      </c>
      <c r="F245" t="s">
        <v>10</v>
      </c>
      <c r="G245" t="s">
        <v>783</v>
      </c>
      <c r="H245" t="s">
        <v>785</v>
      </c>
      <c r="I245" t="s">
        <v>32</v>
      </c>
      <c r="J245">
        <v>0</v>
      </c>
      <c r="K245">
        <v>3</v>
      </c>
      <c r="L245" s="4">
        <v>3.5000000000000001E-3</v>
      </c>
      <c r="M245">
        <v>2.5000000000000001E-2</v>
      </c>
      <c r="N245" s="4">
        <v>1.0500000000000001E-2</v>
      </c>
      <c r="O245" s="4">
        <v>7.5000000000000011E-2</v>
      </c>
    </row>
    <row r="246" spans="2:15">
      <c r="B246" t="s">
        <v>131</v>
      </c>
      <c r="C246" t="s">
        <v>53</v>
      </c>
      <c r="D246" t="s">
        <v>786</v>
      </c>
      <c r="E246" t="s">
        <v>787</v>
      </c>
      <c r="F246" t="s">
        <v>10</v>
      </c>
      <c r="G246" t="s">
        <v>786</v>
      </c>
      <c r="H246" t="s">
        <v>788</v>
      </c>
      <c r="I246" t="s">
        <v>32</v>
      </c>
      <c r="J246">
        <v>0</v>
      </c>
      <c r="K246">
        <v>1</v>
      </c>
      <c r="L246" s="4">
        <v>3.5000000000000001E-3</v>
      </c>
      <c r="M246">
        <v>2.5000000000000001E-2</v>
      </c>
      <c r="N246" s="4">
        <v>3.5000000000000001E-3</v>
      </c>
      <c r="O246" s="4">
        <v>2.5000000000000001E-2</v>
      </c>
    </row>
    <row r="247" spans="2:15">
      <c r="B247" t="s">
        <v>131</v>
      </c>
      <c r="C247" t="s">
        <v>53</v>
      </c>
      <c r="D247" t="s">
        <v>789</v>
      </c>
      <c r="E247" t="s">
        <v>790</v>
      </c>
      <c r="F247" t="s">
        <v>10</v>
      </c>
      <c r="G247" t="s">
        <v>789</v>
      </c>
      <c r="H247" t="s">
        <v>791</v>
      </c>
      <c r="I247" t="s">
        <v>32</v>
      </c>
      <c r="J247">
        <v>0</v>
      </c>
      <c r="K247">
        <v>1</v>
      </c>
      <c r="L247" s="4">
        <v>3.5000000000000001E-3</v>
      </c>
      <c r="M247">
        <v>2.5000000000000001E-2</v>
      </c>
      <c r="N247" s="4">
        <v>3.5000000000000001E-3</v>
      </c>
      <c r="O247" s="4">
        <v>2.5000000000000001E-2</v>
      </c>
    </row>
    <row r="248" spans="2:15">
      <c r="B248" t="s">
        <v>131</v>
      </c>
      <c r="C248" t="s">
        <v>53</v>
      </c>
      <c r="D248" t="s">
        <v>792</v>
      </c>
      <c r="E248" t="s">
        <v>793</v>
      </c>
      <c r="F248" t="s">
        <v>10</v>
      </c>
      <c r="G248" t="s">
        <v>792</v>
      </c>
      <c r="H248" t="s">
        <v>794</v>
      </c>
      <c r="I248" t="s">
        <v>32</v>
      </c>
      <c r="J248">
        <v>0</v>
      </c>
      <c r="K248">
        <v>3</v>
      </c>
      <c r="L248" s="4">
        <v>3.5000000000000001E-3</v>
      </c>
      <c r="M248">
        <v>2.5000000000000001E-2</v>
      </c>
      <c r="N248" s="4">
        <v>1.0500000000000001E-2</v>
      </c>
      <c r="O248" s="4">
        <v>7.5000000000000011E-2</v>
      </c>
    </row>
    <row r="249" spans="2:15">
      <c r="B249" t="s">
        <v>131</v>
      </c>
      <c r="C249" t="s">
        <v>53</v>
      </c>
      <c r="D249" t="s">
        <v>795</v>
      </c>
      <c r="E249" t="s">
        <v>796</v>
      </c>
      <c r="F249" t="s">
        <v>10</v>
      </c>
      <c r="G249" t="s">
        <v>795</v>
      </c>
      <c r="H249" t="s">
        <v>797</v>
      </c>
      <c r="I249" t="s">
        <v>32</v>
      </c>
      <c r="J249">
        <v>0</v>
      </c>
      <c r="K249">
        <v>21</v>
      </c>
      <c r="L249" s="4">
        <v>3.5000000000000001E-3</v>
      </c>
      <c r="M249">
        <v>2.5000000000000001E-2</v>
      </c>
      <c r="N249" s="4">
        <v>7.3499999999999996E-2</v>
      </c>
      <c r="O249" s="4">
        <v>0.52500000000000002</v>
      </c>
    </row>
    <row r="250" spans="2:15">
      <c r="B250" t="s">
        <v>131</v>
      </c>
      <c r="C250" t="s">
        <v>53</v>
      </c>
      <c r="D250" t="s">
        <v>798</v>
      </c>
      <c r="E250" t="s">
        <v>799</v>
      </c>
      <c r="F250" t="s">
        <v>10</v>
      </c>
      <c r="G250" t="s">
        <v>798</v>
      </c>
      <c r="H250" t="s">
        <v>800</v>
      </c>
      <c r="I250" t="s">
        <v>32</v>
      </c>
      <c r="J250">
        <v>0</v>
      </c>
      <c r="K250">
        <v>3</v>
      </c>
      <c r="L250" s="4">
        <v>3.5000000000000001E-3</v>
      </c>
      <c r="M250">
        <v>2.5000000000000001E-2</v>
      </c>
      <c r="N250" s="4">
        <v>1.0500000000000001E-2</v>
      </c>
      <c r="O250" s="4">
        <v>7.5000000000000011E-2</v>
      </c>
    </row>
    <row r="251" spans="2:15">
      <c r="B251" t="s">
        <v>131</v>
      </c>
      <c r="C251" t="s">
        <v>53</v>
      </c>
      <c r="D251" t="s">
        <v>801</v>
      </c>
      <c r="E251" t="s">
        <v>802</v>
      </c>
      <c r="F251" t="s">
        <v>10</v>
      </c>
      <c r="G251" t="s">
        <v>801</v>
      </c>
      <c r="H251" t="s">
        <v>803</v>
      </c>
      <c r="I251" t="s">
        <v>32</v>
      </c>
      <c r="J251">
        <v>0</v>
      </c>
      <c r="K251">
        <v>2</v>
      </c>
      <c r="L251" s="4">
        <v>3.5000000000000001E-3</v>
      </c>
      <c r="M251">
        <v>2.5000000000000001E-2</v>
      </c>
      <c r="N251" s="4">
        <v>7.0000000000000001E-3</v>
      </c>
      <c r="O251" s="4">
        <v>0.05</v>
      </c>
    </row>
    <row r="252" spans="2:15">
      <c r="B252" t="s">
        <v>131</v>
      </c>
      <c r="C252" t="s">
        <v>53</v>
      </c>
      <c r="D252" t="s">
        <v>804</v>
      </c>
      <c r="E252" t="s">
        <v>805</v>
      </c>
      <c r="F252" t="s">
        <v>12</v>
      </c>
      <c r="G252" t="s">
        <v>804</v>
      </c>
      <c r="H252" t="s">
        <v>806</v>
      </c>
      <c r="I252" t="s">
        <v>32</v>
      </c>
      <c r="J252">
        <v>4</v>
      </c>
      <c r="K252">
        <v>1</v>
      </c>
      <c r="L252" s="4">
        <v>3.8199999999999998E-2</v>
      </c>
      <c r="M252">
        <v>0.09</v>
      </c>
      <c r="N252" s="4">
        <v>1.528E-4</v>
      </c>
      <c r="O252" s="4">
        <v>3.5999999999999997E-4</v>
      </c>
    </row>
    <row r="253" spans="2:15">
      <c r="B253" t="s">
        <v>131</v>
      </c>
      <c r="C253" t="s">
        <v>53</v>
      </c>
      <c r="D253" t="s">
        <v>807</v>
      </c>
      <c r="E253" t="s">
        <v>808</v>
      </c>
      <c r="F253" t="s">
        <v>12</v>
      </c>
      <c r="G253" t="s">
        <v>807</v>
      </c>
      <c r="H253" t="s">
        <v>809</v>
      </c>
      <c r="I253" t="s">
        <v>32</v>
      </c>
      <c r="J253">
        <v>6074317</v>
      </c>
      <c r="K253">
        <v>19033</v>
      </c>
      <c r="L253" s="4">
        <v>3.8199999999999998E-2</v>
      </c>
      <c r="M253">
        <v>0.09</v>
      </c>
      <c r="N253" s="4">
        <v>232.03890939999997</v>
      </c>
      <c r="O253" s="4">
        <v>546.68853000000001</v>
      </c>
    </row>
    <row r="254" spans="2:15">
      <c r="B254" t="s">
        <v>131</v>
      </c>
      <c r="C254" t="s">
        <v>53</v>
      </c>
      <c r="D254" t="s">
        <v>810</v>
      </c>
      <c r="E254" t="s">
        <v>811</v>
      </c>
      <c r="F254" t="s">
        <v>10</v>
      </c>
      <c r="G254" t="s">
        <v>810</v>
      </c>
      <c r="H254" t="s">
        <v>812</v>
      </c>
      <c r="I254" t="s">
        <v>32</v>
      </c>
      <c r="J254">
        <v>2</v>
      </c>
      <c r="K254">
        <v>2</v>
      </c>
      <c r="L254" s="4">
        <v>3.5000000000000001E-3</v>
      </c>
      <c r="M254">
        <v>2.5000000000000001E-2</v>
      </c>
      <c r="N254" s="4">
        <v>7.0000000000000001E-3</v>
      </c>
      <c r="O254" s="4">
        <v>0.05</v>
      </c>
    </row>
    <row r="255" spans="2:15">
      <c r="B255" t="s">
        <v>131</v>
      </c>
      <c r="C255" t="s">
        <v>53</v>
      </c>
      <c r="D255" t="s">
        <v>391</v>
      </c>
      <c r="E255" t="s">
        <v>392</v>
      </c>
      <c r="F255" t="s">
        <v>10</v>
      </c>
      <c r="G255" t="s">
        <v>391</v>
      </c>
      <c r="H255" t="s">
        <v>393</v>
      </c>
      <c r="I255" t="s">
        <v>32</v>
      </c>
      <c r="J255">
        <v>0</v>
      </c>
      <c r="K255">
        <v>7</v>
      </c>
      <c r="L255" s="4">
        <v>3.5000000000000001E-3</v>
      </c>
      <c r="M255">
        <v>2.5000000000000001E-2</v>
      </c>
      <c r="N255" s="4">
        <v>2.4500000000000001E-2</v>
      </c>
      <c r="O255" s="4">
        <v>0.17500000000000002</v>
      </c>
    </row>
    <row r="256" spans="2:15">
      <c r="B256" t="s">
        <v>131</v>
      </c>
      <c r="C256" t="s">
        <v>53</v>
      </c>
      <c r="D256" t="s">
        <v>813</v>
      </c>
      <c r="E256" t="s">
        <v>814</v>
      </c>
      <c r="F256" t="s">
        <v>10</v>
      </c>
      <c r="G256" t="s">
        <v>813</v>
      </c>
      <c r="H256" t="s">
        <v>815</v>
      </c>
      <c r="I256" t="s">
        <v>32</v>
      </c>
      <c r="J256">
        <v>2748</v>
      </c>
      <c r="K256">
        <v>8568</v>
      </c>
      <c r="L256" s="4">
        <v>3.5000000000000001E-3</v>
      </c>
      <c r="M256">
        <v>2.5000000000000001E-2</v>
      </c>
      <c r="N256" s="4">
        <v>29.988</v>
      </c>
      <c r="O256" s="4">
        <v>214.20000000000002</v>
      </c>
    </row>
    <row r="257" spans="2:15">
      <c r="B257" t="s">
        <v>131</v>
      </c>
      <c r="C257" t="s">
        <v>53</v>
      </c>
      <c r="D257" t="s">
        <v>816</v>
      </c>
      <c r="E257" t="s">
        <v>817</v>
      </c>
      <c r="F257" t="s">
        <v>10</v>
      </c>
      <c r="G257" t="s">
        <v>816</v>
      </c>
      <c r="H257" t="s">
        <v>818</v>
      </c>
      <c r="I257" t="s">
        <v>32</v>
      </c>
      <c r="J257">
        <v>2177</v>
      </c>
      <c r="K257">
        <v>2948</v>
      </c>
      <c r="L257" s="4">
        <v>3.5000000000000001E-3</v>
      </c>
      <c r="M257">
        <v>2.5000000000000001E-2</v>
      </c>
      <c r="N257" s="4">
        <v>10.318</v>
      </c>
      <c r="O257" s="4">
        <v>73.7</v>
      </c>
    </row>
    <row r="258" spans="2:15">
      <c r="B258" t="s">
        <v>131</v>
      </c>
      <c r="C258" t="s">
        <v>53</v>
      </c>
      <c r="D258" t="s">
        <v>819</v>
      </c>
      <c r="E258" t="s">
        <v>820</v>
      </c>
      <c r="F258" t="s">
        <v>10</v>
      </c>
      <c r="G258" t="s">
        <v>819</v>
      </c>
      <c r="H258" t="s">
        <v>821</v>
      </c>
      <c r="I258" t="s">
        <v>32</v>
      </c>
      <c r="J258">
        <v>556</v>
      </c>
      <c r="K258">
        <v>5483</v>
      </c>
      <c r="L258" s="4">
        <v>3.5000000000000001E-3</v>
      </c>
      <c r="M258">
        <v>2.5000000000000001E-2</v>
      </c>
      <c r="N258" s="4">
        <v>19.1905</v>
      </c>
      <c r="O258" s="4">
        <v>137.07500000000002</v>
      </c>
    </row>
    <row r="259" spans="2:15">
      <c r="B259" t="s">
        <v>131</v>
      </c>
      <c r="C259" t="s">
        <v>53</v>
      </c>
      <c r="D259" t="s">
        <v>822</v>
      </c>
      <c r="E259" t="s">
        <v>823</v>
      </c>
      <c r="F259" t="s">
        <v>10</v>
      </c>
      <c r="G259" t="s">
        <v>822</v>
      </c>
      <c r="H259" t="s">
        <v>824</v>
      </c>
      <c r="I259" t="s">
        <v>32</v>
      </c>
      <c r="J259">
        <v>75</v>
      </c>
      <c r="K259">
        <v>239</v>
      </c>
      <c r="L259" s="4">
        <v>3.5000000000000001E-3</v>
      </c>
      <c r="M259">
        <v>2.5000000000000001E-2</v>
      </c>
      <c r="N259" s="4">
        <v>0.83650000000000002</v>
      </c>
      <c r="O259" s="4">
        <v>5.9750000000000005</v>
      </c>
    </row>
    <row r="260" spans="2:15">
      <c r="B260" t="s">
        <v>131</v>
      </c>
      <c r="C260" t="s">
        <v>53</v>
      </c>
      <c r="D260" t="s">
        <v>825</v>
      </c>
      <c r="E260" t="s">
        <v>826</v>
      </c>
      <c r="F260" t="s">
        <v>10</v>
      </c>
      <c r="G260" t="s">
        <v>827</v>
      </c>
      <c r="H260" t="s">
        <v>828</v>
      </c>
      <c r="I260" t="s">
        <v>32</v>
      </c>
      <c r="J260">
        <v>1289</v>
      </c>
      <c r="K260">
        <v>1685</v>
      </c>
      <c r="L260" s="4">
        <v>3.5000000000000001E-3</v>
      </c>
      <c r="M260">
        <v>2.5000000000000001E-2</v>
      </c>
      <c r="N260" s="4">
        <v>5.8975</v>
      </c>
      <c r="O260" s="4">
        <v>42.125</v>
      </c>
    </row>
    <row r="261" spans="2:15">
      <c r="B261" t="s">
        <v>131</v>
      </c>
      <c r="C261" t="s">
        <v>53</v>
      </c>
      <c r="D261" t="s">
        <v>827</v>
      </c>
      <c r="E261" t="s">
        <v>829</v>
      </c>
      <c r="F261" t="s">
        <v>12</v>
      </c>
      <c r="G261" t="s">
        <v>830</v>
      </c>
      <c r="H261" t="s">
        <v>831</v>
      </c>
      <c r="I261" t="s">
        <v>32</v>
      </c>
      <c r="J261">
        <v>14</v>
      </c>
      <c r="K261">
        <v>3</v>
      </c>
      <c r="L261" s="4">
        <v>3.8199999999999998E-2</v>
      </c>
      <c r="M261">
        <v>0.09</v>
      </c>
      <c r="N261" s="4">
        <v>5.3479999999999999E-4</v>
      </c>
      <c r="O261" s="4">
        <v>1.2600000000000001E-3</v>
      </c>
    </row>
    <row r="262" spans="2:15">
      <c r="B262" t="s">
        <v>131</v>
      </c>
      <c r="C262" t="s">
        <v>53</v>
      </c>
      <c r="D262" t="s">
        <v>832</v>
      </c>
      <c r="E262" t="s">
        <v>833</v>
      </c>
      <c r="F262" t="s">
        <v>10</v>
      </c>
      <c r="G262" t="s">
        <v>832</v>
      </c>
      <c r="H262" t="s">
        <v>834</v>
      </c>
      <c r="I262" t="s">
        <v>32</v>
      </c>
      <c r="J262">
        <v>2394</v>
      </c>
      <c r="K262">
        <v>6139</v>
      </c>
      <c r="L262" s="4">
        <v>3.5000000000000001E-3</v>
      </c>
      <c r="M262">
        <v>2.5000000000000001E-2</v>
      </c>
      <c r="N262" s="4">
        <v>21.486499999999999</v>
      </c>
      <c r="O262" s="4">
        <v>153.47500000000002</v>
      </c>
    </row>
    <row r="263" spans="2:15">
      <c r="B263" t="s">
        <v>131</v>
      </c>
      <c r="C263" t="s">
        <v>53</v>
      </c>
      <c r="D263" t="s">
        <v>835</v>
      </c>
      <c r="E263" t="s">
        <v>836</v>
      </c>
      <c r="F263" t="s">
        <v>12</v>
      </c>
      <c r="G263" t="s">
        <v>835</v>
      </c>
      <c r="H263" t="s">
        <v>837</v>
      </c>
      <c r="I263" t="s">
        <v>32</v>
      </c>
      <c r="J263">
        <v>1120</v>
      </c>
      <c r="K263">
        <v>0</v>
      </c>
      <c r="L263" s="4">
        <v>3.8199999999999998E-2</v>
      </c>
      <c r="M263">
        <v>0.09</v>
      </c>
      <c r="N263" s="4">
        <v>4.2783999999999996E-2</v>
      </c>
      <c r="O263" s="4">
        <v>0.1008</v>
      </c>
    </row>
    <row r="264" spans="2:15">
      <c r="B264" t="s">
        <v>131</v>
      </c>
      <c r="C264" t="s">
        <v>838</v>
      </c>
      <c r="D264" t="s">
        <v>839</v>
      </c>
      <c r="E264" t="s">
        <v>840</v>
      </c>
      <c r="F264" t="s">
        <v>12</v>
      </c>
      <c r="G264" t="s">
        <v>397</v>
      </c>
      <c r="H264" t="s">
        <v>398</v>
      </c>
      <c r="I264" t="s">
        <v>31</v>
      </c>
      <c r="J264">
        <v>1</v>
      </c>
      <c r="K264">
        <v>0</v>
      </c>
      <c r="L264" s="4">
        <v>3.8199999999999998E-2</v>
      </c>
      <c r="M264">
        <v>0.09</v>
      </c>
      <c r="N264" s="4">
        <v>3.82E-5</v>
      </c>
      <c r="O264" s="4">
        <v>8.9999999999999992E-5</v>
      </c>
    </row>
    <row r="265" spans="2:15">
      <c r="B265" t="s">
        <v>131</v>
      </c>
      <c r="C265" t="s">
        <v>838</v>
      </c>
      <c r="D265" t="s">
        <v>839</v>
      </c>
      <c r="E265" t="s">
        <v>840</v>
      </c>
      <c r="F265" t="s">
        <v>12</v>
      </c>
      <c r="G265" t="s">
        <v>839</v>
      </c>
      <c r="H265" t="s">
        <v>841</v>
      </c>
      <c r="I265" t="s">
        <v>32</v>
      </c>
      <c r="J265">
        <v>36225</v>
      </c>
      <c r="K265">
        <v>41</v>
      </c>
      <c r="L265" s="4">
        <v>3.8199999999999998E-2</v>
      </c>
      <c r="M265">
        <v>0.09</v>
      </c>
      <c r="N265" s="4">
        <v>1.3837949999999999</v>
      </c>
      <c r="O265" s="4">
        <v>3.2602500000000001</v>
      </c>
    </row>
    <row r="266" spans="2:15">
      <c r="B266" t="s">
        <v>131</v>
      </c>
      <c r="C266" t="s">
        <v>838</v>
      </c>
      <c r="D266" t="s">
        <v>842</v>
      </c>
      <c r="E266" t="s">
        <v>843</v>
      </c>
      <c r="F266" t="s">
        <v>12</v>
      </c>
      <c r="G266" t="s">
        <v>842</v>
      </c>
      <c r="H266" t="s">
        <v>844</v>
      </c>
      <c r="I266" t="s">
        <v>32</v>
      </c>
      <c r="J266">
        <v>25953</v>
      </c>
      <c r="K266">
        <v>14</v>
      </c>
      <c r="L266" s="4">
        <v>3.8199999999999998E-2</v>
      </c>
      <c r="M266">
        <v>0.09</v>
      </c>
      <c r="N266" s="4">
        <v>0.99140459999999997</v>
      </c>
      <c r="O266" s="4">
        <v>2.3357700000000001</v>
      </c>
    </row>
    <row r="267" spans="2:15">
      <c r="B267" t="s">
        <v>131</v>
      </c>
      <c r="C267" t="s">
        <v>838</v>
      </c>
      <c r="D267" t="s">
        <v>845</v>
      </c>
      <c r="E267" t="s">
        <v>846</v>
      </c>
      <c r="F267" t="s">
        <v>12</v>
      </c>
      <c r="G267" t="s">
        <v>845</v>
      </c>
      <c r="H267" t="s">
        <v>847</v>
      </c>
      <c r="I267" t="s">
        <v>32</v>
      </c>
      <c r="J267">
        <v>2929157</v>
      </c>
      <c r="K267">
        <v>7376</v>
      </c>
      <c r="L267" s="4">
        <v>3.8199999999999998E-2</v>
      </c>
      <c r="M267">
        <v>0.09</v>
      </c>
      <c r="N267" s="4">
        <v>111.8937974</v>
      </c>
      <c r="O267" s="4">
        <v>263.62412999999998</v>
      </c>
    </row>
    <row r="268" spans="2:15">
      <c r="B268" t="s">
        <v>131</v>
      </c>
      <c r="C268" t="s">
        <v>394</v>
      </c>
      <c r="D268" t="s">
        <v>395</v>
      </c>
      <c r="E268" t="s">
        <v>396</v>
      </c>
      <c r="F268" t="s">
        <v>12</v>
      </c>
      <c r="G268" t="s">
        <v>397</v>
      </c>
      <c r="H268" t="s">
        <v>398</v>
      </c>
      <c r="I268" t="s">
        <v>31</v>
      </c>
      <c r="J268">
        <v>2343</v>
      </c>
      <c r="K268">
        <v>0</v>
      </c>
      <c r="L268" s="4">
        <v>3.8199999999999998E-2</v>
      </c>
      <c r="M268">
        <v>0.09</v>
      </c>
      <c r="N268" s="4">
        <v>8.9502600000000002E-2</v>
      </c>
      <c r="O268" s="4">
        <v>0.21087</v>
      </c>
    </row>
    <row r="269" spans="2:15">
      <c r="B269" t="s">
        <v>131</v>
      </c>
      <c r="C269" t="s">
        <v>394</v>
      </c>
      <c r="D269" t="s">
        <v>395</v>
      </c>
      <c r="E269" t="s">
        <v>396</v>
      </c>
      <c r="F269" t="s">
        <v>10</v>
      </c>
      <c r="G269" t="s">
        <v>395</v>
      </c>
      <c r="H269" t="s">
        <v>399</v>
      </c>
      <c r="I269" t="s">
        <v>32</v>
      </c>
      <c r="J269">
        <v>0</v>
      </c>
      <c r="K269">
        <v>47</v>
      </c>
      <c r="L269" s="4">
        <v>3.5000000000000001E-3</v>
      </c>
      <c r="M269">
        <v>2.5000000000000001E-2</v>
      </c>
      <c r="N269" s="4">
        <v>0.16450000000000001</v>
      </c>
      <c r="O269" s="4">
        <v>1.175</v>
      </c>
    </row>
    <row r="270" spans="2:15">
      <c r="B270" t="s">
        <v>131</v>
      </c>
      <c r="C270" t="s">
        <v>394</v>
      </c>
      <c r="D270" t="s">
        <v>848</v>
      </c>
      <c r="E270" t="s">
        <v>400</v>
      </c>
      <c r="F270" t="s">
        <v>12</v>
      </c>
      <c r="G270" t="s">
        <v>848</v>
      </c>
      <c r="H270" t="s">
        <v>401</v>
      </c>
      <c r="I270" t="s">
        <v>31</v>
      </c>
      <c r="J270">
        <v>361982</v>
      </c>
      <c r="K270">
        <v>2826</v>
      </c>
      <c r="L270" s="4">
        <v>3.8199999999999998E-2</v>
      </c>
      <c r="M270">
        <v>0.09</v>
      </c>
      <c r="N270" s="4">
        <v>13.827712399999999</v>
      </c>
      <c r="O270" s="4">
        <v>32.578379999999996</v>
      </c>
    </row>
    <row r="271" spans="2:15">
      <c r="B271" t="s">
        <v>131</v>
      </c>
      <c r="C271" t="s">
        <v>394</v>
      </c>
      <c r="D271" t="s">
        <v>402</v>
      </c>
      <c r="E271" t="s">
        <v>403</v>
      </c>
      <c r="F271" t="s">
        <v>12</v>
      </c>
      <c r="G271" t="s">
        <v>397</v>
      </c>
      <c r="H271" t="s">
        <v>398</v>
      </c>
      <c r="I271" t="s">
        <v>31</v>
      </c>
      <c r="J271">
        <v>19647</v>
      </c>
      <c r="K271">
        <v>19</v>
      </c>
      <c r="L271" s="4">
        <v>3.8199999999999998E-2</v>
      </c>
      <c r="M271">
        <v>0.09</v>
      </c>
      <c r="N271" s="4">
        <v>0.75051540000000005</v>
      </c>
      <c r="O271" s="4">
        <v>1.76823</v>
      </c>
    </row>
    <row r="272" spans="2:15">
      <c r="B272" t="s">
        <v>131</v>
      </c>
      <c r="C272" t="s">
        <v>394</v>
      </c>
      <c r="D272" t="s">
        <v>402</v>
      </c>
      <c r="E272" t="s">
        <v>403</v>
      </c>
      <c r="F272" t="s">
        <v>10</v>
      </c>
      <c r="G272" t="s">
        <v>402</v>
      </c>
      <c r="H272" t="s">
        <v>849</v>
      </c>
      <c r="I272" t="s">
        <v>32</v>
      </c>
      <c r="J272">
        <v>0</v>
      </c>
      <c r="K272">
        <v>1278</v>
      </c>
      <c r="L272" s="4">
        <v>3.5000000000000001E-3</v>
      </c>
      <c r="M272">
        <v>2.5000000000000001E-2</v>
      </c>
      <c r="N272" s="4">
        <v>4.4729999999999999</v>
      </c>
      <c r="O272" s="4">
        <v>31.950000000000003</v>
      </c>
    </row>
    <row r="273" spans="2:15">
      <c r="B273" t="s">
        <v>131</v>
      </c>
      <c r="C273" t="s">
        <v>394</v>
      </c>
      <c r="D273" t="s">
        <v>404</v>
      </c>
      <c r="E273" t="s">
        <v>405</v>
      </c>
      <c r="F273" t="s">
        <v>12</v>
      </c>
      <c r="G273" t="s">
        <v>397</v>
      </c>
      <c r="H273" t="s">
        <v>398</v>
      </c>
      <c r="I273" t="s">
        <v>31</v>
      </c>
      <c r="J273">
        <v>8544</v>
      </c>
      <c r="K273">
        <v>3</v>
      </c>
      <c r="L273" s="4">
        <v>3.8199999999999998E-2</v>
      </c>
      <c r="M273">
        <v>0.09</v>
      </c>
      <c r="N273" s="4">
        <v>0.32638079999999997</v>
      </c>
      <c r="O273" s="4">
        <v>0.76895999999999998</v>
      </c>
    </row>
    <row r="274" spans="2:15">
      <c r="B274" t="s">
        <v>131</v>
      </c>
      <c r="C274" t="s">
        <v>394</v>
      </c>
      <c r="D274" t="s">
        <v>404</v>
      </c>
      <c r="E274" t="s">
        <v>405</v>
      </c>
      <c r="F274" t="s">
        <v>10</v>
      </c>
      <c r="G274" t="s">
        <v>404</v>
      </c>
      <c r="H274" t="s">
        <v>406</v>
      </c>
      <c r="I274" t="s">
        <v>32</v>
      </c>
      <c r="J274">
        <v>0</v>
      </c>
      <c r="K274">
        <v>839</v>
      </c>
      <c r="L274" s="4">
        <v>3.5000000000000001E-3</v>
      </c>
      <c r="M274">
        <v>2.5000000000000001E-2</v>
      </c>
      <c r="N274" s="4">
        <v>2.9365000000000001</v>
      </c>
      <c r="O274" s="4">
        <v>20.975000000000001</v>
      </c>
    </row>
    <row r="275" spans="2:15">
      <c r="B275" t="s">
        <v>131</v>
      </c>
      <c r="C275" t="s">
        <v>394</v>
      </c>
      <c r="D275" t="s">
        <v>407</v>
      </c>
      <c r="E275" t="s">
        <v>408</v>
      </c>
      <c r="F275" t="s">
        <v>10</v>
      </c>
      <c r="G275" t="s">
        <v>407</v>
      </c>
      <c r="H275" t="s">
        <v>409</v>
      </c>
      <c r="I275" t="s">
        <v>32</v>
      </c>
      <c r="J275">
        <v>0</v>
      </c>
      <c r="K275">
        <v>124</v>
      </c>
      <c r="L275" s="4">
        <v>3.5000000000000001E-3</v>
      </c>
      <c r="M275">
        <v>2.5000000000000001E-2</v>
      </c>
      <c r="N275" s="4">
        <v>0.434</v>
      </c>
      <c r="O275" s="4">
        <v>3.1</v>
      </c>
    </row>
    <row r="276" spans="2:15">
      <c r="B276" t="s">
        <v>131</v>
      </c>
      <c r="C276" t="s">
        <v>394</v>
      </c>
      <c r="D276" t="s">
        <v>410</v>
      </c>
      <c r="E276" t="s">
        <v>411</v>
      </c>
      <c r="F276" t="s">
        <v>10</v>
      </c>
      <c r="G276" t="s">
        <v>410</v>
      </c>
      <c r="H276" t="s">
        <v>412</v>
      </c>
      <c r="I276" t="s">
        <v>32</v>
      </c>
      <c r="J276">
        <v>0</v>
      </c>
      <c r="K276">
        <v>66</v>
      </c>
      <c r="L276" s="4">
        <v>3.5000000000000001E-3</v>
      </c>
      <c r="M276">
        <v>2.5000000000000001E-2</v>
      </c>
      <c r="N276" s="4">
        <v>0.23100000000000001</v>
      </c>
      <c r="O276" s="4">
        <v>1.6500000000000001</v>
      </c>
    </row>
    <row r="277" spans="2:15">
      <c r="B277" t="s">
        <v>131</v>
      </c>
      <c r="C277" t="s">
        <v>394</v>
      </c>
      <c r="D277" t="s">
        <v>413</v>
      </c>
      <c r="E277" t="s">
        <v>414</v>
      </c>
      <c r="F277" t="s">
        <v>10</v>
      </c>
      <c r="G277" t="s">
        <v>413</v>
      </c>
      <c r="H277" t="s">
        <v>415</v>
      </c>
      <c r="I277" t="s">
        <v>32</v>
      </c>
      <c r="J277">
        <v>0</v>
      </c>
      <c r="K277">
        <v>656</v>
      </c>
      <c r="L277" s="4">
        <v>3.5000000000000001E-3</v>
      </c>
      <c r="M277">
        <v>2.5000000000000001E-2</v>
      </c>
      <c r="N277" s="4">
        <v>2.2960000000000003</v>
      </c>
      <c r="O277" s="4">
        <v>16.400000000000002</v>
      </c>
    </row>
    <row r="278" spans="2:15">
      <c r="B278" t="s">
        <v>131</v>
      </c>
      <c r="C278" t="s">
        <v>394</v>
      </c>
      <c r="D278" t="s">
        <v>416</v>
      </c>
      <c r="E278" t="s">
        <v>417</v>
      </c>
      <c r="F278" t="s">
        <v>10</v>
      </c>
      <c r="G278" t="s">
        <v>416</v>
      </c>
      <c r="H278" t="s">
        <v>418</v>
      </c>
      <c r="I278" t="s">
        <v>32</v>
      </c>
      <c r="J278">
        <v>0</v>
      </c>
      <c r="K278">
        <v>59</v>
      </c>
      <c r="L278" s="4">
        <v>3.5000000000000001E-3</v>
      </c>
      <c r="M278">
        <v>2.5000000000000001E-2</v>
      </c>
      <c r="N278" s="4">
        <v>0.20650000000000002</v>
      </c>
      <c r="O278" s="4">
        <v>1.4750000000000001</v>
      </c>
    </row>
    <row r="279" spans="2:15">
      <c r="B279" t="s">
        <v>131</v>
      </c>
      <c r="C279" t="s">
        <v>394</v>
      </c>
      <c r="D279" t="s">
        <v>419</v>
      </c>
      <c r="E279" t="s">
        <v>420</v>
      </c>
      <c r="F279" t="s">
        <v>10</v>
      </c>
      <c r="G279" t="s">
        <v>419</v>
      </c>
      <c r="H279" t="s">
        <v>421</v>
      </c>
      <c r="I279" t="s">
        <v>32</v>
      </c>
      <c r="J279">
        <v>0</v>
      </c>
      <c r="K279">
        <v>345</v>
      </c>
      <c r="L279" s="4">
        <v>3.5000000000000001E-3</v>
      </c>
      <c r="M279">
        <v>2.5000000000000001E-2</v>
      </c>
      <c r="N279" s="4">
        <v>1.2075</v>
      </c>
      <c r="O279" s="4">
        <v>8.625</v>
      </c>
    </row>
    <row r="280" spans="2:15">
      <c r="B280" t="s">
        <v>131</v>
      </c>
      <c r="C280" t="s">
        <v>394</v>
      </c>
      <c r="D280" t="s">
        <v>850</v>
      </c>
      <c r="E280" t="s">
        <v>851</v>
      </c>
      <c r="F280" t="s">
        <v>12</v>
      </c>
      <c r="G280" t="s">
        <v>850</v>
      </c>
      <c r="H280" t="s">
        <v>852</v>
      </c>
      <c r="I280" t="s">
        <v>30</v>
      </c>
      <c r="J280">
        <v>41</v>
      </c>
      <c r="K280">
        <v>0</v>
      </c>
      <c r="L280" s="4">
        <v>3.8199999999999998E-2</v>
      </c>
      <c r="M280">
        <v>0.09</v>
      </c>
      <c r="N280" s="4">
        <v>1.5661999999999998E-3</v>
      </c>
      <c r="O280" s="4">
        <v>3.6900000000000001E-3</v>
      </c>
    </row>
    <row r="281" spans="2:15">
      <c r="B281" t="s">
        <v>131</v>
      </c>
      <c r="C281" t="s">
        <v>141</v>
      </c>
      <c r="D281" t="s">
        <v>142</v>
      </c>
      <c r="E281" t="s">
        <v>143</v>
      </c>
      <c r="F281" t="s">
        <v>12</v>
      </c>
      <c r="G281" t="s">
        <v>142</v>
      </c>
      <c r="H281" t="s">
        <v>144</v>
      </c>
      <c r="I281" t="s">
        <v>31</v>
      </c>
      <c r="J281">
        <v>62567</v>
      </c>
      <c r="K281">
        <v>60</v>
      </c>
      <c r="L281" s="4">
        <v>3.8199999999999998E-2</v>
      </c>
      <c r="M281">
        <v>0.09</v>
      </c>
      <c r="N281" s="4">
        <v>2.3900593999999997</v>
      </c>
      <c r="O281" s="4">
        <v>5.63103</v>
      </c>
    </row>
    <row r="282" spans="2:15">
      <c r="B282" t="s">
        <v>131</v>
      </c>
      <c r="C282" t="s">
        <v>141</v>
      </c>
      <c r="D282" t="s">
        <v>145</v>
      </c>
      <c r="E282" t="s">
        <v>146</v>
      </c>
      <c r="F282" t="s">
        <v>12</v>
      </c>
      <c r="G282" t="s">
        <v>145</v>
      </c>
      <c r="H282" t="s">
        <v>147</v>
      </c>
      <c r="I282" t="s">
        <v>31</v>
      </c>
      <c r="J282">
        <v>346368</v>
      </c>
      <c r="K282">
        <v>420</v>
      </c>
      <c r="L282" s="4">
        <v>3.8199999999999998E-2</v>
      </c>
      <c r="M282">
        <v>0.09</v>
      </c>
      <c r="N282" s="4">
        <v>13.231257599999999</v>
      </c>
      <c r="O282" s="4">
        <v>31.173119999999997</v>
      </c>
    </row>
    <row r="283" spans="2:15">
      <c r="L283" s="4"/>
      <c r="N283" s="4"/>
      <c r="O283" s="4"/>
    </row>
    <row r="284" spans="2:15">
      <c r="L284" s="4"/>
      <c r="N284" s="4"/>
      <c r="O284" s="4"/>
    </row>
    <row r="285" spans="2:15">
      <c r="L285" s="4"/>
      <c r="N285" s="4"/>
      <c r="O285" s="4"/>
    </row>
    <row r="286" spans="2:15">
      <c r="L286" s="4"/>
      <c r="N286" s="4"/>
      <c r="O286" s="4"/>
    </row>
    <row r="287" spans="2:15">
      <c r="L287" s="4"/>
      <c r="N287" s="4"/>
      <c r="O287" s="4"/>
    </row>
    <row r="288" spans="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N374" s="5"/>
      <c r="O374" s="5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N405" s="5"/>
      <c r="O405" s="5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2019-06-24T22:38:14Z</dcterms:modified>
</cp:coreProperties>
</file>