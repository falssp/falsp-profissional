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13_ncr:1_{39B1973E-FE44-465B-8F00-9C6FD54AEF66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Resumo" sheetId="8" r:id="rId1"/>
  </sheets>
  <definedNames>
    <definedName name="_xlnm._FilterDatabase" localSheetId="0" hidden="1">Resumo!$A$19:$O$1230</definedName>
    <definedName name="adtype">#REF!</definedName>
    <definedName name="adtype_filtrada">Resumo!$F$20:$F$1048576</definedName>
    <definedName name="_xlnm.Extract" localSheetId="0">Resumo!$B$19:$O$19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Resumo!$B$14:$C$15</definedName>
    <definedName name="campanha_nome">Resumo!$B$15</definedName>
    <definedName name="clicks">#REF!</definedName>
    <definedName name="clicks_filtrada">Resumo!$K$20:$K$1048576</definedName>
    <definedName name="_xlnm.Criteria" localSheetId="0">Resumo!$B$14:$C$15</definedName>
    <definedName name="dados">#REF!</definedName>
    <definedName name="filtro">Resumo!$B$19:$O$19</definedName>
    <definedName name="impressions">#REF!</definedName>
    <definedName name="impressoes_filtrada">Resumo!$J$20:$J$1048576</definedName>
    <definedName name="tabela">#REF!</definedName>
    <definedName name="total_adops">#REF!</definedName>
    <definedName name="total_adops_filtrada">Resumo!$O$20:$O$1048576</definedName>
    <definedName name="total_ferramenta">#REF!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8" l="1"/>
  <c r="D7" i="8" l="1"/>
  <c r="E7" i="8" s="1"/>
  <c r="D9" i="8"/>
  <c r="E9" i="8" s="1"/>
  <c r="D4" i="8"/>
  <c r="E4" i="8" s="1"/>
  <c r="H5" i="8"/>
  <c r="D6" i="8"/>
  <c r="E6" i="8" s="1"/>
  <c r="D5" i="8"/>
  <c r="E5" i="8" s="1"/>
  <c r="D8" i="8"/>
  <c r="E8" i="8" s="1"/>
  <c r="E10" i="8" l="1"/>
</calcChain>
</file>

<file path=xl/sharedStrings.xml><?xml version="1.0" encoding="utf-8"?>
<sst xmlns="http://schemas.openxmlformats.org/spreadsheetml/2006/main" count="1463" uniqueCount="572">
  <si>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</si>
  <si>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</si>
  <si>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</si>
  <si>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</si>
  <si>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</si>
  <si>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</si>
  <si>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</si>
  <si>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</si>
  <si>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</si>
  <si>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</si>
  <si>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</si>
  <si>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</si>
  <si>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</si>
  <si>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</si>
  <si>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</si>
  <si>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</si>
  <si>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</si>
  <si>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</si>
  <si>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</si>
  <si>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Receita</t>
  </si>
  <si>
    <t>Total</t>
  </si>
  <si>
    <t>Rich Media 2.2mb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</si>
  <si>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</si>
  <si>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</si>
  <si>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</si>
  <si>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</si>
  <si>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</si>
  <si>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</si>
  <si>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</si>
  <si>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</si>
  <si>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alp_ecom</t>
  </si>
  <si>
    <t>facebook.com.br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</si>
  <si>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</si>
  <si>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</si>
  <si>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</si>
  <si>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</si>
  <si>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</si>
  <si>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</si>
  <si>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</si>
  <si>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</si>
  <si>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</si>
  <si>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alp_ecom_conversao_ecom_facebook_social_pagepost_social_simpsons_curte-havaianas_cpc_1200x628_111116</t>
  </si>
  <si>
    <t>242342664</t>
  </si>
  <si>
    <t>438874500</t>
  </si>
  <si>
    <t>Oath BR</t>
  </si>
  <si>
    <t>alp_ecom_conversao_ecom_oath_native_native-ads_ros_dia-das-maes_all_cpc_no-size_111148</t>
  </si>
  <si>
    <t>245433304</t>
  </si>
  <si>
    <t>442019208</t>
  </si>
  <si>
    <t>Steal The Look</t>
  </si>
  <si>
    <t>alp_ecom_conversao_ecom_facebook_social_pagepost_social_alpargatas-soft_curte-havaianas_cpm_1200x628_111117</t>
  </si>
  <si>
    <t>245616669</t>
  </si>
  <si>
    <t>442111790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</si>
  <si>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</si>
  <si>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</si>
  <si>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</si>
  <si>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</si>
  <si>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</si>
  <si>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</si>
  <si>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</si>
  <si>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</si>
  <si>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</si>
  <si>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</si>
  <si>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</si>
  <si>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</si>
  <si>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</si>
  <si>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</si>
  <si>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</si>
  <si>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</si>
  <si>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</si>
  <si>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</si>
  <si>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</si>
  <si>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</si>
  <si>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</si>
  <si>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</si>
  <si>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</si>
  <si>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</si>
  <si>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</si>
  <si>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</si>
  <si>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</si>
  <si>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</si>
  <si>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</si>
  <si>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</si>
  <si>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</si>
  <si>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</si>
  <si>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</si>
  <si>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</si>
  <si>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</si>
  <si>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</si>
  <si>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</si>
  <si>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</si>
  <si>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</si>
  <si>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</si>
  <si>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</si>
  <si>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</si>
  <si>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</si>
  <si>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</si>
  <si>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</si>
  <si>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</si>
  <si>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</si>
  <si>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</si>
  <si>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</si>
  <si>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</si>
  <si>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</si>
  <si>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alp_ecom_conversao_ecom_facebook_social_carrossel_social_rei-leao_look-1-desk_cpm_1080x1080_111195</t>
  </si>
  <si>
    <t>247089740</t>
  </si>
  <si>
    <t>443680132</t>
  </si>
  <si>
    <t>alp_ecom_conversao_ecom_facebook_social_carrossel_social_rei-leao_look-1-mobile_cpm_1080x1080_111195</t>
  </si>
  <si>
    <t>247089737</t>
  </si>
  <si>
    <t>443680129</t>
  </si>
  <si>
    <t>alp_ecom_conversao_ecom_facebook_social_carrossel_social_rei-leao_look-2-mobile_cpm_1080x1080_111195</t>
  </si>
  <si>
    <t>247089731</t>
  </si>
  <si>
    <t>443680123</t>
  </si>
  <si>
    <t>alp_ecom_conversao_ecom_facebook_social_carrossel_social_rei-leao_rmk-30-mobile_cpm_1080x1080_111195</t>
  </si>
  <si>
    <t>247089725</t>
  </si>
  <si>
    <t>443680117</t>
  </si>
  <si>
    <t>alp_ecom_conversao_ecom_facebook_social_carrossel_social_rei-leao_rmk-30_cpm_1080x1080_111195</t>
  </si>
  <si>
    <t>247089728</t>
  </si>
  <si>
    <t>443680120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</si>
  <si>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</si>
  <si>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</si>
  <si>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</si>
  <si>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</si>
  <si>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</si>
  <si>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</si>
  <si>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alp_ecom_conversao_ecom_facebook_social_pagepost_social_got_rmk-30-mobile_cpm_1200x628_111202</t>
  </si>
  <si>
    <t>247894819</t>
  </si>
  <si>
    <t>444247223</t>
  </si>
  <si>
    <t>alp_ecom_conversao_ecom_facebook_social_pagepost_social_havaianas-outlet_curte-havaianas_cpm_1200x628_111205</t>
  </si>
  <si>
    <t>248092946</t>
  </si>
  <si>
    <t>444520668</t>
  </si>
  <si>
    <t>alp_ecom_conversao_ecom_facebook_social_pagepost_social_havaianas-outlet_interesse-promocao_cpm_1200x628_111205</t>
  </si>
  <si>
    <t>248092925</t>
  </si>
  <si>
    <t>444520647</t>
  </si>
  <si>
    <t>alp_ecom_conversao_ecom_facebook_social_pagepost_social_havaianas-outlet_rmk-30-mobile_cpm_1200x628_111205</t>
  </si>
  <si>
    <t>248092928</t>
  </si>
  <si>
    <t>444520650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</si>
  <si>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</si>
  <si>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</si>
  <si>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</si>
  <si>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</si>
  <si>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</si>
  <si>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</si>
  <si>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</si>
  <si>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</si>
  <si>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</si>
  <si>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alp_ecom_conversao_ecom_facebook_social_pagepost_social_rei-leao_look-1-desk_cpm_1200x628_111194</t>
  </si>
  <si>
    <t>247089782</t>
  </si>
  <si>
    <t>443680174</t>
  </si>
  <si>
    <t>alp_ecom_conversao_ecom_facebook_social_pagepost_social_rei-leao_look-1-mobile_cpm_1200x628_111194</t>
  </si>
  <si>
    <t>247089776</t>
  </si>
  <si>
    <t>443680168</t>
  </si>
  <si>
    <t>alp_ecom_conversao_ecom_facebook_social_pagepost_social_rei-leao_look-2-mobile_cpm_1200x628_111194</t>
  </si>
  <si>
    <t>247089764</t>
  </si>
  <si>
    <t>443680156</t>
  </si>
  <si>
    <t>alp_ecom_conversao_ecom_facebook_social_pagepost_social_rei-leao_rmk-30-mobile_cpm_1200x628_111194</t>
  </si>
  <si>
    <t>247089752</t>
  </si>
  <si>
    <t>443680144</t>
  </si>
  <si>
    <t>alp_ecom_conversao_ecom_facebook_social_pagepost_social_rei-leao_rmk-30_cpm_1200x628_111194</t>
  </si>
  <si>
    <t>247089758</t>
  </si>
  <si>
    <t>443680150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</si>
  <si>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</si>
  <si>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</si>
  <si>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</si>
  <si>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alp_ecom_conversao_ecom_facebook_social_pagepost_social_slim-hits_look-1-desk_cpm_1200x628_111200</t>
  </si>
  <si>
    <t>247726393</t>
  </si>
  <si>
    <t>443998713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</si>
  <si>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</si>
  <si>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</si>
  <si>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</si>
  <si>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alp_ecom_conversao_ecom_facebook_social_pagepost_social_slim-hits_look-2-desk_cpm_1200x628_111200</t>
  </si>
  <si>
    <t>247726387</t>
  </si>
  <si>
    <t>443998707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</si>
  <si>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</si>
  <si>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</si>
  <si>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</si>
  <si>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</si>
  <si>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</si>
  <si>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</si>
  <si>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</si>
  <si>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</si>
  <si>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</si>
  <si>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alp_ecom_conversao_ecom_facebook_social_stories_social_slim-hits_interesse-carnaval_cpm_de-5s-ate-10s_111201</t>
  </si>
  <si>
    <t>247726375</t>
  </si>
  <si>
    <t>443998695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</si>
  <si>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</si>
  <si>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</si>
  <si>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</si>
  <si>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alp_ecom_conversao_ecom_facebook_social_carrossel_social_havaianas-dpa_dpa-alpargatas_cpm_1080x1080_111211</t>
  </si>
  <si>
    <t>248595641</t>
  </si>
  <si>
    <t>445067261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</si>
  <si>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</si>
  <si>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</si>
  <si>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</si>
  <si>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</si>
  <si>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</si>
  <si>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</si>
  <si>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alp_ecom_conversao_ecom_facebook_social_carrossel_social_toy-story_curte-havaianas_cpm_1080x1080_111213</t>
  </si>
  <si>
    <t>250254693</t>
  </si>
  <si>
    <t>446210148</t>
  </si>
  <si>
    <t>alp_ecom_conversao_ecom_facebook_social_carrossel_social_toy-story_interesses-toy-story_cpm_1080x1080_111213</t>
  </si>
  <si>
    <t>250254672</t>
  </si>
  <si>
    <t>446210127</t>
  </si>
  <si>
    <t>alp_ecom_conversao_ecom_facebook_social_carrossel_social_toy-story_look-1-desk_cpm_1080x1080_111213</t>
  </si>
  <si>
    <t>250254690</t>
  </si>
  <si>
    <t>446210145</t>
  </si>
  <si>
    <t>alp_ecom_conversao_ecom_facebook_social_carrossel_social_toy-story_look-1-mobile_cpm_1080x1080_111213</t>
  </si>
  <si>
    <t>250254687</t>
  </si>
  <si>
    <t>446210142</t>
  </si>
  <si>
    <t>alp_ecom_conversao_ecom_facebook_social_carrossel_social_toy-story_look-2-desk_cpm_1080x1080_111213</t>
  </si>
  <si>
    <t>250254684</t>
  </si>
  <si>
    <t>446210139</t>
  </si>
  <si>
    <t>alp_ecom_conversao_ecom_facebook_social_carrossel_social_toy-story_rmk-30-mobile_cpm_1080x1080_111213</t>
  </si>
  <si>
    <t>250254675</t>
  </si>
  <si>
    <t>446210130</t>
  </si>
  <si>
    <t>alp_ecom_conversao_ecom_facebook_social_carrossel_social_toy-story_rmk-30_cpm_1080x1080_111213</t>
  </si>
  <si>
    <t>250254678</t>
  </si>
  <si>
    <t>446210133</t>
  </si>
  <si>
    <t>alp_ecom_conversao_ecom_facebook_social_pagepost_social_havaianas-outlet_rmk-30_cpm_1200x628_111205</t>
  </si>
  <si>
    <t>248092931</t>
  </si>
  <si>
    <t>444520653</t>
  </si>
  <si>
    <t>alp_ecom_conversao_ecom_facebook_social_pagepost_social_havaianas-tarsila_look-1-mobile_cpm_1200x628_111204</t>
  </si>
  <si>
    <t>248200606</t>
  </si>
  <si>
    <t>444464433</t>
  </si>
  <si>
    <t>alp_ecom_conversao_ecom_facebook_social_pagepost_social_havaianas-tarsila_rmk-30-mobile_cpm_1200x628_111204</t>
  </si>
  <si>
    <t>248200594</t>
  </si>
  <si>
    <t>444464421</t>
  </si>
  <si>
    <t>alp_ecom_conversao_ecom_facebook_social_pagepost_social_havaianas-tarsila_rmk-30_cpm_1200x628_111204</t>
  </si>
  <si>
    <t>248200597</t>
  </si>
  <si>
    <t>444464424</t>
  </si>
  <si>
    <t>alp_ecom_conversao_ecom_facebook_social_pagepost_social_sao-joao_curte-havaianas_cpm_1200x628_111210</t>
  </si>
  <si>
    <t>248595644</t>
  </si>
  <si>
    <t>445067264</t>
  </si>
  <si>
    <t>alp_ecom_conversao_ecom_facebook_social_pagepost_social_sao-joao_rmk-30-mobile_cpm_1200x628_111210</t>
  </si>
  <si>
    <t>248595623</t>
  </si>
  <si>
    <t>445067243</t>
  </si>
  <si>
    <t>alp_ecom_conversao_ecom_facebook_social_pagepost_social_stranger-things_curte-havaianas_cpm_1080x1080_111214</t>
  </si>
  <si>
    <t>250561323</t>
  </si>
  <si>
    <t>446675965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</si>
  <si>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</si>
  <si>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</si>
  <si>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</si>
  <si>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alp_ecom_conversao_ecom_facebook_social_pagepost_social_stranger-things_rmk-30-mobile_cpm_1080x1080_111214</t>
  </si>
  <si>
    <t>250561287</t>
  </si>
  <si>
    <t>446676001</t>
  </si>
  <si>
    <t>alp_ecom_conversao_ecom_facebook_social_pagepost_social_toy-story_curte-havaianas_cpm_1200x628_111212</t>
  </si>
  <si>
    <t>249650824</t>
  </si>
  <si>
    <t>445753527</t>
  </si>
  <si>
    <t>alp_ecom_conversao_ecom_facebook_social_pagepost_social_toy-story_interesses-toy-story_cpm_1200x628_111212</t>
  </si>
  <si>
    <t>249650803</t>
  </si>
  <si>
    <t>445753506</t>
  </si>
  <si>
    <t>alp_ecom_conversao_ecom_facebook_social_pagepost_social_toy-story_look-1-mobile_cpm_1200x628_111212</t>
  </si>
  <si>
    <t>249650818</t>
  </si>
  <si>
    <t>445753521</t>
  </si>
  <si>
    <t>alp_ecom_conversao_ecom_facebook_social_pagepost_social_toy-story_look-2-desk_cpm_1200x628_111212</t>
  </si>
  <si>
    <t>249650815</t>
  </si>
  <si>
    <t>445753518</t>
  </si>
  <si>
    <t>alp_ecom_conversao_ecom_facebook_social_pagepost_social_toy-story_look-2-mobile_cpm_1200x628_111212</t>
  </si>
  <si>
    <t>249650812</t>
  </si>
  <si>
    <t>445753515</t>
  </si>
  <si>
    <t>alp_ecom_conversao_ecom_facebook_social_pagepost_social_toy-story_rmk-30-mobile_cpm_1200x628_111212</t>
  </si>
  <si>
    <t>249650806</t>
  </si>
  <si>
    <t>445753509</t>
  </si>
  <si>
    <t>alp_ecom_conversao_ecom_facebook_social_pagepost_social_toy-story_rmk-30_cpm_1200x628_111212</t>
  </si>
  <si>
    <t>249650809</t>
  </si>
  <si>
    <t>445753512</t>
  </si>
  <si>
    <t>alp_ecom_conversao_ecom_facebook_social_stories_social_harry-potter_interesse-harry-potter_cpm_de-5s-ate-10s_111134</t>
  </si>
  <si>
    <t>243399840</t>
  </si>
  <si>
    <t>439898660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</si>
  <si>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</si>
  <si>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</si>
  <si>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</si>
  <si>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</si>
  <si>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</si>
  <si>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</si>
  <si>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alp_ecom_conversao_ecom_facebook_social_video-social_social_stranger-things_interesses-stranger-things_cpm_de-5s-ate-10s_111215</t>
  </si>
  <si>
    <t>250155782</t>
  </si>
  <si>
    <t>446691634</t>
  </si>
  <si>
    <t>alp_ecom_conversao_ecom_facebook_social_video-social_social_stranger-things_interesses-stranger-things_cpm_de-5s-ate-10s_111216</t>
  </si>
  <si>
    <t>250155806</t>
  </si>
  <si>
    <t>446691610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</si>
  <si>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</si>
  <si>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</si>
  <si>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</si>
  <si>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alp_ecom_conversao_ecom_facebook_social_video-social_social_stranger-things_rmk-30-mobile_cpm_de-5s-ate-10s_111215</t>
  </si>
  <si>
    <t>250155785</t>
  </si>
  <si>
    <t>446691631</t>
  </si>
  <si>
    <t>alp_ecom_conversao_ecom_facebook_social_video-social_social_stranger-things_rmk-30-mobile_cpm_de-5s-ate-10s_111216</t>
  </si>
  <si>
    <t>250155812</t>
  </si>
  <si>
    <t>446691604</t>
  </si>
  <si>
    <t>Criteo</t>
  </si>
  <si>
    <t>alp_ecom_conversao_ecom_criteo_display_half-page_rmkt_frete-fixo_rmk-criteo_cpm_300x600_111226</t>
  </si>
  <si>
    <t>252205432</t>
  </si>
  <si>
    <t>448338025</t>
  </si>
  <si>
    <t>alp_ecom_conversao_ecom_criteo_display_quadrado_rmkt_frete-fixo_rmk-criteo_cpm_250x250_111226</t>
  </si>
  <si>
    <t>252205447</t>
  </si>
  <si>
    <t>448337770</t>
  </si>
  <si>
    <t>alp_ecom_conversao_ecom_criteo_display_retangulo_rmkt_frete-fixo_rmk-criteo_cpm_300x250_111226</t>
  </si>
  <si>
    <t>252205423</t>
  </si>
  <si>
    <t>448200690</t>
  </si>
  <si>
    <t>alp_ecom_conversao_ecom_facebook_social_carrossel_social_harry-potter_curte-havaianas_cpm_1080x1080_111127</t>
  </si>
  <si>
    <t>243108700</t>
  </si>
  <si>
    <t>439773523</t>
  </si>
  <si>
    <t>alp_ecom_conversao_ecom_facebook_social_carrossel_social_harry-potter_curte-havaianas_cpm_1080x1080_111128</t>
  </si>
  <si>
    <t>243108679</t>
  </si>
  <si>
    <t>439773502</t>
  </si>
  <si>
    <t>alp_ecom_conversao_ecom_facebook_social_carrossel_social_harry-potter_curte-havaianas_cpm_1080x1080_111129</t>
  </si>
  <si>
    <t>243159253</t>
  </si>
  <si>
    <t>439736298</t>
  </si>
  <si>
    <t>alp_ecom_conversao_ecom_facebook_social_carrossel_social_harry-potter_curte-havaianas_cpm_1080x1080_111130</t>
  </si>
  <si>
    <t>243012344</t>
  </si>
  <si>
    <t>439736262</t>
  </si>
  <si>
    <t>alp_ecom_conversao_ecom_facebook_social_carrossel_social_harry-potter_curte-havaianas_cpm_1080x1080_111131</t>
  </si>
  <si>
    <t>243012323</t>
  </si>
  <si>
    <t>439736241</t>
  </si>
  <si>
    <t>alp_ecom_conversao_ecom_facebook_social_carrossel_social_harry-potter_look-1-desk_cpm_1080x1080_111127</t>
  </si>
  <si>
    <t>243108697</t>
  </si>
  <si>
    <t>439773520</t>
  </si>
  <si>
    <t>alp_ecom_conversao_ecom_facebook_social_carrossel_social_harry-potter_look-1-desk_cpm_1080x1080_111128</t>
  </si>
  <si>
    <t>243108676</t>
  </si>
  <si>
    <t>439773499</t>
  </si>
  <si>
    <t>alp_ecom_conversao_ecom_facebook_social_carrossel_social_harry-potter_look-1-desk_cpm_1080x1080_111129</t>
  </si>
  <si>
    <t>243159247</t>
  </si>
  <si>
    <t>439736292</t>
  </si>
  <si>
    <t>alp_ecom_conversao_ecom_facebook_social_carrossel_social_harry-potter_look-1-desk_cpm_1080x1080_111130</t>
  </si>
  <si>
    <t>243012341</t>
  </si>
  <si>
    <t>439736259</t>
  </si>
  <si>
    <t>alp_ecom_conversao_ecom_facebook_social_carrossel_social_harry-potter_look-1-desk_cpm_1080x1080_111131</t>
  </si>
  <si>
    <t>243012320</t>
  </si>
  <si>
    <t>439736238</t>
  </si>
  <si>
    <t>alp_ecom_conversao_ecom_facebook_social_carrossel_social_harry-potter_look-1-mobile_cpm_1080x1080_111127</t>
  </si>
  <si>
    <t>243108694</t>
  </si>
  <si>
    <t>439773517</t>
  </si>
  <si>
    <t>alp_ecom_conversao_ecom_facebook_social_carrossel_social_harry-potter_look-1-mobile_cpm_1080x1080_111128</t>
  </si>
  <si>
    <t>243108673</t>
  </si>
  <si>
    <t>439773496</t>
  </si>
  <si>
    <t>alp_ecom_conversao_ecom_facebook_social_carrossel_social_harry-potter_look-2-desk_cpm_1080x1080_111127</t>
  </si>
  <si>
    <t>243108691</t>
  </si>
  <si>
    <t>439773514</t>
  </si>
  <si>
    <t>alp_ecom_conversao_ecom_facebook_social_carrossel_social_harry-potter_look-2-desk_cpm_1080x1080_111128</t>
  </si>
  <si>
    <t>243108670</t>
  </si>
  <si>
    <t>439773493</t>
  </si>
  <si>
    <t>alp_ecom_conversao_ecom_facebook_social_carrossel_social_harry-potter_look-2-mobile_cpm_1080x1080_111127</t>
  </si>
  <si>
    <t>243108688</t>
  </si>
  <si>
    <t>439773511</t>
  </si>
  <si>
    <t>alp_ecom_conversao_ecom_facebook_social_carrossel_social_harry-potter_rmk-30-mobile_cpm_1080x1080_111127</t>
  </si>
  <si>
    <t>243108682</t>
  </si>
  <si>
    <t>439773505</t>
  </si>
  <si>
    <t>alp_ecom_conversao_ecom_facebook_social_carrossel_social_harry-potter_rmk-30-mobile_cpm_1080x1080_111128</t>
  </si>
  <si>
    <t>243108661</t>
  </si>
  <si>
    <t>439773484</t>
  </si>
  <si>
    <t>alp_ecom_conversao_ecom_facebook_social_carrossel_social_harry-potter_rmk-30_cpm_1080x1080_111127</t>
  </si>
  <si>
    <t>243108685</t>
  </si>
  <si>
    <t>439773508</t>
  </si>
  <si>
    <t>alp_ecom_conversao_ecom_facebook_social_carrossel_social_harry-potter_rmk-30_cpm_1080x1080_111128</t>
  </si>
  <si>
    <t>243108664</t>
  </si>
  <si>
    <t>439773487</t>
  </si>
  <si>
    <t>alp_ecom_conversao_ecom_facebook_social_carrossel_social_harry-potter_rmk-30_cpm_1080x1080_111131</t>
  </si>
  <si>
    <t>243012359</t>
  </si>
  <si>
    <t>439736277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</si>
  <si>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</si>
  <si>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</si>
  <si>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</si>
  <si>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</si>
  <si>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</si>
  <si>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</si>
  <si>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alp_ecom_conversao_ecom_facebook_social_carrossel_social_rei-leao_look-1-desk_cpm_1080x1080_111221</t>
  </si>
  <si>
    <t>251366934</t>
  </si>
  <si>
    <t>447333078</t>
  </si>
  <si>
    <t>alp_ecom_conversao_ecom_facebook_social_carrossel_social_rei-leao_look-2-desk_cpm_1080x1080_111195</t>
  </si>
  <si>
    <t>247089734</t>
  </si>
  <si>
    <t>443680126</t>
  </si>
  <si>
    <t>alp_ecom_conversao_ecom_facebook_social_carrossel_social_rei-leao_rmk-30-mobile_cpm_1080x1080_111221</t>
  </si>
  <si>
    <t>251366919</t>
  </si>
  <si>
    <t>447333063</t>
  </si>
  <si>
    <t>alp_ecom_conversao_ecom_facebook_social_collection_social_frete-fixo_look-1-mobile_cpm_dinamico_111226</t>
  </si>
  <si>
    <t>252153711</t>
  </si>
  <si>
    <t>448092690</t>
  </si>
  <si>
    <t>alp_ecom_conversao_ecom_facebook_social_collection_social_frete-fixo_look-2-mobile_cpm_dinamico_111226</t>
  </si>
  <si>
    <t>252093643</t>
  </si>
  <si>
    <t>448092717</t>
  </si>
  <si>
    <t>alp_ecom_conversao_ecom_facebook_social_collection_social_frete-fixo_rmk-30-mobile_cpm_dinamico_111226</t>
  </si>
  <si>
    <t>251761157</t>
  </si>
  <si>
    <t>448228933</t>
  </si>
  <si>
    <t>alp_ecom_conversao_ecom_facebook_social_collection_social_harry-potter_curte-havaianas_cpm_dinamico_111223</t>
  </si>
  <si>
    <t>251366910</t>
  </si>
  <si>
    <t>447333054</t>
  </si>
  <si>
    <t>alp_ecom_conversao_ecom_facebook_social_collection_social_harry-potter_look-1-mobile_cpm_dinamico_111223</t>
  </si>
  <si>
    <t>251366904</t>
  </si>
  <si>
    <t>447333048</t>
  </si>
  <si>
    <t>alp_ecom_conversao_ecom_facebook_social_collection_social_harry-potter_rmk-30-mobile_cpm_dinamico_111223</t>
  </si>
  <si>
    <t>251366892</t>
  </si>
  <si>
    <t>447333036</t>
  </si>
  <si>
    <t>alp_ecom_conversao_ecom_facebook_social_collection_social_havaianas-outlet_curte-havaianas_cpm_dinamico_111225</t>
  </si>
  <si>
    <t>251366979</t>
  </si>
  <si>
    <t>447333123</t>
  </si>
  <si>
    <t>alp_ecom_conversao_ecom_facebook_social_collection_social_havaianas-outlet_interesse-promocao_cpm_dinamico_111222</t>
  </si>
  <si>
    <t>251366937</t>
  </si>
  <si>
    <t>447333081</t>
  </si>
  <si>
    <t>alp_ecom_conversao_ecom_facebook_social_collection_social_havaianas-outlet_look-1-mobile_cpm_dinamico_111225</t>
  </si>
  <si>
    <t>251366967</t>
  </si>
  <si>
    <t>447333111</t>
  </si>
  <si>
    <t>alp_ecom_conversao_ecom_facebook_social_collection_social_havaianas-outlet_look-2-mobile_cpm_dinamico_111225</t>
  </si>
  <si>
    <t>251366955</t>
  </si>
  <si>
    <t>447333099</t>
  </si>
  <si>
    <t>alp_ecom_conversao_ecom_facebook_social_collection_social_havaianas-outlet_rmk-30-mobile_cpm_dinamico_111225</t>
  </si>
  <si>
    <t>251366943</t>
  </si>
  <si>
    <t>447333087</t>
  </si>
  <si>
    <t>alp_ecom_conversao_ecom_facebook_social_collection_social_mario-bros_curte-havaianas_cpm_dinamico_111224</t>
  </si>
  <si>
    <t>251366886</t>
  </si>
  <si>
    <t>447333030</t>
  </si>
  <si>
    <t>alp_ecom_conversao_ecom_facebook_social_collection_social_mario-bros_interesse-games_cpm_dinamico_111224</t>
  </si>
  <si>
    <t>251366985</t>
  </si>
  <si>
    <t>447333129</t>
  </si>
  <si>
    <t>alp_ecom_conversao_ecom_facebook_social_collection_social_mario-bros_look-1-mobile_cpm_dinamico_111224</t>
  </si>
  <si>
    <t>250964342</t>
  </si>
  <si>
    <t>447333024</t>
  </si>
  <si>
    <t>alp_ecom_conversao_ecom_facebook_social_collection_social_mario-bros_rmk-30-mobile_cpm_dinamico_111224</t>
  </si>
  <si>
    <t>250964330</t>
  </si>
  <si>
    <t>447333012</t>
  </si>
  <si>
    <t>alp_ecom_conversao_ecom_facebook_social_collection_social_star-wars_rmk-30-mobile_cpm_dinamico_111167</t>
  </si>
  <si>
    <t>245922808</t>
  </si>
  <si>
    <t>442542730</t>
  </si>
  <si>
    <t>alp_ecom_conversao_ecom_facebook_social_pagepost_social_animal-print_curte-havaianas_cpc_1200x628_111112</t>
  </si>
  <si>
    <t>242206044</t>
  </si>
  <si>
    <t>438842660</t>
  </si>
  <si>
    <t>alp_ecom_conversao_ecom_facebook_social_pagepost_social_frete-fixo_curte-havaianas_cpm_1080x1080_111226</t>
  </si>
  <si>
    <t>251759555</t>
  </si>
  <si>
    <t>448227487</t>
  </si>
  <si>
    <t>alp_ecom_conversao_ecom_facebook_social_pagepost_social_frete-fixo_interesse-promocao_cpm_1080x1080_111226</t>
  </si>
  <si>
    <t>252152568</t>
  </si>
  <si>
    <t>448091682</t>
  </si>
  <si>
    <t>alp_ecom_conversao_ecom_facebook_social_pagepost_social_frete-fixo_interesse-promocao_cpm_1200x628_111226</t>
  </si>
  <si>
    <t>251760857</t>
  </si>
  <si>
    <t>448091484</t>
  </si>
  <si>
    <t>alp_ecom_conversao_ecom_facebook_social_pagepost_social_harry-potter_curte-havaianas_cpc_1200x628_111119</t>
  </si>
  <si>
    <t>242342685</t>
  </si>
  <si>
    <t>438874521</t>
  </si>
  <si>
    <t>alp_ecom_conversao_ecom_facebook_social_pagepost_social_harry-potter_look-1-desk_cpc_1200x628_111119</t>
  </si>
  <si>
    <t>242342682</t>
  </si>
  <si>
    <t>438874518</t>
  </si>
  <si>
    <t>alp_ecom_conversao_ecom_facebook_social_pagepost_social_harry-potter_rmk-30-mobile_cpc_1200x628_111119</t>
  </si>
  <si>
    <t>242342667</t>
  </si>
  <si>
    <t>438874503</t>
  </si>
  <si>
    <t>alp_ecom_conversao_ecom_facebook_social_pagepost_social_harry-potter_rmk-30_cpc_1200x628_111119</t>
  </si>
  <si>
    <t>242342670</t>
  </si>
  <si>
    <t>438874506</t>
  </si>
  <si>
    <t>alp_ecom_conversao_ecom_facebook_social_pagepost_social_havaianas-exclusivas_curte-havaianas_cpc_1200x628_111115</t>
  </si>
  <si>
    <t>241974517</t>
  </si>
  <si>
    <t>438842597</t>
  </si>
  <si>
    <t>alp_ecom_conversao_ecom_facebook_social_pagepost_social_havaianas-novidades_curte-havaianas_cpm_1080x1080_111227</t>
  </si>
  <si>
    <t>252208378</t>
  </si>
  <si>
    <t>448258787</t>
  </si>
  <si>
    <t>alp_ecom_conversao_ecom_facebook_social_pagepost_social_havaianas-novidades_interesse-promocao_cpm_1080x1080_111227</t>
  </si>
  <si>
    <t>251878232</t>
  </si>
  <si>
    <t>448342276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</si>
  <si>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</si>
  <si>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</si>
  <si>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</si>
  <si>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alp_ecom_conversao_ecom_facebook_social_pagepost_social_havaianas-novidades_look-1-desk_cpm_1080x1080_111227</t>
  </si>
  <si>
    <t>252286389</t>
  </si>
  <si>
    <t>448257908</t>
  </si>
  <si>
    <t>alp_ecom_conversao_ecom_facebook_social_pagepost_social_havaianas-novidades_look-1-mobile_cpm_1080x1080_111227</t>
  </si>
  <si>
    <t>251878715</t>
  </si>
  <si>
    <t>448205391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</si>
  <si>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</si>
  <si>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</si>
  <si>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</si>
  <si>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alp_ecom_conversao_ecom_facebook_social_pagepost_social_havaianas-novidades_rmk-30_cpm_1080x1080_111227</t>
  </si>
  <si>
    <t>251876987</t>
  </si>
  <si>
    <t>448342957</t>
  </si>
  <si>
    <t>alp_ecom_conversao_ecom_facebook_social_pagepost_social_havaianas-outlet_curte-havaianas_cpm_1200x628_111217</t>
  </si>
  <si>
    <t>250255604</t>
  </si>
  <si>
    <t>446786734</t>
  </si>
  <si>
    <t>alp_ecom_conversao_ecom_facebook_social_pagepost_social_havaianas-outlet_interesse-promocao_cpm_1200x628_111217</t>
  </si>
  <si>
    <t>250255583</t>
  </si>
  <si>
    <t>446786713</t>
  </si>
  <si>
    <t>alp_ecom_conversao_ecom_facebook_social_pagepost_social_havaianas-outlet_look-1-desk_cpm_1200x628_111217</t>
  </si>
  <si>
    <t>250255601</t>
  </si>
  <si>
    <t>446786731</t>
  </si>
  <si>
    <t>alp_ecom_conversao_ecom_facebook_social_pagepost_social_havaianas-outlet_look-1-mobile_cpm_1200x628_111217</t>
  </si>
  <si>
    <t>250255598</t>
  </si>
  <si>
    <t>446786728</t>
  </si>
  <si>
    <t>alp_ecom_conversao_ecom_facebook_social_pagepost_social_havaianas-outlet_look-2-desk_cpm_1200x628_111217</t>
  </si>
  <si>
    <t>250255595</t>
  </si>
  <si>
    <t>446786725</t>
  </si>
  <si>
    <t>alp_ecom_conversao_ecom_facebook_social_pagepost_social_havaianas-outlet_look-2-mobile_cpm_1200x628_111217</t>
  </si>
  <si>
    <t>250255592</t>
  </si>
  <si>
    <t>446786722</t>
  </si>
  <si>
    <t>alp_ecom_conversao_ecom_facebook_social_pagepost_social_havaianas-outlet_rmk-30-mobile_cpm_1200x628_111217</t>
  </si>
  <si>
    <t>250255586</t>
  </si>
  <si>
    <t>446786716</t>
  </si>
  <si>
    <t>alp_ecom_conversao_ecom_facebook_social_pagepost_social_havaianas-outlet_rmk-30_cpm_1200x628_111217</t>
  </si>
  <si>
    <t>250255589</t>
  </si>
  <si>
    <t>446786719</t>
  </si>
  <si>
    <t>alp_ecom_conversao_ecom_facebook_social_pagepost_social_heroinas_curte-havaianas_cpc_1200x628_111114</t>
  </si>
  <si>
    <t>241988938</t>
  </si>
  <si>
    <t>438842618</t>
  </si>
  <si>
    <t>alp_ecom_conversao_ecom_facebook_social_pagepost_social_mario-bros_rmk-30-mobile_cpc_1200x628_111118</t>
  </si>
  <si>
    <t>242342688</t>
  </si>
  <si>
    <t>438874524</t>
  </si>
  <si>
    <t>alp_ecom_conversao_ecom_facebook_social_pagepost_social_mario-bros_rmk-30_cpc_1200x628_111118</t>
  </si>
  <si>
    <t>242342691</t>
  </si>
  <si>
    <t>438874527</t>
  </si>
  <si>
    <t>alp_ecom_conversao_ecom_facebook_social_pagepost_social_rasteiras-you_rmk-30_cpc_1200x628_111113</t>
  </si>
  <si>
    <t>242206020</t>
  </si>
  <si>
    <t>438842636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</si>
  <si>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</si>
  <si>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</si>
  <si>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</si>
  <si>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</si>
  <si>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</si>
  <si>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</si>
  <si>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alp_ecom_conversao_ecom_facebook_social_pagepost_social_rei-leao_look-1-desk_cpm_1200x628_111220</t>
  </si>
  <si>
    <t>251366982</t>
  </si>
  <si>
    <t>447333126</t>
  </si>
  <si>
    <t>alp_ecom_conversao_ecom_facebook_social_pagepost_social_rei-leao_look-1-mobile_cpm_1200x628_111220</t>
  </si>
  <si>
    <t>251366976</t>
  </si>
  <si>
    <t>447333120</t>
  </si>
  <si>
    <t>alp_ecom_conversao_ecom_facebook_social_pagepost_social_rei-leao_look-2-mobile_cpm_1200x628_111220</t>
  </si>
  <si>
    <t>251366964</t>
  </si>
  <si>
    <t>447333108</t>
  </si>
  <si>
    <t>alp_ecom_conversao_ecom_facebook_social_pagepost_social_rei-leao_rmk-30-mobile_cpm_1200x628_111220</t>
  </si>
  <si>
    <t>251366952</t>
  </si>
  <si>
    <t>447333096</t>
  </si>
  <si>
    <t>alp_ecom_conversao_ecom_facebook_social_pagepost_social_stranger-things_look-1-desk_cpm_1080x1080_111214</t>
  </si>
  <si>
    <t>250561317</t>
  </si>
  <si>
    <t>446675971</t>
  </si>
  <si>
    <t>alp_ecom_conversao_ecom_facebook_social_pagepost_social_stranger-things_look-1-mobile_cpm_1080x1080_111214</t>
  </si>
  <si>
    <t>250561311</t>
  </si>
  <si>
    <t>446675977</t>
  </si>
  <si>
    <t>alp_ecom_conversao_ecom_facebook_social_pagepost_social_stranger-things_rmk-30_cpm_1080x1080_111214</t>
  </si>
  <si>
    <t>250561293</t>
  </si>
  <si>
    <t>446675995</t>
  </si>
  <si>
    <t>alp_ecom_conversao_ecom_facebook_social_stories_social_harry-potter_interesse-harry-potter_cpm_de-5s-ate-10s_111132</t>
  </si>
  <si>
    <t>243188173</t>
  </si>
  <si>
    <t>439896365</t>
  </si>
  <si>
    <t>alp_ecom_conversao_ecom_facebook_social_stories_social_harry-potter_interesse-harry-potter_cpm_de-5s-ate-10s_111133</t>
  </si>
  <si>
    <t>243380601</t>
  </si>
  <si>
    <t>439800423</t>
  </si>
  <si>
    <t>alp_ecom_conversao_ecom_facebook_social_stories_social_havaianas-outlet_interesse-promocao_cpm_de-5s-ate-10s_111222</t>
  </si>
  <si>
    <t>251366913</t>
  </si>
  <si>
    <t>447333057</t>
  </si>
  <si>
    <t>alp_ecom_conversao_ecom_facebook_social_video-social_social_stranger-things_curte-havaianas_cpm_de-5s-ate-10s_111218</t>
  </si>
  <si>
    <t>250255580</t>
  </si>
  <si>
    <t>446786710</t>
  </si>
  <si>
    <t>alp_ecom_conversao_ecom_facebook_social_video-social_social_stranger-things_interesses-stranger-things_cpm_de-5s-ate-10s_111218</t>
  </si>
  <si>
    <t>250255559</t>
  </si>
  <si>
    <t>446786689</t>
  </si>
  <si>
    <t>alp_ecom_conversao_ecom_facebook_social_video-social_social_stranger-things_look-1-desk_cpm_de-5s-ate-10s_111215</t>
  </si>
  <si>
    <t>250155800</t>
  </si>
  <si>
    <t>446691616</t>
  </si>
  <si>
    <t>alp_ecom_conversao_ecom_facebook_social_video-social_social_stranger-things_look-1-desk_cpm_de-5s-ate-10s_111218</t>
  </si>
  <si>
    <t>250255577</t>
  </si>
  <si>
    <t>446786707</t>
  </si>
  <si>
    <t>alp_ecom_conversao_ecom_facebook_social_video-social_social_stranger-things_look-2-desk_cpm_de-5s-ate-10s_111218</t>
  </si>
  <si>
    <t>250255571</t>
  </si>
  <si>
    <t>446786701</t>
  </si>
  <si>
    <t>alp_ecom_conversao_ecom_facebook_social_video-social_social_stranger-things_look-2-mobile_cpm_de-5s-ate-10s_111215</t>
  </si>
  <si>
    <t>250155791</t>
  </si>
  <si>
    <t>446691625</t>
  </si>
  <si>
    <t>alp_ecom_conversao_ecom_facebook_social_video-social_social_stranger-things_look-2-mobile_cpm_de-5s-ate-10s_111216</t>
  </si>
  <si>
    <t>250561296</t>
  </si>
  <si>
    <t>446675992</t>
  </si>
  <si>
    <t>alp_ecom_conversao_ecom_facebook_social_video-social_social_stranger-things_look-2-mobile_cpm_de-5s-ate-10s_111218</t>
  </si>
  <si>
    <t>250255568</t>
  </si>
  <si>
    <t>446786698</t>
  </si>
  <si>
    <t>alp_ecom_conversao_ecom_facebook_social_video-social_social_stranger-things_rmk-30-mobile_cpm_de-5s-ate-10s_111218</t>
  </si>
  <si>
    <t>250255562</t>
  </si>
  <si>
    <t>446786692</t>
  </si>
  <si>
    <t>alp_ecom_conversao_ecom_facebook_social_video-social_social_stranger-things_rmk-30_cpm_de-5s-ate-10s_111215</t>
  </si>
  <si>
    <t>250155788</t>
  </si>
  <si>
    <t>446691628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</si>
</sst>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5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B15" sqref="B1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7" t="s">
        <v>17</v>
      </c>
      <c r="C3" s="7" t="s">
        <v>22</v>
      </c>
      <c r="D3" s="7" t="s">
        <v>18</v>
      </c>
      <c r="E3" s="7" t="s">
        <v>19</v>
      </c>
      <c r="G3" s="14" t="s">
        <v>27</v>
      </c>
      <c r="H3" s="14"/>
    </row>
    <row r="4" spans="1:8">
      <c r="B4" s="8" t="s">
        <v>12</v>
      </c>
      <c r="C4" s="1">
        <v>0.09</v>
      </c>
      <c r="D4" s="1">
        <f>SUMIF(adtype_filtrada,$B4,impressoes_filtrada)</f>
        <v>107</v>
      </c>
      <c r="E4" s="9">
        <f>C4*D4/1000</f>
        <v>9.6299999999999997E-3</v>
      </c>
      <c r="G4" s="13" t="s">
        <v>28</v>
      </c>
      <c r="H4" s="13" t="s">
        <v>29</v>
      </c>
    </row>
    <row r="5" spans="1:8">
      <c r="B5" s="8" t="s">
        <v>11</v>
      </c>
      <c r="C5" s="1">
        <v>0.09</v>
      </c>
      <c r="D5" s="1">
        <f>SUMIF(adtype_filtrada,$B5,impressoes_filtrada)</f>
        <v>0</v>
      </c>
      <c r="E5" s="9">
        <f>C5*D5/1000</f>
        <v>0</v>
      </c>
      <c r="G5" s="9">
        <f>SUM(total_adops_filtrada)</f>
        <v>2300.189629999998</v>
      </c>
      <c r="H5" s="9">
        <f>SUM(total_ferramenta_filtrada)</f>
        <v>402.53558739999949</v>
      </c>
    </row>
    <row r="6" spans="1:8">
      <c r="B6" s="8" t="s">
        <v>10</v>
      </c>
      <c r="C6" s="1">
        <v>0.02</v>
      </c>
      <c r="D6" s="1">
        <f>SUMIF(adtype_filtrada,$B6,clicks_filtrada)</f>
        <v>115009</v>
      </c>
      <c r="E6" s="9">
        <f>C6*D6</f>
        <v>2300.1799999999998</v>
      </c>
    </row>
    <row r="7" spans="1:8">
      <c r="B7" s="8" t="s">
        <v>25</v>
      </c>
      <c r="C7" s="1">
        <v>0.6</v>
      </c>
      <c r="D7" s="1">
        <f>SUMIF(adtype_filtrada,$B7,impressoes_filtrada)</f>
        <v>0</v>
      </c>
      <c r="E7" s="9">
        <f>C7*D7/1000</f>
        <v>0</v>
      </c>
    </row>
    <row r="8" spans="1:8">
      <c r="B8" s="8" t="s">
        <v>24</v>
      </c>
      <c r="C8" s="1">
        <v>7.0000000000000007E-2</v>
      </c>
      <c r="D8" s="1">
        <f>SUMIF(adtype_filtrada,$B8,impressoes_filtrada)</f>
        <v>0</v>
      </c>
      <c r="E8" s="9">
        <f>C8*D8/1000</f>
        <v>0</v>
      </c>
    </row>
    <row r="9" spans="1:8">
      <c r="B9" s="8" t="s">
        <v>21</v>
      </c>
      <c r="C9" s="1">
        <v>0.35</v>
      </c>
      <c r="D9" s="1">
        <f>SUMIF(adtype_filtrada,$B9,impressoes_filtrada)</f>
        <v>0</v>
      </c>
      <c r="E9" s="9">
        <f>C9*D9/1000</f>
        <v>0</v>
      </c>
    </row>
    <row r="10" spans="1:8">
      <c r="B10" s="7" t="s">
        <v>20</v>
      </c>
      <c r="C10" s="7"/>
      <c r="D10" s="7"/>
      <c r="E10" s="10">
        <f>SUM(E4:E9)</f>
        <v>2300.1896299999999</v>
      </c>
    </row>
    <row r="14" spans="1:8">
      <c r="A14" s="4"/>
      <c r="B14" s="5" t="s">
        <v>0</v>
      </c>
      <c r="C14" s="5"/>
      <c r="D14" s="5"/>
    </row>
    <row r="15" spans="1:8">
      <c r="A15" s="4"/>
      <c r="B15" s="12" t="s">
        <v>30</v>
      </c>
      <c r="C15" s="5"/>
      <c r="D15" s="5"/>
    </row>
    <row r="16" spans="1:8" ht="6.75" customHeight="1">
      <c r="A16" s="4"/>
      <c r="B16" s="5"/>
      <c r="C16" s="5"/>
      <c r="D16" s="5"/>
    </row>
    <row r="19" spans="1:15" ht="45">
      <c r="A19" s="11" t="s">
        <v>23</v>
      </c>
      <c r="B19" s="5" t="s">
        <v>0</v>
      </c>
      <c r="C19" s="5" t="s">
        <v>1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7</v>
      </c>
      <c r="J19" s="5" t="s">
        <v>8</v>
      </c>
      <c r="K19" s="5" t="s">
        <v>9</v>
      </c>
      <c r="L19" s="6" t="s">
        <v>13</v>
      </c>
      <c r="M19" s="6" t="s">
        <v>14</v>
      </c>
      <c r="N19" s="6" t="s">
        <v>15</v>
      </c>
      <c r="O19" s="6" t="s">
        <v>16</v>
      </c>
    </row>
    <row r="20" spans="1:15">
      <c r="B20" t="s">
        <v>30</v>
      </c>
      <c r="C20" t="s">
        <v>289</v>
      </c>
      <c r="D20" t="s">
        <v>290</v>
      </c>
      <c r="E20" t="s">
        <v>291</v>
      </c>
      <c r="F20" t="s">
        <v>10</v>
      </c>
      <c r="G20" t="s">
        <v>290</v>
      </c>
      <c r="H20" t="s">
        <v>292</v>
      </c>
      <c r="I20" t="s">
        <v>26</v>
      </c>
      <c r="J20">
        <v>0</v>
      </c>
      <c r="K20">
        <v>6</v>
      </c>
      <c r="L20" s="2">
        <v>3.5000000000000001E-3</v>
      </c>
      <c r="M20">
        <v>0.02</v>
      </c>
      <c r="N20" s="2">
        <v>2.1000000000000001E-2</v>
      </c>
      <c r="O20" s="2">
        <v>0.12</v>
      </c>
    </row>
    <row r="21" spans="1:15">
      <c r="B21" t="s">
        <v>30</v>
      </c>
      <c r="C21" t="s">
        <v>289</v>
      </c>
      <c r="D21" t="s">
        <v>293</v>
      </c>
      <c r="E21" t="s">
        <v>294</v>
      </c>
      <c r="F21" t="s">
        <v>10</v>
      </c>
      <c r="G21" t="s">
        <v>293</v>
      </c>
      <c r="H21" t="s">
        <v>295</v>
      </c>
      <c r="I21" t="s">
        <v>26</v>
      </c>
      <c r="J21">
        <v>0</v>
      </c>
      <c r="K21">
        <v>8</v>
      </c>
      <c r="L21" s="2">
        <v>3.5000000000000001E-3</v>
      </c>
      <c r="M21">
        <v>0.02</v>
      </c>
      <c r="N21" s="2">
        <v>2.8000000000000001E-2</v>
      </c>
      <c r="O21" s="2">
        <v>0.16</v>
      </c>
    </row>
    <row r="22" spans="1:15">
      <c r="B22" t="s">
        <v>30</v>
      </c>
      <c r="C22" t="s">
        <v>289</v>
      </c>
      <c r="D22" t="s">
        <v>296</v>
      </c>
      <c r="E22" t="s">
        <v>297</v>
      </c>
      <c r="F22" t="s">
        <v>10</v>
      </c>
      <c r="G22" t="s">
        <v>296</v>
      </c>
      <c r="H22" t="s">
        <v>298</v>
      </c>
      <c r="I22" t="s">
        <v>26</v>
      </c>
      <c r="J22">
        <v>0</v>
      </c>
      <c r="K22">
        <v>6</v>
      </c>
      <c r="L22" s="2">
        <v>3.5000000000000001E-3</v>
      </c>
      <c r="M22">
        <v>0.02</v>
      </c>
      <c r="N22" s="2">
        <v>2.1000000000000001E-2</v>
      </c>
      <c r="O22" s="2">
        <v>0.12</v>
      </c>
    </row>
    <row r="23" spans="1:15">
      <c r="B23" t="s">
        <v>30</v>
      </c>
      <c r="C23" t="s">
        <v>44</v>
      </c>
      <c r="D23" t="s">
        <v>45</v>
      </c>
      <c r="E23" t="s">
        <v>46</v>
      </c>
      <c r="F23" t="s">
        <v>12</v>
      </c>
      <c r="G23" t="s">
        <v>45</v>
      </c>
      <c r="H23" t="s">
        <v>47</v>
      </c>
      <c r="I23" t="s">
        <v>26</v>
      </c>
      <c r="J23">
        <v>3</v>
      </c>
      <c r="K23">
        <v>0</v>
      </c>
      <c r="L23" s="2">
        <v>3.8199999999999998E-2</v>
      </c>
      <c r="M23">
        <v>0.09</v>
      </c>
      <c r="N23" s="2">
        <v>1.1459999999999999E-4</v>
      </c>
      <c r="O23" s="2">
        <v>2.7E-4</v>
      </c>
    </row>
    <row r="24" spans="1:15">
      <c r="B24" t="s">
        <v>30</v>
      </c>
      <c r="C24" t="s">
        <v>48</v>
      </c>
      <c r="D24" t="s">
        <v>61</v>
      </c>
      <c r="E24" t="s">
        <v>62</v>
      </c>
      <c r="F24" t="s">
        <v>12</v>
      </c>
      <c r="G24" t="s">
        <v>61</v>
      </c>
      <c r="H24" t="s">
        <v>63</v>
      </c>
      <c r="I24" t="s">
        <v>26</v>
      </c>
      <c r="J24">
        <v>8</v>
      </c>
      <c r="K24">
        <v>0</v>
      </c>
      <c r="L24" s="2">
        <v>3.8199999999999998E-2</v>
      </c>
      <c r="M24">
        <v>0.09</v>
      </c>
      <c r="N24" s="2">
        <v>3.056E-4</v>
      </c>
      <c r="O24" s="2">
        <v>7.1999999999999994E-4</v>
      </c>
    </row>
    <row r="25" spans="1:15">
      <c r="B25" t="s">
        <v>30</v>
      </c>
      <c r="C25" t="s">
        <v>48</v>
      </c>
      <c r="D25" t="s">
        <v>64</v>
      </c>
      <c r="E25" t="s">
        <v>65</v>
      </c>
      <c r="F25" t="s">
        <v>12</v>
      </c>
      <c r="G25" t="s">
        <v>64</v>
      </c>
      <c r="H25" t="s">
        <v>66</v>
      </c>
      <c r="I25" t="s">
        <v>26</v>
      </c>
      <c r="J25">
        <v>8</v>
      </c>
      <c r="K25">
        <v>0</v>
      </c>
      <c r="L25" s="2">
        <v>3.8199999999999998E-2</v>
      </c>
      <c r="M25">
        <v>0.09</v>
      </c>
      <c r="N25" s="2">
        <v>3.056E-4</v>
      </c>
      <c r="O25" s="2">
        <v>7.1999999999999994E-4</v>
      </c>
    </row>
    <row r="26" spans="1:15">
      <c r="B26" t="s">
        <v>30</v>
      </c>
      <c r="C26" t="s">
        <v>48</v>
      </c>
      <c r="D26" t="s">
        <v>67</v>
      </c>
      <c r="E26" t="s">
        <v>68</v>
      </c>
      <c r="F26" t="s">
        <v>12</v>
      </c>
      <c r="G26" t="s">
        <v>67</v>
      </c>
      <c r="H26" t="s">
        <v>69</v>
      </c>
      <c r="I26" t="s">
        <v>26</v>
      </c>
      <c r="J26">
        <v>8</v>
      </c>
      <c r="K26">
        <v>0</v>
      </c>
      <c r="L26" s="2">
        <v>3.8199999999999998E-2</v>
      </c>
      <c r="M26">
        <v>0.09</v>
      </c>
      <c r="N26" s="2">
        <v>3.056E-4</v>
      </c>
      <c r="O26" s="2">
        <v>7.1999999999999994E-4</v>
      </c>
    </row>
    <row r="27" spans="1:15">
      <c r="B27" t="s">
        <v>30</v>
      </c>
      <c r="C27" t="s">
        <v>48</v>
      </c>
      <c r="D27" t="s">
        <v>70</v>
      </c>
      <c r="E27" t="s">
        <v>71</v>
      </c>
      <c r="F27" t="s">
        <v>12</v>
      </c>
      <c r="G27" t="s">
        <v>70</v>
      </c>
      <c r="H27" t="s">
        <v>72</v>
      </c>
      <c r="I27" t="s">
        <v>26</v>
      </c>
      <c r="J27">
        <v>8</v>
      </c>
      <c r="K27">
        <v>0</v>
      </c>
      <c r="L27" s="2">
        <v>3.8199999999999998E-2</v>
      </c>
      <c r="M27">
        <v>0.09</v>
      </c>
      <c r="N27" s="2">
        <v>3.056E-4</v>
      </c>
      <c r="O27" s="2">
        <v>7.1999999999999994E-4</v>
      </c>
    </row>
    <row r="28" spans="1:15">
      <c r="B28" t="s">
        <v>30</v>
      </c>
      <c r="C28" t="s">
        <v>48</v>
      </c>
      <c r="D28" t="s">
        <v>73</v>
      </c>
      <c r="E28" t="s">
        <v>74</v>
      </c>
      <c r="F28" t="s">
        <v>12</v>
      </c>
      <c r="G28" t="s">
        <v>73</v>
      </c>
      <c r="H28" t="s">
        <v>75</v>
      </c>
      <c r="I28" t="s">
        <v>26</v>
      </c>
      <c r="J28">
        <v>8</v>
      </c>
      <c r="K28">
        <v>1</v>
      </c>
      <c r="L28" s="2">
        <v>3.8199999999999998E-2</v>
      </c>
      <c r="M28">
        <v>0.09</v>
      </c>
      <c r="N28" s="2">
        <v>3.056E-4</v>
      </c>
      <c r="O28" s="2">
        <v>7.1999999999999994E-4</v>
      </c>
    </row>
    <row r="29" spans="1:15">
      <c r="B29" t="s">
        <v>30</v>
      </c>
      <c r="C29" t="s">
        <v>48</v>
      </c>
      <c r="D29" t="s">
        <v>76</v>
      </c>
      <c r="E29" t="s">
        <v>77</v>
      </c>
      <c r="F29" t="s">
        <v>12</v>
      </c>
      <c r="G29" t="s">
        <v>76</v>
      </c>
      <c r="H29" t="s">
        <v>78</v>
      </c>
      <c r="I29" t="s">
        <v>26</v>
      </c>
      <c r="J29">
        <v>8</v>
      </c>
      <c r="K29">
        <v>0</v>
      </c>
      <c r="L29" s="2">
        <v>3.8199999999999998E-2</v>
      </c>
      <c r="M29">
        <v>0.09</v>
      </c>
      <c r="N29" s="2">
        <v>3.056E-4</v>
      </c>
      <c r="O29" s="2">
        <v>7.1999999999999994E-4</v>
      </c>
    </row>
    <row r="30" spans="1:15">
      <c r="B30" t="s">
        <v>30</v>
      </c>
      <c r="C30" t="s">
        <v>48</v>
      </c>
      <c r="D30" t="s">
        <v>79</v>
      </c>
      <c r="E30" t="s">
        <v>80</v>
      </c>
      <c r="F30" t="s">
        <v>12</v>
      </c>
      <c r="G30" t="s">
        <v>79</v>
      </c>
      <c r="H30" t="s">
        <v>81</v>
      </c>
      <c r="I30" t="s">
        <v>26</v>
      </c>
      <c r="J30">
        <v>8</v>
      </c>
      <c r="K30">
        <v>0</v>
      </c>
      <c r="L30" s="2">
        <v>3.8199999999999998E-2</v>
      </c>
      <c r="M30">
        <v>0.09</v>
      </c>
      <c r="N30" s="2">
        <v>3.056E-4</v>
      </c>
      <c r="O30" s="2">
        <v>7.1999999999999994E-4</v>
      </c>
    </row>
    <row r="31" spans="1:15">
      <c r="B31" t="s">
        <v>30</v>
      </c>
      <c r="C31" t="s">
        <v>48</v>
      </c>
      <c r="D31" t="s">
        <v>82</v>
      </c>
      <c r="E31" t="s">
        <v>83</v>
      </c>
      <c r="F31" t="s">
        <v>12</v>
      </c>
      <c r="G31" t="s">
        <v>82</v>
      </c>
      <c r="H31" t="s">
        <v>84</v>
      </c>
      <c r="I31" t="s">
        <v>26</v>
      </c>
      <c r="J31">
        <v>8</v>
      </c>
      <c r="K31">
        <v>0</v>
      </c>
      <c r="L31" s="2">
        <v>3.8199999999999998E-2</v>
      </c>
      <c r="M31">
        <v>0.09</v>
      </c>
      <c r="N31" s="2">
        <v>3.056E-4</v>
      </c>
      <c r="O31" s="2">
        <v>7.1999999999999994E-4</v>
      </c>
    </row>
    <row r="32" spans="1:15">
      <c r="B32" t="s">
        <v>30</v>
      </c>
      <c r="C32" t="s">
        <v>48</v>
      </c>
      <c r="D32" t="s">
        <v>85</v>
      </c>
      <c r="E32" t="s">
        <v>86</v>
      </c>
      <c r="F32" t="s">
        <v>12</v>
      </c>
      <c r="G32" t="s">
        <v>85</v>
      </c>
      <c r="H32" t="s">
        <v>87</v>
      </c>
      <c r="I32" t="s">
        <v>26</v>
      </c>
      <c r="J32">
        <v>8</v>
      </c>
      <c r="K32">
        <v>0</v>
      </c>
      <c r="L32" s="2">
        <v>3.8199999999999998E-2</v>
      </c>
      <c r="M32">
        <v>0.09</v>
      </c>
      <c r="N32" s="2">
        <v>3.056E-4</v>
      </c>
      <c r="O32" s="2">
        <v>7.1999999999999994E-4</v>
      </c>
    </row>
    <row r="33" spans="2:15">
      <c r="B33" t="s">
        <v>30</v>
      </c>
      <c r="C33" t="s">
        <v>48</v>
      </c>
      <c r="D33" t="s">
        <v>88</v>
      </c>
      <c r="E33" t="s">
        <v>89</v>
      </c>
      <c r="F33" t="s">
        <v>12</v>
      </c>
      <c r="G33" t="s">
        <v>88</v>
      </c>
      <c r="H33" t="s">
        <v>90</v>
      </c>
      <c r="I33" t="s">
        <v>26</v>
      </c>
      <c r="J33">
        <v>8</v>
      </c>
      <c r="K33">
        <v>0</v>
      </c>
      <c r="L33" s="2">
        <v>3.8199999999999998E-2</v>
      </c>
      <c r="M33">
        <v>0.09</v>
      </c>
      <c r="N33" s="2">
        <v>3.056E-4</v>
      </c>
      <c r="O33" s="2">
        <v>7.1999999999999994E-4</v>
      </c>
    </row>
    <row r="34" spans="2:15">
      <c r="B34" t="s">
        <v>30</v>
      </c>
      <c r="C34" t="s">
        <v>48</v>
      </c>
      <c r="D34" t="s">
        <v>91</v>
      </c>
      <c r="E34" t="s">
        <v>92</v>
      </c>
      <c r="F34" t="s">
        <v>12</v>
      </c>
      <c r="G34" t="s">
        <v>91</v>
      </c>
      <c r="H34" t="s">
        <v>93</v>
      </c>
      <c r="I34" t="s">
        <v>26</v>
      </c>
      <c r="J34">
        <v>8</v>
      </c>
      <c r="K34">
        <v>0</v>
      </c>
      <c r="L34" s="2">
        <v>3.8199999999999998E-2</v>
      </c>
      <c r="M34">
        <v>0.09</v>
      </c>
      <c r="N34" s="2">
        <v>3.056E-4</v>
      </c>
      <c r="O34" s="2">
        <v>7.1999999999999994E-4</v>
      </c>
    </row>
    <row r="35" spans="2:15">
      <c r="B35" t="s">
        <v>30</v>
      </c>
      <c r="C35" t="s">
        <v>48</v>
      </c>
      <c r="D35" t="s">
        <v>94</v>
      </c>
      <c r="E35" t="s">
        <v>95</v>
      </c>
      <c r="F35" t="s">
        <v>12</v>
      </c>
      <c r="G35" t="s">
        <v>94</v>
      </c>
      <c r="H35" t="s">
        <v>96</v>
      </c>
      <c r="I35" t="s">
        <v>26</v>
      </c>
      <c r="J35">
        <v>8</v>
      </c>
      <c r="K35">
        <v>0</v>
      </c>
      <c r="L35" s="2">
        <v>3.8199999999999998E-2</v>
      </c>
      <c r="M35">
        <v>0.09</v>
      </c>
      <c r="N35" s="2">
        <v>3.056E-4</v>
      </c>
      <c r="O35" s="2">
        <v>7.1999999999999994E-4</v>
      </c>
    </row>
    <row r="36" spans="2:15">
      <c r="B36" t="s">
        <v>30</v>
      </c>
      <c r="C36" t="s">
        <v>48</v>
      </c>
      <c r="D36" t="s">
        <v>97</v>
      </c>
      <c r="E36" t="s">
        <v>98</v>
      </c>
      <c r="F36" t="s">
        <v>12</v>
      </c>
      <c r="G36" t="s">
        <v>97</v>
      </c>
      <c r="H36" t="s">
        <v>99</v>
      </c>
      <c r="I36" t="s">
        <v>26</v>
      </c>
      <c r="J36">
        <v>8</v>
      </c>
      <c r="K36">
        <v>0</v>
      </c>
      <c r="L36" s="2">
        <v>3.8199999999999998E-2</v>
      </c>
      <c r="M36">
        <v>0.09</v>
      </c>
      <c r="N36" s="2">
        <v>3.056E-4</v>
      </c>
      <c r="O36" s="2">
        <v>7.1999999999999994E-4</v>
      </c>
    </row>
    <row r="37" spans="2:15">
      <c r="B37" t="s">
        <v>30</v>
      </c>
      <c r="C37" t="s">
        <v>31</v>
      </c>
      <c r="D37" t="s">
        <v>299</v>
      </c>
      <c r="E37" t="s">
        <v>300</v>
      </c>
      <c r="F37" t="s">
        <v>10</v>
      </c>
      <c r="G37" t="s">
        <v>299</v>
      </c>
      <c r="H37" t="s">
        <v>301</v>
      </c>
      <c r="I37" t="s">
        <v>26</v>
      </c>
      <c r="J37">
        <v>0</v>
      </c>
      <c r="K37">
        <v>29</v>
      </c>
      <c r="L37" s="2">
        <v>3.5000000000000001E-3</v>
      </c>
      <c r="M37">
        <v>0.02</v>
      </c>
      <c r="N37" s="2">
        <v>0.10150000000000001</v>
      </c>
      <c r="O37" s="2">
        <v>0.57999999999999996</v>
      </c>
    </row>
    <row r="38" spans="2:15">
      <c r="B38" t="s">
        <v>30</v>
      </c>
      <c r="C38" t="s">
        <v>31</v>
      </c>
      <c r="D38" t="s">
        <v>302</v>
      </c>
      <c r="E38" t="s">
        <v>303</v>
      </c>
      <c r="F38" t="s">
        <v>10</v>
      </c>
      <c r="G38" t="s">
        <v>302</v>
      </c>
      <c r="H38" t="s">
        <v>304</v>
      </c>
      <c r="I38" t="s">
        <v>26</v>
      </c>
      <c r="J38">
        <v>0</v>
      </c>
      <c r="K38">
        <v>7</v>
      </c>
      <c r="L38" s="2">
        <v>3.5000000000000001E-3</v>
      </c>
      <c r="M38">
        <v>0.02</v>
      </c>
      <c r="N38" s="2">
        <v>2.4500000000000001E-2</v>
      </c>
      <c r="O38" s="2">
        <v>0.14000000000000001</v>
      </c>
    </row>
    <row r="39" spans="2:15">
      <c r="B39" t="s">
        <v>30</v>
      </c>
      <c r="C39" t="s">
        <v>31</v>
      </c>
      <c r="D39" t="s">
        <v>305</v>
      </c>
      <c r="E39" t="s">
        <v>306</v>
      </c>
      <c r="F39" t="s">
        <v>10</v>
      </c>
      <c r="G39" t="s">
        <v>305</v>
      </c>
      <c r="H39" t="s">
        <v>307</v>
      </c>
      <c r="I39" t="s">
        <v>26</v>
      </c>
      <c r="J39">
        <v>0</v>
      </c>
      <c r="K39">
        <v>1</v>
      </c>
      <c r="L39" s="2">
        <v>3.5000000000000001E-3</v>
      </c>
      <c r="M39">
        <v>0.02</v>
      </c>
      <c r="N39" s="2">
        <v>3.5000000000000001E-3</v>
      </c>
      <c r="O39" s="2">
        <v>0.02</v>
      </c>
    </row>
    <row r="40" spans="2:15">
      <c r="B40" t="s">
        <v>30</v>
      </c>
      <c r="C40" t="s">
        <v>31</v>
      </c>
      <c r="D40" t="s">
        <v>308</v>
      </c>
      <c r="E40" t="s">
        <v>309</v>
      </c>
      <c r="F40" t="s">
        <v>10</v>
      </c>
      <c r="G40" t="s">
        <v>308</v>
      </c>
      <c r="H40" t="s">
        <v>310</v>
      </c>
      <c r="I40" t="s">
        <v>26</v>
      </c>
      <c r="J40">
        <v>0</v>
      </c>
      <c r="K40">
        <v>4</v>
      </c>
      <c r="L40" s="2">
        <v>3.5000000000000001E-3</v>
      </c>
      <c r="M40">
        <v>0.02</v>
      </c>
      <c r="N40" s="2">
        <v>1.4E-2</v>
      </c>
      <c r="O40" s="2">
        <v>0.08</v>
      </c>
    </row>
    <row r="41" spans="2:15">
      <c r="B41" t="s">
        <v>30</v>
      </c>
      <c r="C41" t="s">
        <v>31</v>
      </c>
      <c r="D41" t="s">
        <v>311</v>
      </c>
      <c r="E41" t="s">
        <v>312</v>
      </c>
      <c r="F41" t="s">
        <v>10</v>
      </c>
      <c r="G41" t="s">
        <v>311</v>
      </c>
      <c r="H41" t="s">
        <v>313</v>
      </c>
      <c r="I41" t="s">
        <v>26</v>
      </c>
      <c r="J41">
        <v>0</v>
      </c>
      <c r="K41">
        <v>5</v>
      </c>
      <c r="L41" s="2">
        <v>3.5000000000000001E-3</v>
      </c>
      <c r="M41">
        <v>0.02</v>
      </c>
      <c r="N41" s="2">
        <v>1.7500000000000002E-2</v>
      </c>
      <c r="O41" s="2">
        <v>0.1</v>
      </c>
    </row>
    <row r="42" spans="2:15">
      <c r="B42" t="s">
        <v>30</v>
      </c>
      <c r="C42" t="s">
        <v>31</v>
      </c>
      <c r="D42" t="s">
        <v>314</v>
      </c>
      <c r="E42" t="s">
        <v>315</v>
      </c>
      <c r="F42" t="s">
        <v>10</v>
      </c>
      <c r="G42" t="s">
        <v>314</v>
      </c>
      <c r="H42" t="s">
        <v>316</v>
      </c>
      <c r="I42" t="s">
        <v>26</v>
      </c>
      <c r="J42">
        <v>0</v>
      </c>
      <c r="K42">
        <v>1</v>
      </c>
      <c r="L42" s="2">
        <v>3.5000000000000001E-3</v>
      </c>
      <c r="M42">
        <v>0.02</v>
      </c>
      <c r="N42" s="2">
        <v>3.5000000000000001E-3</v>
      </c>
      <c r="O42" s="2">
        <v>0.02</v>
      </c>
    </row>
    <row r="43" spans="2:15">
      <c r="B43" t="s">
        <v>30</v>
      </c>
      <c r="C43" t="s">
        <v>31</v>
      </c>
      <c r="D43" t="s">
        <v>317</v>
      </c>
      <c r="E43" t="s">
        <v>318</v>
      </c>
      <c r="F43" t="s">
        <v>10</v>
      </c>
      <c r="G43" t="s">
        <v>317</v>
      </c>
      <c r="H43" t="s">
        <v>319</v>
      </c>
      <c r="I43" t="s">
        <v>26</v>
      </c>
      <c r="J43">
        <v>0</v>
      </c>
      <c r="K43">
        <v>2</v>
      </c>
      <c r="L43" s="2">
        <v>3.5000000000000001E-3</v>
      </c>
      <c r="M43">
        <v>0.02</v>
      </c>
      <c r="N43" s="2">
        <v>7.0000000000000001E-3</v>
      </c>
      <c r="O43" s="2">
        <v>0.04</v>
      </c>
    </row>
    <row r="44" spans="2:15">
      <c r="B44" t="s">
        <v>30</v>
      </c>
      <c r="C44" t="s">
        <v>31</v>
      </c>
      <c r="D44" t="s">
        <v>320</v>
      </c>
      <c r="E44" t="s">
        <v>321</v>
      </c>
      <c r="F44" t="s">
        <v>10</v>
      </c>
      <c r="G44" t="s">
        <v>320</v>
      </c>
      <c r="H44" t="s">
        <v>322</v>
      </c>
      <c r="I44" t="s">
        <v>26</v>
      </c>
      <c r="J44">
        <v>0</v>
      </c>
      <c r="K44">
        <v>1</v>
      </c>
      <c r="L44" s="2">
        <v>3.5000000000000001E-3</v>
      </c>
      <c r="M44">
        <v>0.02</v>
      </c>
      <c r="N44" s="2">
        <v>3.5000000000000001E-3</v>
      </c>
      <c r="O44" s="2">
        <v>0.02</v>
      </c>
    </row>
    <row r="45" spans="2:15">
      <c r="B45" t="s">
        <v>30</v>
      </c>
      <c r="C45" t="s">
        <v>31</v>
      </c>
      <c r="D45" t="s">
        <v>323</v>
      </c>
      <c r="E45" t="s">
        <v>324</v>
      </c>
      <c r="F45" t="s">
        <v>10</v>
      </c>
      <c r="G45" t="s">
        <v>323</v>
      </c>
      <c r="H45" t="s">
        <v>325</v>
      </c>
      <c r="I45" t="s">
        <v>26</v>
      </c>
      <c r="J45">
        <v>0</v>
      </c>
      <c r="K45">
        <v>1</v>
      </c>
      <c r="L45" s="2">
        <v>3.5000000000000001E-3</v>
      </c>
      <c r="M45">
        <v>0.02</v>
      </c>
      <c r="N45" s="2">
        <v>3.5000000000000001E-3</v>
      </c>
      <c r="O45" s="2">
        <v>0.02</v>
      </c>
    </row>
    <row r="46" spans="2:15">
      <c r="B46" t="s">
        <v>30</v>
      </c>
      <c r="C46" t="s">
        <v>31</v>
      </c>
      <c r="D46" t="s">
        <v>326</v>
      </c>
      <c r="E46" t="s">
        <v>327</v>
      </c>
      <c r="F46" t="s">
        <v>10</v>
      </c>
      <c r="G46" t="s">
        <v>326</v>
      </c>
      <c r="H46" t="s">
        <v>328</v>
      </c>
      <c r="I46" t="s">
        <v>26</v>
      </c>
      <c r="J46">
        <v>0</v>
      </c>
      <c r="K46">
        <v>1</v>
      </c>
      <c r="L46" s="2">
        <v>3.5000000000000001E-3</v>
      </c>
      <c r="M46">
        <v>0.02</v>
      </c>
      <c r="N46" s="2">
        <v>3.5000000000000001E-3</v>
      </c>
      <c r="O46" s="2">
        <v>0.02</v>
      </c>
    </row>
    <row r="47" spans="2:15">
      <c r="B47" t="s">
        <v>30</v>
      </c>
      <c r="C47" t="s">
        <v>31</v>
      </c>
      <c r="D47" t="s">
        <v>329</v>
      </c>
      <c r="E47" t="s">
        <v>330</v>
      </c>
      <c r="F47" t="s">
        <v>10</v>
      </c>
      <c r="G47" t="s">
        <v>329</v>
      </c>
      <c r="H47" t="s">
        <v>331</v>
      </c>
      <c r="I47" t="s">
        <v>26</v>
      </c>
      <c r="J47">
        <v>0</v>
      </c>
      <c r="K47">
        <v>1</v>
      </c>
      <c r="L47" s="2">
        <v>3.5000000000000001E-3</v>
      </c>
      <c r="M47">
        <v>0.02</v>
      </c>
      <c r="N47" s="2">
        <v>3.5000000000000001E-3</v>
      </c>
      <c r="O47" s="2">
        <v>0.02</v>
      </c>
    </row>
    <row r="48" spans="2:15">
      <c r="B48" t="s">
        <v>30</v>
      </c>
      <c r="C48" t="s">
        <v>31</v>
      </c>
      <c r="D48" t="s">
        <v>332</v>
      </c>
      <c r="E48" t="s">
        <v>333</v>
      </c>
      <c r="F48" t="s">
        <v>10</v>
      </c>
      <c r="G48" t="s">
        <v>332</v>
      </c>
      <c r="H48" t="s">
        <v>334</v>
      </c>
      <c r="I48" t="s">
        <v>26</v>
      </c>
      <c r="J48">
        <v>0</v>
      </c>
      <c r="K48">
        <v>1</v>
      </c>
      <c r="L48" s="2">
        <v>3.5000000000000001E-3</v>
      </c>
      <c r="M48">
        <v>0.02</v>
      </c>
      <c r="N48" s="2">
        <v>3.5000000000000001E-3</v>
      </c>
      <c r="O48" s="2">
        <v>0.02</v>
      </c>
    </row>
    <row r="49" spans="2:15">
      <c r="B49" t="s">
        <v>30</v>
      </c>
      <c r="C49" t="s">
        <v>31</v>
      </c>
      <c r="D49" t="s">
        <v>335</v>
      </c>
      <c r="E49" t="s">
        <v>336</v>
      </c>
      <c r="F49" t="s">
        <v>10</v>
      </c>
      <c r="G49" t="s">
        <v>335</v>
      </c>
      <c r="H49" t="s">
        <v>337</v>
      </c>
      <c r="I49" t="s">
        <v>26</v>
      </c>
      <c r="J49">
        <v>0</v>
      </c>
      <c r="K49">
        <v>1</v>
      </c>
      <c r="L49" s="2">
        <v>3.5000000000000001E-3</v>
      </c>
      <c r="M49">
        <v>0.02</v>
      </c>
      <c r="N49" s="2">
        <v>3.5000000000000001E-3</v>
      </c>
      <c r="O49" s="2">
        <v>0.02</v>
      </c>
    </row>
    <row r="50" spans="2:15">
      <c r="B50" t="s">
        <v>30</v>
      </c>
      <c r="C50" t="s">
        <v>31</v>
      </c>
      <c r="D50" t="s">
        <v>338</v>
      </c>
      <c r="E50" t="s">
        <v>339</v>
      </c>
      <c r="F50" t="s">
        <v>10</v>
      </c>
      <c r="G50" t="s">
        <v>338</v>
      </c>
      <c r="H50" t="s">
        <v>340</v>
      </c>
      <c r="I50" t="s">
        <v>26</v>
      </c>
      <c r="J50">
        <v>0</v>
      </c>
      <c r="K50">
        <v>1</v>
      </c>
      <c r="L50" s="2">
        <v>3.5000000000000001E-3</v>
      </c>
      <c r="M50">
        <v>0.02</v>
      </c>
      <c r="N50" s="2">
        <v>3.5000000000000001E-3</v>
      </c>
      <c r="O50" s="2">
        <v>0.02</v>
      </c>
    </row>
    <row r="51" spans="2:15">
      <c r="B51" t="s">
        <v>30</v>
      </c>
      <c r="C51" t="s">
        <v>31</v>
      </c>
      <c r="D51" t="s">
        <v>341</v>
      </c>
      <c r="E51" t="s">
        <v>342</v>
      </c>
      <c r="F51" t="s">
        <v>10</v>
      </c>
      <c r="G51" t="s">
        <v>341</v>
      </c>
      <c r="H51" t="s">
        <v>343</v>
      </c>
      <c r="I51" t="s">
        <v>26</v>
      </c>
      <c r="J51">
        <v>0</v>
      </c>
      <c r="K51">
        <v>2</v>
      </c>
      <c r="L51" s="2">
        <v>3.5000000000000001E-3</v>
      </c>
      <c r="M51">
        <v>0.02</v>
      </c>
      <c r="N51" s="2">
        <v>7.0000000000000001E-3</v>
      </c>
      <c r="O51" s="2">
        <v>0.04</v>
      </c>
    </row>
    <row r="52" spans="2:15">
      <c r="B52" t="s">
        <v>30</v>
      </c>
      <c r="C52" t="s">
        <v>31</v>
      </c>
      <c r="D52" t="s">
        <v>344</v>
      </c>
      <c r="E52" t="s">
        <v>345</v>
      </c>
      <c r="F52" t="s">
        <v>10</v>
      </c>
      <c r="G52" t="s">
        <v>344</v>
      </c>
      <c r="H52" t="s">
        <v>346</v>
      </c>
      <c r="I52" t="s">
        <v>26</v>
      </c>
      <c r="J52">
        <v>0</v>
      </c>
      <c r="K52">
        <v>6</v>
      </c>
      <c r="L52" s="2">
        <v>3.5000000000000001E-3</v>
      </c>
      <c r="M52">
        <v>0.02</v>
      </c>
      <c r="N52" s="2">
        <v>2.1000000000000001E-2</v>
      </c>
      <c r="O52" s="2">
        <v>0.12</v>
      </c>
    </row>
    <row r="53" spans="2:15">
      <c r="B53" t="s">
        <v>30</v>
      </c>
      <c r="C53" t="s">
        <v>31</v>
      </c>
      <c r="D53" t="s">
        <v>347</v>
      </c>
      <c r="E53" t="s">
        <v>348</v>
      </c>
      <c r="F53" t="s">
        <v>10</v>
      </c>
      <c r="G53" t="s">
        <v>347</v>
      </c>
      <c r="H53" t="s">
        <v>349</v>
      </c>
      <c r="I53" t="s">
        <v>26</v>
      </c>
      <c r="J53">
        <v>0</v>
      </c>
      <c r="K53">
        <v>2</v>
      </c>
      <c r="L53" s="2">
        <v>3.5000000000000001E-3</v>
      </c>
      <c r="M53">
        <v>0.02</v>
      </c>
      <c r="N53" s="2">
        <v>7.0000000000000001E-3</v>
      </c>
      <c r="O53" s="2">
        <v>0.04</v>
      </c>
    </row>
    <row r="54" spans="2:15">
      <c r="B54" t="s">
        <v>30</v>
      </c>
      <c r="C54" t="s">
        <v>31</v>
      </c>
      <c r="D54" t="s">
        <v>350</v>
      </c>
      <c r="E54" t="s">
        <v>351</v>
      </c>
      <c r="F54" t="s">
        <v>10</v>
      </c>
      <c r="G54" t="s">
        <v>350</v>
      </c>
      <c r="H54" t="s">
        <v>352</v>
      </c>
      <c r="I54" t="s">
        <v>26</v>
      </c>
      <c r="J54">
        <v>0</v>
      </c>
      <c r="K54">
        <v>1</v>
      </c>
      <c r="L54" s="2">
        <v>3.5000000000000001E-3</v>
      </c>
      <c r="M54">
        <v>0.02</v>
      </c>
      <c r="N54" s="2">
        <v>3.5000000000000001E-3</v>
      </c>
      <c r="O54" s="2">
        <v>0.02</v>
      </c>
    </row>
    <row r="55" spans="2:15">
      <c r="B55" t="s">
        <v>30</v>
      </c>
      <c r="C55" t="s">
        <v>31</v>
      </c>
      <c r="D55" t="s">
        <v>353</v>
      </c>
      <c r="E55" t="s">
        <v>354</v>
      </c>
      <c r="F55" t="s">
        <v>10</v>
      </c>
      <c r="G55" t="s">
        <v>353</v>
      </c>
      <c r="H55" t="s">
        <v>355</v>
      </c>
      <c r="I55" t="s">
        <v>26</v>
      </c>
      <c r="J55">
        <v>0</v>
      </c>
      <c r="K55">
        <v>1</v>
      </c>
      <c r="L55" s="2">
        <v>3.5000000000000001E-3</v>
      </c>
      <c r="M55">
        <v>0.02</v>
      </c>
      <c r="N55" s="2">
        <v>3.5000000000000001E-3</v>
      </c>
      <c r="O55" s="2">
        <v>0.02</v>
      </c>
    </row>
    <row r="56" spans="2:15">
      <c r="B56" t="s">
        <v>30</v>
      </c>
      <c r="C56" t="s">
        <v>31</v>
      </c>
      <c r="D56" t="s">
        <v>356</v>
      </c>
      <c r="E56" t="s">
        <v>357</v>
      </c>
      <c r="F56" t="s">
        <v>10</v>
      </c>
      <c r="G56" t="s">
        <v>356</v>
      </c>
      <c r="H56" t="s">
        <v>358</v>
      </c>
      <c r="I56" t="s">
        <v>26</v>
      </c>
      <c r="J56">
        <v>0</v>
      </c>
      <c r="K56">
        <v>1</v>
      </c>
      <c r="L56" s="2">
        <v>3.5000000000000001E-3</v>
      </c>
      <c r="M56">
        <v>0.02</v>
      </c>
      <c r="N56" s="2">
        <v>3.5000000000000001E-3</v>
      </c>
      <c r="O56" s="2">
        <v>0.02</v>
      </c>
    </row>
    <row r="57" spans="2:15">
      <c r="B57" t="s">
        <v>30</v>
      </c>
      <c r="C57" t="s">
        <v>31</v>
      </c>
      <c r="D57" t="s">
        <v>184</v>
      </c>
      <c r="E57" t="s">
        <v>185</v>
      </c>
      <c r="F57" t="s">
        <v>10</v>
      </c>
      <c r="G57" t="s">
        <v>184</v>
      </c>
      <c r="H57" t="s">
        <v>186</v>
      </c>
      <c r="I57" t="s">
        <v>26</v>
      </c>
      <c r="J57">
        <v>0</v>
      </c>
      <c r="K57">
        <v>37</v>
      </c>
      <c r="L57" s="2">
        <v>3.5000000000000001E-3</v>
      </c>
      <c r="M57">
        <v>0.02</v>
      </c>
      <c r="N57" s="2">
        <v>0.1295</v>
      </c>
      <c r="O57" s="2">
        <v>0.74</v>
      </c>
    </row>
    <row r="58" spans="2:15">
      <c r="B58" t="s">
        <v>30</v>
      </c>
      <c r="C58" t="s">
        <v>31</v>
      </c>
      <c r="D58" t="s">
        <v>187</v>
      </c>
      <c r="E58" t="s">
        <v>188</v>
      </c>
      <c r="F58" t="s">
        <v>10</v>
      </c>
      <c r="G58" t="s">
        <v>187</v>
      </c>
      <c r="H58" t="s">
        <v>189</v>
      </c>
      <c r="I58" t="s">
        <v>26</v>
      </c>
      <c r="J58">
        <v>0</v>
      </c>
      <c r="K58">
        <v>93</v>
      </c>
      <c r="L58" s="2">
        <v>3.5000000000000001E-3</v>
      </c>
      <c r="M58">
        <v>0.02</v>
      </c>
      <c r="N58" s="2">
        <v>0.32550000000000001</v>
      </c>
      <c r="O58" s="2">
        <v>1.86</v>
      </c>
    </row>
    <row r="59" spans="2:15">
      <c r="B59" t="s">
        <v>30</v>
      </c>
      <c r="C59" t="s">
        <v>31</v>
      </c>
      <c r="D59" t="s">
        <v>190</v>
      </c>
      <c r="E59" t="s">
        <v>191</v>
      </c>
      <c r="F59" t="s">
        <v>10</v>
      </c>
      <c r="G59" t="s">
        <v>190</v>
      </c>
      <c r="H59" t="s">
        <v>192</v>
      </c>
      <c r="I59" t="s">
        <v>26</v>
      </c>
      <c r="J59">
        <v>0</v>
      </c>
      <c r="K59">
        <v>941</v>
      </c>
      <c r="L59" s="2">
        <v>3.5000000000000001E-3</v>
      </c>
      <c r="M59">
        <v>0.02</v>
      </c>
      <c r="N59" s="2">
        <v>3.2934999999999999</v>
      </c>
      <c r="O59" s="2">
        <v>18.82</v>
      </c>
    </row>
    <row r="60" spans="2:15">
      <c r="B60" t="s">
        <v>30</v>
      </c>
      <c r="C60" t="s">
        <v>31</v>
      </c>
      <c r="D60" t="s">
        <v>193</v>
      </c>
      <c r="E60" t="s">
        <v>194</v>
      </c>
      <c r="F60" t="s">
        <v>10</v>
      </c>
      <c r="G60" t="s">
        <v>193</v>
      </c>
      <c r="H60" t="s">
        <v>195</v>
      </c>
      <c r="I60" t="s">
        <v>26</v>
      </c>
      <c r="J60">
        <v>0</v>
      </c>
      <c r="K60">
        <v>782</v>
      </c>
      <c r="L60" s="2">
        <v>3.5000000000000001E-3</v>
      </c>
      <c r="M60">
        <v>0.02</v>
      </c>
      <c r="N60" s="2">
        <v>2.7370000000000001</v>
      </c>
      <c r="O60" s="2">
        <v>15.64</v>
      </c>
    </row>
    <row r="61" spans="2:15">
      <c r="B61" t="s">
        <v>30</v>
      </c>
      <c r="C61" t="s">
        <v>31</v>
      </c>
      <c r="D61" t="s">
        <v>100</v>
      </c>
      <c r="E61" t="s">
        <v>101</v>
      </c>
      <c r="F61" t="s">
        <v>10</v>
      </c>
      <c r="G61" t="s">
        <v>100</v>
      </c>
      <c r="H61" t="s">
        <v>102</v>
      </c>
      <c r="I61" t="s">
        <v>26</v>
      </c>
      <c r="J61">
        <v>0</v>
      </c>
      <c r="K61">
        <v>2055</v>
      </c>
      <c r="L61" s="2">
        <v>3.5000000000000001E-3</v>
      </c>
      <c r="M61">
        <v>0.02</v>
      </c>
      <c r="N61" s="2">
        <v>7.1924999999999999</v>
      </c>
      <c r="O61" s="2">
        <v>41.1</v>
      </c>
    </row>
    <row r="62" spans="2:15">
      <c r="B62" t="s">
        <v>30</v>
      </c>
      <c r="C62" t="s">
        <v>31</v>
      </c>
      <c r="D62" t="s">
        <v>359</v>
      </c>
      <c r="E62" t="s">
        <v>360</v>
      </c>
      <c r="F62" t="s">
        <v>10</v>
      </c>
      <c r="G62" t="s">
        <v>359</v>
      </c>
      <c r="H62" t="s">
        <v>361</v>
      </c>
      <c r="I62" t="s">
        <v>26</v>
      </c>
      <c r="J62">
        <v>0</v>
      </c>
      <c r="K62">
        <v>17</v>
      </c>
      <c r="L62" s="2">
        <v>3.5000000000000001E-3</v>
      </c>
      <c r="M62">
        <v>0.02</v>
      </c>
      <c r="N62" s="2">
        <v>5.9500000000000004E-2</v>
      </c>
      <c r="O62" s="2">
        <v>0.34</v>
      </c>
    </row>
    <row r="63" spans="2:15">
      <c r="B63" t="s">
        <v>30</v>
      </c>
      <c r="C63" t="s">
        <v>31</v>
      </c>
      <c r="D63" t="s">
        <v>362</v>
      </c>
      <c r="E63" t="s">
        <v>363</v>
      </c>
      <c r="F63" t="s">
        <v>10</v>
      </c>
      <c r="G63" t="s">
        <v>362</v>
      </c>
      <c r="H63" t="s">
        <v>364</v>
      </c>
      <c r="I63" t="s">
        <v>26</v>
      </c>
      <c r="J63">
        <v>0</v>
      </c>
      <c r="K63">
        <v>187</v>
      </c>
      <c r="L63" s="2">
        <v>3.5000000000000001E-3</v>
      </c>
      <c r="M63">
        <v>0.02</v>
      </c>
      <c r="N63" s="2">
        <v>0.65449999999999997</v>
      </c>
      <c r="O63" s="2">
        <v>3.74</v>
      </c>
    </row>
    <row r="64" spans="2:15">
      <c r="B64" t="s">
        <v>30</v>
      </c>
      <c r="C64" t="s">
        <v>31</v>
      </c>
      <c r="D64" t="s">
        <v>103</v>
      </c>
      <c r="E64" t="s">
        <v>104</v>
      </c>
      <c r="F64" t="s">
        <v>10</v>
      </c>
      <c r="G64" t="s">
        <v>103</v>
      </c>
      <c r="H64" t="s">
        <v>105</v>
      </c>
      <c r="I64" t="s">
        <v>26</v>
      </c>
      <c r="J64">
        <v>0</v>
      </c>
      <c r="K64">
        <v>3</v>
      </c>
      <c r="L64" s="2">
        <v>3.5000000000000001E-3</v>
      </c>
      <c r="M64">
        <v>0.02</v>
      </c>
      <c r="N64" s="2">
        <v>1.0500000000000001E-2</v>
      </c>
      <c r="O64" s="2">
        <v>0.06</v>
      </c>
    </row>
    <row r="65" spans="2:15">
      <c r="B65" t="s">
        <v>30</v>
      </c>
      <c r="C65" t="s">
        <v>31</v>
      </c>
      <c r="D65" t="s">
        <v>365</v>
      </c>
      <c r="E65" t="s">
        <v>366</v>
      </c>
      <c r="F65" t="s">
        <v>10</v>
      </c>
      <c r="G65" t="s">
        <v>365</v>
      </c>
      <c r="H65" t="s">
        <v>367</v>
      </c>
      <c r="I65" t="s">
        <v>26</v>
      </c>
      <c r="J65">
        <v>0</v>
      </c>
      <c r="K65">
        <v>1</v>
      </c>
      <c r="L65" s="2">
        <v>3.5000000000000001E-3</v>
      </c>
      <c r="M65">
        <v>0.02</v>
      </c>
      <c r="N65" s="2">
        <v>3.5000000000000001E-3</v>
      </c>
      <c r="O65" s="2">
        <v>0.02</v>
      </c>
    </row>
    <row r="66" spans="2:15">
      <c r="B66" t="s">
        <v>30</v>
      </c>
      <c r="C66" t="s">
        <v>31</v>
      </c>
      <c r="D66" t="s">
        <v>106</v>
      </c>
      <c r="E66" t="s">
        <v>107</v>
      </c>
      <c r="F66" t="s">
        <v>10</v>
      </c>
      <c r="G66" t="s">
        <v>106</v>
      </c>
      <c r="H66" t="s">
        <v>108</v>
      </c>
      <c r="I66" t="s">
        <v>26</v>
      </c>
      <c r="J66">
        <v>0</v>
      </c>
      <c r="K66">
        <v>3</v>
      </c>
      <c r="L66" s="2">
        <v>3.5000000000000001E-3</v>
      </c>
      <c r="M66">
        <v>0.02</v>
      </c>
      <c r="N66" s="2">
        <v>1.0500000000000001E-2</v>
      </c>
      <c r="O66" s="2">
        <v>0.06</v>
      </c>
    </row>
    <row r="67" spans="2:15">
      <c r="B67" t="s">
        <v>30</v>
      </c>
      <c r="C67" t="s">
        <v>31</v>
      </c>
      <c r="D67" t="s">
        <v>368</v>
      </c>
      <c r="E67" t="s">
        <v>369</v>
      </c>
      <c r="F67" t="s">
        <v>10</v>
      </c>
      <c r="G67" t="s">
        <v>368</v>
      </c>
      <c r="H67" t="s">
        <v>370</v>
      </c>
      <c r="I67" t="s">
        <v>26</v>
      </c>
      <c r="J67">
        <v>0</v>
      </c>
      <c r="K67">
        <v>1</v>
      </c>
      <c r="L67" s="2">
        <v>3.5000000000000001E-3</v>
      </c>
      <c r="M67">
        <v>0.02</v>
      </c>
      <c r="N67" s="2">
        <v>3.5000000000000001E-3</v>
      </c>
      <c r="O67" s="2">
        <v>0.02</v>
      </c>
    </row>
    <row r="68" spans="2:15">
      <c r="B68" t="s">
        <v>30</v>
      </c>
      <c r="C68" t="s">
        <v>31</v>
      </c>
      <c r="D68" t="s">
        <v>109</v>
      </c>
      <c r="E68" t="s">
        <v>110</v>
      </c>
      <c r="F68" t="s">
        <v>10</v>
      </c>
      <c r="G68" t="s">
        <v>109</v>
      </c>
      <c r="H68" t="s">
        <v>111</v>
      </c>
      <c r="I68" t="s">
        <v>26</v>
      </c>
      <c r="J68">
        <v>0</v>
      </c>
      <c r="K68">
        <v>2</v>
      </c>
      <c r="L68" s="2">
        <v>3.5000000000000001E-3</v>
      </c>
      <c r="M68">
        <v>0.02</v>
      </c>
      <c r="N68" s="2">
        <v>7.0000000000000001E-3</v>
      </c>
      <c r="O68" s="2">
        <v>0.04</v>
      </c>
    </row>
    <row r="69" spans="2:15">
      <c r="B69" t="s">
        <v>30</v>
      </c>
      <c r="C69" t="s">
        <v>31</v>
      </c>
      <c r="D69" t="s">
        <v>112</v>
      </c>
      <c r="E69" t="s">
        <v>113</v>
      </c>
      <c r="F69" t="s">
        <v>10</v>
      </c>
      <c r="G69" t="s">
        <v>112</v>
      </c>
      <c r="H69" t="s">
        <v>114</v>
      </c>
      <c r="I69" t="s">
        <v>26</v>
      </c>
      <c r="J69">
        <v>0</v>
      </c>
      <c r="K69">
        <v>25</v>
      </c>
      <c r="L69" s="2">
        <v>3.5000000000000001E-3</v>
      </c>
      <c r="M69">
        <v>0.02</v>
      </c>
      <c r="N69" s="2">
        <v>8.7500000000000008E-2</v>
      </c>
      <c r="O69" s="2">
        <v>0.5</v>
      </c>
    </row>
    <row r="70" spans="2:15">
      <c r="B70" t="s">
        <v>30</v>
      </c>
      <c r="C70" t="s">
        <v>31</v>
      </c>
      <c r="D70" t="s">
        <v>371</v>
      </c>
      <c r="E70" t="s">
        <v>372</v>
      </c>
      <c r="F70" t="s">
        <v>10</v>
      </c>
      <c r="G70" t="s">
        <v>371</v>
      </c>
      <c r="H70" t="s">
        <v>373</v>
      </c>
      <c r="I70" t="s">
        <v>26</v>
      </c>
      <c r="J70">
        <v>0</v>
      </c>
      <c r="K70">
        <v>22</v>
      </c>
      <c r="L70" s="2">
        <v>3.5000000000000001E-3</v>
      </c>
      <c r="M70">
        <v>0.02</v>
      </c>
      <c r="N70" s="2">
        <v>7.6999999999999999E-2</v>
      </c>
      <c r="O70" s="2">
        <v>0.44</v>
      </c>
    </row>
    <row r="71" spans="2:15">
      <c r="B71" t="s">
        <v>30</v>
      </c>
      <c r="C71" t="s">
        <v>31</v>
      </c>
      <c r="D71" t="s">
        <v>115</v>
      </c>
      <c r="E71" t="s">
        <v>116</v>
      </c>
      <c r="F71" t="s">
        <v>10</v>
      </c>
      <c r="G71" t="s">
        <v>115</v>
      </c>
      <c r="H71" t="s">
        <v>117</v>
      </c>
      <c r="I71" t="s">
        <v>26</v>
      </c>
      <c r="J71">
        <v>0</v>
      </c>
      <c r="K71">
        <v>2</v>
      </c>
      <c r="L71" s="2">
        <v>3.5000000000000001E-3</v>
      </c>
      <c r="M71">
        <v>0.02</v>
      </c>
      <c r="N71" s="2">
        <v>7.0000000000000001E-3</v>
      </c>
      <c r="O71" s="2">
        <v>0.04</v>
      </c>
    </row>
    <row r="72" spans="2:15">
      <c r="B72" t="s">
        <v>30</v>
      </c>
      <c r="C72" t="s">
        <v>31</v>
      </c>
      <c r="D72" t="s">
        <v>196</v>
      </c>
      <c r="E72" t="s">
        <v>197</v>
      </c>
      <c r="F72" t="s">
        <v>10</v>
      </c>
      <c r="G72" t="s">
        <v>196</v>
      </c>
      <c r="H72" t="s">
        <v>198</v>
      </c>
      <c r="I72" t="s">
        <v>26</v>
      </c>
      <c r="J72">
        <v>0</v>
      </c>
      <c r="K72">
        <v>123</v>
      </c>
      <c r="L72" s="2">
        <v>3.5000000000000001E-3</v>
      </c>
      <c r="M72">
        <v>0.02</v>
      </c>
      <c r="N72" s="2">
        <v>0.43049999999999999</v>
      </c>
      <c r="O72" s="2">
        <v>2.46</v>
      </c>
    </row>
    <row r="73" spans="2:15">
      <c r="B73" t="s">
        <v>30</v>
      </c>
      <c r="C73" t="s">
        <v>31</v>
      </c>
      <c r="D73" t="s">
        <v>199</v>
      </c>
      <c r="E73" t="s">
        <v>200</v>
      </c>
      <c r="F73" t="s">
        <v>10</v>
      </c>
      <c r="G73" t="s">
        <v>199</v>
      </c>
      <c r="H73" t="s">
        <v>201</v>
      </c>
      <c r="I73" t="s">
        <v>26</v>
      </c>
      <c r="J73">
        <v>0</v>
      </c>
      <c r="K73">
        <v>2752</v>
      </c>
      <c r="L73" s="2">
        <v>3.5000000000000001E-3</v>
      </c>
      <c r="M73">
        <v>0.02</v>
      </c>
      <c r="N73" s="2">
        <v>9.6319999999999997</v>
      </c>
      <c r="O73" s="2">
        <v>55.04</v>
      </c>
    </row>
    <row r="74" spans="2:15">
      <c r="B74" t="s">
        <v>30</v>
      </c>
      <c r="C74" t="s">
        <v>31</v>
      </c>
      <c r="D74" t="s">
        <v>202</v>
      </c>
      <c r="E74" t="s">
        <v>203</v>
      </c>
      <c r="F74" t="s">
        <v>10</v>
      </c>
      <c r="G74" t="s">
        <v>202</v>
      </c>
      <c r="H74" t="s">
        <v>204</v>
      </c>
      <c r="I74" t="s">
        <v>26</v>
      </c>
      <c r="J74">
        <v>0</v>
      </c>
      <c r="K74">
        <v>2</v>
      </c>
      <c r="L74" s="2">
        <v>3.5000000000000001E-3</v>
      </c>
      <c r="M74">
        <v>0.02</v>
      </c>
      <c r="N74" s="2">
        <v>7.0000000000000001E-3</v>
      </c>
      <c r="O74" s="2">
        <v>0.04</v>
      </c>
    </row>
    <row r="75" spans="2:15">
      <c r="B75" t="s">
        <v>30</v>
      </c>
      <c r="C75" t="s">
        <v>31</v>
      </c>
      <c r="D75" t="s">
        <v>205</v>
      </c>
      <c r="E75" t="s">
        <v>206</v>
      </c>
      <c r="F75" t="s">
        <v>10</v>
      </c>
      <c r="G75" t="s">
        <v>205</v>
      </c>
      <c r="H75" t="s">
        <v>207</v>
      </c>
      <c r="I75" t="s">
        <v>26</v>
      </c>
      <c r="J75">
        <v>0</v>
      </c>
      <c r="K75">
        <v>1</v>
      </c>
      <c r="L75" s="2">
        <v>3.5000000000000001E-3</v>
      </c>
      <c r="M75">
        <v>0.02</v>
      </c>
      <c r="N75" s="2">
        <v>3.5000000000000001E-3</v>
      </c>
      <c r="O75" s="2">
        <v>0.02</v>
      </c>
    </row>
    <row r="76" spans="2:15">
      <c r="B76" t="s">
        <v>30</v>
      </c>
      <c r="C76" t="s">
        <v>31</v>
      </c>
      <c r="D76" t="s">
        <v>208</v>
      </c>
      <c r="E76" t="s">
        <v>209</v>
      </c>
      <c r="F76" t="s">
        <v>10</v>
      </c>
      <c r="G76" t="s">
        <v>208</v>
      </c>
      <c r="H76" t="s">
        <v>210</v>
      </c>
      <c r="I76" t="s">
        <v>26</v>
      </c>
      <c r="J76">
        <v>0</v>
      </c>
      <c r="K76">
        <v>1</v>
      </c>
      <c r="L76" s="2">
        <v>3.5000000000000001E-3</v>
      </c>
      <c r="M76">
        <v>0.02</v>
      </c>
      <c r="N76" s="2">
        <v>3.5000000000000001E-3</v>
      </c>
      <c r="O76" s="2">
        <v>0.02</v>
      </c>
    </row>
    <row r="77" spans="2:15">
      <c r="B77" t="s">
        <v>30</v>
      </c>
      <c r="C77" t="s">
        <v>31</v>
      </c>
      <c r="D77" t="s">
        <v>211</v>
      </c>
      <c r="E77" t="s">
        <v>212</v>
      </c>
      <c r="F77" t="s">
        <v>10</v>
      </c>
      <c r="G77" t="s">
        <v>211</v>
      </c>
      <c r="H77" t="s">
        <v>213</v>
      </c>
      <c r="I77" t="s">
        <v>26</v>
      </c>
      <c r="J77">
        <v>0</v>
      </c>
      <c r="K77">
        <v>14</v>
      </c>
      <c r="L77" s="2">
        <v>3.5000000000000001E-3</v>
      </c>
      <c r="M77">
        <v>0.02</v>
      </c>
      <c r="N77" s="2">
        <v>4.9000000000000002E-2</v>
      </c>
      <c r="O77" s="2">
        <v>0.28000000000000003</v>
      </c>
    </row>
    <row r="78" spans="2:15">
      <c r="B78" t="s">
        <v>30</v>
      </c>
      <c r="C78" t="s">
        <v>31</v>
      </c>
      <c r="D78" t="s">
        <v>214</v>
      </c>
      <c r="E78" t="s">
        <v>215</v>
      </c>
      <c r="F78" t="s">
        <v>10</v>
      </c>
      <c r="G78" t="s">
        <v>214</v>
      </c>
      <c r="H78" t="s">
        <v>216</v>
      </c>
      <c r="I78" t="s">
        <v>26</v>
      </c>
      <c r="J78">
        <v>0</v>
      </c>
      <c r="K78">
        <v>6</v>
      </c>
      <c r="L78" s="2">
        <v>3.5000000000000001E-3</v>
      </c>
      <c r="M78">
        <v>0.02</v>
      </c>
      <c r="N78" s="2">
        <v>2.1000000000000001E-2</v>
      </c>
      <c r="O78" s="2">
        <v>0.12</v>
      </c>
    </row>
    <row r="79" spans="2:15">
      <c r="B79" t="s">
        <v>30</v>
      </c>
      <c r="C79" t="s">
        <v>31</v>
      </c>
      <c r="D79" t="s">
        <v>374</v>
      </c>
      <c r="E79" t="s">
        <v>375</v>
      </c>
      <c r="F79" t="s">
        <v>10</v>
      </c>
      <c r="G79" t="s">
        <v>374</v>
      </c>
      <c r="H79" t="s">
        <v>376</v>
      </c>
      <c r="I79" t="s">
        <v>26</v>
      </c>
      <c r="J79">
        <v>0</v>
      </c>
      <c r="K79">
        <v>1</v>
      </c>
      <c r="L79" s="2">
        <v>3.5000000000000001E-3</v>
      </c>
      <c r="M79">
        <v>0.02</v>
      </c>
      <c r="N79" s="2">
        <v>3.5000000000000001E-3</v>
      </c>
      <c r="O79" s="2">
        <v>0.02</v>
      </c>
    </row>
    <row r="80" spans="2:15">
      <c r="B80" t="s">
        <v>30</v>
      </c>
      <c r="C80" t="s">
        <v>31</v>
      </c>
      <c r="D80" t="s">
        <v>377</v>
      </c>
      <c r="E80" t="s">
        <v>378</v>
      </c>
      <c r="F80" t="s">
        <v>10</v>
      </c>
      <c r="G80" t="s">
        <v>377</v>
      </c>
      <c r="H80" t="s">
        <v>379</v>
      </c>
      <c r="I80" t="s">
        <v>26</v>
      </c>
      <c r="J80">
        <v>0</v>
      </c>
      <c r="K80">
        <v>1</v>
      </c>
      <c r="L80" s="2">
        <v>3.5000000000000001E-3</v>
      </c>
      <c r="M80">
        <v>0.02</v>
      </c>
      <c r="N80" s="2">
        <v>3.5000000000000001E-3</v>
      </c>
      <c r="O80" s="2">
        <v>0.02</v>
      </c>
    </row>
    <row r="81" spans="2:15">
      <c r="B81" t="s">
        <v>30</v>
      </c>
      <c r="C81" t="s">
        <v>31</v>
      </c>
      <c r="D81" t="s">
        <v>380</v>
      </c>
      <c r="E81" t="s">
        <v>381</v>
      </c>
      <c r="F81" t="s">
        <v>10</v>
      </c>
      <c r="G81" t="s">
        <v>380</v>
      </c>
      <c r="H81" t="s">
        <v>382</v>
      </c>
      <c r="I81" t="s">
        <v>26</v>
      </c>
      <c r="J81">
        <v>0</v>
      </c>
      <c r="K81">
        <v>1</v>
      </c>
      <c r="L81" s="2">
        <v>3.5000000000000001E-3</v>
      </c>
      <c r="M81">
        <v>0.02</v>
      </c>
      <c r="N81" s="2">
        <v>3.5000000000000001E-3</v>
      </c>
      <c r="O81" s="2">
        <v>0.02</v>
      </c>
    </row>
    <row r="82" spans="2:15">
      <c r="B82" t="s">
        <v>30</v>
      </c>
      <c r="C82" t="s">
        <v>31</v>
      </c>
      <c r="D82" t="s">
        <v>383</v>
      </c>
      <c r="E82" t="s">
        <v>384</v>
      </c>
      <c r="F82" t="s">
        <v>10</v>
      </c>
      <c r="G82" t="s">
        <v>383</v>
      </c>
      <c r="H82" t="s">
        <v>385</v>
      </c>
      <c r="I82" t="s">
        <v>26</v>
      </c>
      <c r="J82">
        <v>0</v>
      </c>
      <c r="K82">
        <v>65</v>
      </c>
      <c r="L82" s="2">
        <v>3.5000000000000001E-3</v>
      </c>
      <c r="M82">
        <v>0.02</v>
      </c>
      <c r="N82" s="2">
        <v>0.22750000000000001</v>
      </c>
      <c r="O82" s="2">
        <v>1.3</v>
      </c>
    </row>
    <row r="83" spans="2:15">
      <c r="B83" t="s">
        <v>30</v>
      </c>
      <c r="C83" t="s">
        <v>31</v>
      </c>
      <c r="D83" t="s">
        <v>386</v>
      </c>
      <c r="E83" t="s">
        <v>387</v>
      </c>
      <c r="F83" t="s">
        <v>10</v>
      </c>
      <c r="G83" t="s">
        <v>386</v>
      </c>
      <c r="H83" t="s">
        <v>388</v>
      </c>
      <c r="I83" t="s">
        <v>26</v>
      </c>
      <c r="J83">
        <v>0</v>
      </c>
      <c r="K83">
        <v>2</v>
      </c>
      <c r="L83" s="2">
        <v>3.5000000000000001E-3</v>
      </c>
      <c r="M83">
        <v>0.02</v>
      </c>
      <c r="N83" s="2">
        <v>7.0000000000000001E-3</v>
      </c>
      <c r="O83" s="2">
        <v>0.04</v>
      </c>
    </row>
    <row r="84" spans="2:15">
      <c r="B84" t="s">
        <v>30</v>
      </c>
      <c r="C84" t="s">
        <v>31</v>
      </c>
      <c r="D84" t="s">
        <v>389</v>
      </c>
      <c r="E84" t="s">
        <v>390</v>
      </c>
      <c r="F84" t="s">
        <v>10</v>
      </c>
      <c r="G84" t="s">
        <v>389</v>
      </c>
      <c r="H84" t="s">
        <v>391</v>
      </c>
      <c r="I84" t="s">
        <v>26</v>
      </c>
      <c r="J84">
        <v>0</v>
      </c>
      <c r="K84">
        <v>96</v>
      </c>
      <c r="L84" s="2">
        <v>3.5000000000000001E-3</v>
      </c>
      <c r="M84">
        <v>0.02</v>
      </c>
      <c r="N84" s="2">
        <v>0.33600000000000002</v>
      </c>
      <c r="O84" s="2">
        <v>1.92</v>
      </c>
    </row>
    <row r="85" spans="2:15">
      <c r="B85" t="s">
        <v>30</v>
      </c>
      <c r="C85" t="s">
        <v>31</v>
      </c>
      <c r="D85" t="s">
        <v>392</v>
      </c>
      <c r="E85" t="s">
        <v>393</v>
      </c>
      <c r="F85" t="s">
        <v>10</v>
      </c>
      <c r="G85" t="s">
        <v>392</v>
      </c>
      <c r="H85" t="s">
        <v>394</v>
      </c>
      <c r="I85" t="s">
        <v>26</v>
      </c>
      <c r="J85">
        <v>0</v>
      </c>
      <c r="K85">
        <v>2679</v>
      </c>
      <c r="L85" s="2">
        <v>3.5000000000000001E-3</v>
      </c>
      <c r="M85">
        <v>0.02</v>
      </c>
      <c r="N85" s="2">
        <v>9.3765000000000001</v>
      </c>
      <c r="O85" s="2">
        <v>53.58</v>
      </c>
    </row>
    <row r="86" spans="2:15">
      <c r="B86" t="s">
        <v>30</v>
      </c>
      <c r="C86" t="s">
        <v>31</v>
      </c>
      <c r="D86" t="s">
        <v>395</v>
      </c>
      <c r="E86" t="s">
        <v>396</v>
      </c>
      <c r="F86" t="s">
        <v>10</v>
      </c>
      <c r="G86" t="s">
        <v>395</v>
      </c>
      <c r="H86" t="s">
        <v>397</v>
      </c>
      <c r="I86" t="s">
        <v>26</v>
      </c>
      <c r="J86">
        <v>0</v>
      </c>
      <c r="K86">
        <v>16288</v>
      </c>
      <c r="L86" s="2">
        <v>3.5000000000000001E-3</v>
      </c>
      <c r="M86">
        <v>0.02</v>
      </c>
      <c r="N86" s="2">
        <v>57.008000000000003</v>
      </c>
      <c r="O86" s="2">
        <v>325.76</v>
      </c>
    </row>
    <row r="87" spans="2:15">
      <c r="B87" t="s">
        <v>30</v>
      </c>
      <c r="C87" t="s">
        <v>31</v>
      </c>
      <c r="D87" t="s">
        <v>398</v>
      </c>
      <c r="E87" t="s">
        <v>399</v>
      </c>
      <c r="F87" t="s">
        <v>10</v>
      </c>
      <c r="G87" t="s">
        <v>398</v>
      </c>
      <c r="H87" t="s">
        <v>400</v>
      </c>
      <c r="I87" t="s">
        <v>26</v>
      </c>
      <c r="J87">
        <v>0</v>
      </c>
      <c r="K87">
        <v>142</v>
      </c>
      <c r="L87" s="2">
        <v>3.5000000000000001E-3</v>
      </c>
      <c r="M87">
        <v>0.02</v>
      </c>
      <c r="N87" s="2">
        <v>0.497</v>
      </c>
      <c r="O87" s="2">
        <v>2.84</v>
      </c>
    </row>
    <row r="88" spans="2:15">
      <c r="B88" t="s">
        <v>30</v>
      </c>
      <c r="C88" t="s">
        <v>31</v>
      </c>
      <c r="D88" t="s">
        <v>401</v>
      </c>
      <c r="E88" t="s">
        <v>402</v>
      </c>
      <c r="F88" t="s">
        <v>10</v>
      </c>
      <c r="G88" t="s">
        <v>401</v>
      </c>
      <c r="H88" t="s">
        <v>403</v>
      </c>
      <c r="I88" t="s">
        <v>26</v>
      </c>
      <c r="J88">
        <v>0</v>
      </c>
      <c r="K88">
        <v>10</v>
      </c>
      <c r="L88" s="2">
        <v>3.5000000000000001E-3</v>
      </c>
      <c r="M88">
        <v>0.02</v>
      </c>
      <c r="N88" s="2">
        <v>3.5000000000000003E-2</v>
      </c>
      <c r="O88" s="2">
        <v>0.2</v>
      </c>
    </row>
    <row r="89" spans="2:15">
      <c r="B89" t="s">
        <v>30</v>
      </c>
      <c r="C89" t="s">
        <v>31</v>
      </c>
      <c r="D89" t="s">
        <v>404</v>
      </c>
      <c r="E89" t="s">
        <v>405</v>
      </c>
      <c r="F89" t="s">
        <v>10</v>
      </c>
      <c r="G89" t="s">
        <v>404</v>
      </c>
      <c r="H89" t="s">
        <v>406</v>
      </c>
      <c r="I89" t="s">
        <v>26</v>
      </c>
      <c r="J89">
        <v>0</v>
      </c>
      <c r="K89">
        <v>2274</v>
      </c>
      <c r="L89" s="2">
        <v>3.5000000000000001E-3</v>
      </c>
      <c r="M89">
        <v>0.02</v>
      </c>
      <c r="N89" s="2">
        <v>7.9590000000000005</v>
      </c>
      <c r="O89" s="2">
        <v>45.480000000000004</v>
      </c>
    </row>
    <row r="90" spans="2:15">
      <c r="B90" t="s">
        <v>30</v>
      </c>
      <c r="C90" t="s">
        <v>31</v>
      </c>
      <c r="D90" t="s">
        <v>407</v>
      </c>
      <c r="E90" t="s">
        <v>408</v>
      </c>
      <c r="F90" t="s">
        <v>10</v>
      </c>
      <c r="G90" t="s">
        <v>407</v>
      </c>
      <c r="H90" t="s">
        <v>409</v>
      </c>
      <c r="I90" t="s">
        <v>26</v>
      </c>
      <c r="J90">
        <v>0</v>
      </c>
      <c r="K90">
        <v>504</v>
      </c>
      <c r="L90" s="2">
        <v>3.5000000000000001E-3</v>
      </c>
      <c r="M90">
        <v>0.02</v>
      </c>
      <c r="N90" s="2">
        <v>1.764</v>
      </c>
      <c r="O90" s="2">
        <v>10.08</v>
      </c>
    </row>
    <row r="91" spans="2:15">
      <c r="B91" t="s">
        <v>30</v>
      </c>
      <c r="C91" t="s">
        <v>31</v>
      </c>
      <c r="D91" t="s">
        <v>410</v>
      </c>
      <c r="E91" t="s">
        <v>411</v>
      </c>
      <c r="F91" t="s">
        <v>10</v>
      </c>
      <c r="G91" t="s">
        <v>410</v>
      </c>
      <c r="H91" t="s">
        <v>412</v>
      </c>
      <c r="I91" t="s">
        <v>26</v>
      </c>
      <c r="J91">
        <v>0</v>
      </c>
      <c r="K91">
        <v>16124</v>
      </c>
      <c r="L91" s="2">
        <v>3.5000000000000001E-3</v>
      </c>
      <c r="M91">
        <v>0.02</v>
      </c>
      <c r="N91" s="2">
        <v>56.434000000000005</v>
      </c>
      <c r="O91" s="2">
        <v>322.48</v>
      </c>
    </row>
    <row r="92" spans="2:15">
      <c r="B92" t="s">
        <v>30</v>
      </c>
      <c r="C92" t="s">
        <v>31</v>
      </c>
      <c r="D92" t="s">
        <v>413</v>
      </c>
      <c r="E92" t="s">
        <v>414</v>
      </c>
      <c r="F92" t="s">
        <v>10</v>
      </c>
      <c r="G92" t="s">
        <v>413</v>
      </c>
      <c r="H92" t="s">
        <v>415</v>
      </c>
      <c r="I92" t="s">
        <v>26</v>
      </c>
      <c r="J92">
        <v>0</v>
      </c>
      <c r="K92">
        <v>9</v>
      </c>
      <c r="L92" s="2">
        <v>3.5000000000000001E-3</v>
      </c>
      <c r="M92">
        <v>0.02</v>
      </c>
      <c r="N92" s="2">
        <v>3.15E-2</v>
      </c>
      <c r="O92" s="2">
        <v>0.18</v>
      </c>
    </row>
    <row r="93" spans="2:15">
      <c r="B93" t="s">
        <v>30</v>
      </c>
      <c r="C93" t="s">
        <v>31</v>
      </c>
      <c r="D93" t="s">
        <v>416</v>
      </c>
      <c r="E93" t="s">
        <v>417</v>
      </c>
      <c r="F93" t="s">
        <v>10</v>
      </c>
      <c r="G93" t="s">
        <v>416</v>
      </c>
      <c r="H93" t="s">
        <v>418</v>
      </c>
      <c r="I93" t="s">
        <v>26</v>
      </c>
      <c r="J93">
        <v>0</v>
      </c>
      <c r="K93">
        <v>137</v>
      </c>
      <c r="L93" s="2">
        <v>3.5000000000000001E-3</v>
      </c>
      <c r="M93">
        <v>0.02</v>
      </c>
      <c r="N93" s="2">
        <v>0.47950000000000004</v>
      </c>
      <c r="O93" s="2">
        <v>2.74</v>
      </c>
    </row>
    <row r="94" spans="2:15">
      <c r="B94" t="s">
        <v>30</v>
      </c>
      <c r="C94" t="s">
        <v>31</v>
      </c>
      <c r="D94" t="s">
        <v>419</v>
      </c>
      <c r="E94" t="s">
        <v>420</v>
      </c>
      <c r="F94" t="s">
        <v>10</v>
      </c>
      <c r="G94" t="s">
        <v>419</v>
      </c>
      <c r="H94" t="s">
        <v>421</v>
      </c>
      <c r="I94" t="s">
        <v>26</v>
      </c>
      <c r="J94">
        <v>0</v>
      </c>
      <c r="K94">
        <v>1</v>
      </c>
      <c r="L94" s="2">
        <v>3.5000000000000001E-3</v>
      </c>
      <c r="M94">
        <v>0.02</v>
      </c>
      <c r="N94" s="2">
        <v>3.5000000000000001E-3</v>
      </c>
      <c r="O94" s="2">
        <v>0.02</v>
      </c>
    </row>
    <row r="95" spans="2:15">
      <c r="B95" t="s">
        <v>30</v>
      </c>
      <c r="C95" t="s">
        <v>31</v>
      </c>
      <c r="D95" t="s">
        <v>49</v>
      </c>
      <c r="E95" t="s">
        <v>50</v>
      </c>
      <c r="F95" t="s">
        <v>10</v>
      </c>
      <c r="G95" t="s">
        <v>49</v>
      </c>
      <c r="H95" t="s">
        <v>51</v>
      </c>
      <c r="I95" t="s">
        <v>26</v>
      </c>
      <c r="J95">
        <v>0</v>
      </c>
      <c r="K95">
        <v>2</v>
      </c>
      <c r="L95" s="2">
        <v>3.5000000000000001E-3</v>
      </c>
      <c r="M95">
        <v>0.02</v>
      </c>
      <c r="N95" s="2">
        <v>7.0000000000000001E-3</v>
      </c>
      <c r="O95" s="2">
        <v>0.04</v>
      </c>
    </row>
    <row r="96" spans="2:15">
      <c r="B96" t="s">
        <v>30</v>
      </c>
      <c r="C96" t="s">
        <v>31</v>
      </c>
      <c r="D96" t="s">
        <v>422</v>
      </c>
      <c r="E96" t="s">
        <v>423</v>
      </c>
      <c r="F96" t="s">
        <v>10</v>
      </c>
      <c r="G96" t="s">
        <v>422</v>
      </c>
      <c r="H96" t="s">
        <v>424</v>
      </c>
      <c r="I96" t="s">
        <v>26</v>
      </c>
      <c r="J96">
        <v>0</v>
      </c>
      <c r="K96">
        <v>1</v>
      </c>
      <c r="L96" s="2">
        <v>3.5000000000000001E-3</v>
      </c>
      <c r="M96">
        <v>0.02</v>
      </c>
      <c r="N96" s="2">
        <v>3.5000000000000001E-3</v>
      </c>
      <c r="O96" s="2">
        <v>0.02</v>
      </c>
    </row>
    <row r="97" spans="2:15">
      <c r="B97" t="s">
        <v>30</v>
      </c>
      <c r="C97" t="s">
        <v>31</v>
      </c>
      <c r="D97" t="s">
        <v>425</v>
      </c>
      <c r="E97" t="s">
        <v>426</v>
      </c>
      <c r="F97" t="s">
        <v>10</v>
      </c>
      <c r="G97" t="s">
        <v>425</v>
      </c>
      <c r="H97" t="s">
        <v>427</v>
      </c>
      <c r="I97" t="s">
        <v>26</v>
      </c>
      <c r="J97">
        <v>0</v>
      </c>
      <c r="K97">
        <v>1</v>
      </c>
      <c r="L97" s="2">
        <v>3.5000000000000001E-3</v>
      </c>
      <c r="M97">
        <v>0.02</v>
      </c>
      <c r="N97" s="2">
        <v>3.5000000000000001E-3</v>
      </c>
      <c r="O97" s="2">
        <v>0.02</v>
      </c>
    </row>
    <row r="98" spans="2:15">
      <c r="B98" t="s">
        <v>30</v>
      </c>
      <c r="C98" t="s">
        <v>31</v>
      </c>
      <c r="D98" t="s">
        <v>428</v>
      </c>
      <c r="E98" t="s">
        <v>429</v>
      </c>
      <c r="F98" t="s">
        <v>10</v>
      </c>
      <c r="G98" t="s">
        <v>428</v>
      </c>
      <c r="H98" t="s">
        <v>430</v>
      </c>
      <c r="I98" t="s">
        <v>26</v>
      </c>
      <c r="J98">
        <v>0</v>
      </c>
      <c r="K98">
        <v>1</v>
      </c>
      <c r="L98" s="2">
        <v>3.5000000000000001E-3</v>
      </c>
      <c r="M98">
        <v>0.02</v>
      </c>
      <c r="N98" s="2">
        <v>3.5000000000000001E-3</v>
      </c>
      <c r="O98" s="2">
        <v>0.02</v>
      </c>
    </row>
    <row r="99" spans="2:15">
      <c r="B99" t="s">
        <v>30</v>
      </c>
      <c r="C99" t="s">
        <v>31</v>
      </c>
      <c r="D99" t="s">
        <v>431</v>
      </c>
      <c r="E99" t="s">
        <v>432</v>
      </c>
      <c r="F99" t="s">
        <v>10</v>
      </c>
      <c r="G99" t="s">
        <v>431</v>
      </c>
      <c r="H99" t="s">
        <v>433</v>
      </c>
      <c r="I99" t="s">
        <v>26</v>
      </c>
      <c r="J99">
        <v>0</v>
      </c>
      <c r="K99">
        <v>25094</v>
      </c>
      <c r="L99" s="2">
        <v>3.5000000000000001E-3</v>
      </c>
      <c r="M99">
        <v>0.02</v>
      </c>
      <c r="N99" s="2">
        <v>87.829000000000008</v>
      </c>
      <c r="O99" s="2">
        <v>501.88</v>
      </c>
    </row>
    <row r="100" spans="2:15">
      <c r="B100" t="s">
        <v>30</v>
      </c>
      <c r="C100" t="s">
        <v>31</v>
      </c>
      <c r="D100" t="s">
        <v>118</v>
      </c>
      <c r="E100" t="s">
        <v>119</v>
      </c>
      <c r="F100" t="s">
        <v>10</v>
      </c>
      <c r="G100" t="s">
        <v>118</v>
      </c>
      <c r="H100" t="s">
        <v>120</v>
      </c>
      <c r="I100" t="s">
        <v>26</v>
      </c>
      <c r="J100">
        <v>0</v>
      </c>
      <c r="K100">
        <v>11</v>
      </c>
      <c r="L100" s="2">
        <v>3.5000000000000001E-3</v>
      </c>
      <c r="M100">
        <v>0.02</v>
      </c>
      <c r="N100" s="2">
        <v>3.85E-2</v>
      </c>
      <c r="O100" s="2">
        <v>0.22</v>
      </c>
    </row>
    <row r="101" spans="2:15">
      <c r="B101" t="s">
        <v>30</v>
      </c>
      <c r="C101" t="s">
        <v>31</v>
      </c>
      <c r="D101" t="s">
        <v>121</v>
      </c>
      <c r="E101" t="s">
        <v>122</v>
      </c>
      <c r="F101" t="s">
        <v>10</v>
      </c>
      <c r="G101" t="s">
        <v>121</v>
      </c>
      <c r="H101" t="s">
        <v>123</v>
      </c>
      <c r="I101" t="s">
        <v>26</v>
      </c>
      <c r="J101">
        <v>0</v>
      </c>
      <c r="K101">
        <v>2228</v>
      </c>
      <c r="L101" s="2">
        <v>3.5000000000000001E-3</v>
      </c>
      <c r="M101">
        <v>0.02</v>
      </c>
      <c r="N101" s="2">
        <v>7.798</v>
      </c>
      <c r="O101" s="2">
        <v>44.56</v>
      </c>
    </row>
    <row r="102" spans="2:15">
      <c r="B102" t="s">
        <v>30</v>
      </c>
      <c r="C102" t="s">
        <v>31</v>
      </c>
      <c r="D102" t="s">
        <v>124</v>
      </c>
      <c r="E102" t="s">
        <v>125</v>
      </c>
      <c r="F102" t="s">
        <v>10</v>
      </c>
      <c r="G102" t="s">
        <v>124</v>
      </c>
      <c r="H102" t="s">
        <v>126</v>
      </c>
      <c r="I102" t="s">
        <v>26</v>
      </c>
      <c r="J102">
        <v>0</v>
      </c>
      <c r="K102">
        <v>10</v>
      </c>
      <c r="L102" s="2">
        <v>3.5000000000000001E-3</v>
      </c>
      <c r="M102">
        <v>0.02</v>
      </c>
      <c r="N102" s="2">
        <v>3.5000000000000003E-2</v>
      </c>
      <c r="O102" s="2">
        <v>0.2</v>
      </c>
    </row>
    <row r="103" spans="2:15">
      <c r="B103" t="s">
        <v>30</v>
      </c>
      <c r="C103" t="s">
        <v>31</v>
      </c>
      <c r="D103" t="s">
        <v>434</v>
      </c>
      <c r="E103" t="s">
        <v>435</v>
      </c>
      <c r="F103" t="s">
        <v>10</v>
      </c>
      <c r="G103" t="s">
        <v>434</v>
      </c>
      <c r="H103" t="s">
        <v>436</v>
      </c>
      <c r="I103" t="s">
        <v>26</v>
      </c>
      <c r="J103">
        <v>0</v>
      </c>
      <c r="K103">
        <v>15</v>
      </c>
      <c r="L103" s="2">
        <v>3.5000000000000001E-3</v>
      </c>
      <c r="M103">
        <v>0.02</v>
      </c>
      <c r="N103" s="2">
        <v>5.2499999999999998E-2</v>
      </c>
      <c r="O103" s="2">
        <v>0.3</v>
      </c>
    </row>
    <row r="104" spans="2:15">
      <c r="B104" t="s">
        <v>30</v>
      </c>
      <c r="C104" t="s">
        <v>31</v>
      </c>
      <c r="D104" t="s">
        <v>437</v>
      </c>
      <c r="E104" t="s">
        <v>438</v>
      </c>
      <c r="F104" t="s">
        <v>10</v>
      </c>
      <c r="G104" t="s">
        <v>437</v>
      </c>
      <c r="H104" t="s">
        <v>439</v>
      </c>
      <c r="I104" t="s">
        <v>26</v>
      </c>
      <c r="J104">
        <v>0</v>
      </c>
      <c r="K104">
        <v>1</v>
      </c>
      <c r="L104" s="2">
        <v>3.5000000000000001E-3</v>
      </c>
      <c r="M104">
        <v>0.02</v>
      </c>
      <c r="N104" s="2">
        <v>3.5000000000000001E-3</v>
      </c>
      <c r="O104" s="2">
        <v>0.02</v>
      </c>
    </row>
    <row r="105" spans="2:15">
      <c r="B105" t="s">
        <v>30</v>
      </c>
      <c r="C105" t="s">
        <v>31</v>
      </c>
      <c r="D105" t="s">
        <v>440</v>
      </c>
      <c r="E105" t="s">
        <v>441</v>
      </c>
      <c r="F105" t="s">
        <v>10</v>
      </c>
      <c r="G105" t="s">
        <v>440</v>
      </c>
      <c r="H105" t="s">
        <v>442</v>
      </c>
      <c r="I105" t="s">
        <v>26</v>
      </c>
      <c r="J105">
        <v>0</v>
      </c>
      <c r="K105">
        <v>8</v>
      </c>
      <c r="L105" s="2">
        <v>3.5000000000000001E-3</v>
      </c>
      <c r="M105">
        <v>0.02</v>
      </c>
      <c r="N105" s="2">
        <v>2.8000000000000001E-2</v>
      </c>
      <c r="O105" s="2">
        <v>0.16</v>
      </c>
    </row>
    <row r="106" spans="2:15">
      <c r="B106" t="s">
        <v>30</v>
      </c>
      <c r="C106" t="s">
        <v>31</v>
      </c>
      <c r="D106" t="s">
        <v>443</v>
      </c>
      <c r="E106" t="s">
        <v>444</v>
      </c>
      <c r="F106" t="s">
        <v>10</v>
      </c>
      <c r="G106" t="s">
        <v>443</v>
      </c>
      <c r="H106" t="s">
        <v>445</v>
      </c>
      <c r="I106" t="s">
        <v>26</v>
      </c>
      <c r="J106">
        <v>0</v>
      </c>
      <c r="K106">
        <v>2</v>
      </c>
      <c r="L106" s="2">
        <v>3.5000000000000001E-3</v>
      </c>
      <c r="M106">
        <v>0.02</v>
      </c>
      <c r="N106" s="2">
        <v>7.0000000000000001E-3</v>
      </c>
      <c r="O106" s="2">
        <v>0.04</v>
      </c>
    </row>
    <row r="107" spans="2:15">
      <c r="B107" t="s">
        <v>30</v>
      </c>
      <c r="C107" t="s">
        <v>31</v>
      </c>
      <c r="D107" t="s">
        <v>446</v>
      </c>
      <c r="E107" t="s">
        <v>447</v>
      </c>
      <c r="F107" t="s">
        <v>10</v>
      </c>
      <c r="G107" t="s">
        <v>446</v>
      </c>
      <c r="H107" t="s">
        <v>448</v>
      </c>
      <c r="I107" t="s">
        <v>26</v>
      </c>
      <c r="J107">
        <v>0</v>
      </c>
      <c r="K107">
        <v>1</v>
      </c>
      <c r="L107" s="2">
        <v>3.5000000000000001E-3</v>
      </c>
      <c r="M107">
        <v>0.02</v>
      </c>
      <c r="N107" s="2">
        <v>3.5000000000000001E-3</v>
      </c>
      <c r="O107" s="2">
        <v>0.02</v>
      </c>
    </row>
    <row r="108" spans="2:15">
      <c r="B108" t="s">
        <v>30</v>
      </c>
      <c r="C108" t="s">
        <v>31</v>
      </c>
      <c r="D108" t="s">
        <v>449</v>
      </c>
      <c r="E108" t="s">
        <v>450</v>
      </c>
      <c r="F108" t="s">
        <v>10</v>
      </c>
      <c r="G108" t="s">
        <v>449</v>
      </c>
      <c r="H108" t="s">
        <v>451</v>
      </c>
      <c r="I108" t="s">
        <v>26</v>
      </c>
      <c r="J108">
        <v>0</v>
      </c>
      <c r="K108">
        <v>1</v>
      </c>
      <c r="L108" s="2">
        <v>3.5000000000000001E-3</v>
      </c>
      <c r="M108">
        <v>0.02</v>
      </c>
      <c r="N108" s="2">
        <v>3.5000000000000001E-3</v>
      </c>
      <c r="O108" s="2">
        <v>0.02</v>
      </c>
    </row>
    <row r="109" spans="2:15">
      <c r="B109" t="s">
        <v>30</v>
      </c>
      <c r="C109" t="s">
        <v>31</v>
      </c>
      <c r="D109" t="s">
        <v>452</v>
      </c>
      <c r="E109" t="s">
        <v>453</v>
      </c>
      <c r="F109" t="s">
        <v>10</v>
      </c>
      <c r="G109" t="s">
        <v>452</v>
      </c>
      <c r="H109" t="s">
        <v>454</v>
      </c>
      <c r="I109" t="s">
        <v>26</v>
      </c>
      <c r="J109">
        <v>0</v>
      </c>
      <c r="K109">
        <v>1</v>
      </c>
      <c r="L109" s="2">
        <v>3.5000000000000001E-3</v>
      </c>
      <c r="M109">
        <v>0.02</v>
      </c>
      <c r="N109" s="2">
        <v>3.5000000000000001E-3</v>
      </c>
      <c r="O109" s="2">
        <v>0.02</v>
      </c>
    </row>
    <row r="110" spans="2:15">
      <c r="B110" t="s">
        <v>30</v>
      </c>
      <c r="C110" t="s">
        <v>31</v>
      </c>
      <c r="D110" t="s">
        <v>455</v>
      </c>
      <c r="E110" t="s">
        <v>456</v>
      </c>
      <c r="F110" t="s">
        <v>10</v>
      </c>
      <c r="G110" t="s">
        <v>455</v>
      </c>
      <c r="H110" t="s">
        <v>457</v>
      </c>
      <c r="I110" t="s">
        <v>26</v>
      </c>
      <c r="J110">
        <v>0</v>
      </c>
      <c r="K110">
        <v>625</v>
      </c>
      <c r="L110" s="2">
        <v>3.5000000000000001E-3</v>
      </c>
      <c r="M110">
        <v>0.02</v>
      </c>
      <c r="N110" s="2">
        <v>2.1875</v>
      </c>
      <c r="O110" s="2">
        <v>12.5</v>
      </c>
    </row>
    <row r="111" spans="2:15">
      <c r="B111" t="s">
        <v>30</v>
      </c>
      <c r="C111" t="s">
        <v>31</v>
      </c>
      <c r="D111" t="s">
        <v>458</v>
      </c>
      <c r="E111" t="s">
        <v>459</v>
      </c>
      <c r="F111" t="s">
        <v>10</v>
      </c>
      <c r="G111" t="s">
        <v>458</v>
      </c>
      <c r="H111" t="s">
        <v>460</v>
      </c>
      <c r="I111" t="s">
        <v>26</v>
      </c>
      <c r="J111">
        <v>0</v>
      </c>
      <c r="K111">
        <v>1</v>
      </c>
      <c r="L111" s="2">
        <v>3.5000000000000001E-3</v>
      </c>
      <c r="M111">
        <v>0.02</v>
      </c>
      <c r="N111" s="2">
        <v>3.5000000000000001E-3</v>
      </c>
      <c r="O111" s="2">
        <v>0.02</v>
      </c>
    </row>
    <row r="112" spans="2:15">
      <c r="B112" t="s">
        <v>30</v>
      </c>
      <c r="C112" t="s">
        <v>31</v>
      </c>
      <c r="D112" t="s">
        <v>461</v>
      </c>
      <c r="E112" t="s">
        <v>462</v>
      </c>
      <c r="F112" t="s">
        <v>10</v>
      </c>
      <c r="G112" t="s">
        <v>461</v>
      </c>
      <c r="H112" t="s">
        <v>463</v>
      </c>
      <c r="I112" t="s">
        <v>26</v>
      </c>
      <c r="J112">
        <v>0</v>
      </c>
      <c r="K112">
        <v>1</v>
      </c>
      <c r="L112" s="2">
        <v>3.5000000000000001E-3</v>
      </c>
      <c r="M112">
        <v>0.02</v>
      </c>
      <c r="N112" s="2">
        <v>3.5000000000000001E-3</v>
      </c>
      <c r="O112" s="2">
        <v>0.02</v>
      </c>
    </row>
    <row r="113" spans="2:15">
      <c r="B113" t="s">
        <v>30</v>
      </c>
      <c r="C113" t="s">
        <v>31</v>
      </c>
      <c r="D113" t="s">
        <v>464</v>
      </c>
      <c r="E113" t="s">
        <v>465</v>
      </c>
      <c r="F113" t="s">
        <v>10</v>
      </c>
      <c r="G113" t="s">
        <v>464</v>
      </c>
      <c r="H113" t="s">
        <v>466</v>
      </c>
      <c r="I113" t="s">
        <v>26</v>
      </c>
      <c r="J113">
        <v>0</v>
      </c>
      <c r="K113">
        <v>1</v>
      </c>
      <c r="L113" s="2">
        <v>3.5000000000000001E-3</v>
      </c>
      <c r="M113">
        <v>0.02</v>
      </c>
      <c r="N113" s="2">
        <v>3.5000000000000001E-3</v>
      </c>
      <c r="O113" s="2">
        <v>0.02</v>
      </c>
    </row>
    <row r="114" spans="2:15">
      <c r="B114" t="s">
        <v>30</v>
      </c>
      <c r="C114" t="s">
        <v>31</v>
      </c>
      <c r="D114" t="s">
        <v>467</v>
      </c>
      <c r="E114" t="s">
        <v>468</v>
      </c>
      <c r="F114" t="s">
        <v>10</v>
      </c>
      <c r="G114" t="s">
        <v>467</v>
      </c>
      <c r="H114" t="s">
        <v>469</v>
      </c>
      <c r="I114" t="s">
        <v>26</v>
      </c>
      <c r="J114">
        <v>0</v>
      </c>
      <c r="K114">
        <v>1</v>
      </c>
      <c r="L114" s="2">
        <v>3.5000000000000001E-3</v>
      </c>
      <c r="M114">
        <v>0.02</v>
      </c>
      <c r="N114" s="2">
        <v>3.5000000000000001E-3</v>
      </c>
      <c r="O114" s="2">
        <v>0.02</v>
      </c>
    </row>
    <row r="115" spans="2:15">
      <c r="B115" t="s">
        <v>30</v>
      </c>
      <c r="C115" t="s">
        <v>31</v>
      </c>
      <c r="D115" t="s">
        <v>127</v>
      </c>
      <c r="E115" t="s">
        <v>128</v>
      </c>
      <c r="F115" t="s">
        <v>10</v>
      </c>
      <c r="G115" t="s">
        <v>127</v>
      </c>
      <c r="H115" t="s">
        <v>129</v>
      </c>
      <c r="I115" t="s">
        <v>26</v>
      </c>
      <c r="J115">
        <v>0</v>
      </c>
      <c r="K115">
        <v>93</v>
      </c>
      <c r="L115" s="2">
        <v>3.5000000000000001E-3</v>
      </c>
      <c r="M115">
        <v>0.02</v>
      </c>
      <c r="N115" s="2">
        <v>0.32550000000000001</v>
      </c>
      <c r="O115" s="2">
        <v>1.86</v>
      </c>
    </row>
    <row r="116" spans="2:15">
      <c r="B116" t="s">
        <v>30</v>
      </c>
      <c r="C116" t="s">
        <v>31</v>
      </c>
      <c r="D116" t="s">
        <v>470</v>
      </c>
      <c r="E116" t="s">
        <v>471</v>
      </c>
      <c r="F116" t="s">
        <v>10</v>
      </c>
      <c r="G116" t="s">
        <v>470</v>
      </c>
      <c r="H116" t="s">
        <v>472</v>
      </c>
      <c r="I116" t="s">
        <v>26</v>
      </c>
      <c r="J116">
        <v>0</v>
      </c>
      <c r="K116">
        <v>2070</v>
      </c>
      <c r="L116" s="2">
        <v>3.5000000000000001E-3</v>
      </c>
      <c r="M116">
        <v>0.02</v>
      </c>
      <c r="N116" s="2">
        <v>7.2450000000000001</v>
      </c>
      <c r="O116" s="2">
        <v>41.4</v>
      </c>
    </row>
    <row r="117" spans="2:15">
      <c r="B117" t="s">
        <v>30</v>
      </c>
      <c r="C117" t="s">
        <v>31</v>
      </c>
      <c r="D117" t="s">
        <v>130</v>
      </c>
      <c r="E117" t="s">
        <v>131</v>
      </c>
      <c r="F117" t="s">
        <v>10</v>
      </c>
      <c r="G117" t="s">
        <v>130</v>
      </c>
      <c r="H117" t="s">
        <v>132</v>
      </c>
      <c r="I117" t="s">
        <v>26</v>
      </c>
      <c r="J117">
        <v>0</v>
      </c>
      <c r="K117">
        <v>1756</v>
      </c>
      <c r="L117" s="2">
        <v>3.5000000000000001E-3</v>
      </c>
      <c r="M117">
        <v>0.02</v>
      </c>
      <c r="N117" s="2">
        <v>6.1459999999999999</v>
      </c>
      <c r="O117" s="2">
        <v>35.119999999999997</v>
      </c>
    </row>
    <row r="118" spans="2:15">
      <c r="B118" t="s">
        <v>30</v>
      </c>
      <c r="C118" t="s">
        <v>31</v>
      </c>
      <c r="D118" t="s">
        <v>473</v>
      </c>
      <c r="E118" t="s">
        <v>474</v>
      </c>
      <c r="F118" t="s">
        <v>10</v>
      </c>
      <c r="G118" t="s">
        <v>473</v>
      </c>
      <c r="H118" t="s">
        <v>475</v>
      </c>
      <c r="I118" t="s">
        <v>26</v>
      </c>
      <c r="J118">
        <v>0</v>
      </c>
      <c r="K118">
        <v>21352</v>
      </c>
      <c r="L118" s="2">
        <v>3.5000000000000001E-3</v>
      </c>
      <c r="M118">
        <v>0.02</v>
      </c>
      <c r="N118" s="2">
        <v>74.731999999999999</v>
      </c>
      <c r="O118" s="2">
        <v>427.04</v>
      </c>
    </row>
    <row r="119" spans="2:15">
      <c r="B119" t="s">
        <v>30</v>
      </c>
      <c r="C119" t="s">
        <v>31</v>
      </c>
      <c r="D119" t="s">
        <v>476</v>
      </c>
      <c r="E119" t="s">
        <v>477</v>
      </c>
      <c r="F119" t="s">
        <v>10</v>
      </c>
      <c r="G119" t="s">
        <v>476</v>
      </c>
      <c r="H119" t="s">
        <v>478</v>
      </c>
      <c r="I119" t="s">
        <v>26</v>
      </c>
      <c r="J119">
        <v>0</v>
      </c>
      <c r="K119">
        <v>6</v>
      </c>
      <c r="L119" s="2">
        <v>3.5000000000000001E-3</v>
      </c>
      <c r="M119">
        <v>0.02</v>
      </c>
      <c r="N119" s="2">
        <v>2.1000000000000001E-2</v>
      </c>
      <c r="O119" s="2">
        <v>0.12</v>
      </c>
    </row>
    <row r="120" spans="2:15">
      <c r="B120" t="s">
        <v>30</v>
      </c>
      <c r="C120" t="s">
        <v>31</v>
      </c>
      <c r="D120" t="s">
        <v>479</v>
      </c>
      <c r="E120" t="s">
        <v>480</v>
      </c>
      <c r="F120" t="s">
        <v>10</v>
      </c>
      <c r="G120" t="s">
        <v>479</v>
      </c>
      <c r="H120" t="s">
        <v>481</v>
      </c>
      <c r="I120" t="s">
        <v>26</v>
      </c>
      <c r="J120">
        <v>0</v>
      </c>
      <c r="K120">
        <v>93</v>
      </c>
      <c r="L120" s="2">
        <v>3.5000000000000001E-3</v>
      </c>
      <c r="M120">
        <v>0.02</v>
      </c>
      <c r="N120" s="2">
        <v>0.32550000000000001</v>
      </c>
      <c r="O120" s="2">
        <v>1.86</v>
      </c>
    </row>
    <row r="121" spans="2:15">
      <c r="B121" t="s">
        <v>30</v>
      </c>
      <c r="C121" t="s">
        <v>31</v>
      </c>
      <c r="D121" t="s">
        <v>482</v>
      </c>
      <c r="E121" t="s">
        <v>483</v>
      </c>
      <c r="F121" t="s">
        <v>10</v>
      </c>
      <c r="G121" t="s">
        <v>482</v>
      </c>
      <c r="H121" t="s">
        <v>484</v>
      </c>
      <c r="I121" t="s">
        <v>26</v>
      </c>
      <c r="J121">
        <v>0</v>
      </c>
      <c r="K121">
        <v>1</v>
      </c>
      <c r="L121" s="2">
        <v>3.5000000000000001E-3</v>
      </c>
      <c r="M121">
        <v>0.02</v>
      </c>
      <c r="N121" s="2">
        <v>3.5000000000000001E-3</v>
      </c>
      <c r="O121" s="2">
        <v>0.02</v>
      </c>
    </row>
    <row r="122" spans="2:15">
      <c r="B122" t="s">
        <v>30</v>
      </c>
      <c r="C122" t="s">
        <v>31</v>
      </c>
      <c r="D122" t="s">
        <v>485</v>
      </c>
      <c r="E122" t="s">
        <v>486</v>
      </c>
      <c r="F122" t="s">
        <v>10</v>
      </c>
      <c r="G122" t="s">
        <v>485</v>
      </c>
      <c r="H122" t="s">
        <v>487</v>
      </c>
      <c r="I122" t="s">
        <v>26</v>
      </c>
      <c r="J122">
        <v>0</v>
      </c>
      <c r="K122">
        <v>70</v>
      </c>
      <c r="L122" s="2">
        <v>3.5000000000000001E-3</v>
      </c>
      <c r="M122">
        <v>0.02</v>
      </c>
      <c r="N122" s="2">
        <v>0.245</v>
      </c>
      <c r="O122" s="2">
        <v>1.4000000000000001</v>
      </c>
    </row>
    <row r="123" spans="2:15">
      <c r="B123" t="s">
        <v>30</v>
      </c>
      <c r="C123" t="s">
        <v>31</v>
      </c>
      <c r="D123" t="s">
        <v>133</v>
      </c>
      <c r="E123" t="s">
        <v>134</v>
      </c>
      <c r="F123" t="s">
        <v>10</v>
      </c>
      <c r="G123" t="s">
        <v>133</v>
      </c>
      <c r="H123" t="s">
        <v>135</v>
      </c>
      <c r="I123" t="s">
        <v>26</v>
      </c>
      <c r="J123">
        <v>0</v>
      </c>
      <c r="K123">
        <v>4</v>
      </c>
      <c r="L123" s="2">
        <v>3.5000000000000001E-3</v>
      </c>
      <c r="M123">
        <v>0.02</v>
      </c>
      <c r="N123" s="2">
        <v>1.4E-2</v>
      </c>
      <c r="O123" s="2">
        <v>0.08</v>
      </c>
    </row>
    <row r="124" spans="2:15">
      <c r="B124" t="s">
        <v>30</v>
      </c>
      <c r="C124" t="s">
        <v>31</v>
      </c>
      <c r="D124" t="s">
        <v>488</v>
      </c>
      <c r="E124" t="s">
        <v>489</v>
      </c>
      <c r="F124" t="s">
        <v>10</v>
      </c>
      <c r="G124" t="s">
        <v>488</v>
      </c>
      <c r="H124" t="s">
        <v>490</v>
      </c>
      <c r="I124" t="s">
        <v>26</v>
      </c>
      <c r="J124">
        <v>0</v>
      </c>
      <c r="K124">
        <v>440</v>
      </c>
      <c r="L124" s="2">
        <v>3.5000000000000001E-3</v>
      </c>
      <c r="M124">
        <v>0.02</v>
      </c>
      <c r="N124" s="2">
        <v>1.54</v>
      </c>
      <c r="O124" s="2">
        <v>8.8000000000000007</v>
      </c>
    </row>
    <row r="125" spans="2:15">
      <c r="B125" t="s">
        <v>30</v>
      </c>
      <c r="C125" t="s">
        <v>31</v>
      </c>
      <c r="D125" t="s">
        <v>217</v>
      </c>
      <c r="E125" t="s">
        <v>218</v>
      </c>
      <c r="F125" t="s">
        <v>10</v>
      </c>
      <c r="G125" t="s">
        <v>217</v>
      </c>
      <c r="H125" t="s">
        <v>219</v>
      </c>
      <c r="I125" t="s">
        <v>26</v>
      </c>
      <c r="J125">
        <v>0</v>
      </c>
      <c r="K125">
        <v>1</v>
      </c>
      <c r="L125" s="2">
        <v>3.5000000000000001E-3</v>
      </c>
      <c r="M125">
        <v>0.02</v>
      </c>
      <c r="N125" s="2">
        <v>3.5000000000000001E-3</v>
      </c>
      <c r="O125" s="2">
        <v>0.02</v>
      </c>
    </row>
    <row r="126" spans="2:15">
      <c r="B126" t="s">
        <v>30</v>
      </c>
      <c r="C126" t="s">
        <v>31</v>
      </c>
      <c r="D126" t="s">
        <v>491</v>
      </c>
      <c r="E126" t="s">
        <v>492</v>
      </c>
      <c r="F126" t="s">
        <v>10</v>
      </c>
      <c r="G126" t="s">
        <v>491</v>
      </c>
      <c r="H126" t="s">
        <v>493</v>
      </c>
      <c r="I126" t="s">
        <v>26</v>
      </c>
      <c r="J126">
        <v>0</v>
      </c>
      <c r="K126">
        <v>17</v>
      </c>
      <c r="L126" s="2">
        <v>3.5000000000000001E-3</v>
      </c>
      <c r="M126">
        <v>0.02</v>
      </c>
      <c r="N126" s="2">
        <v>5.9500000000000004E-2</v>
      </c>
      <c r="O126" s="2">
        <v>0.34</v>
      </c>
    </row>
    <row r="127" spans="2:15">
      <c r="B127" t="s">
        <v>30</v>
      </c>
      <c r="C127" t="s">
        <v>31</v>
      </c>
      <c r="D127" t="s">
        <v>136</v>
      </c>
      <c r="E127" t="s">
        <v>137</v>
      </c>
      <c r="F127" t="s">
        <v>10</v>
      </c>
      <c r="G127" t="s">
        <v>136</v>
      </c>
      <c r="H127" t="s">
        <v>138</v>
      </c>
      <c r="I127" t="s">
        <v>26</v>
      </c>
      <c r="J127">
        <v>0</v>
      </c>
      <c r="K127">
        <v>118</v>
      </c>
      <c r="L127" s="2">
        <v>3.5000000000000001E-3</v>
      </c>
      <c r="M127">
        <v>0.02</v>
      </c>
      <c r="N127" s="2">
        <v>0.41300000000000003</v>
      </c>
      <c r="O127" s="2">
        <v>2.36</v>
      </c>
    </row>
    <row r="128" spans="2:15">
      <c r="B128" t="s">
        <v>30</v>
      </c>
      <c r="C128" t="s">
        <v>31</v>
      </c>
      <c r="D128" t="s">
        <v>139</v>
      </c>
      <c r="E128" t="s">
        <v>140</v>
      </c>
      <c r="F128" t="s">
        <v>10</v>
      </c>
      <c r="G128" t="s">
        <v>139</v>
      </c>
      <c r="H128" t="s">
        <v>141</v>
      </c>
      <c r="I128" t="s">
        <v>26</v>
      </c>
      <c r="J128">
        <v>0</v>
      </c>
      <c r="K128">
        <v>74</v>
      </c>
      <c r="L128" s="2">
        <v>3.5000000000000001E-3</v>
      </c>
      <c r="M128">
        <v>0.02</v>
      </c>
      <c r="N128" s="2">
        <v>0.25900000000000001</v>
      </c>
      <c r="O128" s="2">
        <v>1.48</v>
      </c>
    </row>
    <row r="129" spans="2:15">
      <c r="B129" t="s">
        <v>30</v>
      </c>
      <c r="C129" t="s">
        <v>31</v>
      </c>
      <c r="D129" t="s">
        <v>220</v>
      </c>
      <c r="E129" t="s">
        <v>221</v>
      </c>
      <c r="F129" t="s">
        <v>10</v>
      </c>
      <c r="G129" t="s">
        <v>220</v>
      </c>
      <c r="H129" t="s">
        <v>222</v>
      </c>
      <c r="I129" t="s">
        <v>26</v>
      </c>
      <c r="J129">
        <v>0</v>
      </c>
      <c r="K129">
        <v>4</v>
      </c>
      <c r="L129" s="2">
        <v>3.5000000000000001E-3</v>
      </c>
      <c r="M129">
        <v>0.02</v>
      </c>
      <c r="N129" s="2">
        <v>1.4E-2</v>
      </c>
      <c r="O129" s="2">
        <v>0.08</v>
      </c>
    </row>
    <row r="130" spans="2:15">
      <c r="B130" t="s">
        <v>30</v>
      </c>
      <c r="C130" t="s">
        <v>31</v>
      </c>
      <c r="D130" t="s">
        <v>223</v>
      </c>
      <c r="E130" t="s">
        <v>224</v>
      </c>
      <c r="F130" t="s">
        <v>10</v>
      </c>
      <c r="G130" t="s">
        <v>223</v>
      </c>
      <c r="H130" t="s">
        <v>225</v>
      </c>
      <c r="I130" t="s">
        <v>26</v>
      </c>
      <c r="J130">
        <v>0</v>
      </c>
      <c r="K130">
        <v>37</v>
      </c>
      <c r="L130" s="2">
        <v>3.5000000000000001E-3</v>
      </c>
      <c r="M130">
        <v>0.02</v>
      </c>
      <c r="N130" s="2">
        <v>0.1295</v>
      </c>
      <c r="O130" s="2">
        <v>0.74</v>
      </c>
    </row>
    <row r="131" spans="2:15">
      <c r="B131" t="s">
        <v>30</v>
      </c>
      <c r="C131" t="s">
        <v>31</v>
      </c>
      <c r="D131" t="s">
        <v>226</v>
      </c>
      <c r="E131" t="s">
        <v>227</v>
      </c>
      <c r="F131" t="s">
        <v>10</v>
      </c>
      <c r="G131" t="s">
        <v>226</v>
      </c>
      <c r="H131" t="s">
        <v>228</v>
      </c>
      <c r="I131" t="s">
        <v>26</v>
      </c>
      <c r="J131">
        <v>0</v>
      </c>
      <c r="K131">
        <v>1</v>
      </c>
      <c r="L131" s="2">
        <v>3.5000000000000001E-3</v>
      </c>
      <c r="M131">
        <v>0.02</v>
      </c>
      <c r="N131" s="2">
        <v>3.5000000000000001E-3</v>
      </c>
      <c r="O131" s="2">
        <v>0.02</v>
      </c>
    </row>
    <row r="132" spans="2:15">
      <c r="B132" t="s">
        <v>30</v>
      </c>
      <c r="C132" t="s">
        <v>31</v>
      </c>
      <c r="D132" t="s">
        <v>494</v>
      </c>
      <c r="E132" t="s">
        <v>495</v>
      </c>
      <c r="F132" t="s">
        <v>10</v>
      </c>
      <c r="G132" t="s">
        <v>494</v>
      </c>
      <c r="H132" t="s">
        <v>496</v>
      </c>
      <c r="I132" t="s">
        <v>26</v>
      </c>
      <c r="J132">
        <v>0</v>
      </c>
      <c r="K132">
        <v>1</v>
      </c>
      <c r="L132" s="2">
        <v>3.5000000000000001E-3</v>
      </c>
      <c r="M132">
        <v>0.02</v>
      </c>
      <c r="N132" s="2">
        <v>3.5000000000000001E-3</v>
      </c>
      <c r="O132" s="2">
        <v>0.02</v>
      </c>
    </row>
    <row r="133" spans="2:15">
      <c r="B133" t="s">
        <v>30</v>
      </c>
      <c r="C133" t="s">
        <v>31</v>
      </c>
      <c r="D133" t="s">
        <v>32</v>
      </c>
      <c r="E133" t="s">
        <v>33</v>
      </c>
      <c r="F133" t="s">
        <v>10</v>
      </c>
      <c r="G133" t="s">
        <v>32</v>
      </c>
      <c r="H133" t="s">
        <v>34</v>
      </c>
      <c r="I133" t="s">
        <v>26</v>
      </c>
      <c r="J133">
        <v>0</v>
      </c>
      <c r="K133">
        <v>83</v>
      </c>
      <c r="L133" s="2">
        <v>3.5000000000000001E-3</v>
      </c>
      <c r="M133">
        <v>0.02</v>
      </c>
      <c r="N133" s="2">
        <v>0.29049999999999998</v>
      </c>
      <c r="O133" s="2">
        <v>1.6600000000000001</v>
      </c>
    </row>
    <row r="134" spans="2:15">
      <c r="B134" t="s">
        <v>30</v>
      </c>
      <c r="C134" t="s">
        <v>31</v>
      </c>
      <c r="D134" t="s">
        <v>497</v>
      </c>
      <c r="E134" t="s">
        <v>498</v>
      </c>
      <c r="F134" t="s">
        <v>10</v>
      </c>
      <c r="G134" t="s">
        <v>497</v>
      </c>
      <c r="H134" t="s">
        <v>499</v>
      </c>
      <c r="I134" t="s">
        <v>26</v>
      </c>
      <c r="J134">
        <v>0</v>
      </c>
      <c r="K134">
        <v>24</v>
      </c>
      <c r="L134" s="2">
        <v>3.5000000000000001E-3</v>
      </c>
      <c r="M134">
        <v>0.02</v>
      </c>
      <c r="N134" s="2">
        <v>8.4000000000000005E-2</v>
      </c>
      <c r="O134" s="2">
        <v>0.48</v>
      </c>
    </row>
    <row r="135" spans="2:15">
      <c r="B135" t="s">
        <v>30</v>
      </c>
      <c r="C135" t="s">
        <v>31</v>
      </c>
      <c r="D135" t="s">
        <v>500</v>
      </c>
      <c r="E135" t="s">
        <v>501</v>
      </c>
      <c r="F135" t="s">
        <v>10</v>
      </c>
      <c r="G135" t="s">
        <v>500</v>
      </c>
      <c r="H135" t="s">
        <v>502</v>
      </c>
      <c r="I135" t="s">
        <v>26</v>
      </c>
      <c r="J135">
        <v>0</v>
      </c>
      <c r="K135">
        <v>1</v>
      </c>
      <c r="L135" s="2">
        <v>3.5000000000000001E-3</v>
      </c>
      <c r="M135">
        <v>0.02</v>
      </c>
      <c r="N135" s="2">
        <v>3.5000000000000001E-3</v>
      </c>
      <c r="O135" s="2">
        <v>0.02</v>
      </c>
    </row>
    <row r="136" spans="2:15">
      <c r="B136" t="s">
        <v>30</v>
      </c>
      <c r="C136" t="s">
        <v>31</v>
      </c>
      <c r="D136" t="s">
        <v>35</v>
      </c>
      <c r="E136" t="s">
        <v>36</v>
      </c>
      <c r="F136" t="s">
        <v>10</v>
      </c>
      <c r="G136" t="s">
        <v>35</v>
      </c>
      <c r="H136" t="s">
        <v>37</v>
      </c>
      <c r="I136" t="s">
        <v>26</v>
      </c>
      <c r="J136">
        <v>0</v>
      </c>
      <c r="K136">
        <v>9</v>
      </c>
      <c r="L136" s="2">
        <v>3.5000000000000001E-3</v>
      </c>
      <c r="M136">
        <v>0.02</v>
      </c>
      <c r="N136" s="2">
        <v>3.15E-2</v>
      </c>
      <c r="O136" s="2">
        <v>0.18</v>
      </c>
    </row>
    <row r="137" spans="2:15">
      <c r="B137" t="s">
        <v>30</v>
      </c>
      <c r="C137" t="s">
        <v>31</v>
      </c>
      <c r="D137" t="s">
        <v>38</v>
      </c>
      <c r="E137" t="s">
        <v>39</v>
      </c>
      <c r="F137" t="s">
        <v>10</v>
      </c>
      <c r="G137" t="s">
        <v>38</v>
      </c>
      <c r="H137" t="s">
        <v>40</v>
      </c>
      <c r="I137" t="s">
        <v>26</v>
      </c>
      <c r="J137">
        <v>0</v>
      </c>
      <c r="K137">
        <v>2</v>
      </c>
      <c r="L137" s="2">
        <v>3.5000000000000001E-3</v>
      </c>
      <c r="M137">
        <v>0.02</v>
      </c>
      <c r="N137" s="2">
        <v>7.0000000000000001E-3</v>
      </c>
      <c r="O137" s="2">
        <v>0.04</v>
      </c>
    </row>
    <row r="138" spans="2:15">
      <c r="B138" t="s">
        <v>30</v>
      </c>
      <c r="C138" t="s">
        <v>31</v>
      </c>
      <c r="D138" t="s">
        <v>503</v>
      </c>
      <c r="E138" t="s">
        <v>504</v>
      </c>
      <c r="F138" t="s">
        <v>10</v>
      </c>
      <c r="G138" t="s">
        <v>503</v>
      </c>
      <c r="H138" t="s">
        <v>505</v>
      </c>
      <c r="I138" t="s">
        <v>26</v>
      </c>
      <c r="J138">
        <v>0</v>
      </c>
      <c r="K138">
        <v>1</v>
      </c>
      <c r="L138" s="2">
        <v>3.5000000000000001E-3</v>
      </c>
      <c r="M138">
        <v>0.02</v>
      </c>
      <c r="N138" s="2">
        <v>3.5000000000000001E-3</v>
      </c>
      <c r="O138" s="2">
        <v>0.02</v>
      </c>
    </row>
    <row r="139" spans="2:15">
      <c r="B139" t="s">
        <v>30</v>
      </c>
      <c r="C139" t="s">
        <v>31</v>
      </c>
      <c r="D139" t="s">
        <v>142</v>
      </c>
      <c r="E139" t="s">
        <v>143</v>
      </c>
      <c r="F139" t="s">
        <v>10</v>
      </c>
      <c r="G139" t="s">
        <v>142</v>
      </c>
      <c r="H139" t="s">
        <v>144</v>
      </c>
      <c r="I139" t="s">
        <v>26</v>
      </c>
      <c r="J139">
        <v>0</v>
      </c>
      <c r="K139">
        <v>649</v>
      </c>
      <c r="L139" s="2">
        <v>3.5000000000000001E-3</v>
      </c>
      <c r="M139">
        <v>0.02</v>
      </c>
      <c r="N139" s="2">
        <v>2.2715000000000001</v>
      </c>
      <c r="O139" s="2">
        <v>12.98</v>
      </c>
    </row>
    <row r="140" spans="2:15">
      <c r="B140" t="s">
        <v>30</v>
      </c>
      <c r="C140" t="s">
        <v>31</v>
      </c>
      <c r="D140" t="s">
        <v>506</v>
      </c>
      <c r="E140" t="s">
        <v>507</v>
      </c>
      <c r="F140" t="s">
        <v>10</v>
      </c>
      <c r="G140" t="s">
        <v>506</v>
      </c>
      <c r="H140" t="s">
        <v>508</v>
      </c>
      <c r="I140" t="s">
        <v>26</v>
      </c>
      <c r="J140">
        <v>0</v>
      </c>
      <c r="K140">
        <v>75</v>
      </c>
      <c r="L140" s="2">
        <v>3.5000000000000001E-3</v>
      </c>
      <c r="M140">
        <v>0.02</v>
      </c>
      <c r="N140" s="2">
        <v>0.26250000000000001</v>
      </c>
      <c r="O140" s="2">
        <v>1.5</v>
      </c>
    </row>
    <row r="141" spans="2:15">
      <c r="B141" t="s">
        <v>30</v>
      </c>
      <c r="C141" t="s">
        <v>31</v>
      </c>
      <c r="D141" t="s">
        <v>509</v>
      </c>
      <c r="E141" t="s">
        <v>510</v>
      </c>
      <c r="F141" t="s">
        <v>10</v>
      </c>
      <c r="G141" t="s">
        <v>509</v>
      </c>
      <c r="H141" t="s">
        <v>511</v>
      </c>
      <c r="I141" t="s">
        <v>26</v>
      </c>
      <c r="J141">
        <v>0</v>
      </c>
      <c r="K141">
        <v>331</v>
      </c>
      <c r="L141" s="2">
        <v>3.5000000000000001E-3</v>
      </c>
      <c r="M141">
        <v>0.02</v>
      </c>
      <c r="N141" s="2">
        <v>1.1585000000000001</v>
      </c>
      <c r="O141" s="2">
        <v>6.62</v>
      </c>
    </row>
    <row r="142" spans="2:15">
      <c r="B142" t="s">
        <v>30</v>
      </c>
      <c r="C142" t="s">
        <v>31</v>
      </c>
      <c r="D142" t="s">
        <v>145</v>
      </c>
      <c r="E142" t="s">
        <v>146</v>
      </c>
      <c r="F142" t="s">
        <v>10</v>
      </c>
      <c r="G142" t="s">
        <v>145</v>
      </c>
      <c r="H142" t="s">
        <v>147</v>
      </c>
      <c r="I142" t="s">
        <v>26</v>
      </c>
      <c r="J142">
        <v>0</v>
      </c>
      <c r="K142">
        <v>18</v>
      </c>
      <c r="L142" s="2">
        <v>3.5000000000000001E-3</v>
      </c>
      <c r="M142">
        <v>0.02</v>
      </c>
      <c r="N142" s="2">
        <v>6.3E-2</v>
      </c>
      <c r="O142" s="2">
        <v>0.36</v>
      </c>
    </row>
    <row r="143" spans="2:15">
      <c r="B143" t="s">
        <v>30</v>
      </c>
      <c r="C143" t="s">
        <v>31</v>
      </c>
      <c r="D143" t="s">
        <v>512</v>
      </c>
      <c r="E143" t="s">
        <v>513</v>
      </c>
      <c r="F143" t="s">
        <v>10</v>
      </c>
      <c r="G143" t="s">
        <v>512</v>
      </c>
      <c r="H143" t="s">
        <v>514</v>
      </c>
      <c r="I143" t="s">
        <v>26</v>
      </c>
      <c r="J143">
        <v>0</v>
      </c>
      <c r="K143">
        <v>2</v>
      </c>
      <c r="L143" s="2">
        <v>3.5000000000000001E-3</v>
      </c>
      <c r="M143">
        <v>0.02</v>
      </c>
      <c r="N143" s="2">
        <v>7.0000000000000001E-3</v>
      </c>
      <c r="O143" s="2">
        <v>0.04</v>
      </c>
    </row>
    <row r="144" spans="2:15">
      <c r="B144" t="s">
        <v>30</v>
      </c>
      <c r="C144" t="s">
        <v>31</v>
      </c>
      <c r="D144" t="s">
        <v>148</v>
      </c>
      <c r="E144" t="s">
        <v>149</v>
      </c>
      <c r="F144" t="s">
        <v>10</v>
      </c>
      <c r="G144" t="s">
        <v>148</v>
      </c>
      <c r="H144" t="s">
        <v>150</v>
      </c>
      <c r="I144" t="s">
        <v>26</v>
      </c>
      <c r="J144">
        <v>0</v>
      </c>
      <c r="K144">
        <v>140</v>
      </c>
      <c r="L144" s="2">
        <v>3.5000000000000001E-3</v>
      </c>
      <c r="M144">
        <v>0.02</v>
      </c>
      <c r="N144" s="2">
        <v>0.49</v>
      </c>
      <c r="O144" s="2">
        <v>2.8000000000000003</v>
      </c>
    </row>
    <row r="145" spans="2:15">
      <c r="B145" t="s">
        <v>30</v>
      </c>
      <c r="C145" t="s">
        <v>31</v>
      </c>
      <c r="D145" t="s">
        <v>515</v>
      </c>
      <c r="E145" t="s">
        <v>516</v>
      </c>
      <c r="F145" t="s">
        <v>10</v>
      </c>
      <c r="G145" t="s">
        <v>515</v>
      </c>
      <c r="H145" t="s">
        <v>517</v>
      </c>
      <c r="I145" t="s">
        <v>26</v>
      </c>
      <c r="J145">
        <v>0</v>
      </c>
      <c r="K145">
        <v>7</v>
      </c>
      <c r="L145" s="2">
        <v>3.5000000000000001E-3</v>
      </c>
      <c r="M145">
        <v>0.02</v>
      </c>
      <c r="N145" s="2">
        <v>2.4500000000000001E-2</v>
      </c>
      <c r="O145" s="2">
        <v>0.14000000000000001</v>
      </c>
    </row>
    <row r="146" spans="2:15">
      <c r="B146" t="s">
        <v>30</v>
      </c>
      <c r="C146" t="s">
        <v>31</v>
      </c>
      <c r="D146" t="s">
        <v>151</v>
      </c>
      <c r="E146" t="s">
        <v>152</v>
      </c>
      <c r="F146" t="s">
        <v>10</v>
      </c>
      <c r="G146" t="s">
        <v>151</v>
      </c>
      <c r="H146" t="s">
        <v>153</v>
      </c>
      <c r="I146" t="s">
        <v>26</v>
      </c>
      <c r="J146">
        <v>0</v>
      </c>
      <c r="K146">
        <v>106</v>
      </c>
      <c r="L146" s="2">
        <v>3.5000000000000001E-3</v>
      </c>
      <c r="M146">
        <v>0.02</v>
      </c>
      <c r="N146" s="2">
        <v>0.371</v>
      </c>
      <c r="O146" s="2">
        <v>2.12</v>
      </c>
    </row>
    <row r="147" spans="2:15">
      <c r="B147" t="s">
        <v>30</v>
      </c>
      <c r="C147" t="s">
        <v>31</v>
      </c>
      <c r="D147" t="s">
        <v>518</v>
      </c>
      <c r="E147" t="s">
        <v>519</v>
      </c>
      <c r="F147" t="s">
        <v>10</v>
      </c>
      <c r="G147" t="s">
        <v>518</v>
      </c>
      <c r="H147" t="s">
        <v>520</v>
      </c>
      <c r="I147" t="s">
        <v>26</v>
      </c>
      <c r="J147">
        <v>0</v>
      </c>
      <c r="K147">
        <v>4</v>
      </c>
      <c r="L147" s="2">
        <v>3.5000000000000001E-3</v>
      </c>
      <c r="M147">
        <v>0.02</v>
      </c>
      <c r="N147" s="2">
        <v>1.4E-2</v>
      </c>
      <c r="O147" s="2">
        <v>0.08</v>
      </c>
    </row>
    <row r="148" spans="2:15">
      <c r="B148" t="s">
        <v>30</v>
      </c>
      <c r="C148" t="s">
        <v>31</v>
      </c>
      <c r="D148" t="s">
        <v>154</v>
      </c>
      <c r="E148" t="s">
        <v>155</v>
      </c>
      <c r="F148" t="s">
        <v>10</v>
      </c>
      <c r="G148" t="s">
        <v>154</v>
      </c>
      <c r="H148" t="s">
        <v>156</v>
      </c>
      <c r="I148" t="s">
        <v>26</v>
      </c>
      <c r="J148">
        <v>0</v>
      </c>
      <c r="K148">
        <v>277</v>
      </c>
      <c r="L148" s="2">
        <v>3.5000000000000001E-3</v>
      </c>
      <c r="M148">
        <v>0.02</v>
      </c>
      <c r="N148" s="2">
        <v>0.96950000000000003</v>
      </c>
      <c r="O148" s="2">
        <v>5.54</v>
      </c>
    </row>
    <row r="149" spans="2:15">
      <c r="B149" t="s">
        <v>30</v>
      </c>
      <c r="C149" t="s">
        <v>31</v>
      </c>
      <c r="D149" t="s">
        <v>521</v>
      </c>
      <c r="E149" t="s">
        <v>522</v>
      </c>
      <c r="F149" t="s">
        <v>10</v>
      </c>
      <c r="G149" t="s">
        <v>521</v>
      </c>
      <c r="H149" t="s">
        <v>523</v>
      </c>
      <c r="I149" t="s">
        <v>26</v>
      </c>
      <c r="J149">
        <v>0</v>
      </c>
      <c r="K149">
        <v>10</v>
      </c>
      <c r="L149" s="2">
        <v>3.5000000000000001E-3</v>
      </c>
      <c r="M149">
        <v>0.02</v>
      </c>
      <c r="N149" s="2">
        <v>3.5000000000000003E-2</v>
      </c>
      <c r="O149" s="2">
        <v>0.2</v>
      </c>
    </row>
    <row r="150" spans="2:15">
      <c r="B150" t="s">
        <v>30</v>
      </c>
      <c r="C150" t="s">
        <v>31</v>
      </c>
      <c r="D150" t="s">
        <v>157</v>
      </c>
      <c r="E150" t="s">
        <v>158</v>
      </c>
      <c r="F150" t="s">
        <v>10</v>
      </c>
      <c r="G150" t="s">
        <v>157</v>
      </c>
      <c r="H150" t="s">
        <v>159</v>
      </c>
      <c r="I150" t="s">
        <v>26</v>
      </c>
      <c r="J150">
        <v>0</v>
      </c>
      <c r="K150">
        <v>9</v>
      </c>
      <c r="L150" s="2">
        <v>3.5000000000000001E-3</v>
      </c>
      <c r="M150">
        <v>0.02</v>
      </c>
      <c r="N150" s="2">
        <v>3.15E-2</v>
      </c>
      <c r="O150" s="2">
        <v>0.18</v>
      </c>
    </row>
    <row r="151" spans="2:15">
      <c r="B151" t="s">
        <v>30</v>
      </c>
      <c r="C151" t="s">
        <v>31</v>
      </c>
      <c r="D151" t="s">
        <v>229</v>
      </c>
      <c r="E151" t="s">
        <v>230</v>
      </c>
      <c r="F151" t="s">
        <v>10</v>
      </c>
      <c r="G151" t="s">
        <v>229</v>
      </c>
      <c r="H151" t="s">
        <v>231</v>
      </c>
      <c r="I151" t="s">
        <v>26</v>
      </c>
      <c r="J151">
        <v>0</v>
      </c>
      <c r="K151">
        <v>7</v>
      </c>
      <c r="L151" s="2">
        <v>3.5000000000000001E-3</v>
      </c>
      <c r="M151">
        <v>0.02</v>
      </c>
      <c r="N151" s="2">
        <v>2.4500000000000001E-2</v>
      </c>
      <c r="O151" s="2">
        <v>0.14000000000000001</v>
      </c>
    </row>
    <row r="152" spans="2:15">
      <c r="B152" t="s">
        <v>30</v>
      </c>
      <c r="C152" t="s">
        <v>31</v>
      </c>
      <c r="D152" t="s">
        <v>232</v>
      </c>
      <c r="E152" t="s">
        <v>233</v>
      </c>
      <c r="F152" t="s">
        <v>10</v>
      </c>
      <c r="G152" t="s">
        <v>232</v>
      </c>
      <c r="H152" t="s">
        <v>234</v>
      </c>
      <c r="I152" t="s">
        <v>26</v>
      </c>
      <c r="J152">
        <v>0</v>
      </c>
      <c r="K152">
        <v>4</v>
      </c>
      <c r="L152" s="2">
        <v>3.5000000000000001E-3</v>
      </c>
      <c r="M152">
        <v>0.02</v>
      </c>
      <c r="N152" s="2">
        <v>1.4E-2</v>
      </c>
      <c r="O152" s="2">
        <v>0.08</v>
      </c>
    </row>
    <row r="153" spans="2:15">
      <c r="B153" t="s">
        <v>30</v>
      </c>
      <c r="C153" t="s">
        <v>31</v>
      </c>
      <c r="D153" t="s">
        <v>41</v>
      </c>
      <c r="E153" t="s">
        <v>42</v>
      </c>
      <c r="F153" t="s">
        <v>10</v>
      </c>
      <c r="G153" t="s">
        <v>41</v>
      </c>
      <c r="H153" t="s">
        <v>43</v>
      </c>
      <c r="I153" t="s">
        <v>26</v>
      </c>
      <c r="J153">
        <v>0</v>
      </c>
      <c r="K153">
        <v>1</v>
      </c>
      <c r="L153" s="2">
        <v>3.5000000000000001E-3</v>
      </c>
      <c r="M153">
        <v>0.02</v>
      </c>
      <c r="N153" s="2">
        <v>3.5000000000000001E-3</v>
      </c>
      <c r="O153" s="2">
        <v>0.02</v>
      </c>
    </row>
    <row r="154" spans="2:15">
      <c r="B154" t="s">
        <v>30</v>
      </c>
      <c r="C154" t="s">
        <v>31</v>
      </c>
      <c r="D154" t="s">
        <v>160</v>
      </c>
      <c r="E154" t="s">
        <v>161</v>
      </c>
      <c r="F154" t="s">
        <v>10</v>
      </c>
      <c r="G154" t="s">
        <v>160</v>
      </c>
      <c r="H154" t="s">
        <v>162</v>
      </c>
      <c r="I154" t="s">
        <v>26</v>
      </c>
      <c r="J154">
        <v>0</v>
      </c>
      <c r="K154">
        <v>6636</v>
      </c>
      <c r="L154" s="2">
        <v>3.5000000000000001E-3</v>
      </c>
      <c r="M154">
        <v>0.02</v>
      </c>
      <c r="N154" s="2">
        <v>23.225999999999999</v>
      </c>
      <c r="O154" s="2">
        <v>132.72</v>
      </c>
    </row>
    <row r="155" spans="2:15">
      <c r="B155" t="s">
        <v>30</v>
      </c>
      <c r="C155" t="s">
        <v>31</v>
      </c>
      <c r="D155" t="s">
        <v>163</v>
      </c>
      <c r="E155" t="s">
        <v>164</v>
      </c>
      <c r="F155" t="s">
        <v>10</v>
      </c>
      <c r="G155" t="s">
        <v>163</v>
      </c>
      <c r="H155" t="s">
        <v>165</v>
      </c>
      <c r="I155" t="s">
        <v>26</v>
      </c>
      <c r="J155">
        <v>0</v>
      </c>
      <c r="K155">
        <v>14</v>
      </c>
      <c r="L155" s="2">
        <v>3.5000000000000001E-3</v>
      </c>
      <c r="M155">
        <v>0.02</v>
      </c>
      <c r="N155" s="2">
        <v>4.9000000000000002E-2</v>
      </c>
      <c r="O155" s="2">
        <v>0.28000000000000003</v>
      </c>
    </row>
    <row r="156" spans="2:15">
      <c r="B156" t="s">
        <v>30</v>
      </c>
      <c r="C156" t="s">
        <v>31</v>
      </c>
      <c r="D156" t="s">
        <v>166</v>
      </c>
      <c r="E156" t="s">
        <v>167</v>
      </c>
      <c r="F156" t="s">
        <v>10</v>
      </c>
      <c r="G156" t="s">
        <v>166</v>
      </c>
      <c r="H156" t="s">
        <v>168</v>
      </c>
      <c r="I156" t="s">
        <v>26</v>
      </c>
      <c r="J156">
        <v>0</v>
      </c>
      <c r="K156">
        <v>129</v>
      </c>
      <c r="L156" s="2">
        <v>3.5000000000000001E-3</v>
      </c>
      <c r="M156">
        <v>0.02</v>
      </c>
      <c r="N156" s="2">
        <v>0.45150000000000001</v>
      </c>
      <c r="O156" s="2">
        <v>2.58</v>
      </c>
    </row>
    <row r="157" spans="2:15">
      <c r="B157" t="s">
        <v>30</v>
      </c>
      <c r="C157" t="s">
        <v>31</v>
      </c>
      <c r="D157" t="s">
        <v>169</v>
      </c>
      <c r="E157" t="s">
        <v>170</v>
      </c>
      <c r="F157" t="s">
        <v>10</v>
      </c>
      <c r="G157" t="s">
        <v>169</v>
      </c>
      <c r="H157" t="s">
        <v>171</v>
      </c>
      <c r="I157" t="s">
        <v>26</v>
      </c>
      <c r="J157">
        <v>0</v>
      </c>
      <c r="K157">
        <v>3</v>
      </c>
      <c r="L157" s="2">
        <v>3.5000000000000001E-3</v>
      </c>
      <c r="M157">
        <v>0.02</v>
      </c>
      <c r="N157" s="2">
        <v>1.0500000000000001E-2</v>
      </c>
      <c r="O157" s="2">
        <v>0.06</v>
      </c>
    </row>
    <row r="158" spans="2:15">
      <c r="B158" t="s">
        <v>30</v>
      </c>
      <c r="C158" t="s">
        <v>31</v>
      </c>
      <c r="D158" t="s">
        <v>172</v>
      </c>
      <c r="E158" t="s">
        <v>173</v>
      </c>
      <c r="F158" t="s">
        <v>10</v>
      </c>
      <c r="G158" t="s">
        <v>172</v>
      </c>
      <c r="H158" t="s">
        <v>174</v>
      </c>
      <c r="I158" t="s">
        <v>26</v>
      </c>
      <c r="J158">
        <v>0</v>
      </c>
      <c r="K158">
        <v>227</v>
      </c>
      <c r="L158" s="2">
        <v>3.5000000000000001E-3</v>
      </c>
      <c r="M158">
        <v>0.02</v>
      </c>
      <c r="N158" s="2">
        <v>0.79449999999999998</v>
      </c>
      <c r="O158" s="2">
        <v>4.54</v>
      </c>
    </row>
    <row r="159" spans="2:15">
      <c r="B159" t="s">
        <v>30</v>
      </c>
      <c r="C159" t="s">
        <v>31</v>
      </c>
      <c r="D159" t="s">
        <v>175</v>
      </c>
      <c r="E159" t="s">
        <v>176</v>
      </c>
      <c r="F159" t="s">
        <v>10</v>
      </c>
      <c r="G159" t="s">
        <v>175</v>
      </c>
      <c r="H159" t="s">
        <v>177</v>
      </c>
      <c r="I159" t="s">
        <v>26</v>
      </c>
      <c r="J159">
        <v>0</v>
      </c>
      <c r="K159">
        <v>59</v>
      </c>
      <c r="L159" s="2">
        <v>3.5000000000000001E-3</v>
      </c>
      <c r="M159">
        <v>0.02</v>
      </c>
      <c r="N159" s="2">
        <v>0.20650000000000002</v>
      </c>
      <c r="O159" s="2">
        <v>1.18</v>
      </c>
    </row>
    <row r="160" spans="2:15">
      <c r="B160" t="s">
        <v>30</v>
      </c>
      <c r="C160" t="s">
        <v>31</v>
      </c>
      <c r="D160" t="s">
        <v>178</v>
      </c>
      <c r="E160" t="s">
        <v>179</v>
      </c>
      <c r="F160" t="s">
        <v>10</v>
      </c>
      <c r="G160" t="s">
        <v>178</v>
      </c>
      <c r="H160" t="s">
        <v>180</v>
      </c>
      <c r="I160" t="s">
        <v>26</v>
      </c>
      <c r="J160">
        <v>0</v>
      </c>
      <c r="K160">
        <v>12</v>
      </c>
      <c r="L160" s="2">
        <v>3.5000000000000001E-3</v>
      </c>
      <c r="M160">
        <v>0.02</v>
      </c>
      <c r="N160" s="2">
        <v>4.2000000000000003E-2</v>
      </c>
      <c r="O160" s="2">
        <v>0.24</v>
      </c>
    </row>
    <row r="161" spans="2:15">
      <c r="B161" t="s">
        <v>30</v>
      </c>
      <c r="C161" t="s">
        <v>31</v>
      </c>
      <c r="D161" t="s">
        <v>235</v>
      </c>
      <c r="E161" t="s">
        <v>236</v>
      </c>
      <c r="F161" t="s">
        <v>10</v>
      </c>
      <c r="G161" t="s">
        <v>235</v>
      </c>
      <c r="H161" t="s">
        <v>237</v>
      </c>
      <c r="I161" t="s">
        <v>26</v>
      </c>
      <c r="J161">
        <v>0</v>
      </c>
      <c r="K161">
        <v>148</v>
      </c>
      <c r="L161" s="2">
        <v>3.5000000000000001E-3</v>
      </c>
      <c r="M161">
        <v>0.02</v>
      </c>
      <c r="N161" s="2">
        <v>0.51800000000000002</v>
      </c>
      <c r="O161" s="2">
        <v>2.96</v>
      </c>
    </row>
    <row r="162" spans="2:15">
      <c r="B162" t="s">
        <v>30</v>
      </c>
      <c r="C162" t="s">
        <v>31</v>
      </c>
      <c r="D162" t="s">
        <v>238</v>
      </c>
      <c r="E162" t="s">
        <v>239</v>
      </c>
      <c r="F162" t="s">
        <v>10</v>
      </c>
      <c r="G162" t="s">
        <v>238</v>
      </c>
      <c r="H162" t="s">
        <v>240</v>
      </c>
      <c r="I162" t="s">
        <v>26</v>
      </c>
      <c r="J162">
        <v>0</v>
      </c>
      <c r="K162">
        <v>66</v>
      </c>
      <c r="L162" s="2">
        <v>3.5000000000000001E-3</v>
      </c>
      <c r="M162">
        <v>0.02</v>
      </c>
      <c r="N162" s="2">
        <v>0.23100000000000001</v>
      </c>
      <c r="O162" s="2">
        <v>1.32</v>
      </c>
    </row>
    <row r="163" spans="2:15">
      <c r="B163" t="s">
        <v>30</v>
      </c>
      <c r="C163" t="s">
        <v>31</v>
      </c>
      <c r="D163" t="s">
        <v>524</v>
      </c>
      <c r="E163" t="s">
        <v>525</v>
      </c>
      <c r="F163" t="s">
        <v>10</v>
      </c>
      <c r="G163" t="s">
        <v>524</v>
      </c>
      <c r="H163" t="s">
        <v>526</v>
      </c>
      <c r="I163" t="s">
        <v>26</v>
      </c>
      <c r="J163">
        <v>0</v>
      </c>
      <c r="K163">
        <v>1</v>
      </c>
      <c r="L163" s="2">
        <v>3.5000000000000001E-3</v>
      </c>
      <c r="M163">
        <v>0.02</v>
      </c>
      <c r="N163" s="2">
        <v>3.5000000000000001E-3</v>
      </c>
      <c r="O163" s="2">
        <v>0.02</v>
      </c>
    </row>
    <row r="164" spans="2:15">
      <c r="B164" t="s">
        <v>30</v>
      </c>
      <c r="C164" t="s">
        <v>31</v>
      </c>
      <c r="D164" t="s">
        <v>527</v>
      </c>
      <c r="E164" t="s">
        <v>528</v>
      </c>
      <c r="F164" t="s">
        <v>10</v>
      </c>
      <c r="G164" t="s">
        <v>527</v>
      </c>
      <c r="H164" t="s">
        <v>529</v>
      </c>
      <c r="I164" t="s">
        <v>26</v>
      </c>
      <c r="J164">
        <v>0</v>
      </c>
      <c r="K164">
        <v>27</v>
      </c>
      <c r="L164" s="2">
        <v>3.5000000000000001E-3</v>
      </c>
      <c r="M164">
        <v>0.02</v>
      </c>
      <c r="N164" s="2">
        <v>9.4500000000000001E-2</v>
      </c>
      <c r="O164" s="2">
        <v>0.54</v>
      </c>
    </row>
    <row r="165" spans="2:15">
      <c r="B165" t="s">
        <v>30</v>
      </c>
      <c r="C165" t="s">
        <v>31</v>
      </c>
      <c r="D165" t="s">
        <v>241</v>
      </c>
      <c r="E165" t="s">
        <v>242</v>
      </c>
      <c r="F165" t="s">
        <v>10</v>
      </c>
      <c r="G165" t="s">
        <v>241</v>
      </c>
      <c r="H165" t="s">
        <v>243</v>
      </c>
      <c r="I165" t="s">
        <v>26</v>
      </c>
      <c r="J165">
        <v>0</v>
      </c>
      <c r="K165">
        <v>31</v>
      </c>
      <c r="L165" s="2">
        <v>3.5000000000000001E-3</v>
      </c>
      <c r="M165">
        <v>0.02</v>
      </c>
      <c r="N165" s="2">
        <v>0.1085</v>
      </c>
      <c r="O165" s="2">
        <v>0.62</v>
      </c>
    </row>
    <row r="166" spans="2:15">
      <c r="B166" t="s">
        <v>30</v>
      </c>
      <c r="C166" t="s">
        <v>31</v>
      </c>
      <c r="D166" t="s">
        <v>530</v>
      </c>
      <c r="E166" t="s">
        <v>531</v>
      </c>
      <c r="F166" t="s">
        <v>10</v>
      </c>
      <c r="G166" t="s">
        <v>530</v>
      </c>
      <c r="H166" t="s">
        <v>532</v>
      </c>
      <c r="I166" t="s">
        <v>26</v>
      </c>
      <c r="J166">
        <v>0</v>
      </c>
      <c r="K166">
        <v>2</v>
      </c>
      <c r="L166" s="2">
        <v>3.5000000000000001E-3</v>
      </c>
      <c r="M166">
        <v>0.02</v>
      </c>
      <c r="N166" s="2">
        <v>7.0000000000000001E-3</v>
      </c>
      <c r="O166" s="2">
        <v>0.04</v>
      </c>
    </row>
    <row r="167" spans="2:15">
      <c r="B167" t="s">
        <v>30</v>
      </c>
      <c r="C167" t="s">
        <v>31</v>
      </c>
      <c r="D167" t="s">
        <v>244</v>
      </c>
      <c r="E167" t="s">
        <v>245</v>
      </c>
      <c r="F167" t="s">
        <v>10</v>
      </c>
      <c r="G167" t="s">
        <v>244</v>
      </c>
      <c r="H167" t="s">
        <v>246</v>
      </c>
      <c r="I167" t="s">
        <v>26</v>
      </c>
      <c r="J167">
        <v>0</v>
      </c>
      <c r="K167">
        <v>227</v>
      </c>
      <c r="L167" s="2">
        <v>3.5000000000000001E-3</v>
      </c>
      <c r="M167">
        <v>0.02</v>
      </c>
      <c r="N167" s="2">
        <v>0.79449999999999998</v>
      </c>
      <c r="O167" s="2">
        <v>4.54</v>
      </c>
    </row>
    <row r="168" spans="2:15">
      <c r="B168" t="s">
        <v>30</v>
      </c>
      <c r="C168" t="s">
        <v>31</v>
      </c>
      <c r="D168" t="s">
        <v>247</v>
      </c>
      <c r="E168" t="s">
        <v>248</v>
      </c>
      <c r="F168" t="s">
        <v>10</v>
      </c>
      <c r="G168" t="s">
        <v>247</v>
      </c>
      <c r="H168" t="s">
        <v>249</v>
      </c>
      <c r="I168" t="s">
        <v>26</v>
      </c>
      <c r="J168">
        <v>0</v>
      </c>
      <c r="K168">
        <v>882</v>
      </c>
      <c r="L168" s="2">
        <v>3.5000000000000001E-3</v>
      </c>
      <c r="M168">
        <v>0.02</v>
      </c>
      <c r="N168" s="2">
        <v>3.0870000000000002</v>
      </c>
      <c r="O168" s="2">
        <v>17.64</v>
      </c>
    </row>
    <row r="169" spans="2:15">
      <c r="B169" t="s">
        <v>30</v>
      </c>
      <c r="C169" t="s">
        <v>31</v>
      </c>
      <c r="D169" t="s">
        <v>250</v>
      </c>
      <c r="E169" t="s">
        <v>251</v>
      </c>
      <c r="F169" t="s">
        <v>10</v>
      </c>
      <c r="G169" t="s">
        <v>250</v>
      </c>
      <c r="H169" t="s">
        <v>252</v>
      </c>
      <c r="I169" t="s">
        <v>26</v>
      </c>
      <c r="J169">
        <v>0</v>
      </c>
      <c r="K169">
        <v>3</v>
      </c>
      <c r="L169" s="2">
        <v>3.5000000000000001E-3</v>
      </c>
      <c r="M169">
        <v>0.02</v>
      </c>
      <c r="N169" s="2">
        <v>1.0500000000000001E-2</v>
      </c>
      <c r="O169" s="2">
        <v>0.06</v>
      </c>
    </row>
    <row r="170" spans="2:15">
      <c r="B170" t="s">
        <v>30</v>
      </c>
      <c r="C170" t="s">
        <v>31</v>
      </c>
      <c r="D170" t="s">
        <v>253</v>
      </c>
      <c r="E170" t="s">
        <v>254</v>
      </c>
      <c r="F170" t="s">
        <v>10</v>
      </c>
      <c r="G170" t="s">
        <v>253</v>
      </c>
      <c r="H170" t="s">
        <v>255</v>
      </c>
      <c r="I170" t="s">
        <v>26</v>
      </c>
      <c r="J170">
        <v>0</v>
      </c>
      <c r="K170">
        <v>1</v>
      </c>
      <c r="L170" s="2">
        <v>3.5000000000000001E-3</v>
      </c>
      <c r="M170">
        <v>0.02</v>
      </c>
      <c r="N170" s="2">
        <v>3.5000000000000001E-3</v>
      </c>
      <c r="O170" s="2">
        <v>0.02</v>
      </c>
    </row>
    <row r="171" spans="2:15">
      <c r="B171" t="s">
        <v>30</v>
      </c>
      <c r="C171" t="s">
        <v>31</v>
      </c>
      <c r="D171" t="s">
        <v>256</v>
      </c>
      <c r="E171" t="s">
        <v>257</v>
      </c>
      <c r="F171" t="s">
        <v>10</v>
      </c>
      <c r="G171" t="s">
        <v>256</v>
      </c>
      <c r="H171" t="s">
        <v>258</v>
      </c>
      <c r="I171" t="s">
        <v>26</v>
      </c>
      <c r="J171">
        <v>0</v>
      </c>
      <c r="K171">
        <v>6</v>
      </c>
      <c r="L171" s="2">
        <v>3.5000000000000001E-3</v>
      </c>
      <c r="M171">
        <v>0.02</v>
      </c>
      <c r="N171" s="2">
        <v>2.1000000000000001E-2</v>
      </c>
      <c r="O171" s="2">
        <v>0.12</v>
      </c>
    </row>
    <row r="172" spans="2:15">
      <c r="B172" t="s">
        <v>30</v>
      </c>
      <c r="C172" t="s">
        <v>31</v>
      </c>
      <c r="D172" t="s">
        <v>259</v>
      </c>
      <c r="E172" t="s">
        <v>260</v>
      </c>
      <c r="F172" t="s">
        <v>10</v>
      </c>
      <c r="G172" t="s">
        <v>259</v>
      </c>
      <c r="H172" t="s">
        <v>261</v>
      </c>
      <c r="I172" t="s">
        <v>26</v>
      </c>
      <c r="J172">
        <v>0</v>
      </c>
      <c r="K172">
        <v>7</v>
      </c>
      <c r="L172" s="2">
        <v>3.5000000000000001E-3</v>
      </c>
      <c r="M172">
        <v>0.02</v>
      </c>
      <c r="N172" s="2">
        <v>2.4500000000000001E-2</v>
      </c>
      <c r="O172" s="2">
        <v>0.14000000000000001</v>
      </c>
    </row>
    <row r="173" spans="2:15">
      <c r="B173" t="s">
        <v>30</v>
      </c>
      <c r="C173" t="s">
        <v>31</v>
      </c>
      <c r="D173" t="s">
        <v>262</v>
      </c>
      <c r="E173" t="s">
        <v>263</v>
      </c>
      <c r="F173" t="s">
        <v>10</v>
      </c>
      <c r="G173" t="s">
        <v>262</v>
      </c>
      <c r="H173" t="s">
        <v>264</v>
      </c>
      <c r="I173" t="s">
        <v>26</v>
      </c>
      <c r="J173">
        <v>0</v>
      </c>
      <c r="K173">
        <v>2</v>
      </c>
      <c r="L173" s="2">
        <v>3.5000000000000001E-3</v>
      </c>
      <c r="M173">
        <v>0.02</v>
      </c>
      <c r="N173" s="2">
        <v>7.0000000000000001E-3</v>
      </c>
      <c r="O173" s="2">
        <v>0.04</v>
      </c>
    </row>
    <row r="174" spans="2:15">
      <c r="B174" t="s">
        <v>30</v>
      </c>
      <c r="C174" t="s">
        <v>31</v>
      </c>
      <c r="D174" t="s">
        <v>52</v>
      </c>
      <c r="E174" t="s">
        <v>53</v>
      </c>
      <c r="F174" t="s">
        <v>10</v>
      </c>
      <c r="G174" t="s">
        <v>52</v>
      </c>
      <c r="H174" t="s">
        <v>54</v>
      </c>
      <c r="I174" t="s">
        <v>26</v>
      </c>
      <c r="J174">
        <v>0</v>
      </c>
      <c r="K174">
        <v>31</v>
      </c>
      <c r="L174" s="2">
        <v>3.5000000000000001E-3</v>
      </c>
      <c r="M174">
        <v>0.02</v>
      </c>
      <c r="N174" s="2">
        <v>0.1085</v>
      </c>
      <c r="O174" s="2">
        <v>0.62</v>
      </c>
    </row>
    <row r="175" spans="2:15">
      <c r="B175" t="s">
        <v>30</v>
      </c>
      <c r="C175" t="s">
        <v>31</v>
      </c>
      <c r="D175" t="s">
        <v>55</v>
      </c>
      <c r="E175" t="s">
        <v>56</v>
      </c>
      <c r="F175" t="s">
        <v>10</v>
      </c>
      <c r="G175" t="s">
        <v>55</v>
      </c>
      <c r="H175" t="s">
        <v>57</v>
      </c>
      <c r="I175" t="s">
        <v>26</v>
      </c>
      <c r="J175">
        <v>0</v>
      </c>
      <c r="K175">
        <v>52</v>
      </c>
      <c r="L175" s="2">
        <v>3.5000000000000001E-3</v>
      </c>
      <c r="M175">
        <v>0.02</v>
      </c>
      <c r="N175" s="2">
        <v>0.182</v>
      </c>
      <c r="O175" s="2">
        <v>1.04</v>
      </c>
    </row>
    <row r="176" spans="2:15">
      <c r="B176" t="s">
        <v>30</v>
      </c>
      <c r="C176" t="s">
        <v>31</v>
      </c>
      <c r="D176" t="s">
        <v>58</v>
      </c>
      <c r="E176" t="s">
        <v>59</v>
      </c>
      <c r="F176" t="s">
        <v>10</v>
      </c>
      <c r="G176" t="s">
        <v>58</v>
      </c>
      <c r="H176" t="s">
        <v>60</v>
      </c>
      <c r="I176" t="s">
        <v>26</v>
      </c>
      <c r="J176">
        <v>0</v>
      </c>
      <c r="K176">
        <v>98</v>
      </c>
      <c r="L176" s="2">
        <v>3.5000000000000001E-3</v>
      </c>
      <c r="M176">
        <v>0.02</v>
      </c>
      <c r="N176" s="2">
        <v>0.34300000000000003</v>
      </c>
      <c r="O176" s="2">
        <v>1.96</v>
      </c>
    </row>
    <row r="177" spans="2:15">
      <c r="B177" t="s">
        <v>30</v>
      </c>
      <c r="C177" t="s">
        <v>31</v>
      </c>
      <c r="D177" t="s">
        <v>533</v>
      </c>
      <c r="E177" t="s">
        <v>534</v>
      </c>
      <c r="F177" t="s">
        <v>10</v>
      </c>
      <c r="G177" t="s">
        <v>533</v>
      </c>
      <c r="H177" t="s">
        <v>535</v>
      </c>
      <c r="I177" t="s">
        <v>26</v>
      </c>
      <c r="J177">
        <v>0</v>
      </c>
      <c r="K177">
        <v>1</v>
      </c>
      <c r="L177" s="2">
        <v>3.5000000000000001E-3</v>
      </c>
      <c r="M177">
        <v>0.02</v>
      </c>
      <c r="N177" s="2">
        <v>3.5000000000000001E-3</v>
      </c>
      <c r="O177" s="2">
        <v>0.02</v>
      </c>
    </row>
    <row r="178" spans="2:15">
      <c r="B178" t="s">
        <v>30</v>
      </c>
      <c r="C178" t="s">
        <v>31</v>
      </c>
      <c r="D178" t="s">
        <v>536</v>
      </c>
      <c r="E178" t="s">
        <v>537</v>
      </c>
      <c r="F178" t="s">
        <v>10</v>
      </c>
      <c r="G178" t="s">
        <v>536</v>
      </c>
      <c r="H178" t="s">
        <v>538</v>
      </c>
      <c r="I178" t="s">
        <v>26</v>
      </c>
      <c r="J178">
        <v>0</v>
      </c>
      <c r="K178">
        <v>1</v>
      </c>
      <c r="L178" s="2">
        <v>3.5000000000000001E-3</v>
      </c>
      <c r="M178">
        <v>0.02</v>
      </c>
      <c r="N178" s="2">
        <v>3.5000000000000001E-3</v>
      </c>
      <c r="O178" s="2">
        <v>0.02</v>
      </c>
    </row>
    <row r="179" spans="2:15">
      <c r="B179" t="s">
        <v>30</v>
      </c>
      <c r="C179" t="s">
        <v>31</v>
      </c>
      <c r="D179" t="s">
        <v>265</v>
      </c>
      <c r="E179" t="s">
        <v>266</v>
      </c>
      <c r="F179" t="s">
        <v>10</v>
      </c>
      <c r="G179" t="s">
        <v>265</v>
      </c>
      <c r="H179" t="s">
        <v>267</v>
      </c>
      <c r="I179" t="s">
        <v>26</v>
      </c>
      <c r="J179">
        <v>0</v>
      </c>
      <c r="K179">
        <v>2</v>
      </c>
      <c r="L179" s="2">
        <v>3.5000000000000001E-3</v>
      </c>
      <c r="M179">
        <v>0.02</v>
      </c>
      <c r="N179" s="2">
        <v>7.0000000000000001E-3</v>
      </c>
      <c r="O179" s="2">
        <v>0.04</v>
      </c>
    </row>
    <row r="180" spans="2:15">
      <c r="B180" t="s">
        <v>30</v>
      </c>
      <c r="C180" t="s">
        <v>31</v>
      </c>
      <c r="D180" t="s">
        <v>539</v>
      </c>
      <c r="E180" t="s">
        <v>540</v>
      </c>
      <c r="F180" t="s">
        <v>10</v>
      </c>
      <c r="G180" t="s">
        <v>539</v>
      </c>
      <c r="H180" t="s">
        <v>541</v>
      </c>
      <c r="I180" t="s">
        <v>26</v>
      </c>
      <c r="J180">
        <v>0</v>
      </c>
      <c r="K180">
        <v>2032</v>
      </c>
      <c r="L180" s="2">
        <v>3.5000000000000001E-3</v>
      </c>
      <c r="M180">
        <v>0.02</v>
      </c>
      <c r="N180" s="2">
        <v>7.1120000000000001</v>
      </c>
      <c r="O180" s="2">
        <v>40.64</v>
      </c>
    </row>
    <row r="181" spans="2:15">
      <c r="B181" t="s">
        <v>30</v>
      </c>
      <c r="C181" t="s">
        <v>31</v>
      </c>
      <c r="D181" t="s">
        <v>181</v>
      </c>
      <c r="E181" t="s">
        <v>182</v>
      </c>
      <c r="F181" t="s">
        <v>10</v>
      </c>
      <c r="G181" t="s">
        <v>181</v>
      </c>
      <c r="H181" t="s">
        <v>183</v>
      </c>
      <c r="I181" t="s">
        <v>26</v>
      </c>
      <c r="J181">
        <v>0</v>
      </c>
      <c r="K181">
        <v>2759</v>
      </c>
      <c r="L181" s="2">
        <v>3.5000000000000001E-3</v>
      </c>
      <c r="M181">
        <v>0.02</v>
      </c>
      <c r="N181" s="2">
        <v>9.6564999999999994</v>
      </c>
      <c r="O181" s="2">
        <v>55.18</v>
      </c>
    </row>
    <row r="182" spans="2:15">
      <c r="B182" t="s">
        <v>30</v>
      </c>
      <c r="C182" t="s">
        <v>31</v>
      </c>
      <c r="D182" t="s">
        <v>268</v>
      </c>
      <c r="E182" t="s">
        <v>269</v>
      </c>
      <c r="F182" t="s">
        <v>10</v>
      </c>
      <c r="G182" t="s">
        <v>268</v>
      </c>
      <c r="H182" t="s">
        <v>270</v>
      </c>
      <c r="I182" t="s">
        <v>26</v>
      </c>
      <c r="J182">
        <v>0</v>
      </c>
      <c r="K182">
        <v>11</v>
      </c>
      <c r="L182" s="2">
        <v>3.5000000000000001E-3</v>
      </c>
      <c r="M182">
        <v>0.02</v>
      </c>
      <c r="N182" s="2">
        <v>3.85E-2</v>
      </c>
      <c r="O182" s="2">
        <v>0.22</v>
      </c>
    </row>
    <row r="183" spans="2:15">
      <c r="B183" t="s">
        <v>30</v>
      </c>
      <c r="C183" t="s">
        <v>31</v>
      </c>
      <c r="D183" t="s">
        <v>271</v>
      </c>
      <c r="E183" t="s">
        <v>272</v>
      </c>
      <c r="F183" t="s">
        <v>10</v>
      </c>
      <c r="G183" t="s">
        <v>271</v>
      </c>
      <c r="H183" t="s">
        <v>273</v>
      </c>
      <c r="I183" t="s">
        <v>26</v>
      </c>
      <c r="J183">
        <v>0</v>
      </c>
      <c r="K183">
        <v>15</v>
      </c>
      <c r="L183" s="2">
        <v>3.5000000000000001E-3</v>
      </c>
      <c r="M183">
        <v>0.02</v>
      </c>
      <c r="N183" s="2">
        <v>5.2499999999999998E-2</v>
      </c>
      <c r="O183" s="2">
        <v>0.3</v>
      </c>
    </row>
    <row r="184" spans="2:15">
      <c r="B184" t="s">
        <v>30</v>
      </c>
      <c r="C184" t="s">
        <v>31</v>
      </c>
      <c r="D184" t="s">
        <v>542</v>
      </c>
      <c r="E184" t="s">
        <v>543</v>
      </c>
      <c r="F184" t="s">
        <v>10</v>
      </c>
      <c r="G184" t="s">
        <v>542</v>
      </c>
      <c r="H184" t="s">
        <v>544</v>
      </c>
      <c r="I184" t="s">
        <v>26</v>
      </c>
      <c r="J184">
        <v>0</v>
      </c>
      <c r="K184">
        <v>24</v>
      </c>
      <c r="L184" s="2">
        <v>3.5000000000000001E-3</v>
      </c>
      <c r="M184">
        <v>0.02</v>
      </c>
      <c r="N184" s="2">
        <v>8.4000000000000005E-2</v>
      </c>
      <c r="O184" s="2">
        <v>0.48</v>
      </c>
    </row>
    <row r="185" spans="2:15">
      <c r="B185" t="s">
        <v>30</v>
      </c>
      <c r="C185" t="s">
        <v>31</v>
      </c>
      <c r="D185" t="s">
        <v>274</v>
      </c>
      <c r="E185" t="s">
        <v>275</v>
      </c>
      <c r="F185" t="s">
        <v>10</v>
      </c>
      <c r="G185" t="s">
        <v>274</v>
      </c>
      <c r="H185" t="s">
        <v>276</v>
      </c>
      <c r="I185" t="s">
        <v>26</v>
      </c>
      <c r="J185">
        <v>0</v>
      </c>
      <c r="K185">
        <v>24</v>
      </c>
      <c r="L185" s="2">
        <v>3.5000000000000001E-3</v>
      </c>
      <c r="M185">
        <v>0.02</v>
      </c>
      <c r="N185" s="2">
        <v>8.4000000000000005E-2</v>
      </c>
      <c r="O185" s="2">
        <v>0.48</v>
      </c>
    </row>
    <row r="186" spans="2:15">
      <c r="B186" t="s">
        <v>30</v>
      </c>
      <c r="C186" t="s">
        <v>31</v>
      </c>
      <c r="D186" t="s">
        <v>277</v>
      </c>
      <c r="E186" t="s">
        <v>278</v>
      </c>
      <c r="F186" t="s">
        <v>10</v>
      </c>
      <c r="G186" t="s">
        <v>277</v>
      </c>
      <c r="H186" t="s">
        <v>279</v>
      </c>
      <c r="I186" t="s">
        <v>26</v>
      </c>
      <c r="J186">
        <v>0</v>
      </c>
      <c r="K186">
        <v>18</v>
      </c>
      <c r="L186" s="2">
        <v>3.5000000000000001E-3</v>
      </c>
      <c r="M186">
        <v>0.02</v>
      </c>
      <c r="N186" s="2">
        <v>6.3E-2</v>
      </c>
      <c r="O186" s="2">
        <v>0.36</v>
      </c>
    </row>
    <row r="187" spans="2:15">
      <c r="B187" t="s">
        <v>30</v>
      </c>
      <c r="C187" t="s">
        <v>31</v>
      </c>
      <c r="D187" t="s">
        <v>545</v>
      </c>
      <c r="E187" t="s">
        <v>546</v>
      </c>
      <c r="F187" t="s">
        <v>10</v>
      </c>
      <c r="G187" t="s">
        <v>545</v>
      </c>
      <c r="H187" t="s">
        <v>547</v>
      </c>
      <c r="I187" t="s">
        <v>26</v>
      </c>
      <c r="J187">
        <v>0</v>
      </c>
      <c r="K187">
        <v>1</v>
      </c>
      <c r="L187" s="2">
        <v>3.5000000000000001E-3</v>
      </c>
      <c r="M187">
        <v>0.02</v>
      </c>
      <c r="N187" s="2">
        <v>3.5000000000000001E-3</v>
      </c>
      <c r="O187" s="2">
        <v>0.02</v>
      </c>
    </row>
    <row r="188" spans="2:15">
      <c r="B188" t="s">
        <v>30</v>
      </c>
      <c r="C188" t="s">
        <v>31</v>
      </c>
      <c r="D188" t="s">
        <v>548</v>
      </c>
      <c r="E188" t="s">
        <v>549</v>
      </c>
      <c r="F188" t="s">
        <v>10</v>
      </c>
      <c r="G188" t="s">
        <v>548</v>
      </c>
      <c r="H188" t="s">
        <v>550</v>
      </c>
      <c r="I188" t="s">
        <v>26</v>
      </c>
      <c r="J188">
        <v>0</v>
      </c>
      <c r="K188">
        <v>1</v>
      </c>
      <c r="L188" s="2">
        <v>3.5000000000000001E-3</v>
      </c>
      <c r="M188">
        <v>0.02</v>
      </c>
      <c r="N188" s="2">
        <v>3.5000000000000001E-3</v>
      </c>
      <c r="O188" s="2">
        <v>0.02</v>
      </c>
    </row>
    <row r="189" spans="2:15">
      <c r="B189" t="s">
        <v>30</v>
      </c>
      <c r="C189" t="s">
        <v>31</v>
      </c>
      <c r="D189" t="s">
        <v>551</v>
      </c>
      <c r="E189" t="s">
        <v>552</v>
      </c>
      <c r="F189" t="s">
        <v>10</v>
      </c>
      <c r="G189" t="s">
        <v>551</v>
      </c>
      <c r="H189" t="s">
        <v>553</v>
      </c>
      <c r="I189" t="s">
        <v>26</v>
      </c>
      <c r="J189">
        <v>0</v>
      </c>
      <c r="K189">
        <v>1</v>
      </c>
      <c r="L189" s="2">
        <v>3.5000000000000001E-3</v>
      </c>
      <c r="M189">
        <v>0.02</v>
      </c>
      <c r="N189" s="2">
        <v>3.5000000000000001E-3</v>
      </c>
      <c r="O189" s="2">
        <v>0.02</v>
      </c>
    </row>
    <row r="190" spans="2:15">
      <c r="B190" t="s">
        <v>30</v>
      </c>
      <c r="C190" t="s">
        <v>31</v>
      </c>
      <c r="D190" t="s">
        <v>280</v>
      </c>
      <c r="E190" t="s">
        <v>281</v>
      </c>
      <c r="F190" t="s">
        <v>10</v>
      </c>
      <c r="G190" t="s">
        <v>280</v>
      </c>
      <c r="H190" t="s">
        <v>282</v>
      </c>
      <c r="I190" t="s">
        <v>26</v>
      </c>
      <c r="J190">
        <v>0</v>
      </c>
      <c r="K190">
        <v>20</v>
      </c>
      <c r="L190" s="2">
        <v>3.5000000000000001E-3</v>
      </c>
      <c r="M190">
        <v>0.02</v>
      </c>
      <c r="N190" s="2">
        <v>7.0000000000000007E-2</v>
      </c>
      <c r="O190" s="2">
        <v>0.4</v>
      </c>
    </row>
    <row r="191" spans="2:15">
      <c r="B191" t="s">
        <v>30</v>
      </c>
      <c r="C191" t="s">
        <v>31</v>
      </c>
      <c r="D191" t="s">
        <v>554</v>
      </c>
      <c r="E191" t="s">
        <v>555</v>
      </c>
      <c r="F191" t="s">
        <v>10</v>
      </c>
      <c r="G191" t="s">
        <v>554</v>
      </c>
      <c r="H191" t="s">
        <v>556</v>
      </c>
      <c r="I191" t="s">
        <v>26</v>
      </c>
      <c r="J191">
        <v>0</v>
      </c>
      <c r="K191">
        <v>1</v>
      </c>
      <c r="L191" s="2">
        <v>3.5000000000000001E-3</v>
      </c>
      <c r="M191">
        <v>0.02</v>
      </c>
      <c r="N191" s="2">
        <v>3.5000000000000001E-3</v>
      </c>
      <c r="O191" s="2">
        <v>0.02</v>
      </c>
    </row>
    <row r="192" spans="2:15">
      <c r="B192" t="s">
        <v>30</v>
      </c>
      <c r="C192" t="s">
        <v>31</v>
      </c>
      <c r="D192" t="s">
        <v>557</v>
      </c>
      <c r="E192" t="s">
        <v>558</v>
      </c>
      <c r="F192" t="s">
        <v>10</v>
      </c>
      <c r="G192" t="s">
        <v>557</v>
      </c>
      <c r="H192" t="s">
        <v>559</v>
      </c>
      <c r="I192" t="s">
        <v>26</v>
      </c>
      <c r="J192">
        <v>0</v>
      </c>
      <c r="K192">
        <v>1</v>
      </c>
      <c r="L192" s="2">
        <v>3.5000000000000001E-3</v>
      </c>
      <c r="M192">
        <v>0.02</v>
      </c>
      <c r="N192" s="2">
        <v>3.5000000000000001E-3</v>
      </c>
      <c r="O192" s="2">
        <v>0.02</v>
      </c>
    </row>
    <row r="193" spans="2:15">
      <c r="B193" t="s">
        <v>30</v>
      </c>
      <c r="C193" t="s">
        <v>31</v>
      </c>
      <c r="D193" t="s">
        <v>560</v>
      </c>
      <c r="E193" t="s">
        <v>561</v>
      </c>
      <c r="F193" t="s">
        <v>10</v>
      </c>
      <c r="G193" t="s">
        <v>560</v>
      </c>
      <c r="H193" t="s">
        <v>562</v>
      </c>
      <c r="I193" t="s">
        <v>26</v>
      </c>
      <c r="J193">
        <v>0</v>
      </c>
      <c r="K193">
        <v>1</v>
      </c>
      <c r="L193" s="2">
        <v>3.5000000000000001E-3</v>
      </c>
      <c r="M193">
        <v>0.02</v>
      </c>
      <c r="N193" s="2">
        <v>3.5000000000000001E-3</v>
      </c>
      <c r="O193" s="2">
        <v>0.02</v>
      </c>
    </row>
    <row r="194" spans="2:15">
      <c r="B194" t="s">
        <v>30</v>
      </c>
      <c r="C194" t="s">
        <v>31</v>
      </c>
      <c r="D194" t="s">
        <v>563</v>
      </c>
      <c r="E194" t="s">
        <v>564</v>
      </c>
      <c r="F194" t="s">
        <v>10</v>
      </c>
      <c r="G194" t="s">
        <v>563</v>
      </c>
      <c r="H194" t="s">
        <v>565</v>
      </c>
      <c r="I194" t="s">
        <v>26</v>
      </c>
      <c r="J194">
        <v>0</v>
      </c>
      <c r="K194">
        <v>1</v>
      </c>
      <c r="L194" s="2">
        <v>3.5000000000000001E-3</v>
      </c>
      <c r="M194">
        <v>0.02</v>
      </c>
      <c r="N194" s="2">
        <v>3.5000000000000001E-3</v>
      </c>
      <c r="O194" s="2">
        <v>0.02</v>
      </c>
    </row>
    <row r="195" spans="2:15">
      <c r="B195" t="s">
        <v>30</v>
      </c>
      <c r="C195" t="s">
        <v>31</v>
      </c>
      <c r="D195" t="s">
        <v>283</v>
      </c>
      <c r="E195" t="s">
        <v>284</v>
      </c>
      <c r="F195" t="s">
        <v>10</v>
      </c>
      <c r="G195" t="s">
        <v>283</v>
      </c>
      <c r="H195" t="s">
        <v>285</v>
      </c>
      <c r="I195" t="s">
        <v>26</v>
      </c>
      <c r="J195">
        <v>0</v>
      </c>
      <c r="K195">
        <v>17</v>
      </c>
      <c r="L195" s="2">
        <v>3.5000000000000001E-3</v>
      </c>
      <c r="M195">
        <v>0.02</v>
      </c>
      <c r="N195" s="2">
        <v>5.9500000000000004E-2</v>
      </c>
      <c r="O195" s="2">
        <v>0.34</v>
      </c>
    </row>
    <row r="196" spans="2:15">
      <c r="B196" t="s">
        <v>30</v>
      </c>
      <c r="C196" t="s">
        <v>31</v>
      </c>
      <c r="D196" t="s">
        <v>286</v>
      </c>
      <c r="E196" t="s">
        <v>287</v>
      </c>
      <c r="F196" t="s">
        <v>10</v>
      </c>
      <c r="G196" t="s">
        <v>286</v>
      </c>
      <c r="H196" t="s">
        <v>288</v>
      </c>
      <c r="I196" t="s">
        <v>26</v>
      </c>
      <c r="J196">
        <v>0</v>
      </c>
      <c r="K196">
        <v>15</v>
      </c>
      <c r="L196" s="2">
        <v>3.5000000000000001E-3</v>
      </c>
      <c r="M196">
        <v>0.02</v>
      </c>
      <c r="N196" s="2">
        <v>5.2499999999999998E-2</v>
      </c>
      <c r="O196" s="2">
        <v>0.3</v>
      </c>
    </row>
    <row r="197" spans="2:15">
      <c r="B197" t="s">
        <v>30</v>
      </c>
      <c r="C197" t="s">
        <v>31</v>
      </c>
      <c r="D197" t="s">
        <v>566</v>
      </c>
      <c r="E197" t="s">
        <v>567</v>
      </c>
      <c r="F197" t="s">
        <v>10</v>
      </c>
      <c r="G197" t="s">
        <v>566</v>
      </c>
      <c r="H197" t="s">
        <v>568</v>
      </c>
      <c r="I197" t="s">
        <v>26</v>
      </c>
      <c r="J197">
        <v>0</v>
      </c>
      <c r="K197">
        <v>1</v>
      </c>
      <c r="L197" s="2">
        <v>3.5000000000000001E-3</v>
      </c>
      <c r="M197">
        <v>0.02</v>
      </c>
      <c r="N197" s="2">
        <v>3.5000000000000001E-3</v>
      </c>
      <c r="O197" s="2">
        <v>0.02</v>
      </c>
    </row>
    <row r="198" spans="2:15">
      <c r="B198" t="s">
        <v>30</v>
      </c>
      <c r="C198" t="s">
        <v>31</v>
      </c>
      <c r="D198" t="s">
        <v>569</v>
      </c>
      <c r="E198" t="s">
        <v>570</v>
      </c>
      <c r="F198" t="s">
        <v>10</v>
      </c>
      <c r="G198" t="s">
        <v>569</v>
      </c>
      <c r="H198" t="s">
        <v>571</v>
      </c>
      <c r="I198" t="s">
        <v>26</v>
      </c>
      <c r="J198">
        <v>0</v>
      </c>
      <c r="K198">
        <v>1</v>
      </c>
      <c r="L198" s="2">
        <v>3.5000000000000001E-3</v>
      </c>
      <c r="M198">
        <v>0.02</v>
      </c>
      <c r="N198" s="2">
        <v>3.5000000000000001E-3</v>
      </c>
      <c r="O198" s="2">
        <v>0.02</v>
      </c>
    </row>
    <row r="199" spans="2:15">
      <c r="L199" s="2"/>
      <c r="N199" s="2"/>
      <c r="O199" s="2"/>
    </row>
    <row r="200" spans="2:15">
      <c r="L200" s="2"/>
      <c r="N200" s="2"/>
      <c r="O200" s="2"/>
    </row>
    <row r="201" spans="2:15">
      <c r="L201" s="2"/>
      <c r="N201" s="2"/>
      <c r="O201" s="2"/>
    </row>
    <row r="202" spans="2:15">
      <c r="L202" s="2"/>
      <c r="N202" s="2"/>
      <c r="O202" s="2"/>
    </row>
    <row r="203" spans="2:15">
      <c r="L203" s="2"/>
      <c r="N203" s="2"/>
      <c r="O203" s="2"/>
    </row>
    <row r="204" spans="2:15">
      <c r="L204" s="2"/>
      <c r="N204" s="2"/>
      <c r="O204" s="2"/>
    </row>
    <row r="205" spans="2:15">
      <c r="L205" s="2"/>
      <c r="N205" s="2"/>
      <c r="O205" s="2"/>
    </row>
    <row r="206" spans="2:15">
      <c r="L206" s="2"/>
      <c r="N206" s="2"/>
      <c r="O206" s="2"/>
    </row>
    <row r="207" spans="2:15">
      <c r="L207" s="2"/>
      <c r="N207" s="2"/>
      <c r="O207" s="2"/>
    </row>
    <row r="208" spans="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N1231" s="3"/>
      <c r="O1231" s="3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2019-08-06T18:44:59Z</dcterms:modified>
</cp:coreProperties>
</file>