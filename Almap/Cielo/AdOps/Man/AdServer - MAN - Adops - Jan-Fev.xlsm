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Man\"/>
    </mc:Choice>
  </mc:AlternateContent>
  <xr:revisionPtr revIDLastSave="0" documentId="13_ncr:1_{773A5E19-30AC-4A1D-A78A-1FD7FED091FF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Resumo!$A$18:$O$1845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 iterateCount="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8" i="8" l="1"/>
  <c r="E8" i="8"/>
  <c r="E801" i="6"/>
  <c r="G5" i="8"/>
  <c r="E2" i="6"/>
  <c r="L2" i="6"/>
  <c r="I2" i="6"/>
  <c r="N2" i="6"/>
  <c r="D4" i="8"/>
  <c r="E4" i="8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2" i="6"/>
  <c r="M2" i="6"/>
  <c r="K3" i="6"/>
  <c r="M3" i="6"/>
  <c r="K4" i="6"/>
  <c r="M4" i="6"/>
  <c r="K5" i="6"/>
  <c r="M5" i="6"/>
  <c r="K6" i="6"/>
  <c r="M6" i="6"/>
  <c r="K7" i="6"/>
  <c r="M7" i="6"/>
  <c r="K8" i="6"/>
  <c r="M8" i="6"/>
  <c r="K9" i="6"/>
  <c r="M9" i="6"/>
  <c r="K10" i="6"/>
  <c r="M10" i="6"/>
  <c r="K11" i="6"/>
  <c r="M11" i="6"/>
  <c r="K12" i="6"/>
  <c r="M12" i="6"/>
  <c r="K13" i="6"/>
  <c r="M13" i="6"/>
  <c r="K14" i="6"/>
  <c r="M14" i="6"/>
  <c r="K15" i="6"/>
  <c r="M15" i="6"/>
  <c r="K16" i="6"/>
  <c r="M16" i="6"/>
  <c r="K17" i="6"/>
  <c r="M17" i="6"/>
  <c r="K18" i="6"/>
  <c r="M18" i="6"/>
  <c r="K19" i="6"/>
  <c r="M19" i="6"/>
  <c r="K20" i="6"/>
  <c r="M20" i="6"/>
  <c r="K21" i="6"/>
  <c r="M21" i="6"/>
  <c r="K22" i="6"/>
  <c r="M22" i="6"/>
  <c r="K23" i="6"/>
  <c r="M23" i="6"/>
  <c r="K24" i="6"/>
  <c r="M24" i="6"/>
  <c r="K25" i="6"/>
  <c r="M25" i="6"/>
  <c r="K26" i="6"/>
  <c r="M26" i="6"/>
  <c r="K27" i="6"/>
  <c r="M27" i="6"/>
  <c r="K28" i="6"/>
  <c r="M28" i="6"/>
  <c r="K29" i="6"/>
  <c r="M29" i="6"/>
  <c r="K30" i="6"/>
  <c r="M30" i="6"/>
  <c r="K31" i="6"/>
  <c r="M31" i="6"/>
  <c r="K32" i="6"/>
  <c r="M32" i="6"/>
  <c r="K33" i="6"/>
  <c r="M33" i="6"/>
  <c r="K34" i="6"/>
  <c r="M34" i="6"/>
  <c r="K35" i="6"/>
  <c r="M35" i="6"/>
  <c r="K36" i="6"/>
  <c r="M36" i="6"/>
  <c r="K37" i="6"/>
  <c r="M37" i="6"/>
  <c r="K38" i="6"/>
  <c r="M38" i="6"/>
  <c r="K39" i="6"/>
  <c r="M39" i="6"/>
  <c r="K40" i="6"/>
  <c r="M40" i="6"/>
  <c r="K41" i="6"/>
  <c r="M41" i="6"/>
  <c r="K42" i="6"/>
  <c r="M42" i="6"/>
  <c r="K43" i="6"/>
  <c r="M43" i="6"/>
  <c r="K44" i="6"/>
  <c r="M44" i="6"/>
  <c r="K45" i="6"/>
  <c r="M45" i="6"/>
  <c r="K46" i="6"/>
  <c r="M46" i="6"/>
  <c r="K47" i="6"/>
  <c r="M47" i="6"/>
  <c r="K48" i="6"/>
  <c r="M48" i="6"/>
  <c r="K49" i="6"/>
  <c r="M49" i="6"/>
  <c r="K50" i="6"/>
  <c r="M50" i="6"/>
  <c r="K51" i="6"/>
  <c r="M51" i="6"/>
  <c r="K52" i="6"/>
  <c r="M52" i="6"/>
  <c r="K53" i="6"/>
  <c r="M53" i="6"/>
  <c r="K54" i="6"/>
  <c r="M54" i="6"/>
  <c r="K55" i="6"/>
  <c r="M55" i="6"/>
  <c r="K56" i="6"/>
  <c r="M56" i="6"/>
  <c r="K57" i="6"/>
  <c r="M57" i="6"/>
  <c r="K58" i="6"/>
  <c r="M58" i="6"/>
  <c r="K59" i="6"/>
  <c r="M59" i="6"/>
  <c r="K60" i="6"/>
  <c r="M60" i="6"/>
  <c r="K61" i="6"/>
  <c r="M61" i="6"/>
  <c r="K62" i="6"/>
  <c r="M62" i="6"/>
  <c r="K63" i="6"/>
  <c r="M63" i="6"/>
  <c r="K64" i="6"/>
  <c r="M64" i="6"/>
  <c r="K65" i="6"/>
  <c r="M65" i="6"/>
  <c r="K66" i="6"/>
  <c r="M66" i="6"/>
  <c r="K67" i="6"/>
  <c r="M67" i="6"/>
  <c r="K68" i="6"/>
  <c r="M68" i="6"/>
  <c r="K69" i="6"/>
  <c r="M69" i="6"/>
  <c r="K70" i="6"/>
  <c r="M70" i="6"/>
  <c r="K71" i="6"/>
  <c r="M71" i="6"/>
  <c r="K72" i="6"/>
  <c r="M72" i="6"/>
  <c r="K73" i="6"/>
  <c r="M73" i="6"/>
  <c r="K74" i="6"/>
  <c r="M74" i="6"/>
  <c r="K75" i="6"/>
  <c r="M75" i="6"/>
  <c r="K76" i="6"/>
  <c r="M76" i="6"/>
  <c r="K77" i="6"/>
  <c r="M77" i="6"/>
  <c r="K78" i="6"/>
  <c r="M78" i="6"/>
  <c r="K79" i="6"/>
  <c r="M79" i="6"/>
  <c r="K80" i="6"/>
  <c r="M80" i="6"/>
  <c r="K81" i="6"/>
  <c r="M81" i="6"/>
  <c r="K82" i="6"/>
  <c r="M82" i="6"/>
  <c r="K83" i="6"/>
  <c r="M83" i="6"/>
  <c r="K84" i="6"/>
  <c r="M84" i="6"/>
  <c r="K85" i="6"/>
  <c r="M85" i="6"/>
  <c r="K86" i="6"/>
  <c r="M86" i="6"/>
  <c r="K87" i="6"/>
  <c r="M87" i="6"/>
  <c r="K88" i="6"/>
  <c r="M88" i="6"/>
  <c r="K89" i="6"/>
  <c r="M89" i="6"/>
  <c r="K90" i="6"/>
  <c r="M90" i="6"/>
  <c r="K91" i="6"/>
  <c r="M91" i="6"/>
  <c r="K92" i="6"/>
  <c r="M92" i="6"/>
  <c r="K93" i="6"/>
  <c r="M93" i="6"/>
  <c r="K94" i="6"/>
  <c r="M94" i="6"/>
  <c r="K95" i="6"/>
  <c r="M95" i="6"/>
  <c r="K96" i="6"/>
  <c r="M96" i="6"/>
  <c r="K97" i="6"/>
  <c r="M97" i="6"/>
  <c r="K98" i="6"/>
  <c r="M98" i="6"/>
  <c r="K99" i="6"/>
  <c r="M99" i="6"/>
  <c r="K100" i="6"/>
  <c r="M100" i="6"/>
  <c r="K101" i="6"/>
  <c r="M101" i="6"/>
  <c r="K102" i="6"/>
  <c r="M102" i="6"/>
  <c r="K103" i="6"/>
  <c r="M103" i="6"/>
  <c r="K104" i="6"/>
  <c r="M104" i="6"/>
  <c r="K105" i="6"/>
  <c r="M105" i="6"/>
  <c r="K106" i="6"/>
  <c r="M106" i="6"/>
  <c r="K107" i="6"/>
  <c r="M107" i="6"/>
  <c r="K108" i="6"/>
  <c r="M108" i="6"/>
  <c r="K109" i="6"/>
  <c r="M109" i="6"/>
  <c r="K110" i="6"/>
  <c r="M110" i="6"/>
  <c r="K111" i="6"/>
  <c r="M111" i="6"/>
  <c r="K112" i="6"/>
  <c r="M112" i="6"/>
  <c r="K113" i="6"/>
  <c r="M113" i="6"/>
  <c r="K114" i="6"/>
  <c r="M114" i="6"/>
  <c r="K115" i="6"/>
  <c r="M115" i="6"/>
  <c r="K116" i="6"/>
  <c r="M116" i="6"/>
  <c r="K117" i="6"/>
  <c r="M117" i="6"/>
  <c r="K118" i="6"/>
  <c r="M118" i="6"/>
  <c r="K119" i="6"/>
  <c r="M119" i="6"/>
  <c r="K120" i="6"/>
  <c r="M120" i="6"/>
  <c r="K121" i="6"/>
  <c r="M121" i="6"/>
  <c r="K122" i="6"/>
  <c r="M122" i="6"/>
  <c r="K123" i="6"/>
  <c r="M123" i="6"/>
  <c r="K124" i="6"/>
  <c r="M124" i="6"/>
  <c r="K125" i="6"/>
  <c r="M125" i="6"/>
  <c r="K126" i="6"/>
  <c r="M126" i="6"/>
  <c r="K127" i="6"/>
  <c r="M127" i="6"/>
  <c r="K128" i="6"/>
  <c r="M128" i="6"/>
  <c r="K129" i="6"/>
  <c r="M129" i="6"/>
  <c r="K130" i="6"/>
  <c r="M130" i="6"/>
  <c r="K131" i="6"/>
  <c r="M131" i="6"/>
  <c r="K132" i="6"/>
  <c r="M132" i="6"/>
  <c r="K133" i="6"/>
  <c r="M133" i="6"/>
  <c r="K134" i="6"/>
  <c r="M134" i="6"/>
  <c r="K135" i="6"/>
  <c r="M135" i="6"/>
  <c r="K136" i="6"/>
  <c r="M136" i="6"/>
  <c r="K137" i="6"/>
  <c r="M137" i="6"/>
  <c r="K138" i="6"/>
  <c r="M138" i="6"/>
  <c r="K139" i="6"/>
  <c r="M139" i="6"/>
  <c r="K140" i="6"/>
  <c r="M140" i="6"/>
  <c r="K141" i="6"/>
  <c r="M141" i="6"/>
  <c r="K142" i="6"/>
  <c r="M142" i="6"/>
  <c r="K143" i="6"/>
  <c r="M143" i="6"/>
  <c r="K144" i="6"/>
  <c r="M144" i="6"/>
  <c r="K145" i="6"/>
  <c r="M145" i="6"/>
  <c r="K146" i="6"/>
  <c r="M146" i="6"/>
  <c r="K147" i="6"/>
  <c r="M147" i="6"/>
  <c r="K148" i="6"/>
  <c r="M148" i="6"/>
  <c r="K149" i="6"/>
  <c r="M149" i="6"/>
  <c r="K150" i="6"/>
  <c r="M150" i="6"/>
  <c r="K151" i="6"/>
  <c r="M151" i="6"/>
  <c r="K152" i="6"/>
  <c r="M152" i="6"/>
  <c r="K153" i="6"/>
  <c r="M153" i="6"/>
  <c r="K154" i="6"/>
  <c r="M154" i="6"/>
  <c r="K155" i="6"/>
  <c r="M155" i="6"/>
  <c r="K156" i="6"/>
  <c r="M156" i="6"/>
  <c r="K157" i="6"/>
  <c r="M157" i="6"/>
  <c r="K158" i="6"/>
  <c r="M158" i="6"/>
  <c r="K159" i="6"/>
  <c r="M159" i="6"/>
  <c r="K160" i="6"/>
  <c r="M160" i="6"/>
  <c r="K161" i="6"/>
  <c r="M161" i="6"/>
  <c r="K162" i="6"/>
  <c r="M162" i="6"/>
  <c r="K163" i="6"/>
  <c r="M163" i="6"/>
  <c r="K164" i="6"/>
  <c r="M164" i="6"/>
  <c r="K165" i="6"/>
  <c r="M165" i="6"/>
  <c r="K166" i="6"/>
  <c r="M166" i="6"/>
  <c r="K167" i="6"/>
  <c r="M167" i="6"/>
  <c r="K168" i="6"/>
  <c r="M168" i="6"/>
  <c r="K169" i="6"/>
  <c r="M169" i="6"/>
  <c r="K170" i="6"/>
  <c r="M170" i="6"/>
  <c r="K171" i="6"/>
  <c r="M171" i="6"/>
  <c r="K172" i="6"/>
  <c r="M172" i="6"/>
  <c r="K173" i="6"/>
  <c r="M173" i="6"/>
  <c r="K174" i="6"/>
  <c r="M174" i="6"/>
  <c r="K175" i="6"/>
  <c r="M175" i="6"/>
  <c r="K176" i="6"/>
  <c r="M176" i="6"/>
  <c r="K177" i="6"/>
  <c r="M177" i="6"/>
  <c r="K178" i="6"/>
  <c r="M178" i="6"/>
  <c r="K179" i="6"/>
  <c r="M179" i="6"/>
  <c r="K180" i="6"/>
  <c r="M180" i="6"/>
  <c r="K181" i="6"/>
  <c r="M181" i="6"/>
  <c r="K182" i="6"/>
  <c r="M182" i="6"/>
  <c r="K183" i="6"/>
  <c r="M183" i="6"/>
  <c r="K184" i="6"/>
  <c r="M184" i="6"/>
  <c r="K185" i="6"/>
  <c r="M185" i="6"/>
  <c r="K186" i="6"/>
  <c r="M186" i="6"/>
  <c r="K187" i="6"/>
  <c r="M187" i="6"/>
  <c r="K188" i="6"/>
  <c r="M188" i="6"/>
  <c r="K189" i="6"/>
  <c r="M189" i="6"/>
  <c r="K190" i="6"/>
  <c r="M190" i="6"/>
  <c r="K191" i="6"/>
  <c r="M191" i="6"/>
  <c r="K192" i="6"/>
  <c r="M192" i="6"/>
  <c r="K193" i="6"/>
  <c r="M193" i="6"/>
  <c r="K194" i="6"/>
  <c r="M194" i="6"/>
  <c r="K195" i="6"/>
  <c r="M195" i="6"/>
  <c r="K196" i="6"/>
  <c r="M196" i="6"/>
  <c r="K197" i="6"/>
  <c r="M197" i="6"/>
  <c r="K198" i="6"/>
  <c r="M198" i="6"/>
  <c r="K199" i="6"/>
  <c r="M199" i="6"/>
  <c r="K200" i="6"/>
  <c r="M200" i="6"/>
  <c r="K201" i="6"/>
  <c r="M201" i="6"/>
  <c r="K202" i="6"/>
  <c r="M202" i="6"/>
  <c r="K203" i="6"/>
  <c r="M203" i="6"/>
  <c r="K204" i="6"/>
  <c r="M204" i="6"/>
  <c r="K205" i="6"/>
  <c r="M205" i="6"/>
  <c r="K206" i="6"/>
  <c r="M206" i="6"/>
  <c r="K207" i="6"/>
  <c r="M207" i="6"/>
  <c r="K208" i="6"/>
  <c r="M208" i="6"/>
  <c r="K209" i="6"/>
  <c r="M209" i="6"/>
  <c r="K210" i="6"/>
  <c r="M210" i="6"/>
  <c r="K211" i="6"/>
  <c r="M211" i="6"/>
  <c r="K212" i="6"/>
  <c r="M212" i="6"/>
  <c r="K213" i="6"/>
  <c r="M213" i="6"/>
  <c r="K214" i="6"/>
  <c r="M214" i="6"/>
  <c r="K215" i="6"/>
  <c r="M215" i="6"/>
  <c r="K216" i="6"/>
  <c r="M216" i="6"/>
  <c r="K217" i="6"/>
  <c r="M217" i="6"/>
  <c r="K218" i="6"/>
  <c r="M218" i="6"/>
  <c r="K219" i="6"/>
  <c r="M219" i="6"/>
  <c r="K220" i="6"/>
  <c r="M220" i="6"/>
  <c r="K221" i="6"/>
  <c r="M221" i="6"/>
  <c r="K222" i="6"/>
  <c r="M222" i="6"/>
  <c r="K223" i="6"/>
  <c r="M223" i="6"/>
  <c r="K224" i="6"/>
  <c r="M224" i="6"/>
  <c r="K225" i="6"/>
  <c r="M225" i="6"/>
  <c r="K226" i="6"/>
  <c r="M226" i="6"/>
  <c r="K227" i="6"/>
  <c r="M227" i="6"/>
  <c r="K228" i="6"/>
  <c r="M228" i="6"/>
  <c r="K229" i="6"/>
  <c r="M229" i="6"/>
  <c r="K230" i="6"/>
  <c r="M230" i="6"/>
  <c r="K231" i="6"/>
  <c r="M231" i="6"/>
  <c r="K232" i="6"/>
  <c r="M232" i="6"/>
  <c r="K233" i="6"/>
  <c r="M233" i="6"/>
  <c r="K234" i="6"/>
  <c r="M234" i="6"/>
  <c r="K235" i="6"/>
  <c r="M235" i="6"/>
  <c r="K236" i="6"/>
  <c r="M236" i="6"/>
  <c r="K237" i="6"/>
  <c r="M237" i="6"/>
  <c r="K238" i="6"/>
  <c r="M238" i="6"/>
  <c r="K239" i="6"/>
  <c r="M239" i="6"/>
  <c r="K240" i="6"/>
  <c r="M240" i="6"/>
  <c r="K241" i="6"/>
  <c r="M241" i="6"/>
  <c r="K242" i="6"/>
  <c r="M242" i="6"/>
  <c r="K243" i="6"/>
  <c r="M243" i="6"/>
  <c r="K244" i="6"/>
  <c r="M244" i="6"/>
  <c r="K245" i="6"/>
  <c r="M245" i="6"/>
  <c r="K246" i="6"/>
  <c r="M246" i="6"/>
  <c r="K247" i="6"/>
  <c r="M247" i="6"/>
  <c r="K248" i="6"/>
  <c r="M248" i="6"/>
  <c r="K249" i="6"/>
  <c r="M249" i="6"/>
  <c r="K250" i="6"/>
  <c r="M250" i="6"/>
  <c r="K251" i="6"/>
  <c r="M251" i="6"/>
  <c r="K252" i="6"/>
  <c r="M252" i="6"/>
  <c r="K253" i="6"/>
  <c r="M253" i="6"/>
  <c r="K254" i="6"/>
  <c r="M254" i="6"/>
  <c r="K255" i="6"/>
  <c r="M255" i="6"/>
  <c r="K256" i="6"/>
  <c r="M256" i="6"/>
  <c r="K257" i="6"/>
  <c r="M257" i="6"/>
  <c r="K258" i="6"/>
  <c r="M258" i="6"/>
  <c r="K259" i="6"/>
  <c r="M259" i="6"/>
  <c r="K260" i="6"/>
  <c r="M260" i="6"/>
  <c r="K261" i="6"/>
  <c r="M261" i="6"/>
  <c r="K262" i="6"/>
  <c r="M262" i="6"/>
  <c r="K263" i="6"/>
  <c r="M263" i="6"/>
  <c r="K264" i="6"/>
  <c r="M264" i="6"/>
  <c r="K265" i="6"/>
  <c r="M265" i="6"/>
  <c r="K266" i="6"/>
  <c r="M266" i="6"/>
  <c r="K267" i="6"/>
  <c r="M267" i="6"/>
  <c r="K268" i="6"/>
  <c r="M268" i="6"/>
  <c r="K269" i="6"/>
  <c r="M269" i="6"/>
  <c r="K270" i="6"/>
  <c r="M270" i="6"/>
  <c r="K271" i="6"/>
  <c r="M271" i="6"/>
  <c r="K272" i="6"/>
  <c r="M272" i="6"/>
  <c r="K273" i="6"/>
  <c r="M273" i="6"/>
  <c r="K274" i="6"/>
  <c r="M274" i="6"/>
  <c r="K275" i="6"/>
  <c r="M275" i="6"/>
  <c r="K276" i="6"/>
  <c r="M276" i="6"/>
  <c r="K277" i="6"/>
  <c r="M277" i="6"/>
  <c r="K278" i="6"/>
  <c r="M278" i="6"/>
  <c r="K279" i="6"/>
  <c r="M279" i="6"/>
  <c r="K280" i="6"/>
  <c r="M280" i="6"/>
  <c r="K281" i="6"/>
  <c r="M281" i="6"/>
  <c r="K282" i="6"/>
  <c r="M282" i="6"/>
  <c r="K283" i="6"/>
  <c r="M283" i="6"/>
  <c r="K284" i="6"/>
  <c r="M284" i="6"/>
  <c r="K285" i="6"/>
  <c r="M285" i="6"/>
  <c r="K286" i="6"/>
  <c r="M286" i="6"/>
  <c r="K287" i="6"/>
  <c r="M287" i="6"/>
  <c r="K288" i="6"/>
  <c r="M288" i="6"/>
  <c r="K289" i="6"/>
  <c r="M289" i="6"/>
  <c r="K290" i="6"/>
  <c r="M290" i="6"/>
  <c r="K291" i="6"/>
  <c r="M291" i="6"/>
  <c r="K292" i="6"/>
  <c r="M292" i="6"/>
  <c r="K293" i="6"/>
  <c r="M293" i="6"/>
  <c r="K294" i="6"/>
  <c r="M294" i="6"/>
  <c r="K295" i="6"/>
  <c r="M295" i="6"/>
  <c r="K296" i="6"/>
  <c r="M296" i="6"/>
  <c r="K297" i="6"/>
  <c r="M297" i="6"/>
  <c r="K298" i="6"/>
  <c r="M298" i="6"/>
  <c r="K299" i="6"/>
  <c r="M299" i="6"/>
  <c r="K300" i="6"/>
  <c r="M300" i="6"/>
  <c r="K301" i="6"/>
  <c r="M301" i="6"/>
  <c r="K302" i="6"/>
  <c r="M302" i="6"/>
  <c r="K303" i="6"/>
  <c r="M303" i="6"/>
  <c r="K304" i="6"/>
  <c r="M304" i="6"/>
  <c r="K305" i="6"/>
  <c r="M305" i="6"/>
  <c r="K306" i="6"/>
  <c r="M306" i="6"/>
  <c r="K307" i="6"/>
  <c r="M307" i="6"/>
  <c r="K308" i="6"/>
  <c r="M308" i="6"/>
  <c r="K309" i="6"/>
  <c r="M309" i="6"/>
  <c r="K310" i="6"/>
  <c r="M310" i="6"/>
  <c r="K311" i="6"/>
  <c r="M311" i="6"/>
  <c r="K312" i="6"/>
  <c r="M312" i="6"/>
  <c r="K313" i="6"/>
  <c r="M313" i="6"/>
  <c r="K314" i="6"/>
  <c r="M314" i="6"/>
  <c r="K315" i="6"/>
  <c r="M315" i="6"/>
  <c r="K316" i="6"/>
  <c r="M316" i="6"/>
  <c r="K317" i="6"/>
  <c r="M317" i="6"/>
  <c r="K318" i="6"/>
  <c r="M318" i="6"/>
  <c r="K319" i="6"/>
  <c r="M319" i="6"/>
  <c r="K320" i="6"/>
  <c r="M320" i="6"/>
  <c r="K321" i="6"/>
  <c r="M321" i="6"/>
  <c r="K322" i="6"/>
  <c r="M322" i="6"/>
  <c r="K323" i="6"/>
  <c r="M323" i="6"/>
  <c r="K324" i="6"/>
  <c r="M324" i="6"/>
  <c r="K325" i="6"/>
  <c r="M325" i="6"/>
  <c r="K326" i="6"/>
  <c r="M326" i="6"/>
  <c r="K327" i="6"/>
  <c r="M327" i="6"/>
  <c r="K328" i="6"/>
  <c r="M328" i="6"/>
  <c r="K329" i="6"/>
  <c r="M329" i="6"/>
  <c r="K330" i="6"/>
  <c r="M330" i="6"/>
  <c r="K331" i="6"/>
  <c r="M331" i="6"/>
  <c r="K332" i="6"/>
  <c r="M332" i="6"/>
  <c r="K333" i="6"/>
  <c r="M333" i="6"/>
  <c r="K334" i="6"/>
  <c r="M334" i="6"/>
  <c r="K335" i="6"/>
  <c r="M335" i="6"/>
  <c r="K336" i="6"/>
  <c r="M336" i="6"/>
  <c r="K337" i="6"/>
  <c r="M337" i="6"/>
  <c r="K338" i="6"/>
  <c r="M338" i="6"/>
  <c r="K339" i="6"/>
  <c r="M339" i="6"/>
  <c r="K340" i="6"/>
  <c r="M340" i="6"/>
  <c r="K341" i="6"/>
  <c r="M341" i="6"/>
  <c r="K342" i="6"/>
  <c r="M342" i="6"/>
  <c r="K343" i="6"/>
  <c r="M343" i="6"/>
  <c r="K344" i="6"/>
  <c r="M344" i="6"/>
  <c r="K345" i="6"/>
  <c r="M345" i="6"/>
  <c r="K346" i="6"/>
  <c r="M346" i="6"/>
  <c r="K347" i="6"/>
  <c r="M347" i="6"/>
  <c r="K348" i="6"/>
  <c r="M348" i="6"/>
  <c r="K349" i="6"/>
  <c r="M349" i="6"/>
  <c r="K350" i="6"/>
  <c r="M350" i="6"/>
  <c r="K351" i="6"/>
  <c r="M351" i="6"/>
  <c r="K352" i="6"/>
  <c r="M352" i="6"/>
  <c r="K353" i="6"/>
  <c r="M353" i="6"/>
  <c r="K354" i="6"/>
  <c r="M354" i="6"/>
  <c r="K355" i="6"/>
  <c r="M355" i="6"/>
  <c r="K356" i="6"/>
  <c r="M356" i="6"/>
  <c r="K357" i="6"/>
  <c r="M357" i="6"/>
  <c r="K358" i="6"/>
  <c r="M358" i="6"/>
  <c r="K359" i="6"/>
  <c r="M359" i="6"/>
  <c r="K360" i="6"/>
  <c r="M360" i="6"/>
  <c r="K361" i="6"/>
  <c r="M361" i="6"/>
  <c r="K362" i="6"/>
  <c r="M362" i="6"/>
  <c r="K363" i="6"/>
  <c r="M363" i="6"/>
  <c r="K364" i="6"/>
  <c r="M364" i="6"/>
  <c r="K365" i="6"/>
  <c r="M365" i="6"/>
  <c r="K366" i="6"/>
  <c r="M366" i="6"/>
  <c r="K367" i="6"/>
  <c r="M367" i="6"/>
  <c r="K368" i="6"/>
  <c r="M368" i="6"/>
  <c r="K369" i="6"/>
  <c r="M369" i="6"/>
  <c r="K370" i="6"/>
  <c r="M370" i="6"/>
  <c r="K371" i="6"/>
  <c r="M371" i="6"/>
  <c r="K372" i="6"/>
  <c r="M372" i="6"/>
  <c r="K373" i="6"/>
  <c r="M373" i="6"/>
  <c r="K374" i="6"/>
  <c r="M374" i="6"/>
  <c r="K375" i="6"/>
  <c r="M375" i="6"/>
  <c r="K376" i="6"/>
  <c r="M376" i="6"/>
  <c r="K377" i="6"/>
  <c r="M377" i="6"/>
  <c r="K378" i="6"/>
  <c r="M378" i="6"/>
  <c r="K379" i="6"/>
  <c r="M379" i="6"/>
  <c r="K380" i="6"/>
  <c r="M380" i="6"/>
  <c r="K381" i="6"/>
  <c r="M381" i="6"/>
  <c r="K382" i="6"/>
  <c r="M382" i="6"/>
  <c r="K383" i="6"/>
  <c r="M383" i="6"/>
  <c r="K384" i="6"/>
  <c r="M384" i="6"/>
  <c r="K385" i="6"/>
  <c r="M385" i="6"/>
  <c r="K386" i="6"/>
  <c r="M386" i="6"/>
  <c r="K387" i="6"/>
  <c r="M387" i="6"/>
  <c r="K388" i="6"/>
  <c r="M388" i="6"/>
  <c r="K389" i="6"/>
  <c r="M389" i="6"/>
  <c r="K390" i="6"/>
  <c r="M390" i="6"/>
  <c r="K391" i="6"/>
  <c r="M391" i="6"/>
  <c r="K392" i="6"/>
  <c r="M392" i="6"/>
  <c r="K393" i="6"/>
  <c r="M393" i="6"/>
  <c r="K394" i="6"/>
  <c r="M394" i="6"/>
  <c r="K395" i="6"/>
  <c r="M395" i="6"/>
  <c r="K396" i="6"/>
  <c r="M396" i="6"/>
  <c r="K397" i="6"/>
  <c r="M397" i="6"/>
  <c r="K398" i="6"/>
  <c r="M398" i="6"/>
  <c r="K399" i="6"/>
  <c r="M399" i="6"/>
  <c r="K400" i="6"/>
  <c r="M400" i="6"/>
  <c r="K401" i="6"/>
  <c r="M401" i="6"/>
  <c r="K402" i="6"/>
  <c r="M402" i="6"/>
  <c r="K403" i="6"/>
  <c r="M403" i="6"/>
  <c r="K404" i="6"/>
  <c r="M404" i="6"/>
  <c r="K405" i="6"/>
  <c r="M405" i="6"/>
  <c r="K406" i="6"/>
  <c r="M406" i="6"/>
  <c r="K407" i="6"/>
  <c r="M407" i="6"/>
  <c r="K408" i="6"/>
  <c r="M408" i="6"/>
  <c r="K409" i="6"/>
  <c r="M409" i="6"/>
  <c r="K410" i="6"/>
  <c r="M410" i="6"/>
  <c r="K411" i="6"/>
  <c r="M411" i="6"/>
  <c r="K412" i="6"/>
  <c r="M412" i="6"/>
  <c r="K413" i="6"/>
  <c r="M413" i="6"/>
  <c r="K414" i="6"/>
  <c r="M414" i="6"/>
  <c r="K415" i="6"/>
  <c r="M415" i="6"/>
  <c r="K416" i="6"/>
  <c r="M416" i="6"/>
  <c r="K417" i="6"/>
  <c r="M417" i="6"/>
  <c r="K418" i="6"/>
  <c r="M418" i="6"/>
  <c r="K419" i="6"/>
  <c r="M419" i="6"/>
  <c r="K420" i="6"/>
  <c r="M420" i="6"/>
  <c r="K421" i="6"/>
  <c r="M421" i="6"/>
  <c r="K422" i="6"/>
  <c r="M422" i="6"/>
  <c r="K423" i="6"/>
  <c r="M423" i="6"/>
  <c r="K424" i="6"/>
  <c r="M424" i="6"/>
  <c r="K425" i="6"/>
  <c r="M425" i="6"/>
  <c r="K426" i="6"/>
  <c r="M426" i="6"/>
  <c r="K427" i="6"/>
  <c r="M427" i="6"/>
  <c r="K428" i="6"/>
  <c r="M428" i="6"/>
  <c r="K429" i="6"/>
  <c r="M429" i="6"/>
  <c r="K430" i="6"/>
  <c r="M430" i="6"/>
  <c r="K431" i="6"/>
  <c r="M431" i="6"/>
  <c r="K432" i="6"/>
  <c r="M432" i="6"/>
  <c r="K433" i="6"/>
  <c r="M433" i="6"/>
  <c r="K434" i="6"/>
  <c r="M434" i="6"/>
  <c r="K435" i="6"/>
  <c r="M435" i="6"/>
  <c r="K436" i="6"/>
  <c r="M436" i="6"/>
  <c r="K437" i="6"/>
  <c r="M437" i="6"/>
  <c r="K438" i="6"/>
  <c r="M438" i="6"/>
  <c r="K439" i="6"/>
  <c r="M439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/>
  <c r="L4" i="6"/>
  <c r="N4" i="6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L29" i="6"/>
  <c r="N29" i="6"/>
  <c r="L30" i="6"/>
  <c r="N30" i="6"/>
  <c r="L31" i="6"/>
  <c r="N31" i="6"/>
  <c r="L32" i="6"/>
  <c r="N32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L57" i="6"/>
  <c r="N57" i="6"/>
  <c r="L58" i="6"/>
  <c r="N58" i="6"/>
  <c r="L59" i="6"/>
  <c r="N59" i="6"/>
  <c r="L60" i="6"/>
  <c r="N60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L85" i="6"/>
  <c r="N85" i="6"/>
  <c r="L86" i="6"/>
  <c r="N86" i="6"/>
  <c r="L87" i="6"/>
  <c r="N87" i="6"/>
  <c r="L88" i="6"/>
  <c r="N88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L121" i="6"/>
  <c r="N121" i="6"/>
  <c r="L122" i="6"/>
  <c r="N122" i="6"/>
  <c r="L123" i="6"/>
  <c r="N123" i="6"/>
  <c r="L124" i="6"/>
  <c r="N124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L155" i="6"/>
  <c r="N155" i="6"/>
  <c r="L156" i="6"/>
  <c r="N156" i="6"/>
  <c r="L157" i="6"/>
  <c r="N157" i="6"/>
  <c r="L158" i="6"/>
  <c r="N158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91" i="6"/>
  <c r="N191" i="6"/>
  <c r="L192" i="6"/>
  <c r="N192" i="6"/>
  <c r="L193" i="6"/>
  <c r="N193" i="6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/>
  <c r="D5" i="8"/>
  <c r="D7" i="8"/>
  <c r="E5" i="8"/>
  <c r="E7" i="8"/>
  <c r="E9" i="8"/>
</calcChain>
</file>

<file path=xl/sharedStrings.xml><?xml version="1.0" encoding="utf-8"?>
<sst xmlns="http://schemas.openxmlformats.org/spreadsheetml/2006/main" count="17136" uniqueCount="1319">
  <si>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</si>
  <si>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</si>
  <si>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</si>
  <si>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</si>
  <si>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</si>
  <si>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</si>
  <si>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</si>
  <si>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</si>
  <si>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</si>
  <si>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</si>
  <si>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</si>
  <si>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</si>
  <si>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</si>
  <si>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</si>
  <si>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</si>
  <si>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</si>
  <si>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</si>
  <si>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</si>
  <si>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</si>
  <si>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</si>
  <si>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</si>
  <si>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</si>
  <si>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</si>
  <si>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</si>
  <si>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</si>
  <si>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</si>
  <si>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</si>
  <si>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</si>
  <si>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</si>
  <si>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</si>
  <si>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</si>
  <si>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</si>
  <si>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</si>
  <si>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</si>
  <si>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</si>
  <si>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</si>
  <si>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</si>
  <si>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</si>
  <si>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</si>
  <si>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</si>
  <si>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</si>
  <si>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</si>
  <si>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</si>
  <si>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</si>
  <si>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</si>
  <si>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</si>
  <si>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</si>
  <si>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</si>
  <si>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facebook.com.br</t>
  </si>
  <si>
    <t>Total R$</t>
  </si>
  <si>
    <t>Google Brasil</t>
  </si>
  <si>
    <t>300x250 Default Web Ad</t>
  </si>
  <si>
    <t>320x50 Default Web Ad</t>
  </si>
  <si>
    <t>Oath BR</t>
  </si>
  <si>
    <t>BR MSN.</t>
  </si>
  <si>
    <t>120x600 Default Web Ad</t>
  </si>
  <si>
    <t>970x250 Default Web Ad</t>
  </si>
  <si>
    <t>300x600 Default Web Ad</t>
  </si>
  <si>
    <t>728x90 Default Web Ad</t>
  </si>
  <si>
    <t>BR OLX</t>
  </si>
  <si>
    <t>br.linkedin.com</t>
  </si>
  <si>
    <t>BR Globo</t>
  </si>
  <si>
    <t>Mercado Livre</t>
  </si>
  <si>
    <t>Estadão</t>
  </si>
  <si>
    <t>Month</t>
  </si>
  <si>
    <t>2019-02</t>
  </si>
  <si>
    <t>2019-01</t>
  </si>
  <si>
    <t>PG ALMAP</t>
  </si>
  <si>
    <t>PG CM</t>
  </si>
  <si>
    <t>alp_Man-VWCO</t>
  </si>
  <si>
    <t>alp_Man-VWCO_Globo.com_horizontal_varejo_Categoria-Caminhoes_cpm_prospecting_300x250_999-agosto_caminhoes</t>
  </si>
  <si>
    <t>227404380</t>
  </si>
  <si>
    <t>310387630</t>
  </si>
  <si>
    <t>alp_Man-VWCO_Globo.com_horizontal_varejo_Categoria-Caminhoes_cpm_prospecting_970x250_999-agosto_caminhoes</t>
  </si>
  <si>
    <t>227404335</t>
  </si>
  <si>
    <t>425283924</t>
  </si>
  <si>
    <t>alp_Man-VWCO_olx_horizontal_varejo_CategoriaCaminhoesGeral_cpm_prospecting_300x250_tgx_caminhoes</t>
  </si>
  <si>
    <t>234078765</t>
  </si>
  <si>
    <t>431521149</t>
  </si>
  <si>
    <t>alp_Man-VWCO_olx_horizontal_varejo_CategoriaCaminhoesGeral_cpm_prospecting_300x250_varejo-fevereiro_caminhoes</t>
  </si>
  <si>
    <t>239438864</t>
  </si>
  <si>
    <t>436632428</t>
  </si>
  <si>
    <t>alp_Man-VWCO_olx_horizontal_varejo_CategoriaCaminhoesGeral_cpm_prospecting_300x600_tgx_caminhoes</t>
  </si>
  <si>
    <t>234078759</t>
  </si>
  <si>
    <t>431521143</t>
  </si>
  <si>
    <t>alp_Man-VWCO_olx_horizontal_varejo_CategoriaCaminhoesGeral_cpm_prospecting_300x600_varejo-fevereiro_caminhoes</t>
  </si>
  <si>
    <t>239438858</t>
  </si>
  <si>
    <t>436632422</t>
  </si>
  <si>
    <t>alp_Man-VWCO_olx_horizontal_varejo_CategoriaCaminhoesGeral_cpm_prospecting_600x600_varejo-fevereiro_caminhoes</t>
  </si>
  <si>
    <t>239442914</t>
  </si>
  <si>
    <t>436594374</t>
  </si>
  <si>
    <t>alp_Man-VWCO_olx_horizontal_varejo_CategoriaCaminhoesGeral_cpm_prospecting_728x90_tgx_caminhoes</t>
  </si>
  <si>
    <t>234078762</t>
  </si>
  <si>
    <t>431521146</t>
  </si>
  <si>
    <t>alp_Man-VWCO_olx_horizontal_varejo_CategoriaCaminhoesGeral_cpm_prospecting_728x90_varejo-fevereiro_caminhoes</t>
  </si>
  <si>
    <t>239438861</t>
  </si>
  <si>
    <t>436632425</t>
  </si>
  <si>
    <t>alp_Man-VWCO_olx_horizontal_varejo_CategoriaCaminhoes_cpc_prospecting_180x180_tgx_caminhoes</t>
  </si>
  <si>
    <t>233875315</t>
  </si>
  <si>
    <t>431468180</t>
  </si>
  <si>
    <t>alp_Man-VWCO_olx_horizontal_varejo_CategoriaCaminhoes_cpc_prospecting_180x180_varejo-fevereiro_caminhoes</t>
  </si>
  <si>
    <t>239442911</t>
  </si>
  <si>
    <t>436594371</t>
  </si>
  <si>
    <t>alp_Man-VWCO_olx_horizontal_varejo_CategoriaCaminhoes_cpm_prospecting_448x336_varejo-fevereiro_caminhoes</t>
  </si>
  <si>
    <t>239442908</t>
  </si>
  <si>
    <t>436594368</t>
  </si>
  <si>
    <t>alp_Man-VWCO_olx_horizontal_varejo_CategoriaCaminhoes_cpm_prospecting_728x1027_varejo-fevereiro_caminhoes</t>
  </si>
  <si>
    <t>240888414</t>
  </si>
  <si>
    <t>437618777</t>
  </si>
  <si>
    <t>alp_Man-VWCO_olx_horizontal_varejo_CategoriaCaminhoes_cpm_prospecting_970x250_varejo-fevereiro_caminhoes</t>
  </si>
  <si>
    <t>239438879</t>
  </si>
  <si>
    <t>436632443</t>
  </si>
  <si>
    <t>alp_Man-VWCO_olx_horizontal_varejo_Categoriad-CaminhoesBuscadePalavra_cpm_prospecting_600x600_varejo-fevereiro_caminhoes</t>
  </si>
  <si>
    <t>239442917</t>
  </si>
  <si>
    <t>436594377</t>
  </si>
  <si>
    <t>alp_Man-VWCO_olx_horizontal_varejo_palavrachave_cpm_prospecting_300x600_tgx_caminhoes</t>
  </si>
  <si>
    <t>234078768</t>
  </si>
  <si>
    <t>431521152</t>
  </si>
  <si>
    <t>alp_Man-VWCO_olx_horizontal_varejo_palavrachave_cpm_prospecting_300x600_varejo-fevereiro_caminhoes</t>
  </si>
  <si>
    <t>239438867</t>
  </si>
  <si>
    <t>436632431</t>
  </si>
  <si>
    <t>alp_Man-VWCO_estadao_horizontal_Agronegocio_Interstitial_cpm_prospecting_800x600_agro_caminhoes</t>
  </si>
  <si>
    <t>239343574</t>
  </si>
  <si>
    <t>Desconsiderar_alp_Man-VWCO_estadao_horizontal_Agronegocio_Interstitial_cpm_prospecting_800x600_agro_caminhoes</t>
  </si>
  <si>
    <t>436453511</t>
  </si>
  <si>
    <t>436617988</t>
  </si>
  <si>
    <t>alp_Man-VWCO_estadao_horizontal_Agronegocio_Retangulo_cpm_prospecting_300x250_agro_caminhoes</t>
  </si>
  <si>
    <t>239578140</t>
  </si>
  <si>
    <t>Desconsiderar_alp_Man-VWCO_estadao_horizontal_Agronegocio_Retangulo_cpm_prospecting_300x250_agro_caminhoes</t>
  </si>
  <si>
    <t>436534201</t>
  </si>
  <si>
    <t>436618033</t>
  </si>
  <si>
    <t>alp_Man-VWCO_estradao_horizontal_varejo_CategoriaCaminhoes_cpm_prospecting_300x250_tgx_caminhoes</t>
  </si>
  <si>
    <t>234364967</t>
  </si>
  <si>
    <t>432102093</t>
  </si>
  <si>
    <t>alp_Man-VWCO_estradao_horizontal_varejo_CategoriaCaminhoes_cpm_prospecting_970x250_tgx_caminhoes</t>
  </si>
  <si>
    <t>234366059</t>
  </si>
  <si>
    <t>432103140</t>
  </si>
  <si>
    <t>alp_Man-VWCO_estradao_performance_varejo_prospeccaoaudience_cpm_prospecting_300x600_tgx_caminhoes</t>
  </si>
  <si>
    <t>234443467</t>
  </si>
  <si>
    <t>432052253</t>
  </si>
  <si>
    <t>alp_Man-VWCO_estradao_performance_varejo_prospeccaoaudience_cpm_prospecting_320x50_tgx_caminhoes</t>
  </si>
  <si>
    <t>234443476</t>
  </si>
  <si>
    <t>432173668</t>
  </si>
  <si>
    <t>alp_Man-VWCO_estradao_performance_varejo_prospeccaoaudience_cpm_prospecting_728x90_tgx_caminhoes</t>
  </si>
  <si>
    <t>234362090</t>
  </si>
  <si>
    <t>432052280</t>
  </si>
  <si>
    <t>alp_Man-VWCO_Youtube_horizontal_fimdeano_CategoriaCaminhoes_cpv_prospecting_640x360_fimdeano_caminhoes</t>
  </si>
  <si>
    <t>236418293</t>
  </si>
  <si>
    <t>433907180</t>
  </si>
  <si>
    <t>alp_Man-VWCO_dbm_performance_varejo_prospeccao-audience_cpm_prospecting_120x600_999-agosto-l2_caminhoes</t>
  </si>
  <si>
    <t>227581954</t>
  </si>
  <si>
    <t>425608398</t>
  </si>
  <si>
    <t>alp_Man-VWCO_dbm_performance_varejo_prospeccao-audience_cpm_prospecting_120x600_999-agosto_caminhoes</t>
  </si>
  <si>
    <t>227271423</t>
  </si>
  <si>
    <t>310387629</t>
  </si>
  <si>
    <t>alp_Man-VWCO_dbm_performance_varejo_prospeccao-audience_cpm_prospecting_300x250_999-agosto-l2_caminhoes</t>
  </si>
  <si>
    <t>227581951</t>
  </si>
  <si>
    <t>425608395</t>
  </si>
  <si>
    <t>alp_Man-VWCO_dbm_performance_varejo_prospeccao-audience_cpm_prospecting_300x250_999-agosto_caminhoes</t>
  </si>
  <si>
    <t>227271420</t>
  </si>
  <si>
    <t>alp_Man-VWCO_dbm_performance_varejo_prospeccao-audience_cpm_prospecting_300x600_999-agosto-l2_caminhoes</t>
  </si>
  <si>
    <t>227581948</t>
  </si>
  <si>
    <t>425608392</t>
  </si>
  <si>
    <t>alp_Man-VWCO_dbm_performance_varejo_prospeccao-audience_cpm_prospecting_300x600_999-agosto_caminhoes</t>
  </si>
  <si>
    <t>227271417</t>
  </si>
  <si>
    <t>310386147</t>
  </si>
  <si>
    <t>alp_Man-VWCO_dbm_performance_varejo_prospeccao-audience_cpm_prospecting_320x50_999-agosto-l2_caminhoes</t>
  </si>
  <si>
    <t>227581945</t>
  </si>
  <si>
    <t>425608389</t>
  </si>
  <si>
    <t>alp_Man-VWCO_dbm_performance_varejo_prospeccao-audience_cpm_prospecting_320x50_999-agosto_caminhoes</t>
  </si>
  <si>
    <t>227271414</t>
  </si>
  <si>
    <t>310387631</t>
  </si>
  <si>
    <t>alp_Man-VWCO_dbm_performance_varejo_prospeccao-audience_cpm_prospecting_728x90_999-agosto-l2_caminhoes</t>
  </si>
  <si>
    <t>227581942</t>
  </si>
  <si>
    <t>425608386</t>
  </si>
  <si>
    <t>alp_Man-VWCO_dbm_performance_varejo_prospeccao-audience_cpm_prospecting_728x90_999-agosto_caminhoes</t>
  </si>
  <si>
    <t>227271411</t>
  </si>
  <si>
    <t>310386926</t>
  </si>
  <si>
    <t>alp_Man-VWCO_dbm_performance_varejo_prospeccaoaudience_cpm_prospecting_120x600_tgx02_caminhoes</t>
  </si>
  <si>
    <t>235169142</t>
  </si>
  <si>
    <t>432715006</t>
  </si>
  <si>
    <t>alp_Man-VWCO_dbm_performance_varejo_prospeccaoaudience_cpm_prospecting_120x600_tgx_caminhoes</t>
  </si>
  <si>
    <t>234078741</t>
  </si>
  <si>
    <t>431521125</t>
  </si>
  <si>
    <t>alp_Man-VWCO_dbm_performance_varejo_prospeccaoaudience_cpm_prospecting_120x600_varejo-fevereiro_caminhoes</t>
  </si>
  <si>
    <t>239737312</t>
  </si>
  <si>
    <t>436895035</t>
  </si>
  <si>
    <t>alp_Man-VWCO_dbm_performance_varejo_prospeccaoaudience_cpm_prospecting_120x600_varejoMANpadrao_caminhoes</t>
  </si>
  <si>
    <t>229499255</t>
  </si>
  <si>
    <t>427572591</t>
  </si>
  <si>
    <t>alp_Man-VWCO_dbm_performance_varejo_prospeccaoaudience_cpm_prospecting_300x250_tgx02_caminhoes</t>
  </si>
  <si>
    <t>235169994</t>
  </si>
  <si>
    <t>432620796</t>
  </si>
  <si>
    <t>alp_Man-VWCO_dbm_performance_varejo_prospeccaoaudience_cpm_prospecting_300x250_tgx_caminhoes</t>
  </si>
  <si>
    <t>234078738</t>
  </si>
  <si>
    <t>431521122</t>
  </si>
  <si>
    <t>alp_Man-VWCO_dbm_performance_varejo_prospeccaoaudience_cpm_prospecting_300x250_varejo-fevereiro_caminhoes</t>
  </si>
  <si>
    <t>239451542</t>
  </si>
  <si>
    <t>436609590</t>
  </si>
  <si>
    <t>alp_Man-VWCO_dbm_performance_varejo_prospeccaoaudience_cpm_prospecting_300x250_varejoMANpadrao_caminhoes</t>
  </si>
  <si>
    <t>229499252</t>
  </si>
  <si>
    <t>427572588</t>
  </si>
  <si>
    <t>alp_Man-VWCO_dbm_performance_varejo_prospeccaoaudience_cpm_prospecting_300x600_tgx02_caminhoes</t>
  </si>
  <si>
    <t>234943957</t>
  </si>
  <si>
    <t>432718558</t>
  </si>
  <si>
    <t>alp_Man-VWCO_dbm_performance_varejo_prospeccaoaudience_cpm_prospecting_300x600_tgx_caminhoes</t>
  </si>
  <si>
    <t>234078735</t>
  </si>
  <si>
    <t>431521119</t>
  </si>
  <si>
    <t>alp_Man-VWCO_dbm_performance_varejo_prospeccaoaudience_cpm_prospecting_300x600_varejo-fevereiro_caminhoes</t>
  </si>
  <si>
    <t>239776548</t>
  </si>
  <si>
    <t>436725967</t>
  </si>
  <si>
    <t>alp_Man-VWCO_dbm_performance_varejo_prospeccaoaudience_cpm_prospecting_300x600_varejoMANpadrao_caminhoes</t>
  </si>
  <si>
    <t>229499249</t>
  </si>
  <si>
    <t>427572585</t>
  </si>
  <si>
    <t>alp_Man-VWCO_dbm_performance_varejo_prospeccaoaudience_cpm_prospecting_320x50_tgx02_caminhoes</t>
  </si>
  <si>
    <t>235170918</t>
  </si>
  <si>
    <t>432612713</t>
  </si>
  <si>
    <t>alp_Man-VWCO_dbm_performance_varejo_prospeccaoaudience_cpm_prospecting_320x50_tgx_caminhoes</t>
  </si>
  <si>
    <t>234078732</t>
  </si>
  <si>
    <t>431521116</t>
  </si>
  <si>
    <t>alp_Man-VWCO_dbm_performance_varejo_prospeccaoaudience_cpm_prospecting_320x50_varejo-fevereiro_caminhoes</t>
  </si>
  <si>
    <t>239737732</t>
  </si>
  <si>
    <t>436895296</t>
  </si>
  <si>
    <t>alp_Man-VWCO_dbm_performance_varejo_prospeccaoaudience_cpm_prospecting_320x50_varejoMANpadrao_caminhoes</t>
  </si>
  <si>
    <t>229499246</t>
  </si>
  <si>
    <t>427572582</t>
  </si>
  <si>
    <t>alp_Man-VWCO_dbm_performance_varejo_prospeccaoaudience_cpm_prospecting_728x90_tgx02_caminhoes</t>
  </si>
  <si>
    <t>234903044</t>
  </si>
  <si>
    <t>432631710</t>
  </si>
  <si>
    <t>alp_Man-VWCO_dbm_performance_varejo_prospeccaoaudience_cpm_prospecting_728x90_tgx_caminhoes</t>
  </si>
  <si>
    <t>234078729</t>
  </si>
  <si>
    <t>431521113</t>
  </si>
  <si>
    <t>alp_Man-VWCO_dbm_performance_varejo_prospeccaoaudience_cpm_prospecting_728x90_varejo-fevereiro_caminhoes</t>
  </si>
  <si>
    <t>239551969</t>
  </si>
  <si>
    <t>436606875</t>
  </si>
  <si>
    <t>alp_Man-VWCO_dbm_performance_varejo_prospeccaoaudience_cpm_prospecting_728x90_varejoMANpadrao_caminhoes</t>
  </si>
  <si>
    <t>229499243</t>
  </si>
  <si>
    <t>427572579</t>
  </si>
  <si>
    <t>alp_always-on_dbm_timelines_timelines_prospeccao-audience_cpm_prospecting_300x250_open</t>
  </si>
  <si>
    <t>217181279</t>
  </si>
  <si>
    <t>alp_always-on_dbm_timelines_timelines_prospeccao-audience_cpm_prospecting_300x250_novodelivery_open</t>
  </si>
  <si>
    <t>415935168</t>
  </si>
  <si>
    <t>alp_always-on_dbm_timelines_timelines_prospeccao-audience_cpm_prospecting_300x600_open</t>
  </si>
  <si>
    <t>217181276</t>
  </si>
  <si>
    <t>alp_always-on_dbm_timelines_timelines_prospeccao-audience_cpm_prospecting_300x600_novodelivery_open</t>
  </si>
  <si>
    <t>415935171</t>
  </si>
  <si>
    <t>alp_always-on_dbm_timelines_timelines_prospeccao-audience_cpm_prospecting_320x50_open</t>
  </si>
  <si>
    <t>217181273</t>
  </si>
  <si>
    <t>alp_always-on_dbm_timelines_timelines_prospeccao-audience_cpm_prospecting_320x50_novodelivery_open</t>
  </si>
  <si>
    <t>415935174</t>
  </si>
  <si>
    <t>alp_always-on_dbm_timelines_timelines_prospeccao-audience_cpm_prospecting_728x90_open</t>
  </si>
  <si>
    <t>217181270</t>
  </si>
  <si>
    <t>alp_always-on_dbm_timelines_timelines_prospeccao-audience_cpm_prospecting_728x90_novodelivery_open</t>
  </si>
  <si>
    <t>415935177</t>
  </si>
  <si>
    <t>google-brasil|half-page|300x600|man_caminhoes|always_on|institucional|criativo_01|300x600|cpm</t>
  </si>
  <si>
    <t>138019084</t>
  </si>
  <si>
    <t>google-brasil|half-page|300x600|man_caminhoes|always_on|institucional|criativo_02|300x600|cpm</t>
  </si>
  <si>
    <t>138019079</t>
  </si>
  <si>
    <t>google-brasil|half-page|300x600|man_caminhoes|always_on|institucional|criativo_03|300x600|cpm</t>
  </si>
  <si>
    <t>138019074</t>
  </si>
  <si>
    <t>google-brasil|half-page|300x600|man_caminhoes|always_on|institucional|criativo_04|300x600|cpm</t>
  </si>
  <si>
    <t>138019069</t>
  </si>
  <si>
    <t>google-brasil|half-page|300x600|man_caminhoes|always_on|institucional|criativo_05|300x600|cpm</t>
  </si>
  <si>
    <t>138019064</t>
  </si>
  <si>
    <t>google-brasil|half-page|300x600|man_caminhoes|always_on|produto|criativo_11_tgx_29-440|300x600|cpm</t>
  </si>
  <si>
    <t>138018379</t>
  </si>
  <si>
    <t>google-brasil|half-page|300x600|man_caminhoes|always_on|produto|criativo_12_tgx_29-440|300x600|cpm</t>
  </si>
  <si>
    <t>138018374</t>
  </si>
  <si>
    <t>google-brasil|half-page|300x600|man_caminhoes|always_on|produto|criativo_13_tgx_29-440|300x600|cpm</t>
  </si>
  <si>
    <t>138018369</t>
  </si>
  <si>
    <t>google-brasil|half-page|300x600|man_caminhoes|always_on|produto|criativo_14_tgx_29-440|300x600|cpm</t>
  </si>
  <si>
    <t>138018364</t>
  </si>
  <si>
    <t>google-brasil|half-page|300x600|man_caminhoes|always_on|produto|criativo_15_tgx_29-440|300x600|cpm</t>
  </si>
  <si>
    <t>138018359</t>
  </si>
  <si>
    <t>google-brasil|half-page|300x600|man_caminhoes|always_on|produto|criativo_16_tgx_29-440|300x600|cpm</t>
  </si>
  <si>
    <t>138018354</t>
  </si>
  <si>
    <t>google-brasil|half-page|300x600|man_caminhoes|always_on|produto|criativo_17_tgx_29-440|300x600|cpm</t>
  </si>
  <si>
    <t>138018349</t>
  </si>
  <si>
    <t>google-brasil|half-page|300x600|man_caminhoes|always_on|produto|criativo_18_tgx_29-440|300x600|cpm</t>
  </si>
  <si>
    <t>138018344</t>
  </si>
  <si>
    <t>google-brasil|half-page|300x600|man_caminhoes|always_on|produto|criativo_19_tgx_29-480|300x600|cpm</t>
  </si>
  <si>
    <t>138018339</t>
  </si>
  <si>
    <t>google-brasil|half-page|300x600|man_caminhoes|always_on|produto|criativo_20_tgx_29-480|300x600|cpm</t>
  </si>
  <si>
    <t>138018334</t>
  </si>
  <si>
    <t>google-brasil|half-page|300x600|man_caminhoes|always_on|produto|criativo_21_tgx_29-480|300x600|cpm</t>
  </si>
  <si>
    <t>138018329</t>
  </si>
  <si>
    <t>google-brasil|half-page|300x600|man_caminhoes|always_on|produto|criativo_22_tgx_29-480|300x600|cpm</t>
  </si>
  <si>
    <t>138018324</t>
  </si>
  <si>
    <t>google-brasil|half-page|300x600|man_caminhoes|always_on|produto|criativo_23__tgx_29-480|300x600|cpm</t>
  </si>
  <si>
    <t>138018319</t>
  </si>
  <si>
    <t>google-brasil|half-page|300x600|man_caminhoes|always_on|produto|criativo_24__tgx_29-480|300x600|cpm</t>
  </si>
  <si>
    <t>138018314</t>
  </si>
  <si>
    <t>google-brasil|half-page|300x600|man_caminhoes|always_on|produto|criativo_25_tgx_29-480|300x600|cpm</t>
  </si>
  <si>
    <t>138018309</t>
  </si>
  <si>
    <t>google-brasil|half-page|300x600|man_caminhoes|always_on|produto|criativo_26_tgx_29-480|300x600|cpm</t>
  </si>
  <si>
    <t>138018304</t>
  </si>
  <si>
    <t>google-brasil|half-page|300x600|man_caminhoes|always_on|produto|criativo_27_tgx_29-480|300x600|cpm</t>
  </si>
  <si>
    <t>138018099</t>
  </si>
  <si>
    <t>google-brasil|half-page|300x600|man_caminhoes|always_on|vitrine|criativo_01|300x600|cpm</t>
  </si>
  <si>
    <t>138019039</t>
  </si>
  <si>
    <t>google-brasil|half-page|300x600|man_caminhoes|always_on|vitrine|criativo_02|300x600|cpm</t>
  </si>
  <si>
    <t>138019034</t>
  </si>
  <si>
    <t>google-brasil|half-page|300x600|man_caminhoes|always_on|vitrine|criativo_03|300x600|cpm</t>
  </si>
  <si>
    <t>138019029</t>
  </si>
  <si>
    <t>google-brasil|half-page|300x600|man_caminhoes|always_on|vitrine|criativo_04|300x600|cpm</t>
  </si>
  <si>
    <t>138019024</t>
  </si>
  <si>
    <t>google-brasil|half-page|300x600|vw_caminhoes|always_on|institucional|criativo_01|300x600|cpm</t>
  </si>
  <si>
    <t>138019059</t>
  </si>
  <si>
    <t>google-brasil|half-page|300x600|vw_caminhoes|always_on|institucional|criativo_02|300x600|cpm</t>
  </si>
  <si>
    <t>138019054</t>
  </si>
  <si>
    <t>google-brasil|half-page|300x600|vw_caminhoes|always_on|institucional|criativo_03|300x600|cpm</t>
  </si>
  <si>
    <t>138019049</t>
  </si>
  <si>
    <t>google-brasil|half-page|300x600|vw_caminhoes|always_on|institucional|criativo_04|300x600|cpm</t>
  </si>
  <si>
    <t>138019044</t>
  </si>
  <si>
    <t>google-brasil|half-page|300x600|vw_caminhoes|always_on|produto|criativo_10_constellation_31-280|300x600|cpm</t>
  </si>
  <si>
    <t>138018049</t>
  </si>
  <si>
    <t>google-brasil|half-page|300x600|vw_caminhoes|always_on|produto|criativo_12_worker_15-190|300x600|cpm</t>
  </si>
  <si>
    <t>138018039</t>
  </si>
  <si>
    <t>google-brasil|half-page|300x600|vw_caminhoes|always_on|produto|criativo_13_worker_17-190|300x600|cpm</t>
  </si>
  <si>
    <t>138018034</t>
  </si>
  <si>
    <t>google-brasil|half-page|300x600|vw_caminhoes|always_on|produto|criativo_14_worker_17-230|300x600|cpm</t>
  </si>
  <si>
    <t>138018029</t>
  </si>
  <si>
    <t>google-brasil|half-page|300x600|vw_caminhoes|always_on|produto|criativo_16_constellation_canavieiro|300x600|cpm</t>
  </si>
  <si>
    <t>138018019</t>
  </si>
  <si>
    <t>google-brasil|half-page|300x600|vw_caminhoes|always_on|produto|criativo_17_constellation_compactor|300x600|cpm</t>
  </si>
  <si>
    <t>138018014</t>
  </si>
  <si>
    <t>google-brasil|half-page|300x600|vw_caminhoes|always_on|produto|criativo_35_constructor_betoneira|300x600|cpm</t>
  </si>
  <si>
    <t>138017954</t>
  </si>
  <si>
    <t>google-brasil|half-page|300x600|vw_caminhoes|always_on|produto|criativo_36_constellation_distributor|300x600|cpm</t>
  </si>
  <si>
    <t>138017949</t>
  </si>
  <si>
    <t>google-brasil|half-page|300x600|vw_caminhoes|always_on|produto|criativo_38_worker_17-230|300x600|cpm</t>
  </si>
  <si>
    <t>138017939</t>
  </si>
  <si>
    <t>google-brasil|half-page|300x600|vw_caminhoes|always_on|produto|criativo_39_worker_17-230|300x600|cpm</t>
  </si>
  <si>
    <t>138017934</t>
  </si>
  <si>
    <t>google-brasil|half-page|300x600|vw_caminhoes|always_on|produto|criativo_40_worker_23-230|300x600|cpm</t>
  </si>
  <si>
    <t>138017929</t>
  </si>
  <si>
    <t>google-brasil|half-page|300x600|vw_caminhoes|always_on|produto|criativo_41_worker_23-230|300x600|cpm</t>
  </si>
  <si>
    <t>138017924</t>
  </si>
  <si>
    <t>google-brasil|half-page|300x600|vw_caminhoes|always_on|produto|criativo_51_constellation_31-280|300x600|cpm</t>
  </si>
  <si>
    <t>138017874</t>
  </si>
  <si>
    <t>google-brasil|half-page|300x600|vw_caminhoes|always_on|produto|criativo_52_constellation_31-280|300x600|cpm</t>
  </si>
  <si>
    <t>138017869</t>
  </si>
  <si>
    <t>google-brasil|half-page|300x600|vw_caminhoes|always_on|produto|criativo_53_constellation_31-280|300x600|cpm</t>
  </si>
  <si>
    <t>138017864</t>
  </si>
  <si>
    <t>google-brasil|half-page|300x600|vw_caminhoes|always_on|produto|criativo_57_constellation_31-390|300x600|cpm</t>
  </si>
  <si>
    <t>138017844</t>
  </si>
  <si>
    <t>google-brasil|half-page|300x600|vw_caminhoes|always_on|produto|criativo_58_constellation_31-390|300x600|cpm</t>
  </si>
  <si>
    <t>138017839</t>
  </si>
  <si>
    <t>google-brasil|half-page|300x600|vw_caminhoes|always_on|produto|criativo_59_constellation_31-390|300x600|cpm</t>
  </si>
  <si>
    <t>138017834</t>
  </si>
  <si>
    <t>google-brasil|half-page|300x600|vw_caminhoes|always_on|produto|criativo_62_worker_13-190|300x600|cpm</t>
  </si>
  <si>
    <t>138017819</t>
  </si>
  <si>
    <t>google-brasil|half-page|300x600|vw_caminhoes|always_on|produto|criativo_63_worker_15-190|300x600|cpm</t>
  </si>
  <si>
    <t>138017814</t>
  </si>
  <si>
    <t>google-brasil|half-page|300x600|vw_caminhoes|always_on|produto|criativo_64_worker_15-190|300x600|cpm</t>
  </si>
  <si>
    <t>138017809</t>
  </si>
  <si>
    <t>google-brasil|half-page|300x600|vw_caminhoes|always_on|produto|criativo_65_worker_17-190|300x600|cpm</t>
  </si>
  <si>
    <t>138017804</t>
  </si>
  <si>
    <t>google-brasil|half-page|300x600|vw_caminhoes|always_on|produto|criativo_66_constellation_compactor|300x600|cpm</t>
  </si>
  <si>
    <t>138017799</t>
  </si>
  <si>
    <t>google-brasil|half-page|300x600|vw_caminhoes|always_on|produto|criativo_69_delivery_5-150|300x600|cpm</t>
  </si>
  <si>
    <t>138017784</t>
  </si>
  <si>
    <t>google-brasil|half-page|300x600|vw_caminhoes|always_on|produto|criativo_70_delivery_5-150|300x600|cpm</t>
  </si>
  <si>
    <t>138017779</t>
  </si>
  <si>
    <t>google-brasil|half-page|300x600|vw_caminhoes|always_on|produto|criativo_71_delivery_5-150|300x600|cpm</t>
  </si>
  <si>
    <t>138017774</t>
  </si>
  <si>
    <t>google-brasil|half-page|300x600|vw_caminhoes|always_on|produto|criativo_72_delivery_5-150|300x600|cpm</t>
  </si>
  <si>
    <t>138017769</t>
  </si>
  <si>
    <t>google-brasil|half-page|300x600|vw_caminhoes|always_on|produto|criativo_73_delivery_8-160|300x600|cpm</t>
  </si>
  <si>
    <t>138017764</t>
  </si>
  <si>
    <t>google-brasil|half-page|300x600|vw_caminhoes|always_on|produto|criativo_74_delivery_8-160|300x600|cpm</t>
  </si>
  <si>
    <t>138017759</t>
  </si>
  <si>
    <t>google-brasil|half-page|300x600|vw_caminhoes|always_on|produto|criativo_75_delivery_8-160|300x600|cpm</t>
  </si>
  <si>
    <t>138017754</t>
  </si>
  <si>
    <t>google-brasil|half-page|300x600|vw_caminhoes|always_on|produto|criativo_76_delivery_8-160|300x600|cpm</t>
  </si>
  <si>
    <t>138017749</t>
  </si>
  <si>
    <t>google-brasil|half-page|300x600|vw_caminhoes|always_on|produto|criativo_77_delivery_8-160|300x600|cpm</t>
  </si>
  <si>
    <t>138017744</t>
  </si>
  <si>
    <t>google-brasil|half-page|300x600|vw_caminhoes|always_on|produto|criativo_78_delivery_8-160|300x600|cpm</t>
  </si>
  <si>
    <t>138017739</t>
  </si>
  <si>
    <t>google-brasil|half-page|300x600|vw_caminhoes|always_on|produto|criativo_84_delivery_9-160|300x600|cpm</t>
  </si>
  <si>
    <t>138017709</t>
  </si>
  <si>
    <t>google-brasil|half-page|300x600|vw_caminhoes|always_on|produto|criativo_85_delivery_9-160|300x600|cpm</t>
  </si>
  <si>
    <t>138017704</t>
  </si>
  <si>
    <t>google-brasil|half-page|300x600|vw_caminhoes|always_on|produto|criativo_86_delivery_9-160|300x600|cpm</t>
  </si>
  <si>
    <t>138015899</t>
  </si>
  <si>
    <t>google-brasil|half-page|300x600|vw_caminhoes|always_on|produto|criativo_87_delivery_9-160|300x600|cpm</t>
  </si>
  <si>
    <t>138015894</t>
  </si>
  <si>
    <t>google-brasil|half-page|300x600|vw_caminhoes|always_on|produto|criativo_88_delivery_9-160|300x600|cpm</t>
  </si>
  <si>
    <t>138015889</t>
  </si>
  <si>
    <t>google-brasil|half-page|300x600|vw_caminhoes|always_on|produto|criativo_90_delivery_10-160|300x600|cpm</t>
  </si>
  <si>
    <t>138015879</t>
  </si>
  <si>
    <t>google-brasil|half-page|300x600|vw_caminhoes|always_on|produto|criativo_91_delivery_10-160|300x600|cpm</t>
  </si>
  <si>
    <t>138015874</t>
  </si>
  <si>
    <t>google-brasil|half-page|300x600|vw_caminhoes|always_on|produto|criativo_92_delivery_10-160|300x600|cpm</t>
  </si>
  <si>
    <t>138015869</t>
  </si>
  <si>
    <t>google-brasil|half-page|300x600|vw_caminhoes|always_on|produto|criativo_93_delivery_10-160|300x600|cpm</t>
  </si>
  <si>
    <t>138015864</t>
  </si>
  <si>
    <t>google-brasil|half-page|300x600|vw_caminhoes|always_on|vitrine|criativo_01_delivery_10-160|300x600|cpm</t>
  </si>
  <si>
    <t>138019019</t>
  </si>
  <si>
    <t>google-brasil|half-page|300x600|vw_caminhoes|always_on|vitrine|criativo_02_delivery_10-160|300x600|cpm</t>
  </si>
  <si>
    <t>138019014</t>
  </si>
  <si>
    <t>google-brasil|half-page|300x600|vw_caminhoes|always_on|vitrine|criativo_03_delivery_10-160|300x600|cpm</t>
  </si>
  <si>
    <t>138019009</t>
  </si>
  <si>
    <t>google-brasil|half-page|300x600|vw_caminhoes|always_on|vitrine|criativo_04_delivery_10-160|300x600|cpm</t>
  </si>
  <si>
    <t>138019004</t>
  </si>
  <si>
    <t>google-brasil|half-page|300x600|vw_caminhoes|always_on|vitrine|criativo_05_delivery_10-160|300x600|cpm</t>
  </si>
  <si>
    <t>138018999</t>
  </si>
  <si>
    <t>google-brasil|half-page|300x600|vw_caminhoes|always_on|vitrine|criativo_06_delivery_8-160|300x600|cpm</t>
  </si>
  <si>
    <t>138018994</t>
  </si>
  <si>
    <t>google-brasil|half-page|300x600|vw_caminhoes|always_on|vitrine|criativo_07_delivery_8-160|300x600|cpm</t>
  </si>
  <si>
    <t>138018989</t>
  </si>
  <si>
    <t>google-brasil|half-page|300x600|vw_caminhoes|always_on|vitrine|criativo_08_delivery_8-160|300x600|cpm</t>
  </si>
  <si>
    <t>138018984</t>
  </si>
  <si>
    <t>google-brasil|half-page|300x600|vw_caminhoes|always_on|vitrine|criativo_09_delivery_8-160|300x600|cpm</t>
  </si>
  <si>
    <t>138018979</t>
  </si>
  <si>
    <t>google-brasil|half-page|300x600|vw_caminhoes|always_on|vitrine|criativo_10_delivery_8-160|300x600|cpm</t>
  </si>
  <si>
    <t>138018974</t>
  </si>
  <si>
    <t>google-brasil|half-page|300x600|vw_caminhoes|always_on|vitrine|criativo_11_constellation_24-280|300x600|cpm</t>
  </si>
  <si>
    <t>138018969</t>
  </si>
  <si>
    <t>google-brasil|half-page|300x600|vw_caminhoes|always_on|vitrine|criativo_12_constellation_24-280|300x600|cpm</t>
  </si>
  <si>
    <t>138018964</t>
  </si>
  <si>
    <t>google-brasil|half-page|300x600|vw_caminhoes|always_on|vitrine|criativo_13_constellation_24-280|300x600|cpm</t>
  </si>
  <si>
    <t>138018959</t>
  </si>
  <si>
    <t>google-brasil|half-page|300x600|vw_caminhoes|always_on|vitrine|criativo_14_constellation_24-280-v|300x600|cpm</t>
  </si>
  <si>
    <t>138018954</t>
  </si>
  <si>
    <t>google-brasil|half-page|300x600|vw_caminhoes|always_on|vitrine|criativo_15_constellation_24-280-8x2|300x600|cpm</t>
  </si>
  <si>
    <t>138018949</t>
  </si>
  <si>
    <t>google-brasil|half-page|300x600|vw_caminhoes|always_on|vitrine|criativo_16_constellation_24-280|300x600|cpm</t>
  </si>
  <si>
    <t>138018944</t>
  </si>
  <si>
    <t>google-brasil|mobile|320x50|man_caminhoes|always_on|institucional|criativo_01|320x50|cpm</t>
  </si>
  <si>
    <t>138019083</t>
  </si>
  <si>
    <t>google-brasil|mobile|320x50|man_caminhoes|always_on|institucional|criativo_02|320x50|cpm</t>
  </si>
  <si>
    <t>138019078</t>
  </si>
  <si>
    <t>google-brasil|mobile|320x50|man_caminhoes|always_on|institucional|criativo_03|320x50|cpm</t>
  </si>
  <si>
    <t>138019073</t>
  </si>
  <si>
    <t>google-brasil|mobile|320x50|man_caminhoes|always_on|institucional|criativo_04|320x50|cpm</t>
  </si>
  <si>
    <t>138019068</t>
  </si>
  <si>
    <t>google-brasil|mobile|320x50|man_caminhoes|always_on|institucional|criativo_05|320x50|cpm</t>
  </si>
  <si>
    <t>138019063</t>
  </si>
  <si>
    <t>google-brasil|mobile|320x50|man_caminhoes|always_on|produto|criativo_11_tgx_29-440|320x50|cpm</t>
  </si>
  <si>
    <t>138018378</t>
  </si>
  <si>
    <t>google-brasil|mobile|320x50|man_caminhoes|always_on|produto|criativo_12_tgx_29-440|320x50|cpm</t>
  </si>
  <si>
    <t>138018373</t>
  </si>
  <si>
    <t>google-brasil|mobile|320x50|man_caminhoes|always_on|produto|criativo_13_tgx_29-440|320x50|cpm</t>
  </si>
  <si>
    <t>138018368</t>
  </si>
  <si>
    <t>google-brasil|mobile|320x50|man_caminhoes|always_on|produto|criativo_14_tgx_29-440|320x50|cpm</t>
  </si>
  <si>
    <t>138018363</t>
  </si>
  <si>
    <t>google-brasil|mobile|320x50|man_caminhoes|always_on|produto|criativo_15_tgx_29-440|320x50|cpm</t>
  </si>
  <si>
    <t>138018358</t>
  </si>
  <si>
    <t>google-brasil|mobile|320x50|man_caminhoes|always_on|produto|criativo_16_tgx_29-440|320x50|cpm</t>
  </si>
  <si>
    <t>138018353</t>
  </si>
  <si>
    <t>google-brasil|mobile|320x50|man_caminhoes|always_on|produto|criativo_17_tgx_29-440|320x50|cpm</t>
  </si>
  <si>
    <t>138018348</t>
  </si>
  <si>
    <t>google-brasil|mobile|320x50|man_caminhoes|always_on|produto|criativo_18_tgx_29-440|320x50|cpm</t>
  </si>
  <si>
    <t>138018343</t>
  </si>
  <si>
    <t>google-brasil|mobile|320x50|man_caminhoes|always_on|produto|criativo_19_tgx_29-480|320x50|cpm</t>
  </si>
  <si>
    <t>138018338</t>
  </si>
  <si>
    <t>google-brasil|mobile|320x50|man_caminhoes|always_on|produto|criativo_20_tgx_29-480|320x50|cpm</t>
  </si>
  <si>
    <t>138018333</t>
  </si>
  <si>
    <t>google-brasil|mobile|320x50|man_caminhoes|always_on|produto|criativo_21_tgx_29-480|320x50|cpm</t>
  </si>
  <si>
    <t>138018328</t>
  </si>
  <si>
    <t>google-brasil|mobile|320x50|man_caminhoes|always_on|produto|criativo_22_tgx_29-480|320x50|cpm</t>
  </si>
  <si>
    <t>138018323</t>
  </si>
  <si>
    <t>google-brasil|mobile|320x50|man_caminhoes|always_on|produto|criativo_23__tgx_29-480|320x50|cpm</t>
  </si>
  <si>
    <t>138018318</t>
  </si>
  <si>
    <t>google-brasil|mobile|320x50|man_caminhoes|always_on|produto|criativo_24__tgx_29-480|320x50|cpm</t>
  </si>
  <si>
    <t>138018313</t>
  </si>
  <si>
    <t>google-brasil|mobile|320x50|man_caminhoes|always_on|produto|criativo_25_tgx_29-480|320x50|cpm</t>
  </si>
  <si>
    <t>138018308</t>
  </si>
  <si>
    <t>google-brasil|mobile|320x50|man_caminhoes|always_on|produto|criativo_26_tgx_29-480|320x50|cpm</t>
  </si>
  <si>
    <t>138018303</t>
  </si>
  <si>
    <t>google-brasil|mobile|320x50|man_caminhoes|always_on|produto|criativo_27_tgx_29-480|320x50|cpm</t>
  </si>
  <si>
    <t>138018098</t>
  </si>
  <si>
    <t>google-brasil|mobile|320x50|man_caminhoes|always_on|vitrine|criativo_01|320x50|cpm</t>
  </si>
  <si>
    <t>138019038</t>
  </si>
  <si>
    <t>google-brasil|mobile|320x50|man_caminhoes|always_on|vitrine|criativo_02|320x50|cpm</t>
  </si>
  <si>
    <t>138019033</t>
  </si>
  <si>
    <t>google-brasil|mobile|320x50|man_caminhoes|always_on|vitrine|criativo_03|320x50|cpm</t>
  </si>
  <si>
    <t>138019028</t>
  </si>
  <si>
    <t>google-brasil|mobile|320x50|man_caminhoes|always_on|vitrine|criativo_04|320x50|cpm</t>
  </si>
  <si>
    <t>138019023</t>
  </si>
  <si>
    <t>google-brasil|mobile|320x50|vw_caminhoes|always_on|institucional|criativo_01|320x50|cpm</t>
  </si>
  <si>
    <t>138019058</t>
  </si>
  <si>
    <t>google-brasil|mobile|320x50|vw_caminhoes|always_on|institucional|criativo_02|320x50|cpm</t>
  </si>
  <si>
    <t>138019053</t>
  </si>
  <si>
    <t>google-brasil|mobile|320x50|vw_caminhoes|always_on|institucional|criativo_03|320x50|cpm</t>
  </si>
  <si>
    <t>138019048</t>
  </si>
  <si>
    <t>google-brasil|mobile|320x50|vw_caminhoes|always_on|institucional|criativo_04|320x50|cpm</t>
  </si>
  <si>
    <t>138019043</t>
  </si>
  <si>
    <t>google-brasil|mobile|320x50|vw_caminhoes|always_on|produto|criativo_10_constellation_31-280|320x50|cpm</t>
  </si>
  <si>
    <t>138018048</t>
  </si>
  <si>
    <t>google-brasil|mobile|320x50|vw_caminhoes|always_on|produto|criativo_12_worker_15-190|320x50|cpm</t>
  </si>
  <si>
    <t>138018038</t>
  </si>
  <si>
    <t>google-brasil|mobile|320x50|vw_caminhoes|always_on|produto|criativo_13_worker_17-190|320x50|cpm</t>
  </si>
  <si>
    <t>138018033</t>
  </si>
  <si>
    <t>google-brasil|mobile|320x50|vw_caminhoes|always_on|produto|criativo_14_worker_17-230|320x50|cpm</t>
  </si>
  <si>
    <t>138018028</t>
  </si>
  <si>
    <t>google-brasil|mobile|320x50|vw_caminhoes|always_on|produto|criativo_16_constellation_canavieiro|320x50|cpm</t>
  </si>
  <si>
    <t>138018018</t>
  </si>
  <si>
    <t>google-brasil|mobile|320x50|vw_caminhoes|always_on|produto|criativo_17_constellation_compactor|320x50|cpm</t>
  </si>
  <si>
    <t>138018013</t>
  </si>
  <si>
    <t>google-brasil|mobile|320x50|vw_caminhoes|always_on|produto|criativo_34_constructor_basculante|320x50|cpm</t>
  </si>
  <si>
    <t>138017958</t>
  </si>
  <si>
    <t>google-brasil|mobile|320x50|vw_caminhoes|always_on|produto|criativo_35_constructor_betoneira|320x50|cpm</t>
  </si>
  <si>
    <t>138017953</t>
  </si>
  <si>
    <t>google-brasil|mobile|320x50|vw_caminhoes|always_on|produto|criativo_36_constellation_distributor|320x50|cpm</t>
  </si>
  <si>
    <t>138017948</t>
  </si>
  <si>
    <t>google-brasil|mobile|320x50|vw_caminhoes|always_on|produto|criativo_38_worker_17-230|320x50|cpm</t>
  </si>
  <si>
    <t>138017938</t>
  </si>
  <si>
    <t>google-brasil|mobile|320x50|vw_caminhoes|always_on|produto|criativo_39_worker_17-230|320x50|cpm</t>
  </si>
  <si>
    <t>138017933</t>
  </si>
  <si>
    <t>google-brasil|mobile|320x50|vw_caminhoes|always_on|produto|criativo_40_worker_23-230|320x50|cpm</t>
  </si>
  <si>
    <t>138017928</t>
  </si>
  <si>
    <t>google-brasil|mobile|320x50|vw_caminhoes|always_on|produto|criativo_41_worker_23-230|320x50|cpm</t>
  </si>
  <si>
    <t>138017923</t>
  </si>
  <si>
    <t>google-brasil|mobile|320x50|vw_caminhoes|always_on|produto|criativo_51_constellation_31-280|320x50|cpm</t>
  </si>
  <si>
    <t>138017873</t>
  </si>
  <si>
    <t>google-brasil|mobile|320x50|vw_caminhoes|always_on|produto|criativo_52_constellation_31-280|320x50|cpm</t>
  </si>
  <si>
    <t>138017868</t>
  </si>
  <si>
    <t>google-brasil|mobile|320x50|vw_caminhoes|always_on|produto|criativo_53_constellation_31-280|320x50|cpm</t>
  </si>
  <si>
    <t>138017863</t>
  </si>
  <si>
    <t>google-brasil|mobile|320x50|vw_caminhoes|always_on|produto|criativo_57_constellation_31-390|320x50|cpm</t>
  </si>
  <si>
    <t>138017843</t>
  </si>
  <si>
    <t>google-brasil|mobile|320x50|vw_caminhoes|always_on|produto|criativo_58_constellation_31-390|320x50|cpm</t>
  </si>
  <si>
    <t>138017838</t>
  </si>
  <si>
    <t>google-brasil|mobile|320x50|vw_caminhoes|always_on|produto|criativo_59_constellation_31-390|320x50|cpm</t>
  </si>
  <si>
    <t>138017833</t>
  </si>
  <si>
    <t>google-brasil|mobile|320x50|vw_caminhoes|always_on|produto|criativo_62_worker_13-190|320x50|cpm</t>
  </si>
  <si>
    <t>138017818</t>
  </si>
  <si>
    <t>google-brasil|mobile|320x50|vw_caminhoes|always_on|produto|criativo_63_worker_15-190|320x50|cpm</t>
  </si>
  <si>
    <t>138017813</t>
  </si>
  <si>
    <t>google-brasil|mobile|320x50|vw_caminhoes|always_on|produto|criativo_64_worker_15-190|320x50|cpm</t>
  </si>
  <si>
    <t>138017808</t>
  </si>
  <si>
    <t>google-brasil|mobile|320x50|vw_caminhoes|always_on|produto|criativo_65_worker_17-190|320x50|cpm</t>
  </si>
  <si>
    <t>138017803</t>
  </si>
  <si>
    <t>google-brasil|mobile|320x50|vw_caminhoes|always_on|produto|criativo_66_constellation_compactor|320x50|cpm</t>
  </si>
  <si>
    <t>138017798</t>
  </si>
  <si>
    <t>google-brasil|mobile|320x50|vw_caminhoes|always_on|produto|criativo_69_delivery_5-150|320x50|cpm</t>
  </si>
  <si>
    <t>138017783</t>
  </si>
  <si>
    <t>google-brasil|mobile|320x50|vw_caminhoes|always_on|produto|criativo_70_delivery_5-150|320x50|cpm</t>
  </si>
  <si>
    <t>138017778</t>
  </si>
  <si>
    <t>google-brasil|mobile|320x50|vw_caminhoes|always_on|produto|criativo_71_delivery_5-150|320x50|cpm</t>
  </si>
  <si>
    <t>138017773</t>
  </si>
  <si>
    <t>google-brasil|mobile|320x50|vw_caminhoes|always_on|produto|criativo_72_delivery_5-150|320x50|cpm</t>
  </si>
  <si>
    <t>138017768</t>
  </si>
  <si>
    <t>google-brasil|mobile|320x50|vw_caminhoes|always_on|produto|criativo_73_delivery_8-160|320x50|cpm</t>
  </si>
  <si>
    <t>138017763</t>
  </si>
  <si>
    <t>google-brasil|mobile|320x50|vw_caminhoes|always_on|produto|criativo_74_delivery_8-160|320x50|cpm</t>
  </si>
  <si>
    <t>138017758</t>
  </si>
  <si>
    <t>google-brasil|mobile|320x50|vw_caminhoes|always_on|produto|criativo_75_delivery_8-160|320x50|cpm</t>
  </si>
  <si>
    <t>138017753</t>
  </si>
  <si>
    <t>google-brasil|mobile|320x50|vw_caminhoes|always_on|produto|criativo_76_delivery_8-160|320x50|cpm</t>
  </si>
  <si>
    <t>138017748</t>
  </si>
  <si>
    <t>google-brasil|mobile|320x50|vw_caminhoes|always_on|produto|criativo_77_delivery_8-160|320x50|cpm</t>
  </si>
  <si>
    <t>138017743</t>
  </si>
  <si>
    <t>google-brasil|mobile|320x50|vw_caminhoes|always_on|produto|criativo_78_delivery_8-160|320x50|cpm</t>
  </si>
  <si>
    <t>138017738</t>
  </si>
  <si>
    <t>google-brasil|mobile|320x50|vw_caminhoes|always_on|produto|criativo_84_delivery_9-160|320x50|cpm</t>
  </si>
  <si>
    <t>138017708</t>
  </si>
  <si>
    <t>google-brasil|mobile|320x50|vw_caminhoes|always_on|produto|criativo_85_delivery_9-160|320x50|cpm</t>
  </si>
  <si>
    <t>138017703</t>
  </si>
  <si>
    <t>google-brasil|mobile|320x50|vw_caminhoes|always_on|produto|criativo_86_delivery_9-160|320x50|cpm</t>
  </si>
  <si>
    <t>138015898</t>
  </si>
  <si>
    <t>google-brasil|mobile|320x50|vw_caminhoes|always_on|produto|criativo_87_delivery_9-160|320x50|cpm</t>
  </si>
  <si>
    <t>138015893</t>
  </si>
  <si>
    <t>google-brasil|mobile|320x50|vw_caminhoes|always_on|produto|criativo_88_delivery_9-160|320x50|cpm</t>
  </si>
  <si>
    <t>138015888</t>
  </si>
  <si>
    <t>google-brasil|mobile|320x50|vw_caminhoes|always_on|produto|criativo_90_delivery_10-160|320x50|cpm</t>
  </si>
  <si>
    <t>138015878</t>
  </si>
  <si>
    <t>google-brasil|mobile|320x50|vw_caminhoes|always_on|produto|criativo_91_delivery_10-160|320x50|cpm</t>
  </si>
  <si>
    <t>138015873</t>
  </si>
  <si>
    <t>google-brasil|mobile|320x50|vw_caminhoes|always_on|produto|criativo_92_delivery_10-160|320x50|cpm</t>
  </si>
  <si>
    <t>138015868</t>
  </si>
  <si>
    <t>google-brasil|mobile|320x50|vw_caminhoes|always_on|produto|criativo_93_delivery_10-160|320x50|cpm</t>
  </si>
  <si>
    <t>138015863</t>
  </si>
  <si>
    <t>google-brasil|mobile|320x50|vw_caminhoes|always_on|vitrine|criativo_01_delivery_10-160|320x50|cpm</t>
  </si>
  <si>
    <t>138019018</t>
  </si>
  <si>
    <t>google-brasil|mobile|320x50|vw_caminhoes|always_on|vitrine|criativo_02_delivery_10-160|320x50|cpm</t>
  </si>
  <si>
    <t>138019013</t>
  </si>
  <si>
    <t>google-brasil|mobile|320x50|vw_caminhoes|always_on|vitrine|criativo_03_delivery_10-160|320x50|cpm</t>
  </si>
  <si>
    <t>138019008</t>
  </si>
  <si>
    <t>google-brasil|mobile|320x50|vw_caminhoes|always_on|vitrine|criativo_04_delivery_10-160|320x50|cpm</t>
  </si>
  <si>
    <t>138019003</t>
  </si>
  <si>
    <t>google-brasil|mobile|320x50|vw_caminhoes|always_on|vitrine|criativo_05_delivery_10-160|320x50|cpm</t>
  </si>
  <si>
    <t>138018998</t>
  </si>
  <si>
    <t>google-brasil|mobile|320x50|vw_caminhoes|always_on|vitrine|criativo_06_delivery_8-160|320x50|cpm</t>
  </si>
  <si>
    <t>138018993</t>
  </si>
  <si>
    <t>google-brasil|mobile|320x50|vw_caminhoes|always_on|vitrine|criativo_07_delivery_8-160|320x50|cpm</t>
  </si>
  <si>
    <t>138018988</t>
  </si>
  <si>
    <t>google-brasil|mobile|320x50|vw_caminhoes|always_on|vitrine|criativo_08_delivery_8-160|320x50|cpm</t>
  </si>
  <si>
    <t>138018983</t>
  </si>
  <si>
    <t>google-brasil|mobile|320x50|vw_caminhoes|always_on|vitrine|criativo_09_delivery_8-160|320x50|cpm</t>
  </si>
  <si>
    <t>138018978</t>
  </si>
  <si>
    <t>google-brasil|mobile|320x50|vw_caminhoes|always_on|vitrine|criativo_10_delivery_8-160|320x50|cpm</t>
  </si>
  <si>
    <t>138018973</t>
  </si>
  <si>
    <t>google-brasil|mobile|320x50|vw_caminhoes|always_on|vitrine|criativo_11_constellation_24-280|320x50|cpm</t>
  </si>
  <si>
    <t>138018968</t>
  </si>
  <si>
    <t>google-brasil|mobile|320x50|vw_caminhoes|always_on|vitrine|criativo_12_constellation_24-280|320x50|cpm</t>
  </si>
  <si>
    <t>138018963</t>
  </si>
  <si>
    <t>google-brasil|mobile|320x50|vw_caminhoes|always_on|vitrine|criativo_13_constellation_24-280|320x50|cpm</t>
  </si>
  <si>
    <t>138018958</t>
  </si>
  <si>
    <t>google-brasil|mobile|320x50|vw_caminhoes|always_on|vitrine|criativo_14_constellation_24-280-v|320x50|cpm</t>
  </si>
  <si>
    <t>138018953</t>
  </si>
  <si>
    <t>google-brasil|mobile|320x50|vw_caminhoes|always_on|vitrine|criativo_15_constellation_24-280-8x2|320x50|cpm</t>
  </si>
  <si>
    <t>138018948</t>
  </si>
  <si>
    <t>google-brasil|mobile|320x50|vw_caminhoes|always_on|vitrine|criativo_16_constellation_24-280|320x50|cpm</t>
  </si>
  <si>
    <t>138018943</t>
  </si>
  <si>
    <t>google-brasil|retangulo|300x250|man_caminhoes|always_on|institucional|criativo_01|300x250|cpm</t>
  </si>
  <si>
    <t>138019085</t>
  </si>
  <si>
    <t>google-brasil|retangulo|300x250|man_caminhoes|always_on|institucional|criativo_02|300x250|cpm</t>
  </si>
  <si>
    <t>138019080</t>
  </si>
  <si>
    <t>google-brasil|retangulo|300x250|man_caminhoes|always_on|institucional|criativo_03|300x250|cpm</t>
  </si>
  <si>
    <t>138019075</t>
  </si>
  <si>
    <t>google-brasil|retangulo|300x250|man_caminhoes|always_on|institucional|criativo_04|300x250|cpm</t>
  </si>
  <si>
    <t>138019070</t>
  </si>
  <si>
    <t>google-brasil|retangulo|300x250|man_caminhoes|always_on|institucional|criativo_05|300x250|cpm</t>
  </si>
  <si>
    <t>138019065</t>
  </si>
  <si>
    <t>google-brasil|retangulo|300x250|man_caminhoes|always_on|produto|criativo_11_tgx_29-440|300x250|cpm</t>
  </si>
  <si>
    <t>138018380</t>
  </si>
  <si>
    <t>google-brasil|retangulo|300x250|man_caminhoes|always_on|produto|criativo_12_tgx_29-440|300x250|cpm</t>
  </si>
  <si>
    <t>138018375</t>
  </si>
  <si>
    <t>google-brasil|retangulo|300x250|man_caminhoes|always_on|produto|criativo_13_tgx_29-440|300x250|cpm</t>
  </si>
  <si>
    <t>138018370</t>
  </si>
  <si>
    <t>google-brasil|retangulo|300x250|man_caminhoes|always_on|produto|criativo_14_tgx_29-440|300x250|cpm</t>
  </si>
  <si>
    <t>138018365</t>
  </si>
  <si>
    <t>google-brasil|retangulo|300x250|man_caminhoes|always_on|produto|criativo_15_tgx_29-440|300x250|cpm</t>
  </si>
  <si>
    <t>138018360</t>
  </si>
  <si>
    <t>google-brasil|retangulo|300x250|man_caminhoes|always_on|produto|criativo_16_tgx_29-440|300x250|cpm</t>
  </si>
  <si>
    <t>138018355</t>
  </si>
  <si>
    <t>google-brasil|retangulo|300x250|man_caminhoes|always_on|produto|criativo_17_tgx_29-440|300x250|cpm</t>
  </si>
  <si>
    <t>138018350</t>
  </si>
  <si>
    <t>google-brasil|retangulo|300x250|man_caminhoes|always_on|produto|criativo_18_tgx_29-440|300x250|cpm</t>
  </si>
  <si>
    <t>138018345</t>
  </si>
  <si>
    <t>google-brasil|retangulo|300x250|man_caminhoes|always_on|produto|criativo_19_tgx_29-480|300x250|cpm</t>
  </si>
  <si>
    <t>138018340</t>
  </si>
  <si>
    <t>google-brasil|retangulo|300x250|man_caminhoes|always_on|produto|criativo_20_tgx_29-480|300x250|cpm</t>
  </si>
  <si>
    <t>138018335</t>
  </si>
  <si>
    <t>google-brasil|retangulo|300x250|man_caminhoes|always_on|produto|criativo_21_tgx_29-480|300x250|cpm</t>
  </si>
  <si>
    <t>138018330</t>
  </si>
  <si>
    <t>google-brasil|retangulo|300x250|man_caminhoes|always_on|produto|criativo_22_tgx_29-480|300x250|cpm</t>
  </si>
  <si>
    <t>138018325</t>
  </si>
  <si>
    <t>google-brasil|retangulo|300x250|man_caminhoes|always_on|produto|criativo_23__tgx_29-480|300x250|cpm</t>
  </si>
  <si>
    <t>138018320</t>
  </si>
  <si>
    <t>google-brasil|retangulo|300x250|man_caminhoes|always_on|produto|criativo_24__tgx_29-480|300x250|cpm</t>
  </si>
  <si>
    <t>138018315</t>
  </si>
  <si>
    <t>google-brasil|retangulo|300x250|man_caminhoes|always_on|produto|criativo_25_tgx_29-480|300x250|cpm</t>
  </si>
  <si>
    <t>138018310</t>
  </si>
  <si>
    <t>google-brasil|retangulo|300x250|man_caminhoes|always_on|produto|criativo_26_tgx_29-480|300x250|cpm</t>
  </si>
  <si>
    <t>138018305</t>
  </si>
  <si>
    <t>google-brasil|retangulo|300x250|man_caminhoes|always_on|produto|criativo_27_tgx_29-480|300x250|cpm</t>
  </si>
  <si>
    <t>138018300</t>
  </si>
  <si>
    <t>google-brasil|retangulo|300x250|man_caminhoes|always_on|vitrine|criativo_01|300x250|cpm</t>
  </si>
  <si>
    <t>138019040</t>
  </si>
  <si>
    <t>google-brasil|retangulo|300x250|man_caminhoes|always_on|vitrine|criativo_02|300x250|cpm</t>
  </si>
  <si>
    <t>138019035</t>
  </si>
  <si>
    <t>google-brasil|retangulo|300x250|man_caminhoes|always_on|vitrine|criativo_03|300x250|cpm</t>
  </si>
  <si>
    <t>138019030</t>
  </si>
  <si>
    <t>google-brasil|retangulo|300x250|man_caminhoes|always_on|vitrine|criativo_04|300x250|cpm</t>
  </si>
  <si>
    <t>138019025</t>
  </si>
  <si>
    <t>google-brasil|retangulo|300x250|vw_caminhoes|always_on|institucional|criativo_01|300x250|cpm</t>
  </si>
  <si>
    <t>138019060</t>
  </si>
  <si>
    <t>google-brasil|retangulo|300x250|vw_caminhoes|always_on|institucional|criativo_02|300x250|cpm</t>
  </si>
  <si>
    <t>138019055</t>
  </si>
  <si>
    <t>google-brasil|retangulo|300x250|vw_caminhoes|always_on|institucional|criativo_03|300x250|cpm</t>
  </si>
  <si>
    <t>138019050</t>
  </si>
  <si>
    <t>google-brasil|retangulo|300x250|vw_caminhoes|always_on|institucional|criativo_04|300x250|cpm</t>
  </si>
  <si>
    <t>138019045</t>
  </si>
  <si>
    <t>google-brasil|retangulo|300x250|vw_caminhoes|always_on|produto|criativo_10_constellation_31-280|300x250|cpm</t>
  </si>
  <si>
    <t>138018050</t>
  </si>
  <si>
    <t>google-brasil|retangulo|300x250|vw_caminhoes|always_on|produto|criativo_12_worker_15-190|300x250|cpm</t>
  </si>
  <si>
    <t>138018040</t>
  </si>
  <si>
    <t>google-brasil|retangulo|300x250|vw_caminhoes|always_on|produto|criativo_13_worker_17-190|300x250|cpm</t>
  </si>
  <si>
    <t>138018035</t>
  </si>
  <si>
    <t>google-brasil|retangulo|300x250|vw_caminhoes|always_on|produto|criativo_14_worker_17-230|300x250|cpm</t>
  </si>
  <si>
    <t>138018030</t>
  </si>
  <si>
    <t>google-brasil|retangulo|300x250|vw_caminhoes|always_on|produto|criativo_16_constellation_canavieiro|300x250|cpm</t>
  </si>
  <si>
    <t>138018020</t>
  </si>
  <si>
    <t>google-brasil|retangulo|300x250|vw_caminhoes|always_on|produto|criativo_17_constellation_compactor|300x250|cpm</t>
  </si>
  <si>
    <t>138018015</t>
  </si>
  <si>
    <t>google-brasil|retangulo|300x250|vw_caminhoes|always_on|produto|criativo_34_constructor_basculante|300x250|cpm</t>
  </si>
  <si>
    <t>138017960</t>
  </si>
  <si>
    <t>google-brasil|retangulo|300x250|vw_caminhoes|always_on|produto|criativo_35_constructor_betoneira|300x250|cpm</t>
  </si>
  <si>
    <t>138017955</t>
  </si>
  <si>
    <t>google-brasil|retangulo|300x250|vw_caminhoes|always_on|produto|criativo_36_constellation_distributor|300x250|cpm</t>
  </si>
  <si>
    <t>138017950</t>
  </si>
  <si>
    <t>google-brasil|retangulo|300x250|vw_caminhoes|always_on|produto|criativo_38_worker_17-230|300x250|cpm</t>
  </si>
  <si>
    <t>138017940</t>
  </si>
  <si>
    <t>google-brasil|retangulo|300x250|vw_caminhoes|always_on|produto|criativo_39_worker_17-230|300x250|cpm</t>
  </si>
  <si>
    <t>138017935</t>
  </si>
  <si>
    <t>google-brasil|retangulo|300x250|vw_caminhoes|always_on|produto|criativo_40_worker_23-230|300x250|cpm</t>
  </si>
  <si>
    <t>138017930</t>
  </si>
  <si>
    <t>google-brasil|retangulo|300x250|vw_caminhoes|always_on|produto|criativo_41_worker_23-230|300x250|cpm</t>
  </si>
  <si>
    <t>138017925</t>
  </si>
  <si>
    <t>google-brasil|retangulo|300x250|vw_caminhoes|always_on|produto|criativo_51_constellation_31-280|300x250|cpm</t>
  </si>
  <si>
    <t>138017875</t>
  </si>
  <si>
    <t>google-brasil|retangulo|300x250|vw_caminhoes|always_on|produto|criativo_52_constellation_31-280|300x250|cpm</t>
  </si>
  <si>
    <t>138017870</t>
  </si>
  <si>
    <t>google-brasil|retangulo|300x250|vw_caminhoes|always_on|produto|criativo_53_constellation_31-280|300x250|cpm</t>
  </si>
  <si>
    <t>138017865</t>
  </si>
  <si>
    <t>google-brasil|retangulo|300x250|vw_caminhoes|always_on|produto|criativo_57_constellation_31-390|300x250|cpm</t>
  </si>
  <si>
    <t>138017845</t>
  </si>
  <si>
    <t>google-brasil|retangulo|300x250|vw_caminhoes|always_on|produto|criativo_58_constellation_31-390|300x250|cpm</t>
  </si>
  <si>
    <t>138017840</t>
  </si>
  <si>
    <t>google-brasil|retangulo|300x250|vw_caminhoes|always_on|produto|criativo_59_constellation_31-390|300x250|cpm</t>
  </si>
  <si>
    <t>138017835</t>
  </si>
  <si>
    <t>google-brasil|retangulo|300x250|vw_caminhoes|always_on|produto|criativo_62_worker_13-190|300x250|cpm</t>
  </si>
  <si>
    <t>138017820</t>
  </si>
  <si>
    <t>google-brasil|retangulo|300x250|vw_caminhoes|always_on|produto|criativo_63_worker_15-190|300x250|cpm</t>
  </si>
  <si>
    <t>138017815</t>
  </si>
  <si>
    <t>google-brasil|retangulo|300x250|vw_caminhoes|always_on|produto|criativo_64_worker_15-190|300x250|cpm</t>
  </si>
  <si>
    <t>138017810</t>
  </si>
  <si>
    <t>google-brasil|retangulo|300x250|vw_caminhoes|always_on|produto|criativo_65_worker_17-190|300x250|cpm</t>
  </si>
  <si>
    <t>138017805</t>
  </si>
  <si>
    <t>google-brasil|retangulo|300x250|vw_caminhoes|always_on|produto|criativo_66_constellation_compactor|300x250|cpm</t>
  </si>
  <si>
    <t>138017800</t>
  </si>
  <si>
    <t>google-brasil|retangulo|300x250|vw_caminhoes|always_on|produto|criativo_69_delivery_5-150|300x250|cpm</t>
  </si>
  <si>
    <t>138017785</t>
  </si>
  <si>
    <t>google-brasil|retangulo|300x250|vw_caminhoes|always_on|produto|criativo_70_delivery_5-150|300x250|cpm</t>
  </si>
  <si>
    <t>138017780</t>
  </si>
  <si>
    <t>google-brasil|retangulo|300x250|vw_caminhoes|always_on|produto|criativo_71_delivery_5-150|300x250|cpm</t>
  </si>
  <si>
    <t>138017775</t>
  </si>
  <si>
    <t>google-brasil|retangulo|300x250|vw_caminhoes|always_on|produto|criativo_72_delivery_5-150|300x250|cpm</t>
  </si>
  <si>
    <t>138017770</t>
  </si>
  <si>
    <t>google-brasil|retangulo|300x250|vw_caminhoes|always_on|produto|criativo_73_delivery_8-160|300x250|cpm</t>
  </si>
  <si>
    <t>138017765</t>
  </si>
  <si>
    <t>google-brasil|retangulo|300x250|vw_caminhoes|always_on|produto|criativo_74_delivery_8-160|300x250|cpm</t>
  </si>
  <si>
    <t>138017760</t>
  </si>
  <si>
    <t>google-brasil|retangulo|300x250|vw_caminhoes|always_on|produto|criativo_75_delivery_8-160|300x250|cpm</t>
  </si>
  <si>
    <t>138017755</t>
  </si>
  <si>
    <t>google-brasil|retangulo|300x250|vw_caminhoes|always_on|produto|criativo_76_delivery_8-160|300x250|cpm</t>
  </si>
  <si>
    <t>138017750</t>
  </si>
  <si>
    <t>google-brasil|retangulo|300x250|vw_caminhoes|always_on|produto|criativo_77_delivery_8-160|300x250|cpm</t>
  </si>
  <si>
    <t>138017745</t>
  </si>
  <si>
    <t>google-brasil|retangulo|300x250|vw_caminhoes|always_on|produto|criativo_78_delivery_8-160|300x250|cpm</t>
  </si>
  <si>
    <t>138017740</t>
  </si>
  <si>
    <t>google-brasil|retangulo|300x250|vw_caminhoes|always_on|produto|criativo_84_delivery_9-160|300x250|cpm</t>
  </si>
  <si>
    <t>138017710</t>
  </si>
  <si>
    <t>google-brasil|retangulo|300x250|vw_caminhoes|always_on|produto|criativo_85_delivery_9-160|300x250|cpm</t>
  </si>
  <si>
    <t>138017705</t>
  </si>
  <si>
    <t>google-brasil|retangulo|300x250|vw_caminhoes|always_on|produto|criativo_86_delivery_9-160|300x250|cpm</t>
  </si>
  <si>
    <t>138017700</t>
  </si>
  <si>
    <t>google-brasil|retangulo|300x250|vw_caminhoes|always_on|produto|criativo_87_delivery_9-160|300x250|cpm</t>
  </si>
  <si>
    <t>138015895</t>
  </si>
  <si>
    <t>google-brasil|retangulo|300x250|vw_caminhoes|always_on|produto|criativo_88_delivery_9-160|300x250|cpm</t>
  </si>
  <si>
    <t>138015890</t>
  </si>
  <si>
    <t>google-brasil|retangulo|300x250|vw_caminhoes|always_on|produto|criativo_90_delivery_10-160|300x250|cpm</t>
  </si>
  <si>
    <t>138015880</t>
  </si>
  <si>
    <t>google-brasil|retangulo|300x250|vw_caminhoes|always_on|produto|criativo_91_delivery_10-160|300x250|cpm</t>
  </si>
  <si>
    <t>138015875</t>
  </si>
  <si>
    <t>google-brasil|retangulo|300x250|vw_caminhoes|always_on|produto|criativo_92_delivery_10-160|300x250|cpm</t>
  </si>
  <si>
    <t>138015870</t>
  </si>
  <si>
    <t>google-brasil|retangulo|300x250|vw_caminhoes|always_on|produto|criativo_93_delivery_10-160|300x250|cpm</t>
  </si>
  <si>
    <t>138015865</t>
  </si>
  <si>
    <t>google-brasil|retangulo|300x250|vw_caminhoes|always_on|vitrine|criativo_01_delivery_10-160|300x250|cpm</t>
  </si>
  <si>
    <t>138019020</t>
  </si>
  <si>
    <t>google-brasil|retangulo|300x250|vw_caminhoes|always_on|vitrine|criativo_02_delivery_10-160|300x250|cpm</t>
  </si>
  <si>
    <t>138019015</t>
  </si>
  <si>
    <t>google-brasil|retangulo|300x250|vw_caminhoes|always_on|vitrine|criativo_03_delivery_10-160|300x250|cpm</t>
  </si>
  <si>
    <t>138019010</t>
  </si>
  <si>
    <t>google-brasil|retangulo|300x250|vw_caminhoes|always_on|vitrine|criativo_04_delivery_10-160|300x250|cpm</t>
  </si>
  <si>
    <t>138019005</t>
  </si>
  <si>
    <t>google-brasil|retangulo|300x250|vw_caminhoes|always_on|vitrine|criativo_05_delivery_10-160|300x250|cpm</t>
  </si>
  <si>
    <t>138019000</t>
  </si>
  <si>
    <t>google-brasil|retangulo|300x250|vw_caminhoes|always_on|vitrine|criativo_06_delivery_8-160|300x250|cpm</t>
  </si>
  <si>
    <t>138018995</t>
  </si>
  <si>
    <t>google-brasil|retangulo|300x250|vw_caminhoes|always_on|vitrine|criativo_07_delivery_8-160|300x250|cpm</t>
  </si>
  <si>
    <t>138018990</t>
  </si>
  <si>
    <t>google-brasil|retangulo|300x250|vw_caminhoes|always_on|vitrine|criativo_08_delivery_8-160|300x250|cpm</t>
  </si>
  <si>
    <t>138018985</t>
  </si>
  <si>
    <t>google-brasil|retangulo|300x250|vw_caminhoes|always_on|vitrine|criativo_09_delivery_8-160|300x250|cpm</t>
  </si>
  <si>
    <t>138018980</t>
  </si>
  <si>
    <t>google-brasil|retangulo|300x250|vw_caminhoes|always_on|vitrine|criativo_10_delivery_8-160|300x250|cpm</t>
  </si>
  <si>
    <t>138018975</t>
  </si>
  <si>
    <t>google-brasil|retangulo|300x250|vw_caminhoes|always_on|vitrine|criativo_11_constellation_24-280|300x250|cpm</t>
  </si>
  <si>
    <t>138018970</t>
  </si>
  <si>
    <t>google-brasil|retangulo|300x250|vw_caminhoes|always_on|vitrine|criativo_12_constellation_24-280|300x250|cpm</t>
  </si>
  <si>
    <t>138018965</t>
  </si>
  <si>
    <t>google-brasil|retangulo|300x250|vw_caminhoes|always_on|vitrine|criativo_13_constellation_24-280|300x250|cpm</t>
  </si>
  <si>
    <t>138018960</t>
  </si>
  <si>
    <t>google-brasil|retangulo|300x250|vw_caminhoes|always_on|vitrine|criativo_14_constellation_24-280-v|300x250|cpm</t>
  </si>
  <si>
    <t>138018955</t>
  </si>
  <si>
    <t>google-brasil|retangulo|300x250|vw_caminhoes|always_on|vitrine|criativo_15_constellation_24-280-8x2|300x250|cpm</t>
  </si>
  <si>
    <t>138018950</t>
  </si>
  <si>
    <t>google-brasil|retangulo|300x250|vw_caminhoes|always_on|vitrine|criativo_16_constellation_24-280|300x250|cpm</t>
  </si>
  <si>
    <t>138018945</t>
  </si>
  <si>
    <t>google-brasil|sky|120x600|man_caminhoes|always_on|institucional|criativo_01|120x600|cpm</t>
  </si>
  <si>
    <t>138019087</t>
  </si>
  <si>
    <t>google-brasil|sky|120x600|man_caminhoes|always_on|institucional|criativo_02|120x600|cpm</t>
  </si>
  <si>
    <t>138019081</t>
  </si>
  <si>
    <t>google-brasil|sky|120x600|man_caminhoes|always_on|institucional|criativo_03|120x600|cpm</t>
  </si>
  <si>
    <t>138019076</t>
  </si>
  <si>
    <t>google-brasil|sky|120x600|man_caminhoes|always_on|institucional|criativo_04|120x600|cpm</t>
  </si>
  <si>
    <t>138019071</t>
  </si>
  <si>
    <t>google-brasil|sky|120x600|man_caminhoes|always_on|institucional|criativo_05|120x600|cpm</t>
  </si>
  <si>
    <t>138019066</t>
  </si>
  <si>
    <t>google-brasil|sky|120x600|man_caminhoes|always_on|produto|criativo_11_tgx_29-440|120x600|cpm</t>
  </si>
  <si>
    <t>138018381</t>
  </si>
  <si>
    <t>google-brasil|sky|120x600|man_caminhoes|always_on|produto|criativo_12_tgx_29-440|120x600|cpm</t>
  </si>
  <si>
    <t>138018376</t>
  </si>
  <si>
    <t>google-brasil|sky|120x600|man_caminhoes|always_on|produto|criativo_13_tgx_29-440|120x600|cpm</t>
  </si>
  <si>
    <t>138018371</t>
  </si>
  <si>
    <t>google-brasil|sky|120x600|man_caminhoes|always_on|produto|criativo_14_tgx_29-440|120x600|cpm</t>
  </si>
  <si>
    <t>138018366</t>
  </si>
  <si>
    <t>google-brasil|sky|120x600|man_caminhoes|always_on|produto|criativo_15_tgx_29-440|120x600|cpm</t>
  </si>
  <si>
    <t>138018361</t>
  </si>
  <si>
    <t>google-brasil|sky|120x600|man_caminhoes|always_on|produto|criativo_16_tgx_29-440|120x600|cpm</t>
  </si>
  <si>
    <t>138018356</t>
  </si>
  <si>
    <t>google-brasil|sky|120x600|man_caminhoes|always_on|produto|criativo_17_tgx_29-440|120x600|cpm</t>
  </si>
  <si>
    <t>138018351</t>
  </si>
  <si>
    <t>google-brasil|sky|120x600|man_caminhoes|always_on|produto|criativo_18_tgx_29-440|120x600|cpm</t>
  </si>
  <si>
    <t>138018346</t>
  </si>
  <si>
    <t>google-brasil|sky|120x600|man_caminhoes|always_on|produto|criativo_19_tgx_29-480|120x600|cpm</t>
  </si>
  <si>
    <t>138018341</t>
  </si>
  <si>
    <t>google-brasil|sky|120x600|man_caminhoes|always_on|produto|criativo_20_tgx_29-480|120x600|cpm</t>
  </si>
  <si>
    <t>138018336</t>
  </si>
  <si>
    <t>google-brasil|sky|120x600|man_caminhoes|always_on|produto|criativo_21_tgx_29-480|120x600|cpm</t>
  </si>
  <si>
    <t>138018331</t>
  </si>
  <si>
    <t>google-brasil|sky|120x600|man_caminhoes|always_on|produto|criativo_22_tgx_29-480|120x600|cpm</t>
  </si>
  <si>
    <t>138018326</t>
  </si>
  <si>
    <t>google-brasil|sky|120x600|man_caminhoes|always_on|produto|criativo_23__tgx_29-480|120x600|cpm</t>
  </si>
  <si>
    <t>138018321</t>
  </si>
  <si>
    <t>google-brasil|sky|120x600|man_caminhoes|always_on|produto|criativo_24__tgx_29-480|120x600|cpm</t>
  </si>
  <si>
    <t>138018316</t>
  </si>
  <si>
    <t>google-brasil|sky|120x600|man_caminhoes|always_on|produto|criativo_25_tgx_29-480|120x600|cpm</t>
  </si>
  <si>
    <t>138018311</t>
  </si>
  <si>
    <t>google-brasil|sky|120x600|man_caminhoes|always_on|produto|criativo_26_tgx_29-480|120x600|cpm</t>
  </si>
  <si>
    <t>138018306</t>
  </si>
  <si>
    <t>google-brasil|sky|120x600|man_caminhoes|always_on|produto|criativo_27_tgx_29-480|120x600|cpm</t>
  </si>
  <si>
    <t>138018301</t>
  </si>
  <si>
    <t>google-brasil|sky|120x600|man_caminhoes|always_on|vitrine|criativo_01|120x600|cpm</t>
  </si>
  <si>
    <t>138019041</t>
  </si>
  <si>
    <t>google-brasil|sky|120x600|man_caminhoes|always_on|vitrine|criativo_02|120x600|cpm</t>
  </si>
  <si>
    <t>138019036</t>
  </si>
  <si>
    <t>google-brasil|sky|120x600|man_caminhoes|always_on|vitrine|criativo_03|120x600|cpm</t>
  </si>
  <si>
    <t>138019031</t>
  </si>
  <si>
    <t>google-brasil|sky|120x600|man_caminhoes|always_on|vitrine|criativo_04|120x600|cpm</t>
  </si>
  <si>
    <t>138019026</t>
  </si>
  <si>
    <t>google-brasil|sky|120x600|vw_caminhoes|always_on|institucional|criativo_01|120x600|cpm</t>
  </si>
  <si>
    <t>138019061</t>
  </si>
  <si>
    <t>google-brasil|sky|120x600|vw_caminhoes|always_on|institucional|criativo_02|120x600|cpm</t>
  </si>
  <si>
    <t>138019056</t>
  </si>
  <si>
    <t>google-brasil|sky|120x600|vw_caminhoes|always_on|institucional|criativo_03|120x600|cpm</t>
  </si>
  <si>
    <t>138019051</t>
  </si>
  <si>
    <t>google-brasil|sky|120x600|vw_caminhoes|always_on|institucional|criativo_04|120x600|cpm</t>
  </si>
  <si>
    <t>138019046</t>
  </si>
  <si>
    <t>google-brasil|sky|120x600|vw_caminhoes|always_on|produto|criativo_10_constellation_31-280|120x600|cpm</t>
  </si>
  <si>
    <t>138018051</t>
  </si>
  <si>
    <t>google-brasil|sky|120x600|vw_caminhoes|always_on|produto|criativo_12_worker_15-190|120x600|cpm</t>
  </si>
  <si>
    <t>138018041</t>
  </si>
  <si>
    <t>google-brasil|sky|120x600|vw_caminhoes|always_on|produto|criativo_13_worker_17-190|120x600|cpm</t>
  </si>
  <si>
    <t>138018036</t>
  </si>
  <si>
    <t>google-brasil|sky|120x600|vw_caminhoes|always_on|produto|criativo_14_worker_17-230|120x600|cpm</t>
  </si>
  <si>
    <t>138018031</t>
  </si>
  <si>
    <t>google-brasil|sky|120x600|vw_caminhoes|always_on|produto|criativo_16_constellation_canavieiro|120x600|cpm</t>
  </si>
  <si>
    <t>138018021</t>
  </si>
  <si>
    <t>google-brasil|sky|120x600|vw_caminhoes|always_on|produto|criativo_17_constellation_compactor|120x600|cpm</t>
  </si>
  <si>
    <t>138018016</t>
  </si>
  <si>
    <t>google-brasil|sky|120x600|vw_caminhoes|always_on|produto|criativo_34_constructor_basculante|120x600|cpm</t>
  </si>
  <si>
    <t>138017961</t>
  </si>
  <si>
    <t>google-brasil|sky|120x600|vw_caminhoes|always_on|produto|criativo_35_constructor_betoneira|120x600|cpm</t>
  </si>
  <si>
    <t>138017956</t>
  </si>
  <si>
    <t>google-brasil|sky|120x600|vw_caminhoes|always_on|produto|criativo_36_constellation_distributor|120x600|cpm</t>
  </si>
  <si>
    <t>138017951</t>
  </si>
  <si>
    <t>google-brasil|sky|120x600|vw_caminhoes|always_on|produto|criativo_38_worker_17-230|120x600|cpm</t>
  </si>
  <si>
    <t>138017941</t>
  </si>
  <si>
    <t>google-brasil|sky|120x600|vw_caminhoes|always_on|produto|criativo_39_worker_17-230|120x600|cpm</t>
  </si>
  <si>
    <t>138017936</t>
  </si>
  <si>
    <t>google-brasil|sky|120x600|vw_caminhoes|always_on|produto|criativo_40_worker_23-230|120x600|cpm</t>
  </si>
  <si>
    <t>138017931</t>
  </si>
  <si>
    <t>google-brasil|sky|120x600|vw_caminhoes|always_on|produto|criativo_41_worker_23-230|120x600|cpm</t>
  </si>
  <si>
    <t>138017926</t>
  </si>
  <si>
    <t>google-brasil|sky|120x600|vw_caminhoes|always_on|produto|criativo_51_constellation_31-280|120x600|cpm</t>
  </si>
  <si>
    <t>138017876</t>
  </si>
  <si>
    <t>google-brasil|sky|120x600|vw_caminhoes|always_on|produto|criativo_52_constellation_31-280|120x600|cpm</t>
  </si>
  <si>
    <t>138017871</t>
  </si>
  <si>
    <t>google-brasil|sky|120x600|vw_caminhoes|always_on|produto|criativo_53_constellation_31-280|120x600|cpm</t>
  </si>
  <si>
    <t>138017866</t>
  </si>
  <si>
    <t>google-brasil|sky|120x600|vw_caminhoes|always_on|produto|criativo_57_constellation_31-390|120x600|cpm</t>
  </si>
  <si>
    <t>138017846</t>
  </si>
  <si>
    <t>google-brasil|sky|120x600|vw_caminhoes|always_on|produto|criativo_58_constellation_31-390|120x600|cpm</t>
  </si>
  <si>
    <t>138017841</t>
  </si>
  <si>
    <t>google-brasil|sky|120x600|vw_caminhoes|always_on|produto|criativo_59_constellation_31-390|120x600|cpm</t>
  </si>
  <si>
    <t>138017836</t>
  </si>
  <si>
    <t>google-brasil|sky|120x600|vw_caminhoes|always_on|produto|criativo_62_worker_13-190|120x600|cpm</t>
  </si>
  <si>
    <t>138017821</t>
  </si>
  <si>
    <t>google-brasil|sky|120x600|vw_caminhoes|always_on|produto|criativo_63_worker_15-190|120x600|cpm</t>
  </si>
  <si>
    <t>138017816</t>
  </si>
  <si>
    <t>google-brasil|sky|120x600|vw_caminhoes|always_on|produto|criativo_64_worker_15-190|120x600|cpm</t>
  </si>
  <si>
    <t>138017811</t>
  </si>
  <si>
    <t>google-brasil|sky|120x600|vw_caminhoes|always_on|produto|criativo_65_worker_17-190|120x600|cpm</t>
  </si>
  <si>
    <t>138017806</t>
  </si>
  <si>
    <t>google-brasil|sky|120x600|vw_caminhoes|always_on|produto|criativo_66_constellation_compactor|120x600|cpm</t>
  </si>
  <si>
    <t>138017801</t>
  </si>
  <si>
    <t>google-brasil|sky|120x600|vw_caminhoes|always_on|produto|criativo_69_delivery_5-150|120x600|cpm</t>
  </si>
  <si>
    <t>138017786</t>
  </si>
  <si>
    <t>google-brasil|sky|120x600|vw_caminhoes|always_on|produto|criativo_70_delivery_5-150|120x600|cpm</t>
  </si>
  <si>
    <t>138017781</t>
  </si>
  <si>
    <t>google-brasil|sky|120x600|vw_caminhoes|always_on|produto|criativo_71_delivery_5-150|120x600|cpm</t>
  </si>
  <si>
    <t>138017776</t>
  </si>
  <si>
    <t>google-brasil|sky|120x600|vw_caminhoes|always_on|produto|criativo_72_delivery_5-150|120x600|cpm</t>
  </si>
  <si>
    <t>138017771</t>
  </si>
  <si>
    <t>google-brasil|sky|120x600|vw_caminhoes|always_on|produto|criativo_73_delivery_8-160|120x600|cpm</t>
  </si>
  <si>
    <t>138017766</t>
  </si>
  <si>
    <t>google-brasil|sky|120x600|vw_caminhoes|always_on|produto|criativo_74_delivery_8-160|120x600|cpm</t>
  </si>
  <si>
    <t>138017761</t>
  </si>
  <si>
    <t>google-brasil|sky|120x600|vw_caminhoes|always_on|produto|criativo_75_delivery_8-160|120x600|cpm</t>
  </si>
  <si>
    <t>138017756</t>
  </si>
  <si>
    <t>google-brasil|sky|120x600|vw_caminhoes|always_on|produto|criativo_76_delivery_8-160|120x600|cpm</t>
  </si>
  <si>
    <t>138017751</t>
  </si>
  <si>
    <t>google-brasil|sky|120x600|vw_caminhoes|always_on|produto|criativo_77_delivery_8-160|120x600|cpm</t>
  </si>
  <si>
    <t>138017746</t>
  </si>
  <si>
    <t>google-brasil|sky|120x600|vw_caminhoes|always_on|produto|criativo_78_delivery_8-160|120x600|cpm</t>
  </si>
  <si>
    <t>138017741</t>
  </si>
  <si>
    <t>google-brasil|sky|120x600|vw_caminhoes|always_on|produto|criativo_84_delivery_9-160|120x600|cpm</t>
  </si>
  <si>
    <t>138017711</t>
  </si>
  <si>
    <t>google-brasil|sky|120x600|vw_caminhoes|always_on|produto|criativo_85_delivery_9-160|120x600|cpm</t>
  </si>
  <si>
    <t>138017706</t>
  </si>
  <si>
    <t>google-brasil|sky|120x600|vw_caminhoes|always_on|produto|criativo_86_delivery_9-160|120x600|cpm</t>
  </si>
  <si>
    <t>138017701</t>
  </si>
  <si>
    <t>google-brasil|sky|120x600|vw_caminhoes|always_on|produto|criativo_87_delivery_9-160|120x600|cpm</t>
  </si>
  <si>
    <t>138015896</t>
  </si>
  <si>
    <t>google-brasil|sky|120x600|vw_caminhoes|always_on|produto|criativo_88_delivery_9-160|120x600|cpm</t>
  </si>
  <si>
    <t>138015891</t>
  </si>
  <si>
    <t>google-brasil|sky|120x600|vw_caminhoes|always_on|produto|criativo_90_delivery_10-160|120x600|cpm</t>
  </si>
  <si>
    <t>138015881</t>
  </si>
  <si>
    <t>google-brasil|sky|120x600|vw_caminhoes|always_on|produto|criativo_91_delivery_10-160|120x600|cpm</t>
  </si>
  <si>
    <t>138015876</t>
  </si>
  <si>
    <t>google-brasil|sky|120x600|vw_caminhoes|always_on|produto|criativo_92_delivery_10-160|120x600|cpm</t>
  </si>
  <si>
    <t>138015871</t>
  </si>
  <si>
    <t>google-brasil|sky|120x600|vw_caminhoes|always_on|produto|criativo_93_delivery_10-160|120x600|cpm</t>
  </si>
  <si>
    <t>138015866</t>
  </si>
  <si>
    <t>google-brasil|sky|120x600|vw_caminhoes|always_on|vitrine|criativo_01_delivery_10-160|120x600|cpm</t>
  </si>
  <si>
    <t>138019021</t>
  </si>
  <si>
    <t>google-brasil|sky|120x600|vw_caminhoes|always_on|vitrine|criativo_02_delivery_10-160|120x600|cpm</t>
  </si>
  <si>
    <t>138019016</t>
  </si>
  <si>
    <t>google-brasil|sky|120x600|vw_caminhoes|always_on|vitrine|criativo_03_delivery_10-160|120x600|cpm</t>
  </si>
  <si>
    <t>138019011</t>
  </si>
  <si>
    <t>google-brasil|sky|120x600|vw_caminhoes|always_on|vitrine|criativo_04_delivery_10-160|120x600|cpm</t>
  </si>
  <si>
    <t>138019006</t>
  </si>
  <si>
    <t>google-brasil|sky|120x600|vw_caminhoes|always_on|vitrine|criativo_05_delivery_10-160|120x600|cpm</t>
  </si>
  <si>
    <t>138019001</t>
  </si>
  <si>
    <t>google-brasil|sky|120x600|vw_caminhoes|always_on|vitrine|criativo_06_delivery_8-160|120x600|cpm</t>
  </si>
  <si>
    <t>138018996</t>
  </si>
  <si>
    <t>google-brasil|sky|120x600|vw_caminhoes|always_on|vitrine|criativo_07_delivery_8-160|120x600|cpm</t>
  </si>
  <si>
    <t>138018991</t>
  </si>
  <si>
    <t>google-brasil|sky|120x600|vw_caminhoes|always_on|vitrine|criativo_08_delivery_8-160|120x600|cpm</t>
  </si>
  <si>
    <t>138018986</t>
  </si>
  <si>
    <t>google-brasil|sky|120x600|vw_caminhoes|always_on|vitrine|criativo_09_delivery_8-160|120x600|cpm</t>
  </si>
  <si>
    <t>138018981</t>
  </si>
  <si>
    <t>google-brasil|sky|120x600|vw_caminhoes|always_on|vitrine|criativo_10_delivery_8-160|120x600|cpm</t>
  </si>
  <si>
    <t>138018976</t>
  </si>
  <si>
    <t>google-brasil|sky|120x600|vw_caminhoes|always_on|vitrine|criativo_11_constellation_24-280|120x600|cpm</t>
  </si>
  <si>
    <t>138018971</t>
  </si>
  <si>
    <t>google-brasil|sky|120x600|vw_caminhoes|always_on|vitrine|criativo_12_constellation_24-280|120x600|cpm</t>
  </si>
  <si>
    <t>138018966</t>
  </si>
  <si>
    <t>google-brasil|sky|120x600|vw_caminhoes|always_on|vitrine|criativo_13_constellation_24-280|120x600|cpm</t>
  </si>
  <si>
    <t>138018961</t>
  </si>
  <si>
    <t>google-brasil|sky|120x600|vw_caminhoes|always_on|vitrine|criativo_14_constellation_24-280-v|120x600|cpm</t>
  </si>
  <si>
    <t>138018956</t>
  </si>
  <si>
    <t>google-brasil|sky|120x600|vw_caminhoes|always_on|vitrine|criativo_15_constellation_24-280-8x2|120x600|cpm</t>
  </si>
  <si>
    <t>138018951</t>
  </si>
  <si>
    <t>google-brasil|sky|120x600|vw_caminhoes|always_on|vitrine|criativo_16_constellation_24-280|120x600|cpm</t>
  </si>
  <si>
    <t>138018946</t>
  </si>
  <si>
    <t>google-brasil|super-banner|728x90|man_caminhoes|always_on|institucional|criativo_01|728x90|cpm</t>
  </si>
  <si>
    <t>138019082</t>
  </si>
  <si>
    <t>google-brasil|super-banner|728x90|man_caminhoes|always_on|institucional|criativo_02|728x90|cpm</t>
  </si>
  <si>
    <t>138019077</t>
  </si>
  <si>
    <t>google-brasil|super-banner|728x90|man_caminhoes|always_on|institucional|criativo_03|728x90|cpm</t>
  </si>
  <si>
    <t>138019072</t>
  </si>
  <si>
    <t>google-brasil|super-banner|728x90|man_caminhoes|always_on|institucional|criativo_04|728x90|cpm</t>
  </si>
  <si>
    <t>138019067</t>
  </si>
  <si>
    <t>google-brasil|super-banner|728x90|man_caminhoes|always_on|institucional|criativo_05|728x90|cpm</t>
  </si>
  <si>
    <t>138019062</t>
  </si>
  <si>
    <t>google-brasil|super-banner|728x90|man_caminhoes|always_on|produto|criativo_11_tgx_29-440|728x90|cpm</t>
  </si>
  <si>
    <t>138018377</t>
  </si>
  <si>
    <t>google-brasil|super-banner|728x90|man_caminhoes|always_on|produto|criativo_12_tgx_29-440|728x90|cpm</t>
  </si>
  <si>
    <t>138018372</t>
  </si>
  <si>
    <t>google-brasil|super-banner|728x90|man_caminhoes|always_on|produto|criativo_13_tgx_29-440|728x90|cpm</t>
  </si>
  <si>
    <t>138018367</t>
  </si>
  <si>
    <t>google-brasil|super-banner|728x90|man_caminhoes|always_on|produto|criativo_14_tgx_29-440|728x90|cpm</t>
  </si>
  <si>
    <t>138018362</t>
  </si>
  <si>
    <t>google-brasil|super-banner|728x90|man_caminhoes|always_on|produto|criativo_15_tgx_29-440|728x90|cpm</t>
  </si>
  <si>
    <t>138018357</t>
  </si>
  <si>
    <t>google-brasil|super-banner|728x90|man_caminhoes|always_on|produto|criativo_16_tgx_29-440|728x90|cpm</t>
  </si>
  <si>
    <t>138018352</t>
  </si>
  <si>
    <t>google-brasil|super-banner|728x90|man_caminhoes|always_on|produto|criativo_17_tgx_29-440|728x90|cpm</t>
  </si>
  <si>
    <t>138018347</t>
  </si>
  <si>
    <t>google-brasil|super-banner|728x90|man_caminhoes|always_on|produto|criativo_18_tgx_29-440|728x90|cpm</t>
  </si>
  <si>
    <t>138018342</t>
  </si>
  <si>
    <t>google-brasil|super-banner|728x90|man_caminhoes|always_on|produto|criativo_19_tgx_29-480|728x90|cpm</t>
  </si>
  <si>
    <t>138018337</t>
  </si>
  <si>
    <t>google-brasil|super-banner|728x90|man_caminhoes|always_on|produto|criativo_20_tgx_29-480|728x90|cpm</t>
  </si>
  <si>
    <t>138018332</t>
  </si>
  <si>
    <t>google-brasil|super-banner|728x90|man_caminhoes|always_on|produto|criativo_21_tgx_29-480|728x90|cpm</t>
  </si>
  <si>
    <t>138018327</t>
  </si>
  <si>
    <t>google-brasil|super-banner|728x90|man_caminhoes|always_on|produto|criativo_22_tgx_29-480|728x90|cpm</t>
  </si>
  <si>
    <t>138018322</t>
  </si>
  <si>
    <t>google-brasil|super-banner|728x90|man_caminhoes|always_on|produto|criativo_23__tgx_29-480|728x90|cpm</t>
  </si>
  <si>
    <t>138018317</t>
  </si>
  <si>
    <t>google-brasil|super-banner|728x90|man_caminhoes|always_on|produto|criativo_24__tgx_29-480|728x90|cpm</t>
  </si>
  <si>
    <t>138018312</t>
  </si>
  <si>
    <t>google-brasil|super-banner|728x90|man_caminhoes|always_on|produto|criativo_25_tgx_29-480|728x90|cpm</t>
  </si>
  <si>
    <t>138018307</t>
  </si>
  <si>
    <t>google-brasil|super-banner|728x90|man_caminhoes|always_on|produto|criativo_26_tgx_29-480|728x90|cpm</t>
  </si>
  <si>
    <t>138018302</t>
  </si>
  <si>
    <t>google-brasil|super-banner|728x90|man_caminhoes|always_on|produto|criativo_27_tgx_29-480|728x90|cpm</t>
  </si>
  <si>
    <t>138018097</t>
  </si>
  <si>
    <t>google-brasil|super-banner|728x90|man_caminhoes|always_on|vitrine|criativo_01|728x90|cpm</t>
  </si>
  <si>
    <t>138019037</t>
  </si>
  <si>
    <t>google-brasil|super-banner|728x90|man_caminhoes|always_on|vitrine|criativo_02|728x90|cpm</t>
  </si>
  <si>
    <t>138019032</t>
  </si>
  <si>
    <t>google-brasil|super-banner|728x90|man_caminhoes|always_on|vitrine|criativo_03|728x90|cpm</t>
  </si>
  <si>
    <t>138019027</t>
  </si>
  <si>
    <t>google-brasil|super-banner|728x90|man_caminhoes|always_on|vitrine|criativo_04|728x90|cpm</t>
  </si>
  <si>
    <t>138019022</t>
  </si>
  <si>
    <t>google-brasil|super-banner|728x90|vw_caminhoes|always_on|institucional|criativo_01|728x90|cpm</t>
  </si>
  <si>
    <t>138019057</t>
  </si>
  <si>
    <t>google-brasil|super-banner|728x90|vw_caminhoes|always_on|institucional|criativo_02|728x90|cpm</t>
  </si>
  <si>
    <t>138019052</t>
  </si>
  <si>
    <t>google-brasil|super-banner|728x90|vw_caminhoes|always_on|institucional|criativo_03|728x90|cpm</t>
  </si>
  <si>
    <t>138019047</t>
  </si>
  <si>
    <t>google-brasil|super-banner|728x90|vw_caminhoes|always_on|institucional|criativo_04|728x90|cpm</t>
  </si>
  <si>
    <t>138019042</t>
  </si>
  <si>
    <t>google-brasil|super-banner|728x90|vw_caminhoes|always_on|produto|criativo_10_constellation_31-280|728x90|cpm</t>
  </si>
  <si>
    <t>138018047</t>
  </si>
  <si>
    <t>google-brasil|super-banner|728x90|vw_caminhoes|always_on|produto|criativo_12_worker_15-190|728x90|cpm</t>
  </si>
  <si>
    <t>138018037</t>
  </si>
  <si>
    <t>google-brasil|super-banner|728x90|vw_caminhoes|always_on|produto|criativo_13_worker_17-190|728x90|cpm</t>
  </si>
  <si>
    <t>138018032</t>
  </si>
  <si>
    <t>google-brasil|super-banner|728x90|vw_caminhoes|always_on|produto|criativo_14_worker_17-230|728x90|cpm</t>
  </si>
  <si>
    <t>138018027</t>
  </si>
  <si>
    <t>google-brasil|super-banner|728x90|vw_caminhoes|always_on|produto|criativo_16_constellation_canavieiro|728x90|cpm</t>
  </si>
  <si>
    <t>138018017</t>
  </si>
  <si>
    <t>google-brasil|super-banner|728x90|vw_caminhoes|always_on|produto|criativo_17_constellation_compactor|728x90|cpm</t>
  </si>
  <si>
    <t>138018012</t>
  </si>
  <si>
    <t>google-brasil|super-banner|728x90|vw_caminhoes|always_on|produto|criativo_34_constructor_basculante|728x90|cpm</t>
  </si>
  <si>
    <t>138017957</t>
  </si>
  <si>
    <t>google-brasil|super-banner|728x90|vw_caminhoes|always_on|produto|criativo_35_constructor_betoneira|728x90|cpm</t>
  </si>
  <si>
    <t>138017952</t>
  </si>
  <si>
    <t>google-brasil|super-banner|728x90|vw_caminhoes|always_on|produto|criativo_36_constellation_distributor|728x90|cpm</t>
  </si>
  <si>
    <t>138017947</t>
  </si>
  <si>
    <t>google-brasil|super-banner|728x90|vw_caminhoes|always_on|produto|criativo_38_worker_17-230|728x90|cpm</t>
  </si>
  <si>
    <t>138017937</t>
  </si>
  <si>
    <t>google-brasil|super-banner|728x90|vw_caminhoes|always_on|produto|criativo_39_worker_17-230|728x90|cpm</t>
  </si>
  <si>
    <t>138017932</t>
  </si>
  <si>
    <t>google-brasil|super-banner|728x90|vw_caminhoes|always_on|produto|criativo_40_worker_23-230|728x90|cpm</t>
  </si>
  <si>
    <t>138017927</t>
  </si>
  <si>
    <t>google-brasil|super-banner|728x90|vw_caminhoes|always_on|produto|criativo_41_worker_23-230|728x90|cpm</t>
  </si>
  <si>
    <t>138017922</t>
  </si>
  <si>
    <t>google-brasil|super-banner|728x90|vw_caminhoes|always_on|produto|criativo_51_constellation_31-280|728x90|cpm</t>
  </si>
  <si>
    <t>138017872</t>
  </si>
  <si>
    <t>google-brasil|super-banner|728x90|vw_caminhoes|always_on|produto|criativo_52_constellation_31-280|728x90|cpm</t>
  </si>
  <si>
    <t>138017867</t>
  </si>
  <si>
    <t>google-brasil|super-banner|728x90|vw_caminhoes|always_on|produto|criativo_53_constellation_31-280|728x90|cpm</t>
  </si>
  <si>
    <t>138017862</t>
  </si>
  <si>
    <t>google-brasil|super-banner|728x90|vw_caminhoes|always_on|produto|criativo_57_constellation_31-390|728x90|cpm</t>
  </si>
  <si>
    <t>138017842</t>
  </si>
  <si>
    <t>google-brasil|super-banner|728x90|vw_caminhoes|always_on|produto|criativo_58_constellation_31-390|728x90|cpm</t>
  </si>
  <si>
    <t>138017837</t>
  </si>
  <si>
    <t>google-brasil|super-banner|728x90|vw_caminhoes|always_on|produto|criativo_59_constellation_31-390|728x90|cpm</t>
  </si>
  <si>
    <t>138017832</t>
  </si>
  <si>
    <t>google-brasil|super-banner|728x90|vw_caminhoes|always_on|produto|criativo_62_worker_13-190|728x90|cpm</t>
  </si>
  <si>
    <t>138017817</t>
  </si>
  <si>
    <t>google-brasil|super-banner|728x90|vw_caminhoes|always_on|produto|criativo_63_worker_15-190|728x90|cpm</t>
  </si>
  <si>
    <t>138017812</t>
  </si>
  <si>
    <t>google-brasil|super-banner|728x90|vw_caminhoes|always_on|produto|criativo_64_worker_15-190|728x90|cpm</t>
  </si>
  <si>
    <t>138017807</t>
  </si>
  <si>
    <t>google-brasil|super-banner|728x90|vw_caminhoes|always_on|produto|criativo_65_worker_17-190|728x90|cpm</t>
  </si>
  <si>
    <t>138017802</t>
  </si>
  <si>
    <t>google-brasil|super-banner|728x90|vw_caminhoes|always_on|produto|criativo_66_constellation_compactor|728x90|cpm</t>
  </si>
  <si>
    <t>138017797</t>
  </si>
  <si>
    <t>google-brasil|super-banner|728x90|vw_caminhoes|always_on|produto|criativo_69_delivery_5-150|728x90|cpm</t>
  </si>
  <si>
    <t>138017782</t>
  </si>
  <si>
    <t>google-brasil|super-banner|728x90|vw_caminhoes|always_on|produto|criativo_70_delivery_5-150|728x90|cpm</t>
  </si>
  <si>
    <t>138017777</t>
  </si>
  <si>
    <t>google-brasil|super-banner|728x90|vw_caminhoes|always_on|produto|criativo_71_delivery_5-150|728x90|cpm</t>
  </si>
  <si>
    <t>138017772</t>
  </si>
  <si>
    <t>google-brasil|super-banner|728x90|vw_caminhoes|always_on|produto|criativo_72_delivery_5-150|728x90|cpm</t>
  </si>
  <si>
    <t>138017767</t>
  </si>
  <si>
    <t>google-brasil|super-banner|728x90|vw_caminhoes|always_on|produto|criativo_73_delivery_8-160|728x90|cpm</t>
  </si>
  <si>
    <t>138017762</t>
  </si>
  <si>
    <t>google-brasil|super-banner|728x90|vw_caminhoes|always_on|produto|criativo_74_delivery_8-160|728x90|cpm</t>
  </si>
  <si>
    <t>138017757</t>
  </si>
  <si>
    <t>google-brasil|super-banner|728x90|vw_caminhoes|always_on|produto|criativo_75_delivery_8-160|728x90|cpm</t>
  </si>
  <si>
    <t>138017752</t>
  </si>
  <si>
    <t>google-brasil|super-banner|728x90|vw_caminhoes|always_on|produto|criativo_76_delivery_8-160|728x90|cpm</t>
  </si>
  <si>
    <t>138017747</t>
  </si>
  <si>
    <t>google-brasil|super-banner|728x90|vw_caminhoes|always_on|produto|criativo_77_delivery_8-160|728x90|cpm</t>
  </si>
  <si>
    <t>138017742</t>
  </si>
  <si>
    <t>google-brasil|super-banner|728x90|vw_caminhoes|always_on|produto|criativo_78_delivery_8-160|728x90|cpm</t>
  </si>
  <si>
    <t>138017737</t>
  </si>
  <si>
    <t>google-brasil|super-banner|728x90|vw_caminhoes|always_on|produto|criativo_84_delivery_9-160|728x90|cpm</t>
  </si>
  <si>
    <t>138017707</t>
  </si>
  <si>
    <t>google-brasil|super-banner|728x90|vw_caminhoes|always_on|produto|criativo_85_delivery_9-160|728x90|cpm</t>
  </si>
  <si>
    <t>138017702</t>
  </si>
  <si>
    <t>google-brasil|super-banner|728x90|vw_caminhoes|always_on|produto|criativo_86_delivery_9-160|728x90|cpm</t>
  </si>
  <si>
    <t>138015897</t>
  </si>
  <si>
    <t>google-brasil|super-banner|728x90|vw_caminhoes|always_on|produto|criativo_87_delivery_9-160|728x90|cpm</t>
  </si>
  <si>
    <t>138015892</t>
  </si>
  <si>
    <t>google-brasil|super-banner|728x90|vw_caminhoes|always_on|produto|criativo_88_delivery_9-160|728x90|cpm</t>
  </si>
  <si>
    <t>138015887</t>
  </si>
  <si>
    <t>google-brasil|super-banner|728x90|vw_caminhoes|always_on|produto|criativo_90_delivery_10-160|728x90|cpm</t>
  </si>
  <si>
    <t>138015877</t>
  </si>
  <si>
    <t>google-brasil|super-banner|728x90|vw_caminhoes|always_on|produto|criativo_91_delivery_10-160|728x90|cpm</t>
  </si>
  <si>
    <t>138015872</t>
  </si>
  <si>
    <t>google-brasil|super-banner|728x90|vw_caminhoes|always_on|produto|criativo_92_delivery_10-160|728x90|cpm</t>
  </si>
  <si>
    <t>138015867</t>
  </si>
  <si>
    <t>google-brasil|super-banner|728x90|vw_caminhoes|always_on|produto|criativo_93_delivery_10-160|728x90|cpm</t>
  </si>
  <si>
    <t>138015862</t>
  </si>
  <si>
    <t>google-brasil|super-banner|728x90|vw_caminhoes|always_on|vitrine|criativo_01_delivery_10-160|728x90|cpm</t>
  </si>
  <si>
    <t>138019017</t>
  </si>
  <si>
    <t>google-brasil|super-banner|728x90|vw_caminhoes|always_on|vitrine|criativo_02_delivery_10-160|728x90|cpm</t>
  </si>
  <si>
    <t>138019012</t>
  </si>
  <si>
    <t>google-brasil|super-banner|728x90|vw_caminhoes|always_on|vitrine|criativo_03_delivery_10-160|728x90|cpm</t>
  </si>
  <si>
    <t>138019007</t>
  </si>
  <si>
    <t>google-brasil|super-banner|728x90|vw_caminhoes|always_on|vitrine|criativo_04_delivery_10-160|728x90|cpm</t>
  </si>
  <si>
    <t>138019002</t>
  </si>
  <si>
    <t>google-brasil|super-banner|728x90|vw_caminhoes|always_on|vitrine|criativo_05_delivery_10-160|728x90|cpm</t>
  </si>
  <si>
    <t>138018997</t>
  </si>
  <si>
    <t>google-brasil|super-banner|728x90|vw_caminhoes|always_on|vitrine|criativo_06_delivery_8-160|728x90|cpm</t>
  </si>
  <si>
    <t>138018992</t>
  </si>
  <si>
    <t>google-brasil|super-banner|728x90|vw_caminhoes|always_on|vitrine|criativo_07_delivery_8-160|728x90|cpm</t>
  </si>
  <si>
    <t>138018987</t>
  </si>
  <si>
    <t>google-brasil|super-banner|728x90|vw_caminhoes|always_on|vitrine|criativo_08_delivery_8-160|728x90|cpm</t>
  </si>
  <si>
    <t>138018982</t>
  </si>
  <si>
    <t>google-brasil|super-banner|728x90|vw_caminhoes|always_on|vitrine|criativo_09_delivery_8-160|728x90|cpm</t>
  </si>
  <si>
    <t>138018977</t>
  </si>
  <si>
    <t>google-brasil|super-banner|728x90|vw_caminhoes|always_on|vitrine|criativo_10_delivery_8-160|728x90|cpm</t>
  </si>
  <si>
    <t>138018972</t>
  </si>
  <si>
    <t>google-brasil|super-banner|728x90|vw_caminhoes|always_on|vitrine|criativo_11_constellation_24-280|728x90|cpm</t>
  </si>
  <si>
    <t>138018967</t>
  </si>
  <si>
    <t>google-brasil|super-banner|728x90|vw_caminhoes|always_on|vitrine|criativo_12_constellation_24-280|728x90|cpm</t>
  </si>
  <si>
    <t>138018962</t>
  </si>
  <si>
    <t>google-brasil|super-banner|728x90|vw_caminhoes|always_on|vitrine|criativo_13_constellation_24-280|728x90|cpm</t>
  </si>
  <si>
    <t>138018957</t>
  </si>
  <si>
    <t>google-brasil|super-banner|728x90|vw_caminhoes|always_on|vitrine|criativo_14_constellation_24-280-v|728x90|cpm</t>
  </si>
  <si>
    <t>138018952</t>
  </si>
  <si>
    <t>google-brasil|super-banner|728x90|vw_caminhoes|always_on|vitrine|criativo_15_constellation_24-280-8x2|728x90|cpm</t>
  </si>
  <si>
    <t>138018947</t>
  </si>
  <si>
    <t>google-brasil|super-banner|728x90|vw_caminhoes|always_on|vitrine|criativo_16_constellation_24-280|728x90|cpm</t>
  </si>
  <si>
    <t>138018942</t>
  </si>
  <si>
    <t>Instagram</t>
  </si>
  <si>
    <t>Desconsiderar_alp_Man-VWCO_Instagram_social_varejo_perfilsegmentado_cpc_prospecting_1200x628__caminhoes</t>
  </si>
  <si>
    <t>239689347</t>
  </si>
  <si>
    <t>436515981</t>
  </si>
  <si>
    <t>alp_Man-VWCO_mercadolivre_classificado_Varejo_Categoria-Caminhoes_cpm_prospecting_300x250_varejo-fevereiro_caminhoes</t>
  </si>
  <si>
    <t>239644150</t>
  </si>
  <si>
    <t>436741937</t>
  </si>
  <si>
    <t>alp_Man-VWCO_mercadolivre_classificado_Varejo_Categoria-Comportamental_cpm_prospecting_728x90_varejo-fevereiro_na</t>
  </si>
  <si>
    <t>239438873</t>
  </si>
  <si>
    <t>436632437</t>
  </si>
  <si>
    <t>alp_Man-VWCO_mercadolivre_horizontal_varejo_CategoriaCaminhoes_cpm_prospecting_728x90_tgx_caminhoes</t>
  </si>
  <si>
    <t>234078744</t>
  </si>
  <si>
    <t>431521128</t>
  </si>
  <si>
    <t>alp_Man-VWCO_mercadolivre_horizontal_varejo_CategoriaComportamental_cpm_prospecting_728x90_tgx_caminhoes</t>
  </si>
  <si>
    <t>234078753</t>
  </si>
  <si>
    <t>431521137</t>
  </si>
  <si>
    <t>alp_Man-VWCO_mercadolivre_performance_varejo_prospeccaoaudience_cpm_prospecting_320x50_varejo-fevereiro_caminhoes</t>
  </si>
  <si>
    <t>239963937</t>
  </si>
  <si>
    <t>436775289</t>
  </si>
  <si>
    <t>alp_Man-VWCO_OATH_horizontal_varejo_Gemini-Performance_cpm_prospecting_600x600_999-agosto-l2_caminhoes</t>
  </si>
  <si>
    <t>227739156</t>
  </si>
  <si>
    <t>425609772</t>
  </si>
  <si>
    <t>alp_Man-VWCO_OATH_horizontal_varejo_GeminiPerformance-Search_cpm_prospecting_600x600_tgx_caminhoes</t>
  </si>
  <si>
    <t>233875324</t>
  </si>
  <si>
    <t>431468189</t>
  </si>
  <si>
    <t>alp_Man-VWCO_OATH_horizontal_varejo_GeminiPerformance-Search_cpm_prospecting_627x627_tgx02_caminhoes</t>
  </si>
  <si>
    <t>237042660</t>
  </si>
  <si>
    <t>434210872</t>
  </si>
  <si>
    <t>alp_Man-VWCO_OATH_horizontal_varejo_RunOfOutlook_cpm_prospecting_160x600_extrapesado-v1_caminhoes</t>
  </si>
  <si>
    <t>237976578</t>
  </si>
  <si>
    <t>434969886</t>
  </si>
  <si>
    <t>alp_Man-VWCO_OATH_horizontal_varejo_RunOfOutlook_cpm_prospecting_160x600_extrapesado-v2_caminhoes</t>
  </si>
  <si>
    <t>237678820</t>
  </si>
  <si>
    <t>434969046</t>
  </si>
  <si>
    <t>alp_Man-VWCO_OATH_horizontal_varejo_RunOfOutlook_cpm_prospecting_300x250_extrapesado-v1_caminhoes</t>
  </si>
  <si>
    <t>237678826</t>
  </si>
  <si>
    <t>434969889</t>
  </si>
  <si>
    <t>alp_Man-VWCO_OATH_horizontal_varejo_RunOfOutlook_cpm_prospecting_300x250_extrapesado-v2_caminhoes</t>
  </si>
  <si>
    <t>237676132</t>
  </si>
  <si>
    <t>434969895</t>
  </si>
  <si>
    <t>alp_Man-VWCO_OATH_horizontal_varejo_RunOfOutlook_cpm_prospecting_300x600_extrapesado-v1_caminhoes</t>
  </si>
  <si>
    <t>237644137</t>
  </si>
  <si>
    <t>434968482</t>
  </si>
  <si>
    <t>alp_Man-VWCO_OATH_horizontal_varejo_RunOfOutlook_cpm_prospecting_300x600_extrapesado-v2_caminhoes</t>
  </si>
  <si>
    <t>237976581</t>
  </si>
  <si>
    <t>434969625</t>
  </si>
  <si>
    <t>alp_Man-VWCO_OATH_horizontal_varejo_RunOfOutlook_cpm_prospecting_728x90_extrapesado-v1_caminhoes</t>
  </si>
  <si>
    <t>237639985</t>
  </si>
  <si>
    <t>434969898</t>
  </si>
  <si>
    <t>alp_Man-VWCO_OATH_horizontal_varejo_RunOfOutlook_cpm_prospecting_728x90_extrapesado-v2_caminhoes</t>
  </si>
  <si>
    <t>237971892</t>
  </si>
  <si>
    <t>434969631</t>
  </si>
  <si>
    <t>alp_Man-VWCO_OATH_horizontal_varejo_RunofOutlook-Ros_cpm_prospecting_160x600_999-agosto-l2_caminhoes</t>
  </si>
  <si>
    <t>227581939</t>
  </si>
  <si>
    <t>425728627</t>
  </si>
  <si>
    <t>alp_Man-VWCO_OATH_horizontal_varejo_RunofOutlook-Ros_cpm_prospecting_160x600_999-agosto_caminhoes</t>
  </si>
  <si>
    <t>227172440</t>
  </si>
  <si>
    <t>425339681</t>
  </si>
  <si>
    <t>alp_Man-VWCO_OATH_horizontal_varejo_RunofOutlookRos_cpm_prospecting_160x600_tgx_caminhoes</t>
  </si>
  <si>
    <t>234078726</t>
  </si>
  <si>
    <t>431521110</t>
  </si>
  <si>
    <t>Prefeitos&amp;Gestões</t>
  </si>
  <si>
    <t>alp_Man-VWCO_prefeitosegestoes_horizontal_timelines_site-prefeitosegestoes_cpm_prospecting_728x90_volksbus_geolocalizado</t>
  </si>
  <si>
    <t>234497168</t>
  </si>
  <si>
    <t>432187334</t>
  </si>
  <si>
    <t>alp_Man-VWCO_LinkedIn_social_varejo_Sponsored-Content-Lead-Gen-Forms_cpm__1200x627_999-agosto-l2_caminhoes</t>
  </si>
  <si>
    <t>227739159</t>
  </si>
  <si>
    <t>425609775</t>
  </si>
  <si>
    <t>alp_Man-VWCO_LinkedIn_social_varejo_SponsoredContentLeadGenForms_cpm_prospecting_1200x627_tgx_caminhoes</t>
  </si>
  <si>
    <t>233753913</t>
  </si>
  <si>
    <t>431183235</t>
  </si>
  <si>
    <t>alp_Man-VWCO_LinkedIn_social_varejo_SponsoredContentLeadGenForms_cpm_prospecting_1200x627_varejo-fevereiro_caminhoes</t>
  </si>
  <si>
    <t>239442920</t>
  </si>
  <si>
    <t>436594380</t>
  </si>
  <si>
    <t>alp_Man-VWCO_LinkedIn_social_varejo_SponsoredContent_cpm_prospecting_1200x627_tgx_caminhoes</t>
  </si>
  <si>
    <t>233753916</t>
  </si>
  <si>
    <t>431183238</t>
  </si>
  <si>
    <t>alp_Man-VWCO_LinkedIn_social_varejo_SponsoredContent_cpm_prospecting_1200x627_varejo-fevereiro_caminhoes</t>
  </si>
  <si>
    <t>239442923</t>
  </si>
  <si>
    <t>436594383</t>
  </si>
  <si>
    <t>alp_Man-VWCO_facebook_Social_timelines_facebook_cpm_prospecting_pagepost_Oportunidade-Ford-1_open</t>
  </si>
  <si>
    <t>241228210</t>
  </si>
  <si>
    <t>438086798</t>
  </si>
  <si>
    <t>alp_Man-VWCO_facebook_Social_timelines_facebook_cpm_prospecting_pagepost_Oportunidade-Ford_open</t>
  </si>
  <si>
    <t>241220548</t>
  </si>
  <si>
    <t>438091121</t>
  </si>
  <si>
    <t>alp_Man-alp_Man-VWCO_facebook_social_varejo_perfilsegmentado_cpc_prospecting_1200x628_varejo-fevereiro_caminhoes</t>
  </si>
  <si>
    <t>239465074</t>
  </si>
  <si>
    <t>alp_Man-VWCO_facebook_social_varejo_perfilsegmentado_cpc_prospecting_1200x628_varejo-fevereiro_caminhoes</t>
  </si>
  <si>
    <t>436542506</t>
  </si>
  <si>
    <t>alp_Man-VWCO-2019</t>
  </si>
  <si>
    <t>autodata.com.br</t>
  </si>
  <si>
    <t>alp_Man-VWCO-2019_autodata_vertical_banner_home_cpm_prospecting_350x150_man-delivery_open</t>
  </si>
  <si>
    <t>239905204</t>
  </si>
  <si>
    <t>436926171</t>
  </si>
  <si>
    <t>alp_Man-VWCO-2019_facebook_social_banner_perfilsegmentado_cpm_prospecting_1200x628_constalletion_open</t>
  </si>
  <si>
    <t>240921303</t>
  </si>
  <si>
    <t>437687584</t>
  </si>
  <si>
    <t>alp_onibusvw</t>
  </si>
  <si>
    <t>alp_onibusvw_estadao_timelines_volksbus_prospeccao_cpc_prospecting_120x600_volksbus2_na</t>
  </si>
  <si>
    <t>226014505</t>
  </si>
  <si>
    <t>424108271</t>
  </si>
  <si>
    <t>alp_onibusvw_estadao_timelines_volksbus_prospeccao_cpc_prospecting_120x600_volksbus_na</t>
  </si>
  <si>
    <t>226014535</t>
  </si>
  <si>
    <t>424108301</t>
  </si>
  <si>
    <t>alp_onibusvw_estadao_timelines_volksbus_prospeccao_cpc_prospecting_160x600_volksbus2_na</t>
  </si>
  <si>
    <t>226014541</t>
  </si>
  <si>
    <t>424108307</t>
  </si>
  <si>
    <t>alp_onibusvw_estadao_timelines_volksbus_prospeccao_cpc_prospecting_160x600_volksbus_na</t>
  </si>
  <si>
    <t>226014523</t>
  </si>
  <si>
    <t>424108289</t>
  </si>
  <si>
    <t>alp_onibusvw_estadao_timelines_volksbus_prospeccao_cpc_prospecting_300x250_volksbus2_na</t>
  </si>
  <si>
    <t>226014520</t>
  </si>
  <si>
    <t>424108286</t>
  </si>
  <si>
    <t>alp_onibusvw_estadao_timelines_volksbus_prospeccao_cpc_prospecting_300x250_volksbus_na</t>
  </si>
  <si>
    <t>226014562</t>
  </si>
  <si>
    <t>424108328</t>
  </si>
  <si>
    <t>alp_onibusvw_estadao_timelines_volksbus_prospeccao_cpc_prospecting_300x50_volksbus2_na</t>
  </si>
  <si>
    <t>226014559</t>
  </si>
  <si>
    <t>424108325</t>
  </si>
  <si>
    <t>alp_onibusvw_estadao_timelines_volksbus_prospeccao_cpc_prospecting_300x50_volksbus_na</t>
  </si>
  <si>
    <t>226014532</t>
  </si>
  <si>
    <t>424108298</t>
  </si>
  <si>
    <t>alp_onibusvw_estadao_timelines_volksbus_prospeccao_cpc_prospecting_300x600_volksbus2_na</t>
  </si>
  <si>
    <t>226014514</t>
  </si>
  <si>
    <t>424108280</t>
  </si>
  <si>
    <t>alp_onibusvw_estadao_timelines_volksbus_prospeccao_cpc_prospecting_300x600_volksbus_na</t>
  </si>
  <si>
    <t>226014550</t>
  </si>
  <si>
    <t>424108316</t>
  </si>
  <si>
    <t>alp_onibusvw_estadao_timelines_volksbus_prospeccao_cpc_prospecting_320x50_volksbus2_na</t>
  </si>
  <si>
    <t>226014553</t>
  </si>
  <si>
    <t>424108319</t>
  </si>
  <si>
    <t>alp_onibusvw_estadao_timelines_volksbus_prospeccao_cpc_prospecting_320x50_volksbus_na</t>
  </si>
  <si>
    <t>226014529</t>
  </si>
  <si>
    <t>424108295</t>
  </si>
  <si>
    <t>alp_onibusvw_estadao_timelines_volksbus_prospeccao_cpc_prospecting_728x90_volksbus2_na</t>
  </si>
  <si>
    <t>226014517</t>
  </si>
  <si>
    <t>424108283</t>
  </si>
  <si>
    <t>alp_onibusvw_estadao_timelines_volksbus_prospeccao_cpc_prospecting_728x90_volksbus_na</t>
  </si>
  <si>
    <t>226014556</t>
  </si>
  <si>
    <t>424108322</t>
  </si>
  <si>
    <t>alp_onibusvw_estadao_timelines_volksbus_prospeccao_cpc_prospecting_970x250_volksbus2_na</t>
  </si>
  <si>
    <t>226014508</t>
  </si>
  <si>
    <t>424108274</t>
  </si>
  <si>
    <t>alp_onibusvw_estadao_timelines_volksbus_prospeccao_cpc_prospecting_970x250_volksbus_na</t>
  </si>
  <si>
    <t>226014538</t>
  </si>
  <si>
    <t>424108304</t>
  </si>
  <si>
    <t>alp_onibusvw_estadao_timelines_volksbus_prospeccao_cpc_prospecting_970x90_volksbus2_na</t>
  </si>
  <si>
    <t>226014511</t>
  </si>
  <si>
    <t>424108277</t>
  </si>
  <si>
    <t>alp_onibusvw_estadao_timelines_volksbus_prospeccao_cpc_prospecting_970x90_volksbus_na</t>
  </si>
  <si>
    <t>226014544</t>
  </si>
  <si>
    <t>424108310</t>
  </si>
  <si>
    <t>alp_varejo-maio</t>
  </si>
  <si>
    <t>alp_varejo-maio_msn_horizontal_Varejo_Categoria-Caminhoes_cpc_prospecting_1200x627_constellation_na</t>
  </si>
  <si>
    <t>222150324</t>
  </si>
  <si>
    <t>420336144</t>
  </si>
  <si>
    <t>alp_varejo-maio_dbm_timelines_timelines_prospeccao-audience_cpm_prospecting_120x600_open</t>
  </si>
  <si>
    <t>222048062</t>
  </si>
  <si>
    <t>alp_varejo-maio_dbm_timelines_timelines_prospeccao-audience_cpm_prospecting_120x600_constellation_open</t>
  </si>
  <si>
    <t>420388082</t>
  </si>
  <si>
    <t>alp_varejo-maio_dbm_timelines_timelines_prospeccao-audience_cpm_prospecting_300x250_open</t>
  </si>
  <si>
    <t>221806843</t>
  </si>
  <si>
    <t>alp_varejo-maio_dbm_timelines_timelines_prospeccao-audience_cpm_prospecting_300x250_constellation_open</t>
  </si>
  <si>
    <t>420039230</t>
  </si>
  <si>
    <t>alp_varejo-maio_dbm_timelines_timelines_prospeccao-audience_cpm_prospecting_300x600_open</t>
  </si>
  <si>
    <t>221806837</t>
  </si>
  <si>
    <t>alp_varejo-maio_dbm_timelines_timelines_prospeccao-audience_cpm_prospecting_300x600_constellation_open</t>
  </si>
  <si>
    <t>420039224</t>
  </si>
  <si>
    <t>alp_varejo-maio_dbm_timelines_timelines_prospeccao-audience_cpm_prospecting_320x50_open</t>
  </si>
  <si>
    <t>222109024</t>
  </si>
  <si>
    <t>alp_varejo-maio_dbm_timelines_timelines_prospeccao-audience_cpm_prospecting_320x50_constellation_open</t>
  </si>
  <si>
    <t>420383564</t>
  </si>
  <si>
    <t>alp_varejo-maio_dbm_timelines_timelines_prospeccao-audience_cpm_prospecting_728x90_open</t>
  </si>
  <si>
    <t>221806831</t>
  </si>
  <si>
    <t>alp_varejo-maio_dbm_timelines_timelines_prospeccao-audience_cpm_prospecting_728x90_constellation_open</t>
  </si>
  <si>
    <t>420039218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</si>
</sst>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B1" workbookViewId="0">
      <selection activeCell="K2" sqref="K2:K1003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64</v>
      </c>
    </row>
    <row r="2" spans="1:11">
      <c r="A2" s="17" t="s">
        <v>69</v>
      </c>
      <c r="B2" s="19" t="s">
        <v>61</v>
      </c>
      <c r="C2" s="19" t="s">
        <v>70</v>
      </c>
      <c r="D2" s="19" t="s">
        <v>71</v>
      </c>
      <c r="E2" s="20" t="s">
        <v>11</v>
      </c>
      <c r="F2" s="19" t="s">
        <v>51</v>
      </c>
      <c r="G2" s="19" t="s">
        <v>72</v>
      </c>
      <c r="H2" s="19" t="s">
        <v>31</v>
      </c>
      <c r="I2">
        <v>2</v>
      </c>
      <c r="J2">
        <v>0</v>
      </c>
      <c r="K2" s="1" t="s">
        <v>65</v>
      </c>
    </row>
    <row r="3" spans="1:11">
      <c r="A3" s="17" t="s">
        <v>69</v>
      </c>
      <c r="B3" s="19" t="s">
        <v>61</v>
      </c>
      <c r="C3" s="19" t="s">
        <v>73</v>
      </c>
      <c r="D3" s="19" t="s">
        <v>74</v>
      </c>
      <c r="E3" s="20" t="s">
        <v>11</v>
      </c>
      <c r="F3" s="19" t="s">
        <v>56</v>
      </c>
      <c r="G3" s="19" t="s">
        <v>75</v>
      </c>
      <c r="H3" s="19" t="s">
        <v>31</v>
      </c>
      <c r="I3">
        <v>2</v>
      </c>
      <c r="J3">
        <v>0</v>
      </c>
      <c r="K3" s="1" t="s">
        <v>65</v>
      </c>
    </row>
    <row r="4" spans="1:11">
      <c r="A4" s="17" t="s">
        <v>69</v>
      </c>
      <c r="B4" s="19" t="s">
        <v>59</v>
      </c>
      <c r="C4" s="19" t="s">
        <v>76</v>
      </c>
      <c r="D4" s="19" t="s">
        <v>77</v>
      </c>
      <c r="E4" s="20" t="s">
        <v>12</v>
      </c>
      <c r="F4" s="19" t="s">
        <v>76</v>
      </c>
      <c r="G4" s="19" t="s">
        <v>78</v>
      </c>
      <c r="H4" s="19" t="s">
        <v>31</v>
      </c>
      <c r="I4">
        <v>498806</v>
      </c>
      <c r="J4">
        <v>670</v>
      </c>
      <c r="K4" s="1" t="s">
        <v>66</v>
      </c>
    </row>
    <row r="5" spans="1:11">
      <c r="A5" s="17" t="s">
        <v>69</v>
      </c>
      <c r="B5" s="19" t="s">
        <v>59</v>
      </c>
      <c r="C5" s="19" t="s">
        <v>79</v>
      </c>
      <c r="D5" s="19" t="s">
        <v>80</v>
      </c>
      <c r="E5" s="20" t="s">
        <v>12</v>
      </c>
      <c r="F5" s="19" t="s">
        <v>79</v>
      </c>
      <c r="G5" s="19" t="s">
        <v>81</v>
      </c>
      <c r="H5" s="19" t="s">
        <v>31</v>
      </c>
      <c r="I5">
        <v>3159905</v>
      </c>
      <c r="J5">
        <v>9532</v>
      </c>
      <c r="K5" s="1" t="s">
        <v>65</v>
      </c>
    </row>
    <row r="6" spans="1:11">
      <c r="A6" s="17" t="s">
        <v>69</v>
      </c>
      <c r="B6" s="19" t="s">
        <v>59</v>
      </c>
      <c r="C6" s="19" t="s">
        <v>82</v>
      </c>
      <c r="D6" s="19" t="s">
        <v>83</v>
      </c>
      <c r="E6" s="20" t="s">
        <v>12</v>
      </c>
      <c r="F6" s="19" t="s">
        <v>82</v>
      </c>
      <c r="G6" s="19" t="s">
        <v>84</v>
      </c>
      <c r="H6" s="19" t="s">
        <v>31</v>
      </c>
      <c r="I6">
        <v>1852318</v>
      </c>
      <c r="J6">
        <v>1307</v>
      </c>
      <c r="K6" s="1" t="s">
        <v>66</v>
      </c>
    </row>
    <row r="7" spans="1:11">
      <c r="A7" s="17" t="s">
        <v>69</v>
      </c>
      <c r="B7" s="19" t="s">
        <v>59</v>
      </c>
      <c r="C7" s="19" t="s">
        <v>85</v>
      </c>
      <c r="D7" s="19" t="s">
        <v>86</v>
      </c>
      <c r="E7" s="20" t="s">
        <v>12</v>
      </c>
      <c r="F7" s="19" t="s">
        <v>85</v>
      </c>
      <c r="G7" s="19" t="s">
        <v>87</v>
      </c>
      <c r="H7" s="19" t="s">
        <v>31</v>
      </c>
      <c r="I7">
        <v>1571042</v>
      </c>
      <c r="J7">
        <v>1381</v>
      </c>
      <c r="K7" s="1" t="s">
        <v>65</v>
      </c>
    </row>
    <row r="8" spans="1:11">
      <c r="A8" s="17" t="s">
        <v>69</v>
      </c>
      <c r="B8" s="19" t="s">
        <v>59</v>
      </c>
      <c r="C8" s="19" t="s">
        <v>88</v>
      </c>
      <c r="D8" s="19" t="s">
        <v>89</v>
      </c>
      <c r="E8" s="20" t="s">
        <v>32</v>
      </c>
      <c r="F8" s="19" t="s">
        <v>88</v>
      </c>
      <c r="G8" s="19" t="s">
        <v>90</v>
      </c>
      <c r="H8" s="19" t="s">
        <v>32</v>
      </c>
      <c r="I8">
        <v>0</v>
      </c>
      <c r="J8">
        <v>1</v>
      </c>
      <c r="K8" s="1" t="s">
        <v>65</v>
      </c>
    </row>
    <row r="9" spans="1:11">
      <c r="A9" s="17" t="s">
        <v>69</v>
      </c>
      <c r="B9" s="19" t="s">
        <v>59</v>
      </c>
      <c r="C9" s="19" t="s">
        <v>91</v>
      </c>
      <c r="D9" s="19" t="s">
        <v>92</v>
      </c>
      <c r="E9" s="20" t="s">
        <v>12</v>
      </c>
      <c r="F9" s="19" t="s">
        <v>91</v>
      </c>
      <c r="G9" s="19" t="s">
        <v>93</v>
      </c>
      <c r="H9" s="19" t="s">
        <v>31</v>
      </c>
      <c r="I9">
        <v>505328</v>
      </c>
      <c r="J9">
        <v>159</v>
      </c>
      <c r="K9" s="1" t="s">
        <v>66</v>
      </c>
    </row>
    <row r="10" spans="1:11">
      <c r="A10" s="17" t="s">
        <v>69</v>
      </c>
      <c r="B10" s="19" t="s">
        <v>59</v>
      </c>
      <c r="C10" s="19" t="s">
        <v>94</v>
      </c>
      <c r="D10" s="19" t="s">
        <v>95</v>
      </c>
      <c r="E10" s="20" t="s">
        <v>12</v>
      </c>
      <c r="F10" s="19" t="s">
        <v>94</v>
      </c>
      <c r="G10" s="19" t="s">
        <v>96</v>
      </c>
      <c r="H10" s="19" t="s">
        <v>31</v>
      </c>
      <c r="I10">
        <v>1576143</v>
      </c>
      <c r="J10">
        <v>643</v>
      </c>
      <c r="K10" s="1" t="s">
        <v>65</v>
      </c>
    </row>
    <row r="11" spans="1:11">
      <c r="A11" s="17" t="s">
        <v>69</v>
      </c>
      <c r="B11" s="19" t="s">
        <v>59</v>
      </c>
      <c r="C11" s="19" t="s">
        <v>97</v>
      </c>
      <c r="D11" s="19" t="s">
        <v>98</v>
      </c>
      <c r="E11" s="20" t="s">
        <v>32</v>
      </c>
      <c r="F11" s="19" t="s">
        <v>97</v>
      </c>
      <c r="G11" s="19" t="s">
        <v>99</v>
      </c>
      <c r="H11" s="19" t="s">
        <v>32</v>
      </c>
      <c r="I11">
        <v>0</v>
      </c>
      <c r="J11">
        <v>15475</v>
      </c>
      <c r="K11" s="1" t="s">
        <v>66</v>
      </c>
    </row>
    <row r="12" spans="1:11">
      <c r="A12" s="17" t="s">
        <v>69</v>
      </c>
      <c r="B12" s="19" t="s">
        <v>59</v>
      </c>
      <c r="C12" s="19" t="s">
        <v>97</v>
      </c>
      <c r="D12" s="19" t="s">
        <v>98</v>
      </c>
      <c r="E12" s="20" t="s">
        <v>32</v>
      </c>
      <c r="F12" s="19" t="s">
        <v>97</v>
      </c>
      <c r="G12" s="19" t="s">
        <v>99</v>
      </c>
      <c r="H12" s="19" t="s">
        <v>32</v>
      </c>
      <c r="I12">
        <v>0</v>
      </c>
      <c r="J12">
        <v>22</v>
      </c>
      <c r="K12" s="1" t="s">
        <v>65</v>
      </c>
    </row>
    <row r="13" spans="1:11">
      <c r="A13" s="17" t="s">
        <v>69</v>
      </c>
      <c r="B13" s="19" t="s">
        <v>59</v>
      </c>
      <c r="C13" s="19" t="s">
        <v>100</v>
      </c>
      <c r="D13" s="19" t="s">
        <v>101</v>
      </c>
      <c r="E13" s="20" t="s">
        <v>32</v>
      </c>
      <c r="F13" s="19" t="s">
        <v>100</v>
      </c>
      <c r="G13" s="19" t="s">
        <v>102</v>
      </c>
      <c r="H13" s="19" t="s">
        <v>32</v>
      </c>
      <c r="I13">
        <v>0</v>
      </c>
      <c r="J13">
        <v>30412</v>
      </c>
      <c r="K13" s="1" t="s">
        <v>65</v>
      </c>
    </row>
    <row r="14" spans="1:11">
      <c r="A14" s="17" t="s">
        <v>69</v>
      </c>
      <c r="B14" s="19" t="s">
        <v>59</v>
      </c>
      <c r="C14" s="19" t="s">
        <v>103</v>
      </c>
      <c r="D14" s="19" t="s">
        <v>104</v>
      </c>
      <c r="E14" s="20" t="s">
        <v>32</v>
      </c>
      <c r="F14" s="19" t="s">
        <v>103</v>
      </c>
      <c r="G14" s="19" t="s">
        <v>105</v>
      </c>
      <c r="H14" s="19" t="s">
        <v>32</v>
      </c>
      <c r="I14">
        <v>0</v>
      </c>
      <c r="J14">
        <v>2</v>
      </c>
      <c r="K14" s="1" t="s">
        <v>65</v>
      </c>
    </row>
    <row r="15" spans="1:11">
      <c r="A15" s="17" t="s">
        <v>69</v>
      </c>
      <c r="B15" s="19" t="s">
        <v>59</v>
      </c>
      <c r="C15" s="19" t="s">
        <v>106</v>
      </c>
      <c r="D15" s="19" t="s">
        <v>107</v>
      </c>
      <c r="E15" s="20" t="s">
        <v>32</v>
      </c>
      <c r="F15" s="19" t="s">
        <v>106</v>
      </c>
      <c r="G15" s="19" t="s">
        <v>108</v>
      </c>
      <c r="H15" s="19" t="s">
        <v>32</v>
      </c>
      <c r="I15">
        <v>102907</v>
      </c>
      <c r="J15">
        <v>929</v>
      </c>
      <c r="K15" s="1" t="s">
        <v>65</v>
      </c>
    </row>
    <row r="16" spans="1:11">
      <c r="A16" s="17" t="s">
        <v>69</v>
      </c>
      <c r="B16" s="19" t="s">
        <v>59</v>
      </c>
      <c r="C16" s="19" t="s">
        <v>109</v>
      </c>
      <c r="D16" s="19" t="s">
        <v>110</v>
      </c>
      <c r="E16" s="20" t="s">
        <v>12</v>
      </c>
      <c r="F16" s="19" t="s">
        <v>109</v>
      </c>
      <c r="G16" s="19" t="s">
        <v>111</v>
      </c>
      <c r="H16" s="19" t="s">
        <v>31</v>
      </c>
      <c r="I16">
        <v>144473</v>
      </c>
      <c r="J16">
        <v>151</v>
      </c>
      <c r="K16" s="1" t="s">
        <v>65</v>
      </c>
    </row>
    <row r="17" spans="1:11">
      <c r="A17" s="17" t="s">
        <v>69</v>
      </c>
      <c r="B17" s="19" t="s">
        <v>59</v>
      </c>
      <c r="C17" s="19" t="s">
        <v>112</v>
      </c>
      <c r="D17" s="19" t="s">
        <v>113</v>
      </c>
      <c r="E17" s="20" t="s">
        <v>32</v>
      </c>
      <c r="F17" s="19" t="s">
        <v>112</v>
      </c>
      <c r="G17" s="19" t="s">
        <v>114</v>
      </c>
      <c r="H17" s="19" t="s">
        <v>32</v>
      </c>
      <c r="I17">
        <v>0</v>
      </c>
      <c r="J17">
        <v>1</v>
      </c>
      <c r="K17" s="1" t="s">
        <v>65</v>
      </c>
    </row>
    <row r="18" spans="1:11">
      <c r="A18" s="17" t="s">
        <v>69</v>
      </c>
      <c r="B18" s="19" t="s">
        <v>59</v>
      </c>
      <c r="C18" s="19" t="s">
        <v>115</v>
      </c>
      <c r="D18" s="19" t="s">
        <v>116</v>
      </c>
      <c r="E18" s="20" t="s">
        <v>12</v>
      </c>
      <c r="F18" s="19" t="s">
        <v>115</v>
      </c>
      <c r="G18" s="19" t="s">
        <v>117</v>
      </c>
      <c r="H18" s="19" t="s">
        <v>31</v>
      </c>
      <c r="I18">
        <v>1648164</v>
      </c>
      <c r="J18">
        <v>1141</v>
      </c>
      <c r="K18" s="1" t="s">
        <v>66</v>
      </c>
    </row>
    <row r="19" spans="1:11">
      <c r="A19" s="17" t="s">
        <v>69</v>
      </c>
      <c r="B19" s="19" t="s">
        <v>59</v>
      </c>
      <c r="C19" s="19" t="s">
        <v>118</v>
      </c>
      <c r="D19" s="19" t="s">
        <v>119</v>
      </c>
      <c r="E19" s="20" t="s">
        <v>12</v>
      </c>
      <c r="F19" s="19" t="s">
        <v>118</v>
      </c>
      <c r="G19" s="19" t="s">
        <v>120</v>
      </c>
      <c r="H19" s="19" t="s">
        <v>31</v>
      </c>
      <c r="I19">
        <v>3111402</v>
      </c>
      <c r="J19">
        <v>2948</v>
      </c>
      <c r="K19" s="1" t="s">
        <v>65</v>
      </c>
    </row>
    <row r="20" spans="1:11">
      <c r="A20" s="17" t="s">
        <v>69</v>
      </c>
      <c r="B20" s="19" t="s">
        <v>63</v>
      </c>
      <c r="C20" s="19" t="s">
        <v>121</v>
      </c>
      <c r="D20" s="19" t="s">
        <v>122</v>
      </c>
      <c r="E20" s="20" t="s">
        <v>12</v>
      </c>
      <c r="F20" s="19" t="s">
        <v>123</v>
      </c>
      <c r="G20" s="19" t="s">
        <v>124</v>
      </c>
      <c r="H20" s="19" t="s">
        <v>31</v>
      </c>
      <c r="I20">
        <v>1</v>
      </c>
      <c r="J20">
        <v>1</v>
      </c>
      <c r="K20" s="1" t="s">
        <v>66</v>
      </c>
    </row>
    <row r="21" spans="1:11">
      <c r="A21" s="17" t="s">
        <v>69</v>
      </c>
      <c r="B21" s="19" t="s">
        <v>63</v>
      </c>
      <c r="C21" s="19" t="s">
        <v>121</v>
      </c>
      <c r="D21" s="19" t="s">
        <v>122</v>
      </c>
      <c r="E21" s="20" t="s">
        <v>12</v>
      </c>
      <c r="F21" s="19" t="s">
        <v>123</v>
      </c>
      <c r="G21" s="19" t="s">
        <v>124</v>
      </c>
      <c r="H21" s="19" t="s">
        <v>31</v>
      </c>
      <c r="I21">
        <v>2</v>
      </c>
      <c r="J21">
        <v>0</v>
      </c>
      <c r="K21" s="1" t="s">
        <v>65</v>
      </c>
    </row>
    <row r="22" spans="1:11">
      <c r="A22" s="17" t="s">
        <v>69</v>
      </c>
      <c r="B22" s="19" t="s">
        <v>63</v>
      </c>
      <c r="C22" s="19" t="s">
        <v>121</v>
      </c>
      <c r="D22" s="19" t="s">
        <v>122</v>
      </c>
      <c r="E22" s="20" t="s">
        <v>32</v>
      </c>
      <c r="F22" s="19" t="s">
        <v>121</v>
      </c>
      <c r="G22" s="19" t="s">
        <v>125</v>
      </c>
      <c r="H22" s="19" t="s">
        <v>32</v>
      </c>
      <c r="I22">
        <v>251256</v>
      </c>
      <c r="J22">
        <v>1496</v>
      </c>
      <c r="K22" s="1" t="s">
        <v>65</v>
      </c>
    </row>
    <row r="23" spans="1:11">
      <c r="A23" s="17" t="s">
        <v>69</v>
      </c>
      <c r="B23" s="19" t="s">
        <v>63</v>
      </c>
      <c r="C23" s="19" t="s">
        <v>126</v>
      </c>
      <c r="D23" s="19" t="s">
        <v>127</v>
      </c>
      <c r="E23" s="20" t="s">
        <v>12</v>
      </c>
      <c r="F23" s="19" t="s">
        <v>128</v>
      </c>
      <c r="G23" s="19" t="s">
        <v>129</v>
      </c>
      <c r="H23" s="19" t="s">
        <v>31</v>
      </c>
      <c r="I23">
        <v>1</v>
      </c>
      <c r="J23">
        <v>1</v>
      </c>
      <c r="K23" s="1" t="s">
        <v>66</v>
      </c>
    </row>
    <row r="24" spans="1:11">
      <c r="A24" s="17" t="s">
        <v>69</v>
      </c>
      <c r="B24" s="19" t="s">
        <v>63</v>
      </c>
      <c r="C24" s="19" t="s">
        <v>126</v>
      </c>
      <c r="D24" s="19" t="s">
        <v>127</v>
      </c>
      <c r="E24" s="20" t="s">
        <v>12</v>
      </c>
      <c r="F24" s="19" t="s">
        <v>128</v>
      </c>
      <c r="G24" s="19" t="s">
        <v>129</v>
      </c>
      <c r="H24" s="19" t="s">
        <v>31</v>
      </c>
      <c r="I24">
        <v>3</v>
      </c>
      <c r="J24">
        <v>0</v>
      </c>
      <c r="K24" s="1" t="s">
        <v>65</v>
      </c>
    </row>
    <row r="25" spans="1:11">
      <c r="A25" s="17" t="s">
        <v>69</v>
      </c>
      <c r="B25" s="19" t="s">
        <v>63</v>
      </c>
      <c r="C25" s="19" t="s">
        <v>126</v>
      </c>
      <c r="D25" s="19" t="s">
        <v>127</v>
      </c>
      <c r="E25" s="20" t="s">
        <v>32</v>
      </c>
      <c r="F25" s="19" t="s">
        <v>126</v>
      </c>
      <c r="G25" s="19" t="s">
        <v>130</v>
      </c>
      <c r="H25" s="19" t="s">
        <v>32</v>
      </c>
      <c r="I25">
        <v>311739</v>
      </c>
      <c r="J25">
        <v>5402</v>
      </c>
      <c r="K25" s="1" t="s">
        <v>65</v>
      </c>
    </row>
    <row r="26" spans="1:11">
      <c r="A26" s="17" t="s">
        <v>69</v>
      </c>
      <c r="B26" s="19" t="s">
        <v>63</v>
      </c>
      <c r="C26" s="19" t="s">
        <v>131</v>
      </c>
      <c r="D26" s="19" t="s">
        <v>132</v>
      </c>
      <c r="E26" s="20" t="s">
        <v>12</v>
      </c>
      <c r="F26" s="19" t="s">
        <v>131</v>
      </c>
      <c r="G26" s="19" t="s">
        <v>133</v>
      </c>
      <c r="H26" s="19" t="s">
        <v>31</v>
      </c>
      <c r="I26">
        <v>10225</v>
      </c>
      <c r="J26">
        <v>17</v>
      </c>
      <c r="K26" s="1" t="s">
        <v>66</v>
      </c>
    </row>
    <row r="27" spans="1:11">
      <c r="A27" s="17" t="s">
        <v>69</v>
      </c>
      <c r="B27" s="19" t="s">
        <v>63</v>
      </c>
      <c r="C27" s="19" t="s">
        <v>131</v>
      </c>
      <c r="D27" s="19" t="s">
        <v>132</v>
      </c>
      <c r="E27" s="20" t="s">
        <v>12</v>
      </c>
      <c r="F27" s="19" t="s">
        <v>131</v>
      </c>
      <c r="G27" s="19" t="s">
        <v>133</v>
      </c>
      <c r="H27" s="19" t="s">
        <v>31</v>
      </c>
      <c r="I27">
        <v>1150</v>
      </c>
      <c r="J27">
        <v>2</v>
      </c>
      <c r="K27" s="1" t="s">
        <v>65</v>
      </c>
    </row>
    <row r="28" spans="1:11">
      <c r="A28" s="17" t="s">
        <v>69</v>
      </c>
      <c r="B28" s="19" t="s">
        <v>63</v>
      </c>
      <c r="C28" s="19" t="s">
        <v>134</v>
      </c>
      <c r="D28" s="19" t="s">
        <v>135</v>
      </c>
      <c r="E28" s="20" t="s">
        <v>12</v>
      </c>
      <c r="F28" s="19" t="s">
        <v>134</v>
      </c>
      <c r="G28" s="19" t="s">
        <v>136</v>
      </c>
      <c r="H28" s="19" t="s">
        <v>31</v>
      </c>
      <c r="I28">
        <v>7618</v>
      </c>
      <c r="J28">
        <v>12</v>
      </c>
      <c r="K28" s="1" t="s">
        <v>66</v>
      </c>
    </row>
    <row r="29" spans="1:11">
      <c r="A29" s="17" t="s">
        <v>69</v>
      </c>
      <c r="B29" s="19" t="s">
        <v>63</v>
      </c>
      <c r="C29" s="19" t="s">
        <v>134</v>
      </c>
      <c r="D29" s="19" t="s">
        <v>135</v>
      </c>
      <c r="E29" s="20" t="s">
        <v>12</v>
      </c>
      <c r="F29" s="19" t="s">
        <v>134</v>
      </c>
      <c r="G29" s="19" t="s">
        <v>136</v>
      </c>
      <c r="H29" s="19" t="s">
        <v>31</v>
      </c>
      <c r="I29">
        <v>902</v>
      </c>
      <c r="J29">
        <v>6</v>
      </c>
      <c r="K29" s="1" t="s">
        <v>65</v>
      </c>
    </row>
    <row r="30" spans="1:11">
      <c r="A30" s="17" t="s">
        <v>69</v>
      </c>
      <c r="B30" s="19" t="s">
        <v>63</v>
      </c>
      <c r="C30" s="19" t="s">
        <v>137</v>
      </c>
      <c r="D30" s="19" t="s">
        <v>138</v>
      </c>
      <c r="E30" s="20" t="s">
        <v>12</v>
      </c>
      <c r="F30" s="19" t="s">
        <v>137</v>
      </c>
      <c r="G30" s="19" t="s">
        <v>139</v>
      </c>
      <c r="H30" s="19" t="s">
        <v>31</v>
      </c>
      <c r="I30">
        <v>6077</v>
      </c>
      <c r="J30">
        <v>23</v>
      </c>
      <c r="K30" s="1" t="s">
        <v>66</v>
      </c>
    </row>
    <row r="31" spans="1:11">
      <c r="A31" s="17" t="s">
        <v>69</v>
      </c>
      <c r="B31" s="19" t="s">
        <v>63</v>
      </c>
      <c r="C31" s="19" t="s">
        <v>137</v>
      </c>
      <c r="D31" s="19" t="s">
        <v>138</v>
      </c>
      <c r="E31" s="20" t="s">
        <v>12</v>
      </c>
      <c r="F31" s="19" t="s">
        <v>137</v>
      </c>
      <c r="G31" s="19" t="s">
        <v>139</v>
      </c>
      <c r="H31" s="19" t="s">
        <v>31</v>
      </c>
      <c r="I31">
        <v>1050</v>
      </c>
      <c r="J31">
        <v>4</v>
      </c>
      <c r="K31" s="1" t="s">
        <v>65</v>
      </c>
    </row>
    <row r="32" spans="1:11">
      <c r="A32" s="17" t="s">
        <v>69</v>
      </c>
      <c r="B32" s="19" t="s">
        <v>63</v>
      </c>
      <c r="C32" s="19" t="s">
        <v>140</v>
      </c>
      <c r="D32" s="19" t="s">
        <v>141</v>
      </c>
      <c r="E32" s="20" t="s">
        <v>12</v>
      </c>
      <c r="F32" s="19" t="s">
        <v>140</v>
      </c>
      <c r="G32" s="19" t="s">
        <v>142</v>
      </c>
      <c r="H32" s="19" t="s">
        <v>31</v>
      </c>
      <c r="I32">
        <v>13348</v>
      </c>
      <c r="J32">
        <v>32</v>
      </c>
      <c r="K32" s="1" t="s">
        <v>66</v>
      </c>
    </row>
    <row r="33" spans="1:11">
      <c r="A33" s="17" t="s">
        <v>69</v>
      </c>
      <c r="B33" s="19" t="s">
        <v>63</v>
      </c>
      <c r="C33" s="19" t="s">
        <v>140</v>
      </c>
      <c r="D33" s="19" t="s">
        <v>141</v>
      </c>
      <c r="E33" s="20" t="s">
        <v>12</v>
      </c>
      <c r="F33" s="19" t="s">
        <v>140</v>
      </c>
      <c r="G33" s="19" t="s">
        <v>142</v>
      </c>
      <c r="H33" s="19" t="s">
        <v>31</v>
      </c>
      <c r="I33">
        <v>1792</v>
      </c>
      <c r="J33">
        <v>5</v>
      </c>
      <c r="K33" s="1" t="s">
        <v>65</v>
      </c>
    </row>
    <row r="34" spans="1:11">
      <c r="A34" s="17" t="s">
        <v>69</v>
      </c>
      <c r="B34" s="19" t="s">
        <v>63</v>
      </c>
      <c r="C34" s="19" t="s">
        <v>143</v>
      </c>
      <c r="D34" s="19" t="s">
        <v>144</v>
      </c>
      <c r="E34" s="20" t="s">
        <v>12</v>
      </c>
      <c r="F34" s="19" t="s">
        <v>143</v>
      </c>
      <c r="G34" s="19" t="s">
        <v>145</v>
      </c>
      <c r="H34" s="19" t="s">
        <v>31</v>
      </c>
      <c r="I34">
        <v>7916</v>
      </c>
      <c r="J34">
        <v>15</v>
      </c>
      <c r="K34" s="1" t="s">
        <v>66</v>
      </c>
    </row>
    <row r="35" spans="1:11">
      <c r="A35" s="17" t="s">
        <v>69</v>
      </c>
      <c r="B35" s="19" t="s">
        <v>63</v>
      </c>
      <c r="C35" s="19" t="s">
        <v>143</v>
      </c>
      <c r="D35" s="19" t="s">
        <v>144</v>
      </c>
      <c r="E35" s="20" t="s">
        <v>12</v>
      </c>
      <c r="F35" s="19" t="s">
        <v>143</v>
      </c>
      <c r="G35" s="19" t="s">
        <v>145</v>
      </c>
      <c r="H35" s="19" t="s">
        <v>31</v>
      </c>
      <c r="I35">
        <v>901</v>
      </c>
      <c r="J35">
        <v>3</v>
      </c>
      <c r="K35" s="1" t="s">
        <v>65</v>
      </c>
    </row>
    <row r="36" spans="1:11">
      <c r="A36" s="17" t="s">
        <v>69</v>
      </c>
      <c r="B36" s="19" t="s">
        <v>50</v>
      </c>
      <c r="C36" s="19" t="s">
        <v>146</v>
      </c>
      <c r="D36" s="19" t="s">
        <v>147</v>
      </c>
      <c r="E36" s="20" t="s">
        <v>32</v>
      </c>
      <c r="F36" s="19" t="s">
        <v>146</v>
      </c>
      <c r="G36" s="19" t="s">
        <v>148</v>
      </c>
      <c r="H36" s="19" t="s">
        <v>32</v>
      </c>
      <c r="I36">
        <v>0</v>
      </c>
      <c r="J36">
        <v>2</v>
      </c>
      <c r="K36" s="1" t="s">
        <v>66</v>
      </c>
    </row>
    <row r="37" spans="1:11">
      <c r="A37" s="17" t="s">
        <v>69</v>
      </c>
      <c r="B37" s="19" t="s">
        <v>50</v>
      </c>
      <c r="C37" s="19" t="s">
        <v>149</v>
      </c>
      <c r="D37" s="19" t="s">
        <v>150</v>
      </c>
      <c r="E37" s="20" t="s">
        <v>12</v>
      </c>
      <c r="F37" s="19" t="s">
        <v>149</v>
      </c>
      <c r="G37" s="19" t="s">
        <v>151</v>
      </c>
      <c r="H37" s="19" t="s">
        <v>31</v>
      </c>
      <c r="I37">
        <v>3729</v>
      </c>
      <c r="J37">
        <v>2</v>
      </c>
      <c r="K37" s="1" t="s">
        <v>66</v>
      </c>
    </row>
    <row r="38" spans="1:11">
      <c r="A38" s="17" t="s">
        <v>69</v>
      </c>
      <c r="B38" s="19" t="s">
        <v>50</v>
      </c>
      <c r="C38" s="19" t="s">
        <v>152</v>
      </c>
      <c r="D38" s="19" t="s">
        <v>153</v>
      </c>
      <c r="E38" s="20" t="s">
        <v>11</v>
      </c>
      <c r="F38" s="19" t="s">
        <v>55</v>
      </c>
      <c r="G38" s="19" t="s">
        <v>154</v>
      </c>
      <c r="H38" s="19" t="s">
        <v>31</v>
      </c>
      <c r="I38">
        <v>5349</v>
      </c>
      <c r="J38">
        <v>3</v>
      </c>
      <c r="K38" s="1" t="s">
        <v>66</v>
      </c>
    </row>
    <row r="39" spans="1:11">
      <c r="A39" s="17" t="s">
        <v>69</v>
      </c>
      <c r="B39" s="19" t="s">
        <v>50</v>
      </c>
      <c r="C39" s="19" t="s">
        <v>155</v>
      </c>
      <c r="D39" s="19" t="s">
        <v>156</v>
      </c>
      <c r="E39" s="20" t="s">
        <v>12</v>
      </c>
      <c r="F39" s="19" t="s">
        <v>155</v>
      </c>
      <c r="G39" s="19" t="s">
        <v>157</v>
      </c>
      <c r="H39" s="19" t="s">
        <v>31</v>
      </c>
      <c r="I39">
        <v>171568</v>
      </c>
      <c r="J39">
        <v>316</v>
      </c>
      <c r="K39" s="1" t="s">
        <v>66</v>
      </c>
    </row>
    <row r="40" spans="1:11">
      <c r="A40" s="17" t="s">
        <v>69</v>
      </c>
      <c r="B40" s="19" t="s">
        <v>50</v>
      </c>
      <c r="C40" s="19" t="s">
        <v>155</v>
      </c>
      <c r="D40" s="19" t="s">
        <v>156</v>
      </c>
      <c r="E40" s="20" t="s">
        <v>12</v>
      </c>
      <c r="F40" s="19" t="s">
        <v>155</v>
      </c>
      <c r="G40" s="19" t="s">
        <v>157</v>
      </c>
      <c r="H40" s="19" t="s">
        <v>31</v>
      </c>
      <c r="I40">
        <v>4</v>
      </c>
      <c r="J40">
        <v>0</v>
      </c>
      <c r="K40" s="1" t="s">
        <v>65</v>
      </c>
    </row>
    <row r="41" spans="1:11">
      <c r="A41" s="17" t="s">
        <v>69</v>
      </c>
      <c r="B41" s="19" t="s">
        <v>50</v>
      </c>
      <c r="C41" s="19" t="s">
        <v>158</v>
      </c>
      <c r="D41" s="19" t="s">
        <v>159</v>
      </c>
      <c r="E41" s="20" t="s">
        <v>11</v>
      </c>
      <c r="F41" s="19" t="s">
        <v>51</v>
      </c>
      <c r="G41" s="19" t="s">
        <v>72</v>
      </c>
      <c r="H41" s="19" t="s">
        <v>31</v>
      </c>
      <c r="I41">
        <v>186274</v>
      </c>
      <c r="J41">
        <v>173</v>
      </c>
      <c r="K41" s="1" t="s">
        <v>66</v>
      </c>
    </row>
    <row r="42" spans="1:11">
      <c r="A42" s="17" t="s">
        <v>69</v>
      </c>
      <c r="B42" s="19" t="s">
        <v>50</v>
      </c>
      <c r="C42" s="19" t="s">
        <v>158</v>
      </c>
      <c r="D42" s="19" t="s">
        <v>159</v>
      </c>
      <c r="E42" s="20" t="s">
        <v>11</v>
      </c>
      <c r="F42" s="19" t="s">
        <v>51</v>
      </c>
      <c r="G42" s="19" t="s">
        <v>72</v>
      </c>
      <c r="H42" s="19" t="s">
        <v>31</v>
      </c>
      <c r="I42">
        <v>4</v>
      </c>
      <c r="J42">
        <v>0</v>
      </c>
      <c r="K42" s="1" t="s">
        <v>65</v>
      </c>
    </row>
    <row r="43" spans="1:11">
      <c r="A43" s="17" t="s">
        <v>69</v>
      </c>
      <c r="B43" s="19" t="s">
        <v>50</v>
      </c>
      <c r="C43" s="19" t="s">
        <v>160</v>
      </c>
      <c r="D43" s="19" t="s">
        <v>161</v>
      </c>
      <c r="E43" s="20" t="s">
        <v>12</v>
      </c>
      <c r="F43" s="19" t="s">
        <v>160</v>
      </c>
      <c r="G43" s="19" t="s">
        <v>162</v>
      </c>
      <c r="H43" s="19" t="s">
        <v>31</v>
      </c>
      <c r="I43">
        <v>31355</v>
      </c>
      <c r="J43">
        <v>25</v>
      </c>
      <c r="K43" s="1" t="s">
        <v>66</v>
      </c>
    </row>
    <row r="44" spans="1:11">
      <c r="A44" s="17" t="s">
        <v>69</v>
      </c>
      <c r="B44" s="19" t="s">
        <v>50</v>
      </c>
      <c r="C44" s="19" t="s">
        <v>163</v>
      </c>
      <c r="D44" s="19" t="s">
        <v>164</v>
      </c>
      <c r="E44" s="20" t="s">
        <v>11</v>
      </c>
      <c r="F44" s="19" t="s">
        <v>57</v>
      </c>
      <c r="G44" s="19" t="s">
        <v>165</v>
      </c>
      <c r="H44" s="19" t="s">
        <v>31</v>
      </c>
      <c r="I44">
        <v>34536</v>
      </c>
      <c r="J44">
        <v>32</v>
      </c>
      <c r="K44" s="1" t="s">
        <v>66</v>
      </c>
    </row>
    <row r="45" spans="1:11">
      <c r="A45" s="17" t="s">
        <v>69</v>
      </c>
      <c r="B45" s="19" t="s">
        <v>50</v>
      </c>
      <c r="C45" s="19" t="s">
        <v>166</v>
      </c>
      <c r="D45" s="19" t="s">
        <v>167</v>
      </c>
      <c r="E45" s="20" t="s">
        <v>12</v>
      </c>
      <c r="F45" s="19" t="s">
        <v>166</v>
      </c>
      <c r="G45" s="19" t="s">
        <v>168</v>
      </c>
      <c r="H45" s="19" t="s">
        <v>31</v>
      </c>
      <c r="I45">
        <v>46857</v>
      </c>
      <c r="J45">
        <v>289</v>
      </c>
      <c r="K45" s="1" t="s">
        <v>66</v>
      </c>
    </row>
    <row r="46" spans="1:11">
      <c r="A46" s="17" t="s">
        <v>69</v>
      </c>
      <c r="B46" s="19" t="s">
        <v>50</v>
      </c>
      <c r="C46" s="19" t="s">
        <v>169</v>
      </c>
      <c r="D46" s="19" t="s">
        <v>170</v>
      </c>
      <c r="E46" s="20" t="s">
        <v>11</v>
      </c>
      <c r="F46" s="19" t="s">
        <v>52</v>
      </c>
      <c r="G46" s="19" t="s">
        <v>171</v>
      </c>
      <c r="H46" s="19" t="s">
        <v>31</v>
      </c>
      <c r="I46">
        <v>44594</v>
      </c>
      <c r="J46">
        <v>66</v>
      </c>
      <c r="K46" s="1" t="s">
        <v>66</v>
      </c>
    </row>
    <row r="47" spans="1:11">
      <c r="A47" s="17" t="s">
        <v>69</v>
      </c>
      <c r="B47" s="19" t="s">
        <v>50</v>
      </c>
      <c r="C47" s="19" t="s">
        <v>169</v>
      </c>
      <c r="D47" s="19" t="s">
        <v>170</v>
      </c>
      <c r="E47" s="20" t="s">
        <v>11</v>
      </c>
      <c r="F47" s="19" t="s">
        <v>52</v>
      </c>
      <c r="G47" s="19" t="s">
        <v>171</v>
      </c>
      <c r="H47" s="19" t="s">
        <v>31</v>
      </c>
      <c r="I47">
        <v>1</v>
      </c>
      <c r="J47">
        <v>0</v>
      </c>
      <c r="K47" s="1" t="s">
        <v>65</v>
      </c>
    </row>
    <row r="48" spans="1:11">
      <c r="A48" s="17" t="s">
        <v>69</v>
      </c>
      <c r="B48" s="19" t="s">
        <v>50</v>
      </c>
      <c r="C48" s="19" t="s">
        <v>172</v>
      </c>
      <c r="D48" s="19" t="s">
        <v>173</v>
      </c>
      <c r="E48" s="20" t="s">
        <v>12</v>
      </c>
      <c r="F48" s="19" t="s">
        <v>172</v>
      </c>
      <c r="G48" s="19" t="s">
        <v>174</v>
      </c>
      <c r="H48" s="19" t="s">
        <v>31</v>
      </c>
      <c r="I48">
        <v>84231</v>
      </c>
      <c r="J48">
        <v>46</v>
      </c>
      <c r="K48" s="1" t="s">
        <v>66</v>
      </c>
    </row>
    <row r="49" spans="1:11">
      <c r="A49" s="17" t="s">
        <v>69</v>
      </c>
      <c r="B49" s="19" t="s">
        <v>50</v>
      </c>
      <c r="C49" s="19" t="s">
        <v>172</v>
      </c>
      <c r="D49" s="19" t="s">
        <v>173</v>
      </c>
      <c r="E49" s="20" t="s">
        <v>12</v>
      </c>
      <c r="F49" s="19" t="s">
        <v>172</v>
      </c>
      <c r="G49" s="19" t="s">
        <v>174</v>
      </c>
      <c r="H49" s="19" t="s">
        <v>31</v>
      </c>
      <c r="I49">
        <v>3</v>
      </c>
      <c r="J49">
        <v>0</v>
      </c>
      <c r="K49" s="1" t="s">
        <v>65</v>
      </c>
    </row>
    <row r="50" spans="1:11">
      <c r="A50" s="17" t="s">
        <v>69</v>
      </c>
      <c r="B50" s="19" t="s">
        <v>50</v>
      </c>
      <c r="C50" s="19" t="s">
        <v>175</v>
      </c>
      <c r="D50" s="19" t="s">
        <v>176</v>
      </c>
      <c r="E50" s="20" t="s">
        <v>11</v>
      </c>
      <c r="F50" s="19" t="s">
        <v>58</v>
      </c>
      <c r="G50" s="19" t="s">
        <v>177</v>
      </c>
      <c r="H50" s="19" t="s">
        <v>31</v>
      </c>
      <c r="I50">
        <v>91025</v>
      </c>
      <c r="J50">
        <v>32</v>
      </c>
      <c r="K50" s="1" t="s">
        <v>66</v>
      </c>
    </row>
    <row r="51" spans="1:11">
      <c r="A51" s="17" t="s">
        <v>69</v>
      </c>
      <c r="B51" s="19" t="s">
        <v>50</v>
      </c>
      <c r="C51" s="19" t="s">
        <v>175</v>
      </c>
      <c r="D51" s="19" t="s">
        <v>176</v>
      </c>
      <c r="E51" s="20" t="s">
        <v>11</v>
      </c>
      <c r="F51" s="19" t="s">
        <v>58</v>
      </c>
      <c r="G51" s="19" t="s">
        <v>177</v>
      </c>
      <c r="H51" s="19" t="s">
        <v>31</v>
      </c>
      <c r="I51">
        <v>2</v>
      </c>
      <c r="J51">
        <v>0</v>
      </c>
      <c r="K51" s="1" t="s">
        <v>65</v>
      </c>
    </row>
    <row r="52" spans="1:11">
      <c r="A52" s="17" t="s">
        <v>69</v>
      </c>
      <c r="B52" s="19" t="s">
        <v>50</v>
      </c>
      <c r="C52" s="19" t="s">
        <v>178</v>
      </c>
      <c r="D52" s="19" t="s">
        <v>179</v>
      </c>
      <c r="E52" s="20" t="s">
        <v>12</v>
      </c>
      <c r="F52" s="19" t="s">
        <v>178</v>
      </c>
      <c r="G52" s="19" t="s">
        <v>180</v>
      </c>
      <c r="H52" s="19" t="s">
        <v>31</v>
      </c>
      <c r="I52">
        <v>25666</v>
      </c>
      <c r="J52">
        <v>7</v>
      </c>
      <c r="K52" s="1" t="s">
        <v>66</v>
      </c>
    </row>
    <row r="53" spans="1:11">
      <c r="A53" s="17" t="s">
        <v>69</v>
      </c>
      <c r="B53" s="19" t="s">
        <v>50</v>
      </c>
      <c r="C53" s="19" t="s">
        <v>178</v>
      </c>
      <c r="D53" s="19" t="s">
        <v>179</v>
      </c>
      <c r="E53" s="20" t="s">
        <v>12</v>
      </c>
      <c r="F53" s="19" t="s">
        <v>178</v>
      </c>
      <c r="G53" s="19" t="s">
        <v>180</v>
      </c>
      <c r="H53" s="19" t="s">
        <v>31</v>
      </c>
      <c r="I53">
        <v>4587</v>
      </c>
      <c r="J53">
        <v>7</v>
      </c>
      <c r="K53" s="1" t="s">
        <v>65</v>
      </c>
    </row>
    <row r="54" spans="1:11">
      <c r="A54" s="17" t="s">
        <v>69</v>
      </c>
      <c r="B54" s="19" t="s">
        <v>50</v>
      </c>
      <c r="C54" s="19" t="s">
        <v>181</v>
      </c>
      <c r="D54" s="19" t="s">
        <v>182</v>
      </c>
      <c r="E54" s="20" t="s">
        <v>12</v>
      </c>
      <c r="F54" s="19" t="s">
        <v>181</v>
      </c>
      <c r="G54" s="19" t="s">
        <v>183</v>
      </c>
      <c r="H54" s="19" t="s">
        <v>31</v>
      </c>
      <c r="I54">
        <v>37084</v>
      </c>
      <c r="J54">
        <v>9</v>
      </c>
      <c r="K54" s="1" t="s">
        <v>66</v>
      </c>
    </row>
    <row r="55" spans="1:11">
      <c r="A55" s="17" t="s">
        <v>69</v>
      </c>
      <c r="B55" s="19" t="s">
        <v>50</v>
      </c>
      <c r="C55" s="19" t="s">
        <v>181</v>
      </c>
      <c r="D55" s="19" t="s">
        <v>182</v>
      </c>
      <c r="E55" s="20" t="s">
        <v>12</v>
      </c>
      <c r="F55" s="19" t="s">
        <v>181</v>
      </c>
      <c r="G55" s="19" t="s">
        <v>183</v>
      </c>
      <c r="H55" s="19" t="s">
        <v>31</v>
      </c>
      <c r="I55">
        <v>3910</v>
      </c>
      <c r="J55">
        <v>2</v>
      </c>
      <c r="K55" s="1" t="s">
        <v>65</v>
      </c>
    </row>
    <row r="56" spans="1:11">
      <c r="A56" s="17" t="s">
        <v>69</v>
      </c>
      <c r="B56" s="19" t="s">
        <v>50</v>
      </c>
      <c r="C56" s="19" t="s">
        <v>184</v>
      </c>
      <c r="D56" s="19" t="s">
        <v>185</v>
      </c>
      <c r="E56" s="20" t="s">
        <v>12</v>
      </c>
      <c r="F56" s="19" t="s">
        <v>184</v>
      </c>
      <c r="G56" s="19" t="s">
        <v>186</v>
      </c>
      <c r="H56" s="19" t="s">
        <v>31</v>
      </c>
      <c r="I56">
        <v>34288</v>
      </c>
      <c r="J56">
        <v>25</v>
      </c>
      <c r="K56" s="1" t="s">
        <v>65</v>
      </c>
    </row>
    <row r="57" spans="1:11">
      <c r="A57" s="17" t="s">
        <v>69</v>
      </c>
      <c r="B57" s="19" t="s">
        <v>50</v>
      </c>
      <c r="C57" s="19" t="s">
        <v>187</v>
      </c>
      <c r="D57" s="19" t="s">
        <v>188</v>
      </c>
      <c r="E57" s="20" t="s">
        <v>12</v>
      </c>
      <c r="F57" s="19" t="s">
        <v>187</v>
      </c>
      <c r="G57" s="19" t="s">
        <v>189</v>
      </c>
      <c r="H57" s="19" t="s">
        <v>31</v>
      </c>
      <c r="I57">
        <v>51965</v>
      </c>
      <c r="J57">
        <v>21</v>
      </c>
      <c r="K57" s="1" t="s">
        <v>66</v>
      </c>
    </row>
    <row r="58" spans="1:11">
      <c r="A58" s="17" t="s">
        <v>69</v>
      </c>
      <c r="B58" s="19" t="s">
        <v>50</v>
      </c>
      <c r="C58" s="19" t="s">
        <v>187</v>
      </c>
      <c r="D58" s="19" t="s">
        <v>188</v>
      </c>
      <c r="E58" s="20" t="s">
        <v>12</v>
      </c>
      <c r="F58" s="19" t="s">
        <v>187</v>
      </c>
      <c r="G58" s="19" t="s">
        <v>189</v>
      </c>
      <c r="H58" s="19" t="s">
        <v>31</v>
      </c>
      <c r="I58">
        <v>10660</v>
      </c>
      <c r="J58">
        <v>9</v>
      </c>
      <c r="K58" s="1" t="s">
        <v>65</v>
      </c>
    </row>
    <row r="59" spans="1:11">
      <c r="A59" s="17" t="s">
        <v>69</v>
      </c>
      <c r="B59" s="19" t="s">
        <v>50</v>
      </c>
      <c r="C59" s="19" t="s">
        <v>190</v>
      </c>
      <c r="D59" s="19" t="s">
        <v>191</v>
      </c>
      <c r="E59" s="20" t="s">
        <v>12</v>
      </c>
      <c r="F59" s="19" t="s">
        <v>190</v>
      </c>
      <c r="G59" s="19" t="s">
        <v>192</v>
      </c>
      <c r="H59" s="19" t="s">
        <v>31</v>
      </c>
      <c r="I59">
        <v>1220300</v>
      </c>
      <c r="J59">
        <v>5714</v>
      </c>
      <c r="K59" s="1" t="s">
        <v>66</v>
      </c>
    </row>
    <row r="60" spans="1:11">
      <c r="A60" s="17" t="s">
        <v>69</v>
      </c>
      <c r="B60" s="19" t="s">
        <v>50</v>
      </c>
      <c r="C60" s="19" t="s">
        <v>190</v>
      </c>
      <c r="D60" s="19" t="s">
        <v>191</v>
      </c>
      <c r="E60" s="20" t="s">
        <v>12</v>
      </c>
      <c r="F60" s="19" t="s">
        <v>190</v>
      </c>
      <c r="G60" s="19" t="s">
        <v>192</v>
      </c>
      <c r="H60" s="19" t="s">
        <v>31</v>
      </c>
      <c r="I60">
        <v>923597</v>
      </c>
      <c r="J60">
        <v>6641</v>
      </c>
      <c r="K60" s="1" t="s">
        <v>65</v>
      </c>
    </row>
    <row r="61" spans="1:11">
      <c r="A61" s="17" t="s">
        <v>69</v>
      </c>
      <c r="B61" s="19" t="s">
        <v>50</v>
      </c>
      <c r="C61" s="19" t="s">
        <v>193</v>
      </c>
      <c r="D61" s="19" t="s">
        <v>194</v>
      </c>
      <c r="E61" s="20" t="s">
        <v>11</v>
      </c>
      <c r="F61" s="19" t="s">
        <v>51</v>
      </c>
      <c r="G61" s="19" t="s">
        <v>72</v>
      </c>
      <c r="H61" s="19" t="s">
        <v>31</v>
      </c>
      <c r="I61">
        <v>1</v>
      </c>
      <c r="J61">
        <v>0</v>
      </c>
      <c r="K61" s="1" t="s">
        <v>65</v>
      </c>
    </row>
    <row r="62" spans="1:11">
      <c r="A62" s="17" t="s">
        <v>69</v>
      </c>
      <c r="B62" s="19" t="s">
        <v>50</v>
      </c>
      <c r="C62" s="19" t="s">
        <v>193</v>
      </c>
      <c r="D62" s="19" t="s">
        <v>194</v>
      </c>
      <c r="E62" s="20" t="s">
        <v>12</v>
      </c>
      <c r="F62" s="19" t="s">
        <v>193</v>
      </c>
      <c r="G62" s="19" t="s">
        <v>195</v>
      </c>
      <c r="H62" s="19" t="s">
        <v>31</v>
      </c>
      <c r="I62">
        <v>2966224</v>
      </c>
      <c r="J62">
        <v>9093</v>
      </c>
      <c r="K62" s="1" t="s">
        <v>66</v>
      </c>
    </row>
    <row r="63" spans="1:11">
      <c r="A63" s="17" t="s">
        <v>69</v>
      </c>
      <c r="B63" s="19" t="s">
        <v>50</v>
      </c>
      <c r="C63" s="19" t="s">
        <v>193</v>
      </c>
      <c r="D63" s="19" t="s">
        <v>194</v>
      </c>
      <c r="E63" s="20" t="s">
        <v>12</v>
      </c>
      <c r="F63" s="19" t="s">
        <v>193</v>
      </c>
      <c r="G63" s="19" t="s">
        <v>195</v>
      </c>
      <c r="H63" s="19" t="s">
        <v>31</v>
      </c>
      <c r="I63">
        <v>4282034</v>
      </c>
      <c r="J63">
        <v>18037</v>
      </c>
      <c r="K63" s="1" t="s">
        <v>65</v>
      </c>
    </row>
    <row r="64" spans="1:11">
      <c r="A64" s="17" t="s">
        <v>69</v>
      </c>
      <c r="B64" s="19" t="s">
        <v>50</v>
      </c>
      <c r="C64" s="19" t="s">
        <v>196</v>
      </c>
      <c r="D64" s="19" t="s">
        <v>197</v>
      </c>
      <c r="E64" s="20" t="s">
        <v>12</v>
      </c>
      <c r="F64" s="19" t="s">
        <v>196</v>
      </c>
      <c r="G64" s="19" t="s">
        <v>198</v>
      </c>
      <c r="H64" s="19" t="s">
        <v>31</v>
      </c>
      <c r="I64">
        <v>4661695</v>
      </c>
      <c r="J64">
        <v>33550</v>
      </c>
      <c r="K64" s="1" t="s">
        <v>65</v>
      </c>
    </row>
    <row r="65" spans="1:11">
      <c r="A65" s="17" t="s">
        <v>69</v>
      </c>
      <c r="B65" s="19" t="s">
        <v>50</v>
      </c>
      <c r="C65" s="19" t="s">
        <v>199</v>
      </c>
      <c r="D65" s="19" t="s">
        <v>200</v>
      </c>
      <c r="E65" s="20" t="s">
        <v>12</v>
      </c>
      <c r="F65" s="19" t="s">
        <v>199</v>
      </c>
      <c r="G65" s="19" t="s">
        <v>201</v>
      </c>
      <c r="H65" s="19" t="s">
        <v>31</v>
      </c>
      <c r="I65">
        <v>677753</v>
      </c>
      <c r="J65">
        <v>1793</v>
      </c>
      <c r="K65" s="1" t="s">
        <v>66</v>
      </c>
    </row>
    <row r="66" spans="1:11">
      <c r="A66" s="17" t="s">
        <v>69</v>
      </c>
      <c r="B66" s="19" t="s">
        <v>50</v>
      </c>
      <c r="C66" s="19" t="s">
        <v>199</v>
      </c>
      <c r="D66" s="19" t="s">
        <v>200</v>
      </c>
      <c r="E66" s="20" t="s">
        <v>12</v>
      </c>
      <c r="F66" s="19" t="s">
        <v>199</v>
      </c>
      <c r="G66" s="19" t="s">
        <v>201</v>
      </c>
      <c r="H66" s="19" t="s">
        <v>31</v>
      </c>
      <c r="I66">
        <v>844505</v>
      </c>
      <c r="J66">
        <v>6398</v>
      </c>
      <c r="K66" s="1" t="s">
        <v>65</v>
      </c>
    </row>
    <row r="67" spans="1:11">
      <c r="A67" s="17" t="s">
        <v>69</v>
      </c>
      <c r="B67" s="19" t="s">
        <v>50</v>
      </c>
      <c r="C67" s="19" t="s">
        <v>202</v>
      </c>
      <c r="D67" s="19" t="s">
        <v>203</v>
      </c>
      <c r="E67" s="20" t="s">
        <v>12</v>
      </c>
      <c r="F67" s="19" t="s">
        <v>202</v>
      </c>
      <c r="G67" s="19" t="s">
        <v>204</v>
      </c>
      <c r="H67" s="19" t="s">
        <v>31</v>
      </c>
      <c r="I67">
        <v>289783</v>
      </c>
      <c r="J67">
        <v>6691</v>
      </c>
      <c r="K67" s="1" t="s">
        <v>66</v>
      </c>
    </row>
    <row r="68" spans="1:11">
      <c r="A68" s="17" t="s">
        <v>69</v>
      </c>
      <c r="B68" s="19" t="s">
        <v>50</v>
      </c>
      <c r="C68" s="19" t="s">
        <v>202</v>
      </c>
      <c r="D68" s="19" t="s">
        <v>203</v>
      </c>
      <c r="E68" s="20" t="s">
        <v>12</v>
      </c>
      <c r="F68" s="19" t="s">
        <v>202</v>
      </c>
      <c r="G68" s="19" t="s">
        <v>204</v>
      </c>
      <c r="H68" s="19" t="s">
        <v>31</v>
      </c>
      <c r="I68">
        <v>345640</v>
      </c>
      <c r="J68">
        <v>12353</v>
      </c>
      <c r="K68" s="1" t="s">
        <v>65</v>
      </c>
    </row>
    <row r="69" spans="1:11">
      <c r="A69" s="17" t="s">
        <v>69</v>
      </c>
      <c r="B69" s="19" t="s">
        <v>50</v>
      </c>
      <c r="C69" s="19" t="s">
        <v>205</v>
      </c>
      <c r="D69" s="19" t="s">
        <v>206</v>
      </c>
      <c r="E69" s="20" t="s">
        <v>12</v>
      </c>
      <c r="F69" s="19" t="s">
        <v>205</v>
      </c>
      <c r="G69" s="19" t="s">
        <v>207</v>
      </c>
      <c r="H69" s="19" t="s">
        <v>31</v>
      </c>
      <c r="I69">
        <v>343154</v>
      </c>
      <c r="J69">
        <v>3561</v>
      </c>
      <c r="K69" s="1" t="s">
        <v>66</v>
      </c>
    </row>
    <row r="70" spans="1:11">
      <c r="A70" s="17" t="s">
        <v>69</v>
      </c>
      <c r="B70" s="19" t="s">
        <v>50</v>
      </c>
      <c r="C70" s="19" t="s">
        <v>205</v>
      </c>
      <c r="D70" s="19" t="s">
        <v>206</v>
      </c>
      <c r="E70" s="20" t="s">
        <v>12</v>
      </c>
      <c r="F70" s="19" t="s">
        <v>205</v>
      </c>
      <c r="G70" s="19" t="s">
        <v>207</v>
      </c>
      <c r="H70" s="19" t="s">
        <v>31</v>
      </c>
      <c r="I70">
        <v>269977</v>
      </c>
      <c r="J70">
        <v>5512</v>
      </c>
      <c r="K70" s="1" t="s">
        <v>65</v>
      </c>
    </row>
    <row r="71" spans="1:11">
      <c r="A71" s="17" t="s">
        <v>69</v>
      </c>
      <c r="B71" s="19" t="s">
        <v>50</v>
      </c>
      <c r="C71" s="19" t="s">
        <v>208</v>
      </c>
      <c r="D71" s="19" t="s">
        <v>209</v>
      </c>
      <c r="E71" s="20" t="s">
        <v>12</v>
      </c>
      <c r="F71" s="19" t="s">
        <v>208</v>
      </c>
      <c r="G71" s="19" t="s">
        <v>210</v>
      </c>
      <c r="H71" s="19" t="s">
        <v>31</v>
      </c>
      <c r="I71">
        <v>1738646</v>
      </c>
      <c r="J71">
        <v>64323</v>
      </c>
      <c r="K71" s="1" t="s">
        <v>65</v>
      </c>
    </row>
    <row r="72" spans="1:11">
      <c r="A72" s="17" t="s">
        <v>69</v>
      </c>
      <c r="B72" s="19" t="s">
        <v>50</v>
      </c>
      <c r="C72" s="19" t="s">
        <v>211</v>
      </c>
      <c r="D72" s="19" t="s">
        <v>212</v>
      </c>
      <c r="E72" s="20" t="s">
        <v>12</v>
      </c>
      <c r="F72" s="19" t="s">
        <v>211</v>
      </c>
      <c r="G72" s="19" t="s">
        <v>213</v>
      </c>
      <c r="H72" s="19" t="s">
        <v>31</v>
      </c>
      <c r="I72">
        <v>155924</v>
      </c>
      <c r="J72">
        <v>1527</v>
      </c>
      <c r="K72" s="1" t="s">
        <v>66</v>
      </c>
    </row>
    <row r="73" spans="1:11">
      <c r="A73" s="17" t="s">
        <v>69</v>
      </c>
      <c r="B73" s="19" t="s">
        <v>50</v>
      </c>
      <c r="C73" s="19" t="s">
        <v>211</v>
      </c>
      <c r="D73" s="19" t="s">
        <v>212</v>
      </c>
      <c r="E73" s="20" t="s">
        <v>12</v>
      </c>
      <c r="F73" s="19" t="s">
        <v>211</v>
      </c>
      <c r="G73" s="19" t="s">
        <v>213</v>
      </c>
      <c r="H73" s="19" t="s">
        <v>31</v>
      </c>
      <c r="I73">
        <v>214461</v>
      </c>
      <c r="J73">
        <v>9406</v>
      </c>
      <c r="K73" s="1" t="s">
        <v>65</v>
      </c>
    </row>
    <row r="74" spans="1:11">
      <c r="A74" s="17" t="s">
        <v>69</v>
      </c>
      <c r="B74" s="19" t="s">
        <v>50</v>
      </c>
      <c r="C74" s="19" t="s">
        <v>214</v>
      </c>
      <c r="D74" s="19" t="s">
        <v>215</v>
      </c>
      <c r="E74" s="20" t="s">
        <v>12</v>
      </c>
      <c r="F74" s="19" t="s">
        <v>214</v>
      </c>
      <c r="G74" s="19" t="s">
        <v>216</v>
      </c>
      <c r="H74" s="19" t="s">
        <v>31</v>
      </c>
      <c r="I74">
        <v>847603</v>
      </c>
      <c r="J74">
        <v>3145</v>
      </c>
      <c r="K74" s="1" t="s">
        <v>66</v>
      </c>
    </row>
    <row r="75" spans="1:11">
      <c r="A75" s="17" t="s">
        <v>69</v>
      </c>
      <c r="B75" s="19" t="s">
        <v>50</v>
      </c>
      <c r="C75" s="19" t="s">
        <v>214</v>
      </c>
      <c r="D75" s="19" t="s">
        <v>215</v>
      </c>
      <c r="E75" s="20" t="s">
        <v>12</v>
      </c>
      <c r="F75" s="19" t="s">
        <v>214</v>
      </c>
      <c r="G75" s="19" t="s">
        <v>216</v>
      </c>
      <c r="H75" s="19" t="s">
        <v>31</v>
      </c>
      <c r="I75">
        <v>3302047</v>
      </c>
      <c r="J75">
        <v>24072</v>
      </c>
      <c r="K75" s="1" t="s">
        <v>65</v>
      </c>
    </row>
    <row r="76" spans="1:11">
      <c r="A76" s="17" t="s">
        <v>69</v>
      </c>
      <c r="B76" s="19" t="s">
        <v>50</v>
      </c>
      <c r="C76" s="19" t="s">
        <v>217</v>
      </c>
      <c r="D76" s="19" t="s">
        <v>218</v>
      </c>
      <c r="E76" s="20" t="s">
        <v>11</v>
      </c>
      <c r="F76" s="19" t="s">
        <v>52</v>
      </c>
      <c r="G76" s="19" t="s">
        <v>171</v>
      </c>
      <c r="H76" s="19" t="s">
        <v>31</v>
      </c>
      <c r="I76">
        <v>1</v>
      </c>
      <c r="J76">
        <v>0</v>
      </c>
      <c r="K76" s="1" t="s">
        <v>65</v>
      </c>
    </row>
    <row r="77" spans="1:11">
      <c r="A77" s="17" t="s">
        <v>69</v>
      </c>
      <c r="B77" s="19" t="s">
        <v>50</v>
      </c>
      <c r="C77" s="19" t="s">
        <v>217</v>
      </c>
      <c r="D77" s="19" t="s">
        <v>218</v>
      </c>
      <c r="E77" s="20" t="s">
        <v>12</v>
      </c>
      <c r="F77" s="19" t="s">
        <v>217</v>
      </c>
      <c r="G77" s="19" t="s">
        <v>219</v>
      </c>
      <c r="H77" s="19" t="s">
        <v>31</v>
      </c>
      <c r="I77">
        <v>1239611</v>
      </c>
      <c r="J77">
        <v>4276</v>
      </c>
      <c r="K77" s="1" t="s">
        <v>66</v>
      </c>
    </row>
    <row r="78" spans="1:11">
      <c r="A78" s="17" t="s">
        <v>69</v>
      </c>
      <c r="B78" s="19" t="s">
        <v>50</v>
      </c>
      <c r="C78" s="19" t="s">
        <v>217</v>
      </c>
      <c r="D78" s="19" t="s">
        <v>218</v>
      </c>
      <c r="E78" s="20" t="s">
        <v>12</v>
      </c>
      <c r="F78" s="19" t="s">
        <v>217</v>
      </c>
      <c r="G78" s="19" t="s">
        <v>219</v>
      </c>
      <c r="H78" s="19" t="s">
        <v>31</v>
      </c>
      <c r="I78">
        <v>1876220</v>
      </c>
      <c r="J78">
        <v>9601</v>
      </c>
      <c r="K78" s="1" t="s">
        <v>65</v>
      </c>
    </row>
    <row r="79" spans="1:11">
      <c r="A79" s="17" t="s">
        <v>69</v>
      </c>
      <c r="B79" s="19" t="s">
        <v>50</v>
      </c>
      <c r="C79" s="19" t="s">
        <v>220</v>
      </c>
      <c r="D79" s="19" t="s">
        <v>221</v>
      </c>
      <c r="E79" s="20" t="s">
        <v>12</v>
      </c>
      <c r="F79" s="19" t="s">
        <v>220</v>
      </c>
      <c r="G79" s="19" t="s">
        <v>222</v>
      </c>
      <c r="H79" s="19" t="s">
        <v>31</v>
      </c>
      <c r="I79">
        <v>4714547</v>
      </c>
      <c r="J79">
        <v>32496</v>
      </c>
      <c r="K79" s="1" t="s">
        <v>65</v>
      </c>
    </row>
    <row r="80" spans="1:11">
      <c r="A80" s="17" t="s">
        <v>69</v>
      </c>
      <c r="B80" s="19" t="s">
        <v>50</v>
      </c>
      <c r="C80" s="19" t="s">
        <v>223</v>
      </c>
      <c r="D80" s="19" t="s">
        <v>224</v>
      </c>
      <c r="E80" s="20" t="s">
        <v>12</v>
      </c>
      <c r="F80" s="19" t="s">
        <v>223</v>
      </c>
      <c r="G80" s="19" t="s">
        <v>225</v>
      </c>
      <c r="H80" s="19" t="s">
        <v>31</v>
      </c>
      <c r="I80">
        <v>306498</v>
      </c>
      <c r="J80">
        <v>1426</v>
      </c>
      <c r="K80" s="1" t="s">
        <v>66</v>
      </c>
    </row>
    <row r="81" spans="1:11">
      <c r="A81" s="17" t="s">
        <v>69</v>
      </c>
      <c r="B81" s="19" t="s">
        <v>50</v>
      </c>
      <c r="C81" s="19" t="s">
        <v>223</v>
      </c>
      <c r="D81" s="19" t="s">
        <v>224</v>
      </c>
      <c r="E81" s="20" t="s">
        <v>12</v>
      </c>
      <c r="F81" s="19" t="s">
        <v>223</v>
      </c>
      <c r="G81" s="19" t="s">
        <v>225</v>
      </c>
      <c r="H81" s="19" t="s">
        <v>31</v>
      </c>
      <c r="I81">
        <v>566123</v>
      </c>
      <c r="J81">
        <v>5027</v>
      </c>
      <c r="K81" s="1" t="s">
        <v>65</v>
      </c>
    </row>
    <row r="82" spans="1:11">
      <c r="A82" s="17" t="s">
        <v>69</v>
      </c>
      <c r="B82" s="19" t="s">
        <v>50</v>
      </c>
      <c r="C82" s="19" t="s">
        <v>226</v>
      </c>
      <c r="D82" s="19" t="s">
        <v>227</v>
      </c>
      <c r="E82" s="20" t="s">
        <v>12</v>
      </c>
      <c r="F82" s="19" t="s">
        <v>226</v>
      </c>
      <c r="G82" s="19" t="s">
        <v>228</v>
      </c>
      <c r="H82" s="19" t="s">
        <v>31</v>
      </c>
      <c r="I82">
        <v>346241</v>
      </c>
      <c r="J82">
        <v>842</v>
      </c>
      <c r="K82" s="1" t="s">
        <v>66</v>
      </c>
    </row>
    <row r="83" spans="1:11">
      <c r="A83" s="17" t="s">
        <v>69</v>
      </c>
      <c r="B83" s="19" t="s">
        <v>50</v>
      </c>
      <c r="C83" s="19" t="s">
        <v>226</v>
      </c>
      <c r="D83" s="19" t="s">
        <v>227</v>
      </c>
      <c r="E83" s="20" t="s">
        <v>12</v>
      </c>
      <c r="F83" s="19" t="s">
        <v>226</v>
      </c>
      <c r="G83" s="19" t="s">
        <v>228</v>
      </c>
      <c r="H83" s="19" t="s">
        <v>31</v>
      </c>
      <c r="I83">
        <v>181691</v>
      </c>
      <c r="J83">
        <v>3753</v>
      </c>
      <c r="K83" s="1" t="s">
        <v>65</v>
      </c>
    </row>
    <row r="84" spans="1:11">
      <c r="A84" s="17" t="s">
        <v>69</v>
      </c>
      <c r="B84" s="19" t="s">
        <v>50</v>
      </c>
      <c r="C84" s="19" t="s">
        <v>229</v>
      </c>
      <c r="D84" s="19" t="s">
        <v>230</v>
      </c>
      <c r="E84" s="20" t="s">
        <v>12</v>
      </c>
      <c r="F84" s="19" t="s">
        <v>229</v>
      </c>
      <c r="G84" s="19" t="s">
        <v>231</v>
      </c>
      <c r="H84" s="19" t="s">
        <v>31</v>
      </c>
      <c r="I84">
        <v>177696</v>
      </c>
      <c r="J84">
        <v>234</v>
      </c>
      <c r="K84" s="1" t="s">
        <v>66</v>
      </c>
    </row>
    <row r="85" spans="1:11">
      <c r="A85" s="17" t="s">
        <v>69</v>
      </c>
      <c r="B85" s="19" t="s">
        <v>50</v>
      </c>
      <c r="C85" s="19" t="s">
        <v>229</v>
      </c>
      <c r="D85" s="19" t="s">
        <v>230</v>
      </c>
      <c r="E85" s="20" t="s">
        <v>12</v>
      </c>
      <c r="F85" s="19" t="s">
        <v>229</v>
      </c>
      <c r="G85" s="19" t="s">
        <v>231</v>
      </c>
      <c r="H85" s="19" t="s">
        <v>31</v>
      </c>
      <c r="I85">
        <v>21729</v>
      </c>
      <c r="J85">
        <v>250</v>
      </c>
      <c r="K85" s="1" t="s">
        <v>65</v>
      </c>
    </row>
    <row r="86" spans="1:11">
      <c r="A86" s="17" t="s">
        <v>69</v>
      </c>
      <c r="B86" s="19" t="s">
        <v>50</v>
      </c>
      <c r="C86" s="19" t="s">
        <v>232</v>
      </c>
      <c r="D86" s="19" t="s">
        <v>233</v>
      </c>
      <c r="E86" s="20" t="s">
        <v>12</v>
      </c>
      <c r="F86" s="19" t="s">
        <v>232</v>
      </c>
      <c r="G86" s="19" t="s">
        <v>234</v>
      </c>
      <c r="H86" s="19" t="s">
        <v>31</v>
      </c>
      <c r="I86">
        <v>300920</v>
      </c>
      <c r="J86">
        <v>3650</v>
      </c>
      <c r="K86" s="1" t="s">
        <v>65</v>
      </c>
    </row>
    <row r="87" spans="1:11">
      <c r="A87" s="17" t="s">
        <v>69</v>
      </c>
      <c r="B87" s="19" t="s">
        <v>50</v>
      </c>
      <c r="C87" s="19" t="s">
        <v>235</v>
      </c>
      <c r="D87" s="19" t="s">
        <v>236</v>
      </c>
      <c r="E87" s="20" t="s">
        <v>12</v>
      </c>
      <c r="F87" s="19" t="s">
        <v>235</v>
      </c>
      <c r="G87" s="19" t="s">
        <v>237</v>
      </c>
      <c r="H87" s="19" t="s">
        <v>31</v>
      </c>
      <c r="I87">
        <v>289672</v>
      </c>
      <c r="J87">
        <v>142</v>
      </c>
      <c r="K87" s="1" t="s">
        <v>66</v>
      </c>
    </row>
    <row r="88" spans="1:11">
      <c r="A88" s="17" t="s">
        <v>69</v>
      </c>
      <c r="B88" s="19" t="s">
        <v>50</v>
      </c>
      <c r="C88" s="19" t="s">
        <v>235</v>
      </c>
      <c r="D88" s="19" t="s">
        <v>236</v>
      </c>
      <c r="E88" s="20" t="s">
        <v>12</v>
      </c>
      <c r="F88" s="19" t="s">
        <v>235</v>
      </c>
      <c r="G88" s="19" t="s">
        <v>237</v>
      </c>
      <c r="H88" s="19" t="s">
        <v>31</v>
      </c>
      <c r="I88">
        <v>111189</v>
      </c>
      <c r="J88">
        <v>229</v>
      </c>
      <c r="K88" s="1" t="s">
        <v>65</v>
      </c>
    </row>
    <row r="89" spans="1:11">
      <c r="A89" s="17" t="s">
        <v>69</v>
      </c>
      <c r="B89" s="19" t="s">
        <v>50</v>
      </c>
      <c r="C89" s="19" t="s">
        <v>238</v>
      </c>
      <c r="D89" s="19" t="s">
        <v>239</v>
      </c>
      <c r="E89" s="20" t="s">
        <v>12</v>
      </c>
      <c r="F89" s="19" t="s">
        <v>240</v>
      </c>
      <c r="G89" s="19" t="s">
        <v>241</v>
      </c>
      <c r="H89" s="19" t="s">
        <v>31</v>
      </c>
      <c r="I89">
        <v>129699</v>
      </c>
      <c r="J89">
        <v>1539</v>
      </c>
      <c r="K89" s="1" t="s">
        <v>66</v>
      </c>
    </row>
    <row r="90" spans="1:11">
      <c r="A90" s="17" t="s">
        <v>69</v>
      </c>
      <c r="B90" s="19" t="s">
        <v>50</v>
      </c>
      <c r="C90" s="19" t="s">
        <v>238</v>
      </c>
      <c r="D90" s="19" t="s">
        <v>239</v>
      </c>
      <c r="E90" s="20" t="s">
        <v>12</v>
      </c>
      <c r="F90" s="19" t="s">
        <v>240</v>
      </c>
      <c r="G90" s="19" t="s">
        <v>241</v>
      </c>
      <c r="H90" s="19" t="s">
        <v>31</v>
      </c>
      <c r="I90">
        <v>257887</v>
      </c>
      <c r="J90">
        <v>8766</v>
      </c>
      <c r="K90" s="1" t="s">
        <v>65</v>
      </c>
    </row>
    <row r="91" spans="1:11">
      <c r="A91" s="17" t="s">
        <v>69</v>
      </c>
      <c r="B91" s="19" t="s">
        <v>50</v>
      </c>
      <c r="C91" s="19" t="s">
        <v>242</v>
      </c>
      <c r="D91" s="19" t="s">
        <v>243</v>
      </c>
      <c r="E91" s="20" t="s">
        <v>12</v>
      </c>
      <c r="F91" s="19" t="s">
        <v>244</v>
      </c>
      <c r="G91" s="19" t="s">
        <v>245</v>
      </c>
      <c r="H91" s="19" t="s">
        <v>31</v>
      </c>
      <c r="I91">
        <v>5689</v>
      </c>
      <c r="J91">
        <v>102</v>
      </c>
      <c r="K91" s="1" t="s">
        <v>66</v>
      </c>
    </row>
    <row r="92" spans="1:11">
      <c r="A92" s="17" t="s">
        <v>69</v>
      </c>
      <c r="B92" s="19" t="s">
        <v>50</v>
      </c>
      <c r="C92" s="19" t="s">
        <v>242</v>
      </c>
      <c r="D92" s="19" t="s">
        <v>243</v>
      </c>
      <c r="E92" s="20" t="s">
        <v>12</v>
      </c>
      <c r="F92" s="19" t="s">
        <v>244</v>
      </c>
      <c r="G92" s="19" t="s">
        <v>245</v>
      </c>
      <c r="H92" s="19" t="s">
        <v>31</v>
      </c>
      <c r="I92">
        <v>8218</v>
      </c>
      <c r="J92">
        <v>486</v>
      </c>
      <c r="K92" s="1" t="s">
        <v>65</v>
      </c>
    </row>
    <row r="93" spans="1:11">
      <c r="A93" s="17" t="s">
        <v>69</v>
      </c>
      <c r="B93" s="19" t="s">
        <v>50</v>
      </c>
      <c r="C93" s="19" t="s">
        <v>246</v>
      </c>
      <c r="D93" s="19" t="s">
        <v>247</v>
      </c>
      <c r="E93" s="20" t="s">
        <v>12</v>
      </c>
      <c r="F93" s="19" t="s">
        <v>248</v>
      </c>
      <c r="G93" s="19" t="s">
        <v>249</v>
      </c>
      <c r="H93" s="19" t="s">
        <v>31</v>
      </c>
      <c r="I93">
        <v>9069</v>
      </c>
      <c r="J93">
        <v>31</v>
      </c>
      <c r="K93" s="1" t="s">
        <v>66</v>
      </c>
    </row>
    <row r="94" spans="1:11">
      <c r="A94" s="17" t="s">
        <v>69</v>
      </c>
      <c r="B94" s="19" t="s">
        <v>50</v>
      </c>
      <c r="C94" s="19" t="s">
        <v>246</v>
      </c>
      <c r="D94" s="19" t="s">
        <v>247</v>
      </c>
      <c r="E94" s="20" t="s">
        <v>12</v>
      </c>
      <c r="F94" s="19" t="s">
        <v>248</v>
      </c>
      <c r="G94" s="19" t="s">
        <v>249</v>
      </c>
      <c r="H94" s="19" t="s">
        <v>31</v>
      </c>
      <c r="I94">
        <v>36164</v>
      </c>
      <c r="J94">
        <v>511</v>
      </c>
      <c r="K94" s="1" t="s">
        <v>65</v>
      </c>
    </row>
    <row r="95" spans="1:11">
      <c r="A95" s="17" t="s">
        <v>69</v>
      </c>
      <c r="B95" s="19" t="s">
        <v>50</v>
      </c>
      <c r="C95" s="19" t="s">
        <v>250</v>
      </c>
      <c r="D95" s="19" t="s">
        <v>251</v>
      </c>
      <c r="E95" s="20" t="s">
        <v>12</v>
      </c>
      <c r="F95" s="19" t="s">
        <v>252</v>
      </c>
      <c r="G95" s="19" t="s">
        <v>253</v>
      </c>
      <c r="H95" s="19" t="s">
        <v>31</v>
      </c>
      <c r="I95">
        <v>5101</v>
      </c>
      <c r="J95">
        <v>7</v>
      </c>
      <c r="K95" s="1" t="s">
        <v>66</v>
      </c>
    </row>
    <row r="96" spans="1:11">
      <c r="A96" s="17" t="s">
        <v>69</v>
      </c>
      <c r="B96" s="19" t="s">
        <v>50</v>
      </c>
      <c r="C96" s="19" t="s">
        <v>250</v>
      </c>
      <c r="D96" s="19" t="s">
        <v>251</v>
      </c>
      <c r="E96" s="20" t="s">
        <v>12</v>
      </c>
      <c r="F96" s="19" t="s">
        <v>252</v>
      </c>
      <c r="G96" s="19" t="s">
        <v>253</v>
      </c>
      <c r="H96" s="19" t="s">
        <v>31</v>
      </c>
      <c r="I96">
        <v>281</v>
      </c>
      <c r="J96">
        <v>23</v>
      </c>
      <c r="K96" s="1" t="s">
        <v>65</v>
      </c>
    </row>
    <row r="97" spans="1:11">
      <c r="A97" s="17" t="s">
        <v>69</v>
      </c>
      <c r="B97" s="19" t="s">
        <v>50</v>
      </c>
      <c r="C97" s="19" t="s">
        <v>254</v>
      </c>
      <c r="D97" s="19" t="s">
        <v>255</v>
      </c>
      <c r="E97" s="20" t="s">
        <v>11</v>
      </c>
      <c r="F97" s="19" t="s">
        <v>57</v>
      </c>
      <c r="G97" s="19" t="s">
        <v>165</v>
      </c>
      <c r="H97" s="19" t="s">
        <v>31</v>
      </c>
      <c r="I97">
        <v>5150</v>
      </c>
      <c r="J97">
        <v>94</v>
      </c>
      <c r="K97" s="1" t="s">
        <v>66</v>
      </c>
    </row>
    <row r="98" spans="1:11">
      <c r="A98" s="17" t="s">
        <v>69</v>
      </c>
      <c r="B98" s="19" t="s">
        <v>50</v>
      </c>
      <c r="C98" s="19" t="s">
        <v>254</v>
      </c>
      <c r="D98" s="19" t="s">
        <v>255</v>
      </c>
      <c r="E98" s="20" t="s">
        <v>11</v>
      </c>
      <c r="F98" s="19" t="s">
        <v>57</v>
      </c>
      <c r="G98" s="19" t="s">
        <v>165</v>
      </c>
      <c r="H98" s="19" t="s">
        <v>31</v>
      </c>
      <c r="I98">
        <v>11914</v>
      </c>
      <c r="J98">
        <v>713</v>
      </c>
      <c r="K98" s="1" t="s">
        <v>65</v>
      </c>
    </row>
    <row r="99" spans="1:11">
      <c r="A99" s="17" t="s">
        <v>69</v>
      </c>
      <c r="B99" s="19" t="s">
        <v>50</v>
      </c>
      <c r="C99" s="19" t="s">
        <v>256</v>
      </c>
      <c r="D99" s="19" t="s">
        <v>257</v>
      </c>
      <c r="E99" s="20" t="s">
        <v>11</v>
      </c>
      <c r="F99" s="19" t="s">
        <v>57</v>
      </c>
      <c r="G99" s="19" t="s">
        <v>165</v>
      </c>
      <c r="H99" s="19" t="s">
        <v>31</v>
      </c>
      <c r="I99">
        <v>7912</v>
      </c>
      <c r="J99">
        <v>205</v>
      </c>
      <c r="K99" s="1" t="s">
        <v>66</v>
      </c>
    </row>
    <row r="100" spans="1:11">
      <c r="A100" s="17" t="s">
        <v>69</v>
      </c>
      <c r="B100" s="19" t="s">
        <v>50</v>
      </c>
      <c r="C100" s="19" t="s">
        <v>256</v>
      </c>
      <c r="D100" s="19" t="s">
        <v>257</v>
      </c>
      <c r="E100" s="20" t="s">
        <v>11</v>
      </c>
      <c r="F100" s="19" t="s">
        <v>57</v>
      </c>
      <c r="G100" s="19" t="s">
        <v>165</v>
      </c>
      <c r="H100" s="19" t="s">
        <v>31</v>
      </c>
      <c r="I100">
        <v>10128</v>
      </c>
      <c r="J100">
        <v>593</v>
      </c>
      <c r="K100" s="1" t="s">
        <v>65</v>
      </c>
    </row>
    <row r="101" spans="1:11">
      <c r="A101" s="17" t="s">
        <v>69</v>
      </c>
      <c r="B101" s="19" t="s">
        <v>50</v>
      </c>
      <c r="C101" s="19" t="s">
        <v>258</v>
      </c>
      <c r="D101" s="19" t="s">
        <v>259</v>
      </c>
      <c r="E101" s="20" t="s">
        <v>11</v>
      </c>
      <c r="F101" s="19" t="s">
        <v>57</v>
      </c>
      <c r="G101" s="19" t="s">
        <v>165</v>
      </c>
      <c r="H101" s="19" t="s">
        <v>31</v>
      </c>
      <c r="I101">
        <v>5023</v>
      </c>
      <c r="J101">
        <v>78</v>
      </c>
      <c r="K101" s="1" t="s">
        <v>66</v>
      </c>
    </row>
    <row r="102" spans="1:11">
      <c r="A102" s="17" t="s">
        <v>69</v>
      </c>
      <c r="B102" s="19" t="s">
        <v>50</v>
      </c>
      <c r="C102" s="19" t="s">
        <v>258</v>
      </c>
      <c r="D102" s="19" t="s">
        <v>259</v>
      </c>
      <c r="E102" s="20" t="s">
        <v>11</v>
      </c>
      <c r="F102" s="19" t="s">
        <v>57</v>
      </c>
      <c r="G102" s="19" t="s">
        <v>165</v>
      </c>
      <c r="H102" s="19" t="s">
        <v>31</v>
      </c>
      <c r="I102">
        <v>9880</v>
      </c>
      <c r="J102">
        <v>614</v>
      </c>
      <c r="K102" s="1" t="s">
        <v>65</v>
      </c>
    </row>
    <row r="103" spans="1:11">
      <c r="A103" s="17" t="s">
        <v>69</v>
      </c>
      <c r="B103" s="19" t="s">
        <v>50</v>
      </c>
      <c r="C103" s="19" t="s">
        <v>260</v>
      </c>
      <c r="D103" s="19" t="s">
        <v>261</v>
      </c>
      <c r="E103" s="20" t="s">
        <v>11</v>
      </c>
      <c r="F103" s="19" t="s">
        <v>57</v>
      </c>
      <c r="G103" s="19" t="s">
        <v>165</v>
      </c>
      <c r="H103" s="19" t="s">
        <v>31</v>
      </c>
      <c r="I103">
        <v>7460</v>
      </c>
      <c r="J103">
        <v>170</v>
      </c>
      <c r="K103" s="1" t="s">
        <v>66</v>
      </c>
    </row>
    <row r="104" spans="1:11">
      <c r="A104" s="17" t="s">
        <v>69</v>
      </c>
      <c r="B104" s="19" t="s">
        <v>50</v>
      </c>
      <c r="C104" s="19" t="s">
        <v>260</v>
      </c>
      <c r="D104" s="19" t="s">
        <v>261</v>
      </c>
      <c r="E104" s="20" t="s">
        <v>11</v>
      </c>
      <c r="F104" s="19" t="s">
        <v>57</v>
      </c>
      <c r="G104" s="19" t="s">
        <v>165</v>
      </c>
      <c r="H104" s="19" t="s">
        <v>31</v>
      </c>
      <c r="I104">
        <v>9138</v>
      </c>
      <c r="J104">
        <v>589</v>
      </c>
      <c r="K104" s="1" t="s">
        <v>65</v>
      </c>
    </row>
    <row r="105" spans="1:11">
      <c r="A105" s="17" t="s">
        <v>69</v>
      </c>
      <c r="B105" s="19" t="s">
        <v>50</v>
      </c>
      <c r="C105" s="19" t="s">
        <v>262</v>
      </c>
      <c r="D105" s="19" t="s">
        <v>263</v>
      </c>
      <c r="E105" s="20" t="s">
        <v>11</v>
      </c>
      <c r="F105" s="19" t="s">
        <v>57</v>
      </c>
      <c r="G105" s="19" t="s">
        <v>165</v>
      </c>
      <c r="H105" s="19" t="s">
        <v>31</v>
      </c>
      <c r="I105">
        <v>98191</v>
      </c>
      <c r="J105">
        <v>4064</v>
      </c>
      <c r="K105" s="1" t="s">
        <v>66</v>
      </c>
    </row>
    <row r="106" spans="1:11">
      <c r="A106" s="17" t="s">
        <v>69</v>
      </c>
      <c r="B106" s="19" t="s">
        <v>50</v>
      </c>
      <c r="C106" s="19" t="s">
        <v>262</v>
      </c>
      <c r="D106" s="19" t="s">
        <v>263</v>
      </c>
      <c r="E106" s="20" t="s">
        <v>11</v>
      </c>
      <c r="F106" s="19" t="s">
        <v>57</v>
      </c>
      <c r="G106" s="19" t="s">
        <v>165</v>
      </c>
      <c r="H106" s="19" t="s">
        <v>31</v>
      </c>
      <c r="I106">
        <v>126754</v>
      </c>
      <c r="J106">
        <v>8252</v>
      </c>
      <c r="K106" s="1" t="s">
        <v>65</v>
      </c>
    </row>
    <row r="107" spans="1:11">
      <c r="A107" s="17" t="s">
        <v>69</v>
      </c>
      <c r="B107" s="19" t="s">
        <v>50</v>
      </c>
      <c r="C107" s="19" t="s">
        <v>264</v>
      </c>
      <c r="D107" s="19" t="s">
        <v>265</v>
      </c>
      <c r="E107" s="20" t="s">
        <v>11</v>
      </c>
      <c r="F107" s="19" t="s">
        <v>57</v>
      </c>
      <c r="G107" s="19" t="s">
        <v>165</v>
      </c>
      <c r="H107" s="19" t="s">
        <v>31</v>
      </c>
      <c r="I107">
        <v>5101</v>
      </c>
      <c r="J107">
        <v>39</v>
      </c>
      <c r="K107" s="1" t="s">
        <v>66</v>
      </c>
    </row>
    <row r="108" spans="1:11">
      <c r="A108" s="17" t="s">
        <v>69</v>
      </c>
      <c r="B108" s="19" t="s">
        <v>50</v>
      </c>
      <c r="C108" s="19" t="s">
        <v>264</v>
      </c>
      <c r="D108" s="19" t="s">
        <v>265</v>
      </c>
      <c r="E108" s="20" t="s">
        <v>11</v>
      </c>
      <c r="F108" s="19" t="s">
        <v>57</v>
      </c>
      <c r="G108" s="19" t="s">
        <v>165</v>
      </c>
      <c r="H108" s="19" t="s">
        <v>31</v>
      </c>
      <c r="I108">
        <v>1771</v>
      </c>
      <c r="J108">
        <v>15</v>
      </c>
      <c r="K108" s="1" t="s">
        <v>65</v>
      </c>
    </row>
    <row r="109" spans="1:11">
      <c r="A109" s="17" t="s">
        <v>69</v>
      </c>
      <c r="B109" s="19" t="s">
        <v>50</v>
      </c>
      <c r="C109" s="19" t="s">
        <v>266</v>
      </c>
      <c r="D109" s="19" t="s">
        <v>267</v>
      </c>
      <c r="E109" s="20" t="s">
        <v>11</v>
      </c>
      <c r="F109" s="19" t="s">
        <v>57</v>
      </c>
      <c r="G109" s="19" t="s">
        <v>165</v>
      </c>
      <c r="H109" s="19" t="s">
        <v>31</v>
      </c>
      <c r="I109">
        <v>5280</v>
      </c>
      <c r="J109">
        <v>51</v>
      </c>
      <c r="K109" s="1" t="s">
        <v>66</v>
      </c>
    </row>
    <row r="110" spans="1:11">
      <c r="A110" s="17" t="s">
        <v>69</v>
      </c>
      <c r="B110" s="19" t="s">
        <v>50</v>
      </c>
      <c r="C110" s="19" t="s">
        <v>266</v>
      </c>
      <c r="D110" s="19" t="s">
        <v>267</v>
      </c>
      <c r="E110" s="20" t="s">
        <v>11</v>
      </c>
      <c r="F110" s="19" t="s">
        <v>57</v>
      </c>
      <c r="G110" s="19" t="s">
        <v>165</v>
      </c>
      <c r="H110" s="19" t="s">
        <v>31</v>
      </c>
      <c r="I110">
        <v>1955</v>
      </c>
      <c r="J110">
        <v>19</v>
      </c>
      <c r="K110" s="1" t="s">
        <v>65</v>
      </c>
    </row>
    <row r="111" spans="1:11">
      <c r="A111" s="17" t="s">
        <v>69</v>
      </c>
      <c r="B111" s="19" t="s">
        <v>50</v>
      </c>
      <c r="C111" s="19" t="s">
        <v>268</v>
      </c>
      <c r="D111" s="19" t="s">
        <v>269</v>
      </c>
      <c r="E111" s="20" t="s">
        <v>11</v>
      </c>
      <c r="F111" s="19" t="s">
        <v>57</v>
      </c>
      <c r="G111" s="19" t="s">
        <v>165</v>
      </c>
      <c r="H111" s="19" t="s">
        <v>31</v>
      </c>
      <c r="I111">
        <v>5115</v>
      </c>
      <c r="J111">
        <v>43</v>
      </c>
      <c r="K111" s="1" t="s">
        <v>66</v>
      </c>
    </row>
    <row r="112" spans="1:11">
      <c r="A112" s="17" t="s">
        <v>69</v>
      </c>
      <c r="B112" s="19" t="s">
        <v>50</v>
      </c>
      <c r="C112" s="19" t="s">
        <v>268</v>
      </c>
      <c r="D112" s="19" t="s">
        <v>269</v>
      </c>
      <c r="E112" s="20" t="s">
        <v>11</v>
      </c>
      <c r="F112" s="19" t="s">
        <v>57</v>
      </c>
      <c r="G112" s="19" t="s">
        <v>165</v>
      </c>
      <c r="H112" s="19" t="s">
        <v>31</v>
      </c>
      <c r="I112">
        <v>1823</v>
      </c>
      <c r="J112">
        <v>14</v>
      </c>
      <c r="K112" s="1" t="s">
        <v>65</v>
      </c>
    </row>
    <row r="113" spans="1:11">
      <c r="A113" s="17" t="s">
        <v>69</v>
      </c>
      <c r="B113" s="19" t="s">
        <v>50</v>
      </c>
      <c r="C113" s="19" t="s">
        <v>270</v>
      </c>
      <c r="D113" s="19" t="s">
        <v>271</v>
      </c>
      <c r="E113" s="20" t="s">
        <v>11</v>
      </c>
      <c r="F113" s="19" t="s">
        <v>57</v>
      </c>
      <c r="G113" s="19" t="s">
        <v>165</v>
      </c>
      <c r="H113" s="19" t="s">
        <v>31</v>
      </c>
      <c r="I113">
        <v>5177</v>
      </c>
      <c r="J113">
        <v>47</v>
      </c>
      <c r="K113" s="1" t="s">
        <v>66</v>
      </c>
    </row>
    <row r="114" spans="1:11">
      <c r="A114" s="17" t="s">
        <v>69</v>
      </c>
      <c r="B114" s="19" t="s">
        <v>50</v>
      </c>
      <c r="C114" s="19" t="s">
        <v>270</v>
      </c>
      <c r="D114" s="19" t="s">
        <v>271</v>
      </c>
      <c r="E114" s="20" t="s">
        <v>11</v>
      </c>
      <c r="F114" s="19" t="s">
        <v>57</v>
      </c>
      <c r="G114" s="19" t="s">
        <v>165</v>
      </c>
      <c r="H114" s="19" t="s">
        <v>31</v>
      </c>
      <c r="I114">
        <v>2011</v>
      </c>
      <c r="J114">
        <v>20</v>
      </c>
      <c r="K114" s="1" t="s">
        <v>65</v>
      </c>
    </row>
    <row r="115" spans="1:11">
      <c r="A115" s="17" t="s">
        <v>69</v>
      </c>
      <c r="B115" s="19" t="s">
        <v>50</v>
      </c>
      <c r="C115" s="19" t="s">
        <v>272</v>
      </c>
      <c r="D115" s="19" t="s">
        <v>273</v>
      </c>
      <c r="E115" s="20" t="s">
        <v>11</v>
      </c>
      <c r="F115" s="19" t="s">
        <v>57</v>
      </c>
      <c r="G115" s="19" t="s">
        <v>165</v>
      </c>
      <c r="H115" s="19" t="s">
        <v>31</v>
      </c>
      <c r="I115">
        <v>5379</v>
      </c>
      <c r="J115">
        <v>44</v>
      </c>
      <c r="K115" s="1" t="s">
        <v>66</v>
      </c>
    </row>
    <row r="116" spans="1:11">
      <c r="A116" s="17" t="s">
        <v>69</v>
      </c>
      <c r="B116" s="19" t="s">
        <v>50</v>
      </c>
      <c r="C116" s="19" t="s">
        <v>272</v>
      </c>
      <c r="D116" s="19" t="s">
        <v>273</v>
      </c>
      <c r="E116" s="20" t="s">
        <v>11</v>
      </c>
      <c r="F116" s="19" t="s">
        <v>57</v>
      </c>
      <c r="G116" s="19" t="s">
        <v>165</v>
      </c>
      <c r="H116" s="19" t="s">
        <v>31</v>
      </c>
      <c r="I116">
        <v>1883</v>
      </c>
      <c r="J116">
        <v>17</v>
      </c>
      <c r="K116" s="1" t="s">
        <v>65</v>
      </c>
    </row>
    <row r="117" spans="1:11">
      <c r="A117" s="17" t="s">
        <v>69</v>
      </c>
      <c r="B117" s="19" t="s">
        <v>50</v>
      </c>
      <c r="C117" s="19" t="s">
        <v>274</v>
      </c>
      <c r="D117" s="19" t="s">
        <v>275</v>
      </c>
      <c r="E117" s="20" t="s">
        <v>11</v>
      </c>
      <c r="F117" s="19" t="s">
        <v>57</v>
      </c>
      <c r="G117" s="19" t="s">
        <v>165</v>
      </c>
      <c r="H117" s="19" t="s">
        <v>31</v>
      </c>
      <c r="I117">
        <v>5267</v>
      </c>
      <c r="J117">
        <v>30</v>
      </c>
      <c r="K117" s="1" t="s">
        <v>66</v>
      </c>
    </row>
    <row r="118" spans="1:11">
      <c r="A118" s="17" t="s">
        <v>69</v>
      </c>
      <c r="B118" s="19" t="s">
        <v>50</v>
      </c>
      <c r="C118" s="19" t="s">
        <v>274</v>
      </c>
      <c r="D118" s="19" t="s">
        <v>275</v>
      </c>
      <c r="E118" s="20" t="s">
        <v>11</v>
      </c>
      <c r="F118" s="19" t="s">
        <v>57</v>
      </c>
      <c r="G118" s="19" t="s">
        <v>165</v>
      </c>
      <c r="H118" s="19" t="s">
        <v>31</v>
      </c>
      <c r="I118">
        <v>1742</v>
      </c>
      <c r="J118">
        <v>12</v>
      </c>
      <c r="K118" s="1" t="s">
        <v>65</v>
      </c>
    </row>
    <row r="119" spans="1:11">
      <c r="A119" s="17" t="s">
        <v>69</v>
      </c>
      <c r="B119" s="19" t="s">
        <v>50</v>
      </c>
      <c r="C119" s="19" t="s">
        <v>276</v>
      </c>
      <c r="D119" s="19" t="s">
        <v>277</v>
      </c>
      <c r="E119" s="20" t="s">
        <v>11</v>
      </c>
      <c r="F119" s="19" t="s">
        <v>57</v>
      </c>
      <c r="G119" s="19" t="s">
        <v>165</v>
      </c>
      <c r="H119" s="19" t="s">
        <v>31</v>
      </c>
      <c r="I119">
        <v>5028</v>
      </c>
      <c r="J119">
        <v>52</v>
      </c>
      <c r="K119" s="1" t="s">
        <v>66</v>
      </c>
    </row>
    <row r="120" spans="1:11">
      <c r="A120" s="17" t="s">
        <v>69</v>
      </c>
      <c r="B120" s="19" t="s">
        <v>50</v>
      </c>
      <c r="C120" s="19" t="s">
        <v>276</v>
      </c>
      <c r="D120" s="19" t="s">
        <v>277</v>
      </c>
      <c r="E120" s="20" t="s">
        <v>11</v>
      </c>
      <c r="F120" s="19" t="s">
        <v>57</v>
      </c>
      <c r="G120" s="19" t="s">
        <v>165</v>
      </c>
      <c r="H120" s="19" t="s">
        <v>31</v>
      </c>
      <c r="I120">
        <v>2162</v>
      </c>
      <c r="J120">
        <v>25</v>
      </c>
      <c r="K120" s="1" t="s">
        <v>65</v>
      </c>
    </row>
    <row r="121" spans="1:11">
      <c r="A121" s="17" t="s">
        <v>69</v>
      </c>
      <c r="B121" s="19" t="s">
        <v>50</v>
      </c>
      <c r="C121" s="19" t="s">
        <v>278</v>
      </c>
      <c r="D121" s="19" t="s">
        <v>279</v>
      </c>
      <c r="E121" s="20" t="s">
        <v>11</v>
      </c>
      <c r="F121" s="19" t="s">
        <v>57</v>
      </c>
      <c r="G121" s="19" t="s">
        <v>165</v>
      </c>
      <c r="H121" s="19" t="s">
        <v>31</v>
      </c>
      <c r="I121">
        <v>5342</v>
      </c>
      <c r="J121">
        <v>38</v>
      </c>
      <c r="K121" s="1" t="s">
        <v>66</v>
      </c>
    </row>
    <row r="122" spans="1:11">
      <c r="A122" s="17" t="s">
        <v>69</v>
      </c>
      <c r="B122" s="19" t="s">
        <v>50</v>
      </c>
      <c r="C122" s="19" t="s">
        <v>278</v>
      </c>
      <c r="D122" s="19" t="s">
        <v>279</v>
      </c>
      <c r="E122" s="20" t="s">
        <v>11</v>
      </c>
      <c r="F122" s="19" t="s">
        <v>57</v>
      </c>
      <c r="G122" s="19" t="s">
        <v>165</v>
      </c>
      <c r="H122" s="19" t="s">
        <v>31</v>
      </c>
      <c r="I122">
        <v>1891</v>
      </c>
      <c r="J122">
        <v>20</v>
      </c>
      <c r="K122" s="1" t="s">
        <v>65</v>
      </c>
    </row>
    <row r="123" spans="1:11">
      <c r="A123" s="17" t="s">
        <v>69</v>
      </c>
      <c r="B123" s="19" t="s">
        <v>50</v>
      </c>
      <c r="C123" s="19" t="s">
        <v>280</v>
      </c>
      <c r="D123" s="19" t="s">
        <v>281</v>
      </c>
      <c r="E123" s="20" t="s">
        <v>11</v>
      </c>
      <c r="F123" s="19" t="s">
        <v>57</v>
      </c>
      <c r="G123" s="19" t="s">
        <v>165</v>
      </c>
      <c r="H123" s="19" t="s">
        <v>31</v>
      </c>
      <c r="I123">
        <v>1354</v>
      </c>
      <c r="J123">
        <v>5</v>
      </c>
      <c r="K123" s="1" t="s">
        <v>65</v>
      </c>
    </row>
    <row r="124" spans="1:11">
      <c r="A124" s="17" t="s">
        <v>69</v>
      </c>
      <c r="B124" s="19" t="s">
        <v>50</v>
      </c>
      <c r="C124" s="19" t="s">
        <v>282</v>
      </c>
      <c r="D124" s="19" t="s">
        <v>283</v>
      </c>
      <c r="E124" s="20" t="s">
        <v>11</v>
      </c>
      <c r="F124" s="19" t="s">
        <v>57</v>
      </c>
      <c r="G124" s="19" t="s">
        <v>165</v>
      </c>
      <c r="H124" s="19" t="s">
        <v>31</v>
      </c>
      <c r="I124">
        <v>1428</v>
      </c>
      <c r="J124">
        <v>4</v>
      </c>
      <c r="K124" s="1" t="s">
        <v>65</v>
      </c>
    </row>
    <row r="125" spans="1:11">
      <c r="A125" s="17" t="s">
        <v>69</v>
      </c>
      <c r="B125" s="19" t="s">
        <v>50</v>
      </c>
      <c r="C125" s="19" t="s">
        <v>284</v>
      </c>
      <c r="D125" s="19" t="s">
        <v>285</v>
      </c>
      <c r="E125" s="20" t="s">
        <v>11</v>
      </c>
      <c r="F125" s="19" t="s">
        <v>57</v>
      </c>
      <c r="G125" s="19" t="s">
        <v>165</v>
      </c>
      <c r="H125" s="19" t="s">
        <v>31</v>
      </c>
      <c r="I125">
        <v>1349</v>
      </c>
      <c r="J125">
        <v>2</v>
      </c>
      <c r="K125" s="1" t="s">
        <v>65</v>
      </c>
    </row>
    <row r="126" spans="1:11">
      <c r="A126" s="17" t="s">
        <v>69</v>
      </c>
      <c r="B126" s="19" t="s">
        <v>50</v>
      </c>
      <c r="C126" s="19" t="s">
        <v>286</v>
      </c>
      <c r="D126" s="19" t="s">
        <v>287</v>
      </c>
      <c r="E126" s="20" t="s">
        <v>11</v>
      </c>
      <c r="F126" s="19" t="s">
        <v>57</v>
      </c>
      <c r="G126" s="19" t="s">
        <v>165</v>
      </c>
      <c r="H126" s="19" t="s">
        <v>31</v>
      </c>
      <c r="I126">
        <v>1903</v>
      </c>
      <c r="J126">
        <v>8</v>
      </c>
      <c r="K126" s="1" t="s">
        <v>65</v>
      </c>
    </row>
    <row r="127" spans="1:11">
      <c r="A127" s="17" t="s">
        <v>69</v>
      </c>
      <c r="B127" s="19" t="s">
        <v>50</v>
      </c>
      <c r="C127" s="19" t="s">
        <v>288</v>
      </c>
      <c r="D127" s="19" t="s">
        <v>289</v>
      </c>
      <c r="E127" s="20" t="s">
        <v>11</v>
      </c>
      <c r="F127" s="19" t="s">
        <v>57</v>
      </c>
      <c r="G127" s="19" t="s">
        <v>165</v>
      </c>
      <c r="H127" s="19" t="s">
        <v>31</v>
      </c>
      <c r="I127">
        <v>1299</v>
      </c>
      <c r="J127">
        <v>5</v>
      </c>
      <c r="K127" s="1" t="s">
        <v>65</v>
      </c>
    </row>
    <row r="128" spans="1:11">
      <c r="A128" s="17" t="s">
        <v>69</v>
      </c>
      <c r="B128" s="19" t="s">
        <v>50</v>
      </c>
      <c r="C128" s="19" t="s">
        <v>290</v>
      </c>
      <c r="D128" s="19" t="s">
        <v>291</v>
      </c>
      <c r="E128" s="20" t="s">
        <v>11</v>
      </c>
      <c r="F128" s="19" t="s">
        <v>57</v>
      </c>
      <c r="G128" s="19" t="s">
        <v>165</v>
      </c>
      <c r="H128" s="19" t="s">
        <v>31</v>
      </c>
      <c r="I128">
        <v>1400</v>
      </c>
      <c r="J128">
        <v>5</v>
      </c>
      <c r="K128" s="1" t="s">
        <v>65</v>
      </c>
    </row>
    <row r="129" spans="1:11">
      <c r="A129" s="17" t="s">
        <v>69</v>
      </c>
      <c r="B129" s="19" t="s">
        <v>50</v>
      </c>
      <c r="C129" s="19" t="s">
        <v>292</v>
      </c>
      <c r="D129" s="19" t="s">
        <v>293</v>
      </c>
      <c r="E129" s="20" t="s">
        <v>11</v>
      </c>
      <c r="F129" s="19" t="s">
        <v>57</v>
      </c>
      <c r="G129" s="19" t="s">
        <v>165</v>
      </c>
      <c r="H129" s="19" t="s">
        <v>31</v>
      </c>
      <c r="I129">
        <v>1362</v>
      </c>
      <c r="J129">
        <v>6</v>
      </c>
      <c r="K129" s="1" t="s">
        <v>65</v>
      </c>
    </row>
    <row r="130" spans="1:11">
      <c r="A130" s="17" t="s">
        <v>69</v>
      </c>
      <c r="B130" s="19" t="s">
        <v>50</v>
      </c>
      <c r="C130" s="19" t="s">
        <v>294</v>
      </c>
      <c r="D130" s="19" t="s">
        <v>295</v>
      </c>
      <c r="E130" s="20" t="s">
        <v>11</v>
      </c>
      <c r="F130" s="19" t="s">
        <v>57</v>
      </c>
      <c r="G130" s="19" t="s">
        <v>165</v>
      </c>
      <c r="H130" s="19" t="s">
        <v>31</v>
      </c>
      <c r="I130">
        <v>1328</v>
      </c>
      <c r="J130">
        <v>4</v>
      </c>
      <c r="K130" s="1" t="s">
        <v>65</v>
      </c>
    </row>
    <row r="131" spans="1:11">
      <c r="A131" s="17" t="s">
        <v>69</v>
      </c>
      <c r="B131" s="19" t="s">
        <v>50</v>
      </c>
      <c r="C131" s="19" t="s">
        <v>296</v>
      </c>
      <c r="D131" s="19" t="s">
        <v>297</v>
      </c>
      <c r="E131" s="20" t="s">
        <v>11</v>
      </c>
      <c r="F131" s="19" t="s">
        <v>57</v>
      </c>
      <c r="G131" s="19" t="s">
        <v>165</v>
      </c>
      <c r="H131" s="19" t="s">
        <v>31</v>
      </c>
      <c r="I131">
        <v>1447</v>
      </c>
      <c r="J131">
        <v>1</v>
      </c>
      <c r="K131" s="1" t="s">
        <v>65</v>
      </c>
    </row>
    <row r="132" spans="1:11">
      <c r="A132" s="17" t="s">
        <v>69</v>
      </c>
      <c r="B132" s="19" t="s">
        <v>50</v>
      </c>
      <c r="C132" s="19" t="s">
        <v>298</v>
      </c>
      <c r="D132" s="19" t="s">
        <v>299</v>
      </c>
      <c r="E132" s="20" t="s">
        <v>11</v>
      </c>
      <c r="F132" s="19" t="s">
        <v>57</v>
      </c>
      <c r="G132" s="19" t="s">
        <v>165</v>
      </c>
      <c r="H132" s="19" t="s">
        <v>31</v>
      </c>
      <c r="I132">
        <v>16284</v>
      </c>
      <c r="J132">
        <v>440</v>
      </c>
      <c r="K132" s="1" t="s">
        <v>66</v>
      </c>
    </row>
    <row r="133" spans="1:11">
      <c r="A133" s="17" t="s">
        <v>69</v>
      </c>
      <c r="B133" s="19" t="s">
        <v>50</v>
      </c>
      <c r="C133" s="19" t="s">
        <v>298</v>
      </c>
      <c r="D133" s="19" t="s">
        <v>299</v>
      </c>
      <c r="E133" s="20" t="s">
        <v>11</v>
      </c>
      <c r="F133" s="19" t="s">
        <v>57</v>
      </c>
      <c r="G133" s="19" t="s">
        <v>165</v>
      </c>
      <c r="H133" s="19" t="s">
        <v>31</v>
      </c>
      <c r="I133">
        <v>3952</v>
      </c>
      <c r="J133">
        <v>293</v>
      </c>
      <c r="K133" s="1" t="s">
        <v>65</v>
      </c>
    </row>
    <row r="134" spans="1:11">
      <c r="A134" s="17" t="s">
        <v>69</v>
      </c>
      <c r="B134" s="19" t="s">
        <v>50</v>
      </c>
      <c r="C134" s="19" t="s">
        <v>300</v>
      </c>
      <c r="D134" s="19" t="s">
        <v>301</v>
      </c>
      <c r="E134" s="20" t="s">
        <v>11</v>
      </c>
      <c r="F134" s="19" t="s">
        <v>57</v>
      </c>
      <c r="G134" s="19" t="s">
        <v>165</v>
      </c>
      <c r="H134" s="19" t="s">
        <v>31</v>
      </c>
      <c r="I134">
        <v>15855</v>
      </c>
      <c r="J134">
        <v>410</v>
      </c>
      <c r="K134" s="1" t="s">
        <v>66</v>
      </c>
    </row>
    <row r="135" spans="1:11">
      <c r="A135" s="17" t="s">
        <v>69</v>
      </c>
      <c r="B135" s="19" t="s">
        <v>50</v>
      </c>
      <c r="C135" s="19" t="s">
        <v>300</v>
      </c>
      <c r="D135" s="19" t="s">
        <v>301</v>
      </c>
      <c r="E135" s="20" t="s">
        <v>11</v>
      </c>
      <c r="F135" s="19" t="s">
        <v>57</v>
      </c>
      <c r="G135" s="19" t="s">
        <v>165</v>
      </c>
      <c r="H135" s="19" t="s">
        <v>31</v>
      </c>
      <c r="I135">
        <v>4868</v>
      </c>
      <c r="J135">
        <v>411</v>
      </c>
      <c r="K135" s="1" t="s">
        <v>65</v>
      </c>
    </row>
    <row r="136" spans="1:11">
      <c r="A136" s="17" t="s">
        <v>69</v>
      </c>
      <c r="B136" s="19" t="s">
        <v>50</v>
      </c>
      <c r="C136" s="19" t="s">
        <v>302</v>
      </c>
      <c r="D136" s="19" t="s">
        <v>303</v>
      </c>
      <c r="E136" s="20" t="s">
        <v>11</v>
      </c>
      <c r="F136" s="19" t="s">
        <v>57</v>
      </c>
      <c r="G136" s="19" t="s">
        <v>165</v>
      </c>
      <c r="H136" s="19" t="s">
        <v>31</v>
      </c>
      <c r="I136">
        <v>15466</v>
      </c>
      <c r="J136">
        <v>426</v>
      </c>
      <c r="K136" s="1" t="s">
        <v>66</v>
      </c>
    </row>
    <row r="137" spans="1:11">
      <c r="A137" s="17" t="s">
        <v>69</v>
      </c>
      <c r="B137" s="19" t="s">
        <v>50</v>
      </c>
      <c r="C137" s="19" t="s">
        <v>302</v>
      </c>
      <c r="D137" s="19" t="s">
        <v>303</v>
      </c>
      <c r="E137" s="20" t="s">
        <v>11</v>
      </c>
      <c r="F137" s="19" t="s">
        <v>57</v>
      </c>
      <c r="G137" s="19" t="s">
        <v>165</v>
      </c>
      <c r="H137" s="19" t="s">
        <v>31</v>
      </c>
      <c r="I137">
        <v>29950</v>
      </c>
      <c r="J137">
        <v>2326</v>
      </c>
      <c r="K137" s="1" t="s">
        <v>65</v>
      </c>
    </row>
    <row r="138" spans="1:11">
      <c r="A138" s="17" t="s">
        <v>69</v>
      </c>
      <c r="B138" s="19" t="s">
        <v>50</v>
      </c>
      <c r="C138" s="19" t="s">
        <v>304</v>
      </c>
      <c r="D138" s="19" t="s">
        <v>305</v>
      </c>
      <c r="E138" s="20" t="s">
        <v>11</v>
      </c>
      <c r="F138" s="19" t="s">
        <v>57</v>
      </c>
      <c r="G138" s="19" t="s">
        <v>165</v>
      </c>
      <c r="H138" s="19" t="s">
        <v>31</v>
      </c>
      <c r="I138">
        <v>15742</v>
      </c>
      <c r="J138">
        <v>417</v>
      </c>
      <c r="K138" s="1" t="s">
        <v>66</v>
      </c>
    </row>
    <row r="139" spans="1:11">
      <c r="A139" s="17" t="s">
        <v>69</v>
      </c>
      <c r="B139" s="19" t="s">
        <v>50</v>
      </c>
      <c r="C139" s="19" t="s">
        <v>304</v>
      </c>
      <c r="D139" s="19" t="s">
        <v>305</v>
      </c>
      <c r="E139" s="20" t="s">
        <v>11</v>
      </c>
      <c r="F139" s="19" t="s">
        <v>57</v>
      </c>
      <c r="G139" s="19" t="s">
        <v>165</v>
      </c>
      <c r="H139" s="19" t="s">
        <v>31</v>
      </c>
      <c r="I139">
        <v>9751</v>
      </c>
      <c r="J139">
        <v>674</v>
      </c>
      <c r="K139" s="1" t="s">
        <v>65</v>
      </c>
    </row>
    <row r="140" spans="1:11">
      <c r="A140" s="17" t="s">
        <v>69</v>
      </c>
      <c r="B140" s="19" t="s">
        <v>50</v>
      </c>
      <c r="C140" s="19" t="s">
        <v>306</v>
      </c>
      <c r="D140" s="19" t="s">
        <v>307</v>
      </c>
      <c r="E140" s="20" t="s">
        <v>11</v>
      </c>
      <c r="F140" s="19" t="s">
        <v>57</v>
      </c>
      <c r="G140" s="19" t="s">
        <v>165</v>
      </c>
      <c r="H140" s="19" t="s">
        <v>31</v>
      </c>
      <c r="I140">
        <v>5352</v>
      </c>
      <c r="J140">
        <v>115</v>
      </c>
      <c r="K140" s="1" t="s">
        <v>66</v>
      </c>
    </row>
    <row r="141" spans="1:11">
      <c r="A141" s="17" t="s">
        <v>69</v>
      </c>
      <c r="B141" s="19" t="s">
        <v>50</v>
      </c>
      <c r="C141" s="19" t="s">
        <v>306</v>
      </c>
      <c r="D141" s="19" t="s">
        <v>307</v>
      </c>
      <c r="E141" s="20" t="s">
        <v>11</v>
      </c>
      <c r="F141" s="19" t="s">
        <v>57</v>
      </c>
      <c r="G141" s="19" t="s">
        <v>165</v>
      </c>
      <c r="H141" s="19" t="s">
        <v>31</v>
      </c>
      <c r="I141">
        <v>11785</v>
      </c>
      <c r="J141">
        <v>738</v>
      </c>
      <c r="K141" s="1" t="s">
        <v>65</v>
      </c>
    </row>
    <row r="142" spans="1:11">
      <c r="A142" s="17" t="s">
        <v>69</v>
      </c>
      <c r="B142" s="19" t="s">
        <v>50</v>
      </c>
      <c r="C142" s="19" t="s">
        <v>308</v>
      </c>
      <c r="D142" s="19" t="s">
        <v>309</v>
      </c>
      <c r="E142" s="20" t="s">
        <v>11</v>
      </c>
      <c r="F142" s="19" t="s">
        <v>57</v>
      </c>
      <c r="G142" s="19" t="s">
        <v>165</v>
      </c>
      <c r="H142" s="19" t="s">
        <v>31</v>
      </c>
      <c r="I142">
        <v>7397</v>
      </c>
      <c r="J142">
        <v>174</v>
      </c>
      <c r="K142" s="1" t="s">
        <v>66</v>
      </c>
    </row>
    <row r="143" spans="1:11">
      <c r="A143" s="17" t="s">
        <v>69</v>
      </c>
      <c r="B143" s="19" t="s">
        <v>50</v>
      </c>
      <c r="C143" s="19" t="s">
        <v>308</v>
      </c>
      <c r="D143" s="19" t="s">
        <v>309</v>
      </c>
      <c r="E143" s="20" t="s">
        <v>11</v>
      </c>
      <c r="F143" s="19" t="s">
        <v>57</v>
      </c>
      <c r="G143" s="19" t="s">
        <v>165</v>
      </c>
      <c r="H143" s="19" t="s">
        <v>31</v>
      </c>
      <c r="I143">
        <v>13059</v>
      </c>
      <c r="J143">
        <v>843</v>
      </c>
      <c r="K143" s="1" t="s">
        <v>65</v>
      </c>
    </row>
    <row r="144" spans="1:11">
      <c r="A144" s="17" t="s">
        <v>69</v>
      </c>
      <c r="B144" s="19" t="s">
        <v>50</v>
      </c>
      <c r="C144" s="19" t="s">
        <v>310</v>
      </c>
      <c r="D144" s="19" t="s">
        <v>311</v>
      </c>
      <c r="E144" s="20" t="s">
        <v>11</v>
      </c>
      <c r="F144" s="19" t="s">
        <v>57</v>
      </c>
      <c r="G144" s="19" t="s">
        <v>165</v>
      </c>
      <c r="H144" s="19" t="s">
        <v>31</v>
      </c>
      <c r="I144">
        <v>4733</v>
      </c>
      <c r="J144">
        <v>66</v>
      </c>
      <c r="K144" s="1" t="s">
        <v>66</v>
      </c>
    </row>
    <row r="145" spans="1:11">
      <c r="A145" s="17" t="s">
        <v>69</v>
      </c>
      <c r="B145" s="19" t="s">
        <v>50</v>
      </c>
      <c r="C145" s="19" t="s">
        <v>310</v>
      </c>
      <c r="D145" s="19" t="s">
        <v>311</v>
      </c>
      <c r="E145" s="20" t="s">
        <v>11</v>
      </c>
      <c r="F145" s="19" t="s">
        <v>57</v>
      </c>
      <c r="G145" s="19" t="s">
        <v>165</v>
      </c>
      <c r="H145" s="19" t="s">
        <v>31</v>
      </c>
      <c r="I145">
        <v>25836</v>
      </c>
      <c r="J145">
        <v>1557</v>
      </c>
      <c r="K145" s="1" t="s">
        <v>65</v>
      </c>
    </row>
    <row r="146" spans="1:11">
      <c r="A146" s="17" t="s">
        <v>69</v>
      </c>
      <c r="B146" s="19" t="s">
        <v>50</v>
      </c>
      <c r="C146" s="19" t="s">
        <v>312</v>
      </c>
      <c r="D146" s="19" t="s">
        <v>313</v>
      </c>
      <c r="E146" s="20" t="s">
        <v>11</v>
      </c>
      <c r="F146" s="19" t="s">
        <v>57</v>
      </c>
      <c r="G146" s="19" t="s">
        <v>165</v>
      </c>
      <c r="H146" s="19" t="s">
        <v>31</v>
      </c>
      <c r="I146">
        <v>14085</v>
      </c>
      <c r="J146">
        <v>469</v>
      </c>
      <c r="K146" s="1" t="s">
        <v>66</v>
      </c>
    </row>
    <row r="147" spans="1:11">
      <c r="A147" s="17" t="s">
        <v>69</v>
      </c>
      <c r="B147" s="19" t="s">
        <v>50</v>
      </c>
      <c r="C147" s="19" t="s">
        <v>312</v>
      </c>
      <c r="D147" s="19" t="s">
        <v>313</v>
      </c>
      <c r="E147" s="20" t="s">
        <v>11</v>
      </c>
      <c r="F147" s="19" t="s">
        <v>57</v>
      </c>
      <c r="G147" s="19" t="s">
        <v>165</v>
      </c>
      <c r="H147" s="19" t="s">
        <v>31</v>
      </c>
      <c r="I147">
        <v>10254</v>
      </c>
      <c r="J147">
        <v>618</v>
      </c>
      <c r="K147" s="1" t="s">
        <v>65</v>
      </c>
    </row>
    <row r="148" spans="1:11">
      <c r="A148" s="17" t="s">
        <v>69</v>
      </c>
      <c r="B148" s="19" t="s">
        <v>50</v>
      </c>
      <c r="C148" s="19" t="s">
        <v>314</v>
      </c>
      <c r="D148" s="19" t="s">
        <v>315</v>
      </c>
      <c r="E148" s="20" t="s">
        <v>11</v>
      </c>
      <c r="F148" s="19" t="s">
        <v>57</v>
      </c>
      <c r="G148" s="19" t="s">
        <v>165</v>
      </c>
      <c r="H148" s="19" t="s">
        <v>31</v>
      </c>
      <c r="I148">
        <v>2377</v>
      </c>
      <c r="J148">
        <v>18</v>
      </c>
      <c r="K148" s="1" t="s">
        <v>66</v>
      </c>
    </row>
    <row r="149" spans="1:11">
      <c r="A149" s="17" t="s">
        <v>69</v>
      </c>
      <c r="B149" s="19" t="s">
        <v>50</v>
      </c>
      <c r="C149" s="19" t="s">
        <v>314</v>
      </c>
      <c r="D149" s="19" t="s">
        <v>315</v>
      </c>
      <c r="E149" s="20" t="s">
        <v>11</v>
      </c>
      <c r="F149" s="19" t="s">
        <v>57</v>
      </c>
      <c r="G149" s="19" t="s">
        <v>165</v>
      </c>
      <c r="H149" s="19" t="s">
        <v>31</v>
      </c>
      <c r="I149">
        <v>1176</v>
      </c>
      <c r="J149">
        <v>6</v>
      </c>
      <c r="K149" s="1" t="s">
        <v>65</v>
      </c>
    </row>
    <row r="150" spans="1:11">
      <c r="A150" s="17" t="s">
        <v>69</v>
      </c>
      <c r="B150" s="19" t="s">
        <v>50</v>
      </c>
      <c r="C150" s="19" t="s">
        <v>316</v>
      </c>
      <c r="D150" s="19" t="s">
        <v>317</v>
      </c>
      <c r="E150" s="20" t="s">
        <v>11</v>
      </c>
      <c r="F150" s="19" t="s">
        <v>57</v>
      </c>
      <c r="G150" s="19" t="s">
        <v>165</v>
      </c>
      <c r="H150" s="19" t="s">
        <v>31</v>
      </c>
      <c r="I150">
        <v>996</v>
      </c>
      <c r="J150">
        <v>6</v>
      </c>
      <c r="K150" s="1" t="s">
        <v>66</v>
      </c>
    </row>
    <row r="151" spans="1:11">
      <c r="A151" s="17" t="s">
        <v>69</v>
      </c>
      <c r="B151" s="19" t="s">
        <v>50</v>
      </c>
      <c r="C151" s="19" t="s">
        <v>316</v>
      </c>
      <c r="D151" s="19" t="s">
        <v>317</v>
      </c>
      <c r="E151" s="20" t="s">
        <v>11</v>
      </c>
      <c r="F151" s="19" t="s">
        <v>57</v>
      </c>
      <c r="G151" s="19" t="s">
        <v>165</v>
      </c>
      <c r="H151" s="19" t="s">
        <v>31</v>
      </c>
      <c r="I151">
        <v>549</v>
      </c>
      <c r="J151">
        <v>3</v>
      </c>
      <c r="K151" s="1" t="s">
        <v>65</v>
      </c>
    </row>
    <row r="152" spans="1:11">
      <c r="A152" s="17" t="s">
        <v>69</v>
      </c>
      <c r="B152" s="19" t="s">
        <v>50</v>
      </c>
      <c r="C152" s="19" t="s">
        <v>318</v>
      </c>
      <c r="D152" s="19" t="s">
        <v>319</v>
      </c>
      <c r="E152" s="20" t="s">
        <v>11</v>
      </c>
      <c r="F152" s="19" t="s">
        <v>57</v>
      </c>
      <c r="G152" s="19" t="s">
        <v>165</v>
      </c>
      <c r="H152" s="19" t="s">
        <v>31</v>
      </c>
      <c r="I152">
        <v>990</v>
      </c>
      <c r="J152">
        <v>4</v>
      </c>
      <c r="K152" s="1" t="s">
        <v>66</v>
      </c>
    </row>
    <row r="153" spans="1:11">
      <c r="A153" s="17" t="s">
        <v>69</v>
      </c>
      <c r="B153" s="19" t="s">
        <v>50</v>
      </c>
      <c r="C153" s="19" t="s">
        <v>318</v>
      </c>
      <c r="D153" s="19" t="s">
        <v>319</v>
      </c>
      <c r="E153" s="20" t="s">
        <v>11</v>
      </c>
      <c r="F153" s="19" t="s">
        <v>57</v>
      </c>
      <c r="G153" s="19" t="s">
        <v>165</v>
      </c>
      <c r="H153" s="19" t="s">
        <v>31</v>
      </c>
      <c r="I153">
        <v>629</v>
      </c>
      <c r="J153">
        <v>5</v>
      </c>
      <c r="K153" s="1" t="s">
        <v>65</v>
      </c>
    </row>
    <row r="154" spans="1:11">
      <c r="A154" s="17" t="s">
        <v>69</v>
      </c>
      <c r="B154" s="19" t="s">
        <v>50</v>
      </c>
      <c r="C154" s="19" t="s">
        <v>320</v>
      </c>
      <c r="D154" s="19" t="s">
        <v>321</v>
      </c>
      <c r="E154" s="20" t="s">
        <v>11</v>
      </c>
      <c r="F154" s="19" t="s">
        <v>57</v>
      </c>
      <c r="G154" s="19" t="s">
        <v>165</v>
      </c>
      <c r="H154" s="19" t="s">
        <v>31</v>
      </c>
      <c r="I154">
        <v>1655</v>
      </c>
      <c r="J154">
        <v>4</v>
      </c>
      <c r="K154" s="1" t="s">
        <v>66</v>
      </c>
    </row>
    <row r="155" spans="1:11">
      <c r="A155" s="17" t="s">
        <v>69</v>
      </c>
      <c r="B155" s="19" t="s">
        <v>50</v>
      </c>
      <c r="C155" s="19" t="s">
        <v>320</v>
      </c>
      <c r="D155" s="19" t="s">
        <v>321</v>
      </c>
      <c r="E155" s="20" t="s">
        <v>11</v>
      </c>
      <c r="F155" s="19" t="s">
        <v>57</v>
      </c>
      <c r="G155" s="19" t="s">
        <v>165</v>
      </c>
      <c r="H155" s="19" t="s">
        <v>31</v>
      </c>
      <c r="I155">
        <v>1140</v>
      </c>
      <c r="J155">
        <v>5</v>
      </c>
      <c r="K155" s="1" t="s">
        <v>65</v>
      </c>
    </row>
    <row r="156" spans="1:11">
      <c r="A156" s="17" t="s">
        <v>69</v>
      </c>
      <c r="B156" s="19" t="s">
        <v>50</v>
      </c>
      <c r="C156" s="19" t="s">
        <v>322</v>
      </c>
      <c r="D156" s="19" t="s">
        <v>323</v>
      </c>
      <c r="E156" s="20" t="s">
        <v>11</v>
      </c>
      <c r="F156" s="19" t="s">
        <v>57</v>
      </c>
      <c r="G156" s="19" t="s">
        <v>165</v>
      </c>
      <c r="H156" s="19" t="s">
        <v>31</v>
      </c>
      <c r="I156">
        <v>648</v>
      </c>
      <c r="J156">
        <v>3</v>
      </c>
      <c r="K156" s="1" t="s">
        <v>65</v>
      </c>
    </row>
    <row r="157" spans="1:11">
      <c r="A157" s="17" t="s">
        <v>69</v>
      </c>
      <c r="B157" s="19" t="s">
        <v>50</v>
      </c>
      <c r="C157" s="19" t="s">
        <v>324</v>
      </c>
      <c r="D157" s="19" t="s">
        <v>325</v>
      </c>
      <c r="E157" s="20" t="s">
        <v>11</v>
      </c>
      <c r="F157" s="19" t="s">
        <v>57</v>
      </c>
      <c r="G157" s="19" t="s">
        <v>165</v>
      </c>
      <c r="H157" s="19" t="s">
        <v>31</v>
      </c>
      <c r="I157">
        <v>3874</v>
      </c>
      <c r="J157">
        <v>18</v>
      </c>
      <c r="K157" s="1" t="s">
        <v>66</v>
      </c>
    </row>
    <row r="158" spans="1:11">
      <c r="A158" s="17" t="s">
        <v>69</v>
      </c>
      <c r="B158" s="19" t="s">
        <v>50</v>
      </c>
      <c r="C158" s="19" t="s">
        <v>324</v>
      </c>
      <c r="D158" s="19" t="s">
        <v>325</v>
      </c>
      <c r="E158" s="20" t="s">
        <v>11</v>
      </c>
      <c r="F158" s="19" t="s">
        <v>57</v>
      </c>
      <c r="G158" s="19" t="s">
        <v>165</v>
      </c>
      <c r="H158" s="19" t="s">
        <v>31</v>
      </c>
      <c r="I158">
        <v>1884</v>
      </c>
      <c r="J158">
        <v>3</v>
      </c>
      <c r="K158" s="1" t="s">
        <v>65</v>
      </c>
    </row>
    <row r="159" spans="1:11">
      <c r="A159" s="17" t="s">
        <v>69</v>
      </c>
      <c r="B159" s="19" t="s">
        <v>50</v>
      </c>
      <c r="C159" s="19" t="s">
        <v>326</v>
      </c>
      <c r="D159" s="19" t="s">
        <v>327</v>
      </c>
      <c r="E159" s="20" t="s">
        <v>11</v>
      </c>
      <c r="F159" s="19" t="s">
        <v>57</v>
      </c>
      <c r="G159" s="19" t="s">
        <v>165</v>
      </c>
      <c r="H159" s="19" t="s">
        <v>31</v>
      </c>
      <c r="I159">
        <v>575</v>
      </c>
      <c r="J159">
        <v>0</v>
      </c>
      <c r="K159" s="1" t="s">
        <v>66</v>
      </c>
    </row>
    <row r="160" spans="1:11">
      <c r="A160" s="17" t="s">
        <v>69</v>
      </c>
      <c r="B160" s="19" t="s">
        <v>50</v>
      </c>
      <c r="C160" s="19" t="s">
        <v>326</v>
      </c>
      <c r="D160" s="19" t="s">
        <v>327</v>
      </c>
      <c r="E160" s="20" t="s">
        <v>11</v>
      </c>
      <c r="F160" s="19" t="s">
        <v>57</v>
      </c>
      <c r="G160" s="19" t="s">
        <v>165</v>
      </c>
      <c r="H160" s="19" t="s">
        <v>31</v>
      </c>
      <c r="I160">
        <v>18</v>
      </c>
      <c r="J160">
        <v>0</v>
      </c>
      <c r="K160" s="1" t="s">
        <v>65</v>
      </c>
    </row>
    <row r="161" spans="1:11">
      <c r="A161" s="17" t="s">
        <v>69</v>
      </c>
      <c r="B161" s="19" t="s">
        <v>50</v>
      </c>
      <c r="C161" s="19" t="s">
        <v>328</v>
      </c>
      <c r="D161" s="19" t="s">
        <v>329</v>
      </c>
      <c r="E161" s="20" t="s">
        <v>11</v>
      </c>
      <c r="F161" s="19" t="s">
        <v>57</v>
      </c>
      <c r="G161" s="19" t="s">
        <v>165</v>
      </c>
      <c r="H161" s="19" t="s">
        <v>31</v>
      </c>
      <c r="I161">
        <v>1499</v>
      </c>
      <c r="J161">
        <v>2</v>
      </c>
      <c r="K161" s="1" t="s">
        <v>66</v>
      </c>
    </row>
    <row r="162" spans="1:11">
      <c r="A162" s="17" t="s">
        <v>69</v>
      </c>
      <c r="B162" s="19" t="s">
        <v>50</v>
      </c>
      <c r="C162" s="19" t="s">
        <v>328</v>
      </c>
      <c r="D162" s="19" t="s">
        <v>329</v>
      </c>
      <c r="E162" s="20" t="s">
        <v>11</v>
      </c>
      <c r="F162" s="19" t="s">
        <v>57</v>
      </c>
      <c r="G162" s="19" t="s">
        <v>165</v>
      </c>
      <c r="H162" s="19" t="s">
        <v>31</v>
      </c>
      <c r="I162">
        <v>1555</v>
      </c>
      <c r="J162">
        <v>0</v>
      </c>
      <c r="K162" s="1" t="s">
        <v>65</v>
      </c>
    </row>
    <row r="163" spans="1:11">
      <c r="A163" s="17" t="s">
        <v>69</v>
      </c>
      <c r="B163" s="19" t="s">
        <v>50</v>
      </c>
      <c r="C163" s="19" t="s">
        <v>330</v>
      </c>
      <c r="D163" s="19" t="s">
        <v>331</v>
      </c>
      <c r="E163" s="20" t="s">
        <v>11</v>
      </c>
      <c r="F163" s="19" t="s">
        <v>57</v>
      </c>
      <c r="G163" s="19" t="s">
        <v>165</v>
      </c>
      <c r="H163" s="19" t="s">
        <v>31</v>
      </c>
      <c r="I163">
        <v>2962</v>
      </c>
      <c r="J163">
        <v>15</v>
      </c>
      <c r="K163" s="1" t="s">
        <v>66</v>
      </c>
    </row>
    <row r="164" spans="1:11">
      <c r="A164" s="17" t="s">
        <v>69</v>
      </c>
      <c r="B164" s="19" t="s">
        <v>50</v>
      </c>
      <c r="C164" s="19" t="s">
        <v>330</v>
      </c>
      <c r="D164" s="19" t="s">
        <v>331</v>
      </c>
      <c r="E164" s="20" t="s">
        <v>11</v>
      </c>
      <c r="F164" s="19" t="s">
        <v>57</v>
      </c>
      <c r="G164" s="19" t="s">
        <v>165</v>
      </c>
      <c r="H164" s="19" t="s">
        <v>31</v>
      </c>
      <c r="I164">
        <v>2357</v>
      </c>
      <c r="J164">
        <v>6</v>
      </c>
      <c r="K164" s="1" t="s">
        <v>65</v>
      </c>
    </row>
    <row r="165" spans="1:11">
      <c r="A165" s="17" t="s">
        <v>69</v>
      </c>
      <c r="B165" s="19" t="s">
        <v>50</v>
      </c>
      <c r="C165" s="19" t="s">
        <v>332</v>
      </c>
      <c r="D165" s="19" t="s">
        <v>333</v>
      </c>
      <c r="E165" s="20" t="s">
        <v>11</v>
      </c>
      <c r="F165" s="19" t="s">
        <v>57</v>
      </c>
      <c r="G165" s="19" t="s">
        <v>165</v>
      </c>
      <c r="H165" s="19" t="s">
        <v>31</v>
      </c>
      <c r="I165">
        <v>3009</v>
      </c>
      <c r="J165">
        <v>10</v>
      </c>
      <c r="K165" s="1" t="s">
        <v>66</v>
      </c>
    </row>
    <row r="166" spans="1:11">
      <c r="A166" s="17" t="s">
        <v>69</v>
      </c>
      <c r="B166" s="19" t="s">
        <v>50</v>
      </c>
      <c r="C166" s="19" t="s">
        <v>332</v>
      </c>
      <c r="D166" s="19" t="s">
        <v>333</v>
      </c>
      <c r="E166" s="20" t="s">
        <v>11</v>
      </c>
      <c r="F166" s="19" t="s">
        <v>57</v>
      </c>
      <c r="G166" s="19" t="s">
        <v>165</v>
      </c>
      <c r="H166" s="19" t="s">
        <v>31</v>
      </c>
      <c r="I166">
        <v>2246</v>
      </c>
      <c r="J166">
        <v>5</v>
      </c>
      <c r="K166" s="1" t="s">
        <v>65</v>
      </c>
    </row>
    <row r="167" spans="1:11">
      <c r="A167" s="17" t="s">
        <v>69</v>
      </c>
      <c r="B167" s="19" t="s">
        <v>50</v>
      </c>
      <c r="C167" s="19" t="s">
        <v>334</v>
      </c>
      <c r="D167" s="19" t="s">
        <v>335</v>
      </c>
      <c r="E167" s="20" t="s">
        <v>11</v>
      </c>
      <c r="F167" s="19" t="s">
        <v>57</v>
      </c>
      <c r="G167" s="19" t="s">
        <v>165</v>
      </c>
      <c r="H167" s="19" t="s">
        <v>31</v>
      </c>
      <c r="I167">
        <v>1492</v>
      </c>
      <c r="J167">
        <v>2</v>
      </c>
      <c r="K167" s="1" t="s">
        <v>66</v>
      </c>
    </row>
    <row r="168" spans="1:11">
      <c r="A168" s="17" t="s">
        <v>69</v>
      </c>
      <c r="B168" s="19" t="s">
        <v>50</v>
      </c>
      <c r="C168" s="19" t="s">
        <v>334</v>
      </c>
      <c r="D168" s="19" t="s">
        <v>335</v>
      </c>
      <c r="E168" s="20" t="s">
        <v>11</v>
      </c>
      <c r="F168" s="19" t="s">
        <v>57</v>
      </c>
      <c r="G168" s="19" t="s">
        <v>165</v>
      </c>
      <c r="H168" s="19" t="s">
        <v>31</v>
      </c>
      <c r="I168">
        <v>1250</v>
      </c>
      <c r="J168">
        <v>1</v>
      </c>
      <c r="K168" s="1" t="s">
        <v>65</v>
      </c>
    </row>
    <row r="169" spans="1:11">
      <c r="A169" s="17" t="s">
        <v>69</v>
      </c>
      <c r="B169" s="19" t="s">
        <v>50</v>
      </c>
      <c r="C169" s="19" t="s">
        <v>336</v>
      </c>
      <c r="D169" s="19" t="s">
        <v>337</v>
      </c>
      <c r="E169" s="20" t="s">
        <v>11</v>
      </c>
      <c r="F169" s="19" t="s">
        <v>57</v>
      </c>
      <c r="G169" s="19" t="s">
        <v>165</v>
      </c>
      <c r="H169" s="19" t="s">
        <v>31</v>
      </c>
      <c r="I169">
        <v>1575</v>
      </c>
      <c r="J169">
        <v>3</v>
      </c>
      <c r="K169" s="1" t="s">
        <v>66</v>
      </c>
    </row>
    <row r="170" spans="1:11">
      <c r="A170" s="17" t="s">
        <v>69</v>
      </c>
      <c r="B170" s="19" t="s">
        <v>50</v>
      </c>
      <c r="C170" s="19" t="s">
        <v>336</v>
      </c>
      <c r="D170" s="19" t="s">
        <v>337</v>
      </c>
      <c r="E170" s="20" t="s">
        <v>11</v>
      </c>
      <c r="F170" s="19" t="s">
        <v>57</v>
      </c>
      <c r="G170" s="19" t="s">
        <v>165</v>
      </c>
      <c r="H170" s="19" t="s">
        <v>31</v>
      </c>
      <c r="I170">
        <v>1255</v>
      </c>
      <c r="J170">
        <v>2</v>
      </c>
      <c r="K170" s="1" t="s">
        <v>65</v>
      </c>
    </row>
    <row r="171" spans="1:11">
      <c r="A171" s="17" t="s">
        <v>69</v>
      </c>
      <c r="B171" s="19" t="s">
        <v>50</v>
      </c>
      <c r="C171" s="19" t="s">
        <v>338</v>
      </c>
      <c r="D171" s="19" t="s">
        <v>339</v>
      </c>
      <c r="E171" s="20" t="s">
        <v>11</v>
      </c>
      <c r="F171" s="19" t="s">
        <v>57</v>
      </c>
      <c r="G171" s="19" t="s">
        <v>165</v>
      </c>
      <c r="H171" s="19" t="s">
        <v>31</v>
      </c>
      <c r="I171">
        <v>2573</v>
      </c>
      <c r="J171">
        <v>14</v>
      </c>
      <c r="K171" s="1" t="s">
        <v>66</v>
      </c>
    </row>
    <row r="172" spans="1:11">
      <c r="A172" s="17" t="s">
        <v>69</v>
      </c>
      <c r="B172" s="19" t="s">
        <v>50</v>
      </c>
      <c r="C172" s="19" t="s">
        <v>338</v>
      </c>
      <c r="D172" s="19" t="s">
        <v>339</v>
      </c>
      <c r="E172" s="20" t="s">
        <v>11</v>
      </c>
      <c r="F172" s="19" t="s">
        <v>57</v>
      </c>
      <c r="G172" s="19" t="s">
        <v>165</v>
      </c>
      <c r="H172" s="19" t="s">
        <v>31</v>
      </c>
      <c r="I172">
        <v>1251</v>
      </c>
      <c r="J172">
        <v>11</v>
      </c>
      <c r="K172" s="1" t="s">
        <v>65</v>
      </c>
    </row>
    <row r="173" spans="1:11">
      <c r="A173" s="17" t="s">
        <v>69</v>
      </c>
      <c r="B173" s="19" t="s">
        <v>50</v>
      </c>
      <c r="C173" s="19" t="s">
        <v>340</v>
      </c>
      <c r="D173" s="19" t="s">
        <v>341</v>
      </c>
      <c r="E173" s="20" t="s">
        <v>11</v>
      </c>
      <c r="F173" s="19" t="s">
        <v>57</v>
      </c>
      <c r="G173" s="19" t="s">
        <v>165</v>
      </c>
      <c r="H173" s="19" t="s">
        <v>31</v>
      </c>
      <c r="I173">
        <v>2675</v>
      </c>
      <c r="J173">
        <v>22</v>
      </c>
      <c r="K173" s="1" t="s">
        <v>66</v>
      </c>
    </row>
    <row r="174" spans="1:11">
      <c r="A174" s="17" t="s">
        <v>69</v>
      </c>
      <c r="B174" s="19" t="s">
        <v>50</v>
      </c>
      <c r="C174" s="19" t="s">
        <v>340</v>
      </c>
      <c r="D174" s="19" t="s">
        <v>341</v>
      </c>
      <c r="E174" s="20" t="s">
        <v>11</v>
      </c>
      <c r="F174" s="19" t="s">
        <v>57</v>
      </c>
      <c r="G174" s="19" t="s">
        <v>165</v>
      </c>
      <c r="H174" s="19" t="s">
        <v>31</v>
      </c>
      <c r="I174">
        <v>1524</v>
      </c>
      <c r="J174">
        <v>12</v>
      </c>
      <c r="K174" s="1" t="s">
        <v>65</v>
      </c>
    </row>
    <row r="175" spans="1:11">
      <c r="A175" s="17" t="s">
        <v>69</v>
      </c>
      <c r="B175" s="19" t="s">
        <v>50</v>
      </c>
      <c r="C175" s="19" t="s">
        <v>342</v>
      </c>
      <c r="D175" s="19" t="s">
        <v>343</v>
      </c>
      <c r="E175" s="20" t="s">
        <v>11</v>
      </c>
      <c r="F175" s="19" t="s">
        <v>57</v>
      </c>
      <c r="G175" s="19" t="s">
        <v>165</v>
      </c>
      <c r="H175" s="19" t="s">
        <v>31</v>
      </c>
      <c r="I175">
        <v>2543</v>
      </c>
      <c r="J175">
        <v>16</v>
      </c>
      <c r="K175" s="1" t="s">
        <v>66</v>
      </c>
    </row>
    <row r="176" spans="1:11">
      <c r="A176" s="17" t="s">
        <v>69</v>
      </c>
      <c r="B176" s="19" t="s">
        <v>50</v>
      </c>
      <c r="C176" s="19" t="s">
        <v>342</v>
      </c>
      <c r="D176" s="19" t="s">
        <v>343</v>
      </c>
      <c r="E176" s="20" t="s">
        <v>11</v>
      </c>
      <c r="F176" s="19" t="s">
        <v>57</v>
      </c>
      <c r="G176" s="19" t="s">
        <v>165</v>
      </c>
      <c r="H176" s="19" t="s">
        <v>31</v>
      </c>
      <c r="I176">
        <v>1572</v>
      </c>
      <c r="J176">
        <v>11</v>
      </c>
      <c r="K176" s="1" t="s">
        <v>65</v>
      </c>
    </row>
    <row r="177" spans="1:11">
      <c r="A177" s="17" t="s">
        <v>69</v>
      </c>
      <c r="B177" s="19" t="s">
        <v>50</v>
      </c>
      <c r="C177" s="19" t="s">
        <v>344</v>
      </c>
      <c r="D177" s="19" t="s">
        <v>345</v>
      </c>
      <c r="E177" s="20" t="s">
        <v>11</v>
      </c>
      <c r="F177" s="19" t="s">
        <v>57</v>
      </c>
      <c r="G177" s="19" t="s">
        <v>165</v>
      </c>
      <c r="H177" s="19" t="s">
        <v>31</v>
      </c>
      <c r="I177">
        <v>2287</v>
      </c>
      <c r="J177">
        <v>4</v>
      </c>
      <c r="K177" s="1" t="s">
        <v>66</v>
      </c>
    </row>
    <row r="178" spans="1:11">
      <c r="A178" s="17" t="s">
        <v>69</v>
      </c>
      <c r="B178" s="19" t="s">
        <v>50</v>
      </c>
      <c r="C178" s="19" t="s">
        <v>344</v>
      </c>
      <c r="D178" s="19" t="s">
        <v>345</v>
      </c>
      <c r="E178" s="20" t="s">
        <v>11</v>
      </c>
      <c r="F178" s="19" t="s">
        <v>57</v>
      </c>
      <c r="G178" s="19" t="s">
        <v>165</v>
      </c>
      <c r="H178" s="19" t="s">
        <v>31</v>
      </c>
      <c r="I178">
        <v>1746</v>
      </c>
      <c r="J178">
        <v>2</v>
      </c>
      <c r="K178" s="1" t="s">
        <v>65</v>
      </c>
    </row>
    <row r="179" spans="1:11">
      <c r="A179" s="17" t="s">
        <v>69</v>
      </c>
      <c r="B179" s="19" t="s">
        <v>50</v>
      </c>
      <c r="C179" s="19" t="s">
        <v>346</v>
      </c>
      <c r="D179" s="19" t="s">
        <v>347</v>
      </c>
      <c r="E179" s="20" t="s">
        <v>11</v>
      </c>
      <c r="F179" s="19" t="s">
        <v>57</v>
      </c>
      <c r="G179" s="19" t="s">
        <v>165</v>
      </c>
      <c r="H179" s="19" t="s">
        <v>31</v>
      </c>
      <c r="I179">
        <v>2318</v>
      </c>
      <c r="J179">
        <v>9</v>
      </c>
      <c r="K179" s="1" t="s">
        <v>66</v>
      </c>
    </row>
    <row r="180" spans="1:11">
      <c r="A180" s="17" t="s">
        <v>69</v>
      </c>
      <c r="B180" s="19" t="s">
        <v>50</v>
      </c>
      <c r="C180" s="19" t="s">
        <v>346</v>
      </c>
      <c r="D180" s="19" t="s">
        <v>347</v>
      </c>
      <c r="E180" s="20" t="s">
        <v>11</v>
      </c>
      <c r="F180" s="19" t="s">
        <v>57</v>
      </c>
      <c r="G180" s="19" t="s">
        <v>165</v>
      </c>
      <c r="H180" s="19" t="s">
        <v>31</v>
      </c>
      <c r="I180">
        <v>1797</v>
      </c>
      <c r="J180">
        <v>5</v>
      </c>
      <c r="K180" s="1" t="s">
        <v>65</v>
      </c>
    </row>
    <row r="181" spans="1:11">
      <c r="A181" s="17" t="s">
        <v>69</v>
      </c>
      <c r="B181" s="19" t="s">
        <v>50</v>
      </c>
      <c r="C181" s="19" t="s">
        <v>348</v>
      </c>
      <c r="D181" s="19" t="s">
        <v>349</v>
      </c>
      <c r="E181" s="20" t="s">
        <v>11</v>
      </c>
      <c r="F181" s="19" t="s">
        <v>57</v>
      </c>
      <c r="G181" s="19" t="s">
        <v>165</v>
      </c>
      <c r="H181" s="19" t="s">
        <v>31</v>
      </c>
      <c r="I181">
        <v>2465</v>
      </c>
      <c r="J181">
        <v>9</v>
      </c>
      <c r="K181" s="1" t="s">
        <v>66</v>
      </c>
    </row>
    <row r="182" spans="1:11">
      <c r="A182" s="17" t="s">
        <v>69</v>
      </c>
      <c r="B182" s="19" t="s">
        <v>50</v>
      </c>
      <c r="C182" s="19" t="s">
        <v>348</v>
      </c>
      <c r="D182" s="19" t="s">
        <v>349</v>
      </c>
      <c r="E182" s="20" t="s">
        <v>11</v>
      </c>
      <c r="F182" s="19" t="s">
        <v>57</v>
      </c>
      <c r="G182" s="19" t="s">
        <v>165</v>
      </c>
      <c r="H182" s="19" t="s">
        <v>31</v>
      </c>
      <c r="I182">
        <v>1853</v>
      </c>
      <c r="J182">
        <v>5</v>
      </c>
      <c r="K182" s="1" t="s">
        <v>65</v>
      </c>
    </row>
    <row r="183" spans="1:11">
      <c r="A183" s="17" t="s">
        <v>69</v>
      </c>
      <c r="B183" s="19" t="s">
        <v>50</v>
      </c>
      <c r="C183" s="19" t="s">
        <v>350</v>
      </c>
      <c r="D183" s="19" t="s">
        <v>351</v>
      </c>
      <c r="E183" s="20" t="s">
        <v>11</v>
      </c>
      <c r="F183" s="19" t="s">
        <v>57</v>
      </c>
      <c r="G183" s="19" t="s">
        <v>165</v>
      </c>
      <c r="H183" s="19" t="s">
        <v>31</v>
      </c>
      <c r="I183">
        <v>2136</v>
      </c>
      <c r="J183">
        <v>7</v>
      </c>
      <c r="K183" s="1" t="s">
        <v>66</v>
      </c>
    </row>
    <row r="184" spans="1:11">
      <c r="A184" s="17" t="s">
        <v>69</v>
      </c>
      <c r="B184" s="19" t="s">
        <v>50</v>
      </c>
      <c r="C184" s="19" t="s">
        <v>350</v>
      </c>
      <c r="D184" s="19" t="s">
        <v>351</v>
      </c>
      <c r="E184" s="20" t="s">
        <v>11</v>
      </c>
      <c r="F184" s="19" t="s">
        <v>57</v>
      </c>
      <c r="G184" s="19" t="s">
        <v>165</v>
      </c>
      <c r="H184" s="19" t="s">
        <v>31</v>
      </c>
      <c r="I184">
        <v>2787</v>
      </c>
      <c r="J184">
        <v>13</v>
      </c>
      <c r="K184" s="1" t="s">
        <v>65</v>
      </c>
    </row>
    <row r="185" spans="1:11">
      <c r="A185" s="17" t="s">
        <v>69</v>
      </c>
      <c r="B185" s="19" t="s">
        <v>50</v>
      </c>
      <c r="C185" s="19" t="s">
        <v>352</v>
      </c>
      <c r="D185" s="19" t="s">
        <v>353</v>
      </c>
      <c r="E185" s="20" t="s">
        <v>11</v>
      </c>
      <c r="F185" s="19" t="s">
        <v>57</v>
      </c>
      <c r="G185" s="19" t="s">
        <v>165</v>
      </c>
      <c r="H185" s="19" t="s">
        <v>31</v>
      </c>
      <c r="I185">
        <v>1077</v>
      </c>
      <c r="J185">
        <v>3</v>
      </c>
      <c r="K185" s="1" t="s">
        <v>66</v>
      </c>
    </row>
    <row r="186" spans="1:11">
      <c r="A186" s="17" t="s">
        <v>69</v>
      </c>
      <c r="B186" s="19" t="s">
        <v>50</v>
      </c>
      <c r="C186" s="19" t="s">
        <v>352</v>
      </c>
      <c r="D186" s="19" t="s">
        <v>353</v>
      </c>
      <c r="E186" s="20" t="s">
        <v>11</v>
      </c>
      <c r="F186" s="19" t="s">
        <v>57</v>
      </c>
      <c r="G186" s="19" t="s">
        <v>165</v>
      </c>
      <c r="H186" s="19" t="s">
        <v>31</v>
      </c>
      <c r="I186">
        <v>622</v>
      </c>
      <c r="J186">
        <v>5</v>
      </c>
      <c r="K186" s="1" t="s">
        <v>65</v>
      </c>
    </row>
    <row r="187" spans="1:11">
      <c r="A187" s="17" t="s">
        <v>69</v>
      </c>
      <c r="B187" s="19" t="s">
        <v>50</v>
      </c>
      <c r="C187" s="19" t="s">
        <v>354</v>
      </c>
      <c r="D187" s="19" t="s">
        <v>355</v>
      </c>
      <c r="E187" s="20" t="s">
        <v>11</v>
      </c>
      <c r="F187" s="19" t="s">
        <v>57</v>
      </c>
      <c r="G187" s="19" t="s">
        <v>165</v>
      </c>
      <c r="H187" s="19" t="s">
        <v>31</v>
      </c>
      <c r="I187">
        <v>941</v>
      </c>
      <c r="J187">
        <v>1</v>
      </c>
      <c r="K187" s="1" t="s">
        <v>66</v>
      </c>
    </row>
    <row r="188" spans="1:11">
      <c r="A188" s="17" t="s">
        <v>69</v>
      </c>
      <c r="B188" s="19" t="s">
        <v>50</v>
      </c>
      <c r="C188" s="19" t="s">
        <v>354</v>
      </c>
      <c r="D188" s="19" t="s">
        <v>355</v>
      </c>
      <c r="E188" s="20" t="s">
        <v>11</v>
      </c>
      <c r="F188" s="19" t="s">
        <v>57</v>
      </c>
      <c r="G188" s="19" t="s">
        <v>165</v>
      </c>
      <c r="H188" s="19" t="s">
        <v>31</v>
      </c>
      <c r="I188">
        <v>614</v>
      </c>
      <c r="J188">
        <v>0</v>
      </c>
      <c r="K188" s="1" t="s">
        <v>65</v>
      </c>
    </row>
    <row r="189" spans="1:11">
      <c r="A189" s="17" t="s">
        <v>69</v>
      </c>
      <c r="B189" s="19" t="s">
        <v>50</v>
      </c>
      <c r="C189" s="19" t="s">
        <v>356</v>
      </c>
      <c r="D189" s="19" t="s">
        <v>357</v>
      </c>
      <c r="E189" s="20" t="s">
        <v>11</v>
      </c>
      <c r="F189" s="19" t="s">
        <v>57</v>
      </c>
      <c r="G189" s="19" t="s">
        <v>165</v>
      </c>
      <c r="H189" s="19" t="s">
        <v>31</v>
      </c>
      <c r="I189">
        <v>1048</v>
      </c>
      <c r="J189">
        <v>2</v>
      </c>
      <c r="K189" s="1" t="s">
        <v>66</v>
      </c>
    </row>
    <row r="190" spans="1:11">
      <c r="A190" s="17" t="s">
        <v>69</v>
      </c>
      <c r="B190" s="19" t="s">
        <v>50</v>
      </c>
      <c r="C190" s="19" t="s">
        <v>356</v>
      </c>
      <c r="D190" s="19" t="s">
        <v>357</v>
      </c>
      <c r="E190" s="20" t="s">
        <v>11</v>
      </c>
      <c r="F190" s="19" t="s">
        <v>57</v>
      </c>
      <c r="G190" s="19" t="s">
        <v>165</v>
      </c>
      <c r="H190" s="19" t="s">
        <v>31</v>
      </c>
      <c r="I190">
        <v>671</v>
      </c>
      <c r="J190">
        <v>3</v>
      </c>
      <c r="K190" s="1" t="s">
        <v>65</v>
      </c>
    </row>
    <row r="191" spans="1:11">
      <c r="A191" s="17" t="s">
        <v>69</v>
      </c>
      <c r="B191" s="19" t="s">
        <v>50</v>
      </c>
      <c r="C191" s="19" t="s">
        <v>358</v>
      </c>
      <c r="D191" s="19" t="s">
        <v>359</v>
      </c>
      <c r="E191" s="20" t="s">
        <v>11</v>
      </c>
      <c r="F191" s="19" t="s">
        <v>57</v>
      </c>
      <c r="G191" s="19" t="s">
        <v>165</v>
      </c>
      <c r="H191" s="19" t="s">
        <v>31</v>
      </c>
      <c r="I191">
        <v>3761</v>
      </c>
      <c r="J191">
        <v>16</v>
      </c>
      <c r="K191" s="1" t="s">
        <v>66</v>
      </c>
    </row>
    <row r="192" spans="1:11">
      <c r="A192" s="17" t="s">
        <v>69</v>
      </c>
      <c r="B192" s="19" t="s">
        <v>50</v>
      </c>
      <c r="C192" s="19" t="s">
        <v>358</v>
      </c>
      <c r="D192" s="19" t="s">
        <v>359</v>
      </c>
      <c r="E192" s="20" t="s">
        <v>11</v>
      </c>
      <c r="F192" s="19" t="s">
        <v>57</v>
      </c>
      <c r="G192" s="19" t="s">
        <v>165</v>
      </c>
      <c r="H192" s="19" t="s">
        <v>31</v>
      </c>
      <c r="I192">
        <v>1925</v>
      </c>
      <c r="J192">
        <v>2</v>
      </c>
      <c r="K192" s="1" t="s">
        <v>65</v>
      </c>
    </row>
    <row r="193" spans="1:11">
      <c r="A193" s="17" t="s">
        <v>69</v>
      </c>
      <c r="B193" s="19" t="s">
        <v>50</v>
      </c>
      <c r="C193" s="19" t="s">
        <v>360</v>
      </c>
      <c r="D193" s="19" t="s">
        <v>361</v>
      </c>
      <c r="E193" s="20" t="s">
        <v>11</v>
      </c>
      <c r="F193" s="19" t="s">
        <v>57</v>
      </c>
      <c r="G193" s="19" t="s">
        <v>165</v>
      </c>
      <c r="H193" s="19" t="s">
        <v>31</v>
      </c>
      <c r="I193">
        <v>3892</v>
      </c>
      <c r="J193">
        <v>7</v>
      </c>
      <c r="K193" s="1" t="s">
        <v>66</v>
      </c>
    </row>
    <row r="194" spans="1:11">
      <c r="A194" s="17" t="s">
        <v>69</v>
      </c>
      <c r="B194" s="19" t="s">
        <v>50</v>
      </c>
      <c r="C194" s="19" t="s">
        <v>360</v>
      </c>
      <c r="D194" s="19" t="s">
        <v>361</v>
      </c>
      <c r="E194" s="20" t="s">
        <v>11</v>
      </c>
      <c r="F194" s="19" t="s">
        <v>57</v>
      </c>
      <c r="G194" s="19" t="s">
        <v>165</v>
      </c>
      <c r="H194" s="19" t="s">
        <v>31</v>
      </c>
      <c r="I194">
        <v>2627</v>
      </c>
      <c r="J194">
        <v>5</v>
      </c>
      <c r="K194" s="1" t="s">
        <v>65</v>
      </c>
    </row>
    <row r="195" spans="1:11">
      <c r="A195" s="17" t="s">
        <v>69</v>
      </c>
      <c r="B195" s="19" t="s">
        <v>50</v>
      </c>
      <c r="C195" s="19" t="s">
        <v>362</v>
      </c>
      <c r="D195" s="19" t="s">
        <v>363</v>
      </c>
      <c r="E195" s="20" t="s">
        <v>11</v>
      </c>
      <c r="F195" s="19" t="s">
        <v>57</v>
      </c>
      <c r="G195" s="19" t="s">
        <v>165</v>
      </c>
      <c r="H195" s="19" t="s">
        <v>31</v>
      </c>
      <c r="I195">
        <v>3492</v>
      </c>
      <c r="J195">
        <v>6</v>
      </c>
      <c r="K195" s="1" t="s">
        <v>66</v>
      </c>
    </row>
    <row r="196" spans="1:11">
      <c r="A196" s="17" t="s">
        <v>69</v>
      </c>
      <c r="B196" s="19" t="s">
        <v>50</v>
      </c>
      <c r="C196" s="19" t="s">
        <v>362</v>
      </c>
      <c r="D196" s="19" t="s">
        <v>363</v>
      </c>
      <c r="E196" s="20" t="s">
        <v>11</v>
      </c>
      <c r="F196" s="19" t="s">
        <v>57</v>
      </c>
      <c r="G196" s="19" t="s">
        <v>165</v>
      </c>
      <c r="H196" s="19" t="s">
        <v>31</v>
      </c>
      <c r="I196">
        <v>2621</v>
      </c>
      <c r="J196">
        <v>7</v>
      </c>
      <c r="K196" s="1" t="s">
        <v>65</v>
      </c>
    </row>
    <row r="197" spans="1:11">
      <c r="A197" s="17" t="s">
        <v>69</v>
      </c>
      <c r="B197" s="19" t="s">
        <v>50</v>
      </c>
      <c r="C197" s="19" t="s">
        <v>364</v>
      </c>
      <c r="D197" s="19" t="s">
        <v>365</v>
      </c>
      <c r="E197" s="20" t="s">
        <v>11</v>
      </c>
      <c r="F197" s="19" t="s">
        <v>57</v>
      </c>
      <c r="G197" s="19" t="s">
        <v>165</v>
      </c>
      <c r="H197" s="19" t="s">
        <v>31</v>
      </c>
      <c r="I197">
        <v>3776</v>
      </c>
      <c r="J197">
        <v>8</v>
      </c>
      <c r="K197" s="1" t="s">
        <v>66</v>
      </c>
    </row>
    <row r="198" spans="1:11">
      <c r="A198" s="17" t="s">
        <v>69</v>
      </c>
      <c r="B198" s="19" t="s">
        <v>50</v>
      </c>
      <c r="C198" s="19" t="s">
        <v>364</v>
      </c>
      <c r="D198" s="19" t="s">
        <v>365</v>
      </c>
      <c r="E198" s="20" t="s">
        <v>11</v>
      </c>
      <c r="F198" s="19" t="s">
        <v>57</v>
      </c>
      <c r="G198" s="19" t="s">
        <v>165</v>
      </c>
      <c r="H198" s="19" t="s">
        <v>31</v>
      </c>
      <c r="I198">
        <v>2557</v>
      </c>
      <c r="J198">
        <v>7</v>
      </c>
      <c r="K198" s="1" t="s">
        <v>65</v>
      </c>
    </row>
    <row r="199" spans="1:11">
      <c r="A199" s="17" t="s">
        <v>69</v>
      </c>
      <c r="B199" s="19" t="s">
        <v>50</v>
      </c>
      <c r="C199" s="19" t="s">
        <v>366</v>
      </c>
      <c r="D199" s="19" t="s">
        <v>367</v>
      </c>
      <c r="E199" s="20" t="s">
        <v>11</v>
      </c>
      <c r="F199" s="19" t="s">
        <v>57</v>
      </c>
      <c r="G199" s="19" t="s">
        <v>165</v>
      </c>
      <c r="H199" s="19" t="s">
        <v>31</v>
      </c>
      <c r="I199">
        <v>3870</v>
      </c>
      <c r="J199">
        <v>7</v>
      </c>
      <c r="K199" s="1" t="s">
        <v>66</v>
      </c>
    </row>
    <row r="200" spans="1:11">
      <c r="A200" s="17" t="s">
        <v>69</v>
      </c>
      <c r="B200" s="19" t="s">
        <v>50</v>
      </c>
      <c r="C200" s="19" t="s">
        <v>366</v>
      </c>
      <c r="D200" s="19" t="s">
        <v>367</v>
      </c>
      <c r="E200" s="20" t="s">
        <v>11</v>
      </c>
      <c r="F200" s="19" t="s">
        <v>57</v>
      </c>
      <c r="G200" s="19" t="s">
        <v>165</v>
      </c>
      <c r="H200" s="19" t="s">
        <v>31</v>
      </c>
      <c r="I200">
        <v>2631</v>
      </c>
      <c r="J200">
        <v>5</v>
      </c>
      <c r="K200" s="1" t="s">
        <v>65</v>
      </c>
    </row>
    <row r="201" spans="1:11">
      <c r="A201" s="17" t="s">
        <v>69</v>
      </c>
      <c r="B201" s="19" t="s">
        <v>50</v>
      </c>
      <c r="C201" s="19" t="s">
        <v>368</v>
      </c>
      <c r="D201" s="19" t="s">
        <v>369</v>
      </c>
      <c r="E201" s="20" t="s">
        <v>11</v>
      </c>
      <c r="F201" s="19" t="s">
        <v>57</v>
      </c>
      <c r="G201" s="19" t="s">
        <v>165</v>
      </c>
      <c r="H201" s="19" t="s">
        <v>31</v>
      </c>
      <c r="I201">
        <v>2228</v>
      </c>
      <c r="J201">
        <v>3</v>
      </c>
      <c r="K201" s="1" t="s">
        <v>66</v>
      </c>
    </row>
    <row r="202" spans="1:11">
      <c r="A202" s="17" t="s">
        <v>69</v>
      </c>
      <c r="B202" s="19" t="s">
        <v>50</v>
      </c>
      <c r="C202" s="19" t="s">
        <v>368</v>
      </c>
      <c r="D202" s="19" t="s">
        <v>369</v>
      </c>
      <c r="E202" s="20" t="s">
        <v>11</v>
      </c>
      <c r="F202" s="19" t="s">
        <v>57</v>
      </c>
      <c r="G202" s="19" t="s">
        <v>165</v>
      </c>
      <c r="H202" s="19" t="s">
        <v>31</v>
      </c>
      <c r="I202">
        <v>1661</v>
      </c>
      <c r="J202">
        <v>15</v>
      </c>
      <c r="K202" s="1" t="s">
        <v>65</v>
      </c>
    </row>
    <row r="203" spans="1:11">
      <c r="A203" s="17" t="s">
        <v>69</v>
      </c>
      <c r="B203" s="19" t="s">
        <v>50</v>
      </c>
      <c r="C203" s="19" t="s">
        <v>370</v>
      </c>
      <c r="D203" s="19" t="s">
        <v>371</v>
      </c>
      <c r="E203" s="20" t="s">
        <v>11</v>
      </c>
      <c r="F203" s="19" t="s">
        <v>57</v>
      </c>
      <c r="G203" s="19" t="s">
        <v>165</v>
      </c>
      <c r="H203" s="19" t="s">
        <v>31</v>
      </c>
      <c r="I203">
        <v>2678</v>
      </c>
      <c r="J203">
        <v>5</v>
      </c>
      <c r="K203" s="1" t="s">
        <v>66</v>
      </c>
    </row>
    <row r="204" spans="1:11">
      <c r="A204" s="17" t="s">
        <v>69</v>
      </c>
      <c r="B204" s="19" t="s">
        <v>50</v>
      </c>
      <c r="C204" s="19" t="s">
        <v>370</v>
      </c>
      <c r="D204" s="19" t="s">
        <v>371</v>
      </c>
      <c r="E204" s="20" t="s">
        <v>11</v>
      </c>
      <c r="F204" s="19" t="s">
        <v>57</v>
      </c>
      <c r="G204" s="19" t="s">
        <v>165</v>
      </c>
      <c r="H204" s="19" t="s">
        <v>31</v>
      </c>
      <c r="I204">
        <v>1561</v>
      </c>
      <c r="J204">
        <v>3</v>
      </c>
      <c r="K204" s="1" t="s">
        <v>65</v>
      </c>
    </row>
    <row r="205" spans="1:11">
      <c r="A205" s="17" t="s">
        <v>69</v>
      </c>
      <c r="B205" s="19" t="s">
        <v>50</v>
      </c>
      <c r="C205" s="19" t="s">
        <v>372</v>
      </c>
      <c r="D205" s="19" t="s">
        <v>373</v>
      </c>
      <c r="E205" s="20" t="s">
        <v>11</v>
      </c>
      <c r="F205" s="19" t="s">
        <v>57</v>
      </c>
      <c r="G205" s="19" t="s">
        <v>165</v>
      </c>
      <c r="H205" s="19" t="s">
        <v>31</v>
      </c>
      <c r="I205">
        <v>2534</v>
      </c>
      <c r="J205">
        <v>3</v>
      </c>
      <c r="K205" s="1" t="s">
        <v>66</v>
      </c>
    </row>
    <row r="206" spans="1:11">
      <c r="A206" s="17" t="s">
        <v>69</v>
      </c>
      <c r="B206" s="19" t="s">
        <v>50</v>
      </c>
      <c r="C206" s="19" t="s">
        <v>372</v>
      </c>
      <c r="D206" s="19" t="s">
        <v>373</v>
      </c>
      <c r="E206" s="20" t="s">
        <v>11</v>
      </c>
      <c r="F206" s="19" t="s">
        <v>57</v>
      </c>
      <c r="G206" s="19" t="s">
        <v>165</v>
      </c>
      <c r="H206" s="19" t="s">
        <v>31</v>
      </c>
      <c r="I206">
        <v>1700</v>
      </c>
      <c r="J206">
        <v>8</v>
      </c>
      <c r="K206" s="1" t="s">
        <v>65</v>
      </c>
    </row>
    <row r="207" spans="1:11">
      <c r="A207" s="17" t="s">
        <v>69</v>
      </c>
      <c r="B207" s="19" t="s">
        <v>50</v>
      </c>
      <c r="C207" s="19" t="s">
        <v>374</v>
      </c>
      <c r="D207" s="19" t="s">
        <v>375</v>
      </c>
      <c r="E207" s="20" t="s">
        <v>11</v>
      </c>
      <c r="F207" s="19" t="s">
        <v>57</v>
      </c>
      <c r="G207" s="19" t="s">
        <v>165</v>
      </c>
      <c r="H207" s="19" t="s">
        <v>31</v>
      </c>
      <c r="I207">
        <v>2618</v>
      </c>
      <c r="J207">
        <v>3</v>
      </c>
      <c r="K207" s="1" t="s">
        <v>66</v>
      </c>
    </row>
    <row r="208" spans="1:11">
      <c r="A208" s="17" t="s">
        <v>69</v>
      </c>
      <c r="B208" s="19" t="s">
        <v>50</v>
      </c>
      <c r="C208" s="19" t="s">
        <v>374</v>
      </c>
      <c r="D208" s="19" t="s">
        <v>375</v>
      </c>
      <c r="E208" s="20" t="s">
        <v>11</v>
      </c>
      <c r="F208" s="19" t="s">
        <v>57</v>
      </c>
      <c r="G208" s="19" t="s">
        <v>165</v>
      </c>
      <c r="H208" s="19" t="s">
        <v>31</v>
      </c>
      <c r="I208">
        <v>1560</v>
      </c>
      <c r="J208">
        <v>12</v>
      </c>
      <c r="K208" s="1" t="s">
        <v>65</v>
      </c>
    </row>
    <row r="209" spans="1:11">
      <c r="A209" s="17" t="s">
        <v>69</v>
      </c>
      <c r="B209" s="19" t="s">
        <v>50</v>
      </c>
      <c r="C209" s="19" t="s">
        <v>376</v>
      </c>
      <c r="D209" s="19" t="s">
        <v>377</v>
      </c>
      <c r="E209" s="20" t="s">
        <v>11</v>
      </c>
      <c r="F209" s="19" t="s">
        <v>57</v>
      </c>
      <c r="G209" s="19" t="s">
        <v>165</v>
      </c>
      <c r="H209" s="19" t="s">
        <v>31</v>
      </c>
      <c r="I209">
        <v>2586</v>
      </c>
      <c r="J209">
        <v>9</v>
      </c>
      <c r="K209" s="1" t="s">
        <v>66</v>
      </c>
    </row>
    <row r="210" spans="1:11">
      <c r="A210" s="17" t="s">
        <v>69</v>
      </c>
      <c r="B210" s="19" t="s">
        <v>50</v>
      </c>
      <c r="C210" s="19" t="s">
        <v>376</v>
      </c>
      <c r="D210" s="19" t="s">
        <v>377</v>
      </c>
      <c r="E210" s="20" t="s">
        <v>11</v>
      </c>
      <c r="F210" s="19" t="s">
        <v>57</v>
      </c>
      <c r="G210" s="19" t="s">
        <v>165</v>
      </c>
      <c r="H210" s="19" t="s">
        <v>31</v>
      </c>
      <c r="I210">
        <v>1633</v>
      </c>
      <c r="J210">
        <v>9</v>
      </c>
      <c r="K210" s="1" t="s">
        <v>65</v>
      </c>
    </row>
    <row r="211" spans="1:11">
      <c r="A211" s="17" t="s">
        <v>69</v>
      </c>
      <c r="B211" s="19" t="s">
        <v>50</v>
      </c>
      <c r="C211" s="19" t="s">
        <v>378</v>
      </c>
      <c r="D211" s="19" t="s">
        <v>379</v>
      </c>
      <c r="E211" s="20" t="s">
        <v>11</v>
      </c>
      <c r="F211" s="19" t="s">
        <v>57</v>
      </c>
      <c r="G211" s="19" t="s">
        <v>165</v>
      </c>
      <c r="H211" s="19" t="s">
        <v>31</v>
      </c>
      <c r="I211">
        <v>2609</v>
      </c>
      <c r="J211">
        <v>6</v>
      </c>
      <c r="K211" s="1" t="s">
        <v>66</v>
      </c>
    </row>
    <row r="212" spans="1:11">
      <c r="A212" s="17" t="s">
        <v>69</v>
      </c>
      <c r="B212" s="19" t="s">
        <v>50</v>
      </c>
      <c r="C212" s="19" t="s">
        <v>378</v>
      </c>
      <c r="D212" s="19" t="s">
        <v>379</v>
      </c>
      <c r="E212" s="20" t="s">
        <v>11</v>
      </c>
      <c r="F212" s="19" t="s">
        <v>57</v>
      </c>
      <c r="G212" s="19" t="s">
        <v>165</v>
      </c>
      <c r="H212" s="19" t="s">
        <v>31</v>
      </c>
      <c r="I212">
        <v>1661</v>
      </c>
      <c r="J212">
        <v>8</v>
      </c>
      <c r="K212" s="1" t="s">
        <v>65</v>
      </c>
    </row>
    <row r="213" spans="1:11">
      <c r="A213" s="17" t="s">
        <v>69</v>
      </c>
      <c r="B213" s="19" t="s">
        <v>50</v>
      </c>
      <c r="C213" s="19" t="s">
        <v>380</v>
      </c>
      <c r="D213" s="19" t="s">
        <v>381</v>
      </c>
      <c r="E213" s="20" t="s">
        <v>11</v>
      </c>
      <c r="F213" s="19" t="s">
        <v>57</v>
      </c>
      <c r="G213" s="19" t="s">
        <v>165</v>
      </c>
      <c r="H213" s="19" t="s">
        <v>31</v>
      </c>
      <c r="I213">
        <v>1395</v>
      </c>
      <c r="J213">
        <v>1</v>
      </c>
      <c r="K213" s="1" t="s">
        <v>66</v>
      </c>
    </row>
    <row r="214" spans="1:11">
      <c r="A214" s="17" t="s">
        <v>69</v>
      </c>
      <c r="B214" s="19" t="s">
        <v>50</v>
      </c>
      <c r="C214" s="19" t="s">
        <v>380</v>
      </c>
      <c r="D214" s="19" t="s">
        <v>381</v>
      </c>
      <c r="E214" s="20" t="s">
        <v>11</v>
      </c>
      <c r="F214" s="19" t="s">
        <v>57</v>
      </c>
      <c r="G214" s="19" t="s">
        <v>165</v>
      </c>
      <c r="H214" s="19" t="s">
        <v>31</v>
      </c>
      <c r="I214">
        <v>1138</v>
      </c>
      <c r="J214">
        <v>3</v>
      </c>
      <c r="K214" s="1" t="s">
        <v>65</v>
      </c>
    </row>
    <row r="215" spans="1:11">
      <c r="A215" s="17" t="s">
        <v>69</v>
      </c>
      <c r="B215" s="19" t="s">
        <v>50</v>
      </c>
      <c r="C215" s="19" t="s">
        <v>382</v>
      </c>
      <c r="D215" s="19" t="s">
        <v>383</v>
      </c>
      <c r="E215" s="20" t="s">
        <v>11</v>
      </c>
      <c r="F215" s="19" t="s">
        <v>57</v>
      </c>
      <c r="G215" s="19" t="s">
        <v>165</v>
      </c>
      <c r="H215" s="19" t="s">
        <v>31</v>
      </c>
      <c r="I215">
        <v>1595</v>
      </c>
      <c r="J215">
        <v>3</v>
      </c>
      <c r="K215" s="1" t="s">
        <v>66</v>
      </c>
    </row>
    <row r="216" spans="1:11">
      <c r="A216" s="17" t="s">
        <v>69</v>
      </c>
      <c r="B216" s="19" t="s">
        <v>50</v>
      </c>
      <c r="C216" s="19" t="s">
        <v>382</v>
      </c>
      <c r="D216" s="19" t="s">
        <v>383</v>
      </c>
      <c r="E216" s="20" t="s">
        <v>11</v>
      </c>
      <c r="F216" s="19" t="s">
        <v>57</v>
      </c>
      <c r="G216" s="19" t="s">
        <v>165</v>
      </c>
      <c r="H216" s="19" t="s">
        <v>31</v>
      </c>
      <c r="I216">
        <v>1110</v>
      </c>
      <c r="J216">
        <v>1</v>
      </c>
      <c r="K216" s="1" t="s">
        <v>65</v>
      </c>
    </row>
    <row r="217" spans="1:11">
      <c r="A217" s="17" t="s">
        <v>69</v>
      </c>
      <c r="B217" s="19" t="s">
        <v>50</v>
      </c>
      <c r="C217" s="19" t="s">
        <v>384</v>
      </c>
      <c r="D217" s="19" t="s">
        <v>385</v>
      </c>
      <c r="E217" s="20" t="s">
        <v>11</v>
      </c>
      <c r="F217" s="19" t="s">
        <v>57</v>
      </c>
      <c r="G217" s="19" t="s">
        <v>165</v>
      </c>
      <c r="H217" s="19" t="s">
        <v>31</v>
      </c>
      <c r="I217">
        <v>1594</v>
      </c>
      <c r="J217">
        <v>5</v>
      </c>
      <c r="K217" s="1" t="s">
        <v>66</v>
      </c>
    </row>
    <row r="218" spans="1:11">
      <c r="A218" s="17" t="s">
        <v>69</v>
      </c>
      <c r="B218" s="19" t="s">
        <v>50</v>
      </c>
      <c r="C218" s="19" t="s">
        <v>384</v>
      </c>
      <c r="D218" s="19" t="s">
        <v>385</v>
      </c>
      <c r="E218" s="20" t="s">
        <v>11</v>
      </c>
      <c r="F218" s="19" t="s">
        <v>57</v>
      </c>
      <c r="G218" s="19" t="s">
        <v>165</v>
      </c>
      <c r="H218" s="19" t="s">
        <v>31</v>
      </c>
      <c r="I218">
        <v>1092</v>
      </c>
      <c r="J218">
        <v>5</v>
      </c>
      <c r="K218" s="1" t="s">
        <v>65</v>
      </c>
    </row>
    <row r="219" spans="1:11">
      <c r="A219" s="17" t="s">
        <v>69</v>
      </c>
      <c r="B219" s="19" t="s">
        <v>50</v>
      </c>
      <c r="C219" s="19" t="s">
        <v>386</v>
      </c>
      <c r="D219" s="19" t="s">
        <v>387</v>
      </c>
      <c r="E219" s="20" t="s">
        <v>11</v>
      </c>
      <c r="F219" s="19" t="s">
        <v>57</v>
      </c>
      <c r="G219" s="19" t="s">
        <v>165</v>
      </c>
      <c r="H219" s="19" t="s">
        <v>31</v>
      </c>
      <c r="I219">
        <v>1647</v>
      </c>
      <c r="J219">
        <v>4</v>
      </c>
      <c r="K219" s="1" t="s">
        <v>66</v>
      </c>
    </row>
    <row r="220" spans="1:11">
      <c r="A220" s="17" t="s">
        <v>69</v>
      </c>
      <c r="B220" s="19" t="s">
        <v>50</v>
      </c>
      <c r="C220" s="19" t="s">
        <v>386</v>
      </c>
      <c r="D220" s="19" t="s">
        <v>387</v>
      </c>
      <c r="E220" s="20" t="s">
        <v>11</v>
      </c>
      <c r="F220" s="19" t="s">
        <v>57</v>
      </c>
      <c r="G220" s="19" t="s">
        <v>165</v>
      </c>
      <c r="H220" s="19" t="s">
        <v>31</v>
      </c>
      <c r="I220">
        <v>1187</v>
      </c>
      <c r="J220">
        <v>4</v>
      </c>
      <c r="K220" s="1" t="s">
        <v>65</v>
      </c>
    </row>
    <row r="221" spans="1:11">
      <c r="A221" s="17" t="s">
        <v>69</v>
      </c>
      <c r="B221" s="19" t="s">
        <v>50</v>
      </c>
      <c r="C221" s="19" t="s">
        <v>388</v>
      </c>
      <c r="D221" s="19" t="s">
        <v>389</v>
      </c>
      <c r="E221" s="20" t="s">
        <v>11</v>
      </c>
      <c r="F221" s="19" t="s">
        <v>57</v>
      </c>
      <c r="G221" s="19" t="s">
        <v>165</v>
      </c>
      <c r="H221" s="19" t="s">
        <v>31</v>
      </c>
      <c r="I221">
        <v>1694</v>
      </c>
      <c r="J221">
        <v>3</v>
      </c>
      <c r="K221" s="1" t="s">
        <v>66</v>
      </c>
    </row>
    <row r="222" spans="1:11">
      <c r="A222" s="17" t="s">
        <v>69</v>
      </c>
      <c r="B222" s="19" t="s">
        <v>50</v>
      </c>
      <c r="C222" s="19" t="s">
        <v>388</v>
      </c>
      <c r="D222" s="19" t="s">
        <v>389</v>
      </c>
      <c r="E222" s="20" t="s">
        <v>11</v>
      </c>
      <c r="F222" s="19" t="s">
        <v>57</v>
      </c>
      <c r="G222" s="19" t="s">
        <v>165</v>
      </c>
      <c r="H222" s="19" t="s">
        <v>31</v>
      </c>
      <c r="I222">
        <v>1081</v>
      </c>
      <c r="J222">
        <v>5</v>
      </c>
      <c r="K222" s="1" t="s">
        <v>65</v>
      </c>
    </row>
    <row r="223" spans="1:11">
      <c r="A223" s="17" t="s">
        <v>69</v>
      </c>
      <c r="B223" s="19" t="s">
        <v>50</v>
      </c>
      <c r="C223" s="19" t="s">
        <v>390</v>
      </c>
      <c r="D223" s="19" t="s">
        <v>391</v>
      </c>
      <c r="E223" s="20" t="s">
        <v>11</v>
      </c>
      <c r="F223" s="19" t="s">
        <v>57</v>
      </c>
      <c r="G223" s="19" t="s">
        <v>165</v>
      </c>
      <c r="H223" s="19" t="s">
        <v>31</v>
      </c>
      <c r="I223">
        <v>2164</v>
      </c>
      <c r="J223">
        <v>7</v>
      </c>
      <c r="K223" s="1" t="s">
        <v>66</v>
      </c>
    </row>
    <row r="224" spans="1:11">
      <c r="A224" s="17" t="s">
        <v>69</v>
      </c>
      <c r="B224" s="19" t="s">
        <v>50</v>
      </c>
      <c r="C224" s="19" t="s">
        <v>390</v>
      </c>
      <c r="D224" s="19" t="s">
        <v>391</v>
      </c>
      <c r="E224" s="20" t="s">
        <v>11</v>
      </c>
      <c r="F224" s="19" t="s">
        <v>57</v>
      </c>
      <c r="G224" s="19" t="s">
        <v>165</v>
      </c>
      <c r="H224" s="19" t="s">
        <v>31</v>
      </c>
      <c r="I224">
        <v>1043</v>
      </c>
      <c r="J224">
        <v>6</v>
      </c>
      <c r="K224" s="1" t="s">
        <v>65</v>
      </c>
    </row>
    <row r="225" spans="1:11">
      <c r="A225" s="17" t="s">
        <v>69</v>
      </c>
      <c r="B225" s="19" t="s">
        <v>50</v>
      </c>
      <c r="C225" s="19" t="s">
        <v>392</v>
      </c>
      <c r="D225" s="19" t="s">
        <v>393</v>
      </c>
      <c r="E225" s="20" t="s">
        <v>11</v>
      </c>
      <c r="F225" s="19" t="s">
        <v>57</v>
      </c>
      <c r="G225" s="19" t="s">
        <v>165</v>
      </c>
      <c r="H225" s="19" t="s">
        <v>31</v>
      </c>
      <c r="I225">
        <v>2234</v>
      </c>
      <c r="J225">
        <v>14</v>
      </c>
      <c r="K225" s="1" t="s">
        <v>66</v>
      </c>
    </row>
    <row r="226" spans="1:11">
      <c r="A226" s="17" t="s">
        <v>69</v>
      </c>
      <c r="B226" s="19" t="s">
        <v>50</v>
      </c>
      <c r="C226" s="19" t="s">
        <v>392</v>
      </c>
      <c r="D226" s="19" t="s">
        <v>393</v>
      </c>
      <c r="E226" s="20" t="s">
        <v>11</v>
      </c>
      <c r="F226" s="19" t="s">
        <v>57</v>
      </c>
      <c r="G226" s="19" t="s">
        <v>165</v>
      </c>
      <c r="H226" s="19" t="s">
        <v>31</v>
      </c>
      <c r="I226">
        <v>1101</v>
      </c>
      <c r="J226">
        <v>11</v>
      </c>
      <c r="K226" s="1" t="s">
        <v>65</v>
      </c>
    </row>
    <row r="227" spans="1:11">
      <c r="A227" s="17" t="s">
        <v>69</v>
      </c>
      <c r="B227" s="19" t="s">
        <v>50</v>
      </c>
      <c r="C227" s="19" t="s">
        <v>394</v>
      </c>
      <c r="D227" s="19" t="s">
        <v>395</v>
      </c>
      <c r="E227" s="20" t="s">
        <v>11</v>
      </c>
      <c r="F227" s="19" t="s">
        <v>57</v>
      </c>
      <c r="G227" s="19" t="s">
        <v>165</v>
      </c>
      <c r="H227" s="19" t="s">
        <v>31</v>
      </c>
      <c r="I227">
        <v>2205</v>
      </c>
      <c r="J227">
        <v>7</v>
      </c>
      <c r="K227" s="1" t="s">
        <v>66</v>
      </c>
    </row>
    <row r="228" spans="1:11">
      <c r="A228" s="17" t="s">
        <v>69</v>
      </c>
      <c r="B228" s="19" t="s">
        <v>50</v>
      </c>
      <c r="C228" s="19" t="s">
        <v>394</v>
      </c>
      <c r="D228" s="19" t="s">
        <v>395</v>
      </c>
      <c r="E228" s="20" t="s">
        <v>11</v>
      </c>
      <c r="F228" s="19" t="s">
        <v>57</v>
      </c>
      <c r="G228" s="19" t="s">
        <v>165</v>
      </c>
      <c r="H228" s="19" t="s">
        <v>31</v>
      </c>
      <c r="I228">
        <v>1086</v>
      </c>
      <c r="J228">
        <v>2</v>
      </c>
      <c r="K228" s="1" t="s">
        <v>65</v>
      </c>
    </row>
    <row r="229" spans="1:11">
      <c r="A229" s="17" t="s">
        <v>69</v>
      </c>
      <c r="B229" s="19" t="s">
        <v>50</v>
      </c>
      <c r="C229" s="19" t="s">
        <v>396</v>
      </c>
      <c r="D229" s="19" t="s">
        <v>397</v>
      </c>
      <c r="E229" s="20" t="s">
        <v>11</v>
      </c>
      <c r="F229" s="19" t="s">
        <v>57</v>
      </c>
      <c r="G229" s="19" t="s">
        <v>165</v>
      </c>
      <c r="H229" s="19" t="s">
        <v>31</v>
      </c>
      <c r="I229">
        <v>2316</v>
      </c>
      <c r="J229">
        <v>19</v>
      </c>
      <c r="K229" s="1" t="s">
        <v>66</v>
      </c>
    </row>
    <row r="230" spans="1:11">
      <c r="A230" s="17" t="s">
        <v>69</v>
      </c>
      <c r="B230" s="19" t="s">
        <v>50</v>
      </c>
      <c r="C230" s="19" t="s">
        <v>396</v>
      </c>
      <c r="D230" s="19" t="s">
        <v>397</v>
      </c>
      <c r="E230" s="20" t="s">
        <v>11</v>
      </c>
      <c r="F230" s="19" t="s">
        <v>57</v>
      </c>
      <c r="G230" s="19" t="s">
        <v>165</v>
      </c>
      <c r="H230" s="19" t="s">
        <v>31</v>
      </c>
      <c r="I230">
        <v>1616</v>
      </c>
      <c r="J230">
        <v>16</v>
      </c>
      <c r="K230" s="1" t="s">
        <v>65</v>
      </c>
    </row>
    <row r="231" spans="1:11">
      <c r="A231" s="17" t="s">
        <v>69</v>
      </c>
      <c r="B231" s="19" t="s">
        <v>50</v>
      </c>
      <c r="C231" s="19" t="s">
        <v>398</v>
      </c>
      <c r="D231" s="19" t="s">
        <v>399</v>
      </c>
      <c r="E231" s="20" t="s">
        <v>11</v>
      </c>
      <c r="F231" s="19" t="s">
        <v>57</v>
      </c>
      <c r="G231" s="19" t="s">
        <v>165</v>
      </c>
      <c r="H231" s="19" t="s">
        <v>31</v>
      </c>
      <c r="I231">
        <v>300</v>
      </c>
      <c r="J231">
        <v>1</v>
      </c>
      <c r="K231" s="1" t="s">
        <v>66</v>
      </c>
    </row>
    <row r="232" spans="1:11">
      <c r="A232" s="17" t="s">
        <v>69</v>
      </c>
      <c r="B232" s="19" t="s">
        <v>50</v>
      </c>
      <c r="C232" s="19" t="s">
        <v>398</v>
      </c>
      <c r="D232" s="19" t="s">
        <v>399</v>
      </c>
      <c r="E232" s="20" t="s">
        <v>11</v>
      </c>
      <c r="F232" s="19" t="s">
        <v>57</v>
      </c>
      <c r="G232" s="19" t="s">
        <v>165</v>
      </c>
      <c r="H232" s="19" t="s">
        <v>31</v>
      </c>
      <c r="I232">
        <v>1138</v>
      </c>
      <c r="J232">
        <v>55</v>
      </c>
      <c r="K232" s="1" t="s">
        <v>65</v>
      </c>
    </row>
    <row r="233" spans="1:11">
      <c r="A233" s="17" t="s">
        <v>69</v>
      </c>
      <c r="B233" s="19" t="s">
        <v>50</v>
      </c>
      <c r="C233" s="19" t="s">
        <v>400</v>
      </c>
      <c r="D233" s="19" t="s">
        <v>401</v>
      </c>
      <c r="E233" s="20" t="s">
        <v>11</v>
      </c>
      <c r="F233" s="19" t="s">
        <v>57</v>
      </c>
      <c r="G233" s="19" t="s">
        <v>165</v>
      </c>
      <c r="H233" s="19" t="s">
        <v>31</v>
      </c>
      <c r="I233">
        <v>281</v>
      </c>
      <c r="J233">
        <v>4</v>
      </c>
      <c r="K233" s="1" t="s">
        <v>66</v>
      </c>
    </row>
    <row r="234" spans="1:11">
      <c r="A234" s="17" t="s">
        <v>69</v>
      </c>
      <c r="B234" s="19" t="s">
        <v>50</v>
      </c>
      <c r="C234" s="19" t="s">
        <v>400</v>
      </c>
      <c r="D234" s="19" t="s">
        <v>401</v>
      </c>
      <c r="E234" s="20" t="s">
        <v>11</v>
      </c>
      <c r="F234" s="19" t="s">
        <v>57</v>
      </c>
      <c r="G234" s="19" t="s">
        <v>165</v>
      </c>
      <c r="H234" s="19" t="s">
        <v>31</v>
      </c>
      <c r="I234">
        <v>1071</v>
      </c>
      <c r="J234">
        <v>37</v>
      </c>
      <c r="K234" s="1" t="s">
        <v>65</v>
      </c>
    </row>
    <row r="235" spans="1:11">
      <c r="A235" s="17" t="s">
        <v>69</v>
      </c>
      <c r="B235" s="19" t="s">
        <v>50</v>
      </c>
      <c r="C235" s="19" t="s">
        <v>402</v>
      </c>
      <c r="D235" s="19" t="s">
        <v>403</v>
      </c>
      <c r="E235" s="20" t="s">
        <v>11</v>
      </c>
      <c r="F235" s="19" t="s">
        <v>57</v>
      </c>
      <c r="G235" s="19" t="s">
        <v>165</v>
      </c>
      <c r="H235" s="19" t="s">
        <v>31</v>
      </c>
      <c r="I235">
        <v>268</v>
      </c>
      <c r="J235">
        <v>0</v>
      </c>
      <c r="K235" s="1" t="s">
        <v>66</v>
      </c>
    </row>
    <row r="236" spans="1:11">
      <c r="A236" s="17" t="s">
        <v>69</v>
      </c>
      <c r="B236" s="19" t="s">
        <v>50</v>
      </c>
      <c r="C236" s="19" t="s">
        <v>402</v>
      </c>
      <c r="D236" s="19" t="s">
        <v>403</v>
      </c>
      <c r="E236" s="20" t="s">
        <v>11</v>
      </c>
      <c r="F236" s="19" t="s">
        <v>57</v>
      </c>
      <c r="G236" s="19" t="s">
        <v>165</v>
      </c>
      <c r="H236" s="19" t="s">
        <v>31</v>
      </c>
      <c r="I236">
        <v>1107</v>
      </c>
      <c r="J236">
        <v>47</v>
      </c>
      <c r="K236" s="1" t="s">
        <v>65</v>
      </c>
    </row>
    <row r="237" spans="1:11">
      <c r="A237" s="17" t="s">
        <v>69</v>
      </c>
      <c r="B237" s="19" t="s">
        <v>50</v>
      </c>
      <c r="C237" s="19" t="s">
        <v>404</v>
      </c>
      <c r="D237" s="19" t="s">
        <v>405</v>
      </c>
      <c r="E237" s="20" t="s">
        <v>11</v>
      </c>
      <c r="F237" s="19" t="s">
        <v>57</v>
      </c>
      <c r="G237" s="19" t="s">
        <v>165</v>
      </c>
      <c r="H237" s="19" t="s">
        <v>31</v>
      </c>
      <c r="I237">
        <v>260</v>
      </c>
      <c r="J237">
        <v>0</v>
      </c>
      <c r="K237" s="1" t="s">
        <v>66</v>
      </c>
    </row>
    <row r="238" spans="1:11">
      <c r="A238" s="17" t="s">
        <v>69</v>
      </c>
      <c r="B238" s="19" t="s">
        <v>50</v>
      </c>
      <c r="C238" s="19" t="s">
        <v>404</v>
      </c>
      <c r="D238" s="19" t="s">
        <v>405</v>
      </c>
      <c r="E238" s="20" t="s">
        <v>11</v>
      </c>
      <c r="F238" s="19" t="s">
        <v>57</v>
      </c>
      <c r="G238" s="19" t="s">
        <v>165</v>
      </c>
      <c r="H238" s="19" t="s">
        <v>31</v>
      </c>
      <c r="I238">
        <v>1140</v>
      </c>
      <c r="J238">
        <v>41</v>
      </c>
      <c r="K238" s="1" t="s">
        <v>65</v>
      </c>
    </row>
    <row r="239" spans="1:11">
      <c r="A239" s="17" t="s">
        <v>69</v>
      </c>
      <c r="B239" s="19" t="s">
        <v>50</v>
      </c>
      <c r="C239" s="19" t="s">
        <v>406</v>
      </c>
      <c r="D239" s="19" t="s">
        <v>407</v>
      </c>
      <c r="E239" s="20" t="s">
        <v>11</v>
      </c>
      <c r="F239" s="19" t="s">
        <v>57</v>
      </c>
      <c r="G239" s="19" t="s">
        <v>165</v>
      </c>
      <c r="H239" s="19" t="s">
        <v>31</v>
      </c>
      <c r="I239">
        <v>270</v>
      </c>
      <c r="J239">
        <v>1</v>
      </c>
      <c r="K239" s="1" t="s">
        <v>66</v>
      </c>
    </row>
    <row r="240" spans="1:11">
      <c r="A240" s="17" t="s">
        <v>69</v>
      </c>
      <c r="B240" s="19" t="s">
        <v>50</v>
      </c>
      <c r="C240" s="19" t="s">
        <v>406</v>
      </c>
      <c r="D240" s="19" t="s">
        <v>407</v>
      </c>
      <c r="E240" s="20" t="s">
        <v>11</v>
      </c>
      <c r="F240" s="19" t="s">
        <v>57</v>
      </c>
      <c r="G240" s="19" t="s">
        <v>165</v>
      </c>
      <c r="H240" s="19" t="s">
        <v>31</v>
      </c>
      <c r="I240">
        <v>1003</v>
      </c>
      <c r="J240">
        <v>50</v>
      </c>
      <c r="K240" s="1" t="s">
        <v>65</v>
      </c>
    </row>
    <row r="241" spans="1:11">
      <c r="A241" s="17" t="s">
        <v>69</v>
      </c>
      <c r="B241" s="19" t="s">
        <v>50</v>
      </c>
      <c r="C241" s="19" t="s">
        <v>408</v>
      </c>
      <c r="D241" s="19" t="s">
        <v>409</v>
      </c>
      <c r="E241" s="20" t="s">
        <v>11</v>
      </c>
      <c r="F241" s="19" t="s">
        <v>57</v>
      </c>
      <c r="G241" s="19" t="s">
        <v>165</v>
      </c>
      <c r="H241" s="19" t="s">
        <v>31</v>
      </c>
      <c r="I241">
        <v>378</v>
      </c>
      <c r="J241">
        <v>2</v>
      </c>
      <c r="K241" s="1" t="s">
        <v>66</v>
      </c>
    </row>
    <row r="242" spans="1:11">
      <c r="A242" s="17" t="s">
        <v>69</v>
      </c>
      <c r="B242" s="19" t="s">
        <v>50</v>
      </c>
      <c r="C242" s="19" t="s">
        <v>408</v>
      </c>
      <c r="D242" s="19" t="s">
        <v>409</v>
      </c>
      <c r="E242" s="20" t="s">
        <v>11</v>
      </c>
      <c r="F242" s="19" t="s">
        <v>57</v>
      </c>
      <c r="G242" s="19" t="s">
        <v>165</v>
      </c>
      <c r="H242" s="19" t="s">
        <v>31</v>
      </c>
      <c r="I242">
        <v>1101</v>
      </c>
      <c r="J242">
        <v>43</v>
      </c>
      <c r="K242" s="1" t="s">
        <v>65</v>
      </c>
    </row>
    <row r="243" spans="1:11">
      <c r="A243" s="17" t="s">
        <v>69</v>
      </c>
      <c r="B243" s="19" t="s">
        <v>50</v>
      </c>
      <c r="C243" s="19" t="s">
        <v>410</v>
      </c>
      <c r="D243" s="19" t="s">
        <v>411</v>
      </c>
      <c r="E243" s="20" t="s">
        <v>11</v>
      </c>
      <c r="F243" s="19" t="s">
        <v>57</v>
      </c>
      <c r="G243" s="19" t="s">
        <v>165</v>
      </c>
      <c r="H243" s="19" t="s">
        <v>31</v>
      </c>
      <c r="I243">
        <v>282</v>
      </c>
      <c r="J243">
        <v>0</v>
      </c>
      <c r="K243" s="1" t="s">
        <v>66</v>
      </c>
    </row>
    <row r="244" spans="1:11">
      <c r="A244" s="17" t="s">
        <v>69</v>
      </c>
      <c r="B244" s="19" t="s">
        <v>50</v>
      </c>
      <c r="C244" s="19" t="s">
        <v>410</v>
      </c>
      <c r="D244" s="19" t="s">
        <v>411</v>
      </c>
      <c r="E244" s="20" t="s">
        <v>11</v>
      </c>
      <c r="F244" s="19" t="s">
        <v>57</v>
      </c>
      <c r="G244" s="19" t="s">
        <v>165</v>
      </c>
      <c r="H244" s="19" t="s">
        <v>31</v>
      </c>
      <c r="I244">
        <v>1106</v>
      </c>
      <c r="J244">
        <v>51</v>
      </c>
      <c r="K244" s="1" t="s">
        <v>65</v>
      </c>
    </row>
    <row r="245" spans="1:11">
      <c r="A245" s="17" t="s">
        <v>69</v>
      </c>
      <c r="B245" s="19" t="s">
        <v>50</v>
      </c>
      <c r="C245" s="19" t="s">
        <v>412</v>
      </c>
      <c r="D245" s="19" t="s">
        <v>413</v>
      </c>
      <c r="E245" s="20" t="s">
        <v>11</v>
      </c>
      <c r="F245" s="19" t="s">
        <v>57</v>
      </c>
      <c r="G245" s="19" t="s">
        <v>165</v>
      </c>
      <c r="H245" s="19" t="s">
        <v>31</v>
      </c>
      <c r="I245">
        <v>267</v>
      </c>
      <c r="J245">
        <v>0</v>
      </c>
      <c r="K245" s="1" t="s">
        <v>66</v>
      </c>
    </row>
    <row r="246" spans="1:11">
      <c r="A246" s="17" t="s">
        <v>69</v>
      </c>
      <c r="B246" s="19" t="s">
        <v>50</v>
      </c>
      <c r="C246" s="19" t="s">
        <v>412</v>
      </c>
      <c r="D246" s="19" t="s">
        <v>413</v>
      </c>
      <c r="E246" s="20" t="s">
        <v>11</v>
      </c>
      <c r="F246" s="19" t="s">
        <v>57</v>
      </c>
      <c r="G246" s="19" t="s">
        <v>165</v>
      </c>
      <c r="H246" s="19" t="s">
        <v>31</v>
      </c>
      <c r="I246">
        <v>1120</v>
      </c>
      <c r="J246">
        <v>54</v>
      </c>
      <c r="K246" s="1" t="s">
        <v>65</v>
      </c>
    </row>
    <row r="247" spans="1:11">
      <c r="A247" s="17" t="s">
        <v>69</v>
      </c>
      <c r="B247" s="19" t="s">
        <v>50</v>
      </c>
      <c r="C247" s="19" t="s">
        <v>414</v>
      </c>
      <c r="D247" s="19" t="s">
        <v>415</v>
      </c>
      <c r="E247" s="20" t="s">
        <v>11</v>
      </c>
      <c r="F247" s="19" t="s">
        <v>57</v>
      </c>
      <c r="G247" s="19" t="s">
        <v>165</v>
      </c>
      <c r="H247" s="19" t="s">
        <v>31</v>
      </c>
      <c r="I247">
        <v>303</v>
      </c>
      <c r="J247">
        <v>0</v>
      </c>
      <c r="K247" s="1" t="s">
        <v>66</v>
      </c>
    </row>
    <row r="248" spans="1:11">
      <c r="A248" s="17" t="s">
        <v>69</v>
      </c>
      <c r="B248" s="19" t="s">
        <v>50</v>
      </c>
      <c r="C248" s="19" t="s">
        <v>414</v>
      </c>
      <c r="D248" s="19" t="s">
        <v>415</v>
      </c>
      <c r="E248" s="20" t="s">
        <v>11</v>
      </c>
      <c r="F248" s="19" t="s">
        <v>57</v>
      </c>
      <c r="G248" s="19" t="s">
        <v>165</v>
      </c>
      <c r="H248" s="19" t="s">
        <v>31</v>
      </c>
      <c r="I248">
        <v>955</v>
      </c>
      <c r="J248">
        <v>39</v>
      </c>
      <c r="K248" s="1" t="s">
        <v>65</v>
      </c>
    </row>
    <row r="249" spans="1:11">
      <c r="A249" s="17" t="s">
        <v>69</v>
      </c>
      <c r="B249" s="19" t="s">
        <v>50</v>
      </c>
      <c r="C249" s="19" t="s">
        <v>416</v>
      </c>
      <c r="D249" s="19" t="s">
        <v>417</v>
      </c>
      <c r="E249" s="20" t="s">
        <v>11</v>
      </c>
      <c r="F249" s="19" t="s">
        <v>57</v>
      </c>
      <c r="G249" s="19" t="s">
        <v>165</v>
      </c>
      <c r="H249" s="19" t="s">
        <v>31</v>
      </c>
      <c r="I249">
        <v>259</v>
      </c>
      <c r="J249">
        <v>0</v>
      </c>
      <c r="K249" s="1" t="s">
        <v>66</v>
      </c>
    </row>
    <row r="250" spans="1:11">
      <c r="A250" s="17" t="s">
        <v>69</v>
      </c>
      <c r="B250" s="19" t="s">
        <v>50</v>
      </c>
      <c r="C250" s="19" t="s">
        <v>416</v>
      </c>
      <c r="D250" s="19" t="s">
        <v>417</v>
      </c>
      <c r="E250" s="20" t="s">
        <v>11</v>
      </c>
      <c r="F250" s="19" t="s">
        <v>57</v>
      </c>
      <c r="G250" s="19" t="s">
        <v>165</v>
      </c>
      <c r="H250" s="19" t="s">
        <v>31</v>
      </c>
      <c r="I250">
        <v>1148</v>
      </c>
      <c r="J250">
        <v>42</v>
      </c>
      <c r="K250" s="1" t="s">
        <v>65</v>
      </c>
    </row>
    <row r="251" spans="1:11">
      <c r="A251" s="17" t="s">
        <v>69</v>
      </c>
      <c r="B251" s="19" t="s">
        <v>50</v>
      </c>
      <c r="C251" s="19" t="s">
        <v>418</v>
      </c>
      <c r="D251" s="19" t="s">
        <v>419</v>
      </c>
      <c r="E251" s="20" t="s">
        <v>11</v>
      </c>
      <c r="F251" s="19" t="s">
        <v>57</v>
      </c>
      <c r="G251" s="19" t="s">
        <v>165</v>
      </c>
      <c r="H251" s="19" t="s">
        <v>31</v>
      </c>
      <c r="I251">
        <v>273</v>
      </c>
      <c r="J251">
        <v>0</v>
      </c>
      <c r="K251" s="1" t="s">
        <v>66</v>
      </c>
    </row>
    <row r="252" spans="1:11">
      <c r="A252" s="17" t="s">
        <v>69</v>
      </c>
      <c r="B252" s="19" t="s">
        <v>50</v>
      </c>
      <c r="C252" s="19" t="s">
        <v>418</v>
      </c>
      <c r="D252" s="19" t="s">
        <v>419</v>
      </c>
      <c r="E252" s="20" t="s">
        <v>11</v>
      </c>
      <c r="F252" s="19" t="s">
        <v>57</v>
      </c>
      <c r="G252" s="19" t="s">
        <v>165</v>
      </c>
      <c r="H252" s="19" t="s">
        <v>31</v>
      </c>
      <c r="I252">
        <v>1213</v>
      </c>
      <c r="J252">
        <v>65</v>
      </c>
      <c r="K252" s="1" t="s">
        <v>65</v>
      </c>
    </row>
    <row r="253" spans="1:11">
      <c r="A253" s="17" t="s">
        <v>69</v>
      </c>
      <c r="B253" s="19" t="s">
        <v>50</v>
      </c>
      <c r="C253" s="19" t="s">
        <v>420</v>
      </c>
      <c r="D253" s="19" t="s">
        <v>421</v>
      </c>
      <c r="E253" s="20" t="s">
        <v>11</v>
      </c>
      <c r="F253" s="19" t="s">
        <v>57</v>
      </c>
      <c r="G253" s="19" t="s">
        <v>165</v>
      </c>
      <c r="H253" s="19" t="s">
        <v>31</v>
      </c>
      <c r="I253">
        <v>261</v>
      </c>
      <c r="J253">
        <v>0</v>
      </c>
      <c r="K253" s="1" t="s">
        <v>66</v>
      </c>
    </row>
    <row r="254" spans="1:11">
      <c r="A254" s="17" t="s">
        <v>69</v>
      </c>
      <c r="B254" s="19" t="s">
        <v>50</v>
      </c>
      <c r="C254" s="19" t="s">
        <v>420</v>
      </c>
      <c r="D254" s="19" t="s">
        <v>421</v>
      </c>
      <c r="E254" s="20" t="s">
        <v>11</v>
      </c>
      <c r="F254" s="19" t="s">
        <v>57</v>
      </c>
      <c r="G254" s="19" t="s">
        <v>165</v>
      </c>
      <c r="H254" s="19" t="s">
        <v>31</v>
      </c>
      <c r="I254">
        <v>1088</v>
      </c>
      <c r="J254">
        <v>62</v>
      </c>
      <c r="K254" s="1" t="s">
        <v>65</v>
      </c>
    </row>
    <row r="255" spans="1:11">
      <c r="A255" s="17" t="s">
        <v>69</v>
      </c>
      <c r="B255" s="19" t="s">
        <v>50</v>
      </c>
      <c r="C255" s="19" t="s">
        <v>422</v>
      </c>
      <c r="D255" s="19" t="s">
        <v>423</v>
      </c>
      <c r="E255" s="20" t="s">
        <v>11</v>
      </c>
      <c r="F255" s="19" t="s">
        <v>57</v>
      </c>
      <c r="G255" s="19" t="s">
        <v>165</v>
      </c>
      <c r="H255" s="19" t="s">
        <v>31</v>
      </c>
      <c r="I255">
        <v>357</v>
      </c>
      <c r="J255">
        <v>0</v>
      </c>
      <c r="K255" s="1" t="s">
        <v>66</v>
      </c>
    </row>
    <row r="256" spans="1:11">
      <c r="A256" s="17" t="s">
        <v>69</v>
      </c>
      <c r="B256" s="19" t="s">
        <v>50</v>
      </c>
      <c r="C256" s="19" t="s">
        <v>422</v>
      </c>
      <c r="D256" s="19" t="s">
        <v>423</v>
      </c>
      <c r="E256" s="20" t="s">
        <v>11</v>
      </c>
      <c r="F256" s="19" t="s">
        <v>57</v>
      </c>
      <c r="G256" s="19" t="s">
        <v>165</v>
      </c>
      <c r="H256" s="19" t="s">
        <v>31</v>
      </c>
      <c r="I256">
        <v>1136</v>
      </c>
      <c r="J256">
        <v>49</v>
      </c>
      <c r="K256" s="1" t="s">
        <v>65</v>
      </c>
    </row>
    <row r="257" spans="1:11">
      <c r="A257" s="17" t="s">
        <v>69</v>
      </c>
      <c r="B257" s="19" t="s">
        <v>50</v>
      </c>
      <c r="C257" s="19" t="s">
        <v>424</v>
      </c>
      <c r="D257" s="19" t="s">
        <v>425</v>
      </c>
      <c r="E257" s="20" t="s">
        <v>11</v>
      </c>
      <c r="F257" s="19" t="s">
        <v>57</v>
      </c>
      <c r="G257" s="19" t="s">
        <v>165</v>
      </c>
      <c r="H257" s="19" t="s">
        <v>31</v>
      </c>
      <c r="I257">
        <v>280</v>
      </c>
      <c r="J257">
        <v>0</v>
      </c>
      <c r="K257" s="1" t="s">
        <v>66</v>
      </c>
    </row>
    <row r="258" spans="1:11">
      <c r="A258" s="17" t="s">
        <v>69</v>
      </c>
      <c r="B258" s="19" t="s">
        <v>50</v>
      </c>
      <c r="C258" s="19" t="s">
        <v>424</v>
      </c>
      <c r="D258" s="19" t="s">
        <v>425</v>
      </c>
      <c r="E258" s="20" t="s">
        <v>11</v>
      </c>
      <c r="F258" s="19" t="s">
        <v>57</v>
      </c>
      <c r="G258" s="19" t="s">
        <v>165</v>
      </c>
      <c r="H258" s="19" t="s">
        <v>31</v>
      </c>
      <c r="I258">
        <v>1080</v>
      </c>
      <c r="J258">
        <v>46</v>
      </c>
      <c r="K258" s="1" t="s">
        <v>65</v>
      </c>
    </row>
    <row r="259" spans="1:11">
      <c r="A259" s="17" t="s">
        <v>69</v>
      </c>
      <c r="B259" s="19" t="s">
        <v>50</v>
      </c>
      <c r="C259" s="19" t="s">
        <v>426</v>
      </c>
      <c r="D259" s="19" t="s">
        <v>427</v>
      </c>
      <c r="E259" s="20" t="s">
        <v>11</v>
      </c>
      <c r="F259" s="19" t="s">
        <v>57</v>
      </c>
      <c r="G259" s="19" t="s">
        <v>165</v>
      </c>
      <c r="H259" s="19" t="s">
        <v>31</v>
      </c>
      <c r="I259">
        <v>307</v>
      </c>
      <c r="J259">
        <v>1</v>
      </c>
      <c r="K259" s="1" t="s">
        <v>66</v>
      </c>
    </row>
    <row r="260" spans="1:11">
      <c r="A260" s="17" t="s">
        <v>69</v>
      </c>
      <c r="B260" s="19" t="s">
        <v>50</v>
      </c>
      <c r="C260" s="19" t="s">
        <v>426</v>
      </c>
      <c r="D260" s="19" t="s">
        <v>427</v>
      </c>
      <c r="E260" s="20" t="s">
        <v>11</v>
      </c>
      <c r="F260" s="19" t="s">
        <v>57</v>
      </c>
      <c r="G260" s="19" t="s">
        <v>165</v>
      </c>
      <c r="H260" s="19" t="s">
        <v>31</v>
      </c>
      <c r="I260">
        <v>1081</v>
      </c>
      <c r="J260">
        <v>50</v>
      </c>
      <c r="K260" s="1" t="s">
        <v>65</v>
      </c>
    </row>
    <row r="261" spans="1:11">
      <c r="A261" s="17" t="s">
        <v>69</v>
      </c>
      <c r="B261" s="19" t="s">
        <v>50</v>
      </c>
      <c r="C261" s="19" t="s">
        <v>428</v>
      </c>
      <c r="D261" s="19" t="s">
        <v>429</v>
      </c>
      <c r="E261" s="20" t="s">
        <v>11</v>
      </c>
      <c r="F261" s="19" t="s">
        <v>57</v>
      </c>
      <c r="G261" s="19" t="s">
        <v>165</v>
      </c>
      <c r="H261" s="19" t="s">
        <v>31</v>
      </c>
      <c r="I261">
        <v>374</v>
      </c>
      <c r="J261">
        <v>0</v>
      </c>
      <c r="K261" s="1" t="s">
        <v>66</v>
      </c>
    </row>
    <row r="262" spans="1:11">
      <c r="A262" s="17" t="s">
        <v>69</v>
      </c>
      <c r="B262" s="19" t="s">
        <v>50</v>
      </c>
      <c r="C262" s="19" t="s">
        <v>428</v>
      </c>
      <c r="D262" s="19" t="s">
        <v>429</v>
      </c>
      <c r="E262" s="20" t="s">
        <v>11</v>
      </c>
      <c r="F262" s="19" t="s">
        <v>57</v>
      </c>
      <c r="G262" s="19" t="s">
        <v>165</v>
      </c>
      <c r="H262" s="19" t="s">
        <v>31</v>
      </c>
      <c r="I262">
        <v>1211</v>
      </c>
      <c r="J262">
        <v>55</v>
      </c>
      <c r="K262" s="1" t="s">
        <v>65</v>
      </c>
    </row>
    <row r="263" spans="1:11">
      <c r="A263" s="17" t="s">
        <v>69</v>
      </c>
      <c r="B263" s="19" t="s">
        <v>50</v>
      </c>
      <c r="C263" s="19" t="s">
        <v>430</v>
      </c>
      <c r="D263" s="19" t="s">
        <v>431</v>
      </c>
      <c r="E263" s="20" t="s">
        <v>11</v>
      </c>
      <c r="F263" s="19" t="s">
        <v>52</v>
      </c>
      <c r="G263" s="19" t="s">
        <v>171</v>
      </c>
      <c r="H263" s="19" t="s">
        <v>31</v>
      </c>
      <c r="I263">
        <v>8711</v>
      </c>
      <c r="J263">
        <v>16</v>
      </c>
      <c r="K263" s="1" t="s">
        <v>66</v>
      </c>
    </row>
    <row r="264" spans="1:11">
      <c r="A264" s="17" t="s">
        <v>69</v>
      </c>
      <c r="B264" s="19" t="s">
        <v>50</v>
      </c>
      <c r="C264" s="19" t="s">
        <v>430</v>
      </c>
      <c r="D264" s="19" t="s">
        <v>431</v>
      </c>
      <c r="E264" s="20" t="s">
        <v>11</v>
      </c>
      <c r="F264" s="19" t="s">
        <v>52</v>
      </c>
      <c r="G264" s="19" t="s">
        <v>171</v>
      </c>
      <c r="H264" s="19" t="s">
        <v>31</v>
      </c>
      <c r="I264">
        <v>3781</v>
      </c>
      <c r="J264">
        <v>56</v>
      </c>
      <c r="K264" s="1" t="s">
        <v>65</v>
      </c>
    </row>
    <row r="265" spans="1:11">
      <c r="A265" s="17" t="s">
        <v>69</v>
      </c>
      <c r="B265" s="19" t="s">
        <v>50</v>
      </c>
      <c r="C265" s="19" t="s">
        <v>432</v>
      </c>
      <c r="D265" s="19" t="s">
        <v>433</v>
      </c>
      <c r="E265" s="20" t="s">
        <v>11</v>
      </c>
      <c r="F265" s="19" t="s">
        <v>52</v>
      </c>
      <c r="G265" s="19" t="s">
        <v>171</v>
      </c>
      <c r="H265" s="19" t="s">
        <v>31</v>
      </c>
      <c r="I265">
        <v>9125</v>
      </c>
      <c r="J265">
        <v>31</v>
      </c>
      <c r="K265" s="1" t="s">
        <v>66</v>
      </c>
    </row>
    <row r="266" spans="1:11">
      <c r="A266" s="17" t="s">
        <v>69</v>
      </c>
      <c r="B266" s="19" t="s">
        <v>50</v>
      </c>
      <c r="C266" s="19" t="s">
        <v>432</v>
      </c>
      <c r="D266" s="19" t="s">
        <v>433</v>
      </c>
      <c r="E266" s="20" t="s">
        <v>11</v>
      </c>
      <c r="F266" s="19" t="s">
        <v>52</v>
      </c>
      <c r="G266" s="19" t="s">
        <v>171</v>
      </c>
      <c r="H266" s="19" t="s">
        <v>31</v>
      </c>
      <c r="I266">
        <v>9152</v>
      </c>
      <c r="J266">
        <v>100</v>
      </c>
      <c r="K266" s="1" t="s">
        <v>65</v>
      </c>
    </row>
    <row r="267" spans="1:11">
      <c r="A267" s="17" t="s">
        <v>69</v>
      </c>
      <c r="B267" s="19" t="s">
        <v>50</v>
      </c>
      <c r="C267" s="19" t="s">
        <v>434</v>
      </c>
      <c r="D267" s="19" t="s">
        <v>435</v>
      </c>
      <c r="E267" s="20" t="s">
        <v>11</v>
      </c>
      <c r="F267" s="19" t="s">
        <v>52</v>
      </c>
      <c r="G267" s="19" t="s">
        <v>171</v>
      </c>
      <c r="H267" s="19" t="s">
        <v>31</v>
      </c>
      <c r="I267">
        <v>8486</v>
      </c>
      <c r="J267">
        <v>23</v>
      </c>
      <c r="K267" s="1" t="s">
        <v>66</v>
      </c>
    </row>
    <row r="268" spans="1:11">
      <c r="A268" s="17" t="s">
        <v>69</v>
      </c>
      <c r="B268" s="19" t="s">
        <v>50</v>
      </c>
      <c r="C268" s="19" t="s">
        <v>434</v>
      </c>
      <c r="D268" s="19" t="s">
        <v>435</v>
      </c>
      <c r="E268" s="20" t="s">
        <v>11</v>
      </c>
      <c r="F268" s="19" t="s">
        <v>52</v>
      </c>
      <c r="G268" s="19" t="s">
        <v>171</v>
      </c>
      <c r="H268" s="19" t="s">
        <v>31</v>
      </c>
      <c r="I268">
        <v>7167</v>
      </c>
      <c r="J268">
        <v>80</v>
      </c>
      <c r="K268" s="1" t="s">
        <v>65</v>
      </c>
    </row>
    <row r="269" spans="1:11">
      <c r="A269" s="17" t="s">
        <v>69</v>
      </c>
      <c r="B269" s="19" t="s">
        <v>50</v>
      </c>
      <c r="C269" s="19" t="s">
        <v>436</v>
      </c>
      <c r="D269" s="19" t="s">
        <v>437</v>
      </c>
      <c r="E269" s="20" t="s">
        <v>11</v>
      </c>
      <c r="F269" s="19" t="s">
        <v>52</v>
      </c>
      <c r="G269" s="19" t="s">
        <v>171</v>
      </c>
      <c r="H269" s="19" t="s">
        <v>31</v>
      </c>
      <c r="I269">
        <v>8905</v>
      </c>
      <c r="J269">
        <v>28</v>
      </c>
      <c r="K269" s="1" t="s">
        <v>66</v>
      </c>
    </row>
    <row r="270" spans="1:11">
      <c r="A270" s="17" t="s">
        <v>69</v>
      </c>
      <c r="B270" s="19" t="s">
        <v>50</v>
      </c>
      <c r="C270" s="19" t="s">
        <v>436</v>
      </c>
      <c r="D270" s="19" t="s">
        <v>437</v>
      </c>
      <c r="E270" s="20" t="s">
        <v>11</v>
      </c>
      <c r="F270" s="19" t="s">
        <v>52</v>
      </c>
      <c r="G270" s="19" t="s">
        <v>171</v>
      </c>
      <c r="H270" s="19" t="s">
        <v>31</v>
      </c>
      <c r="I270">
        <v>4039</v>
      </c>
      <c r="J270">
        <v>44</v>
      </c>
      <c r="K270" s="1" t="s">
        <v>65</v>
      </c>
    </row>
    <row r="271" spans="1:11">
      <c r="A271" s="17" t="s">
        <v>69</v>
      </c>
      <c r="B271" s="19" t="s">
        <v>50</v>
      </c>
      <c r="C271" s="19" t="s">
        <v>438</v>
      </c>
      <c r="D271" s="19" t="s">
        <v>439</v>
      </c>
      <c r="E271" s="20" t="s">
        <v>11</v>
      </c>
      <c r="F271" s="19" t="s">
        <v>52</v>
      </c>
      <c r="G271" s="19" t="s">
        <v>171</v>
      </c>
      <c r="H271" s="19" t="s">
        <v>31</v>
      </c>
      <c r="I271">
        <v>8653</v>
      </c>
      <c r="J271">
        <v>23</v>
      </c>
      <c r="K271" s="1" t="s">
        <v>66</v>
      </c>
    </row>
    <row r="272" spans="1:11">
      <c r="A272" s="17" t="s">
        <v>69</v>
      </c>
      <c r="B272" s="19" t="s">
        <v>50</v>
      </c>
      <c r="C272" s="19" t="s">
        <v>438</v>
      </c>
      <c r="D272" s="19" t="s">
        <v>439</v>
      </c>
      <c r="E272" s="20" t="s">
        <v>11</v>
      </c>
      <c r="F272" s="19" t="s">
        <v>52</v>
      </c>
      <c r="G272" s="19" t="s">
        <v>171</v>
      </c>
      <c r="H272" s="19" t="s">
        <v>31</v>
      </c>
      <c r="I272">
        <v>9729</v>
      </c>
      <c r="J272">
        <v>101</v>
      </c>
      <c r="K272" s="1" t="s">
        <v>65</v>
      </c>
    </row>
    <row r="273" spans="1:11">
      <c r="A273" s="17" t="s">
        <v>69</v>
      </c>
      <c r="B273" s="19" t="s">
        <v>50</v>
      </c>
      <c r="C273" s="19" t="s">
        <v>440</v>
      </c>
      <c r="D273" s="19" t="s">
        <v>441</v>
      </c>
      <c r="E273" s="20" t="s">
        <v>11</v>
      </c>
      <c r="F273" s="19" t="s">
        <v>52</v>
      </c>
      <c r="G273" s="19" t="s">
        <v>171</v>
      </c>
      <c r="H273" s="19" t="s">
        <v>31</v>
      </c>
      <c r="I273">
        <v>10503</v>
      </c>
      <c r="J273">
        <v>35</v>
      </c>
      <c r="K273" s="1" t="s">
        <v>66</v>
      </c>
    </row>
    <row r="274" spans="1:11">
      <c r="A274" s="17" t="s">
        <v>69</v>
      </c>
      <c r="B274" s="19" t="s">
        <v>50</v>
      </c>
      <c r="C274" s="19" t="s">
        <v>440</v>
      </c>
      <c r="D274" s="19" t="s">
        <v>441</v>
      </c>
      <c r="E274" s="20" t="s">
        <v>11</v>
      </c>
      <c r="F274" s="19" t="s">
        <v>52</v>
      </c>
      <c r="G274" s="19" t="s">
        <v>171</v>
      </c>
      <c r="H274" s="19" t="s">
        <v>31</v>
      </c>
      <c r="I274">
        <v>4064</v>
      </c>
      <c r="J274">
        <v>11</v>
      </c>
      <c r="K274" s="1" t="s">
        <v>65</v>
      </c>
    </row>
    <row r="275" spans="1:11">
      <c r="A275" s="17" t="s">
        <v>69</v>
      </c>
      <c r="B275" s="19" t="s">
        <v>50</v>
      </c>
      <c r="C275" s="19" t="s">
        <v>442</v>
      </c>
      <c r="D275" s="19" t="s">
        <v>443</v>
      </c>
      <c r="E275" s="20" t="s">
        <v>11</v>
      </c>
      <c r="F275" s="19" t="s">
        <v>52</v>
      </c>
      <c r="G275" s="19" t="s">
        <v>171</v>
      </c>
      <c r="H275" s="19" t="s">
        <v>31</v>
      </c>
      <c r="I275">
        <v>10639</v>
      </c>
      <c r="J275">
        <v>42</v>
      </c>
      <c r="K275" s="1" t="s">
        <v>66</v>
      </c>
    </row>
    <row r="276" spans="1:11">
      <c r="A276" s="17" t="s">
        <v>69</v>
      </c>
      <c r="B276" s="19" t="s">
        <v>50</v>
      </c>
      <c r="C276" s="19" t="s">
        <v>442</v>
      </c>
      <c r="D276" s="19" t="s">
        <v>443</v>
      </c>
      <c r="E276" s="20" t="s">
        <v>11</v>
      </c>
      <c r="F276" s="19" t="s">
        <v>52</v>
      </c>
      <c r="G276" s="19" t="s">
        <v>171</v>
      </c>
      <c r="H276" s="19" t="s">
        <v>31</v>
      </c>
      <c r="I276">
        <v>4117</v>
      </c>
      <c r="J276">
        <v>7</v>
      </c>
      <c r="K276" s="1" t="s">
        <v>65</v>
      </c>
    </row>
    <row r="277" spans="1:11">
      <c r="A277" s="17" t="s">
        <v>69</v>
      </c>
      <c r="B277" s="19" t="s">
        <v>50</v>
      </c>
      <c r="C277" s="19" t="s">
        <v>444</v>
      </c>
      <c r="D277" s="19" t="s">
        <v>445</v>
      </c>
      <c r="E277" s="20" t="s">
        <v>11</v>
      </c>
      <c r="F277" s="19" t="s">
        <v>52</v>
      </c>
      <c r="G277" s="19" t="s">
        <v>171</v>
      </c>
      <c r="H277" s="19" t="s">
        <v>31</v>
      </c>
      <c r="I277">
        <v>10381</v>
      </c>
      <c r="J277">
        <v>42</v>
      </c>
      <c r="K277" s="1" t="s">
        <v>66</v>
      </c>
    </row>
    <row r="278" spans="1:11">
      <c r="A278" s="17" t="s">
        <v>69</v>
      </c>
      <c r="B278" s="19" t="s">
        <v>50</v>
      </c>
      <c r="C278" s="19" t="s">
        <v>444</v>
      </c>
      <c r="D278" s="19" t="s">
        <v>445</v>
      </c>
      <c r="E278" s="20" t="s">
        <v>11</v>
      </c>
      <c r="F278" s="19" t="s">
        <v>52</v>
      </c>
      <c r="G278" s="19" t="s">
        <v>171</v>
      </c>
      <c r="H278" s="19" t="s">
        <v>31</v>
      </c>
      <c r="I278">
        <v>4182</v>
      </c>
      <c r="J278">
        <v>10</v>
      </c>
      <c r="K278" s="1" t="s">
        <v>65</v>
      </c>
    </row>
    <row r="279" spans="1:11">
      <c r="A279" s="17" t="s">
        <v>69</v>
      </c>
      <c r="B279" s="19" t="s">
        <v>50</v>
      </c>
      <c r="C279" s="19" t="s">
        <v>446</v>
      </c>
      <c r="D279" s="19" t="s">
        <v>447</v>
      </c>
      <c r="E279" s="20" t="s">
        <v>11</v>
      </c>
      <c r="F279" s="19" t="s">
        <v>52</v>
      </c>
      <c r="G279" s="19" t="s">
        <v>171</v>
      </c>
      <c r="H279" s="19" t="s">
        <v>31</v>
      </c>
      <c r="I279">
        <v>10743</v>
      </c>
      <c r="J279">
        <v>39</v>
      </c>
      <c r="K279" s="1" t="s">
        <v>66</v>
      </c>
    </row>
    <row r="280" spans="1:11">
      <c r="A280" s="17" t="s">
        <v>69</v>
      </c>
      <c r="B280" s="19" t="s">
        <v>50</v>
      </c>
      <c r="C280" s="19" t="s">
        <v>446</v>
      </c>
      <c r="D280" s="19" t="s">
        <v>447</v>
      </c>
      <c r="E280" s="20" t="s">
        <v>11</v>
      </c>
      <c r="F280" s="19" t="s">
        <v>52</v>
      </c>
      <c r="G280" s="19" t="s">
        <v>171</v>
      </c>
      <c r="H280" s="19" t="s">
        <v>31</v>
      </c>
      <c r="I280">
        <v>3964</v>
      </c>
      <c r="J280">
        <v>6</v>
      </c>
      <c r="K280" s="1" t="s">
        <v>65</v>
      </c>
    </row>
    <row r="281" spans="1:11">
      <c r="A281" s="17" t="s">
        <v>69</v>
      </c>
      <c r="B281" s="19" t="s">
        <v>50</v>
      </c>
      <c r="C281" s="19" t="s">
        <v>448</v>
      </c>
      <c r="D281" s="19" t="s">
        <v>449</v>
      </c>
      <c r="E281" s="20" t="s">
        <v>11</v>
      </c>
      <c r="F281" s="19" t="s">
        <v>52</v>
      </c>
      <c r="G281" s="19" t="s">
        <v>171</v>
      </c>
      <c r="H281" s="19" t="s">
        <v>31</v>
      </c>
      <c r="I281">
        <v>10726</v>
      </c>
      <c r="J281">
        <v>42</v>
      </c>
      <c r="K281" s="1" t="s">
        <v>66</v>
      </c>
    </row>
    <row r="282" spans="1:11">
      <c r="A282" s="17" t="s">
        <v>69</v>
      </c>
      <c r="B282" s="19" t="s">
        <v>50</v>
      </c>
      <c r="C282" s="19" t="s">
        <v>448</v>
      </c>
      <c r="D282" s="19" t="s">
        <v>449</v>
      </c>
      <c r="E282" s="20" t="s">
        <v>11</v>
      </c>
      <c r="F282" s="19" t="s">
        <v>52</v>
      </c>
      <c r="G282" s="19" t="s">
        <v>171</v>
      </c>
      <c r="H282" s="19" t="s">
        <v>31</v>
      </c>
      <c r="I282">
        <v>4160</v>
      </c>
      <c r="J282">
        <v>12</v>
      </c>
      <c r="K282" s="1" t="s">
        <v>65</v>
      </c>
    </row>
    <row r="283" spans="1:11">
      <c r="A283" s="17" t="s">
        <v>69</v>
      </c>
      <c r="B283" s="19" t="s">
        <v>50</v>
      </c>
      <c r="C283" s="19" t="s">
        <v>450</v>
      </c>
      <c r="D283" s="19" t="s">
        <v>451</v>
      </c>
      <c r="E283" s="20" t="s">
        <v>11</v>
      </c>
      <c r="F283" s="19" t="s">
        <v>52</v>
      </c>
      <c r="G283" s="19" t="s">
        <v>171</v>
      </c>
      <c r="H283" s="19" t="s">
        <v>31</v>
      </c>
      <c r="I283">
        <v>10891</v>
      </c>
      <c r="J283">
        <v>42</v>
      </c>
      <c r="K283" s="1" t="s">
        <v>66</v>
      </c>
    </row>
    <row r="284" spans="1:11">
      <c r="A284" s="17" t="s">
        <v>69</v>
      </c>
      <c r="B284" s="19" t="s">
        <v>50</v>
      </c>
      <c r="C284" s="19" t="s">
        <v>450</v>
      </c>
      <c r="D284" s="19" t="s">
        <v>451</v>
      </c>
      <c r="E284" s="20" t="s">
        <v>11</v>
      </c>
      <c r="F284" s="19" t="s">
        <v>52</v>
      </c>
      <c r="G284" s="19" t="s">
        <v>171</v>
      </c>
      <c r="H284" s="19" t="s">
        <v>31</v>
      </c>
      <c r="I284">
        <v>3986</v>
      </c>
      <c r="J284">
        <v>10</v>
      </c>
      <c r="K284" s="1" t="s">
        <v>65</v>
      </c>
    </row>
    <row r="285" spans="1:11">
      <c r="A285" s="17" t="s">
        <v>69</v>
      </c>
      <c r="B285" s="19" t="s">
        <v>50</v>
      </c>
      <c r="C285" s="19" t="s">
        <v>452</v>
      </c>
      <c r="D285" s="19" t="s">
        <v>453</v>
      </c>
      <c r="E285" s="20" t="s">
        <v>11</v>
      </c>
      <c r="F285" s="19" t="s">
        <v>52</v>
      </c>
      <c r="G285" s="19" t="s">
        <v>171</v>
      </c>
      <c r="H285" s="19" t="s">
        <v>31</v>
      </c>
      <c r="I285">
        <v>10913</v>
      </c>
      <c r="J285">
        <v>47</v>
      </c>
      <c r="K285" s="1" t="s">
        <v>66</v>
      </c>
    </row>
    <row r="286" spans="1:11">
      <c r="A286" s="17" t="s">
        <v>69</v>
      </c>
      <c r="B286" s="19" t="s">
        <v>50</v>
      </c>
      <c r="C286" s="19" t="s">
        <v>452</v>
      </c>
      <c r="D286" s="19" t="s">
        <v>453</v>
      </c>
      <c r="E286" s="20" t="s">
        <v>11</v>
      </c>
      <c r="F286" s="19" t="s">
        <v>52</v>
      </c>
      <c r="G286" s="19" t="s">
        <v>171</v>
      </c>
      <c r="H286" s="19" t="s">
        <v>31</v>
      </c>
      <c r="I286">
        <v>3928</v>
      </c>
      <c r="J286">
        <v>11</v>
      </c>
      <c r="K286" s="1" t="s">
        <v>65</v>
      </c>
    </row>
    <row r="287" spans="1:11">
      <c r="A287" s="17" t="s">
        <v>69</v>
      </c>
      <c r="B287" s="19" t="s">
        <v>50</v>
      </c>
      <c r="C287" s="19" t="s">
        <v>454</v>
      </c>
      <c r="D287" s="19" t="s">
        <v>455</v>
      </c>
      <c r="E287" s="20" t="s">
        <v>11</v>
      </c>
      <c r="F287" s="19" t="s">
        <v>52</v>
      </c>
      <c r="G287" s="19" t="s">
        <v>171</v>
      </c>
      <c r="H287" s="19" t="s">
        <v>31</v>
      </c>
      <c r="I287">
        <v>10243</v>
      </c>
      <c r="J287">
        <v>30</v>
      </c>
      <c r="K287" s="1" t="s">
        <v>66</v>
      </c>
    </row>
    <row r="288" spans="1:11">
      <c r="A288" s="17" t="s">
        <v>69</v>
      </c>
      <c r="B288" s="19" t="s">
        <v>50</v>
      </c>
      <c r="C288" s="19" t="s">
        <v>454</v>
      </c>
      <c r="D288" s="19" t="s">
        <v>455</v>
      </c>
      <c r="E288" s="20" t="s">
        <v>11</v>
      </c>
      <c r="F288" s="19" t="s">
        <v>52</v>
      </c>
      <c r="G288" s="19" t="s">
        <v>171</v>
      </c>
      <c r="H288" s="19" t="s">
        <v>31</v>
      </c>
      <c r="I288">
        <v>3678</v>
      </c>
      <c r="J288">
        <v>10</v>
      </c>
      <c r="K288" s="1" t="s">
        <v>65</v>
      </c>
    </row>
    <row r="289" spans="1:11">
      <c r="A289" s="17" t="s">
        <v>69</v>
      </c>
      <c r="B289" s="19" t="s">
        <v>50</v>
      </c>
      <c r="C289" s="19" t="s">
        <v>456</v>
      </c>
      <c r="D289" s="19" t="s">
        <v>457</v>
      </c>
      <c r="E289" s="20" t="s">
        <v>11</v>
      </c>
      <c r="F289" s="19" t="s">
        <v>52</v>
      </c>
      <c r="G289" s="19" t="s">
        <v>171</v>
      </c>
      <c r="H289" s="19" t="s">
        <v>31</v>
      </c>
      <c r="I289">
        <v>1804</v>
      </c>
      <c r="J289">
        <v>2</v>
      </c>
      <c r="K289" s="1" t="s">
        <v>65</v>
      </c>
    </row>
    <row r="290" spans="1:11">
      <c r="A290" s="17" t="s">
        <v>69</v>
      </c>
      <c r="B290" s="19" t="s">
        <v>50</v>
      </c>
      <c r="C290" s="19" t="s">
        <v>458</v>
      </c>
      <c r="D290" s="19" t="s">
        <v>459</v>
      </c>
      <c r="E290" s="20" t="s">
        <v>11</v>
      </c>
      <c r="F290" s="19" t="s">
        <v>52</v>
      </c>
      <c r="G290" s="19" t="s">
        <v>171</v>
      </c>
      <c r="H290" s="19" t="s">
        <v>31</v>
      </c>
      <c r="I290">
        <v>1942</v>
      </c>
      <c r="J290">
        <v>4</v>
      </c>
      <c r="K290" s="1" t="s">
        <v>65</v>
      </c>
    </row>
    <row r="291" spans="1:11">
      <c r="A291" s="17" t="s">
        <v>69</v>
      </c>
      <c r="B291" s="19" t="s">
        <v>50</v>
      </c>
      <c r="C291" s="19" t="s">
        <v>460</v>
      </c>
      <c r="D291" s="19" t="s">
        <v>461</v>
      </c>
      <c r="E291" s="20" t="s">
        <v>11</v>
      </c>
      <c r="F291" s="19" t="s">
        <v>52</v>
      </c>
      <c r="G291" s="19" t="s">
        <v>171</v>
      </c>
      <c r="H291" s="19" t="s">
        <v>31</v>
      </c>
      <c r="I291">
        <v>1821</v>
      </c>
      <c r="J291">
        <v>1</v>
      </c>
      <c r="K291" s="1" t="s">
        <v>65</v>
      </c>
    </row>
    <row r="292" spans="1:11">
      <c r="A292" s="17" t="s">
        <v>69</v>
      </c>
      <c r="B292" s="19" t="s">
        <v>50</v>
      </c>
      <c r="C292" s="19" t="s">
        <v>462</v>
      </c>
      <c r="D292" s="19" t="s">
        <v>463</v>
      </c>
      <c r="E292" s="20" t="s">
        <v>11</v>
      </c>
      <c r="F292" s="19" t="s">
        <v>52</v>
      </c>
      <c r="G292" s="19" t="s">
        <v>171</v>
      </c>
      <c r="H292" s="19" t="s">
        <v>31</v>
      </c>
      <c r="I292">
        <v>1896</v>
      </c>
      <c r="J292">
        <v>1</v>
      </c>
      <c r="K292" s="1" t="s">
        <v>65</v>
      </c>
    </row>
    <row r="293" spans="1:11">
      <c r="A293" s="17" t="s">
        <v>69</v>
      </c>
      <c r="B293" s="19" t="s">
        <v>50</v>
      </c>
      <c r="C293" s="19" t="s">
        <v>464</v>
      </c>
      <c r="D293" s="19" t="s">
        <v>465</v>
      </c>
      <c r="E293" s="20" t="s">
        <v>11</v>
      </c>
      <c r="F293" s="19" t="s">
        <v>52</v>
      </c>
      <c r="G293" s="19" t="s">
        <v>171</v>
      </c>
      <c r="H293" s="19" t="s">
        <v>31</v>
      </c>
      <c r="I293">
        <v>1826</v>
      </c>
      <c r="J293">
        <v>3</v>
      </c>
      <c r="K293" s="1" t="s">
        <v>65</v>
      </c>
    </row>
    <row r="294" spans="1:11">
      <c r="A294" s="17" t="s">
        <v>69</v>
      </c>
      <c r="B294" s="19" t="s">
        <v>50</v>
      </c>
      <c r="C294" s="19" t="s">
        <v>466</v>
      </c>
      <c r="D294" s="19" t="s">
        <v>467</v>
      </c>
      <c r="E294" s="20" t="s">
        <v>11</v>
      </c>
      <c r="F294" s="19" t="s">
        <v>52</v>
      </c>
      <c r="G294" s="19" t="s">
        <v>171</v>
      </c>
      <c r="H294" s="19" t="s">
        <v>31</v>
      </c>
      <c r="I294">
        <v>1856</v>
      </c>
      <c r="J294">
        <v>1</v>
      </c>
      <c r="K294" s="1" t="s">
        <v>65</v>
      </c>
    </row>
    <row r="295" spans="1:11">
      <c r="A295" s="17" t="s">
        <v>69</v>
      </c>
      <c r="B295" s="19" t="s">
        <v>50</v>
      </c>
      <c r="C295" s="19" t="s">
        <v>468</v>
      </c>
      <c r="D295" s="19" t="s">
        <v>469</v>
      </c>
      <c r="E295" s="20" t="s">
        <v>11</v>
      </c>
      <c r="F295" s="19" t="s">
        <v>52</v>
      </c>
      <c r="G295" s="19" t="s">
        <v>171</v>
      </c>
      <c r="H295" s="19" t="s">
        <v>31</v>
      </c>
      <c r="I295">
        <v>1890</v>
      </c>
      <c r="J295">
        <v>2</v>
      </c>
      <c r="K295" s="1" t="s">
        <v>65</v>
      </c>
    </row>
    <row r="296" spans="1:11">
      <c r="A296" s="17" t="s">
        <v>69</v>
      </c>
      <c r="B296" s="19" t="s">
        <v>50</v>
      </c>
      <c r="C296" s="19" t="s">
        <v>470</v>
      </c>
      <c r="D296" s="19" t="s">
        <v>471</v>
      </c>
      <c r="E296" s="20" t="s">
        <v>11</v>
      </c>
      <c r="F296" s="19" t="s">
        <v>52</v>
      </c>
      <c r="G296" s="19" t="s">
        <v>171</v>
      </c>
      <c r="H296" s="19" t="s">
        <v>31</v>
      </c>
      <c r="I296">
        <v>1867</v>
      </c>
      <c r="J296">
        <v>2</v>
      </c>
      <c r="K296" s="1" t="s">
        <v>65</v>
      </c>
    </row>
    <row r="297" spans="1:11">
      <c r="A297" s="17" t="s">
        <v>69</v>
      </c>
      <c r="B297" s="19" t="s">
        <v>50</v>
      </c>
      <c r="C297" s="19" t="s">
        <v>472</v>
      </c>
      <c r="D297" s="19" t="s">
        <v>473</v>
      </c>
      <c r="E297" s="20" t="s">
        <v>11</v>
      </c>
      <c r="F297" s="19" t="s">
        <v>52</v>
      </c>
      <c r="G297" s="19" t="s">
        <v>171</v>
      </c>
      <c r="H297" s="19" t="s">
        <v>31</v>
      </c>
      <c r="I297">
        <v>1937</v>
      </c>
      <c r="J297">
        <v>0</v>
      </c>
      <c r="K297" s="1" t="s">
        <v>65</v>
      </c>
    </row>
    <row r="298" spans="1:11">
      <c r="A298" s="17" t="s">
        <v>69</v>
      </c>
      <c r="B298" s="19" t="s">
        <v>50</v>
      </c>
      <c r="C298" s="19" t="s">
        <v>474</v>
      </c>
      <c r="D298" s="19" t="s">
        <v>475</v>
      </c>
      <c r="E298" s="20" t="s">
        <v>11</v>
      </c>
      <c r="F298" s="19" t="s">
        <v>52</v>
      </c>
      <c r="G298" s="19" t="s">
        <v>171</v>
      </c>
      <c r="H298" s="19" t="s">
        <v>31</v>
      </c>
      <c r="I298">
        <v>72411</v>
      </c>
      <c r="J298">
        <v>277</v>
      </c>
      <c r="K298" s="1" t="s">
        <v>66</v>
      </c>
    </row>
    <row r="299" spans="1:11">
      <c r="A299" s="17" t="s">
        <v>69</v>
      </c>
      <c r="B299" s="19" t="s">
        <v>50</v>
      </c>
      <c r="C299" s="19" t="s">
        <v>474</v>
      </c>
      <c r="D299" s="19" t="s">
        <v>475</v>
      </c>
      <c r="E299" s="20" t="s">
        <v>11</v>
      </c>
      <c r="F299" s="19" t="s">
        <v>52</v>
      </c>
      <c r="G299" s="19" t="s">
        <v>171</v>
      </c>
      <c r="H299" s="19" t="s">
        <v>31</v>
      </c>
      <c r="I299">
        <v>6575</v>
      </c>
      <c r="J299">
        <v>43</v>
      </c>
      <c r="K299" s="1" t="s">
        <v>65</v>
      </c>
    </row>
    <row r="300" spans="1:11">
      <c r="A300" s="17" t="s">
        <v>69</v>
      </c>
      <c r="B300" s="19" t="s">
        <v>50</v>
      </c>
      <c r="C300" s="19" t="s">
        <v>476</v>
      </c>
      <c r="D300" s="19" t="s">
        <v>477</v>
      </c>
      <c r="E300" s="20" t="s">
        <v>11</v>
      </c>
      <c r="F300" s="19" t="s">
        <v>52</v>
      </c>
      <c r="G300" s="19" t="s">
        <v>171</v>
      </c>
      <c r="H300" s="19" t="s">
        <v>31</v>
      </c>
      <c r="I300">
        <v>74016</v>
      </c>
      <c r="J300">
        <v>314</v>
      </c>
      <c r="K300" s="1" t="s">
        <v>66</v>
      </c>
    </row>
    <row r="301" spans="1:11">
      <c r="A301" s="17" t="s">
        <v>69</v>
      </c>
      <c r="B301" s="19" t="s">
        <v>50</v>
      </c>
      <c r="C301" s="19" t="s">
        <v>476</v>
      </c>
      <c r="D301" s="19" t="s">
        <v>477</v>
      </c>
      <c r="E301" s="20" t="s">
        <v>11</v>
      </c>
      <c r="F301" s="19" t="s">
        <v>52</v>
      </c>
      <c r="G301" s="19" t="s">
        <v>171</v>
      </c>
      <c r="H301" s="19" t="s">
        <v>31</v>
      </c>
      <c r="I301">
        <v>10816</v>
      </c>
      <c r="J301">
        <v>93</v>
      </c>
      <c r="K301" s="1" t="s">
        <v>65</v>
      </c>
    </row>
    <row r="302" spans="1:11">
      <c r="A302" s="17" t="s">
        <v>69</v>
      </c>
      <c r="B302" s="19" t="s">
        <v>50</v>
      </c>
      <c r="C302" s="19" t="s">
        <v>478</v>
      </c>
      <c r="D302" s="19" t="s">
        <v>479</v>
      </c>
      <c r="E302" s="20" t="s">
        <v>11</v>
      </c>
      <c r="F302" s="19" t="s">
        <v>52</v>
      </c>
      <c r="G302" s="19" t="s">
        <v>171</v>
      </c>
      <c r="H302" s="19" t="s">
        <v>31</v>
      </c>
      <c r="I302">
        <v>73460</v>
      </c>
      <c r="J302">
        <v>281</v>
      </c>
      <c r="K302" s="1" t="s">
        <v>66</v>
      </c>
    </row>
    <row r="303" spans="1:11">
      <c r="A303" s="17" t="s">
        <v>69</v>
      </c>
      <c r="B303" s="19" t="s">
        <v>50</v>
      </c>
      <c r="C303" s="19" t="s">
        <v>478</v>
      </c>
      <c r="D303" s="19" t="s">
        <v>479</v>
      </c>
      <c r="E303" s="20" t="s">
        <v>11</v>
      </c>
      <c r="F303" s="19" t="s">
        <v>52</v>
      </c>
      <c r="G303" s="19" t="s">
        <v>171</v>
      </c>
      <c r="H303" s="19" t="s">
        <v>31</v>
      </c>
      <c r="I303">
        <v>7498</v>
      </c>
      <c r="J303">
        <v>47</v>
      </c>
      <c r="K303" s="1" t="s">
        <v>65</v>
      </c>
    </row>
    <row r="304" spans="1:11">
      <c r="A304" s="17" t="s">
        <v>69</v>
      </c>
      <c r="B304" s="19" t="s">
        <v>50</v>
      </c>
      <c r="C304" s="19" t="s">
        <v>480</v>
      </c>
      <c r="D304" s="19" t="s">
        <v>481</v>
      </c>
      <c r="E304" s="20" t="s">
        <v>11</v>
      </c>
      <c r="F304" s="19" t="s">
        <v>52</v>
      </c>
      <c r="G304" s="19" t="s">
        <v>171</v>
      </c>
      <c r="H304" s="19" t="s">
        <v>31</v>
      </c>
      <c r="I304">
        <v>72884</v>
      </c>
      <c r="J304">
        <v>303</v>
      </c>
      <c r="K304" s="1" t="s">
        <v>66</v>
      </c>
    </row>
    <row r="305" spans="1:11">
      <c r="A305" s="17" t="s">
        <v>69</v>
      </c>
      <c r="B305" s="19" t="s">
        <v>50</v>
      </c>
      <c r="C305" s="19" t="s">
        <v>480</v>
      </c>
      <c r="D305" s="19" t="s">
        <v>481</v>
      </c>
      <c r="E305" s="20" t="s">
        <v>11</v>
      </c>
      <c r="F305" s="19" t="s">
        <v>52</v>
      </c>
      <c r="G305" s="19" t="s">
        <v>171</v>
      </c>
      <c r="H305" s="19" t="s">
        <v>31</v>
      </c>
      <c r="I305">
        <v>9420</v>
      </c>
      <c r="J305">
        <v>60</v>
      </c>
      <c r="K305" s="1" t="s">
        <v>65</v>
      </c>
    </row>
    <row r="306" spans="1:11">
      <c r="A306" s="17" t="s">
        <v>69</v>
      </c>
      <c r="B306" s="19" t="s">
        <v>50</v>
      </c>
      <c r="C306" s="19" t="s">
        <v>482</v>
      </c>
      <c r="D306" s="19" t="s">
        <v>483</v>
      </c>
      <c r="E306" s="20" t="s">
        <v>11</v>
      </c>
      <c r="F306" s="19" t="s">
        <v>52</v>
      </c>
      <c r="G306" s="19" t="s">
        <v>171</v>
      </c>
      <c r="H306" s="19" t="s">
        <v>31</v>
      </c>
      <c r="I306">
        <v>8887</v>
      </c>
      <c r="J306">
        <v>20</v>
      </c>
      <c r="K306" s="1" t="s">
        <v>66</v>
      </c>
    </row>
    <row r="307" spans="1:11">
      <c r="A307" s="17" t="s">
        <v>69</v>
      </c>
      <c r="B307" s="19" t="s">
        <v>50</v>
      </c>
      <c r="C307" s="19" t="s">
        <v>482</v>
      </c>
      <c r="D307" s="19" t="s">
        <v>483</v>
      </c>
      <c r="E307" s="20" t="s">
        <v>11</v>
      </c>
      <c r="F307" s="19" t="s">
        <v>52</v>
      </c>
      <c r="G307" s="19" t="s">
        <v>171</v>
      </c>
      <c r="H307" s="19" t="s">
        <v>31</v>
      </c>
      <c r="I307">
        <v>4946</v>
      </c>
      <c r="J307">
        <v>50</v>
      </c>
      <c r="K307" s="1" t="s">
        <v>65</v>
      </c>
    </row>
    <row r="308" spans="1:11">
      <c r="A308" s="17" t="s">
        <v>69</v>
      </c>
      <c r="B308" s="19" t="s">
        <v>50</v>
      </c>
      <c r="C308" s="19" t="s">
        <v>484</v>
      </c>
      <c r="D308" s="19" t="s">
        <v>485</v>
      </c>
      <c r="E308" s="20" t="s">
        <v>11</v>
      </c>
      <c r="F308" s="19" t="s">
        <v>52</v>
      </c>
      <c r="G308" s="19" t="s">
        <v>171</v>
      </c>
      <c r="H308" s="19" t="s">
        <v>31</v>
      </c>
      <c r="I308">
        <v>8984</v>
      </c>
      <c r="J308">
        <v>21</v>
      </c>
      <c r="K308" s="1" t="s">
        <v>66</v>
      </c>
    </row>
    <row r="309" spans="1:11">
      <c r="A309" s="17" t="s">
        <v>69</v>
      </c>
      <c r="B309" s="19" t="s">
        <v>50</v>
      </c>
      <c r="C309" s="19" t="s">
        <v>484</v>
      </c>
      <c r="D309" s="19" t="s">
        <v>485</v>
      </c>
      <c r="E309" s="20" t="s">
        <v>11</v>
      </c>
      <c r="F309" s="19" t="s">
        <v>52</v>
      </c>
      <c r="G309" s="19" t="s">
        <v>171</v>
      </c>
      <c r="H309" s="19" t="s">
        <v>31</v>
      </c>
      <c r="I309">
        <v>5406</v>
      </c>
      <c r="J309">
        <v>66</v>
      </c>
      <c r="K309" s="1" t="s">
        <v>65</v>
      </c>
    </row>
    <row r="310" spans="1:11">
      <c r="A310" s="17" t="s">
        <v>69</v>
      </c>
      <c r="B310" s="19" t="s">
        <v>50</v>
      </c>
      <c r="C310" s="19" t="s">
        <v>486</v>
      </c>
      <c r="D310" s="19" t="s">
        <v>487</v>
      </c>
      <c r="E310" s="20" t="s">
        <v>11</v>
      </c>
      <c r="F310" s="19" t="s">
        <v>52</v>
      </c>
      <c r="G310" s="19" t="s">
        <v>171</v>
      </c>
      <c r="H310" s="19" t="s">
        <v>31</v>
      </c>
      <c r="I310">
        <v>9437</v>
      </c>
      <c r="J310">
        <v>29</v>
      </c>
      <c r="K310" s="1" t="s">
        <v>66</v>
      </c>
    </row>
    <row r="311" spans="1:11">
      <c r="A311" s="17" t="s">
        <v>69</v>
      </c>
      <c r="B311" s="19" t="s">
        <v>50</v>
      </c>
      <c r="C311" s="19" t="s">
        <v>486</v>
      </c>
      <c r="D311" s="19" t="s">
        <v>487</v>
      </c>
      <c r="E311" s="20" t="s">
        <v>11</v>
      </c>
      <c r="F311" s="19" t="s">
        <v>52</v>
      </c>
      <c r="G311" s="19" t="s">
        <v>171</v>
      </c>
      <c r="H311" s="19" t="s">
        <v>31</v>
      </c>
      <c r="I311">
        <v>26529</v>
      </c>
      <c r="J311">
        <v>112</v>
      </c>
      <c r="K311" s="1" t="s">
        <v>65</v>
      </c>
    </row>
    <row r="312" spans="1:11">
      <c r="A312" s="17" t="s">
        <v>69</v>
      </c>
      <c r="B312" s="19" t="s">
        <v>50</v>
      </c>
      <c r="C312" s="19" t="s">
        <v>488</v>
      </c>
      <c r="D312" s="19" t="s">
        <v>489</v>
      </c>
      <c r="E312" s="20" t="s">
        <v>11</v>
      </c>
      <c r="F312" s="19" t="s">
        <v>52</v>
      </c>
      <c r="G312" s="19" t="s">
        <v>171</v>
      </c>
      <c r="H312" s="19" t="s">
        <v>31</v>
      </c>
      <c r="I312">
        <v>9349</v>
      </c>
      <c r="J312">
        <v>28</v>
      </c>
      <c r="K312" s="1" t="s">
        <v>66</v>
      </c>
    </row>
    <row r="313" spans="1:11">
      <c r="A313" s="17" t="s">
        <v>69</v>
      </c>
      <c r="B313" s="19" t="s">
        <v>50</v>
      </c>
      <c r="C313" s="19" t="s">
        <v>488</v>
      </c>
      <c r="D313" s="19" t="s">
        <v>489</v>
      </c>
      <c r="E313" s="20" t="s">
        <v>11</v>
      </c>
      <c r="F313" s="19" t="s">
        <v>52</v>
      </c>
      <c r="G313" s="19" t="s">
        <v>171</v>
      </c>
      <c r="H313" s="19" t="s">
        <v>31</v>
      </c>
      <c r="I313">
        <v>5847</v>
      </c>
      <c r="J313">
        <v>71</v>
      </c>
      <c r="K313" s="1" t="s">
        <v>65</v>
      </c>
    </row>
    <row r="314" spans="1:11">
      <c r="A314" s="17" t="s">
        <v>69</v>
      </c>
      <c r="B314" s="19" t="s">
        <v>50</v>
      </c>
      <c r="C314" s="19" t="s">
        <v>490</v>
      </c>
      <c r="D314" s="19" t="s">
        <v>491</v>
      </c>
      <c r="E314" s="20" t="s">
        <v>11</v>
      </c>
      <c r="F314" s="19" t="s">
        <v>52</v>
      </c>
      <c r="G314" s="19" t="s">
        <v>171</v>
      </c>
      <c r="H314" s="19" t="s">
        <v>31</v>
      </c>
      <c r="I314">
        <v>5236</v>
      </c>
      <c r="J314">
        <v>11</v>
      </c>
      <c r="K314" s="1" t="s">
        <v>66</v>
      </c>
    </row>
    <row r="315" spans="1:11">
      <c r="A315" s="17" t="s">
        <v>69</v>
      </c>
      <c r="B315" s="19" t="s">
        <v>50</v>
      </c>
      <c r="C315" s="19" t="s">
        <v>490</v>
      </c>
      <c r="D315" s="19" t="s">
        <v>491</v>
      </c>
      <c r="E315" s="20" t="s">
        <v>11</v>
      </c>
      <c r="F315" s="19" t="s">
        <v>52</v>
      </c>
      <c r="G315" s="19" t="s">
        <v>171</v>
      </c>
      <c r="H315" s="19" t="s">
        <v>31</v>
      </c>
      <c r="I315">
        <v>3814</v>
      </c>
      <c r="J315">
        <v>6</v>
      </c>
      <c r="K315" s="1" t="s">
        <v>65</v>
      </c>
    </row>
    <row r="316" spans="1:11">
      <c r="A316" s="17" t="s">
        <v>69</v>
      </c>
      <c r="B316" s="19" t="s">
        <v>50</v>
      </c>
      <c r="C316" s="19" t="s">
        <v>492</v>
      </c>
      <c r="D316" s="19" t="s">
        <v>493</v>
      </c>
      <c r="E316" s="20" t="s">
        <v>11</v>
      </c>
      <c r="F316" s="19" t="s">
        <v>52</v>
      </c>
      <c r="G316" s="19" t="s">
        <v>171</v>
      </c>
      <c r="H316" s="19" t="s">
        <v>31</v>
      </c>
      <c r="I316">
        <v>1532</v>
      </c>
      <c r="J316">
        <v>3</v>
      </c>
      <c r="K316" s="1" t="s">
        <v>66</v>
      </c>
    </row>
    <row r="317" spans="1:11">
      <c r="A317" s="17" t="s">
        <v>69</v>
      </c>
      <c r="B317" s="19" t="s">
        <v>50</v>
      </c>
      <c r="C317" s="19" t="s">
        <v>492</v>
      </c>
      <c r="D317" s="19" t="s">
        <v>493</v>
      </c>
      <c r="E317" s="20" t="s">
        <v>11</v>
      </c>
      <c r="F317" s="19" t="s">
        <v>52</v>
      </c>
      <c r="G317" s="19" t="s">
        <v>171</v>
      </c>
      <c r="H317" s="19" t="s">
        <v>31</v>
      </c>
      <c r="I317">
        <v>1398</v>
      </c>
      <c r="J317">
        <v>4</v>
      </c>
      <c r="K317" s="1" t="s">
        <v>65</v>
      </c>
    </row>
    <row r="318" spans="1:11">
      <c r="A318" s="17" t="s">
        <v>69</v>
      </c>
      <c r="B318" s="19" t="s">
        <v>50</v>
      </c>
      <c r="C318" s="19" t="s">
        <v>494</v>
      </c>
      <c r="D318" s="19" t="s">
        <v>495</v>
      </c>
      <c r="E318" s="20" t="s">
        <v>11</v>
      </c>
      <c r="F318" s="19" t="s">
        <v>52</v>
      </c>
      <c r="G318" s="19" t="s">
        <v>171</v>
      </c>
      <c r="H318" s="19" t="s">
        <v>31</v>
      </c>
      <c r="I318">
        <v>1745</v>
      </c>
      <c r="J318">
        <v>1</v>
      </c>
      <c r="K318" s="1" t="s">
        <v>66</v>
      </c>
    </row>
    <row r="319" spans="1:11">
      <c r="A319" s="17" t="s">
        <v>69</v>
      </c>
      <c r="B319" s="19" t="s">
        <v>50</v>
      </c>
      <c r="C319" s="19" t="s">
        <v>494</v>
      </c>
      <c r="D319" s="19" t="s">
        <v>495</v>
      </c>
      <c r="E319" s="20" t="s">
        <v>11</v>
      </c>
      <c r="F319" s="19" t="s">
        <v>52</v>
      </c>
      <c r="G319" s="19" t="s">
        <v>171</v>
      </c>
      <c r="H319" s="19" t="s">
        <v>31</v>
      </c>
      <c r="I319">
        <v>1684</v>
      </c>
      <c r="J319">
        <v>1</v>
      </c>
      <c r="K319" s="1" t="s">
        <v>65</v>
      </c>
    </row>
    <row r="320" spans="1:11">
      <c r="A320" s="17" t="s">
        <v>69</v>
      </c>
      <c r="B320" s="19" t="s">
        <v>50</v>
      </c>
      <c r="C320" s="19" t="s">
        <v>496</v>
      </c>
      <c r="D320" s="19" t="s">
        <v>497</v>
      </c>
      <c r="E320" s="20" t="s">
        <v>11</v>
      </c>
      <c r="F320" s="19" t="s">
        <v>52</v>
      </c>
      <c r="G320" s="19" t="s">
        <v>171</v>
      </c>
      <c r="H320" s="19" t="s">
        <v>31</v>
      </c>
      <c r="I320">
        <v>1717</v>
      </c>
      <c r="J320">
        <v>3</v>
      </c>
      <c r="K320" s="1" t="s">
        <v>66</v>
      </c>
    </row>
    <row r="321" spans="1:11">
      <c r="A321" s="17" t="s">
        <v>69</v>
      </c>
      <c r="B321" s="19" t="s">
        <v>50</v>
      </c>
      <c r="C321" s="19" t="s">
        <v>496</v>
      </c>
      <c r="D321" s="19" t="s">
        <v>497</v>
      </c>
      <c r="E321" s="20" t="s">
        <v>11</v>
      </c>
      <c r="F321" s="19" t="s">
        <v>52</v>
      </c>
      <c r="G321" s="19" t="s">
        <v>171</v>
      </c>
      <c r="H321" s="19" t="s">
        <v>31</v>
      </c>
      <c r="I321">
        <v>2231</v>
      </c>
      <c r="J321">
        <v>11</v>
      </c>
      <c r="K321" s="1" t="s">
        <v>65</v>
      </c>
    </row>
    <row r="322" spans="1:11">
      <c r="A322" s="17" t="s">
        <v>69</v>
      </c>
      <c r="B322" s="19" t="s">
        <v>50</v>
      </c>
      <c r="C322" s="19" t="s">
        <v>498</v>
      </c>
      <c r="D322" s="19" t="s">
        <v>499</v>
      </c>
      <c r="E322" s="20" t="s">
        <v>11</v>
      </c>
      <c r="F322" s="19" t="s">
        <v>52</v>
      </c>
      <c r="G322" s="19" t="s">
        <v>171</v>
      </c>
      <c r="H322" s="19" t="s">
        <v>31</v>
      </c>
      <c r="I322">
        <v>2047</v>
      </c>
      <c r="J322">
        <v>2</v>
      </c>
      <c r="K322" s="1" t="s">
        <v>65</v>
      </c>
    </row>
    <row r="323" spans="1:11">
      <c r="A323" s="17" t="s">
        <v>69</v>
      </c>
      <c r="B323" s="19" t="s">
        <v>50</v>
      </c>
      <c r="C323" s="19" t="s">
        <v>500</v>
      </c>
      <c r="D323" s="19" t="s">
        <v>501</v>
      </c>
      <c r="E323" s="20" t="s">
        <v>11</v>
      </c>
      <c r="F323" s="19" t="s">
        <v>52</v>
      </c>
      <c r="G323" s="19" t="s">
        <v>171</v>
      </c>
      <c r="H323" s="19" t="s">
        <v>31</v>
      </c>
      <c r="I323">
        <v>1056</v>
      </c>
      <c r="J323">
        <v>9</v>
      </c>
      <c r="K323" s="1" t="s">
        <v>66</v>
      </c>
    </row>
    <row r="324" spans="1:11">
      <c r="A324" s="17" t="s">
        <v>69</v>
      </c>
      <c r="B324" s="19" t="s">
        <v>50</v>
      </c>
      <c r="C324" s="19" t="s">
        <v>500</v>
      </c>
      <c r="D324" s="19" t="s">
        <v>501</v>
      </c>
      <c r="E324" s="20" t="s">
        <v>11</v>
      </c>
      <c r="F324" s="19" t="s">
        <v>52</v>
      </c>
      <c r="G324" s="19" t="s">
        <v>171</v>
      </c>
      <c r="H324" s="19" t="s">
        <v>31</v>
      </c>
      <c r="I324">
        <v>1355</v>
      </c>
      <c r="J324">
        <v>2</v>
      </c>
      <c r="K324" s="1" t="s">
        <v>65</v>
      </c>
    </row>
    <row r="325" spans="1:11">
      <c r="A325" s="17" t="s">
        <v>69</v>
      </c>
      <c r="B325" s="19" t="s">
        <v>50</v>
      </c>
      <c r="C325" s="19" t="s">
        <v>502</v>
      </c>
      <c r="D325" s="19" t="s">
        <v>503</v>
      </c>
      <c r="E325" s="20" t="s">
        <v>11</v>
      </c>
      <c r="F325" s="19" t="s">
        <v>52</v>
      </c>
      <c r="G325" s="19" t="s">
        <v>171</v>
      </c>
      <c r="H325" s="19" t="s">
        <v>31</v>
      </c>
      <c r="I325">
        <v>906</v>
      </c>
      <c r="J325">
        <v>1</v>
      </c>
      <c r="K325" s="1" t="s">
        <v>66</v>
      </c>
    </row>
    <row r="326" spans="1:11">
      <c r="A326" s="17" t="s">
        <v>69</v>
      </c>
      <c r="B326" s="19" t="s">
        <v>50</v>
      </c>
      <c r="C326" s="19" t="s">
        <v>502</v>
      </c>
      <c r="D326" s="19" t="s">
        <v>503</v>
      </c>
      <c r="E326" s="20" t="s">
        <v>11</v>
      </c>
      <c r="F326" s="19" t="s">
        <v>52</v>
      </c>
      <c r="G326" s="19" t="s">
        <v>171</v>
      </c>
      <c r="H326" s="19" t="s">
        <v>31</v>
      </c>
      <c r="I326">
        <v>1054</v>
      </c>
      <c r="J326">
        <v>0</v>
      </c>
      <c r="K326" s="1" t="s">
        <v>65</v>
      </c>
    </row>
    <row r="327" spans="1:11">
      <c r="A327" s="17" t="s">
        <v>69</v>
      </c>
      <c r="B327" s="19" t="s">
        <v>50</v>
      </c>
      <c r="C327" s="19" t="s">
        <v>504</v>
      </c>
      <c r="D327" s="19" t="s">
        <v>505</v>
      </c>
      <c r="E327" s="20" t="s">
        <v>11</v>
      </c>
      <c r="F327" s="19" t="s">
        <v>52</v>
      </c>
      <c r="G327" s="19" t="s">
        <v>171</v>
      </c>
      <c r="H327" s="19" t="s">
        <v>31</v>
      </c>
      <c r="I327">
        <v>722</v>
      </c>
      <c r="J327">
        <v>8</v>
      </c>
      <c r="K327" s="1" t="s">
        <v>66</v>
      </c>
    </row>
    <row r="328" spans="1:11">
      <c r="A328" s="17" t="s">
        <v>69</v>
      </c>
      <c r="B328" s="19" t="s">
        <v>50</v>
      </c>
      <c r="C328" s="19" t="s">
        <v>504</v>
      </c>
      <c r="D328" s="19" t="s">
        <v>505</v>
      </c>
      <c r="E328" s="20" t="s">
        <v>11</v>
      </c>
      <c r="F328" s="19" t="s">
        <v>52</v>
      </c>
      <c r="G328" s="19" t="s">
        <v>171</v>
      </c>
      <c r="H328" s="19" t="s">
        <v>31</v>
      </c>
      <c r="I328">
        <v>24</v>
      </c>
      <c r="J328">
        <v>0</v>
      </c>
      <c r="K328" s="1" t="s">
        <v>65</v>
      </c>
    </row>
    <row r="329" spans="1:11">
      <c r="A329" s="17" t="s">
        <v>69</v>
      </c>
      <c r="B329" s="19" t="s">
        <v>50</v>
      </c>
      <c r="C329" s="19" t="s">
        <v>506</v>
      </c>
      <c r="D329" s="19" t="s">
        <v>507</v>
      </c>
      <c r="E329" s="20" t="s">
        <v>11</v>
      </c>
      <c r="F329" s="19" t="s">
        <v>52</v>
      </c>
      <c r="G329" s="19" t="s">
        <v>171</v>
      </c>
      <c r="H329" s="19" t="s">
        <v>31</v>
      </c>
      <c r="I329">
        <v>1272</v>
      </c>
      <c r="J329">
        <v>4</v>
      </c>
      <c r="K329" s="1" t="s">
        <v>66</v>
      </c>
    </row>
    <row r="330" spans="1:11">
      <c r="A330" s="17" t="s">
        <v>69</v>
      </c>
      <c r="B330" s="19" t="s">
        <v>50</v>
      </c>
      <c r="C330" s="19" t="s">
        <v>506</v>
      </c>
      <c r="D330" s="19" t="s">
        <v>507</v>
      </c>
      <c r="E330" s="20" t="s">
        <v>11</v>
      </c>
      <c r="F330" s="19" t="s">
        <v>52</v>
      </c>
      <c r="G330" s="19" t="s">
        <v>171</v>
      </c>
      <c r="H330" s="19" t="s">
        <v>31</v>
      </c>
      <c r="I330">
        <v>1553</v>
      </c>
      <c r="J330">
        <v>0</v>
      </c>
      <c r="K330" s="1" t="s">
        <v>65</v>
      </c>
    </row>
    <row r="331" spans="1:11">
      <c r="A331" s="17" t="s">
        <v>69</v>
      </c>
      <c r="B331" s="19" t="s">
        <v>50</v>
      </c>
      <c r="C331" s="19" t="s">
        <v>508</v>
      </c>
      <c r="D331" s="19" t="s">
        <v>509</v>
      </c>
      <c r="E331" s="20" t="s">
        <v>11</v>
      </c>
      <c r="F331" s="19" t="s">
        <v>52</v>
      </c>
      <c r="G331" s="19" t="s">
        <v>171</v>
      </c>
      <c r="H331" s="19" t="s">
        <v>31</v>
      </c>
      <c r="I331">
        <v>3962</v>
      </c>
      <c r="J331">
        <v>6</v>
      </c>
      <c r="K331" s="1" t="s">
        <v>66</v>
      </c>
    </row>
    <row r="332" spans="1:11">
      <c r="A332" s="17" t="s">
        <v>69</v>
      </c>
      <c r="B332" s="19" t="s">
        <v>50</v>
      </c>
      <c r="C332" s="19" t="s">
        <v>508</v>
      </c>
      <c r="D332" s="19" t="s">
        <v>509</v>
      </c>
      <c r="E332" s="20" t="s">
        <v>11</v>
      </c>
      <c r="F332" s="19" t="s">
        <v>52</v>
      </c>
      <c r="G332" s="19" t="s">
        <v>171</v>
      </c>
      <c r="H332" s="19" t="s">
        <v>31</v>
      </c>
      <c r="I332">
        <v>4603</v>
      </c>
      <c r="J332">
        <v>10</v>
      </c>
      <c r="K332" s="1" t="s">
        <v>65</v>
      </c>
    </row>
    <row r="333" spans="1:11">
      <c r="A333" s="17" t="s">
        <v>69</v>
      </c>
      <c r="B333" s="19" t="s">
        <v>50</v>
      </c>
      <c r="C333" s="19" t="s">
        <v>510</v>
      </c>
      <c r="D333" s="19" t="s">
        <v>511</v>
      </c>
      <c r="E333" s="20" t="s">
        <v>11</v>
      </c>
      <c r="F333" s="19" t="s">
        <v>52</v>
      </c>
      <c r="G333" s="19" t="s">
        <v>171</v>
      </c>
      <c r="H333" s="19" t="s">
        <v>31</v>
      </c>
      <c r="I333">
        <v>4081</v>
      </c>
      <c r="J333">
        <v>6</v>
      </c>
      <c r="K333" s="1" t="s">
        <v>66</v>
      </c>
    </row>
    <row r="334" spans="1:11">
      <c r="A334" s="17" t="s">
        <v>69</v>
      </c>
      <c r="B334" s="19" t="s">
        <v>50</v>
      </c>
      <c r="C334" s="19" t="s">
        <v>510</v>
      </c>
      <c r="D334" s="19" t="s">
        <v>511</v>
      </c>
      <c r="E334" s="20" t="s">
        <v>11</v>
      </c>
      <c r="F334" s="19" t="s">
        <v>52</v>
      </c>
      <c r="G334" s="19" t="s">
        <v>171</v>
      </c>
      <c r="H334" s="19" t="s">
        <v>31</v>
      </c>
      <c r="I334">
        <v>4454</v>
      </c>
      <c r="J334">
        <v>14</v>
      </c>
      <c r="K334" s="1" t="s">
        <v>65</v>
      </c>
    </row>
    <row r="335" spans="1:11">
      <c r="A335" s="17" t="s">
        <v>69</v>
      </c>
      <c r="B335" s="19" t="s">
        <v>50</v>
      </c>
      <c r="C335" s="19" t="s">
        <v>512</v>
      </c>
      <c r="D335" s="19" t="s">
        <v>513</v>
      </c>
      <c r="E335" s="20" t="s">
        <v>11</v>
      </c>
      <c r="F335" s="19" t="s">
        <v>52</v>
      </c>
      <c r="G335" s="19" t="s">
        <v>171</v>
      </c>
      <c r="H335" s="19" t="s">
        <v>31</v>
      </c>
      <c r="I335">
        <v>2257</v>
      </c>
      <c r="J335">
        <v>3</v>
      </c>
      <c r="K335" s="1" t="s">
        <v>66</v>
      </c>
    </row>
    <row r="336" spans="1:11">
      <c r="A336" s="17" t="s">
        <v>69</v>
      </c>
      <c r="B336" s="19" t="s">
        <v>50</v>
      </c>
      <c r="C336" s="19" t="s">
        <v>512</v>
      </c>
      <c r="D336" s="19" t="s">
        <v>513</v>
      </c>
      <c r="E336" s="20" t="s">
        <v>11</v>
      </c>
      <c r="F336" s="19" t="s">
        <v>52</v>
      </c>
      <c r="G336" s="19" t="s">
        <v>171</v>
      </c>
      <c r="H336" s="19" t="s">
        <v>31</v>
      </c>
      <c r="I336">
        <v>2493</v>
      </c>
      <c r="J336">
        <v>0</v>
      </c>
      <c r="K336" s="1" t="s">
        <v>65</v>
      </c>
    </row>
    <row r="337" spans="1:11">
      <c r="A337" s="17" t="s">
        <v>69</v>
      </c>
      <c r="B337" s="19" t="s">
        <v>50</v>
      </c>
      <c r="C337" s="19" t="s">
        <v>514</v>
      </c>
      <c r="D337" s="19" t="s">
        <v>515</v>
      </c>
      <c r="E337" s="20" t="s">
        <v>11</v>
      </c>
      <c r="F337" s="19" t="s">
        <v>52</v>
      </c>
      <c r="G337" s="19" t="s">
        <v>171</v>
      </c>
      <c r="H337" s="19" t="s">
        <v>31</v>
      </c>
      <c r="I337">
        <v>2206</v>
      </c>
      <c r="J337">
        <v>3</v>
      </c>
      <c r="K337" s="1" t="s">
        <v>66</v>
      </c>
    </row>
    <row r="338" spans="1:11">
      <c r="A338" s="17" t="s">
        <v>69</v>
      </c>
      <c r="B338" s="19" t="s">
        <v>50</v>
      </c>
      <c r="C338" s="19" t="s">
        <v>514</v>
      </c>
      <c r="D338" s="19" t="s">
        <v>515</v>
      </c>
      <c r="E338" s="20" t="s">
        <v>11</v>
      </c>
      <c r="F338" s="19" t="s">
        <v>52</v>
      </c>
      <c r="G338" s="19" t="s">
        <v>171</v>
      </c>
      <c r="H338" s="19" t="s">
        <v>31</v>
      </c>
      <c r="I338">
        <v>2391</v>
      </c>
      <c r="J338">
        <v>2</v>
      </c>
      <c r="K338" s="1" t="s">
        <v>65</v>
      </c>
    </row>
    <row r="339" spans="1:11">
      <c r="A339" s="17" t="s">
        <v>69</v>
      </c>
      <c r="B339" s="19" t="s">
        <v>50</v>
      </c>
      <c r="C339" s="19" t="s">
        <v>516</v>
      </c>
      <c r="D339" s="19" t="s">
        <v>517</v>
      </c>
      <c r="E339" s="20" t="s">
        <v>11</v>
      </c>
      <c r="F339" s="19" t="s">
        <v>52</v>
      </c>
      <c r="G339" s="19" t="s">
        <v>171</v>
      </c>
      <c r="H339" s="19" t="s">
        <v>31</v>
      </c>
      <c r="I339">
        <v>5111</v>
      </c>
      <c r="J339">
        <v>7</v>
      </c>
      <c r="K339" s="1" t="s">
        <v>66</v>
      </c>
    </row>
    <row r="340" spans="1:11">
      <c r="A340" s="17" t="s">
        <v>69</v>
      </c>
      <c r="B340" s="19" t="s">
        <v>50</v>
      </c>
      <c r="C340" s="19" t="s">
        <v>516</v>
      </c>
      <c r="D340" s="19" t="s">
        <v>517</v>
      </c>
      <c r="E340" s="20" t="s">
        <v>11</v>
      </c>
      <c r="F340" s="19" t="s">
        <v>52</v>
      </c>
      <c r="G340" s="19" t="s">
        <v>171</v>
      </c>
      <c r="H340" s="19" t="s">
        <v>31</v>
      </c>
      <c r="I340">
        <v>3707</v>
      </c>
      <c r="J340">
        <v>5</v>
      </c>
      <c r="K340" s="1" t="s">
        <v>65</v>
      </c>
    </row>
    <row r="341" spans="1:11">
      <c r="A341" s="17" t="s">
        <v>69</v>
      </c>
      <c r="B341" s="19" t="s">
        <v>50</v>
      </c>
      <c r="C341" s="19" t="s">
        <v>518</v>
      </c>
      <c r="D341" s="19" t="s">
        <v>519</v>
      </c>
      <c r="E341" s="20" t="s">
        <v>11</v>
      </c>
      <c r="F341" s="19" t="s">
        <v>52</v>
      </c>
      <c r="G341" s="19" t="s">
        <v>171</v>
      </c>
      <c r="H341" s="19" t="s">
        <v>31</v>
      </c>
      <c r="I341">
        <v>5050</v>
      </c>
      <c r="J341">
        <v>8</v>
      </c>
      <c r="K341" s="1" t="s">
        <v>66</v>
      </c>
    </row>
    <row r="342" spans="1:11">
      <c r="A342" s="17" t="s">
        <v>69</v>
      </c>
      <c r="B342" s="19" t="s">
        <v>50</v>
      </c>
      <c r="C342" s="19" t="s">
        <v>518</v>
      </c>
      <c r="D342" s="19" t="s">
        <v>519</v>
      </c>
      <c r="E342" s="20" t="s">
        <v>11</v>
      </c>
      <c r="F342" s="19" t="s">
        <v>52</v>
      </c>
      <c r="G342" s="19" t="s">
        <v>171</v>
      </c>
      <c r="H342" s="19" t="s">
        <v>31</v>
      </c>
      <c r="I342">
        <v>3768</v>
      </c>
      <c r="J342">
        <v>4</v>
      </c>
      <c r="K342" s="1" t="s">
        <v>65</v>
      </c>
    </row>
    <row r="343" spans="1:11">
      <c r="A343" s="17" t="s">
        <v>69</v>
      </c>
      <c r="B343" s="19" t="s">
        <v>50</v>
      </c>
      <c r="C343" s="19" t="s">
        <v>520</v>
      </c>
      <c r="D343" s="19" t="s">
        <v>521</v>
      </c>
      <c r="E343" s="20" t="s">
        <v>11</v>
      </c>
      <c r="F343" s="19" t="s">
        <v>52</v>
      </c>
      <c r="G343" s="19" t="s">
        <v>171</v>
      </c>
      <c r="H343" s="19" t="s">
        <v>31</v>
      </c>
      <c r="I343">
        <v>5308</v>
      </c>
      <c r="J343">
        <v>7</v>
      </c>
      <c r="K343" s="1" t="s">
        <v>66</v>
      </c>
    </row>
    <row r="344" spans="1:11">
      <c r="A344" s="17" t="s">
        <v>69</v>
      </c>
      <c r="B344" s="19" t="s">
        <v>50</v>
      </c>
      <c r="C344" s="19" t="s">
        <v>520</v>
      </c>
      <c r="D344" s="19" t="s">
        <v>521</v>
      </c>
      <c r="E344" s="20" t="s">
        <v>11</v>
      </c>
      <c r="F344" s="19" t="s">
        <v>52</v>
      </c>
      <c r="G344" s="19" t="s">
        <v>171</v>
      </c>
      <c r="H344" s="19" t="s">
        <v>31</v>
      </c>
      <c r="I344">
        <v>3963</v>
      </c>
      <c r="J344">
        <v>10</v>
      </c>
      <c r="K344" s="1" t="s">
        <v>65</v>
      </c>
    </row>
    <row r="345" spans="1:11">
      <c r="A345" s="17" t="s">
        <v>69</v>
      </c>
      <c r="B345" s="19" t="s">
        <v>50</v>
      </c>
      <c r="C345" s="19" t="s">
        <v>522</v>
      </c>
      <c r="D345" s="19" t="s">
        <v>523</v>
      </c>
      <c r="E345" s="20" t="s">
        <v>11</v>
      </c>
      <c r="F345" s="19" t="s">
        <v>52</v>
      </c>
      <c r="G345" s="19" t="s">
        <v>171</v>
      </c>
      <c r="H345" s="19" t="s">
        <v>31</v>
      </c>
      <c r="I345">
        <v>3891</v>
      </c>
      <c r="J345">
        <v>11</v>
      </c>
      <c r="K345" s="1" t="s">
        <v>66</v>
      </c>
    </row>
    <row r="346" spans="1:11">
      <c r="A346" s="17" t="s">
        <v>69</v>
      </c>
      <c r="B346" s="19" t="s">
        <v>50</v>
      </c>
      <c r="C346" s="19" t="s">
        <v>522</v>
      </c>
      <c r="D346" s="19" t="s">
        <v>523</v>
      </c>
      <c r="E346" s="20" t="s">
        <v>11</v>
      </c>
      <c r="F346" s="19" t="s">
        <v>52</v>
      </c>
      <c r="G346" s="19" t="s">
        <v>171</v>
      </c>
      <c r="H346" s="19" t="s">
        <v>31</v>
      </c>
      <c r="I346">
        <v>2386</v>
      </c>
      <c r="J346">
        <v>6</v>
      </c>
      <c r="K346" s="1" t="s">
        <v>65</v>
      </c>
    </row>
    <row r="347" spans="1:11">
      <c r="A347" s="17" t="s">
        <v>69</v>
      </c>
      <c r="B347" s="19" t="s">
        <v>50</v>
      </c>
      <c r="C347" s="19" t="s">
        <v>524</v>
      </c>
      <c r="D347" s="19" t="s">
        <v>525</v>
      </c>
      <c r="E347" s="20" t="s">
        <v>11</v>
      </c>
      <c r="F347" s="19" t="s">
        <v>52</v>
      </c>
      <c r="G347" s="19" t="s">
        <v>171</v>
      </c>
      <c r="H347" s="19" t="s">
        <v>31</v>
      </c>
      <c r="I347">
        <v>3733</v>
      </c>
      <c r="J347">
        <v>10</v>
      </c>
      <c r="K347" s="1" t="s">
        <v>66</v>
      </c>
    </row>
    <row r="348" spans="1:11">
      <c r="A348" s="17" t="s">
        <v>69</v>
      </c>
      <c r="B348" s="19" t="s">
        <v>50</v>
      </c>
      <c r="C348" s="19" t="s">
        <v>524</v>
      </c>
      <c r="D348" s="19" t="s">
        <v>525</v>
      </c>
      <c r="E348" s="20" t="s">
        <v>11</v>
      </c>
      <c r="F348" s="19" t="s">
        <v>52</v>
      </c>
      <c r="G348" s="19" t="s">
        <v>171</v>
      </c>
      <c r="H348" s="19" t="s">
        <v>31</v>
      </c>
      <c r="I348">
        <v>2458</v>
      </c>
      <c r="J348">
        <v>4</v>
      </c>
      <c r="K348" s="1" t="s">
        <v>65</v>
      </c>
    </row>
    <row r="349" spans="1:11">
      <c r="A349" s="17" t="s">
        <v>69</v>
      </c>
      <c r="B349" s="19" t="s">
        <v>50</v>
      </c>
      <c r="C349" s="19" t="s">
        <v>526</v>
      </c>
      <c r="D349" s="19" t="s">
        <v>527</v>
      </c>
      <c r="E349" s="20" t="s">
        <v>11</v>
      </c>
      <c r="F349" s="19" t="s">
        <v>52</v>
      </c>
      <c r="G349" s="19" t="s">
        <v>171</v>
      </c>
      <c r="H349" s="19" t="s">
        <v>31</v>
      </c>
      <c r="I349">
        <v>3778</v>
      </c>
      <c r="J349">
        <v>8</v>
      </c>
      <c r="K349" s="1" t="s">
        <v>66</v>
      </c>
    </row>
    <row r="350" spans="1:11">
      <c r="A350" s="17" t="s">
        <v>69</v>
      </c>
      <c r="B350" s="19" t="s">
        <v>50</v>
      </c>
      <c r="C350" s="19" t="s">
        <v>526</v>
      </c>
      <c r="D350" s="19" t="s">
        <v>527</v>
      </c>
      <c r="E350" s="20" t="s">
        <v>11</v>
      </c>
      <c r="F350" s="19" t="s">
        <v>52</v>
      </c>
      <c r="G350" s="19" t="s">
        <v>171</v>
      </c>
      <c r="H350" s="19" t="s">
        <v>31</v>
      </c>
      <c r="I350">
        <v>2319</v>
      </c>
      <c r="J350">
        <v>5</v>
      </c>
      <c r="K350" s="1" t="s">
        <v>65</v>
      </c>
    </row>
    <row r="351" spans="1:11">
      <c r="A351" s="17" t="s">
        <v>69</v>
      </c>
      <c r="B351" s="19" t="s">
        <v>50</v>
      </c>
      <c r="C351" s="19" t="s">
        <v>528</v>
      </c>
      <c r="D351" s="19" t="s">
        <v>529</v>
      </c>
      <c r="E351" s="20" t="s">
        <v>11</v>
      </c>
      <c r="F351" s="19" t="s">
        <v>52</v>
      </c>
      <c r="G351" s="19" t="s">
        <v>171</v>
      </c>
      <c r="H351" s="19" t="s">
        <v>31</v>
      </c>
      <c r="I351">
        <v>3071</v>
      </c>
      <c r="J351">
        <v>4</v>
      </c>
      <c r="K351" s="1" t="s">
        <v>66</v>
      </c>
    </row>
    <row r="352" spans="1:11">
      <c r="A352" s="17" t="s">
        <v>69</v>
      </c>
      <c r="B352" s="19" t="s">
        <v>50</v>
      </c>
      <c r="C352" s="19" t="s">
        <v>528</v>
      </c>
      <c r="D352" s="19" t="s">
        <v>529</v>
      </c>
      <c r="E352" s="20" t="s">
        <v>11</v>
      </c>
      <c r="F352" s="19" t="s">
        <v>52</v>
      </c>
      <c r="G352" s="19" t="s">
        <v>171</v>
      </c>
      <c r="H352" s="19" t="s">
        <v>31</v>
      </c>
      <c r="I352">
        <v>3207</v>
      </c>
      <c r="J352">
        <v>9</v>
      </c>
      <c r="K352" s="1" t="s">
        <v>65</v>
      </c>
    </row>
    <row r="353" spans="1:11">
      <c r="A353" s="17" t="s">
        <v>69</v>
      </c>
      <c r="B353" s="19" t="s">
        <v>50</v>
      </c>
      <c r="C353" s="19" t="s">
        <v>530</v>
      </c>
      <c r="D353" s="19" t="s">
        <v>531</v>
      </c>
      <c r="E353" s="20" t="s">
        <v>11</v>
      </c>
      <c r="F353" s="19" t="s">
        <v>52</v>
      </c>
      <c r="G353" s="19" t="s">
        <v>171</v>
      </c>
      <c r="H353" s="19" t="s">
        <v>31</v>
      </c>
      <c r="I353">
        <v>1342</v>
      </c>
      <c r="J353">
        <v>1</v>
      </c>
      <c r="K353" s="1" t="s">
        <v>66</v>
      </c>
    </row>
    <row r="354" spans="1:11">
      <c r="A354" s="17" t="s">
        <v>69</v>
      </c>
      <c r="B354" s="19" t="s">
        <v>50</v>
      </c>
      <c r="C354" s="19" t="s">
        <v>530</v>
      </c>
      <c r="D354" s="19" t="s">
        <v>531</v>
      </c>
      <c r="E354" s="20" t="s">
        <v>11</v>
      </c>
      <c r="F354" s="19" t="s">
        <v>52</v>
      </c>
      <c r="G354" s="19" t="s">
        <v>171</v>
      </c>
      <c r="H354" s="19" t="s">
        <v>31</v>
      </c>
      <c r="I354">
        <v>1562</v>
      </c>
      <c r="J354">
        <v>4</v>
      </c>
      <c r="K354" s="1" t="s">
        <v>65</v>
      </c>
    </row>
    <row r="355" spans="1:11">
      <c r="A355" s="17" t="s">
        <v>69</v>
      </c>
      <c r="B355" s="19" t="s">
        <v>50</v>
      </c>
      <c r="C355" s="19" t="s">
        <v>532</v>
      </c>
      <c r="D355" s="19" t="s">
        <v>533</v>
      </c>
      <c r="E355" s="20" t="s">
        <v>11</v>
      </c>
      <c r="F355" s="19" t="s">
        <v>52</v>
      </c>
      <c r="G355" s="19" t="s">
        <v>171</v>
      </c>
      <c r="H355" s="19" t="s">
        <v>31</v>
      </c>
      <c r="I355">
        <v>1271</v>
      </c>
      <c r="J355">
        <v>1</v>
      </c>
      <c r="K355" s="1" t="s">
        <v>66</v>
      </c>
    </row>
    <row r="356" spans="1:11">
      <c r="A356" s="17" t="s">
        <v>69</v>
      </c>
      <c r="B356" s="19" t="s">
        <v>50</v>
      </c>
      <c r="C356" s="19" t="s">
        <v>532</v>
      </c>
      <c r="D356" s="19" t="s">
        <v>533</v>
      </c>
      <c r="E356" s="20" t="s">
        <v>11</v>
      </c>
      <c r="F356" s="19" t="s">
        <v>52</v>
      </c>
      <c r="G356" s="19" t="s">
        <v>171</v>
      </c>
      <c r="H356" s="19" t="s">
        <v>31</v>
      </c>
      <c r="I356">
        <v>1350</v>
      </c>
      <c r="J356">
        <v>6</v>
      </c>
      <c r="K356" s="1" t="s">
        <v>65</v>
      </c>
    </row>
    <row r="357" spans="1:11">
      <c r="A357" s="17" t="s">
        <v>69</v>
      </c>
      <c r="B357" s="19" t="s">
        <v>50</v>
      </c>
      <c r="C357" s="19" t="s">
        <v>534</v>
      </c>
      <c r="D357" s="19" t="s">
        <v>535</v>
      </c>
      <c r="E357" s="20" t="s">
        <v>11</v>
      </c>
      <c r="F357" s="19" t="s">
        <v>52</v>
      </c>
      <c r="G357" s="19" t="s">
        <v>171</v>
      </c>
      <c r="H357" s="19" t="s">
        <v>31</v>
      </c>
      <c r="I357">
        <v>1563</v>
      </c>
      <c r="J357">
        <v>2</v>
      </c>
      <c r="K357" s="1" t="s">
        <v>66</v>
      </c>
    </row>
    <row r="358" spans="1:11">
      <c r="A358" s="17" t="s">
        <v>69</v>
      </c>
      <c r="B358" s="19" t="s">
        <v>50</v>
      </c>
      <c r="C358" s="19" t="s">
        <v>534</v>
      </c>
      <c r="D358" s="19" t="s">
        <v>535</v>
      </c>
      <c r="E358" s="20" t="s">
        <v>11</v>
      </c>
      <c r="F358" s="19" t="s">
        <v>52</v>
      </c>
      <c r="G358" s="19" t="s">
        <v>171</v>
      </c>
      <c r="H358" s="19" t="s">
        <v>31</v>
      </c>
      <c r="I358">
        <v>1666</v>
      </c>
      <c r="J358">
        <v>1</v>
      </c>
      <c r="K358" s="1" t="s">
        <v>65</v>
      </c>
    </row>
    <row r="359" spans="1:11">
      <c r="A359" s="17" t="s">
        <v>69</v>
      </c>
      <c r="B359" s="19" t="s">
        <v>50</v>
      </c>
      <c r="C359" s="19" t="s">
        <v>536</v>
      </c>
      <c r="D359" s="19" t="s">
        <v>537</v>
      </c>
      <c r="E359" s="20" t="s">
        <v>11</v>
      </c>
      <c r="F359" s="19" t="s">
        <v>52</v>
      </c>
      <c r="G359" s="19" t="s">
        <v>171</v>
      </c>
      <c r="H359" s="19" t="s">
        <v>31</v>
      </c>
      <c r="I359">
        <v>980</v>
      </c>
      <c r="J359">
        <v>3</v>
      </c>
      <c r="K359" s="1" t="s">
        <v>66</v>
      </c>
    </row>
    <row r="360" spans="1:11">
      <c r="A360" s="17" t="s">
        <v>69</v>
      </c>
      <c r="B360" s="19" t="s">
        <v>50</v>
      </c>
      <c r="C360" s="19" t="s">
        <v>536</v>
      </c>
      <c r="D360" s="19" t="s">
        <v>537</v>
      </c>
      <c r="E360" s="20" t="s">
        <v>11</v>
      </c>
      <c r="F360" s="19" t="s">
        <v>52</v>
      </c>
      <c r="G360" s="19" t="s">
        <v>171</v>
      </c>
      <c r="H360" s="19" t="s">
        <v>31</v>
      </c>
      <c r="I360">
        <v>1008</v>
      </c>
      <c r="J360">
        <v>2</v>
      </c>
      <c r="K360" s="1" t="s">
        <v>65</v>
      </c>
    </row>
    <row r="361" spans="1:11">
      <c r="A361" s="17" t="s">
        <v>69</v>
      </c>
      <c r="B361" s="19" t="s">
        <v>50</v>
      </c>
      <c r="C361" s="19" t="s">
        <v>538</v>
      </c>
      <c r="D361" s="19" t="s">
        <v>539</v>
      </c>
      <c r="E361" s="20" t="s">
        <v>11</v>
      </c>
      <c r="F361" s="19" t="s">
        <v>52</v>
      </c>
      <c r="G361" s="19" t="s">
        <v>171</v>
      </c>
      <c r="H361" s="19" t="s">
        <v>31</v>
      </c>
      <c r="I361">
        <v>3291</v>
      </c>
      <c r="J361">
        <v>10</v>
      </c>
      <c r="K361" s="1" t="s">
        <v>66</v>
      </c>
    </row>
    <row r="362" spans="1:11">
      <c r="A362" s="17" t="s">
        <v>69</v>
      </c>
      <c r="B362" s="19" t="s">
        <v>50</v>
      </c>
      <c r="C362" s="19" t="s">
        <v>538</v>
      </c>
      <c r="D362" s="19" t="s">
        <v>539</v>
      </c>
      <c r="E362" s="20" t="s">
        <v>11</v>
      </c>
      <c r="F362" s="19" t="s">
        <v>52</v>
      </c>
      <c r="G362" s="19" t="s">
        <v>171</v>
      </c>
      <c r="H362" s="19" t="s">
        <v>31</v>
      </c>
      <c r="I362">
        <v>3597</v>
      </c>
      <c r="J362">
        <v>8</v>
      </c>
      <c r="K362" s="1" t="s">
        <v>65</v>
      </c>
    </row>
    <row r="363" spans="1:11">
      <c r="A363" s="17" t="s">
        <v>69</v>
      </c>
      <c r="B363" s="19" t="s">
        <v>50</v>
      </c>
      <c r="C363" s="19" t="s">
        <v>540</v>
      </c>
      <c r="D363" s="19" t="s">
        <v>541</v>
      </c>
      <c r="E363" s="20" t="s">
        <v>11</v>
      </c>
      <c r="F363" s="19" t="s">
        <v>52</v>
      </c>
      <c r="G363" s="19" t="s">
        <v>171</v>
      </c>
      <c r="H363" s="19" t="s">
        <v>31</v>
      </c>
      <c r="I363">
        <v>3507</v>
      </c>
      <c r="J363">
        <v>7</v>
      </c>
      <c r="K363" s="1" t="s">
        <v>66</v>
      </c>
    </row>
    <row r="364" spans="1:11">
      <c r="A364" s="17" t="s">
        <v>69</v>
      </c>
      <c r="B364" s="19" t="s">
        <v>50</v>
      </c>
      <c r="C364" s="19" t="s">
        <v>540</v>
      </c>
      <c r="D364" s="19" t="s">
        <v>541</v>
      </c>
      <c r="E364" s="20" t="s">
        <v>11</v>
      </c>
      <c r="F364" s="19" t="s">
        <v>52</v>
      </c>
      <c r="G364" s="19" t="s">
        <v>171</v>
      </c>
      <c r="H364" s="19" t="s">
        <v>31</v>
      </c>
      <c r="I364">
        <v>4267</v>
      </c>
      <c r="J364">
        <v>12</v>
      </c>
      <c r="K364" s="1" t="s">
        <v>65</v>
      </c>
    </row>
    <row r="365" spans="1:11">
      <c r="A365" s="17" t="s">
        <v>69</v>
      </c>
      <c r="B365" s="19" t="s">
        <v>50</v>
      </c>
      <c r="C365" s="19" t="s">
        <v>542</v>
      </c>
      <c r="D365" s="19" t="s">
        <v>543</v>
      </c>
      <c r="E365" s="20" t="s">
        <v>11</v>
      </c>
      <c r="F365" s="19" t="s">
        <v>52</v>
      </c>
      <c r="G365" s="19" t="s">
        <v>171</v>
      </c>
      <c r="H365" s="19" t="s">
        <v>31</v>
      </c>
      <c r="I365">
        <v>3382</v>
      </c>
      <c r="J365">
        <v>5</v>
      </c>
      <c r="K365" s="1" t="s">
        <v>66</v>
      </c>
    </row>
    <row r="366" spans="1:11">
      <c r="A366" s="17" t="s">
        <v>69</v>
      </c>
      <c r="B366" s="19" t="s">
        <v>50</v>
      </c>
      <c r="C366" s="19" t="s">
        <v>542</v>
      </c>
      <c r="D366" s="19" t="s">
        <v>543</v>
      </c>
      <c r="E366" s="20" t="s">
        <v>11</v>
      </c>
      <c r="F366" s="19" t="s">
        <v>52</v>
      </c>
      <c r="G366" s="19" t="s">
        <v>171</v>
      </c>
      <c r="H366" s="19" t="s">
        <v>31</v>
      </c>
      <c r="I366">
        <v>3816</v>
      </c>
      <c r="J366">
        <v>9</v>
      </c>
      <c r="K366" s="1" t="s">
        <v>65</v>
      </c>
    </row>
    <row r="367" spans="1:11">
      <c r="A367" s="17" t="s">
        <v>69</v>
      </c>
      <c r="B367" s="19" t="s">
        <v>50</v>
      </c>
      <c r="C367" s="19" t="s">
        <v>544</v>
      </c>
      <c r="D367" s="19" t="s">
        <v>545</v>
      </c>
      <c r="E367" s="20" t="s">
        <v>11</v>
      </c>
      <c r="F367" s="19" t="s">
        <v>52</v>
      </c>
      <c r="G367" s="19" t="s">
        <v>171</v>
      </c>
      <c r="H367" s="19" t="s">
        <v>31</v>
      </c>
      <c r="I367">
        <v>3425</v>
      </c>
      <c r="J367">
        <v>10</v>
      </c>
      <c r="K367" s="1" t="s">
        <v>66</v>
      </c>
    </row>
    <row r="368" spans="1:11">
      <c r="A368" s="17" t="s">
        <v>69</v>
      </c>
      <c r="B368" s="19" t="s">
        <v>50</v>
      </c>
      <c r="C368" s="19" t="s">
        <v>544</v>
      </c>
      <c r="D368" s="19" t="s">
        <v>545</v>
      </c>
      <c r="E368" s="20" t="s">
        <v>11</v>
      </c>
      <c r="F368" s="19" t="s">
        <v>52</v>
      </c>
      <c r="G368" s="19" t="s">
        <v>171</v>
      </c>
      <c r="H368" s="19" t="s">
        <v>31</v>
      </c>
      <c r="I368">
        <v>3813</v>
      </c>
      <c r="J368">
        <v>11</v>
      </c>
      <c r="K368" s="1" t="s">
        <v>65</v>
      </c>
    </row>
    <row r="369" spans="1:11">
      <c r="A369" s="17" t="s">
        <v>69</v>
      </c>
      <c r="B369" s="19" t="s">
        <v>50</v>
      </c>
      <c r="C369" s="19" t="s">
        <v>546</v>
      </c>
      <c r="D369" s="19" t="s">
        <v>547</v>
      </c>
      <c r="E369" s="20" t="s">
        <v>11</v>
      </c>
      <c r="F369" s="19" t="s">
        <v>52</v>
      </c>
      <c r="G369" s="19" t="s">
        <v>171</v>
      </c>
      <c r="H369" s="19" t="s">
        <v>31</v>
      </c>
      <c r="I369">
        <v>3610</v>
      </c>
      <c r="J369">
        <v>12</v>
      </c>
      <c r="K369" s="1" t="s">
        <v>66</v>
      </c>
    </row>
    <row r="370" spans="1:11">
      <c r="A370" s="17" t="s">
        <v>69</v>
      </c>
      <c r="B370" s="19" t="s">
        <v>50</v>
      </c>
      <c r="C370" s="19" t="s">
        <v>546</v>
      </c>
      <c r="D370" s="19" t="s">
        <v>547</v>
      </c>
      <c r="E370" s="20" t="s">
        <v>11</v>
      </c>
      <c r="F370" s="19" t="s">
        <v>52</v>
      </c>
      <c r="G370" s="19" t="s">
        <v>171</v>
      </c>
      <c r="H370" s="19" t="s">
        <v>31</v>
      </c>
      <c r="I370">
        <v>6063</v>
      </c>
      <c r="J370">
        <v>26</v>
      </c>
      <c r="K370" s="1" t="s">
        <v>65</v>
      </c>
    </row>
    <row r="371" spans="1:11">
      <c r="A371" s="17" t="s">
        <v>69</v>
      </c>
      <c r="B371" s="19" t="s">
        <v>50</v>
      </c>
      <c r="C371" s="19" t="s">
        <v>548</v>
      </c>
      <c r="D371" s="19" t="s">
        <v>549</v>
      </c>
      <c r="E371" s="20" t="s">
        <v>11</v>
      </c>
      <c r="F371" s="19" t="s">
        <v>52</v>
      </c>
      <c r="G371" s="19" t="s">
        <v>171</v>
      </c>
      <c r="H371" s="19" t="s">
        <v>31</v>
      </c>
      <c r="I371">
        <v>3637</v>
      </c>
      <c r="J371">
        <v>12</v>
      </c>
      <c r="K371" s="1" t="s">
        <v>66</v>
      </c>
    </row>
    <row r="372" spans="1:11">
      <c r="A372" s="17" t="s">
        <v>69</v>
      </c>
      <c r="B372" s="19" t="s">
        <v>50</v>
      </c>
      <c r="C372" s="19" t="s">
        <v>548</v>
      </c>
      <c r="D372" s="19" t="s">
        <v>549</v>
      </c>
      <c r="E372" s="20" t="s">
        <v>11</v>
      </c>
      <c r="F372" s="19" t="s">
        <v>52</v>
      </c>
      <c r="G372" s="19" t="s">
        <v>171</v>
      </c>
      <c r="H372" s="19" t="s">
        <v>31</v>
      </c>
      <c r="I372">
        <v>4548</v>
      </c>
      <c r="J372">
        <v>13</v>
      </c>
      <c r="K372" s="1" t="s">
        <v>65</v>
      </c>
    </row>
    <row r="373" spans="1:11">
      <c r="A373" s="17" t="s">
        <v>69</v>
      </c>
      <c r="B373" s="19" t="s">
        <v>50</v>
      </c>
      <c r="C373" s="19" t="s">
        <v>550</v>
      </c>
      <c r="D373" s="19" t="s">
        <v>551</v>
      </c>
      <c r="E373" s="20" t="s">
        <v>11</v>
      </c>
      <c r="F373" s="19" t="s">
        <v>52</v>
      </c>
      <c r="G373" s="19" t="s">
        <v>171</v>
      </c>
      <c r="H373" s="19" t="s">
        <v>31</v>
      </c>
      <c r="I373">
        <v>3844</v>
      </c>
      <c r="J373">
        <v>8</v>
      </c>
      <c r="K373" s="1" t="s">
        <v>66</v>
      </c>
    </row>
    <row r="374" spans="1:11">
      <c r="A374" s="17" t="s">
        <v>69</v>
      </c>
      <c r="B374" s="19" t="s">
        <v>50</v>
      </c>
      <c r="C374" s="19" t="s">
        <v>550</v>
      </c>
      <c r="D374" s="19" t="s">
        <v>551</v>
      </c>
      <c r="E374" s="20" t="s">
        <v>11</v>
      </c>
      <c r="F374" s="19" t="s">
        <v>52</v>
      </c>
      <c r="G374" s="19" t="s">
        <v>171</v>
      </c>
      <c r="H374" s="19" t="s">
        <v>31</v>
      </c>
      <c r="I374">
        <v>3846</v>
      </c>
      <c r="J374">
        <v>6</v>
      </c>
      <c r="K374" s="1" t="s">
        <v>65</v>
      </c>
    </row>
    <row r="375" spans="1:11">
      <c r="A375" s="17" t="s">
        <v>69</v>
      </c>
      <c r="B375" s="19" t="s">
        <v>50</v>
      </c>
      <c r="C375" s="19" t="s">
        <v>552</v>
      </c>
      <c r="D375" s="19" t="s">
        <v>553</v>
      </c>
      <c r="E375" s="20" t="s">
        <v>11</v>
      </c>
      <c r="F375" s="19" t="s">
        <v>52</v>
      </c>
      <c r="G375" s="19" t="s">
        <v>171</v>
      </c>
      <c r="H375" s="19" t="s">
        <v>31</v>
      </c>
      <c r="I375">
        <v>3527</v>
      </c>
      <c r="J375">
        <v>6</v>
      </c>
      <c r="K375" s="1" t="s">
        <v>66</v>
      </c>
    </row>
    <row r="376" spans="1:11">
      <c r="A376" s="17" t="s">
        <v>69</v>
      </c>
      <c r="B376" s="19" t="s">
        <v>50</v>
      </c>
      <c r="C376" s="19" t="s">
        <v>552</v>
      </c>
      <c r="D376" s="19" t="s">
        <v>553</v>
      </c>
      <c r="E376" s="20" t="s">
        <v>11</v>
      </c>
      <c r="F376" s="19" t="s">
        <v>52</v>
      </c>
      <c r="G376" s="19" t="s">
        <v>171</v>
      </c>
      <c r="H376" s="19" t="s">
        <v>31</v>
      </c>
      <c r="I376">
        <v>4426</v>
      </c>
      <c r="J376">
        <v>11</v>
      </c>
      <c r="K376" s="1" t="s">
        <v>65</v>
      </c>
    </row>
    <row r="377" spans="1:11">
      <c r="A377" s="17" t="s">
        <v>69</v>
      </c>
      <c r="B377" s="19" t="s">
        <v>50</v>
      </c>
      <c r="C377" s="19" t="s">
        <v>554</v>
      </c>
      <c r="D377" s="19" t="s">
        <v>555</v>
      </c>
      <c r="E377" s="20" t="s">
        <v>11</v>
      </c>
      <c r="F377" s="19" t="s">
        <v>52</v>
      </c>
      <c r="G377" s="19" t="s">
        <v>171</v>
      </c>
      <c r="H377" s="19" t="s">
        <v>31</v>
      </c>
      <c r="I377">
        <v>3615</v>
      </c>
      <c r="J377">
        <v>6</v>
      </c>
      <c r="K377" s="1" t="s">
        <v>66</v>
      </c>
    </row>
    <row r="378" spans="1:11">
      <c r="A378" s="17" t="s">
        <v>69</v>
      </c>
      <c r="B378" s="19" t="s">
        <v>50</v>
      </c>
      <c r="C378" s="19" t="s">
        <v>554</v>
      </c>
      <c r="D378" s="19" t="s">
        <v>555</v>
      </c>
      <c r="E378" s="20" t="s">
        <v>11</v>
      </c>
      <c r="F378" s="19" t="s">
        <v>52</v>
      </c>
      <c r="G378" s="19" t="s">
        <v>171</v>
      </c>
      <c r="H378" s="19" t="s">
        <v>31</v>
      </c>
      <c r="I378">
        <v>4187</v>
      </c>
      <c r="J378">
        <v>14</v>
      </c>
      <c r="K378" s="1" t="s">
        <v>65</v>
      </c>
    </row>
    <row r="379" spans="1:11">
      <c r="A379" s="17" t="s">
        <v>69</v>
      </c>
      <c r="B379" s="19" t="s">
        <v>50</v>
      </c>
      <c r="C379" s="19" t="s">
        <v>556</v>
      </c>
      <c r="D379" s="19" t="s">
        <v>557</v>
      </c>
      <c r="E379" s="20" t="s">
        <v>11</v>
      </c>
      <c r="F379" s="19" t="s">
        <v>52</v>
      </c>
      <c r="G379" s="19" t="s">
        <v>171</v>
      </c>
      <c r="H379" s="19" t="s">
        <v>31</v>
      </c>
      <c r="I379">
        <v>3659</v>
      </c>
      <c r="J379">
        <v>12</v>
      </c>
      <c r="K379" s="1" t="s">
        <v>66</v>
      </c>
    </row>
    <row r="380" spans="1:11">
      <c r="A380" s="17" t="s">
        <v>69</v>
      </c>
      <c r="B380" s="19" t="s">
        <v>50</v>
      </c>
      <c r="C380" s="19" t="s">
        <v>556</v>
      </c>
      <c r="D380" s="19" t="s">
        <v>557</v>
      </c>
      <c r="E380" s="20" t="s">
        <v>11</v>
      </c>
      <c r="F380" s="19" t="s">
        <v>52</v>
      </c>
      <c r="G380" s="19" t="s">
        <v>171</v>
      </c>
      <c r="H380" s="19" t="s">
        <v>31</v>
      </c>
      <c r="I380">
        <v>4309</v>
      </c>
      <c r="J380">
        <v>9</v>
      </c>
      <c r="K380" s="1" t="s">
        <v>65</v>
      </c>
    </row>
    <row r="381" spans="1:11">
      <c r="A381" s="17" t="s">
        <v>69</v>
      </c>
      <c r="B381" s="19" t="s">
        <v>50</v>
      </c>
      <c r="C381" s="19" t="s">
        <v>558</v>
      </c>
      <c r="D381" s="19" t="s">
        <v>559</v>
      </c>
      <c r="E381" s="20" t="s">
        <v>11</v>
      </c>
      <c r="F381" s="19" t="s">
        <v>52</v>
      </c>
      <c r="G381" s="19" t="s">
        <v>171</v>
      </c>
      <c r="H381" s="19" t="s">
        <v>31</v>
      </c>
      <c r="I381">
        <v>2316</v>
      </c>
      <c r="J381">
        <v>4</v>
      </c>
      <c r="K381" s="1" t="s">
        <v>66</v>
      </c>
    </row>
    <row r="382" spans="1:11">
      <c r="A382" s="17" t="s">
        <v>69</v>
      </c>
      <c r="B382" s="19" t="s">
        <v>50</v>
      </c>
      <c r="C382" s="19" t="s">
        <v>558</v>
      </c>
      <c r="D382" s="19" t="s">
        <v>559</v>
      </c>
      <c r="E382" s="20" t="s">
        <v>11</v>
      </c>
      <c r="F382" s="19" t="s">
        <v>52</v>
      </c>
      <c r="G382" s="19" t="s">
        <v>171</v>
      </c>
      <c r="H382" s="19" t="s">
        <v>31</v>
      </c>
      <c r="I382">
        <v>3058</v>
      </c>
      <c r="J382">
        <v>4</v>
      </c>
      <c r="K382" s="1" t="s">
        <v>65</v>
      </c>
    </row>
    <row r="383" spans="1:11">
      <c r="A383" s="17" t="s">
        <v>69</v>
      </c>
      <c r="B383" s="19" t="s">
        <v>50</v>
      </c>
      <c r="C383" s="19" t="s">
        <v>560</v>
      </c>
      <c r="D383" s="19" t="s">
        <v>561</v>
      </c>
      <c r="E383" s="20" t="s">
        <v>11</v>
      </c>
      <c r="F383" s="19" t="s">
        <v>52</v>
      </c>
      <c r="G383" s="19" t="s">
        <v>171</v>
      </c>
      <c r="H383" s="19" t="s">
        <v>31</v>
      </c>
      <c r="I383">
        <v>2525</v>
      </c>
      <c r="J383">
        <v>3</v>
      </c>
      <c r="K383" s="1" t="s">
        <v>66</v>
      </c>
    </row>
    <row r="384" spans="1:11">
      <c r="A384" s="17" t="s">
        <v>69</v>
      </c>
      <c r="B384" s="19" t="s">
        <v>50</v>
      </c>
      <c r="C384" s="19" t="s">
        <v>560</v>
      </c>
      <c r="D384" s="19" t="s">
        <v>561</v>
      </c>
      <c r="E384" s="20" t="s">
        <v>11</v>
      </c>
      <c r="F384" s="19" t="s">
        <v>52</v>
      </c>
      <c r="G384" s="19" t="s">
        <v>171</v>
      </c>
      <c r="H384" s="19" t="s">
        <v>31</v>
      </c>
      <c r="I384">
        <v>2479</v>
      </c>
      <c r="J384">
        <v>4</v>
      </c>
      <c r="K384" s="1" t="s">
        <v>65</v>
      </c>
    </row>
    <row r="385" spans="1:11">
      <c r="A385" s="17" t="s">
        <v>69</v>
      </c>
      <c r="B385" s="19" t="s">
        <v>50</v>
      </c>
      <c r="C385" s="19" t="s">
        <v>562</v>
      </c>
      <c r="D385" s="19" t="s">
        <v>563</v>
      </c>
      <c r="E385" s="20" t="s">
        <v>11</v>
      </c>
      <c r="F385" s="19" t="s">
        <v>52</v>
      </c>
      <c r="G385" s="19" t="s">
        <v>171</v>
      </c>
      <c r="H385" s="19" t="s">
        <v>31</v>
      </c>
      <c r="I385">
        <v>2179</v>
      </c>
      <c r="J385">
        <v>1</v>
      </c>
      <c r="K385" s="1" t="s">
        <v>66</v>
      </c>
    </row>
    <row r="386" spans="1:11">
      <c r="A386" s="17" t="s">
        <v>69</v>
      </c>
      <c r="B386" s="19" t="s">
        <v>50</v>
      </c>
      <c r="C386" s="19" t="s">
        <v>562</v>
      </c>
      <c r="D386" s="19" t="s">
        <v>563</v>
      </c>
      <c r="E386" s="20" t="s">
        <v>11</v>
      </c>
      <c r="F386" s="19" t="s">
        <v>52</v>
      </c>
      <c r="G386" s="19" t="s">
        <v>171</v>
      </c>
      <c r="H386" s="19" t="s">
        <v>31</v>
      </c>
      <c r="I386">
        <v>2871</v>
      </c>
      <c r="J386">
        <v>6</v>
      </c>
      <c r="K386" s="1" t="s">
        <v>65</v>
      </c>
    </row>
    <row r="387" spans="1:11">
      <c r="A387" s="17" t="s">
        <v>69</v>
      </c>
      <c r="B387" s="19" t="s">
        <v>50</v>
      </c>
      <c r="C387" s="19" t="s">
        <v>564</v>
      </c>
      <c r="D387" s="19" t="s">
        <v>565</v>
      </c>
      <c r="E387" s="20" t="s">
        <v>11</v>
      </c>
      <c r="F387" s="19" t="s">
        <v>52</v>
      </c>
      <c r="G387" s="19" t="s">
        <v>171</v>
      </c>
      <c r="H387" s="19" t="s">
        <v>31</v>
      </c>
      <c r="I387">
        <v>2683</v>
      </c>
      <c r="J387">
        <v>4</v>
      </c>
      <c r="K387" s="1" t="s">
        <v>66</v>
      </c>
    </row>
    <row r="388" spans="1:11">
      <c r="A388" s="17" t="s">
        <v>69</v>
      </c>
      <c r="B388" s="19" t="s">
        <v>50</v>
      </c>
      <c r="C388" s="19" t="s">
        <v>564</v>
      </c>
      <c r="D388" s="19" t="s">
        <v>565</v>
      </c>
      <c r="E388" s="20" t="s">
        <v>11</v>
      </c>
      <c r="F388" s="19" t="s">
        <v>52</v>
      </c>
      <c r="G388" s="19" t="s">
        <v>171</v>
      </c>
      <c r="H388" s="19" t="s">
        <v>31</v>
      </c>
      <c r="I388">
        <v>2620</v>
      </c>
      <c r="J388">
        <v>3</v>
      </c>
      <c r="K388" s="1" t="s">
        <v>65</v>
      </c>
    </row>
    <row r="389" spans="1:11">
      <c r="A389" s="17" t="s">
        <v>69</v>
      </c>
      <c r="B389" s="19" t="s">
        <v>50</v>
      </c>
      <c r="C389" s="19" t="s">
        <v>566</v>
      </c>
      <c r="D389" s="19" t="s">
        <v>567</v>
      </c>
      <c r="E389" s="20" t="s">
        <v>11</v>
      </c>
      <c r="F389" s="19" t="s">
        <v>52</v>
      </c>
      <c r="G389" s="19" t="s">
        <v>171</v>
      </c>
      <c r="H389" s="19" t="s">
        <v>31</v>
      </c>
      <c r="I389">
        <v>2390</v>
      </c>
      <c r="J389">
        <v>5</v>
      </c>
      <c r="K389" s="1" t="s">
        <v>66</v>
      </c>
    </row>
    <row r="390" spans="1:11">
      <c r="A390" s="17" t="s">
        <v>69</v>
      </c>
      <c r="B390" s="19" t="s">
        <v>50</v>
      </c>
      <c r="C390" s="19" t="s">
        <v>566</v>
      </c>
      <c r="D390" s="19" t="s">
        <v>567</v>
      </c>
      <c r="E390" s="20" t="s">
        <v>11</v>
      </c>
      <c r="F390" s="19" t="s">
        <v>52</v>
      </c>
      <c r="G390" s="19" t="s">
        <v>171</v>
      </c>
      <c r="H390" s="19" t="s">
        <v>31</v>
      </c>
      <c r="I390">
        <v>3367</v>
      </c>
      <c r="J390">
        <v>2</v>
      </c>
      <c r="K390" s="1" t="s">
        <v>65</v>
      </c>
    </row>
    <row r="391" spans="1:11">
      <c r="A391" s="17" t="s">
        <v>69</v>
      </c>
      <c r="B391" s="19" t="s">
        <v>50</v>
      </c>
      <c r="C391" s="19" t="s">
        <v>568</v>
      </c>
      <c r="D391" s="19" t="s">
        <v>569</v>
      </c>
      <c r="E391" s="20" t="s">
        <v>11</v>
      </c>
      <c r="F391" s="19" t="s">
        <v>52</v>
      </c>
      <c r="G391" s="19" t="s">
        <v>171</v>
      </c>
      <c r="H391" s="19" t="s">
        <v>31</v>
      </c>
      <c r="I391">
        <v>2980</v>
      </c>
      <c r="J391">
        <v>3</v>
      </c>
      <c r="K391" s="1" t="s">
        <v>66</v>
      </c>
    </row>
    <row r="392" spans="1:11">
      <c r="A392" s="17" t="s">
        <v>69</v>
      </c>
      <c r="B392" s="19" t="s">
        <v>50</v>
      </c>
      <c r="C392" s="19" t="s">
        <v>568</v>
      </c>
      <c r="D392" s="19" t="s">
        <v>569</v>
      </c>
      <c r="E392" s="20" t="s">
        <v>11</v>
      </c>
      <c r="F392" s="19" t="s">
        <v>52</v>
      </c>
      <c r="G392" s="19" t="s">
        <v>171</v>
      </c>
      <c r="H392" s="19" t="s">
        <v>31</v>
      </c>
      <c r="I392">
        <v>3234</v>
      </c>
      <c r="J392">
        <v>3</v>
      </c>
      <c r="K392" s="1" t="s">
        <v>65</v>
      </c>
    </row>
    <row r="393" spans="1:11">
      <c r="A393" s="17" t="s">
        <v>69</v>
      </c>
      <c r="B393" s="19" t="s">
        <v>50</v>
      </c>
      <c r="C393" s="19" t="s">
        <v>570</v>
      </c>
      <c r="D393" s="19" t="s">
        <v>571</v>
      </c>
      <c r="E393" s="20" t="s">
        <v>11</v>
      </c>
      <c r="F393" s="19" t="s">
        <v>52</v>
      </c>
      <c r="G393" s="19" t="s">
        <v>171</v>
      </c>
      <c r="H393" s="19" t="s">
        <v>31</v>
      </c>
      <c r="I393">
        <v>2860</v>
      </c>
      <c r="J393">
        <v>5</v>
      </c>
      <c r="K393" s="1" t="s">
        <v>66</v>
      </c>
    </row>
    <row r="394" spans="1:11">
      <c r="A394" s="17" t="s">
        <v>69</v>
      </c>
      <c r="B394" s="19" t="s">
        <v>50</v>
      </c>
      <c r="C394" s="19" t="s">
        <v>570</v>
      </c>
      <c r="D394" s="19" t="s">
        <v>571</v>
      </c>
      <c r="E394" s="20" t="s">
        <v>11</v>
      </c>
      <c r="F394" s="19" t="s">
        <v>52</v>
      </c>
      <c r="G394" s="19" t="s">
        <v>171</v>
      </c>
      <c r="H394" s="19" t="s">
        <v>31</v>
      </c>
      <c r="I394">
        <v>3426</v>
      </c>
      <c r="J394">
        <v>5</v>
      </c>
      <c r="K394" s="1" t="s">
        <v>65</v>
      </c>
    </row>
    <row r="395" spans="1:11">
      <c r="A395" s="17" t="s">
        <v>69</v>
      </c>
      <c r="B395" s="19" t="s">
        <v>50</v>
      </c>
      <c r="C395" s="19" t="s">
        <v>572</v>
      </c>
      <c r="D395" s="19" t="s">
        <v>573</v>
      </c>
      <c r="E395" s="20" t="s">
        <v>11</v>
      </c>
      <c r="F395" s="19" t="s">
        <v>52</v>
      </c>
      <c r="G395" s="19" t="s">
        <v>171</v>
      </c>
      <c r="H395" s="19" t="s">
        <v>31</v>
      </c>
      <c r="I395">
        <v>3063</v>
      </c>
      <c r="J395">
        <v>4</v>
      </c>
      <c r="K395" s="1" t="s">
        <v>66</v>
      </c>
    </row>
    <row r="396" spans="1:11">
      <c r="A396" s="17" t="s">
        <v>69</v>
      </c>
      <c r="B396" s="19" t="s">
        <v>50</v>
      </c>
      <c r="C396" s="19" t="s">
        <v>572</v>
      </c>
      <c r="D396" s="19" t="s">
        <v>573</v>
      </c>
      <c r="E396" s="20" t="s">
        <v>11</v>
      </c>
      <c r="F396" s="19" t="s">
        <v>52</v>
      </c>
      <c r="G396" s="19" t="s">
        <v>171</v>
      </c>
      <c r="H396" s="19" t="s">
        <v>31</v>
      </c>
      <c r="I396">
        <v>3457</v>
      </c>
      <c r="J396">
        <v>6</v>
      </c>
      <c r="K396" s="1" t="s">
        <v>65</v>
      </c>
    </row>
    <row r="397" spans="1:11">
      <c r="A397" s="17" t="s">
        <v>69</v>
      </c>
      <c r="B397" s="19" t="s">
        <v>50</v>
      </c>
      <c r="C397" s="19" t="s">
        <v>574</v>
      </c>
      <c r="D397" s="19" t="s">
        <v>575</v>
      </c>
      <c r="E397" s="20" t="s">
        <v>11</v>
      </c>
      <c r="F397" s="19" t="s">
        <v>52</v>
      </c>
      <c r="G397" s="19" t="s">
        <v>171</v>
      </c>
      <c r="H397" s="19" t="s">
        <v>31</v>
      </c>
      <c r="I397">
        <v>3133</v>
      </c>
      <c r="J397">
        <v>6</v>
      </c>
      <c r="K397" s="1" t="s">
        <v>66</v>
      </c>
    </row>
    <row r="398" spans="1:11">
      <c r="A398" s="17" t="s">
        <v>69</v>
      </c>
      <c r="B398" s="19" t="s">
        <v>50</v>
      </c>
      <c r="C398" s="19" t="s">
        <v>574</v>
      </c>
      <c r="D398" s="19" t="s">
        <v>575</v>
      </c>
      <c r="E398" s="20" t="s">
        <v>11</v>
      </c>
      <c r="F398" s="19" t="s">
        <v>52</v>
      </c>
      <c r="G398" s="19" t="s">
        <v>171</v>
      </c>
      <c r="H398" s="19" t="s">
        <v>31</v>
      </c>
      <c r="I398">
        <v>3958</v>
      </c>
      <c r="J398">
        <v>4</v>
      </c>
      <c r="K398" s="1" t="s">
        <v>65</v>
      </c>
    </row>
    <row r="399" spans="1:11">
      <c r="A399" s="17" t="s">
        <v>69</v>
      </c>
      <c r="B399" s="19" t="s">
        <v>50</v>
      </c>
      <c r="C399" s="19" t="s">
        <v>576</v>
      </c>
      <c r="D399" s="19" t="s">
        <v>577</v>
      </c>
      <c r="E399" s="20" t="s">
        <v>11</v>
      </c>
      <c r="F399" s="19" t="s">
        <v>52</v>
      </c>
      <c r="G399" s="19" t="s">
        <v>171</v>
      </c>
      <c r="H399" s="19" t="s">
        <v>31</v>
      </c>
      <c r="I399">
        <v>614</v>
      </c>
      <c r="J399">
        <v>0</v>
      </c>
      <c r="K399" s="1" t="s">
        <v>66</v>
      </c>
    </row>
    <row r="400" spans="1:11">
      <c r="A400" s="17" t="s">
        <v>69</v>
      </c>
      <c r="B400" s="19" t="s">
        <v>50</v>
      </c>
      <c r="C400" s="19" t="s">
        <v>576</v>
      </c>
      <c r="D400" s="19" t="s">
        <v>577</v>
      </c>
      <c r="E400" s="20" t="s">
        <v>11</v>
      </c>
      <c r="F400" s="19" t="s">
        <v>52</v>
      </c>
      <c r="G400" s="19" t="s">
        <v>171</v>
      </c>
      <c r="H400" s="19" t="s">
        <v>31</v>
      </c>
      <c r="I400">
        <v>3380</v>
      </c>
      <c r="J400">
        <v>13</v>
      </c>
      <c r="K400" s="1" t="s">
        <v>65</v>
      </c>
    </row>
    <row r="401" spans="1:11">
      <c r="A401" s="17" t="s">
        <v>69</v>
      </c>
      <c r="B401" s="19" t="s">
        <v>50</v>
      </c>
      <c r="C401" s="19" t="s">
        <v>578</v>
      </c>
      <c r="D401" s="19" t="s">
        <v>579</v>
      </c>
      <c r="E401" s="20" t="s">
        <v>11</v>
      </c>
      <c r="F401" s="19" t="s">
        <v>52</v>
      </c>
      <c r="G401" s="19" t="s">
        <v>171</v>
      </c>
      <c r="H401" s="19" t="s">
        <v>31</v>
      </c>
      <c r="I401">
        <v>584</v>
      </c>
      <c r="J401">
        <v>1</v>
      </c>
      <c r="K401" s="1" t="s">
        <v>66</v>
      </c>
    </row>
    <row r="402" spans="1:11">
      <c r="A402" s="17" t="s">
        <v>69</v>
      </c>
      <c r="B402" s="19" t="s">
        <v>50</v>
      </c>
      <c r="C402" s="19" t="s">
        <v>578</v>
      </c>
      <c r="D402" s="19" t="s">
        <v>579</v>
      </c>
      <c r="E402" s="20" t="s">
        <v>11</v>
      </c>
      <c r="F402" s="19" t="s">
        <v>52</v>
      </c>
      <c r="G402" s="19" t="s">
        <v>171</v>
      </c>
      <c r="H402" s="19" t="s">
        <v>31</v>
      </c>
      <c r="I402">
        <v>3525</v>
      </c>
      <c r="J402">
        <v>15</v>
      </c>
      <c r="K402" s="1" t="s">
        <v>65</v>
      </c>
    </row>
    <row r="403" spans="1:11">
      <c r="A403" s="17" t="s">
        <v>69</v>
      </c>
      <c r="B403" s="19" t="s">
        <v>50</v>
      </c>
      <c r="C403" s="19" t="s">
        <v>580</v>
      </c>
      <c r="D403" s="19" t="s">
        <v>581</v>
      </c>
      <c r="E403" s="20" t="s">
        <v>11</v>
      </c>
      <c r="F403" s="19" t="s">
        <v>52</v>
      </c>
      <c r="G403" s="19" t="s">
        <v>171</v>
      </c>
      <c r="H403" s="19" t="s">
        <v>31</v>
      </c>
      <c r="I403">
        <v>564</v>
      </c>
      <c r="J403">
        <v>0</v>
      </c>
      <c r="K403" s="1" t="s">
        <v>66</v>
      </c>
    </row>
    <row r="404" spans="1:11">
      <c r="A404" s="17" t="s">
        <v>69</v>
      </c>
      <c r="B404" s="19" t="s">
        <v>50</v>
      </c>
      <c r="C404" s="19" t="s">
        <v>580</v>
      </c>
      <c r="D404" s="19" t="s">
        <v>581</v>
      </c>
      <c r="E404" s="20" t="s">
        <v>11</v>
      </c>
      <c r="F404" s="19" t="s">
        <v>52</v>
      </c>
      <c r="G404" s="19" t="s">
        <v>171</v>
      </c>
      <c r="H404" s="19" t="s">
        <v>31</v>
      </c>
      <c r="I404">
        <v>3144</v>
      </c>
      <c r="J404">
        <v>11</v>
      </c>
      <c r="K404" s="1" t="s">
        <v>65</v>
      </c>
    </row>
    <row r="405" spans="1:11">
      <c r="A405" s="17" t="s">
        <v>69</v>
      </c>
      <c r="B405" s="19" t="s">
        <v>50</v>
      </c>
      <c r="C405" s="19" t="s">
        <v>582</v>
      </c>
      <c r="D405" s="19" t="s">
        <v>583</v>
      </c>
      <c r="E405" s="20" t="s">
        <v>11</v>
      </c>
      <c r="F405" s="19" t="s">
        <v>52</v>
      </c>
      <c r="G405" s="19" t="s">
        <v>171</v>
      </c>
      <c r="H405" s="19" t="s">
        <v>31</v>
      </c>
      <c r="I405">
        <v>18870</v>
      </c>
      <c r="J405">
        <v>160</v>
      </c>
      <c r="K405" s="1" t="s">
        <v>65</v>
      </c>
    </row>
    <row r="406" spans="1:11">
      <c r="A406" s="17" t="s">
        <v>69</v>
      </c>
      <c r="B406" s="19" t="s">
        <v>50</v>
      </c>
      <c r="C406" s="19" t="s">
        <v>584</v>
      </c>
      <c r="D406" s="19" t="s">
        <v>585</v>
      </c>
      <c r="E406" s="20" t="s">
        <v>11</v>
      </c>
      <c r="F406" s="19" t="s">
        <v>52</v>
      </c>
      <c r="G406" s="19" t="s">
        <v>171</v>
      </c>
      <c r="H406" s="19" t="s">
        <v>31</v>
      </c>
      <c r="I406">
        <v>567</v>
      </c>
      <c r="J406">
        <v>0</v>
      </c>
      <c r="K406" s="1" t="s">
        <v>66</v>
      </c>
    </row>
    <row r="407" spans="1:11">
      <c r="A407" s="17" t="s">
        <v>69</v>
      </c>
      <c r="B407" s="19" t="s">
        <v>50</v>
      </c>
      <c r="C407" s="19" t="s">
        <v>584</v>
      </c>
      <c r="D407" s="19" t="s">
        <v>585</v>
      </c>
      <c r="E407" s="20" t="s">
        <v>11</v>
      </c>
      <c r="F407" s="19" t="s">
        <v>52</v>
      </c>
      <c r="G407" s="19" t="s">
        <v>171</v>
      </c>
      <c r="H407" s="19" t="s">
        <v>31</v>
      </c>
      <c r="I407">
        <v>3158</v>
      </c>
      <c r="J407">
        <v>6</v>
      </c>
      <c r="K407" s="1" t="s">
        <v>65</v>
      </c>
    </row>
    <row r="408" spans="1:11">
      <c r="A408" s="17" t="s">
        <v>69</v>
      </c>
      <c r="B408" s="19" t="s">
        <v>50</v>
      </c>
      <c r="C408" s="19" t="s">
        <v>586</v>
      </c>
      <c r="D408" s="19" t="s">
        <v>587</v>
      </c>
      <c r="E408" s="20" t="s">
        <v>11</v>
      </c>
      <c r="F408" s="19" t="s">
        <v>52</v>
      </c>
      <c r="G408" s="19" t="s">
        <v>171</v>
      </c>
      <c r="H408" s="19" t="s">
        <v>31</v>
      </c>
      <c r="I408">
        <v>568</v>
      </c>
      <c r="J408">
        <v>0</v>
      </c>
      <c r="K408" s="1" t="s">
        <v>66</v>
      </c>
    </row>
    <row r="409" spans="1:11">
      <c r="A409" s="17" t="s">
        <v>69</v>
      </c>
      <c r="B409" s="19" t="s">
        <v>50</v>
      </c>
      <c r="C409" s="19" t="s">
        <v>586</v>
      </c>
      <c r="D409" s="19" t="s">
        <v>587</v>
      </c>
      <c r="E409" s="20" t="s">
        <v>11</v>
      </c>
      <c r="F409" s="19" t="s">
        <v>52</v>
      </c>
      <c r="G409" s="19" t="s">
        <v>171</v>
      </c>
      <c r="H409" s="19" t="s">
        <v>31</v>
      </c>
      <c r="I409">
        <v>3352</v>
      </c>
      <c r="J409">
        <v>17</v>
      </c>
      <c r="K409" s="1" t="s">
        <v>65</v>
      </c>
    </row>
    <row r="410" spans="1:11">
      <c r="A410" s="17" t="s">
        <v>69</v>
      </c>
      <c r="B410" s="19" t="s">
        <v>50</v>
      </c>
      <c r="C410" s="19" t="s">
        <v>588</v>
      </c>
      <c r="D410" s="19" t="s">
        <v>589</v>
      </c>
      <c r="E410" s="20" t="s">
        <v>11</v>
      </c>
      <c r="F410" s="19" t="s">
        <v>52</v>
      </c>
      <c r="G410" s="19" t="s">
        <v>171</v>
      </c>
      <c r="H410" s="19" t="s">
        <v>31</v>
      </c>
      <c r="I410">
        <v>682</v>
      </c>
      <c r="J410">
        <v>2</v>
      </c>
      <c r="K410" s="1" t="s">
        <v>66</v>
      </c>
    </row>
    <row r="411" spans="1:11">
      <c r="A411" s="17" t="s">
        <v>69</v>
      </c>
      <c r="B411" s="19" t="s">
        <v>50</v>
      </c>
      <c r="C411" s="19" t="s">
        <v>588</v>
      </c>
      <c r="D411" s="19" t="s">
        <v>589</v>
      </c>
      <c r="E411" s="20" t="s">
        <v>11</v>
      </c>
      <c r="F411" s="19" t="s">
        <v>52</v>
      </c>
      <c r="G411" s="19" t="s">
        <v>171</v>
      </c>
      <c r="H411" s="19" t="s">
        <v>31</v>
      </c>
      <c r="I411">
        <v>3169</v>
      </c>
      <c r="J411">
        <v>6</v>
      </c>
      <c r="K411" s="1" t="s">
        <v>65</v>
      </c>
    </row>
    <row r="412" spans="1:11">
      <c r="A412" s="17" t="s">
        <v>69</v>
      </c>
      <c r="B412" s="19" t="s">
        <v>50</v>
      </c>
      <c r="C412" s="19" t="s">
        <v>590</v>
      </c>
      <c r="D412" s="19" t="s">
        <v>591</v>
      </c>
      <c r="E412" s="20" t="s">
        <v>11</v>
      </c>
      <c r="F412" s="19" t="s">
        <v>52</v>
      </c>
      <c r="G412" s="19" t="s">
        <v>171</v>
      </c>
      <c r="H412" s="19" t="s">
        <v>31</v>
      </c>
      <c r="I412">
        <v>643</v>
      </c>
      <c r="J412">
        <v>0</v>
      </c>
      <c r="K412" s="1" t="s">
        <v>66</v>
      </c>
    </row>
    <row r="413" spans="1:11">
      <c r="A413" s="17" t="s">
        <v>69</v>
      </c>
      <c r="B413" s="19" t="s">
        <v>50</v>
      </c>
      <c r="C413" s="19" t="s">
        <v>590</v>
      </c>
      <c r="D413" s="19" t="s">
        <v>591</v>
      </c>
      <c r="E413" s="20" t="s">
        <v>11</v>
      </c>
      <c r="F413" s="19" t="s">
        <v>52</v>
      </c>
      <c r="G413" s="19" t="s">
        <v>171</v>
      </c>
      <c r="H413" s="19" t="s">
        <v>31</v>
      </c>
      <c r="I413">
        <v>3390</v>
      </c>
      <c r="J413">
        <v>13</v>
      </c>
      <c r="K413" s="1" t="s">
        <v>65</v>
      </c>
    </row>
    <row r="414" spans="1:11">
      <c r="A414" s="17" t="s">
        <v>69</v>
      </c>
      <c r="B414" s="19" t="s">
        <v>50</v>
      </c>
      <c r="C414" s="19" t="s">
        <v>592</v>
      </c>
      <c r="D414" s="19" t="s">
        <v>593</v>
      </c>
      <c r="E414" s="20" t="s">
        <v>11</v>
      </c>
      <c r="F414" s="19" t="s">
        <v>52</v>
      </c>
      <c r="G414" s="19" t="s">
        <v>171</v>
      </c>
      <c r="H414" s="19" t="s">
        <v>31</v>
      </c>
      <c r="I414">
        <v>578</v>
      </c>
      <c r="J414">
        <v>0</v>
      </c>
      <c r="K414" s="1" t="s">
        <v>66</v>
      </c>
    </row>
    <row r="415" spans="1:11">
      <c r="A415" s="17" t="s">
        <v>69</v>
      </c>
      <c r="B415" s="19" t="s">
        <v>50</v>
      </c>
      <c r="C415" s="19" t="s">
        <v>592</v>
      </c>
      <c r="D415" s="19" t="s">
        <v>593</v>
      </c>
      <c r="E415" s="20" t="s">
        <v>11</v>
      </c>
      <c r="F415" s="19" t="s">
        <v>52</v>
      </c>
      <c r="G415" s="19" t="s">
        <v>171</v>
      </c>
      <c r="H415" s="19" t="s">
        <v>31</v>
      </c>
      <c r="I415">
        <v>3222</v>
      </c>
      <c r="J415">
        <v>12</v>
      </c>
      <c r="K415" s="1" t="s">
        <v>65</v>
      </c>
    </row>
    <row r="416" spans="1:11">
      <c r="A416" s="17" t="s">
        <v>69</v>
      </c>
      <c r="B416" s="19" t="s">
        <v>50</v>
      </c>
      <c r="C416" s="19" t="s">
        <v>594</v>
      </c>
      <c r="D416" s="19" t="s">
        <v>595</v>
      </c>
      <c r="E416" s="20" t="s">
        <v>11</v>
      </c>
      <c r="F416" s="19" t="s">
        <v>52</v>
      </c>
      <c r="G416" s="19" t="s">
        <v>171</v>
      </c>
      <c r="H416" s="19" t="s">
        <v>31</v>
      </c>
      <c r="I416">
        <v>550</v>
      </c>
      <c r="J416">
        <v>0</v>
      </c>
      <c r="K416" s="1" t="s">
        <v>66</v>
      </c>
    </row>
    <row r="417" spans="1:11">
      <c r="A417" s="17" t="s">
        <v>69</v>
      </c>
      <c r="B417" s="19" t="s">
        <v>50</v>
      </c>
      <c r="C417" s="19" t="s">
        <v>594</v>
      </c>
      <c r="D417" s="19" t="s">
        <v>595</v>
      </c>
      <c r="E417" s="20" t="s">
        <v>11</v>
      </c>
      <c r="F417" s="19" t="s">
        <v>52</v>
      </c>
      <c r="G417" s="19" t="s">
        <v>171</v>
      </c>
      <c r="H417" s="19" t="s">
        <v>31</v>
      </c>
      <c r="I417">
        <v>3361</v>
      </c>
      <c r="J417">
        <v>14</v>
      </c>
      <c r="K417" s="1" t="s">
        <v>65</v>
      </c>
    </row>
    <row r="418" spans="1:11">
      <c r="A418" s="17" t="s">
        <v>69</v>
      </c>
      <c r="B418" s="19" t="s">
        <v>50</v>
      </c>
      <c r="C418" s="19" t="s">
        <v>596</v>
      </c>
      <c r="D418" s="19" t="s">
        <v>597</v>
      </c>
      <c r="E418" s="20" t="s">
        <v>11</v>
      </c>
      <c r="F418" s="19" t="s">
        <v>52</v>
      </c>
      <c r="G418" s="19" t="s">
        <v>171</v>
      </c>
      <c r="H418" s="19" t="s">
        <v>31</v>
      </c>
      <c r="I418">
        <v>547</v>
      </c>
      <c r="J418">
        <v>1</v>
      </c>
      <c r="K418" s="1" t="s">
        <v>66</v>
      </c>
    </row>
    <row r="419" spans="1:11">
      <c r="A419" s="17" t="s">
        <v>69</v>
      </c>
      <c r="B419" s="19" t="s">
        <v>50</v>
      </c>
      <c r="C419" s="19" t="s">
        <v>596</v>
      </c>
      <c r="D419" s="19" t="s">
        <v>597</v>
      </c>
      <c r="E419" s="20" t="s">
        <v>11</v>
      </c>
      <c r="F419" s="19" t="s">
        <v>52</v>
      </c>
      <c r="G419" s="19" t="s">
        <v>171</v>
      </c>
      <c r="H419" s="19" t="s">
        <v>31</v>
      </c>
      <c r="I419">
        <v>3732</v>
      </c>
      <c r="J419">
        <v>19</v>
      </c>
      <c r="K419" s="1" t="s">
        <v>65</v>
      </c>
    </row>
    <row r="420" spans="1:11">
      <c r="A420" s="17" t="s">
        <v>69</v>
      </c>
      <c r="B420" s="19" t="s">
        <v>50</v>
      </c>
      <c r="C420" s="19" t="s">
        <v>598</v>
      </c>
      <c r="D420" s="19" t="s">
        <v>599</v>
      </c>
      <c r="E420" s="20" t="s">
        <v>11</v>
      </c>
      <c r="F420" s="19" t="s">
        <v>52</v>
      </c>
      <c r="G420" s="19" t="s">
        <v>171</v>
      </c>
      <c r="H420" s="19" t="s">
        <v>31</v>
      </c>
      <c r="I420">
        <v>19147</v>
      </c>
      <c r="J420">
        <v>168</v>
      </c>
      <c r="K420" s="1" t="s">
        <v>65</v>
      </c>
    </row>
    <row r="421" spans="1:11">
      <c r="A421" s="17" t="s">
        <v>69</v>
      </c>
      <c r="B421" s="19" t="s">
        <v>50</v>
      </c>
      <c r="C421" s="19" t="s">
        <v>600</v>
      </c>
      <c r="D421" s="19" t="s">
        <v>601</v>
      </c>
      <c r="E421" s="20" t="s">
        <v>11</v>
      </c>
      <c r="F421" s="19" t="s">
        <v>52</v>
      </c>
      <c r="G421" s="19" t="s">
        <v>171</v>
      </c>
      <c r="H421" s="19" t="s">
        <v>31</v>
      </c>
      <c r="I421">
        <v>557</v>
      </c>
      <c r="J421">
        <v>2</v>
      </c>
      <c r="K421" s="1" t="s">
        <v>66</v>
      </c>
    </row>
    <row r="422" spans="1:11">
      <c r="A422" s="17" t="s">
        <v>69</v>
      </c>
      <c r="B422" s="19" t="s">
        <v>50</v>
      </c>
      <c r="C422" s="19" t="s">
        <v>600</v>
      </c>
      <c r="D422" s="19" t="s">
        <v>601</v>
      </c>
      <c r="E422" s="20" t="s">
        <v>11</v>
      </c>
      <c r="F422" s="19" t="s">
        <v>52</v>
      </c>
      <c r="G422" s="19" t="s">
        <v>171</v>
      </c>
      <c r="H422" s="19" t="s">
        <v>31</v>
      </c>
      <c r="I422">
        <v>3346</v>
      </c>
      <c r="J422">
        <v>17</v>
      </c>
      <c r="K422" s="1" t="s">
        <v>65</v>
      </c>
    </row>
    <row r="423" spans="1:11">
      <c r="A423" s="17" t="s">
        <v>69</v>
      </c>
      <c r="B423" s="19" t="s">
        <v>50</v>
      </c>
      <c r="C423" s="19" t="s">
        <v>602</v>
      </c>
      <c r="D423" s="19" t="s">
        <v>603</v>
      </c>
      <c r="E423" s="20" t="s">
        <v>11</v>
      </c>
      <c r="F423" s="19" t="s">
        <v>52</v>
      </c>
      <c r="G423" s="19" t="s">
        <v>171</v>
      </c>
      <c r="H423" s="19" t="s">
        <v>31</v>
      </c>
      <c r="I423">
        <v>636</v>
      </c>
      <c r="J423">
        <v>0</v>
      </c>
      <c r="K423" s="1" t="s">
        <v>66</v>
      </c>
    </row>
    <row r="424" spans="1:11">
      <c r="A424" s="17" t="s">
        <v>69</v>
      </c>
      <c r="B424" s="19" t="s">
        <v>50</v>
      </c>
      <c r="C424" s="19" t="s">
        <v>602</v>
      </c>
      <c r="D424" s="19" t="s">
        <v>603</v>
      </c>
      <c r="E424" s="20" t="s">
        <v>11</v>
      </c>
      <c r="F424" s="19" t="s">
        <v>52</v>
      </c>
      <c r="G424" s="19" t="s">
        <v>171</v>
      </c>
      <c r="H424" s="19" t="s">
        <v>31</v>
      </c>
      <c r="I424">
        <v>3432</v>
      </c>
      <c r="J424">
        <v>15</v>
      </c>
      <c r="K424" s="1" t="s">
        <v>65</v>
      </c>
    </row>
    <row r="425" spans="1:11">
      <c r="A425" s="17" t="s">
        <v>69</v>
      </c>
      <c r="B425" s="19" t="s">
        <v>50</v>
      </c>
      <c r="C425" s="19" t="s">
        <v>604</v>
      </c>
      <c r="D425" s="19" t="s">
        <v>605</v>
      </c>
      <c r="E425" s="20" t="s">
        <v>11</v>
      </c>
      <c r="F425" s="19" t="s">
        <v>52</v>
      </c>
      <c r="G425" s="19" t="s">
        <v>171</v>
      </c>
      <c r="H425" s="19" t="s">
        <v>31</v>
      </c>
      <c r="I425">
        <v>545</v>
      </c>
      <c r="J425">
        <v>0</v>
      </c>
      <c r="K425" s="1" t="s">
        <v>66</v>
      </c>
    </row>
    <row r="426" spans="1:11">
      <c r="A426" s="17" t="s">
        <v>69</v>
      </c>
      <c r="B426" s="19" t="s">
        <v>50</v>
      </c>
      <c r="C426" s="19" t="s">
        <v>604</v>
      </c>
      <c r="D426" s="19" t="s">
        <v>605</v>
      </c>
      <c r="E426" s="20" t="s">
        <v>11</v>
      </c>
      <c r="F426" s="19" t="s">
        <v>52</v>
      </c>
      <c r="G426" s="19" t="s">
        <v>171</v>
      </c>
      <c r="H426" s="19" t="s">
        <v>31</v>
      </c>
      <c r="I426">
        <v>3514</v>
      </c>
      <c r="J426">
        <v>12</v>
      </c>
      <c r="K426" s="1" t="s">
        <v>65</v>
      </c>
    </row>
    <row r="427" spans="1:11">
      <c r="A427" s="17" t="s">
        <v>69</v>
      </c>
      <c r="B427" s="19" t="s">
        <v>50</v>
      </c>
      <c r="C427" s="19" t="s">
        <v>606</v>
      </c>
      <c r="D427" s="19" t="s">
        <v>607</v>
      </c>
      <c r="E427" s="20" t="s">
        <v>11</v>
      </c>
      <c r="F427" s="19" t="s">
        <v>52</v>
      </c>
      <c r="G427" s="19" t="s">
        <v>171</v>
      </c>
      <c r="H427" s="19" t="s">
        <v>31</v>
      </c>
      <c r="I427">
        <v>544</v>
      </c>
      <c r="J427">
        <v>0</v>
      </c>
      <c r="K427" s="1" t="s">
        <v>66</v>
      </c>
    </row>
    <row r="428" spans="1:11">
      <c r="A428" s="17" t="s">
        <v>69</v>
      </c>
      <c r="B428" s="19" t="s">
        <v>50</v>
      </c>
      <c r="C428" s="19" t="s">
        <v>606</v>
      </c>
      <c r="D428" s="19" t="s">
        <v>607</v>
      </c>
      <c r="E428" s="20" t="s">
        <v>11</v>
      </c>
      <c r="F428" s="19" t="s">
        <v>52</v>
      </c>
      <c r="G428" s="19" t="s">
        <v>171</v>
      </c>
      <c r="H428" s="19" t="s">
        <v>31</v>
      </c>
      <c r="I428">
        <v>3133</v>
      </c>
      <c r="J428">
        <v>8</v>
      </c>
      <c r="K428" s="1" t="s">
        <v>65</v>
      </c>
    </row>
    <row r="429" spans="1:11">
      <c r="A429" s="17" t="s">
        <v>69</v>
      </c>
      <c r="B429" s="19" t="s">
        <v>50</v>
      </c>
      <c r="C429" s="19" t="s">
        <v>608</v>
      </c>
      <c r="D429" s="19" t="s">
        <v>609</v>
      </c>
      <c r="E429" s="20" t="s">
        <v>11</v>
      </c>
      <c r="F429" s="19" t="s">
        <v>51</v>
      </c>
      <c r="G429" s="19" t="s">
        <v>72</v>
      </c>
      <c r="H429" s="19" t="s">
        <v>31</v>
      </c>
      <c r="I429">
        <v>19909</v>
      </c>
      <c r="J429">
        <v>78</v>
      </c>
      <c r="K429" s="1" t="s">
        <v>66</v>
      </c>
    </row>
    <row r="430" spans="1:11">
      <c r="A430" s="17" t="s">
        <v>69</v>
      </c>
      <c r="B430" s="19" t="s">
        <v>50</v>
      </c>
      <c r="C430" s="19" t="s">
        <v>608</v>
      </c>
      <c r="D430" s="19" t="s">
        <v>609</v>
      </c>
      <c r="E430" s="20" t="s">
        <v>11</v>
      </c>
      <c r="F430" s="19" t="s">
        <v>51</v>
      </c>
      <c r="G430" s="19" t="s">
        <v>72</v>
      </c>
      <c r="H430" s="19" t="s">
        <v>31</v>
      </c>
      <c r="I430">
        <v>4890</v>
      </c>
      <c r="J430">
        <v>150</v>
      </c>
      <c r="K430" s="1" t="s">
        <v>65</v>
      </c>
    </row>
    <row r="431" spans="1:11">
      <c r="A431" s="17" t="s">
        <v>69</v>
      </c>
      <c r="B431" s="19" t="s">
        <v>50</v>
      </c>
      <c r="C431" s="19" t="s">
        <v>610</v>
      </c>
      <c r="D431" s="19" t="s">
        <v>611</v>
      </c>
      <c r="E431" s="20" t="s">
        <v>11</v>
      </c>
      <c r="F431" s="19" t="s">
        <v>51</v>
      </c>
      <c r="G431" s="19" t="s">
        <v>72</v>
      </c>
      <c r="H431" s="19" t="s">
        <v>31</v>
      </c>
      <c r="I431">
        <v>20908</v>
      </c>
      <c r="J431">
        <v>86</v>
      </c>
      <c r="K431" s="1" t="s">
        <v>66</v>
      </c>
    </row>
    <row r="432" spans="1:11">
      <c r="A432" s="17" t="s">
        <v>69</v>
      </c>
      <c r="B432" s="19" t="s">
        <v>50</v>
      </c>
      <c r="C432" s="19" t="s">
        <v>610</v>
      </c>
      <c r="D432" s="19" t="s">
        <v>611</v>
      </c>
      <c r="E432" s="20" t="s">
        <v>11</v>
      </c>
      <c r="F432" s="19" t="s">
        <v>51</v>
      </c>
      <c r="G432" s="19" t="s">
        <v>72</v>
      </c>
      <c r="H432" s="19" t="s">
        <v>31</v>
      </c>
      <c r="I432">
        <v>6761</v>
      </c>
      <c r="J432">
        <v>205</v>
      </c>
      <c r="K432" s="1" t="s">
        <v>65</v>
      </c>
    </row>
    <row r="433" spans="1:11">
      <c r="A433" s="17" t="s">
        <v>69</v>
      </c>
      <c r="B433" s="19" t="s">
        <v>50</v>
      </c>
      <c r="C433" s="19" t="s">
        <v>612</v>
      </c>
      <c r="D433" s="19" t="s">
        <v>613</v>
      </c>
      <c r="E433" s="20" t="s">
        <v>11</v>
      </c>
      <c r="F433" s="19" t="s">
        <v>51</v>
      </c>
      <c r="G433" s="19" t="s">
        <v>72</v>
      </c>
      <c r="H433" s="19" t="s">
        <v>31</v>
      </c>
      <c r="I433">
        <v>19142</v>
      </c>
      <c r="J433">
        <v>53</v>
      </c>
      <c r="K433" s="1" t="s">
        <v>66</v>
      </c>
    </row>
    <row r="434" spans="1:11">
      <c r="A434" s="17" t="s">
        <v>69</v>
      </c>
      <c r="B434" s="19" t="s">
        <v>50</v>
      </c>
      <c r="C434" s="19" t="s">
        <v>612</v>
      </c>
      <c r="D434" s="19" t="s">
        <v>613</v>
      </c>
      <c r="E434" s="20" t="s">
        <v>11</v>
      </c>
      <c r="F434" s="19" t="s">
        <v>51</v>
      </c>
      <c r="G434" s="19" t="s">
        <v>72</v>
      </c>
      <c r="H434" s="19" t="s">
        <v>31</v>
      </c>
      <c r="I434">
        <v>4452</v>
      </c>
      <c r="J434">
        <v>149</v>
      </c>
      <c r="K434" s="1" t="s">
        <v>65</v>
      </c>
    </row>
    <row r="435" spans="1:11">
      <c r="A435" s="17" t="s">
        <v>69</v>
      </c>
      <c r="B435" s="19" t="s">
        <v>50</v>
      </c>
      <c r="C435" s="19" t="s">
        <v>614</v>
      </c>
      <c r="D435" s="19" t="s">
        <v>615</v>
      </c>
      <c r="E435" s="20" t="s">
        <v>11</v>
      </c>
      <c r="F435" s="19" t="s">
        <v>51</v>
      </c>
      <c r="G435" s="19" t="s">
        <v>72</v>
      </c>
      <c r="H435" s="19" t="s">
        <v>31</v>
      </c>
      <c r="I435">
        <v>67329</v>
      </c>
      <c r="J435">
        <v>566</v>
      </c>
      <c r="K435" s="1" t="s">
        <v>66</v>
      </c>
    </row>
    <row r="436" spans="1:11">
      <c r="A436" s="17" t="s">
        <v>69</v>
      </c>
      <c r="B436" s="19" t="s">
        <v>50</v>
      </c>
      <c r="C436" s="19" t="s">
        <v>614</v>
      </c>
      <c r="D436" s="19" t="s">
        <v>615</v>
      </c>
      <c r="E436" s="20" t="s">
        <v>11</v>
      </c>
      <c r="F436" s="19" t="s">
        <v>51</v>
      </c>
      <c r="G436" s="19" t="s">
        <v>72</v>
      </c>
      <c r="H436" s="19" t="s">
        <v>31</v>
      </c>
      <c r="I436">
        <v>5653</v>
      </c>
      <c r="J436">
        <v>177</v>
      </c>
      <c r="K436" s="1" t="s">
        <v>65</v>
      </c>
    </row>
    <row r="437" spans="1:11">
      <c r="A437" s="17" t="s">
        <v>69</v>
      </c>
      <c r="B437" s="19" t="s">
        <v>50</v>
      </c>
      <c r="C437" s="19" t="s">
        <v>616</v>
      </c>
      <c r="D437" s="19" t="s">
        <v>617</v>
      </c>
      <c r="E437" s="20" t="s">
        <v>11</v>
      </c>
      <c r="F437" s="19" t="s">
        <v>51</v>
      </c>
      <c r="G437" s="19" t="s">
        <v>72</v>
      </c>
      <c r="H437" s="19" t="s">
        <v>31</v>
      </c>
      <c r="I437">
        <v>32605</v>
      </c>
      <c r="J437">
        <v>181</v>
      </c>
      <c r="K437" s="1" t="s">
        <v>66</v>
      </c>
    </row>
    <row r="438" spans="1:11">
      <c r="A438" s="17" t="s">
        <v>69</v>
      </c>
      <c r="B438" s="19" t="s">
        <v>50</v>
      </c>
      <c r="C438" s="19" t="s">
        <v>616</v>
      </c>
      <c r="D438" s="19" t="s">
        <v>617</v>
      </c>
      <c r="E438" s="20" t="s">
        <v>11</v>
      </c>
      <c r="F438" s="19" t="s">
        <v>51</v>
      </c>
      <c r="G438" s="19" t="s">
        <v>72</v>
      </c>
      <c r="H438" s="19" t="s">
        <v>31</v>
      </c>
      <c r="I438">
        <v>4112</v>
      </c>
      <c r="J438">
        <v>138</v>
      </c>
      <c r="K438" s="1" t="s">
        <v>65</v>
      </c>
    </row>
    <row r="439" spans="1:11">
      <c r="A439" s="17" t="s">
        <v>69</v>
      </c>
      <c r="B439" s="19" t="s">
        <v>50</v>
      </c>
      <c r="C439" s="19" t="s">
        <v>618</v>
      </c>
      <c r="D439" s="19" t="s">
        <v>619</v>
      </c>
      <c r="E439" s="20" t="s">
        <v>11</v>
      </c>
      <c r="F439" s="19" t="s">
        <v>51</v>
      </c>
      <c r="G439" s="19" t="s">
        <v>72</v>
      </c>
      <c r="H439" s="19" t="s">
        <v>31</v>
      </c>
      <c r="I439">
        <v>21513</v>
      </c>
      <c r="J439">
        <v>40</v>
      </c>
      <c r="K439" s="1" t="s">
        <v>66</v>
      </c>
    </row>
    <row r="440" spans="1:11">
      <c r="A440" s="17" t="s">
        <v>69</v>
      </c>
      <c r="B440" s="19" t="s">
        <v>50</v>
      </c>
      <c r="C440" s="19" t="s">
        <v>618</v>
      </c>
      <c r="D440" s="19" t="s">
        <v>619</v>
      </c>
      <c r="E440" s="20" t="s">
        <v>11</v>
      </c>
      <c r="F440" s="19" t="s">
        <v>51</v>
      </c>
      <c r="G440" s="19" t="s">
        <v>72</v>
      </c>
      <c r="H440" s="19" t="s">
        <v>31</v>
      </c>
      <c r="I440">
        <v>8286</v>
      </c>
      <c r="J440">
        <v>16</v>
      </c>
      <c r="K440" s="1" t="s">
        <v>65</v>
      </c>
    </row>
    <row r="441" spans="1:11">
      <c r="A441" s="17" t="s">
        <v>69</v>
      </c>
      <c r="B441" s="19" t="s">
        <v>50</v>
      </c>
      <c r="C441" s="19" t="s">
        <v>620</v>
      </c>
      <c r="D441" s="19" t="s">
        <v>621</v>
      </c>
      <c r="E441" s="20" t="s">
        <v>11</v>
      </c>
      <c r="F441" s="19" t="s">
        <v>51</v>
      </c>
      <c r="G441" s="19" t="s">
        <v>72</v>
      </c>
      <c r="H441" s="19" t="s">
        <v>31</v>
      </c>
      <c r="I441">
        <v>21470</v>
      </c>
      <c r="J441">
        <v>39</v>
      </c>
      <c r="K441" s="1" t="s">
        <v>66</v>
      </c>
    </row>
    <row r="442" spans="1:11">
      <c r="A442" s="17" t="s">
        <v>69</v>
      </c>
      <c r="B442" s="19" t="s">
        <v>50</v>
      </c>
      <c r="C442" s="19" t="s">
        <v>620</v>
      </c>
      <c r="D442" s="19" t="s">
        <v>621</v>
      </c>
      <c r="E442" s="20" t="s">
        <v>11</v>
      </c>
      <c r="F442" s="19" t="s">
        <v>51</v>
      </c>
      <c r="G442" s="19" t="s">
        <v>72</v>
      </c>
      <c r="H442" s="19" t="s">
        <v>31</v>
      </c>
      <c r="I442">
        <v>8040</v>
      </c>
      <c r="J442">
        <v>12</v>
      </c>
      <c r="K442" s="1" t="s">
        <v>65</v>
      </c>
    </row>
    <row r="443" spans="1:11">
      <c r="A443" s="17" t="s">
        <v>69</v>
      </c>
      <c r="B443" s="19" t="s">
        <v>50</v>
      </c>
      <c r="C443" s="19" t="s">
        <v>622</v>
      </c>
      <c r="D443" s="19" t="s">
        <v>623</v>
      </c>
      <c r="E443" s="20" t="s">
        <v>11</v>
      </c>
      <c r="F443" s="19" t="s">
        <v>51</v>
      </c>
      <c r="G443" s="19" t="s">
        <v>72</v>
      </c>
      <c r="H443" s="19" t="s">
        <v>31</v>
      </c>
      <c r="I443">
        <v>21689</v>
      </c>
      <c r="J443">
        <v>39</v>
      </c>
      <c r="K443" s="1" t="s">
        <v>66</v>
      </c>
    </row>
    <row r="444" spans="1:11">
      <c r="A444" s="17" t="s">
        <v>69</v>
      </c>
      <c r="B444" s="19" t="s">
        <v>50</v>
      </c>
      <c r="C444" s="19" t="s">
        <v>622</v>
      </c>
      <c r="D444" s="19" t="s">
        <v>623</v>
      </c>
      <c r="E444" s="20" t="s">
        <v>11</v>
      </c>
      <c r="F444" s="19" t="s">
        <v>51</v>
      </c>
      <c r="G444" s="19" t="s">
        <v>72</v>
      </c>
      <c r="H444" s="19" t="s">
        <v>31</v>
      </c>
      <c r="I444">
        <v>7921</v>
      </c>
      <c r="J444">
        <v>17</v>
      </c>
      <c r="K444" s="1" t="s">
        <v>65</v>
      </c>
    </row>
    <row r="445" spans="1:11">
      <c r="A445" s="17" t="s">
        <v>69</v>
      </c>
      <c r="B445" s="19" t="s">
        <v>50</v>
      </c>
      <c r="C445" s="19" t="s">
        <v>624</v>
      </c>
      <c r="D445" s="19" t="s">
        <v>625</v>
      </c>
      <c r="E445" s="20" t="s">
        <v>11</v>
      </c>
      <c r="F445" s="19" t="s">
        <v>51</v>
      </c>
      <c r="G445" s="19" t="s">
        <v>72</v>
      </c>
      <c r="H445" s="19" t="s">
        <v>31</v>
      </c>
      <c r="I445">
        <v>21643</v>
      </c>
      <c r="J445">
        <v>47</v>
      </c>
      <c r="K445" s="1" t="s">
        <v>66</v>
      </c>
    </row>
    <row r="446" spans="1:11">
      <c r="A446" s="17" t="s">
        <v>69</v>
      </c>
      <c r="B446" s="19" t="s">
        <v>50</v>
      </c>
      <c r="C446" s="19" t="s">
        <v>624</v>
      </c>
      <c r="D446" s="19" t="s">
        <v>625</v>
      </c>
      <c r="E446" s="20" t="s">
        <v>11</v>
      </c>
      <c r="F446" s="19" t="s">
        <v>51</v>
      </c>
      <c r="G446" s="19" t="s">
        <v>72</v>
      </c>
      <c r="H446" s="19" t="s">
        <v>31</v>
      </c>
      <c r="I446">
        <v>9391</v>
      </c>
      <c r="J446">
        <v>14</v>
      </c>
      <c r="K446" s="1" t="s">
        <v>65</v>
      </c>
    </row>
    <row r="447" spans="1:11">
      <c r="A447" s="17" t="s">
        <v>69</v>
      </c>
      <c r="B447" s="19" t="s">
        <v>50</v>
      </c>
      <c r="C447" s="19" t="s">
        <v>626</v>
      </c>
      <c r="D447" s="19" t="s">
        <v>627</v>
      </c>
      <c r="E447" s="20" t="s">
        <v>11</v>
      </c>
      <c r="F447" s="19" t="s">
        <v>51</v>
      </c>
      <c r="G447" s="19" t="s">
        <v>72</v>
      </c>
      <c r="H447" s="19" t="s">
        <v>31</v>
      </c>
      <c r="I447">
        <v>21925</v>
      </c>
      <c r="J447">
        <v>36</v>
      </c>
      <c r="K447" s="1" t="s">
        <v>66</v>
      </c>
    </row>
    <row r="448" spans="1:11">
      <c r="A448" s="17" t="s">
        <v>69</v>
      </c>
      <c r="B448" s="19" t="s">
        <v>50</v>
      </c>
      <c r="C448" s="19" t="s">
        <v>626</v>
      </c>
      <c r="D448" s="19" t="s">
        <v>627</v>
      </c>
      <c r="E448" s="20" t="s">
        <v>11</v>
      </c>
      <c r="F448" s="19" t="s">
        <v>51</v>
      </c>
      <c r="G448" s="19" t="s">
        <v>72</v>
      </c>
      <c r="H448" s="19" t="s">
        <v>31</v>
      </c>
      <c r="I448">
        <v>7797</v>
      </c>
      <c r="J448">
        <v>7</v>
      </c>
      <c r="K448" s="1" t="s">
        <v>65</v>
      </c>
    </row>
    <row r="449" spans="1:11">
      <c r="A449" s="17" t="s">
        <v>69</v>
      </c>
      <c r="B449" s="19" t="s">
        <v>50</v>
      </c>
      <c r="C449" s="19" t="s">
        <v>628</v>
      </c>
      <c r="D449" s="19" t="s">
        <v>629</v>
      </c>
      <c r="E449" s="20" t="s">
        <v>11</v>
      </c>
      <c r="F449" s="19" t="s">
        <v>51</v>
      </c>
      <c r="G449" s="19" t="s">
        <v>72</v>
      </c>
      <c r="H449" s="19" t="s">
        <v>31</v>
      </c>
      <c r="I449">
        <v>21264</v>
      </c>
      <c r="J449">
        <v>43</v>
      </c>
      <c r="K449" s="1" t="s">
        <v>66</v>
      </c>
    </row>
    <row r="450" spans="1:11">
      <c r="A450" s="17" t="s">
        <v>69</v>
      </c>
      <c r="B450" s="19" t="s">
        <v>50</v>
      </c>
      <c r="C450" s="19" t="s">
        <v>628</v>
      </c>
      <c r="D450" s="19" t="s">
        <v>629</v>
      </c>
      <c r="E450" s="20" t="s">
        <v>11</v>
      </c>
      <c r="F450" s="19" t="s">
        <v>51</v>
      </c>
      <c r="G450" s="19" t="s">
        <v>72</v>
      </c>
      <c r="H450" s="19" t="s">
        <v>31</v>
      </c>
      <c r="I450">
        <v>7999</v>
      </c>
      <c r="J450">
        <v>10</v>
      </c>
      <c r="K450" s="1" t="s">
        <v>65</v>
      </c>
    </row>
    <row r="451" spans="1:11">
      <c r="A451" s="17" t="s">
        <v>69</v>
      </c>
      <c r="B451" s="19" t="s">
        <v>50</v>
      </c>
      <c r="C451" s="19" t="s">
        <v>630</v>
      </c>
      <c r="D451" s="19" t="s">
        <v>631</v>
      </c>
      <c r="E451" s="20" t="s">
        <v>11</v>
      </c>
      <c r="F451" s="19" t="s">
        <v>51</v>
      </c>
      <c r="G451" s="19" t="s">
        <v>72</v>
      </c>
      <c r="H451" s="19" t="s">
        <v>31</v>
      </c>
      <c r="I451">
        <v>21795</v>
      </c>
      <c r="J451">
        <v>42</v>
      </c>
      <c r="K451" s="1" t="s">
        <v>66</v>
      </c>
    </row>
    <row r="452" spans="1:11">
      <c r="A452" s="17" t="s">
        <v>69</v>
      </c>
      <c r="B452" s="19" t="s">
        <v>50</v>
      </c>
      <c r="C452" s="19" t="s">
        <v>630</v>
      </c>
      <c r="D452" s="19" t="s">
        <v>631</v>
      </c>
      <c r="E452" s="20" t="s">
        <v>11</v>
      </c>
      <c r="F452" s="19" t="s">
        <v>51</v>
      </c>
      <c r="G452" s="19" t="s">
        <v>72</v>
      </c>
      <c r="H452" s="19" t="s">
        <v>31</v>
      </c>
      <c r="I452">
        <v>7807</v>
      </c>
      <c r="J452">
        <v>5</v>
      </c>
      <c r="K452" s="1" t="s">
        <v>65</v>
      </c>
    </row>
    <row r="453" spans="1:11">
      <c r="A453" s="17" t="s">
        <v>69</v>
      </c>
      <c r="B453" s="19" t="s">
        <v>50</v>
      </c>
      <c r="C453" s="19" t="s">
        <v>632</v>
      </c>
      <c r="D453" s="19" t="s">
        <v>633</v>
      </c>
      <c r="E453" s="20" t="s">
        <v>11</v>
      </c>
      <c r="F453" s="19" t="s">
        <v>51</v>
      </c>
      <c r="G453" s="19" t="s">
        <v>72</v>
      </c>
      <c r="H453" s="19" t="s">
        <v>31</v>
      </c>
      <c r="I453">
        <v>21505</v>
      </c>
      <c r="J453">
        <v>42</v>
      </c>
      <c r="K453" s="1" t="s">
        <v>66</v>
      </c>
    </row>
    <row r="454" spans="1:11">
      <c r="A454" s="17" t="s">
        <v>69</v>
      </c>
      <c r="B454" s="19" t="s">
        <v>50</v>
      </c>
      <c r="C454" s="19" t="s">
        <v>632</v>
      </c>
      <c r="D454" s="19" t="s">
        <v>633</v>
      </c>
      <c r="E454" s="20" t="s">
        <v>11</v>
      </c>
      <c r="F454" s="19" t="s">
        <v>51</v>
      </c>
      <c r="G454" s="19" t="s">
        <v>72</v>
      </c>
      <c r="H454" s="19" t="s">
        <v>31</v>
      </c>
      <c r="I454">
        <v>8140</v>
      </c>
      <c r="J454">
        <v>10</v>
      </c>
      <c r="K454" s="1" t="s">
        <v>65</v>
      </c>
    </row>
    <row r="455" spans="1:11">
      <c r="A455" s="17" t="s">
        <v>69</v>
      </c>
      <c r="B455" s="19" t="s">
        <v>50</v>
      </c>
      <c r="C455" s="19" t="s">
        <v>634</v>
      </c>
      <c r="D455" s="19" t="s">
        <v>635</v>
      </c>
      <c r="E455" s="20" t="s">
        <v>11</v>
      </c>
      <c r="F455" s="19" t="s">
        <v>51</v>
      </c>
      <c r="G455" s="19" t="s">
        <v>72</v>
      </c>
      <c r="H455" s="19" t="s">
        <v>31</v>
      </c>
      <c r="I455">
        <v>6048</v>
      </c>
      <c r="J455">
        <v>3</v>
      </c>
      <c r="K455" s="1" t="s">
        <v>65</v>
      </c>
    </row>
    <row r="456" spans="1:11">
      <c r="A456" s="17" t="s">
        <v>69</v>
      </c>
      <c r="B456" s="19" t="s">
        <v>50</v>
      </c>
      <c r="C456" s="19" t="s">
        <v>636</v>
      </c>
      <c r="D456" s="19" t="s">
        <v>637</v>
      </c>
      <c r="E456" s="20" t="s">
        <v>11</v>
      </c>
      <c r="F456" s="19" t="s">
        <v>51</v>
      </c>
      <c r="G456" s="19" t="s">
        <v>72</v>
      </c>
      <c r="H456" s="19" t="s">
        <v>31</v>
      </c>
      <c r="I456">
        <v>5843</v>
      </c>
      <c r="J456">
        <v>4</v>
      </c>
      <c r="K456" s="1" t="s">
        <v>65</v>
      </c>
    </row>
    <row r="457" spans="1:11">
      <c r="A457" s="17" t="s">
        <v>69</v>
      </c>
      <c r="B457" s="19" t="s">
        <v>50</v>
      </c>
      <c r="C457" s="19" t="s">
        <v>638</v>
      </c>
      <c r="D457" s="19" t="s">
        <v>639</v>
      </c>
      <c r="E457" s="20" t="s">
        <v>11</v>
      </c>
      <c r="F457" s="19" t="s">
        <v>51</v>
      </c>
      <c r="G457" s="19" t="s">
        <v>72</v>
      </c>
      <c r="H457" s="19" t="s">
        <v>31</v>
      </c>
      <c r="I457">
        <v>7090</v>
      </c>
      <c r="J457">
        <v>9</v>
      </c>
      <c r="K457" s="1" t="s">
        <v>65</v>
      </c>
    </row>
    <row r="458" spans="1:11">
      <c r="A458" s="17" t="s">
        <v>69</v>
      </c>
      <c r="B458" s="19" t="s">
        <v>50</v>
      </c>
      <c r="C458" s="19" t="s">
        <v>640</v>
      </c>
      <c r="D458" s="19" t="s">
        <v>641</v>
      </c>
      <c r="E458" s="20" t="s">
        <v>11</v>
      </c>
      <c r="F458" s="19" t="s">
        <v>51</v>
      </c>
      <c r="G458" s="19" t="s">
        <v>72</v>
      </c>
      <c r="H458" s="19" t="s">
        <v>31</v>
      </c>
      <c r="I458">
        <v>6053</v>
      </c>
      <c r="J458">
        <v>7</v>
      </c>
      <c r="K458" s="1" t="s">
        <v>65</v>
      </c>
    </row>
    <row r="459" spans="1:11">
      <c r="A459" s="17" t="s">
        <v>69</v>
      </c>
      <c r="B459" s="19" t="s">
        <v>50</v>
      </c>
      <c r="C459" s="19" t="s">
        <v>642</v>
      </c>
      <c r="D459" s="19" t="s">
        <v>643</v>
      </c>
      <c r="E459" s="20" t="s">
        <v>11</v>
      </c>
      <c r="F459" s="19" t="s">
        <v>51</v>
      </c>
      <c r="G459" s="19" t="s">
        <v>72</v>
      </c>
      <c r="H459" s="19" t="s">
        <v>31</v>
      </c>
      <c r="I459">
        <v>5990</v>
      </c>
      <c r="J459">
        <v>5</v>
      </c>
      <c r="K459" s="1" t="s">
        <v>65</v>
      </c>
    </row>
    <row r="460" spans="1:11">
      <c r="A460" s="17" t="s">
        <v>69</v>
      </c>
      <c r="B460" s="19" t="s">
        <v>50</v>
      </c>
      <c r="C460" s="19" t="s">
        <v>644</v>
      </c>
      <c r="D460" s="19" t="s">
        <v>645</v>
      </c>
      <c r="E460" s="20" t="s">
        <v>11</v>
      </c>
      <c r="F460" s="19" t="s">
        <v>51</v>
      </c>
      <c r="G460" s="19" t="s">
        <v>72</v>
      </c>
      <c r="H460" s="19" t="s">
        <v>31</v>
      </c>
      <c r="I460">
        <v>6521</v>
      </c>
      <c r="J460">
        <v>12</v>
      </c>
      <c r="K460" s="1" t="s">
        <v>65</v>
      </c>
    </row>
    <row r="461" spans="1:11">
      <c r="A461" s="17" t="s">
        <v>69</v>
      </c>
      <c r="B461" s="19" t="s">
        <v>50</v>
      </c>
      <c r="C461" s="19" t="s">
        <v>646</v>
      </c>
      <c r="D461" s="19" t="s">
        <v>647</v>
      </c>
      <c r="E461" s="20" t="s">
        <v>11</v>
      </c>
      <c r="F461" s="19" t="s">
        <v>51</v>
      </c>
      <c r="G461" s="19" t="s">
        <v>72</v>
      </c>
      <c r="H461" s="19" t="s">
        <v>31</v>
      </c>
      <c r="I461">
        <v>5937</v>
      </c>
      <c r="J461">
        <v>4</v>
      </c>
      <c r="K461" s="1" t="s">
        <v>65</v>
      </c>
    </row>
    <row r="462" spans="1:11">
      <c r="A462" s="17" t="s">
        <v>69</v>
      </c>
      <c r="B462" s="19" t="s">
        <v>50</v>
      </c>
      <c r="C462" s="19" t="s">
        <v>648</v>
      </c>
      <c r="D462" s="19" t="s">
        <v>649</v>
      </c>
      <c r="E462" s="20" t="s">
        <v>11</v>
      </c>
      <c r="F462" s="19" t="s">
        <v>51</v>
      </c>
      <c r="G462" s="19" t="s">
        <v>72</v>
      </c>
      <c r="H462" s="19" t="s">
        <v>31</v>
      </c>
      <c r="I462">
        <v>6355</v>
      </c>
      <c r="J462">
        <v>8</v>
      </c>
      <c r="K462" s="1" t="s">
        <v>65</v>
      </c>
    </row>
    <row r="463" spans="1:11">
      <c r="A463" s="17" t="s">
        <v>69</v>
      </c>
      <c r="B463" s="19" t="s">
        <v>50</v>
      </c>
      <c r="C463" s="19" t="s">
        <v>650</v>
      </c>
      <c r="D463" s="19" t="s">
        <v>651</v>
      </c>
      <c r="E463" s="20" t="s">
        <v>11</v>
      </c>
      <c r="F463" s="19" t="s">
        <v>51</v>
      </c>
      <c r="G463" s="19" t="s">
        <v>72</v>
      </c>
      <c r="H463" s="19" t="s">
        <v>31</v>
      </c>
      <c r="I463">
        <v>6602</v>
      </c>
      <c r="J463">
        <v>9</v>
      </c>
      <c r="K463" s="1" t="s">
        <v>65</v>
      </c>
    </row>
    <row r="464" spans="1:11">
      <c r="A464" s="17" t="s">
        <v>69</v>
      </c>
      <c r="B464" s="19" t="s">
        <v>50</v>
      </c>
      <c r="C464" s="19" t="s">
        <v>652</v>
      </c>
      <c r="D464" s="19" t="s">
        <v>653</v>
      </c>
      <c r="E464" s="20" t="s">
        <v>11</v>
      </c>
      <c r="F464" s="19" t="s">
        <v>51</v>
      </c>
      <c r="G464" s="19" t="s">
        <v>72</v>
      </c>
      <c r="H464" s="19" t="s">
        <v>31</v>
      </c>
      <c r="I464">
        <v>110785</v>
      </c>
      <c r="J464">
        <v>459</v>
      </c>
      <c r="K464" s="1" t="s">
        <v>66</v>
      </c>
    </row>
    <row r="465" spans="1:11">
      <c r="A465" s="17" t="s">
        <v>69</v>
      </c>
      <c r="B465" s="19" t="s">
        <v>50</v>
      </c>
      <c r="C465" s="19" t="s">
        <v>652</v>
      </c>
      <c r="D465" s="19" t="s">
        <v>653</v>
      </c>
      <c r="E465" s="20" t="s">
        <v>11</v>
      </c>
      <c r="F465" s="19" t="s">
        <v>51</v>
      </c>
      <c r="G465" s="19" t="s">
        <v>72</v>
      </c>
      <c r="H465" s="19" t="s">
        <v>31</v>
      </c>
      <c r="I465">
        <v>12068</v>
      </c>
      <c r="J465">
        <v>206</v>
      </c>
      <c r="K465" s="1" t="s">
        <v>65</v>
      </c>
    </row>
    <row r="466" spans="1:11">
      <c r="A466" s="17" t="s">
        <v>69</v>
      </c>
      <c r="B466" s="19" t="s">
        <v>50</v>
      </c>
      <c r="C466" s="19" t="s">
        <v>654</v>
      </c>
      <c r="D466" s="19" t="s">
        <v>655</v>
      </c>
      <c r="E466" s="20" t="s">
        <v>11</v>
      </c>
      <c r="F466" s="19" t="s">
        <v>51</v>
      </c>
      <c r="G466" s="19" t="s">
        <v>72</v>
      </c>
      <c r="H466" s="19" t="s">
        <v>31</v>
      </c>
      <c r="I466">
        <v>110460</v>
      </c>
      <c r="J466">
        <v>490</v>
      </c>
      <c r="K466" s="1" t="s">
        <v>66</v>
      </c>
    </row>
    <row r="467" spans="1:11">
      <c r="A467" s="17" t="s">
        <v>69</v>
      </c>
      <c r="B467" s="19" t="s">
        <v>50</v>
      </c>
      <c r="C467" s="19" t="s">
        <v>654</v>
      </c>
      <c r="D467" s="19" t="s">
        <v>655</v>
      </c>
      <c r="E467" s="20" t="s">
        <v>11</v>
      </c>
      <c r="F467" s="19" t="s">
        <v>51</v>
      </c>
      <c r="G467" s="19" t="s">
        <v>72</v>
      </c>
      <c r="H467" s="19" t="s">
        <v>31</v>
      </c>
      <c r="I467">
        <v>38238</v>
      </c>
      <c r="J467">
        <v>474</v>
      </c>
      <c r="K467" s="1" t="s">
        <v>65</v>
      </c>
    </row>
    <row r="468" spans="1:11">
      <c r="A468" s="17" t="s">
        <v>69</v>
      </c>
      <c r="B468" s="19" t="s">
        <v>50</v>
      </c>
      <c r="C468" s="19" t="s">
        <v>656</v>
      </c>
      <c r="D468" s="19" t="s">
        <v>657</v>
      </c>
      <c r="E468" s="20" t="s">
        <v>11</v>
      </c>
      <c r="F468" s="19" t="s">
        <v>51</v>
      </c>
      <c r="G468" s="19" t="s">
        <v>72</v>
      </c>
      <c r="H468" s="19" t="s">
        <v>31</v>
      </c>
      <c r="I468">
        <v>113538</v>
      </c>
      <c r="J468">
        <v>416</v>
      </c>
      <c r="K468" s="1" t="s">
        <v>66</v>
      </c>
    </row>
    <row r="469" spans="1:11">
      <c r="A469" s="17" t="s">
        <v>69</v>
      </c>
      <c r="B469" s="19" t="s">
        <v>50</v>
      </c>
      <c r="C469" s="19" t="s">
        <v>656</v>
      </c>
      <c r="D469" s="19" t="s">
        <v>657</v>
      </c>
      <c r="E469" s="20" t="s">
        <v>11</v>
      </c>
      <c r="F469" s="19" t="s">
        <v>51</v>
      </c>
      <c r="G469" s="19" t="s">
        <v>72</v>
      </c>
      <c r="H469" s="19" t="s">
        <v>31</v>
      </c>
      <c r="I469">
        <v>7290</v>
      </c>
      <c r="J469">
        <v>131</v>
      </c>
      <c r="K469" s="1" t="s">
        <v>65</v>
      </c>
    </row>
    <row r="470" spans="1:11">
      <c r="A470" s="17" t="s">
        <v>69</v>
      </c>
      <c r="B470" s="19" t="s">
        <v>50</v>
      </c>
      <c r="C470" s="19" t="s">
        <v>658</v>
      </c>
      <c r="D470" s="19" t="s">
        <v>659</v>
      </c>
      <c r="E470" s="20" t="s">
        <v>11</v>
      </c>
      <c r="F470" s="19" t="s">
        <v>51</v>
      </c>
      <c r="G470" s="19" t="s">
        <v>72</v>
      </c>
      <c r="H470" s="19" t="s">
        <v>31</v>
      </c>
      <c r="I470">
        <v>113691</v>
      </c>
      <c r="J470">
        <v>456</v>
      </c>
      <c r="K470" s="1" t="s">
        <v>66</v>
      </c>
    </row>
    <row r="471" spans="1:11">
      <c r="A471" s="17" t="s">
        <v>69</v>
      </c>
      <c r="B471" s="19" t="s">
        <v>50</v>
      </c>
      <c r="C471" s="19" t="s">
        <v>658</v>
      </c>
      <c r="D471" s="19" t="s">
        <v>659</v>
      </c>
      <c r="E471" s="20" t="s">
        <v>11</v>
      </c>
      <c r="F471" s="19" t="s">
        <v>51</v>
      </c>
      <c r="G471" s="19" t="s">
        <v>72</v>
      </c>
      <c r="H471" s="19" t="s">
        <v>31</v>
      </c>
      <c r="I471">
        <v>22477</v>
      </c>
      <c r="J471">
        <v>481</v>
      </c>
      <c r="K471" s="1" t="s">
        <v>65</v>
      </c>
    </row>
    <row r="472" spans="1:11">
      <c r="A472" s="17" t="s">
        <v>69</v>
      </c>
      <c r="B472" s="19" t="s">
        <v>50</v>
      </c>
      <c r="C472" s="19" t="s">
        <v>660</v>
      </c>
      <c r="D472" s="19" t="s">
        <v>661</v>
      </c>
      <c r="E472" s="20" t="s">
        <v>11</v>
      </c>
      <c r="F472" s="19" t="s">
        <v>51</v>
      </c>
      <c r="G472" s="19" t="s">
        <v>72</v>
      </c>
      <c r="H472" s="19" t="s">
        <v>31</v>
      </c>
      <c r="I472">
        <v>51595</v>
      </c>
      <c r="J472">
        <v>578</v>
      </c>
      <c r="K472" s="1" t="s">
        <v>66</v>
      </c>
    </row>
    <row r="473" spans="1:11">
      <c r="A473" s="17" t="s">
        <v>69</v>
      </c>
      <c r="B473" s="19" t="s">
        <v>50</v>
      </c>
      <c r="C473" s="19" t="s">
        <v>660</v>
      </c>
      <c r="D473" s="19" t="s">
        <v>661</v>
      </c>
      <c r="E473" s="20" t="s">
        <v>11</v>
      </c>
      <c r="F473" s="19" t="s">
        <v>51</v>
      </c>
      <c r="G473" s="19" t="s">
        <v>72</v>
      </c>
      <c r="H473" s="19" t="s">
        <v>31</v>
      </c>
      <c r="I473">
        <v>10991</v>
      </c>
      <c r="J473">
        <v>362</v>
      </c>
      <c r="K473" s="1" t="s">
        <v>65</v>
      </c>
    </row>
    <row r="474" spans="1:11">
      <c r="A474" s="17" t="s">
        <v>69</v>
      </c>
      <c r="B474" s="19" t="s">
        <v>50</v>
      </c>
      <c r="C474" s="19" t="s">
        <v>662</v>
      </c>
      <c r="D474" s="19" t="s">
        <v>663</v>
      </c>
      <c r="E474" s="20" t="s">
        <v>11</v>
      </c>
      <c r="F474" s="19" t="s">
        <v>51</v>
      </c>
      <c r="G474" s="19" t="s">
        <v>72</v>
      </c>
      <c r="H474" s="19" t="s">
        <v>31</v>
      </c>
      <c r="I474">
        <v>20557</v>
      </c>
      <c r="J474">
        <v>58</v>
      </c>
      <c r="K474" s="1" t="s">
        <v>66</v>
      </c>
    </row>
    <row r="475" spans="1:11">
      <c r="A475" s="17" t="s">
        <v>69</v>
      </c>
      <c r="B475" s="19" t="s">
        <v>50</v>
      </c>
      <c r="C475" s="19" t="s">
        <v>662</v>
      </c>
      <c r="D475" s="19" t="s">
        <v>663</v>
      </c>
      <c r="E475" s="20" t="s">
        <v>11</v>
      </c>
      <c r="F475" s="19" t="s">
        <v>51</v>
      </c>
      <c r="G475" s="19" t="s">
        <v>72</v>
      </c>
      <c r="H475" s="19" t="s">
        <v>31</v>
      </c>
      <c r="I475">
        <v>5896</v>
      </c>
      <c r="J475">
        <v>208</v>
      </c>
      <c r="K475" s="1" t="s">
        <v>65</v>
      </c>
    </row>
    <row r="476" spans="1:11">
      <c r="A476" s="17" t="s">
        <v>69</v>
      </c>
      <c r="B476" s="19" t="s">
        <v>50</v>
      </c>
      <c r="C476" s="19" t="s">
        <v>664</v>
      </c>
      <c r="D476" s="19" t="s">
        <v>665</v>
      </c>
      <c r="E476" s="20" t="s">
        <v>11</v>
      </c>
      <c r="F476" s="19" t="s">
        <v>51</v>
      </c>
      <c r="G476" s="19" t="s">
        <v>72</v>
      </c>
      <c r="H476" s="19" t="s">
        <v>31</v>
      </c>
      <c r="I476">
        <v>19807</v>
      </c>
      <c r="J476">
        <v>61</v>
      </c>
      <c r="K476" s="1" t="s">
        <v>66</v>
      </c>
    </row>
    <row r="477" spans="1:11">
      <c r="A477" s="17" t="s">
        <v>69</v>
      </c>
      <c r="B477" s="19" t="s">
        <v>50</v>
      </c>
      <c r="C477" s="19" t="s">
        <v>664</v>
      </c>
      <c r="D477" s="19" t="s">
        <v>665</v>
      </c>
      <c r="E477" s="20" t="s">
        <v>11</v>
      </c>
      <c r="F477" s="19" t="s">
        <v>51</v>
      </c>
      <c r="G477" s="19" t="s">
        <v>72</v>
      </c>
      <c r="H477" s="19" t="s">
        <v>31</v>
      </c>
      <c r="I477">
        <v>4528</v>
      </c>
      <c r="J477">
        <v>140</v>
      </c>
      <c r="K477" s="1" t="s">
        <v>65</v>
      </c>
    </row>
    <row r="478" spans="1:11">
      <c r="A478" s="17" t="s">
        <v>69</v>
      </c>
      <c r="B478" s="19" t="s">
        <v>50</v>
      </c>
      <c r="C478" s="19" t="s">
        <v>666</v>
      </c>
      <c r="D478" s="19" t="s">
        <v>667</v>
      </c>
      <c r="E478" s="20" t="s">
        <v>11</v>
      </c>
      <c r="F478" s="19" t="s">
        <v>51</v>
      </c>
      <c r="G478" s="19" t="s">
        <v>72</v>
      </c>
      <c r="H478" s="19" t="s">
        <v>31</v>
      </c>
      <c r="I478">
        <v>24640</v>
      </c>
      <c r="J478">
        <v>65</v>
      </c>
      <c r="K478" s="1" t="s">
        <v>66</v>
      </c>
    </row>
    <row r="479" spans="1:11">
      <c r="A479" s="17" t="s">
        <v>69</v>
      </c>
      <c r="B479" s="19" t="s">
        <v>50</v>
      </c>
      <c r="C479" s="19" t="s">
        <v>666</v>
      </c>
      <c r="D479" s="19" t="s">
        <v>667</v>
      </c>
      <c r="E479" s="20" t="s">
        <v>11</v>
      </c>
      <c r="F479" s="19" t="s">
        <v>51</v>
      </c>
      <c r="G479" s="19" t="s">
        <v>72</v>
      </c>
      <c r="H479" s="19" t="s">
        <v>31</v>
      </c>
      <c r="I479">
        <v>4267</v>
      </c>
      <c r="J479">
        <v>127</v>
      </c>
      <c r="K479" s="1" t="s">
        <v>65</v>
      </c>
    </row>
    <row r="480" spans="1:11">
      <c r="A480" s="17" t="s">
        <v>69</v>
      </c>
      <c r="B480" s="19" t="s">
        <v>50</v>
      </c>
      <c r="C480" s="19" t="s">
        <v>668</v>
      </c>
      <c r="D480" s="19" t="s">
        <v>669</v>
      </c>
      <c r="E480" s="20" t="s">
        <v>11</v>
      </c>
      <c r="F480" s="19" t="s">
        <v>51</v>
      </c>
      <c r="G480" s="19" t="s">
        <v>72</v>
      </c>
      <c r="H480" s="19" t="s">
        <v>31</v>
      </c>
      <c r="I480">
        <v>10431</v>
      </c>
      <c r="J480">
        <v>11</v>
      </c>
      <c r="K480" s="1" t="s">
        <v>66</v>
      </c>
    </row>
    <row r="481" spans="1:11">
      <c r="A481" s="17" t="s">
        <v>69</v>
      </c>
      <c r="B481" s="19" t="s">
        <v>50</v>
      </c>
      <c r="C481" s="19" t="s">
        <v>668</v>
      </c>
      <c r="D481" s="19" t="s">
        <v>669</v>
      </c>
      <c r="E481" s="20" t="s">
        <v>11</v>
      </c>
      <c r="F481" s="19" t="s">
        <v>51</v>
      </c>
      <c r="G481" s="19" t="s">
        <v>72</v>
      </c>
      <c r="H481" s="19" t="s">
        <v>31</v>
      </c>
      <c r="I481">
        <v>7914</v>
      </c>
      <c r="J481">
        <v>6</v>
      </c>
      <c r="K481" s="1" t="s">
        <v>65</v>
      </c>
    </row>
    <row r="482" spans="1:11">
      <c r="A482" s="17" t="s">
        <v>69</v>
      </c>
      <c r="B482" s="19" t="s">
        <v>50</v>
      </c>
      <c r="C482" s="19" t="s">
        <v>670</v>
      </c>
      <c r="D482" s="19" t="s">
        <v>671</v>
      </c>
      <c r="E482" s="20" t="s">
        <v>11</v>
      </c>
      <c r="F482" s="19" t="s">
        <v>51</v>
      </c>
      <c r="G482" s="19" t="s">
        <v>72</v>
      </c>
      <c r="H482" s="19" t="s">
        <v>31</v>
      </c>
      <c r="I482">
        <v>5180</v>
      </c>
      <c r="J482">
        <v>8</v>
      </c>
      <c r="K482" s="1" t="s">
        <v>66</v>
      </c>
    </row>
    <row r="483" spans="1:11">
      <c r="A483" s="17" t="s">
        <v>69</v>
      </c>
      <c r="B483" s="19" t="s">
        <v>50</v>
      </c>
      <c r="C483" s="19" t="s">
        <v>670</v>
      </c>
      <c r="D483" s="19" t="s">
        <v>671</v>
      </c>
      <c r="E483" s="20" t="s">
        <v>11</v>
      </c>
      <c r="F483" s="19" t="s">
        <v>51</v>
      </c>
      <c r="G483" s="19" t="s">
        <v>72</v>
      </c>
      <c r="H483" s="19" t="s">
        <v>31</v>
      </c>
      <c r="I483">
        <v>3376</v>
      </c>
      <c r="J483">
        <v>4</v>
      </c>
      <c r="K483" s="1" t="s">
        <v>65</v>
      </c>
    </row>
    <row r="484" spans="1:11">
      <c r="A484" s="17" t="s">
        <v>69</v>
      </c>
      <c r="B484" s="19" t="s">
        <v>50</v>
      </c>
      <c r="C484" s="19" t="s">
        <v>672</v>
      </c>
      <c r="D484" s="19" t="s">
        <v>673</v>
      </c>
      <c r="E484" s="20" t="s">
        <v>11</v>
      </c>
      <c r="F484" s="19" t="s">
        <v>51</v>
      </c>
      <c r="G484" s="19" t="s">
        <v>72</v>
      </c>
      <c r="H484" s="19" t="s">
        <v>31</v>
      </c>
      <c r="I484">
        <v>6347</v>
      </c>
      <c r="J484">
        <v>4</v>
      </c>
      <c r="K484" s="1" t="s">
        <v>66</v>
      </c>
    </row>
    <row r="485" spans="1:11">
      <c r="A485" s="17" t="s">
        <v>69</v>
      </c>
      <c r="B485" s="19" t="s">
        <v>50</v>
      </c>
      <c r="C485" s="19" t="s">
        <v>672</v>
      </c>
      <c r="D485" s="19" t="s">
        <v>673</v>
      </c>
      <c r="E485" s="20" t="s">
        <v>11</v>
      </c>
      <c r="F485" s="19" t="s">
        <v>51</v>
      </c>
      <c r="G485" s="19" t="s">
        <v>72</v>
      </c>
      <c r="H485" s="19" t="s">
        <v>31</v>
      </c>
      <c r="I485">
        <v>3522</v>
      </c>
      <c r="J485">
        <v>7</v>
      </c>
      <c r="K485" s="1" t="s">
        <v>65</v>
      </c>
    </row>
    <row r="486" spans="1:11">
      <c r="A486" s="17" t="s">
        <v>69</v>
      </c>
      <c r="B486" s="19" t="s">
        <v>50</v>
      </c>
      <c r="C486" s="19" t="s">
        <v>674</v>
      </c>
      <c r="D486" s="19" t="s">
        <v>675</v>
      </c>
      <c r="E486" s="20" t="s">
        <v>11</v>
      </c>
      <c r="F486" s="19" t="s">
        <v>51</v>
      </c>
      <c r="G486" s="19" t="s">
        <v>72</v>
      </c>
      <c r="H486" s="19" t="s">
        <v>31</v>
      </c>
      <c r="I486">
        <v>7001</v>
      </c>
      <c r="J486">
        <v>13</v>
      </c>
      <c r="K486" s="1" t="s">
        <v>66</v>
      </c>
    </row>
    <row r="487" spans="1:11">
      <c r="A487" s="17" t="s">
        <v>69</v>
      </c>
      <c r="B487" s="19" t="s">
        <v>50</v>
      </c>
      <c r="C487" s="19" t="s">
        <v>674</v>
      </c>
      <c r="D487" s="19" t="s">
        <v>675</v>
      </c>
      <c r="E487" s="20" t="s">
        <v>11</v>
      </c>
      <c r="F487" s="19" t="s">
        <v>51</v>
      </c>
      <c r="G487" s="19" t="s">
        <v>72</v>
      </c>
      <c r="H487" s="19" t="s">
        <v>31</v>
      </c>
      <c r="I487">
        <v>5113</v>
      </c>
      <c r="J487">
        <v>5</v>
      </c>
      <c r="K487" s="1" t="s">
        <v>65</v>
      </c>
    </row>
    <row r="488" spans="1:11">
      <c r="A488" s="17" t="s">
        <v>69</v>
      </c>
      <c r="B488" s="19" t="s">
        <v>50</v>
      </c>
      <c r="C488" s="19" t="s">
        <v>676</v>
      </c>
      <c r="D488" s="19" t="s">
        <v>677</v>
      </c>
      <c r="E488" s="20" t="s">
        <v>11</v>
      </c>
      <c r="F488" s="19" t="s">
        <v>51</v>
      </c>
      <c r="G488" s="19" t="s">
        <v>72</v>
      </c>
      <c r="H488" s="19" t="s">
        <v>31</v>
      </c>
      <c r="I488">
        <v>3809</v>
      </c>
      <c r="J488">
        <v>7</v>
      </c>
      <c r="K488" s="1" t="s">
        <v>65</v>
      </c>
    </row>
    <row r="489" spans="1:11">
      <c r="A489" s="17" t="s">
        <v>69</v>
      </c>
      <c r="B489" s="19" t="s">
        <v>50</v>
      </c>
      <c r="C489" s="19" t="s">
        <v>678</v>
      </c>
      <c r="D489" s="19" t="s">
        <v>679</v>
      </c>
      <c r="E489" s="20" t="s">
        <v>11</v>
      </c>
      <c r="F489" s="19" t="s">
        <v>51</v>
      </c>
      <c r="G489" s="19" t="s">
        <v>72</v>
      </c>
      <c r="H489" s="19" t="s">
        <v>31</v>
      </c>
      <c r="I489">
        <v>4266</v>
      </c>
      <c r="J489">
        <v>1</v>
      </c>
      <c r="K489" s="1" t="s">
        <v>66</v>
      </c>
    </row>
    <row r="490" spans="1:11">
      <c r="A490" s="17" t="s">
        <v>69</v>
      </c>
      <c r="B490" s="19" t="s">
        <v>50</v>
      </c>
      <c r="C490" s="19" t="s">
        <v>678</v>
      </c>
      <c r="D490" s="19" t="s">
        <v>679</v>
      </c>
      <c r="E490" s="20" t="s">
        <v>11</v>
      </c>
      <c r="F490" s="19" t="s">
        <v>51</v>
      </c>
      <c r="G490" s="19" t="s">
        <v>72</v>
      </c>
      <c r="H490" s="19" t="s">
        <v>31</v>
      </c>
      <c r="I490">
        <v>3381</v>
      </c>
      <c r="J490">
        <v>2</v>
      </c>
      <c r="K490" s="1" t="s">
        <v>65</v>
      </c>
    </row>
    <row r="491" spans="1:11">
      <c r="A491" s="17" t="s">
        <v>69</v>
      </c>
      <c r="B491" s="19" t="s">
        <v>50</v>
      </c>
      <c r="C491" s="19" t="s">
        <v>680</v>
      </c>
      <c r="D491" s="19" t="s">
        <v>681</v>
      </c>
      <c r="E491" s="20" t="s">
        <v>11</v>
      </c>
      <c r="F491" s="19" t="s">
        <v>51</v>
      </c>
      <c r="G491" s="19" t="s">
        <v>72</v>
      </c>
      <c r="H491" s="19" t="s">
        <v>31</v>
      </c>
      <c r="I491">
        <v>2086</v>
      </c>
      <c r="J491">
        <v>1</v>
      </c>
      <c r="K491" s="1" t="s">
        <v>66</v>
      </c>
    </row>
    <row r="492" spans="1:11">
      <c r="A492" s="17" t="s">
        <v>69</v>
      </c>
      <c r="B492" s="19" t="s">
        <v>50</v>
      </c>
      <c r="C492" s="19" t="s">
        <v>680</v>
      </c>
      <c r="D492" s="19" t="s">
        <v>681</v>
      </c>
      <c r="E492" s="20" t="s">
        <v>11</v>
      </c>
      <c r="F492" s="19" t="s">
        <v>51</v>
      </c>
      <c r="G492" s="19" t="s">
        <v>72</v>
      </c>
      <c r="H492" s="19" t="s">
        <v>31</v>
      </c>
      <c r="I492">
        <v>3237</v>
      </c>
      <c r="J492">
        <v>9</v>
      </c>
      <c r="K492" s="1" t="s">
        <v>65</v>
      </c>
    </row>
    <row r="493" spans="1:11">
      <c r="A493" s="17" t="s">
        <v>69</v>
      </c>
      <c r="B493" s="19" t="s">
        <v>50</v>
      </c>
      <c r="C493" s="19" t="s">
        <v>682</v>
      </c>
      <c r="D493" s="19" t="s">
        <v>683</v>
      </c>
      <c r="E493" s="20" t="s">
        <v>11</v>
      </c>
      <c r="F493" s="19" t="s">
        <v>51</v>
      </c>
      <c r="G493" s="19" t="s">
        <v>72</v>
      </c>
      <c r="H493" s="19" t="s">
        <v>31</v>
      </c>
      <c r="I493">
        <v>1878</v>
      </c>
      <c r="J493">
        <v>11</v>
      </c>
      <c r="K493" s="1" t="s">
        <v>66</v>
      </c>
    </row>
    <row r="494" spans="1:11">
      <c r="A494" s="17" t="s">
        <v>69</v>
      </c>
      <c r="B494" s="19" t="s">
        <v>50</v>
      </c>
      <c r="C494" s="19" t="s">
        <v>682</v>
      </c>
      <c r="D494" s="19" t="s">
        <v>683</v>
      </c>
      <c r="E494" s="20" t="s">
        <v>11</v>
      </c>
      <c r="F494" s="19" t="s">
        <v>51</v>
      </c>
      <c r="G494" s="19" t="s">
        <v>72</v>
      </c>
      <c r="H494" s="19" t="s">
        <v>31</v>
      </c>
      <c r="I494">
        <v>130</v>
      </c>
      <c r="J494">
        <v>0</v>
      </c>
      <c r="K494" s="1" t="s">
        <v>65</v>
      </c>
    </row>
    <row r="495" spans="1:11">
      <c r="A495" s="17" t="s">
        <v>69</v>
      </c>
      <c r="B495" s="19" t="s">
        <v>50</v>
      </c>
      <c r="C495" s="19" t="s">
        <v>684</v>
      </c>
      <c r="D495" s="19" t="s">
        <v>685</v>
      </c>
      <c r="E495" s="20" t="s">
        <v>11</v>
      </c>
      <c r="F495" s="19" t="s">
        <v>51</v>
      </c>
      <c r="G495" s="19" t="s">
        <v>72</v>
      </c>
      <c r="H495" s="19" t="s">
        <v>31</v>
      </c>
      <c r="I495">
        <v>3467</v>
      </c>
      <c r="J495">
        <v>8</v>
      </c>
      <c r="K495" s="1" t="s">
        <v>66</v>
      </c>
    </row>
    <row r="496" spans="1:11">
      <c r="A496" s="17" t="s">
        <v>69</v>
      </c>
      <c r="B496" s="19" t="s">
        <v>50</v>
      </c>
      <c r="C496" s="19" t="s">
        <v>684</v>
      </c>
      <c r="D496" s="19" t="s">
        <v>685</v>
      </c>
      <c r="E496" s="20" t="s">
        <v>11</v>
      </c>
      <c r="F496" s="19" t="s">
        <v>51</v>
      </c>
      <c r="G496" s="19" t="s">
        <v>72</v>
      </c>
      <c r="H496" s="19" t="s">
        <v>31</v>
      </c>
      <c r="I496">
        <v>3671</v>
      </c>
      <c r="J496">
        <v>4</v>
      </c>
      <c r="K496" s="1" t="s">
        <v>65</v>
      </c>
    </row>
    <row r="497" spans="1:11">
      <c r="A497" s="17" t="s">
        <v>69</v>
      </c>
      <c r="B497" s="19" t="s">
        <v>50</v>
      </c>
      <c r="C497" s="19" t="s">
        <v>686</v>
      </c>
      <c r="D497" s="19" t="s">
        <v>687</v>
      </c>
      <c r="E497" s="20" t="s">
        <v>11</v>
      </c>
      <c r="F497" s="19" t="s">
        <v>51</v>
      </c>
      <c r="G497" s="19" t="s">
        <v>72</v>
      </c>
      <c r="H497" s="19" t="s">
        <v>31</v>
      </c>
      <c r="I497">
        <v>14132</v>
      </c>
      <c r="J497">
        <v>19</v>
      </c>
      <c r="K497" s="1" t="s">
        <v>66</v>
      </c>
    </row>
    <row r="498" spans="1:11">
      <c r="A498" s="17" t="s">
        <v>69</v>
      </c>
      <c r="B498" s="19" t="s">
        <v>50</v>
      </c>
      <c r="C498" s="19" t="s">
        <v>686</v>
      </c>
      <c r="D498" s="19" t="s">
        <v>687</v>
      </c>
      <c r="E498" s="20" t="s">
        <v>11</v>
      </c>
      <c r="F498" s="19" t="s">
        <v>51</v>
      </c>
      <c r="G498" s="19" t="s">
        <v>72</v>
      </c>
      <c r="H498" s="19" t="s">
        <v>31</v>
      </c>
      <c r="I498">
        <v>10452</v>
      </c>
      <c r="J498">
        <v>13</v>
      </c>
      <c r="K498" s="1" t="s">
        <v>65</v>
      </c>
    </row>
    <row r="499" spans="1:11">
      <c r="A499" s="17" t="s">
        <v>69</v>
      </c>
      <c r="B499" s="19" t="s">
        <v>50</v>
      </c>
      <c r="C499" s="19" t="s">
        <v>688</v>
      </c>
      <c r="D499" s="19" t="s">
        <v>689</v>
      </c>
      <c r="E499" s="20" t="s">
        <v>11</v>
      </c>
      <c r="F499" s="19" t="s">
        <v>51</v>
      </c>
      <c r="G499" s="19" t="s">
        <v>72</v>
      </c>
      <c r="H499" s="19" t="s">
        <v>31</v>
      </c>
      <c r="I499">
        <v>14048</v>
      </c>
      <c r="J499">
        <v>15</v>
      </c>
      <c r="K499" s="1" t="s">
        <v>66</v>
      </c>
    </row>
    <row r="500" spans="1:11">
      <c r="A500" s="17" t="s">
        <v>69</v>
      </c>
      <c r="B500" s="19" t="s">
        <v>50</v>
      </c>
      <c r="C500" s="19" t="s">
        <v>688</v>
      </c>
      <c r="D500" s="19" t="s">
        <v>689</v>
      </c>
      <c r="E500" s="20" t="s">
        <v>11</v>
      </c>
      <c r="F500" s="19" t="s">
        <v>51</v>
      </c>
      <c r="G500" s="19" t="s">
        <v>72</v>
      </c>
      <c r="H500" s="19" t="s">
        <v>31</v>
      </c>
      <c r="I500">
        <v>10025</v>
      </c>
      <c r="J500">
        <v>15</v>
      </c>
      <c r="K500" s="1" t="s">
        <v>65</v>
      </c>
    </row>
    <row r="501" spans="1:11">
      <c r="A501" s="17" t="s">
        <v>69</v>
      </c>
      <c r="B501" s="19" t="s">
        <v>50</v>
      </c>
      <c r="C501" s="19" t="s">
        <v>690</v>
      </c>
      <c r="D501" s="19" t="s">
        <v>691</v>
      </c>
      <c r="E501" s="20" t="s">
        <v>11</v>
      </c>
      <c r="F501" s="19" t="s">
        <v>51</v>
      </c>
      <c r="G501" s="19" t="s">
        <v>72</v>
      </c>
      <c r="H501" s="19" t="s">
        <v>31</v>
      </c>
      <c r="I501">
        <v>7099</v>
      </c>
      <c r="J501">
        <v>5</v>
      </c>
      <c r="K501" s="1" t="s">
        <v>66</v>
      </c>
    </row>
    <row r="502" spans="1:11">
      <c r="A502" s="17" t="s">
        <v>69</v>
      </c>
      <c r="B502" s="19" t="s">
        <v>50</v>
      </c>
      <c r="C502" s="19" t="s">
        <v>690</v>
      </c>
      <c r="D502" s="19" t="s">
        <v>691</v>
      </c>
      <c r="E502" s="20" t="s">
        <v>11</v>
      </c>
      <c r="F502" s="19" t="s">
        <v>51</v>
      </c>
      <c r="G502" s="19" t="s">
        <v>72</v>
      </c>
      <c r="H502" s="19" t="s">
        <v>31</v>
      </c>
      <c r="I502">
        <v>5347</v>
      </c>
      <c r="J502">
        <v>9</v>
      </c>
      <c r="K502" s="1" t="s">
        <v>65</v>
      </c>
    </row>
    <row r="503" spans="1:11">
      <c r="A503" s="17" t="s">
        <v>69</v>
      </c>
      <c r="B503" s="19" t="s">
        <v>50</v>
      </c>
      <c r="C503" s="19" t="s">
        <v>692</v>
      </c>
      <c r="D503" s="19" t="s">
        <v>693</v>
      </c>
      <c r="E503" s="20" t="s">
        <v>11</v>
      </c>
      <c r="F503" s="19" t="s">
        <v>51</v>
      </c>
      <c r="G503" s="19" t="s">
        <v>72</v>
      </c>
      <c r="H503" s="19" t="s">
        <v>31</v>
      </c>
      <c r="I503">
        <v>6877</v>
      </c>
      <c r="J503">
        <v>5</v>
      </c>
      <c r="K503" s="1" t="s">
        <v>66</v>
      </c>
    </row>
    <row r="504" spans="1:11">
      <c r="A504" s="17" t="s">
        <v>69</v>
      </c>
      <c r="B504" s="19" t="s">
        <v>50</v>
      </c>
      <c r="C504" s="19" t="s">
        <v>692</v>
      </c>
      <c r="D504" s="19" t="s">
        <v>693</v>
      </c>
      <c r="E504" s="20" t="s">
        <v>11</v>
      </c>
      <c r="F504" s="19" t="s">
        <v>51</v>
      </c>
      <c r="G504" s="19" t="s">
        <v>72</v>
      </c>
      <c r="H504" s="19" t="s">
        <v>31</v>
      </c>
      <c r="I504">
        <v>5503</v>
      </c>
      <c r="J504">
        <v>5</v>
      </c>
      <c r="K504" s="1" t="s">
        <v>65</v>
      </c>
    </row>
    <row r="505" spans="1:11">
      <c r="A505" s="17" t="s">
        <v>69</v>
      </c>
      <c r="B505" s="19" t="s">
        <v>50</v>
      </c>
      <c r="C505" s="19" t="s">
        <v>694</v>
      </c>
      <c r="D505" s="19" t="s">
        <v>695</v>
      </c>
      <c r="E505" s="20" t="s">
        <v>11</v>
      </c>
      <c r="F505" s="19" t="s">
        <v>51</v>
      </c>
      <c r="G505" s="19" t="s">
        <v>72</v>
      </c>
      <c r="H505" s="19" t="s">
        <v>31</v>
      </c>
      <c r="I505">
        <v>10221</v>
      </c>
      <c r="J505">
        <v>17</v>
      </c>
      <c r="K505" s="1" t="s">
        <v>66</v>
      </c>
    </row>
    <row r="506" spans="1:11">
      <c r="A506" s="17" t="s">
        <v>69</v>
      </c>
      <c r="B506" s="19" t="s">
        <v>50</v>
      </c>
      <c r="C506" s="19" t="s">
        <v>694</v>
      </c>
      <c r="D506" s="19" t="s">
        <v>695</v>
      </c>
      <c r="E506" s="20" t="s">
        <v>11</v>
      </c>
      <c r="F506" s="19" t="s">
        <v>51</v>
      </c>
      <c r="G506" s="19" t="s">
        <v>72</v>
      </c>
      <c r="H506" s="19" t="s">
        <v>31</v>
      </c>
      <c r="I506">
        <v>8589</v>
      </c>
      <c r="J506">
        <v>13</v>
      </c>
      <c r="K506" s="1" t="s">
        <v>65</v>
      </c>
    </row>
    <row r="507" spans="1:11">
      <c r="A507" s="17" t="s">
        <v>69</v>
      </c>
      <c r="B507" s="19" t="s">
        <v>50</v>
      </c>
      <c r="C507" s="19" t="s">
        <v>696</v>
      </c>
      <c r="D507" s="19" t="s">
        <v>697</v>
      </c>
      <c r="E507" s="20" t="s">
        <v>11</v>
      </c>
      <c r="F507" s="19" t="s">
        <v>51</v>
      </c>
      <c r="G507" s="19" t="s">
        <v>72</v>
      </c>
      <c r="H507" s="19" t="s">
        <v>31</v>
      </c>
      <c r="I507">
        <v>10372</v>
      </c>
      <c r="J507">
        <v>23</v>
      </c>
      <c r="K507" s="1" t="s">
        <v>66</v>
      </c>
    </row>
    <row r="508" spans="1:11">
      <c r="A508" s="17" t="s">
        <v>69</v>
      </c>
      <c r="B508" s="19" t="s">
        <v>50</v>
      </c>
      <c r="C508" s="19" t="s">
        <v>696</v>
      </c>
      <c r="D508" s="19" t="s">
        <v>697</v>
      </c>
      <c r="E508" s="20" t="s">
        <v>11</v>
      </c>
      <c r="F508" s="19" t="s">
        <v>51</v>
      </c>
      <c r="G508" s="19" t="s">
        <v>72</v>
      </c>
      <c r="H508" s="19" t="s">
        <v>31</v>
      </c>
      <c r="I508">
        <v>9443</v>
      </c>
      <c r="J508">
        <v>19</v>
      </c>
      <c r="K508" s="1" t="s">
        <v>65</v>
      </c>
    </row>
    <row r="509" spans="1:11">
      <c r="A509" s="17" t="s">
        <v>69</v>
      </c>
      <c r="B509" s="19" t="s">
        <v>50</v>
      </c>
      <c r="C509" s="19" t="s">
        <v>698</v>
      </c>
      <c r="D509" s="19" t="s">
        <v>699</v>
      </c>
      <c r="E509" s="20" t="s">
        <v>11</v>
      </c>
      <c r="F509" s="19" t="s">
        <v>51</v>
      </c>
      <c r="G509" s="19" t="s">
        <v>72</v>
      </c>
      <c r="H509" s="19" t="s">
        <v>31</v>
      </c>
      <c r="I509">
        <v>10918</v>
      </c>
      <c r="J509">
        <v>11</v>
      </c>
      <c r="K509" s="1" t="s">
        <v>66</v>
      </c>
    </row>
    <row r="510" spans="1:11">
      <c r="A510" s="17" t="s">
        <v>69</v>
      </c>
      <c r="B510" s="19" t="s">
        <v>50</v>
      </c>
      <c r="C510" s="19" t="s">
        <v>698</v>
      </c>
      <c r="D510" s="19" t="s">
        <v>699</v>
      </c>
      <c r="E510" s="20" t="s">
        <v>11</v>
      </c>
      <c r="F510" s="19" t="s">
        <v>51</v>
      </c>
      <c r="G510" s="19" t="s">
        <v>72</v>
      </c>
      <c r="H510" s="19" t="s">
        <v>31</v>
      </c>
      <c r="I510">
        <v>8208</v>
      </c>
      <c r="J510">
        <v>7</v>
      </c>
      <c r="K510" s="1" t="s">
        <v>65</v>
      </c>
    </row>
    <row r="511" spans="1:11">
      <c r="A511" s="17" t="s">
        <v>69</v>
      </c>
      <c r="B511" s="19" t="s">
        <v>50</v>
      </c>
      <c r="C511" s="19" t="s">
        <v>700</v>
      </c>
      <c r="D511" s="19" t="s">
        <v>701</v>
      </c>
      <c r="E511" s="20" t="s">
        <v>11</v>
      </c>
      <c r="F511" s="19" t="s">
        <v>51</v>
      </c>
      <c r="G511" s="19" t="s">
        <v>72</v>
      </c>
      <c r="H511" s="19" t="s">
        <v>31</v>
      </c>
      <c r="I511">
        <v>10147</v>
      </c>
      <c r="J511">
        <v>24</v>
      </c>
      <c r="K511" s="1" t="s">
        <v>66</v>
      </c>
    </row>
    <row r="512" spans="1:11">
      <c r="A512" s="17" t="s">
        <v>69</v>
      </c>
      <c r="B512" s="19" t="s">
        <v>50</v>
      </c>
      <c r="C512" s="19" t="s">
        <v>700</v>
      </c>
      <c r="D512" s="19" t="s">
        <v>701</v>
      </c>
      <c r="E512" s="20" t="s">
        <v>11</v>
      </c>
      <c r="F512" s="19" t="s">
        <v>51</v>
      </c>
      <c r="G512" s="19" t="s">
        <v>72</v>
      </c>
      <c r="H512" s="19" t="s">
        <v>31</v>
      </c>
      <c r="I512">
        <v>8387</v>
      </c>
      <c r="J512">
        <v>11</v>
      </c>
      <c r="K512" s="1" t="s">
        <v>65</v>
      </c>
    </row>
    <row r="513" spans="1:11">
      <c r="A513" s="17" t="s">
        <v>69</v>
      </c>
      <c r="B513" s="19" t="s">
        <v>50</v>
      </c>
      <c r="C513" s="19" t="s">
        <v>702</v>
      </c>
      <c r="D513" s="19" t="s">
        <v>703</v>
      </c>
      <c r="E513" s="20" t="s">
        <v>11</v>
      </c>
      <c r="F513" s="19" t="s">
        <v>51</v>
      </c>
      <c r="G513" s="19" t="s">
        <v>72</v>
      </c>
      <c r="H513" s="19" t="s">
        <v>31</v>
      </c>
      <c r="I513">
        <v>10277</v>
      </c>
      <c r="J513">
        <v>6</v>
      </c>
      <c r="K513" s="1" t="s">
        <v>66</v>
      </c>
    </row>
    <row r="514" spans="1:11">
      <c r="A514" s="17" t="s">
        <v>69</v>
      </c>
      <c r="B514" s="19" t="s">
        <v>50</v>
      </c>
      <c r="C514" s="19" t="s">
        <v>702</v>
      </c>
      <c r="D514" s="19" t="s">
        <v>703</v>
      </c>
      <c r="E514" s="20" t="s">
        <v>11</v>
      </c>
      <c r="F514" s="19" t="s">
        <v>51</v>
      </c>
      <c r="G514" s="19" t="s">
        <v>72</v>
      </c>
      <c r="H514" s="19" t="s">
        <v>31</v>
      </c>
      <c r="I514">
        <v>7573</v>
      </c>
      <c r="J514">
        <v>7</v>
      </c>
      <c r="K514" s="1" t="s">
        <v>65</v>
      </c>
    </row>
    <row r="515" spans="1:11">
      <c r="A515" s="17" t="s">
        <v>69</v>
      </c>
      <c r="B515" s="19" t="s">
        <v>50</v>
      </c>
      <c r="C515" s="19" t="s">
        <v>704</v>
      </c>
      <c r="D515" s="19" t="s">
        <v>705</v>
      </c>
      <c r="E515" s="20" t="s">
        <v>11</v>
      </c>
      <c r="F515" s="19" t="s">
        <v>51</v>
      </c>
      <c r="G515" s="19" t="s">
        <v>72</v>
      </c>
      <c r="H515" s="19" t="s">
        <v>31</v>
      </c>
      <c r="I515">
        <v>10038</v>
      </c>
      <c r="J515">
        <v>17</v>
      </c>
      <c r="K515" s="1" t="s">
        <v>66</v>
      </c>
    </row>
    <row r="516" spans="1:11">
      <c r="A516" s="17" t="s">
        <v>69</v>
      </c>
      <c r="B516" s="19" t="s">
        <v>50</v>
      </c>
      <c r="C516" s="19" t="s">
        <v>704</v>
      </c>
      <c r="D516" s="19" t="s">
        <v>705</v>
      </c>
      <c r="E516" s="20" t="s">
        <v>11</v>
      </c>
      <c r="F516" s="19" t="s">
        <v>51</v>
      </c>
      <c r="G516" s="19" t="s">
        <v>72</v>
      </c>
      <c r="H516" s="19" t="s">
        <v>31</v>
      </c>
      <c r="I516">
        <v>7787</v>
      </c>
      <c r="J516">
        <v>13</v>
      </c>
      <c r="K516" s="1" t="s">
        <v>65</v>
      </c>
    </row>
    <row r="517" spans="1:11">
      <c r="A517" s="17" t="s">
        <v>69</v>
      </c>
      <c r="B517" s="19" t="s">
        <v>50</v>
      </c>
      <c r="C517" s="19" t="s">
        <v>706</v>
      </c>
      <c r="D517" s="19" t="s">
        <v>707</v>
      </c>
      <c r="E517" s="20" t="s">
        <v>11</v>
      </c>
      <c r="F517" s="19" t="s">
        <v>51</v>
      </c>
      <c r="G517" s="19" t="s">
        <v>72</v>
      </c>
      <c r="H517" s="19" t="s">
        <v>31</v>
      </c>
      <c r="I517">
        <v>12515</v>
      </c>
      <c r="J517">
        <v>6</v>
      </c>
      <c r="K517" s="1" t="s">
        <v>66</v>
      </c>
    </row>
    <row r="518" spans="1:11">
      <c r="A518" s="17" t="s">
        <v>69</v>
      </c>
      <c r="B518" s="19" t="s">
        <v>50</v>
      </c>
      <c r="C518" s="19" t="s">
        <v>706</v>
      </c>
      <c r="D518" s="19" t="s">
        <v>707</v>
      </c>
      <c r="E518" s="20" t="s">
        <v>11</v>
      </c>
      <c r="F518" s="19" t="s">
        <v>51</v>
      </c>
      <c r="G518" s="19" t="s">
        <v>72</v>
      </c>
      <c r="H518" s="19" t="s">
        <v>31</v>
      </c>
      <c r="I518">
        <v>10910</v>
      </c>
      <c r="J518">
        <v>18</v>
      </c>
      <c r="K518" s="1" t="s">
        <v>65</v>
      </c>
    </row>
    <row r="519" spans="1:11">
      <c r="A519" s="17" t="s">
        <v>69</v>
      </c>
      <c r="B519" s="19" t="s">
        <v>50</v>
      </c>
      <c r="C519" s="19" t="s">
        <v>708</v>
      </c>
      <c r="D519" s="19" t="s">
        <v>709</v>
      </c>
      <c r="E519" s="20" t="s">
        <v>11</v>
      </c>
      <c r="F519" s="19" t="s">
        <v>51</v>
      </c>
      <c r="G519" s="19" t="s">
        <v>72</v>
      </c>
      <c r="H519" s="19" t="s">
        <v>31</v>
      </c>
      <c r="I519">
        <v>5714</v>
      </c>
      <c r="J519">
        <v>3</v>
      </c>
      <c r="K519" s="1" t="s">
        <v>66</v>
      </c>
    </row>
    <row r="520" spans="1:11">
      <c r="A520" s="17" t="s">
        <v>69</v>
      </c>
      <c r="B520" s="19" t="s">
        <v>50</v>
      </c>
      <c r="C520" s="19" t="s">
        <v>708</v>
      </c>
      <c r="D520" s="19" t="s">
        <v>709</v>
      </c>
      <c r="E520" s="20" t="s">
        <v>11</v>
      </c>
      <c r="F520" s="19" t="s">
        <v>51</v>
      </c>
      <c r="G520" s="19" t="s">
        <v>72</v>
      </c>
      <c r="H520" s="19" t="s">
        <v>31</v>
      </c>
      <c r="I520">
        <v>3472</v>
      </c>
      <c r="J520">
        <v>0</v>
      </c>
      <c r="K520" s="1" t="s">
        <v>65</v>
      </c>
    </row>
    <row r="521" spans="1:11">
      <c r="A521" s="17" t="s">
        <v>69</v>
      </c>
      <c r="B521" s="19" t="s">
        <v>50</v>
      </c>
      <c r="C521" s="19" t="s">
        <v>710</v>
      </c>
      <c r="D521" s="19" t="s">
        <v>711</v>
      </c>
      <c r="E521" s="20" t="s">
        <v>11</v>
      </c>
      <c r="F521" s="19" t="s">
        <v>51</v>
      </c>
      <c r="G521" s="19" t="s">
        <v>72</v>
      </c>
      <c r="H521" s="19" t="s">
        <v>31</v>
      </c>
      <c r="I521">
        <v>5599</v>
      </c>
      <c r="J521">
        <v>6</v>
      </c>
      <c r="K521" s="1" t="s">
        <v>66</v>
      </c>
    </row>
    <row r="522" spans="1:11">
      <c r="A522" s="17" t="s">
        <v>69</v>
      </c>
      <c r="B522" s="19" t="s">
        <v>50</v>
      </c>
      <c r="C522" s="19" t="s">
        <v>710</v>
      </c>
      <c r="D522" s="19" t="s">
        <v>711</v>
      </c>
      <c r="E522" s="20" t="s">
        <v>11</v>
      </c>
      <c r="F522" s="19" t="s">
        <v>51</v>
      </c>
      <c r="G522" s="19" t="s">
        <v>72</v>
      </c>
      <c r="H522" s="19" t="s">
        <v>31</v>
      </c>
      <c r="I522">
        <v>3353</v>
      </c>
      <c r="J522">
        <v>2</v>
      </c>
      <c r="K522" s="1" t="s">
        <v>65</v>
      </c>
    </row>
    <row r="523" spans="1:11">
      <c r="A523" s="17" t="s">
        <v>69</v>
      </c>
      <c r="B523" s="19" t="s">
        <v>50</v>
      </c>
      <c r="C523" s="19" t="s">
        <v>712</v>
      </c>
      <c r="D523" s="19" t="s">
        <v>713</v>
      </c>
      <c r="E523" s="20" t="s">
        <v>11</v>
      </c>
      <c r="F523" s="19" t="s">
        <v>51</v>
      </c>
      <c r="G523" s="19" t="s">
        <v>72</v>
      </c>
      <c r="H523" s="19" t="s">
        <v>31</v>
      </c>
      <c r="I523">
        <v>7209</v>
      </c>
      <c r="J523">
        <v>4</v>
      </c>
      <c r="K523" s="1" t="s">
        <v>66</v>
      </c>
    </row>
    <row r="524" spans="1:11">
      <c r="A524" s="17" t="s">
        <v>69</v>
      </c>
      <c r="B524" s="19" t="s">
        <v>50</v>
      </c>
      <c r="C524" s="19" t="s">
        <v>712</v>
      </c>
      <c r="D524" s="19" t="s">
        <v>713</v>
      </c>
      <c r="E524" s="20" t="s">
        <v>11</v>
      </c>
      <c r="F524" s="19" t="s">
        <v>51</v>
      </c>
      <c r="G524" s="19" t="s">
        <v>72</v>
      </c>
      <c r="H524" s="19" t="s">
        <v>31</v>
      </c>
      <c r="I524">
        <v>3818</v>
      </c>
      <c r="J524">
        <v>6</v>
      </c>
      <c r="K524" s="1" t="s">
        <v>65</v>
      </c>
    </row>
    <row r="525" spans="1:11">
      <c r="A525" s="17" t="s">
        <v>69</v>
      </c>
      <c r="B525" s="19" t="s">
        <v>50</v>
      </c>
      <c r="C525" s="19" t="s">
        <v>714</v>
      </c>
      <c r="D525" s="19" t="s">
        <v>715</v>
      </c>
      <c r="E525" s="20" t="s">
        <v>11</v>
      </c>
      <c r="F525" s="19" t="s">
        <v>51</v>
      </c>
      <c r="G525" s="19" t="s">
        <v>72</v>
      </c>
      <c r="H525" s="19" t="s">
        <v>31</v>
      </c>
      <c r="I525">
        <v>4457</v>
      </c>
      <c r="J525">
        <v>6</v>
      </c>
      <c r="K525" s="1" t="s">
        <v>66</v>
      </c>
    </row>
    <row r="526" spans="1:11">
      <c r="A526" s="17" t="s">
        <v>69</v>
      </c>
      <c r="B526" s="19" t="s">
        <v>50</v>
      </c>
      <c r="C526" s="19" t="s">
        <v>714</v>
      </c>
      <c r="D526" s="19" t="s">
        <v>715</v>
      </c>
      <c r="E526" s="20" t="s">
        <v>11</v>
      </c>
      <c r="F526" s="19" t="s">
        <v>51</v>
      </c>
      <c r="G526" s="19" t="s">
        <v>72</v>
      </c>
      <c r="H526" s="19" t="s">
        <v>31</v>
      </c>
      <c r="I526">
        <v>3731</v>
      </c>
      <c r="J526">
        <v>1</v>
      </c>
      <c r="K526" s="1" t="s">
        <v>65</v>
      </c>
    </row>
    <row r="527" spans="1:11">
      <c r="A527" s="17" t="s">
        <v>69</v>
      </c>
      <c r="B527" s="19" t="s">
        <v>50</v>
      </c>
      <c r="C527" s="19" t="s">
        <v>716</v>
      </c>
      <c r="D527" s="19" t="s">
        <v>717</v>
      </c>
      <c r="E527" s="20" t="s">
        <v>11</v>
      </c>
      <c r="F527" s="19" t="s">
        <v>51</v>
      </c>
      <c r="G527" s="19" t="s">
        <v>72</v>
      </c>
      <c r="H527" s="19" t="s">
        <v>31</v>
      </c>
      <c r="I527">
        <v>13978</v>
      </c>
      <c r="J527">
        <v>19</v>
      </c>
      <c r="K527" s="1" t="s">
        <v>66</v>
      </c>
    </row>
    <row r="528" spans="1:11">
      <c r="A528" s="17" t="s">
        <v>69</v>
      </c>
      <c r="B528" s="19" t="s">
        <v>50</v>
      </c>
      <c r="C528" s="19" t="s">
        <v>716</v>
      </c>
      <c r="D528" s="19" t="s">
        <v>717</v>
      </c>
      <c r="E528" s="20" t="s">
        <v>11</v>
      </c>
      <c r="F528" s="19" t="s">
        <v>51</v>
      </c>
      <c r="G528" s="19" t="s">
        <v>72</v>
      </c>
      <c r="H528" s="19" t="s">
        <v>31</v>
      </c>
      <c r="I528">
        <v>9590</v>
      </c>
      <c r="J528">
        <v>8</v>
      </c>
      <c r="K528" s="1" t="s">
        <v>65</v>
      </c>
    </row>
    <row r="529" spans="1:11">
      <c r="A529" s="17" t="s">
        <v>69</v>
      </c>
      <c r="B529" s="19" t="s">
        <v>50</v>
      </c>
      <c r="C529" s="19" t="s">
        <v>718</v>
      </c>
      <c r="D529" s="19" t="s">
        <v>719</v>
      </c>
      <c r="E529" s="20" t="s">
        <v>11</v>
      </c>
      <c r="F529" s="19" t="s">
        <v>51</v>
      </c>
      <c r="G529" s="19" t="s">
        <v>72</v>
      </c>
      <c r="H529" s="19" t="s">
        <v>31</v>
      </c>
      <c r="I529">
        <v>14086</v>
      </c>
      <c r="J529">
        <v>14</v>
      </c>
      <c r="K529" s="1" t="s">
        <v>66</v>
      </c>
    </row>
    <row r="530" spans="1:11">
      <c r="A530" s="17" t="s">
        <v>69</v>
      </c>
      <c r="B530" s="19" t="s">
        <v>50</v>
      </c>
      <c r="C530" s="19" t="s">
        <v>718</v>
      </c>
      <c r="D530" s="19" t="s">
        <v>719</v>
      </c>
      <c r="E530" s="20" t="s">
        <v>11</v>
      </c>
      <c r="F530" s="19" t="s">
        <v>51</v>
      </c>
      <c r="G530" s="19" t="s">
        <v>72</v>
      </c>
      <c r="H530" s="19" t="s">
        <v>31</v>
      </c>
      <c r="I530">
        <v>9931</v>
      </c>
      <c r="J530">
        <v>8</v>
      </c>
      <c r="K530" s="1" t="s">
        <v>65</v>
      </c>
    </row>
    <row r="531" spans="1:11">
      <c r="A531" s="17" t="s">
        <v>69</v>
      </c>
      <c r="B531" s="19" t="s">
        <v>50</v>
      </c>
      <c r="C531" s="19" t="s">
        <v>720</v>
      </c>
      <c r="D531" s="19" t="s">
        <v>721</v>
      </c>
      <c r="E531" s="20" t="s">
        <v>11</v>
      </c>
      <c r="F531" s="19" t="s">
        <v>51</v>
      </c>
      <c r="G531" s="19" t="s">
        <v>72</v>
      </c>
      <c r="H531" s="19" t="s">
        <v>31</v>
      </c>
      <c r="I531">
        <v>14287</v>
      </c>
      <c r="J531">
        <v>11</v>
      </c>
      <c r="K531" s="1" t="s">
        <v>66</v>
      </c>
    </row>
    <row r="532" spans="1:11">
      <c r="A532" s="17" t="s">
        <v>69</v>
      </c>
      <c r="B532" s="19" t="s">
        <v>50</v>
      </c>
      <c r="C532" s="19" t="s">
        <v>720</v>
      </c>
      <c r="D532" s="19" t="s">
        <v>721</v>
      </c>
      <c r="E532" s="20" t="s">
        <v>11</v>
      </c>
      <c r="F532" s="19" t="s">
        <v>51</v>
      </c>
      <c r="G532" s="19" t="s">
        <v>72</v>
      </c>
      <c r="H532" s="19" t="s">
        <v>31</v>
      </c>
      <c r="I532">
        <v>9540</v>
      </c>
      <c r="J532">
        <v>16</v>
      </c>
      <c r="K532" s="1" t="s">
        <v>65</v>
      </c>
    </row>
    <row r="533" spans="1:11">
      <c r="A533" s="17" t="s">
        <v>69</v>
      </c>
      <c r="B533" s="19" t="s">
        <v>50</v>
      </c>
      <c r="C533" s="19" t="s">
        <v>722</v>
      </c>
      <c r="D533" s="19" t="s">
        <v>723</v>
      </c>
      <c r="E533" s="20" t="s">
        <v>11</v>
      </c>
      <c r="F533" s="19" t="s">
        <v>51</v>
      </c>
      <c r="G533" s="19" t="s">
        <v>72</v>
      </c>
      <c r="H533" s="19" t="s">
        <v>31</v>
      </c>
      <c r="I533">
        <v>14186</v>
      </c>
      <c r="J533">
        <v>20</v>
      </c>
      <c r="K533" s="1" t="s">
        <v>66</v>
      </c>
    </row>
    <row r="534" spans="1:11">
      <c r="A534" s="17" t="s">
        <v>69</v>
      </c>
      <c r="B534" s="19" t="s">
        <v>50</v>
      </c>
      <c r="C534" s="19" t="s">
        <v>722</v>
      </c>
      <c r="D534" s="19" t="s">
        <v>723</v>
      </c>
      <c r="E534" s="20" t="s">
        <v>11</v>
      </c>
      <c r="F534" s="19" t="s">
        <v>51</v>
      </c>
      <c r="G534" s="19" t="s">
        <v>72</v>
      </c>
      <c r="H534" s="19" t="s">
        <v>31</v>
      </c>
      <c r="I534">
        <v>9787</v>
      </c>
      <c r="J534">
        <v>9</v>
      </c>
      <c r="K534" s="1" t="s">
        <v>65</v>
      </c>
    </row>
    <row r="535" spans="1:11">
      <c r="A535" s="17" t="s">
        <v>69</v>
      </c>
      <c r="B535" s="19" t="s">
        <v>50</v>
      </c>
      <c r="C535" s="19" t="s">
        <v>724</v>
      </c>
      <c r="D535" s="19" t="s">
        <v>725</v>
      </c>
      <c r="E535" s="20" t="s">
        <v>11</v>
      </c>
      <c r="F535" s="19" t="s">
        <v>51</v>
      </c>
      <c r="G535" s="19" t="s">
        <v>72</v>
      </c>
      <c r="H535" s="19" t="s">
        <v>31</v>
      </c>
      <c r="I535">
        <v>12159</v>
      </c>
      <c r="J535">
        <v>17</v>
      </c>
      <c r="K535" s="1" t="s">
        <v>66</v>
      </c>
    </row>
    <row r="536" spans="1:11">
      <c r="A536" s="17" t="s">
        <v>69</v>
      </c>
      <c r="B536" s="19" t="s">
        <v>50</v>
      </c>
      <c r="C536" s="19" t="s">
        <v>724</v>
      </c>
      <c r="D536" s="19" t="s">
        <v>725</v>
      </c>
      <c r="E536" s="20" t="s">
        <v>11</v>
      </c>
      <c r="F536" s="19" t="s">
        <v>51</v>
      </c>
      <c r="G536" s="19" t="s">
        <v>72</v>
      </c>
      <c r="H536" s="19" t="s">
        <v>31</v>
      </c>
      <c r="I536">
        <v>8057</v>
      </c>
      <c r="J536">
        <v>16</v>
      </c>
      <c r="K536" s="1" t="s">
        <v>65</v>
      </c>
    </row>
    <row r="537" spans="1:11">
      <c r="A537" s="17" t="s">
        <v>69</v>
      </c>
      <c r="B537" s="19" t="s">
        <v>50</v>
      </c>
      <c r="C537" s="19" t="s">
        <v>726</v>
      </c>
      <c r="D537" s="19" t="s">
        <v>727</v>
      </c>
      <c r="E537" s="20" t="s">
        <v>11</v>
      </c>
      <c r="F537" s="19" t="s">
        <v>51</v>
      </c>
      <c r="G537" s="19" t="s">
        <v>72</v>
      </c>
      <c r="H537" s="19" t="s">
        <v>31</v>
      </c>
      <c r="I537">
        <v>13033</v>
      </c>
      <c r="J537">
        <v>12</v>
      </c>
      <c r="K537" s="1" t="s">
        <v>66</v>
      </c>
    </row>
    <row r="538" spans="1:11">
      <c r="A538" s="17" t="s">
        <v>69</v>
      </c>
      <c r="B538" s="19" t="s">
        <v>50</v>
      </c>
      <c r="C538" s="19" t="s">
        <v>726</v>
      </c>
      <c r="D538" s="19" t="s">
        <v>727</v>
      </c>
      <c r="E538" s="20" t="s">
        <v>11</v>
      </c>
      <c r="F538" s="19" t="s">
        <v>51</v>
      </c>
      <c r="G538" s="19" t="s">
        <v>72</v>
      </c>
      <c r="H538" s="19" t="s">
        <v>31</v>
      </c>
      <c r="I538">
        <v>8057</v>
      </c>
      <c r="J538">
        <v>12</v>
      </c>
      <c r="K538" s="1" t="s">
        <v>65</v>
      </c>
    </row>
    <row r="539" spans="1:11">
      <c r="A539" s="17" t="s">
        <v>69</v>
      </c>
      <c r="B539" s="19" t="s">
        <v>50</v>
      </c>
      <c r="C539" s="19" t="s">
        <v>728</v>
      </c>
      <c r="D539" s="19" t="s">
        <v>729</v>
      </c>
      <c r="E539" s="20" t="s">
        <v>11</v>
      </c>
      <c r="F539" s="19" t="s">
        <v>51</v>
      </c>
      <c r="G539" s="19" t="s">
        <v>72</v>
      </c>
      <c r="H539" s="19" t="s">
        <v>31</v>
      </c>
      <c r="I539">
        <v>13000</v>
      </c>
      <c r="J539">
        <v>13</v>
      </c>
      <c r="K539" s="1" t="s">
        <v>66</v>
      </c>
    </row>
    <row r="540" spans="1:11">
      <c r="A540" s="17" t="s">
        <v>69</v>
      </c>
      <c r="B540" s="19" t="s">
        <v>50</v>
      </c>
      <c r="C540" s="19" t="s">
        <v>728</v>
      </c>
      <c r="D540" s="19" t="s">
        <v>729</v>
      </c>
      <c r="E540" s="20" t="s">
        <v>11</v>
      </c>
      <c r="F540" s="19" t="s">
        <v>51</v>
      </c>
      <c r="G540" s="19" t="s">
        <v>72</v>
      </c>
      <c r="H540" s="19" t="s">
        <v>31</v>
      </c>
      <c r="I540">
        <v>7735</v>
      </c>
      <c r="J540">
        <v>3</v>
      </c>
      <c r="K540" s="1" t="s">
        <v>65</v>
      </c>
    </row>
    <row r="541" spans="1:11">
      <c r="A541" s="17" t="s">
        <v>69</v>
      </c>
      <c r="B541" s="19" t="s">
        <v>50</v>
      </c>
      <c r="C541" s="19" t="s">
        <v>730</v>
      </c>
      <c r="D541" s="19" t="s">
        <v>731</v>
      </c>
      <c r="E541" s="20" t="s">
        <v>11</v>
      </c>
      <c r="F541" s="19" t="s">
        <v>51</v>
      </c>
      <c r="G541" s="19" t="s">
        <v>72</v>
      </c>
      <c r="H541" s="19" t="s">
        <v>31</v>
      </c>
      <c r="I541">
        <v>13157</v>
      </c>
      <c r="J541">
        <v>14</v>
      </c>
      <c r="K541" s="1" t="s">
        <v>66</v>
      </c>
    </row>
    <row r="542" spans="1:11">
      <c r="A542" s="17" t="s">
        <v>69</v>
      </c>
      <c r="B542" s="19" t="s">
        <v>50</v>
      </c>
      <c r="C542" s="19" t="s">
        <v>730</v>
      </c>
      <c r="D542" s="19" t="s">
        <v>731</v>
      </c>
      <c r="E542" s="20" t="s">
        <v>11</v>
      </c>
      <c r="F542" s="19" t="s">
        <v>51</v>
      </c>
      <c r="G542" s="19" t="s">
        <v>72</v>
      </c>
      <c r="H542" s="19" t="s">
        <v>31</v>
      </c>
      <c r="I542">
        <v>7818</v>
      </c>
      <c r="J542">
        <v>7</v>
      </c>
      <c r="K542" s="1" t="s">
        <v>65</v>
      </c>
    </row>
    <row r="543" spans="1:11">
      <c r="A543" s="17" t="s">
        <v>69</v>
      </c>
      <c r="B543" s="19" t="s">
        <v>50</v>
      </c>
      <c r="C543" s="19" t="s">
        <v>732</v>
      </c>
      <c r="D543" s="19" t="s">
        <v>733</v>
      </c>
      <c r="E543" s="20" t="s">
        <v>11</v>
      </c>
      <c r="F543" s="19" t="s">
        <v>51</v>
      </c>
      <c r="G543" s="19" t="s">
        <v>72</v>
      </c>
      <c r="H543" s="19" t="s">
        <v>31</v>
      </c>
      <c r="I543">
        <v>12825</v>
      </c>
      <c r="J543">
        <v>9</v>
      </c>
      <c r="K543" s="1" t="s">
        <v>66</v>
      </c>
    </row>
    <row r="544" spans="1:11">
      <c r="A544" s="17" t="s">
        <v>69</v>
      </c>
      <c r="B544" s="19" t="s">
        <v>50</v>
      </c>
      <c r="C544" s="19" t="s">
        <v>732</v>
      </c>
      <c r="D544" s="19" t="s">
        <v>733</v>
      </c>
      <c r="E544" s="20" t="s">
        <v>11</v>
      </c>
      <c r="F544" s="19" t="s">
        <v>51</v>
      </c>
      <c r="G544" s="19" t="s">
        <v>72</v>
      </c>
      <c r="H544" s="19" t="s">
        <v>31</v>
      </c>
      <c r="I544">
        <v>7780</v>
      </c>
      <c r="J544">
        <v>20</v>
      </c>
      <c r="K544" s="1" t="s">
        <v>65</v>
      </c>
    </row>
    <row r="545" spans="1:11">
      <c r="A545" s="17" t="s">
        <v>69</v>
      </c>
      <c r="B545" s="19" t="s">
        <v>50</v>
      </c>
      <c r="C545" s="19" t="s">
        <v>734</v>
      </c>
      <c r="D545" s="19" t="s">
        <v>735</v>
      </c>
      <c r="E545" s="20" t="s">
        <v>11</v>
      </c>
      <c r="F545" s="19" t="s">
        <v>51</v>
      </c>
      <c r="G545" s="19" t="s">
        <v>72</v>
      </c>
      <c r="H545" s="19" t="s">
        <v>31</v>
      </c>
      <c r="I545">
        <v>12961</v>
      </c>
      <c r="J545">
        <v>12</v>
      </c>
      <c r="K545" s="1" t="s">
        <v>66</v>
      </c>
    </row>
    <row r="546" spans="1:11">
      <c r="A546" s="17" t="s">
        <v>69</v>
      </c>
      <c r="B546" s="19" t="s">
        <v>50</v>
      </c>
      <c r="C546" s="19" t="s">
        <v>734</v>
      </c>
      <c r="D546" s="19" t="s">
        <v>735</v>
      </c>
      <c r="E546" s="20" t="s">
        <v>11</v>
      </c>
      <c r="F546" s="19" t="s">
        <v>51</v>
      </c>
      <c r="G546" s="19" t="s">
        <v>72</v>
      </c>
      <c r="H546" s="19" t="s">
        <v>31</v>
      </c>
      <c r="I546">
        <v>7878</v>
      </c>
      <c r="J546">
        <v>12</v>
      </c>
      <c r="K546" s="1" t="s">
        <v>65</v>
      </c>
    </row>
    <row r="547" spans="1:11">
      <c r="A547" s="17" t="s">
        <v>69</v>
      </c>
      <c r="B547" s="19" t="s">
        <v>50</v>
      </c>
      <c r="C547" s="19" t="s">
        <v>736</v>
      </c>
      <c r="D547" s="19" t="s">
        <v>737</v>
      </c>
      <c r="E547" s="20" t="s">
        <v>11</v>
      </c>
      <c r="F547" s="19" t="s">
        <v>51</v>
      </c>
      <c r="G547" s="19" t="s">
        <v>72</v>
      </c>
      <c r="H547" s="19" t="s">
        <v>31</v>
      </c>
      <c r="I547">
        <v>6213</v>
      </c>
      <c r="J547">
        <v>3</v>
      </c>
      <c r="K547" s="1" t="s">
        <v>66</v>
      </c>
    </row>
    <row r="548" spans="1:11">
      <c r="A548" s="17" t="s">
        <v>69</v>
      </c>
      <c r="B548" s="19" t="s">
        <v>50</v>
      </c>
      <c r="C548" s="19" t="s">
        <v>736</v>
      </c>
      <c r="D548" s="19" t="s">
        <v>737</v>
      </c>
      <c r="E548" s="20" t="s">
        <v>11</v>
      </c>
      <c r="F548" s="19" t="s">
        <v>51</v>
      </c>
      <c r="G548" s="19" t="s">
        <v>72</v>
      </c>
      <c r="H548" s="19" t="s">
        <v>31</v>
      </c>
      <c r="I548">
        <v>3964</v>
      </c>
      <c r="J548">
        <v>2</v>
      </c>
      <c r="K548" s="1" t="s">
        <v>65</v>
      </c>
    </row>
    <row r="549" spans="1:11">
      <c r="A549" s="17" t="s">
        <v>69</v>
      </c>
      <c r="B549" s="19" t="s">
        <v>50</v>
      </c>
      <c r="C549" s="19" t="s">
        <v>738</v>
      </c>
      <c r="D549" s="19" t="s">
        <v>739</v>
      </c>
      <c r="E549" s="20" t="s">
        <v>11</v>
      </c>
      <c r="F549" s="19" t="s">
        <v>51</v>
      </c>
      <c r="G549" s="19" t="s">
        <v>72</v>
      </c>
      <c r="H549" s="19" t="s">
        <v>31</v>
      </c>
      <c r="I549">
        <v>6894</v>
      </c>
      <c r="J549">
        <v>2</v>
      </c>
      <c r="K549" s="1" t="s">
        <v>66</v>
      </c>
    </row>
    <row r="550" spans="1:11">
      <c r="A550" s="17" t="s">
        <v>69</v>
      </c>
      <c r="B550" s="19" t="s">
        <v>50</v>
      </c>
      <c r="C550" s="19" t="s">
        <v>738</v>
      </c>
      <c r="D550" s="19" t="s">
        <v>739</v>
      </c>
      <c r="E550" s="20" t="s">
        <v>11</v>
      </c>
      <c r="F550" s="19" t="s">
        <v>51</v>
      </c>
      <c r="G550" s="19" t="s">
        <v>72</v>
      </c>
      <c r="H550" s="19" t="s">
        <v>31</v>
      </c>
      <c r="I550">
        <v>4040</v>
      </c>
      <c r="J550">
        <v>4</v>
      </c>
      <c r="K550" s="1" t="s">
        <v>65</v>
      </c>
    </row>
    <row r="551" spans="1:11">
      <c r="A551" s="17" t="s">
        <v>69</v>
      </c>
      <c r="B551" s="19" t="s">
        <v>50</v>
      </c>
      <c r="C551" s="19" t="s">
        <v>740</v>
      </c>
      <c r="D551" s="19" t="s">
        <v>741</v>
      </c>
      <c r="E551" s="20" t="s">
        <v>11</v>
      </c>
      <c r="F551" s="19" t="s">
        <v>51</v>
      </c>
      <c r="G551" s="19" t="s">
        <v>72</v>
      </c>
      <c r="H551" s="19" t="s">
        <v>31</v>
      </c>
      <c r="I551">
        <v>6977</v>
      </c>
      <c r="J551">
        <v>5</v>
      </c>
      <c r="K551" s="1" t="s">
        <v>66</v>
      </c>
    </row>
    <row r="552" spans="1:11">
      <c r="A552" s="17" t="s">
        <v>69</v>
      </c>
      <c r="B552" s="19" t="s">
        <v>50</v>
      </c>
      <c r="C552" s="19" t="s">
        <v>740</v>
      </c>
      <c r="D552" s="19" t="s">
        <v>741</v>
      </c>
      <c r="E552" s="20" t="s">
        <v>11</v>
      </c>
      <c r="F552" s="19" t="s">
        <v>51</v>
      </c>
      <c r="G552" s="19" t="s">
        <v>72</v>
      </c>
      <c r="H552" s="19" t="s">
        <v>31</v>
      </c>
      <c r="I552">
        <v>4120</v>
      </c>
      <c r="J552">
        <v>6</v>
      </c>
      <c r="K552" s="1" t="s">
        <v>65</v>
      </c>
    </row>
    <row r="553" spans="1:11">
      <c r="A553" s="17" t="s">
        <v>69</v>
      </c>
      <c r="B553" s="19" t="s">
        <v>50</v>
      </c>
      <c r="C553" s="19" t="s">
        <v>742</v>
      </c>
      <c r="D553" s="19" t="s">
        <v>743</v>
      </c>
      <c r="E553" s="20" t="s">
        <v>11</v>
      </c>
      <c r="F553" s="19" t="s">
        <v>51</v>
      </c>
      <c r="G553" s="19" t="s">
        <v>72</v>
      </c>
      <c r="H553" s="19" t="s">
        <v>31</v>
      </c>
      <c r="I553">
        <v>7214</v>
      </c>
      <c r="J553">
        <v>8</v>
      </c>
      <c r="K553" s="1" t="s">
        <v>66</v>
      </c>
    </row>
    <row r="554" spans="1:11">
      <c r="A554" s="17" t="s">
        <v>69</v>
      </c>
      <c r="B554" s="19" t="s">
        <v>50</v>
      </c>
      <c r="C554" s="19" t="s">
        <v>742</v>
      </c>
      <c r="D554" s="19" t="s">
        <v>743</v>
      </c>
      <c r="E554" s="20" t="s">
        <v>11</v>
      </c>
      <c r="F554" s="19" t="s">
        <v>51</v>
      </c>
      <c r="G554" s="19" t="s">
        <v>72</v>
      </c>
      <c r="H554" s="19" t="s">
        <v>31</v>
      </c>
      <c r="I554">
        <v>4124</v>
      </c>
      <c r="J554">
        <v>6</v>
      </c>
      <c r="K554" s="1" t="s">
        <v>65</v>
      </c>
    </row>
    <row r="555" spans="1:11">
      <c r="A555" s="17" t="s">
        <v>69</v>
      </c>
      <c r="B555" s="19" t="s">
        <v>50</v>
      </c>
      <c r="C555" s="19" t="s">
        <v>744</v>
      </c>
      <c r="D555" s="19" t="s">
        <v>745</v>
      </c>
      <c r="E555" s="20" t="s">
        <v>11</v>
      </c>
      <c r="F555" s="19" t="s">
        <v>51</v>
      </c>
      <c r="G555" s="19" t="s">
        <v>72</v>
      </c>
      <c r="H555" s="19" t="s">
        <v>31</v>
      </c>
      <c r="I555">
        <v>7072</v>
      </c>
      <c r="J555">
        <v>2</v>
      </c>
      <c r="K555" s="1" t="s">
        <v>66</v>
      </c>
    </row>
    <row r="556" spans="1:11">
      <c r="A556" s="17" t="s">
        <v>69</v>
      </c>
      <c r="B556" s="19" t="s">
        <v>50</v>
      </c>
      <c r="C556" s="19" t="s">
        <v>744</v>
      </c>
      <c r="D556" s="19" t="s">
        <v>745</v>
      </c>
      <c r="E556" s="20" t="s">
        <v>11</v>
      </c>
      <c r="F556" s="19" t="s">
        <v>51</v>
      </c>
      <c r="G556" s="19" t="s">
        <v>72</v>
      </c>
      <c r="H556" s="19" t="s">
        <v>31</v>
      </c>
      <c r="I556">
        <v>3772</v>
      </c>
      <c r="J556">
        <v>2</v>
      </c>
      <c r="K556" s="1" t="s">
        <v>65</v>
      </c>
    </row>
    <row r="557" spans="1:11">
      <c r="A557" s="17" t="s">
        <v>69</v>
      </c>
      <c r="B557" s="19" t="s">
        <v>50</v>
      </c>
      <c r="C557" s="19" t="s">
        <v>746</v>
      </c>
      <c r="D557" s="19" t="s">
        <v>747</v>
      </c>
      <c r="E557" s="20" t="s">
        <v>11</v>
      </c>
      <c r="F557" s="19" t="s">
        <v>51</v>
      </c>
      <c r="G557" s="19" t="s">
        <v>72</v>
      </c>
      <c r="H557" s="19" t="s">
        <v>31</v>
      </c>
      <c r="I557">
        <v>9969</v>
      </c>
      <c r="J557">
        <v>8</v>
      </c>
      <c r="K557" s="1" t="s">
        <v>66</v>
      </c>
    </row>
    <row r="558" spans="1:11">
      <c r="A558" s="17" t="s">
        <v>69</v>
      </c>
      <c r="B558" s="19" t="s">
        <v>50</v>
      </c>
      <c r="C558" s="19" t="s">
        <v>746</v>
      </c>
      <c r="D558" s="19" t="s">
        <v>747</v>
      </c>
      <c r="E558" s="20" t="s">
        <v>11</v>
      </c>
      <c r="F558" s="19" t="s">
        <v>51</v>
      </c>
      <c r="G558" s="19" t="s">
        <v>72</v>
      </c>
      <c r="H558" s="19" t="s">
        <v>31</v>
      </c>
      <c r="I558">
        <v>7068</v>
      </c>
      <c r="J558">
        <v>6</v>
      </c>
      <c r="K558" s="1" t="s">
        <v>65</v>
      </c>
    </row>
    <row r="559" spans="1:11">
      <c r="A559" s="17" t="s">
        <v>69</v>
      </c>
      <c r="B559" s="19" t="s">
        <v>50</v>
      </c>
      <c r="C559" s="19" t="s">
        <v>748</v>
      </c>
      <c r="D559" s="19" t="s">
        <v>749</v>
      </c>
      <c r="E559" s="20" t="s">
        <v>11</v>
      </c>
      <c r="F559" s="19" t="s">
        <v>51</v>
      </c>
      <c r="G559" s="19" t="s">
        <v>72</v>
      </c>
      <c r="H559" s="19" t="s">
        <v>31</v>
      </c>
      <c r="I559">
        <v>10057</v>
      </c>
      <c r="J559">
        <v>11</v>
      </c>
      <c r="K559" s="1" t="s">
        <v>66</v>
      </c>
    </row>
    <row r="560" spans="1:11">
      <c r="A560" s="17" t="s">
        <v>69</v>
      </c>
      <c r="B560" s="19" t="s">
        <v>50</v>
      </c>
      <c r="C560" s="19" t="s">
        <v>748</v>
      </c>
      <c r="D560" s="19" t="s">
        <v>749</v>
      </c>
      <c r="E560" s="20" t="s">
        <v>11</v>
      </c>
      <c r="F560" s="19" t="s">
        <v>51</v>
      </c>
      <c r="G560" s="19" t="s">
        <v>72</v>
      </c>
      <c r="H560" s="19" t="s">
        <v>31</v>
      </c>
      <c r="I560">
        <v>6985</v>
      </c>
      <c r="J560">
        <v>9</v>
      </c>
      <c r="K560" s="1" t="s">
        <v>65</v>
      </c>
    </row>
    <row r="561" spans="1:11">
      <c r="A561" s="17" t="s">
        <v>69</v>
      </c>
      <c r="B561" s="19" t="s">
        <v>50</v>
      </c>
      <c r="C561" s="19" t="s">
        <v>750</v>
      </c>
      <c r="D561" s="19" t="s">
        <v>751</v>
      </c>
      <c r="E561" s="20" t="s">
        <v>11</v>
      </c>
      <c r="F561" s="19" t="s">
        <v>51</v>
      </c>
      <c r="G561" s="19" t="s">
        <v>72</v>
      </c>
      <c r="H561" s="19" t="s">
        <v>31</v>
      </c>
      <c r="I561">
        <v>10016</v>
      </c>
      <c r="J561">
        <v>4</v>
      </c>
      <c r="K561" s="1" t="s">
        <v>66</v>
      </c>
    </row>
    <row r="562" spans="1:11">
      <c r="A562" s="17" t="s">
        <v>69</v>
      </c>
      <c r="B562" s="19" t="s">
        <v>50</v>
      </c>
      <c r="C562" s="19" t="s">
        <v>750</v>
      </c>
      <c r="D562" s="19" t="s">
        <v>751</v>
      </c>
      <c r="E562" s="20" t="s">
        <v>11</v>
      </c>
      <c r="F562" s="19" t="s">
        <v>51</v>
      </c>
      <c r="G562" s="19" t="s">
        <v>72</v>
      </c>
      <c r="H562" s="19" t="s">
        <v>31</v>
      </c>
      <c r="I562">
        <v>7079</v>
      </c>
      <c r="J562">
        <v>12</v>
      </c>
      <c r="K562" s="1" t="s">
        <v>65</v>
      </c>
    </row>
    <row r="563" spans="1:11">
      <c r="A563" s="17" t="s">
        <v>69</v>
      </c>
      <c r="B563" s="19" t="s">
        <v>50</v>
      </c>
      <c r="C563" s="19" t="s">
        <v>752</v>
      </c>
      <c r="D563" s="19" t="s">
        <v>753</v>
      </c>
      <c r="E563" s="20" t="s">
        <v>11</v>
      </c>
      <c r="F563" s="19" t="s">
        <v>51</v>
      </c>
      <c r="G563" s="19" t="s">
        <v>72</v>
      </c>
      <c r="H563" s="19" t="s">
        <v>31</v>
      </c>
      <c r="I563">
        <v>9659</v>
      </c>
      <c r="J563">
        <v>11</v>
      </c>
      <c r="K563" s="1" t="s">
        <v>66</v>
      </c>
    </row>
    <row r="564" spans="1:11">
      <c r="A564" s="17" t="s">
        <v>69</v>
      </c>
      <c r="B564" s="19" t="s">
        <v>50</v>
      </c>
      <c r="C564" s="19" t="s">
        <v>752</v>
      </c>
      <c r="D564" s="19" t="s">
        <v>753</v>
      </c>
      <c r="E564" s="20" t="s">
        <v>11</v>
      </c>
      <c r="F564" s="19" t="s">
        <v>51</v>
      </c>
      <c r="G564" s="19" t="s">
        <v>72</v>
      </c>
      <c r="H564" s="19" t="s">
        <v>31</v>
      </c>
      <c r="I564">
        <v>6970</v>
      </c>
      <c r="J564">
        <v>13</v>
      </c>
      <c r="K564" s="1" t="s">
        <v>65</v>
      </c>
    </row>
    <row r="565" spans="1:11">
      <c r="A565" s="17" t="s">
        <v>69</v>
      </c>
      <c r="B565" s="19" t="s">
        <v>50</v>
      </c>
      <c r="C565" s="19" t="s">
        <v>754</v>
      </c>
      <c r="D565" s="19" t="s">
        <v>755</v>
      </c>
      <c r="E565" s="20" t="s">
        <v>11</v>
      </c>
      <c r="F565" s="19" t="s">
        <v>51</v>
      </c>
      <c r="G565" s="19" t="s">
        <v>72</v>
      </c>
      <c r="H565" s="19" t="s">
        <v>31</v>
      </c>
      <c r="I565">
        <v>1925</v>
      </c>
      <c r="J565">
        <v>3</v>
      </c>
      <c r="K565" s="1" t="s">
        <v>66</v>
      </c>
    </row>
    <row r="566" spans="1:11">
      <c r="A566" s="17" t="s">
        <v>69</v>
      </c>
      <c r="B566" s="19" t="s">
        <v>50</v>
      </c>
      <c r="C566" s="19" t="s">
        <v>754</v>
      </c>
      <c r="D566" s="19" t="s">
        <v>755</v>
      </c>
      <c r="E566" s="20" t="s">
        <v>11</v>
      </c>
      <c r="F566" s="19" t="s">
        <v>51</v>
      </c>
      <c r="G566" s="19" t="s">
        <v>72</v>
      </c>
      <c r="H566" s="19" t="s">
        <v>31</v>
      </c>
      <c r="I566">
        <v>7506</v>
      </c>
      <c r="J566">
        <v>48</v>
      </c>
      <c r="K566" s="1" t="s">
        <v>65</v>
      </c>
    </row>
    <row r="567" spans="1:11">
      <c r="A567" s="17" t="s">
        <v>69</v>
      </c>
      <c r="B567" s="19" t="s">
        <v>50</v>
      </c>
      <c r="C567" s="19" t="s">
        <v>756</v>
      </c>
      <c r="D567" s="19" t="s">
        <v>757</v>
      </c>
      <c r="E567" s="20" t="s">
        <v>11</v>
      </c>
      <c r="F567" s="19" t="s">
        <v>51</v>
      </c>
      <c r="G567" s="19" t="s">
        <v>72</v>
      </c>
      <c r="H567" s="19" t="s">
        <v>31</v>
      </c>
      <c r="I567">
        <v>1539</v>
      </c>
      <c r="J567">
        <v>6</v>
      </c>
      <c r="K567" s="1" t="s">
        <v>66</v>
      </c>
    </row>
    <row r="568" spans="1:11">
      <c r="A568" s="17" t="s">
        <v>69</v>
      </c>
      <c r="B568" s="19" t="s">
        <v>50</v>
      </c>
      <c r="C568" s="19" t="s">
        <v>756</v>
      </c>
      <c r="D568" s="19" t="s">
        <v>757</v>
      </c>
      <c r="E568" s="20" t="s">
        <v>11</v>
      </c>
      <c r="F568" s="19" t="s">
        <v>51</v>
      </c>
      <c r="G568" s="19" t="s">
        <v>72</v>
      </c>
      <c r="H568" s="19" t="s">
        <v>31</v>
      </c>
      <c r="I568">
        <v>7534</v>
      </c>
      <c r="J568">
        <v>50</v>
      </c>
      <c r="K568" s="1" t="s">
        <v>65</v>
      </c>
    </row>
    <row r="569" spans="1:11">
      <c r="A569" s="17" t="s">
        <v>69</v>
      </c>
      <c r="B569" s="19" t="s">
        <v>50</v>
      </c>
      <c r="C569" s="19" t="s">
        <v>758</v>
      </c>
      <c r="D569" s="19" t="s">
        <v>759</v>
      </c>
      <c r="E569" s="20" t="s">
        <v>11</v>
      </c>
      <c r="F569" s="19" t="s">
        <v>51</v>
      </c>
      <c r="G569" s="19" t="s">
        <v>72</v>
      </c>
      <c r="H569" s="19" t="s">
        <v>31</v>
      </c>
      <c r="I569">
        <v>1521</v>
      </c>
      <c r="J569">
        <v>2</v>
      </c>
      <c r="K569" s="1" t="s">
        <v>66</v>
      </c>
    </row>
    <row r="570" spans="1:11">
      <c r="A570" s="17" t="s">
        <v>69</v>
      </c>
      <c r="B570" s="19" t="s">
        <v>50</v>
      </c>
      <c r="C570" s="19" t="s">
        <v>758</v>
      </c>
      <c r="D570" s="19" t="s">
        <v>759</v>
      </c>
      <c r="E570" s="20" t="s">
        <v>11</v>
      </c>
      <c r="F570" s="19" t="s">
        <v>51</v>
      </c>
      <c r="G570" s="19" t="s">
        <v>72</v>
      </c>
      <c r="H570" s="19" t="s">
        <v>31</v>
      </c>
      <c r="I570">
        <v>6785</v>
      </c>
      <c r="J570">
        <v>37</v>
      </c>
      <c r="K570" s="1" t="s">
        <v>65</v>
      </c>
    </row>
    <row r="571" spans="1:11">
      <c r="A571" s="17" t="s">
        <v>69</v>
      </c>
      <c r="B571" s="19" t="s">
        <v>50</v>
      </c>
      <c r="C571" s="19" t="s">
        <v>760</v>
      </c>
      <c r="D571" s="19" t="s">
        <v>761</v>
      </c>
      <c r="E571" s="20" t="s">
        <v>11</v>
      </c>
      <c r="F571" s="19" t="s">
        <v>51</v>
      </c>
      <c r="G571" s="19" t="s">
        <v>72</v>
      </c>
      <c r="H571" s="19" t="s">
        <v>31</v>
      </c>
      <c r="I571">
        <v>1503</v>
      </c>
      <c r="J571">
        <v>1</v>
      </c>
      <c r="K571" s="1" t="s">
        <v>66</v>
      </c>
    </row>
    <row r="572" spans="1:11">
      <c r="A572" s="17" t="s">
        <v>69</v>
      </c>
      <c r="B572" s="19" t="s">
        <v>50</v>
      </c>
      <c r="C572" s="19" t="s">
        <v>760</v>
      </c>
      <c r="D572" s="19" t="s">
        <v>761</v>
      </c>
      <c r="E572" s="20" t="s">
        <v>11</v>
      </c>
      <c r="F572" s="19" t="s">
        <v>51</v>
      </c>
      <c r="G572" s="19" t="s">
        <v>72</v>
      </c>
      <c r="H572" s="19" t="s">
        <v>31</v>
      </c>
      <c r="I572">
        <v>6758</v>
      </c>
      <c r="J572">
        <v>43</v>
      </c>
      <c r="K572" s="1" t="s">
        <v>65</v>
      </c>
    </row>
    <row r="573" spans="1:11">
      <c r="A573" s="17" t="s">
        <v>69</v>
      </c>
      <c r="B573" s="19" t="s">
        <v>50</v>
      </c>
      <c r="C573" s="19" t="s">
        <v>762</v>
      </c>
      <c r="D573" s="19" t="s">
        <v>763</v>
      </c>
      <c r="E573" s="20" t="s">
        <v>11</v>
      </c>
      <c r="F573" s="19" t="s">
        <v>51</v>
      </c>
      <c r="G573" s="19" t="s">
        <v>72</v>
      </c>
      <c r="H573" s="19" t="s">
        <v>31</v>
      </c>
      <c r="I573">
        <v>1562</v>
      </c>
      <c r="J573">
        <v>3</v>
      </c>
      <c r="K573" s="1" t="s">
        <v>66</v>
      </c>
    </row>
    <row r="574" spans="1:11">
      <c r="A574" s="17" t="s">
        <v>69</v>
      </c>
      <c r="B574" s="19" t="s">
        <v>50</v>
      </c>
      <c r="C574" s="19" t="s">
        <v>762</v>
      </c>
      <c r="D574" s="19" t="s">
        <v>763</v>
      </c>
      <c r="E574" s="20" t="s">
        <v>11</v>
      </c>
      <c r="F574" s="19" t="s">
        <v>51</v>
      </c>
      <c r="G574" s="19" t="s">
        <v>72</v>
      </c>
      <c r="H574" s="19" t="s">
        <v>31</v>
      </c>
      <c r="I574">
        <v>6945</v>
      </c>
      <c r="J574">
        <v>54</v>
      </c>
      <c r="K574" s="1" t="s">
        <v>65</v>
      </c>
    </row>
    <row r="575" spans="1:11">
      <c r="A575" s="17" t="s">
        <v>69</v>
      </c>
      <c r="B575" s="19" t="s">
        <v>50</v>
      </c>
      <c r="C575" s="19" t="s">
        <v>764</v>
      </c>
      <c r="D575" s="19" t="s">
        <v>765</v>
      </c>
      <c r="E575" s="20" t="s">
        <v>11</v>
      </c>
      <c r="F575" s="19" t="s">
        <v>51</v>
      </c>
      <c r="G575" s="19" t="s">
        <v>72</v>
      </c>
      <c r="H575" s="19" t="s">
        <v>31</v>
      </c>
      <c r="I575">
        <v>1660</v>
      </c>
      <c r="J575">
        <v>2</v>
      </c>
      <c r="K575" s="1" t="s">
        <v>66</v>
      </c>
    </row>
    <row r="576" spans="1:11">
      <c r="A576" s="17" t="s">
        <v>69</v>
      </c>
      <c r="B576" s="19" t="s">
        <v>50</v>
      </c>
      <c r="C576" s="19" t="s">
        <v>764</v>
      </c>
      <c r="D576" s="19" t="s">
        <v>765</v>
      </c>
      <c r="E576" s="20" t="s">
        <v>11</v>
      </c>
      <c r="F576" s="19" t="s">
        <v>51</v>
      </c>
      <c r="G576" s="19" t="s">
        <v>72</v>
      </c>
      <c r="H576" s="19" t="s">
        <v>31</v>
      </c>
      <c r="I576">
        <v>6826</v>
      </c>
      <c r="J576">
        <v>37</v>
      </c>
      <c r="K576" s="1" t="s">
        <v>65</v>
      </c>
    </row>
    <row r="577" spans="1:11">
      <c r="A577" s="17" t="s">
        <v>69</v>
      </c>
      <c r="B577" s="19" t="s">
        <v>50</v>
      </c>
      <c r="C577" s="19" t="s">
        <v>766</v>
      </c>
      <c r="D577" s="19" t="s">
        <v>767</v>
      </c>
      <c r="E577" s="20" t="s">
        <v>11</v>
      </c>
      <c r="F577" s="19" t="s">
        <v>51</v>
      </c>
      <c r="G577" s="19" t="s">
        <v>72</v>
      </c>
      <c r="H577" s="19" t="s">
        <v>31</v>
      </c>
      <c r="I577">
        <v>1553</v>
      </c>
      <c r="J577">
        <v>0</v>
      </c>
      <c r="K577" s="1" t="s">
        <v>66</v>
      </c>
    </row>
    <row r="578" spans="1:11">
      <c r="A578" s="17" t="s">
        <v>69</v>
      </c>
      <c r="B578" s="19" t="s">
        <v>50</v>
      </c>
      <c r="C578" s="19" t="s">
        <v>766</v>
      </c>
      <c r="D578" s="19" t="s">
        <v>767</v>
      </c>
      <c r="E578" s="20" t="s">
        <v>11</v>
      </c>
      <c r="F578" s="19" t="s">
        <v>51</v>
      </c>
      <c r="G578" s="19" t="s">
        <v>72</v>
      </c>
      <c r="H578" s="19" t="s">
        <v>31</v>
      </c>
      <c r="I578">
        <v>7150</v>
      </c>
      <c r="J578">
        <v>29</v>
      </c>
      <c r="K578" s="1" t="s">
        <v>65</v>
      </c>
    </row>
    <row r="579" spans="1:11">
      <c r="A579" s="17" t="s">
        <v>69</v>
      </c>
      <c r="B579" s="19" t="s">
        <v>50</v>
      </c>
      <c r="C579" s="19" t="s">
        <v>768</v>
      </c>
      <c r="D579" s="19" t="s">
        <v>769</v>
      </c>
      <c r="E579" s="20" t="s">
        <v>11</v>
      </c>
      <c r="F579" s="19" t="s">
        <v>51</v>
      </c>
      <c r="G579" s="19" t="s">
        <v>72</v>
      </c>
      <c r="H579" s="19" t="s">
        <v>31</v>
      </c>
      <c r="I579">
        <v>1527</v>
      </c>
      <c r="J579">
        <v>2</v>
      </c>
      <c r="K579" s="1" t="s">
        <v>66</v>
      </c>
    </row>
    <row r="580" spans="1:11">
      <c r="A580" s="17" t="s">
        <v>69</v>
      </c>
      <c r="B580" s="19" t="s">
        <v>50</v>
      </c>
      <c r="C580" s="19" t="s">
        <v>768</v>
      </c>
      <c r="D580" s="19" t="s">
        <v>769</v>
      </c>
      <c r="E580" s="20" t="s">
        <v>11</v>
      </c>
      <c r="F580" s="19" t="s">
        <v>51</v>
      </c>
      <c r="G580" s="19" t="s">
        <v>72</v>
      </c>
      <c r="H580" s="19" t="s">
        <v>31</v>
      </c>
      <c r="I580">
        <v>7265</v>
      </c>
      <c r="J580">
        <v>43</v>
      </c>
      <c r="K580" s="1" t="s">
        <v>65</v>
      </c>
    </row>
    <row r="581" spans="1:11">
      <c r="A581" s="17" t="s">
        <v>69</v>
      </c>
      <c r="B581" s="19" t="s">
        <v>50</v>
      </c>
      <c r="C581" s="19" t="s">
        <v>770</v>
      </c>
      <c r="D581" s="19" t="s">
        <v>771</v>
      </c>
      <c r="E581" s="20" t="s">
        <v>11</v>
      </c>
      <c r="F581" s="19" t="s">
        <v>51</v>
      </c>
      <c r="G581" s="19" t="s">
        <v>72</v>
      </c>
      <c r="H581" s="19" t="s">
        <v>31</v>
      </c>
      <c r="I581">
        <v>2064</v>
      </c>
      <c r="J581">
        <v>4</v>
      </c>
      <c r="K581" s="1" t="s">
        <v>66</v>
      </c>
    </row>
    <row r="582" spans="1:11">
      <c r="A582" s="17" t="s">
        <v>69</v>
      </c>
      <c r="B582" s="19" t="s">
        <v>50</v>
      </c>
      <c r="C582" s="19" t="s">
        <v>770</v>
      </c>
      <c r="D582" s="19" t="s">
        <v>771</v>
      </c>
      <c r="E582" s="20" t="s">
        <v>11</v>
      </c>
      <c r="F582" s="19" t="s">
        <v>51</v>
      </c>
      <c r="G582" s="19" t="s">
        <v>72</v>
      </c>
      <c r="H582" s="19" t="s">
        <v>31</v>
      </c>
      <c r="I582">
        <v>8195</v>
      </c>
      <c r="J582">
        <v>61</v>
      </c>
      <c r="K582" s="1" t="s">
        <v>65</v>
      </c>
    </row>
    <row r="583" spans="1:11">
      <c r="A583" s="17" t="s">
        <v>69</v>
      </c>
      <c r="B583" s="19" t="s">
        <v>50</v>
      </c>
      <c r="C583" s="19" t="s">
        <v>772</v>
      </c>
      <c r="D583" s="19" t="s">
        <v>773</v>
      </c>
      <c r="E583" s="20" t="s">
        <v>11</v>
      </c>
      <c r="F583" s="19" t="s">
        <v>51</v>
      </c>
      <c r="G583" s="19" t="s">
        <v>72</v>
      </c>
      <c r="H583" s="19" t="s">
        <v>31</v>
      </c>
      <c r="I583">
        <v>1525</v>
      </c>
      <c r="J583">
        <v>6</v>
      </c>
      <c r="K583" s="1" t="s">
        <v>66</v>
      </c>
    </row>
    <row r="584" spans="1:11">
      <c r="A584" s="17" t="s">
        <v>69</v>
      </c>
      <c r="B584" s="19" t="s">
        <v>50</v>
      </c>
      <c r="C584" s="19" t="s">
        <v>772</v>
      </c>
      <c r="D584" s="19" t="s">
        <v>773</v>
      </c>
      <c r="E584" s="20" t="s">
        <v>11</v>
      </c>
      <c r="F584" s="19" t="s">
        <v>51</v>
      </c>
      <c r="G584" s="19" t="s">
        <v>72</v>
      </c>
      <c r="H584" s="19" t="s">
        <v>31</v>
      </c>
      <c r="I584">
        <v>9137</v>
      </c>
      <c r="J584">
        <v>62</v>
      </c>
      <c r="K584" s="1" t="s">
        <v>65</v>
      </c>
    </row>
    <row r="585" spans="1:11">
      <c r="A585" s="17" t="s">
        <v>69</v>
      </c>
      <c r="B585" s="19" t="s">
        <v>50</v>
      </c>
      <c r="C585" s="19" t="s">
        <v>774</v>
      </c>
      <c r="D585" s="19" t="s">
        <v>775</v>
      </c>
      <c r="E585" s="20" t="s">
        <v>11</v>
      </c>
      <c r="F585" s="19" t="s">
        <v>51</v>
      </c>
      <c r="G585" s="19" t="s">
        <v>72</v>
      </c>
      <c r="H585" s="19" t="s">
        <v>31</v>
      </c>
      <c r="I585">
        <v>2012</v>
      </c>
      <c r="J585">
        <v>9</v>
      </c>
      <c r="K585" s="1" t="s">
        <v>66</v>
      </c>
    </row>
    <row r="586" spans="1:11">
      <c r="A586" s="17" t="s">
        <v>69</v>
      </c>
      <c r="B586" s="19" t="s">
        <v>50</v>
      </c>
      <c r="C586" s="19" t="s">
        <v>774</v>
      </c>
      <c r="D586" s="19" t="s">
        <v>775</v>
      </c>
      <c r="E586" s="20" t="s">
        <v>11</v>
      </c>
      <c r="F586" s="19" t="s">
        <v>51</v>
      </c>
      <c r="G586" s="19" t="s">
        <v>72</v>
      </c>
      <c r="H586" s="19" t="s">
        <v>31</v>
      </c>
      <c r="I586">
        <v>8322</v>
      </c>
      <c r="J586">
        <v>55</v>
      </c>
      <c r="K586" s="1" t="s">
        <v>65</v>
      </c>
    </row>
    <row r="587" spans="1:11">
      <c r="A587" s="17" t="s">
        <v>69</v>
      </c>
      <c r="B587" s="19" t="s">
        <v>50</v>
      </c>
      <c r="C587" s="19" t="s">
        <v>776</v>
      </c>
      <c r="D587" s="19" t="s">
        <v>777</v>
      </c>
      <c r="E587" s="20" t="s">
        <v>11</v>
      </c>
      <c r="F587" s="19" t="s">
        <v>51</v>
      </c>
      <c r="G587" s="19" t="s">
        <v>72</v>
      </c>
      <c r="H587" s="19" t="s">
        <v>31</v>
      </c>
      <c r="I587">
        <v>1530</v>
      </c>
      <c r="J587">
        <v>1</v>
      </c>
      <c r="K587" s="1" t="s">
        <v>66</v>
      </c>
    </row>
    <row r="588" spans="1:11">
      <c r="A588" s="17" t="s">
        <v>69</v>
      </c>
      <c r="B588" s="19" t="s">
        <v>50</v>
      </c>
      <c r="C588" s="19" t="s">
        <v>776</v>
      </c>
      <c r="D588" s="19" t="s">
        <v>777</v>
      </c>
      <c r="E588" s="20" t="s">
        <v>11</v>
      </c>
      <c r="F588" s="19" t="s">
        <v>51</v>
      </c>
      <c r="G588" s="19" t="s">
        <v>72</v>
      </c>
      <c r="H588" s="19" t="s">
        <v>31</v>
      </c>
      <c r="I588">
        <v>7291</v>
      </c>
      <c r="J588">
        <v>42</v>
      </c>
      <c r="K588" s="1" t="s">
        <v>65</v>
      </c>
    </row>
    <row r="589" spans="1:11">
      <c r="A589" s="17" t="s">
        <v>69</v>
      </c>
      <c r="B589" s="19" t="s">
        <v>50</v>
      </c>
      <c r="C589" s="19" t="s">
        <v>778</v>
      </c>
      <c r="D589" s="19" t="s">
        <v>779</v>
      </c>
      <c r="E589" s="20" t="s">
        <v>11</v>
      </c>
      <c r="F589" s="19" t="s">
        <v>51</v>
      </c>
      <c r="G589" s="19" t="s">
        <v>72</v>
      </c>
      <c r="H589" s="19" t="s">
        <v>31</v>
      </c>
      <c r="I589">
        <v>1987</v>
      </c>
      <c r="J589">
        <v>1</v>
      </c>
      <c r="K589" s="1" t="s">
        <v>66</v>
      </c>
    </row>
    <row r="590" spans="1:11">
      <c r="A590" s="17" t="s">
        <v>69</v>
      </c>
      <c r="B590" s="19" t="s">
        <v>50</v>
      </c>
      <c r="C590" s="19" t="s">
        <v>778</v>
      </c>
      <c r="D590" s="19" t="s">
        <v>779</v>
      </c>
      <c r="E590" s="20" t="s">
        <v>11</v>
      </c>
      <c r="F590" s="19" t="s">
        <v>51</v>
      </c>
      <c r="G590" s="19" t="s">
        <v>72</v>
      </c>
      <c r="H590" s="19" t="s">
        <v>31</v>
      </c>
      <c r="I590">
        <v>7594</v>
      </c>
      <c r="J590">
        <v>57</v>
      </c>
      <c r="K590" s="1" t="s">
        <v>65</v>
      </c>
    </row>
    <row r="591" spans="1:11">
      <c r="A591" s="17" t="s">
        <v>69</v>
      </c>
      <c r="B591" s="19" t="s">
        <v>50</v>
      </c>
      <c r="C591" s="19" t="s">
        <v>780</v>
      </c>
      <c r="D591" s="19" t="s">
        <v>781</v>
      </c>
      <c r="E591" s="20" t="s">
        <v>11</v>
      </c>
      <c r="F591" s="19" t="s">
        <v>51</v>
      </c>
      <c r="G591" s="19" t="s">
        <v>72</v>
      </c>
      <c r="H591" s="19" t="s">
        <v>31</v>
      </c>
      <c r="I591">
        <v>1933</v>
      </c>
      <c r="J591">
        <v>4</v>
      </c>
      <c r="K591" s="1" t="s">
        <v>66</v>
      </c>
    </row>
    <row r="592" spans="1:11">
      <c r="A592" s="17" t="s">
        <v>69</v>
      </c>
      <c r="B592" s="19" t="s">
        <v>50</v>
      </c>
      <c r="C592" s="19" t="s">
        <v>780</v>
      </c>
      <c r="D592" s="19" t="s">
        <v>781</v>
      </c>
      <c r="E592" s="20" t="s">
        <v>11</v>
      </c>
      <c r="F592" s="19" t="s">
        <v>51</v>
      </c>
      <c r="G592" s="19" t="s">
        <v>72</v>
      </c>
      <c r="H592" s="19" t="s">
        <v>31</v>
      </c>
      <c r="I592">
        <v>8014</v>
      </c>
      <c r="J592">
        <v>51</v>
      </c>
      <c r="K592" s="1" t="s">
        <v>65</v>
      </c>
    </row>
    <row r="593" spans="1:11">
      <c r="A593" s="17" t="s">
        <v>69</v>
      </c>
      <c r="B593" s="19" t="s">
        <v>50</v>
      </c>
      <c r="C593" s="19" t="s">
        <v>782</v>
      </c>
      <c r="D593" s="19" t="s">
        <v>783</v>
      </c>
      <c r="E593" s="20" t="s">
        <v>11</v>
      </c>
      <c r="F593" s="19" t="s">
        <v>51</v>
      </c>
      <c r="G593" s="19" t="s">
        <v>72</v>
      </c>
      <c r="H593" s="19" t="s">
        <v>31</v>
      </c>
      <c r="I593">
        <v>1491</v>
      </c>
      <c r="J593">
        <v>1</v>
      </c>
      <c r="K593" s="1" t="s">
        <v>66</v>
      </c>
    </row>
    <row r="594" spans="1:11">
      <c r="A594" s="17" t="s">
        <v>69</v>
      </c>
      <c r="B594" s="19" t="s">
        <v>50</v>
      </c>
      <c r="C594" s="19" t="s">
        <v>782</v>
      </c>
      <c r="D594" s="19" t="s">
        <v>783</v>
      </c>
      <c r="E594" s="20" t="s">
        <v>11</v>
      </c>
      <c r="F594" s="19" t="s">
        <v>51</v>
      </c>
      <c r="G594" s="19" t="s">
        <v>72</v>
      </c>
      <c r="H594" s="19" t="s">
        <v>31</v>
      </c>
      <c r="I594">
        <v>7376</v>
      </c>
      <c r="J594">
        <v>35</v>
      </c>
      <c r="K594" s="1" t="s">
        <v>65</v>
      </c>
    </row>
    <row r="595" spans="1:11">
      <c r="A595" s="17" t="s">
        <v>69</v>
      </c>
      <c r="B595" s="19" t="s">
        <v>50</v>
      </c>
      <c r="C595" s="19" t="s">
        <v>784</v>
      </c>
      <c r="D595" s="19" t="s">
        <v>785</v>
      </c>
      <c r="E595" s="20" t="s">
        <v>11</v>
      </c>
      <c r="F595" s="19" t="s">
        <v>51</v>
      </c>
      <c r="G595" s="19" t="s">
        <v>72</v>
      </c>
      <c r="H595" s="19" t="s">
        <v>31</v>
      </c>
      <c r="I595">
        <v>1505</v>
      </c>
      <c r="J595">
        <v>2</v>
      </c>
      <c r="K595" s="1" t="s">
        <v>66</v>
      </c>
    </row>
    <row r="596" spans="1:11">
      <c r="A596" s="17" t="s">
        <v>69</v>
      </c>
      <c r="B596" s="19" t="s">
        <v>50</v>
      </c>
      <c r="C596" s="19" t="s">
        <v>784</v>
      </c>
      <c r="D596" s="19" t="s">
        <v>785</v>
      </c>
      <c r="E596" s="20" t="s">
        <v>11</v>
      </c>
      <c r="F596" s="19" t="s">
        <v>51</v>
      </c>
      <c r="G596" s="19" t="s">
        <v>72</v>
      </c>
      <c r="H596" s="19" t="s">
        <v>31</v>
      </c>
      <c r="I596">
        <v>7424</v>
      </c>
      <c r="J596">
        <v>59</v>
      </c>
      <c r="K596" s="1" t="s">
        <v>65</v>
      </c>
    </row>
    <row r="597" spans="1:11">
      <c r="A597" s="17" t="s">
        <v>69</v>
      </c>
      <c r="B597" s="19" t="s">
        <v>50</v>
      </c>
      <c r="C597" s="19" t="s">
        <v>786</v>
      </c>
      <c r="D597" s="19" t="s">
        <v>787</v>
      </c>
      <c r="E597" s="20" t="s">
        <v>11</v>
      </c>
      <c r="F597" s="19" t="s">
        <v>55</v>
      </c>
      <c r="G597" s="19" t="s">
        <v>154</v>
      </c>
      <c r="H597" s="19" t="s">
        <v>31</v>
      </c>
      <c r="I597">
        <v>804</v>
      </c>
      <c r="J597">
        <v>0</v>
      </c>
      <c r="K597" s="1" t="s">
        <v>66</v>
      </c>
    </row>
    <row r="598" spans="1:11">
      <c r="A598" s="17" t="s">
        <v>69</v>
      </c>
      <c r="B598" s="19" t="s">
        <v>50</v>
      </c>
      <c r="C598" s="19" t="s">
        <v>786</v>
      </c>
      <c r="D598" s="19" t="s">
        <v>787</v>
      </c>
      <c r="E598" s="20" t="s">
        <v>11</v>
      </c>
      <c r="F598" s="19" t="s">
        <v>55</v>
      </c>
      <c r="G598" s="19" t="s">
        <v>154</v>
      </c>
      <c r="H598" s="19" t="s">
        <v>31</v>
      </c>
      <c r="I598">
        <v>1</v>
      </c>
      <c r="J598">
        <v>0</v>
      </c>
      <c r="K598" s="1" t="s">
        <v>65</v>
      </c>
    </row>
    <row r="599" spans="1:11">
      <c r="A599" s="17" t="s">
        <v>69</v>
      </c>
      <c r="B599" s="19" t="s">
        <v>50</v>
      </c>
      <c r="C599" s="19" t="s">
        <v>788</v>
      </c>
      <c r="D599" s="19" t="s">
        <v>789</v>
      </c>
      <c r="E599" s="20" t="s">
        <v>11</v>
      </c>
      <c r="F599" s="19" t="s">
        <v>55</v>
      </c>
      <c r="G599" s="19" t="s">
        <v>154</v>
      </c>
      <c r="H599" s="19" t="s">
        <v>31</v>
      </c>
      <c r="I599">
        <v>1040</v>
      </c>
      <c r="J599">
        <v>0</v>
      </c>
      <c r="K599" s="1" t="s">
        <v>66</v>
      </c>
    </row>
    <row r="600" spans="1:11">
      <c r="A600" s="17" t="s">
        <v>69</v>
      </c>
      <c r="B600" s="19" t="s">
        <v>50</v>
      </c>
      <c r="C600" s="19" t="s">
        <v>788</v>
      </c>
      <c r="D600" s="19" t="s">
        <v>789</v>
      </c>
      <c r="E600" s="20" t="s">
        <v>11</v>
      </c>
      <c r="F600" s="19" t="s">
        <v>55</v>
      </c>
      <c r="G600" s="19" t="s">
        <v>154</v>
      </c>
      <c r="H600" s="19" t="s">
        <v>31</v>
      </c>
      <c r="I600">
        <v>1</v>
      </c>
      <c r="J600">
        <v>0</v>
      </c>
      <c r="K600" s="1" t="s">
        <v>65</v>
      </c>
    </row>
    <row r="601" spans="1:11">
      <c r="A601" s="17" t="s">
        <v>69</v>
      </c>
      <c r="B601" s="19" t="s">
        <v>50</v>
      </c>
      <c r="C601" s="19" t="s">
        <v>790</v>
      </c>
      <c r="D601" s="19" t="s">
        <v>791</v>
      </c>
      <c r="E601" s="20" t="s">
        <v>11</v>
      </c>
      <c r="F601" s="19" t="s">
        <v>55</v>
      </c>
      <c r="G601" s="19" t="s">
        <v>154</v>
      </c>
      <c r="H601" s="19" t="s">
        <v>31</v>
      </c>
      <c r="I601">
        <v>831</v>
      </c>
      <c r="J601">
        <v>0</v>
      </c>
      <c r="K601" s="1" t="s">
        <v>66</v>
      </c>
    </row>
    <row r="602" spans="1:11">
      <c r="A602" s="17" t="s">
        <v>69</v>
      </c>
      <c r="B602" s="19" t="s">
        <v>50</v>
      </c>
      <c r="C602" s="19" t="s">
        <v>792</v>
      </c>
      <c r="D602" s="19" t="s">
        <v>793</v>
      </c>
      <c r="E602" s="20" t="s">
        <v>11</v>
      </c>
      <c r="F602" s="19" t="s">
        <v>55</v>
      </c>
      <c r="G602" s="19" t="s">
        <v>154</v>
      </c>
      <c r="H602" s="19" t="s">
        <v>31</v>
      </c>
      <c r="I602">
        <v>886</v>
      </c>
      <c r="J602">
        <v>0</v>
      </c>
      <c r="K602" s="1" t="s">
        <v>66</v>
      </c>
    </row>
    <row r="603" spans="1:11">
      <c r="A603" s="17" t="s">
        <v>69</v>
      </c>
      <c r="B603" s="19" t="s">
        <v>50</v>
      </c>
      <c r="C603" s="19" t="s">
        <v>794</v>
      </c>
      <c r="D603" s="19" t="s">
        <v>795</v>
      </c>
      <c r="E603" s="20" t="s">
        <v>11</v>
      </c>
      <c r="F603" s="19" t="s">
        <v>55</v>
      </c>
      <c r="G603" s="19" t="s">
        <v>154</v>
      </c>
      <c r="H603" s="19" t="s">
        <v>31</v>
      </c>
      <c r="I603">
        <v>793</v>
      </c>
      <c r="J603">
        <v>0</v>
      </c>
      <c r="K603" s="1" t="s">
        <v>66</v>
      </c>
    </row>
    <row r="604" spans="1:11">
      <c r="A604" s="17" t="s">
        <v>69</v>
      </c>
      <c r="B604" s="19" t="s">
        <v>50</v>
      </c>
      <c r="C604" s="19" t="s">
        <v>796</v>
      </c>
      <c r="D604" s="19" t="s">
        <v>797</v>
      </c>
      <c r="E604" s="20" t="s">
        <v>11</v>
      </c>
      <c r="F604" s="19" t="s">
        <v>55</v>
      </c>
      <c r="G604" s="19" t="s">
        <v>154</v>
      </c>
      <c r="H604" s="19" t="s">
        <v>31</v>
      </c>
      <c r="I604">
        <v>1412</v>
      </c>
      <c r="J604">
        <v>1</v>
      </c>
      <c r="K604" s="1" t="s">
        <v>66</v>
      </c>
    </row>
    <row r="605" spans="1:11">
      <c r="A605" s="17" t="s">
        <v>69</v>
      </c>
      <c r="B605" s="19" t="s">
        <v>50</v>
      </c>
      <c r="C605" s="19" t="s">
        <v>796</v>
      </c>
      <c r="D605" s="19" t="s">
        <v>797</v>
      </c>
      <c r="E605" s="20" t="s">
        <v>11</v>
      </c>
      <c r="F605" s="19" t="s">
        <v>55</v>
      </c>
      <c r="G605" s="19" t="s">
        <v>154</v>
      </c>
      <c r="H605" s="19" t="s">
        <v>31</v>
      </c>
      <c r="I605">
        <v>567</v>
      </c>
      <c r="J605">
        <v>0</v>
      </c>
      <c r="K605" s="1" t="s">
        <v>65</v>
      </c>
    </row>
    <row r="606" spans="1:11">
      <c r="A606" s="17" t="s">
        <v>69</v>
      </c>
      <c r="B606" s="19" t="s">
        <v>50</v>
      </c>
      <c r="C606" s="19" t="s">
        <v>798</v>
      </c>
      <c r="D606" s="19" t="s">
        <v>799</v>
      </c>
      <c r="E606" s="20" t="s">
        <v>11</v>
      </c>
      <c r="F606" s="19" t="s">
        <v>55</v>
      </c>
      <c r="G606" s="19" t="s">
        <v>154</v>
      </c>
      <c r="H606" s="19" t="s">
        <v>31</v>
      </c>
      <c r="I606">
        <v>1453</v>
      </c>
      <c r="J606">
        <v>0</v>
      </c>
      <c r="K606" s="1" t="s">
        <v>66</v>
      </c>
    </row>
    <row r="607" spans="1:11">
      <c r="A607" s="17" t="s">
        <v>69</v>
      </c>
      <c r="B607" s="19" t="s">
        <v>50</v>
      </c>
      <c r="C607" s="19" t="s">
        <v>798</v>
      </c>
      <c r="D607" s="19" t="s">
        <v>799</v>
      </c>
      <c r="E607" s="20" t="s">
        <v>11</v>
      </c>
      <c r="F607" s="19" t="s">
        <v>55</v>
      </c>
      <c r="G607" s="19" t="s">
        <v>154</v>
      </c>
      <c r="H607" s="19" t="s">
        <v>31</v>
      </c>
      <c r="I607">
        <v>449</v>
      </c>
      <c r="J607">
        <v>0</v>
      </c>
      <c r="K607" s="1" t="s">
        <v>65</v>
      </c>
    </row>
    <row r="608" spans="1:11">
      <c r="A608" s="17" t="s">
        <v>69</v>
      </c>
      <c r="B608" s="19" t="s">
        <v>50</v>
      </c>
      <c r="C608" s="19" t="s">
        <v>800</v>
      </c>
      <c r="D608" s="19" t="s">
        <v>801</v>
      </c>
      <c r="E608" s="20" t="s">
        <v>11</v>
      </c>
      <c r="F608" s="19" t="s">
        <v>55</v>
      </c>
      <c r="G608" s="19" t="s">
        <v>154</v>
      </c>
      <c r="H608" s="19" t="s">
        <v>31</v>
      </c>
      <c r="I608">
        <v>1397</v>
      </c>
      <c r="J608">
        <v>0</v>
      </c>
      <c r="K608" s="1" t="s">
        <v>66</v>
      </c>
    </row>
    <row r="609" spans="1:11">
      <c r="A609" s="17" t="s">
        <v>69</v>
      </c>
      <c r="B609" s="19" t="s">
        <v>50</v>
      </c>
      <c r="C609" s="19" t="s">
        <v>800</v>
      </c>
      <c r="D609" s="19" t="s">
        <v>801</v>
      </c>
      <c r="E609" s="20" t="s">
        <v>11</v>
      </c>
      <c r="F609" s="19" t="s">
        <v>55</v>
      </c>
      <c r="G609" s="19" t="s">
        <v>154</v>
      </c>
      <c r="H609" s="19" t="s">
        <v>31</v>
      </c>
      <c r="I609">
        <v>538</v>
      </c>
      <c r="J609">
        <v>1</v>
      </c>
      <c r="K609" s="1" t="s">
        <v>65</v>
      </c>
    </row>
    <row r="610" spans="1:11">
      <c r="A610" s="17" t="s">
        <v>69</v>
      </c>
      <c r="B610" s="19" t="s">
        <v>50</v>
      </c>
      <c r="C610" s="19" t="s">
        <v>802</v>
      </c>
      <c r="D610" s="19" t="s">
        <v>803</v>
      </c>
      <c r="E610" s="20" t="s">
        <v>11</v>
      </c>
      <c r="F610" s="19" t="s">
        <v>55</v>
      </c>
      <c r="G610" s="19" t="s">
        <v>154</v>
      </c>
      <c r="H610" s="19" t="s">
        <v>31</v>
      </c>
      <c r="I610">
        <v>1338</v>
      </c>
      <c r="J610">
        <v>2</v>
      </c>
      <c r="K610" s="1" t="s">
        <v>66</v>
      </c>
    </row>
    <row r="611" spans="1:11">
      <c r="A611" s="17" t="s">
        <v>69</v>
      </c>
      <c r="B611" s="19" t="s">
        <v>50</v>
      </c>
      <c r="C611" s="19" t="s">
        <v>802</v>
      </c>
      <c r="D611" s="19" t="s">
        <v>803</v>
      </c>
      <c r="E611" s="20" t="s">
        <v>11</v>
      </c>
      <c r="F611" s="19" t="s">
        <v>55</v>
      </c>
      <c r="G611" s="19" t="s">
        <v>154</v>
      </c>
      <c r="H611" s="19" t="s">
        <v>31</v>
      </c>
      <c r="I611">
        <v>463</v>
      </c>
      <c r="J611">
        <v>0</v>
      </c>
      <c r="K611" s="1" t="s">
        <v>65</v>
      </c>
    </row>
    <row r="612" spans="1:11">
      <c r="A612" s="17" t="s">
        <v>69</v>
      </c>
      <c r="B612" s="19" t="s">
        <v>50</v>
      </c>
      <c r="C612" s="19" t="s">
        <v>804</v>
      </c>
      <c r="D612" s="19" t="s">
        <v>805</v>
      </c>
      <c r="E612" s="20" t="s">
        <v>11</v>
      </c>
      <c r="F612" s="19" t="s">
        <v>55</v>
      </c>
      <c r="G612" s="19" t="s">
        <v>154</v>
      </c>
      <c r="H612" s="19" t="s">
        <v>31</v>
      </c>
      <c r="I612">
        <v>1445</v>
      </c>
      <c r="J612">
        <v>0</v>
      </c>
      <c r="K612" s="1" t="s">
        <v>66</v>
      </c>
    </row>
    <row r="613" spans="1:11">
      <c r="A613" s="17" t="s">
        <v>69</v>
      </c>
      <c r="B613" s="19" t="s">
        <v>50</v>
      </c>
      <c r="C613" s="19" t="s">
        <v>804</v>
      </c>
      <c r="D613" s="19" t="s">
        <v>805</v>
      </c>
      <c r="E613" s="20" t="s">
        <v>11</v>
      </c>
      <c r="F613" s="19" t="s">
        <v>55</v>
      </c>
      <c r="G613" s="19" t="s">
        <v>154</v>
      </c>
      <c r="H613" s="19" t="s">
        <v>31</v>
      </c>
      <c r="I613">
        <v>424</v>
      </c>
      <c r="J613">
        <v>1</v>
      </c>
      <c r="K613" s="1" t="s">
        <v>65</v>
      </c>
    </row>
    <row r="614" spans="1:11">
      <c r="A614" s="17" t="s">
        <v>69</v>
      </c>
      <c r="B614" s="19" t="s">
        <v>50</v>
      </c>
      <c r="C614" s="19" t="s">
        <v>806</v>
      </c>
      <c r="D614" s="19" t="s">
        <v>807</v>
      </c>
      <c r="E614" s="20" t="s">
        <v>11</v>
      </c>
      <c r="F614" s="19" t="s">
        <v>55</v>
      </c>
      <c r="G614" s="19" t="s">
        <v>154</v>
      </c>
      <c r="H614" s="19" t="s">
        <v>31</v>
      </c>
      <c r="I614">
        <v>1427</v>
      </c>
      <c r="J614">
        <v>0</v>
      </c>
      <c r="K614" s="1" t="s">
        <v>66</v>
      </c>
    </row>
    <row r="615" spans="1:11">
      <c r="A615" s="17" t="s">
        <v>69</v>
      </c>
      <c r="B615" s="19" t="s">
        <v>50</v>
      </c>
      <c r="C615" s="19" t="s">
        <v>806</v>
      </c>
      <c r="D615" s="19" t="s">
        <v>807</v>
      </c>
      <c r="E615" s="20" t="s">
        <v>11</v>
      </c>
      <c r="F615" s="19" t="s">
        <v>55</v>
      </c>
      <c r="G615" s="19" t="s">
        <v>154</v>
      </c>
      <c r="H615" s="19" t="s">
        <v>31</v>
      </c>
      <c r="I615">
        <v>453</v>
      </c>
      <c r="J615">
        <v>0</v>
      </c>
      <c r="K615" s="1" t="s">
        <v>65</v>
      </c>
    </row>
    <row r="616" spans="1:11">
      <c r="A616" s="17" t="s">
        <v>69</v>
      </c>
      <c r="B616" s="19" t="s">
        <v>50</v>
      </c>
      <c r="C616" s="19" t="s">
        <v>808</v>
      </c>
      <c r="D616" s="19" t="s">
        <v>809</v>
      </c>
      <c r="E616" s="20" t="s">
        <v>11</v>
      </c>
      <c r="F616" s="19" t="s">
        <v>55</v>
      </c>
      <c r="G616" s="19" t="s">
        <v>154</v>
      </c>
      <c r="H616" s="19" t="s">
        <v>31</v>
      </c>
      <c r="I616">
        <v>1342</v>
      </c>
      <c r="J616">
        <v>2</v>
      </c>
      <c r="K616" s="1" t="s">
        <v>66</v>
      </c>
    </row>
    <row r="617" spans="1:11">
      <c r="A617" s="17" t="s">
        <v>69</v>
      </c>
      <c r="B617" s="19" t="s">
        <v>50</v>
      </c>
      <c r="C617" s="19" t="s">
        <v>808</v>
      </c>
      <c r="D617" s="19" t="s">
        <v>809</v>
      </c>
      <c r="E617" s="20" t="s">
        <v>11</v>
      </c>
      <c r="F617" s="19" t="s">
        <v>55</v>
      </c>
      <c r="G617" s="19" t="s">
        <v>154</v>
      </c>
      <c r="H617" s="19" t="s">
        <v>31</v>
      </c>
      <c r="I617">
        <v>496</v>
      </c>
      <c r="J617">
        <v>0</v>
      </c>
      <c r="K617" s="1" t="s">
        <v>65</v>
      </c>
    </row>
    <row r="618" spans="1:11">
      <c r="A618" s="17" t="s">
        <v>69</v>
      </c>
      <c r="B618" s="19" t="s">
        <v>50</v>
      </c>
      <c r="C618" s="19" t="s">
        <v>810</v>
      </c>
      <c r="D618" s="19" t="s">
        <v>811</v>
      </c>
      <c r="E618" s="20" t="s">
        <v>11</v>
      </c>
      <c r="F618" s="19" t="s">
        <v>55</v>
      </c>
      <c r="G618" s="19" t="s">
        <v>154</v>
      </c>
      <c r="H618" s="19" t="s">
        <v>31</v>
      </c>
      <c r="I618">
        <v>1354</v>
      </c>
      <c r="J618">
        <v>1</v>
      </c>
      <c r="K618" s="1" t="s">
        <v>66</v>
      </c>
    </row>
    <row r="619" spans="1:11">
      <c r="A619" s="17" t="s">
        <v>69</v>
      </c>
      <c r="B619" s="19" t="s">
        <v>50</v>
      </c>
      <c r="C619" s="19" t="s">
        <v>810</v>
      </c>
      <c r="D619" s="19" t="s">
        <v>811</v>
      </c>
      <c r="E619" s="20" t="s">
        <v>11</v>
      </c>
      <c r="F619" s="19" t="s">
        <v>55</v>
      </c>
      <c r="G619" s="19" t="s">
        <v>154</v>
      </c>
      <c r="H619" s="19" t="s">
        <v>31</v>
      </c>
      <c r="I619">
        <v>531</v>
      </c>
      <c r="J619">
        <v>0</v>
      </c>
      <c r="K619" s="1" t="s">
        <v>65</v>
      </c>
    </row>
    <row r="620" spans="1:11">
      <c r="A620" s="17" t="s">
        <v>69</v>
      </c>
      <c r="B620" s="19" t="s">
        <v>50</v>
      </c>
      <c r="C620" s="19" t="s">
        <v>812</v>
      </c>
      <c r="D620" s="19" t="s">
        <v>813</v>
      </c>
      <c r="E620" s="20" t="s">
        <v>11</v>
      </c>
      <c r="F620" s="19" t="s">
        <v>55</v>
      </c>
      <c r="G620" s="19" t="s">
        <v>154</v>
      </c>
      <c r="H620" s="19" t="s">
        <v>31</v>
      </c>
      <c r="I620">
        <v>599</v>
      </c>
      <c r="J620">
        <v>0</v>
      </c>
      <c r="K620" s="1" t="s">
        <v>65</v>
      </c>
    </row>
    <row r="621" spans="1:11">
      <c r="A621" s="17" t="s">
        <v>69</v>
      </c>
      <c r="B621" s="19" t="s">
        <v>50</v>
      </c>
      <c r="C621" s="19" t="s">
        <v>814</v>
      </c>
      <c r="D621" s="19" t="s">
        <v>815</v>
      </c>
      <c r="E621" s="20" t="s">
        <v>11</v>
      </c>
      <c r="F621" s="19" t="s">
        <v>55</v>
      </c>
      <c r="G621" s="19" t="s">
        <v>154</v>
      </c>
      <c r="H621" s="19" t="s">
        <v>31</v>
      </c>
      <c r="I621">
        <v>534</v>
      </c>
      <c r="J621">
        <v>0</v>
      </c>
      <c r="K621" s="1" t="s">
        <v>65</v>
      </c>
    </row>
    <row r="622" spans="1:11">
      <c r="A622" s="17" t="s">
        <v>69</v>
      </c>
      <c r="B622" s="19" t="s">
        <v>50</v>
      </c>
      <c r="C622" s="19" t="s">
        <v>816</v>
      </c>
      <c r="D622" s="19" t="s">
        <v>817</v>
      </c>
      <c r="E622" s="20" t="s">
        <v>11</v>
      </c>
      <c r="F622" s="19" t="s">
        <v>55</v>
      </c>
      <c r="G622" s="19" t="s">
        <v>154</v>
      </c>
      <c r="H622" s="19" t="s">
        <v>31</v>
      </c>
      <c r="I622">
        <v>622</v>
      </c>
      <c r="J622">
        <v>0</v>
      </c>
      <c r="K622" s="1" t="s">
        <v>65</v>
      </c>
    </row>
    <row r="623" spans="1:11">
      <c r="A623" s="17" t="s">
        <v>69</v>
      </c>
      <c r="B623" s="19" t="s">
        <v>50</v>
      </c>
      <c r="C623" s="19" t="s">
        <v>818</v>
      </c>
      <c r="D623" s="19" t="s">
        <v>819</v>
      </c>
      <c r="E623" s="20" t="s">
        <v>11</v>
      </c>
      <c r="F623" s="19" t="s">
        <v>55</v>
      </c>
      <c r="G623" s="19" t="s">
        <v>154</v>
      </c>
      <c r="H623" s="19" t="s">
        <v>31</v>
      </c>
      <c r="I623">
        <v>580</v>
      </c>
      <c r="J623">
        <v>0</v>
      </c>
      <c r="K623" s="1" t="s">
        <v>65</v>
      </c>
    </row>
    <row r="624" spans="1:11">
      <c r="A624" s="17" t="s">
        <v>69</v>
      </c>
      <c r="B624" s="19" t="s">
        <v>50</v>
      </c>
      <c r="C624" s="19" t="s">
        <v>820</v>
      </c>
      <c r="D624" s="19" t="s">
        <v>821</v>
      </c>
      <c r="E624" s="20" t="s">
        <v>11</v>
      </c>
      <c r="F624" s="19" t="s">
        <v>55</v>
      </c>
      <c r="G624" s="19" t="s">
        <v>154</v>
      </c>
      <c r="H624" s="19" t="s">
        <v>31</v>
      </c>
      <c r="I624">
        <v>604</v>
      </c>
      <c r="J624">
        <v>1</v>
      </c>
      <c r="K624" s="1" t="s">
        <v>65</v>
      </c>
    </row>
    <row r="625" spans="1:11">
      <c r="A625" s="17" t="s">
        <v>69</v>
      </c>
      <c r="B625" s="19" t="s">
        <v>50</v>
      </c>
      <c r="C625" s="19" t="s">
        <v>822</v>
      </c>
      <c r="D625" s="19" t="s">
        <v>823</v>
      </c>
      <c r="E625" s="20" t="s">
        <v>11</v>
      </c>
      <c r="F625" s="19" t="s">
        <v>55</v>
      </c>
      <c r="G625" s="19" t="s">
        <v>154</v>
      </c>
      <c r="H625" s="19" t="s">
        <v>31</v>
      </c>
      <c r="I625">
        <v>565</v>
      </c>
      <c r="J625">
        <v>0</v>
      </c>
      <c r="K625" s="1" t="s">
        <v>65</v>
      </c>
    </row>
    <row r="626" spans="1:11">
      <c r="A626" s="17" t="s">
        <v>69</v>
      </c>
      <c r="B626" s="19" t="s">
        <v>50</v>
      </c>
      <c r="C626" s="19" t="s">
        <v>824</v>
      </c>
      <c r="D626" s="19" t="s">
        <v>825</v>
      </c>
      <c r="E626" s="20" t="s">
        <v>11</v>
      </c>
      <c r="F626" s="19" t="s">
        <v>55</v>
      </c>
      <c r="G626" s="19" t="s">
        <v>154</v>
      </c>
      <c r="H626" s="19" t="s">
        <v>31</v>
      </c>
      <c r="I626">
        <v>540</v>
      </c>
      <c r="J626">
        <v>0</v>
      </c>
      <c r="K626" s="1" t="s">
        <v>65</v>
      </c>
    </row>
    <row r="627" spans="1:11">
      <c r="A627" s="17" t="s">
        <v>69</v>
      </c>
      <c r="B627" s="19" t="s">
        <v>50</v>
      </c>
      <c r="C627" s="19" t="s">
        <v>826</v>
      </c>
      <c r="D627" s="19" t="s">
        <v>827</v>
      </c>
      <c r="E627" s="20" t="s">
        <v>11</v>
      </c>
      <c r="F627" s="19" t="s">
        <v>55</v>
      </c>
      <c r="G627" s="19" t="s">
        <v>154</v>
      </c>
      <c r="H627" s="19" t="s">
        <v>31</v>
      </c>
      <c r="I627">
        <v>570</v>
      </c>
      <c r="J627">
        <v>0</v>
      </c>
      <c r="K627" s="1" t="s">
        <v>65</v>
      </c>
    </row>
    <row r="628" spans="1:11">
      <c r="A628" s="17" t="s">
        <v>69</v>
      </c>
      <c r="B628" s="19" t="s">
        <v>50</v>
      </c>
      <c r="C628" s="19" t="s">
        <v>828</v>
      </c>
      <c r="D628" s="19" t="s">
        <v>829</v>
      </c>
      <c r="E628" s="20" t="s">
        <v>11</v>
      </c>
      <c r="F628" s="19" t="s">
        <v>55</v>
      </c>
      <c r="G628" s="19" t="s">
        <v>154</v>
      </c>
      <c r="H628" s="19" t="s">
        <v>31</v>
      </c>
      <c r="I628">
        <v>624</v>
      </c>
      <c r="J628">
        <v>0</v>
      </c>
      <c r="K628" s="1" t="s">
        <v>65</v>
      </c>
    </row>
    <row r="629" spans="1:11">
      <c r="A629" s="17" t="s">
        <v>69</v>
      </c>
      <c r="B629" s="19" t="s">
        <v>50</v>
      </c>
      <c r="C629" s="19" t="s">
        <v>830</v>
      </c>
      <c r="D629" s="19" t="s">
        <v>831</v>
      </c>
      <c r="E629" s="20" t="s">
        <v>11</v>
      </c>
      <c r="F629" s="19" t="s">
        <v>55</v>
      </c>
      <c r="G629" s="19" t="s">
        <v>154</v>
      </c>
      <c r="H629" s="19" t="s">
        <v>31</v>
      </c>
      <c r="I629">
        <v>3425</v>
      </c>
      <c r="J629">
        <v>1</v>
      </c>
      <c r="K629" s="1" t="s">
        <v>66</v>
      </c>
    </row>
    <row r="630" spans="1:11">
      <c r="A630" s="17" t="s">
        <v>69</v>
      </c>
      <c r="B630" s="19" t="s">
        <v>50</v>
      </c>
      <c r="C630" s="19" t="s">
        <v>830</v>
      </c>
      <c r="D630" s="19" t="s">
        <v>831</v>
      </c>
      <c r="E630" s="20" t="s">
        <v>11</v>
      </c>
      <c r="F630" s="19" t="s">
        <v>55</v>
      </c>
      <c r="G630" s="19" t="s">
        <v>154</v>
      </c>
      <c r="H630" s="19" t="s">
        <v>31</v>
      </c>
      <c r="I630">
        <v>113</v>
      </c>
      <c r="J630">
        <v>0</v>
      </c>
      <c r="K630" s="1" t="s">
        <v>65</v>
      </c>
    </row>
    <row r="631" spans="1:11">
      <c r="A631" s="17" t="s">
        <v>69</v>
      </c>
      <c r="B631" s="19" t="s">
        <v>50</v>
      </c>
      <c r="C631" s="19" t="s">
        <v>832</v>
      </c>
      <c r="D631" s="19" t="s">
        <v>833</v>
      </c>
      <c r="E631" s="20" t="s">
        <v>11</v>
      </c>
      <c r="F631" s="19" t="s">
        <v>55</v>
      </c>
      <c r="G631" s="19" t="s">
        <v>154</v>
      </c>
      <c r="H631" s="19" t="s">
        <v>31</v>
      </c>
      <c r="I631">
        <v>3470</v>
      </c>
      <c r="J631">
        <v>1</v>
      </c>
      <c r="K631" s="1" t="s">
        <v>66</v>
      </c>
    </row>
    <row r="632" spans="1:11">
      <c r="A632" s="17" t="s">
        <v>69</v>
      </c>
      <c r="B632" s="19" t="s">
        <v>50</v>
      </c>
      <c r="C632" s="19" t="s">
        <v>832</v>
      </c>
      <c r="D632" s="19" t="s">
        <v>833</v>
      </c>
      <c r="E632" s="20" t="s">
        <v>11</v>
      </c>
      <c r="F632" s="19" t="s">
        <v>55</v>
      </c>
      <c r="G632" s="19" t="s">
        <v>154</v>
      </c>
      <c r="H632" s="19" t="s">
        <v>31</v>
      </c>
      <c r="I632">
        <v>142</v>
      </c>
      <c r="J632">
        <v>0</v>
      </c>
      <c r="K632" s="1" t="s">
        <v>65</v>
      </c>
    </row>
    <row r="633" spans="1:11">
      <c r="A633" s="17" t="s">
        <v>69</v>
      </c>
      <c r="B633" s="19" t="s">
        <v>50</v>
      </c>
      <c r="C633" s="19" t="s">
        <v>834</v>
      </c>
      <c r="D633" s="19" t="s">
        <v>835</v>
      </c>
      <c r="E633" s="20" t="s">
        <v>11</v>
      </c>
      <c r="F633" s="19" t="s">
        <v>55</v>
      </c>
      <c r="G633" s="19" t="s">
        <v>154</v>
      </c>
      <c r="H633" s="19" t="s">
        <v>31</v>
      </c>
      <c r="I633">
        <v>3600</v>
      </c>
      <c r="J633">
        <v>1</v>
      </c>
      <c r="K633" s="1" t="s">
        <v>66</v>
      </c>
    </row>
    <row r="634" spans="1:11">
      <c r="A634" s="17" t="s">
        <v>69</v>
      </c>
      <c r="B634" s="19" t="s">
        <v>50</v>
      </c>
      <c r="C634" s="19" t="s">
        <v>834</v>
      </c>
      <c r="D634" s="19" t="s">
        <v>835</v>
      </c>
      <c r="E634" s="20" t="s">
        <v>11</v>
      </c>
      <c r="F634" s="19" t="s">
        <v>55</v>
      </c>
      <c r="G634" s="19" t="s">
        <v>154</v>
      </c>
      <c r="H634" s="19" t="s">
        <v>31</v>
      </c>
      <c r="I634">
        <v>155</v>
      </c>
      <c r="J634">
        <v>0</v>
      </c>
      <c r="K634" s="1" t="s">
        <v>65</v>
      </c>
    </row>
    <row r="635" spans="1:11">
      <c r="A635" s="17" t="s">
        <v>69</v>
      </c>
      <c r="B635" s="19" t="s">
        <v>50</v>
      </c>
      <c r="C635" s="19" t="s">
        <v>836</v>
      </c>
      <c r="D635" s="19" t="s">
        <v>837</v>
      </c>
      <c r="E635" s="20" t="s">
        <v>11</v>
      </c>
      <c r="F635" s="19" t="s">
        <v>55</v>
      </c>
      <c r="G635" s="19" t="s">
        <v>154</v>
      </c>
      <c r="H635" s="19" t="s">
        <v>31</v>
      </c>
      <c r="I635">
        <v>3340</v>
      </c>
      <c r="J635">
        <v>0</v>
      </c>
      <c r="K635" s="1" t="s">
        <v>66</v>
      </c>
    </row>
    <row r="636" spans="1:11">
      <c r="A636" s="17" t="s">
        <v>69</v>
      </c>
      <c r="B636" s="19" t="s">
        <v>50</v>
      </c>
      <c r="C636" s="19" t="s">
        <v>836</v>
      </c>
      <c r="D636" s="19" t="s">
        <v>837</v>
      </c>
      <c r="E636" s="20" t="s">
        <v>11</v>
      </c>
      <c r="F636" s="19" t="s">
        <v>55</v>
      </c>
      <c r="G636" s="19" t="s">
        <v>154</v>
      </c>
      <c r="H636" s="19" t="s">
        <v>31</v>
      </c>
      <c r="I636">
        <v>138</v>
      </c>
      <c r="J636">
        <v>0</v>
      </c>
      <c r="K636" s="1" t="s">
        <v>65</v>
      </c>
    </row>
    <row r="637" spans="1:11">
      <c r="A637" s="17" t="s">
        <v>69</v>
      </c>
      <c r="B637" s="19" t="s">
        <v>50</v>
      </c>
      <c r="C637" s="19" t="s">
        <v>838</v>
      </c>
      <c r="D637" s="19" t="s">
        <v>839</v>
      </c>
      <c r="E637" s="20" t="s">
        <v>11</v>
      </c>
      <c r="F637" s="19" t="s">
        <v>55</v>
      </c>
      <c r="G637" s="19" t="s">
        <v>154</v>
      </c>
      <c r="H637" s="19" t="s">
        <v>31</v>
      </c>
      <c r="I637">
        <v>859</v>
      </c>
      <c r="J637">
        <v>0</v>
      </c>
      <c r="K637" s="1" t="s">
        <v>66</v>
      </c>
    </row>
    <row r="638" spans="1:11">
      <c r="A638" s="17" t="s">
        <v>69</v>
      </c>
      <c r="B638" s="19" t="s">
        <v>50</v>
      </c>
      <c r="C638" s="19" t="s">
        <v>840</v>
      </c>
      <c r="D638" s="19" t="s">
        <v>841</v>
      </c>
      <c r="E638" s="20" t="s">
        <v>11</v>
      </c>
      <c r="F638" s="19" t="s">
        <v>55</v>
      </c>
      <c r="G638" s="19" t="s">
        <v>154</v>
      </c>
      <c r="H638" s="19" t="s">
        <v>31</v>
      </c>
      <c r="I638">
        <v>900</v>
      </c>
      <c r="J638">
        <v>0</v>
      </c>
      <c r="K638" s="1" t="s">
        <v>66</v>
      </c>
    </row>
    <row r="639" spans="1:11">
      <c r="A639" s="17" t="s">
        <v>69</v>
      </c>
      <c r="B639" s="19" t="s">
        <v>50</v>
      </c>
      <c r="C639" s="19" t="s">
        <v>840</v>
      </c>
      <c r="D639" s="19" t="s">
        <v>841</v>
      </c>
      <c r="E639" s="20" t="s">
        <v>11</v>
      </c>
      <c r="F639" s="19" t="s">
        <v>55</v>
      </c>
      <c r="G639" s="19" t="s">
        <v>154</v>
      </c>
      <c r="H639" s="19" t="s">
        <v>31</v>
      </c>
      <c r="I639">
        <v>1</v>
      </c>
      <c r="J639">
        <v>0</v>
      </c>
      <c r="K639" s="1" t="s">
        <v>65</v>
      </c>
    </row>
    <row r="640" spans="1:11">
      <c r="A640" s="17" t="s">
        <v>69</v>
      </c>
      <c r="B640" s="19" t="s">
        <v>50</v>
      </c>
      <c r="C640" s="19" t="s">
        <v>842</v>
      </c>
      <c r="D640" s="19" t="s">
        <v>843</v>
      </c>
      <c r="E640" s="20" t="s">
        <v>11</v>
      </c>
      <c r="F640" s="19" t="s">
        <v>55</v>
      </c>
      <c r="G640" s="19" t="s">
        <v>154</v>
      </c>
      <c r="H640" s="19" t="s">
        <v>31</v>
      </c>
      <c r="I640">
        <v>840</v>
      </c>
      <c r="J640">
        <v>1</v>
      </c>
      <c r="K640" s="1" t="s">
        <v>66</v>
      </c>
    </row>
    <row r="641" spans="1:11">
      <c r="A641" s="17" t="s">
        <v>69</v>
      </c>
      <c r="B641" s="19" t="s">
        <v>50</v>
      </c>
      <c r="C641" s="19" t="s">
        <v>842</v>
      </c>
      <c r="D641" s="19" t="s">
        <v>843</v>
      </c>
      <c r="E641" s="20" t="s">
        <v>11</v>
      </c>
      <c r="F641" s="19" t="s">
        <v>55</v>
      </c>
      <c r="G641" s="19" t="s">
        <v>154</v>
      </c>
      <c r="H641" s="19" t="s">
        <v>31</v>
      </c>
      <c r="I641">
        <v>1</v>
      </c>
      <c r="J641">
        <v>0</v>
      </c>
      <c r="K641" s="1" t="s">
        <v>65</v>
      </c>
    </row>
    <row r="642" spans="1:11">
      <c r="A642" s="17" t="s">
        <v>69</v>
      </c>
      <c r="B642" s="19" t="s">
        <v>50</v>
      </c>
      <c r="C642" s="19" t="s">
        <v>844</v>
      </c>
      <c r="D642" s="19" t="s">
        <v>845</v>
      </c>
      <c r="E642" s="20" t="s">
        <v>11</v>
      </c>
      <c r="F642" s="19" t="s">
        <v>55</v>
      </c>
      <c r="G642" s="19" t="s">
        <v>154</v>
      </c>
      <c r="H642" s="19" t="s">
        <v>31</v>
      </c>
      <c r="I642">
        <v>911</v>
      </c>
      <c r="J642">
        <v>0</v>
      </c>
      <c r="K642" s="1" t="s">
        <v>66</v>
      </c>
    </row>
    <row r="643" spans="1:11">
      <c r="A643" s="17" t="s">
        <v>69</v>
      </c>
      <c r="B643" s="19" t="s">
        <v>50</v>
      </c>
      <c r="C643" s="19" t="s">
        <v>844</v>
      </c>
      <c r="D643" s="19" t="s">
        <v>845</v>
      </c>
      <c r="E643" s="20" t="s">
        <v>11</v>
      </c>
      <c r="F643" s="19" t="s">
        <v>55</v>
      </c>
      <c r="G643" s="19" t="s">
        <v>154</v>
      </c>
      <c r="H643" s="19" t="s">
        <v>31</v>
      </c>
      <c r="I643">
        <v>1</v>
      </c>
      <c r="J643">
        <v>0</v>
      </c>
      <c r="K643" s="1" t="s">
        <v>65</v>
      </c>
    </row>
    <row r="644" spans="1:11">
      <c r="A644" s="17" t="s">
        <v>69</v>
      </c>
      <c r="B644" s="19" t="s">
        <v>50</v>
      </c>
      <c r="C644" s="19" t="s">
        <v>846</v>
      </c>
      <c r="D644" s="19" t="s">
        <v>847</v>
      </c>
      <c r="E644" s="20" t="s">
        <v>11</v>
      </c>
      <c r="F644" s="19" t="s">
        <v>55</v>
      </c>
      <c r="G644" s="19" t="s">
        <v>154</v>
      </c>
      <c r="H644" s="19" t="s">
        <v>31</v>
      </c>
      <c r="I644">
        <v>821</v>
      </c>
      <c r="J644">
        <v>0</v>
      </c>
      <c r="K644" s="1" t="s">
        <v>66</v>
      </c>
    </row>
    <row r="645" spans="1:11">
      <c r="A645" s="17" t="s">
        <v>69</v>
      </c>
      <c r="B645" s="19" t="s">
        <v>50</v>
      </c>
      <c r="C645" s="19" t="s">
        <v>846</v>
      </c>
      <c r="D645" s="19" t="s">
        <v>847</v>
      </c>
      <c r="E645" s="20" t="s">
        <v>11</v>
      </c>
      <c r="F645" s="19" t="s">
        <v>55</v>
      </c>
      <c r="G645" s="19" t="s">
        <v>154</v>
      </c>
      <c r="H645" s="19" t="s">
        <v>31</v>
      </c>
      <c r="I645">
        <v>472</v>
      </c>
      <c r="J645">
        <v>0</v>
      </c>
      <c r="K645" s="1" t="s">
        <v>65</v>
      </c>
    </row>
    <row r="646" spans="1:11">
      <c r="A646" s="17" t="s">
        <v>69</v>
      </c>
      <c r="B646" s="19" t="s">
        <v>50</v>
      </c>
      <c r="C646" s="19" t="s">
        <v>848</v>
      </c>
      <c r="D646" s="19" t="s">
        <v>849</v>
      </c>
      <c r="E646" s="20" t="s">
        <v>11</v>
      </c>
      <c r="F646" s="19" t="s">
        <v>55</v>
      </c>
      <c r="G646" s="19" t="s">
        <v>154</v>
      </c>
      <c r="H646" s="19" t="s">
        <v>31</v>
      </c>
      <c r="I646">
        <v>128</v>
      </c>
      <c r="J646">
        <v>0</v>
      </c>
      <c r="K646" s="1" t="s">
        <v>66</v>
      </c>
    </row>
    <row r="647" spans="1:11">
      <c r="A647" s="17" t="s">
        <v>69</v>
      </c>
      <c r="B647" s="19" t="s">
        <v>50</v>
      </c>
      <c r="C647" s="19" t="s">
        <v>848</v>
      </c>
      <c r="D647" s="19" t="s">
        <v>849</v>
      </c>
      <c r="E647" s="20" t="s">
        <v>11</v>
      </c>
      <c r="F647" s="19" t="s">
        <v>55</v>
      </c>
      <c r="G647" s="19" t="s">
        <v>154</v>
      </c>
      <c r="H647" s="19" t="s">
        <v>31</v>
      </c>
      <c r="I647">
        <v>217</v>
      </c>
      <c r="J647">
        <v>0</v>
      </c>
      <c r="K647" s="1" t="s">
        <v>65</v>
      </c>
    </row>
    <row r="648" spans="1:11">
      <c r="A648" s="17" t="s">
        <v>69</v>
      </c>
      <c r="B648" s="19" t="s">
        <v>50</v>
      </c>
      <c r="C648" s="19" t="s">
        <v>850</v>
      </c>
      <c r="D648" s="19" t="s">
        <v>851</v>
      </c>
      <c r="E648" s="20" t="s">
        <v>11</v>
      </c>
      <c r="F648" s="19" t="s">
        <v>55</v>
      </c>
      <c r="G648" s="19" t="s">
        <v>154</v>
      </c>
      <c r="H648" s="19" t="s">
        <v>31</v>
      </c>
      <c r="I648">
        <v>185</v>
      </c>
      <c r="J648">
        <v>0</v>
      </c>
      <c r="K648" s="1" t="s">
        <v>66</v>
      </c>
    </row>
    <row r="649" spans="1:11">
      <c r="A649" s="17" t="s">
        <v>69</v>
      </c>
      <c r="B649" s="19" t="s">
        <v>50</v>
      </c>
      <c r="C649" s="19" t="s">
        <v>850</v>
      </c>
      <c r="D649" s="19" t="s">
        <v>851</v>
      </c>
      <c r="E649" s="20" t="s">
        <v>11</v>
      </c>
      <c r="F649" s="19" t="s">
        <v>55</v>
      </c>
      <c r="G649" s="19" t="s">
        <v>154</v>
      </c>
      <c r="H649" s="19" t="s">
        <v>31</v>
      </c>
      <c r="I649">
        <v>249</v>
      </c>
      <c r="J649">
        <v>0</v>
      </c>
      <c r="K649" s="1" t="s">
        <v>65</v>
      </c>
    </row>
    <row r="650" spans="1:11">
      <c r="A650" s="17" t="s">
        <v>69</v>
      </c>
      <c r="B650" s="19" t="s">
        <v>50</v>
      </c>
      <c r="C650" s="19" t="s">
        <v>852</v>
      </c>
      <c r="D650" s="19" t="s">
        <v>853</v>
      </c>
      <c r="E650" s="20" t="s">
        <v>11</v>
      </c>
      <c r="F650" s="19" t="s">
        <v>55</v>
      </c>
      <c r="G650" s="19" t="s">
        <v>154</v>
      </c>
      <c r="H650" s="19" t="s">
        <v>31</v>
      </c>
      <c r="I650">
        <v>172</v>
      </c>
      <c r="J650">
        <v>0</v>
      </c>
      <c r="K650" s="1" t="s">
        <v>66</v>
      </c>
    </row>
    <row r="651" spans="1:11">
      <c r="A651" s="17" t="s">
        <v>69</v>
      </c>
      <c r="B651" s="19" t="s">
        <v>50</v>
      </c>
      <c r="C651" s="19" t="s">
        <v>852</v>
      </c>
      <c r="D651" s="19" t="s">
        <v>853</v>
      </c>
      <c r="E651" s="20" t="s">
        <v>11</v>
      </c>
      <c r="F651" s="19" t="s">
        <v>55</v>
      </c>
      <c r="G651" s="19" t="s">
        <v>154</v>
      </c>
      <c r="H651" s="19" t="s">
        <v>31</v>
      </c>
      <c r="I651">
        <v>239</v>
      </c>
      <c r="J651">
        <v>0</v>
      </c>
      <c r="K651" s="1" t="s">
        <v>65</v>
      </c>
    </row>
    <row r="652" spans="1:11">
      <c r="A652" s="17" t="s">
        <v>69</v>
      </c>
      <c r="B652" s="19" t="s">
        <v>50</v>
      </c>
      <c r="C652" s="19" t="s">
        <v>854</v>
      </c>
      <c r="D652" s="19" t="s">
        <v>855</v>
      </c>
      <c r="E652" s="20" t="s">
        <v>11</v>
      </c>
      <c r="F652" s="19" t="s">
        <v>55</v>
      </c>
      <c r="G652" s="19" t="s">
        <v>154</v>
      </c>
      <c r="H652" s="19" t="s">
        <v>31</v>
      </c>
      <c r="I652">
        <v>262</v>
      </c>
      <c r="J652">
        <v>0</v>
      </c>
      <c r="K652" s="1" t="s">
        <v>65</v>
      </c>
    </row>
    <row r="653" spans="1:11">
      <c r="A653" s="17" t="s">
        <v>69</v>
      </c>
      <c r="B653" s="19" t="s">
        <v>50</v>
      </c>
      <c r="C653" s="19" t="s">
        <v>856</v>
      </c>
      <c r="D653" s="19" t="s">
        <v>857</v>
      </c>
      <c r="E653" s="20" t="s">
        <v>11</v>
      </c>
      <c r="F653" s="19" t="s">
        <v>55</v>
      </c>
      <c r="G653" s="19" t="s">
        <v>154</v>
      </c>
      <c r="H653" s="19" t="s">
        <v>31</v>
      </c>
      <c r="I653">
        <v>627</v>
      </c>
      <c r="J653">
        <v>0</v>
      </c>
      <c r="K653" s="1" t="s">
        <v>66</v>
      </c>
    </row>
    <row r="654" spans="1:11">
      <c r="A654" s="17" t="s">
        <v>69</v>
      </c>
      <c r="B654" s="19" t="s">
        <v>50</v>
      </c>
      <c r="C654" s="19" t="s">
        <v>856</v>
      </c>
      <c r="D654" s="19" t="s">
        <v>857</v>
      </c>
      <c r="E654" s="20" t="s">
        <v>11</v>
      </c>
      <c r="F654" s="19" t="s">
        <v>55</v>
      </c>
      <c r="G654" s="19" t="s">
        <v>154</v>
      </c>
      <c r="H654" s="19" t="s">
        <v>31</v>
      </c>
      <c r="I654">
        <v>373</v>
      </c>
      <c r="J654">
        <v>0</v>
      </c>
      <c r="K654" s="1" t="s">
        <v>65</v>
      </c>
    </row>
    <row r="655" spans="1:11">
      <c r="A655" s="17" t="s">
        <v>69</v>
      </c>
      <c r="B655" s="19" t="s">
        <v>50</v>
      </c>
      <c r="C655" s="19" t="s">
        <v>858</v>
      </c>
      <c r="D655" s="19" t="s">
        <v>859</v>
      </c>
      <c r="E655" s="20" t="s">
        <v>11</v>
      </c>
      <c r="F655" s="19" t="s">
        <v>55</v>
      </c>
      <c r="G655" s="19" t="s">
        <v>154</v>
      </c>
      <c r="H655" s="19" t="s">
        <v>31</v>
      </c>
      <c r="I655">
        <v>406</v>
      </c>
      <c r="J655">
        <v>0</v>
      </c>
      <c r="K655" s="1" t="s">
        <v>66</v>
      </c>
    </row>
    <row r="656" spans="1:11">
      <c r="A656" s="17" t="s">
        <v>69</v>
      </c>
      <c r="B656" s="19" t="s">
        <v>50</v>
      </c>
      <c r="C656" s="19" t="s">
        <v>858</v>
      </c>
      <c r="D656" s="19" t="s">
        <v>859</v>
      </c>
      <c r="E656" s="20" t="s">
        <v>11</v>
      </c>
      <c r="F656" s="19" t="s">
        <v>55</v>
      </c>
      <c r="G656" s="19" t="s">
        <v>154</v>
      </c>
      <c r="H656" s="19" t="s">
        <v>31</v>
      </c>
      <c r="I656">
        <v>687</v>
      </c>
      <c r="J656">
        <v>0</v>
      </c>
      <c r="K656" s="1" t="s">
        <v>65</v>
      </c>
    </row>
    <row r="657" spans="1:11">
      <c r="A657" s="17" t="s">
        <v>69</v>
      </c>
      <c r="B657" s="19" t="s">
        <v>50</v>
      </c>
      <c r="C657" s="19" t="s">
        <v>860</v>
      </c>
      <c r="D657" s="19" t="s">
        <v>861</v>
      </c>
      <c r="E657" s="20" t="s">
        <v>11</v>
      </c>
      <c r="F657" s="19" t="s">
        <v>55</v>
      </c>
      <c r="G657" s="19" t="s">
        <v>154</v>
      </c>
      <c r="H657" s="19" t="s">
        <v>31</v>
      </c>
      <c r="I657">
        <v>85</v>
      </c>
      <c r="J657">
        <v>0</v>
      </c>
      <c r="K657" s="1" t="s">
        <v>66</v>
      </c>
    </row>
    <row r="658" spans="1:11">
      <c r="A658" s="17" t="s">
        <v>69</v>
      </c>
      <c r="B658" s="19" t="s">
        <v>50</v>
      </c>
      <c r="C658" s="19" t="s">
        <v>860</v>
      </c>
      <c r="D658" s="19" t="s">
        <v>861</v>
      </c>
      <c r="E658" s="20" t="s">
        <v>11</v>
      </c>
      <c r="F658" s="19" t="s">
        <v>55</v>
      </c>
      <c r="G658" s="19" t="s">
        <v>154</v>
      </c>
      <c r="H658" s="19" t="s">
        <v>31</v>
      </c>
      <c r="I658">
        <v>2</v>
      </c>
      <c r="J658">
        <v>0</v>
      </c>
      <c r="K658" s="1" t="s">
        <v>65</v>
      </c>
    </row>
    <row r="659" spans="1:11">
      <c r="A659" s="17" t="s">
        <v>69</v>
      </c>
      <c r="B659" s="19" t="s">
        <v>50</v>
      </c>
      <c r="C659" s="19" t="s">
        <v>862</v>
      </c>
      <c r="D659" s="19" t="s">
        <v>863</v>
      </c>
      <c r="E659" s="20" t="s">
        <v>11</v>
      </c>
      <c r="F659" s="19" t="s">
        <v>55</v>
      </c>
      <c r="G659" s="19" t="s">
        <v>154</v>
      </c>
      <c r="H659" s="19" t="s">
        <v>31</v>
      </c>
      <c r="I659">
        <v>344</v>
      </c>
      <c r="J659">
        <v>0</v>
      </c>
      <c r="K659" s="1" t="s">
        <v>66</v>
      </c>
    </row>
    <row r="660" spans="1:11">
      <c r="A660" s="17" t="s">
        <v>69</v>
      </c>
      <c r="B660" s="19" t="s">
        <v>50</v>
      </c>
      <c r="C660" s="19" t="s">
        <v>862</v>
      </c>
      <c r="D660" s="19" t="s">
        <v>863</v>
      </c>
      <c r="E660" s="20" t="s">
        <v>11</v>
      </c>
      <c r="F660" s="19" t="s">
        <v>55</v>
      </c>
      <c r="G660" s="19" t="s">
        <v>154</v>
      </c>
      <c r="H660" s="19" t="s">
        <v>31</v>
      </c>
      <c r="I660">
        <v>273</v>
      </c>
      <c r="J660">
        <v>0</v>
      </c>
      <c r="K660" s="1" t="s">
        <v>65</v>
      </c>
    </row>
    <row r="661" spans="1:11">
      <c r="A661" s="17" t="s">
        <v>69</v>
      </c>
      <c r="B661" s="19" t="s">
        <v>50</v>
      </c>
      <c r="C661" s="19" t="s">
        <v>864</v>
      </c>
      <c r="D661" s="19" t="s">
        <v>865</v>
      </c>
      <c r="E661" s="20" t="s">
        <v>11</v>
      </c>
      <c r="F661" s="19" t="s">
        <v>55</v>
      </c>
      <c r="G661" s="19" t="s">
        <v>154</v>
      </c>
      <c r="H661" s="19" t="s">
        <v>31</v>
      </c>
      <c r="I661">
        <v>512</v>
      </c>
      <c r="J661">
        <v>0</v>
      </c>
      <c r="K661" s="1" t="s">
        <v>66</v>
      </c>
    </row>
    <row r="662" spans="1:11">
      <c r="A662" s="17" t="s">
        <v>69</v>
      </c>
      <c r="B662" s="19" t="s">
        <v>50</v>
      </c>
      <c r="C662" s="19" t="s">
        <v>864</v>
      </c>
      <c r="D662" s="19" t="s">
        <v>865</v>
      </c>
      <c r="E662" s="20" t="s">
        <v>11</v>
      </c>
      <c r="F662" s="19" t="s">
        <v>55</v>
      </c>
      <c r="G662" s="19" t="s">
        <v>154</v>
      </c>
      <c r="H662" s="19" t="s">
        <v>31</v>
      </c>
      <c r="I662">
        <v>760</v>
      </c>
      <c r="J662">
        <v>0</v>
      </c>
      <c r="K662" s="1" t="s">
        <v>65</v>
      </c>
    </row>
    <row r="663" spans="1:11">
      <c r="A663" s="17" t="s">
        <v>69</v>
      </c>
      <c r="B663" s="19" t="s">
        <v>50</v>
      </c>
      <c r="C663" s="19" t="s">
        <v>866</v>
      </c>
      <c r="D663" s="19" t="s">
        <v>867</v>
      </c>
      <c r="E663" s="20" t="s">
        <v>11</v>
      </c>
      <c r="F663" s="19" t="s">
        <v>55</v>
      </c>
      <c r="G663" s="19" t="s">
        <v>154</v>
      </c>
      <c r="H663" s="19" t="s">
        <v>31</v>
      </c>
      <c r="I663">
        <v>529</v>
      </c>
      <c r="J663">
        <v>0</v>
      </c>
      <c r="K663" s="1" t="s">
        <v>66</v>
      </c>
    </row>
    <row r="664" spans="1:11">
      <c r="A664" s="17" t="s">
        <v>69</v>
      </c>
      <c r="B664" s="19" t="s">
        <v>50</v>
      </c>
      <c r="C664" s="19" t="s">
        <v>866</v>
      </c>
      <c r="D664" s="19" t="s">
        <v>867</v>
      </c>
      <c r="E664" s="20" t="s">
        <v>11</v>
      </c>
      <c r="F664" s="19" t="s">
        <v>55</v>
      </c>
      <c r="G664" s="19" t="s">
        <v>154</v>
      </c>
      <c r="H664" s="19" t="s">
        <v>31</v>
      </c>
      <c r="I664">
        <v>652</v>
      </c>
      <c r="J664">
        <v>0</v>
      </c>
      <c r="K664" s="1" t="s">
        <v>65</v>
      </c>
    </row>
    <row r="665" spans="1:11">
      <c r="A665" s="17" t="s">
        <v>69</v>
      </c>
      <c r="B665" s="19" t="s">
        <v>50</v>
      </c>
      <c r="C665" s="19" t="s">
        <v>868</v>
      </c>
      <c r="D665" s="19" t="s">
        <v>869</v>
      </c>
      <c r="E665" s="20" t="s">
        <v>11</v>
      </c>
      <c r="F665" s="19" t="s">
        <v>55</v>
      </c>
      <c r="G665" s="19" t="s">
        <v>154</v>
      </c>
      <c r="H665" s="19" t="s">
        <v>31</v>
      </c>
      <c r="I665">
        <v>345</v>
      </c>
      <c r="J665">
        <v>0</v>
      </c>
      <c r="K665" s="1" t="s">
        <v>66</v>
      </c>
    </row>
    <row r="666" spans="1:11">
      <c r="A666" s="17" t="s">
        <v>69</v>
      </c>
      <c r="B666" s="19" t="s">
        <v>50</v>
      </c>
      <c r="C666" s="19" t="s">
        <v>868</v>
      </c>
      <c r="D666" s="19" t="s">
        <v>869</v>
      </c>
      <c r="E666" s="20" t="s">
        <v>11</v>
      </c>
      <c r="F666" s="19" t="s">
        <v>55</v>
      </c>
      <c r="G666" s="19" t="s">
        <v>154</v>
      </c>
      <c r="H666" s="19" t="s">
        <v>31</v>
      </c>
      <c r="I666">
        <v>485</v>
      </c>
      <c r="J666">
        <v>0</v>
      </c>
      <c r="K666" s="1" t="s">
        <v>65</v>
      </c>
    </row>
    <row r="667" spans="1:11">
      <c r="A667" s="17" t="s">
        <v>69</v>
      </c>
      <c r="B667" s="19" t="s">
        <v>50</v>
      </c>
      <c r="C667" s="19" t="s">
        <v>870</v>
      </c>
      <c r="D667" s="19" t="s">
        <v>871</v>
      </c>
      <c r="E667" s="20" t="s">
        <v>11</v>
      </c>
      <c r="F667" s="19" t="s">
        <v>55</v>
      </c>
      <c r="G667" s="19" t="s">
        <v>154</v>
      </c>
      <c r="H667" s="19" t="s">
        <v>31</v>
      </c>
      <c r="I667">
        <v>370</v>
      </c>
      <c r="J667">
        <v>0</v>
      </c>
      <c r="K667" s="1" t="s">
        <v>66</v>
      </c>
    </row>
    <row r="668" spans="1:11">
      <c r="A668" s="17" t="s">
        <v>69</v>
      </c>
      <c r="B668" s="19" t="s">
        <v>50</v>
      </c>
      <c r="C668" s="19" t="s">
        <v>870</v>
      </c>
      <c r="D668" s="19" t="s">
        <v>871</v>
      </c>
      <c r="E668" s="20" t="s">
        <v>11</v>
      </c>
      <c r="F668" s="19" t="s">
        <v>55</v>
      </c>
      <c r="G668" s="19" t="s">
        <v>154</v>
      </c>
      <c r="H668" s="19" t="s">
        <v>31</v>
      </c>
      <c r="I668">
        <v>529</v>
      </c>
      <c r="J668">
        <v>0</v>
      </c>
      <c r="K668" s="1" t="s">
        <v>65</v>
      </c>
    </row>
    <row r="669" spans="1:11">
      <c r="A669" s="17" t="s">
        <v>69</v>
      </c>
      <c r="B669" s="19" t="s">
        <v>50</v>
      </c>
      <c r="C669" s="19" t="s">
        <v>872</v>
      </c>
      <c r="D669" s="19" t="s">
        <v>873</v>
      </c>
      <c r="E669" s="20" t="s">
        <v>11</v>
      </c>
      <c r="F669" s="19" t="s">
        <v>55</v>
      </c>
      <c r="G669" s="19" t="s">
        <v>154</v>
      </c>
      <c r="H669" s="19" t="s">
        <v>31</v>
      </c>
      <c r="I669">
        <v>800</v>
      </c>
      <c r="J669">
        <v>0</v>
      </c>
      <c r="K669" s="1" t="s">
        <v>66</v>
      </c>
    </row>
    <row r="670" spans="1:11">
      <c r="A670" s="17" t="s">
        <v>69</v>
      </c>
      <c r="B670" s="19" t="s">
        <v>50</v>
      </c>
      <c r="C670" s="19" t="s">
        <v>872</v>
      </c>
      <c r="D670" s="19" t="s">
        <v>873</v>
      </c>
      <c r="E670" s="20" t="s">
        <v>11</v>
      </c>
      <c r="F670" s="19" t="s">
        <v>55</v>
      </c>
      <c r="G670" s="19" t="s">
        <v>154</v>
      </c>
      <c r="H670" s="19" t="s">
        <v>31</v>
      </c>
      <c r="I670">
        <v>447</v>
      </c>
      <c r="J670">
        <v>0</v>
      </c>
      <c r="K670" s="1" t="s">
        <v>65</v>
      </c>
    </row>
    <row r="671" spans="1:11">
      <c r="A671" s="17" t="s">
        <v>69</v>
      </c>
      <c r="B671" s="19" t="s">
        <v>50</v>
      </c>
      <c r="C671" s="19" t="s">
        <v>874</v>
      </c>
      <c r="D671" s="19" t="s">
        <v>875</v>
      </c>
      <c r="E671" s="20" t="s">
        <v>11</v>
      </c>
      <c r="F671" s="19" t="s">
        <v>55</v>
      </c>
      <c r="G671" s="19" t="s">
        <v>154</v>
      </c>
      <c r="H671" s="19" t="s">
        <v>31</v>
      </c>
      <c r="I671">
        <v>927</v>
      </c>
      <c r="J671">
        <v>1</v>
      </c>
      <c r="K671" s="1" t="s">
        <v>66</v>
      </c>
    </row>
    <row r="672" spans="1:11">
      <c r="A672" s="17" t="s">
        <v>69</v>
      </c>
      <c r="B672" s="19" t="s">
        <v>50</v>
      </c>
      <c r="C672" s="19" t="s">
        <v>874</v>
      </c>
      <c r="D672" s="19" t="s">
        <v>875</v>
      </c>
      <c r="E672" s="20" t="s">
        <v>11</v>
      </c>
      <c r="F672" s="19" t="s">
        <v>55</v>
      </c>
      <c r="G672" s="19" t="s">
        <v>154</v>
      </c>
      <c r="H672" s="19" t="s">
        <v>31</v>
      </c>
      <c r="I672">
        <v>486</v>
      </c>
      <c r="J672">
        <v>0</v>
      </c>
      <c r="K672" s="1" t="s">
        <v>65</v>
      </c>
    </row>
    <row r="673" spans="1:11">
      <c r="A673" s="17" t="s">
        <v>69</v>
      </c>
      <c r="B673" s="19" t="s">
        <v>50</v>
      </c>
      <c r="C673" s="19" t="s">
        <v>876</v>
      </c>
      <c r="D673" s="19" t="s">
        <v>877</v>
      </c>
      <c r="E673" s="20" t="s">
        <v>11</v>
      </c>
      <c r="F673" s="19" t="s">
        <v>55</v>
      </c>
      <c r="G673" s="19" t="s">
        <v>154</v>
      </c>
      <c r="H673" s="19" t="s">
        <v>31</v>
      </c>
      <c r="I673">
        <v>820</v>
      </c>
      <c r="J673">
        <v>1</v>
      </c>
      <c r="K673" s="1" t="s">
        <v>66</v>
      </c>
    </row>
    <row r="674" spans="1:11">
      <c r="A674" s="17" t="s">
        <v>69</v>
      </c>
      <c r="B674" s="19" t="s">
        <v>50</v>
      </c>
      <c r="C674" s="19" t="s">
        <v>876</v>
      </c>
      <c r="D674" s="19" t="s">
        <v>877</v>
      </c>
      <c r="E674" s="20" t="s">
        <v>11</v>
      </c>
      <c r="F674" s="19" t="s">
        <v>55</v>
      </c>
      <c r="G674" s="19" t="s">
        <v>154</v>
      </c>
      <c r="H674" s="19" t="s">
        <v>31</v>
      </c>
      <c r="I674">
        <v>484</v>
      </c>
      <c r="J674">
        <v>0</v>
      </c>
      <c r="K674" s="1" t="s">
        <v>65</v>
      </c>
    </row>
    <row r="675" spans="1:11">
      <c r="A675" s="17" t="s">
        <v>69</v>
      </c>
      <c r="B675" s="19" t="s">
        <v>50</v>
      </c>
      <c r="C675" s="19" t="s">
        <v>878</v>
      </c>
      <c r="D675" s="19" t="s">
        <v>879</v>
      </c>
      <c r="E675" s="20" t="s">
        <v>11</v>
      </c>
      <c r="F675" s="19" t="s">
        <v>55</v>
      </c>
      <c r="G675" s="19" t="s">
        <v>154</v>
      </c>
      <c r="H675" s="19" t="s">
        <v>31</v>
      </c>
      <c r="I675">
        <v>891</v>
      </c>
      <c r="J675">
        <v>1</v>
      </c>
      <c r="K675" s="1" t="s">
        <v>66</v>
      </c>
    </row>
    <row r="676" spans="1:11">
      <c r="A676" s="17" t="s">
        <v>69</v>
      </c>
      <c r="B676" s="19" t="s">
        <v>50</v>
      </c>
      <c r="C676" s="19" t="s">
        <v>878</v>
      </c>
      <c r="D676" s="19" t="s">
        <v>879</v>
      </c>
      <c r="E676" s="20" t="s">
        <v>11</v>
      </c>
      <c r="F676" s="19" t="s">
        <v>55</v>
      </c>
      <c r="G676" s="19" t="s">
        <v>154</v>
      </c>
      <c r="H676" s="19" t="s">
        <v>31</v>
      </c>
      <c r="I676">
        <v>458</v>
      </c>
      <c r="J676">
        <v>0</v>
      </c>
      <c r="K676" s="1" t="s">
        <v>65</v>
      </c>
    </row>
    <row r="677" spans="1:11">
      <c r="A677" s="17" t="s">
        <v>69</v>
      </c>
      <c r="B677" s="19" t="s">
        <v>50</v>
      </c>
      <c r="C677" s="19" t="s">
        <v>880</v>
      </c>
      <c r="D677" s="19" t="s">
        <v>881</v>
      </c>
      <c r="E677" s="20" t="s">
        <v>11</v>
      </c>
      <c r="F677" s="19" t="s">
        <v>55</v>
      </c>
      <c r="G677" s="19" t="s">
        <v>154</v>
      </c>
      <c r="H677" s="19" t="s">
        <v>31</v>
      </c>
      <c r="I677">
        <v>928</v>
      </c>
      <c r="J677">
        <v>0</v>
      </c>
      <c r="K677" s="1" t="s">
        <v>66</v>
      </c>
    </row>
    <row r="678" spans="1:11">
      <c r="A678" s="17" t="s">
        <v>69</v>
      </c>
      <c r="B678" s="19" t="s">
        <v>50</v>
      </c>
      <c r="C678" s="19" t="s">
        <v>880</v>
      </c>
      <c r="D678" s="19" t="s">
        <v>881</v>
      </c>
      <c r="E678" s="20" t="s">
        <v>11</v>
      </c>
      <c r="F678" s="19" t="s">
        <v>55</v>
      </c>
      <c r="G678" s="19" t="s">
        <v>154</v>
      </c>
      <c r="H678" s="19" t="s">
        <v>31</v>
      </c>
      <c r="I678">
        <v>498</v>
      </c>
      <c r="J678">
        <v>1</v>
      </c>
      <c r="K678" s="1" t="s">
        <v>65</v>
      </c>
    </row>
    <row r="679" spans="1:11">
      <c r="A679" s="17" t="s">
        <v>69</v>
      </c>
      <c r="B679" s="19" t="s">
        <v>50</v>
      </c>
      <c r="C679" s="19" t="s">
        <v>882</v>
      </c>
      <c r="D679" s="19" t="s">
        <v>883</v>
      </c>
      <c r="E679" s="20" t="s">
        <v>11</v>
      </c>
      <c r="F679" s="19" t="s">
        <v>55</v>
      </c>
      <c r="G679" s="19" t="s">
        <v>154</v>
      </c>
      <c r="H679" s="19" t="s">
        <v>31</v>
      </c>
      <c r="I679">
        <v>923</v>
      </c>
      <c r="J679">
        <v>0</v>
      </c>
      <c r="K679" s="1" t="s">
        <v>66</v>
      </c>
    </row>
    <row r="680" spans="1:11">
      <c r="A680" s="17" t="s">
        <v>69</v>
      </c>
      <c r="B680" s="19" t="s">
        <v>50</v>
      </c>
      <c r="C680" s="19" t="s">
        <v>882</v>
      </c>
      <c r="D680" s="19" t="s">
        <v>883</v>
      </c>
      <c r="E680" s="20" t="s">
        <v>11</v>
      </c>
      <c r="F680" s="19" t="s">
        <v>55</v>
      </c>
      <c r="G680" s="19" t="s">
        <v>154</v>
      </c>
      <c r="H680" s="19" t="s">
        <v>31</v>
      </c>
      <c r="I680">
        <v>431</v>
      </c>
      <c r="J680">
        <v>0</v>
      </c>
      <c r="K680" s="1" t="s">
        <v>65</v>
      </c>
    </row>
    <row r="681" spans="1:11">
      <c r="A681" s="17" t="s">
        <v>69</v>
      </c>
      <c r="B681" s="19" t="s">
        <v>50</v>
      </c>
      <c r="C681" s="19" t="s">
        <v>884</v>
      </c>
      <c r="D681" s="19" t="s">
        <v>885</v>
      </c>
      <c r="E681" s="20" t="s">
        <v>11</v>
      </c>
      <c r="F681" s="19" t="s">
        <v>55</v>
      </c>
      <c r="G681" s="19" t="s">
        <v>154</v>
      </c>
      <c r="H681" s="19" t="s">
        <v>31</v>
      </c>
      <c r="I681">
        <v>478</v>
      </c>
      <c r="J681">
        <v>0</v>
      </c>
      <c r="K681" s="1" t="s">
        <v>66</v>
      </c>
    </row>
    <row r="682" spans="1:11">
      <c r="A682" s="17" t="s">
        <v>69</v>
      </c>
      <c r="B682" s="19" t="s">
        <v>50</v>
      </c>
      <c r="C682" s="19" t="s">
        <v>884</v>
      </c>
      <c r="D682" s="19" t="s">
        <v>885</v>
      </c>
      <c r="E682" s="20" t="s">
        <v>11</v>
      </c>
      <c r="F682" s="19" t="s">
        <v>55</v>
      </c>
      <c r="G682" s="19" t="s">
        <v>154</v>
      </c>
      <c r="H682" s="19" t="s">
        <v>31</v>
      </c>
      <c r="I682">
        <v>682</v>
      </c>
      <c r="J682">
        <v>1</v>
      </c>
      <c r="K682" s="1" t="s">
        <v>65</v>
      </c>
    </row>
    <row r="683" spans="1:11">
      <c r="A683" s="17" t="s">
        <v>69</v>
      </c>
      <c r="B683" s="19" t="s">
        <v>50</v>
      </c>
      <c r="C683" s="19" t="s">
        <v>886</v>
      </c>
      <c r="D683" s="19" t="s">
        <v>887</v>
      </c>
      <c r="E683" s="20" t="s">
        <v>11</v>
      </c>
      <c r="F683" s="19" t="s">
        <v>55</v>
      </c>
      <c r="G683" s="19" t="s">
        <v>154</v>
      </c>
      <c r="H683" s="19" t="s">
        <v>31</v>
      </c>
      <c r="I683">
        <v>115</v>
      </c>
      <c r="J683">
        <v>0</v>
      </c>
      <c r="K683" s="1" t="s">
        <v>66</v>
      </c>
    </row>
    <row r="684" spans="1:11">
      <c r="A684" s="17" t="s">
        <v>69</v>
      </c>
      <c r="B684" s="19" t="s">
        <v>50</v>
      </c>
      <c r="C684" s="19" t="s">
        <v>886</v>
      </c>
      <c r="D684" s="19" t="s">
        <v>887</v>
      </c>
      <c r="E684" s="20" t="s">
        <v>11</v>
      </c>
      <c r="F684" s="19" t="s">
        <v>55</v>
      </c>
      <c r="G684" s="19" t="s">
        <v>154</v>
      </c>
      <c r="H684" s="19" t="s">
        <v>31</v>
      </c>
      <c r="I684">
        <v>186</v>
      </c>
      <c r="J684">
        <v>0</v>
      </c>
      <c r="K684" s="1" t="s">
        <v>65</v>
      </c>
    </row>
    <row r="685" spans="1:11">
      <c r="A685" s="17" t="s">
        <v>69</v>
      </c>
      <c r="B685" s="19" t="s">
        <v>50</v>
      </c>
      <c r="C685" s="19" t="s">
        <v>888</v>
      </c>
      <c r="D685" s="19" t="s">
        <v>889</v>
      </c>
      <c r="E685" s="20" t="s">
        <v>11</v>
      </c>
      <c r="F685" s="19" t="s">
        <v>55</v>
      </c>
      <c r="G685" s="19" t="s">
        <v>154</v>
      </c>
      <c r="H685" s="19" t="s">
        <v>31</v>
      </c>
      <c r="I685">
        <v>98</v>
      </c>
      <c r="J685">
        <v>0</v>
      </c>
      <c r="K685" s="1" t="s">
        <v>66</v>
      </c>
    </row>
    <row r="686" spans="1:11">
      <c r="A686" s="17" t="s">
        <v>69</v>
      </c>
      <c r="B686" s="19" t="s">
        <v>50</v>
      </c>
      <c r="C686" s="19" t="s">
        <v>888</v>
      </c>
      <c r="D686" s="19" t="s">
        <v>889</v>
      </c>
      <c r="E686" s="20" t="s">
        <v>11</v>
      </c>
      <c r="F686" s="19" t="s">
        <v>55</v>
      </c>
      <c r="G686" s="19" t="s">
        <v>154</v>
      </c>
      <c r="H686" s="19" t="s">
        <v>31</v>
      </c>
      <c r="I686">
        <v>209</v>
      </c>
      <c r="J686">
        <v>0</v>
      </c>
      <c r="K686" s="1" t="s">
        <v>65</v>
      </c>
    </row>
    <row r="687" spans="1:11">
      <c r="A687" s="17" t="s">
        <v>69</v>
      </c>
      <c r="B687" s="19" t="s">
        <v>50</v>
      </c>
      <c r="C687" s="19" t="s">
        <v>890</v>
      </c>
      <c r="D687" s="19" t="s">
        <v>891</v>
      </c>
      <c r="E687" s="20" t="s">
        <v>11</v>
      </c>
      <c r="F687" s="19" t="s">
        <v>55</v>
      </c>
      <c r="G687" s="19" t="s">
        <v>154</v>
      </c>
      <c r="H687" s="19" t="s">
        <v>31</v>
      </c>
      <c r="I687">
        <v>215</v>
      </c>
      <c r="J687">
        <v>0</v>
      </c>
      <c r="K687" s="1" t="s">
        <v>66</v>
      </c>
    </row>
    <row r="688" spans="1:11">
      <c r="A688" s="17" t="s">
        <v>69</v>
      </c>
      <c r="B688" s="19" t="s">
        <v>50</v>
      </c>
      <c r="C688" s="19" t="s">
        <v>890</v>
      </c>
      <c r="D688" s="19" t="s">
        <v>891</v>
      </c>
      <c r="E688" s="20" t="s">
        <v>11</v>
      </c>
      <c r="F688" s="19" t="s">
        <v>55</v>
      </c>
      <c r="G688" s="19" t="s">
        <v>154</v>
      </c>
      <c r="H688" s="19" t="s">
        <v>31</v>
      </c>
      <c r="I688">
        <v>254</v>
      </c>
      <c r="J688">
        <v>0</v>
      </c>
      <c r="K688" s="1" t="s">
        <v>65</v>
      </c>
    </row>
    <row r="689" spans="1:11">
      <c r="A689" s="17" t="s">
        <v>69</v>
      </c>
      <c r="B689" s="19" t="s">
        <v>50</v>
      </c>
      <c r="C689" s="19" t="s">
        <v>892</v>
      </c>
      <c r="D689" s="19" t="s">
        <v>893</v>
      </c>
      <c r="E689" s="20" t="s">
        <v>11</v>
      </c>
      <c r="F689" s="19" t="s">
        <v>55</v>
      </c>
      <c r="G689" s="19" t="s">
        <v>154</v>
      </c>
      <c r="H689" s="19" t="s">
        <v>31</v>
      </c>
      <c r="I689">
        <v>644</v>
      </c>
      <c r="J689">
        <v>0</v>
      </c>
      <c r="K689" s="1" t="s">
        <v>66</v>
      </c>
    </row>
    <row r="690" spans="1:11">
      <c r="A690" s="17" t="s">
        <v>69</v>
      </c>
      <c r="B690" s="19" t="s">
        <v>50</v>
      </c>
      <c r="C690" s="19" t="s">
        <v>892</v>
      </c>
      <c r="D690" s="19" t="s">
        <v>893</v>
      </c>
      <c r="E690" s="20" t="s">
        <v>11</v>
      </c>
      <c r="F690" s="19" t="s">
        <v>55</v>
      </c>
      <c r="G690" s="19" t="s">
        <v>154</v>
      </c>
      <c r="H690" s="19" t="s">
        <v>31</v>
      </c>
      <c r="I690">
        <v>433</v>
      </c>
      <c r="J690">
        <v>0</v>
      </c>
      <c r="K690" s="1" t="s">
        <v>65</v>
      </c>
    </row>
    <row r="691" spans="1:11">
      <c r="A691" s="17" t="s">
        <v>69</v>
      </c>
      <c r="B691" s="19" t="s">
        <v>50</v>
      </c>
      <c r="C691" s="19" t="s">
        <v>894</v>
      </c>
      <c r="D691" s="19" t="s">
        <v>895</v>
      </c>
      <c r="E691" s="20" t="s">
        <v>11</v>
      </c>
      <c r="F691" s="19" t="s">
        <v>55</v>
      </c>
      <c r="G691" s="19" t="s">
        <v>154</v>
      </c>
      <c r="H691" s="19" t="s">
        <v>31</v>
      </c>
      <c r="I691">
        <v>506</v>
      </c>
      <c r="J691">
        <v>0</v>
      </c>
      <c r="K691" s="1" t="s">
        <v>66</v>
      </c>
    </row>
    <row r="692" spans="1:11">
      <c r="A692" s="17" t="s">
        <v>69</v>
      </c>
      <c r="B692" s="19" t="s">
        <v>50</v>
      </c>
      <c r="C692" s="19" t="s">
        <v>894</v>
      </c>
      <c r="D692" s="19" t="s">
        <v>895</v>
      </c>
      <c r="E692" s="20" t="s">
        <v>11</v>
      </c>
      <c r="F692" s="19" t="s">
        <v>55</v>
      </c>
      <c r="G692" s="19" t="s">
        <v>154</v>
      </c>
      <c r="H692" s="19" t="s">
        <v>31</v>
      </c>
      <c r="I692">
        <v>769</v>
      </c>
      <c r="J692">
        <v>0</v>
      </c>
      <c r="K692" s="1" t="s">
        <v>65</v>
      </c>
    </row>
    <row r="693" spans="1:11">
      <c r="A693" s="17" t="s">
        <v>69</v>
      </c>
      <c r="B693" s="19" t="s">
        <v>50</v>
      </c>
      <c r="C693" s="19" t="s">
        <v>896</v>
      </c>
      <c r="D693" s="19" t="s">
        <v>897</v>
      </c>
      <c r="E693" s="20" t="s">
        <v>11</v>
      </c>
      <c r="F693" s="19" t="s">
        <v>55</v>
      </c>
      <c r="G693" s="19" t="s">
        <v>154</v>
      </c>
      <c r="H693" s="19" t="s">
        <v>31</v>
      </c>
      <c r="I693">
        <v>548</v>
      </c>
      <c r="J693">
        <v>0</v>
      </c>
      <c r="K693" s="1" t="s">
        <v>66</v>
      </c>
    </row>
    <row r="694" spans="1:11">
      <c r="A694" s="17" t="s">
        <v>69</v>
      </c>
      <c r="B694" s="19" t="s">
        <v>50</v>
      </c>
      <c r="C694" s="19" t="s">
        <v>896</v>
      </c>
      <c r="D694" s="19" t="s">
        <v>897</v>
      </c>
      <c r="E694" s="20" t="s">
        <v>11</v>
      </c>
      <c r="F694" s="19" t="s">
        <v>55</v>
      </c>
      <c r="G694" s="19" t="s">
        <v>154</v>
      </c>
      <c r="H694" s="19" t="s">
        <v>31</v>
      </c>
      <c r="I694">
        <v>814</v>
      </c>
      <c r="J694">
        <v>0</v>
      </c>
      <c r="K694" s="1" t="s">
        <v>65</v>
      </c>
    </row>
    <row r="695" spans="1:11">
      <c r="A695" s="17" t="s">
        <v>69</v>
      </c>
      <c r="B695" s="19" t="s">
        <v>50</v>
      </c>
      <c r="C695" s="19" t="s">
        <v>898</v>
      </c>
      <c r="D695" s="19" t="s">
        <v>899</v>
      </c>
      <c r="E695" s="20" t="s">
        <v>11</v>
      </c>
      <c r="F695" s="19" t="s">
        <v>55</v>
      </c>
      <c r="G695" s="19" t="s">
        <v>154</v>
      </c>
      <c r="H695" s="19" t="s">
        <v>31</v>
      </c>
      <c r="I695">
        <v>509</v>
      </c>
      <c r="J695">
        <v>0</v>
      </c>
      <c r="K695" s="1" t="s">
        <v>66</v>
      </c>
    </row>
    <row r="696" spans="1:11">
      <c r="A696" s="17" t="s">
        <v>69</v>
      </c>
      <c r="B696" s="19" t="s">
        <v>50</v>
      </c>
      <c r="C696" s="19" t="s">
        <v>898</v>
      </c>
      <c r="D696" s="19" t="s">
        <v>899</v>
      </c>
      <c r="E696" s="20" t="s">
        <v>11</v>
      </c>
      <c r="F696" s="19" t="s">
        <v>55</v>
      </c>
      <c r="G696" s="19" t="s">
        <v>154</v>
      </c>
      <c r="H696" s="19" t="s">
        <v>31</v>
      </c>
      <c r="I696">
        <v>702</v>
      </c>
      <c r="J696">
        <v>0</v>
      </c>
      <c r="K696" s="1" t="s">
        <v>65</v>
      </c>
    </row>
    <row r="697" spans="1:11">
      <c r="A697" s="17" t="s">
        <v>69</v>
      </c>
      <c r="B697" s="19" t="s">
        <v>50</v>
      </c>
      <c r="C697" s="19" t="s">
        <v>900</v>
      </c>
      <c r="D697" s="19" t="s">
        <v>901</v>
      </c>
      <c r="E697" s="20" t="s">
        <v>11</v>
      </c>
      <c r="F697" s="19" t="s">
        <v>55</v>
      </c>
      <c r="G697" s="19" t="s">
        <v>154</v>
      </c>
      <c r="H697" s="19" t="s">
        <v>31</v>
      </c>
      <c r="I697">
        <v>527</v>
      </c>
      <c r="J697">
        <v>0</v>
      </c>
      <c r="K697" s="1" t="s">
        <v>66</v>
      </c>
    </row>
    <row r="698" spans="1:11">
      <c r="A698" s="17" t="s">
        <v>69</v>
      </c>
      <c r="B698" s="19" t="s">
        <v>50</v>
      </c>
      <c r="C698" s="19" t="s">
        <v>900</v>
      </c>
      <c r="D698" s="19" t="s">
        <v>901</v>
      </c>
      <c r="E698" s="20" t="s">
        <v>11</v>
      </c>
      <c r="F698" s="19" t="s">
        <v>55</v>
      </c>
      <c r="G698" s="19" t="s">
        <v>154</v>
      </c>
      <c r="H698" s="19" t="s">
        <v>31</v>
      </c>
      <c r="I698">
        <v>711</v>
      </c>
      <c r="J698">
        <v>1</v>
      </c>
      <c r="K698" s="1" t="s">
        <v>65</v>
      </c>
    </row>
    <row r="699" spans="1:11">
      <c r="A699" s="17" t="s">
        <v>69</v>
      </c>
      <c r="B699" s="19" t="s">
        <v>50</v>
      </c>
      <c r="C699" s="19" t="s">
        <v>902</v>
      </c>
      <c r="D699" s="19" t="s">
        <v>903</v>
      </c>
      <c r="E699" s="20" t="s">
        <v>11</v>
      </c>
      <c r="F699" s="19" t="s">
        <v>55</v>
      </c>
      <c r="G699" s="19" t="s">
        <v>154</v>
      </c>
      <c r="H699" s="19" t="s">
        <v>31</v>
      </c>
      <c r="I699">
        <v>765</v>
      </c>
      <c r="J699">
        <v>0</v>
      </c>
      <c r="K699" s="1" t="s">
        <v>66</v>
      </c>
    </row>
    <row r="700" spans="1:11">
      <c r="A700" s="17" t="s">
        <v>69</v>
      </c>
      <c r="B700" s="19" t="s">
        <v>50</v>
      </c>
      <c r="C700" s="19" t="s">
        <v>902</v>
      </c>
      <c r="D700" s="19" t="s">
        <v>903</v>
      </c>
      <c r="E700" s="20" t="s">
        <v>11</v>
      </c>
      <c r="F700" s="19" t="s">
        <v>55</v>
      </c>
      <c r="G700" s="19" t="s">
        <v>154</v>
      </c>
      <c r="H700" s="19" t="s">
        <v>31</v>
      </c>
      <c r="I700">
        <v>312</v>
      </c>
      <c r="J700">
        <v>0</v>
      </c>
      <c r="K700" s="1" t="s">
        <v>65</v>
      </c>
    </row>
    <row r="701" spans="1:11">
      <c r="A701" s="17" t="s">
        <v>69</v>
      </c>
      <c r="B701" s="19" t="s">
        <v>50</v>
      </c>
      <c r="C701" s="19" t="s">
        <v>904</v>
      </c>
      <c r="D701" s="19" t="s">
        <v>905</v>
      </c>
      <c r="E701" s="20" t="s">
        <v>11</v>
      </c>
      <c r="F701" s="19" t="s">
        <v>55</v>
      </c>
      <c r="G701" s="19" t="s">
        <v>154</v>
      </c>
      <c r="H701" s="19" t="s">
        <v>31</v>
      </c>
      <c r="I701">
        <v>765</v>
      </c>
      <c r="J701">
        <v>1</v>
      </c>
      <c r="K701" s="1" t="s">
        <v>66</v>
      </c>
    </row>
    <row r="702" spans="1:11">
      <c r="A702" s="17" t="s">
        <v>69</v>
      </c>
      <c r="B702" s="19" t="s">
        <v>50</v>
      </c>
      <c r="C702" s="19" t="s">
        <v>904</v>
      </c>
      <c r="D702" s="19" t="s">
        <v>905</v>
      </c>
      <c r="E702" s="20" t="s">
        <v>11</v>
      </c>
      <c r="F702" s="19" t="s">
        <v>55</v>
      </c>
      <c r="G702" s="19" t="s">
        <v>154</v>
      </c>
      <c r="H702" s="19" t="s">
        <v>31</v>
      </c>
      <c r="I702">
        <v>272</v>
      </c>
      <c r="J702">
        <v>0</v>
      </c>
      <c r="K702" s="1" t="s">
        <v>65</v>
      </c>
    </row>
    <row r="703" spans="1:11">
      <c r="A703" s="17" t="s">
        <v>69</v>
      </c>
      <c r="B703" s="19" t="s">
        <v>50</v>
      </c>
      <c r="C703" s="19" t="s">
        <v>906</v>
      </c>
      <c r="D703" s="19" t="s">
        <v>907</v>
      </c>
      <c r="E703" s="20" t="s">
        <v>11</v>
      </c>
      <c r="F703" s="19" t="s">
        <v>55</v>
      </c>
      <c r="G703" s="19" t="s">
        <v>154</v>
      </c>
      <c r="H703" s="19" t="s">
        <v>31</v>
      </c>
      <c r="I703">
        <v>651</v>
      </c>
      <c r="J703">
        <v>0</v>
      </c>
      <c r="K703" s="1" t="s">
        <v>66</v>
      </c>
    </row>
    <row r="704" spans="1:11">
      <c r="A704" s="17" t="s">
        <v>69</v>
      </c>
      <c r="B704" s="19" t="s">
        <v>50</v>
      </c>
      <c r="C704" s="19" t="s">
        <v>906</v>
      </c>
      <c r="D704" s="19" t="s">
        <v>907</v>
      </c>
      <c r="E704" s="20" t="s">
        <v>11</v>
      </c>
      <c r="F704" s="19" t="s">
        <v>55</v>
      </c>
      <c r="G704" s="19" t="s">
        <v>154</v>
      </c>
      <c r="H704" s="19" t="s">
        <v>31</v>
      </c>
      <c r="I704">
        <v>316</v>
      </c>
      <c r="J704">
        <v>0</v>
      </c>
      <c r="K704" s="1" t="s">
        <v>65</v>
      </c>
    </row>
    <row r="705" spans="1:11">
      <c r="A705" s="17" t="s">
        <v>69</v>
      </c>
      <c r="B705" s="19" t="s">
        <v>50</v>
      </c>
      <c r="C705" s="19" t="s">
        <v>908</v>
      </c>
      <c r="D705" s="19" t="s">
        <v>909</v>
      </c>
      <c r="E705" s="20" t="s">
        <v>11</v>
      </c>
      <c r="F705" s="19" t="s">
        <v>55</v>
      </c>
      <c r="G705" s="19" t="s">
        <v>154</v>
      </c>
      <c r="H705" s="19" t="s">
        <v>31</v>
      </c>
      <c r="I705">
        <v>718</v>
      </c>
      <c r="J705">
        <v>0</v>
      </c>
      <c r="K705" s="1" t="s">
        <v>66</v>
      </c>
    </row>
    <row r="706" spans="1:11">
      <c r="A706" s="17" t="s">
        <v>69</v>
      </c>
      <c r="B706" s="19" t="s">
        <v>50</v>
      </c>
      <c r="C706" s="19" t="s">
        <v>908</v>
      </c>
      <c r="D706" s="19" t="s">
        <v>909</v>
      </c>
      <c r="E706" s="20" t="s">
        <v>11</v>
      </c>
      <c r="F706" s="19" t="s">
        <v>55</v>
      </c>
      <c r="G706" s="19" t="s">
        <v>154</v>
      </c>
      <c r="H706" s="19" t="s">
        <v>31</v>
      </c>
      <c r="I706">
        <v>311</v>
      </c>
      <c r="J706">
        <v>0</v>
      </c>
      <c r="K706" s="1" t="s">
        <v>65</v>
      </c>
    </row>
    <row r="707" spans="1:11">
      <c r="A707" s="17" t="s">
        <v>69</v>
      </c>
      <c r="B707" s="19" t="s">
        <v>50</v>
      </c>
      <c r="C707" s="19" t="s">
        <v>910</v>
      </c>
      <c r="D707" s="19" t="s">
        <v>911</v>
      </c>
      <c r="E707" s="20" t="s">
        <v>11</v>
      </c>
      <c r="F707" s="19" t="s">
        <v>55</v>
      </c>
      <c r="G707" s="19" t="s">
        <v>154</v>
      </c>
      <c r="H707" s="19" t="s">
        <v>31</v>
      </c>
      <c r="I707">
        <v>728</v>
      </c>
      <c r="J707">
        <v>0</v>
      </c>
      <c r="K707" s="1" t="s">
        <v>66</v>
      </c>
    </row>
    <row r="708" spans="1:11">
      <c r="A708" s="17" t="s">
        <v>69</v>
      </c>
      <c r="B708" s="19" t="s">
        <v>50</v>
      </c>
      <c r="C708" s="19" t="s">
        <v>910</v>
      </c>
      <c r="D708" s="19" t="s">
        <v>911</v>
      </c>
      <c r="E708" s="20" t="s">
        <v>11</v>
      </c>
      <c r="F708" s="19" t="s">
        <v>55</v>
      </c>
      <c r="G708" s="19" t="s">
        <v>154</v>
      </c>
      <c r="H708" s="19" t="s">
        <v>31</v>
      </c>
      <c r="I708">
        <v>326</v>
      </c>
      <c r="J708">
        <v>0</v>
      </c>
      <c r="K708" s="1" t="s">
        <v>65</v>
      </c>
    </row>
    <row r="709" spans="1:11">
      <c r="A709" s="17" t="s">
        <v>69</v>
      </c>
      <c r="B709" s="19" t="s">
        <v>50</v>
      </c>
      <c r="C709" s="19" t="s">
        <v>912</v>
      </c>
      <c r="D709" s="19" t="s">
        <v>913</v>
      </c>
      <c r="E709" s="20" t="s">
        <v>11</v>
      </c>
      <c r="F709" s="19" t="s">
        <v>55</v>
      </c>
      <c r="G709" s="19" t="s">
        <v>154</v>
      </c>
      <c r="H709" s="19" t="s">
        <v>31</v>
      </c>
      <c r="I709">
        <v>672</v>
      </c>
      <c r="J709">
        <v>0</v>
      </c>
      <c r="K709" s="1" t="s">
        <v>66</v>
      </c>
    </row>
    <row r="710" spans="1:11">
      <c r="A710" s="17" t="s">
        <v>69</v>
      </c>
      <c r="B710" s="19" t="s">
        <v>50</v>
      </c>
      <c r="C710" s="19" t="s">
        <v>912</v>
      </c>
      <c r="D710" s="19" t="s">
        <v>913</v>
      </c>
      <c r="E710" s="20" t="s">
        <v>11</v>
      </c>
      <c r="F710" s="19" t="s">
        <v>55</v>
      </c>
      <c r="G710" s="19" t="s">
        <v>154</v>
      </c>
      <c r="H710" s="19" t="s">
        <v>31</v>
      </c>
      <c r="I710">
        <v>302</v>
      </c>
      <c r="J710">
        <v>0</v>
      </c>
      <c r="K710" s="1" t="s">
        <v>65</v>
      </c>
    </row>
    <row r="711" spans="1:11">
      <c r="A711" s="17" t="s">
        <v>69</v>
      </c>
      <c r="B711" s="19" t="s">
        <v>50</v>
      </c>
      <c r="C711" s="19" t="s">
        <v>914</v>
      </c>
      <c r="D711" s="19" t="s">
        <v>915</v>
      </c>
      <c r="E711" s="20" t="s">
        <v>11</v>
      </c>
      <c r="F711" s="19" t="s">
        <v>55</v>
      </c>
      <c r="G711" s="19" t="s">
        <v>154</v>
      </c>
      <c r="H711" s="19" t="s">
        <v>31</v>
      </c>
      <c r="I711">
        <v>804</v>
      </c>
      <c r="J711">
        <v>0</v>
      </c>
      <c r="K711" s="1" t="s">
        <v>66</v>
      </c>
    </row>
    <row r="712" spans="1:11">
      <c r="A712" s="17" t="s">
        <v>69</v>
      </c>
      <c r="B712" s="19" t="s">
        <v>50</v>
      </c>
      <c r="C712" s="19" t="s">
        <v>914</v>
      </c>
      <c r="D712" s="19" t="s">
        <v>915</v>
      </c>
      <c r="E712" s="20" t="s">
        <v>11</v>
      </c>
      <c r="F712" s="19" t="s">
        <v>55</v>
      </c>
      <c r="G712" s="19" t="s">
        <v>154</v>
      </c>
      <c r="H712" s="19" t="s">
        <v>31</v>
      </c>
      <c r="I712">
        <v>243</v>
      </c>
      <c r="J712">
        <v>0</v>
      </c>
      <c r="K712" s="1" t="s">
        <v>65</v>
      </c>
    </row>
    <row r="713" spans="1:11">
      <c r="A713" s="17" t="s">
        <v>69</v>
      </c>
      <c r="B713" s="19" t="s">
        <v>50</v>
      </c>
      <c r="C713" s="19" t="s">
        <v>916</v>
      </c>
      <c r="D713" s="19" t="s">
        <v>917</v>
      </c>
      <c r="E713" s="20" t="s">
        <v>11</v>
      </c>
      <c r="F713" s="19" t="s">
        <v>55</v>
      </c>
      <c r="G713" s="19" t="s">
        <v>154</v>
      </c>
      <c r="H713" s="19" t="s">
        <v>31</v>
      </c>
      <c r="I713">
        <v>811</v>
      </c>
      <c r="J713">
        <v>0</v>
      </c>
      <c r="K713" s="1" t="s">
        <v>66</v>
      </c>
    </row>
    <row r="714" spans="1:11">
      <c r="A714" s="17" t="s">
        <v>69</v>
      </c>
      <c r="B714" s="19" t="s">
        <v>50</v>
      </c>
      <c r="C714" s="19" t="s">
        <v>916</v>
      </c>
      <c r="D714" s="19" t="s">
        <v>917</v>
      </c>
      <c r="E714" s="20" t="s">
        <v>11</v>
      </c>
      <c r="F714" s="19" t="s">
        <v>55</v>
      </c>
      <c r="G714" s="19" t="s">
        <v>154</v>
      </c>
      <c r="H714" s="19" t="s">
        <v>31</v>
      </c>
      <c r="I714">
        <v>317</v>
      </c>
      <c r="J714">
        <v>0</v>
      </c>
      <c r="K714" s="1" t="s">
        <v>65</v>
      </c>
    </row>
    <row r="715" spans="1:11">
      <c r="A715" s="17" t="s">
        <v>69</v>
      </c>
      <c r="B715" s="19" t="s">
        <v>50</v>
      </c>
      <c r="C715" s="19" t="s">
        <v>918</v>
      </c>
      <c r="D715" s="19" t="s">
        <v>919</v>
      </c>
      <c r="E715" s="20" t="s">
        <v>11</v>
      </c>
      <c r="F715" s="19" t="s">
        <v>55</v>
      </c>
      <c r="G715" s="19" t="s">
        <v>154</v>
      </c>
      <c r="H715" s="19" t="s">
        <v>31</v>
      </c>
      <c r="I715">
        <v>827</v>
      </c>
      <c r="J715">
        <v>0</v>
      </c>
      <c r="K715" s="1" t="s">
        <v>66</v>
      </c>
    </row>
    <row r="716" spans="1:11">
      <c r="A716" s="17" t="s">
        <v>69</v>
      </c>
      <c r="B716" s="19" t="s">
        <v>50</v>
      </c>
      <c r="C716" s="19" t="s">
        <v>918</v>
      </c>
      <c r="D716" s="19" t="s">
        <v>919</v>
      </c>
      <c r="E716" s="20" t="s">
        <v>11</v>
      </c>
      <c r="F716" s="19" t="s">
        <v>55</v>
      </c>
      <c r="G716" s="19" t="s">
        <v>154</v>
      </c>
      <c r="H716" s="19" t="s">
        <v>31</v>
      </c>
      <c r="I716">
        <v>274</v>
      </c>
      <c r="J716">
        <v>0</v>
      </c>
      <c r="K716" s="1" t="s">
        <v>65</v>
      </c>
    </row>
    <row r="717" spans="1:11">
      <c r="A717" s="17" t="s">
        <v>69</v>
      </c>
      <c r="B717" s="19" t="s">
        <v>50</v>
      </c>
      <c r="C717" s="19" t="s">
        <v>920</v>
      </c>
      <c r="D717" s="19" t="s">
        <v>921</v>
      </c>
      <c r="E717" s="20" t="s">
        <v>11</v>
      </c>
      <c r="F717" s="19" t="s">
        <v>55</v>
      </c>
      <c r="G717" s="19" t="s">
        <v>154</v>
      </c>
      <c r="H717" s="19" t="s">
        <v>31</v>
      </c>
      <c r="I717">
        <v>881</v>
      </c>
      <c r="J717">
        <v>0</v>
      </c>
      <c r="K717" s="1" t="s">
        <v>66</v>
      </c>
    </row>
    <row r="718" spans="1:11">
      <c r="A718" s="17" t="s">
        <v>69</v>
      </c>
      <c r="B718" s="19" t="s">
        <v>50</v>
      </c>
      <c r="C718" s="19" t="s">
        <v>920</v>
      </c>
      <c r="D718" s="19" t="s">
        <v>921</v>
      </c>
      <c r="E718" s="20" t="s">
        <v>11</v>
      </c>
      <c r="F718" s="19" t="s">
        <v>55</v>
      </c>
      <c r="G718" s="19" t="s">
        <v>154</v>
      </c>
      <c r="H718" s="19" t="s">
        <v>31</v>
      </c>
      <c r="I718">
        <v>269</v>
      </c>
      <c r="J718">
        <v>0</v>
      </c>
      <c r="K718" s="1" t="s">
        <v>65</v>
      </c>
    </row>
    <row r="719" spans="1:11">
      <c r="A719" s="17" t="s">
        <v>69</v>
      </c>
      <c r="B719" s="19" t="s">
        <v>50</v>
      </c>
      <c r="C719" s="19" t="s">
        <v>922</v>
      </c>
      <c r="D719" s="19" t="s">
        <v>923</v>
      </c>
      <c r="E719" s="20" t="s">
        <v>11</v>
      </c>
      <c r="F719" s="19" t="s">
        <v>55</v>
      </c>
      <c r="G719" s="19" t="s">
        <v>154</v>
      </c>
      <c r="H719" s="19" t="s">
        <v>31</v>
      </c>
      <c r="I719">
        <v>907</v>
      </c>
      <c r="J719">
        <v>0</v>
      </c>
      <c r="K719" s="1" t="s">
        <v>66</v>
      </c>
    </row>
    <row r="720" spans="1:11">
      <c r="A720" s="17" t="s">
        <v>69</v>
      </c>
      <c r="B720" s="19" t="s">
        <v>50</v>
      </c>
      <c r="C720" s="19" t="s">
        <v>922</v>
      </c>
      <c r="D720" s="19" t="s">
        <v>923</v>
      </c>
      <c r="E720" s="20" t="s">
        <v>11</v>
      </c>
      <c r="F720" s="19" t="s">
        <v>55</v>
      </c>
      <c r="G720" s="19" t="s">
        <v>154</v>
      </c>
      <c r="H720" s="19" t="s">
        <v>31</v>
      </c>
      <c r="I720">
        <v>266</v>
      </c>
      <c r="J720">
        <v>0</v>
      </c>
      <c r="K720" s="1" t="s">
        <v>65</v>
      </c>
    </row>
    <row r="721" spans="1:11">
      <c r="A721" s="17" t="s">
        <v>69</v>
      </c>
      <c r="B721" s="19" t="s">
        <v>50</v>
      </c>
      <c r="C721" s="19" t="s">
        <v>924</v>
      </c>
      <c r="D721" s="19" t="s">
        <v>925</v>
      </c>
      <c r="E721" s="20" t="s">
        <v>11</v>
      </c>
      <c r="F721" s="19" t="s">
        <v>55</v>
      </c>
      <c r="G721" s="19" t="s">
        <v>154</v>
      </c>
      <c r="H721" s="19" t="s">
        <v>31</v>
      </c>
      <c r="I721">
        <v>403</v>
      </c>
      <c r="J721">
        <v>0</v>
      </c>
      <c r="K721" s="1" t="s">
        <v>66</v>
      </c>
    </row>
    <row r="722" spans="1:11">
      <c r="A722" s="17" t="s">
        <v>69</v>
      </c>
      <c r="B722" s="19" t="s">
        <v>50</v>
      </c>
      <c r="C722" s="19" t="s">
        <v>924</v>
      </c>
      <c r="D722" s="19" t="s">
        <v>925</v>
      </c>
      <c r="E722" s="20" t="s">
        <v>11</v>
      </c>
      <c r="F722" s="19" t="s">
        <v>55</v>
      </c>
      <c r="G722" s="19" t="s">
        <v>154</v>
      </c>
      <c r="H722" s="19" t="s">
        <v>31</v>
      </c>
      <c r="I722">
        <v>525</v>
      </c>
      <c r="J722">
        <v>0</v>
      </c>
      <c r="K722" s="1" t="s">
        <v>65</v>
      </c>
    </row>
    <row r="723" spans="1:11">
      <c r="A723" s="17" t="s">
        <v>69</v>
      </c>
      <c r="B723" s="19" t="s">
        <v>50</v>
      </c>
      <c r="C723" s="19" t="s">
        <v>926</v>
      </c>
      <c r="D723" s="19" t="s">
        <v>927</v>
      </c>
      <c r="E723" s="20" t="s">
        <v>11</v>
      </c>
      <c r="F723" s="19" t="s">
        <v>55</v>
      </c>
      <c r="G723" s="19" t="s">
        <v>154</v>
      </c>
      <c r="H723" s="19" t="s">
        <v>31</v>
      </c>
      <c r="I723">
        <v>459</v>
      </c>
      <c r="J723">
        <v>0</v>
      </c>
      <c r="K723" s="1" t="s">
        <v>66</v>
      </c>
    </row>
    <row r="724" spans="1:11">
      <c r="A724" s="17" t="s">
        <v>69</v>
      </c>
      <c r="B724" s="19" t="s">
        <v>50</v>
      </c>
      <c r="C724" s="19" t="s">
        <v>926</v>
      </c>
      <c r="D724" s="19" t="s">
        <v>927</v>
      </c>
      <c r="E724" s="20" t="s">
        <v>11</v>
      </c>
      <c r="F724" s="19" t="s">
        <v>55</v>
      </c>
      <c r="G724" s="19" t="s">
        <v>154</v>
      </c>
      <c r="H724" s="19" t="s">
        <v>31</v>
      </c>
      <c r="I724">
        <v>459</v>
      </c>
      <c r="J724">
        <v>0</v>
      </c>
      <c r="K724" s="1" t="s">
        <v>65</v>
      </c>
    </row>
    <row r="725" spans="1:11">
      <c r="A725" s="17" t="s">
        <v>69</v>
      </c>
      <c r="B725" s="19" t="s">
        <v>50</v>
      </c>
      <c r="C725" s="19" t="s">
        <v>928</v>
      </c>
      <c r="D725" s="19" t="s">
        <v>929</v>
      </c>
      <c r="E725" s="20" t="s">
        <v>11</v>
      </c>
      <c r="F725" s="19" t="s">
        <v>55</v>
      </c>
      <c r="G725" s="19" t="s">
        <v>154</v>
      </c>
      <c r="H725" s="19" t="s">
        <v>31</v>
      </c>
      <c r="I725">
        <v>410</v>
      </c>
      <c r="J725">
        <v>0</v>
      </c>
      <c r="K725" s="1" t="s">
        <v>66</v>
      </c>
    </row>
    <row r="726" spans="1:11">
      <c r="A726" s="17" t="s">
        <v>69</v>
      </c>
      <c r="B726" s="19" t="s">
        <v>50</v>
      </c>
      <c r="C726" s="19" t="s">
        <v>928</v>
      </c>
      <c r="D726" s="19" t="s">
        <v>929</v>
      </c>
      <c r="E726" s="20" t="s">
        <v>11</v>
      </c>
      <c r="F726" s="19" t="s">
        <v>55</v>
      </c>
      <c r="G726" s="19" t="s">
        <v>154</v>
      </c>
      <c r="H726" s="19" t="s">
        <v>31</v>
      </c>
      <c r="I726">
        <v>495</v>
      </c>
      <c r="J726">
        <v>0</v>
      </c>
      <c r="K726" s="1" t="s">
        <v>65</v>
      </c>
    </row>
    <row r="727" spans="1:11">
      <c r="A727" s="17" t="s">
        <v>69</v>
      </c>
      <c r="B727" s="19" t="s">
        <v>50</v>
      </c>
      <c r="C727" s="19" t="s">
        <v>930</v>
      </c>
      <c r="D727" s="19" t="s">
        <v>931</v>
      </c>
      <c r="E727" s="20" t="s">
        <v>11</v>
      </c>
      <c r="F727" s="19" t="s">
        <v>55</v>
      </c>
      <c r="G727" s="19" t="s">
        <v>154</v>
      </c>
      <c r="H727" s="19" t="s">
        <v>31</v>
      </c>
      <c r="I727">
        <v>489</v>
      </c>
      <c r="J727">
        <v>0</v>
      </c>
      <c r="K727" s="1" t="s">
        <v>66</v>
      </c>
    </row>
    <row r="728" spans="1:11">
      <c r="A728" s="17" t="s">
        <v>69</v>
      </c>
      <c r="B728" s="19" t="s">
        <v>50</v>
      </c>
      <c r="C728" s="19" t="s">
        <v>930</v>
      </c>
      <c r="D728" s="19" t="s">
        <v>931</v>
      </c>
      <c r="E728" s="20" t="s">
        <v>11</v>
      </c>
      <c r="F728" s="19" t="s">
        <v>55</v>
      </c>
      <c r="G728" s="19" t="s">
        <v>154</v>
      </c>
      <c r="H728" s="19" t="s">
        <v>31</v>
      </c>
      <c r="I728">
        <v>458</v>
      </c>
      <c r="J728">
        <v>0</v>
      </c>
      <c r="K728" s="1" t="s">
        <v>65</v>
      </c>
    </row>
    <row r="729" spans="1:11">
      <c r="A729" s="17" t="s">
        <v>69</v>
      </c>
      <c r="B729" s="19" t="s">
        <v>50</v>
      </c>
      <c r="C729" s="19" t="s">
        <v>932</v>
      </c>
      <c r="D729" s="19" t="s">
        <v>933</v>
      </c>
      <c r="E729" s="20" t="s">
        <v>11</v>
      </c>
      <c r="F729" s="19" t="s">
        <v>55</v>
      </c>
      <c r="G729" s="19" t="s">
        <v>154</v>
      </c>
      <c r="H729" s="19" t="s">
        <v>31</v>
      </c>
      <c r="I729">
        <v>54</v>
      </c>
      <c r="J729">
        <v>0</v>
      </c>
      <c r="K729" s="1" t="s">
        <v>66</v>
      </c>
    </row>
    <row r="730" spans="1:11">
      <c r="A730" s="17" t="s">
        <v>69</v>
      </c>
      <c r="B730" s="19" t="s">
        <v>50</v>
      </c>
      <c r="C730" s="19" t="s">
        <v>932</v>
      </c>
      <c r="D730" s="19" t="s">
        <v>933</v>
      </c>
      <c r="E730" s="20" t="s">
        <v>11</v>
      </c>
      <c r="F730" s="19" t="s">
        <v>55</v>
      </c>
      <c r="G730" s="19" t="s">
        <v>154</v>
      </c>
      <c r="H730" s="19" t="s">
        <v>31</v>
      </c>
      <c r="I730">
        <v>162</v>
      </c>
      <c r="J730">
        <v>0</v>
      </c>
      <c r="K730" s="1" t="s">
        <v>65</v>
      </c>
    </row>
    <row r="731" spans="1:11">
      <c r="A731" s="17" t="s">
        <v>69</v>
      </c>
      <c r="B731" s="19" t="s">
        <v>50</v>
      </c>
      <c r="C731" s="19" t="s">
        <v>934</v>
      </c>
      <c r="D731" s="19" t="s">
        <v>935</v>
      </c>
      <c r="E731" s="20" t="s">
        <v>11</v>
      </c>
      <c r="F731" s="19" t="s">
        <v>55</v>
      </c>
      <c r="G731" s="19" t="s">
        <v>154</v>
      </c>
      <c r="H731" s="19" t="s">
        <v>31</v>
      </c>
      <c r="I731">
        <v>42</v>
      </c>
      <c r="J731">
        <v>0</v>
      </c>
      <c r="K731" s="1" t="s">
        <v>66</v>
      </c>
    </row>
    <row r="732" spans="1:11">
      <c r="A732" s="17" t="s">
        <v>69</v>
      </c>
      <c r="B732" s="19" t="s">
        <v>50</v>
      </c>
      <c r="C732" s="19" t="s">
        <v>934</v>
      </c>
      <c r="D732" s="19" t="s">
        <v>935</v>
      </c>
      <c r="E732" s="20" t="s">
        <v>11</v>
      </c>
      <c r="F732" s="19" t="s">
        <v>55</v>
      </c>
      <c r="G732" s="19" t="s">
        <v>154</v>
      </c>
      <c r="H732" s="19" t="s">
        <v>31</v>
      </c>
      <c r="I732">
        <v>166</v>
      </c>
      <c r="J732">
        <v>0</v>
      </c>
      <c r="K732" s="1" t="s">
        <v>65</v>
      </c>
    </row>
    <row r="733" spans="1:11">
      <c r="A733" s="17" t="s">
        <v>69</v>
      </c>
      <c r="B733" s="19" t="s">
        <v>50</v>
      </c>
      <c r="C733" s="19" t="s">
        <v>936</v>
      </c>
      <c r="D733" s="19" t="s">
        <v>937</v>
      </c>
      <c r="E733" s="20" t="s">
        <v>11</v>
      </c>
      <c r="F733" s="19" t="s">
        <v>55</v>
      </c>
      <c r="G733" s="19" t="s">
        <v>154</v>
      </c>
      <c r="H733" s="19" t="s">
        <v>31</v>
      </c>
      <c r="I733">
        <v>28</v>
      </c>
      <c r="J733">
        <v>0</v>
      </c>
      <c r="K733" s="1" t="s">
        <v>66</v>
      </c>
    </row>
    <row r="734" spans="1:11">
      <c r="A734" s="17" t="s">
        <v>69</v>
      </c>
      <c r="B734" s="19" t="s">
        <v>50</v>
      </c>
      <c r="C734" s="19" t="s">
        <v>936</v>
      </c>
      <c r="D734" s="19" t="s">
        <v>937</v>
      </c>
      <c r="E734" s="20" t="s">
        <v>11</v>
      </c>
      <c r="F734" s="19" t="s">
        <v>55</v>
      </c>
      <c r="G734" s="19" t="s">
        <v>154</v>
      </c>
      <c r="H734" s="19" t="s">
        <v>31</v>
      </c>
      <c r="I734">
        <v>250</v>
      </c>
      <c r="J734">
        <v>1</v>
      </c>
      <c r="K734" s="1" t="s">
        <v>65</v>
      </c>
    </row>
    <row r="735" spans="1:11">
      <c r="A735" s="17" t="s">
        <v>69</v>
      </c>
      <c r="B735" s="19" t="s">
        <v>50</v>
      </c>
      <c r="C735" s="19" t="s">
        <v>938</v>
      </c>
      <c r="D735" s="19" t="s">
        <v>939</v>
      </c>
      <c r="E735" s="20" t="s">
        <v>11</v>
      </c>
      <c r="F735" s="19" t="s">
        <v>55</v>
      </c>
      <c r="G735" s="19" t="s">
        <v>154</v>
      </c>
      <c r="H735" s="19" t="s">
        <v>31</v>
      </c>
      <c r="I735">
        <v>40</v>
      </c>
      <c r="J735">
        <v>0</v>
      </c>
      <c r="K735" s="1" t="s">
        <v>66</v>
      </c>
    </row>
    <row r="736" spans="1:11">
      <c r="A736" s="17" t="s">
        <v>69</v>
      </c>
      <c r="B736" s="19" t="s">
        <v>50</v>
      </c>
      <c r="C736" s="19" t="s">
        <v>938</v>
      </c>
      <c r="D736" s="19" t="s">
        <v>939</v>
      </c>
      <c r="E736" s="20" t="s">
        <v>11</v>
      </c>
      <c r="F736" s="19" t="s">
        <v>55</v>
      </c>
      <c r="G736" s="19" t="s">
        <v>154</v>
      </c>
      <c r="H736" s="19" t="s">
        <v>31</v>
      </c>
      <c r="I736">
        <v>185</v>
      </c>
      <c r="J736">
        <v>0</v>
      </c>
      <c r="K736" s="1" t="s">
        <v>65</v>
      </c>
    </row>
    <row r="737" spans="1:11">
      <c r="A737" s="17" t="s">
        <v>69</v>
      </c>
      <c r="B737" s="19" t="s">
        <v>50</v>
      </c>
      <c r="C737" s="19" t="s">
        <v>940</v>
      </c>
      <c r="D737" s="19" t="s">
        <v>941</v>
      </c>
      <c r="E737" s="20" t="s">
        <v>11</v>
      </c>
      <c r="F737" s="19" t="s">
        <v>55</v>
      </c>
      <c r="G737" s="19" t="s">
        <v>154</v>
      </c>
      <c r="H737" s="19" t="s">
        <v>31</v>
      </c>
      <c r="I737">
        <v>40</v>
      </c>
      <c r="J737">
        <v>0</v>
      </c>
      <c r="K737" s="1" t="s">
        <v>66</v>
      </c>
    </row>
    <row r="738" spans="1:11">
      <c r="A738" s="17" t="s">
        <v>69</v>
      </c>
      <c r="B738" s="19" t="s">
        <v>50</v>
      </c>
      <c r="C738" s="19" t="s">
        <v>940</v>
      </c>
      <c r="D738" s="19" t="s">
        <v>941</v>
      </c>
      <c r="E738" s="20" t="s">
        <v>11</v>
      </c>
      <c r="F738" s="19" t="s">
        <v>55</v>
      </c>
      <c r="G738" s="19" t="s">
        <v>154</v>
      </c>
      <c r="H738" s="19" t="s">
        <v>31</v>
      </c>
      <c r="I738">
        <v>402</v>
      </c>
      <c r="J738">
        <v>0</v>
      </c>
      <c r="K738" s="1" t="s">
        <v>65</v>
      </c>
    </row>
    <row r="739" spans="1:11">
      <c r="A739" s="17" t="s">
        <v>69</v>
      </c>
      <c r="B739" s="19" t="s">
        <v>50</v>
      </c>
      <c r="C739" s="19" t="s">
        <v>942</v>
      </c>
      <c r="D739" s="19" t="s">
        <v>943</v>
      </c>
      <c r="E739" s="20" t="s">
        <v>11</v>
      </c>
      <c r="F739" s="19" t="s">
        <v>55</v>
      </c>
      <c r="G739" s="19" t="s">
        <v>154</v>
      </c>
      <c r="H739" s="19" t="s">
        <v>31</v>
      </c>
      <c r="I739">
        <v>33</v>
      </c>
      <c r="J739">
        <v>0</v>
      </c>
      <c r="K739" s="1" t="s">
        <v>66</v>
      </c>
    </row>
    <row r="740" spans="1:11">
      <c r="A740" s="17" t="s">
        <v>69</v>
      </c>
      <c r="B740" s="19" t="s">
        <v>50</v>
      </c>
      <c r="C740" s="19" t="s">
        <v>942</v>
      </c>
      <c r="D740" s="19" t="s">
        <v>943</v>
      </c>
      <c r="E740" s="20" t="s">
        <v>11</v>
      </c>
      <c r="F740" s="19" t="s">
        <v>55</v>
      </c>
      <c r="G740" s="19" t="s">
        <v>154</v>
      </c>
      <c r="H740" s="19" t="s">
        <v>31</v>
      </c>
      <c r="I740">
        <v>141</v>
      </c>
      <c r="J740">
        <v>0</v>
      </c>
      <c r="K740" s="1" t="s">
        <v>65</v>
      </c>
    </row>
    <row r="741" spans="1:11">
      <c r="A741" s="17" t="s">
        <v>69</v>
      </c>
      <c r="B741" s="19" t="s">
        <v>50</v>
      </c>
      <c r="C741" s="19" t="s">
        <v>944</v>
      </c>
      <c r="D741" s="19" t="s">
        <v>945</v>
      </c>
      <c r="E741" s="20" t="s">
        <v>11</v>
      </c>
      <c r="F741" s="19" t="s">
        <v>55</v>
      </c>
      <c r="G741" s="19" t="s">
        <v>154</v>
      </c>
      <c r="H741" s="19" t="s">
        <v>31</v>
      </c>
      <c r="I741">
        <v>29</v>
      </c>
      <c r="J741">
        <v>0</v>
      </c>
      <c r="K741" s="1" t="s">
        <v>66</v>
      </c>
    </row>
    <row r="742" spans="1:11">
      <c r="A742" s="17" t="s">
        <v>69</v>
      </c>
      <c r="B742" s="19" t="s">
        <v>50</v>
      </c>
      <c r="C742" s="19" t="s">
        <v>944</v>
      </c>
      <c r="D742" s="19" t="s">
        <v>945</v>
      </c>
      <c r="E742" s="20" t="s">
        <v>11</v>
      </c>
      <c r="F742" s="19" t="s">
        <v>55</v>
      </c>
      <c r="G742" s="19" t="s">
        <v>154</v>
      </c>
      <c r="H742" s="19" t="s">
        <v>31</v>
      </c>
      <c r="I742">
        <v>171</v>
      </c>
      <c r="J742">
        <v>0</v>
      </c>
      <c r="K742" s="1" t="s">
        <v>65</v>
      </c>
    </row>
    <row r="743" spans="1:11">
      <c r="A743" s="17" t="s">
        <v>69</v>
      </c>
      <c r="B743" s="19" t="s">
        <v>50</v>
      </c>
      <c r="C743" s="19" t="s">
        <v>946</v>
      </c>
      <c r="D743" s="19" t="s">
        <v>947</v>
      </c>
      <c r="E743" s="20" t="s">
        <v>11</v>
      </c>
      <c r="F743" s="19" t="s">
        <v>55</v>
      </c>
      <c r="G743" s="19" t="s">
        <v>154</v>
      </c>
      <c r="H743" s="19" t="s">
        <v>31</v>
      </c>
      <c r="I743">
        <v>28</v>
      </c>
      <c r="J743">
        <v>0</v>
      </c>
      <c r="K743" s="1" t="s">
        <v>66</v>
      </c>
    </row>
    <row r="744" spans="1:11">
      <c r="A744" s="17" t="s">
        <v>69</v>
      </c>
      <c r="B744" s="19" t="s">
        <v>50</v>
      </c>
      <c r="C744" s="19" t="s">
        <v>946</v>
      </c>
      <c r="D744" s="19" t="s">
        <v>947</v>
      </c>
      <c r="E744" s="20" t="s">
        <v>11</v>
      </c>
      <c r="F744" s="19" t="s">
        <v>55</v>
      </c>
      <c r="G744" s="19" t="s">
        <v>154</v>
      </c>
      <c r="H744" s="19" t="s">
        <v>31</v>
      </c>
      <c r="I744">
        <v>200</v>
      </c>
      <c r="J744">
        <v>0</v>
      </c>
      <c r="K744" s="1" t="s">
        <v>65</v>
      </c>
    </row>
    <row r="745" spans="1:11">
      <c r="A745" s="17" t="s">
        <v>69</v>
      </c>
      <c r="B745" s="19" t="s">
        <v>50</v>
      </c>
      <c r="C745" s="19" t="s">
        <v>948</v>
      </c>
      <c r="D745" s="19" t="s">
        <v>949</v>
      </c>
      <c r="E745" s="20" t="s">
        <v>11</v>
      </c>
      <c r="F745" s="19" t="s">
        <v>55</v>
      </c>
      <c r="G745" s="19" t="s">
        <v>154</v>
      </c>
      <c r="H745" s="19" t="s">
        <v>31</v>
      </c>
      <c r="I745">
        <v>28</v>
      </c>
      <c r="J745">
        <v>0</v>
      </c>
      <c r="K745" s="1" t="s">
        <v>66</v>
      </c>
    </row>
    <row r="746" spans="1:11">
      <c r="A746" s="17" t="s">
        <v>69</v>
      </c>
      <c r="B746" s="19" t="s">
        <v>50</v>
      </c>
      <c r="C746" s="19" t="s">
        <v>948</v>
      </c>
      <c r="D746" s="19" t="s">
        <v>949</v>
      </c>
      <c r="E746" s="20" t="s">
        <v>11</v>
      </c>
      <c r="F746" s="19" t="s">
        <v>55</v>
      </c>
      <c r="G746" s="19" t="s">
        <v>154</v>
      </c>
      <c r="H746" s="19" t="s">
        <v>31</v>
      </c>
      <c r="I746">
        <v>162</v>
      </c>
      <c r="J746">
        <v>0</v>
      </c>
      <c r="K746" s="1" t="s">
        <v>65</v>
      </c>
    </row>
    <row r="747" spans="1:11">
      <c r="A747" s="17" t="s">
        <v>69</v>
      </c>
      <c r="B747" s="19" t="s">
        <v>50</v>
      </c>
      <c r="C747" s="19" t="s">
        <v>950</v>
      </c>
      <c r="D747" s="19" t="s">
        <v>951</v>
      </c>
      <c r="E747" s="20" t="s">
        <v>11</v>
      </c>
      <c r="F747" s="19" t="s">
        <v>55</v>
      </c>
      <c r="G747" s="19" t="s">
        <v>154</v>
      </c>
      <c r="H747" s="19" t="s">
        <v>31</v>
      </c>
      <c r="I747">
        <v>22</v>
      </c>
      <c r="J747">
        <v>0</v>
      </c>
      <c r="K747" s="1" t="s">
        <v>66</v>
      </c>
    </row>
    <row r="748" spans="1:11">
      <c r="A748" s="17" t="s">
        <v>69</v>
      </c>
      <c r="B748" s="19" t="s">
        <v>50</v>
      </c>
      <c r="C748" s="19" t="s">
        <v>950</v>
      </c>
      <c r="D748" s="19" t="s">
        <v>951</v>
      </c>
      <c r="E748" s="20" t="s">
        <v>11</v>
      </c>
      <c r="F748" s="19" t="s">
        <v>55</v>
      </c>
      <c r="G748" s="19" t="s">
        <v>154</v>
      </c>
      <c r="H748" s="19" t="s">
        <v>31</v>
      </c>
      <c r="I748">
        <v>182</v>
      </c>
      <c r="J748">
        <v>0</v>
      </c>
      <c r="K748" s="1" t="s">
        <v>65</v>
      </c>
    </row>
    <row r="749" spans="1:11">
      <c r="A749" s="17" t="s">
        <v>69</v>
      </c>
      <c r="B749" s="19" t="s">
        <v>50</v>
      </c>
      <c r="C749" s="19" t="s">
        <v>952</v>
      </c>
      <c r="D749" s="19" t="s">
        <v>953</v>
      </c>
      <c r="E749" s="20" t="s">
        <v>11</v>
      </c>
      <c r="F749" s="19" t="s">
        <v>55</v>
      </c>
      <c r="G749" s="19" t="s">
        <v>154</v>
      </c>
      <c r="H749" s="19" t="s">
        <v>31</v>
      </c>
      <c r="I749">
        <v>19</v>
      </c>
      <c r="J749">
        <v>0</v>
      </c>
      <c r="K749" s="1" t="s">
        <v>66</v>
      </c>
    </row>
    <row r="750" spans="1:11">
      <c r="A750" s="17" t="s">
        <v>69</v>
      </c>
      <c r="B750" s="19" t="s">
        <v>50</v>
      </c>
      <c r="C750" s="19" t="s">
        <v>952</v>
      </c>
      <c r="D750" s="19" t="s">
        <v>953</v>
      </c>
      <c r="E750" s="20" t="s">
        <v>11</v>
      </c>
      <c r="F750" s="19" t="s">
        <v>55</v>
      </c>
      <c r="G750" s="19" t="s">
        <v>154</v>
      </c>
      <c r="H750" s="19" t="s">
        <v>31</v>
      </c>
      <c r="I750">
        <v>138</v>
      </c>
      <c r="J750">
        <v>1</v>
      </c>
      <c r="K750" s="1" t="s">
        <v>65</v>
      </c>
    </row>
    <row r="751" spans="1:11">
      <c r="A751" s="17" t="s">
        <v>69</v>
      </c>
      <c r="B751" s="19" t="s">
        <v>50</v>
      </c>
      <c r="C751" s="19" t="s">
        <v>954</v>
      </c>
      <c r="D751" s="19" t="s">
        <v>955</v>
      </c>
      <c r="E751" s="20" t="s">
        <v>11</v>
      </c>
      <c r="F751" s="19" t="s">
        <v>55</v>
      </c>
      <c r="G751" s="19" t="s">
        <v>154</v>
      </c>
      <c r="H751" s="19" t="s">
        <v>31</v>
      </c>
      <c r="I751">
        <v>23</v>
      </c>
      <c r="J751">
        <v>0</v>
      </c>
      <c r="K751" s="1" t="s">
        <v>66</v>
      </c>
    </row>
    <row r="752" spans="1:11">
      <c r="A752" s="17" t="s">
        <v>69</v>
      </c>
      <c r="B752" s="19" t="s">
        <v>50</v>
      </c>
      <c r="C752" s="19" t="s">
        <v>954</v>
      </c>
      <c r="D752" s="19" t="s">
        <v>955</v>
      </c>
      <c r="E752" s="20" t="s">
        <v>11</v>
      </c>
      <c r="F752" s="19" t="s">
        <v>55</v>
      </c>
      <c r="G752" s="19" t="s">
        <v>154</v>
      </c>
      <c r="H752" s="19" t="s">
        <v>31</v>
      </c>
      <c r="I752">
        <v>178</v>
      </c>
      <c r="J752">
        <v>0</v>
      </c>
      <c r="K752" s="1" t="s">
        <v>65</v>
      </c>
    </row>
    <row r="753" spans="1:11">
      <c r="A753" s="17" t="s">
        <v>69</v>
      </c>
      <c r="B753" s="19" t="s">
        <v>50</v>
      </c>
      <c r="C753" s="19" t="s">
        <v>956</v>
      </c>
      <c r="D753" s="19" t="s">
        <v>957</v>
      </c>
      <c r="E753" s="20" t="s">
        <v>11</v>
      </c>
      <c r="F753" s="19" t="s">
        <v>55</v>
      </c>
      <c r="G753" s="19" t="s">
        <v>154</v>
      </c>
      <c r="H753" s="19" t="s">
        <v>31</v>
      </c>
      <c r="I753">
        <v>24</v>
      </c>
      <c r="J753">
        <v>0</v>
      </c>
      <c r="K753" s="1" t="s">
        <v>66</v>
      </c>
    </row>
    <row r="754" spans="1:11">
      <c r="A754" s="17" t="s">
        <v>69</v>
      </c>
      <c r="B754" s="19" t="s">
        <v>50</v>
      </c>
      <c r="C754" s="19" t="s">
        <v>956</v>
      </c>
      <c r="D754" s="19" t="s">
        <v>957</v>
      </c>
      <c r="E754" s="20" t="s">
        <v>11</v>
      </c>
      <c r="F754" s="19" t="s">
        <v>55</v>
      </c>
      <c r="G754" s="19" t="s">
        <v>154</v>
      </c>
      <c r="H754" s="19" t="s">
        <v>31</v>
      </c>
      <c r="I754">
        <v>181</v>
      </c>
      <c r="J754">
        <v>0</v>
      </c>
      <c r="K754" s="1" t="s">
        <v>65</v>
      </c>
    </row>
    <row r="755" spans="1:11">
      <c r="A755" s="17" t="s">
        <v>69</v>
      </c>
      <c r="B755" s="19" t="s">
        <v>50</v>
      </c>
      <c r="C755" s="19" t="s">
        <v>958</v>
      </c>
      <c r="D755" s="19" t="s">
        <v>959</v>
      </c>
      <c r="E755" s="20" t="s">
        <v>11</v>
      </c>
      <c r="F755" s="19" t="s">
        <v>55</v>
      </c>
      <c r="G755" s="19" t="s">
        <v>154</v>
      </c>
      <c r="H755" s="19" t="s">
        <v>31</v>
      </c>
      <c r="I755">
        <v>33</v>
      </c>
      <c r="J755">
        <v>0</v>
      </c>
      <c r="K755" s="1" t="s">
        <v>66</v>
      </c>
    </row>
    <row r="756" spans="1:11">
      <c r="A756" s="17" t="s">
        <v>69</v>
      </c>
      <c r="B756" s="19" t="s">
        <v>50</v>
      </c>
      <c r="C756" s="19" t="s">
        <v>958</v>
      </c>
      <c r="D756" s="19" t="s">
        <v>959</v>
      </c>
      <c r="E756" s="20" t="s">
        <v>11</v>
      </c>
      <c r="F756" s="19" t="s">
        <v>55</v>
      </c>
      <c r="G756" s="19" t="s">
        <v>154</v>
      </c>
      <c r="H756" s="19" t="s">
        <v>31</v>
      </c>
      <c r="I756">
        <v>137</v>
      </c>
      <c r="J756">
        <v>0</v>
      </c>
      <c r="K756" s="1" t="s">
        <v>65</v>
      </c>
    </row>
    <row r="757" spans="1:11">
      <c r="A757" s="17" t="s">
        <v>69</v>
      </c>
      <c r="B757" s="19" t="s">
        <v>50</v>
      </c>
      <c r="C757" s="19" t="s">
        <v>960</v>
      </c>
      <c r="D757" s="19" t="s">
        <v>961</v>
      </c>
      <c r="E757" s="20" t="s">
        <v>11</v>
      </c>
      <c r="F757" s="19" t="s">
        <v>55</v>
      </c>
      <c r="G757" s="19" t="s">
        <v>154</v>
      </c>
      <c r="H757" s="19" t="s">
        <v>31</v>
      </c>
      <c r="I757">
        <v>29</v>
      </c>
      <c r="J757">
        <v>0</v>
      </c>
      <c r="K757" s="1" t="s">
        <v>66</v>
      </c>
    </row>
    <row r="758" spans="1:11">
      <c r="A758" s="17" t="s">
        <v>69</v>
      </c>
      <c r="B758" s="19" t="s">
        <v>50</v>
      </c>
      <c r="C758" s="19" t="s">
        <v>960</v>
      </c>
      <c r="D758" s="19" t="s">
        <v>961</v>
      </c>
      <c r="E758" s="20" t="s">
        <v>11</v>
      </c>
      <c r="F758" s="19" t="s">
        <v>55</v>
      </c>
      <c r="G758" s="19" t="s">
        <v>154</v>
      </c>
      <c r="H758" s="19" t="s">
        <v>31</v>
      </c>
      <c r="I758">
        <v>171</v>
      </c>
      <c r="J758">
        <v>0</v>
      </c>
      <c r="K758" s="1" t="s">
        <v>65</v>
      </c>
    </row>
    <row r="759" spans="1:11">
      <c r="A759" s="17" t="s">
        <v>69</v>
      </c>
      <c r="B759" s="19" t="s">
        <v>50</v>
      </c>
      <c r="C759" s="19" t="s">
        <v>962</v>
      </c>
      <c r="D759" s="19" t="s">
        <v>963</v>
      </c>
      <c r="E759" s="20" t="s">
        <v>11</v>
      </c>
      <c r="F759" s="19" t="s">
        <v>55</v>
      </c>
      <c r="G759" s="19" t="s">
        <v>154</v>
      </c>
      <c r="H759" s="19" t="s">
        <v>31</v>
      </c>
      <c r="I759">
        <v>39</v>
      </c>
      <c r="J759">
        <v>0</v>
      </c>
      <c r="K759" s="1" t="s">
        <v>66</v>
      </c>
    </row>
    <row r="760" spans="1:11">
      <c r="A760" s="17" t="s">
        <v>69</v>
      </c>
      <c r="B760" s="19" t="s">
        <v>50</v>
      </c>
      <c r="C760" s="19" t="s">
        <v>962</v>
      </c>
      <c r="D760" s="19" t="s">
        <v>963</v>
      </c>
      <c r="E760" s="20" t="s">
        <v>11</v>
      </c>
      <c r="F760" s="19" t="s">
        <v>55</v>
      </c>
      <c r="G760" s="19" t="s">
        <v>154</v>
      </c>
      <c r="H760" s="19" t="s">
        <v>31</v>
      </c>
      <c r="I760">
        <v>171</v>
      </c>
      <c r="J760">
        <v>0</v>
      </c>
      <c r="K760" s="1" t="s">
        <v>65</v>
      </c>
    </row>
    <row r="761" spans="1:11">
      <c r="A761" s="17" t="s">
        <v>69</v>
      </c>
      <c r="B761" s="19" t="s">
        <v>50</v>
      </c>
      <c r="C761" s="19" t="s">
        <v>964</v>
      </c>
      <c r="D761" s="19" t="s">
        <v>965</v>
      </c>
      <c r="E761" s="20" t="s">
        <v>11</v>
      </c>
      <c r="F761" s="19" t="s">
        <v>58</v>
      </c>
      <c r="G761" s="19" t="s">
        <v>177</v>
      </c>
      <c r="H761" s="19" t="s">
        <v>31</v>
      </c>
      <c r="I761">
        <v>4774</v>
      </c>
      <c r="J761">
        <v>7</v>
      </c>
      <c r="K761" s="1" t="s">
        <v>66</v>
      </c>
    </row>
    <row r="762" spans="1:11">
      <c r="A762" s="17" t="s">
        <v>69</v>
      </c>
      <c r="B762" s="19" t="s">
        <v>50</v>
      </c>
      <c r="C762" s="19" t="s">
        <v>964</v>
      </c>
      <c r="D762" s="19" t="s">
        <v>965</v>
      </c>
      <c r="E762" s="20" t="s">
        <v>11</v>
      </c>
      <c r="F762" s="19" t="s">
        <v>58</v>
      </c>
      <c r="G762" s="19" t="s">
        <v>177</v>
      </c>
      <c r="H762" s="19" t="s">
        <v>31</v>
      </c>
      <c r="I762">
        <v>654</v>
      </c>
      <c r="J762">
        <v>46</v>
      </c>
      <c r="K762" s="1" t="s">
        <v>65</v>
      </c>
    </row>
    <row r="763" spans="1:11">
      <c r="A763" s="17" t="s">
        <v>69</v>
      </c>
      <c r="B763" s="19" t="s">
        <v>50</v>
      </c>
      <c r="C763" s="19" t="s">
        <v>966</v>
      </c>
      <c r="D763" s="19" t="s">
        <v>967</v>
      </c>
      <c r="E763" s="20" t="s">
        <v>11</v>
      </c>
      <c r="F763" s="19" t="s">
        <v>58</v>
      </c>
      <c r="G763" s="19" t="s">
        <v>177</v>
      </c>
      <c r="H763" s="19" t="s">
        <v>31</v>
      </c>
      <c r="I763">
        <v>5415</v>
      </c>
      <c r="J763">
        <v>5</v>
      </c>
      <c r="K763" s="1" t="s">
        <v>66</v>
      </c>
    </row>
    <row r="764" spans="1:11">
      <c r="A764" s="17" t="s">
        <v>69</v>
      </c>
      <c r="B764" s="19" t="s">
        <v>50</v>
      </c>
      <c r="C764" s="19" t="s">
        <v>966</v>
      </c>
      <c r="D764" s="19" t="s">
        <v>967</v>
      </c>
      <c r="E764" s="20" t="s">
        <v>11</v>
      </c>
      <c r="F764" s="19" t="s">
        <v>58</v>
      </c>
      <c r="G764" s="19" t="s">
        <v>177</v>
      </c>
      <c r="H764" s="19" t="s">
        <v>31</v>
      </c>
      <c r="I764">
        <v>535</v>
      </c>
      <c r="J764">
        <v>39</v>
      </c>
      <c r="K764" s="1" t="s">
        <v>65</v>
      </c>
    </row>
    <row r="765" spans="1:11">
      <c r="A765" s="17" t="s">
        <v>69</v>
      </c>
      <c r="B765" s="19" t="s">
        <v>50</v>
      </c>
      <c r="C765" s="19" t="s">
        <v>968</v>
      </c>
      <c r="D765" s="19" t="s">
        <v>969</v>
      </c>
      <c r="E765" s="20" t="s">
        <v>11</v>
      </c>
      <c r="F765" s="19" t="s">
        <v>58</v>
      </c>
      <c r="G765" s="19" t="s">
        <v>177</v>
      </c>
      <c r="H765" s="19" t="s">
        <v>31</v>
      </c>
      <c r="I765">
        <v>4872</v>
      </c>
      <c r="J765">
        <v>7</v>
      </c>
      <c r="K765" s="1" t="s">
        <v>66</v>
      </c>
    </row>
    <row r="766" spans="1:11">
      <c r="A766" s="17" t="s">
        <v>69</v>
      </c>
      <c r="B766" s="19" t="s">
        <v>50</v>
      </c>
      <c r="C766" s="19" t="s">
        <v>968</v>
      </c>
      <c r="D766" s="19" t="s">
        <v>969</v>
      </c>
      <c r="E766" s="20" t="s">
        <v>11</v>
      </c>
      <c r="F766" s="19" t="s">
        <v>58</v>
      </c>
      <c r="G766" s="19" t="s">
        <v>177</v>
      </c>
      <c r="H766" s="19" t="s">
        <v>31</v>
      </c>
      <c r="I766">
        <v>1304</v>
      </c>
      <c r="J766">
        <v>98</v>
      </c>
      <c r="K766" s="1" t="s">
        <v>65</v>
      </c>
    </row>
    <row r="767" spans="1:11">
      <c r="A767" s="17" t="s">
        <v>69</v>
      </c>
      <c r="B767" s="19" t="s">
        <v>50</v>
      </c>
      <c r="C767" s="19" t="s">
        <v>970</v>
      </c>
      <c r="D767" s="19" t="s">
        <v>971</v>
      </c>
      <c r="E767" s="20" t="s">
        <v>11</v>
      </c>
      <c r="F767" s="19" t="s">
        <v>58</v>
      </c>
      <c r="G767" s="19" t="s">
        <v>177</v>
      </c>
      <c r="H767" s="19" t="s">
        <v>31</v>
      </c>
      <c r="I767">
        <v>5056</v>
      </c>
      <c r="J767">
        <v>3</v>
      </c>
      <c r="K767" s="1" t="s">
        <v>66</v>
      </c>
    </row>
    <row r="768" spans="1:11">
      <c r="A768" s="17" t="s">
        <v>69</v>
      </c>
      <c r="B768" s="19" t="s">
        <v>50</v>
      </c>
      <c r="C768" s="19" t="s">
        <v>970</v>
      </c>
      <c r="D768" s="19" t="s">
        <v>971</v>
      </c>
      <c r="E768" s="20" t="s">
        <v>11</v>
      </c>
      <c r="F768" s="19" t="s">
        <v>58</v>
      </c>
      <c r="G768" s="19" t="s">
        <v>177</v>
      </c>
      <c r="H768" s="19" t="s">
        <v>31</v>
      </c>
      <c r="I768">
        <v>707</v>
      </c>
      <c r="J768">
        <v>43</v>
      </c>
      <c r="K768" s="1" t="s">
        <v>65</v>
      </c>
    </row>
    <row r="769" spans="1:11">
      <c r="A769" s="17" t="s">
        <v>69</v>
      </c>
      <c r="B769" s="19" t="s">
        <v>50</v>
      </c>
      <c r="C769" s="19" t="s">
        <v>972</v>
      </c>
      <c r="D769" s="19" t="s">
        <v>973</v>
      </c>
      <c r="E769" s="20" t="s">
        <v>11</v>
      </c>
      <c r="F769" s="19" t="s">
        <v>58</v>
      </c>
      <c r="G769" s="19" t="s">
        <v>177</v>
      </c>
      <c r="H769" s="19" t="s">
        <v>31</v>
      </c>
      <c r="I769">
        <v>7890</v>
      </c>
      <c r="J769">
        <v>14</v>
      </c>
      <c r="K769" s="1" t="s">
        <v>66</v>
      </c>
    </row>
    <row r="770" spans="1:11">
      <c r="A770" s="17" t="s">
        <v>69</v>
      </c>
      <c r="B770" s="19" t="s">
        <v>50</v>
      </c>
      <c r="C770" s="19" t="s">
        <v>972</v>
      </c>
      <c r="D770" s="19" t="s">
        <v>973</v>
      </c>
      <c r="E770" s="20" t="s">
        <v>11</v>
      </c>
      <c r="F770" s="19" t="s">
        <v>58</v>
      </c>
      <c r="G770" s="19" t="s">
        <v>177</v>
      </c>
      <c r="H770" s="19" t="s">
        <v>31</v>
      </c>
      <c r="I770">
        <v>1410</v>
      </c>
      <c r="J770">
        <v>118</v>
      </c>
      <c r="K770" s="1" t="s">
        <v>65</v>
      </c>
    </row>
    <row r="771" spans="1:11">
      <c r="A771" s="17" t="s">
        <v>69</v>
      </c>
      <c r="B771" s="19" t="s">
        <v>50</v>
      </c>
      <c r="C771" s="19" t="s">
        <v>974</v>
      </c>
      <c r="D771" s="19" t="s">
        <v>975</v>
      </c>
      <c r="E771" s="20" t="s">
        <v>11</v>
      </c>
      <c r="F771" s="19" t="s">
        <v>58</v>
      </c>
      <c r="G771" s="19" t="s">
        <v>177</v>
      </c>
      <c r="H771" s="19" t="s">
        <v>31</v>
      </c>
      <c r="I771">
        <v>8616</v>
      </c>
      <c r="J771">
        <v>3</v>
      </c>
      <c r="K771" s="1" t="s">
        <v>66</v>
      </c>
    </row>
    <row r="772" spans="1:11">
      <c r="A772" s="17" t="s">
        <v>69</v>
      </c>
      <c r="B772" s="19" t="s">
        <v>50</v>
      </c>
      <c r="C772" s="19" t="s">
        <v>974</v>
      </c>
      <c r="D772" s="19" t="s">
        <v>975</v>
      </c>
      <c r="E772" s="20" t="s">
        <v>11</v>
      </c>
      <c r="F772" s="19" t="s">
        <v>58</v>
      </c>
      <c r="G772" s="19" t="s">
        <v>177</v>
      </c>
      <c r="H772" s="19" t="s">
        <v>31</v>
      </c>
      <c r="I772">
        <v>2879</v>
      </c>
      <c r="J772">
        <v>1</v>
      </c>
      <c r="K772" s="1" t="s">
        <v>65</v>
      </c>
    </row>
    <row r="773" spans="1:11">
      <c r="A773" s="17" t="s">
        <v>69</v>
      </c>
      <c r="B773" s="19" t="s">
        <v>50</v>
      </c>
      <c r="C773" s="19" t="s">
        <v>976</v>
      </c>
      <c r="D773" s="19" t="s">
        <v>977</v>
      </c>
      <c r="E773" s="20" t="s">
        <v>11</v>
      </c>
      <c r="F773" s="19" t="s">
        <v>58</v>
      </c>
      <c r="G773" s="19" t="s">
        <v>177</v>
      </c>
      <c r="H773" s="19" t="s">
        <v>31</v>
      </c>
      <c r="I773">
        <v>8720</v>
      </c>
      <c r="J773">
        <v>2</v>
      </c>
      <c r="K773" s="1" t="s">
        <v>66</v>
      </c>
    </row>
    <row r="774" spans="1:11">
      <c r="A774" s="17" t="s">
        <v>69</v>
      </c>
      <c r="B774" s="19" t="s">
        <v>50</v>
      </c>
      <c r="C774" s="19" t="s">
        <v>976</v>
      </c>
      <c r="D774" s="19" t="s">
        <v>977</v>
      </c>
      <c r="E774" s="20" t="s">
        <v>11</v>
      </c>
      <c r="F774" s="19" t="s">
        <v>58</v>
      </c>
      <c r="G774" s="19" t="s">
        <v>177</v>
      </c>
      <c r="H774" s="19" t="s">
        <v>31</v>
      </c>
      <c r="I774">
        <v>2761</v>
      </c>
      <c r="J774">
        <v>0</v>
      </c>
      <c r="K774" s="1" t="s">
        <v>65</v>
      </c>
    </row>
    <row r="775" spans="1:11">
      <c r="A775" s="17" t="s">
        <v>69</v>
      </c>
      <c r="B775" s="19" t="s">
        <v>50</v>
      </c>
      <c r="C775" s="19" t="s">
        <v>978</v>
      </c>
      <c r="D775" s="19" t="s">
        <v>979</v>
      </c>
      <c r="E775" s="20" t="s">
        <v>11</v>
      </c>
      <c r="F775" s="19" t="s">
        <v>58</v>
      </c>
      <c r="G775" s="19" t="s">
        <v>177</v>
      </c>
      <c r="H775" s="19" t="s">
        <v>31</v>
      </c>
      <c r="I775">
        <v>8447</v>
      </c>
      <c r="J775">
        <v>3</v>
      </c>
      <c r="K775" s="1" t="s">
        <v>66</v>
      </c>
    </row>
    <row r="776" spans="1:11">
      <c r="A776" s="17" t="s">
        <v>69</v>
      </c>
      <c r="B776" s="19" t="s">
        <v>50</v>
      </c>
      <c r="C776" s="19" t="s">
        <v>978</v>
      </c>
      <c r="D776" s="19" t="s">
        <v>979</v>
      </c>
      <c r="E776" s="20" t="s">
        <v>11</v>
      </c>
      <c r="F776" s="19" t="s">
        <v>58</v>
      </c>
      <c r="G776" s="19" t="s">
        <v>177</v>
      </c>
      <c r="H776" s="19" t="s">
        <v>31</v>
      </c>
      <c r="I776">
        <v>2823</v>
      </c>
      <c r="J776">
        <v>0</v>
      </c>
      <c r="K776" s="1" t="s">
        <v>65</v>
      </c>
    </row>
    <row r="777" spans="1:11">
      <c r="A777" s="17" t="s">
        <v>69</v>
      </c>
      <c r="B777" s="19" t="s">
        <v>50</v>
      </c>
      <c r="C777" s="19" t="s">
        <v>980</v>
      </c>
      <c r="D777" s="19" t="s">
        <v>981</v>
      </c>
      <c r="E777" s="20" t="s">
        <v>11</v>
      </c>
      <c r="F777" s="19" t="s">
        <v>58</v>
      </c>
      <c r="G777" s="19" t="s">
        <v>177</v>
      </c>
      <c r="H777" s="19" t="s">
        <v>31</v>
      </c>
      <c r="I777">
        <v>8669</v>
      </c>
      <c r="J777">
        <v>3</v>
      </c>
      <c r="K777" s="1" t="s">
        <v>66</v>
      </c>
    </row>
    <row r="778" spans="1:11">
      <c r="A778" s="17" t="s">
        <v>69</v>
      </c>
      <c r="B778" s="19" t="s">
        <v>50</v>
      </c>
      <c r="C778" s="19" t="s">
        <v>980</v>
      </c>
      <c r="D778" s="19" t="s">
        <v>981</v>
      </c>
      <c r="E778" s="20" t="s">
        <v>11</v>
      </c>
      <c r="F778" s="19" t="s">
        <v>58</v>
      </c>
      <c r="G778" s="19" t="s">
        <v>177</v>
      </c>
      <c r="H778" s="19" t="s">
        <v>31</v>
      </c>
      <c r="I778">
        <v>3033</v>
      </c>
      <c r="J778">
        <v>2</v>
      </c>
      <c r="K778" s="1" t="s">
        <v>65</v>
      </c>
    </row>
    <row r="779" spans="1:11">
      <c r="A779" s="17" t="s">
        <v>69</v>
      </c>
      <c r="B779" s="19" t="s">
        <v>50</v>
      </c>
      <c r="C779" s="19" t="s">
        <v>982</v>
      </c>
      <c r="D779" s="19" t="s">
        <v>983</v>
      </c>
      <c r="E779" s="20" t="s">
        <v>11</v>
      </c>
      <c r="F779" s="19" t="s">
        <v>58</v>
      </c>
      <c r="G779" s="19" t="s">
        <v>177</v>
      </c>
      <c r="H779" s="19" t="s">
        <v>31</v>
      </c>
      <c r="I779">
        <v>8585</v>
      </c>
      <c r="J779">
        <v>1</v>
      </c>
      <c r="K779" s="1" t="s">
        <v>66</v>
      </c>
    </row>
    <row r="780" spans="1:11">
      <c r="A780" s="17" t="s">
        <v>69</v>
      </c>
      <c r="B780" s="19" t="s">
        <v>50</v>
      </c>
      <c r="C780" s="19" t="s">
        <v>982</v>
      </c>
      <c r="D780" s="19" t="s">
        <v>983</v>
      </c>
      <c r="E780" s="20" t="s">
        <v>11</v>
      </c>
      <c r="F780" s="19" t="s">
        <v>58</v>
      </c>
      <c r="G780" s="19" t="s">
        <v>177</v>
      </c>
      <c r="H780" s="19" t="s">
        <v>31</v>
      </c>
      <c r="I780">
        <v>2719</v>
      </c>
      <c r="J780">
        <v>0</v>
      </c>
      <c r="K780" s="1" t="s">
        <v>65</v>
      </c>
    </row>
    <row r="781" spans="1:11">
      <c r="A781" s="17" t="s">
        <v>69</v>
      </c>
      <c r="B781" s="19" t="s">
        <v>50</v>
      </c>
      <c r="C781" s="19" t="s">
        <v>984</v>
      </c>
      <c r="D781" s="19" t="s">
        <v>985</v>
      </c>
      <c r="E781" s="20" t="s">
        <v>11</v>
      </c>
      <c r="F781" s="19" t="s">
        <v>58</v>
      </c>
      <c r="G781" s="19" t="s">
        <v>177</v>
      </c>
      <c r="H781" s="19" t="s">
        <v>31</v>
      </c>
      <c r="I781">
        <v>8685</v>
      </c>
      <c r="J781">
        <v>3</v>
      </c>
      <c r="K781" s="1" t="s">
        <v>66</v>
      </c>
    </row>
    <row r="782" spans="1:11">
      <c r="A782" s="17" t="s">
        <v>69</v>
      </c>
      <c r="B782" s="19" t="s">
        <v>50</v>
      </c>
      <c r="C782" s="19" t="s">
        <v>984</v>
      </c>
      <c r="D782" s="19" t="s">
        <v>985</v>
      </c>
      <c r="E782" s="20" t="s">
        <v>11</v>
      </c>
      <c r="F782" s="19" t="s">
        <v>58</v>
      </c>
      <c r="G782" s="19" t="s">
        <v>177</v>
      </c>
      <c r="H782" s="19" t="s">
        <v>31</v>
      </c>
      <c r="I782">
        <v>2768</v>
      </c>
      <c r="J782">
        <v>0</v>
      </c>
      <c r="K782" s="1" t="s">
        <v>65</v>
      </c>
    </row>
    <row r="783" spans="1:11">
      <c r="A783" s="17" t="s">
        <v>69</v>
      </c>
      <c r="B783" s="19" t="s">
        <v>50</v>
      </c>
      <c r="C783" s="19" t="s">
        <v>986</v>
      </c>
      <c r="D783" s="19" t="s">
        <v>987</v>
      </c>
      <c r="E783" s="20" t="s">
        <v>11</v>
      </c>
      <c r="F783" s="19" t="s">
        <v>58</v>
      </c>
      <c r="G783" s="19" t="s">
        <v>177</v>
      </c>
      <c r="H783" s="19" t="s">
        <v>31</v>
      </c>
      <c r="I783">
        <v>8539</v>
      </c>
      <c r="J783">
        <v>5</v>
      </c>
      <c r="K783" s="1" t="s">
        <v>66</v>
      </c>
    </row>
    <row r="784" spans="1:11">
      <c r="A784" s="17" t="s">
        <v>69</v>
      </c>
      <c r="B784" s="19" t="s">
        <v>50</v>
      </c>
      <c r="C784" s="19" t="s">
        <v>986</v>
      </c>
      <c r="D784" s="19" t="s">
        <v>987</v>
      </c>
      <c r="E784" s="20" t="s">
        <v>11</v>
      </c>
      <c r="F784" s="19" t="s">
        <v>58</v>
      </c>
      <c r="G784" s="19" t="s">
        <v>177</v>
      </c>
      <c r="H784" s="19" t="s">
        <v>31</v>
      </c>
      <c r="I784">
        <v>3274</v>
      </c>
      <c r="J784">
        <v>1</v>
      </c>
      <c r="K784" s="1" t="s">
        <v>65</v>
      </c>
    </row>
    <row r="785" spans="1:11">
      <c r="A785" s="17" t="s">
        <v>69</v>
      </c>
      <c r="B785" s="19" t="s">
        <v>50</v>
      </c>
      <c r="C785" s="19" t="s">
        <v>988</v>
      </c>
      <c r="D785" s="19" t="s">
        <v>989</v>
      </c>
      <c r="E785" s="20" t="s">
        <v>11</v>
      </c>
      <c r="F785" s="19" t="s">
        <v>58</v>
      </c>
      <c r="G785" s="19" t="s">
        <v>177</v>
      </c>
      <c r="H785" s="19" t="s">
        <v>31</v>
      </c>
      <c r="I785">
        <v>8488</v>
      </c>
      <c r="J785">
        <v>5</v>
      </c>
      <c r="K785" s="1" t="s">
        <v>66</v>
      </c>
    </row>
    <row r="786" spans="1:11">
      <c r="A786" s="17" t="s">
        <v>69</v>
      </c>
      <c r="B786" s="19" t="s">
        <v>50</v>
      </c>
      <c r="C786" s="19" t="s">
        <v>988</v>
      </c>
      <c r="D786" s="19" t="s">
        <v>989</v>
      </c>
      <c r="E786" s="20" t="s">
        <v>11</v>
      </c>
      <c r="F786" s="19" t="s">
        <v>58</v>
      </c>
      <c r="G786" s="19" t="s">
        <v>177</v>
      </c>
      <c r="H786" s="19" t="s">
        <v>31</v>
      </c>
      <c r="I786">
        <v>3093</v>
      </c>
      <c r="J786">
        <v>1</v>
      </c>
      <c r="K786" s="1" t="s">
        <v>65</v>
      </c>
    </row>
    <row r="787" spans="1:11">
      <c r="A787" s="17" t="s">
        <v>69</v>
      </c>
      <c r="B787" s="19" t="s">
        <v>50</v>
      </c>
      <c r="C787" s="19" t="s">
        <v>990</v>
      </c>
      <c r="D787" s="19" t="s">
        <v>991</v>
      </c>
      <c r="E787" s="20" t="s">
        <v>11</v>
      </c>
      <c r="F787" s="19" t="s">
        <v>58</v>
      </c>
      <c r="G787" s="19" t="s">
        <v>177</v>
      </c>
      <c r="H787" s="19" t="s">
        <v>31</v>
      </c>
      <c r="I787">
        <v>2958</v>
      </c>
      <c r="J787">
        <v>0</v>
      </c>
      <c r="K787" s="1" t="s">
        <v>65</v>
      </c>
    </row>
    <row r="788" spans="1:11">
      <c r="A788" s="17" t="s">
        <v>69</v>
      </c>
      <c r="B788" s="19" t="s">
        <v>50</v>
      </c>
      <c r="C788" s="19" t="s">
        <v>992</v>
      </c>
      <c r="D788" s="19" t="s">
        <v>993</v>
      </c>
      <c r="E788" s="20" t="s">
        <v>11</v>
      </c>
      <c r="F788" s="19" t="s">
        <v>58</v>
      </c>
      <c r="G788" s="19" t="s">
        <v>177</v>
      </c>
      <c r="H788" s="19" t="s">
        <v>31</v>
      </c>
      <c r="I788">
        <v>2843</v>
      </c>
      <c r="J788">
        <v>1</v>
      </c>
      <c r="K788" s="1" t="s">
        <v>65</v>
      </c>
    </row>
    <row r="789" spans="1:11">
      <c r="A789" s="17" t="s">
        <v>69</v>
      </c>
      <c r="B789" s="19" t="s">
        <v>50</v>
      </c>
      <c r="C789" s="19" t="s">
        <v>994</v>
      </c>
      <c r="D789" s="19" t="s">
        <v>995</v>
      </c>
      <c r="E789" s="20" t="s">
        <v>11</v>
      </c>
      <c r="F789" s="19" t="s">
        <v>58</v>
      </c>
      <c r="G789" s="19" t="s">
        <v>177</v>
      </c>
      <c r="H789" s="19" t="s">
        <v>31</v>
      </c>
      <c r="I789">
        <v>3020</v>
      </c>
      <c r="J789">
        <v>0</v>
      </c>
      <c r="K789" s="1" t="s">
        <v>65</v>
      </c>
    </row>
    <row r="790" spans="1:11">
      <c r="A790" s="17" t="s">
        <v>69</v>
      </c>
      <c r="B790" s="19" t="s">
        <v>50</v>
      </c>
      <c r="C790" s="19" t="s">
        <v>996</v>
      </c>
      <c r="D790" s="19" t="s">
        <v>997</v>
      </c>
      <c r="E790" s="20" t="s">
        <v>11</v>
      </c>
      <c r="F790" s="19" t="s">
        <v>58</v>
      </c>
      <c r="G790" s="19" t="s">
        <v>177</v>
      </c>
      <c r="H790" s="19" t="s">
        <v>31</v>
      </c>
      <c r="I790">
        <v>2908</v>
      </c>
      <c r="J790">
        <v>0</v>
      </c>
      <c r="K790" s="1" t="s">
        <v>65</v>
      </c>
    </row>
    <row r="791" spans="1:11">
      <c r="A791" s="17" t="s">
        <v>69</v>
      </c>
      <c r="B791" s="19" t="s">
        <v>50</v>
      </c>
      <c r="C791" s="19" t="s">
        <v>998</v>
      </c>
      <c r="D791" s="19" t="s">
        <v>999</v>
      </c>
      <c r="E791" s="20" t="s">
        <v>11</v>
      </c>
      <c r="F791" s="19" t="s">
        <v>58</v>
      </c>
      <c r="G791" s="19" t="s">
        <v>177</v>
      </c>
      <c r="H791" s="19" t="s">
        <v>31</v>
      </c>
      <c r="I791">
        <v>3011</v>
      </c>
      <c r="J791">
        <v>0</v>
      </c>
      <c r="K791" s="1" t="s">
        <v>65</v>
      </c>
    </row>
    <row r="792" spans="1:11">
      <c r="A792" s="17" t="s">
        <v>69</v>
      </c>
      <c r="B792" s="19" t="s">
        <v>50</v>
      </c>
      <c r="C792" s="19" t="s">
        <v>1000</v>
      </c>
      <c r="D792" s="19" t="s">
        <v>1001</v>
      </c>
      <c r="E792" s="20" t="s">
        <v>11</v>
      </c>
      <c r="F792" s="19" t="s">
        <v>58</v>
      </c>
      <c r="G792" s="19" t="s">
        <v>177</v>
      </c>
      <c r="H792" s="19" t="s">
        <v>31</v>
      </c>
      <c r="I792">
        <v>3093</v>
      </c>
      <c r="J792">
        <v>2</v>
      </c>
      <c r="K792" s="1" t="s">
        <v>65</v>
      </c>
    </row>
    <row r="793" spans="1:11">
      <c r="A793" s="17" t="s">
        <v>69</v>
      </c>
      <c r="B793" s="19" t="s">
        <v>50</v>
      </c>
      <c r="C793" s="19" t="s">
        <v>1002</v>
      </c>
      <c r="D793" s="19" t="s">
        <v>1003</v>
      </c>
      <c r="E793" s="20" t="s">
        <v>11</v>
      </c>
      <c r="F793" s="19" t="s">
        <v>58</v>
      </c>
      <c r="G793" s="19" t="s">
        <v>177</v>
      </c>
      <c r="H793" s="19" t="s">
        <v>31</v>
      </c>
      <c r="I793">
        <v>2948</v>
      </c>
      <c r="J793">
        <v>0</v>
      </c>
      <c r="K793" s="1" t="s">
        <v>65</v>
      </c>
    </row>
    <row r="794" spans="1:11">
      <c r="A794" s="17" t="s">
        <v>69</v>
      </c>
      <c r="B794" s="19" t="s">
        <v>50</v>
      </c>
      <c r="C794" s="19" t="s">
        <v>1004</v>
      </c>
      <c r="D794" s="19" t="s">
        <v>1005</v>
      </c>
      <c r="E794" s="20" t="s">
        <v>11</v>
      </c>
      <c r="F794" s="19" t="s">
        <v>58</v>
      </c>
      <c r="G794" s="19" t="s">
        <v>177</v>
      </c>
      <c r="H794" s="19" t="s">
        <v>31</v>
      </c>
      <c r="I794">
        <v>2936</v>
      </c>
      <c r="J794">
        <v>1</v>
      </c>
      <c r="K794" s="1" t="s">
        <v>65</v>
      </c>
    </row>
    <row r="795" spans="1:11">
      <c r="A795" s="17" t="s">
        <v>69</v>
      </c>
      <c r="B795" s="19" t="s">
        <v>50</v>
      </c>
      <c r="C795" s="19" t="s">
        <v>1006</v>
      </c>
      <c r="D795" s="19" t="s">
        <v>1007</v>
      </c>
      <c r="E795" s="20" t="s">
        <v>11</v>
      </c>
      <c r="F795" s="19" t="s">
        <v>58</v>
      </c>
      <c r="G795" s="19" t="s">
        <v>177</v>
      </c>
      <c r="H795" s="19" t="s">
        <v>31</v>
      </c>
      <c r="I795">
        <v>2867</v>
      </c>
      <c r="J795">
        <v>0</v>
      </c>
      <c r="K795" s="1" t="s">
        <v>65</v>
      </c>
    </row>
    <row r="796" spans="1:11">
      <c r="A796" s="17" t="s">
        <v>69</v>
      </c>
      <c r="B796" s="19" t="s">
        <v>50</v>
      </c>
      <c r="C796" s="19" t="s">
        <v>1008</v>
      </c>
      <c r="D796" s="19" t="s">
        <v>1009</v>
      </c>
      <c r="E796" s="20" t="s">
        <v>11</v>
      </c>
      <c r="F796" s="19" t="s">
        <v>58</v>
      </c>
      <c r="G796" s="19" t="s">
        <v>177</v>
      </c>
      <c r="H796" s="19" t="s">
        <v>31</v>
      </c>
      <c r="I796">
        <v>18237</v>
      </c>
      <c r="J796">
        <v>21</v>
      </c>
      <c r="K796" s="1" t="s">
        <v>66</v>
      </c>
    </row>
    <row r="797" spans="1:11">
      <c r="A797" s="17" t="s">
        <v>69</v>
      </c>
      <c r="B797" s="19" t="s">
        <v>50</v>
      </c>
      <c r="C797" s="19" t="s">
        <v>1008</v>
      </c>
      <c r="D797" s="19" t="s">
        <v>1009</v>
      </c>
      <c r="E797" s="20" t="s">
        <v>11</v>
      </c>
      <c r="F797" s="19" t="s">
        <v>58</v>
      </c>
      <c r="G797" s="19" t="s">
        <v>177</v>
      </c>
      <c r="H797" s="19" t="s">
        <v>31</v>
      </c>
      <c r="I797">
        <v>1800</v>
      </c>
      <c r="J797">
        <v>6</v>
      </c>
      <c r="K797" s="1" t="s">
        <v>65</v>
      </c>
    </row>
    <row r="798" spans="1:11">
      <c r="A798" s="17" t="s">
        <v>69</v>
      </c>
      <c r="B798" s="19" t="s">
        <v>50</v>
      </c>
      <c r="C798" s="19" t="s">
        <v>1010</v>
      </c>
      <c r="D798" s="19" t="s">
        <v>1011</v>
      </c>
      <c r="E798" s="20" t="s">
        <v>11</v>
      </c>
      <c r="F798" s="19" t="s">
        <v>58</v>
      </c>
      <c r="G798" s="19" t="s">
        <v>177</v>
      </c>
      <c r="H798" s="19" t="s">
        <v>31</v>
      </c>
      <c r="I798">
        <v>18455</v>
      </c>
      <c r="J798">
        <v>15</v>
      </c>
      <c r="K798" s="1" t="s">
        <v>66</v>
      </c>
    </row>
    <row r="799" spans="1:11">
      <c r="A799" s="17" t="s">
        <v>69</v>
      </c>
      <c r="B799" s="19" t="s">
        <v>50</v>
      </c>
      <c r="C799" s="19" t="s">
        <v>1010</v>
      </c>
      <c r="D799" s="19" t="s">
        <v>1011</v>
      </c>
      <c r="E799" s="20" t="s">
        <v>11</v>
      </c>
      <c r="F799" s="19" t="s">
        <v>58</v>
      </c>
      <c r="G799" s="19" t="s">
        <v>177</v>
      </c>
      <c r="H799" s="19" t="s">
        <v>31</v>
      </c>
      <c r="I799">
        <v>676</v>
      </c>
      <c r="J799">
        <v>3</v>
      </c>
      <c r="K799" s="1" t="s">
        <v>65</v>
      </c>
    </row>
    <row r="800" spans="1:11">
      <c r="A800" s="17" t="s">
        <v>69</v>
      </c>
      <c r="B800" s="19" t="s">
        <v>50</v>
      </c>
      <c r="C800" s="19" t="s">
        <v>1012</v>
      </c>
      <c r="D800" s="19" t="s">
        <v>1013</v>
      </c>
      <c r="E800" s="20" t="s">
        <v>11</v>
      </c>
      <c r="F800" s="19" t="s">
        <v>58</v>
      </c>
      <c r="G800" s="19" t="s">
        <v>177</v>
      </c>
      <c r="H800" s="19" t="s">
        <v>31</v>
      </c>
      <c r="I800">
        <v>19886</v>
      </c>
      <c r="J800">
        <v>21</v>
      </c>
      <c r="K800" s="1" t="s">
        <v>66</v>
      </c>
    </row>
    <row r="801" spans="1:11">
      <c r="A801" s="17" t="s">
        <v>69</v>
      </c>
      <c r="B801" s="19" t="s">
        <v>50</v>
      </c>
      <c r="C801" s="19" t="s">
        <v>1012</v>
      </c>
      <c r="D801" s="19" t="s">
        <v>1013</v>
      </c>
      <c r="E801" s="20" t="s">
        <v>11</v>
      </c>
      <c r="F801" s="19" t="s">
        <v>58</v>
      </c>
      <c r="G801" s="19" t="s">
        <v>177</v>
      </c>
      <c r="H801" s="19" t="s">
        <v>31</v>
      </c>
      <c r="I801">
        <v>1220</v>
      </c>
      <c r="J801">
        <v>2</v>
      </c>
      <c r="K801" s="1" t="s">
        <v>65</v>
      </c>
    </row>
    <row r="802" spans="1:11">
      <c r="A802" s="17" t="s">
        <v>69</v>
      </c>
      <c r="B802" s="19" t="s">
        <v>50</v>
      </c>
      <c r="C802" s="19" t="s">
        <v>1014</v>
      </c>
      <c r="D802" s="19" t="s">
        <v>1015</v>
      </c>
      <c r="E802" s="20" t="s">
        <v>11</v>
      </c>
      <c r="F802" s="19" t="s">
        <v>58</v>
      </c>
      <c r="G802" s="19" t="s">
        <v>177</v>
      </c>
      <c r="H802" s="19" t="s">
        <v>31</v>
      </c>
      <c r="I802">
        <v>19806</v>
      </c>
      <c r="J802">
        <v>13</v>
      </c>
      <c r="K802" s="1" t="s">
        <v>66</v>
      </c>
    </row>
    <row r="803" spans="1:11">
      <c r="A803" s="17" t="s">
        <v>69</v>
      </c>
      <c r="B803" s="19" t="s">
        <v>50</v>
      </c>
      <c r="C803" s="19" t="s">
        <v>1014</v>
      </c>
      <c r="D803" s="19" t="s">
        <v>1015</v>
      </c>
      <c r="E803" s="20" t="s">
        <v>11</v>
      </c>
      <c r="F803" s="19" t="s">
        <v>58</v>
      </c>
      <c r="G803" s="19" t="s">
        <v>177</v>
      </c>
      <c r="H803" s="19" t="s">
        <v>31</v>
      </c>
      <c r="I803">
        <v>602</v>
      </c>
      <c r="J803">
        <v>2</v>
      </c>
      <c r="K803" s="1" t="s">
        <v>65</v>
      </c>
    </row>
    <row r="804" spans="1:11">
      <c r="A804" s="17" t="s">
        <v>69</v>
      </c>
      <c r="B804" s="19" t="s">
        <v>50</v>
      </c>
      <c r="C804" s="19" t="s">
        <v>1016</v>
      </c>
      <c r="D804" s="19" t="s">
        <v>1017</v>
      </c>
      <c r="E804" s="20" t="s">
        <v>11</v>
      </c>
      <c r="F804" s="19" t="s">
        <v>58</v>
      </c>
      <c r="G804" s="19" t="s">
        <v>177</v>
      </c>
      <c r="H804" s="19" t="s">
        <v>31</v>
      </c>
      <c r="I804">
        <v>5443</v>
      </c>
      <c r="J804">
        <v>6</v>
      </c>
      <c r="K804" s="1" t="s">
        <v>66</v>
      </c>
    </row>
    <row r="805" spans="1:11">
      <c r="A805" s="17" t="s">
        <v>69</v>
      </c>
      <c r="B805" s="19" t="s">
        <v>50</v>
      </c>
      <c r="C805" s="19" t="s">
        <v>1016</v>
      </c>
      <c r="D805" s="19" t="s">
        <v>1017</v>
      </c>
      <c r="E805" s="20" t="s">
        <v>11</v>
      </c>
      <c r="F805" s="19" t="s">
        <v>58</v>
      </c>
      <c r="G805" s="19" t="s">
        <v>177</v>
      </c>
      <c r="H805" s="19" t="s">
        <v>31</v>
      </c>
      <c r="I805">
        <v>277</v>
      </c>
      <c r="J805">
        <v>21</v>
      </c>
      <c r="K805" s="1" t="s">
        <v>65</v>
      </c>
    </row>
    <row r="806" spans="1:11">
      <c r="A806" s="17" t="s">
        <v>69</v>
      </c>
      <c r="B806" s="19" t="s">
        <v>50</v>
      </c>
      <c r="C806" s="19" t="s">
        <v>1018</v>
      </c>
      <c r="D806" s="19" t="s">
        <v>1019</v>
      </c>
      <c r="E806" s="20" t="s">
        <v>11</v>
      </c>
      <c r="F806" s="19" t="s">
        <v>58</v>
      </c>
      <c r="G806" s="19" t="s">
        <v>177</v>
      </c>
      <c r="H806" s="19" t="s">
        <v>31</v>
      </c>
      <c r="I806">
        <v>4939</v>
      </c>
      <c r="J806">
        <v>6</v>
      </c>
      <c r="K806" s="1" t="s">
        <v>66</v>
      </c>
    </row>
    <row r="807" spans="1:11">
      <c r="A807" s="17" t="s">
        <v>69</v>
      </c>
      <c r="B807" s="19" t="s">
        <v>50</v>
      </c>
      <c r="C807" s="19" t="s">
        <v>1018</v>
      </c>
      <c r="D807" s="19" t="s">
        <v>1019</v>
      </c>
      <c r="E807" s="20" t="s">
        <v>11</v>
      </c>
      <c r="F807" s="19" t="s">
        <v>58</v>
      </c>
      <c r="G807" s="19" t="s">
        <v>177</v>
      </c>
      <c r="H807" s="19" t="s">
        <v>31</v>
      </c>
      <c r="I807">
        <v>949</v>
      </c>
      <c r="J807">
        <v>83</v>
      </c>
      <c r="K807" s="1" t="s">
        <v>65</v>
      </c>
    </row>
    <row r="808" spans="1:11">
      <c r="A808" s="17" t="s">
        <v>69</v>
      </c>
      <c r="B808" s="19" t="s">
        <v>50</v>
      </c>
      <c r="C808" s="19" t="s">
        <v>1020</v>
      </c>
      <c r="D808" s="19" t="s">
        <v>1021</v>
      </c>
      <c r="E808" s="20" t="s">
        <v>11</v>
      </c>
      <c r="F808" s="19" t="s">
        <v>58</v>
      </c>
      <c r="G808" s="19" t="s">
        <v>177</v>
      </c>
      <c r="H808" s="19" t="s">
        <v>31</v>
      </c>
      <c r="I808">
        <v>5043</v>
      </c>
      <c r="J808">
        <v>8</v>
      </c>
      <c r="K808" s="1" t="s">
        <v>66</v>
      </c>
    </row>
    <row r="809" spans="1:11">
      <c r="A809" s="17" t="s">
        <v>69</v>
      </c>
      <c r="B809" s="19" t="s">
        <v>50</v>
      </c>
      <c r="C809" s="19" t="s">
        <v>1020</v>
      </c>
      <c r="D809" s="19" t="s">
        <v>1021</v>
      </c>
      <c r="E809" s="20" t="s">
        <v>11</v>
      </c>
      <c r="F809" s="19" t="s">
        <v>58</v>
      </c>
      <c r="G809" s="19" t="s">
        <v>177</v>
      </c>
      <c r="H809" s="19" t="s">
        <v>31</v>
      </c>
      <c r="I809">
        <v>716</v>
      </c>
      <c r="J809">
        <v>47</v>
      </c>
      <c r="K809" s="1" t="s">
        <v>65</v>
      </c>
    </row>
    <row r="810" spans="1:11">
      <c r="A810" s="17" t="s">
        <v>69</v>
      </c>
      <c r="B810" s="19" t="s">
        <v>50</v>
      </c>
      <c r="C810" s="19" t="s">
        <v>1022</v>
      </c>
      <c r="D810" s="19" t="s">
        <v>1023</v>
      </c>
      <c r="E810" s="20" t="s">
        <v>11</v>
      </c>
      <c r="F810" s="19" t="s">
        <v>58</v>
      </c>
      <c r="G810" s="19" t="s">
        <v>177</v>
      </c>
      <c r="H810" s="19" t="s">
        <v>31</v>
      </c>
      <c r="I810">
        <v>5106</v>
      </c>
      <c r="J810">
        <v>8</v>
      </c>
      <c r="K810" s="1" t="s">
        <v>66</v>
      </c>
    </row>
    <row r="811" spans="1:11">
      <c r="A811" s="17" t="s">
        <v>69</v>
      </c>
      <c r="B811" s="19" t="s">
        <v>50</v>
      </c>
      <c r="C811" s="19" t="s">
        <v>1022</v>
      </c>
      <c r="D811" s="19" t="s">
        <v>1023</v>
      </c>
      <c r="E811" s="20" t="s">
        <v>11</v>
      </c>
      <c r="F811" s="19" t="s">
        <v>58</v>
      </c>
      <c r="G811" s="19" t="s">
        <v>177</v>
      </c>
      <c r="H811" s="19" t="s">
        <v>31</v>
      </c>
      <c r="I811">
        <v>649</v>
      </c>
      <c r="J811">
        <v>53</v>
      </c>
      <c r="K811" s="1" t="s">
        <v>65</v>
      </c>
    </row>
    <row r="812" spans="1:11">
      <c r="A812" s="17" t="s">
        <v>69</v>
      </c>
      <c r="B812" s="19" t="s">
        <v>50</v>
      </c>
      <c r="C812" s="19" t="s">
        <v>1024</v>
      </c>
      <c r="D812" s="19" t="s">
        <v>1025</v>
      </c>
      <c r="E812" s="20" t="s">
        <v>11</v>
      </c>
      <c r="F812" s="19" t="s">
        <v>58</v>
      </c>
      <c r="G812" s="19" t="s">
        <v>177</v>
      </c>
      <c r="H812" s="19" t="s">
        <v>31</v>
      </c>
      <c r="I812">
        <v>4421</v>
      </c>
      <c r="J812">
        <v>2</v>
      </c>
      <c r="K812" s="1" t="s">
        <v>66</v>
      </c>
    </row>
    <row r="813" spans="1:11">
      <c r="A813" s="17" t="s">
        <v>69</v>
      </c>
      <c r="B813" s="19" t="s">
        <v>50</v>
      </c>
      <c r="C813" s="19" t="s">
        <v>1024</v>
      </c>
      <c r="D813" s="19" t="s">
        <v>1025</v>
      </c>
      <c r="E813" s="20" t="s">
        <v>11</v>
      </c>
      <c r="F813" s="19" t="s">
        <v>58</v>
      </c>
      <c r="G813" s="19" t="s">
        <v>177</v>
      </c>
      <c r="H813" s="19" t="s">
        <v>31</v>
      </c>
      <c r="I813">
        <v>2295</v>
      </c>
      <c r="J813">
        <v>0</v>
      </c>
      <c r="K813" s="1" t="s">
        <v>65</v>
      </c>
    </row>
    <row r="814" spans="1:11">
      <c r="A814" s="17" t="s">
        <v>69</v>
      </c>
      <c r="B814" s="19" t="s">
        <v>50</v>
      </c>
      <c r="C814" s="19" t="s">
        <v>1026</v>
      </c>
      <c r="D814" s="19" t="s">
        <v>1027</v>
      </c>
      <c r="E814" s="20" t="s">
        <v>11</v>
      </c>
      <c r="F814" s="19" t="s">
        <v>58</v>
      </c>
      <c r="G814" s="19" t="s">
        <v>177</v>
      </c>
      <c r="H814" s="19" t="s">
        <v>31</v>
      </c>
      <c r="I814">
        <v>1824</v>
      </c>
      <c r="J814">
        <v>1</v>
      </c>
      <c r="K814" s="1" t="s">
        <v>66</v>
      </c>
    </row>
    <row r="815" spans="1:11">
      <c r="A815" s="17" t="s">
        <v>69</v>
      </c>
      <c r="B815" s="19" t="s">
        <v>50</v>
      </c>
      <c r="C815" s="19" t="s">
        <v>1026</v>
      </c>
      <c r="D815" s="19" t="s">
        <v>1027</v>
      </c>
      <c r="E815" s="20" t="s">
        <v>11</v>
      </c>
      <c r="F815" s="19" t="s">
        <v>58</v>
      </c>
      <c r="G815" s="19" t="s">
        <v>177</v>
      </c>
      <c r="H815" s="19" t="s">
        <v>31</v>
      </c>
      <c r="I815">
        <v>1341</v>
      </c>
      <c r="J815">
        <v>0</v>
      </c>
      <c r="K815" s="1" t="s">
        <v>65</v>
      </c>
    </row>
    <row r="816" spans="1:11">
      <c r="A816" s="17" t="s">
        <v>69</v>
      </c>
      <c r="B816" s="19" t="s">
        <v>50</v>
      </c>
      <c r="C816" s="19" t="s">
        <v>1028</v>
      </c>
      <c r="D816" s="19" t="s">
        <v>1029</v>
      </c>
      <c r="E816" s="20" t="s">
        <v>11</v>
      </c>
      <c r="F816" s="19" t="s">
        <v>58</v>
      </c>
      <c r="G816" s="19" t="s">
        <v>177</v>
      </c>
      <c r="H816" s="19" t="s">
        <v>31</v>
      </c>
      <c r="I816">
        <v>2499</v>
      </c>
      <c r="J816">
        <v>1</v>
      </c>
      <c r="K816" s="1" t="s">
        <v>66</v>
      </c>
    </row>
    <row r="817" spans="1:11">
      <c r="A817" s="17" t="s">
        <v>69</v>
      </c>
      <c r="B817" s="19" t="s">
        <v>50</v>
      </c>
      <c r="C817" s="19" t="s">
        <v>1028</v>
      </c>
      <c r="D817" s="19" t="s">
        <v>1029</v>
      </c>
      <c r="E817" s="20" t="s">
        <v>11</v>
      </c>
      <c r="F817" s="19" t="s">
        <v>58</v>
      </c>
      <c r="G817" s="19" t="s">
        <v>177</v>
      </c>
      <c r="H817" s="19" t="s">
        <v>31</v>
      </c>
      <c r="I817">
        <v>1237</v>
      </c>
      <c r="J817">
        <v>0</v>
      </c>
      <c r="K817" s="1" t="s">
        <v>65</v>
      </c>
    </row>
    <row r="818" spans="1:11">
      <c r="A818" s="17" t="s">
        <v>69</v>
      </c>
      <c r="B818" s="19" t="s">
        <v>50</v>
      </c>
      <c r="C818" s="19" t="s">
        <v>1030</v>
      </c>
      <c r="D818" s="19" t="s">
        <v>1031</v>
      </c>
      <c r="E818" s="20" t="s">
        <v>11</v>
      </c>
      <c r="F818" s="19" t="s">
        <v>58</v>
      </c>
      <c r="G818" s="19" t="s">
        <v>177</v>
      </c>
      <c r="H818" s="19" t="s">
        <v>31</v>
      </c>
      <c r="I818">
        <v>3530</v>
      </c>
      <c r="J818">
        <v>1</v>
      </c>
      <c r="K818" s="1" t="s">
        <v>66</v>
      </c>
    </row>
    <row r="819" spans="1:11">
      <c r="A819" s="17" t="s">
        <v>69</v>
      </c>
      <c r="B819" s="19" t="s">
        <v>50</v>
      </c>
      <c r="C819" s="19" t="s">
        <v>1030</v>
      </c>
      <c r="D819" s="19" t="s">
        <v>1031</v>
      </c>
      <c r="E819" s="20" t="s">
        <v>11</v>
      </c>
      <c r="F819" s="19" t="s">
        <v>58</v>
      </c>
      <c r="G819" s="19" t="s">
        <v>177</v>
      </c>
      <c r="H819" s="19" t="s">
        <v>31</v>
      </c>
      <c r="I819">
        <v>2113</v>
      </c>
      <c r="J819">
        <v>0</v>
      </c>
      <c r="K819" s="1" t="s">
        <v>65</v>
      </c>
    </row>
    <row r="820" spans="1:11">
      <c r="A820" s="17" t="s">
        <v>69</v>
      </c>
      <c r="B820" s="19" t="s">
        <v>50</v>
      </c>
      <c r="C820" s="19" t="s">
        <v>1032</v>
      </c>
      <c r="D820" s="19" t="s">
        <v>1033</v>
      </c>
      <c r="E820" s="20" t="s">
        <v>11</v>
      </c>
      <c r="F820" s="19" t="s">
        <v>58</v>
      </c>
      <c r="G820" s="19" t="s">
        <v>177</v>
      </c>
      <c r="H820" s="19" t="s">
        <v>31</v>
      </c>
      <c r="I820">
        <v>1156</v>
      </c>
      <c r="J820">
        <v>1</v>
      </c>
      <c r="K820" s="1" t="s">
        <v>65</v>
      </c>
    </row>
    <row r="821" spans="1:11">
      <c r="A821" s="17" t="s">
        <v>69</v>
      </c>
      <c r="B821" s="19" t="s">
        <v>50</v>
      </c>
      <c r="C821" s="19" t="s">
        <v>1034</v>
      </c>
      <c r="D821" s="19" t="s">
        <v>1035</v>
      </c>
      <c r="E821" s="20" t="s">
        <v>11</v>
      </c>
      <c r="F821" s="19" t="s">
        <v>58</v>
      </c>
      <c r="G821" s="19" t="s">
        <v>177</v>
      </c>
      <c r="H821" s="19" t="s">
        <v>31</v>
      </c>
      <c r="I821">
        <v>3470</v>
      </c>
      <c r="J821">
        <v>2</v>
      </c>
      <c r="K821" s="1" t="s">
        <v>66</v>
      </c>
    </row>
    <row r="822" spans="1:11">
      <c r="A822" s="17" t="s">
        <v>69</v>
      </c>
      <c r="B822" s="19" t="s">
        <v>50</v>
      </c>
      <c r="C822" s="19" t="s">
        <v>1034</v>
      </c>
      <c r="D822" s="19" t="s">
        <v>1035</v>
      </c>
      <c r="E822" s="20" t="s">
        <v>11</v>
      </c>
      <c r="F822" s="19" t="s">
        <v>58</v>
      </c>
      <c r="G822" s="19" t="s">
        <v>177</v>
      </c>
      <c r="H822" s="19" t="s">
        <v>31</v>
      </c>
      <c r="I822">
        <v>2599</v>
      </c>
      <c r="J822">
        <v>0</v>
      </c>
      <c r="K822" s="1" t="s">
        <v>65</v>
      </c>
    </row>
    <row r="823" spans="1:11">
      <c r="A823" s="17" t="s">
        <v>69</v>
      </c>
      <c r="B823" s="19" t="s">
        <v>50</v>
      </c>
      <c r="C823" s="19" t="s">
        <v>1036</v>
      </c>
      <c r="D823" s="19" t="s">
        <v>1037</v>
      </c>
      <c r="E823" s="20" t="s">
        <v>11</v>
      </c>
      <c r="F823" s="19" t="s">
        <v>58</v>
      </c>
      <c r="G823" s="19" t="s">
        <v>177</v>
      </c>
      <c r="H823" s="19" t="s">
        <v>31</v>
      </c>
      <c r="I823">
        <v>1226</v>
      </c>
      <c r="J823">
        <v>0</v>
      </c>
      <c r="K823" s="1" t="s">
        <v>66</v>
      </c>
    </row>
    <row r="824" spans="1:11">
      <c r="A824" s="17" t="s">
        <v>69</v>
      </c>
      <c r="B824" s="19" t="s">
        <v>50</v>
      </c>
      <c r="C824" s="19" t="s">
        <v>1036</v>
      </c>
      <c r="D824" s="19" t="s">
        <v>1037</v>
      </c>
      <c r="E824" s="20" t="s">
        <v>11</v>
      </c>
      <c r="F824" s="19" t="s">
        <v>58</v>
      </c>
      <c r="G824" s="19" t="s">
        <v>177</v>
      </c>
      <c r="H824" s="19" t="s">
        <v>31</v>
      </c>
      <c r="I824">
        <v>1836</v>
      </c>
      <c r="J824">
        <v>1</v>
      </c>
      <c r="K824" s="1" t="s">
        <v>65</v>
      </c>
    </row>
    <row r="825" spans="1:11">
      <c r="A825" s="17" t="s">
        <v>69</v>
      </c>
      <c r="B825" s="19" t="s">
        <v>50</v>
      </c>
      <c r="C825" s="19" t="s">
        <v>1038</v>
      </c>
      <c r="D825" s="19" t="s">
        <v>1039</v>
      </c>
      <c r="E825" s="20" t="s">
        <v>11</v>
      </c>
      <c r="F825" s="19" t="s">
        <v>58</v>
      </c>
      <c r="G825" s="19" t="s">
        <v>177</v>
      </c>
      <c r="H825" s="19" t="s">
        <v>31</v>
      </c>
      <c r="I825">
        <v>836</v>
      </c>
      <c r="J825">
        <v>0</v>
      </c>
      <c r="K825" s="1" t="s">
        <v>66</v>
      </c>
    </row>
    <row r="826" spans="1:11">
      <c r="A826" s="17" t="s">
        <v>69</v>
      </c>
      <c r="B826" s="19" t="s">
        <v>50</v>
      </c>
      <c r="C826" s="19" t="s">
        <v>1038</v>
      </c>
      <c r="D826" s="19" t="s">
        <v>1039</v>
      </c>
      <c r="E826" s="20" t="s">
        <v>11</v>
      </c>
      <c r="F826" s="19" t="s">
        <v>58</v>
      </c>
      <c r="G826" s="19" t="s">
        <v>177</v>
      </c>
      <c r="H826" s="19" t="s">
        <v>31</v>
      </c>
      <c r="I826">
        <v>6</v>
      </c>
      <c r="J826">
        <v>0</v>
      </c>
      <c r="K826" s="1" t="s">
        <v>65</v>
      </c>
    </row>
    <row r="827" spans="1:11">
      <c r="A827" s="17" t="s">
        <v>69</v>
      </c>
      <c r="B827" s="19" t="s">
        <v>50</v>
      </c>
      <c r="C827" s="19" t="s">
        <v>1040</v>
      </c>
      <c r="D827" s="19" t="s">
        <v>1041</v>
      </c>
      <c r="E827" s="20" t="s">
        <v>11</v>
      </c>
      <c r="F827" s="19" t="s">
        <v>58</v>
      </c>
      <c r="G827" s="19" t="s">
        <v>177</v>
      </c>
      <c r="H827" s="19" t="s">
        <v>31</v>
      </c>
      <c r="I827">
        <v>2123</v>
      </c>
      <c r="J827">
        <v>1</v>
      </c>
      <c r="K827" s="1" t="s">
        <v>66</v>
      </c>
    </row>
    <row r="828" spans="1:11">
      <c r="A828" s="17" t="s">
        <v>69</v>
      </c>
      <c r="B828" s="19" t="s">
        <v>50</v>
      </c>
      <c r="C828" s="19" t="s">
        <v>1040</v>
      </c>
      <c r="D828" s="19" t="s">
        <v>1041</v>
      </c>
      <c r="E828" s="20" t="s">
        <v>11</v>
      </c>
      <c r="F828" s="19" t="s">
        <v>58</v>
      </c>
      <c r="G828" s="19" t="s">
        <v>177</v>
      </c>
      <c r="H828" s="19" t="s">
        <v>31</v>
      </c>
      <c r="I828">
        <v>2784</v>
      </c>
      <c r="J828">
        <v>0</v>
      </c>
      <c r="K828" s="1" t="s">
        <v>65</v>
      </c>
    </row>
    <row r="829" spans="1:11">
      <c r="A829" s="17" t="s">
        <v>69</v>
      </c>
      <c r="B829" s="19" t="s">
        <v>50</v>
      </c>
      <c r="C829" s="19" t="s">
        <v>1042</v>
      </c>
      <c r="D829" s="19" t="s">
        <v>1043</v>
      </c>
      <c r="E829" s="20" t="s">
        <v>11</v>
      </c>
      <c r="F829" s="19" t="s">
        <v>58</v>
      </c>
      <c r="G829" s="19" t="s">
        <v>177</v>
      </c>
      <c r="H829" s="19" t="s">
        <v>31</v>
      </c>
      <c r="I829">
        <v>7228</v>
      </c>
      <c r="J829">
        <v>0</v>
      </c>
      <c r="K829" s="1" t="s">
        <v>66</v>
      </c>
    </row>
    <row r="830" spans="1:11">
      <c r="A830" s="17" t="s">
        <v>69</v>
      </c>
      <c r="B830" s="19" t="s">
        <v>50</v>
      </c>
      <c r="C830" s="19" t="s">
        <v>1042</v>
      </c>
      <c r="D830" s="19" t="s">
        <v>1043</v>
      </c>
      <c r="E830" s="20" t="s">
        <v>11</v>
      </c>
      <c r="F830" s="19" t="s">
        <v>58</v>
      </c>
      <c r="G830" s="19" t="s">
        <v>177</v>
      </c>
      <c r="H830" s="19" t="s">
        <v>31</v>
      </c>
      <c r="I830">
        <v>4182</v>
      </c>
      <c r="J830">
        <v>2</v>
      </c>
      <c r="K830" s="1" t="s">
        <v>65</v>
      </c>
    </row>
    <row r="831" spans="1:11">
      <c r="A831" s="17" t="s">
        <v>69</v>
      </c>
      <c r="B831" s="19" t="s">
        <v>50</v>
      </c>
      <c r="C831" s="19" t="s">
        <v>1044</v>
      </c>
      <c r="D831" s="19" t="s">
        <v>1045</v>
      </c>
      <c r="E831" s="20" t="s">
        <v>11</v>
      </c>
      <c r="F831" s="19" t="s">
        <v>58</v>
      </c>
      <c r="G831" s="19" t="s">
        <v>177</v>
      </c>
      <c r="H831" s="19" t="s">
        <v>31</v>
      </c>
      <c r="I831">
        <v>6892</v>
      </c>
      <c r="J831">
        <v>4</v>
      </c>
      <c r="K831" s="1" t="s">
        <v>66</v>
      </c>
    </row>
    <row r="832" spans="1:11">
      <c r="A832" s="17" t="s">
        <v>69</v>
      </c>
      <c r="B832" s="19" t="s">
        <v>50</v>
      </c>
      <c r="C832" s="19" t="s">
        <v>1044</v>
      </c>
      <c r="D832" s="19" t="s">
        <v>1045</v>
      </c>
      <c r="E832" s="20" t="s">
        <v>11</v>
      </c>
      <c r="F832" s="19" t="s">
        <v>58</v>
      </c>
      <c r="G832" s="19" t="s">
        <v>177</v>
      </c>
      <c r="H832" s="19" t="s">
        <v>31</v>
      </c>
      <c r="I832">
        <v>4335</v>
      </c>
      <c r="J832">
        <v>1</v>
      </c>
      <c r="K832" s="1" t="s">
        <v>65</v>
      </c>
    </row>
    <row r="833" spans="1:11">
      <c r="A833" s="17" t="s">
        <v>69</v>
      </c>
      <c r="B833" s="19" t="s">
        <v>50</v>
      </c>
      <c r="C833" s="19" t="s">
        <v>1046</v>
      </c>
      <c r="D833" s="19" t="s">
        <v>1047</v>
      </c>
      <c r="E833" s="20" t="s">
        <v>11</v>
      </c>
      <c r="F833" s="19" t="s">
        <v>58</v>
      </c>
      <c r="G833" s="19" t="s">
        <v>177</v>
      </c>
      <c r="H833" s="19" t="s">
        <v>31</v>
      </c>
      <c r="I833">
        <v>4070</v>
      </c>
      <c r="J833">
        <v>0</v>
      </c>
      <c r="K833" s="1" t="s">
        <v>66</v>
      </c>
    </row>
    <row r="834" spans="1:11">
      <c r="A834" s="17" t="s">
        <v>69</v>
      </c>
      <c r="B834" s="19" t="s">
        <v>50</v>
      </c>
      <c r="C834" s="19" t="s">
        <v>1046</v>
      </c>
      <c r="D834" s="19" t="s">
        <v>1047</v>
      </c>
      <c r="E834" s="20" t="s">
        <v>11</v>
      </c>
      <c r="F834" s="19" t="s">
        <v>58</v>
      </c>
      <c r="G834" s="19" t="s">
        <v>177</v>
      </c>
      <c r="H834" s="19" t="s">
        <v>31</v>
      </c>
      <c r="I834">
        <v>2254</v>
      </c>
      <c r="J834">
        <v>0</v>
      </c>
      <c r="K834" s="1" t="s">
        <v>65</v>
      </c>
    </row>
    <row r="835" spans="1:11">
      <c r="A835" s="17" t="s">
        <v>69</v>
      </c>
      <c r="B835" s="19" t="s">
        <v>50</v>
      </c>
      <c r="C835" s="19" t="s">
        <v>1048</v>
      </c>
      <c r="D835" s="19" t="s">
        <v>1049</v>
      </c>
      <c r="E835" s="20" t="s">
        <v>11</v>
      </c>
      <c r="F835" s="19" t="s">
        <v>58</v>
      </c>
      <c r="G835" s="19" t="s">
        <v>177</v>
      </c>
      <c r="H835" s="19" t="s">
        <v>31</v>
      </c>
      <c r="I835">
        <v>3838</v>
      </c>
      <c r="J835">
        <v>1</v>
      </c>
      <c r="K835" s="1" t="s">
        <v>66</v>
      </c>
    </row>
    <row r="836" spans="1:11">
      <c r="A836" s="17" t="s">
        <v>69</v>
      </c>
      <c r="B836" s="19" t="s">
        <v>50</v>
      </c>
      <c r="C836" s="19" t="s">
        <v>1048</v>
      </c>
      <c r="D836" s="19" t="s">
        <v>1049</v>
      </c>
      <c r="E836" s="20" t="s">
        <v>11</v>
      </c>
      <c r="F836" s="19" t="s">
        <v>58</v>
      </c>
      <c r="G836" s="19" t="s">
        <v>177</v>
      </c>
      <c r="H836" s="19" t="s">
        <v>31</v>
      </c>
      <c r="I836">
        <v>2160</v>
      </c>
      <c r="J836">
        <v>1</v>
      </c>
      <c r="K836" s="1" t="s">
        <v>65</v>
      </c>
    </row>
    <row r="837" spans="1:11">
      <c r="A837" s="17" t="s">
        <v>69</v>
      </c>
      <c r="B837" s="19" t="s">
        <v>50</v>
      </c>
      <c r="C837" s="19" t="s">
        <v>1050</v>
      </c>
      <c r="D837" s="19" t="s">
        <v>1051</v>
      </c>
      <c r="E837" s="20" t="s">
        <v>11</v>
      </c>
      <c r="F837" s="19" t="s">
        <v>58</v>
      </c>
      <c r="G837" s="19" t="s">
        <v>177</v>
      </c>
      <c r="H837" s="19" t="s">
        <v>31</v>
      </c>
      <c r="I837">
        <v>4588</v>
      </c>
      <c r="J837">
        <v>4</v>
      </c>
      <c r="K837" s="1" t="s">
        <v>66</v>
      </c>
    </row>
    <row r="838" spans="1:11">
      <c r="A838" s="17" t="s">
        <v>69</v>
      </c>
      <c r="B838" s="19" t="s">
        <v>50</v>
      </c>
      <c r="C838" s="19" t="s">
        <v>1050</v>
      </c>
      <c r="D838" s="19" t="s">
        <v>1051</v>
      </c>
      <c r="E838" s="20" t="s">
        <v>11</v>
      </c>
      <c r="F838" s="19" t="s">
        <v>58</v>
      </c>
      <c r="G838" s="19" t="s">
        <v>177</v>
      </c>
      <c r="H838" s="19" t="s">
        <v>31</v>
      </c>
      <c r="I838">
        <v>2371</v>
      </c>
      <c r="J838">
        <v>0</v>
      </c>
      <c r="K838" s="1" t="s">
        <v>65</v>
      </c>
    </row>
    <row r="839" spans="1:11">
      <c r="A839" s="17" t="s">
        <v>69</v>
      </c>
      <c r="B839" s="19" t="s">
        <v>50</v>
      </c>
      <c r="C839" s="19" t="s">
        <v>1052</v>
      </c>
      <c r="D839" s="19" t="s">
        <v>1053</v>
      </c>
      <c r="E839" s="20" t="s">
        <v>11</v>
      </c>
      <c r="F839" s="19" t="s">
        <v>58</v>
      </c>
      <c r="G839" s="19" t="s">
        <v>177</v>
      </c>
      <c r="H839" s="19" t="s">
        <v>31</v>
      </c>
      <c r="I839">
        <v>4756</v>
      </c>
      <c r="J839">
        <v>4</v>
      </c>
      <c r="K839" s="1" t="s">
        <v>66</v>
      </c>
    </row>
    <row r="840" spans="1:11">
      <c r="A840" s="17" t="s">
        <v>69</v>
      </c>
      <c r="B840" s="19" t="s">
        <v>50</v>
      </c>
      <c r="C840" s="19" t="s">
        <v>1052</v>
      </c>
      <c r="D840" s="19" t="s">
        <v>1053</v>
      </c>
      <c r="E840" s="20" t="s">
        <v>11</v>
      </c>
      <c r="F840" s="19" t="s">
        <v>58</v>
      </c>
      <c r="G840" s="19" t="s">
        <v>177</v>
      </c>
      <c r="H840" s="19" t="s">
        <v>31</v>
      </c>
      <c r="I840">
        <v>2755</v>
      </c>
      <c r="J840">
        <v>0</v>
      </c>
      <c r="K840" s="1" t="s">
        <v>65</v>
      </c>
    </row>
    <row r="841" spans="1:11">
      <c r="A841" s="17" t="s">
        <v>69</v>
      </c>
      <c r="B841" s="19" t="s">
        <v>50</v>
      </c>
      <c r="C841" s="19" t="s">
        <v>1054</v>
      </c>
      <c r="D841" s="19" t="s">
        <v>1055</v>
      </c>
      <c r="E841" s="20" t="s">
        <v>11</v>
      </c>
      <c r="F841" s="19" t="s">
        <v>58</v>
      </c>
      <c r="G841" s="19" t="s">
        <v>177</v>
      </c>
      <c r="H841" s="19" t="s">
        <v>31</v>
      </c>
      <c r="I841">
        <v>4623</v>
      </c>
      <c r="J841">
        <v>2</v>
      </c>
      <c r="K841" s="1" t="s">
        <v>66</v>
      </c>
    </row>
    <row r="842" spans="1:11">
      <c r="A842" s="17" t="s">
        <v>69</v>
      </c>
      <c r="B842" s="19" t="s">
        <v>50</v>
      </c>
      <c r="C842" s="19" t="s">
        <v>1054</v>
      </c>
      <c r="D842" s="19" t="s">
        <v>1055</v>
      </c>
      <c r="E842" s="20" t="s">
        <v>11</v>
      </c>
      <c r="F842" s="19" t="s">
        <v>58</v>
      </c>
      <c r="G842" s="19" t="s">
        <v>177</v>
      </c>
      <c r="H842" s="19" t="s">
        <v>31</v>
      </c>
      <c r="I842">
        <v>2497</v>
      </c>
      <c r="J842">
        <v>0</v>
      </c>
      <c r="K842" s="1" t="s">
        <v>65</v>
      </c>
    </row>
    <row r="843" spans="1:11">
      <c r="A843" s="17" t="s">
        <v>69</v>
      </c>
      <c r="B843" s="19" t="s">
        <v>50</v>
      </c>
      <c r="C843" s="19" t="s">
        <v>1056</v>
      </c>
      <c r="D843" s="19" t="s">
        <v>1057</v>
      </c>
      <c r="E843" s="20" t="s">
        <v>11</v>
      </c>
      <c r="F843" s="19" t="s">
        <v>58</v>
      </c>
      <c r="G843" s="19" t="s">
        <v>177</v>
      </c>
      <c r="H843" s="19" t="s">
        <v>31</v>
      </c>
      <c r="I843">
        <v>4556</v>
      </c>
      <c r="J843">
        <v>5</v>
      </c>
      <c r="K843" s="1" t="s">
        <v>66</v>
      </c>
    </row>
    <row r="844" spans="1:11">
      <c r="A844" s="17" t="s">
        <v>69</v>
      </c>
      <c r="B844" s="19" t="s">
        <v>50</v>
      </c>
      <c r="C844" s="19" t="s">
        <v>1056</v>
      </c>
      <c r="D844" s="19" t="s">
        <v>1057</v>
      </c>
      <c r="E844" s="20" t="s">
        <v>11</v>
      </c>
      <c r="F844" s="19" t="s">
        <v>58</v>
      </c>
      <c r="G844" s="19" t="s">
        <v>177</v>
      </c>
      <c r="H844" s="19" t="s">
        <v>31</v>
      </c>
      <c r="I844">
        <v>3433</v>
      </c>
      <c r="J844">
        <v>0</v>
      </c>
      <c r="K844" s="1" t="s">
        <v>65</v>
      </c>
    </row>
    <row r="845" spans="1:11">
      <c r="A845" s="17" t="s">
        <v>69</v>
      </c>
      <c r="B845" s="19" t="s">
        <v>50</v>
      </c>
      <c r="C845" s="19" t="s">
        <v>1058</v>
      </c>
      <c r="D845" s="19" t="s">
        <v>1059</v>
      </c>
      <c r="E845" s="20" t="s">
        <v>11</v>
      </c>
      <c r="F845" s="19" t="s">
        <v>58</v>
      </c>
      <c r="G845" s="19" t="s">
        <v>177</v>
      </c>
      <c r="H845" s="19" t="s">
        <v>31</v>
      </c>
      <c r="I845">
        <v>4618</v>
      </c>
      <c r="J845">
        <v>2</v>
      </c>
      <c r="K845" s="1" t="s">
        <v>66</v>
      </c>
    </row>
    <row r="846" spans="1:11">
      <c r="A846" s="17" t="s">
        <v>69</v>
      </c>
      <c r="B846" s="19" t="s">
        <v>50</v>
      </c>
      <c r="C846" s="19" t="s">
        <v>1058</v>
      </c>
      <c r="D846" s="19" t="s">
        <v>1059</v>
      </c>
      <c r="E846" s="20" t="s">
        <v>11</v>
      </c>
      <c r="F846" s="19" t="s">
        <v>58</v>
      </c>
      <c r="G846" s="19" t="s">
        <v>177</v>
      </c>
      <c r="H846" s="19" t="s">
        <v>31</v>
      </c>
      <c r="I846">
        <v>3321</v>
      </c>
      <c r="J846">
        <v>1</v>
      </c>
      <c r="K846" s="1" t="s">
        <v>65</v>
      </c>
    </row>
    <row r="847" spans="1:11">
      <c r="A847" s="17" t="s">
        <v>69</v>
      </c>
      <c r="B847" s="19" t="s">
        <v>50</v>
      </c>
      <c r="C847" s="19" t="s">
        <v>1060</v>
      </c>
      <c r="D847" s="19" t="s">
        <v>1061</v>
      </c>
      <c r="E847" s="20" t="s">
        <v>11</v>
      </c>
      <c r="F847" s="19" t="s">
        <v>58</v>
      </c>
      <c r="G847" s="19" t="s">
        <v>177</v>
      </c>
      <c r="H847" s="19" t="s">
        <v>31</v>
      </c>
      <c r="I847">
        <v>4703</v>
      </c>
      <c r="J847">
        <v>3</v>
      </c>
      <c r="K847" s="1" t="s">
        <v>66</v>
      </c>
    </row>
    <row r="848" spans="1:11">
      <c r="A848" s="17" t="s">
        <v>69</v>
      </c>
      <c r="B848" s="19" t="s">
        <v>50</v>
      </c>
      <c r="C848" s="19" t="s">
        <v>1060</v>
      </c>
      <c r="D848" s="19" t="s">
        <v>1061</v>
      </c>
      <c r="E848" s="20" t="s">
        <v>11</v>
      </c>
      <c r="F848" s="19" t="s">
        <v>58</v>
      </c>
      <c r="G848" s="19" t="s">
        <v>177</v>
      </c>
      <c r="H848" s="19" t="s">
        <v>31</v>
      </c>
      <c r="I848">
        <v>3376</v>
      </c>
      <c r="J848">
        <v>0</v>
      </c>
      <c r="K848" s="1" t="s">
        <v>65</v>
      </c>
    </row>
    <row r="849" spans="1:11">
      <c r="A849" s="17" t="s">
        <v>69</v>
      </c>
      <c r="B849" s="19" t="s">
        <v>50</v>
      </c>
      <c r="C849" s="19" t="s">
        <v>1062</v>
      </c>
      <c r="D849" s="19" t="s">
        <v>1063</v>
      </c>
      <c r="E849" s="20" t="s">
        <v>11</v>
      </c>
      <c r="F849" s="19" t="s">
        <v>58</v>
      </c>
      <c r="G849" s="19" t="s">
        <v>177</v>
      </c>
      <c r="H849" s="19" t="s">
        <v>31</v>
      </c>
      <c r="I849">
        <v>5309</v>
      </c>
      <c r="J849">
        <v>2</v>
      </c>
      <c r="K849" s="1" t="s">
        <v>66</v>
      </c>
    </row>
    <row r="850" spans="1:11">
      <c r="A850" s="17" t="s">
        <v>69</v>
      </c>
      <c r="B850" s="19" t="s">
        <v>50</v>
      </c>
      <c r="C850" s="19" t="s">
        <v>1062</v>
      </c>
      <c r="D850" s="19" t="s">
        <v>1063</v>
      </c>
      <c r="E850" s="20" t="s">
        <v>11</v>
      </c>
      <c r="F850" s="19" t="s">
        <v>58</v>
      </c>
      <c r="G850" s="19" t="s">
        <v>177</v>
      </c>
      <c r="H850" s="19" t="s">
        <v>31</v>
      </c>
      <c r="I850">
        <v>4542</v>
      </c>
      <c r="J850">
        <v>1</v>
      </c>
      <c r="K850" s="1" t="s">
        <v>65</v>
      </c>
    </row>
    <row r="851" spans="1:11">
      <c r="A851" s="17" t="s">
        <v>69</v>
      </c>
      <c r="B851" s="19" t="s">
        <v>50</v>
      </c>
      <c r="C851" s="19" t="s">
        <v>1064</v>
      </c>
      <c r="D851" s="19" t="s">
        <v>1065</v>
      </c>
      <c r="E851" s="20" t="s">
        <v>11</v>
      </c>
      <c r="F851" s="19" t="s">
        <v>58</v>
      </c>
      <c r="G851" s="19" t="s">
        <v>177</v>
      </c>
      <c r="H851" s="19" t="s">
        <v>31</v>
      </c>
      <c r="I851">
        <v>2026</v>
      </c>
      <c r="J851">
        <v>1</v>
      </c>
      <c r="K851" s="1" t="s">
        <v>66</v>
      </c>
    </row>
    <row r="852" spans="1:11">
      <c r="A852" s="17" t="s">
        <v>69</v>
      </c>
      <c r="B852" s="19" t="s">
        <v>50</v>
      </c>
      <c r="C852" s="19" t="s">
        <v>1064</v>
      </c>
      <c r="D852" s="19" t="s">
        <v>1065</v>
      </c>
      <c r="E852" s="20" t="s">
        <v>11</v>
      </c>
      <c r="F852" s="19" t="s">
        <v>58</v>
      </c>
      <c r="G852" s="19" t="s">
        <v>177</v>
      </c>
      <c r="H852" s="19" t="s">
        <v>31</v>
      </c>
      <c r="I852">
        <v>1402</v>
      </c>
      <c r="J852">
        <v>0</v>
      </c>
      <c r="K852" s="1" t="s">
        <v>65</v>
      </c>
    </row>
    <row r="853" spans="1:11">
      <c r="A853" s="17" t="s">
        <v>69</v>
      </c>
      <c r="B853" s="19" t="s">
        <v>50</v>
      </c>
      <c r="C853" s="19" t="s">
        <v>1066</v>
      </c>
      <c r="D853" s="19" t="s">
        <v>1067</v>
      </c>
      <c r="E853" s="20" t="s">
        <v>11</v>
      </c>
      <c r="F853" s="19" t="s">
        <v>58</v>
      </c>
      <c r="G853" s="19" t="s">
        <v>177</v>
      </c>
      <c r="H853" s="19" t="s">
        <v>31</v>
      </c>
      <c r="I853">
        <v>2101</v>
      </c>
      <c r="J853">
        <v>0</v>
      </c>
      <c r="K853" s="1" t="s">
        <v>66</v>
      </c>
    </row>
    <row r="854" spans="1:11">
      <c r="A854" s="17" t="s">
        <v>69</v>
      </c>
      <c r="B854" s="19" t="s">
        <v>50</v>
      </c>
      <c r="C854" s="19" t="s">
        <v>1066</v>
      </c>
      <c r="D854" s="19" t="s">
        <v>1067</v>
      </c>
      <c r="E854" s="20" t="s">
        <v>11</v>
      </c>
      <c r="F854" s="19" t="s">
        <v>58</v>
      </c>
      <c r="G854" s="19" t="s">
        <v>177</v>
      </c>
      <c r="H854" s="19" t="s">
        <v>31</v>
      </c>
      <c r="I854">
        <v>1416</v>
      </c>
      <c r="J854">
        <v>0</v>
      </c>
      <c r="K854" s="1" t="s">
        <v>65</v>
      </c>
    </row>
    <row r="855" spans="1:11">
      <c r="A855" s="17" t="s">
        <v>69</v>
      </c>
      <c r="B855" s="19" t="s">
        <v>50</v>
      </c>
      <c r="C855" s="19" t="s">
        <v>1068</v>
      </c>
      <c r="D855" s="19" t="s">
        <v>1069</v>
      </c>
      <c r="E855" s="20" t="s">
        <v>11</v>
      </c>
      <c r="F855" s="19" t="s">
        <v>58</v>
      </c>
      <c r="G855" s="19" t="s">
        <v>177</v>
      </c>
      <c r="H855" s="19" t="s">
        <v>31</v>
      </c>
      <c r="I855">
        <v>3168</v>
      </c>
      <c r="J855">
        <v>0</v>
      </c>
      <c r="K855" s="1" t="s">
        <v>66</v>
      </c>
    </row>
    <row r="856" spans="1:11">
      <c r="A856" s="17" t="s">
        <v>69</v>
      </c>
      <c r="B856" s="19" t="s">
        <v>50</v>
      </c>
      <c r="C856" s="19" t="s">
        <v>1068</v>
      </c>
      <c r="D856" s="19" t="s">
        <v>1069</v>
      </c>
      <c r="E856" s="20" t="s">
        <v>11</v>
      </c>
      <c r="F856" s="19" t="s">
        <v>58</v>
      </c>
      <c r="G856" s="19" t="s">
        <v>177</v>
      </c>
      <c r="H856" s="19" t="s">
        <v>31</v>
      </c>
      <c r="I856">
        <v>1479</v>
      </c>
      <c r="J856">
        <v>0</v>
      </c>
      <c r="K856" s="1" t="s">
        <v>65</v>
      </c>
    </row>
    <row r="857" spans="1:11">
      <c r="A857" s="17" t="s">
        <v>69</v>
      </c>
      <c r="B857" s="19" t="s">
        <v>50</v>
      </c>
      <c r="C857" s="19" t="s">
        <v>1070</v>
      </c>
      <c r="D857" s="19" t="s">
        <v>1071</v>
      </c>
      <c r="E857" s="20" t="s">
        <v>11</v>
      </c>
      <c r="F857" s="19" t="s">
        <v>58</v>
      </c>
      <c r="G857" s="19" t="s">
        <v>177</v>
      </c>
      <c r="H857" s="19" t="s">
        <v>31</v>
      </c>
      <c r="I857">
        <v>3474</v>
      </c>
      <c r="J857">
        <v>0</v>
      </c>
      <c r="K857" s="1" t="s">
        <v>66</v>
      </c>
    </row>
    <row r="858" spans="1:11">
      <c r="A858" s="17" t="s">
        <v>69</v>
      </c>
      <c r="B858" s="19" t="s">
        <v>50</v>
      </c>
      <c r="C858" s="19" t="s">
        <v>1070</v>
      </c>
      <c r="D858" s="19" t="s">
        <v>1071</v>
      </c>
      <c r="E858" s="20" t="s">
        <v>11</v>
      </c>
      <c r="F858" s="19" t="s">
        <v>58</v>
      </c>
      <c r="G858" s="19" t="s">
        <v>177</v>
      </c>
      <c r="H858" s="19" t="s">
        <v>31</v>
      </c>
      <c r="I858">
        <v>2643</v>
      </c>
      <c r="J858">
        <v>1</v>
      </c>
      <c r="K858" s="1" t="s">
        <v>65</v>
      </c>
    </row>
    <row r="859" spans="1:11">
      <c r="A859" s="17" t="s">
        <v>69</v>
      </c>
      <c r="B859" s="19" t="s">
        <v>50</v>
      </c>
      <c r="C859" s="19" t="s">
        <v>1072</v>
      </c>
      <c r="D859" s="19" t="s">
        <v>1073</v>
      </c>
      <c r="E859" s="20" t="s">
        <v>11</v>
      </c>
      <c r="F859" s="19" t="s">
        <v>58</v>
      </c>
      <c r="G859" s="19" t="s">
        <v>177</v>
      </c>
      <c r="H859" s="19" t="s">
        <v>31</v>
      </c>
      <c r="I859">
        <v>9370</v>
      </c>
      <c r="J859">
        <v>2</v>
      </c>
      <c r="K859" s="1" t="s">
        <v>66</v>
      </c>
    </row>
    <row r="860" spans="1:11">
      <c r="A860" s="17" t="s">
        <v>69</v>
      </c>
      <c r="B860" s="19" t="s">
        <v>50</v>
      </c>
      <c r="C860" s="19" t="s">
        <v>1072</v>
      </c>
      <c r="D860" s="19" t="s">
        <v>1073</v>
      </c>
      <c r="E860" s="20" t="s">
        <v>11</v>
      </c>
      <c r="F860" s="19" t="s">
        <v>58</v>
      </c>
      <c r="G860" s="19" t="s">
        <v>177</v>
      </c>
      <c r="H860" s="19" t="s">
        <v>31</v>
      </c>
      <c r="I860">
        <v>5520</v>
      </c>
      <c r="J860">
        <v>0</v>
      </c>
      <c r="K860" s="1" t="s">
        <v>65</v>
      </c>
    </row>
    <row r="861" spans="1:11">
      <c r="A861" s="17" t="s">
        <v>69</v>
      </c>
      <c r="B861" s="19" t="s">
        <v>50</v>
      </c>
      <c r="C861" s="19" t="s">
        <v>1074</v>
      </c>
      <c r="D861" s="19" t="s">
        <v>1075</v>
      </c>
      <c r="E861" s="20" t="s">
        <v>11</v>
      </c>
      <c r="F861" s="19" t="s">
        <v>58</v>
      </c>
      <c r="G861" s="19" t="s">
        <v>177</v>
      </c>
      <c r="H861" s="19" t="s">
        <v>31</v>
      </c>
      <c r="I861">
        <v>9110</v>
      </c>
      <c r="J861">
        <v>1</v>
      </c>
      <c r="K861" s="1" t="s">
        <v>66</v>
      </c>
    </row>
    <row r="862" spans="1:11">
      <c r="A862" s="17" t="s">
        <v>69</v>
      </c>
      <c r="B862" s="19" t="s">
        <v>50</v>
      </c>
      <c r="C862" s="19" t="s">
        <v>1074</v>
      </c>
      <c r="D862" s="19" t="s">
        <v>1075</v>
      </c>
      <c r="E862" s="20" t="s">
        <v>11</v>
      </c>
      <c r="F862" s="19" t="s">
        <v>58</v>
      </c>
      <c r="G862" s="19" t="s">
        <v>177</v>
      </c>
      <c r="H862" s="19" t="s">
        <v>31</v>
      </c>
      <c r="I862">
        <v>5601</v>
      </c>
      <c r="J862">
        <v>0</v>
      </c>
      <c r="K862" s="1" t="s">
        <v>65</v>
      </c>
    </row>
    <row r="863" spans="1:11">
      <c r="A863" s="17" t="s">
        <v>69</v>
      </c>
      <c r="B863" s="19" t="s">
        <v>50</v>
      </c>
      <c r="C863" s="19" t="s">
        <v>1076</v>
      </c>
      <c r="D863" s="19" t="s">
        <v>1077</v>
      </c>
      <c r="E863" s="20" t="s">
        <v>11</v>
      </c>
      <c r="F863" s="19" t="s">
        <v>58</v>
      </c>
      <c r="G863" s="19" t="s">
        <v>177</v>
      </c>
      <c r="H863" s="19" t="s">
        <v>31</v>
      </c>
      <c r="I863">
        <v>9219</v>
      </c>
      <c r="J863">
        <v>1</v>
      </c>
      <c r="K863" s="1" t="s">
        <v>66</v>
      </c>
    </row>
    <row r="864" spans="1:11">
      <c r="A864" s="17" t="s">
        <v>69</v>
      </c>
      <c r="B864" s="19" t="s">
        <v>50</v>
      </c>
      <c r="C864" s="19" t="s">
        <v>1076</v>
      </c>
      <c r="D864" s="19" t="s">
        <v>1077</v>
      </c>
      <c r="E864" s="20" t="s">
        <v>11</v>
      </c>
      <c r="F864" s="19" t="s">
        <v>58</v>
      </c>
      <c r="G864" s="19" t="s">
        <v>177</v>
      </c>
      <c r="H864" s="19" t="s">
        <v>31</v>
      </c>
      <c r="I864">
        <v>5367</v>
      </c>
      <c r="J864">
        <v>0</v>
      </c>
      <c r="K864" s="1" t="s">
        <v>65</v>
      </c>
    </row>
    <row r="865" spans="1:11">
      <c r="A865" s="17" t="s">
        <v>69</v>
      </c>
      <c r="B865" s="19" t="s">
        <v>50</v>
      </c>
      <c r="C865" s="19" t="s">
        <v>1078</v>
      </c>
      <c r="D865" s="19" t="s">
        <v>1079</v>
      </c>
      <c r="E865" s="20" t="s">
        <v>11</v>
      </c>
      <c r="F865" s="19" t="s">
        <v>58</v>
      </c>
      <c r="G865" s="19" t="s">
        <v>177</v>
      </c>
      <c r="H865" s="19" t="s">
        <v>31</v>
      </c>
      <c r="I865">
        <v>9397</v>
      </c>
      <c r="J865">
        <v>2</v>
      </c>
      <c r="K865" s="1" t="s">
        <v>66</v>
      </c>
    </row>
    <row r="866" spans="1:11">
      <c r="A866" s="17" t="s">
        <v>69</v>
      </c>
      <c r="B866" s="19" t="s">
        <v>50</v>
      </c>
      <c r="C866" s="19" t="s">
        <v>1078</v>
      </c>
      <c r="D866" s="19" t="s">
        <v>1079</v>
      </c>
      <c r="E866" s="20" t="s">
        <v>11</v>
      </c>
      <c r="F866" s="19" t="s">
        <v>58</v>
      </c>
      <c r="G866" s="19" t="s">
        <v>177</v>
      </c>
      <c r="H866" s="19" t="s">
        <v>31</v>
      </c>
      <c r="I866">
        <v>5534</v>
      </c>
      <c r="J866">
        <v>0</v>
      </c>
      <c r="K866" s="1" t="s">
        <v>65</v>
      </c>
    </row>
    <row r="867" spans="1:11">
      <c r="A867" s="17" t="s">
        <v>69</v>
      </c>
      <c r="B867" s="19" t="s">
        <v>50</v>
      </c>
      <c r="C867" s="19" t="s">
        <v>1080</v>
      </c>
      <c r="D867" s="19" t="s">
        <v>1081</v>
      </c>
      <c r="E867" s="20" t="s">
        <v>11</v>
      </c>
      <c r="F867" s="19" t="s">
        <v>58</v>
      </c>
      <c r="G867" s="19" t="s">
        <v>177</v>
      </c>
      <c r="H867" s="19" t="s">
        <v>31</v>
      </c>
      <c r="I867">
        <v>6359</v>
      </c>
      <c r="J867">
        <v>0</v>
      </c>
      <c r="K867" s="1" t="s">
        <v>66</v>
      </c>
    </row>
    <row r="868" spans="1:11">
      <c r="A868" s="17" t="s">
        <v>69</v>
      </c>
      <c r="B868" s="19" t="s">
        <v>50</v>
      </c>
      <c r="C868" s="19" t="s">
        <v>1080</v>
      </c>
      <c r="D868" s="19" t="s">
        <v>1081</v>
      </c>
      <c r="E868" s="20" t="s">
        <v>11</v>
      </c>
      <c r="F868" s="19" t="s">
        <v>58</v>
      </c>
      <c r="G868" s="19" t="s">
        <v>177</v>
      </c>
      <c r="H868" s="19" t="s">
        <v>31</v>
      </c>
      <c r="I868">
        <v>3106</v>
      </c>
      <c r="J868">
        <v>0</v>
      </c>
      <c r="K868" s="1" t="s">
        <v>65</v>
      </c>
    </row>
    <row r="869" spans="1:11">
      <c r="A869" s="17" t="s">
        <v>69</v>
      </c>
      <c r="B869" s="19" t="s">
        <v>50</v>
      </c>
      <c r="C869" s="19" t="s">
        <v>1082</v>
      </c>
      <c r="D869" s="19" t="s">
        <v>1083</v>
      </c>
      <c r="E869" s="20" t="s">
        <v>11</v>
      </c>
      <c r="F869" s="19" t="s">
        <v>58</v>
      </c>
      <c r="G869" s="19" t="s">
        <v>177</v>
      </c>
      <c r="H869" s="19" t="s">
        <v>31</v>
      </c>
      <c r="I869">
        <v>6316</v>
      </c>
      <c r="J869">
        <v>4</v>
      </c>
      <c r="K869" s="1" t="s">
        <v>66</v>
      </c>
    </row>
    <row r="870" spans="1:11">
      <c r="A870" s="17" t="s">
        <v>69</v>
      </c>
      <c r="B870" s="19" t="s">
        <v>50</v>
      </c>
      <c r="C870" s="19" t="s">
        <v>1082</v>
      </c>
      <c r="D870" s="19" t="s">
        <v>1083</v>
      </c>
      <c r="E870" s="20" t="s">
        <v>11</v>
      </c>
      <c r="F870" s="19" t="s">
        <v>58</v>
      </c>
      <c r="G870" s="19" t="s">
        <v>177</v>
      </c>
      <c r="H870" s="19" t="s">
        <v>31</v>
      </c>
      <c r="I870">
        <v>3185</v>
      </c>
      <c r="J870">
        <v>0</v>
      </c>
      <c r="K870" s="1" t="s">
        <v>65</v>
      </c>
    </row>
    <row r="871" spans="1:11">
      <c r="A871" s="17" t="s">
        <v>69</v>
      </c>
      <c r="B871" s="19" t="s">
        <v>50</v>
      </c>
      <c r="C871" s="19" t="s">
        <v>1084</v>
      </c>
      <c r="D871" s="19" t="s">
        <v>1085</v>
      </c>
      <c r="E871" s="20" t="s">
        <v>11</v>
      </c>
      <c r="F871" s="19" t="s">
        <v>58</v>
      </c>
      <c r="G871" s="19" t="s">
        <v>177</v>
      </c>
      <c r="H871" s="19" t="s">
        <v>31</v>
      </c>
      <c r="I871">
        <v>6452</v>
      </c>
      <c r="J871">
        <v>5</v>
      </c>
      <c r="K871" s="1" t="s">
        <v>66</v>
      </c>
    </row>
    <row r="872" spans="1:11">
      <c r="A872" s="17" t="s">
        <v>69</v>
      </c>
      <c r="B872" s="19" t="s">
        <v>50</v>
      </c>
      <c r="C872" s="19" t="s">
        <v>1084</v>
      </c>
      <c r="D872" s="19" t="s">
        <v>1085</v>
      </c>
      <c r="E872" s="20" t="s">
        <v>11</v>
      </c>
      <c r="F872" s="19" t="s">
        <v>58</v>
      </c>
      <c r="G872" s="19" t="s">
        <v>177</v>
      </c>
      <c r="H872" s="19" t="s">
        <v>31</v>
      </c>
      <c r="I872">
        <v>3154</v>
      </c>
      <c r="J872">
        <v>2</v>
      </c>
      <c r="K872" s="1" t="s">
        <v>65</v>
      </c>
    </row>
    <row r="873" spans="1:11">
      <c r="A873" s="17" t="s">
        <v>69</v>
      </c>
      <c r="B873" s="19" t="s">
        <v>50</v>
      </c>
      <c r="C873" s="19" t="s">
        <v>1086</v>
      </c>
      <c r="D873" s="19" t="s">
        <v>1087</v>
      </c>
      <c r="E873" s="20" t="s">
        <v>11</v>
      </c>
      <c r="F873" s="19" t="s">
        <v>58</v>
      </c>
      <c r="G873" s="19" t="s">
        <v>177</v>
      </c>
      <c r="H873" s="19" t="s">
        <v>31</v>
      </c>
      <c r="I873">
        <v>6591</v>
      </c>
      <c r="J873">
        <v>4</v>
      </c>
      <c r="K873" s="1" t="s">
        <v>66</v>
      </c>
    </row>
    <row r="874" spans="1:11">
      <c r="A874" s="17" t="s">
        <v>69</v>
      </c>
      <c r="B874" s="19" t="s">
        <v>50</v>
      </c>
      <c r="C874" s="19" t="s">
        <v>1086</v>
      </c>
      <c r="D874" s="19" t="s">
        <v>1087</v>
      </c>
      <c r="E874" s="20" t="s">
        <v>11</v>
      </c>
      <c r="F874" s="19" t="s">
        <v>58</v>
      </c>
      <c r="G874" s="19" t="s">
        <v>177</v>
      </c>
      <c r="H874" s="19" t="s">
        <v>31</v>
      </c>
      <c r="I874">
        <v>3229</v>
      </c>
      <c r="J874">
        <v>0</v>
      </c>
      <c r="K874" s="1" t="s">
        <v>65</v>
      </c>
    </row>
    <row r="875" spans="1:11">
      <c r="A875" s="17" t="s">
        <v>69</v>
      </c>
      <c r="B875" s="19" t="s">
        <v>50</v>
      </c>
      <c r="C875" s="19" t="s">
        <v>1088</v>
      </c>
      <c r="D875" s="19" t="s">
        <v>1089</v>
      </c>
      <c r="E875" s="20" t="s">
        <v>11</v>
      </c>
      <c r="F875" s="19" t="s">
        <v>58</v>
      </c>
      <c r="G875" s="19" t="s">
        <v>177</v>
      </c>
      <c r="H875" s="19" t="s">
        <v>31</v>
      </c>
      <c r="I875">
        <v>6457</v>
      </c>
      <c r="J875">
        <v>1</v>
      </c>
      <c r="K875" s="1" t="s">
        <v>66</v>
      </c>
    </row>
    <row r="876" spans="1:11">
      <c r="A876" s="17" t="s">
        <v>69</v>
      </c>
      <c r="B876" s="19" t="s">
        <v>50</v>
      </c>
      <c r="C876" s="19" t="s">
        <v>1088</v>
      </c>
      <c r="D876" s="19" t="s">
        <v>1089</v>
      </c>
      <c r="E876" s="20" t="s">
        <v>11</v>
      </c>
      <c r="F876" s="19" t="s">
        <v>58</v>
      </c>
      <c r="G876" s="19" t="s">
        <v>177</v>
      </c>
      <c r="H876" s="19" t="s">
        <v>31</v>
      </c>
      <c r="I876">
        <v>2878</v>
      </c>
      <c r="J876">
        <v>0</v>
      </c>
      <c r="K876" s="1" t="s">
        <v>65</v>
      </c>
    </row>
    <row r="877" spans="1:11">
      <c r="A877" s="17" t="s">
        <v>69</v>
      </c>
      <c r="B877" s="19" t="s">
        <v>50</v>
      </c>
      <c r="C877" s="19" t="s">
        <v>1090</v>
      </c>
      <c r="D877" s="19" t="s">
        <v>1091</v>
      </c>
      <c r="E877" s="20" t="s">
        <v>11</v>
      </c>
      <c r="F877" s="19" t="s">
        <v>58</v>
      </c>
      <c r="G877" s="19" t="s">
        <v>177</v>
      </c>
      <c r="H877" s="19" t="s">
        <v>31</v>
      </c>
      <c r="I877">
        <v>6447</v>
      </c>
      <c r="J877">
        <v>2</v>
      </c>
      <c r="K877" s="1" t="s">
        <v>66</v>
      </c>
    </row>
    <row r="878" spans="1:11">
      <c r="A878" s="17" t="s">
        <v>69</v>
      </c>
      <c r="B878" s="19" t="s">
        <v>50</v>
      </c>
      <c r="C878" s="19" t="s">
        <v>1090</v>
      </c>
      <c r="D878" s="19" t="s">
        <v>1091</v>
      </c>
      <c r="E878" s="20" t="s">
        <v>11</v>
      </c>
      <c r="F878" s="19" t="s">
        <v>58</v>
      </c>
      <c r="G878" s="19" t="s">
        <v>177</v>
      </c>
      <c r="H878" s="19" t="s">
        <v>31</v>
      </c>
      <c r="I878">
        <v>3211</v>
      </c>
      <c r="J878">
        <v>1</v>
      </c>
      <c r="K878" s="1" t="s">
        <v>65</v>
      </c>
    </row>
    <row r="879" spans="1:11">
      <c r="A879" s="17" t="s">
        <v>69</v>
      </c>
      <c r="B879" s="19" t="s">
        <v>50</v>
      </c>
      <c r="C879" s="19" t="s">
        <v>1092</v>
      </c>
      <c r="D879" s="19" t="s">
        <v>1093</v>
      </c>
      <c r="E879" s="20" t="s">
        <v>11</v>
      </c>
      <c r="F879" s="19" t="s">
        <v>58</v>
      </c>
      <c r="G879" s="19" t="s">
        <v>177</v>
      </c>
      <c r="H879" s="19" t="s">
        <v>31</v>
      </c>
      <c r="I879">
        <v>4631</v>
      </c>
      <c r="J879">
        <v>1</v>
      </c>
      <c r="K879" s="1" t="s">
        <v>66</v>
      </c>
    </row>
    <row r="880" spans="1:11">
      <c r="A880" s="17" t="s">
        <v>69</v>
      </c>
      <c r="B880" s="19" t="s">
        <v>50</v>
      </c>
      <c r="C880" s="19" t="s">
        <v>1092</v>
      </c>
      <c r="D880" s="19" t="s">
        <v>1093</v>
      </c>
      <c r="E880" s="20" t="s">
        <v>11</v>
      </c>
      <c r="F880" s="19" t="s">
        <v>58</v>
      </c>
      <c r="G880" s="19" t="s">
        <v>177</v>
      </c>
      <c r="H880" s="19" t="s">
        <v>31</v>
      </c>
      <c r="I880">
        <v>2270</v>
      </c>
      <c r="J880">
        <v>0</v>
      </c>
      <c r="K880" s="1" t="s">
        <v>65</v>
      </c>
    </row>
    <row r="881" spans="1:11">
      <c r="A881" s="17" t="s">
        <v>69</v>
      </c>
      <c r="B881" s="19" t="s">
        <v>50</v>
      </c>
      <c r="C881" s="19" t="s">
        <v>1094</v>
      </c>
      <c r="D881" s="19" t="s">
        <v>1095</v>
      </c>
      <c r="E881" s="20" t="s">
        <v>11</v>
      </c>
      <c r="F881" s="19" t="s">
        <v>58</v>
      </c>
      <c r="G881" s="19" t="s">
        <v>177</v>
      </c>
      <c r="H881" s="19" t="s">
        <v>31</v>
      </c>
      <c r="I881">
        <v>4585</v>
      </c>
      <c r="J881">
        <v>3</v>
      </c>
      <c r="K881" s="1" t="s">
        <v>66</v>
      </c>
    </row>
    <row r="882" spans="1:11">
      <c r="A882" s="17" t="s">
        <v>69</v>
      </c>
      <c r="B882" s="19" t="s">
        <v>50</v>
      </c>
      <c r="C882" s="19" t="s">
        <v>1094</v>
      </c>
      <c r="D882" s="19" t="s">
        <v>1095</v>
      </c>
      <c r="E882" s="20" t="s">
        <v>11</v>
      </c>
      <c r="F882" s="19" t="s">
        <v>58</v>
      </c>
      <c r="G882" s="19" t="s">
        <v>177</v>
      </c>
      <c r="H882" s="19" t="s">
        <v>31</v>
      </c>
      <c r="I882">
        <v>2222</v>
      </c>
      <c r="J882">
        <v>0</v>
      </c>
      <c r="K882" s="1" t="s">
        <v>65</v>
      </c>
    </row>
    <row r="883" spans="1:11">
      <c r="A883" s="17" t="s">
        <v>69</v>
      </c>
      <c r="B883" s="19" t="s">
        <v>50</v>
      </c>
      <c r="C883" s="19" t="s">
        <v>1096</v>
      </c>
      <c r="D883" s="19" t="s">
        <v>1097</v>
      </c>
      <c r="E883" s="20" t="s">
        <v>11</v>
      </c>
      <c r="F883" s="19" t="s">
        <v>58</v>
      </c>
      <c r="G883" s="19" t="s">
        <v>177</v>
      </c>
      <c r="H883" s="19" t="s">
        <v>31</v>
      </c>
      <c r="I883">
        <v>4573</v>
      </c>
      <c r="J883">
        <v>0</v>
      </c>
      <c r="K883" s="1" t="s">
        <v>66</v>
      </c>
    </row>
    <row r="884" spans="1:11">
      <c r="A884" s="17" t="s">
        <v>69</v>
      </c>
      <c r="B884" s="19" t="s">
        <v>50</v>
      </c>
      <c r="C884" s="19" t="s">
        <v>1096</v>
      </c>
      <c r="D884" s="19" t="s">
        <v>1097</v>
      </c>
      <c r="E884" s="20" t="s">
        <v>11</v>
      </c>
      <c r="F884" s="19" t="s">
        <v>58</v>
      </c>
      <c r="G884" s="19" t="s">
        <v>177</v>
      </c>
      <c r="H884" s="19" t="s">
        <v>31</v>
      </c>
      <c r="I884">
        <v>2090</v>
      </c>
      <c r="J884">
        <v>1</v>
      </c>
      <c r="K884" s="1" t="s">
        <v>65</v>
      </c>
    </row>
    <row r="885" spans="1:11">
      <c r="A885" s="17" t="s">
        <v>69</v>
      </c>
      <c r="B885" s="19" t="s">
        <v>50</v>
      </c>
      <c r="C885" s="19" t="s">
        <v>1098</v>
      </c>
      <c r="D885" s="19" t="s">
        <v>1099</v>
      </c>
      <c r="E885" s="20" t="s">
        <v>11</v>
      </c>
      <c r="F885" s="19" t="s">
        <v>58</v>
      </c>
      <c r="G885" s="19" t="s">
        <v>177</v>
      </c>
      <c r="H885" s="19" t="s">
        <v>31</v>
      </c>
      <c r="I885">
        <v>4521</v>
      </c>
      <c r="J885">
        <v>1</v>
      </c>
      <c r="K885" s="1" t="s">
        <v>66</v>
      </c>
    </row>
    <row r="886" spans="1:11">
      <c r="A886" s="17" t="s">
        <v>69</v>
      </c>
      <c r="B886" s="19" t="s">
        <v>50</v>
      </c>
      <c r="C886" s="19" t="s">
        <v>1098</v>
      </c>
      <c r="D886" s="19" t="s">
        <v>1099</v>
      </c>
      <c r="E886" s="20" t="s">
        <v>11</v>
      </c>
      <c r="F886" s="19" t="s">
        <v>58</v>
      </c>
      <c r="G886" s="19" t="s">
        <v>177</v>
      </c>
      <c r="H886" s="19" t="s">
        <v>31</v>
      </c>
      <c r="I886">
        <v>2189</v>
      </c>
      <c r="J886">
        <v>1</v>
      </c>
      <c r="K886" s="1" t="s">
        <v>65</v>
      </c>
    </row>
    <row r="887" spans="1:11">
      <c r="A887" s="17" t="s">
        <v>69</v>
      </c>
      <c r="B887" s="19" t="s">
        <v>50</v>
      </c>
      <c r="C887" s="19" t="s">
        <v>1100</v>
      </c>
      <c r="D887" s="19" t="s">
        <v>1101</v>
      </c>
      <c r="E887" s="20" t="s">
        <v>11</v>
      </c>
      <c r="F887" s="19" t="s">
        <v>58</v>
      </c>
      <c r="G887" s="19" t="s">
        <v>177</v>
      </c>
      <c r="H887" s="19" t="s">
        <v>31</v>
      </c>
      <c r="I887">
        <v>4644</v>
      </c>
      <c r="J887">
        <v>1</v>
      </c>
      <c r="K887" s="1" t="s">
        <v>66</v>
      </c>
    </row>
    <row r="888" spans="1:11">
      <c r="A888" s="17" t="s">
        <v>69</v>
      </c>
      <c r="B888" s="19" t="s">
        <v>50</v>
      </c>
      <c r="C888" s="19" t="s">
        <v>1100</v>
      </c>
      <c r="D888" s="19" t="s">
        <v>1101</v>
      </c>
      <c r="E888" s="20" t="s">
        <v>11</v>
      </c>
      <c r="F888" s="19" t="s">
        <v>58</v>
      </c>
      <c r="G888" s="19" t="s">
        <v>177</v>
      </c>
      <c r="H888" s="19" t="s">
        <v>31</v>
      </c>
      <c r="I888">
        <v>2273</v>
      </c>
      <c r="J888">
        <v>2</v>
      </c>
      <c r="K888" s="1" t="s">
        <v>65</v>
      </c>
    </row>
    <row r="889" spans="1:11">
      <c r="A889" s="17" t="s">
        <v>69</v>
      </c>
      <c r="B889" s="19" t="s">
        <v>50</v>
      </c>
      <c r="C889" s="19" t="s">
        <v>1102</v>
      </c>
      <c r="D889" s="19" t="s">
        <v>1103</v>
      </c>
      <c r="E889" s="20" t="s">
        <v>11</v>
      </c>
      <c r="F889" s="19" t="s">
        <v>58</v>
      </c>
      <c r="G889" s="19" t="s">
        <v>177</v>
      </c>
      <c r="H889" s="19" t="s">
        <v>31</v>
      </c>
      <c r="I889">
        <v>5777</v>
      </c>
      <c r="J889">
        <v>3</v>
      </c>
      <c r="K889" s="1" t="s">
        <v>66</v>
      </c>
    </row>
    <row r="890" spans="1:11">
      <c r="A890" s="17" t="s">
        <v>69</v>
      </c>
      <c r="B890" s="19" t="s">
        <v>50</v>
      </c>
      <c r="C890" s="19" t="s">
        <v>1102</v>
      </c>
      <c r="D890" s="19" t="s">
        <v>1103</v>
      </c>
      <c r="E890" s="20" t="s">
        <v>11</v>
      </c>
      <c r="F890" s="19" t="s">
        <v>58</v>
      </c>
      <c r="G890" s="19" t="s">
        <v>177</v>
      </c>
      <c r="H890" s="19" t="s">
        <v>31</v>
      </c>
      <c r="I890">
        <v>2422</v>
      </c>
      <c r="J890">
        <v>1</v>
      </c>
      <c r="K890" s="1" t="s">
        <v>65</v>
      </c>
    </row>
    <row r="891" spans="1:11">
      <c r="A891" s="17" t="s">
        <v>69</v>
      </c>
      <c r="B891" s="19" t="s">
        <v>50</v>
      </c>
      <c r="C891" s="19" t="s">
        <v>1104</v>
      </c>
      <c r="D891" s="19" t="s">
        <v>1105</v>
      </c>
      <c r="E891" s="20" t="s">
        <v>11</v>
      </c>
      <c r="F891" s="19" t="s">
        <v>58</v>
      </c>
      <c r="G891" s="19" t="s">
        <v>177</v>
      </c>
      <c r="H891" s="19" t="s">
        <v>31</v>
      </c>
      <c r="I891">
        <v>5821</v>
      </c>
      <c r="J891">
        <v>3</v>
      </c>
      <c r="K891" s="1" t="s">
        <v>66</v>
      </c>
    </row>
    <row r="892" spans="1:11">
      <c r="A892" s="17" t="s">
        <v>69</v>
      </c>
      <c r="B892" s="19" t="s">
        <v>50</v>
      </c>
      <c r="C892" s="19" t="s">
        <v>1104</v>
      </c>
      <c r="D892" s="19" t="s">
        <v>1105</v>
      </c>
      <c r="E892" s="20" t="s">
        <v>11</v>
      </c>
      <c r="F892" s="19" t="s">
        <v>58</v>
      </c>
      <c r="G892" s="19" t="s">
        <v>177</v>
      </c>
      <c r="H892" s="19" t="s">
        <v>31</v>
      </c>
      <c r="I892">
        <v>2578</v>
      </c>
      <c r="J892">
        <v>1</v>
      </c>
      <c r="K892" s="1" t="s">
        <v>65</v>
      </c>
    </row>
    <row r="893" spans="1:11">
      <c r="A893" s="17" t="s">
        <v>69</v>
      </c>
      <c r="B893" s="19" t="s">
        <v>50</v>
      </c>
      <c r="C893" s="19" t="s">
        <v>1106</v>
      </c>
      <c r="D893" s="19" t="s">
        <v>1107</v>
      </c>
      <c r="E893" s="20" t="s">
        <v>11</v>
      </c>
      <c r="F893" s="19" t="s">
        <v>58</v>
      </c>
      <c r="G893" s="19" t="s">
        <v>177</v>
      </c>
      <c r="H893" s="19" t="s">
        <v>31</v>
      </c>
      <c r="I893">
        <v>5507</v>
      </c>
      <c r="J893">
        <v>2</v>
      </c>
      <c r="K893" s="1" t="s">
        <v>66</v>
      </c>
    </row>
    <row r="894" spans="1:11">
      <c r="A894" s="17" t="s">
        <v>69</v>
      </c>
      <c r="B894" s="19" t="s">
        <v>50</v>
      </c>
      <c r="C894" s="19" t="s">
        <v>1106</v>
      </c>
      <c r="D894" s="19" t="s">
        <v>1107</v>
      </c>
      <c r="E894" s="20" t="s">
        <v>11</v>
      </c>
      <c r="F894" s="19" t="s">
        <v>58</v>
      </c>
      <c r="G894" s="19" t="s">
        <v>177</v>
      </c>
      <c r="H894" s="19" t="s">
        <v>31</v>
      </c>
      <c r="I894">
        <v>2378</v>
      </c>
      <c r="J894">
        <v>0</v>
      </c>
      <c r="K894" s="1" t="s">
        <v>65</v>
      </c>
    </row>
    <row r="895" spans="1:11">
      <c r="A895" s="17" t="s">
        <v>69</v>
      </c>
      <c r="B895" s="19" t="s">
        <v>50</v>
      </c>
      <c r="C895" s="19" t="s">
        <v>1108</v>
      </c>
      <c r="D895" s="19" t="s">
        <v>1109</v>
      </c>
      <c r="E895" s="20" t="s">
        <v>11</v>
      </c>
      <c r="F895" s="19" t="s">
        <v>58</v>
      </c>
      <c r="G895" s="19" t="s">
        <v>177</v>
      </c>
      <c r="H895" s="19" t="s">
        <v>31</v>
      </c>
      <c r="I895">
        <v>5893</v>
      </c>
      <c r="J895">
        <v>2</v>
      </c>
      <c r="K895" s="1" t="s">
        <v>66</v>
      </c>
    </row>
    <row r="896" spans="1:11">
      <c r="A896" s="17" t="s">
        <v>69</v>
      </c>
      <c r="B896" s="19" t="s">
        <v>50</v>
      </c>
      <c r="C896" s="19" t="s">
        <v>1108</v>
      </c>
      <c r="D896" s="19" t="s">
        <v>1109</v>
      </c>
      <c r="E896" s="20" t="s">
        <v>11</v>
      </c>
      <c r="F896" s="19" t="s">
        <v>58</v>
      </c>
      <c r="G896" s="19" t="s">
        <v>177</v>
      </c>
      <c r="H896" s="19" t="s">
        <v>31</v>
      </c>
      <c r="I896">
        <v>2394</v>
      </c>
      <c r="J896">
        <v>0</v>
      </c>
      <c r="K896" s="1" t="s">
        <v>65</v>
      </c>
    </row>
    <row r="897" spans="1:11">
      <c r="A897" s="17" t="s">
        <v>69</v>
      </c>
      <c r="B897" s="19" t="s">
        <v>50</v>
      </c>
      <c r="C897" s="19" t="s">
        <v>1110</v>
      </c>
      <c r="D897" s="19" t="s">
        <v>1111</v>
      </c>
      <c r="E897" s="20" t="s">
        <v>11</v>
      </c>
      <c r="F897" s="19" t="s">
        <v>58</v>
      </c>
      <c r="G897" s="19" t="s">
        <v>177</v>
      </c>
      <c r="H897" s="19" t="s">
        <v>31</v>
      </c>
      <c r="I897">
        <v>745</v>
      </c>
      <c r="J897">
        <v>1</v>
      </c>
      <c r="K897" s="1" t="s">
        <v>66</v>
      </c>
    </row>
    <row r="898" spans="1:11">
      <c r="A898" s="17" t="s">
        <v>69</v>
      </c>
      <c r="B898" s="19" t="s">
        <v>50</v>
      </c>
      <c r="C898" s="19" t="s">
        <v>1110</v>
      </c>
      <c r="D898" s="19" t="s">
        <v>1111</v>
      </c>
      <c r="E898" s="20" t="s">
        <v>11</v>
      </c>
      <c r="F898" s="19" t="s">
        <v>58</v>
      </c>
      <c r="G898" s="19" t="s">
        <v>177</v>
      </c>
      <c r="H898" s="19" t="s">
        <v>31</v>
      </c>
      <c r="I898">
        <v>1370</v>
      </c>
      <c r="J898">
        <v>4</v>
      </c>
      <c r="K898" s="1" t="s">
        <v>65</v>
      </c>
    </row>
    <row r="899" spans="1:11">
      <c r="A899" s="17" t="s">
        <v>69</v>
      </c>
      <c r="B899" s="19" t="s">
        <v>50</v>
      </c>
      <c r="C899" s="19" t="s">
        <v>1112</v>
      </c>
      <c r="D899" s="19" t="s">
        <v>1113</v>
      </c>
      <c r="E899" s="20" t="s">
        <v>11</v>
      </c>
      <c r="F899" s="19" t="s">
        <v>58</v>
      </c>
      <c r="G899" s="19" t="s">
        <v>177</v>
      </c>
      <c r="H899" s="19" t="s">
        <v>31</v>
      </c>
      <c r="I899">
        <v>743</v>
      </c>
      <c r="J899">
        <v>1</v>
      </c>
      <c r="K899" s="1" t="s">
        <v>66</v>
      </c>
    </row>
    <row r="900" spans="1:11">
      <c r="A900" s="17" t="s">
        <v>69</v>
      </c>
      <c r="B900" s="19" t="s">
        <v>50</v>
      </c>
      <c r="C900" s="19" t="s">
        <v>1112</v>
      </c>
      <c r="D900" s="19" t="s">
        <v>1113</v>
      </c>
      <c r="E900" s="20" t="s">
        <v>11</v>
      </c>
      <c r="F900" s="19" t="s">
        <v>58</v>
      </c>
      <c r="G900" s="19" t="s">
        <v>177</v>
      </c>
      <c r="H900" s="19" t="s">
        <v>31</v>
      </c>
      <c r="I900">
        <v>1843</v>
      </c>
      <c r="J900">
        <v>5</v>
      </c>
      <c r="K900" s="1" t="s">
        <v>65</v>
      </c>
    </row>
    <row r="901" spans="1:11">
      <c r="A901" s="17" t="s">
        <v>69</v>
      </c>
      <c r="B901" s="19" t="s">
        <v>50</v>
      </c>
      <c r="C901" s="19" t="s">
        <v>1114</v>
      </c>
      <c r="D901" s="19" t="s">
        <v>1115</v>
      </c>
      <c r="E901" s="20" t="s">
        <v>11</v>
      </c>
      <c r="F901" s="19" t="s">
        <v>58</v>
      </c>
      <c r="G901" s="19" t="s">
        <v>177</v>
      </c>
      <c r="H901" s="19" t="s">
        <v>31</v>
      </c>
      <c r="I901">
        <v>947</v>
      </c>
      <c r="J901">
        <v>0</v>
      </c>
      <c r="K901" s="1" t="s">
        <v>66</v>
      </c>
    </row>
    <row r="902" spans="1:11">
      <c r="A902" s="17" t="s">
        <v>69</v>
      </c>
      <c r="B902" s="19" t="s">
        <v>50</v>
      </c>
      <c r="C902" s="19" t="s">
        <v>1114</v>
      </c>
      <c r="D902" s="19" t="s">
        <v>1115</v>
      </c>
      <c r="E902" s="20" t="s">
        <v>11</v>
      </c>
      <c r="F902" s="19" t="s">
        <v>58</v>
      </c>
      <c r="G902" s="19" t="s">
        <v>177</v>
      </c>
      <c r="H902" s="19" t="s">
        <v>31</v>
      </c>
      <c r="I902">
        <v>1392</v>
      </c>
      <c r="J902">
        <v>4</v>
      </c>
      <c r="K902" s="1" t="s">
        <v>65</v>
      </c>
    </row>
    <row r="903" spans="1:11">
      <c r="A903" s="17" t="s">
        <v>69</v>
      </c>
      <c r="B903" s="19" t="s">
        <v>50</v>
      </c>
      <c r="C903" s="19" t="s">
        <v>1116</v>
      </c>
      <c r="D903" s="19" t="s">
        <v>1117</v>
      </c>
      <c r="E903" s="20" t="s">
        <v>11</v>
      </c>
      <c r="F903" s="19" t="s">
        <v>58</v>
      </c>
      <c r="G903" s="19" t="s">
        <v>177</v>
      </c>
      <c r="H903" s="19" t="s">
        <v>31</v>
      </c>
      <c r="I903">
        <v>724</v>
      </c>
      <c r="J903">
        <v>0</v>
      </c>
      <c r="K903" s="1" t="s">
        <v>66</v>
      </c>
    </row>
    <row r="904" spans="1:11">
      <c r="A904" s="17" t="s">
        <v>69</v>
      </c>
      <c r="B904" s="19" t="s">
        <v>50</v>
      </c>
      <c r="C904" s="19" t="s">
        <v>1116</v>
      </c>
      <c r="D904" s="19" t="s">
        <v>1117</v>
      </c>
      <c r="E904" s="20" t="s">
        <v>11</v>
      </c>
      <c r="F904" s="19" t="s">
        <v>58</v>
      </c>
      <c r="G904" s="19" t="s">
        <v>177</v>
      </c>
      <c r="H904" s="19" t="s">
        <v>31</v>
      </c>
      <c r="I904">
        <v>1368</v>
      </c>
      <c r="J904">
        <v>6</v>
      </c>
      <c r="K904" s="1" t="s">
        <v>65</v>
      </c>
    </row>
    <row r="905" spans="1:11">
      <c r="A905" s="17" t="s">
        <v>69</v>
      </c>
      <c r="B905" s="19" t="s">
        <v>50</v>
      </c>
      <c r="C905" s="19" t="s">
        <v>1118</v>
      </c>
      <c r="D905" s="19" t="s">
        <v>1119</v>
      </c>
      <c r="E905" s="20" t="s">
        <v>11</v>
      </c>
      <c r="F905" s="19" t="s">
        <v>58</v>
      </c>
      <c r="G905" s="19" t="s">
        <v>177</v>
      </c>
      <c r="H905" s="19" t="s">
        <v>31</v>
      </c>
      <c r="I905">
        <v>725</v>
      </c>
      <c r="J905">
        <v>0</v>
      </c>
      <c r="K905" s="1" t="s">
        <v>66</v>
      </c>
    </row>
    <row r="906" spans="1:11">
      <c r="A906" s="17" t="s">
        <v>69</v>
      </c>
      <c r="B906" s="19" t="s">
        <v>50</v>
      </c>
      <c r="C906" s="19" t="s">
        <v>1118</v>
      </c>
      <c r="D906" s="19" t="s">
        <v>1119</v>
      </c>
      <c r="E906" s="20" t="s">
        <v>11</v>
      </c>
      <c r="F906" s="19" t="s">
        <v>58</v>
      </c>
      <c r="G906" s="19" t="s">
        <v>177</v>
      </c>
      <c r="H906" s="19" t="s">
        <v>31</v>
      </c>
      <c r="I906">
        <v>1294</v>
      </c>
      <c r="J906">
        <v>2</v>
      </c>
      <c r="K906" s="1" t="s">
        <v>65</v>
      </c>
    </row>
    <row r="907" spans="1:11">
      <c r="A907" s="17" t="s">
        <v>69</v>
      </c>
      <c r="B907" s="19" t="s">
        <v>50</v>
      </c>
      <c r="C907" s="19" t="s">
        <v>1120</v>
      </c>
      <c r="D907" s="19" t="s">
        <v>1121</v>
      </c>
      <c r="E907" s="20" t="s">
        <v>11</v>
      </c>
      <c r="F907" s="19" t="s">
        <v>58</v>
      </c>
      <c r="G907" s="19" t="s">
        <v>177</v>
      </c>
      <c r="H907" s="19" t="s">
        <v>31</v>
      </c>
      <c r="I907">
        <v>967</v>
      </c>
      <c r="J907">
        <v>0</v>
      </c>
      <c r="K907" s="1" t="s">
        <v>66</v>
      </c>
    </row>
    <row r="908" spans="1:11">
      <c r="A908" s="17" t="s">
        <v>69</v>
      </c>
      <c r="B908" s="19" t="s">
        <v>50</v>
      </c>
      <c r="C908" s="19" t="s">
        <v>1120</v>
      </c>
      <c r="D908" s="19" t="s">
        <v>1121</v>
      </c>
      <c r="E908" s="20" t="s">
        <v>11</v>
      </c>
      <c r="F908" s="19" t="s">
        <v>58</v>
      </c>
      <c r="G908" s="19" t="s">
        <v>177</v>
      </c>
      <c r="H908" s="19" t="s">
        <v>31</v>
      </c>
      <c r="I908">
        <v>2073</v>
      </c>
      <c r="J908">
        <v>18</v>
      </c>
      <c r="K908" s="1" t="s">
        <v>65</v>
      </c>
    </row>
    <row r="909" spans="1:11">
      <c r="A909" s="17" t="s">
        <v>69</v>
      </c>
      <c r="B909" s="19" t="s">
        <v>50</v>
      </c>
      <c r="C909" s="19" t="s">
        <v>1122</v>
      </c>
      <c r="D909" s="19" t="s">
        <v>1123</v>
      </c>
      <c r="E909" s="20" t="s">
        <v>11</v>
      </c>
      <c r="F909" s="19" t="s">
        <v>58</v>
      </c>
      <c r="G909" s="19" t="s">
        <v>177</v>
      </c>
      <c r="H909" s="19" t="s">
        <v>31</v>
      </c>
      <c r="I909">
        <v>738</v>
      </c>
      <c r="J909">
        <v>1</v>
      </c>
      <c r="K909" s="1" t="s">
        <v>66</v>
      </c>
    </row>
    <row r="910" spans="1:11">
      <c r="A910" s="17" t="s">
        <v>69</v>
      </c>
      <c r="B910" s="19" t="s">
        <v>50</v>
      </c>
      <c r="C910" s="19" t="s">
        <v>1122</v>
      </c>
      <c r="D910" s="19" t="s">
        <v>1123</v>
      </c>
      <c r="E910" s="20" t="s">
        <v>11</v>
      </c>
      <c r="F910" s="19" t="s">
        <v>58</v>
      </c>
      <c r="G910" s="19" t="s">
        <v>177</v>
      </c>
      <c r="H910" s="19" t="s">
        <v>31</v>
      </c>
      <c r="I910">
        <v>4233</v>
      </c>
      <c r="J910">
        <v>33</v>
      </c>
      <c r="K910" s="1" t="s">
        <v>65</v>
      </c>
    </row>
    <row r="911" spans="1:11">
      <c r="A911" s="17" t="s">
        <v>69</v>
      </c>
      <c r="B911" s="19" t="s">
        <v>50</v>
      </c>
      <c r="C911" s="19" t="s">
        <v>1124</v>
      </c>
      <c r="D911" s="19" t="s">
        <v>1125</v>
      </c>
      <c r="E911" s="20" t="s">
        <v>11</v>
      </c>
      <c r="F911" s="19" t="s">
        <v>58</v>
      </c>
      <c r="G911" s="19" t="s">
        <v>177</v>
      </c>
      <c r="H911" s="19" t="s">
        <v>31</v>
      </c>
      <c r="I911">
        <v>925</v>
      </c>
      <c r="J911">
        <v>2</v>
      </c>
      <c r="K911" s="1" t="s">
        <v>66</v>
      </c>
    </row>
    <row r="912" spans="1:11">
      <c r="A912" s="17" t="s">
        <v>69</v>
      </c>
      <c r="B912" s="19" t="s">
        <v>50</v>
      </c>
      <c r="C912" s="19" t="s">
        <v>1124</v>
      </c>
      <c r="D912" s="19" t="s">
        <v>1125</v>
      </c>
      <c r="E912" s="20" t="s">
        <v>11</v>
      </c>
      <c r="F912" s="19" t="s">
        <v>58</v>
      </c>
      <c r="G912" s="19" t="s">
        <v>177</v>
      </c>
      <c r="H912" s="19" t="s">
        <v>31</v>
      </c>
      <c r="I912">
        <v>3512</v>
      </c>
      <c r="J912">
        <v>6</v>
      </c>
      <c r="K912" s="1" t="s">
        <v>65</v>
      </c>
    </row>
    <row r="913" spans="1:11">
      <c r="A913" s="17" t="s">
        <v>69</v>
      </c>
      <c r="B913" s="19" t="s">
        <v>50</v>
      </c>
      <c r="C913" s="19" t="s">
        <v>1126</v>
      </c>
      <c r="D913" s="19" t="s">
        <v>1127</v>
      </c>
      <c r="E913" s="20" t="s">
        <v>11</v>
      </c>
      <c r="F913" s="19" t="s">
        <v>58</v>
      </c>
      <c r="G913" s="19" t="s">
        <v>177</v>
      </c>
      <c r="H913" s="19" t="s">
        <v>31</v>
      </c>
      <c r="I913">
        <v>953</v>
      </c>
      <c r="J913">
        <v>0</v>
      </c>
      <c r="K913" s="1" t="s">
        <v>66</v>
      </c>
    </row>
    <row r="914" spans="1:11">
      <c r="A914" s="17" t="s">
        <v>69</v>
      </c>
      <c r="B914" s="19" t="s">
        <v>50</v>
      </c>
      <c r="C914" s="19" t="s">
        <v>1126</v>
      </c>
      <c r="D914" s="19" t="s">
        <v>1127</v>
      </c>
      <c r="E914" s="20" t="s">
        <v>11</v>
      </c>
      <c r="F914" s="19" t="s">
        <v>58</v>
      </c>
      <c r="G914" s="19" t="s">
        <v>177</v>
      </c>
      <c r="H914" s="19" t="s">
        <v>31</v>
      </c>
      <c r="I914">
        <v>1358</v>
      </c>
      <c r="J914">
        <v>3</v>
      </c>
      <c r="K914" s="1" t="s">
        <v>65</v>
      </c>
    </row>
    <row r="915" spans="1:11">
      <c r="A915" s="17" t="s">
        <v>69</v>
      </c>
      <c r="B915" s="19" t="s">
        <v>50</v>
      </c>
      <c r="C915" s="19" t="s">
        <v>1128</v>
      </c>
      <c r="D915" s="19" t="s">
        <v>1129</v>
      </c>
      <c r="E915" s="20" t="s">
        <v>11</v>
      </c>
      <c r="F915" s="19" t="s">
        <v>58</v>
      </c>
      <c r="G915" s="19" t="s">
        <v>177</v>
      </c>
      <c r="H915" s="19" t="s">
        <v>31</v>
      </c>
      <c r="I915">
        <v>937</v>
      </c>
      <c r="J915">
        <v>0</v>
      </c>
      <c r="K915" s="1" t="s">
        <v>66</v>
      </c>
    </row>
    <row r="916" spans="1:11">
      <c r="A916" s="17" t="s">
        <v>69</v>
      </c>
      <c r="B916" s="19" t="s">
        <v>50</v>
      </c>
      <c r="C916" s="19" t="s">
        <v>1128</v>
      </c>
      <c r="D916" s="19" t="s">
        <v>1129</v>
      </c>
      <c r="E916" s="20" t="s">
        <v>11</v>
      </c>
      <c r="F916" s="19" t="s">
        <v>58</v>
      </c>
      <c r="G916" s="19" t="s">
        <v>177</v>
      </c>
      <c r="H916" s="19" t="s">
        <v>31</v>
      </c>
      <c r="I916">
        <v>1443</v>
      </c>
      <c r="J916">
        <v>2</v>
      </c>
      <c r="K916" s="1" t="s">
        <v>65</v>
      </c>
    </row>
    <row r="917" spans="1:11">
      <c r="A917" s="17" t="s">
        <v>69</v>
      </c>
      <c r="B917" s="19" t="s">
        <v>50</v>
      </c>
      <c r="C917" s="19" t="s">
        <v>1130</v>
      </c>
      <c r="D917" s="19" t="s">
        <v>1131</v>
      </c>
      <c r="E917" s="20" t="s">
        <v>11</v>
      </c>
      <c r="F917" s="19" t="s">
        <v>58</v>
      </c>
      <c r="G917" s="19" t="s">
        <v>177</v>
      </c>
      <c r="H917" s="19" t="s">
        <v>31</v>
      </c>
      <c r="I917">
        <v>768</v>
      </c>
      <c r="J917">
        <v>0</v>
      </c>
      <c r="K917" s="1" t="s">
        <v>66</v>
      </c>
    </row>
    <row r="918" spans="1:11">
      <c r="A918" s="17" t="s">
        <v>69</v>
      </c>
      <c r="B918" s="19" t="s">
        <v>50</v>
      </c>
      <c r="C918" s="19" t="s">
        <v>1130</v>
      </c>
      <c r="D918" s="19" t="s">
        <v>1131</v>
      </c>
      <c r="E918" s="20" t="s">
        <v>11</v>
      </c>
      <c r="F918" s="19" t="s">
        <v>58</v>
      </c>
      <c r="G918" s="19" t="s">
        <v>177</v>
      </c>
      <c r="H918" s="19" t="s">
        <v>31</v>
      </c>
      <c r="I918">
        <v>1741</v>
      </c>
      <c r="J918">
        <v>7</v>
      </c>
      <c r="K918" s="1" t="s">
        <v>65</v>
      </c>
    </row>
    <row r="919" spans="1:11">
      <c r="A919" s="17" t="s">
        <v>69</v>
      </c>
      <c r="B919" s="19" t="s">
        <v>50</v>
      </c>
      <c r="C919" s="19" t="s">
        <v>1132</v>
      </c>
      <c r="D919" s="19" t="s">
        <v>1133</v>
      </c>
      <c r="E919" s="20" t="s">
        <v>11</v>
      </c>
      <c r="F919" s="19" t="s">
        <v>58</v>
      </c>
      <c r="G919" s="19" t="s">
        <v>177</v>
      </c>
      <c r="H919" s="19" t="s">
        <v>31</v>
      </c>
      <c r="I919">
        <v>964</v>
      </c>
      <c r="J919">
        <v>0</v>
      </c>
      <c r="K919" s="1" t="s">
        <v>66</v>
      </c>
    </row>
    <row r="920" spans="1:11">
      <c r="A920" s="17" t="s">
        <v>69</v>
      </c>
      <c r="B920" s="19" t="s">
        <v>50</v>
      </c>
      <c r="C920" s="19" t="s">
        <v>1132</v>
      </c>
      <c r="D920" s="19" t="s">
        <v>1133</v>
      </c>
      <c r="E920" s="20" t="s">
        <v>11</v>
      </c>
      <c r="F920" s="19" t="s">
        <v>58</v>
      </c>
      <c r="G920" s="19" t="s">
        <v>177</v>
      </c>
      <c r="H920" s="19" t="s">
        <v>31</v>
      </c>
      <c r="I920">
        <v>1317</v>
      </c>
      <c r="J920">
        <v>2</v>
      </c>
      <c r="K920" s="1" t="s">
        <v>65</v>
      </c>
    </row>
    <row r="921" spans="1:11">
      <c r="A921" s="17" t="s">
        <v>69</v>
      </c>
      <c r="B921" s="19" t="s">
        <v>50</v>
      </c>
      <c r="C921" s="19" t="s">
        <v>1134</v>
      </c>
      <c r="D921" s="19" t="s">
        <v>1135</v>
      </c>
      <c r="E921" s="20" t="s">
        <v>11</v>
      </c>
      <c r="F921" s="19" t="s">
        <v>58</v>
      </c>
      <c r="G921" s="19" t="s">
        <v>177</v>
      </c>
      <c r="H921" s="19" t="s">
        <v>31</v>
      </c>
      <c r="I921">
        <v>753</v>
      </c>
      <c r="J921">
        <v>0</v>
      </c>
      <c r="K921" s="1" t="s">
        <v>66</v>
      </c>
    </row>
    <row r="922" spans="1:11">
      <c r="A922" s="17" t="s">
        <v>69</v>
      </c>
      <c r="B922" s="19" t="s">
        <v>50</v>
      </c>
      <c r="C922" s="19" t="s">
        <v>1134</v>
      </c>
      <c r="D922" s="19" t="s">
        <v>1135</v>
      </c>
      <c r="E922" s="20" t="s">
        <v>11</v>
      </c>
      <c r="F922" s="19" t="s">
        <v>58</v>
      </c>
      <c r="G922" s="19" t="s">
        <v>177</v>
      </c>
      <c r="H922" s="19" t="s">
        <v>31</v>
      </c>
      <c r="I922">
        <v>1134</v>
      </c>
      <c r="J922">
        <v>0</v>
      </c>
      <c r="K922" s="1" t="s">
        <v>65</v>
      </c>
    </row>
    <row r="923" spans="1:11">
      <c r="A923" s="17" t="s">
        <v>69</v>
      </c>
      <c r="B923" s="19" t="s">
        <v>50</v>
      </c>
      <c r="C923" s="19" t="s">
        <v>1136</v>
      </c>
      <c r="D923" s="19" t="s">
        <v>1137</v>
      </c>
      <c r="E923" s="20" t="s">
        <v>11</v>
      </c>
      <c r="F923" s="19" t="s">
        <v>58</v>
      </c>
      <c r="G923" s="19" t="s">
        <v>177</v>
      </c>
      <c r="H923" s="19" t="s">
        <v>31</v>
      </c>
      <c r="I923">
        <v>1022</v>
      </c>
      <c r="J923">
        <v>0</v>
      </c>
      <c r="K923" s="1" t="s">
        <v>66</v>
      </c>
    </row>
    <row r="924" spans="1:11">
      <c r="A924" s="17" t="s">
        <v>69</v>
      </c>
      <c r="B924" s="19" t="s">
        <v>50</v>
      </c>
      <c r="C924" s="19" t="s">
        <v>1136</v>
      </c>
      <c r="D924" s="19" t="s">
        <v>1137</v>
      </c>
      <c r="E924" s="20" t="s">
        <v>11</v>
      </c>
      <c r="F924" s="19" t="s">
        <v>58</v>
      </c>
      <c r="G924" s="19" t="s">
        <v>177</v>
      </c>
      <c r="H924" s="19" t="s">
        <v>31</v>
      </c>
      <c r="I924">
        <v>1271</v>
      </c>
      <c r="J924">
        <v>2</v>
      </c>
      <c r="K924" s="1" t="s">
        <v>65</v>
      </c>
    </row>
    <row r="925" spans="1:11">
      <c r="A925" s="17" t="s">
        <v>69</v>
      </c>
      <c r="B925" s="19" t="s">
        <v>50</v>
      </c>
      <c r="C925" s="19" t="s">
        <v>1138</v>
      </c>
      <c r="D925" s="19" t="s">
        <v>1139</v>
      </c>
      <c r="E925" s="20" t="s">
        <v>11</v>
      </c>
      <c r="F925" s="19" t="s">
        <v>58</v>
      </c>
      <c r="G925" s="19" t="s">
        <v>177</v>
      </c>
      <c r="H925" s="19" t="s">
        <v>31</v>
      </c>
      <c r="I925">
        <v>978</v>
      </c>
      <c r="J925">
        <v>1</v>
      </c>
      <c r="K925" s="1" t="s">
        <v>66</v>
      </c>
    </row>
    <row r="926" spans="1:11">
      <c r="A926" s="17" t="s">
        <v>69</v>
      </c>
      <c r="B926" s="19" t="s">
        <v>50</v>
      </c>
      <c r="C926" s="19" t="s">
        <v>1138</v>
      </c>
      <c r="D926" s="19" t="s">
        <v>1139</v>
      </c>
      <c r="E926" s="20" t="s">
        <v>11</v>
      </c>
      <c r="F926" s="19" t="s">
        <v>58</v>
      </c>
      <c r="G926" s="19" t="s">
        <v>177</v>
      </c>
      <c r="H926" s="19" t="s">
        <v>31</v>
      </c>
      <c r="I926">
        <v>1353</v>
      </c>
      <c r="J926">
        <v>0</v>
      </c>
      <c r="K926" s="1" t="s">
        <v>65</v>
      </c>
    </row>
    <row r="927" spans="1:11">
      <c r="A927" s="17" t="s">
        <v>69</v>
      </c>
      <c r="B927" s="19" t="s">
        <v>50</v>
      </c>
      <c r="C927" s="19" t="s">
        <v>1140</v>
      </c>
      <c r="D927" s="19" t="s">
        <v>1141</v>
      </c>
      <c r="E927" s="20" t="s">
        <v>11</v>
      </c>
      <c r="F927" s="19" t="s">
        <v>58</v>
      </c>
      <c r="G927" s="19" t="s">
        <v>177</v>
      </c>
      <c r="H927" s="19" t="s">
        <v>31</v>
      </c>
      <c r="I927">
        <v>690</v>
      </c>
      <c r="J927">
        <v>0</v>
      </c>
      <c r="K927" s="1" t="s">
        <v>66</v>
      </c>
    </row>
    <row r="928" spans="1:11">
      <c r="A928" s="17" t="s">
        <v>69</v>
      </c>
      <c r="B928" s="19" t="s">
        <v>50</v>
      </c>
      <c r="C928" s="19" t="s">
        <v>1140</v>
      </c>
      <c r="D928" s="19" t="s">
        <v>1141</v>
      </c>
      <c r="E928" s="20" t="s">
        <v>11</v>
      </c>
      <c r="F928" s="19" t="s">
        <v>58</v>
      </c>
      <c r="G928" s="19" t="s">
        <v>177</v>
      </c>
      <c r="H928" s="19" t="s">
        <v>31</v>
      </c>
      <c r="I928">
        <v>1494</v>
      </c>
      <c r="J928">
        <v>4</v>
      </c>
      <c r="K928" s="1" t="s">
        <v>65</v>
      </c>
    </row>
    <row r="929" spans="1:11">
      <c r="A929" s="17" t="s">
        <v>69</v>
      </c>
      <c r="B929" s="19" t="s">
        <v>1142</v>
      </c>
      <c r="C929" s="19" t="s">
        <v>1143</v>
      </c>
      <c r="D929" s="19" t="s">
        <v>1144</v>
      </c>
      <c r="E929" s="20" t="s">
        <v>32</v>
      </c>
      <c r="F929" s="19" t="s">
        <v>1143</v>
      </c>
      <c r="G929" s="19" t="s">
        <v>1145</v>
      </c>
      <c r="H929" s="19" t="s">
        <v>32</v>
      </c>
      <c r="I929">
        <v>0</v>
      </c>
      <c r="J929">
        <v>1</v>
      </c>
      <c r="K929" s="1" t="s">
        <v>65</v>
      </c>
    </row>
    <row r="930" spans="1:11">
      <c r="A930" s="17" t="s">
        <v>69</v>
      </c>
      <c r="B930" s="19" t="s">
        <v>62</v>
      </c>
      <c r="C930" s="19" t="s">
        <v>1146</v>
      </c>
      <c r="D930" s="19" t="s">
        <v>1147</v>
      </c>
      <c r="E930" s="20" t="s">
        <v>12</v>
      </c>
      <c r="F930" s="19" t="s">
        <v>1146</v>
      </c>
      <c r="G930" s="19" t="s">
        <v>1148</v>
      </c>
      <c r="H930" s="19" t="s">
        <v>31</v>
      </c>
      <c r="I930">
        <v>3384500</v>
      </c>
      <c r="J930">
        <v>1664</v>
      </c>
      <c r="K930" s="1" t="s">
        <v>65</v>
      </c>
    </row>
    <row r="931" spans="1:11">
      <c r="A931" s="17" t="s">
        <v>69</v>
      </c>
      <c r="B931" s="19" t="s">
        <v>62</v>
      </c>
      <c r="C931" s="19" t="s">
        <v>1149</v>
      </c>
      <c r="D931" s="19" t="s">
        <v>1150</v>
      </c>
      <c r="E931" s="20" t="s">
        <v>12</v>
      </c>
      <c r="F931" s="19" t="s">
        <v>1149</v>
      </c>
      <c r="G931" s="19" t="s">
        <v>1151</v>
      </c>
      <c r="H931" s="19" t="s">
        <v>31</v>
      </c>
      <c r="I931">
        <v>1674853</v>
      </c>
      <c r="J931">
        <v>200</v>
      </c>
      <c r="K931" s="1" t="s">
        <v>65</v>
      </c>
    </row>
    <row r="932" spans="1:11">
      <c r="A932" s="17" t="s">
        <v>69</v>
      </c>
      <c r="B932" s="19" t="s">
        <v>62</v>
      </c>
      <c r="C932" s="19" t="s">
        <v>1152</v>
      </c>
      <c r="D932" s="19" t="s">
        <v>1153</v>
      </c>
      <c r="E932" s="20" t="s">
        <v>12</v>
      </c>
      <c r="F932" s="19" t="s">
        <v>1152</v>
      </c>
      <c r="G932" s="19" t="s">
        <v>1154</v>
      </c>
      <c r="H932" s="19" t="s">
        <v>31</v>
      </c>
      <c r="I932">
        <v>0</v>
      </c>
      <c r="J932">
        <v>1</v>
      </c>
      <c r="K932" s="1" t="s">
        <v>66</v>
      </c>
    </row>
    <row r="933" spans="1:11">
      <c r="A933" s="17" t="s">
        <v>69</v>
      </c>
      <c r="B933" s="19" t="s">
        <v>62</v>
      </c>
      <c r="C933" s="19" t="s">
        <v>1155</v>
      </c>
      <c r="D933" s="19" t="s">
        <v>1156</v>
      </c>
      <c r="E933" s="20" t="s">
        <v>12</v>
      </c>
      <c r="F933" s="19" t="s">
        <v>1155</v>
      </c>
      <c r="G933" s="19" t="s">
        <v>1157</v>
      </c>
      <c r="H933" s="19" t="s">
        <v>31</v>
      </c>
      <c r="I933">
        <v>1</v>
      </c>
      <c r="J933">
        <v>0</v>
      </c>
      <c r="K933" s="1" t="s">
        <v>66</v>
      </c>
    </row>
    <row r="934" spans="1:11">
      <c r="A934" s="17" t="s">
        <v>69</v>
      </c>
      <c r="B934" s="19" t="s">
        <v>62</v>
      </c>
      <c r="C934" s="19" t="s">
        <v>1158</v>
      </c>
      <c r="D934" s="19" t="s">
        <v>1159</v>
      </c>
      <c r="E934" s="20" t="s">
        <v>12</v>
      </c>
      <c r="F934" s="19" t="s">
        <v>1158</v>
      </c>
      <c r="G934" s="19" t="s">
        <v>1160</v>
      </c>
      <c r="H934" s="19" t="s">
        <v>31</v>
      </c>
      <c r="I934">
        <v>946804</v>
      </c>
      <c r="J934">
        <v>409</v>
      </c>
      <c r="K934" s="1" t="s">
        <v>65</v>
      </c>
    </row>
    <row r="935" spans="1:11">
      <c r="A935" s="17" t="s">
        <v>69</v>
      </c>
      <c r="B935" s="19" t="s">
        <v>53</v>
      </c>
      <c r="C935" s="19" t="s">
        <v>1161</v>
      </c>
      <c r="D935" s="19" t="s">
        <v>1162</v>
      </c>
      <c r="E935" s="20" t="s">
        <v>32</v>
      </c>
      <c r="F935" s="19" t="s">
        <v>1161</v>
      </c>
      <c r="G935" s="19" t="s">
        <v>1163</v>
      </c>
      <c r="H935" s="19" t="s">
        <v>32</v>
      </c>
      <c r="I935">
        <v>1</v>
      </c>
      <c r="J935">
        <v>4</v>
      </c>
      <c r="K935" s="1" t="s">
        <v>66</v>
      </c>
    </row>
    <row r="936" spans="1:11">
      <c r="A936" s="17" t="s">
        <v>69</v>
      </c>
      <c r="B936" s="19" t="s">
        <v>53</v>
      </c>
      <c r="C936" s="19" t="s">
        <v>1161</v>
      </c>
      <c r="D936" s="19" t="s">
        <v>1162</v>
      </c>
      <c r="E936" s="20" t="s">
        <v>32</v>
      </c>
      <c r="F936" s="19" t="s">
        <v>1161</v>
      </c>
      <c r="G936" s="19" t="s">
        <v>1163</v>
      </c>
      <c r="H936" s="19" t="s">
        <v>32</v>
      </c>
      <c r="I936">
        <v>0</v>
      </c>
      <c r="J936">
        <v>2</v>
      </c>
      <c r="K936" s="1" t="s">
        <v>65</v>
      </c>
    </row>
    <row r="937" spans="1:11">
      <c r="A937" s="17" t="s">
        <v>69</v>
      </c>
      <c r="B937" s="19" t="s">
        <v>53</v>
      </c>
      <c r="C937" s="19" t="s">
        <v>1164</v>
      </c>
      <c r="D937" s="19" t="s">
        <v>1165</v>
      </c>
      <c r="E937" s="20" t="s">
        <v>32</v>
      </c>
      <c r="F937" s="19" t="s">
        <v>1164</v>
      </c>
      <c r="G937" s="19" t="s">
        <v>1166</v>
      </c>
      <c r="H937" s="19" t="s">
        <v>32</v>
      </c>
      <c r="I937">
        <v>18</v>
      </c>
      <c r="J937">
        <v>3</v>
      </c>
      <c r="K937" s="1" t="s">
        <v>66</v>
      </c>
    </row>
    <row r="938" spans="1:11">
      <c r="A938" s="17" t="s">
        <v>69</v>
      </c>
      <c r="B938" s="19" t="s">
        <v>53</v>
      </c>
      <c r="C938" s="19" t="s">
        <v>1164</v>
      </c>
      <c r="D938" s="19" t="s">
        <v>1165</v>
      </c>
      <c r="E938" s="20" t="s">
        <v>32</v>
      </c>
      <c r="F938" s="19" t="s">
        <v>1164</v>
      </c>
      <c r="G938" s="19" t="s">
        <v>1166</v>
      </c>
      <c r="H938" s="19" t="s">
        <v>32</v>
      </c>
      <c r="I938">
        <v>1</v>
      </c>
      <c r="J938">
        <v>0</v>
      </c>
      <c r="K938" s="1" t="s">
        <v>65</v>
      </c>
    </row>
    <row r="939" spans="1:11">
      <c r="A939" s="17" t="s">
        <v>69</v>
      </c>
      <c r="B939" s="19" t="s">
        <v>53</v>
      </c>
      <c r="C939" s="19" t="s">
        <v>1167</v>
      </c>
      <c r="D939" s="19" t="s">
        <v>1168</v>
      </c>
      <c r="E939" s="20" t="s">
        <v>32</v>
      </c>
      <c r="F939" s="19" t="s">
        <v>1167</v>
      </c>
      <c r="G939" s="19" t="s">
        <v>1169</v>
      </c>
      <c r="H939" s="19" t="s">
        <v>32</v>
      </c>
      <c r="I939">
        <v>2780869</v>
      </c>
      <c r="J939">
        <v>25033</v>
      </c>
      <c r="K939" s="1" t="s">
        <v>66</v>
      </c>
    </row>
    <row r="940" spans="1:11">
      <c r="A940" s="17" t="s">
        <v>69</v>
      </c>
      <c r="B940" s="19" t="s">
        <v>53</v>
      </c>
      <c r="C940" s="19" t="s">
        <v>1167</v>
      </c>
      <c r="D940" s="19" t="s">
        <v>1168</v>
      </c>
      <c r="E940" s="20" t="s">
        <v>32</v>
      </c>
      <c r="F940" s="19" t="s">
        <v>1167</v>
      </c>
      <c r="G940" s="19" t="s">
        <v>1169</v>
      </c>
      <c r="H940" s="19" t="s">
        <v>32</v>
      </c>
      <c r="I940">
        <v>406</v>
      </c>
      <c r="J940">
        <v>54</v>
      </c>
      <c r="K940" s="1" t="s">
        <v>65</v>
      </c>
    </row>
    <row r="941" spans="1:11">
      <c r="A941" s="17" t="s">
        <v>69</v>
      </c>
      <c r="B941" s="19" t="s">
        <v>53</v>
      </c>
      <c r="C941" s="19" t="s">
        <v>1170</v>
      </c>
      <c r="D941" s="19" t="s">
        <v>1171</v>
      </c>
      <c r="E941" s="20" t="s">
        <v>32</v>
      </c>
      <c r="F941" s="19" t="s">
        <v>1170</v>
      </c>
      <c r="G941" s="19" t="s">
        <v>1172</v>
      </c>
      <c r="H941" s="19" t="s">
        <v>32</v>
      </c>
      <c r="I941">
        <v>764831</v>
      </c>
      <c r="J941">
        <v>2</v>
      </c>
      <c r="K941" s="1" t="s">
        <v>66</v>
      </c>
    </row>
    <row r="942" spans="1:11">
      <c r="A942" s="17" t="s">
        <v>69</v>
      </c>
      <c r="B942" s="19" t="s">
        <v>53</v>
      </c>
      <c r="C942" s="19" t="s">
        <v>1173</v>
      </c>
      <c r="D942" s="19" t="s">
        <v>1174</v>
      </c>
      <c r="E942" s="20" t="s">
        <v>32</v>
      </c>
      <c r="F942" s="19" t="s">
        <v>1173</v>
      </c>
      <c r="G942" s="19" t="s">
        <v>1175</v>
      </c>
      <c r="H942" s="19" t="s">
        <v>32</v>
      </c>
      <c r="I942">
        <v>763839</v>
      </c>
      <c r="J942">
        <v>3</v>
      </c>
      <c r="K942" s="1" t="s">
        <v>66</v>
      </c>
    </row>
    <row r="943" spans="1:11">
      <c r="A943" s="17" t="s">
        <v>69</v>
      </c>
      <c r="B943" s="19" t="s">
        <v>53</v>
      </c>
      <c r="C943" s="19" t="s">
        <v>1173</v>
      </c>
      <c r="D943" s="19" t="s">
        <v>1174</v>
      </c>
      <c r="E943" s="20" t="s">
        <v>32</v>
      </c>
      <c r="F943" s="19" t="s">
        <v>1173</v>
      </c>
      <c r="G943" s="19" t="s">
        <v>1175</v>
      </c>
      <c r="H943" s="19" t="s">
        <v>32</v>
      </c>
      <c r="I943">
        <v>2</v>
      </c>
      <c r="J943">
        <v>0</v>
      </c>
      <c r="K943" s="1" t="s">
        <v>65</v>
      </c>
    </row>
    <row r="944" spans="1:11">
      <c r="A944" s="17" t="s">
        <v>69</v>
      </c>
      <c r="B944" s="19" t="s">
        <v>53</v>
      </c>
      <c r="C944" s="19" t="s">
        <v>1176</v>
      </c>
      <c r="D944" s="19" t="s">
        <v>1177</v>
      </c>
      <c r="E944" s="20" t="s">
        <v>32</v>
      </c>
      <c r="F944" s="19" t="s">
        <v>1176</v>
      </c>
      <c r="G944" s="19" t="s">
        <v>1178</v>
      </c>
      <c r="H944" s="19" t="s">
        <v>32</v>
      </c>
      <c r="I944">
        <v>25685</v>
      </c>
      <c r="J944">
        <v>2</v>
      </c>
      <c r="K944" s="1" t="s">
        <v>66</v>
      </c>
    </row>
    <row r="945" spans="1:11">
      <c r="A945" s="17" t="s">
        <v>69</v>
      </c>
      <c r="B945" s="19" t="s">
        <v>53</v>
      </c>
      <c r="C945" s="19" t="s">
        <v>1179</v>
      </c>
      <c r="D945" s="19" t="s">
        <v>1180</v>
      </c>
      <c r="E945" s="20" t="s">
        <v>32</v>
      </c>
      <c r="F945" s="19" t="s">
        <v>1179</v>
      </c>
      <c r="G945" s="19" t="s">
        <v>1181</v>
      </c>
      <c r="H945" s="19" t="s">
        <v>32</v>
      </c>
      <c r="I945">
        <v>25947</v>
      </c>
      <c r="J945">
        <v>2</v>
      </c>
      <c r="K945" s="1" t="s">
        <v>66</v>
      </c>
    </row>
    <row r="946" spans="1:11">
      <c r="A946" s="17" t="s">
        <v>69</v>
      </c>
      <c r="B946" s="19" t="s">
        <v>53</v>
      </c>
      <c r="C946" s="19" t="s">
        <v>1182</v>
      </c>
      <c r="D946" s="19" t="s">
        <v>1183</v>
      </c>
      <c r="E946" s="20" t="s">
        <v>32</v>
      </c>
      <c r="F946" s="19" t="s">
        <v>1182</v>
      </c>
      <c r="G946" s="19" t="s">
        <v>1184</v>
      </c>
      <c r="H946" s="19" t="s">
        <v>32</v>
      </c>
      <c r="I946">
        <v>26122</v>
      </c>
      <c r="J946">
        <v>1</v>
      </c>
      <c r="K946" s="1" t="s">
        <v>66</v>
      </c>
    </row>
    <row r="947" spans="1:11">
      <c r="A947" s="17" t="s">
        <v>69</v>
      </c>
      <c r="B947" s="19" t="s">
        <v>53</v>
      </c>
      <c r="C947" s="19" t="s">
        <v>1185</v>
      </c>
      <c r="D947" s="19" t="s">
        <v>1186</v>
      </c>
      <c r="E947" s="20" t="s">
        <v>32</v>
      </c>
      <c r="F947" s="19" t="s">
        <v>1185</v>
      </c>
      <c r="G947" s="19" t="s">
        <v>1187</v>
      </c>
      <c r="H947" s="19" t="s">
        <v>32</v>
      </c>
      <c r="I947">
        <v>26055</v>
      </c>
      <c r="J947">
        <v>2</v>
      </c>
      <c r="K947" s="1" t="s">
        <v>66</v>
      </c>
    </row>
    <row r="948" spans="1:11">
      <c r="A948" s="17" t="s">
        <v>69</v>
      </c>
      <c r="B948" s="19" t="s">
        <v>53</v>
      </c>
      <c r="C948" s="19" t="s">
        <v>1188</v>
      </c>
      <c r="D948" s="19" t="s">
        <v>1189</v>
      </c>
      <c r="E948" s="20" t="s">
        <v>32</v>
      </c>
      <c r="F948" s="19" t="s">
        <v>1188</v>
      </c>
      <c r="G948" s="19" t="s">
        <v>1190</v>
      </c>
      <c r="H948" s="19" t="s">
        <v>32</v>
      </c>
      <c r="I948">
        <v>8894</v>
      </c>
      <c r="J948">
        <v>3</v>
      </c>
      <c r="K948" s="1" t="s">
        <v>66</v>
      </c>
    </row>
    <row r="949" spans="1:11">
      <c r="A949" s="17" t="s">
        <v>69</v>
      </c>
      <c r="B949" s="19" t="s">
        <v>53</v>
      </c>
      <c r="C949" s="19" t="s">
        <v>1191</v>
      </c>
      <c r="D949" s="19" t="s">
        <v>1192</v>
      </c>
      <c r="E949" s="20" t="s">
        <v>32</v>
      </c>
      <c r="F949" s="19" t="s">
        <v>1191</v>
      </c>
      <c r="G949" s="19" t="s">
        <v>1193</v>
      </c>
      <c r="H949" s="19" t="s">
        <v>32</v>
      </c>
      <c r="I949">
        <v>8706</v>
      </c>
      <c r="J949">
        <v>2</v>
      </c>
      <c r="K949" s="1" t="s">
        <v>66</v>
      </c>
    </row>
    <row r="950" spans="1:11">
      <c r="A950" s="17" t="s">
        <v>69</v>
      </c>
      <c r="B950" s="19" t="s">
        <v>53</v>
      </c>
      <c r="C950" s="19" t="s">
        <v>1194</v>
      </c>
      <c r="D950" s="19" t="s">
        <v>1195</v>
      </c>
      <c r="E950" s="20" t="s">
        <v>12</v>
      </c>
      <c r="F950" s="19" t="s">
        <v>1194</v>
      </c>
      <c r="G950" s="19" t="s">
        <v>1196</v>
      </c>
      <c r="H950" s="19" t="s">
        <v>31</v>
      </c>
      <c r="I950">
        <v>1</v>
      </c>
      <c r="J950">
        <v>0</v>
      </c>
      <c r="K950" s="1" t="s">
        <v>66</v>
      </c>
    </row>
    <row r="951" spans="1:11">
      <c r="A951" s="17" t="s">
        <v>69</v>
      </c>
      <c r="B951" s="19" t="s">
        <v>53</v>
      </c>
      <c r="C951" s="19" t="s">
        <v>1197</v>
      </c>
      <c r="D951" s="19" t="s">
        <v>1198</v>
      </c>
      <c r="E951" s="20" t="s">
        <v>12</v>
      </c>
      <c r="F951" s="19" t="s">
        <v>1197</v>
      </c>
      <c r="G951" s="19" t="s">
        <v>1199</v>
      </c>
      <c r="H951" s="19" t="s">
        <v>31</v>
      </c>
      <c r="I951">
        <v>3</v>
      </c>
      <c r="J951">
        <v>0</v>
      </c>
      <c r="K951" s="1" t="s">
        <v>66</v>
      </c>
    </row>
    <row r="952" spans="1:11">
      <c r="A952" s="17" t="s">
        <v>69</v>
      </c>
      <c r="B952" s="19" t="s">
        <v>53</v>
      </c>
      <c r="C952" s="19" t="s">
        <v>1200</v>
      </c>
      <c r="D952" s="19" t="s">
        <v>1201</v>
      </c>
      <c r="E952" s="20" t="s">
        <v>12</v>
      </c>
      <c r="F952" s="19" t="s">
        <v>1200</v>
      </c>
      <c r="G952" s="19" t="s">
        <v>1202</v>
      </c>
      <c r="H952" s="19" t="s">
        <v>31</v>
      </c>
      <c r="I952">
        <v>1</v>
      </c>
      <c r="J952">
        <v>0</v>
      </c>
      <c r="K952" s="1" t="s">
        <v>66</v>
      </c>
    </row>
    <row r="953" spans="1:11">
      <c r="A953" s="17" t="s">
        <v>69</v>
      </c>
      <c r="B953" s="19" t="s">
        <v>1203</v>
      </c>
      <c r="C953" s="19" t="s">
        <v>1204</v>
      </c>
      <c r="D953" s="19" t="s">
        <v>1205</v>
      </c>
      <c r="E953" s="20" t="s">
        <v>32</v>
      </c>
      <c r="F953" s="19" t="s">
        <v>1204</v>
      </c>
      <c r="G953" s="19" t="s">
        <v>1206</v>
      </c>
      <c r="H953" s="19" t="s">
        <v>32</v>
      </c>
      <c r="I953">
        <v>0</v>
      </c>
      <c r="J953">
        <v>1</v>
      </c>
      <c r="K953" s="1" t="s">
        <v>66</v>
      </c>
    </row>
    <row r="954" spans="1:11">
      <c r="A954" s="17" t="s">
        <v>69</v>
      </c>
      <c r="B954" s="19" t="s">
        <v>60</v>
      </c>
      <c r="C954" s="19" t="s">
        <v>1207</v>
      </c>
      <c r="D954" s="19" t="s">
        <v>1208</v>
      </c>
      <c r="E954" s="20" t="s">
        <v>32</v>
      </c>
      <c r="F954" s="19" t="s">
        <v>1207</v>
      </c>
      <c r="G954" s="19" t="s">
        <v>1209</v>
      </c>
      <c r="H954" s="19" t="s">
        <v>32</v>
      </c>
      <c r="I954">
        <v>0</v>
      </c>
      <c r="J954">
        <v>1</v>
      </c>
      <c r="K954" s="1" t="s">
        <v>65</v>
      </c>
    </row>
    <row r="955" spans="1:11">
      <c r="A955" s="17" t="s">
        <v>69</v>
      </c>
      <c r="B955" s="19" t="s">
        <v>60</v>
      </c>
      <c r="C955" s="19" t="s">
        <v>1210</v>
      </c>
      <c r="D955" s="19" t="s">
        <v>1211</v>
      </c>
      <c r="E955" s="20" t="s">
        <v>32</v>
      </c>
      <c r="F955" s="19" t="s">
        <v>1210</v>
      </c>
      <c r="G955" s="19" t="s">
        <v>1212</v>
      </c>
      <c r="H955" s="19" t="s">
        <v>32</v>
      </c>
      <c r="I955">
        <v>0</v>
      </c>
      <c r="J955">
        <v>289</v>
      </c>
      <c r="K955" s="1" t="s">
        <v>66</v>
      </c>
    </row>
    <row r="956" spans="1:11">
      <c r="A956" s="17" t="s">
        <v>69</v>
      </c>
      <c r="B956" s="19" t="s">
        <v>60</v>
      </c>
      <c r="C956" s="19" t="s">
        <v>1213</v>
      </c>
      <c r="D956" s="19" t="s">
        <v>1214</v>
      </c>
      <c r="E956" s="20" t="s">
        <v>32</v>
      </c>
      <c r="F956" s="19" t="s">
        <v>1213</v>
      </c>
      <c r="G956" s="19" t="s">
        <v>1215</v>
      </c>
      <c r="H956" s="19" t="s">
        <v>32</v>
      </c>
      <c r="I956">
        <v>0</v>
      </c>
      <c r="J956">
        <v>56</v>
      </c>
      <c r="K956" s="1" t="s">
        <v>65</v>
      </c>
    </row>
    <row r="957" spans="1:11">
      <c r="A957" s="17" t="s">
        <v>69</v>
      </c>
      <c r="B957" s="19" t="s">
        <v>60</v>
      </c>
      <c r="C957" s="19" t="s">
        <v>1216</v>
      </c>
      <c r="D957" s="19" t="s">
        <v>1217</v>
      </c>
      <c r="E957" s="20" t="s">
        <v>32</v>
      </c>
      <c r="F957" s="19" t="s">
        <v>1216</v>
      </c>
      <c r="G957" s="19" t="s">
        <v>1218</v>
      </c>
      <c r="H957" s="19" t="s">
        <v>32</v>
      </c>
      <c r="I957">
        <v>0</v>
      </c>
      <c r="J957">
        <v>77</v>
      </c>
      <c r="K957" s="1" t="s">
        <v>66</v>
      </c>
    </row>
    <row r="958" spans="1:11">
      <c r="A958" s="17" t="s">
        <v>69</v>
      </c>
      <c r="B958" s="19" t="s">
        <v>60</v>
      </c>
      <c r="C958" s="19" t="s">
        <v>1219</v>
      </c>
      <c r="D958" s="19" t="s">
        <v>1220</v>
      </c>
      <c r="E958" s="20" t="s">
        <v>32</v>
      </c>
      <c r="F958" s="19" t="s">
        <v>1219</v>
      </c>
      <c r="G958" s="19" t="s">
        <v>1221</v>
      </c>
      <c r="H958" s="19" t="s">
        <v>32</v>
      </c>
      <c r="I958">
        <v>0</v>
      </c>
      <c r="J958">
        <v>784</v>
      </c>
      <c r="K958" s="1" t="s">
        <v>65</v>
      </c>
    </row>
    <row r="959" spans="1:11">
      <c r="A959" s="17" t="s">
        <v>69</v>
      </c>
      <c r="B959" s="19" t="s">
        <v>48</v>
      </c>
      <c r="C959" s="19" t="s">
        <v>1222</v>
      </c>
      <c r="D959" s="19" t="s">
        <v>1223</v>
      </c>
      <c r="E959" s="20" t="s">
        <v>32</v>
      </c>
      <c r="F959" s="19" t="s">
        <v>1222</v>
      </c>
      <c r="G959" s="19" t="s">
        <v>1224</v>
      </c>
      <c r="H959" s="19" t="s">
        <v>32</v>
      </c>
      <c r="I959">
        <v>0</v>
      </c>
      <c r="J959">
        <v>3</v>
      </c>
      <c r="K959" s="1" t="s">
        <v>65</v>
      </c>
    </row>
    <row r="960" spans="1:11">
      <c r="A960" s="17" t="s">
        <v>69</v>
      </c>
      <c r="B960" s="19" t="s">
        <v>48</v>
      </c>
      <c r="C960" s="19" t="s">
        <v>1225</v>
      </c>
      <c r="D960" s="19" t="s">
        <v>1226</v>
      </c>
      <c r="E960" s="20" t="s">
        <v>32</v>
      </c>
      <c r="F960" s="19" t="s">
        <v>1225</v>
      </c>
      <c r="G960" s="19" t="s">
        <v>1227</v>
      </c>
      <c r="H960" s="19" t="s">
        <v>32</v>
      </c>
      <c r="I960">
        <v>0</v>
      </c>
      <c r="J960">
        <v>6</v>
      </c>
      <c r="K960" s="1" t="s">
        <v>65</v>
      </c>
    </row>
    <row r="961" spans="1:11">
      <c r="A961" s="17" t="s">
        <v>69</v>
      </c>
      <c r="B961" s="19" t="s">
        <v>48</v>
      </c>
      <c r="C961" s="19" t="s">
        <v>1228</v>
      </c>
      <c r="D961" s="19" t="s">
        <v>1229</v>
      </c>
      <c r="E961" s="20" t="s">
        <v>32</v>
      </c>
      <c r="F961" s="19" t="s">
        <v>1230</v>
      </c>
      <c r="G961" s="19" t="s">
        <v>1231</v>
      </c>
      <c r="H961" s="19" t="s">
        <v>32</v>
      </c>
      <c r="I961">
        <v>0</v>
      </c>
      <c r="J961">
        <v>1</v>
      </c>
      <c r="K961" s="1" t="s">
        <v>65</v>
      </c>
    </row>
    <row r="962" spans="1:11">
      <c r="A962" s="17" t="s">
        <v>1232</v>
      </c>
      <c r="B962" s="19" t="s">
        <v>1233</v>
      </c>
      <c r="C962" s="19" t="s">
        <v>1234</v>
      </c>
      <c r="D962" s="19" t="s">
        <v>1235</v>
      </c>
      <c r="E962" s="20" t="s">
        <v>32</v>
      </c>
      <c r="F962" s="19" t="s">
        <v>1234</v>
      </c>
      <c r="G962" s="19" t="s">
        <v>1236</v>
      </c>
      <c r="H962" s="19" t="s">
        <v>32</v>
      </c>
      <c r="I962">
        <v>0</v>
      </c>
      <c r="J962">
        <v>1</v>
      </c>
      <c r="K962" s="1" t="s">
        <v>65</v>
      </c>
    </row>
    <row r="963" spans="1:11">
      <c r="A963" s="17" t="s">
        <v>1232</v>
      </c>
      <c r="B963" s="19" t="s">
        <v>48</v>
      </c>
      <c r="C963" s="19" t="s">
        <v>1237</v>
      </c>
      <c r="D963" s="19" t="s">
        <v>1238</v>
      </c>
      <c r="E963" s="20" t="s">
        <v>32</v>
      </c>
      <c r="F963" s="19" t="s">
        <v>1237</v>
      </c>
      <c r="G963" s="19" t="s">
        <v>1239</v>
      </c>
      <c r="H963" s="19" t="s">
        <v>32</v>
      </c>
      <c r="I963">
        <v>0</v>
      </c>
      <c r="J963">
        <v>1</v>
      </c>
      <c r="K963" s="1" t="s">
        <v>65</v>
      </c>
    </row>
    <row r="964" spans="1:11">
      <c r="A964" s="17" t="s">
        <v>1240</v>
      </c>
      <c r="B964" s="19" t="s">
        <v>63</v>
      </c>
      <c r="C964" s="19" t="s">
        <v>1241</v>
      </c>
      <c r="D964" s="19" t="s">
        <v>1242</v>
      </c>
      <c r="E964" s="20" t="s">
        <v>12</v>
      </c>
      <c r="F964" s="19" t="s">
        <v>1241</v>
      </c>
      <c r="G964" s="19" t="s">
        <v>1243</v>
      </c>
      <c r="H964" s="19" t="s">
        <v>31</v>
      </c>
      <c r="I964">
        <v>204301</v>
      </c>
      <c r="J964">
        <v>15</v>
      </c>
      <c r="K964" s="1" t="s">
        <v>66</v>
      </c>
    </row>
    <row r="965" spans="1:11">
      <c r="A965" s="17" t="s">
        <v>1240</v>
      </c>
      <c r="B965" s="19" t="s">
        <v>63</v>
      </c>
      <c r="C965" s="19" t="s">
        <v>1244</v>
      </c>
      <c r="D965" s="19" t="s">
        <v>1245</v>
      </c>
      <c r="E965" s="20" t="s">
        <v>12</v>
      </c>
      <c r="F965" s="19" t="s">
        <v>1244</v>
      </c>
      <c r="G965" s="19" t="s">
        <v>1246</v>
      </c>
      <c r="H965" s="19" t="s">
        <v>31</v>
      </c>
      <c r="I965">
        <v>79805</v>
      </c>
      <c r="J965">
        <v>4</v>
      </c>
      <c r="K965" s="1" t="s">
        <v>66</v>
      </c>
    </row>
    <row r="966" spans="1:11">
      <c r="A966" s="17" t="s">
        <v>1240</v>
      </c>
      <c r="B966" s="19" t="s">
        <v>63</v>
      </c>
      <c r="C966" s="19" t="s">
        <v>1247</v>
      </c>
      <c r="D966" s="19" t="s">
        <v>1248</v>
      </c>
      <c r="E966" s="20" t="s">
        <v>12</v>
      </c>
      <c r="F966" s="19" t="s">
        <v>1247</v>
      </c>
      <c r="G966" s="19" t="s">
        <v>1249</v>
      </c>
      <c r="H966" s="19" t="s">
        <v>31</v>
      </c>
      <c r="I966">
        <v>19089</v>
      </c>
      <c r="J966">
        <v>0</v>
      </c>
      <c r="K966" s="1" t="s">
        <v>66</v>
      </c>
    </row>
    <row r="967" spans="1:11">
      <c r="A967" s="17" t="s">
        <v>1240</v>
      </c>
      <c r="B967" s="19" t="s">
        <v>63</v>
      </c>
      <c r="C967" s="19" t="s">
        <v>1250</v>
      </c>
      <c r="D967" s="19" t="s">
        <v>1251</v>
      </c>
      <c r="E967" s="20" t="s">
        <v>12</v>
      </c>
      <c r="F967" s="19" t="s">
        <v>1250</v>
      </c>
      <c r="G967" s="19" t="s">
        <v>1252</v>
      </c>
      <c r="H967" s="19" t="s">
        <v>31</v>
      </c>
      <c r="I967">
        <v>44013</v>
      </c>
      <c r="J967">
        <v>1</v>
      </c>
      <c r="K967" s="1" t="s">
        <v>66</v>
      </c>
    </row>
    <row r="968" spans="1:11">
      <c r="A968" s="17" t="s">
        <v>1240</v>
      </c>
      <c r="B968" s="19" t="s">
        <v>63</v>
      </c>
      <c r="C968" s="19" t="s">
        <v>1253</v>
      </c>
      <c r="D968" s="19" t="s">
        <v>1254</v>
      </c>
      <c r="E968" s="20" t="s">
        <v>12</v>
      </c>
      <c r="F968" s="19" t="s">
        <v>1253</v>
      </c>
      <c r="G968" s="19" t="s">
        <v>1255</v>
      </c>
      <c r="H968" s="19" t="s">
        <v>31</v>
      </c>
      <c r="I968">
        <v>18435</v>
      </c>
      <c r="J968">
        <v>22</v>
      </c>
      <c r="K968" s="1" t="s">
        <v>66</v>
      </c>
    </row>
    <row r="969" spans="1:11">
      <c r="A969" s="17" t="s">
        <v>1240</v>
      </c>
      <c r="B969" s="19" t="s">
        <v>63</v>
      </c>
      <c r="C969" s="19" t="s">
        <v>1253</v>
      </c>
      <c r="D969" s="19" t="s">
        <v>1254</v>
      </c>
      <c r="E969" s="20" t="s">
        <v>12</v>
      </c>
      <c r="F969" s="19" t="s">
        <v>1253</v>
      </c>
      <c r="G969" s="19" t="s">
        <v>1255</v>
      </c>
      <c r="H969" s="19" t="s">
        <v>31</v>
      </c>
      <c r="I969">
        <v>355</v>
      </c>
      <c r="J969">
        <v>0</v>
      </c>
      <c r="K969" s="1" t="s">
        <v>65</v>
      </c>
    </row>
    <row r="970" spans="1:11">
      <c r="A970" s="17" t="s">
        <v>1240</v>
      </c>
      <c r="B970" s="19" t="s">
        <v>63</v>
      </c>
      <c r="C970" s="19" t="s">
        <v>1256</v>
      </c>
      <c r="D970" s="19" t="s">
        <v>1257</v>
      </c>
      <c r="E970" s="20" t="s">
        <v>12</v>
      </c>
      <c r="F970" s="19" t="s">
        <v>1256</v>
      </c>
      <c r="G970" s="19" t="s">
        <v>1258</v>
      </c>
      <c r="H970" s="19" t="s">
        <v>31</v>
      </c>
      <c r="I970">
        <v>27176</v>
      </c>
      <c r="J970">
        <v>36</v>
      </c>
      <c r="K970" s="1" t="s">
        <v>66</v>
      </c>
    </row>
    <row r="971" spans="1:11">
      <c r="A971" s="17" t="s">
        <v>1240</v>
      </c>
      <c r="B971" s="19" t="s">
        <v>63</v>
      </c>
      <c r="C971" s="19" t="s">
        <v>1256</v>
      </c>
      <c r="D971" s="19" t="s">
        <v>1257</v>
      </c>
      <c r="E971" s="20" t="s">
        <v>12</v>
      </c>
      <c r="F971" s="19" t="s">
        <v>1256</v>
      </c>
      <c r="G971" s="19" t="s">
        <v>1258</v>
      </c>
      <c r="H971" s="19" t="s">
        <v>31</v>
      </c>
      <c r="I971">
        <v>361</v>
      </c>
      <c r="J971">
        <v>1</v>
      </c>
      <c r="K971" s="1" t="s">
        <v>65</v>
      </c>
    </row>
    <row r="972" spans="1:11">
      <c r="A972" s="17" t="s">
        <v>1240</v>
      </c>
      <c r="B972" s="19" t="s">
        <v>63</v>
      </c>
      <c r="C972" s="19" t="s">
        <v>1259</v>
      </c>
      <c r="D972" s="19" t="s">
        <v>1260</v>
      </c>
      <c r="E972" s="20" t="s">
        <v>12</v>
      </c>
      <c r="F972" s="19" t="s">
        <v>1259</v>
      </c>
      <c r="G972" s="19" t="s">
        <v>1261</v>
      </c>
      <c r="H972" s="19" t="s">
        <v>31</v>
      </c>
      <c r="I972">
        <v>78753</v>
      </c>
      <c r="J972">
        <v>90</v>
      </c>
      <c r="K972" s="1" t="s">
        <v>66</v>
      </c>
    </row>
    <row r="973" spans="1:11">
      <c r="A973" s="17" t="s">
        <v>1240</v>
      </c>
      <c r="B973" s="19" t="s">
        <v>63</v>
      </c>
      <c r="C973" s="19" t="s">
        <v>1262</v>
      </c>
      <c r="D973" s="19" t="s">
        <v>1263</v>
      </c>
      <c r="E973" s="20" t="s">
        <v>12</v>
      </c>
      <c r="F973" s="19" t="s">
        <v>1262</v>
      </c>
      <c r="G973" s="19" t="s">
        <v>1264</v>
      </c>
      <c r="H973" s="19" t="s">
        <v>31</v>
      </c>
      <c r="I973">
        <v>182894</v>
      </c>
      <c r="J973">
        <v>222</v>
      </c>
      <c r="K973" s="1" t="s">
        <v>66</v>
      </c>
    </row>
    <row r="974" spans="1:11">
      <c r="A974" s="17" t="s">
        <v>1240</v>
      </c>
      <c r="B974" s="19" t="s">
        <v>63</v>
      </c>
      <c r="C974" s="19" t="s">
        <v>1265</v>
      </c>
      <c r="D974" s="19" t="s">
        <v>1266</v>
      </c>
      <c r="E974" s="20" t="s">
        <v>12</v>
      </c>
      <c r="F974" s="19" t="s">
        <v>1265</v>
      </c>
      <c r="G974" s="19" t="s">
        <v>1267</v>
      </c>
      <c r="H974" s="19" t="s">
        <v>31</v>
      </c>
      <c r="I974">
        <v>11294</v>
      </c>
      <c r="J974">
        <v>59</v>
      </c>
      <c r="K974" s="1" t="s">
        <v>66</v>
      </c>
    </row>
    <row r="975" spans="1:11">
      <c r="A975" s="17" t="s">
        <v>1240</v>
      </c>
      <c r="B975" s="19" t="s">
        <v>63</v>
      </c>
      <c r="C975" s="19" t="s">
        <v>1265</v>
      </c>
      <c r="D975" s="19" t="s">
        <v>1266</v>
      </c>
      <c r="E975" s="20" t="s">
        <v>12</v>
      </c>
      <c r="F975" s="19" t="s">
        <v>1265</v>
      </c>
      <c r="G975" s="19" t="s">
        <v>1267</v>
      </c>
      <c r="H975" s="19" t="s">
        <v>31</v>
      </c>
      <c r="I975">
        <v>471</v>
      </c>
      <c r="J975">
        <v>1</v>
      </c>
      <c r="K975" s="1" t="s">
        <v>65</v>
      </c>
    </row>
    <row r="976" spans="1:11">
      <c r="A976" s="17" t="s">
        <v>1240</v>
      </c>
      <c r="B976" s="19" t="s">
        <v>63</v>
      </c>
      <c r="C976" s="19" t="s">
        <v>1268</v>
      </c>
      <c r="D976" s="19" t="s">
        <v>1269</v>
      </c>
      <c r="E976" s="20" t="s">
        <v>12</v>
      </c>
      <c r="F976" s="19" t="s">
        <v>1268</v>
      </c>
      <c r="G976" s="19" t="s">
        <v>1270</v>
      </c>
      <c r="H976" s="19" t="s">
        <v>31</v>
      </c>
      <c r="I976">
        <v>7346</v>
      </c>
      <c r="J976">
        <v>49</v>
      </c>
      <c r="K976" s="1" t="s">
        <v>66</v>
      </c>
    </row>
    <row r="977" spans="1:11">
      <c r="A977" s="17" t="s">
        <v>1240</v>
      </c>
      <c r="B977" s="19" t="s">
        <v>63</v>
      </c>
      <c r="C977" s="19" t="s">
        <v>1268</v>
      </c>
      <c r="D977" s="19" t="s">
        <v>1269</v>
      </c>
      <c r="E977" s="20" t="s">
        <v>12</v>
      </c>
      <c r="F977" s="19" t="s">
        <v>1268</v>
      </c>
      <c r="G977" s="19" t="s">
        <v>1270</v>
      </c>
      <c r="H977" s="19" t="s">
        <v>31</v>
      </c>
      <c r="I977">
        <v>177</v>
      </c>
      <c r="J977">
        <v>0</v>
      </c>
      <c r="K977" s="1" t="s">
        <v>65</v>
      </c>
    </row>
    <row r="978" spans="1:11">
      <c r="A978" s="17" t="s">
        <v>1240</v>
      </c>
      <c r="B978" s="19" t="s">
        <v>63</v>
      </c>
      <c r="C978" s="19" t="s">
        <v>1271</v>
      </c>
      <c r="D978" s="19" t="s">
        <v>1272</v>
      </c>
      <c r="E978" s="20" t="s">
        <v>12</v>
      </c>
      <c r="F978" s="19" t="s">
        <v>1271</v>
      </c>
      <c r="G978" s="19" t="s">
        <v>1273</v>
      </c>
      <c r="H978" s="19" t="s">
        <v>31</v>
      </c>
      <c r="I978">
        <v>118805</v>
      </c>
      <c r="J978">
        <v>180</v>
      </c>
      <c r="K978" s="1" t="s">
        <v>66</v>
      </c>
    </row>
    <row r="979" spans="1:11">
      <c r="A979" s="17" t="s">
        <v>1240</v>
      </c>
      <c r="B979" s="19" t="s">
        <v>63</v>
      </c>
      <c r="C979" s="19" t="s">
        <v>1271</v>
      </c>
      <c r="D979" s="19" t="s">
        <v>1272</v>
      </c>
      <c r="E979" s="20" t="s">
        <v>12</v>
      </c>
      <c r="F979" s="19" t="s">
        <v>1271</v>
      </c>
      <c r="G979" s="19" t="s">
        <v>1273</v>
      </c>
      <c r="H979" s="19" t="s">
        <v>31</v>
      </c>
      <c r="I979">
        <v>440</v>
      </c>
      <c r="J979">
        <v>1</v>
      </c>
      <c r="K979" s="1" t="s">
        <v>65</v>
      </c>
    </row>
    <row r="980" spans="1:11">
      <c r="A980" s="17" t="s">
        <v>1240</v>
      </c>
      <c r="B980" s="19" t="s">
        <v>63</v>
      </c>
      <c r="C980" s="19" t="s">
        <v>1274</v>
      </c>
      <c r="D980" s="19" t="s">
        <v>1275</v>
      </c>
      <c r="E980" s="20" t="s">
        <v>12</v>
      </c>
      <c r="F980" s="19" t="s">
        <v>1274</v>
      </c>
      <c r="G980" s="19" t="s">
        <v>1276</v>
      </c>
      <c r="H980" s="19" t="s">
        <v>31</v>
      </c>
      <c r="I980">
        <v>42355</v>
      </c>
      <c r="J980">
        <v>323</v>
      </c>
      <c r="K980" s="1" t="s">
        <v>66</v>
      </c>
    </row>
    <row r="981" spans="1:11">
      <c r="A981" s="17" t="s">
        <v>1240</v>
      </c>
      <c r="B981" s="19" t="s">
        <v>63</v>
      </c>
      <c r="C981" s="19" t="s">
        <v>1274</v>
      </c>
      <c r="D981" s="19" t="s">
        <v>1275</v>
      </c>
      <c r="E981" s="20" t="s">
        <v>12</v>
      </c>
      <c r="F981" s="19" t="s">
        <v>1274</v>
      </c>
      <c r="G981" s="19" t="s">
        <v>1276</v>
      </c>
      <c r="H981" s="19" t="s">
        <v>31</v>
      </c>
      <c r="I981">
        <v>632</v>
      </c>
      <c r="J981">
        <v>3</v>
      </c>
      <c r="K981" s="1" t="s">
        <v>65</v>
      </c>
    </row>
    <row r="982" spans="1:11">
      <c r="A982" s="17" t="s">
        <v>1240</v>
      </c>
      <c r="B982" s="19" t="s">
        <v>63</v>
      </c>
      <c r="C982" s="19" t="s">
        <v>1277</v>
      </c>
      <c r="D982" s="19" t="s">
        <v>1278</v>
      </c>
      <c r="E982" s="20" t="s">
        <v>12</v>
      </c>
      <c r="F982" s="19" t="s">
        <v>1277</v>
      </c>
      <c r="G982" s="19" t="s">
        <v>1279</v>
      </c>
      <c r="H982" s="19" t="s">
        <v>31</v>
      </c>
      <c r="I982">
        <v>5832</v>
      </c>
      <c r="J982">
        <v>2</v>
      </c>
      <c r="K982" s="1" t="s">
        <v>66</v>
      </c>
    </row>
    <row r="983" spans="1:11">
      <c r="A983" s="17" t="s">
        <v>1240</v>
      </c>
      <c r="B983" s="19" t="s">
        <v>63</v>
      </c>
      <c r="C983" s="19" t="s">
        <v>1277</v>
      </c>
      <c r="D983" s="19" t="s">
        <v>1278</v>
      </c>
      <c r="E983" s="20" t="s">
        <v>12</v>
      </c>
      <c r="F983" s="19" t="s">
        <v>1277</v>
      </c>
      <c r="G983" s="19" t="s">
        <v>1279</v>
      </c>
      <c r="H983" s="19" t="s">
        <v>31</v>
      </c>
      <c r="I983">
        <v>79</v>
      </c>
      <c r="J983">
        <v>0</v>
      </c>
      <c r="K983" s="1" t="s">
        <v>65</v>
      </c>
    </row>
    <row r="984" spans="1:11">
      <c r="A984" s="17" t="s">
        <v>1240</v>
      </c>
      <c r="B984" s="19" t="s">
        <v>63</v>
      </c>
      <c r="C984" s="19" t="s">
        <v>1280</v>
      </c>
      <c r="D984" s="19" t="s">
        <v>1281</v>
      </c>
      <c r="E984" s="20" t="s">
        <v>12</v>
      </c>
      <c r="F984" s="19" t="s">
        <v>1280</v>
      </c>
      <c r="G984" s="19" t="s">
        <v>1282</v>
      </c>
      <c r="H984" s="19" t="s">
        <v>31</v>
      </c>
      <c r="I984">
        <v>12200</v>
      </c>
      <c r="J984">
        <v>3</v>
      </c>
      <c r="K984" s="1" t="s">
        <v>66</v>
      </c>
    </row>
    <row r="985" spans="1:11">
      <c r="A985" s="17" t="s">
        <v>1240</v>
      </c>
      <c r="B985" s="19" t="s">
        <v>63</v>
      </c>
      <c r="C985" s="19" t="s">
        <v>1280</v>
      </c>
      <c r="D985" s="19" t="s">
        <v>1281</v>
      </c>
      <c r="E985" s="20" t="s">
        <v>12</v>
      </c>
      <c r="F985" s="19" t="s">
        <v>1280</v>
      </c>
      <c r="G985" s="19" t="s">
        <v>1282</v>
      </c>
      <c r="H985" s="19" t="s">
        <v>31</v>
      </c>
      <c r="I985">
        <v>255</v>
      </c>
      <c r="J985">
        <v>1</v>
      </c>
      <c r="K985" s="1" t="s">
        <v>65</v>
      </c>
    </row>
    <row r="986" spans="1:11">
      <c r="A986" s="17" t="s">
        <v>1240</v>
      </c>
      <c r="B986" s="19" t="s">
        <v>63</v>
      </c>
      <c r="C986" s="19" t="s">
        <v>1283</v>
      </c>
      <c r="D986" s="19" t="s">
        <v>1284</v>
      </c>
      <c r="E986" s="20" t="s">
        <v>12</v>
      </c>
      <c r="F986" s="19" t="s">
        <v>1283</v>
      </c>
      <c r="G986" s="19" t="s">
        <v>1285</v>
      </c>
      <c r="H986" s="19" t="s">
        <v>31</v>
      </c>
      <c r="I986">
        <v>60</v>
      </c>
      <c r="J986">
        <v>0</v>
      </c>
      <c r="K986" s="1" t="s">
        <v>66</v>
      </c>
    </row>
    <row r="987" spans="1:11">
      <c r="A987" s="17" t="s">
        <v>1240</v>
      </c>
      <c r="B987" s="19" t="s">
        <v>63</v>
      </c>
      <c r="C987" s="19" t="s">
        <v>1283</v>
      </c>
      <c r="D987" s="19" t="s">
        <v>1284</v>
      </c>
      <c r="E987" s="20" t="s">
        <v>12</v>
      </c>
      <c r="F987" s="19" t="s">
        <v>1283</v>
      </c>
      <c r="G987" s="19" t="s">
        <v>1285</v>
      </c>
      <c r="H987" s="19" t="s">
        <v>31</v>
      </c>
      <c r="I987">
        <v>75</v>
      </c>
      <c r="J987">
        <v>0</v>
      </c>
      <c r="K987" s="1" t="s">
        <v>65</v>
      </c>
    </row>
    <row r="988" spans="1:11">
      <c r="A988" s="17" t="s">
        <v>1240</v>
      </c>
      <c r="B988" s="19" t="s">
        <v>63</v>
      </c>
      <c r="C988" s="19" t="s">
        <v>1286</v>
      </c>
      <c r="D988" s="19" t="s">
        <v>1287</v>
      </c>
      <c r="E988" s="20" t="s">
        <v>12</v>
      </c>
      <c r="F988" s="19" t="s">
        <v>1286</v>
      </c>
      <c r="G988" s="19" t="s">
        <v>1288</v>
      </c>
      <c r="H988" s="19" t="s">
        <v>31</v>
      </c>
      <c r="I988">
        <v>244</v>
      </c>
      <c r="J988">
        <v>4</v>
      </c>
      <c r="K988" s="1" t="s">
        <v>66</v>
      </c>
    </row>
    <row r="989" spans="1:11">
      <c r="A989" s="17" t="s">
        <v>1240</v>
      </c>
      <c r="B989" s="19" t="s">
        <v>63</v>
      </c>
      <c r="C989" s="19" t="s">
        <v>1286</v>
      </c>
      <c r="D989" s="19" t="s">
        <v>1287</v>
      </c>
      <c r="E989" s="20" t="s">
        <v>12</v>
      </c>
      <c r="F989" s="19" t="s">
        <v>1286</v>
      </c>
      <c r="G989" s="19" t="s">
        <v>1288</v>
      </c>
      <c r="H989" s="19" t="s">
        <v>31</v>
      </c>
      <c r="I989">
        <v>396</v>
      </c>
      <c r="J989">
        <v>2</v>
      </c>
      <c r="K989" s="1" t="s">
        <v>65</v>
      </c>
    </row>
    <row r="990" spans="1:11">
      <c r="A990" s="17" t="s">
        <v>1240</v>
      </c>
      <c r="B990" s="19" t="s">
        <v>63</v>
      </c>
      <c r="C990" s="19" t="s">
        <v>1289</v>
      </c>
      <c r="D990" s="19" t="s">
        <v>1290</v>
      </c>
      <c r="E990" s="20" t="s">
        <v>12</v>
      </c>
      <c r="F990" s="19" t="s">
        <v>1289</v>
      </c>
      <c r="G990" s="19" t="s">
        <v>1291</v>
      </c>
      <c r="H990" s="19" t="s">
        <v>31</v>
      </c>
      <c r="I990">
        <v>4584</v>
      </c>
      <c r="J990">
        <v>3</v>
      </c>
      <c r="K990" s="1" t="s">
        <v>66</v>
      </c>
    </row>
    <row r="991" spans="1:11">
      <c r="A991" s="17" t="s">
        <v>1240</v>
      </c>
      <c r="B991" s="19" t="s">
        <v>63</v>
      </c>
      <c r="C991" s="19" t="s">
        <v>1289</v>
      </c>
      <c r="D991" s="19" t="s">
        <v>1290</v>
      </c>
      <c r="E991" s="20" t="s">
        <v>12</v>
      </c>
      <c r="F991" s="19" t="s">
        <v>1289</v>
      </c>
      <c r="G991" s="19" t="s">
        <v>1291</v>
      </c>
      <c r="H991" s="19" t="s">
        <v>31</v>
      </c>
      <c r="I991">
        <v>191</v>
      </c>
      <c r="J991">
        <v>0</v>
      </c>
      <c r="K991" s="1" t="s">
        <v>65</v>
      </c>
    </row>
    <row r="992" spans="1:11">
      <c r="A992" s="17" t="s">
        <v>1240</v>
      </c>
      <c r="B992" s="19" t="s">
        <v>63</v>
      </c>
      <c r="C992" s="19" t="s">
        <v>1292</v>
      </c>
      <c r="D992" s="19" t="s">
        <v>1293</v>
      </c>
      <c r="E992" s="20" t="s">
        <v>12</v>
      </c>
      <c r="F992" s="19" t="s">
        <v>1292</v>
      </c>
      <c r="G992" s="19" t="s">
        <v>1294</v>
      </c>
      <c r="H992" s="19" t="s">
        <v>31</v>
      </c>
      <c r="I992">
        <v>2380</v>
      </c>
      <c r="J992">
        <v>0</v>
      </c>
      <c r="K992" s="1" t="s">
        <v>66</v>
      </c>
    </row>
    <row r="993" spans="1:11">
      <c r="A993" s="17" t="s">
        <v>1240</v>
      </c>
      <c r="B993" s="19" t="s">
        <v>63</v>
      </c>
      <c r="C993" s="19" t="s">
        <v>1292</v>
      </c>
      <c r="D993" s="19" t="s">
        <v>1293</v>
      </c>
      <c r="E993" s="20" t="s">
        <v>12</v>
      </c>
      <c r="F993" s="19" t="s">
        <v>1292</v>
      </c>
      <c r="G993" s="19" t="s">
        <v>1294</v>
      </c>
      <c r="H993" s="19" t="s">
        <v>31</v>
      </c>
      <c r="I993">
        <v>160</v>
      </c>
      <c r="J993">
        <v>2</v>
      </c>
      <c r="K993" s="1" t="s">
        <v>65</v>
      </c>
    </row>
    <row r="994" spans="1:11">
      <c r="A994" s="17" t="s">
        <v>1295</v>
      </c>
      <c r="B994" s="19" t="s">
        <v>54</v>
      </c>
      <c r="C994" s="19" t="s">
        <v>1296</v>
      </c>
      <c r="D994" s="19" t="s">
        <v>1297</v>
      </c>
      <c r="E994" s="20" t="s">
        <v>32</v>
      </c>
      <c r="F994" s="19" t="s">
        <v>1296</v>
      </c>
      <c r="G994" s="19" t="s">
        <v>1298</v>
      </c>
      <c r="H994" s="19" t="s">
        <v>32</v>
      </c>
      <c r="I994">
        <v>0</v>
      </c>
      <c r="J994">
        <v>2</v>
      </c>
      <c r="K994" s="1" t="s">
        <v>66</v>
      </c>
    </row>
    <row r="995" spans="1:11">
      <c r="A995" s="17" t="s">
        <v>1295</v>
      </c>
      <c r="B995" s="19" t="s">
        <v>54</v>
      </c>
      <c r="C995" s="19" t="s">
        <v>1296</v>
      </c>
      <c r="D995" s="19" t="s">
        <v>1297</v>
      </c>
      <c r="E995" s="20" t="s">
        <v>32</v>
      </c>
      <c r="F995" s="19" t="s">
        <v>1296</v>
      </c>
      <c r="G995" s="19" t="s">
        <v>1298</v>
      </c>
      <c r="H995" s="19" t="s">
        <v>32</v>
      </c>
      <c r="I995">
        <v>1</v>
      </c>
      <c r="J995">
        <v>0</v>
      </c>
      <c r="K995" s="1" t="s">
        <v>65</v>
      </c>
    </row>
    <row r="996" spans="1:11">
      <c r="A996" s="17" t="s">
        <v>1295</v>
      </c>
      <c r="B996" s="19" t="s">
        <v>50</v>
      </c>
      <c r="C996" s="19" t="s">
        <v>1299</v>
      </c>
      <c r="D996" s="19" t="s">
        <v>1300</v>
      </c>
      <c r="E996" s="20" t="s">
        <v>12</v>
      </c>
      <c r="F996" s="19" t="s">
        <v>1301</v>
      </c>
      <c r="G996" s="19" t="s">
        <v>1302</v>
      </c>
      <c r="H996" s="19" t="s">
        <v>31</v>
      </c>
      <c r="I996">
        <v>919</v>
      </c>
      <c r="J996">
        <v>0</v>
      </c>
      <c r="K996" s="1" t="s">
        <v>66</v>
      </c>
    </row>
    <row r="997" spans="1:11">
      <c r="A997" s="17" t="s">
        <v>1295</v>
      </c>
      <c r="B997" s="19" t="s">
        <v>50</v>
      </c>
      <c r="C997" s="19" t="s">
        <v>1303</v>
      </c>
      <c r="D997" s="19" t="s">
        <v>1304</v>
      </c>
      <c r="E997" s="20" t="s">
        <v>12</v>
      </c>
      <c r="F997" s="19" t="s">
        <v>1305</v>
      </c>
      <c r="G997" s="19" t="s">
        <v>1306</v>
      </c>
      <c r="H997" s="19" t="s">
        <v>31</v>
      </c>
      <c r="I997">
        <v>54350</v>
      </c>
      <c r="J997">
        <v>198</v>
      </c>
      <c r="K997" s="1" t="s">
        <v>66</v>
      </c>
    </row>
    <row r="998" spans="1:11">
      <c r="A998" s="17" t="s">
        <v>1295</v>
      </c>
      <c r="B998" s="19" t="s">
        <v>50</v>
      </c>
      <c r="C998" s="19" t="s">
        <v>1303</v>
      </c>
      <c r="D998" s="19" t="s">
        <v>1304</v>
      </c>
      <c r="E998" s="20" t="s">
        <v>12</v>
      </c>
      <c r="F998" s="19" t="s">
        <v>1305</v>
      </c>
      <c r="G998" s="19" t="s">
        <v>1306</v>
      </c>
      <c r="H998" s="19" t="s">
        <v>31</v>
      </c>
      <c r="I998">
        <v>20</v>
      </c>
      <c r="J998">
        <v>0</v>
      </c>
      <c r="K998" s="1" t="s">
        <v>65</v>
      </c>
    </row>
    <row r="999" spans="1:11">
      <c r="A999" s="17" t="s">
        <v>1295</v>
      </c>
      <c r="B999" s="19" t="s">
        <v>50</v>
      </c>
      <c r="C999" s="19" t="s">
        <v>1307</v>
      </c>
      <c r="D999" s="19" t="s">
        <v>1308</v>
      </c>
      <c r="E999" s="20" t="s">
        <v>12</v>
      </c>
      <c r="F999" s="19" t="s">
        <v>1309</v>
      </c>
      <c r="G999" s="19" t="s">
        <v>1310</v>
      </c>
      <c r="H999" s="19" t="s">
        <v>31</v>
      </c>
      <c r="I999">
        <v>7441</v>
      </c>
      <c r="J999">
        <v>19</v>
      </c>
      <c r="K999" s="1" t="s">
        <v>66</v>
      </c>
    </row>
    <row r="1000" spans="1:11">
      <c r="A1000" s="17" t="s">
        <v>1295</v>
      </c>
      <c r="B1000" s="19" t="s">
        <v>50</v>
      </c>
      <c r="C1000" s="19" t="s">
        <v>1307</v>
      </c>
      <c r="D1000" s="19" t="s">
        <v>1308</v>
      </c>
      <c r="E1000" s="20" t="s">
        <v>12</v>
      </c>
      <c r="F1000" s="19" t="s">
        <v>1309</v>
      </c>
      <c r="G1000" s="19" t="s">
        <v>1310</v>
      </c>
      <c r="H1000" s="19" t="s">
        <v>31</v>
      </c>
      <c r="I1000">
        <v>1</v>
      </c>
      <c r="J1000">
        <v>0</v>
      </c>
      <c r="K1000" s="1" t="s">
        <v>65</v>
      </c>
    </row>
    <row r="1001" spans="1:11">
      <c r="A1001" s="17" t="s">
        <v>1295</v>
      </c>
      <c r="B1001" s="19" t="s">
        <v>50</v>
      </c>
      <c r="C1001" s="19" t="s">
        <v>1311</v>
      </c>
      <c r="D1001" s="19" t="s">
        <v>1312</v>
      </c>
      <c r="E1001" s="20" t="s">
        <v>12</v>
      </c>
      <c r="F1001" s="19" t="s">
        <v>1313</v>
      </c>
      <c r="G1001" s="19" t="s">
        <v>1314</v>
      </c>
      <c r="H1001" s="19" t="s">
        <v>31</v>
      </c>
      <c r="I1001">
        <v>19603</v>
      </c>
      <c r="J1001">
        <v>39</v>
      </c>
      <c r="K1001" s="1" t="s">
        <v>66</v>
      </c>
    </row>
    <row r="1002" spans="1:11">
      <c r="A1002" s="17" t="s">
        <v>1295</v>
      </c>
      <c r="B1002" s="19" t="s">
        <v>50</v>
      </c>
      <c r="C1002" s="19" t="s">
        <v>1311</v>
      </c>
      <c r="D1002" s="19" t="s">
        <v>1312</v>
      </c>
      <c r="E1002" s="20" t="s">
        <v>12</v>
      </c>
      <c r="F1002" s="19" t="s">
        <v>1313</v>
      </c>
      <c r="G1002" s="19" t="s">
        <v>1314</v>
      </c>
      <c r="H1002" s="19" t="s">
        <v>31</v>
      </c>
      <c r="I1002">
        <v>11</v>
      </c>
      <c r="J1002">
        <v>0</v>
      </c>
      <c r="K1002" s="1" t="s">
        <v>65</v>
      </c>
    </row>
    <row r="1003" spans="1:11">
      <c r="A1003" s="17" t="s">
        <v>1295</v>
      </c>
      <c r="B1003" s="19" t="s">
        <v>50</v>
      </c>
      <c r="C1003" s="19" t="s">
        <v>1315</v>
      </c>
      <c r="D1003" s="19" t="s">
        <v>1316</v>
      </c>
      <c r="E1003" s="20" t="s">
        <v>12</v>
      </c>
      <c r="F1003" s="19" t="s">
        <v>1317</v>
      </c>
      <c r="G1003" s="19" t="s">
        <v>1318</v>
      </c>
      <c r="H1003" s="19" t="s">
        <v>31</v>
      </c>
      <c r="I1003">
        <v>16903</v>
      </c>
      <c r="J1003">
        <v>35</v>
      </c>
      <c r="K1003" s="1" t="s">
        <v>66</v>
      </c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 t="s">
        <v>66</v>
      </c>
    </row>
    <row r="1849" spans="1:11">
      <c r="K1849" s="1" t="s">
        <v>66</v>
      </c>
    </row>
    <row r="1850" spans="1:11">
      <c r="K1850" s="1" t="s">
        <v>66</v>
      </c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C6" sqref="C6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0.91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25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D1"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alp_Man-VWCO</v>
      </c>
      <c r="B2" t="str">
        <f t="shared" ref="B2:B65" si="1">bd_site</f>
        <v>BR Globo</v>
      </c>
      <c r="C2" t="str">
        <f t="shared" ref="C2:C65" si="2">bd_placement</f>
        <v>alp_Man-VWCO_Globo.com_horizontal_varejo_Categoria-Caminhoes_cpm_prospecting_300x250_999-agosto_caminhoes</v>
      </c>
      <c r="D2" t="str">
        <f t="shared" ref="D2:D65" si="3">bd_placementID</f>
        <v>227404380</v>
      </c>
      <c r="E2" t="str">
        <f t="shared" ref="E2:E65" si="4">VLOOKUP(CONCATENATE(bd_adtype,"_",bd_creativetype),tabela,2,FALSE)</f>
        <v>Default</v>
      </c>
      <c r="F2" t="str">
        <f t="shared" ref="F2:F65" si="5">bd_ad</f>
        <v>300x250 Default Web Ad</v>
      </c>
      <c r="G2" t="str">
        <f t="shared" ref="G2:G65" si="6">bd_adid</f>
        <v>310387630</v>
      </c>
      <c r="H2" t="str">
        <f t="shared" ref="H2:H65" si="7">bd_creativetype</f>
        <v>Display</v>
      </c>
      <c r="I2">
        <f t="shared" ref="I2:I65" si="8">bd_impression</f>
        <v>2</v>
      </c>
      <c r="J2">
        <f t="shared" ref="J2:J65" si="9">bd_clicks</f>
        <v>0</v>
      </c>
      <c r="K2" s="4">
        <f t="shared" ref="K2:K43" si="10">IF(LEFT(B2,3)="DBM",0,VLOOKUP(E2,tabela,2,FALSE))</f>
        <v>3.8199999999999998E-2</v>
      </c>
      <c r="L2">
        <f t="shared" ref="L2:L43" si="11">VLOOKUP(E2,tabela,3,FALSE)</f>
        <v>0.09</v>
      </c>
      <c r="M2" s="4">
        <f t="shared" ref="M2:M34" si="12">IF(E2="Dynamic Click",J2*K2,K2*$I2/1000)</f>
        <v>7.64E-5</v>
      </c>
      <c r="N2" s="4">
        <f>IF(E2="Dynamic Click",J2*L2,L2*$I2/1000)</f>
        <v>1.7999999999999998E-4</v>
      </c>
    </row>
    <row r="3" spans="1:14">
      <c r="A3" t="str">
        <f t="shared" si="0"/>
        <v>alp_Man-VWCO</v>
      </c>
      <c r="B3" t="str">
        <f t="shared" si="1"/>
        <v>BR Globo</v>
      </c>
      <c r="C3" t="str">
        <f t="shared" si="2"/>
        <v>alp_Man-VWCO_Globo.com_horizontal_varejo_Categoria-Caminhoes_cpm_prospecting_970x250_999-agosto_caminhoes</v>
      </c>
      <c r="D3" t="str">
        <f t="shared" si="3"/>
        <v>227404335</v>
      </c>
      <c r="E3" t="str">
        <f t="shared" si="4"/>
        <v>Default</v>
      </c>
      <c r="F3" t="str">
        <f t="shared" si="5"/>
        <v>970x250 Default Web Ad</v>
      </c>
      <c r="G3" t="str">
        <f t="shared" si="6"/>
        <v>425283924</v>
      </c>
      <c r="H3" t="str">
        <f t="shared" si="7"/>
        <v>Display</v>
      </c>
      <c r="I3">
        <f t="shared" si="8"/>
        <v>2</v>
      </c>
      <c r="J3">
        <f t="shared" si="9"/>
        <v>0</v>
      </c>
      <c r="K3" s="4">
        <f t="shared" si="10"/>
        <v>3.8199999999999998E-2</v>
      </c>
      <c r="L3">
        <f t="shared" si="11"/>
        <v>0.09</v>
      </c>
      <c r="M3" s="4">
        <f t="shared" si="12"/>
        <v>7.64E-5</v>
      </c>
      <c r="N3" s="4">
        <f t="shared" ref="N2:N34" si="13">IF(E3="Dynamic Click",J3*L3,L3*$I3/1000)</f>
        <v>1.7999999999999998E-4</v>
      </c>
    </row>
    <row r="4" spans="1:14">
      <c r="A4" t="str">
        <f t="shared" si="0"/>
        <v>alp_Man-VWCO</v>
      </c>
      <c r="B4" t="str">
        <f t="shared" si="1"/>
        <v>BR OLX</v>
      </c>
      <c r="C4" t="str">
        <f t="shared" si="2"/>
        <v>alp_Man-VWCO_olx_horizontal_varejo_CategoriaCaminhoesGeral_cpm_prospecting_300x250_tgx_caminhoes</v>
      </c>
      <c r="D4" t="str">
        <f t="shared" si="3"/>
        <v>234078765</v>
      </c>
      <c r="E4" t="str">
        <f t="shared" si="4"/>
        <v>Standard</v>
      </c>
      <c r="F4" t="str">
        <f t="shared" si="5"/>
        <v>alp_Man-VWCO_olx_horizontal_varejo_CategoriaCaminhoesGeral_cpm_prospecting_300x250_tgx_caminhoes</v>
      </c>
      <c r="G4" t="str">
        <f t="shared" si="6"/>
        <v>431521149</v>
      </c>
      <c r="H4" t="str">
        <f t="shared" si="7"/>
        <v>Display</v>
      </c>
      <c r="I4">
        <f t="shared" si="8"/>
        <v>498806</v>
      </c>
      <c r="J4">
        <f t="shared" si="9"/>
        <v>670</v>
      </c>
      <c r="K4" s="4">
        <f t="shared" si="10"/>
        <v>3.8199999999999998E-2</v>
      </c>
      <c r="L4">
        <f t="shared" si="11"/>
        <v>0.09</v>
      </c>
      <c r="M4" s="4">
        <f t="shared" si="12"/>
        <v>19.054389199999999</v>
      </c>
      <c r="N4" s="4">
        <f t="shared" si="13"/>
        <v>44.892540000000004</v>
      </c>
    </row>
    <row r="5" spans="1:14">
      <c r="A5" t="str">
        <f t="shared" si="0"/>
        <v>alp_Man-VWCO</v>
      </c>
      <c r="B5" t="str">
        <f t="shared" si="1"/>
        <v>BR OLX</v>
      </c>
      <c r="C5" t="str">
        <f t="shared" si="2"/>
        <v>alp_Man-VWCO_olx_horizontal_varejo_CategoriaCaminhoesGeral_cpm_prospecting_300x250_varejo-fevereiro_caminhoes</v>
      </c>
      <c r="D5" t="str">
        <f t="shared" si="3"/>
        <v>239438864</v>
      </c>
      <c r="E5" t="str">
        <f t="shared" si="4"/>
        <v>Standard</v>
      </c>
      <c r="F5" t="str">
        <f t="shared" si="5"/>
        <v>alp_Man-VWCO_olx_horizontal_varejo_CategoriaCaminhoesGeral_cpm_prospecting_300x250_varejo-fevereiro_caminhoes</v>
      </c>
      <c r="G5" t="str">
        <f t="shared" si="6"/>
        <v>436632428</v>
      </c>
      <c r="H5" t="str">
        <f t="shared" si="7"/>
        <v>Display</v>
      </c>
      <c r="I5">
        <f t="shared" si="8"/>
        <v>3159905</v>
      </c>
      <c r="J5">
        <f t="shared" si="9"/>
        <v>9532</v>
      </c>
      <c r="K5" s="4">
        <f t="shared" si="10"/>
        <v>3.8199999999999998E-2</v>
      </c>
      <c r="L5">
        <f t="shared" si="11"/>
        <v>0.09</v>
      </c>
      <c r="M5" s="4">
        <f t="shared" si="12"/>
        <v>120.708371</v>
      </c>
      <c r="N5" s="4">
        <f t="shared" si="13"/>
        <v>284.39145000000002</v>
      </c>
    </row>
    <row r="6" spans="1:14">
      <c r="A6" t="str">
        <f t="shared" si="0"/>
        <v>alp_Man-VWCO</v>
      </c>
      <c r="B6" t="str">
        <f t="shared" si="1"/>
        <v>BR OLX</v>
      </c>
      <c r="C6" t="str">
        <f t="shared" si="2"/>
        <v>alp_Man-VWCO_olx_horizontal_varejo_CategoriaCaminhoesGeral_cpm_prospecting_300x600_tgx_caminhoes</v>
      </c>
      <c r="D6" t="str">
        <f t="shared" si="3"/>
        <v>234078759</v>
      </c>
      <c r="E6" t="str">
        <f t="shared" si="4"/>
        <v>Standard</v>
      </c>
      <c r="F6" t="str">
        <f t="shared" si="5"/>
        <v>alp_Man-VWCO_olx_horizontal_varejo_CategoriaCaminhoesGeral_cpm_prospecting_300x600_tgx_caminhoes</v>
      </c>
      <c r="G6" t="str">
        <f t="shared" si="6"/>
        <v>431521143</v>
      </c>
      <c r="H6" t="str">
        <f t="shared" si="7"/>
        <v>Display</v>
      </c>
      <c r="I6">
        <f t="shared" si="8"/>
        <v>1852318</v>
      </c>
      <c r="J6">
        <f t="shared" si="9"/>
        <v>1307</v>
      </c>
      <c r="K6" s="4">
        <f t="shared" si="10"/>
        <v>3.8199999999999998E-2</v>
      </c>
      <c r="L6">
        <f t="shared" si="11"/>
        <v>0.09</v>
      </c>
      <c r="M6" s="4">
        <f t="shared" si="12"/>
        <v>70.758547599999986</v>
      </c>
      <c r="N6" s="4">
        <f t="shared" si="13"/>
        <v>166.70862</v>
      </c>
    </row>
    <row r="7" spans="1:14">
      <c r="A7" t="str">
        <f t="shared" si="0"/>
        <v>alp_Man-VWCO</v>
      </c>
      <c r="B7" t="str">
        <f t="shared" si="1"/>
        <v>BR OLX</v>
      </c>
      <c r="C7" t="str">
        <f t="shared" si="2"/>
        <v>alp_Man-VWCO_olx_horizontal_varejo_CategoriaCaminhoesGeral_cpm_prospecting_300x600_varejo-fevereiro_caminhoes</v>
      </c>
      <c r="D7" t="str">
        <f t="shared" si="3"/>
        <v>239438858</v>
      </c>
      <c r="E7" t="str">
        <f t="shared" si="4"/>
        <v>Standard</v>
      </c>
      <c r="F7" t="str">
        <f t="shared" si="5"/>
        <v>alp_Man-VWCO_olx_horizontal_varejo_CategoriaCaminhoesGeral_cpm_prospecting_300x600_varejo-fevereiro_caminhoes</v>
      </c>
      <c r="G7" t="str">
        <f t="shared" si="6"/>
        <v>436632422</v>
      </c>
      <c r="H7" t="str">
        <f t="shared" si="7"/>
        <v>Display</v>
      </c>
      <c r="I7">
        <f t="shared" si="8"/>
        <v>1571042</v>
      </c>
      <c r="J7">
        <f t="shared" si="9"/>
        <v>1381</v>
      </c>
      <c r="K7" s="4">
        <f t="shared" si="10"/>
        <v>3.8199999999999998E-2</v>
      </c>
      <c r="L7">
        <f t="shared" si="11"/>
        <v>0.09</v>
      </c>
      <c r="M7" s="4">
        <f t="shared" si="12"/>
        <v>60.013804399999991</v>
      </c>
      <c r="N7" s="4">
        <f t="shared" si="13"/>
        <v>141.39377999999999</v>
      </c>
    </row>
    <row r="8" spans="1:14">
      <c r="A8" t="str">
        <f t="shared" si="0"/>
        <v>alp_Man-VWCO</v>
      </c>
      <c r="B8" t="str">
        <f t="shared" si="1"/>
        <v>BR OLX</v>
      </c>
      <c r="C8" t="str">
        <f t="shared" si="2"/>
        <v>alp_Man-VWCO_olx_horizontal_varejo_CategoriaCaminhoesGeral_cpm_prospecting_600x600_varejo-fevereiro_caminhoes</v>
      </c>
      <c r="D8" t="str">
        <f t="shared" si="3"/>
        <v>239442914</v>
      </c>
      <c r="E8" t="str">
        <f t="shared" si="4"/>
        <v>Dynamic Click</v>
      </c>
      <c r="F8" t="str">
        <f t="shared" si="5"/>
        <v>alp_Man-VWCO_olx_horizontal_varejo_CategoriaCaminhoesGeral_cpm_prospecting_600x600_varejo-fevereiro_caminhoes</v>
      </c>
      <c r="G8" t="str">
        <f t="shared" si="6"/>
        <v>436594374</v>
      </c>
      <c r="H8" t="str">
        <f t="shared" si="7"/>
        <v>Tracking</v>
      </c>
      <c r="I8">
        <f t="shared" si="8"/>
        <v>0</v>
      </c>
      <c r="J8">
        <f t="shared" si="9"/>
        <v>1</v>
      </c>
      <c r="K8" s="4">
        <f t="shared" si="10"/>
        <v>3.5000000000000001E-3</v>
      </c>
      <c r="L8">
        <f t="shared" si="11"/>
        <v>0.02</v>
      </c>
      <c r="M8" s="4">
        <f t="shared" si="12"/>
        <v>3.5000000000000001E-3</v>
      </c>
      <c r="N8" s="4">
        <f t="shared" si="13"/>
        <v>0.02</v>
      </c>
    </row>
    <row r="9" spans="1:14">
      <c r="A9" t="str">
        <f t="shared" si="0"/>
        <v>alp_Man-VWCO</v>
      </c>
      <c r="B9" t="str">
        <f t="shared" si="1"/>
        <v>BR OLX</v>
      </c>
      <c r="C9" t="str">
        <f t="shared" si="2"/>
        <v>alp_Man-VWCO_olx_horizontal_varejo_CategoriaCaminhoesGeral_cpm_prospecting_728x90_tgx_caminhoes</v>
      </c>
      <c r="D9" t="str">
        <f t="shared" si="3"/>
        <v>234078762</v>
      </c>
      <c r="E9" t="str">
        <f t="shared" si="4"/>
        <v>Standard</v>
      </c>
      <c r="F9" t="str">
        <f t="shared" si="5"/>
        <v>alp_Man-VWCO_olx_horizontal_varejo_CategoriaCaminhoesGeral_cpm_prospecting_728x90_tgx_caminhoes</v>
      </c>
      <c r="G9" t="str">
        <f t="shared" si="6"/>
        <v>431521146</v>
      </c>
      <c r="H9" t="str">
        <f t="shared" si="7"/>
        <v>Display</v>
      </c>
      <c r="I9">
        <f t="shared" si="8"/>
        <v>505328</v>
      </c>
      <c r="J9">
        <f t="shared" si="9"/>
        <v>159</v>
      </c>
      <c r="K9" s="4">
        <f t="shared" si="10"/>
        <v>3.8199999999999998E-2</v>
      </c>
      <c r="L9">
        <f t="shared" si="11"/>
        <v>0.09</v>
      </c>
      <c r="M9" s="4">
        <f t="shared" si="12"/>
        <v>19.303529599999997</v>
      </c>
      <c r="N9" s="4">
        <f t="shared" si="13"/>
        <v>45.479519999999994</v>
      </c>
    </row>
    <row r="10" spans="1:14">
      <c r="A10" t="str">
        <f t="shared" si="0"/>
        <v>alp_Man-VWCO</v>
      </c>
      <c r="B10" t="str">
        <f t="shared" si="1"/>
        <v>BR OLX</v>
      </c>
      <c r="C10" t="str">
        <f t="shared" si="2"/>
        <v>alp_Man-VWCO_olx_horizontal_varejo_CategoriaCaminhoesGeral_cpm_prospecting_728x90_varejo-fevereiro_caminhoes</v>
      </c>
      <c r="D10" t="str">
        <f t="shared" si="3"/>
        <v>239438861</v>
      </c>
      <c r="E10" t="str">
        <f t="shared" si="4"/>
        <v>Standard</v>
      </c>
      <c r="F10" t="str">
        <f t="shared" si="5"/>
        <v>alp_Man-VWCO_olx_horizontal_varejo_CategoriaCaminhoesGeral_cpm_prospecting_728x90_varejo-fevereiro_caminhoes</v>
      </c>
      <c r="G10" t="str">
        <f t="shared" si="6"/>
        <v>436632425</v>
      </c>
      <c r="H10" t="str">
        <f t="shared" si="7"/>
        <v>Display</v>
      </c>
      <c r="I10">
        <f t="shared" si="8"/>
        <v>1576143</v>
      </c>
      <c r="J10">
        <f t="shared" si="9"/>
        <v>643</v>
      </c>
      <c r="K10" s="4">
        <f t="shared" si="10"/>
        <v>3.8199999999999998E-2</v>
      </c>
      <c r="L10">
        <f t="shared" si="11"/>
        <v>0.09</v>
      </c>
      <c r="M10" s="4">
        <f t="shared" si="12"/>
        <v>60.208662599999997</v>
      </c>
      <c r="N10" s="4">
        <f t="shared" si="13"/>
        <v>141.85287</v>
      </c>
    </row>
    <row r="11" spans="1:14">
      <c r="A11" t="str">
        <f t="shared" si="0"/>
        <v>alp_Man-VWCO</v>
      </c>
      <c r="B11" t="str">
        <f t="shared" si="1"/>
        <v>BR OLX</v>
      </c>
      <c r="C11" t="str">
        <f t="shared" si="2"/>
        <v>alp_Man-VWCO_olx_horizontal_varejo_CategoriaCaminhoes_cpc_prospecting_180x180_tgx_caminhoes</v>
      </c>
      <c r="D11" t="str">
        <f t="shared" si="3"/>
        <v>233875315</v>
      </c>
      <c r="E11" t="str">
        <f t="shared" si="4"/>
        <v>Dynamic Click</v>
      </c>
      <c r="F11" t="str">
        <f t="shared" si="5"/>
        <v>alp_Man-VWCO_olx_horizontal_varejo_CategoriaCaminhoes_cpc_prospecting_180x180_tgx_caminhoes</v>
      </c>
      <c r="G11" t="str">
        <f t="shared" si="6"/>
        <v>431468180</v>
      </c>
      <c r="H11" t="str">
        <f t="shared" si="7"/>
        <v>Tracking</v>
      </c>
      <c r="I11">
        <f t="shared" si="8"/>
        <v>0</v>
      </c>
      <c r="J11">
        <f t="shared" si="9"/>
        <v>15475</v>
      </c>
      <c r="K11" s="4">
        <f t="shared" si="10"/>
        <v>3.5000000000000001E-3</v>
      </c>
      <c r="L11">
        <f t="shared" si="11"/>
        <v>0.02</v>
      </c>
      <c r="M11" s="4">
        <f t="shared" si="12"/>
        <v>54.162500000000001</v>
      </c>
      <c r="N11" s="4">
        <f t="shared" si="13"/>
        <v>309.5</v>
      </c>
    </row>
    <row r="12" spans="1:14">
      <c r="A12" t="str">
        <f t="shared" si="0"/>
        <v>alp_Man-VWCO</v>
      </c>
      <c r="B12" t="str">
        <f t="shared" si="1"/>
        <v>BR OLX</v>
      </c>
      <c r="C12" t="str">
        <f t="shared" si="2"/>
        <v>alp_Man-VWCO_olx_horizontal_varejo_CategoriaCaminhoes_cpc_prospecting_180x180_tgx_caminhoes</v>
      </c>
      <c r="D12" t="str">
        <f t="shared" si="3"/>
        <v>233875315</v>
      </c>
      <c r="E12" t="str">
        <f t="shared" si="4"/>
        <v>Dynamic Click</v>
      </c>
      <c r="F12" t="str">
        <f t="shared" si="5"/>
        <v>alp_Man-VWCO_olx_horizontal_varejo_CategoriaCaminhoes_cpc_prospecting_180x180_tgx_caminhoes</v>
      </c>
      <c r="G12" t="str">
        <f t="shared" si="6"/>
        <v>431468180</v>
      </c>
      <c r="H12" t="str">
        <f t="shared" si="7"/>
        <v>Tracking</v>
      </c>
      <c r="I12">
        <f t="shared" si="8"/>
        <v>0</v>
      </c>
      <c r="J12">
        <f t="shared" si="9"/>
        <v>22</v>
      </c>
      <c r="K12" s="4">
        <f t="shared" si="10"/>
        <v>3.5000000000000001E-3</v>
      </c>
      <c r="L12">
        <f t="shared" si="11"/>
        <v>0.02</v>
      </c>
      <c r="M12" s="4">
        <f t="shared" si="12"/>
        <v>7.6999999999999999E-2</v>
      </c>
      <c r="N12" s="4">
        <f t="shared" si="13"/>
        <v>0.44</v>
      </c>
    </row>
    <row r="13" spans="1:14">
      <c r="A13" t="str">
        <f t="shared" si="0"/>
        <v>alp_Man-VWCO</v>
      </c>
      <c r="B13" t="str">
        <f t="shared" si="1"/>
        <v>BR OLX</v>
      </c>
      <c r="C13" t="str">
        <f t="shared" si="2"/>
        <v>alp_Man-VWCO_olx_horizontal_varejo_CategoriaCaminhoes_cpc_prospecting_180x180_varejo-fevereiro_caminhoes</v>
      </c>
      <c r="D13" t="str">
        <f t="shared" si="3"/>
        <v>239442911</v>
      </c>
      <c r="E13" t="str">
        <f t="shared" si="4"/>
        <v>Dynamic Click</v>
      </c>
      <c r="F13" t="str">
        <f t="shared" si="5"/>
        <v>alp_Man-VWCO_olx_horizontal_varejo_CategoriaCaminhoes_cpc_prospecting_180x180_varejo-fevereiro_caminhoes</v>
      </c>
      <c r="G13" t="str">
        <f t="shared" si="6"/>
        <v>436594371</v>
      </c>
      <c r="H13" t="str">
        <f t="shared" si="7"/>
        <v>Tracking</v>
      </c>
      <c r="I13">
        <f t="shared" si="8"/>
        <v>0</v>
      </c>
      <c r="J13">
        <f t="shared" si="9"/>
        <v>30412</v>
      </c>
      <c r="K13" s="4">
        <f t="shared" si="10"/>
        <v>3.5000000000000001E-3</v>
      </c>
      <c r="L13">
        <f t="shared" si="11"/>
        <v>0.02</v>
      </c>
      <c r="M13" s="4">
        <f t="shared" si="12"/>
        <v>106.44200000000001</v>
      </c>
      <c r="N13" s="4">
        <f t="shared" si="13"/>
        <v>608.24</v>
      </c>
    </row>
    <row r="14" spans="1:14">
      <c r="A14" t="str">
        <f t="shared" si="0"/>
        <v>alp_Man-VWCO</v>
      </c>
      <c r="B14" t="str">
        <f t="shared" si="1"/>
        <v>BR OLX</v>
      </c>
      <c r="C14" t="str">
        <f t="shared" si="2"/>
        <v>alp_Man-VWCO_olx_horizontal_varejo_CategoriaCaminhoes_cpm_prospecting_448x336_varejo-fevereiro_caminhoes</v>
      </c>
      <c r="D14" t="str">
        <f t="shared" si="3"/>
        <v>239442908</v>
      </c>
      <c r="E14" t="str">
        <f t="shared" si="4"/>
        <v>Dynamic Click</v>
      </c>
      <c r="F14" t="str">
        <f t="shared" si="5"/>
        <v>alp_Man-VWCO_olx_horizontal_varejo_CategoriaCaminhoes_cpm_prospecting_448x336_varejo-fevereiro_caminhoes</v>
      </c>
      <c r="G14" t="str">
        <f t="shared" si="6"/>
        <v>436594368</v>
      </c>
      <c r="H14" t="str">
        <f t="shared" si="7"/>
        <v>Tracking</v>
      </c>
      <c r="I14">
        <f t="shared" si="8"/>
        <v>0</v>
      </c>
      <c r="J14">
        <f t="shared" si="9"/>
        <v>2</v>
      </c>
      <c r="K14" s="4">
        <f t="shared" si="10"/>
        <v>3.5000000000000001E-3</v>
      </c>
      <c r="L14">
        <f t="shared" si="11"/>
        <v>0.02</v>
      </c>
      <c r="M14" s="4">
        <f t="shared" si="12"/>
        <v>7.0000000000000001E-3</v>
      </c>
      <c r="N14" s="4">
        <f t="shared" si="13"/>
        <v>0.04</v>
      </c>
    </row>
    <row r="15" spans="1:14">
      <c r="A15" t="str">
        <f t="shared" si="0"/>
        <v>alp_Man-VWCO</v>
      </c>
      <c r="B15" t="str">
        <f t="shared" si="1"/>
        <v>BR OLX</v>
      </c>
      <c r="C15" t="str">
        <f t="shared" si="2"/>
        <v>alp_Man-VWCO_olx_horizontal_varejo_CategoriaCaminhoes_cpm_prospecting_728x1027_varejo-fevereiro_caminhoes</v>
      </c>
      <c r="D15" t="str">
        <f t="shared" si="3"/>
        <v>240888414</v>
      </c>
      <c r="E15" t="str">
        <f t="shared" si="4"/>
        <v>Dynamic Click</v>
      </c>
      <c r="F15" t="str">
        <f t="shared" si="5"/>
        <v>alp_Man-VWCO_olx_horizontal_varejo_CategoriaCaminhoes_cpm_prospecting_728x1027_varejo-fevereiro_caminhoes</v>
      </c>
      <c r="G15" t="str">
        <f t="shared" si="6"/>
        <v>437618777</v>
      </c>
      <c r="H15" t="str">
        <f t="shared" si="7"/>
        <v>Tracking</v>
      </c>
      <c r="I15">
        <f t="shared" si="8"/>
        <v>102907</v>
      </c>
      <c r="J15">
        <f t="shared" si="9"/>
        <v>929</v>
      </c>
      <c r="K15" s="4">
        <f t="shared" si="10"/>
        <v>3.5000000000000001E-3</v>
      </c>
      <c r="L15">
        <f t="shared" si="11"/>
        <v>0.02</v>
      </c>
      <c r="M15" s="4">
        <f t="shared" si="12"/>
        <v>3.2515000000000001</v>
      </c>
      <c r="N15" s="4">
        <f t="shared" si="13"/>
        <v>18.580000000000002</v>
      </c>
    </row>
    <row r="16" spans="1:14">
      <c r="A16" t="str">
        <f t="shared" si="0"/>
        <v>alp_Man-VWCO</v>
      </c>
      <c r="B16" t="str">
        <f t="shared" si="1"/>
        <v>BR OLX</v>
      </c>
      <c r="C16" t="str">
        <f t="shared" si="2"/>
        <v>alp_Man-VWCO_olx_horizontal_varejo_CategoriaCaminhoes_cpm_prospecting_970x250_varejo-fevereiro_caminhoes</v>
      </c>
      <c r="D16" t="str">
        <f t="shared" si="3"/>
        <v>239438879</v>
      </c>
      <c r="E16" t="str">
        <f t="shared" si="4"/>
        <v>Standard</v>
      </c>
      <c r="F16" t="str">
        <f t="shared" si="5"/>
        <v>alp_Man-VWCO_olx_horizontal_varejo_CategoriaCaminhoes_cpm_prospecting_970x250_varejo-fevereiro_caminhoes</v>
      </c>
      <c r="G16" t="str">
        <f t="shared" si="6"/>
        <v>436632443</v>
      </c>
      <c r="H16" t="str">
        <f t="shared" si="7"/>
        <v>Display</v>
      </c>
      <c r="I16">
        <f t="shared" si="8"/>
        <v>144473</v>
      </c>
      <c r="J16">
        <f t="shared" si="9"/>
        <v>151</v>
      </c>
      <c r="K16" s="4">
        <f t="shared" si="10"/>
        <v>3.8199999999999998E-2</v>
      </c>
      <c r="L16">
        <f t="shared" si="11"/>
        <v>0.09</v>
      </c>
      <c r="M16" s="4">
        <f t="shared" si="12"/>
        <v>5.5188685999999993</v>
      </c>
      <c r="N16" s="4">
        <f t="shared" si="13"/>
        <v>13.00257</v>
      </c>
    </row>
    <row r="17" spans="1:14">
      <c r="A17" t="str">
        <f t="shared" si="0"/>
        <v>alp_Man-VWCO</v>
      </c>
      <c r="B17" t="str">
        <f t="shared" si="1"/>
        <v>BR OLX</v>
      </c>
      <c r="C17" t="str">
        <f t="shared" si="2"/>
        <v>alp_Man-VWCO_olx_horizontal_varejo_Categoriad-CaminhoesBuscadePalavra_cpm_prospecting_600x600_varejo-fevereiro_caminhoes</v>
      </c>
      <c r="D17" t="str">
        <f t="shared" si="3"/>
        <v>239442917</v>
      </c>
      <c r="E17" t="str">
        <f t="shared" si="4"/>
        <v>Dynamic Click</v>
      </c>
      <c r="F17" t="str">
        <f t="shared" si="5"/>
        <v>alp_Man-VWCO_olx_horizontal_varejo_Categoriad-CaminhoesBuscadePalavra_cpm_prospecting_600x600_varejo-fevereiro_caminhoes</v>
      </c>
      <c r="G17" t="str">
        <f t="shared" si="6"/>
        <v>436594377</v>
      </c>
      <c r="H17" t="str">
        <f t="shared" si="7"/>
        <v>Tracking</v>
      </c>
      <c r="I17">
        <f t="shared" si="8"/>
        <v>0</v>
      </c>
      <c r="J17">
        <f t="shared" si="9"/>
        <v>1</v>
      </c>
      <c r="K17" s="4">
        <f t="shared" si="10"/>
        <v>3.5000000000000001E-3</v>
      </c>
      <c r="L17">
        <f t="shared" si="11"/>
        <v>0.02</v>
      </c>
      <c r="M17" s="4">
        <f t="shared" si="12"/>
        <v>3.5000000000000001E-3</v>
      </c>
      <c r="N17" s="4">
        <f t="shared" si="13"/>
        <v>0.02</v>
      </c>
    </row>
    <row r="18" spans="1:14">
      <c r="A18" t="str">
        <f t="shared" si="0"/>
        <v>alp_Man-VWCO</v>
      </c>
      <c r="B18" t="str">
        <f t="shared" si="1"/>
        <v>BR OLX</v>
      </c>
      <c r="C18" t="str">
        <f t="shared" si="2"/>
        <v>alp_Man-VWCO_olx_horizontal_varejo_palavrachave_cpm_prospecting_300x600_tgx_caminhoes</v>
      </c>
      <c r="D18" t="str">
        <f t="shared" si="3"/>
        <v>234078768</v>
      </c>
      <c r="E18" t="str">
        <f t="shared" si="4"/>
        <v>Standard</v>
      </c>
      <c r="F18" t="str">
        <f t="shared" si="5"/>
        <v>alp_Man-VWCO_olx_horizontal_varejo_palavrachave_cpm_prospecting_300x600_tgx_caminhoes</v>
      </c>
      <c r="G18" t="str">
        <f t="shared" si="6"/>
        <v>431521152</v>
      </c>
      <c r="H18" t="str">
        <f t="shared" si="7"/>
        <v>Display</v>
      </c>
      <c r="I18">
        <f t="shared" si="8"/>
        <v>1648164</v>
      </c>
      <c r="J18">
        <f t="shared" si="9"/>
        <v>1141</v>
      </c>
      <c r="K18" s="4">
        <f t="shared" si="10"/>
        <v>3.8199999999999998E-2</v>
      </c>
      <c r="L18">
        <f t="shared" si="11"/>
        <v>0.09</v>
      </c>
      <c r="M18" s="4">
        <f t="shared" si="12"/>
        <v>62.959864799999998</v>
      </c>
      <c r="N18" s="4">
        <f t="shared" si="13"/>
        <v>148.33475999999999</v>
      </c>
    </row>
    <row r="19" spans="1:14">
      <c r="A19" t="str">
        <f t="shared" si="0"/>
        <v>alp_Man-VWCO</v>
      </c>
      <c r="B19" t="str">
        <f t="shared" si="1"/>
        <v>BR OLX</v>
      </c>
      <c r="C19" t="str">
        <f t="shared" si="2"/>
        <v>alp_Man-VWCO_olx_horizontal_varejo_palavrachave_cpm_prospecting_300x600_varejo-fevereiro_caminhoes</v>
      </c>
      <c r="D19" t="str">
        <f t="shared" si="3"/>
        <v>239438867</v>
      </c>
      <c r="E19" t="str">
        <f t="shared" si="4"/>
        <v>Standard</v>
      </c>
      <c r="F19" t="str">
        <f t="shared" si="5"/>
        <v>alp_Man-VWCO_olx_horizontal_varejo_palavrachave_cpm_prospecting_300x600_varejo-fevereiro_caminhoes</v>
      </c>
      <c r="G19" t="str">
        <f t="shared" si="6"/>
        <v>436632431</v>
      </c>
      <c r="H19" t="str">
        <f t="shared" si="7"/>
        <v>Display</v>
      </c>
      <c r="I19">
        <f t="shared" si="8"/>
        <v>3111402</v>
      </c>
      <c r="J19">
        <f t="shared" si="9"/>
        <v>2948</v>
      </c>
      <c r="K19" s="4">
        <f t="shared" si="10"/>
        <v>3.8199999999999998E-2</v>
      </c>
      <c r="L19">
        <f t="shared" si="11"/>
        <v>0.09</v>
      </c>
      <c r="M19" s="4">
        <f t="shared" si="12"/>
        <v>118.85555639999998</v>
      </c>
      <c r="N19" s="4">
        <f t="shared" si="13"/>
        <v>280.02618000000001</v>
      </c>
    </row>
    <row r="20" spans="1:14">
      <c r="A20" t="str">
        <f t="shared" si="0"/>
        <v>alp_Man-VWCO</v>
      </c>
      <c r="B20" t="str">
        <f t="shared" si="1"/>
        <v>Estadão</v>
      </c>
      <c r="C20" t="str">
        <f t="shared" si="2"/>
        <v>alp_Man-VWCO_estadao_horizontal_Agronegocio_Interstitial_cpm_prospecting_800x600_agro_caminhoes</v>
      </c>
      <c r="D20" t="str">
        <f t="shared" si="3"/>
        <v>239343574</v>
      </c>
      <c r="E20" t="str">
        <f t="shared" si="4"/>
        <v>Standard</v>
      </c>
      <c r="F20" t="str">
        <f t="shared" si="5"/>
        <v>Desconsiderar_alp_Man-VWCO_estadao_horizontal_Agronegocio_Interstitial_cpm_prospecting_800x600_agro_caminhoes</v>
      </c>
      <c r="G20" t="str">
        <f t="shared" si="6"/>
        <v>436453511</v>
      </c>
      <c r="H20" t="str">
        <f t="shared" si="7"/>
        <v>Display</v>
      </c>
      <c r="I20">
        <f t="shared" si="8"/>
        <v>1</v>
      </c>
      <c r="J20">
        <f t="shared" si="9"/>
        <v>1</v>
      </c>
      <c r="K20" s="4">
        <f t="shared" si="10"/>
        <v>3.8199999999999998E-2</v>
      </c>
      <c r="L20">
        <f t="shared" si="11"/>
        <v>0.09</v>
      </c>
      <c r="M20" s="4">
        <f t="shared" si="12"/>
        <v>3.82E-5</v>
      </c>
      <c r="N20" s="4">
        <f t="shared" si="13"/>
        <v>8.9999999999999992E-5</v>
      </c>
    </row>
    <row r="21" spans="1:14">
      <c r="A21" t="str">
        <f t="shared" si="0"/>
        <v>alp_Man-VWCO</v>
      </c>
      <c r="B21" t="str">
        <f t="shared" si="1"/>
        <v>Estadão</v>
      </c>
      <c r="C21" t="str">
        <f t="shared" si="2"/>
        <v>alp_Man-VWCO_estadao_horizontal_Agronegocio_Interstitial_cpm_prospecting_800x600_agro_caminhoes</v>
      </c>
      <c r="D21" t="str">
        <f t="shared" si="3"/>
        <v>239343574</v>
      </c>
      <c r="E21" t="str">
        <f t="shared" si="4"/>
        <v>Standard</v>
      </c>
      <c r="F21" t="str">
        <f t="shared" si="5"/>
        <v>Desconsiderar_alp_Man-VWCO_estadao_horizontal_Agronegocio_Interstitial_cpm_prospecting_800x600_agro_caminhoes</v>
      </c>
      <c r="G21" t="str">
        <f t="shared" si="6"/>
        <v>436453511</v>
      </c>
      <c r="H21" t="str">
        <f t="shared" si="7"/>
        <v>Display</v>
      </c>
      <c r="I21">
        <f t="shared" si="8"/>
        <v>2</v>
      </c>
      <c r="J21">
        <f t="shared" si="9"/>
        <v>0</v>
      </c>
      <c r="K21" s="4">
        <f t="shared" si="10"/>
        <v>3.8199999999999998E-2</v>
      </c>
      <c r="L21">
        <f t="shared" si="11"/>
        <v>0.09</v>
      </c>
      <c r="M21" s="4">
        <f t="shared" si="12"/>
        <v>7.64E-5</v>
      </c>
      <c r="N21" s="4">
        <f t="shared" si="13"/>
        <v>1.7999999999999998E-4</v>
      </c>
    </row>
    <row r="22" spans="1:14">
      <c r="A22" t="str">
        <f t="shared" si="0"/>
        <v>alp_Man-VWCO</v>
      </c>
      <c r="B22" t="str">
        <f t="shared" si="1"/>
        <v>Estadão</v>
      </c>
      <c r="C22" t="str">
        <f t="shared" si="2"/>
        <v>alp_Man-VWCO_estadao_horizontal_Agronegocio_Interstitial_cpm_prospecting_800x600_agro_caminhoes</v>
      </c>
      <c r="D22" t="str">
        <f t="shared" si="3"/>
        <v>239343574</v>
      </c>
      <c r="E22" t="str">
        <f t="shared" si="4"/>
        <v>Dynamic Click</v>
      </c>
      <c r="F22" t="str">
        <f t="shared" si="5"/>
        <v>alp_Man-VWCO_estadao_horizontal_Agronegocio_Interstitial_cpm_prospecting_800x600_agro_caminhoes</v>
      </c>
      <c r="G22" t="str">
        <f t="shared" si="6"/>
        <v>436617988</v>
      </c>
      <c r="H22" t="str">
        <f t="shared" si="7"/>
        <v>Tracking</v>
      </c>
      <c r="I22">
        <f t="shared" si="8"/>
        <v>251256</v>
      </c>
      <c r="J22">
        <f t="shared" si="9"/>
        <v>1496</v>
      </c>
      <c r="K22" s="4">
        <f t="shared" si="10"/>
        <v>3.5000000000000001E-3</v>
      </c>
      <c r="L22">
        <f t="shared" si="11"/>
        <v>0.02</v>
      </c>
      <c r="M22" s="4">
        <f t="shared" si="12"/>
        <v>5.2359999999999998</v>
      </c>
      <c r="N22" s="4">
        <f t="shared" si="13"/>
        <v>29.92</v>
      </c>
    </row>
    <row r="23" spans="1:14">
      <c r="A23" t="str">
        <f t="shared" si="0"/>
        <v>alp_Man-VWCO</v>
      </c>
      <c r="B23" t="str">
        <f t="shared" si="1"/>
        <v>Estadão</v>
      </c>
      <c r="C23" t="str">
        <f t="shared" si="2"/>
        <v>alp_Man-VWCO_estadao_horizontal_Agronegocio_Retangulo_cpm_prospecting_300x250_agro_caminhoes</v>
      </c>
      <c r="D23" t="str">
        <f t="shared" si="3"/>
        <v>239578140</v>
      </c>
      <c r="E23" t="str">
        <f t="shared" si="4"/>
        <v>Standard</v>
      </c>
      <c r="F23" t="str">
        <f t="shared" si="5"/>
        <v>Desconsiderar_alp_Man-VWCO_estadao_horizontal_Agronegocio_Retangulo_cpm_prospecting_300x250_agro_caminhoes</v>
      </c>
      <c r="G23" t="str">
        <f t="shared" si="6"/>
        <v>436534201</v>
      </c>
      <c r="H23" t="str">
        <f t="shared" si="7"/>
        <v>Display</v>
      </c>
      <c r="I23">
        <f t="shared" si="8"/>
        <v>1</v>
      </c>
      <c r="J23">
        <f t="shared" si="9"/>
        <v>1</v>
      </c>
      <c r="K23" s="4">
        <f t="shared" si="10"/>
        <v>3.8199999999999998E-2</v>
      </c>
      <c r="L23">
        <f t="shared" si="11"/>
        <v>0.09</v>
      </c>
      <c r="M23" s="4">
        <f t="shared" si="12"/>
        <v>3.82E-5</v>
      </c>
      <c r="N23" s="4">
        <f t="shared" si="13"/>
        <v>8.9999999999999992E-5</v>
      </c>
    </row>
    <row r="24" spans="1:14">
      <c r="A24" t="str">
        <f t="shared" si="0"/>
        <v>alp_Man-VWCO</v>
      </c>
      <c r="B24" t="str">
        <f t="shared" si="1"/>
        <v>Estadão</v>
      </c>
      <c r="C24" t="str">
        <f t="shared" si="2"/>
        <v>alp_Man-VWCO_estadao_horizontal_Agronegocio_Retangulo_cpm_prospecting_300x250_agro_caminhoes</v>
      </c>
      <c r="D24" t="str">
        <f t="shared" si="3"/>
        <v>239578140</v>
      </c>
      <c r="E24" t="str">
        <f t="shared" si="4"/>
        <v>Standard</v>
      </c>
      <c r="F24" t="str">
        <f t="shared" si="5"/>
        <v>Desconsiderar_alp_Man-VWCO_estadao_horizontal_Agronegocio_Retangulo_cpm_prospecting_300x250_agro_caminhoes</v>
      </c>
      <c r="G24" t="str">
        <f t="shared" si="6"/>
        <v>436534201</v>
      </c>
      <c r="H24" t="str">
        <f t="shared" si="7"/>
        <v>Display</v>
      </c>
      <c r="I24">
        <f t="shared" si="8"/>
        <v>3</v>
      </c>
      <c r="J24">
        <f t="shared" si="9"/>
        <v>0</v>
      </c>
      <c r="K24" s="4">
        <f t="shared" si="10"/>
        <v>3.8199999999999998E-2</v>
      </c>
      <c r="L24">
        <f t="shared" si="11"/>
        <v>0.09</v>
      </c>
      <c r="M24" s="4">
        <f t="shared" si="12"/>
        <v>1.1459999999999999E-4</v>
      </c>
      <c r="N24" s="4">
        <f t="shared" si="13"/>
        <v>2.7E-4</v>
      </c>
    </row>
    <row r="25" spans="1:14">
      <c r="A25" t="str">
        <f t="shared" si="0"/>
        <v>alp_Man-VWCO</v>
      </c>
      <c r="B25" t="str">
        <f t="shared" si="1"/>
        <v>Estadão</v>
      </c>
      <c r="C25" t="str">
        <f t="shared" si="2"/>
        <v>alp_Man-VWCO_estadao_horizontal_Agronegocio_Retangulo_cpm_prospecting_300x250_agro_caminhoes</v>
      </c>
      <c r="D25" t="str">
        <f t="shared" si="3"/>
        <v>239578140</v>
      </c>
      <c r="E25" t="str">
        <f t="shared" si="4"/>
        <v>Dynamic Click</v>
      </c>
      <c r="F25" t="str">
        <f t="shared" si="5"/>
        <v>alp_Man-VWCO_estadao_horizontal_Agronegocio_Retangulo_cpm_prospecting_300x250_agro_caminhoes</v>
      </c>
      <c r="G25" t="str">
        <f t="shared" si="6"/>
        <v>436618033</v>
      </c>
      <c r="H25" t="str">
        <f t="shared" si="7"/>
        <v>Tracking</v>
      </c>
      <c r="I25">
        <f t="shared" si="8"/>
        <v>311739</v>
      </c>
      <c r="J25">
        <f t="shared" si="9"/>
        <v>5402</v>
      </c>
      <c r="K25" s="4">
        <f t="shared" si="10"/>
        <v>3.5000000000000001E-3</v>
      </c>
      <c r="L25">
        <f t="shared" si="11"/>
        <v>0.02</v>
      </c>
      <c r="M25" s="4">
        <f t="shared" si="12"/>
        <v>18.907</v>
      </c>
      <c r="N25" s="4">
        <f t="shared" si="13"/>
        <v>108.04</v>
      </c>
    </row>
    <row r="26" spans="1:14">
      <c r="A26" t="str">
        <f t="shared" si="0"/>
        <v>alp_Man-VWCO</v>
      </c>
      <c r="B26" t="str">
        <f t="shared" si="1"/>
        <v>Estadão</v>
      </c>
      <c r="C26" t="str">
        <f t="shared" si="2"/>
        <v>alp_Man-VWCO_estradao_horizontal_varejo_CategoriaCaminhoes_cpm_prospecting_300x250_tgx_caminhoes</v>
      </c>
      <c r="D26" t="str">
        <f t="shared" si="3"/>
        <v>234364967</v>
      </c>
      <c r="E26" t="str">
        <f t="shared" si="4"/>
        <v>Standard</v>
      </c>
      <c r="F26" t="str">
        <f t="shared" si="5"/>
        <v>alp_Man-VWCO_estradao_horizontal_varejo_CategoriaCaminhoes_cpm_prospecting_300x250_tgx_caminhoes</v>
      </c>
      <c r="G26" t="str">
        <f t="shared" si="6"/>
        <v>432102093</v>
      </c>
      <c r="H26" t="str">
        <f t="shared" si="7"/>
        <v>Display</v>
      </c>
      <c r="I26">
        <f t="shared" si="8"/>
        <v>10225</v>
      </c>
      <c r="J26">
        <f t="shared" si="9"/>
        <v>17</v>
      </c>
      <c r="K26" s="4">
        <f t="shared" si="10"/>
        <v>3.8199999999999998E-2</v>
      </c>
      <c r="L26">
        <f t="shared" si="11"/>
        <v>0.09</v>
      </c>
      <c r="M26" s="4">
        <f t="shared" si="12"/>
        <v>0.39059499999999997</v>
      </c>
      <c r="N26" s="4">
        <f t="shared" si="13"/>
        <v>0.92025000000000001</v>
      </c>
    </row>
    <row r="27" spans="1:14">
      <c r="A27" t="str">
        <f t="shared" si="0"/>
        <v>alp_Man-VWCO</v>
      </c>
      <c r="B27" t="str">
        <f t="shared" si="1"/>
        <v>Estadão</v>
      </c>
      <c r="C27" t="str">
        <f t="shared" si="2"/>
        <v>alp_Man-VWCO_estradao_horizontal_varejo_CategoriaCaminhoes_cpm_prospecting_300x250_tgx_caminhoes</v>
      </c>
      <c r="D27" t="str">
        <f t="shared" si="3"/>
        <v>234364967</v>
      </c>
      <c r="E27" t="str">
        <f t="shared" si="4"/>
        <v>Standard</v>
      </c>
      <c r="F27" t="str">
        <f t="shared" si="5"/>
        <v>alp_Man-VWCO_estradao_horizontal_varejo_CategoriaCaminhoes_cpm_prospecting_300x250_tgx_caminhoes</v>
      </c>
      <c r="G27" t="str">
        <f t="shared" si="6"/>
        <v>432102093</v>
      </c>
      <c r="H27" t="str">
        <f t="shared" si="7"/>
        <v>Display</v>
      </c>
      <c r="I27">
        <f t="shared" si="8"/>
        <v>1150</v>
      </c>
      <c r="J27">
        <f t="shared" si="9"/>
        <v>2</v>
      </c>
      <c r="K27" s="4">
        <f t="shared" si="10"/>
        <v>3.8199999999999998E-2</v>
      </c>
      <c r="L27">
        <f t="shared" si="11"/>
        <v>0.09</v>
      </c>
      <c r="M27" s="4">
        <f t="shared" si="12"/>
        <v>4.3929999999999997E-2</v>
      </c>
      <c r="N27" s="4">
        <f t="shared" si="13"/>
        <v>0.10349999999999999</v>
      </c>
    </row>
    <row r="28" spans="1:14">
      <c r="A28" t="str">
        <f t="shared" si="0"/>
        <v>alp_Man-VWCO</v>
      </c>
      <c r="B28" t="str">
        <f t="shared" si="1"/>
        <v>Estadão</v>
      </c>
      <c r="C28" t="str">
        <f t="shared" si="2"/>
        <v>alp_Man-VWCO_estradao_horizontal_varejo_CategoriaCaminhoes_cpm_prospecting_970x250_tgx_caminhoes</v>
      </c>
      <c r="D28" t="str">
        <f t="shared" si="3"/>
        <v>234366059</v>
      </c>
      <c r="E28" t="str">
        <f t="shared" si="4"/>
        <v>Standard</v>
      </c>
      <c r="F28" t="str">
        <f t="shared" si="5"/>
        <v>alp_Man-VWCO_estradao_horizontal_varejo_CategoriaCaminhoes_cpm_prospecting_970x250_tgx_caminhoes</v>
      </c>
      <c r="G28" t="str">
        <f t="shared" si="6"/>
        <v>432103140</v>
      </c>
      <c r="H28" t="str">
        <f t="shared" si="7"/>
        <v>Display</v>
      </c>
      <c r="I28">
        <f t="shared" si="8"/>
        <v>7618</v>
      </c>
      <c r="J28">
        <f t="shared" si="9"/>
        <v>12</v>
      </c>
      <c r="K28" s="4">
        <f t="shared" si="10"/>
        <v>3.8199999999999998E-2</v>
      </c>
      <c r="L28">
        <f t="shared" si="11"/>
        <v>0.09</v>
      </c>
      <c r="M28" s="4">
        <f t="shared" si="12"/>
        <v>0.29100759999999998</v>
      </c>
      <c r="N28" s="4">
        <f t="shared" si="13"/>
        <v>0.68562000000000001</v>
      </c>
    </row>
    <row r="29" spans="1:14">
      <c r="A29" t="str">
        <f t="shared" si="0"/>
        <v>alp_Man-VWCO</v>
      </c>
      <c r="B29" t="str">
        <f t="shared" si="1"/>
        <v>Estadão</v>
      </c>
      <c r="C29" t="str">
        <f t="shared" si="2"/>
        <v>alp_Man-VWCO_estradao_horizontal_varejo_CategoriaCaminhoes_cpm_prospecting_970x250_tgx_caminhoes</v>
      </c>
      <c r="D29" t="str">
        <f t="shared" si="3"/>
        <v>234366059</v>
      </c>
      <c r="E29" t="str">
        <f t="shared" si="4"/>
        <v>Standard</v>
      </c>
      <c r="F29" t="str">
        <f t="shared" si="5"/>
        <v>alp_Man-VWCO_estradao_horizontal_varejo_CategoriaCaminhoes_cpm_prospecting_970x250_tgx_caminhoes</v>
      </c>
      <c r="G29" t="str">
        <f t="shared" si="6"/>
        <v>432103140</v>
      </c>
      <c r="H29" t="str">
        <f t="shared" si="7"/>
        <v>Display</v>
      </c>
      <c r="I29">
        <f t="shared" si="8"/>
        <v>902</v>
      </c>
      <c r="J29">
        <f t="shared" si="9"/>
        <v>6</v>
      </c>
      <c r="K29" s="4">
        <f t="shared" si="10"/>
        <v>3.8199999999999998E-2</v>
      </c>
      <c r="L29">
        <f t="shared" si="11"/>
        <v>0.09</v>
      </c>
      <c r="M29" s="4">
        <f t="shared" si="12"/>
        <v>3.4456399999999998E-2</v>
      </c>
      <c r="N29" s="4">
        <f t="shared" si="13"/>
        <v>8.1179999999999988E-2</v>
      </c>
    </row>
    <row r="30" spans="1:14">
      <c r="A30" t="str">
        <f t="shared" si="0"/>
        <v>alp_Man-VWCO</v>
      </c>
      <c r="B30" t="str">
        <f t="shared" si="1"/>
        <v>Estadão</v>
      </c>
      <c r="C30" t="str">
        <f t="shared" si="2"/>
        <v>alp_Man-VWCO_estradao_performance_varejo_prospeccaoaudience_cpm_prospecting_300x600_tgx_caminhoes</v>
      </c>
      <c r="D30" t="str">
        <f t="shared" si="3"/>
        <v>234443467</v>
      </c>
      <c r="E30" t="str">
        <f t="shared" si="4"/>
        <v>Standard</v>
      </c>
      <c r="F30" t="str">
        <f t="shared" si="5"/>
        <v>alp_Man-VWCO_estradao_performance_varejo_prospeccaoaudience_cpm_prospecting_300x600_tgx_caminhoes</v>
      </c>
      <c r="G30" t="str">
        <f t="shared" si="6"/>
        <v>432052253</v>
      </c>
      <c r="H30" t="str">
        <f t="shared" si="7"/>
        <v>Display</v>
      </c>
      <c r="I30">
        <f t="shared" si="8"/>
        <v>6077</v>
      </c>
      <c r="J30">
        <f t="shared" si="9"/>
        <v>23</v>
      </c>
      <c r="K30" s="4">
        <f t="shared" si="10"/>
        <v>3.8199999999999998E-2</v>
      </c>
      <c r="L30">
        <f t="shared" si="11"/>
        <v>0.09</v>
      </c>
      <c r="M30" s="4">
        <f t="shared" si="12"/>
        <v>0.23214139999999997</v>
      </c>
      <c r="N30" s="4">
        <f t="shared" si="13"/>
        <v>0.54692999999999992</v>
      </c>
    </row>
    <row r="31" spans="1:14">
      <c r="A31" t="str">
        <f t="shared" si="0"/>
        <v>alp_Man-VWCO</v>
      </c>
      <c r="B31" t="str">
        <f t="shared" si="1"/>
        <v>Estadão</v>
      </c>
      <c r="C31" t="str">
        <f t="shared" si="2"/>
        <v>alp_Man-VWCO_estradao_performance_varejo_prospeccaoaudience_cpm_prospecting_300x600_tgx_caminhoes</v>
      </c>
      <c r="D31" t="str">
        <f t="shared" si="3"/>
        <v>234443467</v>
      </c>
      <c r="E31" t="str">
        <f t="shared" si="4"/>
        <v>Standard</v>
      </c>
      <c r="F31" t="str">
        <f t="shared" si="5"/>
        <v>alp_Man-VWCO_estradao_performance_varejo_prospeccaoaudience_cpm_prospecting_300x600_tgx_caminhoes</v>
      </c>
      <c r="G31" t="str">
        <f t="shared" si="6"/>
        <v>432052253</v>
      </c>
      <c r="H31" t="str">
        <f t="shared" si="7"/>
        <v>Display</v>
      </c>
      <c r="I31">
        <f t="shared" si="8"/>
        <v>1050</v>
      </c>
      <c r="J31">
        <f t="shared" si="9"/>
        <v>4</v>
      </c>
      <c r="K31" s="4">
        <f t="shared" si="10"/>
        <v>3.8199999999999998E-2</v>
      </c>
      <c r="L31">
        <f t="shared" si="11"/>
        <v>0.09</v>
      </c>
      <c r="M31" s="4">
        <f t="shared" si="12"/>
        <v>4.011E-2</v>
      </c>
      <c r="N31" s="4">
        <f t="shared" si="13"/>
        <v>9.4500000000000001E-2</v>
      </c>
    </row>
    <row r="32" spans="1:14">
      <c r="A32" t="str">
        <f t="shared" si="0"/>
        <v>alp_Man-VWCO</v>
      </c>
      <c r="B32" t="str">
        <f t="shared" si="1"/>
        <v>Estadão</v>
      </c>
      <c r="C32" t="str">
        <f t="shared" si="2"/>
        <v>alp_Man-VWCO_estradao_performance_varejo_prospeccaoaudience_cpm_prospecting_320x50_tgx_caminhoes</v>
      </c>
      <c r="D32" t="str">
        <f t="shared" si="3"/>
        <v>234443476</v>
      </c>
      <c r="E32" t="str">
        <f t="shared" si="4"/>
        <v>Standard</v>
      </c>
      <c r="F32" t="str">
        <f t="shared" si="5"/>
        <v>alp_Man-VWCO_estradao_performance_varejo_prospeccaoaudience_cpm_prospecting_320x50_tgx_caminhoes</v>
      </c>
      <c r="G32" t="str">
        <f t="shared" si="6"/>
        <v>432173668</v>
      </c>
      <c r="H32" t="str">
        <f t="shared" si="7"/>
        <v>Display</v>
      </c>
      <c r="I32">
        <f t="shared" si="8"/>
        <v>13348</v>
      </c>
      <c r="J32">
        <f t="shared" si="9"/>
        <v>32</v>
      </c>
      <c r="K32" s="4">
        <f t="shared" si="10"/>
        <v>3.8199999999999998E-2</v>
      </c>
      <c r="L32">
        <f t="shared" si="11"/>
        <v>0.09</v>
      </c>
      <c r="M32" s="4">
        <f t="shared" si="12"/>
        <v>0.50989359999999995</v>
      </c>
      <c r="N32" s="4">
        <f t="shared" si="13"/>
        <v>1.2013199999999999</v>
      </c>
    </row>
    <row r="33" spans="1:14">
      <c r="A33" t="str">
        <f t="shared" si="0"/>
        <v>alp_Man-VWCO</v>
      </c>
      <c r="B33" t="str">
        <f t="shared" si="1"/>
        <v>Estadão</v>
      </c>
      <c r="C33" t="str">
        <f t="shared" si="2"/>
        <v>alp_Man-VWCO_estradao_performance_varejo_prospeccaoaudience_cpm_prospecting_320x50_tgx_caminhoes</v>
      </c>
      <c r="D33" t="str">
        <f t="shared" si="3"/>
        <v>234443476</v>
      </c>
      <c r="E33" t="str">
        <f t="shared" si="4"/>
        <v>Standard</v>
      </c>
      <c r="F33" t="str">
        <f t="shared" si="5"/>
        <v>alp_Man-VWCO_estradao_performance_varejo_prospeccaoaudience_cpm_prospecting_320x50_tgx_caminhoes</v>
      </c>
      <c r="G33" t="str">
        <f t="shared" si="6"/>
        <v>432173668</v>
      </c>
      <c r="H33" t="str">
        <f t="shared" si="7"/>
        <v>Display</v>
      </c>
      <c r="I33">
        <f t="shared" si="8"/>
        <v>1792</v>
      </c>
      <c r="J33">
        <f t="shared" si="9"/>
        <v>5</v>
      </c>
      <c r="K33" s="4">
        <f t="shared" si="10"/>
        <v>3.8199999999999998E-2</v>
      </c>
      <c r="L33">
        <f t="shared" si="11"/>
        <v>0.09</v>
      </c>
      <c r="M33" s="4">
        <f t="shared" si="12"/>
        <v>6.8454399999999999E-2</v>
      </c>
      <c r="N33" s="4">
        <f t="shared" si="13"/>
        <v>0.16128000000000001</v>
      </c>
    </row>
    <row r="34" spans="1:14">
      <c r="A34" t="str">
        <f t="shared" si="0"/>
        <v>alp_Man-VWCO</v>
      </c>
      <c r="B34" t="str">
        <f t="shared" si="1"/>
        <v>Estadão</v>
      </c>
      <c r="C34" t="str">
        <f t="shared" si="2"/>
        <v>alp_Man-VWCO_estradao_performance_varejo_prospeccaoaudience_cpm_prospecting_728x90_tgx_caminhoes</v>
      </c>
      <c r="D34" t="str">
        <f t="shared" si="3"/>
        <v>234362090</v>
      </c>
      <c r="E34" t="str">
        <f t="shared" si="4"/>
        <v>Standard</v>
      </c>
      <c r="F34" t="str">
        <f t="shared" si="5"/>
        <v>alp_Man-VWCO_estradao_performance_varejo_prospeccaoaudience_cpm_prospecting_728x90_tgx_caminhoes</v>
      </c>
      <c r="G34" t="str">
        <f t="shared" si="6"/>
        <v>432052280</v>
      </c>
      <c r="H34" t="str">
        <f t="shared" si="7"/>
        <v>Display</v>
      </c>
      <c r="I34">
        <f t="shared" si="8"/>
        <v>7916</v>
      </c>
      <c r="J34">
        <f t="shared" si="9"/>
        <v>15</v>
      </c>
      <c r="K34" s="4">
        <f t="shared" si="10"/>
        <v>3.8199999999999998E-2</v>
      </c>
      <c r="L34">
        <f t="shared" si="11"/>
        <v>0.09</v>
      </c>
      <c r="M34" s="4">
        <f t="shared" si="12"/>
        <v>0.30239119999999997</v>
      </c>
      <c r="N34" s="4">
        <f t="shared" si="13"/>
        <v>0.71243999999999996</v>
      </c>
    </row>
    <row r="35" spans="1:14">
      <c r="A35" t="str">
        <f t="shared" si="0"/>
        <v>alp_Man-VWCO</v>
      </c>
      <c r="B35" t="str">
        <f t="shared" si="1"/>
        <v>Estadão</v>
      </c>
      <c r="C35" t="str">
        <f t="shared" si="2"/>
        <v>alp_Man-VWCO_estradao_performance_varejo_prospeccaoaudience_cpm_prospecting_728x90_tgx_caminhoes</v>
      </c>
      <c r="D35" t="str">
        <f t="shared" si="3"/>
        <v>234362090</v>
      </c>
      <c r="E35" t="str">
        <f t="shared" si="4"/>
        <v>Standard</v>
      </c>
      <c r="F35" t="str">
        <f t="shared" si="5"/>
        <v>alp_Man-VWCO_estradao_performance_varejo_prospeccaoaudience_cpm_prospecting_728x90_tgx_caminhoes</v>
      </c>
      <c r="G35" t="str">
        <f t="shared" si="6"/>
        <v>432052280</v>
      </c>
      <c r="H35" t="str">
        <f t="shared" si="7"/>
        <v>Display</v>
      </c>
      <c r="I35">
        <f t="shared" si="8"/>
        <v>901</v>
      </c>
      <c r="J35">
        <f t="shared" si="9"/>
        <v>3</v>
      </c>
      <c r="K35" s="4">
        <f t="shared" si="10"/>
        <v>3.8199999999999998E-2</v>
      </c>
      <c r="L35">
        <f t="shared" si="11"/>
        <v>0.09</v>
      </c>
      <c r="M35" s="4">
        <f t="shared" ref="M35:M98" si="14">IF(E35="Dynamic Click",J35*K35,K35*$I35/1000)</f>
        <v>3.4418199999999996E-2</v>
      </c>
      <c r="N35" s="4">
        <f t="shared" ref="N35:N98" si="15">IF(E35="Dynamic Click",J35*L35,L35*$I35/1000)</f>
        <v>8.1090000000000009E-2</v>
      </c>
    </row>
    <row r="36" spans="1:14">
      <c r="A36" t="str">
        <f t="shared" si="0"/>
        <v>alp_Man-VWCO</v>
      </c>
      <c r="B36" t="str">
        <f t="shared" si="1"/>
        <v>Google Brasil</v>
      </c>
      <c r="C36" t="str">
        <f t="shared" si="2"/>
        <v>alp_Man-VWCO_Youtube_horizontal_fimdeano_CategoriaCaminhoes_cpv_prospecting_640x360_fimdeano_caminhoes</v>
      </c>
      <c r="D36" t="str">
        <f t="shared" si="3"/>
        <v>236418293</v>
      </c>
      <c r="E36" t="str">
        <f t="shared" si="4"/>
        <v>Dynamic Click</v>
      </c>
      <c r="F36" t="str">
        <f t="shared" si="5"/>
        <v>alp_Man-VWCO_Youtube_horizontal_fimdeano_CategoriaCaminhoes_cpv_prospecting_640x360_fimdeano_caminhoes</v>
      </c>
      <c r="G36" t="str">
        <f t="shared" si="6"/>
        <v>433907180</v>
      </c>
      <c r="H36" t="str">
        <f t="shared" si="7"/>
        <v>Tracking</v>
      </c>
      <c r="I36">
        <f t="shared" si="8"/>
        <v>0</v>
      </c>
      <c r="J36">
        <f t="shared" si="9"/>
        <v>2</v>
      </c>
      <c r="K36" s="4">
        <f t="shared" si="10"/>
        <v>3.5000000000000001E-3</v>
      </c>
      <c r="L36">
        <f t="shared" si="11"/>
        <v>0.02</v>
      </c>
      <c r="M36" s="4">
        <f t="shared" si="14"/>
        <v>7.0000000000000001E-3</v>
      </c>
      <c r="N36" s="4">
        <f t="shared" si="15"/>
        <v>0.04</v>
      </c>
    </row>
    <row r="37" spans="1:14">
      <c r="A37" t="str">
        <f t="shared" si="0"/>
        <v>alp_Man-VWCO</v>
      </c>
      <c r="B37" t="str">
        <f t="shared" si="1"/>
        <v>Google Brasil</v>
      </c>
      <c r="C37" t="str">
        <f t="shared" si="2"/>
        <v>alp_Man-VWCO_dbm_performance_varejo_prospeccao-audience_cpm_prospecting_120x600_999-agosto-l2_caminhoes</v>
      </c>
      <c r="D37" t="str">
        <f t="shared" si="3"/>
        <v>227581954</v>
      </c>
      <c r="E37" t="str">
        <f t="shared" si="4"/>
        <v>Standard</v>
      </c>
      <c r="F37" t="str">
        <f t="shared" si="5"/>
        <v>alp_Man-VWCO_dbm_performance_varejo_prospeccao-audience_cpm_prospecting_120x600_999-agosto-l2_caminhoes</v>
      </c>
      <c r="G37" t="str">
        <f t="shared" si="6"/>
        <v>425608398</v>
      </c>
      <c r="H37" t="str">
        <f t="shared" si="7"/>
        <v>Display</v>
      </c>
      <c r="I37">
        <f t="shared" si="8"/>
        <v>3729</v>
      </c>
      <c r="J37">
        <f t="shared" si="9"/>
        <v>2</v>
      </c>
      <c r="K37" s="4">
        <f t="shared" si="10"/>
        <v>3.8199999999999998E-2</v>
      </c>
      <c r="L37">
        <f t="shared" si="11"/>
        <v>0.09</v>
      </c>
      <c r="M37" s="4">
        <f t="shared" si="14"/>
        <v>0.14244780000000001</v>
      </c>
      <c r="N37" s="4">
        <f t="shared" si="15"/>
        <v>0.33561000000000002</v>
      </c>
    </row>
    <row r="38" spans="1:14">
      <c r="A38" t="str">
        <f t="shared" si="0"/>
        <v>alp_Man-VWCO</v>
      </c>
      <c r="B38" t="str">
        <f t="shared" si="1"/>
        <v>Google Brasil</v>
      </c>
      <c r="C38" t="str">
        <f t="shared" si="2"/>
        <v>alp_Man-VWCO_dbm_performance_varejo_prospeccao-audience_cpm_prospecting_120x600_999-agosto_caminhoes</v>
      </c>
      <c r="D38" t="str">
        <f t="shared" si="3"/>
        <v>227271423</v>
      </c>
      <c r="E38" t="str">
        <f t="shared" si="4"/>
        <v>Default</v>
      </c>
      <c r="F38" t="str">
        <f t="shared" si="5"/>
        <v>120x600 Default Web Ad</v>
      </c>
      <c r="G38" t="str">
        <f t="shared" si="6"/>
        <v>310387629</v>
      </c>
      <c r="H38" t="str">
        <f t="shared" si="7"/>
        <v>Display</v>
      </c>
      <c r="I38">
        <f t="shared" si="8"/>
        <v>5349</v>
      </c>
      <c r="J38">
        <f t="shared" si="9"/>
        <v>3</v>
      </c>
      <c r="K38" s="4">
        <f t="shared" si="10"/>
        <v>3.8199999999999998E-2</v>
      </c>
      <c r="L38">
        <f t="shared" si="11"/>
        <v>0.09</v>
      </c>
      <c r="M38" s="4">
        <f t="shared" si="14"/>
        <v>0.20433179999999998</v>
      </c>
      <c r="N38" s="4">
        <f t="shared" si="15"/>
        <v>0.48140999999999995</v>
      </c>
    </row>
    <row r="39" spans="1:14">
      <c r="A39" t="str">
        <f t="shared" si="0"/>
        <v>alp_Man-VWCO</v>
      </c>
      <c r="B39" t="str">
        <f t="shared" si="1"/>
        <v>Google Brasil</v>
      </c>
      <c r="C39" t="str">
        <f t="shared" si="2"/>
        <v>alp_Man-VWCO_dbm_performance_varejo_prospeccao-audience_cpm_prospecting_300x250_999-agosto-l2_caminhoes</v>
      </c>
      <c r="D39" t="str">
        <f t="shared" si="3"/>
        <v>227581951</v>
      </c>
      <c r="E39" t="str">
        <f t="shared" si="4"/>
        <v>Standard</v>
      </c>
      <c r="F39" t="str">
        <f t="shared" si="5"/>
        <v>alp_Man-VWCO_dbm_performance_varejo_prospeccao-audience_cpm_prospecting_300x250_999-agosto-l2_caminhoes</v>
      </c>
      <c r="G39" t="str">
        <f t="shared" si="6"/>
        <v>425608395</v>
      </c>
      <c r="H39" t="str">
        <f t="shared" si="7"/>
        <v>Display</v>
      </c>
      <c r="I39">
        <f t="shared" si="8"/>
        <v>171568</v>
      </c>
      <c r="J39">
        <f t="shared" si="9"/>
        <v>316</v>
      </c>
      <c r="K39" s="4">
        <f t="shared" si="10"/>
        <v>3.8199999999999998E-2</v>
      </c>
      <c r="L39">
        <f t="shared" si="11"/>
        <v>0.09</v>
      </c>
      <c r="M39" s="4">
        <f t="shared" si="14"/>
        <v>6.5538975999999991</v>
      </c>
      <c r="N39" s="4">
        <f t="shared" si="15"/>
        <v>15.44112</v>
      </c>
    </row>
    <row r="40" spans="1:14">
      <c r="A40" t="str">
        <f t="shared" si="0"/>
        <v>alp_Man-VWCO</v>
      </c>
      <c r="B40" t="str">
        <f t="shared" si="1"/>
        <v>Google Brasil</v>
      </c>
      <c r="C40" t="str">
        <f t="shared" si="2"/>
        <v>alp_Man-VWCO_dbm_performance_varejo_prospeccao-audience_cpm_prospecting_300x250_999-agosto-l2_caminhoes</v>
      </c>
      <c r="D40" t="str">
        <f t="shared" si="3"/>
        <v>227581951</v>
      </c>
      <c r="E40" t="str">
        <f t="shared" si="4"/>
        <v>Standard</v>
      </c>
      <c r="F40" t="str">
        <f t="shared" si="5"/>
        <v>alp_Man-VWCO_dbm_performance_varejo_prospeccao-audience_cpm_prospecting_300x250_999-agosto-l2_caminhoes</v>
      </c>
      <c r="G40" t="str">
        <f t="shared" si="6"/>
        <v>425608395</v>
      </c>
      <c r="H40" t="str">
        <f t="shared" si="7"/>
        <v>Display</v>
      </c>
      <c r="I40">
        <f t="shared" si="8"/>
        <v>4</v>
      </c>
      <c r="J40">
        <f t="shared" si="9"/>
        <v>0</v>
      </c>
      <c r="K40" s="4">
        <f t="shared" si="10"/>
        <v>3.8199999999999998E-2</v>
      </c>
      <c r="L40">
        <f t="shared" si="11"/>
        <v>0.09</v>
      </c>
      <c r="M40" s="4">
        <f t="shared" si="14"/>
        <v>1.528E-4</v>
      </c>
      <c r="N40" s="4">
        <f t="shared" si="15"/>
        <v>3.5999999999999997E-4</v>
      </c>
    </row>
    <row r="41" spans="1:14">
      <c r="A41" t="str">
        <f t="shared" si="0"/>
        <v>alp_Man-VWCO</v>
      </c>
      <c r="B41" t="str">
        <f t="shared" si="1"/>
        <v>Google Brasil</v>
      </c>
      <c r="C41" t="str">
        <f t="shared" si="2"/>
        <v>alp_Man-VWCO_dbm_performance_varejo_prospeccao-audience_cpm_prospecting_300x250_999-agosto_caminhoes</v>
      </c>
      <c r="D41" t="str">
        <f t="shared" si="3"/>
        <v>227271420</v>
      </c>
      <c r="E41" t="str">
        <f t="shared" si="4"/>
        <v>Default</v>
      </c>
      <c r="F41" t="str">
        <f t="shared" si="5"/>
        <v>300x250 Default Web Ad</v>
      </c>
      <c r="G41" t="str">
        <f t="shared" si="6"/>
        <v>310387630</v>
      </c>
      <c r="H41" t="str">
        <f t="shared" si="7"/>
        <v>Display</v>
      </c>
      <c r="I41">
        <f t="shared" si="8"/>
        <v>186274</v>
      </c>
      <c r="J41">
        <f t="shared" si="9"/>
        <v>173</v>
      </c>
      <c r="K41" s="4">
        <f t="shared" si="10"/>
        <v>3.8199999999999998E-2</v>
      </c>
      <c r="L41">
        <f t="shared" si="11"/>
        <v>0.09</v>
      </c>
      <c r="M41" s="4">
        <f t="shared" si="14"/>
        <v>7.1156667999999996</v>
      </c>
      <c r="N41" s="4">
        <f t="shared" si="15"/>
        <v>16.764659999999999</v>
      </c>
    </row>
    <row r="42" spans="1:14">
      <c r="A42" t="str">
        <f t="shared" si="0"/>
        <v>alp_Man-VWCO</v>
      </c>
      <c r="B42" t="str">
        <f t="shared" si="1"/>
        <v>Google Brasil</v>
      </c>
      <c r="C42" t="str">
        <f t="shared" si="2"/>
        <v>alp_Man-VWCO_dbm_performance_varejo_prospeccao-audience_cpm_prospecting_300x250_999-agosto_caminhoes</v>
      </c>
      <c r="D42" t="str">
        <f t="shared" si="3"/>
        <v>227271420</v>
      </c>
      <c r="E42" t="str">
        <f t="shared" si="4"/>
        <v>Default</v>
      </c>
      <c r="F42" t="str">
        <f t="shared" si="5"/>
        <v>300x250 Default Web Ad</v>
      </c>
      <c r="G42" t="str">
        <f t="shared" si="6"/>
        <v>310387630</v>
      </c>
      <c r="H42" t="str">
        <f t="shared" si="7"/>
        <v>Display</v>
      </c>
      <c r="I42">
        <f t="shared" si="8"/>
        <v>4</v>
      </c>
      <c r="J42">
        <f t="shared" si="9"/>
        <v>0</v>
      </c>
      <c r="K42" s="4">
        <f t="shared" si="10"/>
        <v>3.8199999999999998E-2</v>
      </c>
      <c r="L42">
        <f t="shared" si="11"/>
        <v>0.09</v>
      </c>
      <c r="M42" s="4">
        <f t="shared" si="14"/>
        <v>1.528E-4</v>
      </c>
      <c r="N42" s="4">
        <f t="shared" si="15"/>
        <v>3.5999999999999997E-4</v>
      </c>
    </row>
    <row r="43" spans="1:14">
      <c r="A43" t="str">
        <f t="shared" si="0"/>
        <v>alp_Man-VWCO</v>
      </c>
      <c r="B43" t="str">
        <f t="shared" si="1"/>
        <v>Google Brasil</v>
      </c>
      <c r="C43" t="str">
        <f t="shared" si="2"/>
        <v>alp_Man-VWCO_dbm_performance_varejo_prospeccao-audience_cpm_prospecting_300x600_999-agosto-l2_caminhoes</v>
      </c>
      <c r="D43" t="str">
        <f t="shared" si="3"/>
        <v>227581948</v>
      </c>
      <c r="E43" t="str">
        <f t="shared" si="4"/>
        <v>Standard</v>
      </c>
      <c r="F43" t="str">
        <f t="shared" si="5"/>
        <v>alp_Man-VWCO_dbm_performance_varejo_prospeccao-audience_cpm_prospecting_300x600_999-agosto-l2_caminhoes</v>
      </c>
      <c r="G43" t="str">
        <f t="shared" si="6"/>
        <v>425608392</v>
      </c>
      <c r="H43" t="str">
        <f t="shared" si="7"/>
        <v>Display</v>
      </c>
      <c r="I43">
        <f t="shared" si="8"/>
        <v>31355</v>
      </c>
      <c r="J43">
        <f t="shared" si="9"/>
        <v>25</v>
      </c>
      <c r="K43" s="4">
        <f t="shared" si="10"/>
        <v>3.8199999999999998E-2</v>
      </c>
      <c r="L43">
        <f t="shared" si="11"/>
        <v>0.09</v>
      </c>
      <c r="M43" s="4">
        <f t="shared" si="14"/>
        <v>1.1977610000000001</v>
      </c>
      <c r="N43" s="4">
        <f t="shared" si="15"/>
        <v>2.8219499999999997</v>
      </c>
    </row>
    <row r="44" spans="1:14">
      <c r="A44" t="str">
        <f t="shared" si="0"/>
        <v>alp_Man-VWCO</v>
      </c>
      <c r="B44" t="str">
        <f t="shared" si="1"/>
        <v>Google Brasil</v>
      </c>
      <c r="C44" t="str">
        <f t="shared" si="2"/>
        <v>alp_Man-VWCO_dbm_performance_varejo_prospeccao-audience_cpm_prospecting_300x600_999-agosto_caminhoes</v>
      </c>
      <c r="D44" t="str">
        <f t="shared" si="3"/>
        <v>227271417</v>
      </c>
      <c r="E44" t="str">
        <f t="shared" si="4"/>
        <v>Default</v>
      </c>
      <c r="F44" t="str">
        <f t="shared" si="5"/>
        <v>300x600 Default Web Ad</v>
      </c>
      <c r="G44" t="str">
        <f t="shared" si="6"/>
        <v>310386147</v>
      </c>
      <c r="H44" t="str">
        <f t="shared" si="7"/>
        <v>Display</v>
      </c>
      <c r="I44">
        <f t="shared" si="8"/>
        <v>34536</v>
      </c>
      <c r="J44">
        <f t="shared" si="9"/>
        <v>32</v>
      </c>
      <c r="K44" s="4">
        <f t="shared" ref="K44:K107" si="16">IF(LEFT(B44,3)="DBM",0,VLOOKUP(E44,tabela,2,FALSE))</f>
        <v>3.8199999999999998E-2</v>
      </c>
      <c r="L44">
        <f t="shared" ref="L44:L107" si="17">VLOOKUP(E44,tabela,3,FALSE)</f>
        <v>0.09</v>
      </c>
      <c r="M44" s="4">
        <f t="shared" si="14"/>
        <v>1.3192751999999999</v>
      </c>
      <c r="N44" s="4">
        <f t="shared" si="15"/>
        <v>3.1082399999999999</v>
      </c>
    </row>
    <row r="45" spans="1:14">
      <c r="A45" t="str">
        <f t="shared" si="0"/>
        <v>alp_Man-VWCO</v>
      </c>
      <c r="B45" t="str">
        <f t="shared" si="1"/>
        <v>Google Brasil</v>
      </c>
      <c r="C45" t="str">
        <f t="shared" si="2"/>
        <v>alp_Man-VWCO_dbm_performance_varejo_prospeccao-audience_cpm_prospecting_320x50_999-agosto-l2_caminhoes</v>
      </c>
      <c r="D45" t="str">
        <f t="shared" si="3"/>
        <v>227581945</v>
      </c>
      <c r="E45" t="str">
        <f t="shared" si="4"/>
        <v>Standard</v>
      </c>
      <c r="F45" t="str">
        <f t="shared" si="5"/>
        <v>alp_Man-VWCO_dbm_performance_varejo_prospeccao-audience_cpm_prospecting_320x50_999-agosto-l2_caminhoes</v>
      </c>
      <c r="G45" t="str">
        <f t="shared" si="6"/>
        <v>425608389</v>
      </c>
      <c r="H45" t="str">
        <f t="shared" si="7"/>
        <v>Display</v>
      </c>
      <c r="I45">
        <f t="shared" si="8"/>
        <v>46857</v>
      </c>
      <c r="J45">
        <f t="shared" si="9"/>
        <v>289</v>
      </c>
      <c r="K45" s="4">
        <f t="shared" si="16"/>
        <v>3.8199999999999998E-2</v>
      </c>
      <c r="L45">
        <f t="shared" si="17"/>
        <v>0.09</v>
      </c>
      <c r="M45" s="4">
        <f t="shared" si="14"/>
        <v>1.7899373999999999</v>
      </c>
      <c r="N45" s="4">
        <f t="shared" si="15"/>
        <v>4.21713</v>
      </c>
    </row>
    <row r="46" spans="1:14">
      <c r="A46" t="str">
        <f t="shared" si="0"/>
        <v>alp_Man-VWCO</v>
      </c>
      <c r="B46" t="str">
        <f t="shared" si="1"/>
        <v>Google Brasil</v>
      </c>
      <c r="C46" t="str">
        <f t="shared" si="2"/>
        <v>alp_Man-VWCO_dbm_performance_varejo_prospeccao-audience_cpm_prospecting_320x50_999-agosto_caminhoes</v>
      </c>
      <c r="D46" t="str">
        <f t="shared" si="3"/>
        <v>227271414</v>
      </c>
      <c r="E46" t="str">
        <f t="shared" si="4"/>
        <v>Default</v>
      </c>
      <c r="F46" t="str">
        <f t="shared" si="5"/>
        <v>320x50 Default Web Ad</v>
      </c>
      <c r="G46" t="str">
        <f t="shared" si="6"/>
        <v>310387631</v>
      </c>
      <c r="H46" t="str">
        <f t="shared" si="7"/>
        <v>Display</v>
      </c>
      <c r="I46">
        <f t="shared" si="8"/>
        <v>44594</v>
      </c>
      <c r="J46">
        <f t="shared" si="9"/>
        <v>66</v>
      </c>
      <c r="K46" s="4">
        <f t="shared" si="16"/>
        <v>3.8199999999999998E-2</v>
      </c>
      <c r="L46">
        <f t="shared" si="17"/>
        <v>0.09</v>
      </c>
      <c r="M46" s="4">
        <f t="shared" si="14"/>
        <v>1.7034907999999997</v>
      </c>
      <c r="N46" s="4">
        <f t="shared" si="15"/>
        <v>4.0134600000000002</v>
      </c>
    </row>
    <row r="47" spans="1:14">
      <c r="A47" t="str">
        <f t="shared" si="0"/>
        <v>alp_Man-VWCO</v>
      </c>
      <c r="B47" t="str">
        <f t="shared" si="1"/>
        <v>Google Brasil</v>
      </c>
      <c r="C47" t="str">
        <f t="shared" si="2"/>
        <v>alp_Man-VWCO_dbm_performance_varejo_prospeccao-audience_cpm_prospecting_320x50_999-agosto_caminhoes</v>
      </c>
      <c r="D47" t="str">
        <f t="shared" si="3"/>
        <v>227271414</v>
      </c>
      <c r="E47" t="str">
        <f t="shared" si="4"/>
        <v>Default</v>
      </c>
      <c r="F47" t="str">
        <f t="shared" si="5"/>
        <v>320x50 Default Web Ad</v>
      </c>
      <c r="G47" t="str">
        <f t="shared" si="6"/>
        <v>310387631</v>
      </c>
      <c r="H47" t="str">
        <f t="shared" si="7"/>
        <v>Display</v>
      </c>
      <c r="I47">
        <f t="shared" si="8"/>
        <v>1</v>
      </c>
      <c r="J47">
        <f t="shared" si="9"/>
        <v>0</v>
      </c>
      <c r="K47" s="4">
        <f t="shared" si="16"/>
        <v>3.8199999999999998E-2</v>
      </c>
      <c r="L47">
        <f t="shared" si="17"/>
        <v>0.09</v>
      </c>
      <c r="M47" s="4">
        <f t="shared" si="14"/>
        <v>3.82E-5</v>
      </c>
      <c r="N47" s="4">
        <f t="shared" si="15"/>
        <v>8.9999999999999992E-5</v>
      </c>
    </row>
    <row r="48" spans="1:14">
      <c r="A48" t="str">
        <f t="shared" si="0"/>
        <v>alp_Man-VWCO</v>
      </c>
      <c r="B48" t="str">
        <f t="shared" si="1"/>
        <v>Google Brasil</v>
      </c>
      <c r="C48" t="str">
        <f t="shared" si="2"/>
        <v>alp_Man-VWCO_dbm_performance_varejo_prospeccao-audience_cpm_prospecting_728x90_999-agosto-l2_caminhoes</v>
      </c>
      <c r="D48" t="str">
        <f t="shared" si="3"/>
        <v>227581942</v>
      </c>
      <c r="E48" t="str">
        <f t="shared" si="4"/>
        <v>Standard</v>
      </c>
      <c r="F48" t="str">
        <f t="shared" si="5"/>
        <v>alp_Man-VWCO_dbm_performance_varejo_prospeccao-audience_cpm_prospecting_728x90_999-agosto-l2_caminhoes</v>
      </c>
      <c r="G48" t="str">
        <f t="shared" si="6"/>
        <v>425608386</v>
      </c>
      <c r="H48" t="str">
        <f t="shared" si="7"/>
        <v>Display</v>
      </c>
      <c r="I48">
        <f t="shared" si="8"/>
        <v>84231</v>
      </c>
      <c r="J48">
        <f t="shared" si="9"/>
        <v>46</v>
      </c>
      <c r="K48" s="4">
        <f t="shared" si="16"/>
        <v>3.8199999999999998E-2</v>
      </c>
      <c r="L48">
        <f t="shared" si="17"/>
        <v>0.09</v>
      </c>
      <c r="M48" s="4">
        <f t="shared" si="14"/>
        <v>3.2176241999999999</v>
      </c>
      <c r="N48" s="4">
        <f t="shared" si="15"/>
        <v>7.5807900000000004</v>
      </c>
    </row>
    <row r="49" spans="1:14">
      <c r="A49" t="str">
        <f t="shared" si="0"/>
        <v>alp_Man-VWCO</v>
      </c>
      <c r="B49" t="str">
        <f t="shared" si="1"/>
        <v>Google Brasil</v>
      </c>
      <c r="C49" t="str">
        <f t="shared" si="2"/>
        <v>alp_Man-VWCO_dbm_performance_varejo_prospeccao-audience_cpm_prospecting_728x90_999-agosto-l2_caminhoes</v>
      </c>
      <c r="D49" t="str">
        <f t="shared" si="3"/>
        <v>227581942</v>
      </c>
      <c r="E49" t="str">
        <f t="shared" si="4"/>
        <v>Standard</v>
      </c>
      <c r="F49" t="str">
        <f t="shared" si="5"/>
        <v>alp_Man-VWCO_dbm_performance_varejo_prospeccao-audience_cpm_prospecting_728x90_999-agosto-l2_caminhoes</v>
      </c>
      <c r="G49" t="str">
        <f t="shared" si="6"/>
        <v>425608386</v>
      </c>
      <c r="H49" t="str">
        <f t="shared" si="7"/>
        <v>Display</v>
      </c>
      <c r="I49">
        <f t="shared" si="8"/>
        <v>3</v>
      </c>
      <c r="J49">
        <f t="shared" si="9"/>
        <v>0</v>
      </c>
      <c r="K49" s="4">
        <f t="shared" si="16"/>
        <v>3.8199999999999998E-2</v>
      </c>
      <c r="L49">
        <f t="shared" si="17"/>
        <v>0.09</v>
      </c>
      <c r="M49" s="4">
        <f t="shared" si="14"/>
        <v>1.1459999999999999E-4</v>
      </c>
      <c r="N49" s="4">
        <f t="shared" si="15"/>
        <v>2.7E-4</v>
      </c>
    </row>
    <row r="50" spans="1:14">
      <c r="A50" t="str">
        <f t="shared" si="0"/>
        <v>alp_Man-VWCO</v>
      </c>
      <c r="B50" t="str">
        <f t="shared" si="1"/>
        <v>Google Brasil</v>
      </c>
      <c r="C50" t="str">
        <f t="shared" si="2"/>
        <v>alp_Man-VWCO_dbm_performance_varejo_prospeccao-audience_cpm_prospecting_728x90_999-agosto_caminhoes</v>
      </c>
      <c r="D50" t="str">
        <f t="shared" si="3"/>
        <v>227271411</v>
      </c>
      <c r="E50" t="str">
        <f t="shared" si="4"/>
        <v>Default</v>
      </c>
      <c r="F50" t="str">
        <f t="shared" si="5"/>
        <v>728x90 Default Web Ad</v>
      </c>
      <c r="G50" t="str">
        <f t="shared" si="6"/>
        <v>310386926</v>
      </c>
      <c r="H50" t="str">
        <f t="shared" si="7"/>
        <v>Display</v>
      </c>
      <c r="I50">
        <f t="shared" si="8"/>
        <v>91025</v>
      </c>
      <c r="J50">
        <f t="shared" si="9"/>
        <v>32</v>
      </c>
      <c r="K50" s="4">
        <f t="shared" si="16"/>
        <v>3.8199999999999998E-2</v>
      </c>
      <c r="L50">
        <f t="shared" si="17"/>
        <v>0.09</v>
      </c>
      <c r="M50" s="4">
        <f t="shared" si="14"/>
        <v>3.4771549999999998</v>
      </c>
      <c r="N50" s="4">
        <f t="shared" si="15"/>
        <v>8.1922499999999996</v>
      </c>
    </row>
    <row r="51" spans="1:14">
      <c r="A51" t="str">
        <f t="shared" si="0"/>
        <v>alp_Man-VWCO</v>
      </c>
      <c r="B51" t="str">
        <f t="shared" si="1"/>
        <v>Google Brasil</v>
      </c>
      <c r="C51" t="str">
        <f t="shared" si="2"/>
        <v>alp_Man-VWCO_dbm_performance_varejo_prospeccao-audience_cpm_prospecting_728x90_999-agosto_caminhoes</v>
      </c>
      <c r="D51" t="str">
        <f t="shared" si="3"/>
        <v>227271411</v>
      </c>
      <c r="E51" t="str">
        <f t="shared" si="4"/>
        <v>Default</v>
      </c>
      <c r="F51" t="str">
        <f t="shared" si="5"/>
        <v>728x90 Default Web Ad</v>
      </c>
      <c r="G51" t="str">
        <f t="shared" si="6"/>
        <v>310386926</v>
      </c>
      <c r="H51" t="str">
        <f t="shared" si="7"/>
        <v>Display</v>
      </c>
      <c r="I51">
        <f t="shared" si="8"/>
        <v>2</v>
      </c>
      <c r="J51">
        <f t="shared" si="9"/>
        <v>0</v>
      </c>
      <c r="K51" s="4">
        <f t="shared" si="16"/>
        <v>3.8199999999999998E-2</v>
      </c>
      <c r="L51">
        <f t="shared" si="17"/>
        <v>0.09</v>
      </c>
      <c r="M51" s="4">
        <f t="shared" si="14"/>
        <v>7.64E-5</v>
      </c>
      <c r="N51" s="4">
        <f t="shared" si="15"/>
        <v>1.7999999999999998E-4</v>
      </c>
    </row>
    <row r="52" spans="1:14">
      <c r="A52" t="str">
        <f t="shared" si="0"/>
        <v>alp_Man-VWCO</v>
      </c>
      <c r="B52" t="str">
        <f t="shared" si="1"/>
        <v>Google Brasil</v>
      </c>
      <c r="C52" t="str">
        <f t="shared" si="2"/>
        <v>alp_Man-VWCO_dbm_performance_varejo_prospeccaoaudience_cpm_prospecting_120x600_tgx02_caminhoes</v>
      </c>
      <c r="D52" t="str">
        <f t="shared" si="3"/>
        <v>235169142</v>
      </c>
      <c r="E52" t="str">
        <f t="shared" si="4"/>
        <v>Standard</v>
      </c>
      <c r="F52" t="str">
        <f t="shared" si="5"/>
        <v>alp_Man-VWCO_dbm_performance_varejo_prospeccaoaudience_cpm_prospecting_120x600_tgx02_caminhoes</v>
      </c>
      <c r="G52" t="str">
        <f t="shared" si="6"/>
        <v>432715006</v>
      </c>
      <c r="H52" t="str">
        <f t="shared" si="7"/>
        <v>Display</v>
      </c>
      <c r="I52">
        <f t="shared" si="8"/>
        <v>25666</v>
      </c>
      <c r="J52">
        <f t="shared" si="9"/>
        <v>7</v>
      </c>
      <c r="K52" s="4">
        <f t="shared" si="16"/>
        <v>3.8199999999999998E-2</v>
      </c>
      <c r="L52">
        <f t="shared" si="17"/>
        <v>0.09</v>
      </c>
      <c r="M52" s="4">
        <f t="shared" si="14"/>
        <v>0.98044120000000001</v>
      </c>
      <c r="N52" s="4">
        <f t="shared" si="15"/>
        <v>2.3099400000000001</v>
      </c>
    </row>
    <row r="53" spans="1:14">
      <c r="A53" t="str">
        <f t="shared" si="0"/>
        <v>alp_Man-VWCO</v>
      </c>
      <c r="B53" t="str">
        <f t="shared" si="1"/>
        <v>Google Brasil</v>
      </c>
      <c r="C53" t="str">
        <f t="shared" si="2"/>
        <v>alp_Man-VWCO_dbm_performance_varejo_prospeccaoaudience_cpm_prospecting_120x600_tgx02_caminhoes</v>
      </c>
      <c r="D53" t="str">
        <f t="shared" si="3"/>
        <v>235169142</v>
      </c>
      <c r="E53" t="str">
        <f t="shared" si="4"/>
        <v>Standard</v>
      </c>
      <c r="F53" t="str">
        <f t="shared" si="5"/>
        <v>alp_Man-VWCO_dbm_performance_varejo_prospeccaoaudience_cpm_prospecting_120x600_tgx02_caminhoes</v>
      </c>
      <c r="G53" t="str">
        <f t="shared" si="6"/>
        <v>432715006</v>
      </c>
      <c r="H53" t="str">
        <f t="shared" si="7"/>
        <v>Display</v>
      </c>
      <c r="I53">
        <f t="shared" si="8"/>
        <v>4587</v>
      </c>
      <c r="J53">
        <f t="shared" si="9"/>
        <v>7</v>
      </c>
      <c r="K53" s="4">
        <f t="shared" si="16"/>
        <v>3.8199999999999998E-2</v>
      </c>
      <c r="L53">
        <f t="shared" si="17"/>
        <v>0.09</v>
      </c>
      <c r="M53" s="4">
        <f t="shared" si="14"/>
        <v>0.1752234</v>
      </c>
      <c r="N53" s="4">
        <f t="shared" si="15"/>
        <v>0.41282999999999997</v>
      </c>
    </row>
    <row r="54" spans="1:14">
      <c r="A54" t="str">
        <f t="shared" si="0"/>
        <v>alp_Man-VWCO</v>
      </c>
      <c r="B54" t="str">
        <f t="shared" si="1"/>
        <v>Google Brasil</v>
      </c>
      <c r="C54" t="str">
        <f t="shared" si="2"/>
        <v>alp_Man-VWCO_dbm_performance_varejo_prospeccaoaudience_cpm_prospecting_120x600_tgx_caminhoes</v>
      </c>
      <c r="D54" t="str">
        <f t="shared" si="3"/>
        <v>234078741</v>
      </c>
      <c r="E54" t="str">
        <f t="shared" si="4"/>
        <v>Standard</v>
      </c>
      <c r="F54" t="str">
        <f t="shared" si="5"/>
        <v>alp_Man-VWCO_dbm_performance_varejo_prospeccaoaudience_cpm_prospecting_120x600_tgx_caminhoes</v>
      </c>
      <c r="G54" t="str">
        <f t="shared" si="6"/>
        <v>431521125</v>
      </c>
      <c r="H54" t="str">
        <f t="shared" si="7"/>
        <v>Display</v>
      </c>
      <c r="I54">
        <f t="shared" si="8"/>
        <v>37084</v>
      </c>
      <c r="J54">
        <f t="shared" si="9"/>
        <v>9</v>
      </c>
      <c r="K54" s="4">
        <f t="shared" si="16"/>
        <v>3.8199999999999998E-2</v>
      </c>
      <c r="L54">
        <f t="shared" si="17"/>
        <v>0.09</v>
      </c>
      <c r="M54" s="4">
        <f t="shared" si="14"/>
        <v>1.4166087999999999</v>
      </c>
      <c r="N54" s="4">
        <f t="shared" si="15"/>
        <v>3.3375599999999999</v>
      </c>
    </row>
    <row r="55" spans="1:14">
      <c r="A55" t="str">
        <f t="shared" si="0"/>
        <v>alp_Man-VWCO</v>
      </c>
      <c r="B55" t="str">
        <f t="shared" si="1"/>
        <v>Google Brasil</v>
      </c>
      <c r="C55" t="str">
        <f t="shared" si="2"/>
        <v>alp_Man-VWCO_dbm_performance_varejo_prospeccaoaudience_cpm_prospecting_120x600_tgx_caminhoes</v>
      </c>
      <c r="D55" t="str">
        <f t="shared" si="3"/>
        <v>234078741</v>
      </c>
      <c r="E55" t="str">
        <f t="shared" si="4"/>
        <v>Standard</v>
      </c>
      <c r="F55" t="str">
        <f t="shared" si="5"/>
        <v>alp_Man-VWCO_dbm_performance_varejo_prospeccaoaudience_cpm_prospecting_120x600_tgx_caminhoes</v>
      </c>
      <c r="G55" t="str">
        <f t="shared" si="6"/>
        <v>431521125</v>
      </c>
      <c r="H55" t="str">
        <f t="shared" si="7"/>
        <v>Display</v>
      </c>
      <c r="I55">
        <f t="shared" si="8"/>
        <v>3910</v>
      </c>
      <c r="J55">
        <f t="shared" si="9"/>
        <v>2</v>
      </c>
      <c r="K55" s="4">
        <f t="shared" si="16"/>
        <v>3.8199999999999998E-2</v>
      </c>
      <c r="L55">
        <f t="shared" si="17"/>
        <v>0.09</v>
      </c>
      <c r="M55" s="4">
        <f t="shared" si="14"/>
        <v>0.14936199999999999</v>
      </c>
      <c r="N55" s="4">
        <f t="shared" si="15"/>
        <v>0.35189999999999999</v>
      </c>
    </row>
    <row r="56" spans="1:14">
      <c r="A56" t="str">
        <f t="shared" si="0"/>
        <v>alp_Man-VWCO</v>
      </c>
      <c r="B56" t="str">
        <f t="shared" si="1"/>
        <v>Google Brasil</v>
      </c>
      <c r="C56" t="str">
        <f t="shared" si="2"/>
        <v>alp_Man-VWCO_dbm_performance_varejo_prospeccaoaudience_cpm_prospecting_120x600_varejo-fevereiro_caminhoes</v>
      </c>
      <c r="D56" t="str">
        <f t="shared" si="3"/>
        <v>239737312</v>
      </c>
      <c r="E56" t="str">
        <f t="shared" si="4"/>
        <v>Standard</v>
      </c>
      <c r="F56" t="str">
        <f t="shared" si="5"/>
        <v>alp_Man-VWCO_dbm_performance_varejo_prospeccaoaudience_cpm_prospecting_120x600_varejo-fevereiro_caminhoes</v>
      </c>
      <c r="G56" t="str">
        <f t="shared" si="6"/>
        <v>436895035</v>
      </c>
      <c r="H56" t="str">
        <f t="shared" si="7"/>
        <v>Display</v>
      </c>
      <c r="I56">
        <f t="shared" si="8"/>
        <v>34288</v>
      </c>
      <c r="J56">
        <f t="shared" si="9"/>
        <v>25</v>
      </c>
      <c r="K56" s="4">
        <f t="shared" si="16"/>
        <v>3.8199999999999998E-2</v>
      </c>
      <c r="L56">
        <f t="shared" si="17"/>
        <v>0.09</v>
      </c>
      <c r="M56" s="4">
        <f t="shared" si="14"/>
        <v>1.3098015999999999</v>
      </c>
      <c r="N56" s="4">
        <f t="shared" si="15"/>
        <v>3.0859200000000002</v>
      </c>
    </row>
    <row r="57" spans="1:14">
      <c r="A57" t="str">
        <f t="shared" si="0"/>
        <v>alp_Man-VWCO</v>
      </c>
      <c r="B57" t="str">
        <f t="shared" si="1"/>
        <v>Google Brasil</v>
      </c>
      <c r="C57" t="str">
        <f t="shared" si="2"/>
        <v>alp_Man-VWCO_dbm_performance_varejo_prospeccaoaudience_cpm_prospecting_120x600_varejoMANpadrao_caminhoes</v>
      </c>
      <c r="D57" t="str">
        <f t="shared" si="3"/>
        <v>229499255</v>
      </c>
      <c r="E57" t="str">
        <f t="shared" si="4"/>
        <v>Standard</v>
      </c>
      <c r="F57" t="str">
        <f t="shared" si="5"/>
        <v>alp_Man-VWCO_dbm_performance_varejo_prospeccaoaudience_cpm_prospecting_120x600_varejoMANpadrao_caminhoes</v>
      </c>
      <c r="G57" t="str">
        <f t="shared" si="6"/>
        <v>427572591</v>
      </c>
      <c r="H57" t="str">
        <f t="shared" si="7"/>
        <v>Display</v>
      </c>
      <c r="I57">
        <f t="shared" si="8"/>
        <v>51965</v>
      </c>
      <c r="J57">
        <f t="shared" si="9"/>
        <v>21</v>
      </c>
      <c r="K57" s="4">
        <f t="shared" si="16"/>
        <v>3.8199999999999998E-2</v>
      </c>
      <c r="L57">
        <f t="shared" si="17"/>
        <v>0.09</v>
      </c>
      <c r="M57" s="4">
        <f t="shared" si="14"/>
        <v>1.9850629999999998</v>
      </c>
      <c r="N57" s="4">
        <f t="shared" si="15"/>
        <v>4.6768499999999991</v>
      </c>
    </row>
    <row r="58" spans="1:14">
      <c r="A58" t="str">
        <f t="shared" si="0"/>
        <v>alp_Man-VWCO</v>
      </c>
      <c r="B58" t="str">
        <f t="shared" si="1"/>
        <v>Google Brasil</v>
      </c>
      <c r="C58" t="str">
        <f t="shared" si="2"/>
        <v>alp_Man-VWCO_dbm_performance_varejo_prospeccaoaudience_cpm_prospecting_120x600_varejoMANpadrao_caminhoes</v>
      </c>
      <c r="D58" t="str">
        <f t="shared" si="3"/>
        <v>229499255</v>
      </c>
      <c r="E58" t="str">
        <f t="shared" si="4"/>
        <v>Standard</v>
      </c>
      <c r="F58" t="str">
        <f t="shared" si="5"/>
        <v>alp_Man-VWCO_dbm_performance_varejo_prospeccaoaudience_cpm_prospecting_120x600_varejoMANpadrao_caminhoes</v>
      </c>
      <c r="G58" t="str">
        <f t="shared" si="6"/>
        <v>427572591</v>
      </c>
      <c r="H58" t="str">
        <f t="shared" si="7"/>
        <v>Display</v>
      </c>
      <c r="I58">
        <f t="shared" si="8"/>
        <v>10660</v>
      </c>
      <c r="J58">
        <f t="shared" si="9"/>
        <v>9</v>
      </c>
      <c r="K58" s="4">
        <f t="shared" si="16"/>
        <v>3.8199999999999998E-2</v>
      </c>
      <c r="L58">
        <f t="shared" si="17"/>
        <v>0.09</v>
      </c>
      <c r="M58" s="4">
        <f t="shared" si="14"/>
        <v>0.40721199999999996</v>
      </c>
      <c r="N58" s="4">
        <f t="shared" si="15"/>
        <v>0.95940000000000003</v>
      </c>
    </row>
    <row r="59" spans="1:14">
      <c r="A59" t="str">
        <f t="shared" si="0"/>
        <v>alp_Man-VWCO</v>
      </c>
      <c r="B59" t="str">
        <f t="shared" si="1"/>
        <v>Google Brasil</v>
      </c>
      <c r="C59" t="str">
        <f t="shared" si="2"/>
        <v>alp_Man-VWCO_dbm_performance_varejo_prospeccaoaudience_cpm_prospecting_300x250_tgx02_caminhoes</v>
      </c>
      <c r="D59" t="str">
        <f t="shared" si="3"/>
        <v>235169994</v>
      </c>
      <c r="E59" t="str">
        <f t="shared" si="4"/>
        <v>Standard</v>
      </c>
      <c r="F59" t="str">
        <f t="shared" si="5"/>
        <v>alp_Man-VWCO_dbm_performance_varejo_prospeccaoaudience_cpm_prospecting_300x250_tgx02_caminhoes</v>
      </c>
      <c r="G59" t="str">
        <f t="shared" si="6"/>
        <v>432620796</v>
      </c>
      <c r="H59" t="str">
        <f t="shared" si="7"/>
        <v>Display</v>
      </c>
      <c r="I59">
        <f t="shared" si="8"/>
        <v>1220300</v>
      </c>
      <c r="J59">
        <f t="shared" si="9"/>
        <v>5714</v>
      </c>
      <c r="K59" s="4">
        <f t="shared" si="16"/>
        <v>3.8199999999999998E-2</v>
      </c>
      <c r="L59">
        <f t="shared" si="17"/>
        <v>0.09</v>
      </c>
      <c r="M59" s="4">
        <f t="shared" si="14"/>
        <v>46.615459999999999</v>
      </c>
      <c r="N59" s="4">
        <f t="shared" si="15"/>
        <v>109.827</v>
      </c>
    </row>
    <row r="60" spans="1:14">
      <c r="A60" t="str">
        <f t="shared" si="0"/>
        <v>alp_Man-VWCO</v>
      </c>
      <c r="B60" t="str">
        <f t="shared" si="1"/>
        <v>Google Brasil</v>
      </c>
      <c r="C60" t="str">
        <f t="shared" si="2"/>
        <v>alp_Man-VWCO_dbm_performance_varejo_prospeccaoaudience_cpm_prospecting_300x250_tgx02_caminhoes</v>
      </c>
      <c r="D60" t="str">
        <f t="shared" si="3"/>
        <v>235169994</v>
      </c>
      <c r="E60" t="str">
        <f t="shared" si="4"/>
        <v>Standard</v>
      </c>
      <c r="F60" t="str">
        <f t="shared" si="5"/>
        <v>alp_Man-VWCO_dbm_performance_varejo_prospeccaoaudience_cpm_prospecting_300x250_tgx02_caminhoes</v>
      </c>
      <c r="G60" t="str">
        <f t="shared" si="6"/>
        <v>432620796</v>
      </c>
      <c r="H60" t="str">
        <f t="shared" si="7"/>
        <v>Display</v>
      </c>
      <c r="I60">
        <f t="shared" si="8"/>
        <v>923597</v>
      </c>
      <c r="J60">
        <f t="shared" si="9"/>
        <v>6641</v>
      </c>
      <c r="K60" s="4">
        <f t="shared" si="16"/>
        <v>3.8199999999999998E-2</v>
      </c>
      <c r="L60">
        <f t="shared" si="17"/>
        <v>0.09</v>
      </c>
      <c r="M60" s="4">
        <f t="shared" si="14"/>
        <v>35.281405399999997</v>
      </c>
      <c r="N60" s="4">
        <f t="shared" si="15"/>
        <v>83.123729999999995</v>
      </c>
    </row>
    <row r="61" spans="1:14">
      <c r="A61" t="str">
        <f t="shared" si="0"/>
        <v>alp_Man-VWCO</v>
      </c>
      <c r="B61" t="str">
        <f t="shared" si="1"/>
        <v>Google Brasil</v>
      </c>
      <c r="C61" t="str">
        <f t="shared" si="2"/>
        <v>alp_Man-VWCO_dbm_performance_varejo_prospeccaoaudience_cpm_prospecting_300x250_tgx_caminhoes</v>
      </c>
      <c r="D61" t="str">
        <f t="shared" si="3"/>
        <v>234078738</v>
      </c>
      <c r="E61" t="str">
        <f t="shared" si="4"/>
        <v>Default</v>
      </c>
      <c r="F61" t="str">
        <f t="shared" si="5"/>
        <v>300x250 Default Web Ad</v>
      </c>
      <c r="G61" t="str">
        <f t="shared" si="6"/>
        <v>310387630</v>
      </c>
      <c r="H61" t="str">
        <f t="shared" si="7"/>
        <v>Display</v>
      </c>
      <c r="I61">
        <f t="shared" si="8"/>
        <v>1</v>
      </c>
      <c r="J61">
        <f t="shared" si="9"/>
        <v>0</v>
      </c>
      <c r="K61" s="4">
        <f t="shared" si="16"/>
        <v>3.8199999999999998E-2</v>
      </c>
      <c r="L61">
        <f t="shared" si="17"/>
        <v>0.09</v>
      </c>
      <c r="M61" s="4">
        <f t="shared" si="14"/>
        <v>3.82E-5</v>
      </c>
      <c r="N61" s="4">
        <f t="shared" si="15"/>
        <v>8.9999999999999992E-5</v>
      </c>
    </row>
    <row r="62" spans="1:14">
      <c r="A62" t="str">
        <f t="shared" si="0"/>
        <v>alp_Man-VWCO</v>
      </c>
      <c r="B62" t="str">
        <f t="shared" si="1"/>
        <v>Google Brasil</v>
      </c>
      <c r="C62" t="str">
        <f t="shared" si="2"/>
        <v>alp_Man-VWCO_dbm_performance_varejo_prospeccaoaudience_cpm_prospecting_300x250_tgx_caminhoes</v>
      </c>
      <c r="D62" t="str">
        <f t="shared" si="3"/>
        <v>234078738</v>
      </c>
      <c r="E62" t="str">
        <f t="shared" si="4"/>
        <v>Standard</v>
      </c>
      <c r="F62" t="str">
        <f t="shared" si="5"/>
        <v>alp_Man-VWCO_dbm_performance_varejo_prospeccaoaudience_cpm_prospecting_300x250_tgx_caminhoes</v>
      </c>
      <c r="G62" t="str">
        <f t="shared" si="6"/>
        <v>431521122</v>
      </c>
      <c r="H62" t="str">
        <f t="shared" si="7"/>
        <v>Display</v>
      </c>
      <c r="I62">
        <f t="shared" si="8"/>
        <v>2966224</v>
      </c>
      <c r="J62">
        <f t="shared" si="9"/>
        <v>9093</v>
      </c>
      <c r="K62" s="4">
        <f t="shared" si="16"/>
        <v>3.8199999999999998E-2</v>
      </c>
      <c r="L62">
        <f t="shared" si="17"/>
        <v>0.09</v>
      </c>
      <c r="M62" s="4">
        <f t="shared" si="14"/>
        <v>113.30975679999999</v>
      </c>
      <c r="N62" s="4">
        <f t="shared" si="15"/>
        <v>266.96015999999997</v>
      </c>
    </row>
    <row r="63" spans="1:14">
      <c r="A63" t="str">
        <f t="shared" si="0"/>
        <v>alp_Man-VWCO</v>
      </c>
      <c r="B63" t="str">
        <f t="shared" si="1"/>
        <v>Google Brasil</v>
      </c>
      <c r="C63" t="str">
        <f t="shared" si="2"/>
        <v>alp_Man-VWCO_dbm_performance_varejo_prospeccaoaudience_cpm_prospecting_300x250_tgx_caminhoes</v>
      </c>
      <c r="D63" t="str">
        <f t="shared" si="3"/>
        <v>234078738</v>
      </c>
      <c r="E63" t="str">
        <f t="shared" si="4"/>
        <v>Standard</v>
      </c>
      <c r="F63" t="str">
        <f t="shared" si="5"/>
        <v>alp_Man-VWCO_dbm_performance_varejo_prospeccaoaudience_cpm_prospecting_300x250_tgx_caminhoes</v>
      </c>
      <c r="G63" t="str">
        <f t="shared" si="6"/>
        <v>431521122</v>
      </c>
      <c r="H63" t="str">
        <f t="shared" si="7"/>
        <v>Display</v>
      </c>
      <c r="I63">
        <f t="shared" si="8"/>
        <v>4282034</v>
      </c>
      <c r="J63">
        <f t="shared" si="9"/>
        <v>18037</v>
      </c>
      <c r="K63" s="4">
        <f t="shared" si="16"/>
        <v>3.8199999999999998E-2</v>
      </c>
      <c r="L63">
        <f t="shared" si="17"/>
        <v>0.09</v>
      </c>
      <c r="M63" s="4">
        <f t="shared" si="14"/>
        <v>163.57369879999999</v>
      </c>
      <c r="N63" s="4">
        <f t="shared" si="15"/>
        <v>385.38306</v>
      </c>
    </row>
    <row r="64" spans="1:14">
      <c r="A64" t="str">
        <f t="shared" si="0"/>
        <v>alp_Man-VWCO</v>
      </c>
      <c r="B64" t="str">
        <f t="shared" si="1"/>
        <v>Google Brasil</v>
      </c>
      <c r="C64" t="str">
        <f t="shared" si="2"/>
        <v>alp_Man-VWCO_dbm_performance_varejo_prospeccaoaudience_cpm_prospecting_300x250_varejo-fevereiro_caminhoes</v>
      </c>
      <c r="D64" t="str">
        <f t="shared" si="3"/>
        <v>239451542</v>
      </c>
      <c r="E64" t="str">
        <f t="shared" si="4"/>
        <v>Standard</v>
      </c>
      <c r="F64" t="str">
        <f t="shared" si="5"/>
        <v>alp_Man-VWCO_dbm_performance_varejo_prospeccaoaudience_cpm_prospecting_300x250_varejo-fevereiro_caminhoes</v>
      </c>
      <c r="G64" t="str">
        <f t="shared" si="6"/>
        <v>436609590</v>
      </c>
      <c r="H64" t="str">
        <f t="shared" si="7"/>
        <v>Display</v>
      </c>
      <c r="I64">
        <f t="shared" si="8"/>
        <v>4661695</v>
      </c>
      <c r="J64">
        <f t="shared" si="9"/>
        <v>33550</v>
      </c>
      <c r="K64" s="4">
        <f t="shared" si="16"/>
        <v>3.8199999999999998E-2</v>
      </c>
      <c r="L64">
        <f t="shared" si="17"/>
        <v>0.09</v>
      </c>
      <c r="M64" s="4">
        <f t="shared" si="14"/>
        <v>178.07674899999998</v>
      </c>
      <c r="N64" s="4">
        <f t="shared" si="15"/>
        <v>419.55255</v>
      </c>
    </row>
    <row r="65" spans="1:14">
      <c r="A65" t="str">
        <f t="shared" si="0"/>
        <v>alp_Man-VWCO</v>
      </c>
      <c r="B65" t="str">
        <f t="shared" si="1"/>
        <v>Google Brasil</v>
      </c>
      <c r="C65" t="str">
        <f t="shared" si="2"/>
        <v>alp_Man-VWCO_dbm_performance_varejo_prospeccaoaudience_cpm_prospecting_300x250_varejoMANpadrao_caminhoes</v>
      </c>
      <c r="D65" t="str">
        <f t="shared" si="3"/>
        <v>229499252</v>
      </c>
      <c r="E65" t="str">
        <f t="shared" si="4"/>
        <v>Standard</v>
      </c>
      <c r="F65" t="str">
        <f t="shared" si="5"/>
        <v>alp_Man-VWCO_dbm_performance_varejo_prospeccaoaudience_cpm_prospecting_300x250_varejoMANpadrao_caminhoes</v>
      </c>
      <c r="G65" t="str">
        <f t="shared" si="6"/>
        <v>427572588</v>
      </c>
      <c r="H65" t="str">
        <f t="shared" si="7"/>
        <v>Display</v>
      </c>
      <c r="I65">
        <f t="shared" si="8"/>
        <v>677753</v>
      </c>
      <c r="J65">
        <f t="shared" si="9"/>
        <v>1793</v>
      </c>
      <c r="K65" s="4">
        <f t="shared" si="16"/>
        <v>3.8199999999999998E-2</v>
      </c>
      <c r="L65">
        <f t="shared" si="17"/>
        <v>0.09</v>
      </c>
      <c r="M65" s="4">
        <f t="shared" si="14"/>
        <v>25.890164599999999</v>
      </c>
      <c r="N65" s="4">
        <f t="shared" si="15"/>
        <v>60.997769999999996</v>
      </c>
    </row>
    <row r="66" spans="1:14">
      <c r="A66" t="str">
        <f t="shared" ref="A66:A129" si="18">bd_campaign</f>
        <v>alp_Man-VWCO</v>
      </c>
      <c r="B66" t="str">
        <f t="shared" ref="B66:B129" si="19">bd_site</f>
        <v>Google Brasil</v>
      </c>
      <c r="C66" t="str">
        <f t="shared" ref="C66:C129" si="20">bd_placement</f>
        <v>alp_Man-VWCO_dbm_performance_varejo_prospeccaoaudience_cpm_prospecting_300x250_varejoMANpadrao_caminhoes</v>
      </c>
      <c r="D66" t="str">
        <f t="shared" ref="D66:D129" si="21">bd_placementID</f>
        <v>229499252</v>
      </c>
      <c r="E66" t="str">
        <f t="shared" ref="E66:E129" si="22">VLOOKUP(CONCATENATE(bd_adtype,"_",bd_creativetype),tabela,2,FALSE)</f>
        <v>Standard</v>
      </c>
      <c r="F66" t="str">
        <f t="shared" ref="F66:F129" si="23">bd_ad</f>
        <v>alp_Man-VWCO_dbm_performance_varejo_prospeccaoaudience_cpm_prospecting_300x250_varejoMANpadrao_caminhoes</v>
      </c>
      <c r="G66" t="str">
        <f t="shared" ref="G66:G129" si="24">bd_adid</f>
        <v>427572588</v>
      </c>
      <c r="H66" t="str">
        <f t="shared" ref="H66:H129" si="25">bd_creativetype</f>
        <v>Display</v>
      </c>
      <c r="I66">
        <f t="shared" ref="I66:I129" si="26">bd_impression</f>
        <v>844505</v>
      </c>
      <c r="J66">
        <f t="shared" ref="J66:J129" si="27">bd_clicks</f>
        <v>6398</v>
      </c>
      <c r="K66" s="4">
        <f t="shared" si="16"/>
        <v>3.8199999999999998E-2</v>
      </c>
      <c r="L66">
        <f t="shared" si="17"/>
        <v>0.09</v>
      </c>
      <c r="M66" s="4">
        <f t="shared" si="14"/>
        <v>32.260090999999996</v>
      </c>
      <c r="N66" s="4">
        <f t="shared" si="15"/>
        <v>76.005449999999996</v>
      </c>
    </row>
    <row r="67" spans="1:14">
      <c r="A67" t="str">
        <f t="shared" si="18"/>
        <v>alp_Man-VWCO</v>
      </c>
      <c r="B67" t="str">
        <f t="shared" si="19"/>
        <v>Google Brasil</v>
      </c>
      <c r="C67" t="str">
        <f t="shared" si="20"/>
        <v>alp_Man-VWCO_dbm_performance_varejo_prospeccaoaudience_cpm_prospecting_300x600_tgx02_caminhoes</v>
      </c>
      <c r="D67" t="str">
        <f t="shared" si="21"/>
        <v>234943957</v>
      </c>
      <c r="E67" t="str">
        <f t="shared" si="22"/>
        <v>Standard</v>
      </c>
      <c r="F67" t="str">
        <f t="shared" si="23"/>
        <v>alp_Man-VWCO_dbm_performance_varejo_prospeccaoaudience_cpm_prospecting_300x600_tgx02_caminhoes</v>
      </c>
      <c r="G67" t="str">
        <f t="shared" si="24"/>
        <v>432718558</v>
      </c>
      <c r="H67" t="str">
        <f t="shared" si="25"/>
        <v>Display</v>
      </c>
      <c r="I67">
        <f t="shared" si="26"/>
        <v>289783</v>
      </c>
      <c r="J67">
        <f t="shared" si="27"/>
        <v>6691</v>
      </c>
      <c r="K67" s="4">
        <f t="shared" si="16"/>
        <v>3.8199999999999998E-2</v>
      </c>
      <c r="L67">
        <f t="shared" si="17"/>
        <v>0.09</v>
      </c>
      <c r="M67" s="4">
        <f t="shared" si="14"/>
        <v>11.069710599999999</v>
      </c>
      <c r="N67" s="4">
        <f t="shared" si="15"/>
        <v>26.080469999999998</v>
      </c>
    </row>
    <row r="68" spans="1:14">
      <c r="A68" t="str">
        <f t="shared" si="18"/>
        <v>alp_Man-VWCO</v>
      </c>
      <c r="B68" t="str">
        <f t="shared" si="19"/>
        <v>Google Brasil</v>
      </c>
      <c r="C68" t="str">
        <f t="shared" si="20"/>
        <v>alp_Man-VWCO_dbm_performance_varejo_prospeccaoaudience_cpm_prospecting_300x600_tgx02_caminhoes</v>
      </c>
      <c r="D68" t="str">
        <f t="shared" si="21"/>
        <v>234943957</v>
      </c>
      <c r="E68" t="str">
        <f t="shared" si="22"/>
        <v>Standard</v>
      </c>
      <c r="F68" t="str">
        <f t="shared" si="23"/>
        <v>alp_Man-VWCO_dbm_performance_varejo_prospeccaoaudience_cpm_prospecting_300x600_tgx02_caminhoes</v>
      </c>
      <c r="G68" t="str">
        <f t="shared" si="24"/>
        <v>432718558</v>
      </c>
      <c r="H68" t="str">
        <f t="shared" si="25"/>
        <v>Display</v>
      </c>
      <c r="I68">
        <f t="shared" si="26"/>
        <v>345640</v>
      </c>
      <c r="J68">
        <f t="shared" si="27"/>
        <v>12353</v>
      </c>
      <c r="K68" s="4">
        <f t="shared" si="16"/>
        <v>3.8199999999999998E-2</v>
      </c>
      <c r="L68">
        <f t="shared" si="17"/>
        <v>0.09</v>
      </c>
      <c r="M68" s="4">
        <f t="shared" si="14"/>
        <v>13.203447999999998</v>
      </c>
      <c r="N68" s="4">
        <f t="shared" si="15"/>
        <v>31.107599999999998</v>
      </c>
    </row>
    <row r="69" spans="1:14">
      <c r="A69" t="str">
        <f t="shared" si="18"/>
        <v>alp_Man-VWCO</v>
      </c>
      <c r="B69" t="str">
        <f t="shared" si="19"/>
        <v>Google Brasil</v>
      </c>
      <c r="C69" t="str">
        <f t="shared" si="20"/>
        <v>alp_Man-VWCO_dbm_performance_varejo_prospeccaoaudience_cpm_prospecting_300x600_tgx_caminhoes</v>
      </c>
      <c r="D69" t="str">
        <f t="shared" si="21"/>
        <v>234078735</v>
      </c>
      <c r="E69" t="str">
        <f t="shared" si="22"/>
        <v>Standard</v>
      </c>
      <c r="F69" t="str">
        <f t="shared" si="23"/>
        <v>alp_Man-VWCO_dbm_performance_varejo_prospeccaoaudience_cpm_prospecting_300x600_tgx_caminhoes</v>
      </c>
      <c r="G69" t="str">
        <f t="shared" si="24"/>
        <v>431521119</v>
      </c>
      <c r="H69" t="str">
        <f t="shared" si="25"/>
        <v>Display</v>
      </c>
      <c r="I69">
        <f t="shared" si="26"/>
        <v>343154</v>
      </c>
      <c r="J69">
        <f t="shared" si="27"/>
        <v>3561</v>
      </c>
      <c r="K69" s="4">
        <f t="shared" si="16"/>
        <v>3.8199999999999998E-2</v>
      </c>
      <c r="L69">
        <f t="shared" si="17"/>
        <v>0.09</v>
      </c>
      <c r="M69" s="4">
        <f t="shared" si="14"/>
        <v>13.108482799999999</v>
      </c>
      <c r="N69" s="4">
        <f t="shared" si="15"/>
        <v>30.883860000000002</v>
      </c>
    </row>
    <row r="70" spans="1:14">
      <c r="A70" t="str">
        <f t="shared" si="18"/>
        <v>alp_Man-VWCO</v>
      </c>
      <c r="B70" t="str">
        <f t="shared" si="19"/>
        <v>Google Brasil</v>
      </c>
      <c r="C70" t="str">
        <f t="shared" si="20"/>
        <v>alp_Man-VWCO_dbm_performance_varejo_prospeccaoaudience_cpm_prospecting_300x600_tgx_caminhoes</v>
      </c>
      <c r="D70" t="str">
        <f t="shared" si="21"/>
        <v>234078735</v>
      </c>
      <c r="E70" t="str">
        <f t="shared" si="22"/>
        <v>Standard</v>
      </c>
      <c r="F70" t="str">
        <f t="shared" si="23"/>
        <v>alp_Man-VWCO_dbm_performance_varejo_prospeccaoaudience_cpm_prospecting_300x600_tgx_caminhoes</v>
      </c>
      <c r="G70" t="str">
        <f t="shared" si="24"/>
        <v>431521119</v>
      </c>
      <c r="H70" t="str">
        <f t="shared" si="25"/>
        <v>Display</v>
      </c>
      <c r="I70">
        <f t="shared" si="26"/>
        <v>269977</v>
      </c>
      <c r="J70">
        <f t="shared" si="27"/>
        <v>5512</v>
      </c>
      <c r="K70" s="4">
        <f t="shared" si="16"/>
        <v>3.8199999999999998E-2</v>
      </c>
      <c r="L70">
        <f t="shared" si="17"/>
        <v>0.09</v>
      </c>
      <c r="M70" s="4">
        <f t="shared" si="14"/>
        <v>10.3131214</v>
      </c>
      <c r="N70" s="4">
        <f t="shared" si="15"/>
        <v>24.297930000000001</v>
      </c>
    </row>
    <row r="71" spans="1:14">
      <c r="A71" t="str">
        <f t="shared" si="18"/>
        <v>alp_Man-VWCO</v>
      </c>
      <c r="B71" t="str">
        <f t="shared" si="19"/>
        <v>Google Brasil</v>
      </c>
      <c r="C71" t="str">
        <f t="shared" si="20"/>
        <v>alp_Man-VWCO_dbm_performance_varejo_prospeccaoaudience_cpm_prospecting_300x600_varejo-fevereiro_caminhoes</v>
      </c>
      <c r="D71" t="str">
        <f t="shared" si="21"/>
        <v>239776548</v>
      </c>
      <c r="E71" t="str">
        <f t="shared" si="22"/>
        <v>Standard</v>
      </c>
      <c r="F71" t="str">
        <f t="shared" si="23"/>
        <v>alp_Man-VWCO_dbm_performance_varejo_prospeccaoaudience_cpm_prospecting_300x600_varejo-fevereiro_caminhoes</v>
      </c>
      <c r="G71" t="str">
        <f t="shared" si="24"/>
        <v>436725967</v>
      </c>
      <c r="H71" t="str">
        <f t="shared" si="25"/>
        <v>Display</v>
      </c>
      <c r="I71">
        <f t="shared" si="26"/>
        <v>1738646</v>
      </c>
      <c r="J71">
        <f t="shared" si="27"/>
        <v>64323</v>
      </c>
      <c r="K71" s="4">
        <f t="shared" si="16"/>
        <v>3.8199999999999998E-2</v>
      </c>
      <c r="L71">
        <f t="shared" si="17"/>
        <v>0.09</v>
      </c>
      <c r="M71" s="4">
        <f t="shared" si="14"/>
        <v>66.416277199999996</v>
      </c>
      <c r="N71" s="4">
        <f t="shared" si="15"/>
        <v>156.47814</v>
      </c>
    </row>
    <row r="72" spans="1:14">
      <c r="A72" t="str">
        <f t="shared" si="18"/>
        <v>alp_Man-VWCO</v>
      </c>
      <c r="B72" t="str">
        <f t="shared" si="19"/>
        <v>Google Brasil</v>
      </c>
      <c r="C72" t="str">
        <f t="shared" si="20"/>
        <v>alp_Man-VWCO_dbm_performance_varejo_prospeccaoaudience_cpm_prospecting_300x600_varejoMANpadrao_caminhoes</v>
      </c>
      <c r="D72" t="str">
        <f t="shared" si="21"/>
        <v>229499249</v>
      </c>
      <c r="E72" t="str">
        <f t="shared" si="22"/>
        <v>Standard</v>
      </c>
      <c r="F72" t="str">
        <f t="shared" si="23"/>
        <v>alp_Man-VWCO_dbm_performance_varejo_prospeccaoaudience_cpm_prospecting_300x600_varejoMANpadrao_caminhoes</v>
      </c>
      <c r="G72" t="str">
        <f t="shared" si="24"/>
        <v>427572585</v>
      </c>
      <c r="H72" t="str">
        <f t="shared" si="25"/>
        <v>Display</v>
      </c>
      <c r="I72">
        <f t="shared" si="26"/>
        <v>155924</v>
      </c>
      <c r="J72">
        <f t="shared" si="27"/>
        <v>1527</v>
      </c>
      <c r="K72" s="4">
        <f t="shared" si="16"/>
        <v>3.8199999999999998E-2</v>
      </c>
      <c r="L72">
        <f t="shared" si="17"/>
        <v>0.09</v>
      </c>
      <c r="M72" s="4">
        <f t="shared" si="14"/>
        <v>5.9562968000000005</v>
      </c>
      <c r="N72" s="4">
        <f t="shared" si="15"/>
        <v>14.033160000000001</v>
      </c>
    </row>
    <row r="73" spans="1:14">
      <c r="A73" t="str">
        <f t="shared" si="18"/>
        <v>alp_Man-VWCO</v>
      </c>
      <c r="B73" t="str">
        <f t="shared" si="19"/>
        <v>Google Brasil</v>
      </c>
      <c r="C73" t="str">
        <f t="shared" si="20"/>
        <v>alp_Man-VWCO_dbm_performance_varejo_prospeccaoaudience_cpm_prospecting_300x600_varejoMANpadrao_caminhoes</v>
      </c>
      <c r="D73" t="str">
        <f t="shared" si="21"/>
        <v>229499249</v>
      </c>
      <c r="E73" t="str">
        <f t="shared" si="22"/>
        <v>Standard</v>
      </c>
      <c r="F73" t="str">
        <f t="shared" si="23"/>
        <v>alp_Man-VWCO_dbm_performance_varejo_prospeccaoaudience_cpm_prospecting_300x600_varejoMANpadrao_caminhoes</v>
      </c>
      <c r="G73" t="str">
        <f t="shared" si="24"/>
        <v>427572585</v>
      </c>
      <c r="H73" t="str">
        <f t="shared" si="25"/>
        <v>Display</v>
      </c>
      <c r="I73">
        <f t="shared" si="26"/>
        <v>214461</v>
      </c>
      <c r="J73">
        <f t="shared" si="27"/>
        <v>9406</v>
      </c>
      <c r="K73" s="4">
        <f t="shared" si="16"/>
        <v>3.8199999999999998E-2</v>
      </c>
      <c r="L73">
        <f t="shared" si="17"/>
        <v>0.09</v>
      </c>
      <c r="M73" s="4">
        <f t="shared" si="14"/>
        <v>8.1924101999999994</v>
      </c>
      <c r="N73" s="4">
        <f t="shared" si="15"/>
        <v>19.301489999999998</v>
      </c>
    </row>
    <row r="74" spans="1:14">
      <c r="A74" t="str">
        <f t="shared" si="18"/>
        <v>alp_Man-VWCO</v>
      </c>
      <c r="B74" t="str">
        <f t="shared" si="19"/>
        <v>Google Brasil</v>
      </c>
      <c r="C74" t="str">
        <f t="shared" si="20"/>
        <v>alp_Man-VWCO_dbm_performance_varejo_prospeccaoaudience_cpm_prospecting_320x50_tgx02_caminhoes</v>
      </c>
      <c r="D74" t="str">
        <f t="shared" si="21"/>
        <v>235170918</v>
      </c>
      <c r="E74" t="str">
        <f t="shared" si="22"/>
        <v>Standard</v>
      </c>
      <c r="F74" t="str">
        <f t="shared" si="23"/>
        <v>alp_Man-VWCO_dbm_performance_varejo_prospeccaoaudience_cpm_prospecting_320x50_tgx02_caminhoes</v>
      </c>
      <c r="G74" t="str">
        <f t="shared" si="24"/>
        <v>432612713</v>
      </c>
      <c r="H74" t="str">
        <f t="shared" si="25"/>
        <v>Display</v>
      </c>
      <c r="I74">
        <f t="shared" si="26"/>
        <v>847603</v>
      </c>
      <c r="J74">
        <f t="shared" si="27"/>
        <v>3145</v>
      </c>
      <c r="K74" s="4">
        <f t="shared" si="16"/>
        <v>3.8199999999999998E-2</v>
      </c>
      <c r="L74">
        <f t="shared" si="17"/>
        <v>0.09</v>
      </c>
      <c r="M74" s="4">
        <f t="shared" si="14"/>
        <v>32.378434599999999</v>
      </c>
      <c r="N74" s="4">
        <f t="shared" si="15"/>
        <v>76.284270000000006</v>
      </c>
    </row>
    <row r="75" spans="1:14">
      <c r="A75" t="str">
        <f t="shared" si="18"/>
        <v>alp_Man-VWCO</v>
      </c>
      <c r="B75" t="str">
        <f t="shared" si="19"/>
        <v>Google Brasil</v>
      </c>
      <c r="C75" t="str">
        <f t="shared" si="20"/>
        <v>alp_Man-VWCO_dbm_performance_varejo_prospeccaoaudience_cpm_prospecting_320x50_tgx02_caminhoes</v>
      </c>
      <c r="D75" t="str">
        <f t="shared" si="21"/>
        <v>235170918</v>
      </c>
      <c r="E75" t="str">
        <f t="shared" si="22"/>
        <v>Standard</v>
      </c>
      <c r="F75" t="str">
        <f t="shared" si="23"/>
        <v>alp_Man-VWCO_dbm_performance_varejo_prospeccaoaudience_cpm_prospecting_320x50_tgx02_caminhoes</v>
      </c>
      <c r="G75" t="str">
        <f t="shared" si="24"/>
        <v>432612713</v>
      </c>
      <c r="H75" t="str">
        <f t="shared" si="25"/>
        <v>Display</v>
      </c>
      <c r="I75">
        <f t="shared" si="26"/>
        <v>3302047</v>
      </c>
      <c r="J75">
        <f t="shared" si="27"/>
        <v>24072</v>
      </c>
      <c r="K75" s="4">
        <f t="shared" si="16"/>
        <v>3.8199999999999998E-2</v>
      </c>
      <c r="L75">
        <f t="shared" si="17"/>
        <v>0.09</v>
      </c>
      <c r="M75" s="4">
        <f t="shared" si="14"/>
        <v>126.1381954</v>
      </c>
      <c r="N75" s="4">
        <f t="shared" si="15"/>
        <v>297.18422999999996</v>
      </c>
    </row>
    <row r="76" spans="1:14">
      <c r="A76" t="str">
        <f t="shared" si="18"/>
        <v>alp_Man-VWCO</v>
      </c>
      <c r="B76" t="str">
        <f t="shared" si="19"/>
        <v>Google Brasil</v>
      </c>
      <c r="C76" t="str">
        <f t="shared" si="20"/>
        <v>alp_Man-VWCO_dbm_performance_varejo_prospeccaoaudience_cpm_prospecting_320x50_tgx_caminhoes</v>
      </c>
      <c r="D76" t="str">
        <f t="shared" si="21"/>
        <v>234078732</v>
      </c>
      <c r="E76" t="str">
        <f t="shared" si="22"/>
        <v>Default</v>
      </c>
      <c r="F76" t="str">
        <f t="shared" si="23"/>
        <v>320x50 Default Web Ad</v>
      </c>
      <c r="G76" t="str">
        <f t="shared" si="24"/>
        <v>310387631</v>
      </c>
      <c r="H76" t="str">
        <f t="shared" si="25"/>
        <v>Display</v>
      </c>
      <c r="I76">
        <f t="shared" si="26"/>
        <v>1</v>
      </c>
      <c r="J76">
        <f t="shared" si="27"/>
        <v>0</v>
      </c>
      <c r="K76" s="4">
        <f t="shared" si="16"/>
        <v>3.8199999999999998E-2</v>
      </c>
      <c r="L76">
        <f t="shared" si="17"/>
        <v>0.09</v>
      </c>
      <c r="M76" s="4">
        <f t="shared" si="14"/>
        <v>3.82E-5</v>
      </c>
      <c r="N76" s="4">
        <f t="shared" si="15"/>
        <v>8.9999999999999992E-5</v>
      </c>
    </row>
    <row r="77" spans="1:14">
      <c r="A77" t="str">
        <f t="shared" si="18"/>
        <v>alp_Man-VWCO</v>
      </c>
      <c r="B77" t="str">
        <f t="shared" si="19"/>
        <v>Google Brasil</v>
      </c>
      <c r="C77" t="str">
        <f t="shared" si="20"/>
        <v>alp_Man-VWCO_dbm_performance_varejo_prospeccaoaudience_cpm_prospecting_320x50_tgx_caminhoes</v>
      </c>
      <c r="D77" t="str">
        <f t="shared" si="21"/>
        <v>234078732</v>
      </c>
      <c r="E77" t="str">
        <f t="shared" si="22"/>
        <v>Standard</v>
      </c>
      <c r="F77" t="str">
        <f t="shared" si="23"/>
        <v>alp_Man-VWCO_dbm_performance_varejo_prospeccaoaudience_cpm_prospecting_320x50_tgx_caminhoes</v>
      </c>
      <c r="G77" t="str">
        <f t="shared" si="24"/>
        <v>431521116</v>
      </c>
      <c r="H77" t="str">
        <f t="shared" si="25"/>
        <v>Display</v>
      </c>
      <c r="I77">
        <f t="shared" si="26"/>
        <v>1239611</v>
      </c>
      <c r="J77">
        <f t="shared" si="27"/>
        <v>4276</v>
      </c>
      <c r="K77" s="4">
        <f t="shared" si="16"/>
        <v>3.8199999999999998E-2</v>
      </c>
      <c r="L77">
        <f t="shared" si="17"/>
        <v>0.09</v>
      </c>
      <c r="M77" s="4">
        <f t="shared" si="14"/>
        <v>47.353140199999991</v>
      </c>
      <c r="N77" s="4">
        <f t="shared" si="15"/>
        <v>111.56498999999999</v>
      </c>
    </row>
    <row r="78" spans="1:14">
      <c r="A78" t="str">
        <f t="shared" si="18"/>
        <v>alp_Man-VWCO</v>
      </c>
      <c r="B78" t="str">
        <f t="shared" si="19"/>
        <v>Google Brasil</v>
      </c>
      <c r="C78" t="str">
        <f t="shared" si="20"/>
        <v>alp_Man-VWCO_dbm_performance_varejo_prospeccaoaudience_cpm_prospecting_320x50_tgx_caminhoes</v>
      </c>
      <c r="D78" t="str">
        <f t="shared" si="21"/>
        <v>234078732</v>
      </c>
      <c r="E78" t="str">
        <f t="shared" si="22"/>
        <v>Standard</v>
      </c>
      <c r="F78" t="str">
        <f t="shared" si="23"/>
        <v>alp_Man-VWCO_dbm_performance_varejo_prospeccaoaudience_cpm_prospecting_320x50_tgx_caminhoes</v>
      </c>
      <c r="G78" t="str">
        <f t="shared" si="24"/>
        <v>431521116</v>
      </c>
      <c r="H78" t="str">
        <f t="shared" si="25"/>
        <v>Display</v>
      </c>
      <c r="I78">
        <f t="shared" si="26"/>
        <v>1876220</v>
      </c>
      <c r="J78">
        <f t="shared" si="27"/>
        <v>9601</v>
      </c>
      <c r="K78" s="4">
        <f t="shared" si="16"/>
        <v>3.8199999999999998E-2</v>
      </c>
      <c r="L78">
        <f t="shared" si="17"/>
        <v>0.09</v>
      </c>
      <c r="M78" s="4">
        <f t="shared" si="14"/>
        <v>71.671603999999988</v>
      </c>
      <c r="N78" s="4">
        <f t="shared" si="15"/>
        <v>168.85979999999998</v>
      </c>
    </row>
    <row r="79" spans="1:14">
      <c r="A79" t="str">
        <f t="shared" si="18"/>
        <v>alp_Man-VWCO</v>
      </c>
      <c r="B79" t="str">
        <f t="shared" si="19"/>
        <v>Google Brasil</v>
      </c>
      <c r="C79" t="str">
        <f t="shared" si="20"/>
        <v>alp_Man-VWCO_dbm_performance_varejo_prospeccaoaudience_cpm_prospecting_320x50_varejo-fevereiro_caminhoes</v>
      </c>
      <c r="D79" t="str">
        <f t="shared" si="21"/>
        <v>239737732</v>
      </c>
      <c r="E79" t="str">
        <f t="shared" si="22"/>
        <v>Standard</v>
      </c>
      <c r="F79" t="str">
        <f t="shared" si="23"/>
        <v>alp_Man-VWCO_dbm_performance_varejo_prospeccaoaudience_cpm_prospecting_320x50_varejo-fevereiro_caminhoes</v>
      </c>
      <c r="G79" t="str">
        <f t="shared" si="24"/>
        <v>436895296</v>
      </c>
      <c r="H79" t="str">
        <f t="shared" si="25"/>
        <v>Display</v>
      </c>
      <c r="I79">
        <f t="shared" si="26"/>
        <v>4714547</v>
      </c>
      <c r="J79">
        <f t="shared" si="27"/>
        <v>32496</v>
      </c>
      <c r="K79" s="4">
        <f t="shared" si="16"/>
        <v>3.8199999999999998E-2</v>
      </c>
      <c r="L79">
        <f t="shared" si="17"/>
        <v>0.09</v>
      </c>
      <c r="M79" s="4">
        <f t="shared" si="14"/>
        <v>180.09569540000001</v>
      </c>
      <c r="N79" s="4">
        <f t="shared" si="15"/>
        <v>424.30922999999996</v>
      </c>
    </row>
    <row r="80" spans="1:14">
      <c r="A80" t="str">
        <f t="shared" si="18"/>
        <v>alp_Man-VWCO</v>
      </c>
      <c r="B80" t="str">
        <f t="shared" si="19"/>
        <v>Google Brasil</v>
      </c>
      <c r="C80" t="str">
        <f t="shared" si="20"/>
        <v>alp_Man-VWCO_dbm_performance_varejo_prospeccaoaudience_cpm_prospecting_320x50_varejoMANpadrao_caminhoes</v>
      </c>
      <c r="D80" t="str">
        <f t="shared" si="21"/>
        <v>229499246</v>
      </c>
      <c r="E80" t="str">
        <f t="shared" si="22"/>
        <v>Standard</v>
      </c>
      <c r="F80" t="str">
        <f t="shared" si="23"/>
        <v>alp_Man-VWCO_dbm_performance_varejo_prospeccaoaudience_cpm_prospecting_320x50_varejoMANpadrao_caminhoes</v>
      </c>
      <c r="G80" t="str">
        <f t="shared" si="24"/>
        <v>427572582</v>
      </c>
      <c r="H80" t="str">
        <f t="shared" si="25"/>
        <v>Display</v>
      </c>
      <c r="I80">
        <f t="shared" si="26"/>
        <v>306498</v>
      </c>
      <c r="J80">
        <f t="shared" si="27"/>
        <v>1426</v>
      </c>
      <c r="K80" s="4">
        <f t="shared" si="16"/>
        <v>3.8199999999999998E-2</v>
      </c>
      <c r="L80">
        <f t="shared" si="17"/>
        <v>0.09</v>
      </c>
      <c r="M80" s="4">
        <f t="shared" si="14"/>
        <v>11.7082236</v>
      </c>
      <c r="N80" s="4">
        <f t="shared" si="15"/>
        <v>27.584820000000001</v>
      </c>
    </row>
    <row r="81" spans="1:14">
      <c r="A81" t="str">
        <f t="shared" si="18"/>
        <v>alp_Man-VWCO</v>
      </c>
      <c r="B81" t="str">
        <f t="shared" si="19"/>
        <v>Google Brasil</v>
      </c>
      <c r="C81" t="str">
        <f t="shared" si="20"/>
        <v>alp_Man-VWCO_dbm_performance_varejo_prospeccaoaudience_cpm_prospecting_320x50_varejoMANpadrao_caminhoes</v>
      </c>
      <c r="D81" t="str">
        <f t="shared" si="21"/>
        <v>229499246</v>
      </c>
      <c r="E81" t="str">
        <f t="shared" si="22"/>
        <v>Standard</v>
      </c>
      <c r="F81" t="str">
        <f t="shared" si="23"/>
        <v>alp_Man-VWCO_dbm_performance_varejo_prospeccaoaudience_cpm_prospecting_320x50_varejoMANpadrao_caminhoes</v>
      </c>
      <c r="G81" t="str">
        <f t="shared" si="24"/>
        <v>427572582</v>
      </c>
      <c r="H81" t="str">
        <f t="shared" si="25"/>
        <v>Display</v>
      </c>
      <c r="I81">
        <f t="shared" si="26"/>
        <v>566123</v>
      </c>
      <c r="J81">
        <f t="shared" si="27"/>
        <v>5027</v>
      </c>
      <c r="K81" s="4">
        <f t="shared" si="16"/>
        <v>3.8199999999999998E-2</v>
      </c>
      <c r="L81">
        <f t="shared" si="17"/>
        <v>0.09</v>
      </c>
      <c r="M81" s="4">
        <f t="shared" si="14"/>
        <v>21.625898599999999</v>
      </c>
      <c r="N81" s="4">
        <f t="shared" si="15"/>
        <v>50.951070000000001</v>
      </c>
    </row>
    <row r="82" spans="1:14">
      <c r="A82" t="str">
        <f t="shared" si="18"/>
        <v>alp_Man-VWCO</v>
      </c>
      <c r="B82" t="str">
        <f t="shared" si="19"/>
        <v>Google Brasil</v>
      </c>
      <c r="C82" t="str">
        <f t="shared" si="20"/>
        <v>alp_Man-VWCO_dbm_performance_varejo_prospeccaoaudience_cpm_prospecting_728x90_tgx02_caminhoes</v>
      </c>
      <c r="D82" t="str">
        <f t="shared" si="21"/>
        <v>234903044</v>
      </c>
      <c r="E82" t="str">
        <f t="shared" si="22"/>
        <v>Standard</v>
      </c>
      <c r="F82" t="str">
        <f t="shared" si="23"/>
        <v>alp_Man-VWCO_dbm_performance_varejo_prospeccaoaudience_cpm_prospecting_728x90_tgx02_caminhoes</v>
      </c>
      <c r="G82" t="str">
        <f t="shared" si="24"/>
        <v>432631710</v>
      </c>
      <c r="H82" t="str">
        <f t="shared" si="25"/>
        <v>Display</v>
      </c>
      <c r="I82">
        <f t="shared" si="26"/>
        <v>346241</v>
      </c>
      <c r="J82">
        <f t="shared" si="27"/>
        <v>842</v>
      </c>
      <c r="K82" s="4">
        <f t="shared" si="16"/>
        <v>3.8199999999999998E-2</v>
      </c>
      <c r="L82">
        <f t="shared" si="17"/>
        <v>0.09</v>
      </c>
      <c r="M82" s="4">
        <f t="shared" si="14"/>
        <v>13.2264062</v>
      </c>
      <c r="N82" s="4">
        <f t="shared" si="15"/>
        <v>31.16169</v>
      </c>
    </row>
    <row r="83" spans="1:14">
      <c r="A83" t="str">
        <f t="shared" si="18"/>
        <v>alp_Man-VWCO</v>
      </c>
      <c r="B83" t="str">
        <f t="shared" si="19"/>
        <v>Google Brasil</v>
      </c>
      <c r="C83" t="str">
        <f t="shared" si="20"/>
        <v>alp_Man-VWCO_dbm_performance_varejo_prospeccaoaudience_cpm_prospecting_728x90_tgx02_caminhoes</v>
      </c>
      <c r="D83" t="str">
        <f t="shared" si="21"/>
        <v>234903044</v>
      </c>
      <c r="E83" t="str">
        <f t="shared" si="22"/>
        <v>Standard</v>
      </c>
      <c r="F83" t="str">
        <f t="shared" si="23"/>
        <v>alp_Man-VWCO_dbm_performance_varejo_prospeccaoaudience_cpm_prospecting_728x90_tgx02_caminhoes</v>
      </c>
      <c r="G83" t="str">
        <f t="shared" si="24"/>
        <v>432631710</v>
      </c>
      <c r="H83" t="str">
        <f t="shared" si="25"/>
        <v>Display</v>
      </c>
      <c r="I83">
        <f t="shared" si="26"/>
        <v>181691</v>
      </c>
      <c r="J83">
        <f t="shared" si="27"/>
        <v>3753</v>
      </c>
      <c r="K83" s="4">
        <f t="shared" si="16"/>
        <v>3.8199999999999998E-2</v>
      </c>
      <c r="L83">
        <f t="shared" si="17"/>
        <v>0.09</v>
      </c>
      <c r="M83" s="4">
        <f t="shared" si="14"/>
        <v>6.9405961999999999</v>
      </c>
      <c r="N83" s="4">
        <f t="shared" si="15"/>
        <v>16.35219</v>
      </c>
    </row>
    <row r="84" spans="1:14">
      <c r="A84" t="str">
        <f t="shared" si="18"/>
        <v>alp_Man-VWCO</v>
      </c>
      <c r="B84" t="str">
        <f t="shared" si="19"/>
        <v>Google Brasil</v>
      </c>
      <c r="C84" t="str">
        <f t="shared" si="20"/>
        <v>alp_Man-VWCO_dbm_performance_varejo_prospeccaoaudience_cpm_prospecting_728x90_tgx_caminhoes</v>
      </c>
      <c r="D84" t="str">
        <f t="shared" si="21"/>
        <v>234078729</v>
      </c>
      <c r="E84" t="str">
        <f t="shared" si="22"/>
        <v>Standard</v>
      </c>
      <c r="F84" t="str">
        <f t="shared" si="23"/>
        <v>alp_Man-VWCO_dbm_performance_varejo_prospeccaoaudience_cpm_prospecting_728x90_tgx_caminhoes</v>
      </c>
      <c r="G84" t="str">
        <f t="shared" si="24"/>
        <v>431521113</v>
      </c>
      <c r="H84" t="str">
        <f t="shared" si="25"/>
        <v>Display</v>
      </c>
      <c r="I84">
        <f t="shared" si="26"/>
        <v>177696</v>
      </c>
      <c r="J84">
        <f t="shared" si="27"/>
        <v>234</v>
      </c>
      <c r="K84" s="4">
        <f t="shared" si="16"/>
        <v>3.8199999999999998E-2</v>
      </c>
      <c r="L84">
        <f t="shared" si="17"/>
        <v>0.09</v>
      </c>
      <c r="M84" s="4">
        <f t="shared" si="14"/>
        <v>6.7879871999999999</v>
      </c>
      <c r="N84" s="4">
        <f t="shared" si="15"/>
        <v>15.99264</v>
      </c>
    </row>
    <row r="85" spans="1:14">
      <c r="A85" t="str">
        <f t="shared" si="18"/>
        <v>alp_Man-VWCO</v>
      </c>
      <c r="B85" t="str">
        <f t="shared" si="19"/>
        <v>Google Brasil</v>
      </c>
      <c r="C85" t="str">
        <f t="shared" si="20"/>
        <v>alp_Man-VWCO_dbm_performance_varejo_prospeccaoaudience_cpm_prospecting_728x90_tgx_caminhoes</v>
      </c>
      <c r="D85" t="str">
        <f t="shared" si="21"/>
        <v>234078729</v>
      </c>
      <c r="E85" t="str">
        <f t="shared" si="22"/>
        <v>Standard</v>
      </c>
      <c r="F85" t="str">
        <f t="shared" si="23"/>
        <v>alp_Man-VWCO_dbm_performance_varejo_prospeccaoaudience_cpm_prospecting_728x90_tgx_caminhoes</v>
      </c>
      <c r="G85" t="str">
        <f t="shared" si="24"/>
        <v>431521113</v>
      </c>
      <c r="H85" t="str">
        <f t="shared" si="25"/>
        <v>Display</v>
      </c>
      <c r="I85">
        <f t="shared" si="26"/>
        <v>21729</v>
      </c>
      <c r="J85">
        <f t="shared" si="27"/>
        <v>250</v>
      </c>
      <c r="K85" s="4">
        <f t="shared" si="16"/>
        <v>3.8199999999999998E-2</v>
      </c>
      <c r="L85">
        <f t="shared" si="17"/>
        <v>0.09</v>
      </c>
      <c r="M85" s="4">
        <f t="shared" si="14"/>
        <v>0.83004779999999989</v>
      </c>
      <c r="N85" s="4">
        <f t="shared" si="15"/>
        <v>1.9556099999999998</v>
      </c>
    </row>
    <row r="86" spans="1:14">
      <c r="A86" t="str">
        <f t="shared" si="18"/>
        <v>alp_Man-VWCO</v>
      </c>
      <c r="B86" t="str">
        <f t="shared" si="19"/>
        <v>Google Brasil</v>
      </c>
      <c r="C86" t="str">
        <f t="shared" si="20"/>
        <v>alp_Man-VWCO_dbm_performance_varejo_prospeccaoaudience_cpm_prospecting_728x90_varejo-fevereiro_caminhoes</v>
      </c>
      <c r="D86" t="str">
        <f t="shared" si="21"/>
        <v>239551969</v>
      </c>
      <c r="E86" t="str">
        <f t="shared" si="22"/>
        <v>Standard</v>
      </c>
      <c r="F86" t="str">
        <f t="shared" si="23"/>
        <v>alp_Man-VWCO_dbm_performance_varejo_prospeccaoaudience_cpm_prospecting_728x90_varejo-fevereiro_caminhoes</v>
      </c>
      <c r="G86" t="str">
        <f t="shared" si="24"/>
        <v>436606875</v>
      </c>
      <c r="H86" t="str">
        <f t="shared" si="25"/>
        <v>Display</v>
      </c>
      <c r="I86">
        <f t="shared" si="26"/>
        <v>300920</v>
      </c>
      <c r="J86">
        <f t="shared" si="27"/>
        <v>3650</v>
      </c>
      <c r="K86" s="4">
        <f t="shared" si="16"/>
        <v>3.8199999999999998E-2</v>
      </c>
      <c r="L86">
        <f t="shared" si="17"/>
        <v>0.09</v>
      </c>
      <c r="M86" s="4">
        <f t="shared" si="14"/>
        <v>11.495144</v>
      </c>
      <c r="N86" s="4">
        <f t="shared" si="15"/>
        <v>27.082799999999999</v>
      </c>
    </row>
    <row r="87" spans="1:14">
      <c r="A87" t="str">
        <f t="shared" si="18"/>
        <v>alp_Man-VWCO</v>
      </c>
      <c r="B87" t="str">
        <f t="shared" si="19"/>
        <v>Google Brasil</v>
      </c>
      <c r="C87" t="str">
        <f t="shared" si="20"/>
        <v>alp_Man-VWCO_dbm_performance_varejo_prospeccaoaudience_cpm_prospecting_728x90_varejoMANpadrao_caminhoes</v>
      </c>
      <c r="D87" t="str">
        <f t="shared" si="21"/>
        <v>229499243</v>
      </c>
      <c r="E87" t="str">
        <f t="shared" si="22"/>
        <v>Standard</v>
      </c>
      <c r="F87" t="str">
        <f t="shared" si="23"/>
        <v>alp_Man-VWCO_dbm_performance_varejo_prospeccaoaudience_cpm_prospecting_728x90_varejoMANpadrao_caminhoes</v>
      </c>
      <c r="G87" t="str">
        <f t="shared" si="24"/>
        <v>427572579</v>
      </c>
      <c r="H87" t="str">
        <f t="shared" si="25"/>
        <v>Display</v>
      </c>
      <c r="I87">
        <f t="shared" si="26"/>
        <v>289672</v>
      </c>
      <c r="J87">
        <f t="shared" si="27"/>
        <v>142</v>
      </c>
      <c r="K87" s="4">
        <f t="shared" si="16"/>
        <v>3.8199999999999998E-2</v>
      </c>
      <c r="L87">
        <f t="shared" si="17"/>
        <v>0.09</v>
      </c>
      <c r="M87" s="4">
        <f t="shared" si="14"/>
        <v>11.065470400000001</v>
      </c>
      <c r="N87" s="4">
        <f t="shared" si="15"/>
        <v>26.07048</v>
      </c>
    </row>
    <row r="88" spans="1:14">
      <c r="A88" t="str">
        <f t="shared" si="18"/>
        <v>alp_Man-VWCO</v>
      </c>
      <c r="B88" t="str">
        <f t="shared" si="19"/>
        <v>Google Brasil</v>
      </c>
      <c r="C88" t="str">
        <f t="shared" si="20"/>
        <v>alp_Man-VWCO_dbm_performance_varejo_prospeccaoaudience_cpm_prospecting_728x90_varejoMANpadrao_caminhoes</v>
      </c>
      <c r="D88" t="str">
        <f t="shared" si="21"/>
        <v>229499243</v>
      </c>
      <c r="E88" t="str">
        <f t="shared" si="22"/>
        <v>Standard</v>
      </c>
      <c r="F88" t="str">
        <f t="shared" si="23"/>
        <v>alp_Man-VWCO_dbm_performance_varejo_prospeccaoaudience_cpm_prospecting_728x90_varejoMANpadrao_caminhoes</v>
      </c>
      <c r="G88" t="str">
        <f t="shared" si="24"/>
        <v>427572579</v>
      </c>
      <c r="H88" t="str">
        <f t="shared" si="25"/>
        <v>Display</v>
      </c>
      <c r="I88">
        <f t="shared" si="26"/>
        <v>111189</v>
      </c>
      <c r="J88">
        <f t="shared" si="27"/>
        <v>229</v>
      </c>
      <c r="K88" s="4">
        <f t="shared" si="16"/>
        <v>3.8199999999999998E-2</v>
      </c>
      <c r="L88">
        <f t="shared" si="17"/>
        <v>0.09</v>
      </c>
      <c r="M88" s="4">
        <f t="shared" si="14"/>
        <v>4.2474197999999994</v>
      </c>
      <c r="N88" s="4">
        <f t="shared" si="15"/>
        <v>10.007010000000001</v>
      </c>
    </row>
    <row r="89" spans="1:14">
      <c r="A89" t="str">
        <f t="shared" si="18"/>
        <v>alp_Man-VWCO</v>
      </c>
      <c r="B89" t="str">
        <f t="shared" si="19"/>
        <v>Google Brasil</v>
      </c>
      <c r="C89" t="str">
        <f t="shared" si="20"/>
        <v>alp_always-on_dbm_timelines_timelines_prospeccao-audience_cpm_prospecting_300x250_open</v>
      </c>
      <c r="D89" t="str">
        <f t="shared" si="21"/>
        <v>217181279</v>
      </c>
      <c r="E89" t="str">
        <f t="shared" si="22"/>
        <v>Standard</v>
      </c>
      <c r="F89" t="str">
        <f t="shared" si="23"/>
        <v>alp_always-on_dbm_timelines_timelines_prospeccao-audience_cpm_prospecting_300x250_novodelivery_open</v>
      </c>
      <c r="G89" t="str">
        <f t="shared" si="24"/>
        <v>415935168</v>
      </c>
      <c r="H89" t="str">
        <f t="shared" si="25"/>
        <v>Display</v>
      </c>
      <c r="I89">
        <f t="shared" si="26"/>
        <v>129699</v>
      </c>
      <c r="J89">
        <f t="shared" si="27"/>
        <v>1539</v>
      </c>
      <c r="K89" s="4">
        <f t="shared" si="16"/>
        <v>3.8199999999999998E-2</v>
      </c>
      <c r="L89">
        <f t="shared" si="17"/>
        <v>0.09</v>
      </c>
      <c r="M89" s="4">
        <f t="shared" si="14"/>
        <v>4.9545018000000001</v>
      </c>
      <c r="N89" s="4">
        <f t="shared" si="15"/>
        <v>11.67291</v>
      </c>
    </row>
    <row r="90" spans="1:14">
      <c r="A90" t="str">
        <f t="shared" si="18"/>
        <v>alp_Man-VWCO</v>
      </c>
      <c r="B90" t="str">
        <f t="shared" si="19"/>
        <v>Google Brasil</v>
      </c>
      <c r="C90" t="str">
        <f t="shared" si="20"/>
        <v>alp_always-on_dbm_timelines_timelines_prospeccao-audience_cpm_prospecting_300x250_open</v>
      </c>
      <c r="D90" t="str">
        <f t="shared" si="21"/>
        <v>217181279</v>
      </c>
      <c r="E90" t="str">
        <f t="shared" si="22"/>
        <v>Standard</v>
      </c>
      <c r="F90" t="str">
        <f t="shared" si="23"/>
        <v>alp_always-on_dbm_timelines_timelines_prospeccao-audience_cpm_prospecting_300x250_novodelivery_open</v>
      </c>
      <c r="G90" t="str">
        <f t="shared" si="24"/>
        <v>415935168</v>
      </c>
      <c r="H90" t="str">
        <f t="shared" si="25"/>
        <v>Display</v>
      </c>
      <c r="I90">
        <f t="shared" si="26"/>
        <v>257887</v>
      </c>
      <c r="J90">
        <f t="shared" si="27"/>
        <v>8766</v>
      </c>
      <c r="K90" s="4">
        <f t="shared" si="16"/>
        <v>3.8199999999999998E-2</v>
      </c>
      <c r="L90">
        <f t="shared" si="17"/>
        <v>0.09</v>
      </c>
      <c r="M90" s="4">
        <f t="shared" si="14"/>
        <v>9.8512833999999998</v>
      </c>
      <c r="N90" s="4">
        <f t="shared" si="15"/>
        <v>23.209829999999997</v>
      </c>
    </row>
    <row r="91" spans="1:14">
      <c r="A91" t="str">
        <f t="shared" si="18"/>
        <v>alp_Man-VWCO</v>
      </c>
      <c r="B91" t="str">
        <f t="shared" si="19"/>
        <v>Google Brasil</v>
      </c>
      <c r="C91" t="str">
        <f t="shared" si="20"/>
        <v>alp_always-on_dbm_timelines_timelines_prospeccao-audience_cpm_prospecting_300x600_open</v>
      </c>
      <c r="D91" t="str">
        <f t="shared" si="21"/>
        <v>217181276</v>
      </c>
      <c r="E91" t="str">
        <f t="shared" si="22"/>
        <v>Standard</v>
      </c>
      <c r="F91" t="str">
        <f t="shared" si="23"/>
        <v>alp_always-on_dbm_timelines_timelines_prospeccao-audience_cpm_prospecting_300x600_novodelivery_open</v>
      </c>
      <c r="G91" t="str">
        <f t="shared" si="24"/>
        <v>415935171</v>
      </c>
      <c r="H91" t="str">
        <f t="shared" si="25"/>
        <v>Display</v>
      </c>
      <c r="I91">
        <f t="shared" si="26"/>
        <v>5689</v>
      </c>
      <c r="J91">
        <f t="shared" si="27"/>
        <v>102</v>
      </c>
      <c r="K91" s="4">
        <f t="shared" si="16"/>
        <v>3.8199999999999998E-2</v>
      </c>
      <c r="L91">
        <f t="shared" si="17"/>
        <v>0.09</v>
      </c>
      <c r="M91" s="4">
        <f t="shared" si="14"/>
        <v>0.21731979999999998</v>
      </c>
      <c r="N91" s="4">
        <f t="shared" si="15"/>
        <v>0.51200999999999997</v>
      </c>
    </row>
    <row r="92" spans="1:14">
      <c r="A92" t="str">
        <f t="shared" si="18"/>
        <v>alp_Man-VWCO</v>
      </c>
      <c r="B92" t="str">
        <f t="shared" si="19"/>
        <v>Google Brasil</v>
      </c>
      <c r="C92" t="str">
        <f t="shared" si="20"/>
        <v>alp_always-on_dbm_timelines_timelines_prospeccao-audience_cpm_prospecting_300x600_open</v>
      </c>
      <c r="D92" t="str">
        <f t="shared" si="21"/>
        <v>217181276</v>
      </c>
      <c r="E92" t="str">
        <f t="shared" si="22"/>
        <v>Standard</v>
      </c>
      <c r="F92" t="str">
        <f t="shared" si="23"/>
        <v>alp_always-on_dbm_timelines_timelines_prospeccao-audience_cpm_prospecting_300x600_novodelivery_open</v>
      </c>
      <c r="G92" t="str">
        <f t="shared" si="24"/>
        <v>415935171</v>
      </c>
      <c r="H92" t="str">
        <f t="shared" si="25"/>
        <v>Display</v>
      </c>
      <c r="I92">
        <f t="shared" si="26"/>
        <v>8218</v>
      </c>
      <c r="J92">
        <f t="shared" si="27"/>
        <v>486</v>
      </c>
      <c r="K92" s="4">
        <f t="shared" si="16"/>
        <v>3.8199999999999998E-2</v>
      </c>
      <c r="L92">
        <f t="shared" si="17"/>
        <v>0.09</v>
      </c>
      <c r="M92" s="4">
        <f t="shared" si="14"/>
        <v>0.31392759999999997</v>
      </c>
      <c r="N92" s="4">
        <f t="shared" si="15"/>
        <v>0.73962000000000006</v>
      </c>
    </row>
    <row r="93" spans="1:14">
      <c r="A93" t="str">
        <f t="shared" si="18"/>
        <v>alp_Man-VWCO</v>
      </c>
      <c r="B93" t="str">
        <f t="shared" si="19"/>
        <v>Google Brasil</v>
      </c>
      <c r="C93" t="str">
        <f t="shared" si="20"/>
        <v>alp_always-on_dbm_timelines_timelines_prospeccao-audience_cpm_prospecting_320x50_open</v>
      </c>
      <c r="D93" t="str">
        <f t="shared" si="21"/>
        <v>217181273</v>
      </c>
      <c r="E93" t="str">
        <f t="shared" si="22"/>
        <v>Standard</v>
      </c>
      <c r="F93" t="str">
        <f t="shared" si="23"/>
        <v>alp_always-on_dbm_timelines_timelines_prospeccao-audience_cpm_prospecting_320x50_novodelivery_open</v>
      </c>
      <c r="G93" t="str">
        <f t="shared" si="24"/>
        <v>415935174</v>
      </c>
      <c r="H93" t="str">
        <f t="shared" si="25"/>
        <v>Display</v>
      </c>
      <c r="I93">
        <f t="shared" si="26"/>
        <v>9069</v>
      </c>
      <c r="J93">
        <f t="shared" si="27"/>
        <v>31</v>
      </c>
      <c r="K93" s="4">
        <f t="shared" si="16"/>
        <v>3.8199999999999998E-2</v>
      </c>
      <c r="L93">
        <f t="shared" si="17"/>
        <v>0.09</v>
      </c>
      <c r="M93" s="4">
        <f t="shared" si="14"/>
        <v>0.34643579999999996</v>
      </c>
      <c r="N93" s="4">
        <f t="shared" si="15"/>
        <v>0.81620999999999988</v>
      </c>
    </row>
    <row r="94" spans="1:14">
      <c r="A94" t="str">
        <f t="shared" si="18"/>
        <v>alp_Man-VWCO</v>
      </c>
      <c r="B94" t="str">
        <f t="shared" si="19"/>
        <v>Google Brasil</v>
      </c>
      <c r="C94" t="str">
        <f t="shared" si="20"/>
        <v>alp_always-on_dbm_timelines_timelines_prospeccao-audience_cpm_prospecting_320x50_open</v>
      </c>
      <c r="D94" t="str">
        <f t="shared" si="21"/>
        <v>217181273</v>
      </c>
      <c r="E94" t="str">
        <f t="shared" si="22"/>
        <v>Standard</v>
      </c>
      <c r="F94" t="str">
        <f t="shared" si="23"/>
        <v>alp_always-on_dbm_timelines_timelines_prospeccao-audience_cpm_prospecting_320x50_novodelivery_open</v>
      </c>
      <c r="G94" t="str">
        <f t="shared" si="24"/>
        <v>415935174</v>
      </c>
      <c r="H94" t="str">
        <f t="shared" si="25"/>
        <v>Display</v>
      </c>
      <c r="I94">
        <f t="shared" si="26"/>
        <v>36164</v>
      </c>
      <c r="J94">
        <f t="shared" si="27"/>
        <v>511</v>
      </c>
      <c r="K94" s="4">
        <f t="shared" si="16"/>
        <v>3.8199999999999998E-2</v>
      </c>
      <c r="L94">
        <f t="shared" si="17"/>
        <v>0.09</v>
      </c>
      <c r="M94" s="4">
        <f t="shared" si="14"/>
        <v>1.3814648</v>
      </c>
      <c r="N94" s="4">
        <f t="shared" si="15"/>
        <v>3.2547599999999997</v>
      </c>
    </row>
    <row r="95" spans="1:14">
      <c r="A95" t="str">
        <f t="shared" si="18"/>
        <v>alp_Man-VWCO</v>
      </c>
      <c r="B95" t="str">
        <f t="shared" si="19"/>
        <v>Google Brasil</v>
      </c>
      <c r="C95" t="str">
        <f t="shared" si="20"/>
        <v>alp_always-on_dbm_timelines_timelines_prospeccao-audience_cpm_prospecting_728x90_open</v>
      </c>
      <c r="D95" t="str">
        <f t="shared" si="21"/>
        <v>217181270</v>
      </c>
      <c r="E95" t="str">
        <f t="shared" si="22"/>
        <v>Standard</v>
      </c>
      <c r="F95" t="str">
        <f t="shared" si="23"/>
        <v>alp_always-on_dbm_timelines_timelines_prospeccao-audience_cpm_prospecting_728x90_novodelivery_open</v>
      </c>
      <c r="G95" t="str">
        <f t="shared" si="24"/>
        <v>415935177</v>
      </c>
      <c r="H95" t="str">
        <f t="shared" si="25"/>
        <v>Display</v>
      </c>
      <c r="I95">
        <f t="shared" si="26"/>
        <v>5101</v>
      </c>
      <c r="J95">
        <f t="shared" si="27"/>
        <v>7</v>
      </c>
      <c r="K95" s="4">
        <f t="shared" si="16"/>
        <v>3.8199999999999998E-2</v>
      </c>
      <c r="L95">
        <f t="shared" si="17"/>
        <v>0.09</v>
      </c>
      <c r="M95" s="4">
        <f t="shared" si="14"/>
        <v>0.19485819999999998</v>
      </c>
      <c r="N95" s="4">
        <f t="shared" si="15"/>
        <v>0.45909</v>
      </c>
    </row>
    <row r="96" spans="1:14">
      <c r="A96" t="str">
        <f t="shared" si="18"/>
        <v>alp_Man-VWCO</v>
      </c>
      <c r="B96" t="str">
        <f t="shared" si="19"/>
        <v>Google Brasil</v>
      </c>
      <c r="C96" t="str">
        <f t="shared" si="20"/>
        <v>alp_always-on_dbm_timelines_timelines_prospeccao-audience_cpm_prospecting_728x90_open</v>
      </c>
      <c r="D96" t="str">
        <f t="shared" si="21"/>
        <v>217181270</v>
      </c>
      <c r="E96" t="str">
        <f t="shared" si="22"/>
        <v>Standard</v>
      </c>
      <c r="F96" t="str">
        <f t="shared" si="23"/>
        <v>alp_always-on_dbm_timelines_timelines_prospeccao-audience_cpm_prospecting_728x90_novodelivery_open</v>
      </c>
      <c r="G96" t="str">
        <f t="shared" si="24"/>
        <v>415935177</v>
      </c>
      <c r="H96" t="str">
        <f t="shared" si="25"/>
        <v>Display</v>
      </c>
      <c r="I96">
        <f t="shared" si="26"/>
        <v>281</v>
      </c>
      <c r="J96">
        <f t="shared" si="27"/>
        <v>23</v>
      </c>
      <c r="K96" s="4">
        <f t="shared" si="16"/>
        <v>3.8199999999999998E-2</v>
      </c>
      <c r="L96">
        <f t="shared" si="17"/>
        <v>0.09</v>
      </c>
      <c r="M96" s="4">
        <f t="shared" si="14"/>
        <v>1.0734199999999999E-2</v>
      </c>
      <c r="N96" s="4">
        <f t="shared" si="15"/>
        <v>2.529E-2</v>
      </c>
    </row>
    <row r="97" spans="1:14">
      <c r="A97" t="str">
        <f t="shared" si="18"/>
        <v>alp_Man-VWCO</v>
      </c>
      <c r="B97" t="str">
        <f t="shared" si="19"/>
        <v>Google Brasil</v>
      </c>
      <c r="C97" t="str">
        <f t="shared" si="20"/>
        <v>google-brasil|half-page|300x600|man_caminhoes|always_on|institucional|criativo_01|300x600|cpm</v>
      </c>
      <c r="D97" t="str">
        <f t="shared" si="21"/>
        <v>138019084</v>
      </c>
      <c r="E97" t="str">
        <f t="shared" si="22"/>
        <v>Default</v>
      </c>
      <c r="F97" t="str">
        <f t="shared" si="23"/>
        <v>300x600 Default Web Ad</v>
      </c>
      <c r="G97" t="str">
        <f t="shared" si="24"/>
        <v>310386147</v>
      </c>
      <c r="H97" t="str">
        <f t="shared" si="25"/>
        <v>Display</v>
      </c>
      <c r="I97">
        <f t="shared" si="26"/>
        <v>5150</v>
      </c>
      <c r="J97">
        <f t="shared" si="27"/>
        <v>94</v>
      </c>
      <c r="K97" s="4">
        <f t="shared" si="16"/>
        <v>3.8199999999999998E-2</v>
      </c>
      <c r="L97">
        <f t="shared" si="17"/>
        <v>0.09</v>
      </c>
      <c r="M97" s="4">
        <f t="shared" si="14"/>
        <v>0.19672999999999999</v>
      </c>
      <c r="N97" s="4">
        <f t="shared" si="15"/>
        <v>0.46350000000000002</v>
      </c>
    </row>
    <row r="98" spans="1:14">
      <c r="A98" t="str">
        <f t="shared" si="18"/>
        <v>alp_Man-VWCO</v>
      </c>
      <c r="B98" t="str">
        <f t="shared" si="19"/>
        <v>Google Brasil</v>
      </c>
      <c r="C98" t="str">
        <f t="shared" si="20"/>
        <v>google-brasil|half-page|300x600|man_caminhoes|always_on|institucional|criativo_01|300x600|cpm</v>
      </c>
      <c r="D98" t="str">
        <f t="shared" si="21"/>
        <v>138019084</v>
      </c>
      <c r="E98" t="str">
        <f t="shared" si="22"/>
        <v>Default</v>
      </c>
      <c r="F98" t="str">
        <f t="shared" si="23"/>
        <v>300x600 Default Web Ad</v>
      </c>
      <c r="G98" t="str">
        <f t="shared" si="24"/>
        <v>310386147</v>
      </c>
      <c r="H98" t="str">
        <f t="shared" si="25"/>
        <v>Display</v>
      </c>
      <c r="I98">
        <f t="shared" si="26"/>
        <v>11914</v>
      </c>
      <c r="J98">
        <f t="shared" si="27"/>
        <v>713</v>
      </c>
      <c r="K98" s="4">
        <f t="shared" si="16"/>
        <v>3.8199999999999998E-2</v>
      </c>
      <c r="L98">
        <f t="shared" si="17"/>
        <v>0.09</v>
      </c>
      <c r="M98" s="4">
        <f t="shared" si="14"/>
        <v>0.45511479999999999</v>
      </c>
      <c r="N98" s="4">
        <f t="shared" si="15"/>
        <v>1.07226</v>
      </c>
    </row>
    <row r="99" spans="1:14">
      <c r="A99" t="str">
        <f t="shared" si="18"/>
        <v>alp_Man-VWCO</v>
      </c>
      <c r="B99" t="str">
        <f t="shared" si="19"/>
        <v>Google Brasil</v>
      </c>
      <c r="C99" t="str">
        <f t="shared" si="20"/>
        <v>google-brasil|half-page|300x600|man_caminhoes|always_on|institucional|criativo_02|300x600|cpm</v>
      </c>
      <c r="D99" t="str">
        <f t="shared" si="21"/>
        <v>138019079</v>
      </c>
      <c r="E99" t="str">
        <f t="shared" si="22"/>
        <v>Default</v>
      </c>
      <c r="F99" t="str">
        <f t="shared" si="23"/>
        <v>300x600 Default Web Ad</v>
      </c>
      <c r="G99" t="str">
        <f t="shared" si="24"/>
        <v>310386147</v>
      </c>
      <c r="H99" t="str">
        <f t="shared" si="25"/>
        <v>Display</v>
      </c>
      <c r="I99">
        <f t="shared" si="26"/>
        <v>7912</v>
      </c>
      <c r="J99">
        <f t="shared" si="27"/>
        <v>205</v>
      </c>
      <c r="K99" s="4">
        <f t="shared" si="16"/>
        <v>3.8199999999999998E-2</v>
      </c>
      <c r="L99">
        <f t="shared" si="17"/>
        <v>0.09</v>
      </c>
      <c r="M99" s="4">
        <f t="shared" ref="M99:M162" si="28">IF(E99="Dynamic Click",J99*K99,K99*$I99/1000)</f>
        <v>0.30223839999999996</v>
      </c>
      <c r="N99" s="4">
        <f t="shared" ref="N99:N162" si="29">IF(E99="Dynamic Click",J99*L99,L99*$I99/1000)</f>
        <v>0.71207999999999994</v>
      </c>
    </row>
    <row r="100" spans="1:14">
      <c r="A100" t="str">
        <f t="shared" si="18"/>
        <v>alp_Man-VWCO</v>
      </c>
      <c r="B100" t="str">
        <f t="shared" si="19"/>
        <v>Google Brasil</v>
      </c>
      <c r="C100" t="str">
        <f t="shared" si="20"/>
        <v>google-brasil|half-page|300x600|man_caminhoes|always_on|institucional|criativo_02|300x600|cpm</v>
      </c>
      <c r="D100" t="str">
        <f t="shared" si="21"/>
        <v>138019079</v>
      </c>
      <c r="E100" t="str">
        <f t="shared" si="22"/>
        <v>Default</v>
      </c>
      <c r="F100" t="str">
        <f t="shared" si="23"/>
        <v>300x600 Default Web Ad</v>
      </c>
      <c r="G100" t="str">
        <f t="shared" si="24"/>
        <v>310386147</v>
      </c>
      <c r="H100" t="str">
        <f t="shared" si="25"/>
        <v>Display</v>
      </c>
      <c r="I100">
        <f t="shared" si="26"/>
        <v>10128</v>
      </c>
      <c r="J100">
        <f t="shared" si="27"/>
        <v>593</v>
      </c>
      <c r="K100" s="4">
        <f t="shared" si="16"/>
        <v>3.8199999999999998E-2</v>
      </c>
      <c r="L100">
        <f t="shared" si="17"/>
        <v>0.09</v>
      </c>
      <c r="M100" s="4">
        <f t="shared" si="28"/>
        <v>0.3868896</v>
      </c>
      <c r="N100" s="4">
        <f t="shared" si="29"/>
        <v>0.91152</v>
      </c>
    </row>
    <row r="101" spans="1:14">
      <c r="A101" t="str">
        <f t="shared" si="18"/>
        <v>alp_Man-VWCO</v>
      </c>
      <c r="B101" t="str">
        <f t="shared" si="19"/>
        <v>Google Brasil</v>
      </c>
      <c r="C101" t="str">
        <f t="shared" si="20"/>
        <v>google-brasil|half-page|300x600|man_caminhoes|always_on|institucional|criativo_03|300x600|cpm</v>
      </c>
      <c r="D101" t="str">
        <f t="shared" si="21"/>
        <v>138019074</v>
      </c>
      <c r="E101" t="str">
        <f t="shared" si="22"/>
        <v>Default</v>
      </c>
      <c r="F101" t="str">
        <f t="shared" si="23"/>
        <v>300x600 Default Web Ad</v>
      </c>
      <c r="G101" t="str">
        <f t="shared" si="24"/>
        <v>310386147</v>
      </c>
      <c r="H101" t="str">
        <f t="shared" si="25"/>
        <v>Display</v>
      </c>
      <c r="I101">
        <f t="shared" si="26"/>
        <v>5023</v>
      </c>
      <c r="J101">
        <f t="shared" si="27"/>
        <v>78</v>
      </c>
      <c r="K101" s="4">
        <f t="shared" si="16"/>
        <v>3.8199999999999998E-2</v>
      </c>
      <c r="L101">
        <f t="shared" si="17"/>
        <v>0.09</v>
      </c>
      <c r="M101" s="4">
        <f t="shared" si="28"/>
        <v>0.19187859999999998</v>
      </c>
      <c r="N101" s="4">
        <f t="shared" si="29"/>
        <v>0.45206999999999997</v>
      </c>
    </row>
    <row r="102" spans="1:14">
      <c r="A102" t="str">
        <f t="shared" si="18"/>
        <v>alp_Man-VWCO</v>
      </c>
      <c r="B102" t="str">
        <f t="shared" si="19"/>
        <v>Google Brasil</v>
      </c>
      <c r="C102" t="str">
        <f t="shared" si="20"/>
        <v>google-brasil|half-page|300x600|man_caminhoes|always_on|institucional|criativo_03|300x600|cpm</v>
      </c>
      <c r="D102" t="str">
        <f t="shared" si="21"/>
        <v>138019074</v>
      </c>
      <c r="E102" t="str">
        <f t="shared" si="22"/>
        <v>Default</v>
      </c>
      <c r="F102" t="str">
        <f t="shared" si="23"/>
        <v>300x600 Default Web Ad</v>
      </c>
      <c r="G102" t="str">
        <f t="shared" si="24"/>
        <v>310386147</v>
      </c>
      <c r="H102" t="str">
        <f t="shared" si="25"/>
        <v>Display</v>
      </c>
      <c r="I102">
        <f t="shared" si="26"/>
        <v>9880</v>
      </c>
      <c r="J102">
        <f t="shared" si="27"/>
        <v>614</v>
      </c>
      <c r="K102" s="4">
        <f t="shared" si="16"/>
        <v>3.8199999999999998E-2</v>
      </c>
      <c r="L102">
        <f t="shared" si="17"/>
        <v>0.09</v>
      </c>
      <c r="M102" s="4">
        <f t="shared" si="28"/>
        <v>0.37741599999999997</v>
      </c>
      <c r="N102" s="4">
        <f t="shared" si="29"/>
        <v>0.88919999999999988</v>
      </c>
    </row>
    <row r="103" spans="1:14">
      <c r="A103" t="str">
        <f t="shared" si="18"/>
        <v>alp_Man-VWCO</v>
      </c>
      <c r="B103" t="str">
        <f t="shared" si="19"/>
        <v>Google Brasil</v>
      </c>
      <c r="C103" t="str">
        <f t="shared" si="20"/>
        <v>google-brasil|half-page|300x600|man_caminhoes|always_on|institucional|criativo_04|300x600|cpm</v>
      </c>
      <c r="D103" t="str">
        <f t="shared" si="21"/>
        <v>138019069</v>
      </c>
      <c r="E103" t="str">
        <f t="shared" si="22"/>
        <v>Default</v>
      </c>
      <c r="F103" t="str">
        <f t="shared" si="23"/>
        <v>300x600 Default Web Ad</v>
      </c>
      <c r="G103" t="str">
        <f t="shared" si="24"/>
        <v>310386147</v>
      </c>
      <c r="H103" t="str">
        <f t="shared" si="25"/>
        <v>Display</v>
      </c>
      <c r="I103">
        <f t="shared" si="26"/>
        <v>7460</v>
      </c>
      <c r="J103">
        <f t="shared" si="27"/>
        <v>170</v>
      </c>
      <c r="K103" s="4">
        <f t="shared" si="16"/>
        <v>3.8199999999999998E-2</v>
      </c>
      <c r="L103">
        <f t="shared" si="17"/>
        <v>0.09</v>
      </c>
      <c r="M103" s="4">
        <f t="shared" si="28"/>
        <v>0.284972</v>
      </c>
      <c r="N103" s="4">
        <f t="shared" si="29"/>
        <v>0.6714</v>
      </c>
    </row>
    <row r="104" spans="1:14">
      <c r="A104" t="str">
        <f t="shared" si="18"/>
        <v>alp_Man-VWCO</v>
      </c>
      <c r="B104" t="str">
        <f t="shared" si="19"/>
        <v>Google Brasil</v>
      </c>
      <c r="C104" t="str">
        <f t="shared" si="20"/>
        <v>google-brasil|half-page|300x600|man_caminhoes|always_on|institucional|criativo_04|300x600|cpm</v>
      </c>
      <c r="D104" t="str">
        <f t="shared" si="21"/>
        <v>138019069</v>
      </c>
      <c r="E104" t="str">
        <f t="shared" si="22"/>
        <v>Default</v>
      </c>
      <c r="F104" t="str">
        <f t="shared" si="23"/>
        <v>300x600 Default Web Ad</v>
      </c>
      <c r="G104" t="str">
        <f t="shared" si="24"/>
        <v>310386147</v>
      </c>
      <c r="H104" t="str">
        <f t="shared" si="25"/>
        <v>Display</v>
      </c>
      <c r="I104">
        <f t="shared" si="26"/>
        <v>9138</v>
      </c>
      <c r="J104">
        <f t="shared" si="27"/>
        <v>589</v>
      </c>
      <c r="K104" s="4">
        <f t="shared" si="16"/>
        <v>3.8199999999999998E-2</v>
      </c>
      <c r="L104">
        <f t="shared" si="17"/>
        <v>0.09</v>
      </c>
      <c r="M104" s="4">
        <f t="shared" si="28"/>
        <v>0.34907159999999998</v>
      </c>
      <c r="N104" s="4">
        <f t="shared" si="29"/>
        <v>0.82241999999999993</v>
      </c>
    </row>
    <row r="105" spans="1:14">
      <c r="A105" t="str">
        <f t="shared" si="18"/>
        <v>alp_Man-VWCO</v>
      </c>
      <c r="B105" t="str">
        <f t="shared" si="19"/>
        <v>Google Brasil</v>
      </c>
      <c r="C105" t="str">
        <f t="shared" si="20"/>
        <v>google-brasil|half-page|300x600|man_caminhoes|always_on|institucional|criativo_05|300x600|cpm</v>
      </c>
      <c r="D105" t="str">
        <f t="shared" si="21"/>
        <v>138019064</v>
      </c>
      <c r="E105" t="str">
        <f t="shared" si="22"/>
        <v>Default</v>
      </c>
      <c r="F105" t="str">
        <f t="shared" si="23"/>
        <v>300x600 Default Web Ad</v>
      </c>
      <c r="G105" t="str">
        <f t="shared" si="24"/>
        <v>310386147</v>
      </c>
      <c r="H105" t="str">
        <f t="shared" si="25"/>
        <v>Display</v>
      </c>
      <c r="I105">
        <f t="shared" si="26"/>
        <v>98191</v>
      </c>
      <c r="J105">
        <f t="shared" si="27"/>
        <v>4064</v>
      </c>
      <c r="K105" s="4">
        <f t="shared" si="16"/>
        <v>3.8199999999999998E-2</v>
      </c>
      <c r="L105">
        <f t="shared" si="17"/>
        <v>0.09</v>
      </c>
      <c r="M105" s="4">
        <f t="shared" si="28"/>
        <v>3.7508961999999997</v>
      </c>
      <c r="N105" s="4">
        <f t="shared" si="29"/>
        <v>8.8371899999999997</v>
      </c>
    </row>
    <row r="106" spans="1:14">
      <c r="A106" t="str">
        <f t="shared" si="18"/>
        <v>alp_Man-VWCO</v>
      </c>
      <c r="B106" t="str">
        <f t="shared" si="19"/>
        <v>Google Brasil</v>
      </c>
      <c r="C106" t="str">
        <f t="shared" si="20"/>
        <v>google-brasil|half-page|300x600|man_caminhoes|always_on|institucional|criativo_05|300x600|cpm</v>
      </c>
      <c r="D106" t="str">
        <f t="shared" si="21"/>
        <v>138019064</v>
      </c>
      <c r="E106" t="str">
        <f t="shared" si="22"/>
        <v>Default</v>
      </c>
      <c r="F106" t="str">
        <f t="shared" si="23"/>
        <v>300x600 Default Web Ad</v>
      </c>
      <c r="G106" t="str">
        <f t="shared" si="24"/>
        <v>310386147</v>
      </c>
      <c r="H106" t="str">
        <f t="shared" si="25"/>
        <v>Display</v>
      </c>
      <c r="I106">
        <f t="shared" si="26"/>
        <v>126754</v>
      </c>
      <c r="J106">
        <f t="shared" si="27"/>
        <v>8252</v>
      </c>
      <c r="K106" s="4">
        <f t="shared" si="16"/>
        <v>3.8199999999999998E-2</v>
      </c>
      <c r="L106">
        <f t="shared" si="17"/>
        <v>0.09</v>
      </c>
      <c r="M106" s="4">
        <f t="shared" si="28"/>
        <v>4.8420027999999995</v>
      </c>
      <c r="N106" s="4">
        <f t="shared" si="29"/>
        <v>11.407859999999999</v>
      </c>
    </row>
    <row r="107" spans="1:14">
      <c r="A107" t="str">
        <f t="shared" si="18"/>
        <v>alp_Man-VWCO</v>
      </c>
      <c r="B107" t="str">
        <f t="shared" si="19"/>
        <v>Google Brasil</v>
      </c>
      <c r="C107" t="str">
        <f t="shared" si="20"/>
        <v>google-brasil|half-page|300x600|man_caminhoes|always_on|produto|criativo_11_tgx_29-440|300x600|cpm</v>
      </c>
      <c r="D107" t="str">
        <f t="shared" si="21"/>
        <v>138018379</v>
      </c>
      <c r="E107" t="str">
        <f t="shared" si="22"/>
        <v>Default</v>
      </c>
      <c r="F107" t="str">
        <f t="shared" si="23"/>
        <v>300x600 Default Web Ad</v>
      </c>
      <c r="G107" t="str">
        <f t="shared" si="24"/>
        <v>310386147</v>
      </c>
      <c r="H107" t="str">
        <f t="shared" si="25"/>
        <v>Display</v>
      </c>
      <c r="I107">
        <f t="shared" si="26"/>
        <v>5101</v>
      </c>
      <c r="J107">
        <f t="shared" si="27"/>
        <v>39</v>
      </c>
      <c r="K107" s="4">
        <f t="shared" si="16"/>
        <v>3.8199999999999998E-2</v>
      </c>
      <c r="L107">
        <f t="shared" si="17"/>
        <v>0.09</v>
      </c>
      <c r="M107" s="4">
        <f t="shared" si="28"/>
        <v>0.19485819999999998</v>
      </c>
      <c r="N107" s="4">
        <f t="shared" si="29"/>
        <v>0.45909</v>
      </c>
    </row>
    <row r="108" spans="1:14">
      <c r="A108" t="str">
        <f t="shared" si="18"/>
        <v>alp_Man-VWCO</v>
      </c>
      <c r="B108" t="str">
        <f t="shared" si="19"/>
        <v>Google Brasil</v>
      </c>
      <c r="C108" t="str">
        <f t="shared" si="20"/>
        <v>google-brasil|half-page|300x600|man_caminhoes|always_on|produto|criativo_11_tgx_29-440|300x600|cpm</v>
      </c>
      <c r="D108" t="str">
        <f t="shared" si="21"/>
        <v>138018379</v>
      </c>
      <c r="E108" t="str">
        <f t="shared" si="22"/>
        <v>Default</v>
      </c>
      <c r="F108" t="str">
        <f t="shared" si="23"/>
        <v>300x600 Default Web Ad</v>
      </c>
      <c r="G108" t="str">
        <f t="shared" si="24"/>
        <v>310386147</v>
      </c>
      <c r="H108" t="str">
        <f t="shared" si="25"/>
        <v>Display</v>
      </c>
      <c r="I108">
        <f t="shared" si="26"/>
        <v>1771</v>
      </c>
      <c r="J108">
        <f t="shared" si="27"/>
        <v>15</v>
      </c>
      <c r="K108" s="4">
        <f t="shared" ref="K108:K171" si="30">IF(LEFT(B108,3)="DBM",0,VLOOKUP(E108,tabela,2,FALSE))</f>
        <v>3.8199999999999998E-2</v>
      </c>
      <c r="L108">
        <f t="shared" ref="L108:L171" si="31">VLOOKUP(E108,tabela,3,FALSE)</f>
        <v>0.09</v>
      </c>
      <c r="M108" s="4">
        <f t="shared" si="28"/>
        <v>6.7652199999999996E-2</v>
      </c>
      <c r="N108" s="4">
        <f t="shared" si="29"/>
        <v>0.15938999999999998</v>
      </c>
    </row>
    <row r="109" spans="1:14">
      <c r="A109" t="str">
        <f t="shared" si="18"/>
        <v>alp_Man-VWCO</v>
      </c>
      <c r="B109" t="str">
        <f t="shared" si="19"/>
        <v>Google Brasil</v>
      </c>
      <c r="C109" t="str">
        <f t="shared" si="20"/>
        <v>google-brasil|half-page|300x600|man_caminhoes|always_on|produto|criativo_12_tgx_29-440|300x600|cpm</v>
      </c>
      <c r="D109" t="str">
        <f t="shared" si="21"/>
        <v>138018374</v>
      </c>
      <c r="E109" t="str">
        <f t="shared" si="22"/>
        <v>Default</v>
      </c>
      <c r="F109" t="str">
        <f t="shared" si="23"/>
        <v>300x600 Default Web Ad</v>
      </c>
      <c r="G109" t="str">
        <f t="shared" si="24"/>
        <v>310386147</v>
      </c>
      <c r="H109" t="str">
        <f t="shared" si="25"/>
        <v>Display</v>
      </c>
      <c r="I109">
        <f t="shared" si="26"/>
        <v>5280</v>
      </c>
      <c r="J109">
        <f t="shared" si="27"/>
        <v>51</v>
      </c>
      <c r="K109" s="4">
        <f t="shared" si="30"/>
        <v>3.8199999999999998E-2</v>
      </c>
      <c r="L109">
        <f t="shared" si="31"/>
        <v>0.09</v>
      </c>
      <c r="M109" s="4">
        <f t="shared" si="28"/>
        <v>0.20169599999999999</v>
      </c>
      <c r="N109" s="4">
        <f t="shared" si="29"/>
        <v>0.47520000000000001</v>
      </c>
    </row>
    <row r="110" spans="1:14">
      <c r="A110" t="str">
        <f t="shared" si="18"/>
        <v>alp_Man-VWCO</v>
      </c>
      <c r="B110" t="str">
        <f t="shared" si="19"/>
        <v>Google Brasil</v>
      </c>
      <c r="C110" t="str">
        <f t="shared" si="20"/>
        <v>google-brasil|half-page|300x600|man_caminhoes|always_on|produto|criativo_12_tgx_29-440|300x600|cpm</v>
      </c>
      <c r="D110" t="str">
        <f t="shared" si="21"/>
        <v>138018374</v>
      </c>
      <c r="E110" t="str">
        <f t="shared" si="22"/>
        <v>Default</v>
      </c>
      <c r="F110" t="str">
        <f t="shared" si="23"/>
        <v>300x600 Default Web Ad</v>
      </c>
      <c r="G110" t="str">
        <f t="shared" si="24"/>
        <v>310386147</v>
      </c>
      <c r="H110" t="str">
        <f t="shared" si="25"/>
        <v>Display</v>
      </c>
      <c r="I110">
        <f t="shared" si="26"/>
        <v>1955</v>
      </c>
      <c r="J110">
        <f t="shared" si="27"/>
        <v>19</v>
      </c>
      <c r="K110" s="4">
        <f t="shared" si="30"/>
        <v>3.8199999999999998E-2</v>
      </c>
      <c r="L110">
        <f t="shared" si="31"/>
        <v>0.09</v>
      </c>
      <c r="M110" s="4">
        <f t="shared" si="28"/>
        <v>7.4680999999999997E-2</v>
      </c>
      <c r="N110" s="4">
        <f t="shared" si="29"/>
        <v>0.17595</v>
      </c>
    </row>
    <row r="111" spans="1:14">
      <c r="A111" t="str">
        <f t="shared" si="18"/>
        <v>alp_Man-VWCO</v>
      </c>
      <c r="B111" t="str">
        <f t="shared" si="19"/>
        <v>Google Brasil</v>
      </c>
      <c r="C111" t="str">
        <f t="shared" si="20"/>
        <v>google-brasil|half-page|300x600|man_caminhoes|always_on|produto|criativo_13_tgx_29-440|300x600|cpm</v>
      </c>
      <c r="D111" t="str">
        <f t="shared" si="21"/>
        <v>138018369</v>
      </c>
      <c r="E111" t="str">
        <f t="shared" si="22"/>
        <v>Default</v>
      </c>
      <c r="F111" t="str">
        <f t="shared" si="23"/>
        <v>300x600 Default Web Ad</v>
      </c>
      <c r="G111" t="str">
        <f t="shared" si="24"/>
        <v>310386147</v>
      </c>
      <c r="H111" t="str">
        <f t="shared" si="25"/>
        <v>Display</v>
      </c>
      <c r="I111">
        <f t="shared" si="26"/>
        <v>5115</v>
      </c>
      <c r="J111">
        <f t="shared" si="27"/>
        <v>43</v>
      </c>
      <c r="K111" s="4">
        <f t="shared" si="30"/>
        <v>3.8199999999999998E-2</v>
      </c>
      <c r="L111">
        <f t="shared" si="31"/>
        <v>0.09</v>
      </c>
      <c r="M111" s="4">
        <f t="shared" si="28"/>
        <v>0.19539300000000001</v>
      </c>
      <c r="N111" s="4">
        <f t="shared" si="29"/>
        <v>0.46034999999999998</v>
      </c>
    </row>
    <row r="112" spans="1:14">
      <c r="A112" t="str">
        <f t="shared" si="18"/>
        <v>alp_Man-VWCO</v>
      </c>
      <c r="B112" t="str">
        <f t="shared" si="19"/>
        <v>Google Brasil</v>
      </c>
      <c r="C112" t="str">
        <f t="shared" si="20"/>
        <v>google-brasil|half-page|300x600|man_caminhoes|always_on|produto|criativo_13_tgx_29-440|300x600|cpm</v>
      </c>
      <c r="D112" t="str">
        <f t="shared" si="21"/>
        <v>138018369</v>
      </c>
      <c r="E112" t="str">
        <f t="shared" si="22"/>
        <v>Default</v>
      </c>
      <c r="F112" t="str">
        <f t="shared" si="23"/>
        <v>300x600 Default Web Ad</v>
      </c>
      <c r="G112" t="str">
        <f t="shared" si="24"/>
        <v>310386147</v>
      </c>
      <c r="H112" t="str">
        <f t="shared" si="25"/>
        <v>Display</v>
      </c>
      <c r="I112">
        <f t="shared" si="26"/>
        <v>1823</v>
      </c>
      <c r="J112">
        <f t="shared" si="27"/>
        <v>14</v>
      </c>
      <c r="K112" s="4">
        <f t="shared" si="30"/>
        <v>3.8199999999999998E-2</v>
      </c>
      <c r="L112">
        <f t="shared" si="31"/>
        <v>0.09</v>
      </c>
      <c r="M112" s="4">
        <f t="shared" si="28"/>
        <v>6.9638599999999995E-2</v>
      </c>
      <c r="N112" s="4">
        <f t="shared" si="29"/>
        <v>0.16406999999999999</v>
      </c>
    </row>
    <row r="113" spans="1:14">
      <c r="A113" t="str">
        <f t="shared" si="18"/>
        <v>alp_Man-VWCO</v>
      </c>
      <c r="B113" t="str">
        <f t="shared" si="19"/>
        <v>Google Brasil</v>
      </c>
      <c r="C113" t="str">
        <f t="shared" si="20"/>
        <v>google-brasil|half-page|300x600|man_caminhoes|always_on|produto|criativo_14_tgx_29-440|300x600|cpm</v>
      </c>
      <c r="D113" t="str">
        <f t="shared" si="21"/>
        <v>138018364</v>
      </c>
      <c r="E113" t="str">
        <f t="shared" si="22"/>
        <v>Default</v>
      </c>
      <c r="F113" t="str">
        <f t="shared" si="23"/>
        <v>300x600 Default Web Ad</v>
      </c>
      <c r="G113" t="str">
        <f t="shared" si="24"/>
        <v>310386147</v>
      </c>
      <c r="H113" t="str">
        <f t="shared" si="25"/>
        <v>Display</v>
      </c>
      <c r="I113">
        <f t="shared" si="26"/>
        <v>5177</v>
      </c>
      <c r="J113">
        <f t="shared" si="27"/>
        <v>47</v>
      </c>
      <c r="K113" s="4">
        <f t="shared" si="30"/>
        <v>3.8199999999999998E-2</v>
      </c>
      <c r="L113">
        <f t="shared" si="31"/>
        <v>0.09</v>
      </c>
      <c r="M113" s="4">
        <f t="shared" si="28"/>
        <v>0.19776139999999998</v>
      </c>
      <c r="N113" s="4">
        <f t="shared" si="29"/>
        <v>0.46593000000000001</v>
      </c>
    </row>
    <row r="114" spans="1:14">
      <c r="A114" t="str">
        <f t="shared" si="18"/>
        <v>alp_Man-VWCO</v>
      </c>
      <c r="B114" t="str">
        <f t="shared" si="19"/>
        <v>Google Brasil</v>
      </c>
      <c r="C114" t="str">
        <f t="shared" si="20"/>
        <v>google-brasil|half-page|300x600|man_caminhoes|always_on|produto|criativo_14_tgx_29-440|300x600|cpm</v>
      </c>
      <c r="D114" t="str">
        <f t="shared" si="21"/>
        <v>138018364</v>
      </c>
      <c r="E114" t="str">
        <f t="shared" si="22"/>
        <v>Default</v>
      </c>
      <c r="F114" t="str">
        <f t="shared" si="23"/>
        <v>300x600 Default Web Ad</v>
      </c>
      <c r="G114" t="str">
        <f t="shared" si="24"/>
        <v>310386147</v>
      </c>
      <c r="H114" t="str">
        <f t="shared" si="25"/>
        <v>Display</v>
      </c>
      <c r="I114">
        <f t="shared" si="26"/>
        <v>2011</v>
      </c>
      <c r="J114">
        <f t="shared" si="27"/>
        <v>20</v>
      </c>
      <c r="K114" s="4">
        <f t="shared" si="30"/>
        <v>3.8199999999999998E-2</v>
      </c>
      <c r="L114">
        <f t="shared" si="31"/>
        <v>0.09</v>
      </c>
      <c r="M114" s="4">
        <f t="shared" si="28"/>
        <v>7.6820200000000005E-2</v>
      </c>
      <c r="N114" s="4">
        <f t="shared" si="29"/>
        <v>0.18098999999999998</v>
      </c>
    </row>
    <row r="115" spans="1:14">
      <c r="A115" t="str">
        <f t="shared" si="18"/>
        <v>alp_Man-VWCO</v>
      </c>
      <c r="B115" t="str">
        <f t="shared" si="19"/>
        <v>Google Brasil</v>
      </c>
      <c r="C115" t="str">
        <f t="shared" si="20"/>
        <v>google-brasil|half-page|300x600|man_caminhoes|always_on|produto|criativo_15_tgx_29-440|300x600|cpm</v>
      </c>
      <c r="D115" t="str">
        <f t="shared" si="21"/>
        <v>138018359</v>
      </c>
      <c r="E115" t="str">
        <f t="shared" si="22"/>
        <v>Default</v>
      </c>
      <c r="F115" t="str">
        <f t="shared" si="23"/>
        <v>300x600 Default Web Ad</v>
      </c>
      <c r="G115" t="str">
        <f t="shared" si="24"/>
        <v>310386147</v>
      </c>
      <c r="H115" t="str">
        <f t="shared" si="25"/>
        <v>Display</v>
      </c>
      <c r="I115">
        <f t="shared" si="26"/>
        <v>5379</v>
      </c>
      <c r="J115">
        <f t="shared" si="27"/>
        <v>44</v>
      </c>
      <c r="K115" s="4">
        <f t="shared" si="30"/>
        <v>3.8199999999999998E-2</v>
      </c>
      <c r="L115">
        <f t="shared" si="31"/>
        <v>0.09</v>
      </c>
      <c r="M115" s="4">
        <f t="shared" si="28"/>
        <v>0.20547779999999999</v>
      </c>
      <c r="N115" s="4">
        <f t="shared" si="29"/>
        <v>0.48410999999999993</v>
      </c>
    </row>
    <row r="116" spans="1:14">
      <c r="A116" t="str">
        <f t="shared" si="18"/>
        <v>alp_Man-VWCO</v>
      </c>
      <c r="B116" t="str">
        <f t="shared" si="19"/>
        <v>Google Brasil</v>
      </c>
      <c r="C116" t="str">
        <f t="shared" si="20"/>
        <v>google-brasil|half-page|300x600|man_caminhoes|always_on|produto|criativo_15_tgx_29-440|300x600|cpm</v>
      </c>
      <c r="D116" t="str">
        <f t="shared" si="21"/>
        <v>138018359</v>
      </c>
      <c r="E116" t="str">
        <f t="shared" si="22"/>
        <v>Default</v>
      </c>
      <c r="F116" t="str">
        <f t="shared" si="23"/>
        <v>300x600 Default Web Ad</v>
      </c>
      <c r="G116" t="str">
        <f t="shared" si="24"/>
        <v>310386147</v>
      </c>
      <c r="H116" t="str">
        <f t="shared" si="25"/>
        <v>Display</v>
      </c>
      <c r="I116">
        <f t="shared" si="26"/>
        <v>1883</v>
      </c>
      <c r="J116">
        <f t="shared" si="27"/>
        <v>17</v>
      </c>
      <c r="K116" s="4">
        <f t="shared" si="30"/>
        <v>3.8199999999999998E-2</v>
      </c>
      <c r="L116">
        <f t="shared" si="31"/>
        <v>0.09</v>
      </c>
      <c r="M116" s="4">
        <f t="shared" si="28"/>
        <v>7.1930599999999997E-2</v>
      </c>
      <c r="N116" s="4">
        <f t="shared" si="29"/>
        <v>0.16947000000000001</v>
      </c>
    </row>
    <row r="117" spans="1:14">
      <c r="A117" t="str">
        <f t="shared" si="18"/>
        <v>alp_Man-VWCO</v>
      </c>
      <c r="B117" t="str">
        <f t="shared" si="19"/>
        <v>Google Brasil</v>
      </c>
      <c r="C117" t="str">
        <f t="shared" si="20"/>
        <v>google-brasil|half-page|300x600|man_caminhoes|always_on|produto|criativo_16_tgx_29-440|300x600|cpm</v>
      </c>
      <c r="D117" t="str">
        <f t="shared" si="21"/>
        <v>138018354</v>
      </c>
      <c r="E117" t="str">
        <f t="shared" si="22"/>
        <v>Default</v>
      </c>
      <c r="F117" t="str">
        <f t="shared" si="23"/>
        <v>300x600 Default Web Ad</v>
      </c>
      <c r="G117" t="str">
        <f t="shared" si="24"/>
        <v>310386147</v>
      </c>
      <c r="H117" t="str">
        <f t="shared" si="25"/>
        <v>Display</v>
      </c>
      <c r="I117">
        <f t="shared" si="26"/>
        <v>5267</v>
      </c>
      <c r="J117">
        <f t="shared" si="27"/>
        <v>30</v>
      </c>
      <c r="K117" s="4">
        <f t="shared" si="30"/>
        <v>3.8199999999999998E-2</v>
      </c>
      <c r="L117">
        <f t="shared" si="31"/>
        <v>0.09</v>
      </c>
      <c r="M117" s="4">
        <f t="shared" si="28"/>
        <v>0.2011994</v>
      </c>
      <c r="N117" s="4">
        <f t="shared" si="29"/>
        <v>0.47402999999999995</v>
      </c>
    </row>
    <row r="118" spans="1:14">
      <c r="A118" t="str">
        <f t="shared" si="18"/>
        <v>alp_Man-VWCO</v>
      </c>
      <c r="B118" t="str">
        <f t="shared" si="19"/>
        <v>Google Brasil</v>
      </c>
      <c r="C118" t="str">
        <f t="shared" si="20"/>
        <v>google-brasil|half-page|300x600|man_caminhoes|always_on|produto|criativo_16_tgx_29-440|300x600|cpm</v>
      </c>
      <c r="D118" t="str">
        <f t="shared" si="21"/>
        <v>138018354</v>
      </c>
      <c r="E118" t="str">
        <f t="shared" si="22"/>
        <v>Default</v>
      </c>
      <c r="F118" t="str">
        <f t="shared" si="23"/>
        <v>300x600 Default Web Ad</v>
      </c>
      <c r="G118" t="str">
        <f t="shared" si="24"/>
        <v>310386147</v>
      </c>
      <c r="H118" t="str">
        <f t="shared" si="25"/>
        <v>Display</v>
      </c>
      <c r="I118">
        <f t="shared" si="26"/>
        <v>1742</v>
      </c>
      <c r="J118">
        <f t="shared" si="27"/>
        <v>12</v>
      </c>
      <c r="K118" s="4">
        <f t="shared" si="30"/>
        <v>3.8199999999999998E-2</v>
      </c>
      <c r="L118">
        <f t="shared" si="31"/>
        <v>0.09</v>
      </c>
      <c r="M118" s="4">
        <f t="shared" si="28"/>
        <v>6.654439999999999E-2</v>
      </c>
      <c r="N118" s="4">
        <f t="shared" si="29"/>
        <v>0.15678</v>
      </c>
    </row>
    <row r="119" spans="1:14">
      <c r="A119" t="str">
        <f t="shared" si="18"/>
        <v>alp_Man-VWCO</v>
      </c>
      <c r="B119" t="str">
        <f t="shared" si="19"/>
        <v>Google Brasil</v>
      </c>
      <c r="C119" t="str">
        <f t="shared" si="20"/>
        <v>google-brasil|half-page|300x600|man_caminhoes|always_on|produto|criativo_17_tgx_29-440|300x600|cpm</v>
      </c>
      <c r="D119" t="str">
        <f t="shared" si="21"/>
        <v>138018349</v>
      </c>
      <c r="E119" t="str">
        <f t="shared" si="22"/>
        <v>Default</v>
      </c>
      <c r="F119" t="str">
        <f t="shared" si="23"/>
        <v>300x600 Default Web Ad</v>
      </c>
      <c r="G119" t="str">
        <f t="shared" si="24"/>
        <v>310386147</v>
      </c>
      <c r="H119" t="str">
        <f t="shared" si="25"/>
        <v>Display</v>
      </c>
      <c r="I119">
        <f t="shared" si="26"/>
        <v>5028</v>
      </c>
      <c r="J119">
        <f t="shared" si="27"/>
        <v>52</v>
      </c>
      <c r="K119" s="4">
        <f t="shared" si="30"/>
        <v>3.8199999999999998E-2</v>
      </c>
      <c r="L119">
        <f t="shared" si="31"/>
        <v>0.09</v>
      </c>
      <c r="M119" s="4">
        <f t="shared" si="28"/>
        <v>0.19206959999999998</v>
      </c>
      <c r="N119" s="4">
        <f t="shared" si="29"/>
        <v>0.45251999999999998</v>
      </c>
    </row>
    <row r="120" spans="1:14">
      <c r="A120" t="str">
        <f t="shared" si="18"/>
        <v>alp_Man-VWCO</v>
      </c>
      <c r="B120" t="str">
        <f t="shared" si="19"/>
        <v>Google Brasil</v>
      </c>
      <c r="C120" t="str">
        <f t="shared" si="20"/>
        <v>google-brasil|half-page|300x600|man_caminhoes|always_on|produto|criativo_17_tgx_29-440|300x600|cpm</v>
      </c>
      <c r="D120" t="str">
        <f t="shared" si="21"/>
        <v>138018349</v>
      </c>
      <c r="E120" t="str">
        <f t="shared" si="22"/>
        <v>Default</v>
      </c>
      <c r="F120" t="str">
        <f t="shared" si="23"/>
        <v>300x600 Default Web Ad</v>
      </c>
      <c r="G120" t="str">
        <f t="shared" si="24"/>
        <v>310386147</v>
      </c>
      <c r="H120" t="str">
        <f t="shared" si="25"/>
        <v>Display</v>
      </c>
      <c r="I120">
        <f t="shared" si="26"/>
        <v>2162</v>
      </c>
      <c r="J120">
        <f t="shared" si="27"/>
        <v>25</v>
      </c>
      <c r="K120" s="4">
        <f t="shared" si="30"/>
        <v>3.8199999999999998E-2</v>
      </c>
      <c r="L120">
        <f t="shared" si="31"/>
        <v>0.09</v>
      </c>
      <c r="M120" s="4">
        <f t="shared" si="28"/>
        <v>8.2588399999999992E-2</v>
      </c>
      <c r="N120" s="4">
        <f t="shared" si="29"/>
        <v>0.19457999999999998</v>
      </c>
    </row>
    <row r="121" spans="1:14">
      <c r="A121" t="str">
        <f t="shared" si="18"/>
        <v>alp_Man-VWCO</v>
      </c>
      <c r="B121" t="str">
        <f t="shared" si="19"/>
        <v>Google Brasil</v>
      </c>
      <c r="C121" t="str">
        <f t="shared" si="20"/>
        <v>google-brasil|half-page|300x600|man_caminhoes|always_on|produto|criativo_18_tgx_29-440|300x600|cpm</v>
      </c>
      <c r="D121" t="str">
        <f t="shared" si="21"/>
        <v>138018344</v>
      </c>
      <c r="E121" t="str">
        <f t="shared" si="22"/>
        <v>Default</v>
      </c>
      <c r="F121" t="str">
        <f t="shared" si="23"/>
        <v>300x600 Default Web Ad</v>
      </c>
      <c r="G121" t="str">
        <f t="shared" si="24"/>
        <v>310386147</v>
      </c>
      <c r="H121" t="str">
        <f t="shared" si="25"/>
        <v>Display</v>
      </c>
      <c r="I121">
        <f t="shared" si="26"/>
        <v>5342</v>
      </c>
      <c r="J121">
        <f t="shared" si="27"/>
        <v>38</v>
      </c>
      <c r="K121" s="4">
        <f t="shared" si="30"/>
        <v>3.8199999999999998E-2</v>
      </c>
      <c r="L121">
        <f t="shared" si="31"/>
        <v>0.09</v>
      </c>
      <c r="M121" s="4">
        <f t="shared" si="28"/>
        <v>0.20406439999999998</v>
      </c>
      <c r="N121" s="4">
        <f t="shared" si="29"/>
        <v>0.48077999999999999</v>
      </c>
    </row>
    <row r="122" spans="1:14">
      <c r="A122" t="str">
        <f t="shared" si="18"/>
        <v>alp_Man-VWCO</v>
      </c>
      <c r="B122" t="str">
        <f t="shared" si="19"/>
        <v>Google Brasil</v>
      </c>
      <c r="C122" t="str">
        <f t="shared" si="20"/>
        <v>google-brasil|half-page|300x600|man_caminhoes|always_on|produto|criativo_18_tgx_29-440|300x600|cpm</v>
      </c>
      <c r="D122" t="str">
        <f t="shared" si="21"/>
        <v>138018344</v>
      </c>
      <c r="E122" t="str">
        <f t="shared" si="22"/>
        <v>Default</v>
      </c>
      <c r="F122" t="str">
        <f t="shared" si="23"/>
        <v>300x600 Default Web Ad</v>
      </c>
      <c r="G122" t="str">
        <f t="shared" si="24"/>
        <v>310386147</v>
      </c>
      <c r="H122" t="str">
        <f t="shared" si="25"/>
        <v>Display</v>
      </c>
      <c r="I122">
        <f t="shared" si="26"/>
        <v>1891</v>
      </c>
      <c r="J122">
        <f t="shared" si="27"/>
        <v>20</v>
      </c>
      <c r="K122" s="4">
        <f t="shared" si="30"/>
        <v>3.8199999999999998E-2</v>
      </c>
      <c r="L122">
        <f t="shared" si="31"/>
        <v>0.09</v>
      </c>
      <c r="M122" s="4">
        <f t="shared" si="28"/>
        <v>7.22362E-2</v>
      </c>
      <c r="N122" s="4">
        <f t="shared" si="29"/>
        <v>0.17019000000000001</v>
      </c>
    </row>
    <row r="123" spans="1:14">
      <c r="A123" t="str">
        <f t="shared" si="18"/>
        <v>alp_Man-VWCO</v>
      </c>
      <c r="B123" t="str">
        <f t="shared" si="19"/>
        <v>Google Brasil</v>
      </c>
      <c r="C123" t="str">
        <f t="shared" si="20"/>
        <v>google-brasil|half-page|300x600|man_caminhoes|always_on|produto|criativo_19_tgx_29-480|300x600|cpm</v>
      </c>
      <c r="D123" t="str">
        <f t="shared" si="21"/>
        <v>138018339</v>
      </c>
      <c r="E123" t="str">
        <f t="shared" si="22"/>
        <v>Default</v>
      </c>
      <c r="F123" t="str">
        <f t="shared" si="23"/>
        <v>300x600 Default Web Ad</v>
      </c>
      <c r="G123" t="str">
        <f t="shared" si="24"/>
        <v>310386147</v>
      </c>
      <c r="H123" t="str">
        <f t="shared" si="25"/>
        <v>Display</v>
      </c>
      <c r="I123">
        <f t="shared" si="26"/>
        <v>1354</v>
      </c>
      <c r="J123">
        <f t="shared" si="27"/>
        <v>5</v>
      </c>
      <c r="K123" s="4">
        <f t="shared" si="30"/>
        <v>3.8199999999999998E-2</v>
      </c>
      <c r="L123">
        <f t="shared" si="31"/>
        <v>0.09</v>
      </c>
      <c r="M123" s="4">
        <f t="shared" si="28"/>
        <v>5.1722799999999999E-2</v>
      </c>
      <c r="N123" s="4">
        <f t="shared" si="29"/>
        <v>0.12186</v>
      </c>
    </row>
    <row r="124" spans="1:14">
      <c r="A124" t="str">
        <f t="shared" si="18"/>
        <v>alp_Man-VWCO</v>
      </c>
      <c r="B124" t="str">
        <f t="shared" si="19"/>
        <v>Google Brasil</v>
      </c>
      <c r="C124" t="str">
        <f t="shared" si="20"/>
        <v>google-brasil|half-page|300x600|man_caminhoes|always_on|produto|criativo_20_tgx_29-480|300x600|cpm</v>
      </c>
      <c r="D124" t="str">
        <f t="shared" si="21"/>
        <v>138018334</v>
      </c>
      <c r="E124" t="str">
        <f t="shared" si="22"/>
        <v>Default</v>
      </c>
      <c r="F124" t="str">
        <f t="shared" si="23"/>
        <v>300x600 Default Web Ad</v>
      </c>
      <c r="G124" t="str">
        <f t="shared" si="24"/>
        <v>310386147</v>
      </c>
      <c r="H124" t="str">
        <f t="shared" si="25"/>
        <v>Display</v>
      </c>
      <c r="I124">
        <f t="shared" si="26"/>
        <v>1428</v>
      </c>
      <c r="J124">
        <f t="shared" si="27"/>
        <v>4</v>
      </c>
      <c r="K124" s="4">
        <f t="shared" si="30"/>
        <v>3.8199999999999998E-2</v>
      </c>
      <c r="L124">
        <f t="shared" si="31"/>
        <v>0.09</v>
      </c>
      <c r="M124" s="4">
        <f t="shared" si="28"/>
        <v>5.4549599999999997E-2</v>
      </c>
      <c r="N124" s="4">
        <f t="shared" si="29"/>
        <v>0.12852</v>
      </c>
    </row>
    <row r="125" spans="1:14">
      <c r="A125" t="str">
        <f t="shared" si="18"/>
        <v>alp_Man-VWCO</v>
      </c>
      <c r="B125" t="str">
        <f t="shared" si="19"/>
        <v>Google Brasil</v>
      </c>
      <c r="C125" t="str">
        <f t="shared" si="20"/>
        <v>google-brasil|half-page|300x600|man_caminhoes|always_on|produto|criativo_21_tgx_29-480|300x600|cpm</v>
      </c>
      <c r="D125" t="str">
        <f t="shared" si="21"/>
        <v>138018329</v>
      </c>
      <c r="E125" t="str">
        <f t="shared" si="22"/>
        <v>Default</v>
      </c>
      <c r="F125" t="str">
        <f t="shared" si="23"/>
        <v>300x600 Default Web Ad</v>
      </c>
      <c r="G125" t="str">
        <f t="shared" si="24"/>
        <v>310386147</v>
      </c>
      <c r="H125" t="str">
        <f t="shared" si="25"/>
        <v>Display</v>
      </c>
      <c r="I125">
        <f t="shared" si="26"/>
        <v>1349</v>
      </c>
      <c r="J125">
        <f t="shared" si="27"/>
        <v>2</v>
      </c>
      <c r="K125" s="4">
        <f t="shared" si="30"/>
        <v>3.8199999999999998E-2</v>
      </c>
      <c r="L125">
        <f t="shared" si="31"/>
        <v>0.09</v>
      </c>
      <c r="M125" s="4">
        <f t="shared" si="28"/>
        <v>5.1531799999999996E-2</v>
      </c>
      <c r="N125" s="4">
        <f t="shared" si="29"/>
        <v>0.12140999999999999</v>
      </c>
    </row>
    <row r="126" spans="1:14">
      <c r="A126" t="str">
        <f t="shared" si="18"/>
        <v>alp_Man-VWCO</v>
      </c>
      <c r="B126" t="str">
        <f t="shared" si="19"/>
        <v>Google Brasil</v>
      </c>
      <c r="C126" t="str">
        <f t="shared" si="20"/>
        <v>google-brasil|half-page|300x600|man_caminhoes|always_on|produto|criativo_22_tgx_29-480|300x600|cpm</v>
      </c>
      <c r="D126" t="str">
        <f t="shared" si="21"/>
        <v>138018324</v>
      </c>
      <c r="E126" t="str">
        <f t="shared" si="22"/>
        <v>Default</v>
      </c>
      <c r="F126" t="str">
        <f t="shared" si="23"/>
        <v>300x600 Default Web Ad</v>
      </c>
      <c r="G126" t="str">
        <f t="shared" si="24"/>
        <v>310386147</v>
      </c>
      <c r="H126" t="str">
        <f t="shared" si="25"/>
        <v>Display</v>
      </c>
      <c r="I126">
        <f t="shared" si="26"/>
        <v>1903</v>
      </c>
      <c r="J126">
        <f t="shared" si="27"/>
        <v>8</v>
      </c>
      <c r="K126" s="4">
        <f t="shared" si="30"/>
        <v>3.8199999999999998E-2</v>
      </c>
      <c r="L126">
        <f t="shared" si="31"/>
        <v>0.09</v>
      </c>
      <c r="M126" s="4">
        <f t="shared" si="28"/>
        <v>7.2694599999999998E-2</v>
      </c>
      <c r="N126" s="4">
        <f t="shared" si="29"/>
        <v>0.17126999999999998</v>
      </c>
    </row>
    <row r="127" spans="1:14">
      <c r="A127" t="str">
        <f t="shared" si="18"/>
        <v>alp_Man-VWCO</v>
      </c>
      <c r="B127" t="str">
        <f t="shared" si="19"/>
        <v>Google Brasil</v>
      </c>
      <c r="C127" t="str">
        <f t="shared" si="20"/>
        <v>google-brasil|half-page|300x600|man_caminhoes|always_on|produto|criativo_23__tgx_29-480|300x600|cpm</v>
      </c>
      <c r="D127" t="str">
        <f t="shared" si="21"/>
        <v>138018319</v>
      </c>
      <c r="E127" t="str">
        <f t="shared" si="22"/>
        <v>Default</v>
      </c>
      <c r="F127" t="str">
        <f t="shared" si="23"/>
        <v>300x600 Default Web Ad</v>
      </c>
      <c r="G127" t="str">
        <f t="shared" si="24"/>
        <v>310386147</v>
      </c>
      <c r="H127" t="str">
        <f t="shared" si="25"/>
        <v>Display</v>
      </c>
      <c r="I127">
        <f t="shared" si="26"/>
        <v>1299</v>
      </c>
      <c r="J127">
        <f t="shared" si="27"/>
        <v>5</v>
      </c>
      <c r="K127" s="4">
        <f t="shared" si="30"/>
        <v>3.8199999999999998E-2</v>
      </c>
      <c r="L127">
        <f t="shared" si="31"/>
        <v>0.09</v>
      </c>
      <c r="M127" s="4">
        <f t="shared" si="28"/>
        <v>4.9621800000000001E-2</v>
      </c>
      <c r="N127" s="4">
        <f t="shared" si="29"/>
        <v>0.11691</v>
      </c>
    </row>
    <row r="128" spans="1:14">
      <c r="A128" t="str">
        <f t="shared" si="18"/>
        <v>alp_Man-VWCO</v>
      </c>
      <c r="B128" t="str">
        <f t="shared" si="19"/>
        <v>Google Brasil</v>
      </c>
      <c r="C128" t="str">
        <f t="shared" si="20"/>
        <v>google-brasil|half-page|300x600|man_caminhoes|always_on|produto|criativo_24__tgx_29-480|300x600|cpm</v>
      </c>
      <c r="D128" t="str">
        <f t="shared" si="21"/>
        <v>138018314</v>
      </c>
      <c r="E128" t="str">
        <f t="shared" si="22"/>
        <v>Default</v>
      </c>
      <c r="F128" t="str">
        <f t="shared" si="23"/>
        <v>300x600 Default Web Ad</v>
      </c>
      <c r="G128" t="str">
        <f t="shared" si="24"/>
        <v>310386147</v>
      </c>
      <c r="H128" t="str">
        <f t="shared" si="25"/>
        <v>Display</v>
      </c>
      <c r="I128">
        <f t="shared" si="26"/>
        <v>1400</v>
      </c>
      <c r="J128">
        <f t="shared" si="27"/>
        <v>5</v>
      </c>
      <c r="K128" s="4">
        <f t="shared" si="30"/>
        <v>3.8199999999999998E-2</v>
      </c>
      <c r="L128">
        <f t="shared" si="31"/>
        <v>0.09</v>
      </c>
      <c r="M128" s="4">
        <f t="shared" si="28"/>
        <v>5.348E-2</v>
      </c>
      <c r="N128" s="4">
        <f t="shared" si="29"/>
        <v>0.126</v>
      </c>
    </row>
    <row r="129" spans="1:14">
      <c r="A129" t="str">
        <f t="shared" si="18"/>
        <v>alp_Man-VWCO</v>
      </c>
      <c r="B129" t="str">
        <f t="shared" si="19"/>
        <v>Google Brasil</v>
      </c>
      <c r="C129" t="str">
        <f t="shared" si="20"/>
        <v>google-brasil|half-page|300x600|man_caminhoes|always_on|produto|criativo_25_tgx_29-480|300x600|cpm</v>
      </c>
      <c r="D129" t="str">
        <f t="shared" si="21"/>
        <v>138018309</v>
      </c>
      <c r="E129" t="str">
        <f t="shared" si="22"/>
        <v>Default</v>
      </c>
      <c r="F129" t="str">
        <f t="shared" si="23"/>
        <v>300x600 Default Web Ad</v>
      </c>
      <c r="G129" t="str">
        <f t="shared" si="24"/>
        <v>310386147</v>
      </c>
      <c r="H129" t="str">
        <f t="shared" si="25"/>
        <v>Display</v>
      </c>
      <c r="I129">
        <f t="shared" si="26"/>
        <v>1362</v>
      </c>
      <c r="J129">
        <f t="shared" si="27"/>
        <v>6</v>
      </c>
      <c r="K129" s="4">
        <f t="shared" si="30"/>
        <v>3.8199999999999998E-2</v>
      </c>
      <c r="L129">
        <f t="shared" si="31"/>
        <v>0.09</v>
      </c>
      <c r="M129" s="4">
        <f t="shared" si="28"/>
        <v>5.2028399999999995E-2</v>
      </c>
      <c r="N129" s="4">
        <f t="shared" si="29"/>
        <v>0.12257999999999999</v>
      </c>
    </row>
    <row r="130" spans="1:14">
      <c r="A130" t="str">
        <f t="shared" ref="A130:A193" si="32">bd_campaign</f>
        <v>alp_Man-VWCO</v>
      </c>
      <c r="B130" t="str">
        <f t="shared" ref="B130:B193" si="33">bd_site</f>
        <v>Google Brasil</v>
      </c>
      <c r="C130" t="str">
        <f t="shared" ref="C130:C193" si="34">bd_placement</f>
        <v>google-brasil|half-page|300x600|man_caminhoes|always_on|produto|criativo_26_tgx_29-480|300x600|cpm</v>
      </c>
      <c r="D130" t="str">
        <f t="shared" ref="D130:D193" si="35">bd_placementID</f>
        <v>138018304</v>
      </c>
      <c r="E130" t="str">
        <f t="shared" ref="E130:E193" si="36">VLOOKUP(CONCATENATE(bd_adtype,"_",bd_creativetype),tabela,2,FALSE)</f>
        <v>Default</v>
      </c>
      <c r="F130" t="str">
        <f t="shared" ref="F130:F193" si="37">bd_ad</f>
        <v>300x600 Default Web Ad</v>
      </c>
      <c r="G130" t="str">
        <f t="shared" ref="G130:G193" si="38">bd_adid</f>
        <v>310386147</v>
      </c>
      <c r="H130" t="str">
        <f t="shared" ref="H130:H193" si="39">bd_creativetype</f>
        <v>Display</v>
      </c>
      <c r="I130">
        <f t="shared" ref="I130:I193" si="40">bd_impression</f>
        <v>1328</v>
      </c>
      <c r="J130">
        <f t="shared" ref="J130:J193" si="41">bd_clicks</f>
        <v>4</v>
      </c>
      <c r="K130" s="4">
        <f t="shared" si="30"/>
        <v>3.8199999999999998E-2</v>
      </c>
      <c r="L130">
        <f t="shared" si="31"/>
        <v>0.09</v>
      </c>
      <c r="M130" s="4">
        <f t="shared" si="28"/>
        <v>5.07296E-2</v>
      </c>
      <c r="N130" s="4">
        <f t="shared" si="29"/>
        <v>0.11952</v>
      </c>
    </row>
    <row r="131" spans="1:14">
      <c r="A131" t="str">
        <f t="shared" si="32"/>
        <v>alp_Man-VWCO</v>
      </c>
      <c r="B131" t="str">
        <f t="shared" si="33"/>
        <v>Google Brasil</v>
      </c>
      <c r="C131" t="str">
        <f t="shared" si="34"/>
        <v>google-brasil|half-page|300x600|man_caminhoes|always_on|produto|criativo_27_tgx_29-480|300x600|cpm</v>
      </c>
      <c r="D131" t="str">
        <f t="shared" si="35"/>
        <v>138018099</v>
      </c>
      <c r="E131" t="str">
        <f t="shared" si="36"/>
        <v>Default</v>
      </c>
      <c r="F131" t="str">
        <f t="shared" si="37"/>
        <v>300x600 Default Web Ad</v>
      </c>
      <c r="G131" t="str">
        <f t="shared" si="38"/>
        <v>310386147</v>
      </c>
      <c r="H131" t="str">
        <f t="shared" si="39"/>
        <v>Display</v>
      </c>
      <c r="I131">
        <f t="shared" si="40"/>
        <v>1447</v>
      </c>
      <c r="J131">
        <f t="shared" si="41"/>
        <v>1</v>
      </c>
      <c r="K131" s="4">
        <f t="shared" si="30"/>
        <v>3.8199999999999998E-2</v>
      </c>
      <c r="L131">
        <f t="shared" si="31"/>
        <v>0.09</v>
      </c>
      <c r="M131" s="4">
        <f t="shared" si="28"/>
        <v>5.5275399999999995E-2</v>
      </c>
      <c r="N131" s="4">
        <f t="shared" si="29"/>
        <v>0.13022999999999998</v>
      </c>
    </row>
    <row r="132" spans="1:14">
      <c r="A132" t="str">
        <f t="shared" si="32"/>
        <v>alp_Man-VWCO</v>
      </c>
      <c r="B132" t="str">
        <f t="shared" si="33"/>
        <v>Google Brasil</v>
      </c>
      <c r="C132" t="str">
        <f t="shared" si="34"/>
        <v>google-brasil|half-page|300x600|man_caminhoes|always_on|vitrine|criativo_01|300x600|cpm</v>
      </c>
      <c r="D132" t="str">
        <f t="shared" si="35"/>
        <v>138019039</v>
      </c>
      <c r="E132" t="str">
        <f t="shared" si="36"/>
        <v>Default</v>
      </c>
      <c r="F132" t="str">
        <f t="shared" si="37"/>
        <v>300x600 Default Web Ad</v>
      </c>
      <c r="G132" t="str">
        <f t="shared" si="38"/>
        <v>310386147</v>
      </c>
      <c r="H132" t="str">
        <f t="shared" si="39"/>
        <v>Display</v>
      </c>
      <c r="I132">
        <f t="shared" si="40"/>
        <v>16284</v>
      </c>
      <c r="J132">
        <f t="shared" si="41"/>
        <v>440</v>
      </c>
      <c r="K132" s="4">
        <f t="shared" si="30"/>
        <v>3.8199999999999998E-2</v>
      </c>
      <c r="L132">
        <f t="shared" si="31"/>
        <v>0.09</v>
      </c>
      <c r="M132" s="4">
        <f t="shared" si="28"/>
        <v>0.62204879999999996</v>
      </c>
      <c r="N132" s="4">
        <f t="shared" si="29"/>
        <v>1.46556</v>
      </c>
    </row>
    <row r="133" spans="1:14">
      <c r="A133" t="str">
        <f t="shared" si="32"/>
        <v>alp_Man-VWCO</v>
      </c>
      <c r="B133" t="str">
        <f t="shared" si="33"/>
        <v>Google Brasil</v>
      </c>
      <c r="C133" t="str">
        <f t="shared" si="34"/>
        <v>google-brasil|half-page|300x600|man_caminhoes|always_on|vitrine|criativo_01|300x600|cpm</v>
      </c>
      <c r="D133" t="str">
        <f t="shared" si="35"/>
        <v>138019039</v>
      </c>
      <c r="E133" t="str">
        <f t="shared" si="36"/>
        <v>Default</v>
      </c>
      <c r="F133" t="str">
        <f t="shared" si="37"/>
        <v>300x600 Default Web Ad</v>
      </c>
      <c r="G133" t="str">
        <f t="shared" si="38"/>
        <v>310386147</v>
      </c>
      <c r="H133" t="str">
        <f t="shared" si="39"/>
        <v>Display</v>
      </c>
      <c r="I133">
        <f t="shared" si="40"/>
        <v>3952</v>
      </c>
      <c r="J133">
        <f t="shared" si="41"/>
        <v>293</v>
      </c>
      <c r="K133" s="4">
        <f t="shared" si="30"/>
        <v>3.8199999999999998E-2</v>
      </c>
      <c r="L133">
        <f t="shared" si="31"/>
        <v>0.09</v>
      </c>
      <c r="M133" s="4">
        <f t="shared" si="28"/>
        <v>0.1509664</v>
      </c>
      <c r="N133" s="4">
        <f t="shared" si="29"/>
        <v>0.35568</v>
      </c>
    </row>
    <row r="134" spans="1:14">
      <c r="A134" t="str">
        <f t="shared" si="32"/>
        <v>alp_Man-VWCO</v>
      </c>
      <c r="B134" t="str">
        <f t="shared" si="33"/>
        <v>Google Brasil</v>
      </c>
      <c r="C134" t="str">
        <f t="shared" si="34"/>
        <v>google-brasil|half-page|300x600|man_caminhoes|always_on|vitrine|criativo_02|300x600|cpm</v>
      </c>
      <c r="D134" t="str">
        <f t="shared" si="35"/>
        <v>138019034</v>
      </c>
      <c r="E134" t="str">
        <f t="shared" si="36"/>
        <v>Default</v>
      </c>
      <c r="F134" t="str">
        <f t="shared" si="37"/>
        <v>300x600 Default Web Ad</v>
      </c>
      <c r="G134" t="str">
        <f t="shared" si="38"/>
        <v>310386147</v>
      </c>
      <c r="H134" t="str">
        <f t="shared" si="39"/>
        <v>Display</v>
      </c>
      <c r="I134">
        <f t="shared" si="40"/>
        <v>15855</v>
      </c>
      <c r="J134">
        <f t="shared" si="41"/>
        <v>410</v>
      </c>
      <c r="K134" s="4">
        <f t="shared" si="30"/>
        <v>3.8199999999999998E-2</v>
      </c>
      <c r="L134">
        <f t="shared" si="31"/>
        <v>0.09</v>
      </c>
      <c r="M134" s="4">
        <f t="shared" si="28"/>
        <v>0.60566099999999989</v>
      </c>
      <c r="N134" s="4">
        <f t="shared" si="29"/>
        <v>1.4269499999999999</v>
      </c>
    </row>
    <row r="135" spans="1:14">
      <c r="A135" t="str">
        <f t="shared" si="32"/>
        <v>alp_Man-VWCO</v>
      </c>
      <c r="B135" t="str">
        <f t="shared" si="33"/>
        <v>Google Brasil</v>
      </c>
      <c r="C135" t="str">
        <f t="shared" si="34"/>
        <v>google-brasil|half-page|300x600|man_caminhoes|always_on|vitrine|criativo_02|300x600|cpm</v>
      </c>
      <c r="D135" t="str">
        <f t="shared" si="35"/>
        <v>138019034</v>
      </c>
      <c r="E135" t="str">
        <f t="shared" si="36"/>
        <v>Default</v>
      </c>
      <c r="F135" t="str">
        <f t="shared" si="37"/>
        <v>300x600 Default Web Ad</v>
      </c>
      <c r="G135" t="str">
        <f t="shared" si="38"/>
        <v>310386147</v>
      </c>
      <c r="H135" t="str">
        <f t="shared" si="39"/>
        <v>Display</v>
      </c>
      <c r="I135">
        <f t="shared" si="40"/>
        <v>4868</v>
      </c>
      <c r="J135">
        <f t="shared" si="41"/>
        <v>411</v>
      </c>
      <c r="K135" s="4">
        <f t="shared" si="30"/>
        <v>3.8199999999999998E-2</v>
      </c>
      <c r="L135">
        <f t="shared" si="31"/>
        <v>0.09</v>
      </c>
      <c r="M135" s="4">
        <f t="shared" si="28"/>
        <v>0.18595759999999997</v>
      </c>
      <c r="N135" s="4">
        <f t="shared" si="29"/>
        <v>0.43812000000000001</v>
      </c>
    </row>
    <row r="136" spans="1:14">
      <c r="A136" t="str">
        <f t="shared" si="32"/>
        <v>alp_Man-VWCO</v>
      </c>
      <c r="B136" t="str">
        <f t="shared" si="33"/>
        <v>Google Brasil</v>
      </c>
      <c r="C136" t="str">
        <f t="shared" si="34"/>
        <v>google-brasil|half-page|300x600|man_caminhoes|always_on|vitrine|criativo_03|300x600|cpm</v>
      </c>
      <c r="D136" t="str">
        <f t="shared" si="35"/>
        <v>138019029</v>
      </c>
      <c r="E136" t="str">
        <f t="shared" si="36"/>
        <v>Default</v>
      </c>
      <c r="F136" t="str">
        <f t="shared" si="37"/>
        <v>300x600 Default Web Ad</v>
      </c>
      <c r="G136" t="str">
        <f t="shared" si="38"/>
        <v>310386147</v>
      </c>
      <c r="H136" t="str">
        <f t="shared" si="39"/>
        <v>Display</v>
      </c>
      <c r="I136">
        <f t="shared" si="40"/>
        <v>15466</v>
      </c>
      <c r="J136">
        <f t="shared" si="41"/>
        <v>426</v>
      </c>
      <c r="K136" s="4">
        <f t="shared" si="30"/>
        <v>3.8199999999999998E-2</v>
      </c>
      <c r="L136">
        <f t="shared" si="31"/>
        <v>0.09</v>
      </c>
      <c r="M136" s="4">
        <f t="shared" si="28"/>
        <v>0.59080120000000003</v>
      </c>
      <c r="N136" s="4">
        <f t="shared" si="29"/>
        <v>1.39194</v>
      </c>
    </row>
    <row r="137" spans="1:14">
      <c r="A137" t="str">
        <f t="shared" si="32"/>
        <v>alp_Man-VWCO</v>
      </c>
      <c r="B137" t="str">
        <f t="shared" si="33"/>
        <v>Google Brasil</v>
      </c>
      <c r="C137" t="str">
        <f t="shared" si="34"/>
        <v>google-brasil|half-page|300x600|man_caminhoes|always_on|vitrine|criativo_03|300x600|cpm</v>
      </c>
      <c r="D137" t="str">
        <f t="shared" si="35"/>
        <v>138019029</v>
      </c>
      <c r="E137" t="str">
        <f t="shared" si="36"/>
        <v>Default</v>
      </c>
      <c r="F137" t="str">
        <f t="shared" si="37"/>
        <v>300x600 Default Web Ad</v>
      </c>
      <c r="G137" t="str">
        <f t="shared" si="38"/>
        <v>310386147</v>
      </c>
      <c r="H137" t="str">
        <f t="shared" si="39"/>
        <v>Display</v>
      </c>
      <c r="I137">
        <f t="shared" si="40"/>
        <v>29950</v>
      </c>
      <c r="J137">
        <f t="shared" si="41"/>
        <v>2326</v>
      </c>
      <c r="K137" s="4">
        <f t="shared" si="30"/>
        <v>3.8199999999999998E-2</v>
      </c>
      <c r="L137">
        <f t="shared" si="31"/>
        <v>0.09</v>
      </c>
      <c r="M137" s="4">
        <f t="shared" si="28"/>
        <v>1.1440899999999998</v>
      </c>
      <c r="N137" s="4">
        <f t="shared" si="29"/>
        <v>2.6955</v>
      </c>
    </row>
    <row r="138" spans="1:14">
      <c r="A138" t="str">
        <f t="shared" si="32"/>
        <v>alp_Man-VWCO</v>
      </c>
      <c r="B138" t="str">
        <f t="shared" si="33"/>
        <v>Google Brasil</v>
      </c>
      <c r="C138" t="str">
        <f t="shared" si="34"/>
        <v>google-brasil|half-page|300x600|man_caminhoes|always_on|vitrine|criativo_04|300x600|cpm</v>
      </c>
      <c r="D138" t="str">
        <f t="shared" si="35"/>
        <v>138019024</v>
      </c>
      <c r="E138" t="str">
        <f t="shared" si="36"/>
        <v>Default</v>
      </c>
      <c r="F138" t="str">
        <f t="shared" si="37"/>
        <v>300x600 Default Web Ad</v>
      </c>
      <c r="G138" t="str">
        <f t="shared" si="38"/>
        <v>310386147</v>
      </c>
      <c r="H138" t="str">
        <f t="shared" si="39"/>
        <v>Display</v>
      </c>
      <c r="I138">
        <f t="shared" si="40"/>
        <v>15742</v>
      </c>
      <c r="J138">
        <f t="shared" si="41"/>
        <v>417</v>
      </c>
      <c r="K138" s="4">
        <f t="shared" si="30"/>
        <v>3.8199999999999998E-2</v>
      </c>
      <c r="L138">
        <f t="shared" si="31"/>
        <v>0.09</v>
      </c>
      <c r="M138" s="4">
        <f t="shared" si="28"/>
        <v>0.6013444</v>
      </c>
      <c r="N138" s="4">
        <f t="shared" si="29"/>
        <v>1.4167799999999999</v>
      </c>
    </row>
    <row r="139" spans="1:14">
      <c r="A139" t="str">
        <f t="shared" si="32"/>
        <v>alp_Man-VWCO</v>
      </c>
      <c r="B139" t="str">
        <f t="shared" si="33"/>
        <v>Google Brasil</v>
      </c>
      <c r="C139" t="str">
        <f t="shared" si="34"/>
        <v>google-brasil|half-page|300x600|man_caminhoes|always_on|vitrine|criativo_04|300x600|cpm</v>
      </c>
      <c r="D139" t="str">
        <f t="shared" si="35"/>
        <v>138019024</v>
      </c>
      <c r="E139" t="str">
        <f t="shared" si="36"/>
        <v>Default</v>
      </c>
      <c r="F139" t="str">
        <f t="shared" si="37"/>
        <v>300x600 Default Web Ad</v>
      </c>
      <c r="G139" t="str">
        <f t="shared" si="38"/>
        <v>310386147</v>
      </c>
      <c r="H139" t="str">
        <f t="shared" si="39"/>
        <v>Display</v>
      </c>
      <c r="I139">
        <f t="shared" si="40"/>
        <v>9751</v>
      </c>
      <c r="J139">
        <f t="shared" si="41"/>
        <v>674</v>
      </c>
      <c r="K139" s="4">
        <f t="shared" si="30"/>
        <v>3.8199999999999998E-2</v>
      </c>
      <c r="L139">
        <f t="shared" si="31"/>
        <v>0.09</v>
      </c>
      <c r="M139" s="4">
        <f t="shared" si="28"/>
        <v>0.37248819999999999</v>
      </c>
      <c r="N139" s="4">
        <f t="shared" si="29"/>
        <v>0.87758999999999987</v>
      </c>
    </row>
    <row r="140" spans="1:14">
      <c r="A140" t="str">
        <f t="shared" si="32"/>
        <v>alp_Man-VWCO</v>
      </c>
      <c r="B140" t="str">
        <f t="shared" si="33"/>
        <v>Google Brasil</v>
      </c>
      <c r="C140" t="str">
        <f t="shared" si="34"/>
        <v>google-brasil|half-page|300x600|vw_caminhoes|always_on|institucional|criativo_01|300x600|cpm</v>
      </c>
      <c r="D140" t="str">
        <f t="shared" si="35"/>
        <v>138019059</v>
      </c>
      <c r="E140" t="str">
        <f t="shared" si="36"/>
        <v>Default</v>
      </c>
      <c r="F140" t="str">
        <f t="shared" si="37"/>
        <v>300x600 Default Web Ad</v>
      </c>
      <c r="G140" t="str">
        <f t="shared" si="38"/>
        <v>310386147</v>
      </c>
      <c r="H140" t="str">
        <f t="shared" si="39"/>
        <v>Display</v>
      </c>
      <c r="I140">
        <f t="shared" si="40"/>
        <v>5352</v>
      </c>
      <c r="J140">
        <f t="shared" si="41"/>
        <v>115</v>
      </c>
      <c r="K140" s="4">
        <f t="shared" si="30"/>
        <v>3.8199999999999998E-2</v>
      </c>
      <c r="L140">
        <f t="shared" si="31"/>
        <v>0.09</v>
      </c>
      <c r="M140" s="4">
        <f t="shared" si="28"/>
        <v>0.20444639999999997</v>
      </c>
      <c r="N140" s="4">
        <f t="shared" si="29"/>
        <v>0.48168</v>
      </c>
    </row>
    <row r="141" spans="1:14">
      <c r="A141" t="str">
        <f t="shared" si="32"/>
        <v>alp_Man-VWCO</v>
      </c>
      <c r="B141" t="str">
        <f t="shared" si="33"/>
        <v>Google Brasil</v>
      </c>
      <c r="C141" t="str">
        <f t="shared" si="34"/>
        <v>google-brasil|half-page|300x600|vw_caminhoes|always_on|institucional|criativo_01|300x600|cpm</v>
      </c>
      <c r="D141" t="str">
        <f t="shared" si="35"/>
        <v>138019059</v>
      </c>
      <c r="E141" t="str">
        <f t="shared" si="36"/>
        <v>Default</v>
      </c>
      <c r="F141" t="str">
        <f t="shared" si="37"/>
        <v>300x600 Default Web Ad</v>
      </c>
      <c r="G141" t="str">
        <f t="shared" si="38"/>
        <v>310386147</v>
      </c>
      <c r="H141" t="str">
        <f t="shared" si="39"/>
        <v>Display</v>
      </c>
      <c r="I141">
        <f t="shared" si="40"/>
        <v>11785</v>
      </c>
      <c r="J141">
        <f t="shared" si="41"/>
        <v>738</v>
      </c>
      <c r="K141" s="4">
        <f t="shared" si="30"/>
        <v>3.8199999999999998E-2</v>
      </c>
      <c r="L141">
        <f t="shared" si="31"/>
        <v>0.09</v>
      </c>
      <c r="M141" s="4">
        <f t="shared" si="28"/>
        <v>0.45018699999999995</v>
      </c>
      <c r="N141" s="4">
        <f t="shared" si="29"/>
        <v>1.0606499999999999</v>
      </c>
    </row>
    <row r="142" spans="1:14">
      <c r="A142" t="str">
        <f t="shared" si="32"/>
        <v>alp_Man-VWCO</v>
      </c>
      <c r="B142" t="str">
        <f t="shared" si="33"/>
        <v>Google Brasil</v>
      </c>
      <c r="C142" t="str">
        <f t="shared" si="34"/>
        <v>google-brasil|half-page|300x600|vw_caminhoes|always_on|institucional|criativo_02|300x600|cpm</v>
      </c>
      <c r="D142" t="str">
        <f t="shared" si="35"/>
        <v>138019054</v>
      </c>
      <c r="E142" t="str">
        <f t="shared" si="36"/>
        <v>Default</v>
      </c>
      <c r="F142" t="str">
        <f t="shared" si="37"/>
        <v>300x600 Default Web Ad</v>
      </c>
      <c r="G142" t="str">
        <f t="shared" si="38"/>
        <v>310386147</v>
      </c>
      <c r="H142" t="str">
        <f t="shared" si="39"/>
        <v>Display</v>
      </c>
      <c r="I142">
        <f t="shared" si="40"/>
        <v>7397</v>
      </c>
      <c r="J142">
        <f t="shared" si="41"/>
        <v>174</v>
      </c>
      <c r="K142" s="4">
        <f t="shared" si="30"/>
        <v>3.8199999999999998E-2</v>
      </c>
      <c r="L142">
        <f t="shared" si="31"/>
        <v>0.09</v>
      </c>
      <c r="M142" s="4">
        <f t="shared" si="28"/>
        <v>0.28256540000000002</v>
      </c>
      <c r="N142" s="4">
        <f t="shared" si="29"/>
        <v>0.66573000000000004</v>
      </c>
    </row>
    <row r="143" spans="1:14">
      <c r="A143" t="str">
        <f t="shared" si="32"/>
        <v>alp_Man-VWCO</v>
      </c>
      <c r="B143" t="str">
        <f t="shared" si="33"/>
        <v>Google Brasil</v>
      </c>
      <c r="C143" t="str">
        <f t="shared" si="34"/>
        <v>google-brasil|half-page|300x600|vw_caminhoes|always_on|institucional|criativo_02|300x600|cpm</v>
      </c>
      <c r="D143" t="str">
        <f t="shared" si="35"/>
        <v>138019054</v>
      </c>
      <c r="E143" t="str">
        <f t="shared" si="36"/>
        <v>Default</v>
      </c>
      <c r="F143" t="str">
        <f t="shared" si="37"/>
        <v>300x600 Default Web Ad</v>
      </c>
      <c r="G143" t="str">
        <f t="shared" si="38"/>
        <v>310386147</v>
      </c>
      <c r="H143" t="str">
        <f t="shared" si="39"/>
        <v>Display</v>
      </c>
      <c r="I143">
        <f t="shared" si="40"/>
        <v>13059</v>
      </c>
      <c r="J143">
        <f t="shared" si="41"/>
        <v>843</v>
      </c>
      <c r="K143" s="4">
        <f t="shared" si="30"/>
        <v>3.8199999999999998E-2</v>
      </c>
      <c r="L143">
        <f t="shared" si="31"/>
        <v>0.09</v>
      </c>
      <c r="M143" s="4">
        <f t="shared" si="28"/>
        <v>0.49885379999999996</v>
      </c>
      <c r="N143" s="4">
        <f t="shared" si="29"/>
        <v>1.1753099999999999</v>
      </c>
    </row>
    <row r="144" spans="1:14">
      <c r="A144" t="str">
        <f t="shared" si="32"/>
        <v>alp_Man-VWCO</v>
      </c>
      <c r="B144" t="str">
        <f t="shared" si="33"/>
        <v>Google Brasil</v>
      </c>
      <c r="C144" t="str">
        <f t="shared" si="34"/>
        <v>google-brasil|half-page|300x600|vw_caminhoes|always_on|institucional|criativo_03|300x600|cpm</v>
      </c>
      <c r="D144" t="str">
        <f t="shared" si="35"/>
        <v>138019049</v>
      </c>
      <c r="E144" t="str">
        <f t="shared" si="36"/>
        <v>Default</v>
      </c>
      <c r="F144" t="str">
        <f t="shared" si="37"/>
        <v>300x600 Default Web Ad</v>
      </c>
      <c r="G144" t="str">
        <f t="shared" si="38"/>
        <v>310386147</v>
      </c>
      <c r="H144" t="str">
        <f t="shared" si="39"/>
        <v>Display</v>
      </c>
      <c r="I144">
        <f t="shared" si="40"/>
        <v>4733</v>
      </c>
      <c r="J144">
        <f t="shared" si="41"/>
        <v>66</v>
      </c>
      <c r="K144" s="4">
        <f t="shared" si="30"/>
        <v>3.8199999999999998E-2</v>
      </c>
      <c r="L144">
        <f t="shared" si="31"/>
        <v>0.09</v>
      </c>
      <c r="M144" s="4">
        <f t="shared" si="28"/>
        <v>0.18080060000000001</v>
      </c>
      <c r="N144" s="4">
        <f t="shared" si="29"/>
        <v>0.42596999999999996</v>
      </c>
    </row>
    <row r="145" spans="1:14">
      <c r="A145" t="str">
        <f t="shared" si="32"/>
        <v>alp_Man-VWCO</v>
      </c>
      <c r="B145" t="str">
        <f t="shared" si="33"/>
        <v>Google Brasil</v>
      </c>
      <c r="C145" t="str">
        <f t="shared" si="34"/>
        <v>google-brasil|half-page|300x600|vw_caminhoes|always_on|institucional|criativo_03|300x600|cpm</v>
      </c>
      <c r="D145" t="str">
        <f t="shared" si="35"/>
        <v>138019049</v>
      </c>
      <c r="E145" t="str">
        <f t="shared" si="36"/>
        <v>Default</v>
      </c>
      <c r="F145" t="str">
        <f t="shared" si="37"/>
        <v>300x600 Default Web Ad</v>
      </c>
      <c r="G145" t="str">
        <f t="shared" si="38"/>
        <v>310386147</v>
      </c>
      <c r="H145" t="str">
        <f t="shared" si="39"/>
        <v>Display</v>
      </c>
      <c r="I145">
        <f t="shared" si="40"/>
        <v>25836</v>
      </c>
      <c r="J145">
        <f t="shared" si="41"/>
        <v>1557</v>
      </c>
      <c r="K145" s="4">
        <f t="shared" si="30"/>
        <v>3.8199999999999998E-2</v>
      </c>
      <c r="L145">
        <f t="shared" si="31"/>
        <v>0.09</v>
      </c>
      <c r="M145" s="4">
        <f t="shared" si="28"/>
        <v>0.9869351999999999</v>
      </c>
      <c r="N145" s="4">
        <f t="shared" si="29"/>
        <v>2.32524</v>
      </c>
    </row>
    <row r="146" spans="1:14">
      <c r="A146" t="str">
        <f t="shared" si="32"/>
        <v>alp_Man-VWCO</v>
      </c>
      <c r="B146" t="str">
        <f t="shared" si="33"/>
        <v>Google Brasil</v>
      </c>
      <c r="C146" t="str">
        <f t="shared" si="34"/>
        <v>google-brasil|half-page|300x600|vw_caminhoes|always_on|institucional|criativo_04|300x600|cpm</v>
      </c>
      <c r="D146" t="str">
        <f t="shared" si="35"/>
        <v>138019044</v>
      </c>
      <c r="E146" t="str">
        <f t="shared" si="36"/>
        <v>Default</v>
      </c>
      <c r="F146" t="str">
        <f t="shared" si="37"/>
        <v>300x600 Default Web Ad</v>
      </c>
      <c r="G146" t="str">
        <f t="shared" si="38"/>
        <v>310386147</v>
      </c>
      <c r="H146" t="str">
        <f t="shared" si="39"/>
        <v>Display</v>
      </c>
      <c r="I146">
        <f t="shared" si="40"/>
        <v>14085</v>
      </c>
      <c r="J146">
        <f t="shared" si="41"/>
        <v>469</v>
      </c>
      <c r="K146" s="4">
        <f t="shared" si="30"/>
        <v>3.8199999999999998E-2</v>
      </c>
      <c r="L146">
        <f t="shared" si="31"/>
        <v>0.09</v>
      </c>
      <c r="M146" s="4">
        <f t="shared" si="28"/>
        <v>0.53804700000000005</v>
      </c>
      <c r="N146" s="4">
        <f t="shared" si="29"/>
        <v>1.2676499999999999</v>
      </c>
    </row>
    <row r="147" spans="1:14">
      <c r="A147" t="str">
        <f t="shared" si="32"/>
        <v>alp_Man-VWCO</v>
      </c>
      <c r="B147" t="str">
        <f t="shared" si="33"/>
        <v>Google Brasil</v>
      </c>
      <c r="C147" t="str">
        <f t="shared" si="34"/>
        <v>google-brasil|half-page|300x600|vw_caminhoes|always_on|institucional|criativo_04|300x600|cpm</v>
      </c>
      <c r="D147" t="str">
        <f t="shared" si="35"/>
        <v>138019044</v>
      </c>
      <c r="E147" t="str">
        <f t="shared" si="36"/>
        <v>Default</v>
      </c>
      <c r="F147" t="str">
        <f t="shared" si="37"/>
        <v>300x600 Default Web Ad</v>
      </c>
      <c r="G147" t="str">
        <f t="shared" si="38"/>
        <v>310386147</v>
      </c>
      <c r="H147" t="str">
        <f t="shared" si="39"/>
        <v>Display</v>
      </c>
      <c r="I147">
        <f t="shared" si="40"/>
        <v>10254</v>
      </c>
      <c r="J147">
        <f t="shared" si="41"/>
        <v>618</v>
      </c>
      <c r="K147" s="4">
        <f t="shared" si="30"/>
        <v>3.8199999999999998E-2</v>
      </c>
      <c r="L147">
        <f t="shared" si="31"/>
        <v>0.09</v>
      </c>
      <c r="M147" s="4">
        <f t="shared" si="28"/>
        <v>0.39170279999999996</v>
      </c>
      <c r="N147" s="4">
        <f t="shared" si="29"/>
        <v>0.92286000000000001</v>
      </c>
    </row>
    <row r="148" spans="1:14">
      <c r="A148" t="str">
        <f t="shared" si="32"/>
        <v>alp_Man-VWCO</v>
      </c>
      <c r="B148" t="str">
        <f t="shared" si="33"/>
        <v>Google Brasil</v>
      </c>
      <c r="C148" t="str">
        <f t="shared" si="34"/>
        <v>google-brasil|half-page|300x600|vw_caminhoes|always_on|produto|criativo_10_constellation_31-280|300x600|cpm</v>
      </c>
      <c r="D148" t="str">
        <f t="shared" si="35"/>
        <v>138018049</v>
      </c>
      <c r="E148" t="str">
        <f t="shared" si="36"/>
        <v>Default</v>
      </c>
      <c r="F148" t="str">
        <f t="shared" si="37"/>
        <v>300x600 Default Web Ad</v>
      </c>
      <c r="G148" t="str">
        <f t="shared" si="38"/>
        <v>310386147</v>
      </c>
      <c r="H148" t="str">
        <f t="shared" si="39"/>
        <v>Display</v>
      </c>
      <c r="I148">
        <f t="shared" si="40"/>
        <v>2377</v>
      </c>
      <c r="J148">
        <f t="shared" si="41"/>
        <v>18</v>
      </c>
      <c r="K148" s="4">
        <f t="shared" si="30"/>
        <v>3.8199999999999998E-2</v>
      </c>
      <c r="L148">
        <f t="shared" si="31"/>
        <v>0.09</v>
      </c>
      <c r="M148" s="4">
        <f t="shared" si="28"/>
        <v>9.0801400000000004E-2</v>
      </c>
      <c r="N148" s="4">
        <f t="shared" si="29"/>
        <v>0.21392999999999998</v>
      </c>
    </row>
    <row r="149" spans="1:14">
      <c r="A149" t="str">
        <f t="shared" si="32"/>
        <v>alp_Man-VWCO</v>
      </c>
      <c r="B149" t="str">
        <f t="shared" si="33"/>
        <v>Google Brasil</v>
      </c>
      <c r="C149" t="str">
        <f t="shared" si="34"/>
        <v>google-brasil|half-page|300x600|vw_caminhoes|always_on|produto|criativo_10_constellation_31-280|300x600|cpm</v>
      </c>
      <c r="D149" t="str">
        <f t="shared" si="35"/>
        <v>138018049</v>
      </c>
      <c r="E149" t="str">
        <f t="shared" si="36"/>
        <v>Default</v>
      </c>
      <c r="F149" t="str">
        <f t="shared" si="37"/>
        <v>300x600 Default Web Ad</v>
      </c>
      <c r="G149" t="str">
        <f t="shared" si="38"/>
        <v>310386147</v>
      </c>
      <c r="H149" t="str">
        <f t="shared" si="39"/>
        <v>Display</v>
      </c>
      <c r="I149">
        <f t="shared" si="40"/>
        <v>1176</v>
      </c>
      <c r="J149">
        <f t="shared" si="41"/>
        <v>6</v>
      </c>
      <c r="K149" s="4">
        <f t="shared" si="30"/>
        <v>3.8199999999999998E-2</v>
      </c>
      <c r="L149">
        <f t="shared" si="31"/>
        <v>0.09</v>
      </c>
      <c r="M149" s="4">
        <f t="shared" si="28"/>
        <v>4.4923199999999996E-2</v>
      </c>
      <c r="N149" s="4">
        <f t="shared" si="29"/>
        <v>0.10583999999999999</v>
      </c>
    </row>
    <row r="150" spans="1:14">
      <c r="A150" t="str">
        <f t="shared" si="32"/>
        <v>alp_Man-VWCO</v>
      </c>
      <c r="B150" t="str">
        <f t="shared" si="33"/>
        <v>Google Brasil</v>
      </c>
      <c r="C150" t="str">
        <f t="shared" si="34"/>
        <v>google-brasil|half-page|300x600|vw_caminhoes|always_on|produto|criativo_12_worker_15-190|300x600|cpm</v>
      </c>
      <c r="D150" t="str">
        <f t="shared" si="35"/>
        <v>138018039</v>
      </c>
      <c r="E150" t="str">
        <f t="shared" si="36"/>
        <v>Default</v>
      </c>
      <c r="F150" t="str">
        <f t="shared" si="37"/>
        <v>300x600 Default Web Ad</v>
      </c>
      <c r="G150" t="str">
        <f t="shared" si="38"/>
        <v>310386147</v>
      </c>
      <c r="H150" t="str">
        <f t="shared" si="39"/>
        <v>Display</v>
      </c>
      <c r="I150">
        <f t="shared" si="40"/>
        <v>996</v>
      </c>
      <c r="J150">
        <f t="shared" si="41"/>
        <v>6</v>
      </c>
      <c r="K150" s="4">
        <f t="shared" si="30"/>
        <v>3.8199999999999998E-2</v>
      </c>
      <c r="L150">
        <f t="shared" si="31"/>
        <v>0.09</v>
      </c>
      <c r="M150" s="4">
        <f t="shared" si="28"/>
        <v>3.8047199999999996E-2</v>
      </c>
      <c r="N150" s="4">
        <f t="shared" si="29"/>
        <v>8.9639999999999997E-2</v>
      </c>
    </row>
    <row r="151" spans="1:14">
      <c r="A151" t="str">
        <f t="shared" si="32"/>
        <v>alp_Man-VWCO</v>
      </c>
      <c r="B151" t="str">
        <f t="shared" si="33"/>
        <v>Google Brasil</v>
      </c>
      <c r="C151" t="str">
        <f t="shared" si="34"/>
        <v>google-brasil|half-page|300x600|vw_caminhoes|always_on|produto|criativo_12_worker_15-190|300x600|cpm</v>
      </c>
      <c r="D151" t="str">
        <f t="shared" si="35"/>
        <v>138018039</v>
      </c>
      <c r="E151" t="str">
        <f t="shared" si="36"/>
        <v>Default</v>
      </c>
      <c r="F151" t="str">
        <f t="shared" si="37"/>
        <v>300x600 Default Web Ad</v>
      </c>
      <c r="G151" t="str">
        <f t="shared" si="38"/>
        <v>310386147</v>
      </c>
      <c r="H151" t="str">
        <f t="shared" si="39"/>
        <v>Display</v>
      </c>
      <c r="I151">
        <f t="shared" si="40"/>
        <v>549</v>
      </c>
      <c r="J151">
        <f t="shared" si="41"/>
        <v>3</v>
      </c>
      <c r="K151" s="4">
        <f t="shared" si="30"/>
        <v>3.8199999999999998E-2</v>
      </c>
      <c r="L151">
        <f t="shared" si="31"/>
        <v>0.09</v>
      </c>
      <c r="M151" s="4">
        <f t="shared" si="28"/>
        <v>2.0971799999999999E-2</v>
      </c>
      <c r="N151" s="4">
        <f t="shared" si="29"/>
        <v>4.9409999999999996E-2</v>
      </c>
    </row>
    <row r="152" spans="1:14">
      <c r="A152" t="str">
        <f t="shared" si="32"/>
        <v>alp_Man-VWCO</v>
      </c>
      <c r="B152" t="str">
        <f t="shared" si="33"/>
        <v>Google Brasil</v>
      </c>
      <c r="C152" t="str">
        <f t="shared" si="34"/>
        <v>google-brasil|half-page|300x600|vw_caminhoes|always_on|produto|criativo_13_worker_17-190|300x600|cpm</v>
      </c>
      <c r="D152" t="str">
        <f t="shared" si="35"/>
        <v>138018034</v>
      </c>
      <c r="E152" t="str">
        <f t="shared" si="36"/>
        <v>Default</v>
      </c>
      <c r="F152" t="str">
        <f t="shared" si="37"/>
        <v>300x600 Default Web Ad</v>
      </c>
      <c r="G152" t="str">
        <f t="shared" si="38"/>
        <v>310386147</v>
      </c>
      <c r="H152" t="str">
        <f t="shared" si="39"/>
        <v>Display</v>
      </c>
      <c r="I152">
        <f t="shared" si="40"/>
        <v>990</v>
      </c>
      <c r="J152">
        <f t="shared" si="41"/>
        <v>4</v>
      </c>
      <c r="K152" s="4">
        <f t="shared" si="30"/>
        <v>3.8199999999999998E-2</v>
      </c>
      <c r="L152">
        <f t="shared" si="31"/>
        <v>0.09</v>
      </c>
      <c r="M152" s="4">
        <f t="shared" si="28"/>
        <v>3.7817999999999997E-2</v>
      </c>
      <c r="N152" s="4">
        <f t="shared" si="29"/>
        <v>8.9099999999999999E-2</v>
      </c>
    </row>
    <row r="153" spans="1:14">
      <c r="A153" t="str">
        <f t="shared" si="32"/>
        <v>alp_Man-VWCO</v>
      </c>
      <c r="B153" t="str">
        <f t="shared" si="33"/>
        <v>Google Brasil</v>
      </c>
      <c r="C153" t="str">
        <f t="shared" si="34"/>
        <v>google-brasil|half-page|300x600|vw_caminhoes|always_on|produto|criativo_13_worker_17-190|300x600|cpm</v>
      </c>
      <c r="D153" t="str">
        <f t="shared" si="35"/>
        <v>138018034</v>
      </c>
      <c r="E153" t="str">
        <f t="shared" si="36"/>
        <v>Default</v>
      </c>
      <c r="F153" t="str">
        <f t="shared" si="37"/>
        <v>300x600 Default Web Ad</v>
      </c>
      <c r="G153" t="str">
        <f t="shared" si="38"/>
        <v>310386147</v>
      </c>
      <c r="H153" t="str">
        <f t="shared" si="39"/>
        <v>Display</v>
      </c>
      <c r="I153">
        <f t="shared" si="40"/>
        <v>629</v>
      </c>
      <c r="J153">
        <f t="shared" si="41"/>
        <v>5</v>
      </c>
      <c r="K153" s="4">
        <f t="shared" si="30"/>
        <v>3.8199999999999998E-2</v>
      </c>
      <c r="L153">
        <f t="shared" si="31"/>
        <v>0.09</v>
      </c>
      <c r="M153" s="4">
        <f t="shared" si="28"/>
        <v>2.4027799999999998E-2</v>
      </c>
      <c r="N153" s="4">
        <f t="shared" si="29"/>
        <v>5.6610000000000001E-2</v>
      </c>
    </row>
    <row r="154" spans="1:14">
      <c r="A154" t="str">
        <f t="shared" si="32"/>
        <v>alp_Man-VWCO</v>
      </c>
      <c r="B154" t="str">
        <f t="shared" si="33"/>
        <v>Google Brasil</v>
      </c>
      <c r="C154" t="str">
        <f t="shared" si="34"/>
        <v>google-brasil|half-page|300x600|vw_caminhoes|always_on|produto|criativo_14_worker_17-230|300x600|cpm</v>
      </c>
      <c r="D154" t="str">
        <f t="shared" si="35"/>
        <v>138018029</v>
      </c>
      <c r="E154" t="str">
        <f t="shared" si="36"/>
        <v>Default</v>
      </c>
      <c r="F154" t="str">
        <f t="shared" si="37"/>
        <v>300x600 Default Web Ad</v>
      </c>
      <c r="G154" t="str">
        <f t="shared" si="38"/>
        <v>310386147</v>
      </c>
      <c r="H154" t="str">
        <f t="shared" si="39"/>
        <v>Display</v>
      </c>
      <c r="I154">
        <f t="shared" si="40"/>
        <v>1655</v>
      </c>
      <c r="J154">
        <f t="shared" si="41"/>
        <v>4</v>
      </c>
      <c r="K154" s="4">
        <f t="shared" si="30"/>
        <v>3.8199999999999998E-2</v>
      </c>
      <c r="L154">
        <f t="shared" si="31"/>
        <v>0.09</v>
      </c>
      <c r="M154" s="4">
        <f t="shared" si="28"/>
        <v>6.3220999999999999E-2</v>
      </c>
      <c r="N154" s="4">
        <f t="shared" si="29"/>
        <v>0.14895</v>
      </c>
    </row>
    <row r="155" spans="1:14">
      <c r="A155" t="str">
        <f t="shared" si="32"/>
        <v>alp_Man-VWCO</v>
      </c>
      <c r="B155" t="str">
        <f t="shared" si="33"/>
        <v>Google Brasil</v>
      </c>
      <c r="C155" t="str">
        <f t="shared" si="34"/>
        <v>google-brasil|half-page|300x600|vw_caminhoes|always_on|produto|criativo_14_worker_17-230|300x600|cpm</v>
      </c>
      <c r="D155" t="str">
        <f t="shared" si="35"/>
        <v>138018029</v>
      </c>
      <c r="E155" t="str">
        <f t="shared" si="36"/>
        <v>Default</v>
      </c>
      <c r="F155" t="str">
        <f t="shared" si="37"/>
        <v>300x600 Default Web Ad</v>
      </c>
      <c r="G155" t="str">
        <f t="shared" si="38"/>
        <v>310386147</v>
      </c>
      <c r="H155" t="str">
        <f t="shared" si="39"/>
        <v>Display</v>
      </c>
      <c r="I155">
        <f t="shared" si="40"/>
        <v>1140</v>
      </c>
      <c r="J155">
        <f t="shared" si="41"/>
        <v>5</v>
      </c>
      <c r="K155" s="4">
        <f t="shared" si="30"/>
        <v>3.8199999999999998E-2</v>
      </c>
      <c r="L155">
        <f t="shared" si="31"/>
        <v>0.09</v>
      </c>
      <c r="M155" s="4">
        <f t="shared" si="28"/>
        <v>4.3547999999999996E-2</v>
      </c>
      <c r="N155" s="4">
        <f t="shared" si="29"/>
        <v>0.1026</v>
      </c>
    </row>
    <row r="156" spans="1:14">
      <c r="A156" t="str">
        <f t="shared" si="32"/>
        <v>alp_Man-VWCO</v>
      </c>
      <c r="B156" t="str">
        <f t="shared" si="33"/>
        <v>Google Brasil</v>
      </c>
      <c r="C156" t="str">
        <f t="shared" si="34"/>
        <v>google-brasil|half-page|300x600|vw_caminhoes|always_on|produto|criativo_16_constellation_canavieiro|300x600|cpm</v>
      </c>
      <c r="D156" t="str">
        <f t="shared" si="35"/>
        <v>138018019</v>
      </c>
      <c r="E156" t="str">
        <f t="shared" si="36"/>
        <v>Default</v>
      </c>
      <c r="F156" t="str">
        <f t="shared" si="37"/>
        <v>300x600 Default Web Ad</v>
      </c>
      <c r="G156" t="str">
        <f t="shared" si="38"/>
        <v>310386147</v>
      </c>
      <c r="H156" t="str">
        <f t="shared" si="39"/>
        <v>Display</v>
      </c>
      <c r="I156">
        <f t="shared" si="40"/>
        <v>648</v>
      </c>
      <c r="J156">
        <f t="shared" si="41"/>
        <v>3</v>
      </c>
      <c r="K156" s="4">
        <f t="shared" si="30"/>
        <v>3.8199999999999998E-2</v>
      </c>
      <c r="L156">
        <f t="shared" si="31"/>
        <v>0.09</v>
      </c>
      <c r="M156" s="4">
        <f t="shared" si="28"/>
        <v>2.4753599999999997E-2</v>
      </c>
      <c r="N156" s="4">
        <f t="shared" si="29"/>
        <v>5.8319999999999997E-2</v>
      </c>
    </row>
    <row r="157" spans="1:14">
      <c r="A157" t="str">
        <f t="shared" si="32"/>
        <v>alp_Man-VWCO</v>
      </c>
      <c r="B157" t="str">
        <f t="shared" si="33"/>
        <v>Google Brasil</v>
      </c>
      <c r="C157" t="str">
        <f t="shared" si="34"/>
        <v>google-brasil|half-page|300x600|vw_caminhoes|always_on|produto|criativo_17_constellation_compactor|300x600|cpm</v>
      </c>
      <c r="D157" t="str">
        <f t="shared" si="35"/>
        <v>138018014</v>
      </c>
      <c r="E157" t="str">
        <f t="shared" si="36"/>
        <v>Default</v>
      </c>
      <c r="F157" t="str">
        <f t="shared" si="37"/>
        <v>300x600 Default Web Ad</v>
      </c>
      <c r="G157" t="str">
        <f t="shared" si="38"/>
        <v>310386147</v>
      </c>
      <c r="H157" t="str">
        <f t="shared" si="39"/>
        <v>Display</v>
      </c>
      <c r="I157">
        <f t="shared" si="40"/>
        <v>3874</v>
      </c>
      <c r="J157">
        <f t="shared" si="41"/>
        <v>18</v>
      </c>
      <c r="K157" s="4">
        <f t="shared" si="30"/>
        <v>3.8199999999999998E-2</v>
      </c>
      <c r="L157">
        <f t="shared" si="31"/>
        <v>0.09</v>
      </c>
      <c r="M157" s="4">
        <f t="shared" si="28"/>
        <v>0.1479868</v>
      </c>
      <c r="N157" s="4">
        <f t="shared" si="29"/>
        <v>0.34865999999999997</v>
      </c>
    </row>
    <row r="158" spans="1:14">
      <c r="A158" t="str">
        <f t="shared" si="32"/>
        <v>alp_Man-VWCO</v>
      </c>
      <c r="B158" t="str">
        <f t="shared" si="33"/>
        <v>Google Brasil</v>
      </c>
      <c r="C158" t="str">
        <f t="shared" si="34"/>
        <v>google-brasil|half-page|300x600|vw_caminhoes|always_on|produto|criativo_17_constellation_compactor|300x600|cpm</v>
      </c>
      <c r="D158" t="str">
        <f t="shared" si="35"/>
        <v>138018014</v>
      </c>
      <c r="E158" t="str">
        <f t="shared" si="36"/>
        <v>Default</v>
      </c>
      <c r="F158" t="str">
        <f t="shared" si="37"/>
        <v>300x600 Default Web Ad</v>
      </c>
      <c r="G158" t="str">
        <f t="shared" si="38"/>
        <v>310386147</v>
      </c>
      <c r="H158" t="str">
        <f t="shared" si="39"/>
        <v>Display</v>
      </c>
      <c r="I158">
        <f t="shared" si="40"/>
        <v>1884</v>
      </c>
      <c r="J158">
        <f t="shared" si="41"/>
        <v>3</v>
      </c>
      <c r="K158" s="4">
        <f t="shared" si="30"/>
        <v>3.8199999999999998E-2</v>
      </c>
      <c r="L158">
        <f t="shared" si="31"/>
        <v>0.09</v>
      </c>
      <c r="M158" s="4">
        <f t="shared" si="28"/>
        <v>7.1968799999999999E-2</v>
      </c>
      <c r="N158" s="4">
        <f t="shared" si="29"/>
        <v>0.16955999999999999</v>
      </c>
    </row>
    <row r="159" spans="1:14">
      <c r="A159" t="str">
        <f t="shared" si="32"/>
        <v>alp_Man-VWCO</v>
      </c>
      <c r="B159" t="str">
        <f t="shared" si="33"/>
        <v>Google Brasil</v>
      </c>
      <c r="C159" t="str">
        <f t="shared" si="34"/>
        <v>google-brasil|half-page|300x600|vw_caminhoes|always_on|produto|criativo_35_constructor_betoneira|300x600|cpm</v>
      </c>
      <c r="D159" t="str">
        <f t="shared" si="35"/>
        <v>138017954</v>
      </c>
      <c r="E159" t="str">
        <f t="shared" si="36"/>
        <v>Default</v>
      </c>
      <c r="F159" t="str">
        <f t="shared" si="37"/>
        <v>300x600 Default Web Ad</v>
      </c>
      <c r="G159" t="str">
        <f t="shared" si="38"/>
        <v>310386147</v>
      </c>
      <c r="H159" t="str">
        <f t="shared" si="39"/>
        <v>Display</v>
      </c>
      <c r="I159">
        <f t="shared" si="40"/>
        <v>575</v>
      </c>
      <c r="J159">
        <f t="shared" si="41"/>
        <v>0</v>
      </c>
      <c r="K159" s="4">
        <f t="shared" si="30"/>
        <v>3.8199999999999998E-2</v>
      </c>
      <c r="L159">
        <f t="shared" si="31"/>
        <v>0.09</v>
      </c>
      <c r="M159" s="4">
        <f t="shared" si="28"/>
        <v>2.1964999999999998E-2</v>
      </c>
      <c r="N159" s="4">
        <f t="shared" si="29"/>
        <v>5.1749999999999997E-2</v>
      </c>
    </row>
    <row r="160" spans="1:14">
      <c r="A160" t="str">
        <f t="shared" si="32"/>
        <v>alp_Man-VWCO</v>
      </c>
      <c r="B160" t="str">
        <f t="shared" si="33"/>
        <v>Google Brasil</v>
      </c>
      <c r="C160" t="str">
        <f t="shared" si="34"/>
        <v>google-brasil|half-page|300x600|vw_caminhoes|always_on|produto|criativo_35_constructor_betoneira|300x600|cpm</v>
      </c>
      <c r="D160" t="str">
        <f t="shared" si="35"/>
        <v>138017954</v>
      </c>
      <c r="E160" t="str">
        <f t="shared" si="36"/>
        <v>Default</v>
      </c>
      <c r="F160" t="str">
        <f t="shared" si="37"/>
        <v>300x600 Default Web Ad</v>
      </c>
      <c r="G160" t="str">
        <f t="shared" si="38"/>
        <v>310386147</v>
      </c>
      <c r="H160" t="str">
        <f t="shared" si="39"/>
        <v>Display</v>
      </c>
      <c r="I160">
        <f t="shared" si="40"/>
        <v>18</v>
      </c>
      <c r="J160">
        <f t="shared" si="41"/>
        <v>0</v>
      </c>
      <c r="K160" s="4">
        <f t="shared" si="30"/>
        <v>3.8199999999999998E-2</v>
      </c>
      <c r="L160">
        <f t="shared" si="31"/>
        <v>0.09</v>
      </c>
      <c r="M160" s="4">
        <f t="shared" si="28"/>
        <v>6.8760000000000002E-4</v>
      </c>
      <c r="N160" s="4">
        <f t="shared" si="29"/>
        <v>1.6199999999999999E-3</v>
      </c>
    </row>
    <row r="161" spans="1:14">
      <c r="A161" t="str">
        <f t="shared" si="32"/>
        <v>alp_Man-VWCO</v>
      </c>
      <c r="B161" t="str">
        <f t="shared" si="33"/>
        <v>Google Brasil</v>
      </c>
      <c r="C161" t="str">
        <f t="shared" si="34"/>
        <v>google-brasil|half-page|300x600|vw_caminhoes|always_on|produto|criativo_36_constellation_distributor|300x600|cpm</v>
      </c>
      <c r="D161" t="str">
        <f t="shared" si="35"/>
        <v>138017949</v>
      </c>
      <c r="E161" t="str">
        <f t="shared" si="36"/>
        <v>Default</v>
      </c>
      <c r="F161" t="str">
        <f t="shared" si="37"/>
        <v>300x600 Default Web Ad</v>
      </c>
      <c r="G161" t="str">
        <f t="shared" si="38"/>
        <v>310386147</v>
      </c>
      <c r="H161" t="str">
        <f t="shared" si="39"/>
        <v>Display</v>
      </c>
      <c r="I161">
        <f t="shared" si="40"/>
        <v>1499</v>
      </c>
      <c r="J161">
        <f t="shared" si="41"/>
        <v>2</v>
      </c>
      <c r="K161" s="4">
        <f t="shared" si="30"/>
        <v>3.8199999999999998E-2</v>
      </c>
      <c r="L161">
        <f t="shared" si="31"/>
        <v>0.09</v>
      </c>
      <c r="M161" s="4">
        <f t="shared" si="28"/>
        <v>5.7261799999999995E-2</v>
      </c>
      <c r="N161" s="4">
        <f t="shared" si="29"/>
        <v>0.13491</v>
      </c>
    </row>
    <row r="162" spans="1:14">
      <c r="A162" t="str">
        <f t="shared" si="32"/>
        <v>alp_Man-VWCO</v>
      </c>
      <c r="B162" t="str">
        <f t="shared" si="33"/>
        <v>Google Brasil</v>
      </c>
      <c r="C162" t="str">
        <f t="shared" si="34"/>
        <v>google-brasil|half-page|300x600|vw_caminhoes|always_on|produto|criativo_36_constellation_distributor|300x600|cpm</v>
      </c>
      <c r="D162" t="str">
        <f t="shared" si="35"/>
        <v>138017949</v>
      </c>
      <c r="E162" t="str">
        <f t="shared" si="36"/>
        <v>Default</v>
      </c>
      <c r="F162" t="str">
        <f t="shared" si="37"/>
        <v>300x600 Default Web Ad</v>
      </c>
      <c r="G162" t="str">
        <f t="shared" si="38"/>
        <v>310386147</v>
      </c>
      <c r="H162" t="str">
        <f t="shared" si="39"/>
        <v>Display</v>
      </c>
      <c r="I162">
        <f t="shared" si="40"/>
        <v>1555</v>
      </c>
      <c r="J162">
        <f t="shared" si="41"/>
        <v>0</v>
      </c>
      <c r="K162" s="4">
        <f t="shared" si="30"/>
        <v>3.8199999999999998E-2</v>
      </c>
      <c r="L162">
        <f t="shared" si="31"/>
        <v>0.09</v>
      </c>
      <c r="M162" s="4">
        <f t="shared" si="28"/>
        <v>5.9400999999999995E-2</v>
      </c>
      <c r="N162" s="4">
        <f t="shared" si="29"/>
        <v>0.13994999999999999</v>
      </c>
    </row>
    <row r="163" spans="1:14">
      <c r="A163" t="str">
        <f t="shared" si="32"/>
        <v>alp_Man-VWCO</v>
      </c>
      <c r="B163" t="str">
        <f t="shared" si="33"/>
        <v>Google Brasil</v>
      </c>
      <c r="C163" t="str">
        <f t="shared" si="34"/>
        <v>google-brasil|half-page|300x600|vw_caminhoes|always_on|produto|criativo_38_worker_17-230|300x600|cpm</v>
      </c>
      <c r="D163" t="str">
        <f t="shared" si="35"/>
        <v>138017939</v>
      </c>
      <c r="E163" t="str">
        <f t="shared" si="36"/>
        <v>Default</v>
      </c>
      <c r="F163" t="str">
        <f t="shared" si="37"/>
        <v>300x600 Default Web Ad</v>
      </c>
      <c r="G163" t="str">
        <f t="shared" si="38"/>
        <v>310386147</v>
      </c>
      <c r="H163" t="str">
        <f t="shared" si="39"/>
        <v>Display</v>
      </c>
      <c r="I163">
        <f t="shared" si="40"/>
        <v>2962</v>
      </c>
      <c r="J163">
        <f t="shared" si="41"/>
        <v>15</v>
      </c>
      <c r="K163" s="4">
        <f t="shared" si="30"/>
        <v>3.8199999999999998E-2</v>
      </c>
      <c r="L163">
        <f t="shared" si="31"/>
        <v>0.09</v>
      </c>
      <c r="M163" s="4">
        <f t="shared" ref="M163:M226" si="42">IF(E163="Dynamic Click",J163*K163,K163*$I163/1000)</f>
        <v>0.1131484</v>
      </c>
      <c r="N163" s="4">
        <f t="shared" ref="N163:N226" si="43">IF(E163="Dynamic Click",J163*L163,L163*$I163/1000)</f>
        <v>0.26657999999999998</v>
      </c>
    </row>
    <row r="164" spans="1:14">
      <c r="A164" t="str">
        <f t="shared" si="32"/>
        <v>alp_Man-VWCO</v>
      </c>
      <c r="B164" t="str">
        <f t="shared" si="33"/>
        <v>Google Brasil</v>
      </c>
      <c r="C164" t="str">
        <f t="shared" si="34"/>
        <v>google-brasil|half-page|300x600|vw_caminhoes|always_on|produto|criativo_38_worker_17-230|300x600|cpm</v>
      </c>
      <c r="D164" t="str">
        <f t="shared" si="35"/>
        <v>138017939</v>
      </c>
      <c r="E164" t="str">
        <f t="shared" si="36"/>
        <v>Default</v>
      </c>
      <c r="F164" t="str">
        <f t="shared" si="37"/>
        <v>300x600 Default Web Ad</v>
      </c>
      <c r="G164" t="str">
        <f t="shared" si="38"/>
        <v>310386147</v>
      </c>
      <c r="H164" t="str">
        <f t="shared" si="39"/>
        <v>Display</v>
      </c>
      <c r="I164">
        <f t="shared" si="40"/>
        <v>2357</v>
      </c>
      <c r="J164">
        <f t="shared" si="41"/>
        <v>6</v>
      </c>
      <c r="K164" s="4">
        <f t="shared" si="30"/>
        <v>3.8199999999999998E-2</v>
      </c>
      <c r="L164">
        <f t="shared" si="31"/>
        <v>0.09</v>
      </c>
      <c r="M164" s="4">
        <f t="shared" si="42"/>
        <v>9.003739999999999E-2</v>
      </c>
      <c r="N164" s="4">
        <f t="shared" si="43"/>
        <v>0.21212999999999999</v>
      </c>
    </row>
    <row r="165" spans="1:14">
      <c r="A165" t="str">
        <f t="shared" si="32"/>
        <v>alp_Man-VWCO</v>
      </c>
      <c r="B165" t="str">
        <f t="shared" si="33"/>
        <v>Google Brasil</v>
      </c>
      <c r="C165" t="str">
        <f t="shared" si="34"/>
        <v>google-brasil|half-page|300x600|vw_caminhoes|always_on|produto|criativo_39_worker_17-230|300x600|cpm</v>
      </c>
      <c r="D165" t="str">
        <f t="shared" si="35"/>
        <v>138017934</v>
      </c>
      <c r="E165" t="str">
        <f t="shared" si="36"/>
        <v>Default</v>
      </c>
      <c r="F165" t="str">
        <f t="shared" si="37"/>
        <v>300x600 Default Web Ad</v>
      </c>
      <c r="G165" t="str">
        <f t="shared" si="38"/>
        <v>310386147</v>
      </c>
      <c r="H165" t="str">
        <f t="shared" si="39"/>
        <v>Display</v>
      </c>
      <c r="I165">
        <f t="shared" si="40"/>
        <v>3009</v>
      </c>
      <c r="J165">
        <f t="shared" si="41"/>
        <v>10</v>
      </c>
      <c r="K165" s="4">
        <f t="shared" si="30"/>
        <v>3.8199999999999998E-2</v>
      </c>
      <c r="L165">
        <f t="shared" si="31"/>
        <v>0.09</v>
      </c>
      <c r="M165" s="4">
        <f t="shared" si="42"/>
        <v>0.1149438</v>
      </c>
      <c r="N165" s="4">
        <f t="shared" si="43"/>
        <v>0.27081</v>
      </c>
    </row>
    <row r="166" spans="1:14">
      <c r="A166" t="str">
        <f t="shared" si="32"/>
        <v>alp_Man-VWCO</v>
      </c>
      <c r="B166" t="str">
        <f t="shared" si="33"/>
        <v>Google Brasil</v>
      </c>
      <c r="C166" t="str">
        <f t="shared" si="34"/>
        <v>google-brasil|half-page|300x600|vw_caminhoes|always_on|produto|criativo_39_worker_17-230|300x600|cpm</v>
      </c>
      <c r="D166" t="str">
        <f t="shared" si="35"/>
        <v>138017934</v>
      </c>
      <c r="E166" t="str">
        <f t="shared" si="36"/>
        <v>Default</v>
      </c>
      <c r="F166" t="str">
        <f t="shared" si="37"/>
        <v>300x600 Default Web Ad</v>
      </c>
      <c r="G166" t="str">
        <f t="shared" si="38"/>
        <v>310386147</v>
      </c>
      <c r="H166" t="str">
        <f t="shared" si="39"/>
        <v>Display</v>
      </c>
      <c r="I166">
        <f t="shared" si="40"/>
        <v>2246</v>
      </c>
      <c r="J166">
        <f t="shared" si="41"/>
        <v>5</v>
      </c>
      <c r="K166" s="4">
        <f t="shared" si="30"/>
        <v>3.8199999999999998E-2</v>
      </c>
      <c r="L166">
        <f t="shared" si="31"/>
        <v>0.09</v>
      </c>
      <c r="M166" s="4">
        <f t="shared" si="42"/>
        <v>8.579719999999999E-2</v>
      </c>
      <c r="N166" s="4">
        <f t="shared" si="43"/>
        <v>0.20213999999999999</v>
      </c>
    </row>
    <row r="167" spans="1:14">
      <c r="A167" t="str">
        <f t="shared" si="32"/>
        <v>alp_Man-VWCO</v>
      </c>
      <c r="B167" t="str">
        <f t="shared" si="33"/>
        <v>Google Brasil</v>
      </c>
      <c r="C167" t="str">
        <f t="shared" si="34"/>
        <v>google-brasil|half-page|300x600|vw_caminhoes|always_on|produto|criativo_40_worker_23-230|300x600|cpm</v>
      </c>
      <c r="D167" t="str">
        <f t="shared" si="35"/>
        <v>138017929</v>
      </c>
      <c r="E167" t="str">
        <f t="shared" si="36"/>
        <v>Default</v>
      </c>
      <c r="F167" t="str">
        <f t="shared" si="37"/>
        <v>300x600 Default Web Ad</v>
      </c>
      <c r="G167" t="str">
        <f t="shared" si="38"/>
        <v>310386147</v>
      </c>
      <c r="H167" t="str">
        <f t="shared" si="39"/>
        <v>Display</v>
      </c>
      <c r="I167">
        <f t="shared" si="40"/>
        <v>1492</v>
      </c>
      <c r="J167">
        <f t="shared" si="41"/>
        <v>2</v>
      </c>
      <c r="K167" s="4">
        <f t="shared" si="30"/>
        <v>3.8199999999999998E-2</v>
      </c>
      <c r="L167">
        <f t="shared" si="31"/>
        <v>0.09</v>
      </c>
      <c r="M167" s="4">
        <f t="shared" si="42"/>
        <v>5.6994400000000001E-2</v>
      </c>
      <c r="N167" s="4">
        <f t="shared" si="43"/>
        <v>0.13428000000000001</v>
      </c>
    </row>
    <row r="168" spans="1:14">
      <c r="A168" t="str">
        <f t="shared" si="32"/>
        <v>alp_Man-VWCO</v>
      </c>
      <c r="B168" t="str">
        <f t="shared" si="33"/>
        <v>Google Brasil</v>
      </c>
      <c r="C168" t="str">
        <f t="shared" si="34"/>
        <v>google-brasil|half-page|300x600|vw_caminhoes|always_on|produto|criativo_40_worker_23-230|300x600|cpm</v>
      </c>
      <c r="D168" t="str">
        <f t="shared" si="35"/>
        <v>138017929</v>
      </c>
      <c r="E168" t="str">
        <f t="shared" si="36"/>
        <v>Default</v>
      </c>
      <c r="F168" t="str">
        <f t="shared" si="37"/>
        <v>300x600 Default Web Ad</v>
      </c>
      <c r="G168" t="str">
        <f t="shared" si="38"/>
        <v>310386147</v>
      </c>
      <c r="H168" t="str">
        <f t="shared" si="39"/>
        <v>Display</v>
      </c>
      <c r="I168">
        <f t="shared" si="40"/>
        <v>1250</v>
      </c>
      <c r="J168">
        <f t="shared" si="41"/>
        <v>1</v>
      </c>
      <c r="K168" s="4">
        <f t="shared" si="30"/>
        <v>3.8199999999999998E-2</v>
      </c>
      <c r="L168">
        <f t="shared" si="31"/>
        <v>0.09</v>
      </c>
      <c r="M168" s="4">
        <f t="shared" si="42"/>
        <v>4.7750000000000001E-2</v>
      </c>
      <c r="N168" s="4">
        <f t="shared" si="43"/>
        <v>0.1125</v>
      </c>
    </row>
    <row r="169" spans="1:14">
      <c r="A169" t="str">
        <f t="shared" si="32"/>
        <v>alp_Man-VWCO</v>
      </c>
      <c r="B169" t="str">
        <f t="shared" si="33"/>
        <v>Google Brasil</v>
      </c>
      <c r="C169" t="str">
        <f t="shared" si="34"/>
        <v>google-brasil|half-page|300x600|vw_caminhoes|always_on|produto|criativo_41_worker_23-230|300x600|cpm</v>
      </c>
      <c r="D169" t="str">
        <f t="shared" si="35"/>
        <v>138017924</v>
      </c>
      <c r="E169" t="str">
        <f t="shared" si="36"/>
        <v>Default</v>
      </c>
      <c r="F169" t="str">
        <f t="shared" si="37"/>
        <v>300x600 Default Web Ad</v>
      </c>
      <c r="G169" t="str">
        <f t="shared" si="38"/>
        <v>310386147</v>
      </c>
      <c r="H169" t="str">
        <f t="shared" si="39"/>
        <v>Display</v>
      </c>
      <c r="I169">
        <f t="shared" si="40"/>
        <v>1575</v>
      </c>
      <c r="J169">
        <f t="shared" si="41"/>
        <v>3</v>
      </c>
      <c r="K169" s="4">
        <f t="shared" si="30"/>
        <v>3.8199999999999998E-2</v>
      </c>
      <c r="L169">
        <f t="shared" si="31"/>
        <v>0.09</v>
      </c>
      <c r="M169" s="4">
        <f t="shared" si="42"/>
        <v>6.0164999999999996E-2</v>
      </c>
      <c r="N169" s="4">
        <f t="shared" si="43"/>
        <v>0.14174999999999999</v>
      </c>
    </row>
    <row r="170" spans="1:14">
      <c r="A170" t="str">
        <f t="shared" si="32"/>
        <v>alp_Man-VWCO</v>
      </c>
      <c r="B170" t="str">
        <f t="shared" si="33"/>
        <v>Google Brasil</v>
      </c>
      <c r="C170" t="str">
        <f t="shared" si="34"/>
        <v>google-brasil|half-page|300x600|vw_caminhoes|always_on|produto|criativo_41_worker_23-230|300x600|cpm</v>
      </c>
      <c r="D170" t="str">
        <f t="shared" si="35"/>
        <v>138017924</v>
      </c>
      <c r="E170" t="str">
        <f t="shared" si="36"/>
        <v>Default</v>
      </c>
      <c r="F170" t="str">
        <f t="shared" si="37"/>
        <v>300x600 Default Web Ad</v>
      </c>
      <c r="G170" t="str">
        <f t="shared" si="38"/>
        <v>310386147</v>
      </c>
      <c r="H170" t="str">
        <f t="shared" si="39"/>
        <v>Display</v>
      </c>
      <c r="I170">
        <f t="shared" si="40"/>
        <v>1255</v>
      </c>
      <c r="J170">
        <f t="shared" si="41"/>
        <v>2</v>
      </c>
      <c r="K170" s="4">
        <f t="shared" si="30"/>
        <v>3.8199999999999998E-2</v>
      </c>
      <c r="L170">
        <f t="shared" si="31"/>
        <v>0.09</v>
      </c>
      <c r="M170" s="4">
        <f t="shared" si="42"/>
        <v>4.7940999999999998E-2</v>
      </c>
      <c r="N170" s="4">
        <f t="shared" si="43"/>
        <v>0.11295000000000001</v>
      </c>
    </row>
    <row r="171" spans="1:14">
      <c r="A171" t="str">
        <f t="shared" si="32"/>
        <v>alp_Man-VWCO</v>
      </c>
      <c r="B171" t="str">
        <f t="shared" si="33"/>
        <v>Google Brasil</v>
      </c>
      <c r="C171" t="str">
        <f t="shared" si="34"/>
        <v>google-brasil|half-page|300x600|vw_caminhoes|always_on|produto|criativo_51_constellation_31-280|300x600|cpm</v>
      </c>
      <c r="D171" t="str">
        <f t="shared" si="35"/>
        <v>138017874</v>
      </c>
      <c r="E171" t="str">
        <f t="shared" si="36"/>
        <v>Default</v>
      </c>
      <c r="F171" t="str">
        <f t="shared" si="37"/>
        <v>300x600 Default Web Ad</v>
      </c>
      <c r="G171" t="str">
        <f t="shared" si="38"/>
        <v>310386147</v>
      </c>
      <c r="H171" t="str">
        <f t="shared" si="39"/>
        <v>Display</v>
      </c>
      <c r="I171">
        <f t="shared" si="40"/>
        <v>2573</v>
      </c>
      <c r="J171">
        <f t="shared" si="41"/>
        <v>14</v>
      </c>
      <c r="K171" s="4">
        <f t="shared" si="30"/>
        <v>3.8199999999999998E-2</v>
      </c>
      <c r="L171">
        <f t="shared" si="31"/>
        <v>0.09</v>
      </c>
      <c r="M171" s="4">
        <f t="shared" si="42"/>
        <v>9.828859999999999E-2</v>
      </c>
      <c r="N171" s="4">
        <f t="shared" si="43"/>
        <v>0.23157</v>
      </c>
    </row>
    <row r="172" spans="1:14">
      <c r="A172" t="str">
        <f t="shared" si="32"/>
        <v>alp_Man-VWCO</v>
      </c>
      <c r="B172" t="str">
        <f t="shared" si="33"/>
        <v>Google Brasil</v>
      </c>
      <c r="C172" t="str">
        <f t="shared" si="34"/>
        <v>google-brasil|half-page|300x600|vw_caminhoes|always_on|produto|criativo_51_constellation_31-280|300x600|cpm</v>
      </c>
      <c r="D172" t="str">
        <f t="shared" si="35"/>
        <v>138017874</v>
      </c>
      <c r="E172" t="str">
        <f t="shared" si="36"/>
        <v>Default</v>
      </c>
      <c r="F172" t="str">
        <f t="shared" si="37"/>
        <v>300x600 Default Web Ad</v>
      </c>
      <c r="G172" t="str">
        <f t="shared" si="38"/>
        <v>310386147</v>
      </c>
      <c r="H172" t="str">
        <f t="shared" si="39"/>
        <v>Display</v>
      </c>
      <c r="I172">
        <f t="shared" si="40"/>
        <v>1251</v>
      </c>
      <c r="J172">
        <f t="shared" si="41"/>
        <v>11</v>
      </c>
      <c r="K172" s="4">
        <f t="shared" ref="K172:K235" si="44">IF(LEFT(B172,3)="DBM",0,VLOOKUP(E172,tabela,2,FALSE))</f>
        <v>3.8199999999999998E-2</v>
      </c>
      <c r="L172">
        <f t="shared" ref="L172:L235" si="45">VLOOKUP(E172,tabela,3,FALSE)</f>
        <v>0.09</v>
      </c>
      <c r="M172" s="4">
        <f t="shared" si="42"/>
        <v>4.7788199999999996E-2</v>
      </c>
      <c r="N172" s="4">
        <f t="shared" si="43"/>
        <v>0.11259</v>
      </c>
    </row>
    <row r="173" spans="1:14">
      <c r="A173" t="str">
        <f t="shared" si="32"/>
        <v>alp_Man-VWCO</v>
      </c>
      <c r="B173" t="str">
        <f t="shared" si="33"/>
        <v>Google Brasil</v>
      </c>
      <c r="C173" t="str">
        <f t="shared" si="34"/>
        <v>google-brasil|half-page|300x600|vw_caminhoes|always_on|produto|criativo_52_constellation_31-280|300x600|cpm</v>
      </c>
      <c r="D173" t="str">
        <f t="shared" si="35"/>
        <v>138017869</v>
      </c>
      <c r="E173" t="str">
        <f t="shared" si="36"/>
        <v>Default</v>
      </c>
      <c r="F173" t="str">
        <f t="shared" si="37"/>
        <v>300x600 Default Web Ad</v>
      </c>
      <c r="G173" t="str">
        <f t="shared" si="38"/>
        <v>310386147</v>
      </c>
      <c r="H173" t="str">
        <f t="shared" si="39"/>
        <v>Display</v>
      </c>
      <c r="I173">
        <f t="shared" si="40"/>
        <v>2675</v>
      </c>
      <c r="J173">
        <f t="shared" si="41"/>
        <v>22</v>
      </c>
      <c r="K173" s="4">
        <f t="shared" si="44"/>
        <v>3.8199999999999998E-2</v>
      </c>
      <c r="L173">
        <f t="shared" si="45"/>
        <v>0.09</v>
      </c>
      <c r="M173" s="4">
        <f t="shared" si="42"/>
        <v>0.10218499999999998</v>
      </c>
      <c r="N173" s="4">
        <f t="shared" si="43"/>
        <v>0.24074999999999999</v>
      </c>
    </row>
    <row r="174" spans="1:14">
      <c r="A174" t="str">
        <f t="shared" si="32"/>
        <v>alp_Man-VWCO</v>
      </c>
      <c r="B174" t="str">
        <f t="shared" si="33"/>
        <v>Google Brasil</v>
      </c>
      <c r="C174" t="str">
        <f t="shared" si="34"/>
        <v>google-brasil|half-page|300x600|vw_caminhoes|always_on|produto|criativo_52_constellation_31-280|300x600|cpm</v>
      </c>
      <c r="D174" t="str">
        <f t="shared" si="35"/>
        <v>138017869</v>
      </c>
      <c r="E174" t="str">
        <f t="shared" si="36"/>
        <v>Default</v>
      </c>
      <c r="F174" t="str">
        <f t="shared" si="37"/>
        <v>300x600 Default Web Ad</v>
      </c>
      <c r="G174" t="str">
        <f t="shared" si="38"/>
        <v>310386147</v>
      </c>
      <c r="H174" t="str">
        <f t="shared" si="39"/>
        <v>Display</v>
      </c>
      <c r="I174">
        <f t="shared" si="40"/>
        <v>1524</v>
      </c>
      <c r="J174">
        <f t="shared" si="41"/>
        <v>12</v>
      </c>
      <c r="K174" s="4">
        <f t="shared" si="44"/>
        <v>3.8199999999999998E-2</v>
      </c>
      <c r="L174">
        <f t="shared" si="45"/>
        <v>0.09</v>
      </c>
      <c r="M174" s="4">
        <f t="shared" si="42"/>
        <v>5.8216799999999999E-2</v>
      </c>
      <c r="N174" s="4">
        <f t="shared" si="43"/>
        <v>0.13716</v>
      </c>
    </row>
    <row r="175" spans="1:14">
      <c r="A175" t="str">
        <f t="shared" si="32"/>
        <v>alp_Man-VWCO</v>
      </c>
      <c r="B175" t="str">
        <f t="shared" si="33"/>
        <v>Google Brasil</v>
      </c>
      <c r="C175" t="str">
        <f t="shared" si="34"/>
        <v>google-brasil|half-page|300x600|vw_caminhoes|always_on|produto|criativo_53_constellation_31-280|300x600|cpm</v>
      </c>
      <c r="D175" t="str">
        <f t="shared" si="35"/>
        <v>138017864</v>
      </c>
      <c r="E175" t="str">
        <f t="shared" si="36"/>
        <v>Default</v>
      </c>
      <c r="F175" t="str">
        <f t="shared" si="37"/>
        <v>300x600 Default Web Ad</v>
      </c>
      <c r="G175" t="str">
        <f t="shared" si="38"/>
        <v>310386147</v>
      </c>
      <c r="H175" t="str">
        <f t="shared" si="39"/>
        <v>Display</v>
      </c>
      <c r="I175">
        <f t="shared" si="40"/>
        <v>2543</v>
      </c>
      <c r="J175">
        <f t="shared" si="41"/>
        <v>16</v>
      </c>
      <c r="K175" s="4">
        <f t="shared" si="44"/>
        <v>3.8199999999999998E-2</v>
      </c>
      <c r="L175">
        <f t="shared" si="45"/>
        <v>0.09</v>
      </c>
      <c r="M175" s="4">
        <f t="shared" si="42"/>
        <v>9.7142599999999996E-2</v>
      </c>
      <c r="N175" s="4">
        <f t="shared" si="43"/>
        <v>0.22887000000000002</v>
      </c>
    </row>
    <row r="176" spans="1:14">
      <c r="A176" t="str">
        <f t="shared" si="32"/>
        <v>alp_Man-VWCO</v>
      </c>
      <c r="B176" t="str">
        <f t="shared" si="33"/>
        <v>Google Brasil</v>
      </c>
      <c r="C176" t="str">
        <f t="shared" si="34"/>
        <v>google-brasil|half-page|300x600|vw_caminhoes|always_on|produto|criativo_53_constellation_31-280|300x600|cpm</v>
      </c>
      <c r="D176" t="str">
        <f t="shared" si="35"/>
        <v>138017864</v>
      </c>
      <c r="E176" t="str">
        <f t="shared" si="36"/>
        <v>Default</v>
      </c>
      <c r="F176" t="str">
        <f t="shared" si="37"/>
        <v>300x600 Default Web Ad</v>
      </c>
      <c r="G176" t="str">
        <f t="shared" si="38"/>
        <v>310386147</v>
      </c>
      <c r="H176" t="str">
        <f t="shared" si="39"/>
        <v>Display</v>
      </c>
      <c r="I176">
        <f t="shared" si="40"/>
        <v>1572</v>
      </c>
      <c r="J176">
        <f t="shared" si="41"/>
        <v>11</v>
      </c>
      <c r="K176" s="4">
        <f t="shared" si="44"/>
        <v>3.8199999999999998E-2</v>
      </c>
      <c r="L176">
        <f t="shared" si="45"/>
        <v>0.09</v>
      </c>
      <c r="M176" s="4">
        <f t="shared" si="42"/>
        <v>6.0050399999999997E-2</v>
      </c>
      <c r="N176" s="4">
        <f t="shared" si="43"/>
        <v>0.14147999999999999</v>
      </c>
    </row>
    <row r="177" spans="1:14">
      <c r="A177" t="str">
        <f t="shared" si="32"/>
        <v>alp_Man-VWCO</v>
      </c>
      <c r="B177" t="str">
        <f t="shared" si="33"/>
        <v>Google Brasil</v>
      </c>
      <c r="C177" t="str">
        <f t="shared" si="34"/>
        <v>google-brasil|half-page|300x600|vw_caminhoes|always_on|produto|criativo_57_constellation_31-390|300x600|cpm</v>
      </c>
      <c r="D177" t="str">
        <f t="shared" si="35"/>
        <v>138017844</v>
      </c>
      <c r="E177" t="str">
        <f t="shared" si="36"/>
        <v>Default</v>
      </c>
      <c r="F177" t="str">
        <f t="shared" si="37"/>
        <v>300x600 Default Web Ad</v>
      </c>
      <c r="G177" t="str">
        <f t="shared" si="38"/>
        <v>310386147</v>
      </c>
      <c r="H177" t="str">
        <f t="shared" si="39"/>
        <v>Display</v>
      </c>
      <c r="I177">
        <f t="shared" si="40"/>
        <v>2287</v>
      </c>
      <c r="J177">
        <f t="shared" si="41"/>
        <v>4</v>
      </c>
      <c r="K177" s="4">
        <f t="shared" si="44"/>
        <v>3.8199999999999998E-2</v>
      </c>
      <c r="L177">
        <f t="shared" si="45"/>
        <v>0.09</v>
      </c>
      <c r="M177" s="4">
        <f t="shared" si="42"/>
        <v>8.7363399999999994E-2</v>
      </c>
      <c r="N177" s="4">
        <f t="shared" si="43"/>
        <v>0.20582999999999999</v>
      </c>
    </row>
    <row r="178" spans="1:14">
      <c r="A178" t="str">
        <f t="shared" si="32"/>
        <v>alp_Man-VWCO</v>
      </c>
      <c r="B178" t="str">
        <f t="shared" si="33"/>
        <v>Google Brasil</v>
      </c>
      <c r="C178" t="str">
        <f t="shared" si="34"/>
        <v>google-brasil|half-page|300x600|vw_caminhoes|always_on|produto|criativo_57_constellation_31-390|300x600|cpm</v>
      </c>
      <c r="D178" t="str">
        <f t="shared" si="35"/>
        <v>138017844</v>
      </c>
      <c r="E178" t="str">
        <f t="shared" si="36"/>
        <v>Default</v>
      </c>
      <c r="F178" t="str">
        <f t="shared" si="37"/>
        <v>300x600 Default Web Ad</v>
      </c>
      <c r="G178" t="str">
        <f t="shared" si="38"/>
        <v>310386147</v>
      </c>
      <c r="H178" t="str">
        <f t="shared" si="39"/>
        <v>Display</v>
      </c>
      <c r="I178">
        <f t="shared" si="40"/>
        <v>1746</v>
      </c>
      <c r="J178">
        <f t="shared" si="41"/>
        <v>2</v>
      </c>
      <c r="K178" s="4">
        <f t="shared" si="44"/>
        <v>3.8199999999999998E-2</v>
      </c>
      <c r="L178">
        <f t="shared" si="45"/>
        <v>0.09</v>
      </c>
      <c r="M178" s="4">
        <f t="shared" si="42"/>
        <v>6.6697199999999998E-2</v>
      </c>
      <c r="N178" s="4">
        <f t="shared" si="43"/>
        <v>0.15713999999999997</v>
      </c>
    </row>
    <row r="179" spans="1:14">
      <c r="A179" t="str">
        <f t="shared" si="32"/>
        <v>alp_Man-VWCO</v>
      </c>
      <c r="B179" t="str">
        <f t="shared" si="33"/>
        <v>Google Brasil</v>
      </c>
      <c r="C179" t="str">
        <f t="shared" si="34"/>
        <v>google-brasil|half-page|300x600|vw_caminhoes|always_on|produto|criativo_58_constellation_31-390|300x600|cpm</v>
      </c>
      <c r="D179" t="str">
        <f t="shared" si="35"/>
        <v>138017839</v>
      </c>
      <c r="E179" t="str">
        <f t="shared" si="36"/>
        <v>Default</v>
      </c>
      <c r="F179" t="str">
        <f t="shared" si="37"/>
        <v>300x600 Default Web Ad</v>
      </c>
      <c r="G179" t="str">
        <f t="shared" si="38"/>
        <v>310386147</v>
      </c>
      <c r="H179" t="str">
        <f t="shared" si="39"/>
        <v>Display</v>
      </c>
      <c r="I179">
        <f t="shared" si="40"/>
        <v>2318</v>
      </c>
      <c r="J179">
        <f t="shared" si="41"/>
        <v>9</v>
      </c>
      <c r="K179" s="4">
        <f t="shared" si="44"/>
        <v>3.8199999999999998E-2</v>
      </c>
      <c r="L179">
        <f t="shared" si="45"/>
        <v>0.09</v>
      </c>
      <c r="M179" s="4">
        <f t="shared" si="42"/>
        <v>8.854759999999999E-2</v>
      </c>
      <c r="N179" s="4">
        <f t="shared" si="43"/>
        <v>0.20862</v>
      </c>
    </row>
    <row r="180" spans="1:14">
      <c r="A180" t="str">
        <f t="shared" si="32"/>
        <v>alp_Man-VWCO</v>
      </c>
      <c r="B180" t="str">
        <f t="shared" si="33"/>
        <v>Google Brasil</v>
      </c>
      <c r="C180" t="str">
        <f t="shared" si="34"/>
        <v>google-brasil|half-page|300x600|vw_caminhoes|always_on|produto|criativo_58_constellation_31-390|300x600|cpm</v>
      </c>
      <c r="D180" t="str">
        <f t="shared" si="35"/>
        <v>138017839</v>
      </c>
      <c r="E180" t="str">
        <f t="shared" si="36"/>
        <v>Default</v>
      </c>
      <c r="F180" t="str">
        <f t="shared" si="37"/>
        <v>300x600 Default Web Ad</v>
      </c>
      <c r="G180" t="str">
        <f t="shared" si="38"/>
        <v>310386147</v>
      </c>
      <c r="H180" t="str">
        <f t="shared" si="39"/>
        <v>Display</v>
      </c>
      <c r="I180">
        <f t="shared" si="40"/>
        <v>1797</v>
      </c>
      <c r="J180">
        <f t="shared" si="41"/>
        <v>5</v>
      </c>
      <c r="K180" s="4">
        <f t="shared" si="44"/>
        <v>3.8199999999999998E-2</v>
      </c>
      <c r="L180">
        <f t="shared" si="45"/>
        <v>0.09</v>
      </c>
      <c r="M180" s="4">
        <f t="shared" si="42"/>
        <v>6.8645399999999995E-2</v>
      </c>
      <c r="N180" s="4">
        <f t="shared" si="43"/>
        <v>0.16172999999999998</v>
      </c>
    </row>
    <row r="181" spans="1:14">
      <c r="A181" t="str">
        <f t="shared" si="32"/>
        <v>alp_Man-VWCO</v>
      </c>
      <c r="B181" t="str">
        <f t="shared" si="33"/>
        <v>Google Brasil</v>
      </c>
      <c r="C181" t="str">
        <f t="shared" si="34"/>
        <v>google-brasil|half-page|300x600|vw_caminhoes|always_on|produto|criativo_59_constellation_31-390|300x600|cpm</v>
      </c>
      <c r="D181" t="str">
        <f t="shared" si="35"/>
        <v>138017834</v>
      </c>
      <c r="E181" t="str">
        <f t="shared" si="36"/>
        <v>Default</v>
      </c>
      <c r="F181" t="str">
        <f t="shared" si="37"/>
        <v>300x600 Default Web Ad</v>
      </c>
      <c r="G181" t="str">
        <f t="shared" si="38"/>
        <v>310386147</v>
      </c>
      <c r="H181" t="str">
        <f t="shared" si="39"/>
        <v>Display</v>
      </c>
      <c r="I181">
        <f t="shared" si="40"/>
        <v>2465</v>
      </c>
      <c r="J181">
        <f t="shared" si="41"/>
        <v>9</v>
      </c>
      <c r="K181" s="4">
        <f t="shared" si="44"/>
        <v>3.8199999999999998E-2</v>
      </c>
      <c r="L181">
        <f t="shared" si="45"/>
        <v>0.09</v>
      </c>
      <c r="M181" s="4">
        <f t="shared" si="42"/>
        <v>9.4162999999999997E-2</v>
      </c>
      <c r="N181" s="4">
        <f t="shared" si="43"/>
        <v>0.22184999999999999</v>
      </c>
    </row>
    <row r="182" spans="1:14">
      <c r="A182" t="str">
        <f t="shared" si="32"/>
        <v>alp_Man-VWCO</v>
      </c>
      <c r="B182" t="str">
        <f t="shared" si="33"/>
        <v>Google Brasil</v>
      </c>
      <c r="C182" t="str">
        <f t="shared" si="34"/>
        <v>google-brasil|half-page|300x600|vw_caminhoes|always_on|produto|criativo_59_constellation_31-390|300x600|cpm</v>
      </c>
      <c r="D182" t="str">
        <f t="shared" si="35"/>
        <v>138017834</v>
      </c>
      <c r="E182" t="str">
        <f t="shared" si="36"/>
        <v>Default</v>
      </c>
      <c r="F182" t="str">
        <f t="shared" si="37"/>
        <v>300x600 Default Web Ad</v>
      </c>
      <c r="G182" t="str">
        <f t="shared" si="38"/>
        <v>310386147</v>
      </c>
      <c r="H182" t="str">
        <f t="shared" si="39"/>
        <v>Display</v>
      </c>
      <c r="I182">
        <f t="shared" si="40"/>
        <v>1853</v>
      </c>
      <c r="J182">
        <f t="shared" si="41"/>
        <v>5</v>
      </c>
      <c r="K182" s="4">
        <f t="shared" si="44"/>
        <v>3.8199999999999998E-2</v>
      </c>
      <c r="L182">
        <f t="shared" si="45"/>
        <v>0.09</v>
      </c>
      <c r="M182" s="4">
        <f t="shared" si="42"/>
        <v>7.0784600000000003E-2</v>
      </c>
      <c r="N182" s="4">
        <f t="shared" si="43"/>
        <v>0.16676999999999997</v>
      </c>
    </row>
    <row r="183" spans="1:14">
      <c r="A183" t="str">
        <f t="shared" si="32"/>
        <v>alp_Man-VWCO</v>
      </c>
      <c r="B183" t="str">
        <f t="shared" si="33"/>
        <v>Google Brasil</v>
      </c>
      <c r="C183" t="str">
        <f t="shared" si="34"/>
        <v>google-brasil|half-page|300x600|vw_caminhoes|always_on|produto|criativo_62_worker_13-190|300x600|cpm</v>
      </c>
      <c r="D183" t="str">
        <f t="shared" si="35"/>
        <v>138017819</v>
      </c>
      <c r="E183" t="str">
        <f t="shared" si="36"/>
        <v>Default</v>
      </c>
      <c r="F183" t="str">
        <f t="shared" si="37"/>
        <v>300x600 Default Web Ad</v>
      </c>
      <c r="G183" t="str">
        <f t="shared" si="38"/>
        <v>310386147</v>
      </c>
      <c r="H183" t="str">
        <f t="shared" si="39"/>
        <v>Display</v>
      </c>
      <c r="I183">
        <f t="shared" si="40"/>
        <v>2136</v>
      </c>
      <c r="J183">
        <f t="shared" si="41"/>
        <v>7</v>
      </c>
      <c r="K183" s="4">
        <f t="shared" si="44"/>
        <v>3.8199999999999998E-2</v>
      </c>
      <c r="L183">
        <f t="shared" si="45"/>
        <v>0.09</v>
      </c>
      <c r="M183" s="4">
        <f t="shared" si="42"/>
        <v>8.1595199999999993E-2</v>
      </c>
      <c r="N183" s="4">
        <f t="shared" si="43"/>
        <v>0.19223999999999999</v>
      </c>
    </row>
    <row r="184" spans="1:14">
      <c r="A184" t="str">
        <f t="shared" si="32"/>
        <v>alp_Man-VWCO</v>
      </c>
      <c r="B184" t="str">
        <f t="shared" si="33"/>
        <v>Google Brasil</v>
      </c>
      <c r="C184" t="str">
        <f t="shared" si="34"/>
        <v>google-brasil|half-page|300x600|vw_caminhoes|always_on|produto|criativo_62_worker_13-190|300x600|cpm</v>
      </c>
      <c r="D184" t="str">
        <f t="shared" si="35"/>
        <v>138017819</v>
      </c>
      <c r="E184" t="str">
        <f t="shared" si="36"/>
        <v>Default</v>
      </c>
      <c r="F184" t="str">
        <f t="shared" si="37"/>
        <v>300x600 Default Web Ad</v>
      </c>
      <c r="G184" t="str">
        <f t="shared" si="38"/>
        <v>310386147</v>
      </c>
      <c r="H184" t="str">
        <f t="shared" si="39"/>
        <v>Display</v>
      </c>
      <c r="I184">
        <f t="shared" si="40"/>
        <v>2787</v>
      </c>
      <c r="J184">
        <f t="shared" si="41"/>
        <v>13</v>
      </c>
      <c r="K184" s="4">
        <f t="shared" si="44"/>
        <v>3.8199999999999998E-2</v>
      </c>
      <c r="L184">
        <f t="shared" si="45"/>
        <v>0.09</v>
      </c>
      <c r="M184" s="4">
        <f t="shared" si="42"/>
        <v>0.1064634</v>
      </c>
      <c r="N184" s="4">
        <f t="shared" si="43"/>
        <v>0.25083</v>
      </c>
    </row>
    <row r="185" spans="1:14">
      <c r="A185" t="str">
        <f t="shared" si="32"/>
        <v>alp_Man-VWCO</v>
      </c>
      <c r="B185" t="str">
        <f t="shared" si="33"/>
        <v>Google Brasil</v>
      </c>
      <c r="C185" t="str">
        <f t="shared" si="34"/>
        <v>google-brasil|half-page|300x600|vw_caminhoes|always_on|produto|criativo_63_worker_15-190|300x600|cpm</v>
      </c>
      <c r="D185" t="str">
        <f t="shared" si="35"/>
        <v>138017814</v>
      </c>
      <c r="E185" t="str">
        <f t="shared" si="36"/>
        <v>Default</v>
      </c>
      <c r="F185" t="str">
        <f t="shared" si="37"/>
        <v>300x600 Default Web Ad</v>
      </c>
      <c r="G185" t="str">
        <f t="shared" si="38"/>
        <v>310386147</v>
      </c>
      <c r="H185" t="str">
        <f t="shared" si="39"/>
        <v>Display</v>
      </c>
      <c r="I185">
        <f t="shared" si="40"/>
        <v>1077</v>
      </c>
      <c r="J185">
        <f t="shared" si="41"/>
        <v>3</v>
      </c>
      <c r="K185" s="4">
        <f t="shared" si="44"/>
        <v>3.8199999999999998E-2</v>
      </c>
      <c r="L185">
        <f t="shared" si="45"/>
        <v>0.09</v>
      </c>
      <c r="M185" s="4">
        <f t="shared" si="42"/>
        <v>4.1141399999999995E-2</v>
      </c>
      <c r="N185" s="4">
        <f t="shared" si="43"/>
        <v>9.6929999999999988E-2</v>
      </c>
    </row>
    <row r="186" spans="1:14">
      <c r="A186" t="str">
        <f t="shared" si="32"/>
        <v>alp_Man-VWCO</v>
      </c>
      <c r="B186" t="str">
        <f t="shared" si="33"/>
        <v>Google Brasil</v>
      </c>
      <c r="C186" t="str">
        <f t="shared" si="34"/>
        <v>google-brasil|half-page|300x600|vw_caminhoes|always_on|produto|criativo_63_worker_15-190|300x600|cpm</v>
      </c>
      <c r="D186" t="str">
        <f t="shared" si="35"/>
        <v>138017814</v>
      </c>
      <c r="E186" t="str">
        <f t="shared" si="36"/>
        <v>Default</v>
      </c>
      <c r="F186" t="str">
        <f t="shared" si="37"/>
        <v>300x600 Default Web Ad</v>
      </c>
      <c r="G186" t="str">
        <f t="shared" si="38"/>
        <v>310386147</v>
      </c>
      <c r="H186" t="str">
        <f t="shared" si="39"/>
        <v>Display</v>
      </c>
      <c r="I186">
        <f t="shared" si="40"/>
        <v>622</v>
      </c>
      <c r="J186">
        <f t="shared" si="41"/>
        <v>5</v>
      </c>
      <c r="K186" s="4">
        <f t="shared" si="44"/>
        <v>3.8199999999999998E-2</v>
      </c>
      <c r="L186">
        <f t="shared" si="45"/>
        <v>0.09</v>
      </c>
      <c r="M186" s="4">
        <f t="shared" si="42"/>
        <v>2.3760399999999997E-2</v>
      </c>
      <c r="N186" s="4">
        <f t="shared" si="43"/>
        <v>5.5979999999999995E-2</v>
      </c>
    </row>
    <row r="187" spans="1:14">
      <c r="A187" t="str">
        <f t="shared" si="32"/>
        <v>alp_Man-VWCO</v>
      </c>
      <c r="B187" t="str">
        <f t="shared" si="33"/>
        <v>Google Brasil</v>
      </c>
      <c r="C187" t="str">
        <f t="shared" si="34"/>
        <v>google-brasil|half-page|300x600|vw_caminhoes|always_on|produto|criativo_64_worker_15-190|300x600|cpm</v>
      </c>
      <c r="D187" t="str">
        <f t="shared" si="35"/>
        <v>138017809</v>
      </c>
      <c r="E187" t="str">
        <f t="shared" si="36"/>
        <v>Default</v>
      </c>
      <c r="F187" t="str">
        <f t="shared" si="37"/>
        <v>300x600 Default Web Ad</v>
      </c>
      <c r="G187" t="str">
        <f t="shared" si="38"/>
        <v>310386147</v>
      </c>
      <c r="H187" t="str">
        <f t="shared" si="39"/>
        <v>Display</v>
      </c>
      <c r="I187">
        <f t="shared" si="40"/>
        <v>941</v>
      </c>
      <c r="J187">
        <f t="shared" si="41"/>
        <v>1</v>
      </c>
      <c r="K187" s="4">
        <f t="shared" si="44"/>
        <v>3.8199999999999998E-2</v>
      </c>
      <c r="L187">
        <f t="shared" si="45"/>
        <v>0.09</v>
      </c>
      <c r="M187" s="4">
        <f t="shared" si="42"/>
        <v>3.5946199999999998E-2</v>
      </c>
      <c r="N187" s="4">
        <f t="shared" si="43"/>
        <v>8.4690000000000001E-2</v>
      </c>
    </row>
    <row r="188" spans="1:14">
      <c r="A188" t="str">
        <f t="shared" si="32"/>
        <v>alp_Man-VWCO</v>
      </c>
      <c r="B188" t="str">
        <f t="shared" si="33"/>
        <v>Google Brasil</v>
      </c>
      <c r="C188" t="str">
        <f t="shared" si="34"/>
        <v>google-brasil|half-page|300x600|vw_caminhoes|always_on|produto|criativo_64_worker_15-190|300x600|cpm</v>
      </c>
      <c r="D188" t="str">
        <f t="shared" si="35"/>
        <v>138017809</v>
      </c>
      <c r="E188" t="str">
        <f t="shared" si="36"/>
        <v>Default</v>
      </c>
      <c r="F188" t="str">
        <f t="shared" si="37"/>
        <v>300x600 Default Web Ad</v>
      </c>
      <c r="G188" t="str">
        <f t="shared" si="38"/>
        <v>310386147</v>
      </c>
      <c r="H188" t="str">
        <f t="shared" si="39"/>
        <v>Display</v>
      </c>
      <c r="I188">
        <f t="shared" si="40"/>
        <v>614</v>
      </c>
      <c r="J188">
        <f t="shared" si="41"/>
        <v>0</v>
      </c>
      <c r="K188" s="4">
        <f t="shared" si="44"/>
        <v>3.8199999999999998E-2</v>
      </c>
      <c r="L188">
        <f t="shared" si="45"/>
        <v>0.09</v>
      </c>
      <c r="M188" s="4">
        <f t="shared" si="42"/>
        <v>2.3454799999999998E-2</v>
      </c>
      <c r="N188" s="4">
        <f t="shared" si="43"/>
        <v>5.5259999999999997E-2</v>
      </c>
    </row>
    <row r="189" spans="1:14">
      <c r="A189" t="str">
        <f t="shared" si="32"/>
        <v>alp_Man-VWCO</v>
      </c>
      <c r="B189" t="str">
        <f t="shared" si="33"/>
        <v>Google Brasil</v>
      </c>
      <c r="C189" t="str">
        <f t="shared" si="34"/>
        <v>google-brasil|half-page|300x600|vw_caminhoes|always_on|produto|criativo_65_worker_17-190|300x600|cpm</v>
      </c>
      <c r="D189" t="str">
        <f t="shared" si="35"/>
        <v>138017804</v>
      </c>
      <c r="E189" t="str">
        <f t="shared" si="36"/>
        <v>Default</v>
      </c>
      <c r="F189" t="str">
        <f t="shared" si="37"/>
        <v>300x600 Default Web Ad</v>
      </c>
      <c r="G189" t="str">
        <f t="shared" si="38"/>
        <v>310386147</v>
      </c>
      <c r="H189" t="str">
        <f t="shared" si="39"/>
        <v>Display</v>
      </c>
      <c r="I189">
        <f t="shared" si="40"/>
        <v>1048</v>
      </c>
      <c r="J189">
        <f t="shared" si="41"/>
        <v>2</v>
      </c>
      <c r="K189" s="4">
        <f t="shared" si="44"/>
        <v>3.8199999999999998E-2</v>
      </c>
      <c r="L189">
        <f t="shared" si="45"/>
        <v>0.09</v>
      </c>
      <c r="M189" s="4">
        <f t="shared" si="42"/>
        <v>4.0033600000000003E-2</v>
      </c>
      <c r="N189" s="4">
        <f t="shared" si="43"/>
        <v>9.4319999999999987E-2</v>
      </c>
    </row>
    <row r="190" spans="1:14">
      <c r="A190" t="str">
        <f t="shared" si="32"/>
        <v>alp_Man-VWCO</v>
      </c>
      <c r="B190" t="str">
        <f t="shared" si="33"/>
        <v>Google Brasil</v>
      </c>
      <c r="C190" t="str">
        <f t="shared" si="34"/>
        <v>google-brasil|half-page|300x600|vw_caminhoes|always_on|produto|criativo_65_worker_17-190|300x600|cpm</v>
      </c>
      <c r="D190" t="str">
        <f t="shared" si="35"/>
        <v>138017804</v>
      </c>
      <c r="E190" t="str">
        <f t="shared" si="36"/>
        <v>Default</v>
      </c>
      <c r="F190" t="str">
        <f t="shared" si="37"/>
        <v>300x600 Default Web Ad</v>
      </c>
      <c r="G190" t="str">
        <f t="shared" si="38"/>
        <v>310386147</v>
      </c>
      <c r="H190" t="str">
        <f t="shared" si="39"/>
        <v>Display</v>
      </c>
      <c r="I190">
        <f t="shared" si="40"/>
        <v>671</v>
      </c>
      <c r="J190">
        <f t="shared" si="41"/>
        <v>3</v>
      </c>
      <c r="K190" s="4">
        <f t="shared" si="44"/>
        <v>3.8199999999999998E-2</v>
      </c>
      <c r="L190">
        <f t="shared" si="45"/>
        <v>0.09</v>
      </c>
      <c r="M190" s="4">
        <f t="shared" si="42"/>
        <v>2.5632199999999997E-2</v>
      </c>
      <c r="N190" s="4">
        <f t="shared" si="43"/>
        <v>6.0389999999999999E-2</v>
      </c>
    </row>
    <row r="191" spans="1:14">
      <c r="A191" t="str">
        <f t="shared" si="32"/>
        <v>alp_Man-VWCO</v>
      </c>
      <c r="B191" t="str">
        <f t="shared" si="33"/>
        <v>Google Brasil</v>
      </c>
      <c r="C191" t="str">
        <f t="shared" si="34"/>
        <v>google-brasil|half-page|300x600|vw_caminhoes|always_on|produto|criativo_66_constellation_compactor|300x600|cpm</v>
      </c>
      <c r="D191" t="str">
        <f t="shared" si="35"/>
        <v>138017799</v>
      </c>
      <c r="E191" t="str">
        <f t="shared" si="36"/>
        <v>Default</v>
      </c>
      <c r="F191" t="str">
        <f t="shared" si="37"/>
        <v>300x600 Default Web Ad</v>
      </c>
      <c r="G191" t="str">
        <f t="shared" si="38"/>
        <v>310386147</v>
      </c>
      <c r="H191" t="str">
        <f t="shared" si="39"/>
        <v>Display</v>
      </c>
      <c r="I191">
        <f t="shared" si="40"/>
        <v>3761</v>
      </c>
      <c r="J191">
        <f t="shared" si="41"/>
        <v>16</v>
      </c>
      <c r="K191" s="4">
        <f t="shared" si="44"/>
        <v>3.8199999999999998E-2</v>
      </c>
      <c r="L191">
        <f t="shared" si="45"/>
        <v>0.09</v>
      </c>
      <c r="M191" s="4">
        <f t="shared" si="42"/>
        <v>0.1436702</v>
      </c>
      <c r="N191" s="4">
        <f t="shared" si="43"/>
        <v>0.33849000000000001</v>
      </c>
    </row>
    <row r="192" spans="1:14">
      <c r="A192" t="str">
        <f t="shared" si="32"/>
        <v>alp_Man-VWCO</v>
      </c>
      <c r="B192" t="str">
        <f t="shared" si="33"/>
        <v>Google Brasil</v>
      </c>
      <c r="C192" t="str">
        <f t="shared" si="34"/>
        <v>google-brasil|half-page|300x600|vw_caminhoes|always_on|produto|criativo_66_constellation_compactor|300x600|cpm</v>
      </c>
      <c r="D192" t="str">
        <f t="shared" si="35"/>
        <v>138017799</v>
      </c>
      <c r="E192" t="str">
        <f t="shared" si="36"/>
        <v>Default</v>
      </c>
      <c r="F192" t="str">
        <f t="shared" si="37"/>
        <v>300x600 Default Web Ad</v>
      </c>
      <c r="G192" t="str">
        <f t="shared" si="38"/>
        <v>310386147</v>
      </c>
      <c r="H192" t="str">
        <f t="shared" si="39"/>
        <v>Display</v>
      </c>
      <c r="I192">
        <f t="shared" si="40"/>
        <v>1925</v>
      </c>
      <c r="J192">
        <f t="shared" si="41"/>
        <v>2</v>
      </c>
      <c r="K192" s="4">
        <f t="shared" si="44"/>
        <v>3.8199999999999998E-2</v>
      </c>
      <c r="L192">
        <f t="shared" si="45"/>
        <v>0.09</v>
      </c>
      <c r="M192" s="4">
        <f t="shared" si="42"/>
        <v>7.3535000000000003E-2</v>
      </c>
      <c r="N192" s="4">
        <f t="shared" si="43"/>
        <v>0.17324999999999999</v>
      </c>
    </row>
    <row r="193" spans="1:14">
      <c r="A193" t="str">
        <f t="shared" si="32"/>
        <v>alp_Man-VWCO</v>
      </c>
      <c r="B193" t="str">
        <f t="shared" si="33"/>
        <v>Google Brasil</v>
      </c>
      <c r="C193" t="str">
        <f t="shared" si="34"/>
        <v>google-brasil|half-page|300x600|vw_caminhoes|always_on|produto|criativo_69_delivery_5-150|300x600|cpm</v>
      </c>
      <c r="D193" t="str">
        <f t="shared" si="35"/>
        <v>138017784</v>
      </c>
      <c r="E193" t="str">
        <f t="shared" si="36"/>
        <v>Default</v>
      </c>
      <c r="F193" t="str">
        <f t="shared" si="37"/>
        <v>300x600 Default Web Ad</v>
      </c>
      <c r="G193" t="str">
        <f t="shared" si="38"/>
        <v>310386147</v>
      </c>
      <c r="H193" t="str">
        <f t="shared" si="39"/>
        <v>Display</v>
      </c>
      <c r="I193">
        <f t="shared" si="40"/>
        <v>3892</v>
      </c>
      <c r="J193">
        <f t="shared" si="41"/>
        <v>7</v>
      </c>
      <c r="K193" s="4">
        <f t="shared" si="44"/>
        <v>3.8199999999999998E-2</v>
      </c>
      <c r="L193">
        <f t="shared" si="45"/>
        <v>0.09</v>
      </c>
      <c r="M193" s="4">
        <f t="shared" si="42"/>
        <v>0.14867439999999998</v>
      </c>
      <c r="N193" s="4">
        <f t="shared" si="43"/>
        <v>0.35027999999999998</v>
      </c>
    </row>
    <row r="194" spans="1:14">
      <c r="A194" t="str">
        <f t="shared" ref="A194:A257" si="46">bd_campaign</f>
        <v>alp_Man-VWCO</v>
      </c>
      <c r="B194" t="str">
        <f t="shared" ref="B194:B257" si="47">bd_site</f>
        <v>Google Brasil</v>
      </c>
      <c r="C194" t="str">
        <f t="shared" ref="C194:C257" si="48">bd_placement</f>
        <v>google-brasil|half-page|300x600|vw_caminhoes|always_on|produto|criativo_69_delivery_5-150|300x600|cpm</v>
      </c>
      <c r="D194" t="str">
        <f t="shared" ref="D194:D257" si="49">bd_placementID</f>
        <v>138017784</v>
      </c>
      <c r="E194" t="str">
        <f t="shared" ref="E194:E257" si="50">VLOOKUP(CONCATENATE(bd_adtype,"_",bd_creativetype),tabela,2,FALSE)</f>
        <v>Default</v>
      </c>
      <c r="F194" t="str">
        <f t="shared" ref="F194:F257" si="51">bd_ad</f>
        <v>300x600 Default Web Ad</v>
      </c>
      <c r="G194" t="str">
        <f t="shared" ref="G194:G257" si="52">bd_adid</f>
        <v>310386147</v>
      </c>
      <c r="H194" t="str">
        <f t="shared" ref="H194:H257" si="53">bd_creativetype</f>
        <v>Display</v>
      </c>
      <c r="I194">
        <f t="shared" ref="I194:I257" si="54">bd_impression</f>
        <v>2627</v>
      </c>
      <c r="J194">
        <f t="shared" ref="J194:J257" si="55">bd_clicks</f>
        <v>5</v>
      </c>
      <c r="K194" s="4">
        <f t="shared" si="44"/>
        <v>3.8199999999999998E-2</v>
      </c>
      <c r="L194">
        <f t="shared" si="45"/>
        <v>0.09</v>
      </c>
      <c r="M194" s="4">
        <f t="shared" si="42"/>
        <v>0.10035139999999999</v>
      </c>
      <c r="N194" s="4">
        <f t="shared" si="43"/>
        <v>0.23642999999999997</v>
      </c>
    </row>
    <row r="195" spans="1:14">
      <c r="A195" t="str">
        <f t="shared" si="46"/>
        <v>alp_Man-VWCO</v>
      </c>
      <c r="B195" t="str">
        <f t="shared" si="47"/>
        <v>Google Brasil</v>
      </c>
      <c r="C195" t="str">
        <f t="shared" si="48"/>
        <v>google-brasil|half-page|300x600|vw_caminhoes|always_on|produto|criativo_70_delivery_5-150|300x600|cpm</v>
      </c>
      <c r="D195" t="str">
        <f t="shared" si="49"/>
        <v>138017779</v>
      </c>
      <c r="E195" t="str">
        <f t="shared" si="50"/>
        <v>Default</v>
      </c>
      <c r="F195" t="str">
        <f t="shared" si="51"/>
        <v>300x600 Default Web Ad</v>
      </c>
      <c r="G195" t="str">
        <f t="shared" si="52"/>
        <v>310386147</v>
      </c>
      <c r="H195" t="str">
        <f t="shared" si="53"/>
        <v>Display</v>
      </c>
      <c r="I195">
        <f t="shared" si="54"/>
        <v>3492</v>
      </c>
      <c r="J195">
        <f t="shared" si="55"/>
        <v>6</v>
      </c>
      <c r="K195" s="4">
        <f t="shared" si="44"/>
        <v>3.8199999999999998E-2</v>
      </c>
      <c r="L195">
        <f t="shared" si="45"/>
        <v>0.09</v>
      </c>
      <c r="M195" s="4">
        <f t="shared" si="42"/>
        <v>0.1333944</v>
      </c>
      <c r="N195" s="4">
        <f t="shared" si="43"/>
        <v>0.31427999999999995</v>
      </c>
    </row>
    <row r="196" spans="1:14">
      <c r="A196" t="str">
        <f t="shared" si="46"/>
        <v>alp_Man-VWCO</v>
      </c>
      <c r="B196" t="str">
        <f t="shared" si="47"/>
        <v>Google Brasil</v>
      </c>
      <c r="C196" t="str">
        <f t="shared" si="48"/>
        <v>google-brasil|half-page|300x600|vw_caminhoes|always_on|produto|criativo_70_delivery_5-150|300x600|cpm</v>
      </c>
      <c r="D196" t="str">
        <f t="shared" si="49"/>
        <v>138017779</v>
      </c>
      <c r="E196" t="str">
        <f t="shared" si="50"/>
        <v>Default</v>
      </c>
      <c r="F196" t="str">
        <f t="shared" si="51"/>
        <v>300x600 Default Web Ad</v>
      </c>
      <c r="G196" t="str">
        <f t="shared" si="52"/>
        <v>310386147</v>
      </c>
      <c r="H196" t="str">
        <f t="shared" si="53"/>
        <v>Display</v>
      </c>
      <c r="I196">
        <f t="shared" si="54"/>
        <v>2621</v>
      </c>
      <c r="J196">
        <f t="shared" si="55"/>
        <v>7</v>
      </c>
      <c r="K196" s="4">
        <f t="shared" si="44"/>
        <v>3.8199999999999998E-2</v>
      </c>
      <c r="L196">
        <f t="shared" si="45"/>
        <v>0.09</v>
      </c>
      <c r="M196" s="4">
        <f t="shared" si="42"/>
        <v>0.10012219999999999</v>
      </c>
      <c r="N196" s="4">
        <f t="shared" si="43"/>
        <v>0.23588999999999999</v>
      </c>
    </row>
    <row r="197" spans="1:14">
      <c r="A197" t="str">
        <f t="shared" si="46"/>
        <v>alp_Man-VWCO</v>
      </c>
      <c r="B197" t="str">
        <f t="shared" si="47"/>
        <v>Google Brasil</v>
      </c>
      <c r="C197" t="str">
        <f t="shared" si="48"/>
        <v>google-brasil|half-page|300x600|vw_caminhoes|always_on|produto|criativo_71_delivery_5-150|300x600|cpm</v>
      </c>
      <c r="D197" t="str">
        <f t="shared" si="49"/>
        <v>138017774</v>
      </c>
      <c r="E197" t="str">
        <f t="shared" si="50"/>
        <v>Default</v>
      </c>
      <c r="F197" t="str">
        <f t="shared" si="51"/>
        <v>300x600 Default Web Ad</v>
      </c>
      <c r="G197" t="str">
        <f t="shared" si="52"/>
        <v>310386147</v>
      </c>
      <c r="H197" t="str">
        <f t="shared" si="53"/>
        <v>Display</v>
      </c>
      <c r="I197">
        <f t="shared" si="54"/>
        <v>3776</v>
      </c>
      <c r="J197">
        <f t="shared" si="55"/>
        <v>8</v>
      </c>
      <c r="K197" s="4">
        <f t="shared" si="44"/>
        <v>3.8199999999999998E-2</v>
      </c>
      <c r="L197">
        <f t="shared" si="45"/>
        <v>0.09</v>
      </c>
      <c r="M197" s="4">
        <f t="shared" si="42"/>
        <v>0.14424319999999999</v>
      </c>
      <c r="N197" s="4">
        <f t="shared" si="43"/>
        <v>0.33983999999999998</v>
      </c>
    </row>
    <row r="198" spans="1:14">
      <c r="A198" t="str">
        <f t="shared" si="46"/>
        <v>alp_Man-VWCO</v>
      </c>
      <c r="B198" t="str">
        <f t="shared" si="47"/>
        <v>Google Brasil</v>
      </c>
      <c r="C198" t="str">
        <f t="shared" si="48"/>
        <v>google-brasil|half-page|300x600|vw_caminhoes|always_on|produto|criativo_71_delivery_5-150|300x600|cpm</v>
      </c>
      <c r="D198" t="str">
        <f t="shared" si="49"/>
        <v>138017774</v>
      </c>
      <c r="E198" t="str">
        <f t="shared" si="50"/>
        <v>Default</v>
      </c>
      <c r="F198" t="str">
        <f t="shared" si="51"/>
        <v>300x600 Default Web Ad</v>
      </c>
      <c r="G198" t="str">
        <f t="shared" si="52"/>
        <v>310386147</v>
      </c>
      <c r="H198" t="str">
        <f t="shared" si="53"/>
        <v>Display</v>
      </c>
      <c r="I198">
        <f t="shared" si="54"/>
        <v>2557</v>
      </c>
      <c r="J198">
        <f t="shared" si="55"/>
        <v>7</v>
      </c>
      <c r="K198" s="4">
        <f t="shared" si="44"/>
        <v>3.8199999999999998E-2</v>
      </c>
      <c r="L198">
        <f t="shared" si="45"/>
        <v>0.09</v>
      </c>
      <c r="M198" s="4">
        <f t="shared" si="42"/>
        <v>9.7677399999999998E-2</v>
      </c>
      <c r="N198" s="4">
        <f t="shared" si="43"/>
        <v>0.23013</v>
      </c>
    </row>
    <row r="199" spans="1:14">
      <c r="A199" t="str">
        <f t="shared" si="46"/>
        <v>alp_Man-VWCO</v>
      </c>
      <c r="B199" t="str">
        <f t="shared" si="47"/>
        <v>Google Brasil</v>
      </c>
      <c r="C199" t="str">
        <f t="shared" si="48"/>
        <v>google-brasil|half-page|300x600|vw_caminhoes|always_on|produto|criativo_72_delivery_5-150|300x600|cpm</v>
      </c>
      <c r="D199" t="str">
        <f t="shared" si="49"/>
        <v>138017769</v>
      </c>
      <c r="E199" t="str">
        <f t="shared" si="50"/>
        <v>Default</v>
      </c>
      <c r="F199" t="str">
        <f t="shared" si="51"/>
        <v>300x600 Default Web Ad</v>
      </c>
      <c r="G199" t="str">
        <f t="shared" si="52"/>
        <v>310386147</v>
      </c>
      <c r="H199" t="str">
        <f t="shared" si="53"/>
        <v>Display</v>
      </c>
      <c r="I199">
        <f t="shared" si="54"/>
        <v>3870</v>
      </c>
      <c r="J199">
        <f t="shared" si="55"/>
        <v>7</v>
      </c>
      <c r="K199" s="4">
        <f t="shared" si="44"/>
        <v>3.8199999999999998E-2</v>
      </c>
      <c r="L199">
        <f t="shared" si="45"/>
        <v>0.09</v>
      </c>
      <c r="M199" s="4">
        <f t="shared" si="42"/>
        <v>0.14783399999999999</v>
      </c>
      <c r="N199" s="4">
        <f t="shared" si="43"/>
        <v>0.3483</v>
      </c>
    </row>
    <row r="200" spans="1:14">
      <c r="A200" t="str">
        <f t="shared" si="46"/>
        <v>alp_Man-VWCO</v>
      </c>
      <c r="B200" t="str">
        <f t="shared" si="47"/>
        <v>Google Brasil</v>
      </c>
      <c r="C200" t="str">
        <f t="shared" si="48"/>
        <v>google-brasil|half-page|300x600|vw_caminhoes|always_on|produto|criativo_72_delivery_5-150|300x600|cpm</v>
      </c>
      <c r="D200" t="str">
        <f t="shared" si="49"/>
        <v>138017769</v>
      </c>
      <c r="E200" t="str">
        <f t="shared" si="50"/>
        <v>Default</v>
      </c>
      <c r="F200" t="str">
        <f t="shared" si="51"/>
        <v>300x600 Default Web Ad</v>
      </c>
      <c r="G200" t="str">
        <f t="shared" si="52"/>
        <v>310386147</v>
      </c>
      <c r="H200" t="str">
        <f t="shared" si="53"/>
        <v>Display</v>
      </c>
      <c r="I200">
        <f t="shared" si="54"/>
        <v>2631</v>
      </c>
      <c r="J200">
        <f t="shared" si="55"/>
        <v>5</v>
      </c>
      <c r="K200" s="4">
        <f t="shared" si="44"/>
        <v>3.8199999999999998E-2</v>
      </c>
      <c r="L200">
        <f t="shared" si="45"/>
        <v>0.09</v>
      </c>
      <c r="M200" s="4">
        <f t="shared" si="42"/>
        <v>0.1005042</v>
      </c>
      <c r="N200" s="4">
        <f t="shared" si="43"/>
        <v>0.23679</v>
      </c>
    </row>
    <row r="201" spans="1:14">
      <c r="A201" t="str">
        <f t="shared" si="46"/>
        <v>alp_Man-VWCO</v>
      </c>
      <c r="B201" t="str">
        <f t="shared" si="47"/>
        <v>Google Brasil</v>
      </c>
      <c r="C201" t="str">
        <f t="shared" si="48"/>
        <v>google-brasil|half-page|300x600|vw_caminhoes|always_on|produto|criativo_73_delivery_8-160|300x600|cpm</v>
      </c>
      <c r="D201" t="str">
        <f t="shared" si="49"/>
        <v>138017764</v>
      </c>
      <c r="E201" t="str">
        <f t="shared" si="50"/>
        <v>Default</v>
      </c>
      <c r="F201" t="str">
        <f t="shared" si="51"/>
        <v>300x600 Default Web Ad</v>
      </c>
      <c r="G201" t="str">
        <f t="shared" si="52"/>
        <v>310386147</v>
      </c>
      <c r="H201" t="str">
        <f t="shared" si="53"/>
        <v>Display</v>
      </c>
      <c r="I201">
        <f t="shared" si="54"/>
        <v>2228</v>
      </c>
      <c r="J201">
        <f t="shared" si="55"/>
        <v>3</v>
      </c>
      <c r="K201" s="4">
        <f t="shared" si="44"/>
        <v>3.8199999999999998E-2</v>
      </c>
      <c r="L201">
        <f t="shared" si="45"/>
        <v>0.09</v>
      </c>
      <c r="M201" s="4">
        <f t="shared" si="42"/>
        <v>8.5109599999999994E-2</v>
      </c>
      <c r="N201" s="4">
        <f t="shared" si="43"/>
        <v>0.20051999999999998</v>
      </c>
    </row>
    <row r="202" spans="1:14">
      <c r="A202" t="str">
        <f t="shared" si="46"/>
        <v>alp_Man-VWCO</v>
      </c>
      <c r="B202" t="str">
        <f t="shared" si="47"/>
        <v>Google Brasil</v>
      </c>
      <c r="C202" t="str">
        <f t="shared" si="48"/>
        <v>google-brasil|half-page|300x600|vw_caminhoes|always_on|produto|criativo_73_delivery_8-160|300x600|cpm</v>
      </c>
      <c r="D202" t="str">
        <f t="shared" si="49"/>
        <v>138017764</v>
      </c>
      <c r="E202" t="str">
        <f t="shared" si="50"/>
        <v>Default</v>
      </c>
      <c r="F202" t="str">
        <f t="shared" si="51"/>
        <v>300x600 Default Web Ad</v>
      </c>
      <c r="G202" t="str">
        <f t="shared" si="52"/>
        <v>310386147</v>
      </c>
      <c r="H202" t="str">
        <f t="shared" si="53"/>
        <v>Display</v>
      </c>
      <c r="I202">
        <f t="shared" si="54"/>
        <v>1661</v>
      </c>
      <c r="J202">
        <f t="shared" si="55"/>
        <v>15</v>
      </c>
      <c r="K202" s="4">
        <f t="shared" si="44"/>
        <v>3.8199999999999998E-2</v>
      </c>
      <c r="L202">
        <f t="shared" si="45"/>
        <v>0.09</v>
      </c>
      <c r="M202" s="4">
        <f t="shared" si="42"/>
        <v>6.3450199999999998E-2</v>
      </c>
      <c r="N202" s="4">
        <f t="shared" si="43"/>
        <v>0.14948999999999998</v>
      </c>
    </row>
    <row r="203" spans="1:14">
      <c r="A203" t="str">
        <f t="shared" si="46"/>
        <v>alp_Man-VWCO</v>
      </c>
      <c r="B203" t="str">
        <f t="shared" si="47"/>
        <v>Google Brasil</v>
      </c>
      <c r="C203" t="str">
        <f t="shared" si="48"/>
        <v>google-brasil|half-page|300x600|vw_caminhoes|always_on|produto|criativo_74_delivery_8-160|300x600|cpm</v>
      </c>
      <c r="D203" t="str">
        <f t="shared" si="49"/>
        <v>138017759</v>
      </c>
      <c r="E203" t="str">
        <f t="shared" si="50"/>
        <v>Default</v>
      </c>
      <c r="F203" t="str">
        <f t="shared" si="51"/>
        <v>300x600 Default Web Ad</v>
      </c>
      <c r="G203" t="str">
        <f t="shared" si="52"/>
        <v>310386147</v>
      </c>
      <c r="H203" t="str">
        <f t="shared" si="53"/>
        <v>Display</v>
      </c>
      <c r="I203">
        <f t="shared" si="54"/>
        <v>2678</v>
      </c>
      <c r="J203">
        <f t="shared" si="55"/>
        <v>5</v>
      </c>
      <c r="K203" s="4">
        <f t="shared" si="44"/>
        <v>3.8199999999999998E-2</v>
      </c>
      <c r="L203">
        <f t="shared" si="45"/>
        <v>0.09</v>
      </c>
      <c r="M203" s="4">
        <f t="shared" si="42"/>
        <v>0.1022996</v>
      </c>
      <c r="N203" s="4">
        <f t="shared" si="43"/>
        <v>0.24101999999999998</v>
      </c>
    </row>
    <row r="204" spans="1:14">
      <c r="A204" t="str">
        <f t="shared" si="46"/>
        <v>alp_Man-VWCO</v>
      </c>
      <c r="B204" t="str">
        <f t="shared" si="47"/>
        <v>Google Brasil</v>
      </c>
      <c r="C204" t="str">
        <f t="shared" si="48"/>
        <v>google-brasil|half-page|300x600|vw_caminhoes|always_on|produto|criativo_74_delivery_8-160|300x600|cpm</v>
      </c>
      <c r="D204" t="str">
        <f t="shared" si="49"/>
        <v>138017759</v>
      </c>
      <c r="E204" t="str">
        <f t="shared" si="50"/>
        <v>Default</v>
      </c>
      <c r="F204" t="str">
        <f t="shared" si="51"/>
        <v>300x600 Default Web Ad</v>
      </c>
      <c r="G204" t="str">
        <f t="shared" si="52"/>
        <v>310386147</v>
      </c>
      <c r="H204" t="str">
        <f t="shared" si="53"/>
        <v>Display</v>
      </c>
      <c r="I204">
        <f t="shared" si="54"/>
        <v>1561</v>
      </c>
      <c r="J204">
        <f t="shared" si="55"/>
        <v>3</v>
      </c>
      <c r="K204" s="4">
        <f t="shared" si="44"/>
        <v>3.8199999999999998E-2</v>
      </c>
      <c r="L204">
        <f t="shared" si="45"/>
        <v>0.09</v>
      </c>
      <c r="M204" s="4">
        <f t="shared" si="42"/>
        <v>5.9630199999999994E-2</v>
      </c>
      <c r="N204" s="4">
        <f t="shared" si="43"/>
        <v>0.14048999999999998</v>
      </c>
    </row>
    <row r="205" spans="1:14">
      <c r="A205" t="str">
        <f t="shared" si="46"/>
        <v>alp_Man-VWCO</v>
      </c>
      <c r="B205" t="str">
        <f t="shared" si="47"/>
        <v>Google Brasil</v>
      </c>
      <c r="C205" t="str">
        <f t="shared" si="48"/>
        <v>google-brasil|half-page|300x600|vw_caminhoes|always_on|produto|criativo_75_delivery_8-160|300x600|cpm</v>
      </c>
      <c r="D205" t="str">
        <f t="shared" si="49"/>
        <v>138017754</v>
      </c>
      <c r="E205" t="str">
        <f t="shared" si="50"/>
        <v>Default</v>
      </c>
      <c r="F205" t="str">
        <f t="shared" si="51"/>
        <v>300x600 Default Web Ad</v>
      </c>
      <c r="G205" t="str">
        <f t="shared" si="52"/>
        <v>310386147</v>
      </c>
      <c r="H205" t="str">
        <f t="shared" si="53"/>
        <v>Display</v>
      </c>
      <c r="I205">
        <f t="shared" si="54"/>
        <v>2534</v>
      </c>
      <c r="J205">
        <f t="shared" si="55"/>
        <v>3</v>
      </c>
      <c r="K205" s="4">
        <f t="shared" si="44"/>
        <v>3.8199999999999998E-2</v>
      </c>
      <c r="L205">
        <f t="shared" si="45"/>
        <v>0.09</v>
      </c>
      <c r="M205" s="4">
        <f t="shared" si="42"/>
        <v>9.6798800000000004E-2</v>
      </c>
      <c r="N205" s="4">
        <f t="shared" si="43"/>
        <v>0.22806000000000001</v>
      </c>
    </row>
    <row r="206" spans="1:14">
      <c r="A206" t="str">
        <f t="shared" si="46"/>
        <v>alp_Man-VWCO</v>
      </c>
      <c r="B206" t="str">
        <f t="shared" si="47"/>
        <v>Google Brasil</v>
      </c>
      <c r="C206" t="str">
        <f t="shared" si="48"/>
        <v>google-brasil|half-page|300x600|vw_caminhoes|always_on|produto|criativo_75_delivery_8-160|300x600|cpm</v>
      </c>
      <c r="D206" t="str">
        <f t="shared" si="49"/>
        <v>138017754</v>
      </c>
      <c r="E206" t="str">
        <f t="shared" si="50"/>
        <v>Default</v>
      </c>
      <c r="F206" t="str">
        <f t="shared" si="51"/>
        <v>300x600 Default Web Ad</v>
      </c>
      <c r="G206" t="str">
        <f t="shared" si="52"/>
        <v>310386147</v>
      </c>
      <c r="H206" t="str">
        <f t="shared" si="53"/>
        <v>Display</v>
      </c>
      <c r="I206">
        <f t="shared" si="54"/>
        <v>1700</v>
      </c>
      <c r="J206">
        <f t="shared" si="55"/>
        <v>8</v>
      </c>
      <c r="K206" s="4">
        <f t="shared" si="44"/>
        <v>3.8199999999999998E-2</v>
      </c>
      <c r="L206">
        <f t="shared" si="45"/>
        <v>0.09</v>
      </c>
      <c r="M206" s="4">
        <f t="shared" si="42"/>
        <v>6.4939999999999998E-2</v>
      </c>
      <c r="N206" s="4">
        <f t="shared" si="43"/>
        <v>0.153</v>
      </c>
    </row>
    <row r="207" spans="1:14">
      <c r="A207" t="str">
        <f t="shared" si="46"/>
        <v>alp_Man-VWCO</v>
      </c>
      <c r="B207" t="str">
        <f t="shared" si="47"/>
        <v>Google Brasil</v>
      </c>
      <c r="C207" t="str">
        <f t="shared" si="48"/>
        <v>google-brasil|half-page|300x600|vw_caminhoes|always_on|produto|criativo_76_delivery_8-160|300x600|cpm</v>
      </c>
      <c r="D207" t="str">
        <f t="shared" si="49"/>
        <v>138017749</v>
      </c>
      <c r="E207" t="str">
        <f t="shared" si="50"/>
        <v>Default</v>
      </c>
      <c r="F207" t="str">
        <f t="shared" si="51"/>
        <v>300x600 Default Web Ad</v>
      </c>
      <c r="G207" t="str">
        <f t="shared" si="52"/>
        <v>310386147</v>
      </c>
      <c r="H207" t="str">
        <f t="shared" si="53"/>
        <v>Display</v>
      </c>
      <c r="I207">
        <f t="shared" si="54"/>
        <v>2618</v>
      </c>
      <c r="J207">
        <f t="shared" si="55"/>
        <v>3</v>
      </c>
      <c r="K207" s="4">
        <f t="shared" si="44"/>
        <v>3.8199999999999998E-2</v>
      </c>
      <c r="L207">
        <f t="shared" si="45"/>
        <v>0.09</v>
      </c>
      <c r="M207" s="4">
        <f t="shared" si="42"/>
        <v>0.1000076</v>
      </c>
      <c r="N207" s="4">
        <f t="shared" si="43"/>
        <v>0.23562</v>
      </c>
    </row>
    <row r="208" spans="1:14">
      <c r="A208" t="str">
        <f t="shared" si="46"/>
        <v>alp_Man-VWCO</v>
      </c>
      <c r="B208" t="str">
        <f t="shared" si="47"/>
        <v>Google Brasil</v>
      </c>
      <c r="C208" t="str">
        <f t="shared" si="48"/>
        <v>google-brasil|half-page|300x600|vw_caminhoes|always_on|produto|criativo_76_delivery_8-160|300x600|cpm</v>
      </c>
      <c r="D208" t="str">
        <f t="shared" si="49"/>
        <v>138017749</v>
      </c>
      <c r="E208" t="str">
        <f t="shared" si="50"/>
        <v>Default</v>
      </c>
      <c r="F208" t="str">
        <f t="shared" si="51"/>
        <v>300x600 Default Web Ad</v>
      </c>
      <c r="G208" t="str">
        <f t="shared" si="52"/>
        <v>310386147</v>
      </c>
      <c r="H208" t="str">
        <f t="shared" si="53"/>
        <v>Display</v>
      </c>
      <c r="I208">
        <f t="shared" si="54"/>
        <v>1560</v>
      </c>
      <c r="J208">
        <f t="shared" si="55"/>
        <v>12</v>
      </c>
      <c r="K208" s="4">
        <f t="shared" si="44"/>
        <v>3.8199999999999998E-2</v>
      </c>
      <c r="L208">
        <f t="shared" si="45"/>
        <v>0.09</v>
      </c>
      <c r="M208" s="4">
        <f t="shared" si="42"/>
        <v>5.9591999999999999E-2</v>
      </c>
      <c r="N208" s="4">
        <f t="shared" si="43"/>
        <v>0.1404</v>
      </c>
    </row>
    <row r="209" spans="1:14">
      <c r="A209" t="str">
        <f t="shared" si="46"/>
        <v>alp_Man-VWCO</v>
      </c>
      <c r="B209" t="str">
        <f t="shared" si="47"/>
        <v>Google Brasil</v>
      </c>
      <c r="C209" t="str">
        <f t="shared" si="48"/>
        <v>google-brasil|half-page|300x600|vw_caminhoes|always_on|produto|criativo_77_delivery_8-160|300x600|cpm</v>
      </c>
      <c r="D209" t="str">
        <f t="shared" si="49"/>
        <v>138017744</v>
      </c>
      <c r="E209" t="str">
        <f t="shared" si="50"/>
        <v>Default</v>
      </c>
      <c r="F209" t="str">
        <f t="shared" si="51"/>
        <v>300x600 Default Web Ad</v>
      </c>
      <c r="G209" t="str">
        <f t="shared" si="52"/>
        <v>310386147</v>
      </c>
      <c r="H209" t="str">
        <f t="shared" si="53"/>
        <v>Display</v>
      </c>
      <c r="I209">
        <f t="shared" si="54"/>
        <v>2586</v>
      </c>
      <c r="J209">
        <f t="shared" si="55"/>
        <v>9</v>
      </c>
      <c r="K209" s="4">
        <f t="shared" si="44"/>
        <v>3.8199999999999998E-2</v>
      </c>
      <c r="L209">
        <f t="shared" si="45"/>
        <v>0.09</v>
      </c>
      <c r="M209" s="4">
        <f t="shared" si="42"/>
        <v>9.878519999999999E-2</v>
      </c>
      <c r="N209" s="4">
        <f t="shared" si="43"/>
        <v>0.23273999999999997</v>
      </c>
    </row>
    <row r="210" spans="1:14">
      <c r="A210" t="str">
        <f t="shared" si="46"/>
        <v>alp_Man-VWCO</v>
      </c>
      <c r="B210" t="str">
        <f t="shared" si="47"/>
        <v>Google Brasil</v>
      </c>
      <c r="C210" t="str">
        <f t="shared" si="48"/>
        <v>google-brasil|half-page|300x600|vw_caminhoes|always_on|produto|criativo_77_delivery_8-160|300x600|cpm</v>
      </c>
      <c r="D210" t="str">
        <f t="shared" si="49"/>
        <v>138017744</v>
      </c>
      <c r="E210" t="str">
        <f t="shared" si="50"/>
        <v>Default</v>
      </c>
      <c r="F210" t="str">
        <f t="shared" si="51"/>
        <v>300x600 Default Web Ad</v>
      </c>
      <c r="G210" t="str">
        <f t="shared" si="52"/>
        <v>310386147</v>
      </c>
      <c r="H210" t="str">
        <f t="shared" si="53"/>
        <v>Display</v>
      </c>
      <c r="I210">
        <f t="shared" si="54"/>
        <v>1633</v>
      </c>
      <c r="J210">
        <f t="shared" si="55"/>
        <v>9</v>
      </c>
      <c r="K210" s="4">
        <f t="shared" si="44"/>
        <v>3.8199999999999998E-2</v>
      </c>
      <c r="L210">
        <f t="shared" si="45"/>
        <v>0.09</v>
      </c>
      <c r="M210" s="4">
        <f t="shared" si="42"/>
        <v>6.2380599999999994E-2</v>
      </c>
      <c r="N210" s="4">
        <f t="shared" si="43"/>
        <v>0.14696999999999999</v>
      </c>
    </row>
    <row r="211" spans="1:14">
      <c r="A211" t="str">
        <f t="shared" si="46"/>
        <v>alp_Man-VWCO</v>
      </c>
      <c r="B211" t="str">
        <f t="shared" si="47"/>
        <v>Google Brasil</v>
      </c>
      <c r="C211" t="str">
        <f t="shared" si="48"/>
        <v>google-brasil|half-page|300x600|vw_caminhoes|always_on|produto|criativo_78_delivery_8-160|300x600|cpm</v>
      </c>
      <c r="D211" t="str">
        <f t="shared" si="49"/>
        <v>138017739</v>
      </c>
      <c r="E211" t="str">
        <f t="shared" si="50"/>
        <v>Default</v>
      </c>
      <c r="F211" t="str">
        <f t="shared" si="51"/>
        <v>300x600 Default Web Ad</v>
      </c>
      <c r="G211" t="str">
        <f t="shared" si="52"/>
        <v>310386147</v>
      </c>
      <c r="H211" t="str">
        <f t="shared" si="53"/>
        <v>Display</v>
      </c>
      <c r="I211">
        <f t="shared" si="54"/>
        <v>2609</v>
      </c>
      <c r="J211">
        <f t="shared" si="55"/>
        <v>6</v>
      </c>
      <c r="K211" s="4">
        <f t="shared" si="44"/>
        <v>3.8199999999999998E-2</v>
      </c>
      <c r="L211">
        <f t="shared" si="45"/>
        <v>0.09</v>
      </c>
      <c r="M211" s="4">
        <f t="shared" si="42"/>
        <v>9.9663799999999997E-2</v>
      </c>
      <c r="N211" s="4">
        <f t="shared" si="43"/>
        <v>0.23480999999999999</v>
      </c>
    </row>
    <row r="212" spans="1:14">
      <c r="A212" t="str">
        <f t="shared" si="46"/>
        <v>alp_Man-VWCO</v>
      </c>
      <c r="B212" t="str">
        <f t="shared" si="47"/>
        <v>Google Brasil</v>
      </c>
      <c r="C212" t="str">
        <f t="shared" si="48"/>
        <v>google-brasil|half-page|300x600|vw_caminhoes|always_on|produto|criativo_78_delivery_8-160|300x600|cpm</v>
      </c>
      <c r="D212" t="str">
        <f t="shared" si="49"/>
        <v>138017739</v>
      </c>
      <c r="E212" t="str">
        <f t="shared" si="50"/>
        <v>Default</v>
      </c>
      <c r="F212" t="str">
        <f t="shared" si="51"/>
        <v>300x600 Default Web Ad</v>
      </c>
      <c r="G212" t="str">
        <f t="shared" si="52"/>
        <v>310386147</v>
      </c>
      <c r="H212" t="str">
        <f t="shared" si="53"/>
        <v>Display</v>
      </c>
      <c r="I212">
        <f t="shared" si="54"/>
        <v>1661</v>
      </c>
      <c r="J212">
        <f t="shared" si="55"/>
        <v>8</v>
      </c>
      <c r="K212" s="4">
        <f t="shared" si="44"/>
        <v>3.8199999999999998E-2</v>
      </c>
      <c r="L212">
        <f t="shared" si="45"/>
        <v>0.09</v>
      </c>
      <c r="M212" s="4">
        <f t="shared" si="42"/>
        <v>6.3450199999999998E-2</v>
      </c>
      <c r="N212" s="4">
        <f t="shared" si="43"/>
        <v>0.14948999999999998</v>
      </c>
    </row>
    <row r="213" spans="1:14">
      <c r="A213" t="str">
        <f t="shared" si="46"/>
        <v>alp_Man-VWCO</v>
      </c>
      <c r="B213" t="str">
        <f t="shared" si="47"/>
        <v>Google Brasil</v>
      </c>
      <c r="C213" t="str">
        <f t="shared" si="48"/>
        <v>google-brasil|half-page|300x600|vw_caminhoes|always_on|produto|criativo_84_delivery_9-160|300x600|cpm</v>
      </c>
      <c r="D213" t="str">
        <f t="shared" si="49"/>
        <v>138017709</v>
      </c>
      <c r="E213" t="str">
        <f t="shared" si="50"/>
        <v>Default</v>
      </c>
      <c r="F213" t="str">
        <f t="shared" si="51"/>
        <v>300x600 Default Web Ad</v>
      </c>
      <c r="G213" t="str">
        <f t="shared" si="52"/>
        <v>310386147</v>
      </c>
      <c r="H213" t="str">
        <f t="shared" si="53"/>
        <v>Display</v>
      </c>
      <c r="I213">
        <f t="shared" si="54"/>
        <v>1395</v>
      </c>
      <c r="J213">
        <f t="shared" si="55"/>
        <v>1</v>
      </c>
      <c r="K213" s="4">
        <f t="shared" si="44"/>
        <v>3.8199999999999998E-2</v>
      </c>
      <c r="L213">
        <f t="shared" si="45"/>
        <v>0.09</v>
      </c>
      <c r="M213" s="4">
        <f t="shared" si="42"/>
        <v>5.3288999999999996E-2</v>
      </c>
      <c r="N213" s="4">
        <f t="shared" si="43"/>
        <v>0.12554999999999999</v>
      </c>
    </row>
    <row r="214" spans="1:14">
      <c r="A214" t="str">
        <f t="shared" si="46"/>
        <v>alp_Man-VWCO</v>
      </c>
      <c r="B214" t="str">
        <f t="shared" si="47"/>
        <v>Google Brasil</v>
      </c>
      <c r="C214" t="str">
        <f t="shared" si="48"/>
        <v>google-brasil|half-page|300x600|vw_caminhoes|always_on|produto|criativo_84_delivery_9-160|300x600|cpm</v>
      </c>
      <c r="D214" t="str">
        <f t="shared" si="49"/>
        <v>138017709</v>
      </c>
      <c r="E214" t="str">
        <f t="shared" si="50"/>
        <v>Default</v>
      </c>
      <c r="F214" t="str">
        <f t="shared" si="51"/>
        <v>300x600 Default Web Ad</v>
      </c>
      <c r="G214" t="str">
        <f t="shared" si="52"/>
        <v>310386147</v>
      </c>
      <c r="H214" t="str">
        <f t="shared" si="53"/>
        <v>Display</v>
      </c>
      <c r="I214">
        <f t="shared" si="54"/>
        <v>1138</v>
      </c>
      <c r="J214">
        <f t="shared" si="55"/>
        <v>3</v>
      </c>
      <c r="K214" s="4">
        <f t="shared" si="44"/>
        <v>3.8199999999999998E-2</v>
      </c>
      <c r="L214">
        <f t="shared" si="45"/>
        <v>0.09</v>
      </c>
      <c r="M214" s="4">
        <f t="shared" si="42"/>
        <v>4.3471599999999992E-2</v>
      </c>
      <c r="N214" s="4">
        <f t="shared" si="43"/>
        <v>0.10242</v>
      </c>
    </row>
    <row r="215" spans="1:14">
      <c r="A215" t="str">
        <f t="shared" si="46"/>
        <v>alp_Man-VWCO</v>
      </c>
      <c r="B215" t="str">
        <f t="shared" si="47"/>
        <v>Google Brasil</v>
      </c>
      <c r="C215" t="str">
        <f t="shared" si="48"/>
        <v>google-brasil|half-page|300x600|vw_caminhoes|always_on|produto|criativo_85_delivery_9-160|300x600|cpm</v>
      </c>
      <c r="D215" t="str">
        <f t="shared" si="49"/>
        <v>138017704</v>
      </c>
      <c r="E215" t="str">
        <f t="shared" si="50"/>
        <v>Default</v>
      </c>
      <c r="F215" t="str">
        <f t="shared" si="51"/>
        <v>300x600 Default Web Ad</v>
      </c>
      <c r="G215" t="str">
        <f t="shared" si="52"/>
        <v>310386147</v>
      </c>
      <c r="H215" t="str">
        <f t="shared" si="53"/>
        <v>Display</v>
      </c>
      <c r="I215">
        <f t="shared" si="54"/>
        <v>1595</v>
      </c>
      <c r="J215">
        <f t="shared" si="55"/>
        <v>3</v>
      </c>
      <c r="K215" s="4">
        <f t="shared" si="44"/>
        <v>3.8199999999999998E-2</v>
      </c>
      <c r="L215">
        <f t="shared" si="45"/>
        <v>0.09</v>
      </c>
      <c r="M215" s="4">
        <f t="shared" si="42"/>
        <v>6.0928999999999997E-2</v>
      </c>
      <c r="N215" s="4">
        <f t="shared" si="43"/>
        <v>0.14354999999999998</v>
      </c>
    </row>
    <row r="216" spans="1:14">
      <c r="A216" t="str">
        <f t="shared" si="46"/>
        <v>alp_Man-VWCO</v>
      </c>
      <c r="B216" t="str">
        <f t="shared" si="47"/>
        <v>Google Brasil</v>
      </c>
      <c r="C216" t="str">
        <f t="shared" si="48"/>
        <v>google-brasil|half-page|300x600|vw_caminhoes|always_on|produto|criativo_85_delivery_9-160|300x600|cpm</v>
      </c>
      <c r="D216" t="str">
        <f t="shared" si="49"/>
        <v>138017704</v>
      </c>
      <c r="E216" t="str">
        <f t="shared" si="50"/>
        <v>Default</v>
      </c>
      <c r="F216" t="str">
        <f t="shared" si="51"/>
        <v>300x600 Default Web Ad</v>
      </c>
      <c r="G216" t="str">
        <f t="shared" si="52"/>
        <v>310386147</v>
      </c>
      <c r="H216" t="str">
        <f t="shared" si="53"/>
        <v>Display</v>
      </c>
      <c r="I216">
        <f t="shared" si="54"/>
        <v>1110</v>
      </c>
      <c r="J216">
        <f t="shared" si="55"/>
        <v>1</v>
      </c>
      <c r="K216" s="4">
        <f t="shared" si="44"/>
        <v>3.8199999999999998E-2</v>
      </c>
      <c r="L216">
        <f t="shared" si="45"/>
        <v>0.09</v>
      </c>
      <c r="M216" s="4">
        <f t="shared" si="42"/>
        <v>4.2402000000000002E-2</v>
      </c>
      <c r="N216" s="4">
        <f t="shared" si="43"/>
        <v>9.9899999999999989E-2</v>
      </c>
    </row>
    <row r="217" spans="1:14">
      <c r="A217" t="str">
        <f t="shared" si="46"/>
        <v>alp_Man-VWCO</v>
      </c>
      <c r="B217" t="str">
        <f t="shared" si="47"/>
        <v>Google Brasil</v>
      </c>
      <c r="C217" t="str">
        <f t="shared" si="48"/>
        <v>google-brasil|half-page|300x600|vw_caminhoes|always_on|produto|criativo_86_delivery_9-160|300x600|cpm</v>
      </c>
      <c r="D217" t="str">
        <f t="shared" si="49"/>
        <v>138015899</v>
      </c>
      <c r="E217" t="str">
        <f t="shared" si="50"/>
        <v>Default</v>
      </c>
      <c r="F217" t="str">
        <f t="shared" si="51"/>
        <v>300x600 Default Web Ad</v>
      </c>
      <c r="G217" t="str">
        <f t="shared" si="52"/>
        <v>310386147</v>
      </c>
      <c r="H217" t="str">
        <f t="shared" si="53"/>
        <v>Display</v>
      </c>
      <c r="I217">
        <f t="shared" si="54"/>
        <v>1594</v>
      </c>
      <c r="J217">
        <f t="shared" si="55"/>
        <v>5</v>
      </c>
      <c r="K217" s="4">
        <f t="shared" si="44"/>
        <v>3.8199999999999998E-2</v>
      </c>
      <c r="L217">
        <f t="shared" si="45"/>
        <v>0.09</v>
      </c>
      <c r="M217" s="4">
        <f t="shared" si="42"/>
        <v>6.0890800000000002E-2</v>
      </c>
      <c r="N217" s="4">
        <f t="shared" si="43"/>
        <v>0.14346</v>
      </c>
    </row>
    <row r="218" spans="1:14">
      <c r="A218" t="str">
        <f t="shared" si="46"/>
        <v>alp_Man-VWCO</v>
      </c>
      <c r="B218" t="str">
        <f t="shared" si="47"/>
        <v>Google Brasil</v>
      </c>
      <c r="C218" t="str">
        <f t="shared" si="48"/>
        <v>google-brasil|half-page|300x600|vw_caminhoes|always_on|produto|criativo_86_delivery_9-160|300x600|cpm</v>
      </c>
      <c r="D218" t="str">
        <f t="shared" si="49"/>
        <v>138015899</v>
      </c>
      <c r="E218" t="str">
        <f t="shared" si="50"/>
        <v>Default</v>
      </c>
      <c r="F218" t="str">
        <f t="shared" si="51"/>
        <v>300x600 Default Web Ad</v>
      </c>
      <c r="G218" t="str">
        <f t="shared" si="52"/>
        <v>310386147</v>
      </c>
      <c r="H218" t="str">
        <f t="shared" si="53"/>
        <v>Display</v>
      </c>
      <c r="I218">
        <f t="shared" si="54"/>
        <v>1092</v>
      </c>
      <c r="J218">
        <f t="shared" si="55"/>
        <v>5</v>
      </c>
      <c r="K218" s="4">
        <f t="shared" si="44"/>
        <v>3.8199999999999998E-2</v>
      </c>
      <c r="L218">
        <f t="shared" si="45"/>
        <v>0.09</v>
      </c>
      <c r="M218" s="4">
        <f t="shared" si="42"/>
        <v>4.1714399999999999E-2</v>
      </c>
      <c r="N218" s="4">
        <f t="shared" si="43"/>
        <v>9.8280000000000006E-2</v>
      </c>
    </row>
    <row r="219" spans="1:14">
      <c r="A219" t="str">
        <f t="shared" si="46"/>
        <v>alp_Man-VWCO</v>
      </c>
      <c r="B219" t="str">
        <f t="shared" si="47"/>
        <v>Google Brasil</v>
      </c>
      <c r="C219" t="str">
        <f t="shared" si="48"/>
        <v>google-brasil|half-page|300x600|vw_caminhoes|always_on|produto|criativo_87_delivery_9-160|300x600|cpm</v>
      </c>
      <c r="D219" t="str">
        <f t="shared" si="49"/>
        <v>138015894</v>
      </c>
      <c r="E219" t="str">
        <f t="shared" si="50"/>
        <v>Default</v>
      </c>
      <c r="F219" t="str">
        <f t="shared" si="51"/>
        <v>300x600 Default Web Ad</v>
      </c>
      <c r="G219" t="str">
        <f t="shared" si="52"/>
        <v>310386147</v>
      </c>
      <c r="H219" t="str">
        <f t="shared" si="53"/>
        <v>Display</v>
      </c>
      <c r="I219">
        <f t="shared" si="54"/>
        <v>1647</v>
      </c>
      <c r="J219">
        <f t="shared" si="55"/>
        <v>4</v>
      </c>
      <c r="K219" s="4">
        <f t="shared" si="44"/>
        <v>3.8199999999999998E-2</v>
      </c>
      <c r="L219">
        <f t="shared" si="45"/>
        <v>0.09</v>
      </c>
      <c r="M219" s="4">
        <f t="shared" si="42"/>
        <v>6.2915399999999996E-2</v>
      </c>
      <c r="N219" s="4">
        <f t="shared" si="43"/>
        <v>0.14823</v>
      </c>
    </row>
    <row r="220" spans="1:14">
      <c r="A220" t="str">
        <f t="shared" si="46"/>
        <v>alp_Man-VWCO</v>
      </c>
      <c r="B220" t="str">
        <f t="shared" si="47"/>
        <v>Google Brasil</v>
      </c>
      <c r="C220" t="str">
        <f t="shared" si="48"/>
        <v>google-brasil|half-page|300x600|vw_caminhoes|always_on|produto|criativo_87_delivery_9-160|300x600|cpm</v>
      </c>
      <c r="D220" t="str">
        <f t="shared" si="49"/>
        <v>138015894</v>
      </c>
      <c r="E220" t="str">
        <f t="shared" si="50"/>
        <v>Default</v>
      </c>
      <c r="F220" t="str">
        <f t="shared" si="51"/>
        <v>300x600 Default Web Ad</v>
      </c>
      <c r="G220" t="str">
        <f t="shared" si="52"/>
        <v>310386147</v>
      </c>
      <c r="H220" t="str">
        <f t="shared" si="53"/>
        <v>Display</v>
      </c>
      <c r="I220">
        <f t="shared" si="54"/>
        <v>1187</v>
      </c>
      <c r="J220">
        <f t="shared" si="55"/>
        <v>4</v>
      </c>
      <c r="K220" s="4">
        <f t="shared" si="44"/>
        <v>3.8199999999999998E-2</v>
      </c>
      <c r="L220">
        <f t="shared" si="45"/>
        <v>0.09</v>
      </c>
      <c r="M220" s="4">
        <f t="shared" si="42"/>
        <v>4.5343399999999992E-2</v>
      </c>
      <c r="N220" s="4">
        <f t="shared" si="43"/>
        <v>0.10682999999999999</v>
      </c>
    </row>
    <row r="221" spans="1:14">
      <c r="A221" t="str">
        <f t="shared" si="46"/>
        <v>alp_Man-VWCO</v>
      </c>
      <c r="B221" t="str">
        <f t="shared" si="47"/>
        <v>Google Brasil</v>
      </c>
      <c r="C221" t="str">
        <f t="shared" si="48"/>
        <v>google-brasil|half-page|300x600|vw_caminhoes|always_on|produto|criativo_88_delivery_9-160|300x600|cpm</v>
      </c>
      <c r="D221" t="str">
        <f t="shared" si="49"/>
        <v>138015889</v>
      </c>
      <c r="E221" t="str">
        <f t="shared" si="50"/>
        <v>Default</v>
      </c>
      <c r="F221" t="str">
        <f t="shared" si="51"/>
        <v>300x600 Default Web Ad</v>
      </c>
      <c r="G221" t="str">
        <f t="shared" si="52"/>
        <v>310386147</v>
      </c>
      <c r="H221" t="str">
        <f t="shared" si="53"/>
        <v>Display</v>
      </c>
      <c r="I221">
        <f t="shared" si="54"/>
        <v>1694</v>
      </c>
      <c r="J221">
        <f t="shared" si="55"/>
        <v>3</v>
      </c>
      <c r="K221" s="4">
        <f t="shared" si="44"/>
        <v>3.8199999999999998E-2</v>
      </c>
      <c r="L221">
        <f t="shared" si="45"/>
        <v>0.09</v>
      </c>
      <c r="M221" s="4">
        <f t="shared" si="42"/>
        <v>6.4710799999999985E-2</v>
      </c>
      <c r="N221" s="4">
        <f t="shared" si="43"/>
        <v>0.15246000000000001</v>
      </c>
    </row>
    <row r="222" spans="1:14">
      <c r="A222" t="str">
        <f t="shared" si="46"/>
        <v>alp_Man-VWCO</v>
      </c>
      <c r="B222" t="str">
        <f t="shared" si="47"/>
        <v>Google Brasil</v>
      </c>
      <c r="C222" t="str">
        <f t="shared" si="48"/>
        <v>google-brasil|half-page|300x600|vw_caminhoes|always_on|produto|criativo_88_delivery_9-160|300x600|cpm</v>
      </c>
      <c r="D222" t="str">
        <f t="shared" si="49"/>
        <v>138015889</v>
      </c>
      <c r="E222" t="str">
        <f t="shared" si="50"/>
        <v>Default</v>
      </c>
      <c r="F222" t="str">
        <f t="shared" si="51"/>
        <v>300x600 Default Web Ad</v>
      </c>
      <c r="G222" t="str">
        <f t="shared" si="52"/>
        <v>310386147</v>
      </c>
      <c r="H222" t="str">
        <f t="shared" si="53"/>
        <v>Display</v>
      </c>
      <c r="I222">
        <f t="shared" si="54"/>
        <v>1081</v>
      </c>
      <c r="J222">
        <f t="shared" si="55"/>
        <v>5</v>
      </c>
      <c r="K222" s="4">
        <f t="shared" si="44"/>
        <v>3.8199999999999998E-2</v>
      </c>
      <c r="L222">
        <f t="shared" si="45"/>
        <v>0.09</v>
      </c>
      <c r="M222" s="4">
        <f t="shared" si="42"/>
        <v>4.1294199999999996E-2</v>
      </c>
      <c r="N222" s="4">
        <f t="shared" si="43"/>
        <v>9.7289999999999988E-2</v>
      </c>
    </row>
    <row r="223" spans="1:14">
      <c r="A223" t="str">
        <f t="shared" si="46"/>
        <v>alp_Man-VWCO</v>
      </c>
      <c r="B223" t="str">
        <f t="shared" si="47"/>
        <v>Google Brasil</v>
      </c>
      <c r="C223" t="str">
        <f t="shared" si="48"/>
        <v>google-brasil|half-page|300x600|vw_caminhoes|always_on|produto|criativo_90_delivery_10-160|300x600|cpm</v>
      </c>
      <c r="D223" t="str">
        <f t="shared" si="49"/>
        <v>138015879</v>
      </c>
      <c r="E223" t="str">
        <f t="shared" si="50"/>
        <v>Default</v>
      </c>
      <c r="F223" t="str">
        <f t="shared" si="51"/>
        <v>300x600 Default Web Ad</v>
      </c>
      <c r="G223" t="str">
        <f t="shared" si="52"/>
        <v>310386147</v>
      </c>
      <c r="H223" t="str">
        <f t="shared" si="53"/>
        <v>Display</v>
      </c>
      <c r="I223">
        <f t="shared" si="54"/>
        <v>2164</v>
      </c>
      <c r="J223">
        <f t="shared" si="55"/>
        <v>7</v>
      </c>
      <c r="K223" s="4">
        <f t="shared" si="44"/>
        <v>3.8199999999999998E-2</v>
      </c>
      <c r="L223">
        <f t="shared" si="45"/>
        <v>0.09</v>
      </c>
      <c r="M223" s="4">
        <f t="shared" si="42"/>
        <v>8.2664799999999997E-2</v>
      </c>
      <c r="N223" s="4">
        <f t="shared" si="43"/>
        <v>0.19475999999999999</v>
      </c>
    </row>
    <row r="224" spans="1:14">
      <c r="A224" t="str">
        <f t="shared" si="46"/>
        <v>alp_Man-VWCO</v>
      </c>
      <c r="B224" t="str">
        <f t="shared" si="47"/>
        <v>Google Brasil</v>
      </c>
      <c r="C224" t="str">
        <f t="shared" si="48"/>
        <v>google-brasil|half-page|300x600|vw_caminhoes|always_on|produto|criativo_90_delivery_10-160|300x600|cpm</v>
      </c>
      <c r="D224" t="str">
        <f t="shared" si="49"/>
        <v>138015879</v>
      </c>
      <c r="E224" t="str">
        <f t="shared" si="50"/>
        <v>Default</v>
      </c>
      <c r="F224" t="str">
        <f t="shared" si="51"/>
        <v>300x600 Default Web Ad</v>
      </c>
      <c r="G224" t="str">
        <f t="shared" si="52"/>
        <v>310386147</v>
      </c>
      <c r="H224" t="str">
        <f t="shared" si="53"/>
        <v>Display</v>
      </c>
      <c r="I224">
        <f t="shared" si="54"/>
        <v>1043</v>
      </c>
      <c r="J224">
        <f t="shared" si="55"/>
        <v>6</v>
      </c>
      <c r="K224" s="4">
        <f t="shared" si="44"/>
        <v>3.8199999999999998E-2</v>
      </c>
      <c r="L224">
        <f t="shared" si="45"/>
        <v>0.09</v>
      </c>
      <c r="M224" s="4">
        <f t="shared" si="42"/>
        <v>3.9842599999999999E-2</v>
      </c>
      <c r="N224" s="4">
        <f t="shared" si="43"/>
        <v>9.3869999999999995E-2</v>
      </c>
    </row>
    <row r="225" spans="1:14">
      <c r="A225" t="str">
        <f t="shared" si="46"/>
        <v>alp_Man-VWCO</v>
      </c>
      <c r="B225" t="str">
        <f t="shared" si="47"/>
        <v>Google Brasil</v>
      </c>
      <c r="C225" t="str">
        <f t="shared" si="48"/>
        <v>google-brasil|half-page|300x600|vw_caminhoes|always_on|produto|criativo_91_delivery_10-160|300x600|cpm</v>
      </c>
      <c r="D225" t="str">
        <f t="shared" si="49"/>
        <v>138015874</v>
      </c>
      <c r="E225" t="str">
        <f t="shared" si="50"/>
        <v>Default</v>
      </c>
      <c r="F225" t="str">
        <f t="shared" si="51"/>
        <v>300x600 Default Web Ad</v>
      </c>
      <c r="G225" t="str">
        <f t="shared" si="52"/>
        <v>310386147</v>
      </c>
      <c r="H225" t="str">
        <f t="shared" si="53"/>
        <v>Display</v>
      </c>
      <c r="I225">
        <f t="shared" si="54"/>
        <v>2234</v>
      </c>
      <c r="J225">
        <f t="shared" si="55"/>
        <v>14</v>
      </c>
      <c r="K225" s="4">
        <f t="shared" si="44"/>
        <v>3.8199999999999998E-2</v>
      </c>
      <c r="L225">
        <f t="shared" si="45"/>
        <v>0.09</v>
      </c>
      <c r="M225" s="4">
        <f t="shared" si="42"/>
        <v>8.5338799999999992E-2</v>
      </c>
      <c r="N225" s="4">
        <f t="shared" si="43"/>
        <v>0.20105999999999999</v>
      </c>
    </row>
    <row r="226" spans="1:14">
      <c r="A226" t="str">
        <f t="shared" si="46"/>
        <v>alp_Man-VWCO</v>
      </c>
      <c r="B226" t="str">
        <f t="shared" si="47"/>
        <v>Google Brasil</v>
      </c>
      <c r="C226" t="str">
        <f t="shared" si="48"/>
        <v>google-brasil|half-page|300x600|vw_caminhoes|always_on|produto|criativo_91_delivery_10-160|300x600|cpm</v>
      </c>
      <c r="D226" t="str">
        <f t="shared" si="49"/>
        <v>138015874</v>
      </c>
      <c r="E226" t="str">
        <f t="shared" si="50"/>
        <v>Default</v>
      </c>
      <c r="F226" t="str">
        <f t="shared" si="51"/>
        <v>300x600 Default Web Ad</v>
      </c>
      <c r="G226" t="str">
        <f t="shared" si="52"/>
        <v>310386147</v>
      </c>
      <c r="H226" t="str">
        <f t="shared" si="53"/>
        <v>Display</v>
      </c>
      <c r="I226">
        <f t="shared" si="54"/>
        <v>1101</v>
      </c>
      <c r="J226">
        <f t="shared" si="55"/>
        <v>11</v>
      </c>
      <c r="K226" s="4">
        <f t="shared" si="44"/>
        <v>3.8199999999999998E-2</v>
      </c>
      <c r="L226">
        <f t="shared" si="45"/>
        <v>0.09</v>
      </c>
      <c r="M226" s="4">
        <f t="shared" si="42"/>
        <v>4.2058199999999997E-2</v>
      </c>
      <c r="N226" s="4">
        <f t="shared" si="43"/>
        <v>9.9089999999999998E-2</v>
      </c>
    </row>
    <row r="227" spans="1:14">
      <c r="A227" t="str">
        <f t="shared" si="46"/>
        <v>alp_Man-VWCO</v>
      </c>
      <c r="B227" t="str">
        <f t="shared" si="47"/>
        <v>Google Brasil</v>
      </c>
      <c r="C227" t="str">
        <f t="shared" si="48"/>
        <v>google-brasil|half-page|300x600|vw_caminhoes|always_on|produto|criativo_92_delivery_10-160|300x600|cpm</v>
      </c>
      <c r="D227" t="str">
        <f t="shared" si="49"/>
        <v>138015869</v>
      </c>
      <c r="E227" t="str">
        <f t="shared" si="50"/>
        <v>Default</v>
      </c>
      <c r="F227" t="str">
        <f t="shared" si="51"/>
        <v>300x600 Default Web Ad</v>
      </c>
      <c r="G227" t="str">
        <f t="shared" si="52"/>
        <v>310386147</v>
      </c>
      <c r="H227" t="str">
        <f t="shared" si="53"/>
        <v>Display</v>
      </c>
      <c r="I227">
        <f t="shared" si="54"/>
        <v>2205</v>
      </c>
      <c r="J227">
        <f t="shared" si="55"/>
        <v>7</v>
      </c>
      <c r="K227" s="4">
        <f t="shared" si="44"/>
        <v>3.8199999999999998E-2</v>
      </c>
      <c r="L227">
        <f t="shared" si="45"/>
        <v>0.09</v>
      </c>
      <c r="M227" s="4">
        <f t="shared" ref="M227:M290" si="56">IF(E227="Dynamic Click",J227*K227,K227*$I227/1000)</f>
        <v>8.4231E-2</v>
      </c>
      <c r="N227" s="4">
        <f t="shared" ref="N227:N290" si="57">IF(E227="Dynamic Click",J227*L227,L227*$I227/1000)</f>
        <v>0.19844999999999999</v>
      </c>
    </row>
    <row r="228" spans="1:14">
      <c r="A228" t="str">
        <f t="shared" si="46"/>
        <v>alp_Man-VWCO</v>
      </c>
      <c r="B228" t="str">
        <f t="shared" si="47"/>
        <v>Google Brasil</v>
      </c>
      <c r="C228" t="str">
        <f t="shared" si="48"/>
        <v>google-brasil|half-page|300x600|vw_caminhoes|always_on|produto|criativo_92_delivery_10-160|300x600|cpm</v>
      </c>
      <c r="D228" t="str">
        <f t="shared" si="49"/>
        <v>138015869</v>
      </c>
      <c r="E228" t="str">
        <f t="shared" si="50"/>
        <v>Default</v>
      </c>
      <c r="F228" t="str">
        <f t="shared" si="51"/>
        <v>300x600 Default Web Ad</v>
      </c>
      <c r="G228" t="str">
        <f t="shared" si="52"/>
        <v>310386147</v>
      </c>
      <c r="H228" t="str">
        <f t="shared" si="53"/>
        <v>Display</v>
      </c>
      <c r="I228">
        <f t="shared" si="54"/>
        <v>1086</v>
      </c>
      <c r="J228">
        <f t="shared" si="55"/>
        <v>2</v>
      </c>
      <c r="K228" s="4">
        <f t="shared" si="44"/>
        <v>3.8199999999999998E-2</v>
      </c>
      <c r="L228">
        <f t="shared" si="45"/>
        <v>0.09</v>
      </c>
      <c r="M228" s="4">
        <f t="shared" si="56"/>
        <v>4.14852E-2</v>
      </c>
      <c r="N228" s="4">
        <f t="shared" si="57"/>
        <v>9.7739999999999994E-2</v>
      </c>
    </row>
    <row r="229" spans="1:14">
      <c r="A229" t="str">
        <f t="shared" si="46"/>
        <v>alp_Man-VWCO</v>
      </c>
      <c r="B229" t="str">
        <f t="shared" si="47"/>
        <v>Google Brasil</v>
      </c>
      <c r="C229" t="str">
        <f t="shared" si="48"/>
        <v>google-brasil|half-page|300x600|vw_caminhoes|always_on|produto|criativo_93_delivery_10-160|300x600|cpm</v>
      </c>
      <c r="D229" t="str">
        <f t="shared" si="49"/>
        <v>138015864</v>
      </c>
      <c r="E229" t="str">
        <f t="shared" si="50"/>
        <v>Default</v>
      </c>
      <c r="F229" t="str">
        <f t="shared" si="51"/>
        <v>300x600 Default Web Ad</v>
      </c>
      <c r="G229" t="str">
        <f t="shared" si="52"/>
        <v>310386147</v>
      </c>
      <c r="H229" t="str">
        <f t="shared" si="53"/>
        <v>Display</v>
      </c>
      <c r="I229">
        <f t="shared" si="54"/>
        <v>2316</v>
      </c>
      <c r="J229">
        <f t="shared" si="55"/>
        <v>19</v>
      </c>
      <c r="K229" s="4">
        <f t="shared" si="44"/>
        <v>3.8199999999999998E-2</v>
      </c>
      <c r="L229">
        <f t="shared" si="45"/>
        <v>0.09</v>
      </c>
      <c r="M229" s="4">
        <f t="shared" si="56"/>
        <v>8.84712E-2</v>
      </c>
      <c r="N229" s="4">
        <f t="shared" si="57"/>
        <v>0.20843999999999999</v>
      </c>
    </row>
    <row r="230" spans="1:14">
      <c r="A230" t="str">
        <f t="shared" si="46"/>
        <v>alp_Man-VWCO</v>
      </c>
      <c r="B230" t="str">
        <f t="shared" si="47"/>
        <v>Google Brasil</v>
      </c>
      <c r="C230" t="str">
        <f t="shared" si="48"/>
        <v>google-brasil|half-page|300x600|vw_caminhoes|always_on|produto|criativo_93_delivery_10-160|300x600|cpm</v>
      </c>
      <c r="D230" t="str">
        <f t="shared" si="49"/>
        <v>138015864</v>
      </c>
      <c r="E230" t="str">
        <f t="shared" si="50"/>
        <v>Default</v>
      </c>
      <c r="F230" t="str">
        <f t="shared" si="51"/>
        <v>300x600 Default Web Ad</v>
      </c>
      <c r="G230" t="str">
        <f t="shared" si="52"/>
        <v>310386147</v>
      </c>
      <c r="H230" t="str">
        <f t="shared" si="53"/>
        <v>Display</v>
      </c>
      <c r="I230">
        <f t="shared" si="54"/>
        <v>1616</v>
      </c>
      <c r="J230">
        <f t="shared" si="55"/>
        <v>16</v>
      </c>
      <c r="K230" s="4">
        <f t="shared" si="44"/>
        <v>3.8199999999999998E-2</v>
      </c>
      <c r="L230">
        <f t="shared" si="45"/>
        <v>0.09</v>
      </c>
      <c r="M230" s="4">
        <f t="shared" si="56"/>
        <v>6.1731199999999993E-2</v>
      </c>
      <c r="N230" s="4">
        <f t="shared" si="57"/>
        <v>0.14543999999999999</v>
      </c>
    </row>
    <row r="231" spans="1:14">
      <c r="A231" t="str">
        <f t="shared" si="46"/>
        <v>alp_Man-VWCO</v>
      </c>
      <c r="B231" t="str">
        <f t="shared" si="47"/>
        <v>Google Brasil</v>
      </c>
      <c r="C231" t="str">
        <f t="shared" si="48"/>
        <v>google-brasil|half-page|300x600|vw_caminhoes|always_on|vitrine|criativo_01_delivery_10-160|300x600|cpm</v>
      </c>
      <c r="D231" t="str">
        <f t="shared" si="49"/>
        <v>138019019</v>
      </c>
      <c r="E231" t="str">
        <f t="shared" si="50"/>
        <v>Default</v>
      </c>
      <c r="F231" t="str">
        <f t="shared" si="51"/>
        <v>300x600 Default Web Ad</v>
      </c>
      <c r="G231" t="str">
        <f t="shared" si="52"/>
        <v>310386147</v>
      </c>
      <c r="H231" t="str">
        <f t="shared" si="53"/>
        <v>Display</v>
      </c>
      <c r="I231">
        <f t="shared" si="54"/>
        <v>300</v>
      </c>
      <c r="J231">
        <f t="shared" si="55"/>
        <v>1</v>
      </c>
      <c r="K231" s="4">
        <f t="shared" si="44"/>
        <v>3.8199999999999998E-2</v>
      </c>
      <c r="L231">
        <f t="shared" si="45"/>
        <v>0.09</v>
      </c>
      <c r="M231" s="4">
        <f t="shared" si="56"/>
        <v>1.146E-2</v>
      </c>
      <c r="N231" s="4">
        <f t="shared" si="57"/>
        <v>2.7E-2</v>
      </c>
    </row>
    <row r="232" spans="1:14">
      <c r="A232" t="str">
        <f t="shared" si="46"/>
        <v>alp_Man-VWCO</v>
      </c>
      <c r="B232" t="str">
        <f t="shared" si="47"/>
        <v>Google Brasil</v>
      </c>
      <c r="C232" t="str">
        <f t="shared" si="48"/>
        <v>google-brasil|half-page|300x600|vw_caminhoes|always_on|vitrine|criativo_01_delivery_10-160|300x600|cpm</v>
      </c>
      <c r="D232" t="str">
        <f t="shared" si="49"/>
        <v>138019019</v>
      </c>
      <c r="E232" t="str">
        <f t="shared" si="50"/>
        <v>Default</v>
      </c>
      <c r="F232" t="str">
        <f t="shared" si="51"/>
        <v>300x600 Default Web Ad</v>
      </c>
      <c r="G232" t="str">
        <f t="shared" si="52"/>
        <v>310386147</v>
      </c>
      <c r="H232" t="str">
        <f t="shared" si="53"/>
        <v>Display</v>
      </c>
      <c r="I232">
        <f t="shared" si="54"/>
        <v>1138</v>
      </c>
      <c r="J232">
        <f t="shared" si="55"/>
        <v>55</v>
      </c>
      <c r="K232" s="4">
        <f t="shared" si="44"/>
        <v>3.8199999999999998E-2</v>
      </c>
      <c r="L232">
        <f t="shared" si="45"/>
        <v>0.09</v>
      </c>
      <c r="M232" s="4">
        <f t="shared" si="56"/>
        <v>4.3471599999999992E-2</v>
      </c>
      <c r="N232" s="4">
        <f t="shared" si="57"/>
        <v>0.10242</v>
      </c>
    </row>
    <row r="233" spans="1:14">
      <c r="A233" t="str">
        <f t="shared" si="46"/>
        <v>alp_Man-VWCO</v>
      </c>
      <c r="B233" t="str">
        <f t="shared" si="47"/>
        <v>Google Brasil</v>
      </c>
      <c r="C233" t="str">
        <f t="shared" si="48"/>
        <v>google-brasil|half-page|300x600|vw_caminhoes|always_on|vitrine|criativo_02_delivery_10-160|300x600|cpm</v>
      </c>
      <c r="D233" t="str">
        <f t="shared" si="49"/>
        <v>138019014</v>
      </c>
      <c r="E233" t="str">
        <f t="shared" si="50"/>
        <v>Default</v>
      </c>
      <c r="F233" t="str">
        <f t="shared" si="51"/>
        <v>300x600 Default Web Ad</v>
      </c>
      <c r="G233" t="str">
        <f t="shared" si="52"/>
        <v>310386147</v>
      </c>
      <c r="H233" t="str">
        <f t="shared" si="53"/>
        <v>Display</v>
      </c>
      <c r="I233">
        <f t="shared" si="54"/>
        <v>281</v>
      </c>
      <c r="J233">
        <f t="shared" si="55"/>
        <v>4</v>
      </c>
      <c r="K233" s="4">
        <f t="shared" si="44"/>
        <v>3.8199999999999998E-2</v>
      </c>
      <c r="L233">
        <f t="shared" si="45"/>
        <v>0.09</v>
      </c>
      <c r="M233" s="4">
        <f t="shared" si="56"/>
        <v>1.0734199999999999E-2</v>
      </c>
      <c r="N233" s="4">
        <f t="shared" si="57"/>
        <v>2.529E-2</v>
      </c>
    </row>
    <row r="234" spans="1:14">
      <c r="A234" t="str">
        <f t="shared" si="46"/>
        <v>alp_Man-VWCO</v>
      </c>
      <c r="B234" t="str">
        <f t="shared" si="47"/>
        <v>Google Brasil</v>
      </c>
      <c r="C234" t="str">
        <f t="shared" si="48"/>
        <v>google-brasil|half-page|300x600|vw_caminhoes|always_on|vitrine|criativo_02_delivery_10-160|300x600|cpm</v>
      </c>
      <c r="D234" t="str">
        <f t="shared" si="49"/>
        <v>138019014</v>
      </c>
      <c r="E234" t="str">
        <f t="shared" si="50"/>
        <v>Default</v>
      </c>
      <c r="F234" t="str">
        <f t="shared" si="51"/>
        <v>300x600 Default Web Ad</v>
      </c>
      <c r="G234" t="str">
        <f t="shared" si="52"/>
        <v>310386147</v>
      </c>
      <c r="H234" t="str">
        <f t="shared" si="53"/>
        <v>Display</v>
      </c>
      <c r="I234">
        <f t="shared" si="54"/>
        <v>1071</v>
      </c>
      <c r="J234">
        <f t="shared" si="55"/>
        <v>37</v>
      </c>
      <c r="K234" s="4">
        <f t="shared" si="44"/>
        <v>3.8199999999999998E-2</v>
      </c>
      <c r="L234">
        <f t="shared" si="45"/>
        <v>0.09</v>
      </c>
      <c r="M234" s="4">
        <f t="shared" si="56"/>
        <v>4.0912199999999996E-2</v>
      </c>
      <c r="N234" s="4">
        <f t="shared" si="57"/>
        <v>9.6390000000000003E-2</v>
      </c>
    </row>
    <row r="235" spans="1:14">
      <c r="A235" t="str">
        <f t="shared" si="46"/>
        <v>alp_Man-VWCO</v>
      </c>
      <c r="B235" t="str">
        <f t="shared" si="47"/>
        <v>Google Brasil</v>
      </c>
      <c r="C235" t="str">
        <f t="shared" si="48"/>
        <v>google-brasil|half-page|300x600|vw_caminhoes|always_on|vitrine|criativo_03_delivery_10-160|300x600|cpm</v>
      </c>
      <c r="D235" t="str">
        <f t="shared" si="49"/>
        <v>138019009</v>
      </c>
      <c r="E235" t="str">
        <f t="shared" si="50"/>
        <v>Default</v>
      </c>
      <c r="F235" t="str">
        <f t="shared" si="51"/>
        <v>300x600 Default Web Ad</v>
      </c>
      <c r="G235" t="str">
        <f t="shared" si="52"/>
        <v>310386147</v>
      </c>
      <c r="H235" t="str">
        <f t="shared" si="53"/>
        <v>Display</v>
      </c>
      <c r="I235">
        <f t="shared" si="54"/>
        <v>268</v>
      </c>
      <c r="J235">
        <f t="shared" si="55"/>
        <v>0</v>
      </c>
      <c r="K235" s="4">
        <f t="shared" si="44"/>
        <v>3.8199999999999998E-2</v>
      </c>
      <c r="L235">
        <f t="shared" si="45"/>
        <v>0.09</v>
      </c>
      <c r="M235" s="4">
        <f t="shared" si="56"/>
        <v>1.0237599999999999E-2</v>
      </c>
      <c r="N235" s="4">
        <f t="shared" si="57"/>
        <v>2.4119999999999999E-2</v>
      </c>
    </row>
    <row r="236" spans="1:14">
      <c r="A236" t="str">
        <f t="shared" si="46"/>
        <v>alp_Man-VWCO</v>
      </c>
      <c r="B236" t="str">
        <f t="shared" si="47"/>
        <v>Google Brasil</v>
      </c>
      <c r="C236" t="str">
        <f t="shared" si="48"/>
        <v>google-brasil|half-page|300x600|vw_caminhoes|always_on|vitrine|criativo_03_delivery_10-160|300x600|cpm</v>
      </c>
      <c r="D236" t="str">
        <f t="shared" si="49"/>
        <v>138019009</v>
      </c>
      <c r="E236" t="str">
        <f t="shared" si="50"/>
        <v>Default</v>
      </c>
      <c r="F236" t="str">
        <f t="shared" si="51"/>
        <v>300x600 Default Web Ad</v>
      </c>
      <c r="G236" t="str">
        <f t="shared" si="52"/>
        <v>310386147</v>
      </c>
      <c r="H236" t="str">
        <f t="shared" si="53"/>
        <v>Display</v>
      </c>
      <c r="I236">
        <f t="shared" si="54"/>
        <v>1107</v>
      </c>
      <c r="J236">
        <f t="shared" si="55"/>
        <v>47</v>
      </c>
      <c r="K236" s="4">
        <f t="shared" ref="K236:K299" si="58">IF(LEFT(B236,3)="DBM",0,VLOOKUP(E236,tabela,2,FALSE))</f>
        <v>3.8199999999999998E-2</v>
      </c>
      <c r="L236">
        <f t="shared" ref="L236:L299" si="59">VLOOKUP(E236,tabela,3,FALSE)</f>
        <v>0.09</v>
      </c>
      <c r="M236" s="4">
        <f t="shared" si="56"/>
        <v>4.2287399999999996E-2</v>
      </c>
      <c r="N236" s="4">
        <f t="shared" si="57"/>
        <v>9.9629999999999996E-2</v>
      </c>
    </row>
    <row r="237" spans="1:14">
      <c r="A237" t="str">
        <f t="shared" si="46"/>
        <v>alp_Man-VWCO</v>
      </c>
      <c r="B237" t="str">
        <f t="shared" si="47"/>
        <v>Google Brasil</v>
      </c>
      <c r="C237" t="str">
        <f t="shared" si="48"/>
        <v>google-brasil|half-page|300x600|vw_caminhoes|always_on|vitrine|criativo_04_delivery_10-160|300x600|cpm</v>
      </c>
      <c r="D237" t="str">
        <f t="shared" si="49"/>
        <v>138019004</v>
      </c>
      <c r="E237" t="str">
        <f t="shared" si="50"/>
        <v>Default</v>
      </c>
      <c r="F237" t="str">
        <f t="shared" si="51"/>
        <v>300x600 Default Web Ad</v>
      </c>
      <c r="G237" t="str">
        <f t="shared" si="52"/>
        <v>310386147</v>
      </c>
      <c r="H237" t="str">
        <f t="shared" si="53"/>
        <v>Display</v>
      </c>
      <c r="I237">
        <f t="shared" si="54"/>
        <v>260</v>
      </c>
      <c r="J237">
        <f t="shared" si="55"/>
        <v>0</v>
      </c>
      <c r="K237" s="4">
        <f t="shared" si="58"/>
        <v>3.8199999999999998E-2</v>
      </c>
      <c r="L237">
        <f t="shared" si="59"/>
        <v>0.09</v>
      </c>
      <c r="M237" s="4">
        <f t="shared" si="56"/>
        <v>9.9319999999999981E-3</v>
      </c>
      <c r="N237" s="4">
        <f t="shared" si="57"/>
        <v>2.3399999999999997E-2</v>
      </c>
    </row>
    <row r="238" spans="1:14">
      <c r="A238" t="str">
        <f t="shared" si="46"/>
        <v>alp_Man-VWCO</v>
      </c>
      <c r="B238" t="str">
        <f t="shared" si="47"/>
        <v>Google Brasil</v>
      </c>
      <c r="C238" t="str">
        <f t="shared" si="48"/>
        <v>google-brasil|half-page|300x600|vw_caminhoes|always_on|vitrine|criativo_04_delivery_10-160|300x600|cpm</v>
      </c>
      <c r="D238" t="str">
        <f t="shared" si="49"/>
        <v>138019004</v>
      </c>
      <c r="E238" t="str">
        <f t="shared" si="50"/>
        <v>Default</v>
      </c>
      <c r="F238" t="str">
        <f t="shared" si="51"/>
        <v>300x600 Default Web Ad</v>
      </c>
      <c r="G238" t="str">
        <f t="shared" si="52"/>
        <v>310386147</v>
      </c>
      <c r="H238" t="str">
        <f t="shared" si="53"/>
        <v>Display</v>
      </c>
      <c r="I238">
        <f t="shared" si="54"/>
        <v>1140</v>
      </c>
      <c r="J238">
        <f t="shared" si="55"/>
        <v>41</v>
      </c>
      <c r="K238" s="4">
        <f t="shared" si="58"/>
        <v>3.8199999999999998E-2</v>
      </c>
      <c r="L238">
        <f t="shared" si="59"/>
        <v>0.09</v>
      </c>
      <c r="M238" s="4">
        <f t="shared" si="56"/>
        <v>4.3547999999999996E-2</v>
      </c>
      <c r="N238" s="4">
        <f t="shared" si="57"/>
        <v>0.1026</v>
      </c>
    </row>
    <row r="239" spans="1:14">
      <c r="A239" t="str">
        <f t="shared" si="46"/>
        <v>alp_Man-VWCO</v>
      </c>
      <c r="B239" t="str">
        <f t="shared" si="47"/>
        <v>Google Brasil</v>
      </c>
      <c r="C239" t="str">
        <f t="shared" si="48"/>
        <v>google-brasil|half-page|300x600|vw_caminhoes|always_on|vitrine|criativo_05_delivery_10-160|300x600|cpm</v>
      </c>
      <c r="D239" t="str">
        <f t="shared" si="49"/>
        <v>138018999</v>
      </c>
      <c r="E239" t="str">
        <f t="shared" si="50"/>
        <v>Default</v>
      </c>
      <c r="F239" t="str">
        <f t="shared" si="51"/>
        <v>300x600 Default Web Ad</v>
      </c>
      <c r="G239" t="str">
        <f t="shared" si="52"/>
        <v>310386147</v>
      </c>
      <c r="H239" t="str">
        <f t="shared" si="53"/>
        <v>Display</v>
      </c>
      <c r="I239">
        <f t="shared" si="54"/>
        <v>270</v>
      </c>
      <c r="J239">
        <f t="shared" si="55"/>
        <v>1</v>
      </c>
      <c r="K239" s="4">
        <f t="shared" si="58"/>
        <v>3.8199999999999998E-2</v>
      </c>
      <c r="L239">
        <f t="shared" si="59"/>
        <v>0.09</v>
      </c>
      <c r="M239" s="4">
        <f t="shared" si="56"/>
        <v>1.0314E-2</v>
      </c>
      <c r="N239" s="4">
        <f t="shared" si="57"/>
        <v>2.4300000000000002E-2</v>
      </c>
    </row>
    <row r="240" spans="1:14">
      <c r="A240" t="str">
        <f t="shared" si="46"/>
        <v>alp_Man-VWCO</v>
      </c>
      <c r="B240" t="str">
        <f t="shared" si="47"/>
        <v>Google Brasil</v>
      </c>
      <c r="C240" t="str">
        <f t="shared" si="48"/>
        <v>google-brasil|half-page|300x600|vw_caminhoes|always_on|vitrine|criativo_05_delivery_10-160|300x600|cpm</v>
      </c>
      <c r="D240" t="str">
        <f t="shared" si="49"/>
        <v>138018999</v>
      </c>
      <c r="E240" t="str">
        <f t="shared" si="50"/>
        <v>Default</v>
      </c>
      <c r="F240" t="str">
        <f t="shared" si="51"/>
        <v>300x600 Default Web Ad</v>
      </c>
      <c r="G240" t="str">
        <f t="shared" si="52"/>
        <v>310386147</v>
      </c>
      <c r="H240" t="str">
        <f t="shared" si="53"/>
        <v>Display</v>
      </c>
      <c r="I240">
        <f t="shared" si="54"/>
        <v>1003</v>
      </c>
      <c r="J240">
        <f t="shared" si="55"/>
        <v>50</v>
      </c>
      <c r="K240" s="4">
        <f t="shared" si="58"/>
        <v>3.8199999999999998E-2</v>
      </c>
      <c r="L240">
        <f t="shared" si="59"/>
        <v>0.09</v>
      </c>
      <c r="M240" s="4">
        <f t="shared" si="56"/>
        <v>3.8314599999999997E-2</v>
      </c>
      <c r="N240" s="4">
        <f t="shared" si="57"/>
        <v>9.0269999999999989E-2</v>
      </c>
    </row>
    <row r="241" spans="1:14">
      <c r="A241" t="str">
        <f t="shared" si="46"/>
        <v>alp_Man-VWCO</v>
      </c>
      <c r="B241" t="str">
        <f t="shared" si="47"/>
        <v>Google Brasil</v>
      </c>
      <c r="C241" t="str">
        <f t="shared" si="48"/>
        <v>google-brasil|half-page|300x600|vw_caminhoes|always_on|vitrine|criativo_06_delivery_8-160|300x600|cpm</v>
      </c>
      <c r="D241" t="str">
        <f t="shared" si="49"/>
        <v>138018994</v>
      </c>
      <c r="E241" t="str">
        <f t="shared" si="50"/>
        <v>Default</v>
      </c>
      <c r="F241" t="str">
        <f t="shared" si="51"/>
        <v>300x600 Default Web Ad</v>
      </c>
      <c r="G241" t="str">
        <f t="shared" si="52"/>
        <v>310386147</v>
      </c>
      <c r="H241" t="str">
        <f t="shared" si="53"/>
        <v>Display</v>
      </c>
      <c r="I241">
        <f t="shared" si="54"/>
        <v>378</v>
      </c>
      <c r="J241">
        <f t="shared" si="55"/>
        <v>2</v>
      </c>
      <c r="K241" s="4">
        <f t="shared" si="58"/>
        <v>3.8199999999999998E-2</v>
      </c>
      <c r="L241">
        <f t="shared" si="59"/>
        <v>0.09</v>
      </c>
      <c r="M241" s="4">
        <f t="shared" si="56"/>
        <v>1.4439599999999999E-2</v>
      </c>
      <c r="N241" s="4">
        <f t="shared" si="57"/>
        <v>3.4019999999999995E-2</v>
      </c>
    </row>
    <row r="242" spans="1:14">
      <c r="A242" t="str">
        <f t="shared" si="46"/>
        <v>alp_Man-VWCO</v>
      </c>
      <c r="B242" t="str">
        <f t="shared" si="47"/>
        <v>Google Brasil</v>
      </c>
      <c r="C242" t="str">
        <f t="shared" si="48"/>
        <v>google-brasil|half-page|300x600|vw_caminhoes|always_on|vitrine|criativo_06_delivery_8-160|300x600|cpm</v>
      </c>
      <c r="D242" t="str">
        <f t="shared" si="49"/>
        <v>138018994</v>
      </c>
      <c r="E242" t="str">
        <f t="shared" si="50"/>
        <v>Default</v>
      </c>
      <c r="F242" t="str">
        <f t="shared" si="51"/>
        <v>300x600 Default Web Ad</v>
      </c>
      <c r="G242" t="str">
        <f t="shared" si="52"/>
        <v>310386147</v>
      </c>
      <c r="H242" t="str">
        <f t="shared" si="53"/>
        <v>Display</v>
      </c>
      <c r="I242">
        <f t="shared" si="54"/>
        <v>1101</v>
      </c>
      <c r="J242">
        <f t="shared" si="55"/>
        <v>43</v>
      </c>
      <c r="K242" s="4">
        <f t="shared" si="58"/>
        <v>3.8199999999999998E-2</v>
      </c>
      <c r="L242">
        <f t="shared" si="59"/>
        <v>0.09</v>
      </c>
      <c r="M242" s="4">
        <f t="shared" si="56"/>
        <v>4.2058199999999997E-2</v>
      </c>
      <c r="N242" s="4">
        <f t="shared" si="57"/>
        <v>9.9089999999999998E-2</v>
      </c>
    </row>
    <row r="243" spans="1:14">
      <c r="A243" t="str">
        <f t="shared" si="46"/>
        <v>alp_Man-VWCO</v>
      </c>
      <c r="B243" t="str">
        <f t="shared" si="47"/>
        <v>Google Brasil</v>
      </c>
      <c r="C243" t="str">
        <f t="shared" si="48"/>
        <v>google-brasil|half-page|300x600|vw_caminhoes|always_on|vitrine|criativo_07_delivery_8-160|300x600|cpm</v>
      </c>
      <c r="D243" t="str">
        <f t="shared" si="49"/>
        <v>138018989</v>
      </c>
      <c r="E243" t="str">
        <f t="shared" si="50"/>
        <v>Default</v>
      </c>
      <c r="F243" t="str">
        <f t="shared" si="51"/>
        <v>300x600 Default Web Ad</v>
      </c>
      <c r="G243" t="str">
        <f t="shared" si="52"/>
        <v>310386147</v>
      </c>
      <c r="H243" t="str">
        <f t="shared" si="53"/>
        <v>Display</v>
      </c>
      <c r="I243">
        <f t="shared" si="54"/>
        <v>282</v>
      </c>
      <c r="J243">
        <f t="shared" si="55"/>
        <v>0</v>
      </c>
      <c r="K243" s="4">
        <f t="shared" si="58"/>
        <v>3.8199999999999998E-2</v>
      </c>
      <c r="L243">
        <f t="shared" si="59"/>
        <v>0.09</v>
      </c>
      <c r="M243" s="4">
        <f t="shared" si="56"/>
        <v>1.07724E-2</v>
      </c>
      <c r="N243" s="4">
        <f t="shared" si="57"/>
        <v>2.538E-2</v>
      </c>
    </row>
    <row r="244" spans="1:14">
      <c r="A244" t="str">
        <f t="shared" si="46"/>
        <v>alp_Man-VWCO</v>
      </c>
      <c r="B244" t="str">
        <f t="shared" si="47"/>
        <v>Google Brasil</v>
      </c>
      <c r="C244" t="str">
        <f t="shared" si="48"/>
        <v>google-brasil|half-page|300x600|vw_caminhoes|always_on|vitrine|criativo_07_delivery_8-160|300x600|cpm</v>
      </c>
      <c r="D244" t="str">
        <f t="shared" si="49"/>
        <v>138018989</v>
      </c>
      <c r="E244" t="str">
        <f t="shared" si="50"/>
        <v>Default</v>
      </c>
      <c r="F244" t="str">
        <f t="shared" si="51"/>
        <v>300x600 Default Web Ad</v>
      </c>
      <c r="G244" t="str">
        <f t="shared" si="52"/>
        <v>310386147</v>
      </c>
      <c r="H244" t="str">
        <f t="shared" si="53"/>
        <v>Display</v>
      </c>
      <c r="I244">
        <f t="shared" si="54"/>
        <v>1106</v>
      </c>
      <c r="J244">
        <f t="shared" si="55"/>
        <v>51</v>
      </c>
      <c r="K244" s="4">
        <f t="shared" si="58"/>
        <v>3.8199999999999998E-2</v>
      </c>
      <c r="L244">
        <f t="shared" si="59"/>
        <v>0.09</v>
      </c>
      <c r="M244" s="4">
        <f t="shared" si="56"/>
        <v>4.2249199999999994E-2</v>
      </c>
      <c r="N244" s="4">
        <f t="shared" si="57"/>
        <v>9.953999999999999E-2</v>
      </c>
    </row>
    <row r="245" spans="1:14">
      <c r="A245" t="str">
        <f t="shared" si="46"/>
        <v>alp_Man-VWCO</v>
      </c>
      <c r="B245" t="str">
        <f t="shared" si="47"/>
        <v>Google Brasil</v>
      </c>
      <c r="C245" t="str">
        <f t="shared" si="48"/>
        <v>google-brasil|half-page|300x600|vw_caminhoes|always_on|vitrine|criativo_08_delivery_8-160|300x600|cpm</v>
      </c>
      <c r="D245" t="str">
        <f t="shared" si="49"/>
        <v>138018984</v>
      </c>
      <c r="E245" t="str">
        <f t="shared" si="50"/>
        <v>Default</v>
      </c>
      <c r="F245" t="str">
        <f t="shared" si="51"/>
        <v>300x600 Default Web Ad</v>
      </c>
      <c r="G245" t="str">
        <f t="shared" si="52"/>
        <v>310386147</v>
      </c>
      <c r="H245" t="str">
        <f t="shared" si="53"/>
        <v>Display</v>
      </c>
      <c r="I245">
        <f t="shared" si="54"/>
        <v>267</v>
      </c>
      <c r="J245">
        <f t="shared" si="55"/>
        <v>0</v>
      </c>
      <c r="K245" s="4">
        <f t="shared" si="58"/>
        <v>3.8199999999999998E-2</v>
      </c>
      <c r="L245">
        <f t="shared" si="59"/>
        <v>0.09</v>
      </c>
      <c r="M245" s="4">
        <f t="shared" si="56"/>
        <v>1.0199399999999999E-2</v>
      </c>
      <c r="N245" s="4">
        <f t="shared" si="57"/>
        <v>2.4029999999999999E-2</v>
      </c>
    </row>
    <row r="246" spans="1:14">
      <c r="A246" t="str">
        <f t="shared" si="46"/>
        <v>alp_Man-VWCO</v>
      </c>
      <c r="B246" t="str">
        <f t="shared" si="47"/>
        <v>Google Brasil</v>
      </c>
      <c r="C246" t="str">
        <f t="shared" si="48"/>
        <v>google-brasil|half-page|300x600|vw_caminhoes|always_on|vitrine|criativo_08_delivery_8-160|300x600|cpm</v>
      </c>
      <c r="D246" t="str">
        <f t="shared" si="49"/>
        <v>138018984</v>
      </c>
      <c r="E246" t="str">
        <f t="shared" si="50"/>
        <v>Default</v>
      </c>
      <c r="F246" t="str">
        <f t="shared" si="51"/>
        <v>300x600 Default Web Ad</v>
      </c>
      <c r="G246" t="str">
        <f t="shared" si="52"/>
        <v>310386147</v>
      </c>
      <c r="H246" t="str">
        <f t="shared" si="53"/>
        <v>Display</v>
      </c>
      <c r="I246">
        <f t="shared" si="54"/>
        <v>1120</v>
      </c>
      <c r="J246">
        <f t="shared" si="55"/>
        <v>54</v>
      </c>
      <c r="K246" s="4">
        <f t="shared" si="58"/>
        <v>3.8199999999999998E-2</v>
      </c>
      <c r="L246">
        <f t="shared" si="59"/>
        <v>0.09</v>
      </c>
      <c r="M246" s="4">
        <f t="shared" si="56"/>
        <v>4.2783999999999996E-2</v>
      </c>
      <c r="N246" s="4">
        <f t="shared" si="57"/>
        <v>0.1008</v>
      </c>
    </row>
    <row r="247" spans="1:14">
      <c r="A247" t="str">
        <f t="shared" si="46"/>
        <v>alp_Man-VWCO</v>
      </c>
      <c r="B247" t="str">
        <f t="shared" si="47"/>
        <v>Google Brasil</v>
      </c>
      <c r="C247" t="str">
        <f t="shared" si="48"/>
        <v>google-brasil|half-page|300x600|vw_caminhoes|always_on|vitrine|criativo_09_delivery_8-160|300x600|cpm</v>
      </c>
      <c r="D247" t="str">
        <f t="shared" si="49"/>
        <v>138018979</v>
      </c>
      <c r="E247" t="str">
        <f t="shared" si="50"/>
        <v>Default</v>
      </c>
      <c r="F247" t="str">
        <f t="shared" si="51"/>
        <v>300x600 Default Web Ad</v>
      </c>
      <c r="G247" t="str">
        <f t="shared" si="52"/>
        <v>310386147</v>
      </c>
      <c r="H247" t="str">
        <f t="shared" si="53"/>
        <v>Display</v>
      </c>
      <c r="I247">
        <f t="shared" si="54"/>
        <v>303</v>
      </c>
      <c r="J247">
        <f t="shared" si="55"/>
        <v>0</v>
      </c>
      <c r="K247" s="4">
        <f t="shared" si="58"/>
        <v>3.8199999999999998E-2</v>
      </c>
      <c r="L247">
        <f t="shared" si="59"/>
        <v>0.09</v>
      </c>
      <c r="M247" s="4">
        <f t="shared" si="56"/>
        <v>1.1574600000000001E-2</v>
      </c>
      <c r="N247" s="4">
        <f t="shared" si="57"/>
        <v>2.7269999999999999E-2</v>
      </c>
    </row>
    <row r="248" spans="1:14">
      <c r="A248" t="str">
        <f t="shared" si="46"/>
        <v>alp_Man-VWCO</v>
      </c>
      <c r="B248" t="str">
        <f t="shared" si="47"/>
        <v>Google Brasil</v>
      </c>
      <c r="C248" t="str">
        <f t="shared" si="48"/>
        <v>google-brasil|half-page|300x600|vw_caminhoes|always_on|vitrine|criativo_09_delivery_8-160|300x600|cpm</v>
      </c>
      <c r="D248" t="str">
        <f t="shared" si="49"/>
        <v>138018979</v>
      </c>
      <c r="E248" t="str">
        <f t="shared" si="50"/>
        <v>Default</v>
      </c>
      <c r="F248" t="str">
        <f t="shared" si="51"/>
        <v>300x600 Default Web Ad</v>
      </c>
      <c r="G248" t="str">
        <f t="shared" si="52"/>
        <v>310386147</v>
      </c>
      <c r="H248" t="str">
        <f t="shared" si="53"/>
        <v>Display</v>
      </c>
      <c r="I248">
        <f t="shared" si="54"/>
        <v>955</v>
      </c>
      <c r="J248">
        <f t="shared" si="55"/>
        <v>39</v>
      </c>
      <c r="K248" s="4">
        <f t="shared" si="58"/>
        <v>3.8199999999999998E-2</v>
      </c>
      <c r="L248">
        <f t="shared" si="59"/>
        <v>0.09</v>
      </c>
      <c r="M248" s="4">
        <f t="shared" si="56"/>
        <v>3.6480999999999993E-2</v>
      </c>
      <c r="N248" s="4">
        <f t="shared" si="57"/>
        <v>8.5949999999999999E-2</v>
      </c>
    </row>
    <row r="249" spans="1:14">
      <c r="A249" t="str">
        <f t="shared" si="46"/>
        <v>alp_Man-VWCO</v>
      </c>
      <c r="B249" t="str">
        <f t="shared" si="47"/>
        <v>Google Brasil</v>
      </c>
      <c r="C249" t="str">
        <f t="shared" si="48"/>
        <v>google-brasil|half-page|300x600|vw_caminhoes|always_on|vitrine|criativo_10_delivery_8-160|300x600|cpm</v>
      </c>
      <c r="D249" t="str">
        <f t="shared" si="49"/>
        <v>138018974</v>
      </c>
      <c r="E249" t="str">
        <f t="shared" si="50"/>
        <v>Default</v>
      </c>
      <c r="F249" t="str">
        <f t="shared" si="51"/>
        <v>300x600 Default Web Ad</v>
      </c>
      <c r="G249" t="str">
        <f t="shared" si="52"/>
        <v>310386147</v>
      </c>
      <c r="H249" t="str">
        <f t="shared" si="53"/>
        <v>Display</v>
      </c>
      <c r="I249">
        <f t="shared" si="54"/>
        <v>259</v>
      </c>
      <c r="J249">
        <f t="shared" si="55"/>
        <v>0</v>
      </c>
      <c r="K249" s="4">
        <f t="shared" si="58"/>
        <v>3.8199999999999998E-2</v>
      </c>
      <c r="L249">
        <f t="shared" si="59"/>
        <v>0.09</v>
      </c>
      <c r="M249" s="4">
        <f t="shared" si="56"/>
        <v>9.8937999999999995E-3</v>
      </c>
      <c r="N249" s="4">
        <f t="shared" si="57"/>
        <v>2.3309999999999997E-2</v>
      </c>
    </row>
    <row r="250" spans="1:14">
      <c r="A250" t="str">
        <f t="shared" si="46"/>
        <v>alp_Man-VWCO</v>
      </c>
      <c r="B250" t="str">
        <f t="shared" si="47"/>
        <v>Google Brasil</v>
      </c>
      <c r="C250" t="str">
        <f t="shared" si="48"/>
        <v>google-brasil|half-page|300x600|vw_caminhoes|always_on|vitrine|criativo_10_delivery_8-160|300x600|cpm</v>
      </c>
      <c r="D250" t="str">
        <f t="shared" si="49"/>
        <v>138018974</v>
      </c>
      <c r="E250" t="str">
        <f t="shared" si="50"/>
        <v>Default</v>
      </c>
      <c r="F250" t="str">
        <f t="shared" si="51"/>
        <v>300x600 Default Web Ad</v>
      </c>
      <c r="G250" t="str">
        <f t="shared" si="52"/>
        <v>310386147</v>
      </c>
      <c r="H250" t="str">
        <f t="shared" si="53"/>
        <v>Display</v>
      </c>
      <c r="I250">
        <f t="shared" si="54"/>
        <v>1148</v>
      </c>
      <c r="J250">
        <f t="shared" si="55"/>
        <v>42</v>
      </c>
      <c r="K250" s="4">
        <f t="shared" si="58"/>
        <v>3.8199999999999998E-2</v>
      </c>
      <c r="L250">
        <f t="shared" si="59"/>
        <v>0.09</v>
      </c>
      <c r="M250" s="4">
        <f t="shared" si="56"/>
        <v>4.38536E-2</v>
      </c>
      <c r="N250" s="4">
        <f t="shared" si="57"/>
        <v>0.10332</v>
      </c>
    </row>
    <row r="251" spans="1:14">
      <c r="A251" t="str">
        <f t="shared" si="46"/>
        <v>alp_Man-VWCO</v>
      </c>
      <c r="B251" t="str">
        <f t="shared" si="47"/>
        <v>Google Brasil</v>
      </c>
      <c r="C251" t="str">
        <f t="shared" si="48"/>
        <v>google-brasil|half-page|300x600|vw_caminhoes|always_on|vitrine|criativo_11_constellation_24-280|300x600|cpm</v>
      </c>
      <c r="D251" t="str">
        <f t="shared" si="49"/>
        <v>138018969</v>
      </c>
      <c r="E251" t="str">
        <f t="shared" si="50"/>
        <v>Default</v>
      </c>
      <c r="F251" t="str">
        <f t="shared" si="51"/>
        <v>300x600 Default Web Ad</v>
      </c>
      <c r="G251" t="str">
        <f t="shared" si="52"/>
        <v>310386147</v>
      </c>
      <c r="H251" t="str">
        <f t="shared" si="53"/>
        <v>Display</v>
      </c>
      <c r="I251">
        <f t="shared" si="54"/>
        <v>273</v>
      </c>
      <c r="J251">
        <f t="shared" si="55"/>
        <v>0</v>
      </c>
      <c r="K251" s="4">
        <f t="shared" si="58"/>
        <v>3.8199999999999998E-2</v>
      </c>
      <c r="L251">
        <f t="shared" si="59"/>
        <v>0.09</v>
      </c>
      <c r="M251" s="4">
        <f t="shared" si="56"/>
        <v>1.04286E-2</v>
      </c>
      <c r="N251" s="4">
        <f t="shared" si="57"/>
        <v>2.4570000000000002E-2</v>
      </c>
    </row>
    <row r="252" spans="1:14">
      <c r="A252" t="str">
        <f t="shared" si="46"/>
        <v>alp_Man-VWCO</v>
      </c>
      <c r="B252" t="str">
        <f t="shared" si="47"/>
        <v>Google Brasil</v>
      </c>
      <c r="C252" t="str">
        <f t="shared" si="48"/>
        <v>google-brasil|half-page|300x600|vw_caminhoes|always_on|vitrine|criativo_11_constellation_24-280|300x600|cpm</v>
      </c>
      <c r="D252" t="str">
        <f t="shared" si="49"/>
        <v>138018969</v>
      </c>
      <c r="E252" t="str">
        <f t="shared" si="50"/>
        <v>Default</v>
      </c>
      <c r="F252" t="str">
        <f t="shared" si="51"/>
        <v>300x600 Default Web Ad</v>
      </c>
      <c r="G252" t="str">
        <f t="shared" si="52"/>
        <v>310386147</v>
      </c>
      <c r="H252" t="str">
        <f t="shared" si="53"/>
        <v>Display</v>
      </c>
      <c r="I252">
        <f t="shared" si="54"/>
        <v>1213</v>
      </c>
      <c r="J252">
        <f t="shared" si="55"/>
        <v>65</v>
      </c>
      <c r="K252" s="4">
        <f t="shared" si="58"/>
        <v>3.8199999999999998E-2</v>
      </c>
      <c r="L252">
        <f t="shared" si="59"/>
        <v>0.09</v>
      </c>
      <c r="M252" s="4">
        <f t="shared" si="56"/>
        <v>4.6336599999999999E-2</v>
      </c>
      <c r="N252" s="4">
        <f t="shared" si="57"/>
        <v>0.10917</v>
      </c>
    </row>
    <row r="253" spans="1:14">
      <c r="A253" t="str">
        <f t="shared" si="46"/>
        <v>alp_Man-VWCO</v>
      </c>
      <c r="B253" t="str">
        <f t="shared" si="47"/>
        <v>Google Brasil</v>
      </c>
      <c r="C253" t="str">
        <f t="shared" si="48"/>
        <v>google-brasil|half-page|300x600|vw_caminhoes|always_on|vitrine|criativo_12_constellation_24-280|300x600|cpm</v>
      </c>
      <c r="D253" t="str">
        <f t="shared" si="49"/>
        <v>138018964</v>
      </c>
      <c r="E253" t="str">
        <f t="shared" si="50"/>
        <v>Default</v>
      </c>
      <c r="F253" t="str">
        <f t="shared" si="51"/>
        <v>300x600 Default Web Ad</v>
      </c>
      <c r="G253" t="str">
        <f t="shared" si="52"/>
        <v>310386147</v>
      </c>
      <c r="H253" t="str">
        <f t="shared" si="53"/>
        <v>Display</v>
      </c>
      <c r="I253">
        <f t="shared" si="54"/>
        <v>261</v>
      </c>
      <c r="J253">
        <f t="shared" si="55"/>
        <v>0</v>
      </c>
      <c r="K253" s="4">
        <f t="shared" si="58"/>
        <v>3.8199999999999998E-2</v>
      </c>
      <c r="L253">
        <f t="shared" si="59"/>
        <v>0.09</v>
      </c>
      <c r="M253" s="4">
        <f t="shared" si="56"/>
        <v>9.9702000000000002E-3</v>
      </c>
      <c r="N253" s="4">
        <f t="shared" si="57"/>
        <v>2.3489999999999997E-2</v>
      </c>
    </row>
    <row r="254" spans="1:14">
      <c r="A254" t="str">
        <f t="shared" si="46"/>
        <v>alp_Man-VWCO</v>
      </c>
      <c r="B254" t="str">
        <f t="shared" si="47"/>
        <v>Google Brasil</v>
      </c>
      <c r="C254" t="str">
        <f t="shared" si="48"/>
        <v>google-brasil|half-page|300x600|vw_caminhoes|always_on|vitrine|criativo_12_constellation_24-280|300x600|cpm</v>
      </c>
      <c r="D254" t="str">
        <f t="shared" si="49"/>
        <v>138018964</v>
      </c>
      <c r="E254" t="str">
        <f t="shared" si="50"/>
        <v>Default</v>
      </c>
      <c r="F254" t="str">
        <f t="shared" si="51"/>
        <v>300x600 Default Web Ad</v>
      </c>
      <c r="G254" t="str">
        <f t="shared" si="52"/>
        <v>310386147</v>
      </c>
      <c r="H254" t="str">
        <f t="shared" si="53"/>
        <v>Display</v>
      </c>
      <c r="I254">
        <f t="shared" si="54"/>
        <v>1088</v>
      </c>
      <c r="J254">
        <f t="shared" si="55"/>
        <v>62</v>
      </c>
      <c r="K254" s="4">
        <f t="shared" si="58"/>
        <v>3.8199999999999998E-2</v>
      </c>
      <c r="L254">
        <f t="shared" si="59"/>
        <v>0.09</v>
      </c>
      <c r="M254" s="4">
        <f t="shared" si="56"/>
        <v>4.1561599999999997E-2</v>
      </c>
      <c r="N254" s="4">
        <f t="shared" si="57"/>
        <v>9.7920000000000007E-2</v>
      </c>
    </row>
    <row r="255" spans="1:14">
      <c r="A255" t="str">
        <f t="shared" si="46"/>
        <v>alp_Man-VWCO</v>
      </c>
      <c r="B255" t="str">
        <f t="shared" si="47"/>
        <v>Google Brasil</v>
      </c>
      <c r="C255" t="str">
        <f t="shared" si="48"/>
        <v>google-brasil|half-page|300x600|vw_caminhoes|always_on|vitrine|criativo_13_constellation_24-280|300x600|cpm</v>
      </c>
      <c r="D255" t="str">
        <f t="shared" si="49"/>
        <v>138018959</v>
      </c>
      <c r="E255" t="str">
        <f t="shared" si="50"/>
        <v>Default</v>
      </c>
      <c r="F255" t="str">
        <f t="shared" si="51"/>
        <v>300x600 Default Web Ad</v>
      </c>
      <c r="G255" t="str">
        <f t="shared" si="52"/>
        <v>310386147</v>
      </c>
      <c r="H255" t="str">
        <f t="shared" si="53"/>
        <v>Display</v>
      </c>
      <c r="I255">
        <f t="shared" si="54"/>
        <v>357</v>
      </c>
      <c r="J255">
        <f t="shared" si="55"/>
        <v>0</v>
      </c>
      <c r="K255" s="4">
        <f t="shared" si="58"/>
        <v>3.8199999999999998E-2</v>
      </c>
      <c r="L255">
        <f t="shared" si="59"/>
        <v>0.09</v>
      </c>
      <c r="M255" s="4">
        <f t="shared" si="56"/>
        <v>1.3637399999999999E-2</v>
      </c>
      <c r="N255" s="4">
        <f t="shared" si="57"/>
        <v>3.2129999999999999E-2</v>
      </c>
    </row>
    <row r="256" spans="1:14">
      <c r="A256" t="str">
        <f t="shared" si="46"/>
        <v>alp_Man-VWCO</v>
      </c>
      <c r="B256" t="str">
        <f t="shared" si="47"/>
        <v>Google Brasil</v>
      </c>
      <c r="C256" t="str">
        <f t="shared" si="48"/>
        <v>google-brasil|half-page|300x600|vw_caminhoes|always_on|vitrine|criativo_13_constellation_24-280|300x600|cpm</v>
      </c>
      <c r="D256" t="str">
        <f t="shared" si="49"/>
        <v>138018959</v>
      </c>
      <c r="E256" t="str">
        <f t="shared" si="50"/>
        <v>Default</v>
      </c>
      <c r="F256" t="str">
        <f t="shared" si="51"/>
        <v>300x600 Default Web Ad</v>
      </c>
      <c r="G256" t="str">
        <f t="shared" si="52"/>
        <v>310386147</v>
      </c>
      <c r="H256" t="str">
        <f t="shared" si="53"/>
        <v>Display</v>
      </c>
      <c r="I256">
        <f t="shared" si="54"/>
        <v>1136</v>
      </c>
      <c r="J256">
        <f t="shared" si="55"/>
        <v>49</v>
      </c>
      <c r="K256" s="4">
        <f t="shared" si="58"/>
        <v>3.8199999999999998E-2</v>
      </c>
      <c r="L256">
        <f t="shared" si="59"/>
        <v>0.09</v>
      </c>
      <c r="M256" s="4">
        <f t="shared" si="56"/>
        <v>4.3395199999999995E-2</v>
      </c>
      <c r="N256" s="4">
        <f t="shared" si="57"/>
        <v>0.10224</v>
      </c>
    </row>
    <row r="257" spans="1:14">
      <c r="A257" t="str">
        <f t="shared" si="46"/>
        <v>alp_Man-VWCO</v>
      </c>
      <c r="B257" t="str">
        <f t="shared" si="47"/>
        <v>Google Brasil</v>
      </c>
      <c r="C257" t="str">
        <f t="shared" si="48"/>
        <v>google-brasil|half-page|300x600|vw_caminhoes|always_on|vitrine|criativo_14_constellation_24-280-v|300x600|cpm</v>
      </c>
      <c r="D257" t="str">
        <f t="shared" si="49"/>
        <v>138018954</v>
      </c>
      <c r="E257" t="str">
        <f t="shared" si="50"/>
        <v>Default</v>
      </c>
      <c r="F257" t="str">
        <f t="shared" si="51"/>
        <v>300x600 Default Web Ad</v>
      </c>
      <c r="G257" t="str">
        <f t="shared" si="52"/>
        <v>310386147</v>
      </c>
      <c r="H257" t="str">
        <f t="shared" si="53"/>
        <v>Display</v>
      </c>
      <c r="I257">
        <f t="shared" si="54"/>
        <v>280</v>
      </c>
      <c r="J257">
        <f t="shared" si="55"/>
        <v>0</v>
      </c>
      <c r="K257" s="4">
        <f t="shared" si="58"/>
        <v>3.8199999999999998E-2</v>
      </c>
      <c r="L257">
        <f t="shared" si="59"/>
        <v>0.09</v>
      </c>
      <c r="M257" s="4">
        <f t="shared" si="56"/>
        <v>1.0695999999999999E-2</v>
      </c>
      <c r="N257" s="4">
        <f t="shared" si="57"/>
        <v>2.52E-2</v>
      </c>
    </row>
    <row r="258" spans="1:14">
      <c r="A258" t="str">
        <f t="shared" ref="A258:A321" si="60">bd_campaign</f>
        <v>alp_Man-VWCO</v>
      </c>
      <c r="B258" t="str">
        <f t="shared" ref="B258:B321" si="61">bd_site</f>
        <v>Google Brasil</v>
      </c>
      <c r="C258" t="str">
        <f t="shared" ref="C258:C321" si="62">bd_placement</f>
        <v>google-brasil|half-page|300x600|vw_caminhoes|always_on|vitrine|criativo_14_constellation_24-280-v|300x600|cpm</v>
      </c>
      <c r="D258" t="str">
        <f t="shared" ref="D258:D321" si="63">bd_placementID</f>
        <v>138018954</v>
      </c>
      <c r="E258" t="str">
        <f t="shared" ref="E258:E321" si="64">VLOOKUP(CONCATENATE(bd_adtype,"_",bd_creativetype),tabela,2,FALSE)</f>
        <v>Default</v>
      </c>
      <c r="F258" t="str">
        <f t="shared" ref="F258:F321" si="65">bd_ad</f>
        <v>300x600 Default Web Ad</v>
      </c>
      <c r="G258" t="str">
        <f t="shared" ref="G258:G321" si="66">bd_adid</f>
        <v>310386147</v>
      </c>
      <c r="H258" t="str">
        <f t="shared" ref="H258:H321" si="67">bd_creativetype</f>
        <v>Display</v>
      </c>
      <c r="I258">
        <f t="shared" ref="I258:I321" si="68">bd_impression</f>
        <v>1080</v>
      </c>
      <c r="J258">
        <f t="shared" ref="J258:J321" si="69">bd_clicks</f>
        <v>46</v>
      </c>
      <c r="K258" s="4">
        <f t="shared" si="58"/>
        <v>3.8199999999999998E-2</v>
      </c>
      <c r="L258">
        <f t="shared" si="59"/>
        <v>0.09</v>
      </c>
      <c r="M258" s="4">
        <f t="shared" si="56"/>
        <v>4.1256000000000001E-2</v>
      </c>
      <c r="N258" s="4">
        <f t="shared" si="57"/>
        <v>9.7200000000000009E-2</v>
      </c>
    </row>
    <row r="259" spans="1:14">
      <c r="A259" t="str">
        <f t="shared" si="60"/>
        <v>alp_Man-VWCO</v>
      </c>
      <c r="B259" t="str">
        <f t="shared" si="61"/>
        <v>Google Brasil</v>
      </c>
      <c r="C259" t="str">
        <f t="shared" si="62"/>
        <v>google-brasil|half-page|300x600|vw_caminhoes|always_on|vitrine|criativo_15_constellation_24-280-8x2|300x600|cpm</v>
      </c>
      <c r="D259" t="str">
        <f t="shared" si="63"/>
        <v>138018949</v>
      </c>
      <c r="E259" t="str">
        <f t="shared" si="64"/>
        <v>Default</v>
      </c>
      <c r="F259" t="str">
        <f t="shared" si="65"/>
        <v>300x600 Default Web Ad</v>
      </c>
      <c r="G259" t="str">
        <f t="shared" si="66"/>
        <v>310386147</v>
      </c>
      <c r="H259" t="str">
        <f t="shared" si="67"/>
        <v>Display</v>
      </c>
      <c r="I259">
        <f t="shared" si="68"/>
        <v>307</v>
      </c>
      <c r="J259">
        <f t="shared" si="69"/>
        <v>1</v>
      </c>
      <c r="K259" s="4">
        <f t="shared" si="58"/>
        <v>3.8199999999999998E-2</v>
      </c>
      <c r="L259">
        <f t="shared" si="59"/>
        <v>0.09</v>
      </c>
      <c r="M259" s="4">
        <f t="shared" si="56"/>
        <v>1.1727399999999999E-2</v>
      </c>
      <c r="N259" s="4">
        <f t="shared" si="57"/>
        <v>2.7629999999999998E-2</v>
      </c>
    </row>
    <row r="260" spans="1:14">
      <c r="A260" t="str">
        <f t="shared" si="60"/>
        <v>alp_Man-VWCO</v>
      </c>
      <c r="B260" t="str">
        <f t="shared" si="61"/>
        <v>Google Brasil</v>
      </c>
      <c r="C260" t="str">
        <f t="shared" si="62"/>
        <v>google-brasil|half-page|300x600|vw_caminhoes|always_on|vitrine|criativo_15_constellation_24-280-8x2|300x600|cpm</v>
      </c>
      <c r="D260" t="str">
        <f t="shared" si="63"/>
        <v>138018949</v>
      </c>
      <c r="E260" t="str">
        <f t="shared" si="64"/>
        <v>Default</v>
      </c>
      <c r="F260" t="str">
        <f t="shared" si="65"/>
        <v>300x600 Default Web Ad</v>
      </c>
      <c r="G260" t="str">
        <f t="shared" si="66"/>
        <v>310386147</v>
      </c>
      <c r="H260" t="str">
        <f t="shared" si="67"/>
        <v>Display</v>
      </c>
      <c r="I260">
        <f t="shared" si="68"/>
        <v>1081</v>
      </c>
      <c r="J260">
        <f t="shared" si="69"/>
        <v>50</v>
      </c>
      <c r="K260" s="4">
        <f t="shared" si="58"/>
        <v>3.8199999999999998E-2</v>
      </c>
      <c r="L260">
        <f t="shared" si="59"/>
        <v>0.09</v>
      </c>
      <c r="M260" s="4">
        <f t="shared" si="56"/>
        <v>4.1294199999999996E-2</v>
      </c>
      <c r="N260" s="4">
        <f t="shared" si="57"/>
        <v>9.7289999999999988E-2</v>
      </c>
    </row>
    <row r="261" spans="1:14">
      <c r="A261" t="str">
        <f t="shared" si="60"/>
        <v>alp_Man-VWCO</v>
      </c>
      <c r="B261" t="str">
        <f t="shared" si="61"/>
        <v>Google Brasil</v>
      </c>
      <c r="C261" t="str">
        <f t="shared" si="62"/>
        <v>google-brasil|half-page|300x600|vw_caminhoes|always_on|vitrine|criativo_16_constellation_24-280|300x600|cpm</v>
      </c>
      <c r="D261" t="str">
        <f t="shared" si="63"/>
        <v>138018944</v>
      </c>
      <c r="E261" t="str">
        <f t="shared" si="64"/>
        <v>Default</v>
      </c>
      <c r="F261" t="str">
        <f t="shared" si="65"/>
        <v>300x600 Default Web Ad</v>
      </c>
      <c r="G261" t="str">
        <f t="shared" si="66"/>
        <v>310386147</v>
      </c>
      <c r="H261" t="str">
        <f t="shared" si="67"/>
        <v>Display</v>
      </c>
      <c r="I261">
        <f t="shared" si="68"/>
        <v>374</v>
      </c>
      <c r="J261">
        <f t="shared" si="69"/>
        <v>0</v>
      </c>
      <c r="K261" s="4">
        <f t="shared" si="58"/>
        <v>3.8199999999999998E-2</v>
      </c>
      <c r="L261">
        <f t="shared" si="59"/>
        <v>0.09</v>
      </c>
      <c r="M261" s="4">
        <f t="shared" si="56"/>
        <v>1.4286799999999999E-2</v>
      </c>
      <c r="N261" s="4">
        <f t="shared" si="57"/>
        <v>3.3659999999999995E-2</v>
      </c>
    </row>
    <row r="262" spans="1:14">
      <c r="A262" t="str">
        <f t="shared" si="60"/>
        <v>alp_Man-VWCO</v>
      </c>
      <c r="B262" t="str">
        <f t="shared" si="61"/>
        <v>Google Brasil</v>
      </c>
      <c r="C262" t="str">
        <f t="shared" si="62"/>
        <v>google-brasil|half-page|300x600|vw_caminhoes|always_on|vitrine|criativo_16_constellation_24-280|300x600|cpm</v>
      </c>
      <c r="D262" t="str">
        <f t="shared" si="63"/>
        <v>138018944</v>
      </c>
      <c r="E262" t="str">
        <f t="shared" si="64"/>
        <v>Default</v>
      </c>
      <c r="F262" t="str">
        <f t="shared" si="65"/>
        <v>300x600 Default Web Ad</v>
      </c>
      <c r="G262" t="str">
        <f t="shared" si="66"/>
        <v>310386147</v>
      </c>
      <c r="H262" t="str">
        <f t="shared" si="67"/>
        <v>Display</v>
      </c>
      <c r="I262">
        <f t="shared" si="68"/>
        <v>1211</v>
      </c>
      <c r="J262">
        <f t="shared" si="69"/>
        <v>55</v>
      </c>
      <c r="K262" s="4">
        <f t="shared" si="58"/>
        <v>3.8199999999999998E-2</v>
      </c>
      <c r="L262">
        <f t="shared" si="59"/>
        <v>0.09</v>
      </c>
      <c r="M262" s="4">
        <f t="shared" si="56"/>
        <v>4.6260199999999994E-2</v>
      </c>
      <c r="N262" s="4">
        <f t="shared" si="57"/>
        <v>0.10898999999999999</v>
      </c>
    </row>
    <row r="263" spans="1:14">
      <c r="A263" t="str">
        <f t="shared" si="60"/>
        <v>alp_Man-VWCO</v>
      </c>
      <c r="B263" t="str">
        <f t="shared" si="61"/>
        <v>Google Brasil</v>
      </c>
      <c r="C263" t="str">
        <f t="shared" si="62"/>
        <v>google-brasil|mobile|320x50|man_caminhoes|always_on|institucional|criativo_01|320x50|cpm</v>
      </c>
      <c r="D263" t="str">
        <f t="shared" si="63"/>
        <v>138019083</v>
      </c>
      <c r="E263" t="str">
        <f t="shared" si="64"/>
        <v>Default</v>
      </c>
      <c r="F263" t="str">
        <f t="shared" si="65"/>
        <v>320x50 Default Web Ad</v>
      </c>
      <c r="G263" t="str">
        <f t="shared" si="66"/>
        <v>310387631</v>
      </c>
      <c r="H263" t="str">
        <f t="shared" si="67"/>
        <v>Display</v>
      </c>
      <c r="I263">
        <f t="shared" si="68"/>
        <v>8711</v>
      </c>
      <c r="J263">
        <f t="shared" si="69"/>
        <v>16</v>
      </c>
      <c r="K263" s="4">
        <f t="shared" si="58"/>
        <v>3.8199999999999998E-2</v>
      </c>
      <c r="L263">
        <f t="shared" si="59"/>
        <v>0.09</v>
      </c>
      <c r="M263" s="4">
        <f t="shared" si="56"/>
        <v>0.33276020000000001</v>
      </c>
      <c r="N263" s="4">
        <f t="shared" si="57"/>
        <v>0.78398999999999996</v>
      </c>
    </row>
    <row r="264" spans="1:14">
      <c r="A264" t="str">
        <f t="shared" si="60"/>
        <v>alp_Man-VWCO</v>
      </c>
      <c r="B264" t="str">
        <f t="shared" si="61"/>
        <v>Google Brasil</v>
      </c>
      <c r="C264" t="str">
        <f t="shared" si="62"/>
        <v>google-brasil|mobile|320x50|man_caminhoes|always_on|institucional|criativo_01|320x50|cpm</v>
      </c>
      <c r="D264" t="str">
        <f t="shared" si="63"/>
        <v>138019083</v>
      </c>
      <c r="E264" t="str">
        <f t="shared" si="64"/>
        <v>Default</v>
      </c>
      <c r="F264" t="str">
        <f t="shared" si="65"/>
        <v>320x50 Default Web Ad</v>
      </c>
      <c r="G264" t="str">
        <f t="shared" si="66"/>
        <v>310387631</v>
      </c>
      <c r="H264" t="str">
        <f t="shared" si="67"/>
        <v>Display</v>
      </c>
      <c r="I264">
        <f t="shared" si="68"/>
        <v>3781</v>
      </c>
      <c r="J264">
        <f t="shared" si="69"/>
        <v>56</v>
      </c>
      <c r="K264" s="4">
        <f t="shared" si="58"/>
        <v>3.8199999999999998E-2</v>
      </c>
      <c r="L264">
        <f t="shared" si="59"/>
        <v>0.09</v>
      </c>
      <c r="M264" s="4">
        <f t="shared" si="56"/>
        <v>0.14443420000000001</v>
      </c>
      <c r="N264" s="4">
        <f t="shared" si="57"/>
        <v>0.34028999999999998</v>
      </c>
    </row>
    <row r="265" spans="1:14">
      <c r="A265" t="str">
        <f t="shared" si="60"/>
        <v>alp_Man-VWCO</v>
      </c>
      <c r="B265" t="str">
        <f t="shared" si="61"/>
        <v>Google Brasil</v>
      </c>
      <c r="C265" t="str">
        <f t="shared" si="62"/>
        <v>google-brasil|mobile|320x50|man_caminhoes|always_on|institucional|criativo_02|320x50|cpm</v>
      </c>
      <c r="D265" t="str">
        <f t="shared" si="63"/>
        <v>138019078</v>
      </c>
      <c r="E265" t="str">
        <f t="shared" si="64"/>
        <v>Default</v>
      </c>
      <c r="F265" t="str">
        <f t="shared" si="65"/>
        <v>320x50 Default Web Ad</v>
      </c>
      <c r="G265" t="str">
        <f t="shared" si="66"/>
        <v>310387631</v>
      </c>
      <c r="H265" t="str">
        <f t="shared" si="67"/>
        <v>Display</v>
      </c>
      <c r="I265">
        <f t="shared" si="68"/>
        <v>9125</v>
      </c>
      <c r="J265">
        <f t="shared" si="69"/>
        <v>31</v>
      </c>
      <c r="K265" s="4">
        <f t="shared" si="58"/>
        <v>3.8199999999999998E-2</v>
      </c>
      <c r="L265">
        <f t="shared" si="59"/>
        <v>0.09</v>
      </c>
      <c r="M265" s="4">
        <f t="shared" si="56"/>
        <v>0.34857499999999997</v>
      </c>
      <c r="N265" s="4">
        <f t="shared" si="57"/>
        <v>0.82125000000000004</v>
      </c>
    </row>
    <row r="266" spans="1:14">
      <c r="A266" t="str">
        <f t="shared" si="60"/>
        <v>alp_Man-VWCO</v>
      </c>
      <c r="B266" t="str">
        <f t="shared" si="61"/>
        <v>Google Brasil</v>
      </c>
      <c r="C266" t="str">
        <f t="shared" si="62"/>
        <v>google-brasil|mobile|320x50|man_caminhoes|always_on|institucional|criativo_02|320x50|cpm</v>
      </c>
      <c r="D266" t="str">
        <f t="shared" si="63"/>
        <v>138019078</v>
      </c>
      <c r="E266" t="str">
        <f t="shared" si="64"/>
        <v>Default</v>
      </c>
      <c r="F266" t="str">
        <f t="shared" si="65"/>
        <v>320x50 Default Web Ad</v>
      </c>
      <c r="G266" t="str">
        <f t="shared" si="66"/>
        <v>310387631</v>
      </c>
      <c r="H266" t="str">
        <f t="shared" si="67"/>
        <v>Display</v>
      </c>
      <c r="I266">
        <f t="shared" si="68"/>
        <v>9152</v>
      </c>
      <c r="J266">
        <f t="shared" si="69"/>
        <v>100</v>
      </c>
      <c r="K266" s="4">
        <f t="shared" si="58"/>
        <v>3.8199999999999998E-2</v>
      </c>
      <c r="L266">
        <f t="shared" si="59"/>
        <v>0.09</v>
      </c>
      <c r="M266" s="4">
        <f t="shared" si="56"/>
        <v>0.34960639999999998</v>
      </c>
      <c r="N266" s="4">
        <f t="shared" si="57"/>
        <v>0.82367999999999997</v>
      </c>
    </row>
    <row r="267" spans="1:14">
      <c r="A267" t="str">
        <f t="shared" si="60"/>
        <v>alp_Man-VWCO</v>
      </c>
      <c r="B267" t="str">
        <f t="shared" si="61"/>
        <v>Google Brasil</v>
      </c>
      <c r="C267" t="str">
        <f t="shared" si="62"/>
        <v>google-brasil|mobile|320x50|man_caminhoes|always_on|institucional|criativo_03|320x50|cpm</v>
      </c>
      <c r="D267" t="str">
        <f t="shared" si="63"/>
        <v>138019073</v>
      </c>
      <c r="E267" t="str">
        <f t="shared" si="64"/>
        <v>Default</v>
      </c>
      <c r="F267" t="str">
        <f t="shared" si="65"/>
        <v>320x50 Default Web Ad</v>
      </c>
      <c r="G267" t="str">
        <f t="shared" si="66"/>
        <v>310387631</v>
      </c>
      <c r="H267" t="str">
        <f t="shared" si="67"/>
        <v>Display</v>
      </c>
      <c r="I267">
        <f t="shared" si="68"/>
        <v>8486</v>
      </c>
      <c r="J267">
        <f t="shared" si="69"/>
        <v>23</v>
      </c>
      <c r="K267" s="4">
        <f t="shared" si="58"/>
        <v>3.8199999999999998E-2</v>
      </c>
      <c r="L267">
        <f t="shared" si="59"/>
        <v>0.09</v>
      </c>
      <c r="M267" s="4">
        <f t="shared" si="56"/>
        <v>0.32416519999999999</v>
      </c>
      <c r="N267" s="4">
        <f t="shared" si="57"/>
        <v>0.76373999999999997</v>
      </c>
    </row>
    <row r="268" spans="1:14">
      <c r="A268" t="str">
        <f t="shared" si="60"/>
        <v>alp_Man-VWCO</v>
      </c>
      <c r="B268" t="str">
        <f t="shared" si="61"/>
        <v>Google Brasil</v>
      </c>
      <c r="C268" t="str">
        <f t="shared" si="62"/>
        <v>google-brasil|mobile|320x50|man_caminhoes|always_on|institucional|criativo_03|320x50|cpm</v>
      </c>
      <c r="D268" t="str">
        <f t="shared" si="63"/>
        <v>138019073</v>
      </c>
      <c r="E268" t="str">
        <f t="shared" si="64"/>
        <v>Default</v>
      </c>
      <c r="F268" t="str">
        <f t="shared" si="65"/>
        <v>320x50 Default Web Ad</v>
      </c>
      <c r="G268" t="str">
        <f t="shared" si="66"/>
        <v>310387631</v>
      </c>
      <c r="H268" t="str">
        <f t="shared" si="67"/>
        <v>Display</v>
      </c>
      <c r="I268">
        <f t="shared" si="68"/>
        <v>7167</v>
      </c>
      <c r="J268">
        <f t="shared" si="69"/>
        <v>80</v>
      </c>
      <c r="K268" s="4">
        <f t="shared" si="58"/>
        <v>3.8199999999999998E-2</v>
      </c>
      <c r="L268">
        <f t="shared" si="59"/>
        <v>0.09</v>
      </c>
      <c r="M268" s="4">
        <f t="shared" si="56"/>
        <v>0.27377940000000001</v>
      </c>
      <c r="N268" s="4">
        <f t="shared" si="57"/>
        <v>0.64502999999999999</v>
      </c>
    </row>
    <row r="269" spans="1:14">
      <c r="A269" t="str">
        <f t="shared" si="60"/>
        <v>alp_Man-VWCO</v>
      </c>
      <c r="B269" t="str">
        <f t="shared" si="61"/>
        <v>Google Brasil</v>
      </c>
      <c r="C269" t="str">
        <f t="shared" si="62"/>
        <v>google-brasil|mobile|320x50|man_caminhoes|always_on|institucional|criativo_04|320x50|cpm</v>
      </c>
      <c r="D269" t="str">
        <f t="shared" si="63"/>
        <v>138019068</v>
      </c>
      <c r="E269" t="str">
        <f t="shared" si="64"/>
        <v>Default</v>
      </c>
      <c r="F269" t="str">
        <f t="shared" si="65"/>
        <v>320x50 Default Web Ad</v>
      </c>
      <c r="G269" t="str">
        <f t="shared" si="66"/>
        <v>310387631</v>
      </c>
      <c r="H269" t="str">
        <f t="shared" si="67"/>
        <v>Display</v>
      </c>
      <c r="I269">
        <f t="shared" si="68"/>
        <v>8905</v>
      </c>
      <c r="J269">
        <f t="shared" si="69"/>
        <v>28</v>
      </c>
      <c r="K269" s="4">
        <f t="shared" si="58"/>
        <v>3.8199999999999998E-2</v>
      </c>
      <c r="L269">
        <f t="shared" si="59"/>
        <v>0.09</v>
      </c>
      <c r="M269" s="4">
        <f t="shared" si="56"/>
        <v>0.340171</v>
      </c>
      <c r="N269" s="4">
        <f t="shared" si="57"/>
        <v>0.80144999999999988</v>
      </c>
    </row>
    <row r="270" spans="1:14">
      <c r="A270" t="str">
        <f t="shared" si="60"/>
        <v>alp_Man-VWCO</v>
      </c>
      <c r="B270" t="str">
        <f t="shared" si="61"/>
        <v>Google Brasil</v>
      </c>
      <c r="C270" t="str">
        <f t="shared" si="62"/>
        <v>google-brasil|mobile|320x50|man_caminhoes|always_on|institucional|criativo_04|320x50|cpm</v>
      </c>
      <c r="D270" t="str">
        <f t="shared" si="63"/>
        <v>138019068</v>
      </c>
      <c r="E270" t="str">
        <f t="shared" si="64"/>
        <v>Default</v>
      </c>
      <c r="F270" t="str">
        <f t="shared" si="65"/>
        <v>320x50 Default Web Ad</v>
      </c>
      <c r="G270" t="str">
        <f t="shared" si="66"/>
        <v>310387631</v>
      </c>
      <c r="H270" t="str">
        <f t="shared" si="67"/>
        <v>Display</v>
      </c>
      <c r="I270">
        <f t="shared" si="68"/>
        <v>4039</v>
      </c>
      <c r="J270">
        <f t="shared" si="69"/>
        <v>44</v>
      </c>
      <c r="K270" s="4">
        <f t="shared" si="58"/>
        <v>3.8199999999999998E-2</v>
      </c>
      <c r="L270">
        <f t="shared" si="59"/>
        <v>0.09</v>
      </c>
      <c r="M270" s="4">
        <f t="shared" si="56"/>
        <v>0.15428979999999998</v>
      </c>
      <c r="N270" s="4">
        <f t="shared" si="57"/>
        <v>0.36351</v>
      </c>
    </row>
    <row r="271" spans="1:14">
      <c r="A271" t="str">
        <f t="shared" si="60"/>
        <v>alp_Man-VWCO</v>
      </c>
      <c r="B271" t="str">
        <f t="shared" si="61"/>
        <v>Google Brasil</v>
      </c>
      <c r="C271" t="str">
        <f t="shared" si="62"/>
        <v>google-brasil|mobile|320x50|man_caminhoes|always_on|institucional|criativo_05|320x50|cpm</v>
      </c>
      <c r="D271" t="str">
        <f t="shared" si="63"/>
        <v>138019063</v>
      </c>
      <c r="E271" t="str">
        <f t="shared" si="64"/>
        <v>Default</v>
      </c>
      <c r="F271" t="str">
        <f t="shared" si="65"/>
        <v>320x50 Default Web Ad</v>
      </c>
      <c r="G271" t="str">
        <f t="shared" si="66"/>
        <v>310387631</v>
      </c>
      <c r="H271" t="str">
        <f t="shared" si="67"/>
        <v>Display</v>
      </c>
      <c r="I271">
        <f t="shared" si="68"/>
        <v>8653</v>
      </c>
      <c r="J271">
        <f t="shared" si="69"/>
        <v>23</v>
      </c>
      <c r="K271" s="4">
        <f t="shared" si="58"/>
        <v>3.8199999999999998E-2</v>
      </c>
      <c r="L271">
        <f t="shared" si="59"/>
        <v>0.09</v>
      </c>
      <c r="M271" s="4">
        <f t="shared" si="56"/>
        <v>0.33054460000000002</v>
      </c>
      <c r="N271" s="4">
        <f t="shared" si="57"/>
        <v>0.77876999999999996</v>
      </c>
    </row>
    <row r="272" spans="1:14">
      <c r="A272" t="str">
        <f t="shared" si="60"/>
        <v>alp_Man-VWCO</v>
      </c>
      <c r="B272" t="str">
        <f t="shared" si="61"/>
        <v>Google Brasil</v>
      </c>
      <c r="C272" t="str">
        <f t="shared" si="62"/>
        <v>google-brasil|mobile|320x50|man_caminhoes|always_on|institucional|criativo_05|320x50|cpm</v>
      </c>
      <c r="D272" t="str">
        <f t="shared" si="63"/>
        <v>138019063</v>
      </c>
      <c r="E272" t="str">
        <f t="shared" si="64"/>
        <v>Default</v>
      </c>
      <c r="F272" t="str">
        <f t="shared" si="65"/>
        <v>320x50 Default Web Ad</v>
      </c>
      <c r="G272" t="str">
        <f t="shared" si="66"/>
        <v>310387631</v>
      </c>
      <c r="H272" t="str">
        <f t="shared" si="67"/>
        <v>Display</v>
      </c>
      <c r="I272">
        <f t="shared" si="68"/>
        <v>9729</v>
      </c>
      <c r="J272">
        <f t="shared" si="69"/>
        <v>101</v>
      </c>
      <c r="K272" s="4">
        <f t="shared" si="58"/>
        <v>3.8199999999999998E-2</v>
      </c>
      <c r="L272">
        <f t="shared" si="59"/>
        <v>0.09</v>
      </c>
      <c r="M272" s="4">
        <f t="shared" si="56"/>
        <v>0.37164779999999997</v>
      </c>
      <c r="N272" s="4">
        <f t="shared" si="57"/>
        <v>0.87561</v>
      </c>
    </row>
    <row r="273" spans="1:14">
      <c r="A273" t="str">
        <f t="shared" si="60"/>
        <v>alp_Man-VWCO</v>
      </c>
      <c r="B273" t="str">
        <f t="shared" si="61"/>
        <v>Google Brasil</v>
      </c>
      <c r="C273" t="str">
        <f t="shared" si="62"/>
        <v>google-brasil|mobile|320x50|man_caminhoes|always_on|produto|criativo_11_tgx_29-440|320x50|cpm</v>
      </c>
      <c r="D273" t="str">
        <f t="shared" si="63"/>
        <v>138018378</v>
      </c>
      <c r="E273" t="str">
        <f t="shared" si="64"/>
        <v>Default</v>
      </c>
      <c r="F273" t="str">
        <f t="shared" si="65"/>
        <v>320x50 Default Web Ad</v>
      </c>
      <c r="G273" t="str">
        <f t="shared" si="66"/>
        <v>310387631</v>
      </c>
      <c r="H273" t="str">
        <f t="shared" si="67"/>
        <v>Display</v>
      </c>
      <c r="I273">
        <f t="shared" si="68"/>
        <v>10503</v>
      </c>
      <c r="J273">
        <f t="shared" si="69"/>
        <v>35</v>
      </c>
      <c r="K273" s="4">
        <f t="shared" si="58"/>
        <v>3.8199999999999998E-2</v>
      </c>
      <c r="L273">
        <f t="shared" si="59"/>
        <v>0.09</v>
      </c>
      <c r="M273" s="4">
        <f t="shared" si="56"/>
        <v>0.40121459999999998</v>
      </c>
      <c r="N273" s="4">
        <f t="shared" si="57"/>
        <v>0.94526999999999994</v>
      </c>
    </row>
    <row r="274" spans="1:14">
      <c r="A274" t="str">
        <f t="shared" si="60"/>
        <v>alp_Man-VWCO</v>
      </c>
      <c r="B274" t="str">
        <f t="shared" si="61"/>
        <v>Google Brasil</v>
      </c>
      <c r="C274" t="str">
        <f t="shared" si="62"/>
        <v>google-brasil|mobile|320x50|man_caminhoes|always_on|produto|criativo_11_tgx_29-440|320x50|cpm</v>
      </c>
      <c r="D274" t="str">
        <f t="shared" si="63"/>
        <v>138018378</v>
      </c>
      <c r="E274" t="str">
        <f t="shared" si="64"/>
        <v>Default</v>
      </c>
      <c r="F274" t="str">
        <f t="shared" si="65"/>
        <v>320x50 Default Web Ad</v>
      </c>
      <c r="G274" t="str">
        <f t="shared" si="66"/>
        <v>310387631</v>
      </c>
      <c r="H274" t="str">
        <f t="shared" si="67"/>
        <v>Display</v>
      </c>
      <c r="I274">
        <f t="shared" si="68"/>
        <v>4064</v>
      </c>
      <c r="J274">
        <f t="shared" si="69"/>
        <v>11</v>
      </c>
      <c r="K274" s="4">
        <f t="shared" si="58"/>
        <v>3.8199999999999998E-2</v>
      </c>
      <c r="L274">
        <f t="shared" si="59"/>
        <v>0.09</v>
      </c>
      <c r="M274" s="4">
        <f t="shared" si="56"/>
        <v>0.15524479999999999</v>
      </c>
      <c r="N274" s="4">
        <f t="shared" si="57"/>
        <v>0.36575999999999997</v>
      </c>
    </row>
    <row r="275" spans="1:14">
      <c r="A275" t="str">
        <f t="shared" si="60"/>
        <v>alp_Man-VWCO</v>
      </c>
      <c r="B275" t="str">
        <f t="shared" si="61"/>
        <v>Google Brasil</v>
      </c>
      <c r="C275" t="str">
        <f t="shared" si="62"/>
        <v>google-brasil|mobile|320x50|man_caminhoes|always_on|produto|criativo_12_tgx_29-440|320x50|cpm</v>
      </c>
      <c r="D275" t="str">
        <f t="shared" si="63"/>
        <v>138018373</v>
      </c>
      <c r="E275" t="str">
        <f t="shared" si="64"/>
        <v>Default</v>
      </c>
      <c r="F275" t="str">
        <f t="shared" si="65"/>
        <v>320x50 Default Web Ad</v>
      </c>
      <c r="G275" t="str">
        <f t="shared" si="66"/>
        <v>310387631</v>
      </c>
      <c r="H275" t="str">
        <f t="shared" si="67"/>
        <v>Display</v>
      </c>
      <c r="I275">
        <f t="shared" si="68"/>
        <v>10639</v>
      </c>
      <c r="J275">
        <f t="shared" si="69"/>
        <v>42</v>
      </c>
      <c r="K275" s="4">
        <f t="shared" si="58"/>
        <v>3.8199999999999998E-2</v>
      </c>
      <c r="L275">
        <f t="shared" si="59"/>
        <v>0.09</v>
      </c>
      <c r="M275" s="4">
        <f t="shared" si="56"/>
        <v>0.40640979999999999</v>
      </c>
      <c r="N275" s="4">
        <f t="shared" si="57"/>
        <v>0.95750999999999997</v>
      </c>
    </row>
    <row r="276" spans="1:14">
      <c r="A276" t="str">
        <f t="shared" si="60"/>
        <v>alp_Man-VWCO</v>
      </c>
      <c r="B276" t="str">
        <f t="shared" si="61"/>
        <v>Google Brasil</v>
      </c>
      <c r="C276" t="str">
        <f t="shared" si="62"/>
        <v>google-brasil|mobile|320x50|man_caminhoes|always_on|produto|criativo_12_tgx_29-440|320x50|cpm</v>
      </c>
      <c r="D276" t="str">
        <f t="shared" si="63"/>
        <v>138018373</v>
      </c>
      <c r="E276" t="str">
        <f t="shared" si="64"/>
        <v>Default</v>
      </c>
      <c r="F276" t="str">
        <f t="shared" si="65"/>
        <v>320x50 Default Web Ad</v>
      </c>
      <c r="G276" t="str">
        <f t="shared" si="66"/>
        <v>310387631</v>
      </c>
      <c r="H276" t="str">
        <f t="shared" si="67"/>
        <v>Display</v>
      </c>
      <c r="I276">
        <f t="shared" si="68"/>
        <v>4117</v>
      </c>
      <c r="J276">
        <f t="shared" si="69"/>
        <v>7</v>
      </c>
      <c r="K276" s="4">
        <f t="shared" si="58"/>
        <v>3.8199999999999998E-2</v>
      </c>
      <c r="L276">
        <f t="shared" si="59"/>
        <v>0.09</v>
      </c>
      <c r="M276" s="4">
        <f t="shared" si="56"/>
        <v>0.1572694</v>
      </c>
      <c r="N276" s="4">
        <f t="shared" si="57"/>
        <v>0.37052999999999997</v>
      </c>
    </row>
    <row r="277" spans="1:14">
      <c r="A277" t="str">
        <f t="shared" si="60"/>
        <v>alp_Man-VWCO</v>
      </c>
      <c r="B277" t="str">
        <f t="shared" si="61"/>
        <v>Google Brasil</v>
      </c>
      <c r="C277" t="str">
        <f t="shared" si="62"/>
        <v>google-brasil|mobile|320x50|man_caminhoes|always_on|produto|criativo_13_tgx_29-440|320x50|cpm</v>
      </c>
      <c r="D277" t="str">
        <f t="shared" si="63"/>
        <v>138018368</v>
      </c>
      <c r="E277" t="str">
        <f t="shared" si="64"/>
        <v>Default</v>
      </c>
      <c r="F277" t="str">
        <f t="shared" si="65"/>
        <v>320x50 Default Web Ad</v>
      </c>
      <c r="G277" t="str">
        <f t="shared" si="66"/>
        <v>310387631</v>
      </c>
      <c r="H277" t="str">
        <f t="shared" si="67"/>
        <v>Display</v>
      </c>
      <c r="I277">
        <f t="shared" si="68"/>
        <v>10381</v>
      </c>
      <c r="J277">
        <f t="shared" si="69"/>
        <v>42</v>
      </c>
      <c r="K277" s="4">
        <f t="shared" si="58"/>
        <v>3.8199999999999998E-2</v>
      </c>
      <c r="L277">
        <f t="shared" si="59"/>
        <v>0.09</v>
      </c>
      <c r="M277" s="4">
        <f t="shared" si="56"/>
        <v>0.39655419999999997</v>
      </c>
      <c r="N277" s="4">
        <f t="shared" si="57"/>
        <v>0.93428999999999995</v>
      </c>
    </row>
    <row r="278" spans="1:14">
      <c r="A278" t="str">
        <f t="shared" si="60"/>
        <v>alp_Man-VWCO</v>
      </c>
      <c r="B278" t="str">
        <f t="shared" si="61"/>
        <v>Google Brasil</v>
      </c>
      <c r="C278" t="str">
        <f t="shared" si="62"/>
        <v>google-brasil|mobile|320x50|man_caminhoes|always_on|produto|criativo_13_tgx_29-440|320x50|cpm</v>
      </c>
      <c r="D278" t="str">
        <f t="shared" si="63"/>
        <v>138018368</v>
      </c>
      <c r="E278" t="str">
        <f t="shared" si="64"/>
        <v>Default</v>
      </c>
      <c r="F278" t="str">
        <f t="shared" si="65"/>
        <v>320x50 Default Web Ad</v>
      </c>
      <c r="G278" t="str">
        <f t="shared" si="66"/>
        <v>310387631</v>
      </c>
      <c r="H278" t="str">
        <f t="shared" si="67"/>
        <v>Display</v>
      </c>
      <c r="I278">
        <f t="shared" si="68"/>
        <v>4182</v>
      </c>
      <c r="J278">
        <f t="shared" si="69"/>
        <v>10</v>
      </c>
      <c r="K278" s="4">
        <f t="shared" si="58"/>
        <v>3.8199999999999998E-2</v>
      </c>
      <c r="L278">
        <f t="shared" si="59"/>
        <v>0.09</v>
      </c>
      <c r="M278" s="4">
        <f t="shared" si="56"/>
        <v>0.15975239999999999</v>
      </c>
      <c r="N278" s="4">
        <f t="shared" si="57"/>
        <v>0.37637999999999999</v>
      </c>
    </row>
    <row r="279" spans="1:14">
      <c r="A279" t="str">
        <f t="shared" si="60"/>
        <v>alp_Man-VWCO</v>
      </c>
      <c r="B279" t="str">
        <f t="shared" si="61"/>
        <v>Google Brasil</v>
      </c>
      <c r="C279" t="str">
        <f t="shared" si="62"/>
        <v>google-brasil|mobile|320x50|man_caminhoes|always_on|produto|criativo_14_tgx_29-440|320x50|cpm</v>
      </c>
      <c r="D279" t="str">
        <f t="shared" si="63"/>
        <v>138018363</v>
      </c>
      <c r="E279" t="str">
        <f t="shared" si="64"/>
        <v>Default</v>
      </c>
      <c r="F279" t="str">
        <f t="shared" si="65"/>
        <v>320x50 Default Web Ad</v>
      </c>
      <c r="G279" t="str">
        <f t="shared" si="66"/>
        <v>310387631</v>
      </c>
      <c r="H279" t="str">
        <f t="shared" si="67"/>
        <v>Display</v>
      </c>
      <c r="I279">
        <f t="shared" si="68"/>
        <v>10743</v>
      </c>
      <c r="J279">
        <f t="shared" si="69"/>
        <v>39</v>
      </c>
      <c r="K279" s="4">
        <f t="shared" si="58"/>
        <v>3.8199999999999998E-2</v>
      </c>
      <c r="L279">
        <f t="shared" si="59"/>
        <v>0.09</v>
      </c>
      <c r="M279" s="4">
        <f t="shared" si="56"/>
        <v>0.41038259999999999</v>
      </c>
      <c r="N279" s="4">
        <f t="shared" si="57"/>
        <v>0.96687000000000001</v>
      </c>
    </row>
    <row r="280" spans="1:14">
      <c r="A280" t="str">
        <f t="shared" si="60"/>
        <v>alp_Man-VWCO</v>
      </c>
      <c r="B280" t="str">
        <f t="shared" si="61"/>
        <v>Google Brasil</v>
      </c>
      <c r="C280" t="str">
        <f t="shared" si="62"/>
        <v>google-brasil|mobile|320x50|man_caminhoes|always_on|produto|criativo_14_tgx_29-440|320x50|cpm</v>
      </c>
      <c r="D280" t="str">
        <f t="shared" si="63"/>
        <v>138018363</v>
      </c>
      <c r="E280" t="str">
        <f t="shared" si="64"/>
        <v>Default</v>
      </c>
      <c r="F280" t="str">
        <f t="shared" si="65"/>
        <v>320x50 Default Web Ad</v>
      </c>
      <c r="G280" t="str">
        <f t="shared" si="66"/>
        <v>310387631</v>
      </c>
      <c r="H280" t="str">
        <f t="shared" si="67"/>
        <v>Display</v>
      </c>
      <c r="I280">
        <f t="shared" si="68"/>
        <v>3964</v>
      </c>
      <c r="J280">
        <f t="shared" si="69"/>
        <v>6</v>
      </c>
      <c r="K280" s="4">
        <f t="shared" si="58"/>
        <v>3.8199999999999998E-2</v>
      </c>
      <c r="L280">
        <f t="shared" si="59"/>
        <v>0.09</v>
      </c>
      <c r="M280" s="4">
        <f t="shared" si="56"/>
        <v>0.1514248</v>
      </c>
      <c r="N280" s="4">
        <f t="shared" si="57"/>
        <v>0.35675999999999997</v>
      </c>
    </row>
    <row r="281" spans="1:14">
      <c r="A281" t="str">
        <f t="shared" si="60"/>
        <v>alp_Man-VWCO</v>
      </c>
      <c r="B281" t="str">
        <f t="shared" si="61"/>
        <v>Google Brasil</v>
      </c>
      <c r="C281" t="str">
        <f t="shared" si="62"/>
        <v>google-brasil|mobile|320x50|man_caminhoes|always_on|produto|criativo_15_tgx_29-440|320x50|cpm</v>
      </c>
      <c r="D281" t="str">
        <f t="shared" si="63"/>
        <v>138018358</v>
      </c>
      <c r="E281" t="str">
        <f t="shared" si="64"/>
        <v>Default</v>
      </c>
      <c r="F281" t="str">
        <f t="shared" si="65"/>
        <v>320x50 Default Web Ad</v>
      </c>
      <c r="G281" t="str">
        <f t="shared" si="66"/>
        <v>310387631</v>
      </c>
      <c r="H281" t="str">
        <f t="shared" si="67"/>
        <v>Display</v>
      </c>
      <c r="I281">
        <f t="shared" si="68"/>
        <v>10726</v>
      </c>
      <c r="J281">
        <f t="shared" si="69"/>
        <v>42</v>
      </c>
      <c r="K281" s="4">
        <f t="shared" si="58"/>
        <v>3.8199999999999998E-2</v>
      </c>
      <c r="L281">
        <f t="shared" si="59"/>
        <v>0.09</v>
      </c>
      <c r="M281" s="4">
        <f t="shared" si="56"/>
        <v>0.40973319999999996</v>
      </c>
      <c r="N281" s="4">
        <f t="shared" si="57"/>
        <v>0.96533999999999986</v>
      </c>
    </row>
    <row r="282" spans="1:14">
      <c r="A282" t="str">
        <f t="shared" si="60"/>
        <v>alp_Man-VWCO</v>
      </c>
      <c r="B282" t="str">
        <f t="shared" si="61"/>
        <v>Google Brasil</v>
      </c>
      <c r="C282" t="str">
        <f t="shared" si="62"/>
        <v>google-brasil|mobile|320x50|man_caminhoes|always_on|produto|criativo_15_tgx_29-440|320x50|cpm</v>
      </c>
      <c r="D282" t="str">
        <f t="shared" si="63"/>
        <v>138018358</v>
      </c>
      <c r="E282" t="str">
        <f t="shared" si="64"/>
        <v>Default</v>
      </c>
      <c r="F282" t="str">
        <f t="shared" si="65"/>
        <v>320x50 Default Web Ad</v>
      </c>
      <c r="G282" t="str">
        <f t="shared" si="66"/>
        <v>310387631</v>
      </c>
      <c r="H282" t="str">
        <f t="shared" si="67"/>
        <v>Display</v>
      </c>
      <c r="I282">
        <f t="shared" si="68"/>
        <v>4160</v>
      </c>
      <c r="J282">
        <f t="shared" si="69"/>
        <v>12</v>
      </c>
      <c r="K282" s="4">
        <f t="shared" si="58"/>
        <v>3.8199999999999998E-2</v>
      </c>
      <c r="L282">
        <f t="shared" si="59"/>
        <v>0.09</v>
      </c>
      <c r="M282" s="4">
        <f t="shared" si="56"/>
        <v>0.15891199999999997</v>
      </c>
      <c r="N282" s="4">
        <f t="shared" si="57"/>
        <v>0.37439999999999996</v>
      </c>
    </row>
    <row r="283" spans="1:14">
      <c r="A283" t="str">
        <f t="shared" si="60"/>
        <v>alp_Man-VWCO</v>
      </c>
      <c r="B283" t="str">
        <f t="shared" si="61"/>
        <v>Google Brasil</v>
      </c>
      <c r="C283" t="str">
        <f t="shared" si="62"/>
        <v>google-brasil|mobile|320x50|man_caminhoes|always_on|produto|criativo_16_tgx_29-440|320x50|cpm</v>
      </c>
      <c r="D283" t="str">
        <f t="shared" si="63"/>
        <v>138018353</v>
      </c>
      <c r="E283" t="str">
        <f t="shared" si="64"/>
        <v>Default</v>
      </c>
      <c r="F283" t="str">
        <f t="shared" si="65"/>
        <v>320x50 Default Web Ad</v>
      </c>
      <c r="G283" t="str">
        <f t="shared" si="66"/>
        <v>310387631</v>
      </c>
      <c r="H283" t="str">
        <f t="shared" si="67"/>
        <v>Display</v>
      </c>
      <c r="I283">
        <f t="shared" si="68"/>
        <v>10891</v>
      </c>
      <c r="J283">
        <f t="shared" si="69"/>
        <v>42</v>
      </c>
      <c r="K283" s="4">
        <f t="shared" si="58"/>
        <v>3.8199999999999998E-2</v>
      </c>
      <c r="L283">
        <f t="shared" si="59"/>
        <v>0.09</v>
      </c>
      <c r="M283" s="4">
        <f t="shared" si="56"/>
        <v>0.41603619999999997</v>
      </c>
      <c r="N283" s="4">
        <f t="shared" si="57"/>
        <v>0.98018999999999989</v>
      </c>
    </row>
    <row r="284" spans="1:14">
      <c r="A284" t="str">
        <f t="shared" si="60"/>
        <v>alp_Man-VWCO</v>
      </c>
      <c r="B284" t="str">
        <f t="shared" si="61"/>
        <v>Google Brasil</v>
      </c>
      <c r="C284" t="str">
        <f t="shared" si="62"/>
        <v>google-brasil|mobile|320x50|man_caminhoes|always_on|produto|criativo_16_tgx_29-440|320x50|cpm</v>
      </c>
      <c r="D284" t="str">
        <f t="shared" si="63"/>
        <v>138018353</v>
      </c>
      <c r="E284" t="str">
        <f t="shared" si="64"/>
        <v>Default</v>
      </c>
      <c r="F284" t="str">
        <f t="shared" si="65"/>
        <v>320x50 Default Web Ad</v>
      </c>
      <c r="G284" t="str">
        <f t="shared" si="66"/>
        <v>310387631</v>
      </c>
      <c r="H284" t="str">
        <f t="shared" si="67"/>
        <v>Display</v>
      </c>
      <c r="I284">
        <f t="shared" si="68"/>
        <v>3986</v>
      </c>
      <c r="J284">
        <f t="shared" si="69"/>
        <v>10</v>
      </c>
      <c r="K284" s="4">
        <f t="shared" si="58"/>
        <v>3.8199999999999998E-2</v>
      </c>
      <c r="L284">
        <f t="shared" si="59"/>
        <v>0.09</v>
      </c>
      <c r="M284" s="4">
        <f t="shared" si="56"/>
        <v>0.15226519999999999</v>
      </c>
      <c r="N284" s="4">
        <f t="shared" si="57"/>
        <v>0.35874</v>
      </c>
    </row>
    <row r="285" spans="1:14">
      <c r="A285" t="str">
        <f t="shared" si="60"/>
        <v>alp_Man-VWCO</v>
      </c>
      <c r="B285" t="str">
        <f t="shared" si="61"/>
        <v>Google Brasil</v>
      </c>
      <c r="C285" t="str">
        <f t="shared" si="62"/>
        <v>google-brasil|mobile|320x50|man_caminhoes|always_on|produto|criativo_17_tgx_29-440|320x50|cpm</v>
      </c>
      <c r="D285" t="str">
        <f t="shared" si="63"/>
        <v>138018348</v>
      </c>
      <c r="E285" t="str">
        <f t="shared" si="64"/>
        <v>Default</v>
      </c>
      <c r="F285" t="str">
        <f t="shared" si="65"/>
        <v>320x50 Default Web Ad</v>
      </c>
      <c r="G285" t="str">
        <f t="shared" si="66"/>
        <v>310387631</v>
      </c>
      <c r="H285" t="str">
        <f t="shared" si="67"/>
        <v>Display</v>
      </c>
      <c r="I285">
        <f t="shared" si="68"/>
        <v>10913</v>
      </c>
      <c r="J285">
        <f t="shared" si="69"/>
        <v>47</v>
      </c>
      <c r="K285" s="4">
        <f t="shared" si="58"/>
        <v>3.8199999999999998E-2</v>
      </c>
      <c r="L285">
        <f t="shared" si="59"/>
        <v>0.09</v>
      </c>
      <c r="M285" s="4">
        <f t="shared" si="56"/>
        <v>0.41687659999999999</v>
      </c>
      <c r="N285" s="4">
        <f t="shared" si="57"/>
        <v>0.98216999999999999</v>
      </c>
    </row>
    <row r="286" spans="1:14">
      <c r="A286" t="str">
        <f t="shared" si="60"/>
        <v>alp_Man-VWCO</v>
      </c>
      <c r="B286" t="str">
        <f t="shared" si="61"/>
        <v>Google Brasil</v>
      </c>
      <c r="C286" t="str">
        <f t="shared" si="62"/>
        <v>google-brasil|mobile|320x50|man_caminhoes|always_on|produto|criativo_17_tgx_29-440|320x50|cpm</v>
      </c>
      <c r="D286" t="str">
        <f t="shared" si="63"/>
        <v>138018348</v>
      </c>
      <c r="E286" t="str">
        <f t="shared" si="64"/>
        <v>Default</v>
      </c>
      <c r="F286" t="str">
        <f t="shared" si="65"/>
        <v>320x50 Default Web Ad</v>
      </c>
      <c r="G286" t="str">
        <f t="shared" si="66"/>
        <v>310387631</v>
      </c>
      <c r="H286" t="str">
        <f t="shared" si="67"/>
        <v>Display</v>
      </c>
      <c r="I286">
        <f t="shared" si="68"/>
        <v>3928</v>
      </c>
      <c r="J286">
        <f t="shared" si="69"/>
        <v>11</v>
      </c>
      <c r="K286" s="4">
        <f t="shared" si="58"/>
        <v>3.8199999999999998E-2</v>
      </c>
      <c r="L286">
        <f t="shared" si="59"/>
        <v>0.09</v>
      </c>
      <c r="M286" s="4">
        <f t="shared" si="56"/>
        <v>0.15004960000000001</v>
      </c>
      <c r="N286" s="4">
        <f t="shared" si="57"/>
        <v>0.35352</v>
      </c>
    </row>
    <row r="287" spans="1:14">
      <c r="A287" t="str">
        <f t="shared" si="60"/>
        <v>alp_Man-VWCO</v>
      </c>
      <c r="B287" t="str">
        <f t="shared" si="61"/>
        <v>Google Brasil</v>
      </c>
      <c r="C287" t="str">
        <f t="shared" si="62"/>
        <v>google-brasil|mobile|320x50|man_caminhoes|always_on|produto|criativo_18_tgx_29-440|320x50|cpm</v>
      </c>
      <c r="D287" t="str">
        <f t="shared" si="63"/>
        <v>138018343</v>
      </c>
      <c r="E287" t="str">
        <f t="shared" si="64"/>
        <v>Default</v>
      </c>
      <c r="F287" t="str">
        <f t="shared" si="65"/>
        <v>320x50 Default Web Ad</v>
      </c>
      <c r="G287" t="str">
        <f t="shared" si="66"/>
        <v>310387631</v>
      </c>
      <c r="H287" t="str">
        <f t="shared" si="67"/>
        <v>Display</v>
      </c>
      <c r="I287">
        <f t="shared" si="68"/>
        <v>10243</v>
      </c>
      <c r="J287">
        <f t="shared" si="69"/>
        <v>30</v>
      </c>
      <c r="K287" s="4">
        <f t="shared" si="58"/>
        <v>3.8199999999999998E-2</v>
      </c>
      <c r="L287">
        <f t="shared" si="59"/>
        <v>0.09</v>
      </c>
      <c r="M287" s="4">
        <f t="shared" si="56"/>
        <v>0.39128259999999998</v>
      </c>
      <c r="N287" s="4">
        <f t="shared" si="57"/>
        <v>0.92186999999999997</v>
      </c>
    </row>
    <row r="288" spans="1:14">
      <c r="A288" t="str">
        <f t="shared" si="60"/>
        <v>alp_Man-VWCO</v>
      </c>
      <c r="B288" t="str">
        <f t="shared" si="61"/>
        <v>Google Brasil</v>
      </c>
      <c r="C288" t="str">
        <f t="shared" si="62"/>
        <v>google-brasil|mobile|320x50|man_caminhoes|always_on|produto|criativo_18_tgx_29-440|320x50|cpm</v>
      </c>
      <c r="D288" t="str">
        <f t="shared" si="63"/>
        <v>138018343</v>
      </c>
      <c r="E288" t="str">
        <f t="shared" si="64"/>
        <v>Default</v>
      </c>
      <c r="F288" t="str">
        <f t="shared" si="65"/>
        <v>320x50 Default Web Ad</v>
      </c>
      <c r="G288" t="str">
        <f t="shared" si="66"/>
        <v>310387631</v>
      </c>
      <c r="H288" t="str">
        <f t="shared" si="67"/>
        <v>Display</v>
      </c>
      <c r="I288">
        <f t="shared" si="68"/>
        <v>3678</v>
      </c>
      <c r="J288">
        <f t="shared" si="69"/>
        <v>10</v>
      </c>
      <c r="K288" s="4">
        <f t="shared" si="58"/>
        <v>3.8199999999999998E-2</v>
      </c>
      <c r="L288">
        <f t="shared" si="59"/>
        <v>0.09</v>
      </c>
      <c r="M288" s="4">
        <f t="shared" si="56"/>
        <v>0.14049959999999997</v>
      </c>
      <c r="N288" s="4">
        <f t="shared" si="57"/>
        <v>0.33101999999999998</v>
      </c>
    </row>
    <row r="289" spans="1:14">
      <c r="A289" t="str">
        <f t="shared" si="60"/>
        <v>alp_Man-VWCO</v>
      </c>
      <c r="B289" t="str">
        <f t="shared" si="61"/>
        <v>Google Brasil</v>
      </c>
      <c r="C289" t="str">
        <f t="shared" si="62"/>
        <v>google-brasil|mobile|320x50|man_caminhoes|always_on|produto|criativo_19_tgx_29-480|320x50|cpm</v>
      </c>
      <c r="D289" t="str">
        <f t="shared" si="63"/>
        <v>138018338</v>
      </c>
      <c r="E289" t="str">
        <f t="shared" si="64"/>
        <v>Default</v>
      </c>
      <c r="F289" t="str">
        <f t="shared" si="65"/>
        <v>320x50 Default Web Ad</v>
      </c>
      <c r="G289" t="str">
        <f t="shared" si="66"/>
        <v>310387631</v>
      </c>
      <c r="H289" t="str">
        <f t="shared" si="67"/>
        <v>Display</v>
      </c>
      <c r="I289">
        <f t="shared" si="68"/>
        <v>1804</v>
      </c>
      <c r="J289">
        <f t="shared" si="69"/>
        <v>2</v>
      </c>
      <c r="K289" s="4">
        <f t="shared" si="58"/>
        <v>3.8199999999999998E-2</v>
      </c>
      <c r="L289">
        <f t="shared" si="59"/>
        <v>0.09</v>
      </c>
      <c r="M289" s="4">
        <f t="shared" si="56"/>
        <v>6.8912799999999996E-2</v>
      </c>
      <c r="N289" s="4">
        <f t="shared" si="57"/>
        <v>0.16235999999999998</v>
      </c>
    </row>
    <row r="290" spans="1:14">
      <c r="A290" t="str">
        <f t="shared" si="60"/>
        <v>alp_Man-VWCO</v>
      </c>
      <c r="B290" t="str">
        <f t="shared" si="61"/>
        <v>Google Brasil</v>
      </c>
      <c r="C290" t="str">
        <f t="shared" si="62"/>
        <v>google-brasil|mobile|320x50|man_caminhoes|always_on|produto|criativo_20_tgx_29-480|320x50|cpm</v>
      </c>
      <c r="D290" t="str">
        <f t="shared" si="63"/>
        <v>138018333</v>
      </c>
      <c r="E290" t="str">
        <f t="shared" si="64"/>
        <v>Default</v>
      </c>
      <c r="F290" t="str">
        <f t="shared" si="65"/>
        <v>320x50 Default Web Ad</v>
      </c>
      <c r="G290" t="str">
        <f t="shared" si="66"/>
        <v>310387631</v>
      </c>
      <c r="H290" t="str">
        <f t="shared" si="67"/>
        <v>Display</v>
      </c>
      <c r="I290">
        <f t="shared" si="68"/>
        <v>1942</v>
      </c>
      <c r="J290">
        <f t="shared" si="69"/>
        <v>4</v>
      </c>
      <c r="K290" s="4">
        <f t="shared" si="58"/>
        <v>3.8199999999999998E-2</v>
      </c>
      <c r="L290">
        <f t="shared" si="59"/>
        <v>0.09</v>
      </c>
      <c r="M290" s="4">
        <f t="shared" si="56"/>
        <v>7.4184399999999998E-2</v>
      </c>
      <c r="N290" s="4">
        <f t="shared" si="57"/>
        <v>0.17477999999999999</v>
      </c>
    </row>
    <row r="291" spans="1:14">
      <c r="A291" t="str">
        <f t="shared" si="60"/>
        <v>alp_Man-VWCO</v>
      </c>
      <c r="B291" t="str">
        <f t="shared" si="61"/>
        <v>Google Brasil</v>
      </c>
      <c r="C291" t="str">
        <f t="shared" si="62"/>
        <v>google-brasil|mobile|320x50|man_caminhoes|always_on|produto|criativo_21_tgx_29-480|320x50|cpm</v>
      </c>
      <c r="D291" t="str">
        <f t="shared" si="63"/>
        <v>138018328</v>
      </c>
      <c r="E291" t="str">
        <f t="shared" si="64"/>
        <v>Default</v>
      </c>
      <c r="F291" t="str">
        <f t="shared" si="65"/>
        <v>320x50 Default Web Ad</v>
      </c>
      <c r="G291" t="str">
        <f t="shared" si="66"/>
        <v>310387631</v>
      </c>
      <c r="H291" t="str">
        <f t="shared" si="67"/>
        <v>Display</v>
      </c>
      <c r="I291">
        <f t="shared" si="68"/>
        <v>1821</v>
      </c>
      <c r="J291">
        <f t="shared" si="69"/>
        <v>1</v>
      </c>
      <c r="K291" s="4">
        <f t="shared" si="58"/>
        <v>3.8199999999999998E-2</v>
      </c>
      <c r="L291">
        <f t="shared" si="59"/>
        <v>0.09</v>
      </c>
      <c r="M291" s="4">
        <f t="shared" ref="M291:M354" si="70">IF(E291="Dynamic Click",J291*K291,K291*$I291/1000)</f>
        <v>6.9562199999999991E-2</v>
      </c>
      <c r="N291" s="4">
        <f t="shared" ref="N291:N354" si="71">IF(E291="Dynamic Click",J291*L291,L291*$I291/1000)</f>
        <v>0.16388999999999998</v>
      </c>
    </row>
    <row r="292" spans="1:14">
      <c r="A292" t="str">
        <f t="shared" si="60"/>
        <v>alp_Man-VWCO</v>
      </c>
      <c r="B292" t="str">
        <f t="shared" si="61"/>
        <v>Google Brasil</v>
      </c>
      <c r="C292" t="str">
        <f t="shared" si="62"/>
        <v>google-brasil|mobile|320x50|man_caminhoes|always_on|produto|criativo_22_tgx_29-480|320x50|cpm</v>
      </c>
      <c r="D292" t="str">
        <f t="shared" si="63"/>
        <v>138018323</v>
      </c>
      <c r="E292" t="str">
        <f t="shared" si="64"/>
        <v>Default</v>
      </c>
      <c r="F292" t="str">
        <f t="shared" si="65"/>
        <v>320x50 Default Web Ad</v>
      </c>
      <c r="G292" t="str">
        <f t="shared" si="66"/>
        <v>310387631</v>
      </c>
      <c r="H292" t="str">
        <f t="shared" si="67"/>
        <v>Display</v>
      </c>
      <c r="I292">
        <f t="shared" si="68"/>
        <v>1896</v>
      </c>
      <c r="J292">
        <f t="shared" si="69"/>
        <v>1</v>
      </c>
      <c r="K292" s="4">
        <f t="shared" si="58"/>
        <v>3.8199999999999998E-2</v>
      </c>
      <c r="L292">
        <f t="shared" si="59"/>
        <v>0.09</v>
      </c>
      <c r="M292" s="4">
        <f t="shared" si="70"/>
        <v>7.2427199999999997E-2</v>
      </c>
      <c r="N292" s="4">
        <f t="shared" si="71"/>
        <v>0.17063999999999999</v>
      </c>
    </row>
    <row r="293" spans="1:14">
      <c r="A293" t="str">
        <f t="shared" si="60"/>
        <v>alp_Man-VWCO</v>
      </c>
      <c r="B293" t="str">
        <f t="shared" si="61"/>
        <v>Google Brasil</v>
      </c>
      <c r="C293" t="str">
        <f t="shared" si="62"/>
        <v>google-brasil|mobile|320x50|man_caminhoes|always_on|produto|criativo_23__tgx_29-480|320x50|cpm</v>
      </c>
      <c r="D293" t="str">
        <f t="shared" si="63"/>
        <v>138018318</v>
      </c>
      <c r="E293" t="str">
        <f t="shared" si="64"/>
        <v>Default</v>
      </c>
      <c r="F293" t="str">
        <f t="shared" si="65"/>
        <v>320x50 Default Web Ad</v>
      </c>
      <c r="G293" t="str">
        <f t="shared" si="66"/>
        <v>310387631</v>
      </c>
      <c r="H293" t="str">
        <f t="shared" si="67"/>
        <v>Display</v>
      </c>
      <c r="I293">
        <f t="shared" si="68"/>
        <v>1826</v>
      </c>
      <c r="J293">
        <f t="shared" si="69"/>
        <v>3</v>
      </c>
      <c r="K293" s="4">
        <f t="shared" si="58"/>
        <v>3.8199999999999998E-2</v>
      </c>
      <c r="L293">
        <f t="shared" si="59"/>
        <v>0.09</v>
      </c>
      <c r="M293" s="4">
        <f t="shared" si="70"/>
        <v>6.9753199999999987E-2</v>
      </c>
      <c r="N293" s="4">
        <f t="shared" si="71"/>
        <v>0.16434000000000001</v>
      </c>
    </row>
    <row r="294" spans="1:14">
      <c r="A294" t="str">
        <f t="shared" si="60"/>
        <v>alp_Man-VWCO</v>
      </c>
      <c r="B294" t="str">
        <f t="shared" si="61"/>
        <v>Google Brasil</v>
      </c>
      <c r="C294" t="str">
        <f t="shared" si="62"/>
        <v>google-brasil|mobile|320x50|man_caminhoes|always_on|produto|criativo_24__tgx_29-480|320x50|cpm</v>
      </c>
      <c r="D294" t="str">
        <f t="shared" si="63"/>
        <v>138018313</v>
      </c>
      <c r="E294" t="str">
        <f t="shared" si="64"/>
        <v>Default</v>
      </c>
      <c r="F294" t="str">
        <f t="shared" si="65"/>
        <v>320x50 Default Web Ad</v>
      </c>
      <c r="G294" t="str">
        <f t="shared" si="66"/>
        <v>310387631</v>
      </c>
      <c r="H294" t="str">
        <f t="shared" si="67"/>
        <v>Display</v>
      </c>
      <c r="I294">
        <f t="shared" si="68"/>
        <v>1856</v>
      </c>
      <c r="J294">
        <f t="shared" si="69"/>
        <v>1</v>
      </c>
      <c r="K294" s="4">
        <f t="shared" si="58"/>
        <v>3.8199999999999998E-2</v>
      </c>
      <c r="L294">
        <f t="shared" si="59"/>
        <v>0.09</v>
      </c>
      <c r="M294" s="4">
        <f t="shared" si="70"/>
        <v>7.0899199999999996E-2</v>
      </c>
      <c r="N294" s="4">
        <f t="shared" si="71"/>
        <v>0.16703999999999999</v>
      </c>
    </row>
    <row r="295" spans="1:14">
      <c r="A295" t="str">
        <f t="shared" si="60"/>
        <v>alp_Man-VWCO</v>
      </c>
      <c r="B295" t="str">
        <f t="shared" si="61"/>
        <v>Google Brasil</v>
      </c>
      <c r="C295" t="str">
        <f t="shared" si="62"/>
        <v>google-brasil|mobile|320x50|man_caminhoes|always_on|produto|criativo_25_tgx_29-480|320x50|cpm</v>
      </c>
      <c r="D295" t="str">
        <f t="shared" si="63"/>
        <v>138018308</v>
      </c>
      <c r="E295" t="str">
        <f t="shared" si="64"/>
        <v>Default</v>
      </c>
      <c r="F295" t="str">
        <f t="shared" si="65"/>
        <v>320x50 Default Web Ad</v>
      </c>
      <c r="G295" t="str">
        <f t="shared" si="66"/>
        <v>310387631</v>
      </c>
      <c r="H295" t="str">
        <f t="shared" si="67"/>
        <v>Display</v>
      </c>
      <c r="I295">
        <f t="shared" si="68"/>
        <v>1890</v>
      </c>
      <c r="J295">
        <f t="shared" si="69"/>
        <v>2</v>
      </c>
      <c r="K295" s="4">
        <f t="shared" si="58"/>
        <v>3.8199999999999998E-2</v>
      </c>
      <c r="L295">
        <f t="shared" si="59"/>
        <v>0.09</v>
      </c>
      <c r="M295" s="4">
        <f t="shared" si="70"/>
        <v>7.2197999999999998E-2</v>
      </c>
      <c r="N295" s="4">
        <f t="shared" si="71"/>
        <v>0.1701</v>
      </c>
    </row>
    <row r="296" spans="1:14">
      <c r="A296" t="str">
        <f t="shared" si="60"/>
        <v>alp_Man-VWCO</v>
      </c>
      <c r="B296" t="str">
        <f t="shared" si="61"/>
        <v>Google Brasil</v>
      </c>
      <c r="C296" t="str">
        <f t="shared" si="62"/>
        <v>google-brasil|mobile|320x50|man_caminhoes|always_on|produto|criativo_26_tgx_29-480|320x50|cpm</v>
      </c>
      <c r="D296" t="str">
        <f t="shared" si="63"/>
        <v>138018303</v>
      </c>
      <c r="E296" t="str">
        <f t="shared" si="64"/>
        <v>Default</v>
      </c>
      <c r="F296" t="str">
        <f t="shared" si="65"/>
        <v>320x50 Default Web Ad</v>
      </c>
      <c r="G296" t="str">
        <f t="shared" si="66"/>
        <v>310387631</v>
      </c>
      <c r="H296" t="str">
        <f t="shared" si="67"/>
        <v>Display</v>
      </c>
      <c r="I296">
        <f t="shared" si="68"/>
        <v>1867</v>
      </c>
      <c r="J296">
        <f t="shared" si="69"/>
        <v>2</v>
      </c>
      <c r="K296" s="4">
        <f t="shared" si="58"/>
        <v>3.8199999999999998E-2</v>
      </c>
      <c r="L296">
        <f t="shared" si="59"/>
        <v>0.09</v>
      </c>
      <c r="M296" s="4">
        <f t="shared" si="70"/>
        <v>7.1319400000000005E-2</v>
      </c>
      <c r="N296" s="4">
        <f t="shared" si="71"/>
        <v>0.16803000000000001</v>
      </c>
    </row>
    <row r="297" spans="1:14">
      <c r="A297" t="str">
        <f t="shared" si="60"/>
        <v>alp_Man-VWCO</v>
      </c>
      <c r="B297" t="str">
        <f t="shared" si="61"/>
        <v>Google Brasil</v>
      </c>
      <c r="C297" t="str">
        <f t="shared" si="62"/>
        <v>google-brasil|mobile|320x50|man_caminhoes|always_on|produto|criativo_27_tgx_29-480|320x50|cpm</v>
      </c>
      <c r="D297" t="str">
        <f t="shared" si="63"/>
        <v>138018098</v>
      </c>
      <c r="E297" t="str">
        <f t="shared" si="64"/>
        <v>Default</v>
      </c>
      <c r="F297" t="str">
        <f t="shared" si="65"/>
        <v>320x50 Default Web Ad</v>
      </c>
      <c r="G297" t="str">
        <f t="shared" si="66"/>
        <v>310387631</v>
      </c>
      <c r="H297" t="str">
        <f t="shared" si="67"/>
        <v>Display</v>
      </c>
      <c r="I297">
        <f t="shared" si="68"/>
        <v>1937</v>
      </c>
      <c r="J297">
        <f t="shared" si="69"/>
        <v>0</v>
      </c>
      <c r="K297" s="4">
        <f t="shared" si="58"/>
        <v>3.8199999999999998E-2</v>
      </c>
      <c r="L297">
        <f t="shared" si="59"/>
        <v>0.09</v>
      </c>
      <c r="M297" s="4">
        <f t="shared" si="70"/>
        <v>7.3993400000000001E-2</v>
      </c>
      <c r="N297" s="4">
        <f t="shared" si="71"/>
        <v>0.17432999999999998</v>
      </c>
    </row>
    <row r="298" spans="1:14">
      <c r="A298" t="str">
        <f t="shared" si="60"/>
        <v>alp_Man-VWCO</v>
      </c>
      <c r="B298" t="str">
        <f t="shared" si="61"/>
        <v>Google Brasil</v>
      </c>
      <c r="C298" t="str">
        <f t="shared" si="62"/>
        <v>google-brasil|mobile|320x50|man_caminhoes|always_on|vitrine|criativo_01|320x50|cpm</v>
      </c>
      <c r="D298" t="str">
        <f t="shared" si="63"/>
        <v>138019038</v>
      </c>
      <c r="E298" t="str">
        <f t="shared" si="64"/>
        <v>Default</v>
      </c>
      <c r="F298" t="str">
        <f t="shared" si="65"/>
        <v>320x50 Default Web Ad</v>
      </c>
      <c r="G298" t="str">
        <f t="shared" si="66"/>
        <v>310387631</v>
      </c>
      <c r="H298" t="str">
        <f t="shared" si="67"/>
        <v>Display</v>
      </c>
      <c r="I298">
        <f t="shared" si="68"/>
        <v>72411</v>
      </c>
      <c r="J298">
        <f t="shared" si="69"/>
        <v>277</v>
      </c>
      <c r="K298" s="4">
        <f t="shared" si="58"/>
        <v>3.8199999999999998E-2</v>
      </c>
      <c r="L298">
        <f t="shared" si="59"/>
        <v>0.09</v>
      </c>
      <c r="M298" s="4">
        <f t="shared" si="70"/>
        <v>2.7661001999999999</v>
      </c>
      <c r="N298" s="4">
        <f t="shared" si="71"/>
        <v>6.5169899999999998</v>
      </c>
    </row>
    <row r="299" spans="1:14">
      <c r="A299" t="str">
        <f t="shared" si="60"/>
        <v>alp_Man-VWCO</v>
      </c>
      <c r="B299" t="str">
        <f t="shared" si="61"/>
        <v>Google Brasil</v>
      </c>
      <c r="C299" t="str">
        <f t="shared" si="62"/>
        <v>google-brasil|mobile|320x50|man_caminhoes|always_on|vitrine|criativo_01|320x50|cpm</v>
      </c>
      <c r="D299" t="str">
        <f t="shared" si="63"/>
        <v>138019038</v>
      </c>
      <c r="E299" t="str">
        <f t="shared" si="64"/>
        <v>Default</v>
      </c>
      <c r="F299" t="str">
        <f t="shared" si="65"/>
        <v>320x50 Default Web Ad</v>
      </c>
      <c r="G299" t="str">
        <f t="shared" si="66"/>
        <v>310387631</v>
      </c>
      <c r="H299" t="str">
        <f t="shared" si="67"/>
        <v>Display</v>
      </c>
      <c r="I299">
        <f t="shared" si="68"/>
        <v>6575</v>
      </c>
      <c r="J299">
        <f t="shared" si="69"/>
        <v>43</v>
      </c>
      <c r="K299" s="4">
        <f t="shared" si="58"/>
        <v>3.8199999999999998E-2</v>
      </c>
      <c r="L299">
        <f t="shared" si="59"/>
        <v>0.09</v>
      </c>
      <c r="M299" s="4">
        <f t="shared" si="70"/>
        <v>0.25116499999999997</v>
      </c>
      <c r="N299" s="4">
        <f t="shared" si="71"/>
        <v>0.59175</v>
      </c>
    </row>
    <row r="300" spans="1:14">
      <c r="A300" t="str">
        <f t="shared" si="60"/>
        <v>alp_Man-VWCO</v>
      </c>
      <c r="B300" t="str">
        <f t="shared" si="61"/>
        <v>Google Brasil</v>
      </c>
      <c r="C300" t="str">
        <f t="shared" si="62"/>
        <v>google-brasil|mobile|320x50|man_caminhoes|always_on|vitrine|criativo_02|320x50|cpm</v>
      </c>
      <c r="D300" t="str">
        <f t="shared" si="63"/>
        <v>138019033</v>
      </c>
      <c r="E300" t="str">
        <f t="shared" si="64"/>
        <v>Default</v>
      </c>
      <c r="F300" t="str">
        <f t="shared" si="65"/>
        <v>320x50 Default Web Ad</v>
      </c>
      <c r="G300" t="str">
        <f t="shared" si="66"/>
        <v>310387631</v>
      </c>
      <c r="H300" t="str">
        <f t="shared" si="67"/>
        <v>Display</v>
      </c>
      <c r="I300">
        <f t="shared" si="68"/>
        <v>74016</v>
      </c>
      <c r="J300">
        <f t="shared" si="69"/>
        <v>314</v>
      </c>
      <c r="K300" s="4">
        <f t="shared" ref="K300:K363" si="72">IF(LEFT(B300,3)="DBM",0,VLOOKUP(E300,tabela,2,FALSE))</f>
        <v>3.8199999999999998E-2</v>
      </c>
      <c r="L300">
        <f t="shared" ref="L300:L363" si="73">VLOOKUP(E300,tabela,3,FALSE)</f>
        <v>0.09</v>
      </c>
      <c r="M300" s="4">
        <f t="shared" si="70"/>
        <v>2.8274111999999998</v>
      </c>
      <c r="N300" s="4">
        <f t="shared" si="71"/>
        <v>6.6614399999999998</v>
      </c>
    </row>
    <row r="301" spans="1:14">
      <c r="A301" t="str">
        <f t="shared" si="60"/>
        <v>alp_Man-VWCO</v>
      </c>
      <c r="B301" t="str">
        <f t="shared" si="61"/>
        <v>Google Brasil</v>
      </c>
      <c r="C301" t="str">
        <f t="shared" si="62"/>
        <v>google-brasil|mobile|320x50|man_caminhoes|always_on|vitrine|criativo_02|320x50|cpm</v>
      </c>
      <c r="D301" t="str">
        <f t="shared" si="63"/>
        <v>138019033</v>
      </c>
      <c r="E301" t="str">
        <f t="shared" si="64"/>
        <v>Default</v>
      </c>
      <c r="F301" t="str">
        <f t="shared" si="65"/>
        <v>320x50 Default Web Ad</v>
      </c>
      <c r="G301" t="str">
        <f t="shared" si="66"/>
        <v>310387631</v>
      </c>
      <c r="H301" t="str">
        <f t="shared" si="67"/>
        <v>Display</v>
      </c>
      <c r="I301">
        <f t="shared" si="68"/>
        <v>10816</v>
      </c>
      <c r="J301">
        <f t="shared" si="69"/>
        <v>93</v>
      </c>
      <c r="K301" s="4">
        <f t="shared" si="72"/>
        <v>3.8199999999999998E-2</v>
      </c>
      <c r="L301">
        <f t="shared" si="73"/>
        <v>0.09</v>
      </c>
      <c r="M301" s="4">
        <f t="shared" si="70"/>
        <v>0.41317120000000002</v>
      </c>
      <c r="N301" s="4">
        <f t="shared" si="71"/>
        <v>0.97343999999999997</v>
      </c>
    </row>
    <row r="302" spans="1:14">
      <c r="A302" t="str">
        <f t="shared" si="60"/>
        <v>alp_Man-VWCO</v>
      </c>
      <c r="B302" t="str">
        <f t="shared" si="61"/>
        <v>Google Brasil</v>
      </c>
      <c r="C302" t="str">
        <f t="shared" si="62"/>
        <v>google-brasil|mobile|320x50|man_caminhoes|always_on|vitrine|criativo_03|320x50|cpm</v>
      </c>
      <c r="D302" t="str">
        <f t="shared" si="63"/>
        <v>138019028</v>
      </c>
      <c r="E302" t="str">
        <f t="shared" si="64"/>
        <v>Default</v>
      </c>
      <c r="F302" t="str">
        <f t="shared" si="65"/>
        <v>320x50 Default Web Ad</v>
      </c>
      <c r="G302" t="str">
        <f t="shared" si="66"/>
        <v>310387631</v>
      </c>
      <c r="H302" t="str">
        <f t="shared" si="67"/>
        <v>Display</v>
      </c>
      <c r="I302">
        <f t="shared" si="68"/>
        <v>73460</v>
      </c>
      <c r="J302">
        <f t="shared" si="69"/>
        <v>281</v>
      </c>
      <c r="K302" s="4">
        <f t="shared" si="72"/>
        <v>3.8199999999999998E-2</v>
      </c>
      <c r="L302">
        <f t="shared" si="73"/>
        <v>0.09</v>
      </c>
      <c r="M302" s="4">
        <f t="shared" si="70"/>
        <v>2.8061720000000001</v>
      </c>
      <c r="N302" s="4">
        <f t="shared" si="71"/>
        <v>6.6113999999999997</v>
      </c>
    </row>
    <row r="303" spans="1:14">
      <c r="A303" t="str">
        <f t="shared" si="60"/>
        <v>alp_Man-VWCO</v>
      </c>
      <c r="B303" t="str">
        <f t="shared" si="61"/>
        <v>Google Brasil</v>
      </c>
      <c r="C303" t="str">
        <f t="shared" si="62"/>
        <v>google-brasil|mobile|320x50|man_caminhoes|always_on|vitrine|criativo_03|320x50|cpm</v>
      </c>
      <c r="D303" t="str">
        <f t="shared" si="63"/>
        <v>138019028</v>
      </c>
      <c r="E303" t="str">
        <f t="shared" si="64"/>
        <v>Default</v>
      </c>
      <c r="F303" t="str">
        <f t="shared" si="65"/>
        <v>320x50 Default Web Ad</v>
      </c>
      <c r="G303" t="str">
        <f t="shared" si="66"/>
        <v>310387631</v>
      </c>
      <c r="H303" t="str">
        <f t="shared" si="67"/>
        <v>Display</v>
      </c>
      <c r="I303">
        <f t="shared" si="68"/>
        <v>7498</v>
      </c>
      <c r="J303">
        <f t="shared" si="69"/>
        <v>47</v>
      </c>
      <c r="K303" s="4">
        <f t="shared" si="72"/>
        <v>3.8199999999999998E-2</v>
      </c>
      <c r="L303">
        <f t="shared" si="73"/>
        <v>0.09</v>
      </c>
      <c r="M303" s="4">
        <f t="shared" si="70"/>
        <v>0.28642359999999994</v>
      </c>
      <c r="N303" s="4">
        <f t="shared" si="71"/>
        <v>0.67481999999999998</v>
      </c>
    </row>
    <row r="304" spans="1:14">
      <c r="A304" t="str">
        <f t="shared" si="60"/>
        <v>alp_Man-VWCO</v>
      </c>
      <c r="B304" t="str">
        <f t="shared" si="61"/>
        <v>Google Brasil</v>
      </c>
      <c r="C304" t="str">
        <f t="shared" si="62"/>
        <v>google-brasil|mobile|320x50|man_caminhoes|always_on|vitrine|criativo_04|320x50|cpm</v>
      </c>
      <c r="D304" t="str">
        <f t="shared" si="63"/>
        <v>138019023</v>
      </c>
      <c r="E304" t="str">
        <f t="shared" si="64"/>
        <v>Default</v>
      </c>
      <c r="F304" t="str">
        <f t="shared" si="65"/>
        <v>320x50 Default Web Ad</v>
      </c>
      <c r="G304" t="str">
        <f t="shared" si="66"/>
        <v>310387631</v>
      </c>
      <c r="H304" t="str">
        <f t="shared" si="67"/>
        <v>Display</v>
      </c>
      <c r="I304">
        <f t="shared" si="68"/>
        <v>72884</v>
      </c>
      <c r="J304">
        <f t="shared" si="69"/>
        <v>303</v>
      </c>
      <c r="K304" s="4">
        <f t="shared" si="72"/>
        <v>3.8199999999999998E-2</v>
      </c>
      <c r="L304">
        <f t="shared" si="73"/>
        <v>0.09</v>
      </c>
      <c r="M304" s="4">
        <f t="shared" si="70"/>
        <v>2.7841687999999998</v>
      </c>
      <c r="N304" s="4">
        <f t="shared" si="71"/>
        <v>6.5595599999999994</v>
      </c>
    </row>
    <row r="305" spans="1:14">
      <c r="A305" t="str">
        <f t="shared" si="60"/>
        <v>alp_Man-VWCO</v>
      </c>
      <c r="B305" t="str">
        <f t="shared" si="61"/>
        <v>Google Brasil</v>
      </c>
      <c r="C305" t="str">
        <f t="shared" si="62"/>
        <v>google-brasil|mobile|320x50|man_caminhoes|always_on|vitrine|criativo_04|320x50|cpm</v>
      </c>
      <c r="D305" t="str">
        <f t="shared" si="63"/>
        <v>138019023</v>
      </c>
      <c r="E305" t="str">
        <f t="shared" si="64"/>
        <v>Default</v>
      </c>
      <c r="F305" t="str">
        <f t="shared" si="65"/>
        <v>320x50 Default Web Ad</v>
      </c>
      <c r="G305" t="str">
        <f t="shared" si="66"/>
        <v>310387631</v>
      </c>
      <c r="H305" t="str">
        <f t="shared" si="67"/>
        <v>Display</v>
      </c>
      <c r="I305">
        <f t="shared" si="68"/>
        <v>9420</v>
      </c>
      <c r="J305">
        <f t="shared" si="69"/>
        <v>60</v>
      </c>
      <c r="K305" s="4">
        <f t="shared" si="72"/>
        <v>3.8199999999999998E-2</v>
      </c>
      <c r="L305">
        <f t="shared" si="73"/>
        <v>0.09</v>
      </c>
      <c r="M305" s="4">
        <f t="shared" si="70"/>
        <v>0.359844</v>
      </c>
      <c r="N305" s="4">
        <f t="shared" si="71"/>
        <v>0.8478</v>
      </c>
    </row>
    <row r="306" spans="1:14">
      <c r="A306" t="str">
        <f t="shared" si="60"/>
        <v>alp_Man-VWCO</v>
      </c>
      <c r="B306" t="str">
        <f t="shared" si="61"/>
        <v>Google Brasil</v>
      </c>
      <c r="C306" t="str">
        <f t="shared" si="62"/>
        <v>google-brasil|mobile|320x50|vw_caminhoes|always_on|institucional|criativo_01|320x50|cpm</v>
      </c>
      <c r="D306" t="str">
        <f t="shared" si="63"/>
        <v>138019058</v>
      </c>
      <c r="E306" t="str">
        <f t="shared" si="64"/>
        <v>Default</v>
      </c>
      <c r="F306" t="str">
        <f t="shared" si="65"/>
        <v>320x50 Default Web Ad</v>
      </c>
      <c r="G306" t="str">
        <f t="shared" si="66"/>
        <v>310387631</v>
      </c>
      <c r="H306" t="str">
        <f t="shared" si="67"/>
        <v>Display</v>
      </c>
      <c r="I306">
        <f t="shared" si="68"/>
        <v>8887</v>
      </c>
      <c r="J306">
        <f t="shared" si="69"/>
        <v>20</v>
      </c>
      <c r="K306" s="4">
        <f t="shared" si="72"/>
        <v>3.8199999999999998E-2</v>
      </c>
      <c r="L306">
        <f t="shared" si="73"/>
        <v>0.09</v>
      </c>
      <c r="M306" s="4">
        <f t="shared" si="70"/>
        <v>0.33948339999999994</v>
      </c>
      <c r="N306" s="4">
        <f t="shared" si="71"/>
        <v>0.79982999999999993</v>
      </c>
    </row>
    <row r="307" spans="1:14">
      <c r="A307" t="str">
        <f t="shared" si="60"/>
        <v>alp_Man-VWCO</v>
      </c>
      <c r="B307" t="str">
        <f t="shared" si="61"/>
        <v>Google Brasil</v>
      </c>
      <c r="C307" t="str">
        <f t="shared" si="62"/>
        <v>google-brasil|mobile|320x50|vw_caminhoes|always_on|institucional|criativo_01|320x50|cpm</v>
      </c>
      <c r="D307" t="str">
        <f t="shared" si="63"/>
        <v>138019058</v>
      </c>
      <c r="E307" t="str">
        <f t="shared" si="64"/>
        <v>Default</v>
      </c>
      <c r="F307" t="str">
        <f t="shared" si="65"/>
        <v>320x50 Default Web Ad</v>
      </c>
      <c r="G307" t="str">
        <f t="shared" si="66"/>
        <v>310387631</v>
      </c>
      <c r="H307" t="str">
        <f t="shared" si="67"/>
        <v>Display</v>
      </c>
      <c r="I307">
        <f t="shared" si="68"/>
        <v>4946</v>
      </c>
      <c r="J307">
        <f t="shared" si="69"/>
        <v>50</v>
      </c>
      <c r="K307" s="4">
        <f t="shared" si="72"/>
        <v>3.8199999999999998E-2</v>
      </c>
      <c r="L307">
        <f t="shared" si="73"/>
        <v>0.09</v>
      </c>
      <c r="M307" s="4">
        <f t="shared" si="70"/>
        <v>0.1889372</v>
      </c>
      <c r="N307" s="4">
        <f t="shared" si="71"/>
        <v>0.44513999999999998</v>
      </c>
    </row>
    <row r="308" spans="1:14">
      <c r="A308" t="str">
        <f t="shared" si="60"/>
        <v>alp_Man-VWCO</v>
      </c>
      <c r="B308" t="str">
        <f t="shared" si="61"/>
        <v>Google Brasil</v>
      </c>
      <c r="C308" t="str">
        <f t="shared" si="62"/>
        <v>google-brasil|mobile|320x50|vw_caminhoes|always_on|institucional|criativo_02|320x50|cpm</v>
      </c>
      <c r="D308" t="str">
        <f t="shared" si="63"/>
        <v>138019053</v>
      </c>
      <c r="E308" t="str">
        <f t="shared" si="64"/>
        <v>Default</v>
      </c>
      <c r="F308" t="str">
        <f t="shared" si="65"/>
        <v>320x50 Default Web Ad</v>
      </c>
      <c r="G308" t="str">
        <f t="shared" si="66"/>
        <v>310387631</v>
      </c>
      <c r="H308" t="str">
        <f t="shared" si="67"/>
        <v>Display</v>
      </c>
      <c r="I308">
        <f t="shared" si="68"/>
        <v>8984</v>
      </c>
      <c r="J308">
        <f t="shared" si="69"/>
        <v>21</v>
      </c>
      <c r="K308" s="4">
        <f t="shared" si="72"/>
        <v>3.8199999999999998E-2</v>
      </c>
      <c r="L308">
        <f t="shared" si="73"/>
        <v>0.09</v>
      </c>
      <c r="M308" s="4">
        <f t="shared" si="70"/>
        <v>0.34318879999999996</v>
      </c>
      <c r="N308" s="4">
        <f t="shared" si="71"/>
        <v>0.80855999999999995</v>
      </c>
    </row>
    <row r="309" spans="1:14">
      <c r="A309" t="str">
        <f t="shared" si="60"/>
        <v>alp_Man-VWCO</v>
      </c>
      <c r="B309" t="str">
        <f t="shared" si="61"/>
        <v>Google Brasil</v>
      </c>
      <c r="C309" t="str">
        <f t="shared" si="62"/>
        <v>google-brasil|mobile|320x50|vw_caminhoes|always_on|institucional|criativo_02|320x50|cpm</v>
      </c>
      <c r="D309" t="str">
        <f t="shared" si="63"/>
        <v>138019053</v>
      </c>
      <c r="E309" t="str">
        <f t="shared" si="64"/>
        <v>Default</v>
      </c>
      <c r="F309" t="str">
        <f t="shared" si="65"/>
        <v>320x50 Default Web Ad</v>
      </c>
      <c r="G309" t="str">
        <f t="shared" si="66"/>
        <v>310387631</v>
      </c>
      <c r="H309" t="str">
        <f t="shared" si="67"/>
        <v>Display</v>
      </c>
      <c r="I309">
        <f t="shared" si="68"/>
        <v>5406</v>
      </c>
      <c r="J309">
        <f t="shared" si="69"/>
        <v>66</v>
      </c>
      <c r="K309" s="4">
        <f t="shared" si="72"/>
        <v>3.8199999999999998E-2</v>
      </c>
      <c r="L309">
        <f t="shared" si="73"/>
        <v>0.09</v>
      </c>
      <c r="M309" s="4">
        <f t="shared" si="70"/>
        <v>0.2065092</v>
      </c>
      <c r="N309" s="4">
        <f t="shared" si="71"/>
        <v>0.48653999999999997</v>
      </c>
    </row>
    <row r="310" spans="1:14">
      <c r="A310" t="str">
        <f t="shared" si="60"/>
        <v>alp_Man-VWCO</v>
      </c>
      <c r="B310" t="str">
        <f t="shared" si="61"/>
        <v>Google Brasil</v>
      </c>
      <c r="C310" t="str">
        <f t="shared" si="62"/>
        <v>google-brasil|mobile|320x50|vw_caminhoes|always_on|institucional|criativo_03|320x50|cpm</v>
      </c>
      <c r="D310" t="str">
        <f t="shared" si="63"/>
        <v>138019048</v>
      </c>
      <c r="E310" t="str">
        <f t="shared" si="64"/>
        <v>Default</v>
      </c>
      <c r="F310" t="str">
        <f t="shared" si="65"/>
        <v>320x50 Default Web Ad</v>
      </c>
      <c r="G310" t="str">
        <f t="shared" si="66"/>
        <v>310387631</v>
      </c>
      <c r="H310" t="str">
        <f t="shared" si="67"/>
        <v>Display</v>
      </c>
      <c r="I310">
        <f t="shared" si="68"/>
        <v>9437</v>
      </c>
      <c r="J310">
        <f t="shared" si="69"/>
        <v>29</v>
      </c>
      <c r="K310" s="4">
        <f t="shared" si="72"/>
        <v>3.8199999999999998E-2</v>
      </c>
      <c r="L310">
        <f t="shared" si="73"/>
        <v>0.09</v>
      </c>
      <c r="M310" s="4">
        <f t="shared" si="70"/>
        <v>0.36049339999999996</v>
      </c>
      <c r="N310" s="4">
        <f t="shared" si="71"/>
        <v>0.84932999999999992</v>
      </c>
    </row>
    <row r="311" spans="1:14">
      <c r="A311" t="str">
        <f t="shared" si="60"/>
        <v>alp_Man-VWCO</v>
      </c>
      <c r="B311" t="str">
        <f t="shared" si="61"/>
        <v>Google Brasil</v>
      </c>
      <c r="C311" t="str">
        <f t="shared" si="62"/>
        <v>google-brasil|mobile|320x50|vw_caminhoes|always_on|institucional|criativo_03|320x50|cpm</v>
      </c>
      <c r="D311" t="str">
        <f t="shared" si="63"/>
        <v>138019048</v>
      </c>
      <c r="E311" t="str">
        <f t="shared" si="64"/>
        <v>Default</v>
      </c>
      <c r="F311" t="str">
        <f t="shared" si="65"/>
        <v>320x50 Default Web Ad</v>
      </c>
      <c r="G311" t="str">
        <f t="shared" si="66"/>
        <v>310387631</v>
      </c>
      <c r="H311" t="str">
        <f t="shared" si="67"/>
        <v>Display</v>
      </c>
      <c r="I311">
        <f t="shared" si="68"/>
        <v>26529</v>
      </c>
      <c r="J311">
        <f t="shared" si="69"/>
        <v>112</v>
      </c>
      <c r="K311" s="4">
        <f t="shared" si="72"/>
        <v>3.8199999999999998E-2</v>
      </c>
      <c r="L311">
        <f t="shared" si="73"/>
        <v>0.09</v>
      </c>
      <c r="M311" s="4">
        <f t="shared" si="70"/>
        <v>1.0134078</v>
      </c>
      <c r="N311" s="4">
        <f t="shared" si="71"/>
        <v>2.38761</v>
      </c>
    </row>
    <row r="312" spans="1:14">
      <c r="A312" t="str">
        <f t="shared" si="60"/>
        <v>alp_Man-VWCO</v>
      </c>
      <c r="B312" t="str">
        <f t="shared" si="61"/>
        <v>Google Brasil</v>
      </c>
      <c r="C312" t="str">
        <f t="shared" si="62"/>
        <v>google-brasil|mobile|320x50|vw_caminhoes|always_on|institucional|criativo_04|320x50|cpm</v>
      </c>
      <c r="D312" t="str">
        <f t="shared" si="63"/>
        <v>138019043</v>
      </c>
      <c r="E312" t="str">
        <f t="shared" si="64"/>
        <v>Default</v>
      </c>
      <c r="F312" t="str">
        <f t="shared" si="65"/>
        <v>320x50 Default Web Ad</v>
      </c>
      <c r="G312" t="str">
        <f t="shared" si="66"/>
        <v>310387631</v>
      </c>
      <c r="H312" t="str">
        <f t="shared" si="67"/>
        <v>Display</v>
      </c>
      <c r="I312">
        <f t="shared" si="68"/>
        <v>9349</v>
      </c>
      <c r="J312">
        <f t="shared" si="69"/>
        <v>28</v>
      </c>
      <c r="K312" s="4">
        <f t="shared" si="72"/>
        <v>3.8199999999999998E-2</v>
      </c>
      <c r="L312">
        <f t="shared" si="73"/>
        <v>0.09</v>
      </c>
      <c r="M312" s="4">
        <f t="shared" si="70"/>
        <v>0.3571318</v>
      </c>
      <c r="N312" s="4">
        <f t="shared" si="71"/>
        <v>0.84140999999999999</v>
      </c>
    </row>
    <row r="313" spans="1:14">
      <c r="A313" t="str">
        <f t="shared" si="60"/>
        <v>alp_Man-VWCO</v>
      </c>
      <c r="B313" t="str">
        <f t="shared" si="61"/>
        <v>Google Brasil</v>
      </c>
      <c r="C313" t="str">
        <f t="shared" si="62"/>
        <v>google-brasil|mobile|320x50|vw_caminhoes|always_on|institucional|criativo_04|320x50|cpm</v>
      </c>
      <c r="D313" t="str">
        <f t="shared" si="63"/>
        <v>138019043</v>
      </c>
      <c r="E313" t="str">
        <f t="shared" si="64"/>
        <v>Default</v>
      </c>
      <c r="F313" t="str">
        <f t="shared" si="65"/>
        <v>320x50 Default Web Ad</v>
      </c>
      <c r="G313" t="str">
        <f t="shared" si="66"/>
        <v>310387631</v>
      </c>
      <c r="H313" t="str">
        <f t="shared" si="67"/>
        <v>Display</v>
      </c>
      <c r="I313">
        <f t="shared" si="68"/>
        <v>5847</v>
      </c>
      <c r="J313">
        <f t="shared" si="69"/>
        <v>71</v>
      </c>
      <c r="K313" s="4">
        <f t="shared" si="72"/>
        <v>3.8199999999999998E-2</v>
      </c>
      <c r="L313">
        <f t="shared" si="73"/>
        <v>0.09</v>
      </c>
      <c r="M313" s="4">
        <f t="shared" si="70"/>
        <v>0.22335539999999998</v>
      </c>
      <c r="N313" s="4">
        <f t="shared" si="71"/>
        <v>0.52622999999999998</v>
      </c>
    </row>
    <row r="314" spans="1:14">
      <c r="A314" t="str">
        <f t="shared" si="60"/>
        <v>alp_Man-VWCO</v>
      </c>
      <c r="B314" t="str">
        <f t="shared" si="61"/>
        <v>Google Brasil</v>
      </c>
      <c r="C314" t="str">
        <f t="shared" si="62"/>
        <v>google-brasil|mobile|320x50|vw_caminhoes|always_on|produto|criativo_10_constellation_31-280|320x50|cpm</v>
      </c>
      <c r="D314" t="str">
        <f t="shared" si="63"/>
        <v>138018048</v>
      </c>
      <c r="E314" t="str">
        <f t="shared" si="64"/>
        <v>Default</v>
      </c>
      <c r="F314" t="str">
        <f t="shared" si="65"/>
        <v>320x50 Default Web Ad</v>
      </c>
      <c r="G314" t="str">
        <f t="shared" si="66"/>
        <v>310387631</v>
      </c>
      <c r="H314" t="str">
        <f t="shared" si="67"/>
        <v>Display</v>
      </c>
      <c r="I314">
        <f t="shared" si="68"/>
        <v>5236</v>
      </c>
      <c r="J314">
        <f t="shared" si="69"/>
        <v>11</v>
      </c>
      <c r="K314" s="4">
        <f t="shared" si="72"/>
        <v>3.8199999999999998E-2</v>
      </c>
      <c r="L314">
        <f t="shared" si="73"/>
        <v>0.09</v>
      </c>
      <c r="M314" s="4">
        <f t="shared" si="70"/>
        <v>0.2000152</v>
      </c>
      <c r="N314" s="4">
        <f t="shared" si="71"/>
        <v>0.47123999999999999</v>
      </c>
    </row>
    <row r="315" spans="1:14">
      <c r="A315" t="str">
        <f t="shared" si="60"/>
        <v>alp_Man-VWCO</v>
      </c>
      <c r="B315" t="str">
        <f t="shared" si="61"/>
        <v>Google Brasil</v>
      </c>
      <c r="C315" t="str">
        <f t="shared" si="62"/>
        <v>google-brasil|mobile|320x50|vw_caminhoes|always_on|produto|criativo_10_constellation_31-280|320x50|cpm</v>
      </c>
      <c r="D315" t="str">
        <f t="shared" si="63"/>
        <v>138018048</v>
      </c>
      <c r="E315" t="str">
        <f t="shared" si="64"/>
        <v>Default</v>
      </c>
      <c r="F315" t="str">
        <f t="shared" si="65"/>
        <v>320x50 Default Web Ad</v>
      </c>
      <c r="G315" t="str">
        <f t="shared" si="66"/>
        <v>310387631</v>
      </c>
      <c r="H315" t="str">
        <f t="shared" si="67"/>
        <v>Display</v>
      </c>
      <c r="I315">
        <f t="shared" si="68"/>
        <v>3814</v>
      </c>
      <c r="J315">
        <f t="shared" si="69"/>
        <v>6</v>
      </c>
      <c r="K315" s="4">
        <f t="shared" si="72"/>
        <v>3.8199999999999998E-2</v>
      </c>
      <c r="L315">
        <f t="shared" si="73"/>
        <v>0.09</v>
      </c>
      <c r="M315" s="4">
        <f t="shared" si="70"/>
        <v>0.14569479999999999</v>
      </c>
      <c r="N315" s="4">
        <f t="shared" si="71"/>
        <v>0.34326000000000001</v>
      </c>
    </row>
    <row r="316" spans="1:14">
      <c r="A316" t="str">
        <f t="shared" si="60"/>
        <v>alp_Man-VWCO</v>
      </c>
      <c r="B316" t="str">
        <f t="shared" si="61"/>
        <v>Google Brasil</v>
      </c>
      <c r="C316" t="str">
        <f t="shared" si="62"/>
        <v>google-brasil|mobile|320x50|vw_caminhoes|always_on|produto|criativo_12_worker_15-190|320x50|cpm</v>
      </c>
      <c r="D316" t="str">
        <f t="shared" si="63"/>
        <v>138018038</v>
      </c>
      <c r="E316" t="str">
        <f t="shared" si="64"/>
        <v>Default</v>
      </c>
      <c r="F316" t="str">
        <f t="shared" si="65"/>
        <v>320x50 Default Web Ad</v>
      </c>
      <c r="G316" t="str">
        <f t="shared" si="66"/>
        <v>310387631</v>
      </c>
      <c r="H316" t="str">
        <f t="shared" si="67"/>
        <v>Display</v>
      </c>
      <c r="I316">
        <f t="shared" si="68"/>
        <v>1532</v>
      </c>
      <c r="J316">
        <f t="shared" si="69"/>
        <v>3</v>
      </c>
      <c r="K316" s="4">
        <f t="shared" si="72"/>
        <v>3.8199999999999998E-2</v>
      </c>
      <c r="L316">
        <f t="shared" si="73"/>
        <v>0.09</v>
      </c>
      <c r="M316" s="4">
        <f t="shared" si="70"/>
        <v>5.8522399999999995E-2</v>
      </c>
      <c r="N316" s="4">
        <f t="shared" si="71"/>
        <v>0.13788</v>
      </c>
    </row>
    <row r="317" spans="1:14">
      <c r="A317" t="str">
        <f t="shared" si="60"/>
        <v>alp_Man-VWCO</v>
      </c>
      <c r="B317" t="str">
        <f t="shared" si="61"/>
        <v>Google Brasil</v>
      </c>
      <c r="C317" t="str">
        <f t="shared" si="62"/>
        <v>google-brasil|mobile|320x50|vw_caminhoes|always_on|produto|criativo_12_worker_15-190|320x50|cpm</v>
      </c>
      <c r="D317" t="str">
        <f t="shared" si="63"/>
        <v>138018038</v>
      </c>
      <c r="E317" t="str">
        <f t="shared" si="64"/>
        <v>Default</v>
      </c>
      <c r="F317" t="str">
        <f t="shared" si="65"/>
        <v>320x50 Default Web Ad</v>
      </c>
      <c r="G317" t="str">
        <f t="shared" si="66"/>
        <v>310387631</v>
      </c>
      <c r="H317" t="str">
        <f t="shared" si="67"/>
        <v>Display</v>
      </c>
      <c r="I317">
        <f t="shared" si="68"/>
        <v>1398</v>
      </c>
      <c r="J317">
        <f t="shared" si="69"/>
        <v>4</v>
      </c>
      <c r="K317" s="4">
        <f t="shared" si="72"/>
        <v>3.8199999999999998E-2</v>
      </c>
      <c r="L317">
        <f t="shared" si="73"/>
        <v>0.09</v>
      </c>
      <c r="M317" s="4">
        <f t="shared" si="70"/>
        <v>5.3403599999999996E-2</v>
      </c>
      <c r="N317" s="4">
        <f t="shared" si="71"/>
        <v>0.12581999999999999</v>
      </c>
    </row>
    <row r="318" spans="1:14">
      <c r="A318" t="str">
        <f t="shared" si="60"/>
        <v>alp_Man-VWCO</v>
      </c>
      <c r="B318" t="str">
        <f t="shared" si="61"/>
        <v>Google Brasil</v>
      </c>
      <c r="C318" t="str">
        <f t="shared" si="62"/>
        <v>google-brasil|mobile|320x50|vw_caminhoes|always_on|produto|criativo_13_worker_17-190|320x50|cpm</v>
      </c>
      <c r="D318" t="str">
        <f t="shared" si="63"/>
        <v>138018033</v>
      </c>
      <c r="E318" t="str">
        <f t="shared" si="64"/>
        <v>Default</v>
      </c>
      <c r="F318" t="str">
        <f t="shared" si="65"/>
        <v>320x50 Default Web Ad</v>
      </c>
      <c r="G318" t="str">
        <f t="shared" si="66"/>
        <v>310387631</v>
      </c>
      <c r="H318" t="str">
        <f t="shared" si="67"/>
        <v>Display</v>
      </c>
      <c r="I318">
        <f t="shared" si="68"/>
        <v>1745</v>
      </c>
      <c r="J318">
        <f t="shared" si="69"/>
        <v>1</v>
      </c>
      <c r="K318" s="4">
        <f t="shared" si="72"/>
        <v>3.8199999999999998E-2</v>
      </c>
      <c r="L318">
        <f t="shared" si="73"/>
        <v>0.09</v>
      </c>
      <c r="M318" s="4">
        <f t="shared" si="70"/>
        <v>6.6658999999999996E-2</v>
      </c>
      <c r="N318" s="4">
        <f t="shared" si="71"/>
        <v>0.15705</v>
      </c>
    </row>
    <row r="319" spans="1:14">
      <c r="A319" t="str">
        <f t="shared" si="60"/>
        <v>alp_Man-VWCO</v>
      </c>
      <c r="B319" t="str">
        <f t="shared" si="61"/>
        <v>Google Brasil</v>
      </c>
      <c r="C319" t="str">
        <f t="shared" si="62"/>
        <v>google-brasil|mobile|320x50|vw_caminhoes|always_on|produto|criativo_13_worker_17-190|320x50|cpm</v>
      </c>
      <c r="D319" t="str">
        <f t="shared" si="63"/>
        <v>138018033</v>
      </c>
      <c r="E319" t="str">
        <f t="shared" si="64"/>
        <v>Default</v>
      </c>
      <c r="F319" t="str">
        <f t="shared" si="65"/>
        <v>320x50 Default Web Ad</v>
      </c>
      <c r="G319" t="str">
        <f t="shared" si="66"/>
        <v>310387631</v>
      </c>
      <c r="H319" t="str">
        <f t="shared" si="67"/>
        <v>Display</v>
      </c>
      <c r="I319">
        <f t="shared" si="68"/>
        <v>1684</v>
      </c>
      <c r="J319">
        <f t="shared" si="69"/>
        <v>1</v>
      </c>
      <c r="K319" s="4">
        <f t="shared" si="72"/>
        <v>3.8199999999999998E-2</v>
      </c>
      <c r="L319">
        <f t="shared" si="73"/>
        <v>0.09</v>
      </c>
      <c r="M319" s="4">
        <f t="shared" si="70"/>
        <v>6.4328800000000005E-2</v>
      </c>
      <c r="N319" s="4">
        <f t="shared" si="71"/>
        <v>0.15156</v>
      </c>
    </row>
    <row r="320" spans="1:14">
      <c r="A320" t="str">
        <f t="shared" si="60"/>
        <v>alp_Man-VWCO</v>
      </c>
      <c r="B320" t="str">
        <f t="shared" si="61"/>
        <v>Google Brasil</v>
      </c>
      <c r="C320" t="str">
        <f t="shared" si="62"/>
        <v>google-brasil|mobile|320x50|vw_caminhoes|always_on|produto|criativo_14_worker_17-230|320x50|cpm</v>
      </c>
      <c r="D320" t="str">
        <f t="shared" si="63"/>
        <v>138018028</v>
      </c>
      <c r="E320" t="str">
        <f t="shared" si="64"/>
        <v>Default</v>
      </c>
      <c r="F320" t="str">
        <f t="shared" si="65"/>
        <v>320x50 Default Web Ad</v>
      </c>
      <c r="G320" t="str">
        <f t="shared" si="66"/>
        <v>310387631</v>
      </c>
      <c r="H320" t="str">
        <f t="shared" si="67"/>
        <v>Display</v>
      </c>
      <c r="I320">
        <f t="shared" si="68"/>
        <v>1717</v>
      </c>
      <c r="J320">
        <f t="shared" si="69"/>
        <v>3</v>
      </c>
      <c r="K320" s="4">
        <f t="shared" si="72"/>
        <v>3.8199999999999998E-2</v>
      </c>
      <c r="L320">
        <f t="shared" si="73"/>
        <v>0.09</v>
      </c>
      <c r="M320" s="4">
        <f t="shared" si="70"/>
        <v>6.5589399999999992E-2</v>
      </c>
      <c r="N320" s="4">
        <f t="shared" si="71"/>
        <v>0.15453</v>
      </c>
    </row>
    <row r="321" spans="1:14">
      <c r="A321" t="str">
        <f t="shared" si="60"/>
        <v>alp_Man-VWCO</v>
      </c>
      <c r="B321" t="str">
        <f t="shared" si="61"/>
        <v>Google Brasil</v>
      </c>
      <c r="C321" t="str">
        <f t="shared" si="62"/>
        <v>google-brasil|mobile|320x50|vw_caminhoes|always_on|produto|criativo_14_worker_17-230|320x50|cpm</v>
      </c>
      <c r="D321" t="str">
        <f t="shared" si="63"/>
        <v>138018028</v>
      </c>
      <c r="E321" t="str">
        <f t="shared" si="64"/>
        <v>Default</v>
      </c>
      <c r="F321" t="str">
        <f t="shared" si="65"/>
        <v>320x50 Default Web Ad</v>
      </c>
      <c r="G321" t="str">
        <f t="shared" si="66"/>
        <v>310387631</v>
      </c>
      <c r="H321" t="str">
        <f t="shared" si="67"/>
        <v>Display</v>
      </c>
      <c r="I321">
        <f t="shared" si="68"/>
        <v>2231</v>
      </c>
      <c r="J321">
        <f t="shared" si="69"/>
        <v>11</v>
      </c>
      <c r="K321" s="4">
        <f t="shared" si="72"/>
        <v>3.8199999999999998E-2</v>
      </c>
      <c r="L321">
        <f t="shared" si="73"/>
        <v>0.09</v>
      </c>
      <c r="M321" s="4">
        <f t="shared" si="70"/>
        <v>8.52242E-2</v>
      </c>
      <c r="N321" s="4">
        <f t="shared" si="71"/>
        <v>0.20079</v>
      </c>
    </row>
    <row r="322" spans="1:14">
      <c r="A322" t="str">
        <f t="shared" ref="A322:A385" si="74">bd_campaign</f>
        <v>alp_Man-VWCO</v>
      </c>
      <c r="B322" t="str">
        <f t="shared" ref="B322:B385" si="75">bd_site</f>
        <v>Google Brasil</v>
      </c>
      <c r="C322" t="str">
        <f t="shared" ref="C322:C385" si="76">bd_placement</f>
        <v>google-brasil|mobile|320x50|vw_caminhoes|always_on|produto|criativo_16_constellation_canavieiro|320x50|cpm</v>
      </c>
      <c r="D322" t="str">
        <f t="shared" ref="D322:D385" si="77">bd_placementID</f>
        <v>138018018</v>
      </c>
      <c r="E322" t="str">
        <f t="shared" ref="E322:E385" si="78">VLOOKUP(CONCATENATE(bd_adtype,"_",bd_creativetype),tabela,2,FALSE)</f>
        <v>Default</v>
      </c>
      <c r="F322" t="str">
        <f t="shared" ref="F322:F385" si="79">bd_ad</f>
        <v>320x50 Default Web Ad</v>
      </c>
      <c r="G322" t="str">
        <f t="shared" ref="G322:G385" si="80">bd_adid</f>
        <v>310387631</v>
      </c>
      <c r="H322" t="str">
        <f t="shared" ref="H322:H385" si="81">bd_creativetype</f>
        <v>Display</v>
      </c>
      <c r="I322">
        <f t="shared" ref="I322:I385" si="82">bd_impression</f>
        <v>2047</v>
      </c>
      <c r="J322">
        <f t="shared" ref="J322:J385" si="83">bd_clicks</f>
        <v>2</v>
      </c>
      <c r="K322" s="4">
        <f t="shared" si="72"/>
        <v>3.8199999999999998E-2</v>
      </c>
      <c r="L322">
        <f t="shared" si="73"/>
        <v>0.09</v>
      </c>
      <c r="M322" s="4">
        <f t="shared" si="70"/>
        <v>7.8195399999999998E-2</v>
      </c>
      <c r="N322" s="4">
        <f t="shared" si="71"/>
        <v>0.18422999999999998</v>
      </c>
    </row>
    <row r="323" spans="1:14">
      <c r="A323" t="str">
        <f t="shared" si="74"/>
        <v>alp_Man-VWCO</v>
      </c>
      <c r="B323" t="str">
        <f t="shared" si="75"/>
        <v>Google Brasil</v>
      </c>
      <c r="C323" t="str">
        <f t="shared" si="76"/>
        <v>google-brasil|mobile|320x50|vw_caminhoes|always_on|produto|criativo_17_constellation_compactor|320x50|cpm</v>
      </c>
      <c r="D323" t="str">
        <f t="shared" si="77"/>
        <v>138018013</v>
      </c>
      <c r="E323" t="str">
        <f t="shared" si="78"/>
        <v>Default</v>
      </c>
      <c r="F323" t="str">
        <f t="shared" si="79"/>
        <v>320x50 Default Web Ad</v>
      </c>
      <c r="G323" t="str">
        <f t="shared" si="80"/>
        <v>310387631</v>
      </c>
      <c r="H323" t="str">
        <f t="shared" si="81"/>
        <v>Display</v>
      </c>
      <c r="I323">
        <f t="shared" si="82"/>
        <v>1056</v>
      </c>
      <c r="J323">
        <f t="shared" si="83"/>
        <v>9</v>
      </c>
      <c r="K323" s="4">
        <f t="shared" si="72"/>
        <v>3.8199999999999998E-2</v>
      </c>
      <c r="L323">
        <f t="shared" si="73"/>
        <v>0.09</v>
      </c>
      <c r="M323" s="4">
        <f t="shared" si="70"/>
        <v>4.0339199999999999E-2</v>
      </c>
      <c r="N323" s="4">
        <f t="shared" si="71"/>
        <v>9.5039999999999986E-2</v>
      </c>
    </row>
    <row r="324" spans="1:14">
      <c r="A324" t="str">
        <f t="shared" si="74"/>
        <v>alp_Man-VWCO</v>
      </c>
      <c r="B324" t="str">
        <f t="shared" si="75"/>
        <v>Google Brasil</v>
      </c>
      <c r="C324" t="str">
        <f t="shared" si="76"/>
        <v>google-brasil|mobile|320x50|vw_caminhoes|always_on|produto|criativo_17_constellation_compactor|320x50|cpm</v>
      </c>
      <c r="D324" t="str">
        <f t="shared" si="77"/>
        <v>138018013</v>
      </c>
      <c r="E324" t="str">
        <f t="shared" si="78"/>
        <v>Default</v>
      </c>
      <c r="F324" t="str">
        <f t="shared" si="79"/>
        <v>320x50 Default Web Ad</v>
      </c>
      <c r="G324" t="str">
        <f t="shared" si="80"/>
        <v>310387631</v>
      </c>
      <c r="H324" t="str">
        <f t="shared" si="81"/>
        <v>Display</v>
      </c>
      <c r="I324">
        <f t="shared" si="82"/>
        <v>1355</v>
      </c>
      <c r="J324">
        <f t="shared" si="83"/>
        <v>2</v>
      </c>
      <c r="K324" s="4">
        <f t="shared" si="72"/>
        <v>3.8199999999999998E-2</v>
      </c>
      <c r="L324">
        <f t="shared" si="73"/>
        <v>0.09</v>
      </c>
      <c r="M324" s="4">
        <f t="shared" si="70"/>
        <v>5.1760999999999995E-2</v>
      </c>
      <c r="N324" s="4">
        <f t="shared" si="71"/>
        <v>0.12194999999999999</v>
      </c>
    </row>
    <row r="325" spans="1:14">
      <c r="A325" t="str">
        <f t="shared" si="74"/>
        <v>alp_Man-VWCO</v>
      </c>
      <c r="B325" t="str">
        <f t="shared" si="75"/>
        <v>Google Brasil</v>
      </c>
      <c r="C325" t="str">
        <f t="shared" si="76"/>
        <v>google-brasil|mobile|320x50|vw_caminhoes|always_on|produto|criativo_34_constructor_basculante|320x50|cpm</v>
      </c>
      <c r="D325" t="str">
        <f t="shared" si="77"/>
        <v>138017958</v>
      </c>
      <c r="E325" t="str">
        <f t="shared" si="78"/>
        <v>Default</v>
      </c>
      <c r="F325" t="str">
        <f t="shared" si="79"/>
        <v>320x50 Default Web Ad</v>
      </c>
      <c r="G325" t="str">
        <f t="shared" si="80"/>
        <v>310387631</v>
      </c>
      <c r="H325" t="str">
        <f t="shared" si="81"/>
        <v>Display</v>
      </c>
      <c r="I325">
        <f t="shared" si="82"/>
        <v>906</v>
      </c>
      <c r="J325">
        <f t="shared" si="83"/>
        <v>1</v>
      </c>
      <c r="K325" s="4">
        <f t="shared" si="72"/>
        <v>3.8199999999999998E-2</v>
      </c>
      <c r="L325">
        <f t="shared" si="73"/>
        <v>0.09</v>
      </c>
      <c r="M325" s="4">
        <f t="shared" si="70"/>
        <v>3.46092E-2</v>
      </c>
      <c r="N325" s="4">
        <f t="shared" si="71"/>
        <v>8.1539999999999987E-2</v>
      </c>
    </row>
    <row r="326" spans="1:14">
      <c r="A326" t="str">
        <f t="shared" si="74"/>
        <v>alp_Man-VWCO</v>
      </c>
      <c r="B326" t="str">
        <f t="shared" si="75"/>
        <v>Google Brasil</v>
      </c>
      <c r="C326" t="str">
        <f t="shared" si="76"/>
        <v>google-brasil|mobile|320x50|vw_caminhoes|always_on|produto|criativo_34_constructor_basculante|320x50|cpm</v>
      </c>
      <c r="D326" t="str">
        <f t="shared" si="77"/>
        <v>138017958</v>
      </c>
      <c r="E326" t="str">
        <f t="shared" si="78"/>
        <v>Default</v>
      </c>
      <c r="F326" t="str">
        <f t="shared" si="79"/>
        <v>320x50 Default Web Ad</v>
      </c>
      <c r="G326" t="str">
        <f t="shared" si="80"/>
        <v>310387631</v>
      </c>
      <c r="H326" t="str">
        <f t="shared" si="81"/>
        <v>Display</v>
      </c>
      <c r="I326">
        <f t="shared" si="82"/>
        <v>1054</v>
      </c>
      <c r="J326">
        <f t="shared" si="83"/>
        <v>0</v>
      </c>
      <c r="K326" s="4">
        <f t="shared" si="72"/>
        <v>3.8199999999999998E-2</v>
      </c>
      <c r="L326">
        <f t="shared" si="73"/>
        <v>0.09</v>
      </c>
      <c r="M326" s="4">
        <f t="shared" si="70"/>
        <v>4.0262800000000001E-2</v>
      </c>
      <c r="N326" s="4">
        <f t="shared" si="71"/>
        <v>9.486E-2</v>
      </c>
    </row>
    <row r="327" spans="1:14">
      <c r="A327" t="str">
        <f t="shared" si="74"/>
        <v>alp_Man-VWCO</v>
      </c>
      <c r="B327" t="str">
        <f t="shared" si="75"/>
        <v>Google Brasil</v>
      </c>
      <c r="C327" t="str">
        <f t="shared" si="76"/>
        <v>google-brasil|mobile|320x50|vw_caminhoes|always_on|produto|criativo_35_constructor_betoneira|320x50|cpm</v>
      </c>
      <c r="D327" t="str">
        <f t="shared" si="77"/>
        <v>138017953</v>
      </c>
      <c r="E327" t="str">
        <f t="shared" si="78"/>
        <v>Default</v>
      </c>
      <c r="F327" t="str">
        <f t="shared" si="79"/>
        <v>320x50 Default Web Ad</v>
      </c>
      <c r="G327" t="str">
        <f t="shared" si="80"/>
        <v>310387631</v>
      </c>
      <c r="H327" t="str">
        <f t="shared" si="81"/>
        <v>Display</v>
      </c>
      <c r="I327">
        <f t="shared" si="82"/>
        <v>722</v>
      </c>
      <c r="J327">
        <f t="shared" si="83"/>
        <v>8</v>
      </c>
      <c r="K327" s="4">
        <f t="shared" si="72"/>
        <v>3.8199999999999998E-2</v>
      </c>
      <c r="L327">
        <f t="shared" si="73"/>
        <v>0.09</v>
      </c>
      <c r="M327" s="4">
        <f t="shared" si="70"/>
        <v>2.7580399999999998E-2</v>
      </c>
      <c r="N327" s="4">
        <f t="shared" si="71"/>
        <v>6.498000000000001E-2</v>
      </c>
    </row>
    <row r="328" spans="1:14">
      <c r="A328" t="str">
        <f t="shared" si="74"/>
        <v>alp_Man-VWCO</v>
      </c>
      <c r="B328" t="str">
        <f t="shared" si="75"/>
        <v>Google Brasil</v>
      </c>
      <c r="C328" t="str">
        <f t="shared" si="76"/>
        <v>google-brasil|mobile|320x50|vw_caminhoes|always_on|produto|criativo_35_constructor_betoneira|320x50|cpm</v>
      </c>
      <c r="D328" t="str">
        <f t="shared" si="77"/>
        <v>138017953</v>
      </c>
      <c r="E328" t="str">
        <f t="shared" si="78"/>
        <v>Default</v>
      </c>
      <c r="F328" t="str">
        <f t="shared" si="79"/>
        <v>320x50 Default Web Ad</v>
      </c>
      <c r="G328" t="str">
        <f t="shared" si="80"/>
        <v>310387631</v>
      </c>
      <c r="H328" t="str">
        <f t="shared" si="81"/>
        <v>Display</v>
      </c>
      <c r="I328">
        <f t="shared" si="82"/>
        <v>24</v>
      </c>
      <c r="J328">
        <f t="shared" si="83"/>
        <v>0</v>
      </c>
      <c r="K328" s="4">
        <f t="shared" si="72"/>
        <v>3.8199999999999998E-2</v>
      </c>
      <c r="L328">
        <f t="shared" si="73"/>
        <v>0.09</v>
      </c>
      <c r="M328" s="4">
        <f t="shared" si="70"/>
        <v>9.1679999999999995E-4</v>
      </c>
      <c r="N328" s="4">
        <f t="shared" si="71"/>
        <v>2.16E-3</v>
      </c>
    </row>
    <row r="329" spans="1:14">
      <c r="A329" t="str">
        <f t="shared" si="74"/>
        <v>alp_Man-VWCO</v>
      </c>
      <c r="B329" t="str">
        <f t="shared" si="75"/>
        <v>Google Brasil</v>
      </c>
      <c r="C329" t="str">
        <f t="shared" si="76"/>
        <v>google-brasil|mobile|320x50|vw_caminhoes|always_on|produto|criativo_36_constellation_distributor|320x50|cpm</v>
      </c>
      <c r="D329" t="str">
        <f t="shared" si="77"/>
        <v>138017948</v>
      </c>
      <c r="E329" t="str">
        <f t="shared" si="78"/>
        <v>Default</v>
      </c>
      <c r="F329" t="str">
        <f t="shared" si="79"/>
        <v>320x50 Default Web Ad</v>
      </c>
      <c r="G329" t="str">
        <f t="shared" si="80"/>
        <v>310387631</v>
      </c>
      <c r="H329" t="str">
        <f t="shared" si="81"/>
        <v>Display</v>
      </c>
      <c r="I329">
        <f t="shared" si="82"/>
        <v>1272</v>
      </c>
      <c r="J329">
        <f t="shared" si="83"/>
        <v>4</v>
      </c>
      <c r="K329" s="4">
        <f t="shared" si="72"/>
        <v>3.8199999999999998E-2</v>
      </c>
      <c r="L329">
        <f t="shared" si="73"/>
        <v>0.09</v>
      </c>
      <c r="M329" s="4">
        <f t="shared" si="70"/>
        <v>4.8590399999999992E-2</v>
      </c>
      <c r="N329" s="4">
        <f t="shared" si="71"/>
        <v>0.11447999999999998</v>
      </c>
    </row>
    <row r="330" spans="1:14">
      <c r="A330" t="str">
        <f t="shared" si="74"/>
        <v>alp_Man-VWCO</v>
      </c>
      <c r="B330" t="str">
        <f t="shared" si="75"/>
        <v>Google Brasil</v>
      </c>
      <c r="C330" t="str">
        <f t="shared" si="76"/>
        <v>google-brasil|mobile|320x50|vw_caminhoes|always_on|produto|criativo_36_constellation_distributor|320x50|cpm</v>
      </c>
      <c r="D330" t="str">
        <f t="shared" si="77"/>
        <v>138017948</v>
      </c>
      <c r="E330" t="str">
        <f t="shared" si="78"/>
        <v>Default</v>
      </c>
      <c r="F330" t="str">
        <f t="shared" si="79"/>
        <v>320x50 Default Web Ad</v>
      </c>
      <c r="G330" t="str">
        <f t="shared" si="80"/>
        <v>310387631</v>
      </c>
      <c r="H330" t="str">
        <f t="shared" si="81"/>
        <v>Display</v>
      </c>
      <c r="I330">
        <f t="shared" si="82"/>
        <v>1553</v>
      </c>
      <c r="J330">
        <f t="shared" si="83"/>
        <v>0</v>
      </c>
      <c r="K330" s="4">
        <f t="shared" si="72"/>
        <v>3.8199999999999998E-2</v>
      </c>
      <c r="L330">
        <f t="shared" si="73"/>
        <v>0.09</v>
      </c>
      <c r="M330" s="4">
        <f t="shared" si="70"/>
        <v>5.9324599999999998E-2</v>
      </c>
      <c r="N330" s="4">
        <f t="shared" si="71"/>
        <v>0.13976999999999998</v>
      </c>
    </row>
    <row r="331" spans="1:14">
      <c r="A331" t="str">
        <f t="shared" si="74"/>
        <v>alp_Man-VWCO</v>
      </c>
      <c r="B331" t="str">
        <f t="shared" si="75"/>
        <v>Google Brasil</v>
      </c>
      <c r="C331" t="str">
        <f t="shared" si="76"/>
        <v>google-brasil|mobile|320x50|vw_caminhoes|always_on|produto|criativo_38_worker_17-230|320x50|cpm</v>
      </c>
      <c r="D331" t="str">
        <f t="shared" si="77"/>
        <v>138017938</v>
      </c>
      <c r="E331" t="str">
        <f t="shared" si="78"/>
        <v>Default</v>
      </c>
      <c r="F331" t="str">
        <f t="shared" si="79"/>
        <v>320x50 Default Web Ad</v>
      </c>
      <c r="G331" t="str">
        <f t="shared" si="80"/>
        <v>310387631</v>
      </c>
      <c r="H331" t="str">
        <f t="shared" si="81"/>
        <v>Display</v>
      </c>
      <c r="I331">
        <f t="shared" si="82"/>
        <v>3962</v>
      </c>
      <c r="J331">
        <f t="shared" si="83"/>
        <v>6</v>
      </c>
      <c r="K331" s="4">
        <f t="shared" si="72"/>
        <v>3.8199999999999998E-2</v>
      </c>
      <c r="L331">
        <f t="shared" si="73"/>
        <v>0.09</v>
      </c>
      <c r="M331" s="4">
        <f t="shared" si="70"/>
        <v>0.15134839999999999</v>
      </c>
      <c r="N331" s="4">
        <f t="shared" si="71"/>
        <v>0.35658000000000001</v>
      </c>
    </row>
    <row r="332" spans="1:14">
      <c r="A332" t="str">
        <f t="shared" si="74"/>
        <v>alp_Man-VWCO</v>
      </c>
      <c r="B332" t="str">
        <f t="shared" si="75"/>
        <v>Google Brasil</v>
      </c>
      <c r="C332" t="str">
        <f t="shared" si="76"/>
        <v>google-brasil|mobile|320x50|vw_caminhoes|always_on|produto|criativo_38_worker_17-230|320x50|cpm</v>
      </c>
      <c r="D332" t="str">
        <f t="shared" si="77"/>
        <v>138017938</v>
      </c>
      <c r="E332" t="str">
        <f t="shared" si="78"/>
        <v>Default</v>
      </c>
      <c r="F332" t="str">
        <f t="shared" si="79"/>
        <v>320x50 Default Web Ad</v>
      </c>
      <c r="G332" t="str">
        <f t="shared" si="80"/>
        <v>310387631</v>
      </c>
      <c r="H332" t="str">
        <f t="shared" si="81"/>
        <v>Display</v>
      </c>
      <c r="I332">
        <f t="shared" si="82"/>
        <v>4603</v>
      </c>
      <c r="J332">
        <f t="shared" si="83"/>
        <v>10</v>
      </c>
      <c r="K332" s="4">
        <f t="shared" si="72"/>
        <v>3.8199999999999998E-2</v>
      </c>
      <c r="L332">
        <f t="shared" si="73"/>
        <v>0.09</v>
      </c>
      <c r="M332" s="4">
        <f t="shared" si="70"/>
        <v>0.17583460000000001</v>
      </c>
      <c r="N332" s="4">
        <f t="shared" si="71"/>
        <v>0.41426999999999997</v>
      </c>
    </row>
    <row r="333" spans="1:14">
      <c r="A333" t="str">
        <f t="shared" si="74"/>
        <v>alp_Man-VWCO</v>
      </c>
      <c r="B333" t="str">
        <f t="shared" si="75"/>
        <v>Google Brasil</v>
      </c>
      <c r="C333" t="str">
        <f t="shared" si="76"/>
        <v>google-brasil|mobile|320x50|vw_caminhoes|always_on|produto|criativo_39_worker_17-230|320x50|cpm</v>
      </c>
      <c r="D333" t="str">
        <f t="shared" si="77"/>
        <v>138017933</v>
      </c>
      <c r="E333" t="str">
        <f t="shared" si="78"/>
        <v>Default</v>
      </c>
      <c r="F333" t="str">
        <f t="shared" si="79"/>
        <v>320x50 Default Web Ad</v>
      </c>
      <c r="G333" t="str">
        <f t="shared" si="80"/>
        <v>310387631</v>
      </c>
      <c r="H333" t="str">
        <f t="shared" si="81"/>
        <v>Display</v>
      </c>
      <c r="I333">
        <f t="shared" si="82"/>
        <v>4081</v>
      </c>
      <c r="J333">
        <f t="shared" si="83"/>
        <v>6</v>
      </c>
      <c r="K333" s="4">
        <f t="shared" si="72"/>
        <v>3.8199999999999998E-2</v>
      </c>
      <c r="L333">
        <f t="shared" si="73"/>
        <v>0.09</v>
      </c>
      <c r="M333" s="4">
        <f t="shared" si="70"/>
        <v>0.15589419999999998</v>
      </c>
      <c r="N333" s="4">
        <f t="shared" si="71"/>
        <v>0.36728999999999995</v>
      </c>
    </row>
    <row r="334" spans="1:14">
      <c r="A334" t="str">
        <f t="shared" si="74"/>
        <v>alp_Man-VWCO</v>
      </c>
      <c r="B334" t="str">
        <f t="shared" si="75"/>
        <v>Google Brasil</v>
      </c>
      <c r="C334" t="str">
        <f t="shared" si="76"/>
        <v>google-brasil|mobile|320x50|vw_caminhoes|always_on|produto|criativo_39_worker_17-230|320x50|cpm</v>
      </c>
      <c r="D334" t="str">
        <f t="shared" si="77"/>
        <v>138017933</v>
      </c>
      <c r="E334" t="str">
        <f t="shared" si="78"/>
        <v>Default</v>
      </c>
      <c r="F334" t="str">
        <f t="shared" si="79"/>
        <v>320x50 Default Web Ad</v>
      </c>
      <c r="G334" t="str">
        <f t="shared" si="80"/>
        <v>310387631</v>
      </c>
      <c r="H334" t="str">
        <f t="shared" si="81"/>
        <v>Display</v>
      </c>
      <c r="I334">
        <f t="shared" si="82"/>
        <v>4454</v>
      </c>
      <c r="J334">
        <f t="shared" si="83"/>
        <v>14</v>
      </c>
      <c r="K334" s="4">
        <f t="shared" si="72"/>
        <v>3.8199999999999998E-2</v>
      </c>
      <c r="L334">
        <f t="shared" si="73"/>
        <v>0.09</v>
      </c>
      <c r="M334" s="4">
        <f t="shared" si="70"/>
        <v>0.17014279999999998</v>
      </c>
      <c r="N334" s="4">
        <f t="shared" si="71"/>
        <v>0.40085999999999994</v>
      </c>
    </row>
    <row r="335" spans="1:14">
      <c r="A335" t="str">
        <f t="shared" si="74"/>
        <v>alp_Man-VWCO</v>
      </c>
      <c r="B335" t="str">
        <f t="shared" si="75"/>
        <v>Google Brasil</v>
      </c>
      <c r="C335" t="str">
        <f t="shared" si="76"/>
        <v>google-brasil|mobile|320x50|vw_caminhoes|always_on|produto|criativo_40_worker_23-230|320x50|cpm</v>
      </c>
      <c r="D335" t="str">
        <f t="shared" si="77"/>
        <v>138017928</v>
      </c>
      <c r="E335" t="str">
        <f t="shared" si="78"/>
        <v>Default</v>
      </c>
      <c r="F335" t="str">
        <f t="shared" si="79"/>
        <v>320x50 Default Web Ad</v>
      </c>
      <c r="G335" t="str">
        <f t="shared" si="80"/>
        <v>310387631</v>
      </c>
      <c r="H335" t="str">
        <f t="shared" si="81"/>
        <v>Display</v>
      </c>
      <c r="I335">
        <f t="shared" si="82"/>
        <v>2257</v>
      </c>
      <c r="J335">
        <f t="shared" si="83"/>
        <v>3</v>
      </c>
      <c r="K335" s="4">
        <f t="shared" si="72"/>
        <v>3.8199999999999998E-2</v>
      </c>
      <c r="L335">
        <f t="shared" si="73"/>
        <v>0.09</v>
      </c>
      <c r="M335" s="4">
        <f t="shared" si="70"/>
        <v>8.62174E-2</v>
      </c>
      <c r="N335" s="4">
        <f t="shared" si="71"/>
        <v>0.20313000000000001</v>
      </c>
    </row>
    <row r="336" spans="1:14">
      <c r="A336" t="str">
        <f t="shared" si="74"/>
        <v>alp_Man-VWCO</v>
      </c>
      <c r="B336" t="str">
        <f t="shared" si="75"/>
        <v>Google Brasil</v>
      </c>
      <c r="C336" t="str">
        <f t="shared" si="76"/>
        <v>google-brasil|mobile|320x50|vw_caminhoes|always_on|produto|criativo_40_worker_23-230|320x50|cpm</v>
      </c>
      <c r="D336" t="str">
        <f t="shared" si="77"/>
        <v>138017928</v>
      </c>
      <c r="E336" t="str">
        <f t="shared" si="78"/>
        <v>Default</v>
      </c>
      <c r="F336" t="str">
        <f t="shared" si="79"/>
        <v>320x50 Default Web Ad</v>
      </c>
      <c r="G336" t="str">
        <f t="shared" si="80"/>
        <v>310387631</v>
      </c>
      <c r="H336" t="str">
        <f t="shared" si="81"/>
        <v>Display</v>
      </c>
      <c r="I336">
        <f t="shared" si="82"/>
        <v>2493</v>
      </c>
      <c r="J336">
        <f t="shared" si="83"/>
        <v>0</v>
      </c>
      <c r="K336" s="4">
        <f t="shared" si="72"/>
        <v>3.8199999999999998E-2</v>
      </c>
      <c r="L336">
        <f t="shared" si="73"/>
        <v>0.09</v>
      </c>
      <c r="M336" s="4">
        <f t="shared" si="70"/>
        <v>9.5232599999999987E-2</v>
      </c>
      <c r="N336" s="4">
        <f t="shared" si="71"/>
        <v>0.22437000000000001</v>
      </c>
    </row>
    <row r="337" spans="1:14">
      <c r="A337" t="str">
        <f t="shared" si="74"/>
        <v>alp_Man-VWCO</v>
      </c>
      <c r="B337" t="str">
        <f t="shared" si="75"/>
        <v>Google Brasil</v>
      </c>
      <c r="C337" t="str">
        <f t="shared" si="76"/>
        <v>google-brasil|mobile|320x50|vw_caminhoes|always_on|produto|criativo_41_worker_23-230|320x50|cpm</v>
      </c>
      <c r="D337" t="str">
        <f t="shared" si="77"/>
        <v>138017923</v>
      </c>
      <c r="E337" t="str">
        <f t="shared" si="78"/>
        <v>Default</v>
      </c>
      <c r="F337" t="str">
        <f t="shared" si="79"/>
        <v>320x50 Default Web Ad</v>
      </c>
      <c r="G337" t="str">
        <f t="shared" si="80"/>
        <v>310387631</v>
      </c>
      <c r="H337" t="str">
        <f t="shared" si="81"/>
        <v>Display</v>
      </c>
      <c r="I337">
        <f t="shared" si="82"/>
        <v>2206</v>
      </c>
      <c r="J337">
        <f t="shared" si="83"/>
        <v>3</v>
      </c>
      <c r="K337" s="4">
        <f t="shared" si="72"/>
        <v>3.8199999999999998E-2</v>
      </c>
      <c r="L337">
        <f t="shared" si="73"/>
        <v>0.09</v>
      </c>
      <c r="M337" s="4">
        <f t="shared" si="70"/>
        <v>8.4269200000000002E-2</v>
      </c>
      <c r="N337" s="4">
        <f t="shared" si="71"/>
        <v>0.19853999999999999</v>
      </c>
    </row>
    <row r="338" spans="1:14">
      <c r="A338" t="str">
        <f t="shared" si="74"/>
        <v>alp_Man-VWCO</v>
      </c>
      <c r="B338" t="str">
        <f t="shared" si="75"/>
        <v>Google Brasil</v>
      </c>
      <c r="C338" t="str">
        <f t="shared" si="76"/>
        <v>google-brasil|mobile|320x50|vw_caminhoes|always_on|produto|criativo_41_worker_23-230|320x50|cpm</v>
      </c>
      <c r="D338" t="str">
        <f t="shared" si="77"/>
        <v>138017923</v>
      </c>
      <c r="E338" t="str">
        <f t="shared" si="78"/>
        <v>Default</v>
      </c>
      <c r="F338" t="str">
        <f t="shared" si="79"/>
        <v>320x50 Default Web Ad</v>
      </c>
      <c r="G338" t="str">
        <f t="shared" si="80"/>
        <v>310387631</v>
      </c>
      <c r="H338" t="str">
        <f t="shared" si="81"/>
        <v>Display</v>
      </c>
      <c r="I338">
        <f t="shared" si="82"/>
        <v>2391</v>
      </c>
      <c r="J338">
        <f t="shared" si="83"/>
        <v>2</v>
      </c>
      <c r="K338" s="4">
        <f t="shared" si="72"/>
        <v>3.8199999999999998E-2</v>
      </c>
      <c r="L338">
        <f t="shared" si="73"/>
        <v>0.09</v>
      </c>
      <c r="M338" s="4">
        <f t="shared" si="70"/>
        <v>9.1336199999999992E-2</v>
      </c>
      <c r="N338" s="4">
        <f t="shared" si="71"/>
        <v>0.21518999999999999</v>
      </c>
    </row>
    <row r="339" spans="1:14">
      <c r="A339" t="str">
        <f t="shared" si="74"/>
        <v>alp_Man-VWCO</v>
      </c>
      <c r="B339" t="str">
        <f t="shared" si="75"/>
        <v>Google Brasil</v>
      </c>
      <c r="C339" t="str">
        <f t="shared" si="76"/>
        <v>google-brasil|mobile|320x50|vw_caminhoes|always_on|produto|criativo_51_constellation_31-280|320x50|cpm</v>
      </c>
      <c r="D339" t="str">
        <f t="shared" si="77"/>
        <v>138017873</v>
      </c>
      <c r="E339" t="str">
        <f t="shared" si="78"/>
        <v>Default</v>
      </c>
      <c r="F339" t="str">
        <f t="shared" si="79"/>
        <v>320x50 Default Web Ad</v>
      </c>
      <c r="G339" t="str">
        <f t="shared" si="80"/>
        <v>310387631</v>
      </c>
      <c r="H339" t="str">
        <f t="shared" si="81"/>
        <v>Display</v>
      </c>
      <c r="I339">
        <f t="shared" si="82"/>
        <v>5111</v>
      </c>
      <c r="J339">
        <f t="shared" si="83"/>
        <v>7</v>
      </c>
      <c r="K339" s="4">
        <f t="shared" si="72"/>
        <v>3.8199999999999998E-2</v>
      </c>
      <c r="L339">
        <f t="shared" si="73"/>
        <v>0.09</v>
      </c>
      <c r="M339" s="4">
        <f t="shared" si="70"/>
        <v>0.19524019999999997</v>
      </c>
      <c r="N339" s="4">
        <f t="shared" si="71"/>
        <v>0.45999000000000001</v>
      </c>
    </row>
    <row r="340" spans="1:14">
      <c r="A340" t="str">
        <f t="shared" si="74"/>
        <v>alp_Man-VWCO</v>
      </c>
      <c r="B340" t="str">
        <f t="shared" si="75"/>
        <v>Google Brasil</v>
      </c>
      <c r="C340" t="str">
        <f t="shared" si="76"/>
        <v>google-brasil|mobile|320x50|vw_caminhoes|always_on|produto|criativo_51_constellation_31-280|320x50|cpm</v>
      </c>
      <c r="D340" t="str">
        <f t="shared" si="77"/>
        <v>138017873</v>
      </c>
      <c r="E340" t="str">
        <f t="shared" si="78"/>
        <v>Default</v>
      </c>
      <c r="F340" t="str">
        <f t="shared" si="79"/>
        <v>320x50 Default Web Ad</v>
      </c>
      <c r="G340" t="str">
        <f t="shared" si="80"/>
        <v>310387631</v>
      </c>
      <c r="H340" t="str">
        <f t="shared" si="81"/>
        <v>Display</v>
      </c>
      <c r="I340">
        <f t="shared" si="82"/>
        <v>3707</v>
      </c>
      <c r="J340">
        <f t="shared" si="83"/>
        <v>5</v>
      </c>
      <c r="K340" s="4">
        <f t="shared" si="72"/>
        <v>3.8199999999999998E-2</v>
      </c>
      <c r="L340">
        <f t="shared" si="73"/>
        <v>0.09</v>
      </c>
      <c r="M340" s="4">
        <f t="shared" si="70"/>
        <v>0.14160739999999999</v>
      </c>
      <c r="N340" s="4">
        <f t="shared" si="71"/>
        <v>0.33362999999999998</v>
      </c>
    </row>
    <row r="341" spans="1:14">
      <c r="A341" t="str">
        <f t="shared" si="74"/>
        <v>alp_Man-VWCO</v>
      </c>
      <c r="B341" t="str">
        <f t="shared" si="75"/>
        <v>Google Brasil</v>
      </c>
      <c r="C341" t="str">
        <f t="shared" si="76"/>
        <v>google-brasil|mobile|320x50|vw_caminhoes|always_on|produto|criativo_52_constellation_31-280|320x50|cpm</v>
      </c>
      <c r="D341" t="str">
        <f t="shared" si="77"/>
        <v>138017868</v>
      </c>
      <c r="E341" t="str">
        <f t="shared" si="78"/>
        <v>Default</v>
      </c>
      <c r="F341" t="str">
        <f t="shared" si="79"/>
        <v>320x50 Default Web Ad</v>
      </c>
      <c r="G341" t="str">
        <f t="shared" si="80"/>
        <v>310387631</v>
      </c>
      <c r="H341" t="str">
        <f t="shared" si="81"/>
        <v>Display</v>
      </c>
      <c r="I341">
        <f t="shared" si="82"/>
        <v>5050</v>
      </c>
      <c r="J341">
        <f t="shared" si="83"/>
        <v>8</v>
      </c>
      <c r="K341" s="4">
        <f t="shared" si="72"/>
        <v>3.8199999999999998E-2</v>
      </c>
      <c r="L341">
        <f t="shared" si="73"/>
        <v>0.09</v>
      </c>
      <c r="M341" s="4">
        <f t="shared" si="70"/>
        <v>0.19291</v>
      </c>
      <c r="N341" s="4">
        <f t="shared" si="71"/>
        <v>0.45450000000000002</v>
      </c>
    </row>
    <row r="342" spans="1:14">
      <c r="A342" t="str">
        <f t="shared" si="74"/>
        <v>alp_Man-VWCO</v>
      </c>
      <c r="B342" t="str">
        <f t="shared" si="75"/>
        <v>Google Brasil</v>
      </c>
      <c r="C342" t="str">
        <f t="shared" si="76"/>
        <v>google-brasil|mobile|320x50|vw_caminhoes|always_on|produto|criativo_52_constellation_31-280|320x50|cpm</v>
      </c>
      <c r="D342" t="str">
        <f t="shared" si="77"/>
        <v>138017868</v>
      </c>
      <c r="E342" t="str">
        <f t="shared" si="78"/>
        <v>Default</v>
      </c>
      <c r="F342" t="str">
        <f t="shared" si="79"/>
        <v>320x50 Default Web Ad</v>
      </c>
      <c r="G342" t="str">
        <f t="shared" si="80"/>
        <v>310387631</v>
      </c>
      <c r="H342" t="str">
        <f t="shared" si="81"/>
        <v>Display</v>
      </c>
      <c r="I342">
        <f t="shared" si="82"/>
        <v>3768</v>
      </c>
      <c r="J342">
        <f t="shared" si="83"/>
        <v>4</v>
      </c>
      <c r="K342" s="4">
        <f t="shared" si="72"/>
        <v>3.8199999999999998E-2</v>
      </c>
      <c r="L342">
        <f t="shared" si="73"/>
        <v>0.09</v>
      </c>
      <c r="M342" s="4">
        <f t="shared" si="70"/>
        <v>0.1439376</v>
      </c>
      <c r="N342" s="4">
        <f t="shared" si="71"/>
        <v>0.33911999999999998</v>
      </c>
    </row>
    <row r="343" spans="1:14">
      <c r="A343" t="str">
        <f t="shared" si="74"/>
        <v>alp_Man-VWCO</v>
      </c>
      <c r="B343" t="str">
        <f t="shared" si="75"/>
        <v>Google Brasil</v>
      </c>
      <c r="C343" t="str">
        <f t="shared" si="76"/>
        <v>google-brasil|mobile|320x50|vw_caminhoes|always_on|produto|criativo_53_constellation_31-280|320x50|cpm</v>
      </c>
      <c r="D343" t="str">
        <f t="shared" si="77"/>
        <v>138017863</v>
      </c>
      <c r="E343" t="str">
        <f t="shared" si="78"/>
        <v>Default</v>
      </c>
      <c r="F343" t="str">
        <f t="shared" si="79"/>
        <v>320x50 Default Web Ad</v>
      </c>
      <c r="G343" t="str">
        <f t="shared" si="80"/>
        <v>310387631</v>
      </c>
      <c r="H343" t="str">
        <f t="shared" si="81"/>
        <v>Display</v>
      </c>
      <c r="I343">
        <f t="shared" si="82"/>
        <v>5308</v>
      </c>
      <c r="J343">
        <f t="shared" si="83"/>
        <v>7</v>
      </c>
      <c r="K343" s="4">
        <f t="shared" si="72"/>
        <v>3.8199999999999998E-2</v>
      </c>
      <c r="L343">
        <f t="shared" si="73"/>
        <v>0.09</v>
      </c>
      <c r="M343" s="4">
        <f t="shared" si="70"/>
        <v>0.20276559999999999</v>
      </c>
      <c r="N343" s="4">
        <f t="shared" si="71"/>
        <v>0.47771999999999998</v>
      </c>
    </row>
    <row r="344" spans="1:14">
      <c r="A344" t="str">
        <f t="shared" si="74"/>
        <v>alp_Man-VWCO</v>
      </c>
      <c r="B344" t="str">
        <f t="shared" si="75"/>
        <v>Google Brasil</v>
      </c>
      <c r="C344" t="str">
        <f t="shared" si="76"/>
        <v>google-brasil|mobile|320x50|vw_caminhoes|always_on|produto|criativo_53_constellation_31-280|320x50|cpm</v>
      </c>
      <c r="D344" t="str">
        <f t="shared" si="77"/>
        <v>138017863</v>
      </c>
      <c r="E344" t="str">
        <f t="shared" si="78"/>
        <v>Default</v>
      </c>
      <c r="F344" t="str">
        <f t="shared" si="79"/>
        <v>320x50 Default Web Ad</v>
      </c>
      <c r="G344" t="str">
        <f t="shared" si="80"/>
        <v>310387631</v>
      </c>
      <c r="H344" t="str">
        <f t="shared" si="81"/>
        <v>Display</v>
      </c>
      <c r="I344">
        <f t="shared" si="82"/>
        <v>3963</v>
      </c>
      <c r="J344">
        <f t="shared" si="83"/>
        <v>10</v>
      </c>
      <c r="K344" s="4">
        <f t="shared" si="72"/>
        <v>3.8199999999999998E-2</v>
      </c>
      <c r="L344">
        <f t="shared" si="73"/>
        <v>0.09</v>
      </c>
      <c r="M344" s="4">
        <f t="shared" si="70"/>
        <v>0.15138659999999998</v>
      </c>
      <c r="N344" s="4">
        <f t="shared" si="71"/>
        <v>0.35666999999999993</v>
      </c>
    </row>
    <row r="345" spans="1:14">
      <c r="A345" t="str">
        <f t="shared" si="74"/>
        <v>alp_Man-VWCO</v>
      </c>
      <c r="B345" t="str">
        <f t="shared" si="75"/>
        <v>Google Brasil</v>
      </c>
      <c r="C345" t="str">
        <f t="shared" si="76"/>
        <v>google-brasil|mobile|320x50|vw_caminhoes|always_on|produto|criativo_57_constellation_31-390|320x50|cpm</v>
      </c>
      <c r="D345" t="str">
        <f t="shared" si="77"/>
        <v>138017843</v>
      </c>
      <c r="E345" t="str">
        <f t="shared" si="78"/>
        <v>Default</v>
      </c>
      <c r="F345" t="str">
        <f t="shared" si="79"/>
        <v>320x50 Default Web Ad</v>
      </c>
      <c r="G345" t="str">
        <f t="shared" si="80"/>
        <v>310387631</v>
      </c>
      <c r="H345" t="str">
        <f t="shared" si="81"/>
        <v>Display</v>
      </c>
      <c r="I345">
        <f t="shared" si="82"/>
        <v>3891</v>
      </c>
      <c r="J345">
        <f t="shared" si="83"/>
        <v>11</v>
      </c>
      <c r="K345" s="4">
        <f t="shared" si="72"/>
        <v>3.8199999999999998E-2</v>
      </c>
      <c r="L345">
        <f t="shared" si="73"/>
        <v>0.09</v>
      </c>
      <c r="M345" s="4">
        <f t="shared" si="70"/>
        <v>0.1486362</v>
      </c>
      <c r="N345" s="4">
        <f t="shared" si="71"/>
        <v>0.35019</v>
      </c>
    </row>
    <row r="346" spans="1:14">
      <c r="A346" t="str">
        <f t="shared" si="74"/>
        <v>alp_Man-VWCO</v>
      </c>
      <c r="B346" t="str">
        <f t="shared" si="75"/>
        <v>Google Brasil</v>
      </c>
      <c r="C346" t="str">
        <f t="shared" si="76"/>
        <v>google-brasil|mobile|320x50|vw_caminhoes|always_on|produto|criativo_57_constellation_31-390|320x50|cpm</v>
      </c>
      <c r="D346" t="str">
        <f t="shared" si="77"/>
        <v>138017843</v>
      </c>
      <c r="E346" t="str">
        <f t="shared" si="78"/>
        <v>Default</v>
      </c>
      <c r="F346" t="str">
        <f t="shared" si="79"/>
        <v>320x50 Default Web Ad</v>
      </c>
      <c r="G346" t="str">
        <f t="shared" si="80"/>
        <v>310387631</v>
      </c>
      <c r="H346" t="str">
        <f t="shared" si="81"/>
        <v>Display</v>
      </c>
      <c r="I346">
        <f t="shared" si="82"/>
        <v>2386</v>
      </c>
      <c r="J346">
        <f t="shared" si="83"/>
        <v>6</v>
      </c>
      <c r="K346" s="4">
        <f t="shared" si="72"/>
        <v>3.8199999999999998E-2</v>
      </c>
      <c r="L346">
        <f t="shared" si="73"/>
        <v>0.09</v>
      </c>
      <c r="M346" s="4">
        <f t="shared" si="70"/>
        <v>9.1145199999999982E-2</v>
      </c>
      <c r="N346" s="4">
        <f t="shared" si="71"/>
        <v>0.21473999999999999</v>
      </c>
    </row>
    <row r="347" spans="1:14">
      <c r="A347" t="str">
        <f t="shared" si="74"/>
        <v>alp_Man-VWCO</v>
      </c>
      <c r="B347" t="str">
        <f t="shared" si="75"/>
        <v>Google Brasil</v>
      </c>
      <c r="C347" t="str">
        <f t="shared" si="76"/>
        <v>google-brasil|mobile|320x50|vw_caminhoes|always_on|produto|criativo_58_constellation_31-390|320x50|cpm</v>
      </c>
      <c r="D347" t="str">
        <f t="shared" si="77"/>
        <v>138017838</v>
      </c>
      <c r="E347" t="str">
        <f t="shared" si="78"/>
        <v>Default</v>
      </c>
      <c r="F347" t="str">
        <f t="shared" si="79"/>
        <v>320x50 Default Web Ad</v>
      </c>
      <c r="G347" t="str">
        <f t="shared" si="80"/>
        <v>310387631</v>
      </c>
      <c r="H347" t="str">
        <f t="shared" si="81"/>
        <v>Display</v>
      </c>
      <c r="I347">
        <f t="shared" si="82"/>
        <v>3733</v>
      </c>
      <c r="J347">
        <f t="shared" si="83"/>
        <v>10</v>
      </c>
      <c r="K347" s="4">
        <f t="shared" si="72"/>
        <v>3.8199999999999998E-2</v>
      </c>
      <c r="L347">
        <f t="shared" si="73"/>
        <v>0.09</v>
      </c>
      <c r="M347" s="4">
        <f t="shared" si="70"/>
        <v>0.14260059999999999</v>
      </c>
      <c r="N347" s="4">
        <f t="shared" si="71"/>
        <v>0.33596999999999999</v>
      </c>
    </row>
    <row r="348" spans="1:14">
      <c r="A348" t="str">
        <f t="shared" si="74"/>
        <v>alp_Man-VWCO</v>
      </c>
      <c r="B348" t="str">
        <f t="shared" si="75"/>
        <v>Google Brasil</v>
      </c>
      <c r="C348" t="str">
        <f t="shared" si="76"/>
        <v>google-brasil|mobile|320x50|vw_caminhoes|always_on|produto|criativo_58_constellation_31-390|320x50|cpm</v>
      </c>
      <c r="D348" t="str">
        <f t="shared" si="77"/>
        <v>138017838</v>
      </c>
      <c r="E348" t="str">
        <f t="shared" si="78"/>
        <v>Default</v>
      </c>
      <c r="F348" t="str">
        <f t="shared" si="79"/>
        <v>320x50 Default Web Ad</v>
      </c>
      <c r="G348" t="str">
        <f t="shared" si="80"/>
        <v>310387631</v>
      </c>
      <c r="H348" t="str">
        <f t="shared" si="81"/>
        <v>Display</v>
      </c>
      <c r="I348">
        <f t="shared" si="82"/>
        <v>2458</v>
      </c>
      <c r="J348">
        <f t="shared" si="83"/>
        <v>4</v>
      </c>
      <c r="K348" s="4">
        <f t="shared" si="72"/>
        <v>3.8199999999999998E-2</v>
      </c>
      <c r="L348">
        <f t="shared" si="73"/>
        <v>0.09</v>
      </c>
      <c r="M348" s="4">
        <f t="shared" si="70"/>
        <v>9.3895599999999996E-2</v>
      </c>
      <c r="N348" s="4">
        <f t="shared" si="71"/>
        <v>0.22122</v>
      </c>
    </row>
    <row r="349" spans="1:14">
      <c r="A349" t="str">
        <f t="shared" si="74"/>
        <v>alp_Man-VWCO</v>
      </c>
      <c r="B349" t="str">
        <f t="shared" si="75"/>
        <v>Google Brasil</v>
      </c>
      <c r="C349" t="str">
        <f t="shared" si="76"/>
        <v>google-brasil|mobile|320x50|vw_caminhoes|always_on|produto|criativo_59_constellation_31-390|320x50|cpm</v>
      </c>
      <c r="D349" t="str">
        <f t="shared" si="77"/>
        <v>138017833</v>
      </c>
      <c r="E349" t="str">
        <f t="shared" si="78"/>
        <v>Default</v>
      </c>
      <c r="F349" t="str">
        <f t="shared" si="79"/>
        <v>320x50 Default Web Ad</v>
      </c>
      <c r="G349" t="str">
        <f t="shared" si="80"/>
        <v>310387631</v>
      </c>
      <c r="H349" t="str">
        <f t="shared" si="81"/>
        <v>Display</v>
      </c>
      <c r="I349">
        <f t="shared" si="82"/>
        <v>3778</v>
      </c>
      <c r="J349">
        <f t="shared" si="83"/>
        <v>8</v>
      </c>
      <c r="K349" s="4">
        <f t="shared" si="72"/>
        <v>3.8199999999999998E-2</v>
      </c>
      <c r="L349">
        <f t="shared" si="73"/>
        <v>0.09</v>
      </c>
      <c r="M349" s="4">
        <f t="shared" si="70"/>
        <v>0.14431959999999999</v>
      </c>
      <c r="N349" s="4">
        <f t="shared" si="71"/>
        <v>0.34001999999999999</v>
      </c>
    </row>
    <row r="350" spans="1:14">
      <c r="A350" t="str">
        <f t="shared" si="74"/>
        <v>alp_Man-VWCO</v>
      </c>
      <c r="B350" t="str">
        <f t="shared" si="75"/>
        <v>Google Brasil</v>
      </c>
      <c r="C350" t="str">
        <f t="shared" si="76"/>
        <v>google-brasil|mobile|320x50|vw_caminhoes|always_on|produto|criativo_59_constellation_31-390|320x50|cpm</v>
      </c>
      <c r="D350" t="str">
        <f t="shared" si="77"/>
        <v>138017833</v>
      </c>
      <c r="E350" t="str">
        <f t="shared" si="78"/>
        <v>Default</v>
      </c>
      <c r="F350" t="str">
        <f t="shared" si="79"/>
        <v>320x50 Default Web Ad</v>
      </c>
      <c r="G350" t="str">
        <f t="shared" si="80"/>
        <v>310387631</v>
      </c>
      <c r="H350" t="str">
        <f t="shared" si="81"/>
        <v>Display</v>
      </c>
      <c r="I350">
        <f t="shared" si="82"/>
        <v>2319</v>
      </c>
      <c r="J350">
        <f t="shared" si="83"/>
        <v>5</v>
      </c>
      <c r="K350" s="4">
        <f t="shared" si="72"/>
        <v>3.8199999999999998E-2</v>
      </c>
      <c r="L350">
        <f t="shared" si="73"/>
        <v>0.09</v>
      </c>
      <c r="M350" s="4">
        <f t="shared" si="70"/>
        <v>8.8585799999999992E-2</v>
      </c>
      <c r="N350" s="4">
        <f t="shared" si="71"/>
        <v>0.20870999999999998</v>
      </c>
    </row>
    <row r="351" spans="1:14">
      <c r="A351" t="str">
        <f t="shared" si="74"/>
        <v>alp_Man-VWCO</v>
      </c>
      <c r="B351" t="str">
        <f t="shared" si="75"/>
        <v>Google Brasil</v>
      </c>
      <c r="C351" t="str">
        <f t="shared" si="76"/>
        <v>google-brasil|mobile|320x50|vw_caminhoes|always_on|produto|criativo_62_worker_13-190|320x50|cpm</v>
      </c>
      <c r="D351" t="str">
        <f t="shared" si="77"/>
        <v>138017818</v>
      </c>
      <c r="E351" t="str">
        <f t="shared" si="78"/>
        <v>Default</v>
      </c>
      <c r="F351" t="str">
        <f t="shared" si="79"/>
        <v>320x50 Default Web Ad</v>
      </c>
      <c r="G351" t="str">
        <f t="shared" si="80"/>
        <v>310387631</v>
      </c>
      <c r="H351" t="str">
        <f t="shared" si="81"/>
        <v>Display</v>
      </c>
      <c r="I351">
        <f t="shared" si="82"/>
        <v>3071</v>
      </c>
      <c r="J351">
        <f t="shared" si="83"/>
        <v>4</v>
      </c>
      <c r="K351" s="4">
        <f t="shared" si="72"/>
        <v>3.8199999999999998E-2</v>
      </c>
      <c r="L351">
        <f t="shared" si="73"/>
        <v>0.09</v>
      </c>
      <c r="M351" s="4">
        <f t="shared" si="70"/>
        <v>0.11731219999999999</v>
      </c>
      <c r="N351" s="4">
        <f t="shared" si="71"/>
        <v>0.27638999999999997</v>
      </c>
    </row>
    <row r="352" spans="1:14">
      <c r="A352" t="str">
        <f t="shared" si="74"/>
        <v>alp_Man-VWCO</v>
      </c>
      <c r="B352" t="str">
        <f t="shared" si="75"/>
        <v>Google Brasil</v>
      </c>
      <c r="C352" t="str">
        <f t="shared" si="76"/>
        <v>google-brasil|mobile|320x50|vw_caminhoes|always_on|produto|criativo_62_worker_13-190|320x50|cpm</v>
      </c>
      <c r="D352" t="str">
        <f t="shared" si="77"/>
        <v>138017818</v>
      </c>
      <c r="E352" t="str">
        <f t="shared" si="78"/>
        <v>Default</v>
      </c>
      <c r="F352" t="str">
        <f t="shared" si="79"/>
        <v>320x50 Default Web Ad</v>
      </c>
      <c r="G352" t="str">
        <f t="shared" si="80"/>
        <v>310387631</v>
      </c>
      <c r="H352" t="str">
        <f t="shared" si="81"/>
        <v>Display</v>
      </c>
      <c r="I352">
        <f t="shared" si="82"/>
        <v>3207</v>
      </c>
      <c r="J352">
        <f t="shared" si="83"/>
        <v>9</v>
      </c>
      <c r="K352" s="4">
        <f t="shared" si="72"/>
        <v>3.8199999999999998E-2</v>
      </c>
      <c r="L352">
        <f t="shared" si="73"/>
        <v>0.09</v>
      </c>
      <c r="M352" s="4">
        <f t="shared" si="70"/>
        <v>0.12250739999999999</v>
      </c>
      <c r="N352" s="4">
        <f t="shared" si="71"/>
        <v>0.28863</v>
      </c>
    </row>
    <row r="353" spans="1:14">
      <c r="A353" t="str">
        <f t="shared" si="74"/>
        <v>alp_Man-VWCO</v>
      </c>
      <c r="B353" t="str">
        <f t="shared" si="75"/>
        <v>Google Brasil</v>
      </c>
      <c r="C353" t="str">
        <f t="shared" si="76"/>
        <v>google-brasil|mobile|320x50|vw_caminhoes|always_on|produto|criativo_63_worker_15-190|320x50|cpm</v>
      </c>
      <c r="D353" t="str">
        <f t="shared" si="77"/>
        <v>138017813</v>
      </c>
      <c r="E353" t="str">
        <f t="shared" si="78"/>
        <v>Default</v>
      </c>
      <c r="F353" t="str">
        <f t="shared" si="79"/>
        <v>320x50 Default Web Ad</v>
      </c>
      <c r="G353" t="str">
        <f t="shared" si="80"/>
        <v>310387631</v>
      </c>
      <c r="H353" t="str">
        <f t="shared" si="81"/>
        <v>Display</v>
      </c>
      <c r="I353">
        <f t="shared" si="82"/>
        <v>1342</v>
      </c>
      <c r="J353">
        <f t="shared" si="83"/>
        <v>1</v>
      </c>
      <c r="K353" s="4">
        <f t="shared" si="72"/>
        <v>3.8199999999999998E-2</v>
      </c>
      <c r="L353">
        <f t="shared" si="73"/>
        <v>0.09</v>
      </c>
      <c r="M353" s="4">
        <f t="shared" si="70"/>
        <v>5.1264399999999995E-2</v>
      </c>
      <c r="N353" s="4">
        <f t="shared" si="71"/>
        <v>0.12078</v>
      </c>
    </row>
    <row r="354" spans="1:14">
      <c r="A354" t="str">
        <f t="shared" si="74"/>
        <v>alp_Man-VWCO</v>
      </c>
      <c r="B354" t="str">
        <f t="shared" si="75"/>
        <v>Google Brasil</v>
      </c>
      <c r="C354" t="str">
        <f t="shared" si="76"/>
        <v>google-brasil|mobile|320x50|vw_caminhoes|always_on|produto|criativo_63_worker_15-190|320x50|cpm</v>
      </c>
      <c r="D354" t="str">
        <f t="shared" si="77"/>
        <v>138017813</v>
      </c>
      <c r="E354" t="str">
        <f t="shared" si="78"/>
        <v>Default</v>
      </c>
      <c r="F354" t="str">
        <f t="shared" si="79"/>
        <v>320x50 Default Web Ad</v>
      </c>
      <c r="G354" t="str">
        <f t="shared" si="80"/>
        <v>310387631</v>
      </c>
      <c r="H354" t="str">
        <f t="shared" si="81"/>
        <v>Display</v>
      </c>
      <c r="I354">
        <f t="shared" si="82"/>
        <v>1562</v>
      </c>
      <c r="J354">
        <f t="shared" si="83"/>
        <v>4</v>
      </c>
      <c r="K354" s="4">
        <f t="shared" si="72"/>
        <v>3.8199999999999998E-2</v>
      </c>
      <c r="L354">
        <f t="shared" si="73"/>
        <v>0.09</v>
      </c>
      <c r="M354" s="4">
        <f t="shared" si="70"/>
        <v>5.9668399999999996E-2</v>
      </c>
      <c r="N354" s="4">
        <f t="shared" si="71"/>
        <v>0.14057999999999998</v>
      </c>
    </row>
    <row r="355" spans="1:14">
      <c r="A355" t="str">
        <f t="shared" si="74"/>
        <v>alp_Man-VWCO</v>
      </c>
      <c r="B355" t="str">
        <f t="shared" si="75"/>
        <v>Google Brasil</v>
      </c>
      <c r="C355" t="str">
        <f t="shared" si="76"/>
        <v>google-brasil|mobile|320x50|vw_caminhoes|always_on|produto|criativo_64_worker_15-190|320x50|cpm</v>
      </c>
      <c r="D355" t="str">
        <f t="shared" si="77"/>
        <v>138017808</v>
      </c>
      <c r="E355" t="str">
        <f t="shared" si="78"/>
        <v>Default</v>
      </c>
      <c r="F355" t="str">
        <f t="shared" si="79"/>
        <v>320x50 Default Web Ad</v>
      </c>
      <c r="G355" t="str">
        <f t="shared" si="80"/>
        <v>310387631</v>
      </c>
      <c r="H355" t="str">
        <f t="shared" si="81"/>
        <v>Display</v>
      </c>
      <c r="I355">
        <f t="shared" si="82"/>
        <v>1271</v>
      </c>
      <c r="J355">
        <f t="shared" si="83"/>
        <v>1</v>
      </c>
      <c r="K355" s="4">
        <f t="shared" si="72"/>
        <v>3.8199999999999998E-2</v>
      </c>
      <c r="L355">
        <f t="shared" si="73"/>
        <v>0.09</v>
      </c>
      <c r="M355" s="4">
        <f t="shared" ref="M355:M417" si="84">IF(E355="Dynamic Click",J355*K355,K355*$I355/1000)</f>
        <v>4.8552199999999997E-2</v>
      </c>
      <c r="N355" s="4">
        <f t="shared" ref="N355:N417" si="85">IF(E355="Dynamic Click",J355*L355,L355*$I355/1000)</f>
        <v>0.11439000000000001</v>
      </c>
    </row>
    <row r="356" spans="1:14">
      <c r="A356" t="str">
        <f t="shared" si="74"/>
        <v>alp_Man-VWCO</v>
      </c>
      <c r="B356" t="str">
        <f t="shared" si="75"/>
        <v>Google Brasil</v>
      </c>
      <c r="C356" t="str">
        <f t="shared" si="76"/>
        <v>google-brasil|mobile|320x50|vw_caminhoes|always_on|produto|criativo_64_worker_15-190|320x50|cpm</v>
      </c>
      <c r="D356" t="str">
        <f t="shared" si="77"/>
        <v>138017808</v>
      </c>
      <c r="E356" t="str">
        <f t="shared" si="78"/>
        <v>Default</v>
      </c>
      <c r="F356" t="str">
        <f t="shared" si="79"/>
        <v>320x50 Default Web Ad</v>
      </c>
      <c r="G356" t="str">
        <f t="shared" si="80"/>
        <v>310387631</v>
      </c>
      <c r="H356" t="str">
        <f t="shared" si="81"/>
        <v>Display</v>
      </c>
      <c r="I356">
        <f t="shared" si="82"/>
        <v>1350</v>
      </c>
      <c r="J356">
        <f t="shared" si="83"/>
        <v>6</v>
      </c>
      <c r="K356" s="4">
        <f t="shared" si="72"/>
        <v>3.8199999999999998E-2</v>
      </c>
      <c r="L356">
        <f t="shared" si="73"/>
        <v>0.09</v>
      </c>
      <c r="M356" s="4">
        <f t="shared" si="84"/>
        <v>5.1569999999999998E-2</v>
      </c>
      <c r="N356" s="4">
        <f t="shared" si="85"/>
        <v>0.1215</v>
      </c>
    </row>
    <row r="357" spans="1:14">
      <c r="A357" t="str">
        <f t="shared" si="74"/>
        <v>alp_Man-VWCO</v>
      </c>
      <c r="B357" t="str">
        <f t="shared" si="75"/>
        <v>Google Brasil</v>
      </c>
      <c r="C357" t="str">
        <f t="shared" si="76"/>
        <v>google-brasil|mobile|320x50|vw_caminhoes|always_on|produto|criativo_65_worker_17-190|320x50|cpm</v>
      </c>
      <c r="D357" t="str">
        <f t="shared" si="77"/>
        <v>138017803</v>
      </c>
      <c r="E357" t="str">
        <f t="shared" si="78"/>
        <v>Default</v>
      </c>
      <c r="F357" t="str">
        <f t="shared" si="79"/>
        <v>320x50 Default Web Ad</v>
      </c>
      <c r="G357" t="str">
        <f t="shared" si="80"/>
        <v>310387631</v>
      </c>
      <c r="H357" t="str">
        <f t="shared" si="81"/>
        <v>Display</v>
      </c>
      <c r="I357">
        <f t="shared" si="82"/>
        <v>1563</v>
      </c>
      <c r="J357">
        <f t="shared" si="83"/>
        <v>2</v>
      </c>
      <c r="K357" s="4">
        <f t="shared" si="72"/>
        <v>3.8199999999999998E-2</v>
      </c>
      <c r="L357">
        <f t="shared" si="73"/>
        <v>0.09</v>
      </c>
      <c r="M357" s="4">
        <f t="shared" si="84"/>
        <v>5.9706599999999992E-2</v>
      </c>
      <c r="N357" s="4">
        <f t="shared" si="85"/>
        <v>0.14066999999999999</v>
      </c>
    </row>
    <row r="358" spans="1:14">
      <c r="A358" t="str">
        <f t="shared" si="74"/>
        <v>alp_Man-VWCO</v>
      </c>
      <c r="B358" t="str">
        <f t="shared" si="75"/>
        <v>Google Brasil</v>
      </c>
      <c r="C358" t="str">
        <f t="shared" si="76"/>
        <v>google-brasil|mobile|320x50|vw_caminhoes|always_on|produto|criativo_65_worker_17-190|320x50|cpm</v>
      </c>
      <c r="D358" t="str">
        <f t="shared" si="77"/>
        <v>138017803</v>
      </c>
      <c r="E358" t="str">
        <f t="shared" si="78"/>
        <v>Default</v>
      </c>
      <c r="F358" t="str">
        <f t="shared" si="79"/>
        <v>320x50 Default Web Ad</v>
      </c>
      <c r="G358" t="str">
        <f t="shared" si="80"/>
        <v>310387631</v>
      </c>
      <c r="H358" t="str">
        <f t="shared" si="81"/>
        <v>Display</v>
      </c>
      <c r="I358">
        <f t="shared" si="82"/>
        <v>1666</v>
      </c>
      <c r="J358">
        <f t="shared" si="83"/>
        <v>1</v>
      </c>
      <c r="K358" s="4">
        <f t="shared" si="72"/>
        <v>3.8199999999999998E-2</v>
      </c>
      <c r="L358">
        <f t="shared" si="73"/>
        <v>0.09</v>
      </c>
      <c r="M358" s="4">
        <f t="shared" si="84"/>
        <v>6.3641199999999995E-2</v>
      </c>
      <c r="N358" s="4">
        <f t="shared" si="85"/>
        <v>0.14993999999999999</v>
      </c>
    </row>
    <row r="359" spans="1:14">
      <c r="A359" t="str">
        <f t="shared" si="74"/>
        <v>alp_Man-VWCO</v>
      </c>
      <c r="B359" t="str">
        <f t="shared" si="75"/>
        <v>Google Brasil</v>
      </c>
      <c r="C359" t="str">
        <f t="shared" si="76"/>
        <v>google-brasil|mobile|320x50|vw_caminhoes|always_on|produto|criativo_66_constellation_compactor|320x50|cpm</v>
      </c>
      <c r="D359" t="str">
        <f t="shared" si="77"/>
        <v>138017798</v>
      </c>
      <c r="E359" t="str">
        <f t="shared" si="78"/>
        <v>Default</v>
      </c>
      <c r="F359" t="str">
        <f t="shared" si="79"/>
        <v>320x50 Default Web Ad</v>
      </c>
      <c r="G359" t="str">
        <f t="shared" si="80"/>
        <v>310387631</v>
      </c>
      <c r="H359" t="str">
        <f t="shared" si="81"/>
        <v>Display</v>
      </c>
      <c r="I359">
        <f t="shared" si="82"/>
        <v>980</v>
      </c>
      <c r="J359">
        <f t="shared" si="83"/>
        <v>3</v>
      </c>
      <c r="K359" s="4">
        <f t="shared" si="72"/>
        <v>3.8199999999999998E-2</v>
      </c>
      <c r="L359">
        <f t="shared" si="73"/>
        <v>0.09</v>
      </c>
      <c r="M359" s="4">
        <f t="shared" si="84"/>
        <v>3.7435999999999997E-2</v>
      </c>
      <c r="N359" s="4">
        <f t="shared" si="85"/>
        <v>8.8200000000000001E-2</v>
      </c>
    </row>
    <row r="360" spans="1:14">
      <c r="A360" t="str">
        <f t="shared" si="74"/>
        <v>alp_Man-VWCO</v>
      </c>
      <c r="B360" t="str">
        <f t="shared" si="75"/>
        <v>Google Brasil</v>
      </c>
      <c r="C360" t="str">
        <f t="shared" si="76"/>
        <v>google-brasil|mobile|320x50|vw_caminhoes|always_on|produto|criativo_66_constellation_compactor|320x50|cpm</v>
      </c>
      <c r="D360" t="str">
        <f t="shared" si="77"/>
        <v>138017798</v>
      </c>
      <c r="E360" t="str">
        <f t="shared" si="78"/>
        <v>Default</v>
      </c>
      <c r="F360" t="str">
        <f t="shared" si="79"/>
        <v>320x50 Default Web Ad</v>
      </c>
      <c r="G360" t="str">
        <f t="shared" si="80"/>
        <v>310387631</v>
      </c>
      <c r="H360" t="str">
        <f t="shared" si="81"/>
        <v>Display</v>
      </c>
      <c r="I360">
        <f t="shared" si="82"/>
        <v>1008</v>
      </c>
      <c r="J360">
        <f t="shared" si="83"/>
        <v>2</v>
      </c>
      <c r="K360" s="4">
        <f t="shared" si="72"/>
        <v>3.8199999999999998E-2</v>
      </c>
      <c r="L360">
        <f t="shared" si="73"/>
        <v>0.09</v>
      </c>
      <c r="M360" s="4">
        <f t="shared" si="84"/>
        <v>3.8505600000000001E-2</v>
      </c>
      <c r="N360" s="4">
        <f t="shared" si="85"/>
        <v>9.0719999999999995E-2</v>
      </c>
    </row>
    <row r="361" spans="1:14">
      <c r="A361" t="str">
        <f t="shared" si="74"/>
        <v>alp_Man-VWCO</v>
      </c>
      <c r="B361" t="str">
        <f t="shared" si="75"/>
        <v>Google Brasil</v>
      </c>
      <c r="C361" t="str">
        <f t="shared" si="76"/>
        <v>google-brasil|mobile|320x50|vw_caminhoes|always_on|produto|criativo_69_delivery_5-150|320x50|cpm</v>
      </c>
      <c r="D361" t="str">
        <f t="shared" si="77"/>
        <v>138017783</v>
      </c>
      <c r="E361" t="str">
        <f t="shared" si="78"/>
        <v>Default</v>
      </c>
      <c r="F361" t="str">
        <f t="shared" si="79"/>
        <v>320x50 Default Web Ad</v>
      </c>
      <c r="G361" t="str">
        <f t="shared" si="80"/>
        <v>310387631</v>
      </c>
      <c r="H361" t="str">
        <f t="shared" si="81"/>
        <v>Display</v>
      </c>
      <c r="I361">
        <f t="shared" si="82"/>
        <v>3291</v>
      </c>
      <c r="J361">
        <f t="shared" si="83"/>
        <v>10</v>
      </c>
      <c r="K361" s="4">
        <f t="shared" si="72"/>
        <v>3.8199999999999998E-2</v>
      </c>
      <c r="L361">
        <f t="shared" si="73"/>
        <v>0.09</v>
      </c>
      <c r="M361" s="4">
        <f t="shared" si="84"/>
        <v>0.1257162</v>
      </c>
      <c r="N361" s="4">
        <f t="shared" si="85"/>
        <v>0.29619000000000001</v>
      </c>
    </row>
    <row r="362" spans="1:14">
      <c r="A362" t="str">
        <f t="shared" si="74"/>
        <v>alp_Man-VWCO</v>
      </c>
      <c r="B362" t="str">
        <f t="shared" si="75"/>
        <v>Google Brasil</v>
      </c>
      <c r="C362" t="str">
        <f t="shared" si="76"/>
        <v>google-brasil|mobile|320x50|vw_caminhoes|always_on|produto|criativo_69_delivery_5-150|320x50|cpm</v>
      </c>
      <c r="D362" t="str">
        <f t="shared" si="77"/>
        <v>138017783</v>
      </c>
      <c r="E362" t="str">
        <f t="shared" si="78"/>
        <v>Default</v>
      </c>
      <c r="F362" t="str">
        <f t="shared" si="79"/>
        <v>320x50 Default Web Ad</v>
      </c>
      <c r="G362" t="str">
        <f t="shared" si="80"/>
        <v>310387631</v>
      </c>
      <c r="H362" t="str">
        <f t="shared" si="81"/>
        <v>Display</v>
      </c>
      <c r="I362">
        <f t="shared" si="82"/>
        <v>3597</v>
      </c>
      <c r="J362">
        <f t="shared" si="83"/>
        <v>8</v>
      </c>
      <c r="K362" s="4">
        <f t="shared" si="72"/>
        <v>3.8199999999999998E-2</v>
      </c>
      <c r="L362">
        <f t="shared" si="73"/>
        <v>0.09</v>
      </c>
      <c r="M362" s="4">
        <f t="shared" si="84"/>
        <v>0.13740539999999998</v>
      </c>
      <c r="N362" s="4">
        <f t="shared" si="85"/>
        <v>0.32372999999999996</v>
      </c>
    </row>
    <row r="363" spans="1:14">
      <c r="A363" t="str">
        <f t="shared" si="74"/>
        <v>alp_Man-VWCO</v>
      </c>
      <c r="B363" t="str">
        <f t="shared" si="75"/>
        <v>Google Brasil</v>
      </c>
      <c r="C363" t="str">
        <f t="shared" si="76"/>
        <v>google-brasil|mobile|320x50|vw_caminhoes|always_on|produto|criativo_70_delivery_5-150|320x50|cpm</v>
      </c>
      <c r="D363" t="str">
        <f t="shared" si="77"/>
        <v>138017778</v>
      </c>
      <c r="E363" t="str">
        <f t="shared" si="78"/>
        <v>Default</v>
      </c>
      <c r="F363" t="str">
        <f t="shared" si="79"/>
        <v>320x50 Default Web Ad</v>
      </c>
      <c r="G363" t="str">
        <f t="shared" si="80"/>
        <v>310387631</v>
      </c>
      <c r="H363" t="str">
        <f t="shared" si="81"/>
        <v>Display</v>
      </c>
      <c r="I363">
        <f t="shared" si="82"/>
        <v>3507</v>
      </c>
      <c r="J363">
        <f t="shared" si="83"/>
        <v>7</v>
      </c>
      <c r="K363" s="4">
        <f t="shared" si="72"/>
        <v>3.8199999999999998E-2</v>
      </c>
      <c r="L363">
        <f t="shared" si="73"/>
        <v>0.09</v>
      </c>
      <c r="M363" s="4">
        <f t="shared" si="84"/>
        <v>0.13396739999999999</v>
      </c>
      <c r="N363" s="4">
        <f t="shared" si="85"/>
        <v>0.31563000000000002</v>
      </c>
    </row>
    <row r="364" spans="1:14">
      <c r="A364" t="str">
        <f t="shared" si="74"/>
        <v>alp_Man-VWCO</v>
      </c>
      <c r="B364" t="str">
        <f t="shared" si="75"/>
        <v>Google Brasil</v>
      </c>
      <c r="C364" t="str">
        <f t="shared" si="76"/>
        <v>google-brasil|mobile|320x50|vw_caminhoes|always_on|produto|criativo_70_delivery_5-150|320x50|cpm</v>
      </c>
      <c r="D364" t="str">
        <f t="shared" si="77"/>
        <v>138017778</v>
      </c>
      <c r="E364" t="str">
        <f t="shared" si="78"/>
        <v>Default</v>
      </c>
      <c r="F364" t="str">
        <f t="shared" si="79"/>
        <v>320x50 Default Web Ad</v>
      </c>
      <c r="G364" t="str">
        <f t="shared" si="80"/>
        <v>310387631</v>
      </c>
      <c r="H364" t="str">
        <f t="shared" si="81"/>
        <v>Display</v>
      </c>
      <c r="I364">
        <f t="shared" si="82"/>
        <v>4267</v>
      </c>
      <c r="J364">
        <f t="shared" si="83"/>
        <v>12</v>
      </c>
      <c r="K364" s="4">
        <f t="shared" ref="K364:K427" si="86">IF(LEFT(B364,3)="DBM",0,VLOOKUP(E364,tabela,2,FALSE))</f>
        <v>3.8199999999999998E-2</v>
      </c>
      <c r="L364">
        <f t="shared" ref="L364:L427" si="87">VLOOKUP(E364,tabela,3,FALSE)</f>
        <v>0.09</v>
      </c>
      <c r="M364" s="4">
        <f t="shared" si="84"/>
        <v>0.16299939999999999</v>
      </c>
      <c r="N364" s="4">
        <f t="shared" si="85"/>
        <v>0.38402999999999998</v>
      </c>
    </row>
    <row r="365" spans="1:14">
      <c r="A365" t="str">
        <f t="shared" si="74"/>
        <v>alp_Man-VWCO</v>
      </c>
      <c r="B365" t="str">
        <f t="shared" si="75"/>
        <v>Google Brasil</v>
      </c>
      <c r="C365" t="str">
        <f t="shared" si="76"/>
        <v>google-brasil|mobile|320x50|vw_caminhoes|always_on|produto|criativo_71_delivery_5-150|320x50|cpm</v>
      </c>
      <c r="D365" t="str">
        <f t="shared" si="77"/>
        <v>138017773</v>
      </c>
      <c r="E365" t="str">
        <f t="shared" si="78"/>
        <v>Default</v>
      </c>
      <c r="F365" t="str">
        <f t="shared" si="79"/>
        <v>320x50 Default Web Ad</v>
      </c>
      <c r="G365" t="str">
        <f t="shared" si="80"/>
        <v>310387631</v>
      </c>
      <c r="H365" t="str">
        <f t="shared" si="81"/>
        <v>Display</v>
      </c>
      <c r="I365">
        <f t="shared" si="82"/>
        <v>3382</v>
      </c>
      <c r="J365">
        <f t="shared" si="83"/>
        <v>5</v>
      </c>
      <c r="K365" s="4">
        <f t="shared" si="86"/>
        <v>3.8199999999999998E-2</v>
      </c>
      <c r="L365">
        <f t="shared" si="87"/>
        <v>0.09</v>
      </c>
      <c r="M365" s="4">
        <f t="shared" si="84"/>
        <v>0.12919239999999999</v>
      </c>
      <c r="N365" s="4">
        <f t="shared" si="85"/>
        <v>0.30437999999999998</v>
      </c>
    </row>
    <row r="366" spans="1:14">
      <c r="A366" t="str">
        <f t="shared" si="74"/>
        <v>alp_Man-VWCO</v>
      </c>
      <c r="B366" t="str">
        <f t="shared" si="75"/>
        <v>Google Brasil</v>
      </c>
      <c r="C366" t="str">
        <f t="shared" si="76"/>
        <v>google-brasil|mobile|320x50|vw_caminhoes|always_on|produto|criativo_71_delivery_5-150|320x50|cpm</v>
      </c>
      <c r="D366" t="str">
        <f t="shared" si="77"/>
        <v>138017773</v>
      </c>
      <c r="E366" t="str">
        <f t="shared" si="78"/>
        <v>Default</v>
      </c>
      <c r="F366" t="str">
        <f t="shared" si="79"/>
        <v>320x50 Default Web Ad</v>
      </c>
      <c r="G366" t="str">
        <f t="shared" si="80"/>
        <v>310387631</v>
      </c>
      <c r="H366" t="str">
        <f t="shared" si="81"/>
        <v>Display</v>
      </c>
      <c r="I366">
        <f t="shared" si="82"/>
        <v>3816</v>
      </c>
      <c r="J366">
        <f t="shared" si="83"/>
        <v>9</v>
      </c>
      <c r="K366" s="4">
        <f t="shared" si="86"/>
        <v>3.8199999999999998E-2</v>
      </c>
      <c r="L366">
        <f t="shared" si="87"/>
        <v>0.09</v>
      </c>
      <c r="M366" s="4">
        <f t="shared" si="84"/>
        <v>0.14577119999999999</v>
      </c>
      <c r="N366" s="4">
        <f t="shared" si="85"/>
        <v>0.34344000000000002</v>
      </c>
    </row>
    <row r="367" spans="1:14">
      <c r="A367" t="str">
        <f t="shared" si="74"/>
        <v>alp_Man-VWCO</v>
      </c>
      <c r="B367" t="str">
        <f t="shared" si="75"/>
        <v>Google Brasil</v>
      </c>
      <c r="C367" t="str">
        <f t="shared" si="76"/>
        <v>google-brasil|mobile|320x50|vw_caminhoes|always_on|produto|criativo_72_delivery_5-150|320x50|cpm</v>
      </c>
      <c r="D367" t="str">
        <f t="shared" si="77"/>
        <v>138017768</v>
      </c>
      <c r="E367" t="str">
        <f t="shared" si="78"/>
        <v>Default</v>
      </c>
      <c r="F367" t="str">
        <f t="shared" si="79"/>
        <v>320x50 Default Web Ad</v>
      </c>
      <c r="G367" t="str">
        <f t="shared" si="80"/>
        <v>310387631</v>
      </c>
      <c r="H367" t="str">
        <f t="shared" si="81"/>
        <v>Display</v>
      </c>
      <c r="I367">
        <f t="shared" si="82"/>
        <v>3425</v>
      </c>
      <c r="J367">
        <f t="shared" si="83"/>
        <v>10</v>
      </c>
      <c r="K367" s="4">
        <f t="shared" si="86"/>
        <v>3.8199999999999998E-2</v>
      </c>
      <c r="L367">
        <f t="shared" si="87"/>
        <v>0.09</v>
      </c>
      <c r="M367" s="4">
        <f t="shared" si="84"/>
        <v>0.13083499999999998</v>
      </c>
      <c r="N367" s="4">
        <f t="shared" si="85"/>
        <v>0.30825000000000002</v>
      </c>
    </row>
    <row r="368" spans="1:14">
      <c r="A368" t="str">
        <f t="shared" si="74"/>
        <v>alp_Man-VWCO</v>
      </c>
      <c r="B368" t="str">
        <f t="shared" si="75"/>
        <v>Google Brasil</v>
      </c>
      <c r="C368" t="str">
        <f t="shared" si="76"/>
        <v>google-brasil|mobile|320x50|vw_caminhoes|always_on|produto|criativo_72_delivery_5-150|320x50|cpm</v>
      </c>
      <c r="D368" t="str">
        <f t="shared" si="77"/>
        <v>138017768</v>
      </c>
      <c r="E368" t="str">
        <f t="shared" si="78"/>
        <v>Default</v>
      </c>
      <c r="F368" t="str">
        <f t="shared" si="79"/>
        <v>320x50 Default Web Ad</v>
      </c>
      <c r="G368" t="str">
        <f t="shared" si="80"/>
        <v>310387631</v>
      </c>
      <c r="H368" t="str">
        <f t="shared" si="81"/>
        <v>Display</v>
      </c>
      <c r="I368">
        <f t="shared" si="82"/>
        <v>3813</v>
      </c>
      <c r="J368">
        <f t="shared" si="83"/>
        <v>11</v>
      </c>
      <c r="K368" s="4">
        <f t="shared" si="86"/>
        <v>3.8199999999999998E-2</v>
      </c>
      <c r="L368">
        <f t="shared" si="87"/>
        <v>0.09</v>
      </c>
      <c r="M368" s="4">
        <f t="shared" si="84"/>
        <v>0.1456566</v>
      </c>
      <c r="N368" s="4">
        <f t="shared" si="85"/>
        <v>0.34316999999999998</v>
      </c>
    </row>
    <row r="369" spans="1:14">
      <c r="A369" t="str">
        <f t="shared" si="74"/>
        <v>alp_Man-VWCO</v>
      </c>
      <c r="B369" t="str">
        <f t="shared" si="75"/>
        <v>Google Brasil</v>
      </c>
      <c r="C369" t="str">
        <f t="shared" si="76"/>
        <v>google-brasil|mobile|320x50|vw_caminhoes|always_on|produto|criativo_73_delivery_8-160|320x50|cpm</v>
      </c>
      <c r="D369" t="str">
        <f t="shared" si="77"/>
        <v>138017763</v>
      </c>
      <c r="E369" t="str">
        <f t="shared" si="78"/>
        <v>Default</v>
      </c>
      <c r="F369" t="str">
        <f t="shared" si="79"/>
        <v>320x50 Default Web Ad</v>
      </c>
      <c r="G369" t="str">
        <f t="shared" si="80"/>
        <v>310387631</v>
      </c>
      <c r="H369" t="str">
        <f t="shared" si="81"/>
        <v>Display</v>
      </c>
      <c r="I369">
        <f t="shared" si="82"/>
        <v>3610</v>
      </c>
      <c r="J369">
        <f t="shared" si="83"/>
        <v>12</v>
      </c>
      <c r="K369" s="4">
        <f t="shared" si="86"/>
        <v>3.8199999999999998E-2</v>
      </c>
      <c r="L369">
        <f t="shared" si="87"/>
        <v>0.09</v>
      </c>
      <c r="M369" s="4">
        <f t="shared" si="84"/>
        <v>0.137902</v>
      </c>
      <c r="N369" s="4">
        <f t="shared" si="85"/>
        <v>0.32489999999999997</v>
      </c>
    </row>
    <row r="370" spans="1:14">
      <c r="A370" t="str">
        <f t="shared" si="74"/>
        <v>alp_Man-VWCO</v>
      </c>
      <c r="B370" t="str">
        <f t="shared" si="75"/>
        <v>Google Brasil</v>
      </c>
      <c r="C370" t="str">
        <f t="shared" si="76"/>
        <v>google-brasil|mobile|320x50|vw_caminhoes|always_on|produto|criativo_73_delivery_8-160|320x50|cpm</v>
      </c>
      <c r="D370" t="str">
        <f t="shared" si="77"/>
        <v>138017763</v>
      </c>
      <c r="E370" t="str">
        <f t="shared" si="78"/>
        <v>Default</v>
      </c>
      <c r="F370" t="str">
        <f t="shared" si="79"/>
        <v>320x50 Default Web Ad</v>
      </c>
      <c r="G370" t="str">
        <f t="shared" si="80"/>
        <v>310387631</v>
      </c>
      <c r="H370" t="str">
        <f t="shared" si="81"/>
        <v>Display</v>
      </c>
      <c r="I370">
        <f t="shared" si="82"/>
        <v>6063</v>
      </c>
      <c r="J370">
        <f t="shared" si="83"/>
        <v>26</v>
      </c>
      <c r="K370" s="4">
        <f t="shared" si="86"/>
        <v>3.8199999999999998E-2</v>
      </c>
      <c r="L370">
        <f t="shared" si="87"/>
        <v>0.09</v>
      </c>
      <c r="M370" s="4">
        <f t="shared" si="84"/>
        <v>0.2316066</v>
      </c>
      <c r="N370" s="4">
        <f t="shared" si="85"/>
        <v>0.54566999999999999</v>
      </c>
    </row>
    <row r="371" spans="1:14">
      <c r="A371" t="str">
        <f t="shared" si="74"/>
        <v>alp_Man-VWCO</v>
      </c>
      <c r="B371" t="str">
        <f t="shared" si="75"/>
        <v>Google Brasil</v>
      </c>
      <c r="C371" t="str">
        <f t="shared" si="76"/>
        <v>google-brasil|mobile|320x50|vw_caminhoes|always_on|produto|criativo_74_delivery_8-160|320x50|cpm</v>
      </c>
      <c r="D371" t="str">
        <f t="shared" si="77"/>
        <v>138017758</v>
      </c>
      <c r="E371" t="str">
        <f t="shared" si="78"/>
        <v>Default</v>
      </c>
      <c r="F371" t="str">
        <f t="shared" si="79"/>
        <v>320x50 Default Web Ad</v>
      </c>
      <c r="G371" t="str">
        <f t="shared" si="80"/>
        <v>310387631</v>
      </c>
      <c r="H371" t="str">
        <f t="shared" si="81"/>
        <v>Display</v>
      </c>
      <c r="I371">
        <f t="shared" si="82"/>
        <v>3637</v>
      </c>
      <c r="J371">
        <f t="shared" si="83"/>
        <v>12</v>
      </c>
      <c r="K371" s="4">
        <f t="shared" si="86"/>
        <v>3.8199999999999998E-2</v>
      </c>
      <c r="L371">
        <f t="shared" si="87"/>
        <v>0.09</v>
      </c>
      <c r="M371" s="4">
        <f t="shared" si="84"/>
        <v>0.13893340000000001</v>
      </c>
      <c r="N371" s="4">
        <f t="shared" si="85"/>
        <v>0.32733000000000001</v>
      </c>
    </row>
    <row r="372" spans="1:14">
      <c r="A372" t="str">
        <f t="shared" si="74"/>
        <v>alp_Man-VWCO</v>
      </c>
      <c r="B372" t="str">
        <f t="shared" si="75"/>
        <v>Google Brasil</v>
      </c>
      <c r="C372" t="str">
        <f t="shared" si="76"/>
        <v>google-brasil|mobile|320x50|vw_caminhoes|always_on|produto|criativo_74_delivery_8-160|320x50|cpm</v>
      </c>
      <c r="D372" t="str">
        <f t="shared" si="77"/>
        <v>138017758</v>
      </c>
      <c r="E372" t="str">
        <f t="shared" si="78"/>
        <v>Default</v>
      </c>
      <c r="F372" t="str">
        <f t="shared" si="79"/>
        <v>320x50 Default Web Ad</v>
      </c>
      <c r="G372" t="str">
        <f t="shared" si="80"/>
        <v>310387631</v>
      </c>
      <c r="H372" t="str">
        <f t="shared" si="81"/>
        <v>Display</v>
      </c>
      <c r="I372">
        <f t="shared" si="82"/>
        <v>4548</v>
      </c>
      <c r="J372">
        <f t="shared" si="83"/>
        <v>13</v>
      </c>
      <c r="K372" s="4">
        <f t="shared" si="86"/>
        <v>3.8199999999999998E-2</v>
      </c>
      <c r="L372">
        <f t="shared" si="87"/>
        <v>0.09</v>
      </c>
      <c r="M372" s="4">
        <f t="shared" si="84"/>
        <v>0.17373359999999999</v>
      </c>
      <c r="N372" s="4">
        <f t="shared" si="85"/>
        <v>0.40932000000000002</v>
      </c>
    </row>
    <row r="373" spans="1:14">
      <c r="A373" t="str">
        <f t="shared" si="74"/>
        <v>alp_Man-VWCO</v>
      </c>
      <c r="B373" t="str">
        <f t="shared" si="75"/>
        <v>Google Brasil</v>
      </c>
      <c r="C373" t="str">
        <f t="shared" si="76"/>
        <v>google-brasil|mobile|320x50|vw_caminhoes|always_on|produto|criativo_75_delivery_8-160|320x50|cpm</v>
      </c>
      <c r="D373" t="str">
        <f t="shared" si="77"/>
        <v>138017753</v>
      </c>
      <c r="E373" t="str">
        <f t="shared" si="78"/>
        <v>Default</v>
      </c>
      <c r="F373" t="str">
        <f t="shared" si="79"/>
        <v>320x50 Default Web Ad</v>
      </c>
      <c r="G373" t="str">
        <f t="shared" si="80"/>
        <v>310387631</v>
      </c>
      <c r="H373" t="str">
        <f t="shared" si="81"/>
        <v>Display</v>
      </c>
      <c r="I373">
        <f t="shared" si="82"/>
        <v>3844</v>
      </c>
      <c r="J373">
        <f t="shared" si="83"/>
        <v>8</v>
      </c>
      <c r="K373" s="4">
        <f t="shared" si="86"/>
        <v>3.8199999999999998E-2</v>
      </c>
      <c r="L373">
        <f t="shared" si="87"/>
        <v>0.09</v>
      </c>
      <c r="M373" s="4">
        <f t="shared" si="84"/>
        <v>0.14684079999999999</v>
      </c>
      <c r="N373" s="4">
        <f t="shared" si="85"/>
        <v>0.34595999999999999</v>
      </c>
    </row>
    <row r="374" spans="1:14">
      <c r="A374" t="str">
        <f t="shared" si="74"/>
        <v>alp_Man-VWCO</v>
      </c>
      <c r="B374" t="str">
        <f t="shared" si="75"/>
        <v>Google Brasil</v>
      </c>
      <c r="C374" t="str">
        <f t="shared" si="76"/>
        <v>google-brasil|mobile|320x50|vw_caminhoes|always_on|produto|criativo_75_delivery_8-160|320x50|cpm</v>
      </c>
      <c r="D374" t="str">
        <f t="shared" si="77"/>
        <v>138017753</v>
      </c>
      <c r="E374" t="str">
        <f t="shared" si="78"/>
        <v>Default</v>
      </c>
      <c r="F374" t="str">
        <f t="shared" si="79"/>
        <v>320x50 Default Web Ad</v>
      </c>
      <c r="G374" t="str">
        <f t="shared" si="80"/>
        <v>310387631</v>
      </c>
      <c r="H374" t="str">
        <f t="shared" si="81"/>
        <v>Display</v>
      </c>
      <c r="I374">
        <f t="shared" si="82"/>
        <v>3846</v>
      </c>
      <c r="J374">
        <f t="shared" si="83"/>
        <v>6</v>
      </c>
      <c r="K374" s="4">
        <f t="shared" si="86"/>
        <v>3.8199999999999998E-2</v>
      </c>
      <c r="L374">
        <f t="shared" si="87"/>
        <v>0.09</v>
      </c>
      <c r="M374" s="4">
        <f t="shared" si="84"/>
        <v>0.14691719999999997</v>
      </c>
      <c r="N374" s="4">
        <f t="shared" si="85"/>
        <v>0.34614</v>
      </c>
    </row>
    <row r="375" spans="1:14">
      <c r="A375" t="str">
        <f t="shared" si="74"/>
        <v>alp_Man-VWCO</v>
      </c>
      <c r="B375" t="str">
        <f t="shared" si="75"/>
        <v>Google Brasil</v>
      </c>
      <c r="C375" t="str">
        <f t="shared" si="76"/>
        <v>google-brasil|mobile|320x50|vw_caminhoes|always_on|produto|criativo_76_delivery_8-160|320x50|cpm</v>
      </c>
      <c r="D375" t="str">
        <f t="shared" si="77"/>
        <v>138017748</v>
      </c>
      <c r="E375" t="str">
        <f t="shared" si="78"/>
        <v>Default</v>
      </c>
      <c r="F375" t="str">
        <f t="shared" si="79"/>
        <v>320x50 Default Web Ad</v>
      </c>
      <c r="G375" t="str">
        <f t="shared" si="80"/>
        <v>310387631</v>
      </c>
      <c r="H375" t="str">
        <f t="shared" si="81"/>
        <v>Display</v>
      </c>
      <c r="I375">
        <f t="shared" si="82"/>
        <v>3527</v>
      </c>
      <c r="J375">
        <f t="shared" si="83"/>
        <v>6</v>
      </c>
      <c r="K375" s="4">
        <f t="shared" si="86"/>
        <v>3.8199999999999998E-2</v>
      </c>
      <c r="L375">
        <f t="shared" si="87"/>
        <v>0.09</v>
      </c>
      <c r="M375" s="4">
        <f t="shared" si="84"/>
        <v>0.13473139999999997</v>
      </c>
      <c r="N375" s="4">
        <f t="shared" si="85"/>
        <v>0.31742999999999999</v>
      </c>
    </row>
    <row r="376" spans="1:14">
      <c r="A376" t="str">
        <f t="shared" si="74"/>
        <v>alp_Man-VWCO</v>
      </c>
      <c r="B376" t="str">
        <f t="shared" si="75"/>
        <v>Google Brasil</v>
      </c>
      <c r="C376" t="str">
        <f t="shared" si="76"/>
        <v>google-brasil|mobile|320x50|vw_caminhoes|always_on|produto|criativo_76_delivery_8-160|320x50|cpm</v>
      </c>
      <c r="D376" t="str">
        <f t="shared" si="77"/>
        <v>138017748</v>
      </c>
      <c r="E376" t="str">
        <f t="shared" si="78"/>
        <v>Default</v>
      </c>
      <c r="F376" t="str">
        <f t="shared" si="79"/>
        <v>320x50 Default Web Ad</v>
      </c>
      <c r="G376" t="str">
        <f t="shared" si="80"/>
        <v>310387631</v>
      </c>
      <c r="H376" t="str">
        <f t="shared" si="81"/>
        <v>Display</v>
      </c>
      <c r="I376">
        <f t="shared" si="82"/>
        <v>4426</v>
      </c>
      <c r="J376">
        <f t="shared" si="83"/>
        <v>11</v>
      </c>
      <c r="K376" s="4">
        <f t="shared" si="86"/>
        <v>3.8199999999999998E-2</v>
      </c>
      <c r="L376">
        <f t="shared" si="87"/>
        <v>0.09</v>
      </c>
      <c r="M376" s="4">
        <f t="shared" si="84"/>
        <v>0.16907319999999998</v>
      </c>
      <c r="N376" s="4">
        <f t="shared" si="85"/>
        <v>0.39833999999999997</v>
      </c>
    </row>
    <row r="377" spans="1:14">
      <c r="A377" t="str">
        <f t="shared" si="74"/>
        <v>alp_Man-VWCO</v>
      </c>
      <c r="B377" t="str">
        <f t="shared" si="75"/>
        <v>Google Brasil</v>
      </c>
      <c r="C377" t="str">
        <f t="shared" si="76"/>
        <v>google-brasil|mobile|320x50|vw_caminhoes|always_on|produto|criativo_77_delivery_8-160|320x50|cpm</v>
      </c>
      <c r="D377" t="str">
        <f t="shared" si="77"/>
        <v>138017743</v>
      </c>
      <c r="E377" t="str">
        <f t="shared" si="78"/>
        <v>Default</v>
      </c>
      <c r="F377" t="str">
        <f t="shared" si="79"/>
        <v>320x50 Default Web Ad</v>
      </c>
      <c r="G377" t="str">
        <f t="shared" si="80"/>
        <v>310387631</v>
      </c>
      <c r="H377" t="str">
        <f t="shared" si="81"/>
        <v>Display</v>
      </c>
      <c r="I377">
        <f t="shared" si="82"/>
        <v>3615</v>
      </c>
      <c r="J377">
        <f t="shared" si="83"/>
        <v>6</v>
      </c>
      <c r="K377" s="4">
        <f t="shared" si="86"/>
        <v>3.8199999999999998E-2</v>
      </c>
      <c r="L377">
        <f t="shared" si="87"/>
        <v>0.09</v>
      </c>
      <c r="M377" s="4">
        <f t="shared" si="84"/>
        <v>0.13809299999999999</v>
      </c>
      <c r="N377" s="4">
        <f t="shared" si="85"/>
        <v>0.32534999999999997</v>
      </c>
    </row>
    <row r="378" spans="1:14">
      <c r="A378" t="str">
        <f t="shared" si="74"/>
        <v>alp_Man-VWCO</v>
      </c>
      <c r="B378" t="str">
        <f t="shared" si="75"/>
        <v>Google Brasil</v>
      </c>
      <c r="C378" t="str">
        <f t="shared" si="76"/>
        <v>google-brasil|mobile|320x50|vw_caminhoes|always_on|produto|criativo_77_delivery_8-160|320x50|cpm</v>
      </c>
      <c r="D378" t="str">
        <f t="shared" si="77"/>
        <v>138017743</v>
      </c>
      <c r="E378" t="str">
        <f t="shared" si="78"/>
        <v>Default</v>
      </c>
      <c r="F378" t="str">
        <f t="shared" si="79"/>
        <v>320x50 Default Web Ad</v>
      </c>
      <c r="G378" t="str">
        <f t="shared" si="80"/>
        <v>310387631</v>
      </c>
      <c r="H378" t="str">
        <f t="shared" si="81"/>
        <v>Display</v>
      </c>
      <c r="I378">
        <f t="shared" si="82"/>
        <v>4187</v>
      </c>
      <c r="J378">
        <f t="shared" si="83"/>
        <v>14</v>
      </c>
      <c r="K378" s="4">
        <f t="shared" si="86"/>
        <v>3.8199999999999998E-2</v>
      </c>
      <c r="L378">
        <f t="shared" si="87"/>
        <v>0.09</v>
      </c>
      <c r="M378" s="4">
        <f t="shared" si="84"/>
        <v>0.15994339999999999</v>
      </c>
      <c r="N378" s="4">
        <f t="shared" si="85"/>
        <v>0.37683</v>
      </c>
    </row>
    <row r="379" spans="1:14">
      <c r="A379" t="str">
        <f t="shared" si="74"/>
        <v>alp_Man-VWCO</v>
      </c>
      <c r="B379" t="str">
        <f t="shared" si="75"/>
        <v>Google Brasil</v>
      </c>
      <c r="C379" t="str">
        <f t="shared" si="76"/>
        <v>google-brasil|mobile|320x50|vw_caminhoes|always_on|produto|criativo_78_delivery_8-160|320x50|cpm</v>
      </c>
      <c r="D379" t="str">
        <f t="shared" si="77"/>
        <v>138017738</v>
      </c>
      <c r="E379" t="str">
        <f t="shared" si="78"/>
        <v>Default</v>
      </c>
      <c r="F379" t="str">
        <f t="shared" si="79"/>
        <v>320x50 Default Web Ad</v>
      </c>
      <c r="G379" t="str">
        <f t="shared" si="80"/>
        <v>310387631</v>
      </c>
      <c r="H379" t="str">
        <f t="shared" si="81"/>
        <v>Display</v>
      </c>
      <c r="I379">
        <f t="shared" si="82"/>
        <v>3659</v>
      </c>
      <c r="J379">
        <f t="shared" si="83"/>
        <v>12</v>
      </c>
      <c r="K379" s="4">
        <f t="shared" si="86"/>
        <v>3.8199999999999998E-2</v>
      </c>
      <c r="L379">
        <f t="shared" si="87"/>
        <v>0.09</v>
      </c>
      <c r="M379" s="4">
        <f t="shared" si="84"/>
        <v>0.1397738</v>
      </c>
      <c r="N379" s="4">
        <f t="shared" si="85"/>
        <v>0.32930999999999999</v>
      </c>
    </row>
    <row r="380" spans="1:14">
      <c r="A380" t="str">
        <f t="shared" si="74"/>
        <v>alp_Man-VWCO</v>
      </c>
      <c r="B380" t="str">
        <f t="shared" si="75"/>
        <v>Google Brasil</v>
      </c>
      <c r="C380" t="str">
        <f t="shared" si="76"/>
        <v>google-brasil|mobile|320x50|vw_caminhoes|always_on|produto|criativo_78_delivery_8-160|320x50|cpm</v>
      </c>
      <c r="D380" t="str">
        <f t="shared" si="77"/>
        <v>138017738</v>
      </c>
      <c r="E380" t="str">
        <f t="shared" si="78"/>
        <v>Default</v>
      </c>
      <c r="F380" t="str">
        <f t="shared" si="79"/>
        <v>320x50 Default Web Ad</v>
      </c>
      <c r="G380" t="str">
        <f t="shared" si="80"/>
        <v>310387631</v>
      </c>
      <c r="H380" t="str">
        <f t="shared" si="81"/>
        <v>Display</v>
      </c>
      <c r="I380">
        <f t="shared" si="82"/>
        <v>4309</v>
      </c>
      <c r="J380">
        <f t="shared" si="83"/>
        <v>9</v>
      </c>
      <c r="K380" s="4">
        <f t="shared" si="86"/>
        <v>3.8199999999999998E-2</v>
      </c>
      <c r="L380">
        <f t="shared" si="87"/>
        <v>0.09</v>
      </c>
      <c r="M380" s="4">
        <f t="shared" si="84"/>
        <v>0.16460379999999997</v>
      </c>
      <c r="N380" s="4">
        <f t="shared" si="85"/>
        <v>0.38780999999999999</v>
      </c>
    </row>
    <row r="381" spans="1:14">
      <c r="A381" t="str">
        <f t="shared" si="74"/>
        <v>alp_Man-VWCO</v>
      </c>
      <c r="B381" t="str">
        <f t="shared" si="75"/>
        <v>Google Brasil</v>
      </c>
      <c r="C381" t="str">
        <f t="shared" si="76"/>
        <v>google-brasil|mobile|320x50|vw_caminhoes|always_on|produto|criativo_84_delivery_9-160|320x50|cpm</v>
      </c>
      <c r="D381" t="str">
        <f t="shared" si="77"/>
        <v>138017708</v>
      </c>
      <c r="E381" t="str">
        <f t="shared" si="78"/>
        <v>Default</v>
      </c>
      <c r="F381" t="str">
        <f t="shared" si="79"/>
        <v>320x50 Default Web Ad</v>
      </c>
      <c r="G381" t="str">
        <f t="shared" si="80"/>
        <v>310387631</v>
      </c>
      <c r="H381" t="str">
        <f t="shared" si="81"/>
        <v>Display</v>
      </c>
      <c r="I381">
        <f t="shared" si="82"/>
        <v>2316</v>
      </c>
      <c r="J381">
        <f t="shared" si="83"/>
        <v>4</v>
      </c>
      <c r="K381" s="4">
        <f t="shared" si="86"/>
        <v>3.8199999999999998E-2</v>
      </c>
      <c r="L381">
        <f t="shared" si="87"/>
        <v>0.09</v>
      </c>
      <c r="M381" s="4">
        <f t="shared" si="84"/>
        <v>8.84712E-2</v>
      </c>
      <c r="N381" s="4">
        <f t="shared" si="85"/>
        <v>0.20843999999999999</v>
      </c>
    </row>
    <row r="382" spans="1:14">
      <c r="A382" t="str">
        <f t="shared" si="74"/>
        <v>alp_Man-VWCO</v>
      </c>
      <c r="B382" t="str">
        <f t="shared" si="75"/>
        <v>Google Brasil</v>
      </c>
      <c r="C382" t="str">
        <f t="shared" si="76"/>
        <v>google-brasil|mobile|320x50|vw_caminhoes|always_on|produto|criativo_84_delivery_9-160|320x50|cpm</v>
      </c>
      <c r="D382" t="str">
        <f t="shared" si="77"/>
        <v>138017708</v>
      </c>
      <c r="E382" t="str">
        <f t="shared" si="78"/>
        <v>Default</v>
      </c>
      <c r="F382" t="str">
        <f t="shared" si="79"/>
        <v>320x50 Default Web Ad</v>
      </c>
      <c r="G382" t="str">
        <f t="shared" si="80"/>
        <v>310387631</v>
      </c>
      <c r="H382" t="str">
        <f t="shared" si="81"/>
        <v>Display</v>
      </c>
      <c r="I382">
        <f t="shared" si="82"/>
        <v>3058</v>
      </c>
      <c r="J382">
        <f t="shared" si="83"/>
        <v>4</v>
      </c>
      <c r="K382" s="4">
        <f t="shared" si="86"/>
        <v>3.8199999999999998E-2</v>
      </c>
      <c r="L382">
        <f t="shared" si="87"/>
        <v>0.09</v>
      </c>
      <c r="M382" s="4">
        <f t="shared" si="84"/>
        <v>0.11681559999999999</v>
      </c>
      <c r="N382" s="4">
        <f t="shared" si="85"/>
        <v>0.27521999999999996</v>
      </c>
    </row>
    <row r="383" spans="1:14">
      <c r="A383" t="str">
        <f t="shared" si="74"/>
        <v>alp_Man-VWCO</v>
      </c>
      <c r="B383" t="str">
        <f t="shared" si="75"/>
        <v>Google Brasil</v>
      </c>
      <c r="C383" t="str">
        <f t="shared" si="76"/>
        <v>google-brasil|mobile|320x50|vw_caminhoes|always_on|produto|criativo_85_delivery_9-160|320x50|cpm</v>
      </c>
      <c r="D383" t="str">
        <f t="shared" si="77"/>
        <v>138017703</v>
      </c>
      <c r="E383" t="str">
        <f t="shared" si="78"/>
        <v>Default</v>
      </c>
      <c r="F383" t="str">
        <f t="shared" si="79"/>
        <v>320x50 Default Web Ad</v>
      </c>
      <c r="G383" t="str">
        <f t="shared" si="80"/>
        <v>310387631</v>
      </c>
      <c r="H383" t="str">
        <f t="shared" si="81"/>
        <v>Display</v>
      </c>
      <c r="I383">
        <f t="shared" si="82"/>
        <v>2525</v>
      </c>
      <c r="J383">
        <f t="shared" si="83"/>
        <v>3</v>
      </c>
      <c r="K383" s="4">
        <f t="shared" si="86"/>
        <v>3.8199999999999998E-2</v>
      </c>
      <c r="L383">
        <f t="shared" si="87"/>
        <v>0.09</v>
      </c>
      <c r="M383" s="4">
        <f t="shared" si="84"/>
        <v>9.6454999999999999E-2</v>
      </c>
      <c r="N383" s="4">
        <f t="shared" si="85"/>
        <v>0.22725000000000001</v>
      </c>
    </row>
    <row r="384" spans="1:14">
      <c r="A384" t="str">
        <f t="shared" si="74"/>
        <v>alp_Man-VWCO</v>
      </c>
      <c r="B384" t="str">
        <f t="shared" si="75"/>
        <v>Google Brasil</v>
      </c>
      <c r="C384" t="str">
        <f t="shared" si="76"/>
        <v>google-brasil|mobile|320x50|vw_caminhoes|always_on|produto|criativo_85_delivery_9-160|320x50|cpm</v>
      </c>
      <c r="D384" t="str">
        <f t="shared" si="77"/>
        <v>138017703</v>
      </c>
      <c r="E384" t="str">
        <f t="shared" si="78"/>
        <v>Default</v>
      </c>
      <c r="F384" t="str">
        <f t="shared" si="79"/>
        <v>320x50 Default Web Ad</v>
      </c>
      <c r="G384" t="str">
        <f t="shared" si="80"/>
        <v>310387631</v>
      </c>
      <c r="H384" t="str">
        <f t="shared" si="81"/>
        <v>Display</v>
      </c>
      <c r="I384">
        <f t="shared" si="82"/>
        <v>2479</v>
      </c>
      <c r="J384">
        <f t="shared" si="83"/>
        <v>4</v>
      </c>
      <c r="K384" s="4">
        <f t="shared" si="86"/>
        <v>3.8199999999999998E-2</v>
      </c>
      <c r="L384">
        <f t="shared" si="87"/>
        <v>0.09</v>
      </c>
      <c r="M384" s="4">
        <f t="shared" si="84"/>
        <v>9.4697799999999999E-2</v>
      </c>
      <c r="N384" s="4">
        <f t="shared" si="85"/>
        <v>0.22310999999999998</v>
      </c>
    </row>
    <row r="385" spans="1:14">
      <c r="A385" t="str">
        <f t="shared" si="74"/>
        <v>alp_Man-VWCO</v>
      </c>
      <c r="B385" t="str">
        <f t="shared" si="75"/>
        <v>Google Brasil</v>
      </c>
      <c r="C385" t="str">
        <f t="shared" si="76"/>
        <v>google-brasil|mobile|320x50|vw_caminhoes|always_on|produto|criativo_86_delivery_9-160|320x50|cpm</v>
      </c>
      <c r="D385" t="str">
        <f t="shared" si="77"/>
        <v>138015898</v>
      </c>
      <c r="E385" t="str">
        <f t="shared" si="78"/>
        <v>Default</v>
      </c>
      <c r="F385" t="str">
        <f t="shared" si="79"/>
        <v>320x50 Default Web Ad</v>
      </c>
      <c r="G385" t="str">
        <f t="shared" si="80"/>
        <v>310387631</v>
      </c>
      <c r="H385" t="str">
        <f t="shared" si="81"/>
        <v>Display</v>
      </c>
      <c r="I385">
        <f t="shared" si="82"/>
        <v>2179</v>
      </c>
      <c r="J385">
        <f t="shared" si="83"/>
        <v>1</v>
      </c>
      <c r="K385" s="4">
        <f t="shared" si="86"/>
        <v>3.8199999999999998E-2</v>
      </c>
      <c r="L385">
        <f t="shared" si="87"/>
        <v>0.09</v>
      </c>
      <c r="M385" s="4">
        <f t="shared" si="84"/>
        <v>8.3237799999999987E-2</v>
      </c>
      <c r="N385" s="4">
        <f t="shared" si="85"/>
        <v>0.19610999999999998</v>
      </c>
    </row>
    <row r="386" spans="1:14">
      <c r="A386" t="str">
        <f t="shared" ref="A386:A449" si="88">bd_campaign</f>
        <v>alp_Man-VWCO</v>
      </c>
      <c r="B386" t="str">
        <f t="shared" ref="B386:B449" si="89">bd_site</f>
        <v>Google Brasil</v>
      </c>
      <c r="C386" t="str">
        <f t="shared" ref="C386:C449" si="90">bd_placement</f>
        <v>google-brasil|mobile|320x50|vw_caminhoes|always_on|produto|criativo_86_delivery_9-160|320x50|cpm</v>
      </c>
      <c r="D386" t="str">
        <f t="shared" ref="D386:D449" si="91">bd_placementID</f>
        <v>138015898</v>
      </c>
      <c r="E386" t="str">
        <f t="shared" ref="E386:E449" si="92">VLOOKUP(CONCATENATE(bd_adtype,"_",bd_creativetype),tabela,2,FALSE)</f>
        <v>Default</v>
      </c>
      <c r="F386" t="str">
        <f t="shared" ref="F386:F449" si="93">bd_ad</f>
        <v>320x50 Default Web Ad</v>
      </c>
      <c r="G386" t="str">
        <f t="shared" ref="G386:G449" si="94">bd_adid</f>
        <v>310387631</v>
      </c>
      <c r="H386" t="str">
        <f t="shared" ref="H386:H449" si="95">bd_creativetype</f>
        <v>Display</v>
      </c>
      <c r="I386">
        <f t="shared" ref="I386:I449" si="96">bd_impression</f>
        <v>2871</v>
      </c>
      <c r="J386">
        <f t="shared" ref="J386:J449" si="97">bd_clicks</f>
        <v>6</v>
      </c>
      <c r="K386" s="4">
        <f t="shared" si="86"/>
        <v>3.8199999999999998E-2</v>
      </c>
      <c r="L386">
        <f t="shared" si="87"/>
        <v>0.09</v>
      </c>
      <c r="M386" s="4">
        <f t="shared" si="84"/>
        <v>0.10967219999999998</v>
      </c>
      <c r="N386" s="4">
        <f t="shared" si="85"/>
        <v>0.25839000000000001</v>
      </c>
    </row>
    <row r="387" spans="1:14">
      <c r="A387" t="str">
        <f t="shared" si="88"/>
        <v>alp_Man-VWCO</v>
      </c>
      <c r="B387" t="str">
        <f t="shared" si="89"/>
        <v>Google Brasil</v>
      </c>
      <c r="C387" t="str">
        <f t="shared" si="90"/>
        <v>google-brasil|mobile|320x50|vw_caminhoes|always_on|produto|criativo_87_delivery_9-160|320x50|cpm</v>
      </c>
      <c r="D387" t="str">
        <f t="shared" si="91"/>
        <v>138015893</v>
      </c>
      <c r="E387" t="str">
        <f t="shared" si="92"/>
        <v>Default</v>
      </c>
      <c r="F387" t="str">
        <f t="shared" si="93"/>
        <v>320x50 Default Web Ad</v>
      </c>
      <c r="G387" t="str">
        <f t="shared" si="94"/>
        <v>310387631</v>
      </c>
      <c r="H387" t="str">
        <f t="shared" si="95"/>
        <v>Display</v>
      </c>
      <c r="I387">
        <f t="shared" si="96"/>
        <v>2683</v>
      </c>
      <c r="J387">
        <f t="shared" si="97"/>
        <v>4</v>
      </c>
      <c r="K387" s="4">
        <f t="shared" si="86"/>
        <v>3.8199999999999998E-2</v>
      </c>
      <c r="L387">
        <f t="shared" si="87"/>
        <v>0.09</v>
      </c>
      <c r="M387" s="4">
        <f t="shared" si="84"/>
        <v>0.1024906</v>
      </c>
      <c r="N387" s="4">
        <f t="shared" si="85"/>
        <v>0.24146999999999999</v>
      </c>
    </row>
    <row r="388" spans="1:14">
      <c r="A388" t="str">
        <f t="shared" si="88"/>
        <v>alp_Man-VWCO</v>
      </c>
      <c r="B388" t="str">
        <f t="shared" si="89"/>
        <v>Google Brasil</v>
      </c>
      <c r="C388" t="str">
        <f t="shared" si="90"/>
        <v>google-brasil|mobile|320x50|vw_caminhoes|always_on|produto|criativo_87_delivery_9-160|320x50|cpm</v>
      </c>
      <c r="D388" t="str">
        <f t="shared" si="91"/>
        <v>138015893</v>
      </c>
      <c r="E388" t="str">
        <f t="shared" si="92"/>
        <v>Default</v>
      </c>
      <c r="F388" t="str">
        <f t="shared" si="93"/>
        <v>320x50 Default Web Ad</v>
      </c>
      <c r="G388" t="str">
        <f t="shared" si="94"/>
        <v>310387631</v>
      </c>
      <c r="H388" t="str">
        <f t="shared" si="95"/>
        <v>Display</v>
      </c>
      <c r="I388">
        <f t="shared" si="96"/>
        <v>2620</v>
      </c>
      <c r="J388">
        <f t="shared" si="97"/>
        <v>3</v>
      </c>
      <c r="K388" s="4">
        <f t="shared" si="86"/>
        <v>3.8199999999999998E-2</v>
      </c>
      <c r="L388">
        <f t="shared" si="87"/>
        <v>0.09</v>
      </c>
      <c r="M388" s="4">
        <f t="shared" si="84"/>
        <v>0.10008399999999999</v>
      </c>
      <c r="N388" s="4">
        <f t="shared" si="85"/>
        <v>0.23579999999999998</v>
      </c>
    </row>
    <row r="389" spans="1:14">
      <c r="A389" t="str">
        <f t="shared" si="88"/>
        <v>alp_Man-VWCO</v>
      </c>
      <c r="B389" t="str">
        <f t="shared" si="89"/>
        <v>Google Brasil</v>
      </c>
      <c r="C389" t="str">
        <f t="shared" si="90"/>
        <v>google-brasil|mobile|320x50|vw_caminhoes|always_on|produto|criativo_88_delivery_9-160|320x50|cpm</v>
      </c>
      <c r="D389" t="str">
        <f t="shared" si="91"/>
        <v>138015888</v>
      </c>
      <c r="E389" t="str">
        <f t="shared" si="92"/>
        <v>Default</v>
      </c>
      <c r="F389" t="str">
        <f t="shared" si="93"/>
        <v>320x50 Default Web Ad</v>
      </c>
      <c r="G389" t="str">
        <f t="shared" si="94"/>
        <v>310387631</v>
      </c>
      <c r="H389" t="str">
        <f t="shared" si="95"/>
        <v>Display</v>
      </c>
      <c r="I389">
        <f t="shared" si="96"/>
        <v>2390</v>
      </c>
      <c r="J389">
        <f t="shared" si="97"/>
        <v>5</v>
      </c>
      <c r="K389" s="4">
        <f t="shared" si="86"/>
        <v>3.8199999999999998E-2</v>
      </c>
      <c r="L389">
        <f t="shared" si="87"/>
        <v>0.09</v>
      </c>
      <c r="M389" s="4">
        <f t="shared" si="84"/>
        <v>9.1298000000000004E-2</v>
      </c>
      <c r="N389" s="4">
        <f t="shared" si="85"/>
        <v>0.21509999999999999</v>
      </c>
    </row>
    <row r="390" spans="1:14">
      <c r="A390" t="str">
        <f t="shared" si="88"/>
        <v>alp_Man-VWCO</v>
      </c>
      <c r="B390" t="str">
        <f t="shared" si="89"/>
        <v>Google Brasil</v>
      </c>
      <c r="C390" t="str">
        <f t="shared" si="90"/>
        <v>google-brasil|mobile|320x50|vw_caminhoes|always_on|produto|criativo_88_delivery_9-160|320x50|cpm</v>
      </c>
      <c r="D390" t="str">
        <f t="shared" si="91"/>
        <v>138015888</v>
      </c>
      <c r="E390" t="str">
        <f t="shared" si="92"/>
        <v>Default</v>
      </c>
      <c r="F390" t="str">
        <f t="shared" si="93"/>
        <v>320x50 Default Web Ad</v>
      </c>
      <c r="G390" t="str">
        <f t="shared" si="94"/>
        <v>310387631</v>
      </c>
      <c r="H390" t="str">
        <f t="shared" si="95"/>
        <v>Display</v>
      </c>
      <c r="I390">
        <f t="shared" si="96"/>
        <v>3367</v>
      </c>
      <c r="J390">
        <f t="shared" si="97"/>
        <v>2</v>
      </c>
      <c r="K390" s="4">
        <f t="shared" si="86"/>
        <v>3.8199999999999998E-2</v>
      </c>
      <c r="L390">
        <f t="shared" si="87"/>
        <v>0.09</v>
      </c>
      <c r="M390" s="4">
        <f t="shared" si="84"/>
        <v>0.12861939999999999</v>
      </c>
      <c r="N390" s="4">
        <f t="shared" si="85"/>
        <v>0.30302999999999997</v>
      </c>
    </row>
    <row r="391" spans="1:14">
      <c r="A391" t="str">
        <f t="shared" si="88"/>
        <v>alp_Man-VWCO</v>
      </c>
      <c r="B391" t="str">
        <f t="shared" si="89"/>
        <v>Google Brasil</v>
      </c>
      <c r="C391" t="str">
        <f t="shared" si="90"/>
        <v>google-brasil|mobile|320x50|vw_caminhoes|always_on|produto|criativo_90_delivery_10-160|320x50|cpm</v>
      </c>
      <c r="D391" t="str">
        <f t="shared" si="91"/>
        <v>138015878</v>
      </c>
      <c r="E391" t="str">
        <f t="shared" si="92"/>
        <v>Default</v>
      </c>
      <c r="F391" t="str">
        <f t="shared" si="93"/>
        <v>320x50 Default Web Ad</v>
      </c>
      <c r="G391" t="str">
        <f t="shared" si="94"/>
        <v>310387631</v>
      </c>
      <c r="H391" t="str">
        <f t="shared" si="95"/>
        <v>Display</v>
      </c>
      <c r="I391">
        <f t="shared" si="96"/>
        <v>2980</v>
      </c>
      <c r="J391">
        <f t="shared" si="97"/>
        <v>3</v>
      </c>
      <c r="K391" s="4">
        <f t="shared" si="86"/>
        <v>3.8199999999999998E-2</v>
      </c>
      <c r="L391">
        <f t="shared" si="87"/>
        <v>0.09</v>
      </c>
      <c r="M391" s="4">
        <f t="shared" si="84"/>
        <v>0.11383599999999999</v>
      </c>
      <c r="N391" s="4">
        <f t="shared" si="85"/>
        <v>0.26819999999999999</v>
      </c>
    </row>
    <row r="392" spans="1:14">
      <c r="A392" t="str">
        <f t="shared" si="88"/>
        <v>alp_Man-VWCO</v>
      </c>
      <c r="B392" t="str">
        <f t="shared" si="89"/>
        <v>Google Brasil</v>
      </c>
      <c r="C392" t="str">
        <f t="shared" si="90"/>
        <v>google-brasil|mobile|320x50|vw_caminhoes|always_on|produto|criativo_90_delivery_10-160|320x50|cpm</v>
      </c>
      <c r="D392" t="str">
        <f t="shared" si="91"/>
        <v>138015878</v>
      </c>
      <c r="E392" t="str">
        <f t="shared" si="92"/>
        <v>Default</v>
      </c>
      <c r="F392" t="str">
        <f t="shared" si="93"/>
        <v>320x50 Default Web Ad</v>
      </c>
      <c r="G392" t="str">
        <f t="shared" si="94"/>
        <v>310387631</v>
      </c>
      <c r="H392" t="str">
        <f t="shared" si="95"/>
        <v>Display</v>
      </c>
      <c r="I392">
        <f t="shared" si="96"/>
        <v>3234</v>
      </c>
      <c r="J392">
        <f t="shared" si="97"/>
        <v>3</v>
      </c>
      <c r="K392" s="4">
        <f t="shared" si="86"/>
        <v>3.8199999999999998E-2</v>
      </c>
      <c r="L392">
        <f t="shared" si="87"/>
        <v>0.09</v>
      </c>
      <c r="M392" s="4">
        <f t="shared" si="84"/>
        <v>0.12353879999999999</v>
      </c>
      <c r="N392" s="4">
        <f t="shared" si="85"/>
        <v>0.29105999999999999</v>
      </c>
    </row>
    <row r="393" spans="1:14">
      <c r="A393" t="str">
        <f t="shared" si="88"/>
        <v>alp_Man-VWCO</v>
      </c>
      <c r="B393" t="str">
        <f t="shared" si="89"/>
        <v>Google Brasil</v>
      </c>
      <c r="C393" t="str">
        <f t="shared" si="90"/>
        <v>google-brasil|mobile|320x50|vw_caminhoes|always_on|produto|criativo_91_delivery_10-160|320x50|cpm</v>
      </c>
      <c r="D393" t="str">
        <f t="shared" si="91"/>
        <v>138015873</v>
      </c>
      <c r="E393" t="str">
        <f t="shared" si="92"/>
        <v>Default</v>
      </c>
      <c r="F393" t="str">
        <f t="shared" si="93"/>
        <v>320x50 Default Web Ad</v>
      </c>
      <c r="G393" t="str">
        <f t="shared" si="94"/>
        <v>310387631</v>
      </c>
      <c r="H393" t="str">
        <f t="shared" si="95"/>
        <v>Display</v>
      </c>
      <c r="I393">
        <f t="shared" si="96"/>
        <v>2860</v>
      </c>
      <c r="J393">
        <f t="shared" si="97"/>
        <v>5</v>
      </c>
      <c r="K393" s="4">
        <f t="shared" si="86"/>
        <v>3.8199999999999998E-2</v>
      </c>
      <c r="L393">
        <f t="shared" si="87"/>
        <v>0.09</v>
      </c>
      <c r="M393" s="4">
        <f t="shared" si="84"/>
        <v>0.109252</v>
      </c>
      <c r="N393" s="4">
        <f t="shared" si="85"/>
        <v>0.25739999999999996</v>
      </c>
    </row>
    <row r="394" spans="1:14">
      <c r="A394" t="str">
        <f t="shared" si="88"/>
        <v>alp_Man-VWCO</v>
      </c>
      <c r="B394" t="str">
        <f t="shared" si="89"/>
        <v>Google Brasil</v>
      </c>
      <c r="C394" t="str">
        <f t="shared" si="90"/>
        <v>google-brasil|mobile|320x50|vw_caminhoes|always_on|produto|criativo_91_delivery_10-160|320x50|cpm</v>
      </c>
      <c r="D394" t="str">
        <f t="shared" si="91"/>
        <v>138015873</v>
      </c>
      <c r="E394" t="str">
        <f t="shared" si="92"/>
        <v>Default</v>
      </c>
      <c r="F394" t="str">
        <f t="shared" si="93"/>
        <v>320x50 Default Web Ad</v>
      </c>
      <c r="G394" t="str">
        <f t="shared" si="94"/>
        <v>310387631</v>
      </c>
      <c r="H394" t="str">
        <f t="shared" si="95"/>
        <v>Display</v>
      </c>
      <c r="I394">
        <f t="shared" si="96"/>
        <v>3426</v>
      </c>
      <c r="J394">
        <f t="shared" si="97"/>
        <v>5</v>
      </c>
      <c r="K394" s="4">
        <f t="shared" si="86"/>
        <v>3.8199999999999998E-2</v>
      </c>
      <c r="L394">
        <f t="shared" si="87"/>
        <v>0.09</v>
      </c>
      <c r="M394" s="4">
        <f t="shared" si="84"/>
        <v>0.1308732</v>
      </c>
      <c r="N394" s="4">
        <f t="shared" si="85"/>
        <v>0.30833999999999995</v>
      </c>
    </row>
    <row r="395" spans="1:14">
      <c r="A395" t="str">
        <f t="shared" si="88"/>
        <v>alp_Man-VWCO</v>
      </c>
      <c r="B395" t="str">
        <f t="shared" si="89"/>
        <v>Google Brasil</v>
      </c>
      <c r="C395" t="str">
        <f t="shared" si="90"/>
        <v>google-brasil|mobile|320x50|vw_caminhoes|always_on|produto|criativo_92_delivery_10-160|320x50|cpm</v>
      </c>
      <c r="D395" t="str">
        <f t="shared" si="91"/>
        <v>138015868</v>
      </c>
      <c r="E395" t="str">
        <f t="shared" si="92"/>
        <v>Default</v>
      </c>
      <c r="F395" t="str">
        <f t="shared" si="93"/>
        <v>320x50 Default Web Ad</v>
      </c>
      <c r="G395" t="str">
        <f t="shared" si="94"/>
        <v>310387631</v>
      </c>
      <c r="H395" t="str">
        <f t="shared" si="95"/>
        <v>Display</v>
      </c>
      <c r="I395">
        <f t="shared" si="96"/>
        <v>3063</v>
      </c>
      <c r="J395">
        <f t="shared" si="97"/>
        <v>4</v>
      </c>
      <c r="K395" s="4">
        <f t="shared" si="86"/>
        <v>3.8199999999999998E-2</v>
      </c>
      <c r="L395">
        <f t="shared" si="87"/>
        <v>0.09</v>
      </c>
      <c r="M395" s="4">
        <f t="shared" si="84"/>
        <v>0.11700659999999999</v>
      </c>
      <c r="N395" s="4">
        <f t="shared" si="85"/>
        <v>0.27567000000000003</v>
      </c>
    </row>
    <row r="396" spans="1:14">
      <c r="A396" t="str">
        <f t="shared" si="88"/>
        <v>alp_Man-VWCO</v>
      </c>
      <c r="B396" t="str">
        <f t="shared" si="89"/>
        <v>Google Brasil</v>
      </c>
      <c r="C396" t="str">
        <f t="shared" si="90"/>
        <v>google-brasil|mobile|320x50|vw_caminhoes|always_on|produto|criativo_92_delivery_10-160|320x50|cpm</v>
      </c>
      <c r="D396" t="str">
        <f t="shared" si="91"/>
        <v>138015868</v>
      </c>
      <c r="E396" t="str">
        <f t="shared" si="92"/>
        <v>Default</v>
      </c>
      <c r="F396" t="str">
        <f t="shared" si="93"/>
        <v>320x50 Default Web Ad</v>
      </c>
      <c r="G396" t="str">
        <f t="shared" si="94"/>
        <v>310387631</v>
      </c>
      <c r="H396" t="str">
        <f t="shared" si="95"/>
        <v>Display</v>
      </c>
      <c r="I396">
        <f t="shared" si="96"/>
        <v>3457</v>
      </c>
      <c r="J396">
        <f t="shared" si="97"/>
        <v>6</v>
      </c>
      <c r="K396" s="4">
        <f t="shared" si="86"/>
        <v>3.8199999999999998E-2</v>
      </c>
      <c r="L396">
        <f t="shared" si="87"/>
        <v>0.09</v>
      </c>
      <c r="M396" s="4">
        <f t="shared" si="84"/>
        <v>0.13205739999999999</v>
      </c>
      <c r="N396" s="4">
        <f t="shared" si="85"/>
        <v>0.31113000000000002</v>
      </c>
    </row>
    <row r="397" spans="1:14">
      <c r="A397" t="str">
        <f t="shared" si="88"/>
        <v>alp_Man-VWCO</v>
      </c>
      <c r="B397" t="str">
        <f t="shared" si="89"/>
        <v>Google Brasil</v>
      </c>
      <c r="C397" t="str">
        <f t="shared" si="90"/>
        <v>google-brasil|mobile|320x50|vw_caminhoes|always_on|produto|criativo_93_delivery_10-160|320x50|cpm</v>
      </c>
      <c r="D397" t="str">
        <f t="shared" si="91"/>
        <v>138015863</v>
      </c>
      <c r="E397" t="str">
        <f t="shared" si="92"/>
        <v>Default</v>
      </c>
      <c r="F397" t="str">
        <f t="shared" si="93"/>
        <v>320x50 Default Web Ad</v>
      </c>
      <c r="G397" t="str">
        <f t="shared" si="94"/>
        <v>310387631</v>
      </c>
      <c r="H397" t="str">
        <f t="shared" si="95"/>
        <v>Display</v>
      </c>
      <c r="I397">
        <f t="shared" si="96"/>
        <v>3133</v>
      </c>
      <c r="J397">
        <f t="shared" si="97"/>
        <v>6</v>
      </c>
      <c r="K397" s="4">
        <f t="shared" si="86"/>
        <v>3.8199999999999998E-2</v>
      </c>
      <c r="L397">
        <f t="shared" si="87"/>
        <v>0.09</v>
      </c>
      <c r="M397" s="4">
        <f t="shared" si="84"/>
        <v>0.1196806</v>
      </c>
      <c r="N397" s="4">
        <f t="shared" si="85"/>
        <v>0.28196999999999994</v>
      </c>
    </row>
    <row r="398" spans="1:14">
      <c r="A398" t="str">
        <f t="shared" si="88"/>
        <v>alp_Man-VWCO</v>
      </c>
      <c r="B398" t="str">
        <f t="shared" si="89"/>
        <v>Google Brasil</v>
      </c>
      <c r="C398" t="str">
        <f t="shared" si="90"/>
        <v>google-brasil|mobile|320x50|vw_caminhoes|always_on|produto|criativo_93_delivery_10-160|320x50|cpm</v>
      </c>
      <c r="D398" t="str">
        <f t="shared" si="91"/>
        <v>138015863</v>
      </c>
      <c r="E398" t="str">
        <f t="shared" si="92"/>
        <v>Default</v>
      </c>
      <c r="F398" t="str">
        <f t="shared" si="93"/>
        <v>320x50 Default Web Ad</v>
      </c>
      <c r="G398" t="str">
        <f t="shared" si="94"/>
        <v>310387631</v>
      </c>
      <c r="H398" t="str">
        <f t="shared" si="95"/>
        <v>Display</v>
      </c>
      <c r="I398">
        <f t="shared" si="96"/>
        <v>3958</v>
      </c>
      <c r="J398">
        <f t="shared" si="97"/>
        <v>4</v>
      </c>
      <c r="K398" s="4">
        <f t="shared" si="86"/>
        <v>3.8199999999999998E-2</v>
      </c>
      <c r="L398">
        <f t="shared" si="87"/>
        <v>0.09</v>
      </c>
      <c r="M398" s="4">
        <f t="shared" si="84"/>
        <v>0.15119559999999999</v>
      </c>
      <c r="N398" s="4">
        <f t="shared" si="85"/>
        <v>0.35621999999999998</v>
      </c>
    </row>
    <row r="399" spans="1:14">
      <c r="A399" t="str">
        <f t="shared" si="88"/>
        <v>alp_Man-VWCO</v>
      </c>
      <c r="B399" t="str">
        <f t="shared" si="89"/>
        <v>Google Brasil</v>
      </c>
      <c r="C399" t="str">
        <f t="shared" si="90"/>
        <v>google-brasil|mobile|320x50|vw_caminhoes|always_on|vitrine|criativo_01_delivery_10-160|320x50|cpm</v>
      </c>
      <c r="D399" t="str">
        <f t="shared" si="91"/>
        <v>138019018</v>
      </c>
      <c r="E399" t="str">
        <f t="shared" si="92"/>
        <v>Default</v>
      </c>
      <c r="F399" t="str">
        <f t="shared" si="93"/>
        <v>320x50 Default Web Ad</v>
      </c>
      <c r="G399" t="str">
        <f t="shared" si="94"/>
        <v>310387631</v>
      </c>
      <c r="H399" t="str">
        <f t="shared" si="95"/>
        <v>Display</v>
      </c>
      <c r="I399">
        <f t="shared" si="96"/>
        <v>614</v>
      </c>
      <c r="J399">
        <f t="shared" si="97"/>
        <v>0</v>
      </c>
      <c r="K399" s="4">
        <f t="shared" si="86"/>
        <v>3.8199999999999998E-2</v>
      </c>
      <c r="L399">
        <f t="shared" si="87"/>
        <v>0.09</v>
      </c>
      <c r="M399" s="4">
        <f t="shared" si="84"/>
        <v>2.3454799999999998E-2</v>
      </c>
      <c r="N399" s="4">
        <f t="shared" si="85"/>
        <v>5.5259999999999997E-2</v>
      </c>
    </row>
    <row r="400" spans="1:14">
      <c r="A400" t="str">
        <f t="shared" si="88"/>
        <v>alp_Man-VWCO</v>
      </c>
      <c r="B400" t="str">
        <f t="shared" si="89"/>
        <v>Google Brasil</v>
      </c>
      <c r="C400" t="str">
        <f t="shared" si="90"/>
        <v>google-brasil|mobile|320x50|vw_caminhoes|always_on|vitrine|criativo_01_delivery_10-160|320x50|cpm</v>
      </c>
      <c r="D400" t="str">
        <f t="shared" si="91"/>
        <v>138019018</v>
      </c>
      <c r="E400" t="str">
        <f t="shared" si="92"/>
        <v>Default</v>
      </c>
      <c r="F400" t="str">
        <f t="shared" si="93"/>
        <v>320x50 Default Web Ad</v>
      </c>
      <c r="G400" t="str">
        <f t="shared" si="94"/>
        <v>310387631</v>
      </c>
      <c r="H400" t="str">
        <f t="shared" si="95"/>
        <v>Display</v>
      </c>
      <c r="I400">
        <f t="shared" si="96"/>
        <v>3380</v>
      </c>
      <c r="J400">
        <f t="shared" si="97"/>
        <v>13</v>
      </c>
      <c r="K400" s="4">
        <f t="shared" si="86"/>
        <v>3.8199999999999998E-2</v>
      </c>
      <c r="L400">
        <f t="shared" si="87"/>
        <v>0.09</v>
      </c>
      <c r="M400" s="4">
        <f t="shared" si="84"/>
        <v>0.12911599999999998</v>
      </c>
      <c r="N400" s="4">
        <f t="shared" si="85"/>
        <v>0.30419999999999997</v>
      </c>
    </row>
    <row r="401" spans="1:14">
      <c r="A401" t="str">
        <f t="shared" si="88"/>
        <v>alp_Man-VWCO</v>
      </c>
      <c r="B401" t="str">
        <f t="shared" si="89"/>
        <v>Google Brasil</v>
      </c>
      <c r="C401" t="str">
        <f t="shared" si="90"/>
        <v>google-brasil|mobile|320x50|vw_caminhoes|always_on|vitrine|criativo_02_delivery_10-160|320x50|cpm</v>
      </c>
      <c r="D401" t="str">
        <f t="shared" si="91"/>
        <v>138019013</v>
      </c>
      <c r="E401" t="str">
        <f t="shared" si="92"/>
        <v>Default</v>
      </c>
      <c r="F401" t="str">
        <f t="shared" si="93"/>
        <v>320x50 Default Web Ad</v>
      </c>
      <c r="G401" t="str">
        <f t="shared" si="94"/>
        <v>310387631</v>
      </c>
      <c r="H401" t="str">
        <f t="shared" si="95"/>
        <v>Display</v>
      </c>
      <c r="I401">
        <f t="shared" si="96"/>
        <v>584</v>
      </c>
      <c r="J401">
        <f t="shared" si="97"/>
        <v>1</v>
      </c>
      <c r="K401" s="4">
        <f t="shared" si="86"/>
        <v>3.8199999999999998E-2</v>
      </c>
      <c r="L401">
        <f t="shared" si="87"/>
        <v>0.09</v>
      </c>
      <c r="M401" s="4">
        <f t="shared" si="84"/>
        <v>2.2308799999999997E-2</v>
      </c>
      <c r="N401" s="4">
        <f t="shared" si="85"/>
        <v>5.2559999999999996E-2</v>
      </c>
    </row>
    <row r="402" spans="1:14">
      <c r="A402" t="str">
        <f t="shared" si="88"/>
        <v>alp_Man-VWCO</v>
      </c>
      <c r="B402" t="str">
        <f t="shared" si="89"/>
        <v>Google Brasil</v>
      </c>
      <c r="C402" t="str">
        <f t="shared" si="90"/>
        <v>google-brasil|mobile|320x50|vw_caminhoes|always_on|vitrine|criativo_02_delivery_10-160|320x50|cpm</v>
      </c>
      <c r="D402" t="str">
        <f t="shared" si="91"/>
        <v>138019013</v>
      </c>
      <c r="E402" t="str">
        <f t="shared" si="92"/>
        <v>Default</v>
      </c>
      <c r="F402" t="str">
        <f t="shared" si="93"/>
        <v>320x50 Default Web Ad</v>
      </c>
      <c r="G402" t="str">
        <f t="shared" si="94"/>
        <v>310387631</v>
      </c>
      <c r="H402" t="str">
        <f t="shared" si="95"/>
        <v>Display</v>
      </c>
      <c r="I402">
        <f t="shared" si="96"/>
        <v>3525</v>
      </c>
      <c r="J402">
        <f t="shared" si="97"/>
        <v>15</v>
      </c>
      <c r="K402" s="4">
        <f t="shared" si="86"/>
        <v>3.8199999999999998E-2</v>
      </c>
      <c r="L402">
        <f t="shared" si="87"/>
        <v>0.09</v>
      </c>
      <c r="M402" s="4">
        <f t="shared" si="84"/>
        <v>0.134655</v>
      </c>
      <c r="N402" s="4">
        <f t="shared" si="85"/>
        <v>0.31724999999999998</v>
      </c>
    </row>
    <row r="403" spans="1:14">
      <c r="A403" t="str">
        <f t="shared" si="88"/>
        <v>alp_Man-VWCO</v>
      </c>
      <c r="B403" t="str">
        <f t="shared" si="89"/>
        <v>Google Brasil</v>
      </c>
      <c r="C403" t="str">
        <f t="shared" si="90"/>
        <v>google-brasil|mobile|320x50|vw_caminhoes|always_on|vitrine|criativo_03_delivery_10-160|320x50|cpm</v>
      </c>
      <c r="D403" t="str">
        <f t="shared" si="91"/>
        <v>138019008</v>
      </c>
      <c r="E403" t="str">
        <f t="shared" si="92"/>
        <v>Default</v>
      </c>
      <c r="F403" t="str">
        <f t="shared" si="93"/>
        <v>320x50 Default Web Ad</v>
      </c>
      <c r="G403" t="str">
        <f t="shared" si="94"/>
        <v>310387631</v>
      </c>
      <c r="H403" t="str">
        <f t="shared" si="95"/>
        <v>Display</v>
      </c>
      <c r="I403">
        <f t="shared" si="96"/>
        <v>564</v>
      </c>
      <c r="J403">
        <f t="shared" si="97"/>
        <v>0</v>
      </c>
      <c r="K403" s="4">
        <f t="shared" si="86"/>
        <v>3.8199999999999998E-2</v>
      </c>
      <c r="L403">
        <f t="shared" si="87"/>
        <v>0.09</v>
      </c>
      <c r="M403" s="4">
        <f t="shared" si="84"/>
        <v>2.1544799999999999E-2</v>
      </c>
      <c r="N403" s="4">
        <f t="shared" si="85"/>
        <v>5.076E-2</v>
      </c>
    </row>
    <row r="404" spans="1:14">
      <c r="A404" t="str">
        <f t="shared" si="88"/>
        <v>alp_Man-VWCO</v>
      </c>
      <c r="B404" t="str">
        <f t="shared" si="89"/>
        <v>Google Brasil</v>
      </c>
      <c r="C404" t="str">
        <f t="shared" si="90"/>
        <v>google-brasil|mobile|320x50|vw_caminhoes|always_on|vitrine|criativo_03_delivery_10-160|320x50|cpm</v>
      </c>
      <c r="D404" t="str">
        <f t="shared" si="91"/>
        <v>138019008</v>
      </c>
      <c r="E404" t="str">
        <f t="shared" si="92"/>
        <v>Default</v>
      </c>
      <c r="F404" t="str">
        <f t="shared" si="93"/>
        <v>320x50 Default Web Ad</v>
      </c>
      <c r="G404" t="str">
        <f t="shared" si="94"/>
        <v>310387631</v>
      </c>
      <c r="H404" t="str">
        <f t="shared" si="95"/>
        <v>Display</v>
      </c>
      <c r="I404">
        <f t="shared" si="96"/>
        <v>3144</v>
      </c>
      <c r="J404">
        <f t="shared" si="97"/>
        <v>11</v>
      </c>
      <c r="K404" s="4">
        <f t="shared" si="86"/>
        <v>3.8199999999999998E-2</v>
      </c>
      <c r="L404">
        <f t="shared" si="87"/>
        <v>0.09</v>
      </c>
      <c r="M404" s="4">
        <f t="shared" si="84"/>
        <v>0.12010079999999999</v>
      </c>
      <c r="N404" s="4">
        <f t="shared" si="85"/>
        <v>0.28295999999999999</v>
      </c>
    </row>
    <row r="405" spans="1:14">
      <c r="A405" t="str">
        <f t="shared" si="88"/>
        <v>alp_Man-VWCO</v>
      </c>
      <c r="B405" t="str">
        <f t="shared" si="89"/>
        <v>Google Brasil</v>
      </c>
      <c r="C405" t="str">
        <f t="shared" si="90"/>
        <v>google-brasil|mobile|320x50|vw_caminhoes|always_on|vitrine|criativo_04_delivery_10-160|320x50|cpm</v>
      </c>
      <c r="D405" t="str">
        <f t="shared" si="91"/>
        <v>138019003</v>
      </c>
      <c r="E405" t="str">
        <f t="shared" si="92"/>
        <v>Default</v>
      </c>
      <c r="F405" t="str">
        <f t="shared" si="93"/>
        <v>320x50 Default Web Ad</v>
      </c>
      <c r="G405" t="str">
        <f t="shared" si="94"/>
        <v>310387631</v>
      </c>
      <c r="H405" t="str">
        <f t="shared" si="95"/>
        <v>Display</v>
      </c>
      <c r="I405">
        <f t="shared" si="96"/>
        <v>18870</v>
      </c>
      <c r="J405">
        <f t="shared" si="97"/>
        <v>160</v>
      </c>
      <c r="K405" s="4">
        <f t="shared" si="86"/>
        <v>3.8199999999999998E-2</v>
      </c>
      <c r="L405">
        <f t="shared" si="87"/>
        <v>0.09</v>
      </c>
      <c r="M405" s="4">
        <f t="shared" si="84"/>
        <v>0.72083399999999997</v>
      </c>
      <c r="N405" s="4">
        <f t="shared" si="85"/>
        <v>1.6982999999999999</v>
      </c>
    </row>
    <row r="406" spans="1:14">
      <c r="A406" t="str">
        <f t="shared" si="88"/>
        <v>alp_Man-VWCO</v>
      </c>
      <c r="B406" t="str">
        <f t="shared" si="89"/>
        <v>Google Brasil</v>
      </c>
      <c r="C406" t="str">
        <f t="shared" si="90"/>
        <v>google-brasil|mobile|320x50|vw_caminhoes|always_on|vitrine|criativo_05_delivery_10-160|320x50|cpm</v>
      </c>
      <c r="D406" t="str">
        <f t="shared" si="91"/>
        <v>138018998</v>
      </c>
      <c r="E406" t="str">
        <f t="shared" si="92"/>
        <v>Default</v>
      </c>
      <c r="F406" t="str">
        <f t="shared" si="93"/>
        <v>320x50 Default Web Ad</v>
      </c>
      <c r="G406" t="str">
        <f t="shared" si="94"/>
        <v>310387631</v>
      </c>
      <c r="H406" t="str">
        <f t="shared" si="95"/>
        <v>Display</v>
      </c>
      <c r="I406">
        <f t="shared" si="96"/>
        <v>567</v>
      </c>
      <c r="J406">
        <f t="shared" si="97"/>
        <v>0</v>
      </c>
      <c r="K406" s="4">
        <f t="shared" si="86"/>
        <v>3.8199999999999998E-2</v>
      </c>
      <c r="L406">
        <f t="shared" si="87"/>
        <v>0.09</v>
      </c>
      <c r="M406" s="4">
        <f t="shared" si="84"/>
        <v>2.1659399999999999E-2</v>
      </c>
      <c r="N406" s="4">
        <f t="shared" si="85"/>
        <v>5.1029999999999999E-2</v>
      </c>
    </row>
    <row r="407" spans="1:14">
      <c r="A407" t="str">
        <f t="shared" si="88"/>
        <v>alp_Man-VWCO</v>
      </c>
      <c r="B407" t="str">
        <f t="shared" si="89"/>
        <v>Google Brasil</v>
      </c>
      <c r="C407" t="str">
        <f t="shared" si="90"/>
        <v>google-brasil|mobile|320x50|vw_caminhoes|always_on|vitrine|criativo_05_delivery_10-160|320x50|cpm</v>
      </c>
      <c r="D407" t="str">
        <f t="shared" si="91"/>
        <v>138018998</v>
      </c>
      <c r="E407" t="str">
        <f t="shared" si="92"/>
        <v>Default</v>
      </c>
      <c r="F407" t="str">
        <f t="shared" si="93"/>
        <v>320x50 Default Web Ad</v>
      </c>
      <c r="G407" t="str">
        <f t="shared" si="94"/>
        <v>310387631</v>
      </c>
      <c r="H407" t="str">
        <f t="shared" si="95"/>
        <v>Display</v>
      </c>
      <c r="I407">
        <f t="shared" si="96"/>
        <v>3158</v>
      </c>
      <c r="J407">
        <f t="shared" si="97"/>
        <v>6</v>
      </c>
      <c r="K407" s="4">
        <f t="shared" si="86"/>
        <v>3.8199999999999998E-2</v>
      </c>
      <c r="L407">
        <f t="shared" si="87"/>
        <v>0.09</v>
      </c>
      <c r="M407" s="4">
        <f t="shared" si="84"/>
        <v>0.1206356</v>
      </c>
      <c r="N407" s="4">
        <f t="shared" si="85"/>
        <v>0.28421999999999997</v>
      </c>
    </row>
    <row r="408" spans="1:14">
      <c r="A408" t="str">
        <f t="shared" si="88"/>
        <v>alp_Man-VWCO</v>
      </c>
      <c r="B408" t="str">
        <f t="shared" si="89"/>
        <v>Google Brasil</v>
      </c>
      <c r="C408" t="str">
        <f t="shared" si="90"/>
        <v>google-brasil|mobile|320x50|vw_caminhoes|always_on|vitrine|criativo_06_delivery_8-160|320x50|cpm</v>
      </c>
      <c r="D408" t="str">
        <f t="shared" si="91"/>
        <v>138018993</v>
      </c>
      <c r="E408" t="str">
        <f t="shared" si="92"/>
        <v>Default</v>
      </c>
      <c r="F408" t="str">
        <f t="shared" si="93"/>
        <v>320x50 Default Web Ad</v>
      </c>
      <c r="G408" t="str">
        <f t="shared" si="94"/>
        <v>310387631</v>
      </c>
      <c r="H408" t="str">
        <f t="shared" si="95"/>
        <v>Display</v>
      </c>
      <c r="I408">
        <f t="shared" si="96"/>
        <v>568</v>
      </c>
      <c r="J408">
        <f t="shared" si="97"/>
        <v>0</v>
      </c>
      <c r="K408" s="4">
        <f t="shared" si="86"/>
        <v>3.8199999999999998E-2</v>
      </c>
      <c r="L408">
        <f t="shared" si="87"/>
        <v>0.09</v>
      </c>
      <c r="M408" s="4">
        <f t="shared" si="84"/>
        <v>2.1697599999999997E-2</v>
      </c>
      <c r="N408" s="4">
        <f t="shared" si="85"/>
        <v>5.1119999999999999E-2</v>
      </c>
    </row>
    <row r="409" spans="1:14">
      <c r="A409" t="str">
        <f t="shared" si="88"/>
        <v>alp_Man-VWCO</v>
      </c>
      <c r="B409" t="str">
        <f t="shared" si="89"/>
        <v>Google Brasil</v>
      </c>
      <c r="C409" t="str">
        <f t="shared" si="90"/>
        <v>google-brasil|mobile|320x50|vw_caminhoes|always_on|vitrine|criativo_06_delivery_8-160|320x50|cpm</v>
      </c>
      <c r="D409" t="str">
        <f t="shared" si="91"/>
        <v>138018993</v>
      </c>
      <c r="E409" t="str">
        <f t="shared" si="92"/>
        <v>Default</v>
      </c>
      <c r="F409" t="str">
        <f t="shared" si="93"/>
        <v>320x50 Default Web Ad</v>
      </c>
      <c r="G409" t="str">
        <f t="shared" si="94"/>
        <v>310387631</v>
      </c>
      <c r="H409" t="str">
        <f t="shared" si="95"/>
        <v>Display</v>
      </c>
      <c r="I409">
        <f t="shared" si="96"/>
        <v>3352</v>
      </c>
      <c r="J409">
        <f t="shared" si="97"/>
        <v>17</v>
      </c>
      <c r="K409" s="4">
        <f t="shared" si="86"/>
        <v>3.8199999999999998E-2</v>
      </c>
      <c r="L409">
        <f t="shared" si="87"/>
        <v>0.09</v>
      </c>
      <c r="M409" s="4">
        <f t="shared" si="84"/>
        <v>0.1280464</v>
      </c>
      <c r="N409" s="4">
        <f t="shared" si="85"/>
        <v>0.30168</v>
      </c>
    </row>
    <row r="410" spans="1:14">
      <c r="A410" t="str">
        <f t="shared" si="88"/>
        <v>alp_Man-VWCO</v>
      </c>
      <c r="B410" t="str">
        <f t="shared" si="89"/>
        <v>Google Brasil</v>
      </c>
      <c r="C410" t="str">
        <f t="shared" si="90"/>
        <v>google-brasil|mobile|320x50|vw_caminhoes|always_on|vitrine|criativo_07_delivery_8-160|320x50|cpm</v>
      </c>
      <c r="D410" t="str">
        <f t="shared" si="91"/>
        <v>138018988</v>
      </c>
      <c r="E410" t="str">
        <f t="shared" si="92"/>
        <v>Default</v>
      </c>
      <c r="F410" t="str">
        <f t="shared" si="93"/>
        <v>320x50 Default Web Ad</v>
      </c>
      <c r="G410" t="str">
        <f t="shared" si="94"/>
        <v>310387631</v>
      </c>
      <c r="H410" t="str">
        <f t="shared" si="95"/>
        <v>Display</v>
      </c>
      <c r="I410">
        <f t="shared" si="96"/>
        <v>682</v>
      </c>
      <c r="J410">
        <f t="shared" si="97"/>
        <v>2</v>
      </c>
      <c r="K410" s="4">
        <f t="shared" si="86"/>
        <v>3.8199999999999998E-2</v>
      </c>
      <c r="L410">
        <f t="shared" si="87"/>
        <v>0.09</v>
      </c>
      <c r="M410" s="4">
        <f t="shared" si="84"/>
        <v>2.60524E-2</v>
      </c>
      <c r="N410" s="4">
        <f t="shared" si="85"/>
        <v>6.1379999999999997E-2</v>
      </c>
    </row>
    <row r="411" spans="1:14">
      <c r="A411" t="str">
        <f t="shared" si="88"/>
        <v>alp_Man-VWCO</v>
      </c>
      <c r="B411" t="str">
        <f t="shared" si="89"/>
        <v>Google Brasil</v>
      </c>
      <c r="C411" t="str">
        <f t="shared" si="90"/>
        <v>google-brasil|mobile|320x50|vw_caminhoes|always_on|vitrine|criativo_07_delivery_8-160|320x50|cpm</v>
      </c>
      <c r="D411" t="str">
        <f t="shared" si="91"/>
        <v>138018988</v>
      </c>
      <c r="E411" t="str">
        <f t="shared" si="92"/>
        <v>Default</v>
      </c>
      <c r="F411" t="str">
        <f t="shared" si="93"/>
        <v>320x50 Default Web Ad</v>
      </c>
      <c r="G411" t="str">
        <f t="shared" si="94"/>
        <v>310387631</v>
      </c>
      <c r="H411" t="str">
        <f t="shared" si="95"/>
        <v>Display</v>
      </c>
      <c r="I411">
        <f t="shared" si="96"/>
        <v>3169</v>
      </c>
      <c r="J411">
        <f t="shared" si="97"/>
        <v>6</v>
      </c>
      <c r="K411" s="4">
        <f t="shared" si="86"/>
        <v>3.8199999999999998E-2</v>
      </c>
      <c r="L411">
        <f t="shared" si="87"/>
        <v>0.09</v>
      </c>
      <c r="M411" s="4">
        <f t="shared" si="84"/>
        <v>0.12105579999999999</v>
      </c>
      <c r="N411" s="4">
        <f t="shared" si="85"/>
        <v>0.28520999999999996</v>
      </c>
    </row>
    <row r="412" spans="1:14">
      <c r="A412" t="str">
        <f t="shared" si="88"/>
        <v>alp_Man-VWCO</v>
      </c>
      <c r="B412" t="str">
        <f t="shared" si="89"/>
        <v>Google Brasil</v>
      </c>
      <c r="C412" t="str">
        <f t="shared" si="90"/>
        <v>google-brasil|mobile|320x50|vw_caminhoes|always_on|vitrine|criativo_08_delivery_8-160|320x50|cpm</v>
      </c>
      <c r="D412" t="str">
        <f t="shared" si="91"/>
        <v>138018983</v>
      </c>
      <c r="E412" t="str">
        <f t="shared" si="92"/>
        <v>Default</v>
      </c>
      <c r="F412" t="str">
        <f t="shared" si="93"/>
        <v>320x50 Default Web Ad</v>
      </c>
      <c r="G412" t="str">
        <f t="shared" si="94"/>
        <v>310387631</v>
      </c>
      <c r="H412" t="str">
        <f t="shared" si="95"/>
        <v>Display</v>
      </c>
      <c r="I412">
        <f t="shared" si="96"/>
        <v>643</v>
      </c>
      <c r="J412">
        <f t="shared" si="97"/>
        <v>0</v>
      </c>
      <c r="K412" s="4">
        <f t="shared" si="86"/>
        <v>3.8199999999999998E-2</v>
      </c>
      <c r="L412">
        <f t="shared" si="87"/>
        <v>0.09</v>
      </c>
      <c r="M412" s="4">
        <f t="shared" si="84"/>
        <v>2.45626E-2</v>
      </c>
      <c r="N412" s="4">
        <f t="shared" si="85"/>
        <v>5.7869999999999998E-2</v>
      </c>
    </row>
    <row r="413" spans="1:14">
      <c r="A413" t="str">
        <f t="shared" si="88"/>
        <v>alp_Man-VWCO</v>
      </c>
      <c r="B413" t="str">
        <f t="shared" si="89"/>
        <v>Google Brasil</v>
      </c>
      <c r="C413" t="str">
        <f t="shared" si="90"/>
        <v>google-brasil|mobile|320x50|vw_caminhoes|always_on|vitrine|criativo_08_delivery_8-160|320x50|cpm</v>
      </c>
      <c r="D413" t="str">
        <f t="shared" si="91"/>
        <v>138018983</v>
      </c>
      <c r="E413" t="str">
        <f t="shared" si="92"/>
        <v>Default</v>
      </c>
      <c r="F413" t="str">
        <f t="shared" si="93"/>
        <v>320x50 Default Web Ad</v>
      </c>
      <c r="G413" t="str">
        <f t="shared" si="94"/>
        <v>310387631</v>
      </c>
      <c r="H413" t="str">
        <f t="shared" si="95"/>
        <v>Display</v>
      </c>
      <c r="I413">
        <f t="shared" si="96"/>
        <v>3390</v>
      </c>
      <c r="J413">
        <f t="shared" si="97"/>
        <v>13</v>
      </c>
      <c r="K413" s="4">
        <f t="shared" si="86"/>
        <v>3.8199999999999998E-2</v>
      </c>
      <c r="L413">
        <f t="shared" si="87"/>
        <v>0.09</v>
      </c>
      <c r="M413" s="4">
        <f t="shared" si="84"/>
        <v>0.129498</v>
      </c>
      <c r="N413" s="4">
        <f t="shared" si="85"/>
        <v>0.30509999999999998</v>
      </c>
    </row>
    <row r="414" spans="1:14">
      <c r="A414" t="str">
        <f t="shared" si="88"/>
        <v>alp_Man-VWCO</v>
      </c>
      <c r="B414" t="str">
        <f t="shared" si="89"/>
        <v>Google Brasil</v>
      </c>
      <c r="C414" t="str">
        <f t="shared" si="90"/>
        <v>google-brasil|mobile|320x50|vw_caminhoes|always_on|vitrine|criativo_09_delivery_8-160|320x50|cpm</v>
      </c>
      <c r="D414" t="str">
        <f t="shared" si="91"/>
        <v>138018978</v>
      </c>
      <c r="E414" t="str">
        <f t="shared" si="92"/>
        <v>Default</v>
      </c>
      <c r="F414" t="str">
        <f t="shared" si="93"/>
        <v>320x50 Default Web Ad</v>
      </c>
      <c r="G414" t="str">
        <f t="shared" si="94"/>
        <v>310387631</v>
      </c>
      <c r="H414" t="str">
        <f t="shared" si="95"/>
        <v>Display</v>
      </c>
      <c r="I414">
        <f t="shared" si="96"/>
        <v>578</v>
      </c>
      <c r="J414">
        <f t="shared" si="97"/>
        <v>0</v>
      </c>
      <c r="K414" s="4">
        <f t="shared" si="86"/>
        <v>3.8199999999999998E-2</v>
      </c>
      <c r="L414">
        <f t="shared" si="87"/>
        <v>0.09</v>
      </c>
      <c r="M414" s="4">
        <f t="shared" si="84"/>
        <v>2.2079599999999998E-2</v>
      </c>
      <c r="N414" s="4">
        <f t="shared" si="85"/>
        <v>5.2019999999999997E-2</v>
      </c>
    </row>
    <row r="415" spans="1:14">
      <c r="A415" t="str">
        <f t="shared" si="88"/>
        <v>alp_Man-VWCO</v>
      </c>
      <c r="B415" t="str">
        <f t="shared" si="89"/>
        <v>Google Brasil</v>
      </c>
      <c r="C415" t="str">
        <f t="shared" si="90"/>
        <v>google-brasil|mobile|320x50|vw_caminhoes|always_on|vitrine|criativo_09_delivery_8-160|320x50|cpm</v>
      </c>
      <c r="D415" t="str">
        <f t="shared" si="91"/>
        <v>138018978</v>
      </c>
      <c r="E415" t="str">
        <f t="shared" si="92"/>
        <v>Default</v>
      </c>
      <c r="F415" t="str">
        <f t="shared" si="93"/>
        <v>320x50 Default Web Ad</v>
      </c>
      <c r="G415" t="str">
        <f t="shared" si="94"/>
        <v>310387631</v>
      </c>
      <c r="H415" t="str">
        <f t="shared" si="95"/>
        <v>Display</v>
      </c>
      <c r="I415">
        <f t="shared" si="96"/>
        <v>3222</v>
      </c>
      <c r="J415">
        <f t="shared" si="97"/>
        <v>12</v>
      </c>
      <c r="K415" s="4">
        <f t="shared" si="86"/>
        <v>3.8199999999999998E-2</v>
      </c>
      <c r="L415">
        <f t="shared" si="87"/>
        <v>0.09</v>
      </c>
      <c r="M415" s="4">
        <f t="shared" si="84"/>
        <v>0.12308039999999999</v>
      </c>
      <c r="N415" s="4">
        <f t="shared" si="85"/>
        <v>0.28997999999999996</v>
      </c>
    </row>
    <row r="416" spans="1:14">
      <c r="A416" t="str">
        <f t="shared" si="88"/>
        <v>alp_Man-VWCO</v>
      </c>
      <c r="B416" t="str">
        <f t="shared" si="89"/>
        <v>Google Brasil</v>
      </c>
      <c r="C416" t="str">
        <f t="shared" si="90"/>
        <v>google-brasil|mobile|320x50|vw_caminhoes|always_on|vitrine|criativo_10_delivery_8-160|320x50|cpm</v>
      </c>
      <c r="D416" t="str">
        <f t="shared" si="91"/>
        <v>138018973</v>
      </c>
      <c r="E416" t="str">
        <f t="shared" si="92"/>
        <v>Default</v>
      </c>
      <c r="F416" t="str">
        <f t="shared" si="93"/>
        <v>320x50 Default Web Ad</v>
      </c>
      <c r="G416" t="str">
        <f t="shared" si="94"/>
        <v>310387631</v>
      </c>
      <c r="H416" t="str">
        <f t="shared" si="95"/>
        <v>Display</v>
      </c>
      <c r="I416">
        <f t="shared" si="96"/>
        <v>550</v>
      </c>
      <c r="J416">
        <f t="shared" si="97"/>
        <v>0</v>
      </c>
      <c r="K416" s="4">
        <f t="shared" si="86"/>
        <v>3.8199999999999998E-2</v>
      </c>
      <c r="L416">
        <f t="shared" si="87"/>
        <v>0.09</v>
      </c>
      <c r="M416" s="4">
        <f t="shared" si="84"/>
        <v>2.1009999999999997E-2</v>
      </c>
      <c r="N416" s="4">
        <f t="shared" si="85"/>
        <v>4.9500000000000002E-2</v>
      </c>
    </row>
    <row r="417" spans="1:14">
      <c r="A417" t="str">
        <f t="shared" si="88"/>
        <v>alp_Man-VWCO</v>
      </c>
      <c r="B417" t="str">
        <f t="shared" si="89"/>
        <v>Google Brasil</v>
      </c>
      <c r="C417" t="str">
        <f t="shared" si="90"/>
        <v>google-brasil|mobile|320x50|vw_caminhoes|always_on|vitrine|criativo_10_delivery_8-160|320x50|cpm</v>
      </c>
      <c r="D417" t="str">
        <f t="shared" si="91"/>
        <v>138018973</v>
      </c>
      <c r="E417" t="str">
        <f t="shared" si="92"/>
        <v>Default</v>
      </c>
      <c r="F417" t="str">
        <f t="shared" si="93"/>
        <v>320x50 Default Web Ad</v>
      </c>
      <c r="G417" t="str">
        <f t="shared" si="94"/>
        <v>310387631</v>
      </c>
      <c r="H417" t="str">
        <f t="shared" si="95"/>
        <v>Display</v>
      </c>
      <c r="I417">
        <f t="shared" si="96"/>
        <v>3361</v>
      </c>
      <c r="J417">
        <f t="shared" si="97"/>
        <v>14</v>
      </c>
      <c r="K417" s="4">
        <f t="shared" si="86"/>
        <v>3.8199999999999998E-2</v>
      </c>
      <c r="L417">
        <f t="shared" si="87"/>
        <v>0.09</v>
      </c>
      <c r="M417" s="4">
        <f t="shared" si="84"/>
        <v>0.12839019999999998</v>
      </c>
      <c r="N417" s="4">
        <f t="shared" si="85"/>
        <v>0.30249000000000004</v>
      </c>
    </row>
    <row r="418" spans="1:14">
      <c r="A418" t="str">
        <f t="shared" si="88"/>
        <v>alp_Man-VWCO</v>
      </c>
      <c r="B418" t="str">
        <f t="shared" si="89"/>
        <v>Google Brasil</v>
      </c>
      <c r="C418" t="str">
        <f t="shared" si="90"/>
        <v>google-brasil|mobile|320x50|vw_caminhoes|always_on|vitrine|criativo_11_constellation_24-280|320x50|cpm</v>
      </c>
      <c r="D418" t="str">
        <f t="shared" si="91"/>
        <v>138018968</v>
      </c>
      <c r="E418" t="str">
        <f t="shared" si="92"/>
        <v>Default</v>
      </c>
      <c r="F418" t="str">
        <f t="shared" si="93"/>
        <v>320x50 Default Web Ad</v>
      </c>
      <c r="G418" t="str">
        <f t="shared" si="94"/>
        <v>310387631</v>
      </c>
      <c r="H418" t="str">
        <f t="shared" si="95"/>
        <v>Display</v>
      </c>
      <c r="I418">
        <f t="shared" si="96"/>
        <v>547</v>
      </c>
      <c r="J418">
        <f t="shared" si="97"/>
        <v>1</v>
      </c>
      <c r="K418" s="4">
        <f t="shared" si="86"/>
        <v>3.8199999999999998E-2</v>
      </c>
      <c r="L418">
        <f t="shared" si="87"/>
        <v>0.09</v>
      </c>
      <c r="M418" s="4">
        <f t="shared" ref="M418:M481" si="98">IF(E418="Dynamic Click",J418*K418,K418*$I418/1000)</f>
        <v>2.0895399999999998E-2</v>
      </c>
      <c r="N418" s="4">
        <f t="shared" ref="N418:N481" si="99">IF(E418="Dynamic Click",J418*L418,L418*$I418/1000)</f>
        <v>4.9229999999999996E-2</v>
      </c>
    </row>
    <row r="419" spans="1:14">
      <c r="A419" t="str">
        <f t="shared" si="88"/>
        <v>alp_Man-VWCO</v>
      </c>
      <c r="B419" t="str">
        <f t="shared" si="89"/>
        <v>Google Brasil</v>
      </c>
      <c r="C419" t="str">
        <f t="shared" si="90"/>
        <v>google-brasil|mobile|320x50|vw_caminhoes|always_on|vitrine|criativo_11_constellation_24-280|320x50|cpm</v>
      </c>
      <c r="D419" t="str">
        <f t="shared" si="91"/>
        <v>138018968</v>
      </c>
      <c r="E419" t="str">
        <f t="shared" si="92"/>
        <v>Default</v>
      </c>
      <c r="F419" t="str">
        <f t="shared" si="93"/>
        <v>320x50 Default Web Ad</v>
      </c>
      <c r="G419" t="str">
        <f t="shared" si="94"/>
        <v>310387631</v>
      </c>
      <c r="H419" t="str">
        <f t="shared" si="95"/>
        <v>Display</v>
      </c>
      <c r="I419">
        <f t="shared" si="96"/>
        <v>3732</v>
      </c>
      <c r="J419">
        <f t="shared" si="97"/>
        <v>19</v>
      </c>
      <c r="K419" s="4">
        <f t="shared" si="86"/>
        <v>3.8199999999999998E-2</v>
      </c>
      <c r="L419">
        <f t="shared" si="87"/>
        <v>0.09</v>
      </c>
      <c r="M419" s="4">
        <f t="shared" si="98"/>
        <v>0.14256240000000001</v>
      </c>
      <c r="N419" s="4">
        <f t="shared" si="99"/>
        <v>0.33588000000000001</v>
      </c>
    </row>
    <row r="420" spans="1:14">
      <c r="A420" t="str">
        <f t="shared" si="88"/>
        <v>alp_Man-VWCO</v>
      </c>
      <c r="B420" t="str">
        <f t="shared" si="89"/>
        <v>Google Brasil</v>
      </c>
      <c r="C420" t="str">
        <f t="shared" si="90"/>
        <v>google-brasil|mobile|320x50|vw_caminhoes|always_on|vitrine|criativo_12_constellation_24-280|320x50|cpm</v>
      </c>
      <c r="D420" t="str">
        <f t="shared" si="91"/>
        <v>138018963</v>
      </c>
      <c r="E420" t="str">
        <f t="shared" si="92"/>
        <v>Default</v>
      </c>
      <c r="F420" t="str">
        <f t="shared" si="93"/>
        <v>320x50 Default Web Ad</v>
      </c>
      <c r="G420" t="str">
        <f t="shared" si="94"/>
        <v>310387631</v>
      </c>
      <c r="H420" t="str">
        <f t="shared" si="95"/>
        <v>Display</v>
      </c>
      <c r="I420">
        <f t="shared" si="96"/>
        <v>19147</v>
      </c>
      <c r="J420">
        <f t="shared" si="97"/>
        <v>168</v>
      </c>
      <c r="K420" s="4">
        <f t="shared" si="86"/>
        <v>3.8199999999999998E-2</v>
      </c>
      <c r="L420">
        <f t="shared" si="87"/>
        <v>0.09</v>
      </c>
      <c r="M420" s="4">
        <f t="shared" si="98"/>
        <v>0.73141539999999994</v>
      </c>
      <c r="N420" s="4">
        <f t="shared" si="99"/>
        <v>1.72323</v>
      </c>
    </row>
    <row r="421" spans="1:14">
      <c r="A421" t="str">
        <f t="shared" si="88"/>
        <v>alp_Man-VWCO</v>
      </c>
      <c r="B421" t="str">
        <f t="shared" si="89"/>
        <v>Google Brasil</v>
      </c>
      <c r="C421" t="str">
        <f t="shared" si="90"/>
        <v>google-brasil|mobile|320x50|vw_caminhoes|always_on|vitrine|criativo_13_constellation_24-280|320x50|cpm</v>
      </c>
      <c r="D421" t="str">
        <f t="shared" si="91"/>
        <v>138018958</v>
      </c>
      <c r="E421" t="str">
        <f t="shared" si="92"/>
        <v>Default</v>
      </c>
      <c r="F421" t="str">
        <f t="shared" si="93"/>
        <v>320x50 Default Web Ad</v>
      </c>
      <c r="G421" t="str">
        <f t="shared" si="94"/>
        <v>310387631</v>
      </c>
      <c r="H421" t="str">
        <f t="shared" si="95"/>
        <v>Display</v>
      </c>
      <c r="I421">
        <f t="shared" si="96"/>
        <v>557</v>
      </c>
      <c r="J421">
        <f t="shared" si="97"/>
        <v>2</v>
      </c>
      <c r="K421" s="4">
        <f t="shared" si="86"/>
        <v>3.8199999999999998E-2</v>
      </c>
      <c r="L421">
        <f t="shared" si="87"/>
        <v>0.09</v>
      </c>
      <c r="M421" s="4">
        <f t="shared" si="98"/>
        <v>2.1277399999999998E-2</v>
      </c>
      <c r="N421" s="4">
        <f t="shared" si="99"/>
        <v>5.0129999999999994E-2</v>
      </c>
    </row>
    <row r="422" spans="1:14">
      <c r="A422" t="str">
        <f t="shared" si="88"/>
        <v>alp_Man-VWCO</v>
      </c>
      <c r="B422" t="str">
        <f t="shared" si="89"/>
        <v>Google Brasil</v>
      </c>
      <c r="C422" t="str">
        <f t="shared" si="90"/>
        <v>google-brasil|mobile|320x50|vw_caminhoes|always_on|vitrine|criativo_13_constellation_24-280|320x50|cpm</v>
      </c>
      <c r="D422" t="str">
        <f t="shared" si="91"/>
        <v>138018958</v>
      </c>
      <c r="E422" t="str">
        <f t="shared" si="92"/>
        <v>Default</v>
      </c>
      <c r="F422" t="str">
        <f t="shared" si="93"/>
        <v>320x50 Default Web Ad</v>
      </c>
      <c r="G422" t="str">
        <f t="shared" si="94"/>
        <v>310387631</v>
      </c>
      <c r="H422" t="str">
        <f t="shared" si="95"/>
        <v>Display</v>
      </c>
      <c r="I422">
        <f t="shared" si="96"/>
        <v>3346</v>
      </c>
      <c r="J422">
        <f t="shared" si="97"/>
        <v>17</v>
      </c>
      <c r="K422" s="4">
        <f t="shared" si="86"/>
        <v>3.8199999999999998E-2</v>
      </c>
      <c r="L422">
        <f t="shared" si="87"/>
        <v>0.09</v>
      </c>
      <c r="M422" s="4">
        <f t="shared" si="98"/>
        <v>0.12781719999999999</v>
      </c>
      <c r="N422" s="4">
        <f t="shared" si="99"/>
        <v>0.30113999999999996</v>
      </c>
    </row>
    <row r="423" spans="1:14">
      <c r="A423" t="str">
        <f t="shared" si="88"/>
        <v>alp_Man-VWCO</v>
      </c>
      <c r="B423" t="str">
        <f t="shared" si="89"/>
        <v>Google Brasil</v>
      </c>
      <c r="C423" t="str">
        <f t="shared" si="90"/>
        <v>google-brasil|mobile|320x50|vw_caminhoes|always_on|vitrine|criativo_14_constellation_24-280-v|320x50|cpm</v>
      </c>
      <c r="D423" t="str">
        <f t="shared" si="91"/>
        <v>138018953</v>
      </c>
      <c r="E423" t="str">
        <f t="shared" si="92"/>
        <v>Default</v>
      </c>
      <c r="F423" t="str">
        <f t="shared" si="93"/>
        <v>320x50 Default Web Ad</v>
      </c>
      <c r="G423" t="str">
        <f t="shared" si="94"/>
        <v>310387631</v>
      </c>
      <c r="H423" t="str">
        <f t="shared" si="95"/>
        <v>Display</v>
      </c>
      <c r="I423">
        <f t="shared" si="96"/>
        <v>636</v>
      </c>
      <c r="J423">
        <f t="shared" si="97"/>
        <v>0</v>
      </c>
      <c r="K423" s="4">
        <f t="shared" si="86"/>
        <v>3.8199999999999998E-2</v>
      </c>
      <c r="L423">
        <f t="shared" si="87"/>
        <v>0.09</v>
      </c>
      <c r="M423" s="4">
        <f t="shared" si="98"/>
        <v>2.4295199999999996E-2</v>
      </c>
      <c r="N423" s="4">
        <f t="shared" si="99"/>
        <v>5.7239999999999992E-2</v>
      </c>
    </row>
    <row r="424" spans="1:14">
      <c r="A424" t="str">
        <f t="shared" si="88"/>
        <v>alp_Man-VWCO</v>
      </c>
      <c r="B424" t="str">
        <f t="shared" si="89"/>
        <v>Google Brasil</v>
      </c>
      <c r="C424" t="str">
        <f t="shared" si="90"/>
        <v>google-brasil|mobile|320x50|vw_caminhoes|always_on|vitrine|criativo_14_constellation_24-280-v|320x50|cpm</v>
      </c>
      <c r="D424" t="str">
        <f t="shared" si="91"/>
        <v>138018953</v>
      </c>
      <c r="E424" t="str">
        <f t="shared" si="92"/>
        <v>Default</v>
      </c>
      <c r="F424" t="str">
        <f t="shared" si="93"/>
        <v>320x50 Default Web Ad</v>
      </c>
      <c r="G424" t="str">
        <f t="shared" si="94"/>
        <v>310387631</v>
      </c>
      <c r="H424" t="str">
        <f t="shared" si="95"/>
        <v>Display</v>
      </c>
      <c r="I424">
        <f t="shared" si="96"/>
        <v>3432</v>
      </c>
      <c r="J424">
        <f t="shared" si="97"/>
        <v>15</v>
      </c>
      <c r="K424" s="4">
        <f t="shared" si="86"/>
        <v>3.8199999999999998E-2</v>
      </c>
      <c r="L424">
        <f t="shared" si="87"/>
        <v>0.09</v>
      </c>
      <c r="M424" s="4">
        <f t="shared" si="98"/>
        <v>0.13110239999999998</v>
      </c>
      <c r="N424" s="4">
        <f t="shared" si="99"/>
        <v>0.30887999999999999</v>
      </c>
    </row>
    <row r="425" spans="1:14">
      <c r="A425" t="str">
        <f t="shared" si="88"/>
        <v>alp_Man-VWCO</v>
      </c>
      <c r="B425" t="str">
        <f t="shared" si="89"/>
        <v>Google Brasil</v>
      </c>
      <c r="C425" t="str">
        <f t="shared" si="90"/>
        <v>google-brasil|mobile|320x50|vw_caminhoes|always_on|vitrine|criativo_15_constellation_24-280-8x2|320x50|cpm</v>
      </c>
      <c r="D425" t="str">
        <f t="shared" si="91"/>
        <v>138018948</v>
      </c>
      <c r="E425" t="str">
        <f t="shared" si="92"/>
        <v>Default</v>
      </c>
      <c r="F425" t="str">
        <f t="shared" si="93"/>
        <v>320x50 Default Web Ad</v>
      </c>
      <c r="G425" t="str">
        <f t="shared" si="94"/>
        <v>310387631</v>
      </c>
      <c r="H425" t="str">
        <f t="shared" si="95"/>
        <v>Display</v>
      </c>
      <c r="I425">
        <f t="shared" si="96"/>
        <v>545</v>
      </c>
      <c r="J425">
        <f t="shared" si="97"/>
        <v>0</v>
      </c>
      <c r="K425" s="4">
        <f t="shared" si="86"/>
        <v>3.8199999999999998E-2</v>
      </c>
      <c r="L425">
        <f t="shared" si="87"/>
        <v>0.09</v>
      </c>
      <c r="M425" s="4">
        <f t="shared" si="98"/>
        <v>2.0819000000000001E-2</v>
      </c>
      <c r="N425" s="4">
        <f t="shared" si="99"/>
        <v>4.9049999999999996E-2</v>
      </c>
    </row>
    <row r="426" spans="1:14">
      <c r="A426" t="str">
        <f t="shared" si="88"/>
        <v>alp_Man-VWCO</v>
      </c>
      <c r="B426" t="str">
        <f t="shared" si="89"/>
        <v>Google Brasil</v>
      </c>
      <c r="C426" t="str">
        <f t="shared" si="90"/>
        <v>google-brasil|mobile|320x50|vw_caminhoes|always_on|vitrine|criativo_15_constellation_24-280-8x2|320x50|cpm</v>
      </c>
      <c r="D426" t="str">
        <f t="shared" si="91"/>
        <v>138018948</v>
      </c>
      <c r="E426" t="str">
        <f t="shared" si="92"/>
        <v>Default</v>
      </c>
      <c r="F426" t="str">
        <f t="shared" si="93"/>
        <v>320x50 Default Web Ad</v>
      </c>
      <c r="G426" t="str">
        <f t="shared" si="94"/>
        <v>310387631</v>
      </c>
      <c r="H426" t="str">
        <f t="shared" si="95"/>
        <v>Display</v>
      </c>
      <c r="I426">
        <f t="shared" si="96"/>
        <v>3514</v>
      </c>
      <c r="J426">
        <f t="shared" si="97"/>
        <v>12</v>
      </c>
      <c r="K426" s="4">
        <f t="shared" si="86"/>
        <v>3.8199999999999998E-2</v>
      </c>
      <c r="L426">
        <f t="shared" si="87"/>
        <v>0.09</v>
      </c>
      <c r="M426" s="4">
        <f t="shared" si="98"/>
        <v>0.13423479999999999</v>
      </c>
      <c r="N426" s="4">
        <f t="shared" si="99"/>
        <v>0.31625999999999999</v>
      </c>
    </row>
    <row r="427" spans="1:14">
      <c r="A427" t="str">
        <f t="shared" si="88"/>
        <v>alp_Man-VWCO</v>
      </c>
      <c r="B427" t="str">
        <f t="shared" si="89"/>
        <v>Google Brasil</v>
      </c>
      <c r="C427" t="str">
        <f t="shared" si="90"/>
        <v>google-brasil|mobile|320x50|vw_caminhoes|always_on|vitrine|criativo_16_constellation_24-280|320x50|cpm</v>
      </c>
      <c r="D427" t="str">
        <f t="shared" si="91"/>
        <v>138018943</v>
      </c>
      <c r="E427" t="str">
        <f t="shared" si="92"/>
        <v>Default</v>
      </c>
      <c r="F427" t="str">
        <f t="shared" si="93"/>
        <v>320x50 Default Web Ad</v>
      </c>
      <c r="G427" t="str">
        <f t="shared" si="94"/>
        <v>310387631</v>
      </c>
      <c r="H427" t="str">
        <f t="shared" si="95"/>
        <v>Display</v>
      </c>
      <c r="I427">
        <f t="shared" si="96"/>
        <v>544</v>
      </c>
      <c r="J427">
        <f t="shared" si="97"/>
        <v>0</v>
      </c>
      <c r="K427" s="4">
        <f t="shared" si="86"/>
        <v>3.8199999999999998E-2</v>
      </c>
      <c r="L427">
        <f t="shared" si="87"/>
        <v>0.09</v>
      </c>
      <c r="M427" s="4">
        <f t="shared" si="98"/>
        <v>2.0780799999999999E-2</v>
      </c>
      <c r="N427" s="4">
        <f t="shared" si="99"/>
        <v>4.8960000000000004E-2</v>
      </c>
    </row>
    <row r="428" spans="1:14">
      <c r="A428" t="str">
        <f t="shared" si="88"/>
        <v>alp_Man-VWCO</v>
      </c>
      <c r="B428" t="str">
        <f t="shared" si="89"/>
        <v>Google Brasil</v>
      </c>
      <c r="C428" t="str">
        <f t="shared" si="90"/>
        <v>google-brasil|mobile|320x50|vw_caminhoes|always_on|vitrine|criativo_16_constellation_24-280|320x50|cpm</v>
      </c>
      <c r="D428" t="str">
        <f t="shared" si="91"/>
        <v>138018943</v>
      </c>
      <c r="E428" t="str">
        <f t="shared" si="92"/>
        <v>Default</v>
      </c>
      <c r="F428" t="str">
        <f t="shared" si="93"/>
        <v>320x50 Default Web Ad</v>
      </c>
      <c r="G428" t="str">
        <f t="shared" si="94"/>
        <v>310387631</v>
      </c>
      <c r="H428" t="str">
        <f t="shared" si="95"/>
        <v>Display</v>
      </c>
      <c r="I428">
        <f t="shared" si="96"/>
        <v>3133</v>
      </c>
      <c r="J428">
        <f t="shared" si="97"/>
        <v>8</v>
      </c>
      <c r="K428" s="4">
        <f t="shared" ref="K428:K491" si="100">IF(LEFT(B428,3)="DBM",0,VLOOKUP(E428,tabela,2,FALSE))</f>
        <v>3.8199999999999998E-2</v>
      </c>
      <c r="L428">
        <f t="shared" ref="L428:L491" si="101">VLOOKUP(E428,tabela,3,FALSE)</f>
        <v>0.09</v>
      </c>
      <c r="M428" s="4">
        <f t="shared" si="98"/>
        <v>0.1196806</v>
      </c>
      <c r="N428" s="4">
        <f t="shared" si="99"/>
        <v>0.28196999999999994</v>
      </c>
    </row>
    <row r="429" spans="1:14">
      <c r="A429" t="str">
        <f t="shared" si="88"/>
        <v>alp_Man-VWCO</v>
      </c>
      <c r="B429" t="str">
        <f t="shared" si="89"/>
        <v>Google Brasil</v>
      </c>
      <c r="C429" t="str">
        <f t="shared" si="90"/>
        <v>google-brasil|retangulo|300x250|man_caminhoes|always_on|institucional|criativo_01|300x250|cpm</v>
      </c>
      <c r="D429" t="str">
        <f t="shared" si="91"/>
        <v>138019085</v>
      </c>
      <c r="E429" t="str">
        <f t="shared" si="92"/>
        <v>Default</v>
      </c>
      <c r="F429" t="str">
        <f t="shared" si="93"/>
        <v>300x250 Default Web Ad</v>
      </c>
      <c r="G429" t="str">
        <f t="shared" si="94"/>
        <v>310387630</v>
      </c>
      <c r="H429" t="str">
        <f t="shared" si="95"/>
        <v>Display</v>
      </c>
      <c r="I429">
        <f t="shared" si="96"/>
        <v>19909</v>
      </c>
      <c r="J429">
        <f t="shared" si="97"/>
        <v>78</v>
      </c>
      <c r="K429" s="4">
        <f t="shared" si="100"/>
        <v>3.8199999999999998E-2</v>
      </c>
      <c r="L429">
        <f t="shared" si="101"/>
        <v>0.09</v>
      </c>
      <c r="M429" s="4">
        <f t="shared" si="98"/>
        <v>0.76052379999999997</v>
      </c>
      <c r="N429" s="4">
        <f t="shared" si="99"/>
        <v>1.7918099999999999</v>
      </c>
    </row>
    <row r="430" spans="1:14">
      <c r="A430" t="str">
        <f t="shared" si="88"/>
        <v>alp_Man-VWCO</v>
      </c>
      <c r="B430" t="str">
        <f t="shared" si="89"/>
        <v>Google Brasil</v>
      </c>
      <c r="C430" t="str">
        <f t="shared" si="90"/>
        <v>google-brasil|retangulo|300x250|man_caminhoes|always_on|institucional|criativo_01|300x250|cpm</v>
      </c>
      <c r="D430" t="str">
        <f t="shared" si="91"/>
        <v>138019085</v>
      </c>
      <c r="E430" t="str">
        <f t="shared" si="92"/>
        <v>Default</v>
      </c>
      <c r="F430" t="str">
        <f t="shared" si="93"/>
        <v>300x250 Default Web Ad</v>
      </c>
      <c r="G430" t="str">
        <f t="shared" si="94"/>
        <v>310387630</v>
      </c>
      <c r="H430" t="str">
        <f t="shared" si="95"/>
        <v>Display</v>
      </c>
      <c r="I430">
        <f t="shared" si="96"/>
        <v>4890</v>
      </c>
      <c r="J430">
        <f t="shared" si="97"/>
        <v>150</v>
      </c>
      <c r="K430" s="4">
        <f t="shared" si="100"/>
        <v>3.8199999999999998E-2</v>
      </c>
      <c r="L430">
        <f t="shared" si="101"/>
        <v>0.09</v>
      </c>
      <c r="M430" s="4">
        <f t="shared" si="98"/>
        <v>0.18679799999999999</v>
      </c>
      <c r="N430" s="4">
        <f t="shared" si="99"/>
        <v>0.44009999999999999</v>
      </c>
    </row>
    <row r="431" spans="1:14">
      <c r="A431" t="str">
        <f t="shared" si="88"/>
        <v>alp_Man-VWCO</v>
      </c>
      <c r="B431" t="str">
        <f t="shared" si="89"/>
        <v>Google Brasil</v>
      </c>
      <c r="C431" t="str">
        <f t="shared" si="90"/>
        <v>google-brasil|retangulo|300x250|man_caminhoes|always_on|institucional|criativo_02|300x250|cpm</v>
      </c>
      <c r="D431" t="str">
        <f t="shared" si="91"/>
        <v>138019080</v>
      </c>
      <c r="E431" t="str">
        <f t="shared" si="92"/>
        <v>Default</v>
      </c>
      <c r="F431" t="str">
        <f t="shared" si="93"/>
        <v>300x250 Default Web Ad</v>
      </c>
      <c r="G431" t="str">
        <f t="shared" si="94"/>
        <v>310387630</v>
      </c>
      <c r="H431" t="str">
        <f t="shared" si="95"/>
        <v>Display</v>
      </c>
      <c r="I431">
        <f t="shared" si="96"/>
        <v>20908</v>
      </c>
      <c r="J431">
        <f t="shared" si="97"/>
        <v>86</v>
      </c>
      <c r="K431" s="4">
        <f t="shared" si="100"/>
        <v>3.8199999999999998E-2</v>
      </c>
      <c r="L431">
        <f t="shared" si="101"/>
        <v>0.09</v>
      </c>
      <c r="M431" s="4">
        <f t="shared" si="98"/>
        <v>0.79868559999999988</v>
      </c>
      <c r="N431" s="4">
        <f t="shared" si="99"/>
        <v>1.8817200000000001</v>
      </c>
    </row>
    <row r="432" spans="1:14">
      <c r="A432" t="str">
        <f t="shared" si="88"/>
        <v>alp_Man-VWCO</v>
      </c>
      <c r="B432" t="str">
        <f t="shared" si="89"/>
        <v>Google Brasil</v>
      </c>
      <c r="C432" t="str">
        <f t="shared" si="90"/>
        <v>google-brasil|retangulo|300x250|man_caminhoes|always_on|institucional|criativo_02|300x250|cpm</v>
      </c>
      <c r="D432" t="str">
        <f t="shared" si="91"/>
        <v>138019080</v>
      </c>
      <c r="E432" t="str">
        <f t="shared" si="92"/>
        <v>Default</v>
      </c>
      <c r="F432" t="str">
        <f t="shared" si="93"/>
        <v>300x250 Default Web Ad</v>
      </c>
      <c r="G432" t="str">
        <f t="shared" si="94"/>
        <v>310387630</v>
      </c>
      <c r="H432" t="str">
        <f t="shared" si="95"/>
        <v>Display</v>
      </c>
      <c r="I432">
        <f t="shared" si="96"/>
        <v>6761</v>
      </c>
      <c r="J432">
        <f t="shared" si="97"/>
        <v>205</v>
      </c>
      <c r="K432" s="4">
        <f t="shared" si="100"/>
        <v>3.8199999999999998E-2</v>
      </c>
      <c r="L432">
        <f t="shared" si="101"/>
        <v>0.09</v>
      </c>
      <c r="M432" s="4">
        <f t="shared" si="98"/>
        <v>0.25827020000000001</v>
      </c>
      <c r="N432" s="4">
        <f t="shared" si="99"/>
        <v>0.60848999999999998</v>
      </c>
    </row>
    <row r="433" spans="1:14">
      <c r="A433" t="str">
        <f t="shared" si="88"/>
        <v>alp_Man-VWCO</v>
      </c>
      <c r="B433" t="str">
        <f t="shared" si="89"/>
        <v>Google Brasil</v>
      </c>
      <c r="C433" t="str">
        <f t="shared" si="90"/>
        <v>google-brasil|retangulo|300x250|man_caminhoes|always_on|institucional|criativo_03|300x250|cpm</v>
      </c>
      <c r="D433" t="str">
        <f t="shared" si="91"/>
        <v>138019075</v>
      </c>
      <c r="E433" t="str">
        <f t="shared" si="92"/>
        <v>Default</v>
      </c>
      <c r="F433" t="str">
        <f t="shared" si="93"/>
        <v>300x250 Default Web Ad</v>
      </c>
      <c r="G433" t="str">
        <f t="shared" si="94"/>
        <v>310387630</v>
      </c>
      <c r="H433" t="str">
        <f t="shared" si="95"/>
        <v>Display</v>
      </c>
      <c r="I433">
        <f t="shared" si="96"/>
        <v>19142</v>
      </c>
      <c r="J433">
        <f t="shared" si="97"/>
        <v>53</v>
      </c>
      <c r="K433" s="4">
        <f t="shared" si="100"/>
        <v>3.8199999999999998E-2</v>
      </c>
      <c r="L433">
        <f t="shared" si="101"/>
        <v>0.09</v>
      </c>
      <c r="M433" s="4">
        <f t="shared" si="98"/>
        <v>0.7312244</v>
      </c>
      <c r="N433" s="4">
        <f t="shared" si="99"/>
        <v>1.72278</v>
      </c>
    </row>
    <row r="434" spans="1:14">
      <c r="A434" t="str">
        <f t="shared" si="88"/>
        <v>alp_Man-VWCO</v>
      </c>
      <c r="B434" t="str">
        <f t="shared" si="89"/>
        <v>Google Brasil</v>
      </c>
      <c r="C434" t="str">
        <f t="shared" si="90"/>
        <v>google-brasil|retangulo|300x250|man_caminhoes|always_on|institucional|criativo_03|300x250|cpm</v>
      </c>
      <c r="D434" t="str">
        <f t="shared" si="91"/>
        <v>138019075</v>
      </c>
      <c r="E434" t="str">
        <f t="shared" si="92"/>
        <v>Default</v>
      </c>
      <c r="F434" t="str">
        <f t="shared" si="93"/>
        <v>300x250 Default Web Ad</v>
      </c>
      <c r="G434" t="str">
        <f t="shared" si="94"/>
        <v>310387630</v>
      </c>
      <c r="H434" t="str">
        <f t="shared" si="95"/>
        <v>Display</v>
      </c>
      <c r="I434">
        <f t="shared" si="96"/>
        <v>4452</v>
      </c>
      <c r="J434">
        <f t="shared" si="97"/>
        <v>149</v>
      </c>
      <c r="K434" s="4">
        <f t="shared" si="100"/>
        <v>3.8199999999999998E-2</v>
      </c>
      <c r="L434">
        <f t="shared" si="101"/>
        <v>0.09</v>
      </c>
      <c r="M434" s="4">
        <f t="shared" si="98"/>
        <v>0.17006639999999998</v>
      </c>
      <c r="N434" s="4">
        <f t="shared" si="99"/>
        <v>0.40067999999999998</v>
      </c>
    </row>
    <row r="435" spans="1:14">
      <c r="A435" t="str">
        <f t="shared" si="88"/>
        <v>alp_Man-VWCO</v>
      </c>
      <c r="B435" t="str">
        <f t="shared" si="89"/>
        <v>Google Brasil</v>
      </c>
      <c r="C435" t="str">
        <f t="shared" si="90"/>
        <v>google-brasil|retangulo|300x250|man_caminhoes|always_on|institucional|criativo_04|300x250|cpm</v>
      </c>
      <c r="D435" t="str">
        <f t="shared" si="91"/>
        <v>138019070</v>
      </c>
      <c r="E435" t="str">
        <f t="shared" si="92"/>
        <v>Default</v>
      </c>
      <c r="F435" t="str">
        <f t="shared" si="93"/>
        <v>300x250 Default Web Ad</v>
      </c>
      <c r="G435" t="str">
        <f t="shared" si="94"/>
        <v>310387630</v>
      </c>
      <c r="H435" t="str">
        <f t="shared" si="95"/>
        <v>Display</v>
      </c>
      <c r="I435">
        <f t="shared" si="96"/>
        <v>67329</v>
      </c>
      <c r="J435">
        <f t="shared" si="97"/>
        <v>566</v>
      </c>
      <c r="K435" s="4">
        <f t="shared" si="100"/>
        <v>3.8199999999999998E-2</v>
      </c>
      <c r="L435">
        <f t="shared" si="101"/>
        <v>0.09</v>
      </c>
      <c r="M435" s="4">
        <f t="shared" si="98"/>
        <v>2.5719677999999999</v>
      </c>
      <c r="N435" s="4">
        <f t="shared" si="99"/>
        <v>6.0596099999999993</v>
      </c>
    </row>
    <row r="436" spans="1:14">
      <c r="A436" t="str">
        <f t="shared" si="88"/>
        <v>alp_Man-VWCO</v>
      </c>
      <c r="B436" t="str">
        <f t="shared" si="89"/>
        <v>Google Brasil</v>
      </c>
      <c r="C436" t="str">
        <f t="shared" si="90"/>
        <v>google-brasil|retangulo|300x250|man_caminhoes|always_on|institucional|criativo_04|300x250|cpm</v>
      </c>
      <c r="D436" t="str">
        <f t="shared" si="91"/>
        <v>138019070</v>
      </c>
      <c r="E436" t="str">
        <f t="shared" si="92"/>
        <v>Default</v>
      </c>
      <c r="F436" t="str">
        <f t="shared" si="93"/>
        <v>300x250 Default Web Ad</v>
      </c>
      <c r="G436" t="str">
        <f t="shared" si="94"/>
        <v>310387630</v>
      </c>
      <c r="H436" t="str">
        <f t="shared" si="95"/>
        <v>Display</v>
      </c>
      <c r="I436">
        <f t="shared" si="96"/>
        <v>5653</v>
      </c>
      <c r="J436">
        <f t="shared" si="97"/>
        <v>177</v>
      </c>
      <c r="K436" s="4">
        <f t="shared" si="100"/>
        <v>3.8199999999999998E-2</v>
      </c>
      <c r="L436">
        <f t="shared" si="101"/>
        <v>0.09</v>
      </c>
      <c r="M436" s="4">
        <f t="shared" si="98"/>
        <v>0.21594459999999999</v>
      </c>
      <c r="N436" s="4">
        <f t="shared" si="99"/>
        <v>0.50876999999999994</v>
      </c>
    </row>
    <row r="437" spans="1:14">
      <c r="A437" t="str">
        <f t="shared" si="88"/>
        <v>alp_Man-VWCO</v>
      </c>
      <c r="B437" t="str">
        <f t="shared" si="89"/>
        <v>Google Brasil</v>
      </c>
      <c r="C437" t="str">
        <f t="shared" si="90"/>
        <v>google-brasil|retangulo|300x250|man_caminhoes|always_on|institucional|criativo_05|300x250|cpm</v>
      </c>
      <c r="D437" t="str">
        <f t="shared" si="91"/>
        <v>138019065</v>
      </c>
      <c r="E437" t="str">
        <f t="shared" si="92"/>
        <v>Default</v>
      </c>
      <c r="F437" t="str">
        <f t="shared" si="93"/>
        <v>300x250 Default Web Ad</v>
      </c>
      <c r="G437" t="str">
        <f t="shared" si="94"/>
        <v>310387630</v>
      </c>
      <c r="H437" t="str">
        <f t="shared" si="95"/>
        <v>Display</v>
      </c>
      <c r="I437">
        <f t="shared" si="96"/>
        <v>32605</v>
      </c>
      <c r="J437">
        <f t="shared" si="97"/>
        <v>181</v>
      </c>
      <c r="K437" s="4">
        <f t="shared" si="100"/>
        <v>3.8199999999999998E-2</v>
      </c>
      <c r="L437">
        <f t="shared" si="101"/>
        <v>0.09</v>
      </c>
      <c r="M437" s="4">
        <f t="shared" si="98"/>
        <v>1.245511</v>
      </c>
      <c r="N437" s="4">
        <f t="shared" si="99"/>
        <v>2.93445</v>
      </c>
    </row>
    <row r="438" spans="1:14">
      <c r="A438" t="str">
        <f t="shared" si="88"/>
        <v>alp_Man-VWCO</v>
      </c>
      <c r="B438" t="str">
        <f t="shared" si="89"/>
        <v>Google Brasil</v>
      </c>
      <c r="C438" t="str">
        <f t="shared" si="90"/>
        <v>google-brasil|retangulo|300x250|man_caminhoes|always_on|institucional|criativo_05|300x250|cpm</v>
      </c>
      <c r="D438" t="str">
        <f t="shared" si="91"/>
        <v>138019065</v>
      </c>
      <c r="E438" t="str">
        <f t="shared" si="92"/>
        <v>Default</v>
      </c>
      <c r="F438" t="str">
        <f t="shared" si="93"/>
        <v>300x250 Default Web Ad</v>
      </c>
      <c r="G438" t="str">
        <f t="shared" si="94"/>
        <v>310387630</v>
      </c>
      <c r="H438" t="str">
        <f t="shared" si="95"/>
        <v>Display</v>
      </c>
      <c r="I438">
        <f t="shared" si="96"/>
        <v>4112</v>
      </c>
      <c r="J438">
        <f t="shared" si="97"/>
        <v>138</v>
      </c>
      <c r="K438" s="4">
        <f t="shared" si="100"/>
        <v>3.8199999999999998E-2</v>
      </c>
      <c r="L438">
        <f t="shared" si="101"/>
        <v>0.09</v>
      </c>
      <c r="M438" s="4">
        <f t="shared" si="98"/>
        <v>0.15707839999999998</v>
      </c>
      <c r="N438" s="4">
        <f t="shared" si="99"/>
        <v>0.37007999999999996</v>
      </c>
    </row>
    <row r="439" spans="1:14">
      <c r="A439" t="str">
        <f t="shared" si="88"/>
        <v>alp_Man-VWCO</v>
      </c>
      <c r="B439" t="str">
        <f t="shared" si="89"/>
        <v>Google Brasil</v>
      </c>
      <c r="C439" t="str">
        <f t="shared" si="90"/>
        <v>google-brasil|retangulo|300x250|man_caminhoes|always_on|produto|criativo_11_tgx_29-440|300x250|cpm</v>
      </c>
      <c r="D439" t="str">
        <f t="shared" si="91"/>
        <v>138018380</v>
      </c>
      <c r="E439" t="str">
        <f t="shared" si="92"/>
        <v>Default</v>
      </c>
      <c r="F439" t="str">
        <f t="shared" si="93"/>
        <v>300x250 Default Web Ad</v>
      </c>
      <c r="G439" t="str">
        <f t="shared" si="94"/>
        <v>310387630</v>
      </c>
      <c r="H439" t="str">
        <f t="shared" si="95"/>
        <v>Display</v>
      </c>
      <c r="I439">
        <f t="shared" si="96"/>
        <v>21513</v>
      </c>
      <c r="J439">
        <f t="shared" si="97"/>
        <v>40</v>
      </c>
      <c r="K439" s="4">
        <f t="shared" si="100"/>
        <v>3.8199999999999998E-2</v>
      </c>
      <c r="L439">
        <f t="shared" si="101"/>
        <v>0.09</v>
      </c>
      <c r="M439" s="4">
        <f t="shared" si="98"/>
        <v>0.82179659999999988</v>
      </c>
      <c r="N439" s="4">
        <f t="shared" si="99"/>
        <v>1.9361699999999999</v>
      </c>
    </row>
    <row r="440" spans="1:14">
      <c r="A440" t="str">
        <f t="shared" si="88"/>
        <v>alp_Man-VWCO</v>
      </c>
      <c r="B440" t="str">
        <f t="shared" si="89"/>
        <v>Google Brasil</v>
      </c>
      <c r="C440" t="str">
        <f t="shared" si="90"/>
        <v>google-brasil|retangulo|300x250|man_caminhoes|always_on|produto|criativo_11_tgx_29-440|300x250|cpm</v>
      </c>
      <c r="D440" t="str">
        <f t="shared" si="91"/>
        <v>138018380</v>
      </c>
      <c r="E440" t="str">
        <f t="shared" si="92"/>
        <v>Default</v>
      </c>
      <c r="F440" t="str">
        <f t="shared" si="93"/>
        <v>300x250 Default Web Ad</v>
      </c>
      <c r="G440" t="str">
        <f t="shared" si="94"/>
        <v>310387630</v>
      </c>
      <c r="H440" t="str">
        <f t="shared" si="95"/>
        <v>Display</v>
      </c>
      <c r="I440">
        <f t="shared" si="96"/>
        <v>8286</v>
      </c>
      <c r="J440">
        <f t="shared" si="97"/>
        <v>16</v>
      </c>
      <c r="K440" s="4">
        <f t="shared" si="100"/>
        <v>3.8199999999999998E-2</v>
      </c>
      <c r="L440">
        <f t="shared" si="101"/>
        <v>0.09</v>
      </c>
      <c r="M440" s="4">
        <f t="shared" si="98"/>
        <v>0.31652520000000001</v>
      </c>
      <c r="N440" s="4">
        <f t="shared" si="99"/>
        <v>0.74573999999999996</v>
      </c>
    </row>
    <row r="441" spans="1:14">
      <c r="A441" t="str">
        <f t="shared" si="88"/>
        <v>alp_Man-VWCO</v>
      </c>
      <c r="B441" t="str">
        <f t="shared" si="89"/>
        <v>Google Brasil</v>
      </c>
      <c r="C441" t="str">
        <f t="shared" si="90"/>
        <v>google-brasil|retangulo|300x250|man_caminhoes|always_on|produto|criativo_12_tgx_29-440|300x250|cpm</v>
      </c>
      <c r="D441" t="str">
        <f t="shared" si="91"/>
        <v>138018375</v>
      </c>
      <c r="E441" t="str">
        <f t="shared" si="92"/>
        <v>Default</v>
      </c>
      <c r="F441" t="str">
        <f t="shared" si="93"/>
        <v>300x250 Default Web Ad</v>
      </c>
      <c r="G441" t="str">
        <f t="shared" si="94"/>
        <v>310387630</v>
      </c>
      <c r="H441" t="str">
        <f t="shared" si="95"/>
        <v>Display</v>
      </c>
      <c r="I441">
        <f t="shared" si="96"/>
        <v>21470</v>
      </c>
      <c r="J441">
        <f t="shared" si="97"/>
        <v>39</v>
      </c>
      <c r="K441" s="4">
        <f t="shared" si="100"/>
        <v>3.8199999999999998E-2</v>
      </c>
      <c r="L441">
        <f t="shared" si="101"/>
        <v>0.09</v>
      </c>
      <c r="M441" s="4">
        <f t="shared" si="98"/>
        <v>0.82015400000000005</v>
      </c>
      <c r="N441" s="4">
        <f t="shared" si="99"/>
        <v>1.9322999999999999</v>
      </c>
    </row>
    <row r="442" spans="1:14">
      <c r="A442" t="str">
        <f t="shared" si="88"/>
        <v>alp_Man-VWCO</v>
      </c>
      <c r="B442" t="str">
        <f t="shared" si="89"/>
        <v>Google Brasil</v>
      </c>
      <c r="C442" t="str">
        <f t="shared" si="90"/>
        <v>google-brasil|retangulo|300x250|man_caminhoes|always_on|produto|criativo_12_tgx_29-440|300x250|cpm</v>
      </c>
      <c r="D442" t="str">
        <f t="shared" si="91"/>
        <v>138018375</v>
      </c>
      <c r="E442" t="str">
        <f t="shared" si="92"/>
        <v>Default</v>
      </c>
      <c r="F442" t="str">
        <f t="shared" si="93"/>
        <v>300x250 Default Web Ad</v>
      </c>
      <c r="G442" t="str">
        <f t="shared" si="94"/>
        <v>310387630</v>
      </c>
      <c r="H442" t="str">
        <f t="shared" si="95"/>
        <v>Display</v>
      </c>
      <c r="I442">
        <f t="shared" si="96"/>
        <v>8040</v>
      </c>
      <c r="J442">
        <f t="shared" si="97"/>
        <v>12</v>
      </c>
      <c r="K442" s="4">
        <f t="shared" si="100"/>
        <v>3.8199999999999998E-2</v>
      </c>
      <c r="L442">
        <f t="shared" si="101"/>
        <v>0.09</v>
      </c>
      <c r="M442" s="4">
        <f t="shared" si="98"/>
        <v>0.30712800000000001</v>
      </c>
      <c r="N442" s="4">
        <f t="shared" si="99"/>
        <v>0.72360000000000002</v>
      </c>
    </row>
    <row r="443" spans="1:14">
      <c r="A443" t="str">
        <f t="shared" si="88"/>
        <v>alp_Man-VWCO</v>
      </c>
      <c r="B443" t="str">
        <f t="shared" si="89"/>
        <v>Google Brasil</v>
      </c>
      <c r="C443" t="str">
        <f t="shared" si="90"/>
        <v>google-brasil|retangulo|300x250|man_caminhoes|always_on|produto|criativo_13_tgx_29-440|300x250|cpm</v>
      </c>
      <c r="D443" t="str">
        <f t="shared" si="91"/>
        <v>138018370</v>
      </c>
      <c r="E443" t="str">
        <f t="shared" si="92"/>
        <v>Default</v>
      </c>
      <c r="F443" t="str">
        <f t="shared" si="93"/>
        <v>300x250 Default Web Ad</v>
      </c>
      <c r="G443" t="str">
        <f t="shared" si="94"/>
        <v>310387630</v>
      </c>
      <c r="H443" t="str">
        <f t="shared" si="95"/>
        <v>Display</v>
      </c>
      <c r="I443">
        <f t="shared" si="96"/>
        <v>21689</v>
      </c>
      <c r="J443">
        <f t="shared" si="97"/>
        <v>39</v>
      </c>
      <c r="K443" s="4">
        <f t="shared" si="100"/>
        <v>3.8199999999999998E-2</v>
      </c>
      <c r="L443">
        <f t="shared" si="101"/>
        <v>0.09</v>
      </c>
      <c r="M443" s="4">
        <f t="shared" si="98"/>
        <v>0.82851979999999992</v>
      </c>
      <c r="N443" s="4">
        <f t="shared" si="99"/>
        <v>1.95201</v>
      </c>
    </row>
    <row r="444" spans="1:14">
      <c r="A444" t="str">
        <f t="shared" si="88"/>
        <v>alp_Man-VWCO</v>
      </c>
      <c r="B444" t="str">
        <f t="shared" si="89"/>
        <v>Google Brasil</v>
      </c>
      <c r="C444" t="str">
        <f t="shared" si="90"/>
        <v>google-brasil|retangulo|300x250|man_caminhoes|always_on|produto|criativo_13_tgx_29-440|300x250|cpm</v>
      </c>
      <c r="D444" t="str">
        <f t="shared" si="91"/>
        <v>138018370</v>
      </c>
      <c r="E444" t="str">
        <f t="shared" si="92"/>
        <v>Default</v>
      </c>
      <c r="F444" t="str">
        <f t="shared" si="93"/>
        <v>300x250 Default Web Ad</v>
      </c>
      <c r="G444" t="str">
        <f t="shared" si="94"/>
        <v>310387630</v>
      </c>
      <c r="H444" t="str">
        <f t="shared" si="95"/>
        <v>Display</v>
      </c>
      <c r="I444">
        <f t="shared" si="96"/>
        <v>7921</v>
      </c>
      <c r="J444">
        <f t="shared" si="97"/>
        <v>17</v>
      </c>
      <c r="K444" s="4">
        <f t="shared" si="100"/>
        <v>3.8199999999999998E-2</v>
      </c>
      <c r="L444">
        <f t="shared" si="101"/>
        <v>0.09</v>
      </c>
      <c r="M444" s="4">
        <f t="shared" si="98"/>
        <v>0.30258220000000002</v>
      </c>
      <c r="N444" s="4">
        <f t="shared" si="99"/>
        <v>0.71289000000000002</v>
      </c>
    </row>
    <row r="445" spans="1:14">
      <c r="A445" t="str">
        <f t="shared" si="88"/>
        <v>alp_Man-VWCO</v>
      </c>
      <c r="B445" t="str">
        <f t="shared" si="89"/>
        <v>Google Brasil</v>
      </c>
      <c r="C445" t="str">
        <f t="shared" si="90"/>
        <v>google-brasil|retangulo|300x250|man_caminhoes|always_on|produto|criativo_14_tgx_29-440|300x250|cpm</v>
      </c>
      <c r="D445" t="str">
        <f t="shared" si="91"/>
        <v>138018365</v>
      </c>
      <c r="E445" t="str">
        <f t="shared" si="92"/>
        <v>Default</v>
      </c>
      <c r="F445" t="str">
        <f t="shared" si="93"/>
        <v>300x250 Default Web Ad</v>
      </c>
      <c r="G445" t="str">
        <f t="shared" si="94"/>
        <v>310387630</v>
      </c>
      <c r="H445" t="str">
        <f t="shared" si="95"/>
        <v>Display</v>
      </c>
      <c r="I445">
        <f t="shared" si="96"/>
        <v>21643</v>
      </c>
      <c r="J445">
        <f t="shared" si="97"/>
        <v>47</v>
      </c>
      <c r="K445" s="4">
        <f t="shared" si="100"/>
        <v>3.8199999999999998E-2</v>
      </c>
      <c r="L445">
        <f t="shared" si="101"/>
        <v>0.09</v>
      </c>
      <c r="M445" s="4">
        <f t="shared" si="98"/>
        <v>0.8267625999999999</v>
      </c>
      <c r="N445" s="4">
        <f t="shared" si="99"/>
        <v>1.94787</v>
      </c>
    </row>
    <row r="446" spans="1:14">
      <c r="A446" t="str">
        <f t="shared" si="88"/>
        <v>alp_Man-VWCO</v>
      </c>
      <c r="B446" t="str">
        <f t="shared" si="89"/>
        <v>Google Brasil</v>
      </c>
      <c r="C446" t="str">
        <f t="shared" si="90"/>
        <v>google-brasil|retangulo|300x250|man_caminhoes|always_on|produto|criativo_14_tgx_29-440|300x250|cpm</v>
      </c>
      <c r="D446" t="str">
        <f t="shared" si="91"/>
        <v>138018365</v>
      </c>
      <c r="E446" t="str">
        <f t="shared" si="92"/>
        <v>Default</v>
      </c>
      <c r="F446" t="str">
        <f t="shared" si="93"/>
        <v>300x250 Default Web Ad</v>
      </c>
      <c r="G446" t="str">
        <f t="shared" si="94"/>
        <v>310387630</v>
      </c>
      <c r="H446" t="str">
        <f t="shared" si="95"/>
        <v>Display</v>
      </c>
      <c r="I446">
        <f t="shared" si="96"/>
        <v>9391</v>
      </c>
      <c r="J446">
        <f t="shared" si="97"/>
        <v>14</v>
      </c>
      <c r="K446" s="4">
        <f t="shared" si="100"/>
        <v>3.8199999999999998E-2</v>
      </c>
      <c r="L446">
        <f t="shared" si="101"/>
        <v>0.09</v>
      </c>
      <c r="M446" s="4">
        <f t="shared" si="98"/>
        <v>0.35873620000000001</v>
      </c>
      <c r="N446" s="4">
        <f t="shared" si="99"/>
        <v>0.84518999999999989</v>
      </c>
    </row>
    <row r="447" spans="1:14">
      <c r="A447" t="str">
        <f t="shared" si="88"/>
        <v>alp_Man-VWCO</v>
      </c>
      <c r="B447" t="str">
        <f t="shared" si="89"/>
        <v>Google Brasil</v>
      </c>
      <c r="C447" t="str">
        <f t="shared" si="90"/>
        <v>google-brasil|retangulo|300x250|man_caminhoes|always_on|produto|criativo_15_tgx_29-440|300x250|cpm</v>
      </c>
      <c r="D447" t="str">
        <f t="shared" si="91"/>
        <v>138018360</v>
      </c>
      <c r="E447" t="str">
        <f t="shared" si="92"/>
        <v>Default</v>
      </c>
      <c r="F447" t="str">
        <f t="shared" si="93"/>
        <v>300x250 Default Web Ad</v>
      </c>
      <c r="G447" t="str">
        <f t="shared" si="94"/>
        <v>310387630</v>
      </c>
      <c r="H447" t="str">
        <f t="shared" si="95"/>
        <v>Display</v>
      </c>
      <c r="I447">
        <f t="shared" si="96"/>
        <v>21925</v>
      </c>
      <c r="J447">
        <f t="shared" si="97"/>
        <v>36</v>
      </c>
      <c r="K447" s="4">
        <f t="shared" si="100"/>
        <v>3.8199999999999998E-2</v>
      </c>
      <c r="L447">
        <f t="shared" si="101"/>
        <v>0.09</v>
      </c>
      <c r="M447" s="4">
        <f t="shared" si="98"/>
        <v>0.83753499999999992</v>
      </c>
      <c r="N447" s="4">
        <f t="shared" si="99"/>
        <v>1.9732499999999999</v>
      </c>
    </row>
    <row r="448" spans="1:14">
      <c r="A448" t="str">
        <f t="shared" si="88"/>
        <v>alp_Man-VWCO</v>
      </c>
      <c r="B448" t="str">
        <f t="shared" si="89"/>
        <v>Google Brasil</v>
      </c>
      <c r="C448" t="str">
        <f t="shared" si="90"/>
        <v>google-brasil|retangulo|300x250|man_caminhoes|always_on|produto|criativo_15_tgx_29-440|300x250|cpm</v>
      </c>
      <c r="D448" t="str">
        <f t="shared" si="91"/>
        <v>138018360</v>
      </c>
      <c r="E448" t="str">
        <f t="shared" si="92"/>
        <v>Default</v>
      </c>
      <c r="F448" t="str">
        <f t="shared" si="93"/>
        <v>300x250 Default Web Ad</v>
      </c>
      <c r="G448" t="str">
        <f t="shared" si="94"/>
        <v>310387630</v>
      </c>
      <c r="H448" t="str">
        <f t="shared" si="95"/>
        <v>Display</v>
      </c>
      <c r="I448">
        <f t="shared" si="96"/>
        <v>7797</v>
      </c>
      <c r="J448">
        <f t="shared" si="97"/>
        <v>7</v>
      </c>
      <c r="K448" s="4">
        <f t="shared" si="100"/>
        <v>3.8199999999999998E-2</v>
      </c>
      <c r="L448">
        <f t="shared" si="101"/>
        <v>0.09</v>
      </c>
      <c r="M448" s="4">
        <f t="shared" si="98"/>
        <v>0.29784539999999998</v>
      </c>
      <c r="N448" s="4">
        <f t="shared" si="99"/>
        <v>0.70172999999999996</v>
      </c>
    </row>
    <row r="449" spans="1:14">
      <c r="A449" t="str">
        <f t="shared" si="88"/>
        <v>alp_Man-VWCO</v>
      </c>
      <c r="B449" t="str">
        <f t="shared" si="89"/>
        <v>Google Brasil</v>
      </c>
      <c r="C449" t="str">
        <f t="shared" si="90"/>
        <v>google-brasil|retangulo|300x250|man_caminhoes|always_on|produto|criativo_16_tgx_29-440|300x250|cpm</v>
      </c>
      <c r="D449" t="str">
        <f t="shared" si="91"/>
        <v>138018355</v>
      </c>
      <c r="E449" t="str">
        <f t="shared" si="92"/>
        <v>Default</v>
      </c>
      <c r="F449" t="str">
        <f t="shared" si="93"/>
        <v>300x250 Default Web Ad</v>
      </c>
      <c r="G449" t="str">
        <f t="shared" si="94"/>
        <v>310387630</v>
      </c>
      <c r="H449" t="str">
        <f t="shared" si="95"/>
        <v>Display</v>
      </c>
      <c r="I449">
        <f t="shared" si="96"/>
        <v>21264</v>
      </c>
      <c r="J449">
        <f t="shared" si="97"/>
        <v>43</v>
      </c>
      <c r="K449" s="4">
        <f t="shared" si="100"/>
        <v>3.8199999999999998E-2</v>
      </c>
      <c r="L449">
        <f t="shared" si="101"/>
        <v>0.09</v>
      </c>
      <c r="M449" s="4">
        <f t="shared" si="98"/>
        <v>0.81228479999999992</v>
      </c>
      <c r="N449" s="4">
        <f t="shared" si="99"/>
        <v>1.9137599999999999</v>
      </c>
    </row>
    <row r="450" spans="1:14">
      <c r="A450" t="str">
        <f t="shared" ref="A450:A513" si="102">bd_campaign</f>
        <v>alp_Man-VWCO</v>
      </c>
      <c r="B450" t="str">
        <f t="shared" ref="B450:B513" si="103">bd_site</f>
        <v>Google Brasil</v>
      </c>
      <c r="C450" t="str">
        <f t="shared" ref="C450:C513" si="104">bd_placement</f>
        <v>google-brasil|retangulo|300x250|man_caminhoes|always_on|produto|criativo_16_tgx_29-440|300x250|cpm</v>
      </c>
      <c r="D450" t="str">
        <f t="shared" ref="D450:D513" si="105">bd_placementID</f>
        <v>138018355</v>
      </c>
      <c r="E450" t="str">
        <f t="shared" ref="E450:E513" si="106">VLOOKUP(CONCATENATE(bd_adtype,"_",bd_creativetype),tabela,2,FALSE)</f>
        <v>Default</v>
      </c>
      <c r="F450" t="str">
        <f t="shared" ref="F450:F513" si="107">bd_ad</f>
        <v>300x250 Default Web Ad</v>
      </c>
      <c r="G450" t="str">
        <f t="shared" ref="G450:G513" si="108">bd_adid</f>
        <v>310387630</v>
      </c>
      <c r="H450" t="str">
        <f t="shared" ref="H450:H513" si="109">bd_creativetype</f>
        <v>Display</v>
      </c>
      <c r="I450">
        <f t="shared" ref="I450:I513" si="110">bd_impression</f>
        <v>7999</v>
      </c>
      <c r="J450">
        <f t="shared" ref="J450:J513" si="111">bd_clicks</f>
        <v>10</v>
      </c>
      <c r="K450" s="4">
        <f t="shared" si="100"/>
        <v>3.8199999999999998E-2</v>
      </c>
      <c r="L450">
        <f t="shared" si="101"/>
        <v>0.09</v>
      </c>
      <c r="M450" s="4">
        <f t="shared" si="98"/>
        <v>0.30556179999999999</v>
      </c>
      <c r="N450" s="4">
        <f t="shared" si="99"/>
        <v>0.71990999999999994</v>
      </c>
    </row>
    <row r="451" spans="1:14">
      <c r="A451" t="str">
        <f t="shared" si="102"/>
        <v>alp_Man-VWCO</v>
      </c>
      <c r="B451" t="str">
        <f t="shared" si="103"/>
        <v>Google Brasil</v>
      </c>
      <c r="C451" t="str">
        <f t="shared" si="104"/>
        <v>google-brasil|retangulo|300x250|man_caminhoes|always_on|produto|criativo_17_tgx_29-440|300x250|cpm</v>
      </c>
      <c r="D451" t="str">
        <f t="shared" si="105"/>
        <v>138018350</v>
      </c>
      <c r="E451" t="str">
        <f t="shared" si="106"/>
        <v>Default</v>
      </c>
      <c r="F451" t="str">
        <f t="shared" si="107"/>
        <v>300x250 Default Web Ad</v>
      </c>
      <c r="G451" t="str">
        <f t="shared" si="108"/>
        <v>310387630</v>
      </c>
      <c r="H451" t="str">
        <f t="shared" si="109"/>
        <v>Display</v>
      </c>
      <c r="I451">
        <f t="shared" si="110"/>
        <v>21795</v>
      </c>
      <c r="J451">
        <f t="shared" si="111"/>
        <v>42</v>
      </c>
      <c r="K451" s="4">
        <f t="shared" si="100"/>
        <v>3.8199999999999998E-2</v>
      </c>
      <c r="L451">
        <f t="shared" si="101"/>
        <v>0.09</v>
      </c>
      <c r="M451" s="4">
        <f t="shared" si="98"/>
        <v>0.832569</v>
      </c>
      <c r="N451" s="4">
        <f t="shared" si="99"/>
        <v>1.9615499999999999</v>
      </c>
    </row>
    <row r="452" spans="1:14">
      <c r="A452" t="str">
        <f t="shared" si="102"/>
        <v>alp_Man-VWCO</v>
      </c>
      <c r="B452" t="str">
        <f t="shared" si="103"/>
        <v>Google Brasil</v>
      </c>
      <c r="C452" t="str">
        <f t="shared" si="104"/>
        <v>google-brasil|retangulo|300x250|man_caminhoes|always_on|produto|criativo_17_tgx_29-440|300x250|cpm</v>
      </c>
      <c r="D452" t="str">
        <f t="shared" si="105"/>
        <v>138018350</v>
      </c>
      <c r="E452" t="str">
        <f t="shared" si="106"/>
        <v>Default</v>
      </c>
      <c r="F452" t="str">
        <f t="shared" si="107"/>
        <v>300x250 Default Web Ad</v>
      </c>
      <c r="G452" t="str">
        <f t="shared" si="108"/>
        <v>310387630</v>
      </c>
      <c r="H452" t="str">
        <f t="shared" si="109"/>
        <v>Display</v>
      </c>
      <c r="I452">
        <f t="shared" si="110"/>
        <v>7807</v>
      </c>
      <c r="J452">
        <f t="shared" si="111"/>
        <v>5</v>
      </c>
      <c r="K452" s="4">
        <f t="shared" si="100"/>
        <v>3.8199999999999998E-2</v>
      </c>
      <c r="L452">
        <f t="shared" si="101"/>
        <v>0.09</v>
      </c>
      <c r="M452" s="4">
        <f t="shared" si="98"/>
        <v>0.29822739999999998</v>
      </c>
      <c r="N452" s="4">
        <f t="shared" si="99"/>
        <v>0.70262999999999998</v>
      </c>
    </row>
    <row r="453" spans="1:14">
      <c r="A453" t="str">
        <f t="shared" si="102"/>
        <v>alp_Man-VWCO</v>
      </c>
      <c r="B453" t="str">
        <f t="shared" si="103"/>
        <v>Google Brasil</v>
      </c>
      <c r="C453" t="str">
        <f t="shared" si="104"/>
        <v>google-brasil|retangulo|300x250|man_caminhoes|always_on|produto|criativo_18_tgx_29-440|300x250|cpm</v>
      </c>
      <c r="D453" t="str">
        <f t="shared" si="105"/>
        <v>138018345</v>
      </c>
      <c r="E453" t="str">
        <f t="shared" si="106"/>
        <v>Default</v>
      </c>
      <c r="F453" t="str">
        <f t="shared" si="107"/>
        <v>300x250 Default Web Ad</v>
      </c>
      <c r="G453" t="str">
        <f t="shared" si="108"/>
        <v>310387630</v>
      </c>
      <c r="H453" t="str">
        <f t="shared" si="109"/>
        <v>Display</v>
      </c>
      <c r="I453">
        <f t="shared" si="110"/>
        <v>21505</v>
      </c>
      <c r="J453">
        <f t="shared" si="111"/>
        <v>42</v>
      </c>
      <c r="K453" s="4">
        <f t="shared" si="100"/>
        <v>3.8199999999999998E-2</v>
      </c>
      <c r="L453">
        <f t="shared" si="101"/>
        <v>0.09</v>
      </c>
      <c r="M453" s="4">
        <f t="shared" si="98"/>
        <v>0.82149099999999997</v>
      </c>
      <c r="N453" s="4">
        <f t="shared" si="99"/>
        <v>1.9354499999999999</v>
      </c>
    </row>
    <row r="454" spans="1:14">
      <c r="A454" t="str">
        <f t="shared" si="102"/>
        <v>alp_Man-VWCO</v>
      </c>
      <c r="B454" t="str">
        <f t="shared" si="103"/>
        <v>Google Brasil</v>
      </c>
      <c r="C454" t="str">
        <f t="shared" si="104"/>
        <v>google-brasil|retangulo|300x250|man_caminhoes|always_on|produto|criativo_18_tgx_29-440|300x250|cpm</v>
      </c>
      <c r="D454" t="str">
        <f t="shared" si="105"/>
        <v>138018345</v>
      </c>
      <c r="E454" t="str">
        <f t="shared" si="106"/>
        <v>Default</v>
      </c>
      <c r="F454" t="str">
        <f t="shared" si="107"/>
        <v>300x250 Default Web Ad</v>
      </c>
      <c r="G454" t="str">
        <f t="shared" si="108"/>
        <v>310387630</v>
      </c>
      <c r="H454" t="str">
        <f t="shared" si="109"/>
        <v>Display</v>
      </c>
      <c r="I454">
        <f t="shared" si="110"/>
        <v>8140</v>
      </c>
      <c r="J454">
        <f t="shared" si="111"/>
        <v>10</v>
      </c>
      <c r="K454" s="4">
        <f t="shared" si="100"/>
        <v>3.8199999999999998E-2</v>
      </c>
      <c r="L454">
        <f t="shared" si="101"/>
        <v>0.09</v>
      </c>
      <c r="M454" s="4">
        <f t="shared" si="98"/>
        <v>0.310948</v>
      </c>
      <c r="N454" s="4">
        <f t="shared" si="99"/>
        <v>0.73260000000000003</v>
      </c>
    </row>
    <row r="455" spans="1:14">
      <c r="A455" t="str">
        <f t="shared" si="102"/>
        <v>alp_Man-VWCO</v>
      </c>
      <c r="B455" t="str">
        <f t="shared" si="103"/>
        <v>Google Brasil</v>
      </c>
      <c r="C455" t="str">
        <f t="shared" si="104"/>
        <v>google-brasil|retangulo|300x250|man_caminhoes|always_on|produto|criativo_19_tgx_29-480|300x250|cpm</v>
      </c>
      <c r="D455" t="str">
        <f t="shared" si="105"/>
        <v>138018340</v>
      </c>
      <c r="E455" t="str">
        <f t="shared" si="106"/>
        <v>Default</v>
      </c>
      <c r="F455" t="str">
        <f t="shared" si="107"/>
        <v>300x250 Default Web Ad</v>
      </c>
      <c r="G455" t="str">
        <f t="shared" si="108"/>
        <v>310387630</v>
      </c>
      <c r="H455" t="str">
        <f t="shared" si="109"/>
        <v>Display</v>
      </c>
      <c r="I455">
        <f t="shared" si="110"/>
        <v>6048</v>
      </c>
      <c r="J455">
        <f t="shared" si="111"/>
        <v>3</v>
      </c>
      <c r="K455" s="4">
        <f t="shared" si="100"/>
        <v>3.8199999999999998E-2</v>
      </c>
      <c r="L455">
        <f t="shared" si="101"/>
        <v>0.09</v>
      </c>
      <c r="M455" s="4">
        <f t="shared" si="98"/>
        <v>0.23103359999999998</v>
      </c>
      <c r="N455" s="4">
        <f t="shared" si="99"/>
        <v>0.54431999999999992</v>
      </c>
    </row>
    <row r="456" spans="1:14">
      <c r="A456" t="str">
        <f t="shared" si="102"/>
        <v>alp_Man-VWCO</v>
      </c>
      <c r="B456" t="str">
        <f t="shared" si="103"/>
        <v>Google Brasil</v>
      </c>
      <c r="C456" t="str">
        <f t="shared" si="104"/>
        <v>google-brasil|retangulo|300x250|man_caminhoes|always_on|produto|criativo_20_tgx_29-480|300x250|cpm</v>
      </c>
      <c r="D456" t="str">
        <f t="shared" si="105"/>
        <v>138018335</v>
      </c>
      <c r="E456" t="str">
        <f t="shared" si="106"/>
        <v>Default</v>
      </c>
      <c r="F456" t="str">
        <f t="shared" si="107"/>
        <v>300x250 Default Web Ad</v>
      </c>
      <c r="G456" t="str">
        <f t="shared" si="108"/>
        <v>310387630</v>
      </c>
      <c r="H456" t="str">
        <f t="shared" si="109"/>
        <v>Display</v>
      </c>
      <c r="I456">
        <f t="shared" si="110"/>
        <v>5843</v>
      </c>
      <c r="J456">
        <f t="shared" si="111"/>
        <v>4</v>
      </c>
      <c r="K456" s="4">
        <f t="shared" si="100"/>
        <v>3.8199999999999998E-2</v>
      </c>
      <c r="L456">
        <f t="shared" si="101"/>
        <v>0.09</v>
      </c>
      <c r="M456" s="4">
        <f t="shared" si="98"/>
        <v>0.2232026</v>
      </c>
      <c r="N456" s="4">
        <f t="shared" si="99"/>
        <v>0.52587000000000006</v>
      </c>
    </row>
    <row r="457" spans="1:14">
      <c r="A457" t="str">
        <f t="shared" si="102"/>
        <v>alp_Man-VWCO</v>
      </c>
      <c r="B457" t="str">
        <f t="shared" si="103"/>
        <v>Google Brasil</v>
      </c>
      <c r="C457" t="str">
        <f t="shared" si="104"/>
        <v>google-brasil|retangulo|300x250|man_caminhoes|always_on|produto|criativo_21_tgx_29-480|300x250|cpm</v>
      </c>
      <c r="D457" t="str">
        <f t="shared" si="105"/>
        <v>138018330</v>
      </c>
      <c r="E457" t="str">
        <f t="shared" si="106"/>
        <v>Default</v>
      </c>
      <c r="F457" t="str">
        <f t="shared" si="107"/>
        <v>300x250 Default Web Ad</v>
      </c>
      <c r="G457" t="str">
        <f t="shared" si="108"/>
        <v>310387630</v>
      </c>
      <c r="H457" t="str">
        <f t="shared" si="109"/>
        <v>Display</v>
      </c>
      <c r="I457">
        <f t="shared" si="110"/>
        <v>7090</v>
      </c>
      <c r="J457">
        <f t="shared" si="111"/>
        <v>9</v>
      </c>
      <c r="K457" s="4">
        <f t="shared" si="100"/>
        <v>3.8199999999999998E-2</v>
      </c>
      <c r="L457">
        <f t="shared" si="101"/>
        <v>0.09</v>
      </c>
      <c r="M457" s="4">
        <f t="shared" si="98"/>
        <v>0.27083799999999997</v>
      </c>
      <c r="N457" s="4">
        <f t="shared" si="99"/>
        <v>0.6381</v>
      </c>
    </row>
    <row r="458" spans="1:14">
      <c r="A458" t="str">
        <f t="shared" si="102"/>
        <v>alp_Man-VWCO</v>
      </c>
      <c r="B458" t="str">
        <f t="shared" si="103"/>
        <v>Google Brasil</v>
      </c>
      <c r="C458" t="str">
        <f t="shared" si="104"/>
        <v>google-brasil|retangulo|300x250|man_caminhoes|always_on|produto|criativo_22_tgx_29-480|300x250|cpm</v>
      </c>
      <c r="D458" t="str">
        <f t="shared" si="105"/>
        <v>138018325</v>
      </c>
      <c r="E458" t="str">
        <f t="shared" si="106"/>
        <v>Default</v>
      </c>
      <c r="F458" t="str">
        <f t="shared" si="107"/>
        <v>300x250 Default Web Ad</v>
      </c>
      <c r="G458" t="str">
        <f t="shared" si="108"/>
        <v>310387630</v>
      </c>
      <c r="H458" t="str">
        <f t="shared" si="109"/>
        <v>Display</v>
      </c>
      <c r="I458">
        <f t="shared" si="110"/>
        <v>6053</v>
      </c>
      <c r="J458">
        <f t="shared" si="111"/>
        <v>7</v>
      </c>
      <c r="K458" s="4">
        <f t="shared" si="100"/>
        <v>3.8199999999999998E-2</v>
      </c>
      <c r="L458">
        <f t="shared" si="101"/>
        <v>0.09</v>
      </c>
      <c r="M458" s="4">
        <f t="shared" si="98"/>
        <v>0.23122459999999997</v>
      </c>
      <c r="N458" s="4">
        <f t="shared" si="99"/>
        <v>0.54476999999999998</v>
      </c>
    </row>
    <row r="459" spans="1:14">
      <c r="A459" t="str">
        <f t="shared" si="102"/>
        <v>alp_Man-VWCO</v>
      </c>
      <c r="B459" t="str">
        <f t="shared" si="103"/>
        <v>Google Brasil</v>
      </c>
      <c r="C459" t="str">
        <f t="shared" si="104"/>
        <v>google-brasil|retangulo|300x250|man_caminhoes|always_on|produto|criativo_23__tgx_29-480|300x250|cpm</v>
      </c>
      <c r="D459" t="str">
        <f t="shared" si="105"/>
        <v>138018320</v>
      </c>
      <c r="E459" t="str">
        <f t="shared" si="106"/>
        <v>Default</v>
      </c>
      <c r="F459" t="str">
        <f t="shared" si="107"/>
        <v>300x250 Default Web Ad</v>
      </c>
      <c r="G459" t="str">
        <f t="shared" si="108"/>
        <v>310387630</v>
      </c>
      <c r="H459" t="str">
        <f t="shared" si="109"/>
        <v>Display</v>
      </c>
      <c r="I459">
        <f t="shared" si="110"/>
        <v>5990</v>
      </c>
      <c r="J459">
        <f t="shared" si="111"/>
        <v>5</v>
      </c>
      <c r="K459" s="4">
        <f t="shared" si="100"/>
        <v>3.8199999999999998E-2</v>
      </c>
      <c r="L459">
        <f t="shared" si="101"/>
        <v>0.09</v>
      </c>
      <c r="M459" s="4">
        <f t="shared" si="98"/>
        <v>0.22881799999999999</v>
      </c>
      <c r="N459" s="4">
        <f t="shared" si="99"/>
        <v>0.53910000000000002</v>
      </c>
    </row>
    <row r="460" spans="1:14">
      <c r="A460" t="str">
        <f t="shared" si="102"/>
        <v>alp_Man-VWCO</v>
      </c>
      <c r="B460" t="str">
        <f t="shared" si="103"/>
        <v>Google Brasil</v>
      </c>
      <c r="C460" t="str">
        <f t="shared" si="104"/>
        <v>google-brasil|retangulo|300x250|man_caminhoes|always_on|produto|criativo_24__tgx_29-480|300x250|cpm</v>
      </c>
      <c r="D460" t="str">
        <f t="shared" si="105"/>
        <v>138018315</v>
      </c>
      <c r="E460" t="str">
        <f t="shared" si="106"/>
        <v>Default</v>
      </c>
      <c r="F460" t="str">
        <f t="shared" si="107"/>
        <v>300x250 Default Web Ad</v>
      </c>
      <c r="G460" t="str">
        <f t="shared" si="108"/>
        <v>310387630</v>
      </c>
      <c r="H460" t="str">
        <f t="shared" si="109"/>
        <v>Display</v>
      </c>
      <c r="I460">
        <f t="shared" si="110"/>
        <v>6521</v>
      </c>
      <c r="J460">
        <f t="shared" si="111"/>
        <v>12</v>
      </c>
      <c r="K460" s="4">
        <f t="shared" si="100"/>
        <v>3.8199999999999998E-2</v>
      </c>
      <c r="L460">
        <f t="shared" si="101"/>
        <v>0.09</v>
      </c>
      <c r="M460" s="4">
        <f t="shared" si="98"/>
        <v>0.2491022</v>
      </c>
      <c r="N460" s="4">
        <f t="shared" si="99"/>
        <v>0.58689000000000002</v>
      </c>
    </row>
    <row r="461" spans="1:14">
      <c r="A461" t="str">
        <f t="shared" si="102"/>
        <v>alp_Man-VWCO</v>
      </c>
      <c r="B461" t="str">
        <f t="shared" si="103"/>
        <v>Google Brasil</v>
      </c>
      <c r="C461" t="str">
        <f t="shared" si="104"/>
        <v>google-brasil|retangulo|300x250|man_caminhoes|always_on|produto|criativo_25_tgx_29-480|300x250|cpm</v>
      </c>
      <c r="D461" t="str">
        <f t="shared" si="105"/>
        <v>138018310</v>
      </c>
      <c r="E461" t="str">
        <f t="shared" si="106"/>
        <v>Default</v>
      </c>
      <c r="F461" t="str">
        <f t="shared" si="107"/>
        <v>300x250 Default Web Ad</v>
      </c>
      <c r="G461" t="str">
        <f t="shared" si="108"/>
        <v>310387630</v>
      </c>
      <c r="H461" t="str">
        <f t="shared" si="109"/>
        <v>Display</v>
      </c>
      <c r="I461">
        <f t="shared" si="110"/>
        <v>5937</v>
      </c>
      <c r="J461">
        <f t="shared" si="111"/>
        <v>4</v>
      </c>
      <c r="K461" s="4">
        <f t="shared" si="100"/>
        <v>3.8199999999999998E-2</v>
      </c>
      <c r="L461">
        <f t="shared" si="101"/>
        <v>0.09</v>
      </c>
      <c r="M461" s="4">
        <f t="shared" si="98"/>
        <v>0.22679339999999998</v>
      </c>
      <c r="N461" s="4">
        <f t="shared" si="99"/>
        <v>0.53432999999999997</v>
      </c>
    </row>
    <row r="462" spans="1:14">
      <c r="A462" t="str">
        <f t="shared" si="102"/>
        <v>alp_Man-VWCO</v>
      </c>
      <c r="B462" t="str">
        <f t="shared" si="103"/>
        <v>Google Brasil</v>
      </c>
      <c r="C462" t="str">
        <f t="shared" si="104"/>
        <v>google-brasil|retangulo|300x250|man_caminhoes|always_on|produto|criativo_26_tgx_29-480|300x250|cpm</v>
      </c>
      <c r="D462" t="str">
        <f t="shared" si="105"/>
        <v>138018305</v>
      </c>
      <c r="E462" t="str">
        <f t="shared" si="106"/>
        <v>Default</v>
      </c>
      <c r="F462" t="str">
        <f t="shared" si="107"/>
        <v>300x250 Default Web Ad</v>
      </c>
      <c r="G462" t="str">
        <f t="shared" si="108"/>
        <v>310387630</v>
      </c>
      <c r="H462" t="str">
        <f t="shared" si="109"/>
        <v>Display</v>
      </c>
      <c r="I462">
        <f t="shared" si="110"/>
        <v>6355</v>
      </c>
      <c r="J462">
        <f t="shared" si="111"/>
        <v>8</v>
      </c>
      <c r="K462" s="4">
        <f t="shared" si="100"/>
        <v>3.8199999999999998E-2</v>
      </c>
      <c r="L462">
        <f t="shared" si="101"/>
        <v>0.09</v>
      </c>
      <c r="M462" s="4">
        <f t="shared" si="98"/>
        <v>0.242761</v>
      </c>
      <c r="N462" s="4">
        <f t="shared" si="99"/>
        <v>0.57194999999999996</v>
      </c>
    </row>
    <row r="463" spans="1:14">
      <c r="A463" t="str">
        <f t="shared" si="102"/>
        <v>alp_Man-VWCO</v>
      </c>
      <c r="B463" t="str">
        <f t="shared" si="103"/>
        <v>Google Brasil</v>
      </c>
      <c r="C463" t="str">
        <f t="shared" si="104"/>
        <v>google-brasil|retangulo|300x250|man_caminhoes|always_on|produto|criativo_27_tgx_29-480|300x250|cpm</v>
      </c>
      <c r="D463" t="str">
        <f t="shared" si="105"/>
        <v>138018300</v>
      </c>
      <c r="E463" t="str">
        <f t="shared" si="106"/>
        <v>Default</v>
      </c>
      <c r="F463" t="str">
        <f t="shared" si="107"/>
        <v>300x250 Default Web Ad</v>
      </c>
      <c r="G463" t="str">
        <f t="shared" si="108"/>
        <v>310387630</v>
      </c>
      <c r="H463" t="str">
        <f t="shared" si="109"/>
        <v>Display</v>
      </c>
      <c r="I463">
        <f t="shared" si="110"/>
        <v>6602</v>
      </c>
      <c r="J463">
        <f t="shared" si="111"/>
        <v>9</v>
      </c>
      <c r="K463" s="4">
        <f t="shared" si="100"/>
        <v>3.8199999999999998E-2</v>
      </c>
      <c r="L463">
        <f t="shared" si="101"/>
        <v>0.09</v>
      </c>
      <c r="M463" s="4">
        <f t="shared" si="98"/>
        <v>0.25219639999999999</v>
      </c>
      <c r="N463" s="4">
        <f t="shared" si="99"/>
        <v>0.59417999999999993</v>
      </c>
    </row>
    <row r="464" spans="1:14">
      <c r="A464" t="str">
        <f t="shared" si="102"/>
        <v>alp_Man-VWCO</v>
      </c>
      <c r="B464" t="str">
        <f t="shared" si="103"/>
        <v>Google Brasil</v>
      </c>
      <c r="C464" t="str">
        <f t="shared" si="104"/>
        <v>google-brasil|retangulo|300x250|man_caminhoes|always_on|vitrine|criativo_01|300x250|cpm</v>
      </c>
      <c r="D464" t="str">
        <f t="shared" si="105"/>
        <v>138019040</v>
      </c>
      <c r="E464" t="str">
        <f t="shared" si="106"/>
        <v>Default</v>
      </c>
      <c r="F464" t="str">
        <f t="shared" si="107"/>
        <v>300x250 Default Web Ad</v>
      </c>
      <c r="G464" t="str">
        <f t="shared" si="108"/>
        <v>310387630</v>
      </c>
      <c r="H464" t="str">
        <f t="shared" si="109"/>
        <v>Display</v>
      </c>
      <c r="I464">
        <f t="shared" si="110"/>
        <v>110785</v>
      </c>
      <c r="J464">
        <f t="shared" si="111"/>
        <v>459</v>
      </c>
      <c r="K464" s="4">
        <f t="shared" si="100"/>
        <v>3.8199999999999998E-2</v>
      </c>
      <c r="L464">
        <f t="shared" si="101"/>
        <v>0.09</v>
      </c>
      <c r="M464" s="4">
        <f t="shared" si="98"/>
        <v>4.2319870000000002</v>
      </c>
      <c r="N464" s="4">
        <f t="shared" si="99"/>
        <v>9.9706499999999991</v>
      </c>
    </row>
    <row r="465" spans="1:14">
      <c r="A465" t="str">
        <f t="shared" si="102"/>
        <v>alp_Man-VWCO</v>
      </c>
      <c r="B465" t="str">
        <f t="shared" si="103"/>
        <v>Google Brasil</v>
      </c>
      <c r="C465" t="str">
        <f t="shared" si="104"/>
        <v>google-brasil|retangulo|300x250|man_caminhoes|always_on|vitrine|criativo_01|300x250|cpm</v>
      </c>
      <c r="D465" t="str">
        <f t="shared" si="105"/>
        <v>138019040</v>
      </c>
      <c r="E465" t="str">
        <f t="shared" si="106"/>
        <v>Default</v>
      </c>
      <c r="F465" t="str">
        <f t="shared" si="107"/>
        <v>300x250 Default Web Ad</v>
      </c>
      <c r="G465" t="str">
        <f t="shared" si="108"/>
        <v>310387630</v>
      </c>
      <c r="H465" t="str">
        <f t="shared" si="109"/>
        <v>Display</v>
      </c>
      <c r="I465">
        <f t="shared" si="110"/>
        <v>12068</v>
      </c>
      <c r="J465">
        <f t="shared" si="111"/>
        <v>206</v>
      </c>
      <c r="K465" s="4">
        <f t="shared" si="100"/>
        <v>3.8199999999999998E-2</v>
      </c>
      <c r="L465">
        <f t="shared" si="101"/>
        <v>0.09</v>
      </c>
      <c r="M465" s="4">
        <f t="shared" si="98"/>
        <v>0.46099759999999995</v>
      </c>
      <c r="N465" s="4">
        <f t="shared" si="99"/>
        <v>1.08612</v>
      </c>
    </row>
    <row r="466" spans="1:14">
      <c r="A466" t="str">
        <f t="shared" si="102"/>
        <v>alp_Man-VWCO</v>
      </c>
      <c r="B466" t="str">
        <f t="shared" si="103"/>
        <v>Google Brasil</v>
      </c>
      <c r="C466" t="str">
        <f t="shared" si="104"/>
        <v>google-brasil|retangulo|300x250|man_caminhoes|always_on|vitrine|criativo_02|300x250|cpm</v>
      </c>
      <c r="D466" t="str">
        <f t="shared" si="105"/>
        <v>138019035</v>
      </c>
      <c r="E466" t="str">
        <f t="shared" si="106"/>
        <v>Default</v>
      </c>
      <c r="F466" t="str">
        <f t="shared" si="107"/>
        <v>300x250 Default Web Ad</v>
      </c>
      <c r="G466" t="str">
        <f t="shared" si="108"/>
        <v>310387630</v>
      </c>
      <c r="H466" t="str">
        <f t="shared" si="109"/>
        <v>Display</v>
      </c>
      <c r="I466">
        <f t="shared" si="110"/>
        <v>110460</v>
      </c>
      <c r="J466">
        <f t="shared" si="111"/>
        <v>490</v>
      </c>
      <c r="K466" s="4">
        <f t="shared" si="100"/>
        <v>3.8199999999999998E-2</v>
      </c>
      <c r="L466">
        <f t="shared" si="101"/>
        <v>0.09</v>
      </c>
      <c r="M466" s="4">
        <f t="shared" si="98"/>
        <v>4.2195720000000003</v>
      </c>
      <c r="N466" s="4">
        <f t="shared" si="99"/>
        <v>9.9413999999999998</v>
      </c>
    </row>
    <row r="467" spans="1:14">
      <c r="A467" t="str">
        <f t="shared" si="102"/>
        <v>alp_Man-VWCO</v>
      </c>
      <c r="B467" t="str">
        <f t="shared" si="103"/>
        <v>Google Brasil</v>
      </c>
      <c r="C467" t="str">
        <f t="shared" si="104"/>
        <v>google-brasil|retangulo|300x250|man_caminhoes|always_on|vitrine|criativo_02|300x250|cpm</v>
      </c>
      <c r="D467" t="str">
        <f t="shared" si="105"/>
        <v>138019035</v>
      </c>
      <c r="E467" t="str">
        <f t="shared" si="106"/>
        <v>Default</v>
      </c>
      <c r="F467" t="str">
        <f t="shared" si="107"/>
        <v>300x250 Default Web Ad</v>
      </c>
      <c r="G467" t="str">
        <f t="shared" si="108"/>
        <v>310387630</v>
      </c>
      <c r="H467" t="str">
        <f t="shared" si="109"/>
        <v>Display</v>
      </c>
      <c r="I467">
        <f t="shared" si="110"/>
        <v>38238</v>
      </c>
      <c r="J467">
        <f t="shared" si="111"/>
        <v>474</v>
      </c>
      <c r="K467" s="4">
        <f t="shared" si="100"/>
        <v>3.8199999999999998E-2</v>
      </c>
      <c r="L467">
        <f t="shared" si="101"/>
        <v>0.09</v>
      </c>
      <c r="M467" s="4">
        <f t="shared" si="98"/>
        <v>1.4606915999999999</v>
      </c>
      <c r="N467" s="4">
        <f t="shared" si="99"/>
        <v>3.4414199999999999</v>
      </c>
    </row>
    <row r="468" spans="1:14">
      <c r="A468" t="str">
        <f t="shared" si="102"/>
        <v>alp_Man-VWCO</v>
      </c>
      <c r="B468" t="str">
        <f t="shared" si="103"/>
        <v>Google Brasil</v>
      </c>
      <c r="C468" t="str">
        <f t="shared" si="104"/>
        <v>google-brasil|retangulo|300x250|man_caminhoes|always_on|vitrine|criativo_03|300x250|cpm</v>
      </c>
      <c r="D468" t="str">
        <f t="shared" si="105"/>
        <v>138019030</v>
      </c>
      <c r="E468" t="str">
        <f t="shared" si="106"/>
        <v>Default</v>
      </c>
      <c r="F468" t="str">
        <f t="shared" si="107"/>
        <v>300x250 Default Web Ad</v>
      </c>
      <c r="G468" t="str">
        <f t="shared" si="108"/>
        <v>310387630</v>
      </c>
      <c r="H468" t="str">
        <f t="shared" si="109"/>
        <v>Display</v>
      </c>
      <c r="I468">
        <f t="shared" si="110"/>
        <v>113538</v>
      </c>
      <c r="J468">
        <f t="shared" si="111"/>
        <v>416</v>
      </c>
      <c r="K468" s="4">
        <f t="shared" si="100"/>
        <v>3.8199999999999998E-2</v>
      </c>
      <c r="L468">
        <f t="shared" si="101"/>
        <v>0.09</v>
      </c>
      <c r="M468" s="4">
        <f t="shared" si="98"/>
        <v>4.3371516000000003</v>
      </c>
      <c r="N468" s="4">
        <f t="shared" si="99"/>
        <v>10.21842</v>
      </c>
    </row>
    <row r="469" spans="1:14">
      <c r="A469" t="str">
        <f t="shared" si="102"/>
        <v>alp_Man-VWCO</v>
      </c>
      <c r="B469" t="str">
        <f t="shared" si="103"/>
        <v>Google Brasil</v>
      </c>
      <c r="C469" t="str">
        <f t="shared" si="104"/>
        <v>google-brasil|retangulo|300x250|man_caminhoes|always_on|vitrine|criativo_03|300x250|cpm</v>
      </c>
      <c r="D469" t="str">
        <f t="shared" si="105"/>
        <v>138019030</v>
      </c>
      <c r="E469" t="str">
        <f t="shared" si="106"/>
        <v>Default</v>
      </c>
      <c r="F469" t="str">
        <f t="shared" si="107"/>
        <v>300x250 Default Web Ad</v>
      </c>
      <c r="G469" t="str">
        <f t="shared" si="108"/>
        <v>310387630</v>
      </c>
      <c r="H469" t="str">
        <f t="shared" si="109"/>
        <v>Display</v>
      </c>
      <c r="I469">
        <f t="shared" si="110"/>
        <v>7290</v>
      </c>
      <c r="J469">
        <f t="shared" si="111"/>
        <v>131</v>
      </c>
      <c r="K469" s="4">
        <f t="shared" si="100"/>
        <v>3.8199999999999998E-2</v>
      </c>
      <c r="L469">
        <f t="shared" si="101"/>
        <v>0.09</v>
      </c>
      <c r="M469" s="4">
        <f t="shared" si="98"/>
        <v>0.278478</v>
      </c>
      <c r="N469" s="4">
        <f t="shared" si="99"/>
        <v>0.65610000000000002</v>
      </c>
    </row>
    <row r="470" spans="1:14">
      <c r="A470" t="str">
        <f t="shared" si="102"/>
        <v>alp_Man-VWCO</v>
      </c>
      <c r="B470" t="str">
        <f t="shared" si="103"/>
        <v>Google Brasil</v>
      </c>
      <c r="C470" t="str">
        <f t="shared" si="104"/>
        <v>google-brasil|retangulo|300x250|man_caminhoes|always_on|vitrine|criativo_04|300x250|cpm</v>
      </c>
      <c r="D470" t="str">
        <f t="shared" si="105"/>
        <v>138019025</v>
      </c>
      <c r="E470" t="str">
        <f t="shared" si="106"/>
        <v>Default</v>
      </c>
      <c r="F470" t="str">
        <f t="shared" si="107"/>
        <v>300x250 Default Web Ad</v>
      </c>
      <c r="G470" t="str">
        <f t="shared" si="108"/>
        <v>310387630</v>
      </c>
      <c r="H470" t="str">
        <f t="shared" si="109"/>
        <v>Display</v>
      </c>
      <c r="I470">
        <f t="shared" si="110"/>
        <v>113691</v>
      </c>
      <c r="J470">
        <f t="shared" si="111"/>
        <v>456</v>
      </c>
      <c r="K470" s="4">
        <f t="shared" si="100"/>
        <v>3.8199999999999998E-2</v>
      </c>
      <c r="L470">
        <f t="shared" si="101"/>
        <v>0.09</v>
      </c>
      <c r="M470" s="4">
        <f t="shared" si="98"/>
        <v>4.3429962</v>
      </c>
      <c r="N470" s="4">
        <f t="shared" si="99"/>
        <v>10.232190000000001</v>
      </c>
    </row>
    <row r="471" spans="1:14">
      <c r="A471" t="str">
        <f t="shared" si="102"/>
        <v>alp_Man-VWCO</v>
      </c>
      <c r="B471" t="str">
        <f t="shared" si="103"/>
        <v>Google Brasil</v>
      </c>
      <c r="C471" t="str">
        <f t="shared" si="104"/>
        <v>google-brasil|retangulo|300x250|man_caminhoes|always_on|vitrine|criativo_04|300x250|cpm</v>
      </c>
      <c r="D471" t="str">
        <f t="shared" si="105"/>
        <v>138019025</v>
      </c>
      <c r="E471" t="str">
        <f t="shared" si="106"/>
        <v>Default</v>
      </c>
      <c r="F471" t="str">
        <f t="shared" si="107"/>
        <v>300x250 Default Web Ad</v>
      </c>
      <c r="G471" t="str">
        <f t="shared" si="108"/>
        <v>310387630</v>
      </c>
      <c r="H471" t="str">
        <f t="shared" si="109"/>
        <v>Display</v>
      </c>
      <c r="I471">
        <f t="shared" si="110"/>
        <v>22477</v>
      </c>
      <c r="J471">
        <f t="shared" si="111"/>
        <v>481</v>
      </c>
      <c r="K471" s="4">
        <f t="shared" si="100"/>
        <v>3.8199999999999998E-2</v>
      </c>
      <c r="L471">
        <f t="shared" si="101"/>
        <v>0.09</v>
      </c>
      <c r="M471" s="4">
        <f t="shared" si="98"/>
        <v>0.85862139999999998</v>
      </c>
      <c r="N471" s="4">
        <f t="shared" si="99"/>
        <v>2.0229299999999997</v>
      </c>
    </row>
    <row r="472" spans="1:14">
      <c r="A472" t="str">
        <f t="shared" si="102"/>
        <v>alp_Man-VWCO</v>
      </c>
      <c r="B472" t="str">
        <f t="shared" si="103"/>
        <v>Google Brasil</v>
      </c>
      <c r="C472" t="str">
        <f t="shared" si="104"/>
        <v>google-brasil|retangulo|300x250|vw_caminhoes|always_on|institucional|criativo_01|300x250|cpm</v>
      </c>
      <c r="D472" t="str">
        <f t="shared" si="105"/>
        <v>138019060</v>
      </c>
      <c r="E472" t="str">
        <f t="shared" si="106"/>
        <v>Default</v>
      </c>
      <c r="F472" t="str">
        <f t="shared" si="107"/>
        <v>300x250 Default Web Ad</v>
      </c>
      <c r="G472" t="str">
        <f t="shared" si="108"/>
        <v>310387630</v>
      </c>
      <c r="H472" t="str">
        <f t="shared" si="109"/>
        <v>Display</v>
      </c>
      <c r="I472">
        <f t="shared" si="110"/>
        <v>51595</v>
      </c>
      <c r="J472">
        <f t="shared" si="111"/>
        <v>578</v>
      </c>
      <c r="K472" s="4">
        <f t="shared" si="100"/>
        <v>3.8199999999999998E-2</v>
      </c>
      <c r="L472">
        <f t="shared" si="101"/>
        <v>0.09</v>
      </c>
      <c r="M472" s="4">
        <f t="shared" si="98"/>
        <v>1.9709289999999999</v>
      </c>
      <c r="N472" s="4">
        <f t="shared" si="99"/>
        <v>4.6435500000000003</v>
      </c>
    </row>
    <row r="473" spans="1:14">
      <c r="A473" t="str">
        <f t="shared" si="102"/>
        <v>alp_Man-VWCO</v>
      </c>
      <c r="B473" t="str">
        <f t="shared" si="103"/>
        <v>Google Brasil</v>
      </c>
      <c r="C473" t="str">
        <f t="shared" si="104"/>
        <v>google-brasil|retangulo|300x250|vw_caminhoes|always_on|institucional|criativo_01|300x250|cpm</v>
      </c>
      <c r="D473" t="str">
        <f t="shared" si="105"/>
        <v>138019060</v>
      </c>
      <c r="E473" t="str">
        <f t="shared" si="106"/>
        <v>Default</v>
      </c>
      <c r="F473" t="str">
        <f t="shared" si="107"/>
        <v>300x250 Default Web Ad</v>
      </c>
      <c r="G473" t="str">
        <f t="shared" si="108"/>
        <v>310387630</v>
      </c>
      <c r="H473" t="str">
        <f t="shared" si="109"/>
        <v>Display</v>
      </c>
      <c r="I473">
        <f t="shared" si="110"/>
        <v>10991</v>
      </c>
      <c r="J473">
        <f t="shared" si="111"/>
        <v>362</v>
      </c>
      <c r="K473" s="4">
        <f t="shared" si="100"/>
        <v>3.8199999999999998E-2</v>
      </c>
      <c r="L473">
        <f t="shared" si="101"/>
        <v>0.09</v>
      </c>
      <c r="M473" s="4">
        <f t="shared" si="98"/>
        <v>0.41985620000000001</v>
      </c>
      <c r="N473" s="4">
        <f t="shared" si="99"/>
        <v>0.9891899999999999</v>
      </c>
    </row>
    <row r="474" spans="1:14">
      <c r="A474" t="str">
        <f t="shared" si="102"/>
        <v>alp_Man-VWCO</v>
      </c>
      <c r="B474" t="str">
        <f t="shared" si="103"/>
        <v>Google Brasil</v>
      </c>
      <c r="C474" t="str">
        <f t="shared" si="104"/>
        <v>google-brasil|retangulo|300x250|vw_caminhoes|always_on|institucional|criativo_02|300x250|cpm</v>
      </c>
      <c r="D474" t="str">
        <f t="shared" si="105"/>
        <v>138019055</v>
      </c>
      <c r="E474" t="str">
        <f t="shared" si="106"/>
        <v>Default</v>
      </c>
      <c r="F474" t="str">
        <f t="shared" si="107"/>
        <v>300x250 Default Web Ad</v>
      </c>
      <c r="G474" t="str">
        <f t="shared" si="108"/>
        <v>310387630</v>
      </c>
      <c r="H474" t="str">
        <f t="shared" si="109"/>
        <v>Display</v>
      </c>
      <c r="I474">
        <f t="shared" si="110"/>
        <v>20557</v>
      </c>
      <c r="J474">
        <f t="shared" si="111"/>
        <v>58</v>
      </c>
      <c r="K474" s="4">
        <f t="shared" si="100"/>
        <v>3.8199999999999998E-2</v>
      </c>
      <c r="L474">
        <f t="shared" si="101"/>
        <v>0.09</v>
      </c>
      <c r="M474" s="4">
        <f t="shared" si="98"/>
        <v>0.7852773999999999</v>
      </c>
      <c r="N474" s="4">
        <f t="shared" si="99"/>
        <v>1.8501299999999998</v>
      </c>
    </row>
    <row r="475" spans="1:14">
      <c r="A475" t="str">
        <f t="shared" si="102"/>
        <v>alp_Man-VWCO</v>
      </c>
      <c r="B475" t="str">
        <f t="shared" si="103"/>
        <v>Google Brasil</v>
      </c>
      <c r="C475" t="str">
        <f t="shared" si="104"/>
        <v>google-brasil|retangulo|300x250|vw_caminhoes|always_on|institucional|criativo_02|300x250|cpm</v>
      </c>
      <c r="D475" t="str">
        <f t="shared" si="105"/>
        <v>138019055</v>
      </c>
      <c r="E475" t="str">
        <f t="shared" si="106"/>
        <v>Default</v>
      </c>
      <c r="F475" t="str">
        <f t="shared" si="107"/>
        <v>300x250 Default Web Ad</v>
      </c>
      <c r="G475" t="str">
        <f t="shared" si="108"/>
        <v>310387630</v>
      </c>
      <c r="H475" t="str">
        <f t="shared" si="109"/>
        <v>Display</v>
      </c>
      <c r="I475">
        <f t="shared" si="110"/>
        <v>5896</v>
      </c>
      <c r="J475">
        <f t="shared" si="111"/>
        <v>208</v>
      </c>
      <c r="K475" s="4">
        <f t="shared" si="100"/>
        <v>3.8199999999999998E-2</v>
      </c>
      <c r="L475">
        <f t="shared" si="101"/>
        <v>0.09</v>
      </c>
      <c r="M475" s="4">
        <f t="shared" si="98"/>
        <v>0.22522719999999999</v>
      </c>
      <c r="N475" s="4">
        <f t="shared" si="99"/>
        <v>0.53064</v>
      </c>
    </row>
    <row r="476" spans="1:14">
      <c r="A476" t="str">
        <f t="shared" si="102"/>
        <v>alp_Man-VWCO</v>
      </c>
      <c r="B476" t="str">
        <f t="shared" si="103"/>
        <v>Google Brasil</v>
      </c>
      <c r="C476" t="str">
        <f t="shared" si="104"/>
        <v>google-brasil|retangulo|300x250|vw_caminhoes|always_on|institucional|criativo_03|300x250|cpm</v>
      </c>
      <c r="D476" t="str">
        <f t="shared" si="105"/>
        <v>138019050</v>
      </c>
      <c r="E476" t="str">
        <f t="shared" si="106"/>
        <v>Default</v>
      </c>
      <c r="F476" t="str">
        <f t="shared" si="107"/>
        <v>300x250 Default Web Ad</v>
      </c>
      <c r="G476" t="str">
        <f t="shared" si="108"/>
        <v>310387630</v>
      </c>
      <c r="H476" t="str">
        <f t="shared" si="109"/>
        <v>Display</v>
      </c>
      <c r="I476">
        <f t="shared" si="110"/>
        <v>19807</v>
      </c>
      <c r="J476">
        <f t="shared" si="111"/>
        <v>61</v>
      </c>
      <c r="K476" s="4">
        <f t="shared" si="100"/>
        <v>3.8199999999999998E-2</v>
      </c>
      <c r="L476">
        <f t="shared" si="101"/>
        <v>0.09</v>
      </c>
      <c r="M476" s="4">
        <f t="shared" si="98"/>
        <v>0.75662739999999995</v>
      </c>
      <c r="N476" s="4">
        <f t="shared" si="99"/>
        <v>1.7826299999999999</v>
      </c>
    </row>
    <row r="477" spans="1:14">
      <c r="A477" t="str">
        <f t="shared" si="102"/>
        <v>alp_Man-VWCO</v>
      </c>
      <c r="B477" t="str">
        <f t="shared" si="103"/>
        <v>Google Brasil</v>
      </c>
      <c r="C477" t="str">
        <f t="shared" si="104"/>
        <v>google-brasil|retangulo|300x250|vw_caminhoes|always_on|institucional|criativo_03|300x250|cpm</v>
      </c>
      <c r="D477" t="str">
        <f t="shared" si="105"/>
        <v>138019050</v>
      </c>
      <c r="E477" t="str">
        <f t="shared" si="106"/>
        <v>Default</v>
      </c>
      <c r="F477" t="str">
        <f t="shared" si="107"/>
        <v>300x250 Default Web Ad</v>
      </c>
      <c r="G477" t="str">
        <f t="shared" si="108"/>
        <v>310387630</v>
      </c>
      <c r="H477" t="str">
        <f t="shared" si="109"/>
        <v>Display</v>
      </c>
      <c r="I477">
        <f t="shared" si="110"/>
        <v>4528</v>
      </c>
      <c r="J477">
        <f t="shared" si="111"/>
        <v>140</v>
      </c>
      <c r="K477" s="4">
        <f t="shared" si="100"/>
        <v>3.8199999999999998E-2</v>
      </c>
      <c r="L477">
        <f t="shared" si="101"/>
        <v>0.09</v>
      </c>
      <c r="M477" s="4">
        <f t="shared" si="98"/>
        <v>0.17296959999999997</v>
      </c>
      <c r="N477" s="4">
        <f t="shared" si="99"/>
        <v>0.40751999999999999</v>
      </c>
    </row>
    <row r="478" spans="1:14">
      <c r="A478" t="str">
        <f t="shared" si="102"/>
        <v>alp_Man-VWCO</v>
      </c>
      <c r="B478" t="str">
        <f t="shared" si="103"/>
        <v>Google Brasil</v>
      </c>
      <c r="C478" t="str">
        <f t="shared" si="104"/>
        <v>google-brasil|retangulo|300x250|vw_caminhoes|always_on|institucional|criativo_04|300x250|cpm</v>
      </c>
      <c r="D478" t="str">
        <f t="shared" si="105"/>
        <v>138019045</v>
      </c>
      <c r="E478" t="str">
        <f t="shared" si="106"/>
        <v>Default</v>
      </c>
      <c r="F478" t="str">
        <f t="shared" si="107"/>
        <v>300x250 Default Web Ad</v>
      </c>
      <c r="G478" t="str">
        <f t="shared" si="108"/>
        <v>310387630</v>
      </c>
      <c r="H478" t="str">
        <f t="shared" si="109"/>
        <v>Display</v>
      </c>
      <c r="I478">
        <f t="shared" si="110"/>
        <v>24640</v>
      </c>
      <c r="J478">
        <f t="shared" si="111"/>
        <v>65</v>
      </c>
      <c r="K478" s="4">
        <f t="shared" si="100"/>
        <v>3.8199999999999998E-2</v>
      </c>
      <c r="L478">
        <f t="shared" si="101"/>
        <v>0.09</v>
      </c>
      <c r="M478" s="4">
        <f t="shared" si="98"/>
        <v>0.94124799999999997</v>
      </c>
      <c r="N478" s="4">
        <f t="shared" si="99"/>
        <v>2.2176</v>
      </c>
    </row>
    <row r="479" spans="1:14">
      <c r="A479" t="str">
        <f t="shared" si="102"/>
        <v>alp_Man-VWCO</v>
      </c>
      <c r="B479" t="str">
        <f t="shared" si="103"/>
        <v>Google Brasil</v>
      </c>
      <c r="C479" t="str">
        <f t="shared" si="104"/>
        <v>google-brasil|retangulo|300x250|vw_caminhoes|always_on|institucional|criativo_04|300x250|cpm</v>
      </c>
      <c r="D479" t="str">
        <f t="shared" si="105"/>
        <v>138019045</v>
      </c>
      <c r="E479" t="str">
        <f t="shared" si="106"/>
        <v>Default</v>
      </c>
      <c r="F479" t="str">
        <f t="shared" si="107"/>
        <v>300x250 Default Web Ad</v>
      </c>
      <c r="G479" t="str">
        <f t="shared" si="108"/>
        <v>310387630</v>
      </c>
      <c r="H479" t="str">
        <f t="shared" si="109"/>
        <v>Display</v>
      </c>
      <c r="I479">
        <f t="shared" si="110"/>
        <v>4267</v>
      </c>
      <c r="J479">
        <f t="shared" si="111"/>
        <v>127</v>
      </c>
      <c r="K479" s="4">
        <f t="shared" si="100"/>
        <v>3.8199999999999998E-2</v>
      </c>
      <c r="L479">
        <f t="shared" si="101"/>
        <v>0.09</v>
      </c>
      <c r="M479" s="4">
        <f t="shared" si="98"/>
        <v>0.16299939999999999</v>
      </c>
      <c r="N479" s="4">
        <f t="shared" si="99"/>
        <v>0.38402999999999998</v>
      </c>
    </row>
    <row r="480" spans="1:14">
      <c r="A480" t="str">
        <f t="shared" si="102"/>
        <v>alp_Man-VWCO</v>
      </c>
      <c r="B480" t="str">
        <f t="shared" si="103"/>
        <v>Google Brasil</v>
      </c>
      <c r="C480" t="str">
        <f t="shared" si="104"/>
        <v>google-brasil|retangulo|300x250|vw_caminhoes|always_on|produto|criativo_10_constellation_31-280|300x250|cpm</v>
      </c>
      <c r="D480" t="str">
        <f t="shared" si="105"/>
        <v>138018050</v>
      </c>
      <c r="E480" t="str">
        <f t="shared" si="106"/>
        <v>Default</v>
      </c>
      <c r="F480" t="str">
        <f t="shared" si="107"/>
        <v>300x250 Default Web Ad</v>
      </c>
      <c r="G480" t="str">
        <f t="shared" si="108"/>
        <v>310387630</v>
      </c>
      <c r="H480" t="str">
        <f t="shared" si="109"/>
        <v>Display</v>
      </c>
      <c r="I480">
        <f t="shared" si="110"/>
        <v>10431</v>
      </c>
      <c r="J480">
        <f t="shared" si="111"/>
        <v>11</v>
      </c>
      <c r="K480" s="4">
        <f t="shared" si="100"/>
        <v>3.8199999999999998E-2</v>
      </c>
      <c r="L480">
        <f t="shared" si="101"/>
        <v>0.09</v>
      </c>
      <c r="M480" s="4">
        <f t="shared" si="98"/>
        <v>0.39846419999999999</v>
      </c>
      <c r="N480" s="4">
        <f t="shared" si="99"/>
        <v>0.93879000000000001</v>
      </c>
    </row>
    <row r="481" spans="1:14">
      <c r="A481" t="str">
        <f t="shared" si="102"/>
        <v>alp_Man-VWCO</v>
      </c>
      <c r="B481" t="str">
        <f t="shared" si="103"/>
        <v>Google Brasil</v>
      </c>
      <c r="C481" t="str">
        <f t="shared" si="104"/>
        <v>google-brasil|retangulo|300x250|vw_caminhoes|always_on|produto|criativo_10_constellation_31-280|300x250|cpm</v>
      </c>
      <c r="D481" t="str">
        <f t="shared" si="105"/>
        <v>138018050</v>
      </c>
      <c r="E481" t="str">
        <f t="shared" si="106"/>
        <v>Default</v>
      </c>
      <c r="F481" t="str">
        <f t="shared" si="107"/>
        <v>300x250 Default Web Ad</v>
      </c>
      <c r="G481" t="str">
        <f t="shared" si="108"/>
        <v>310387630</v>
      </c>
      <c r="H481" t="str">
        <f t="shared" si="109"/>
        <v>Display</v>
      </c>
      <c r="I481">
        <f t="shared" si="110"/>
        <v>7914</v>
      </c>
      <c r="J481">
        <f t="shared" si="111"/>
        <v>6</v>
      </c>
      <c r="K481" s="4">
        <f t="shared" si="100"/>
        <v>3.8199999999999998E-2</v>
      </c>
      <c r="L481">
        <f t="shared" si="101"/>
        <v>0.09</v>
      </c>
      <c r="M481" s="4">
        <f t="shared" si="98"/>
        <v>0.30231479999999999</v>
      </c>
      <c r="N481" s="4">
        <f t="shared" si="99"/>
        <v>0.71226</v>
      </c>
    </row>
    <row r="482" spans="1:14">
      <c r="A482" t="str">
        <f t="shared" si="102"/>
        <v>alp_Man-VWCO</v>
      </c>
      <c r="B482" t="str">
        <f t="shared" si="103"/>
        <v>Google Brasil</v>
      </c>
      <c r="C482" t="str">
        <f t="shared" si="104"/>
        <v>google-brasil|retangulo|300x250|vw_caminhoes|always_on|produto|criativo_12_worker_15-190|300x250|cpm</v>
      </c>
      <c r="D482" t="str">
        <f t="shared" si="105"/>
        <v>138018040</v>
      </c>
      <c r="E482" t="str">
        <f t="shared" si="106"/>
        <v>Default</v>
      </c>
      <c r="F482" t="str">
        <f t="shared" si="107"/>
        <v>300x250 Default Web Ad</v>
      </c>
      <c r="G482" t="str">
        <f t="shared" si="108"/>
        <v>310387630</v>
      </c>
      <c r="H482" t="str">
        <f t="shared" si="109"/>
        <v>Display</v>
      </c>
      <c r="I482">
        <f t="shared" si="110"/>
        <v>5180</v>
      </c>
      <c r="J482">
        <f t="shared" si="111"/>
        <v>8</v>
      </c>
      <c r="K482" s="4">
        <f t="shared" si="100"/>
        <v>3.8199999999999998E-2</v>
      </c>
      <c r="L482">
        <f t="shared" si="101"/>
        <v>0.09</v>
      </c>
      <c r="M482" s="4">
        <f t="shared" ref="M482:M545" si="112">IF(E482="Dynamic Click",J482*K482,K482*$I482/1000)</f>
        <v>0.19787599999999997</v>
      </c>
      <c r="N482" s="4">
        <f t="shared" ref="N482:N545" si="113">IF(E482="Dynamic Click",J482*L482,L482*$I482/1000)</f>
        <v>0.4662</v>
      </c>
    </row>
    <row r="483" spans="1:14">
      <c r="A483" t="str">
        <f t="shared" si="102"/>
        <v>alp_Man-VWCO</v>
      </c>
      <c r="B483" t="str">
        <f t="shared" si="103"/>
        <v>Google Brasil</v>
      </c>
      <c r="C483" t="str">
        <f t="shared" si="104"/>
        <v>google-brasil|retangulo|300x250|vw_caminhoes|always_on|produto|criativo_12_worker_15-190|300x250|cpm</v>
      </c>
      <c r="D483" t="str">
        <f t="shared" si="105"/>
        <v>138018040</v>
      </c>
      <c r="E483" t="str">
        <f t="shared" si="106"/>
        <v>Default</v>
      </c>
      <c r="F483" t="str">
        <f t="shared" si="107"/>
        <v>300x250 Default Web Ad</v>
      </c>
      <c r="G483" t="str">
        <f t="shared" si="108"/>
        <v>310387630</v>
      </c>
      <c r="H483" t="str">
        <f t="shared" si="109"/>
        <v>Display</v>
      </c>
      <c r="I483">
        <f t="shared" si="110"/>
        <v>3376</v>
      </c>
      <c r="J483">
        <f t="shared" si="111"/>
        <v>4</v>
      </c>
      <c r="K483" s="4">
        <f t="shared" si="100"/>
        <v>3.8199999999999998E-2</v>
      </c>
      <c r="L483">
        <f t="shared" si="101"/>
        <v>0.09</v>
      </c>
      <c r="M483" s="4">
        <f t="shared" si="112"/>
        <v>0.1289632</v>
      </c>
      <c r="N483" s="4">
        <f t="shared" si="113"/>
        <v>0.30384</v>
      </c>
    </row>
    <row r="484" spans="1:14">
      <c r="A484" t="str">
        <f t="shared" si="102"/>
        <v>alp_Man-VWCO</v>
      </c>
      <c r="B484" t="str">
        <f t="shared" si="103"/>
        <v>Google Brasil</v>
      </c>
      <c r="C484" t="str">
        <f t="shared" si="104"/>
        <v>google-brasil|retangulo|300x250|vw_caminhoes|always_on|produto|criativo_13_worker_17-190|300x250|cpm</v>
      </c>
      <c r="D484" t="str">
        <f t="shared" si="105"/>
        <v>138018035</v>
      </c>
      <c r="E484" t="str">
        <f t="shared" si="106"/>
        <v>Default</v>
      </c>
      <c r="F484" t="str">
        <f t="shared" si="107"/>
        <v>300x250 Default Web Ad</v>
      </c>
      <c r="G484" t="str">
        <f t="shared" si="108"/>
        <v>310387630</v>
      </c>
      <c r="H484" t="str">
        <f t="shared" si="109"/>
        <v>Display</v>
      </c>
      <c r="I484">
        <f t="shared" si="110"/>
        <v>6347</v>
      </c>
      <c r="J484">
        <f t="shared" si="111"/>
        <v>4</v>
      </c>
      <c r="K484" s="4">
        <f t="shared" si="100"/>
        <v>3.8199999999999998E-2</v>
      </c>
      <c r="L484">
        <f t="shared" si="101"/>
        <v>0.09</v>
      </c>
      <c r="M484" s="4">
        <f t="shared" si="112"/>
        <v>0.24245539999999999</v>
      </c>
      <c r="N484" s="4">
        <f t="shared" si="113"/>
        <v>0.57123000000000002</v>
      </c>
    </row>
    <row r="485" spans="1:14">
      <c r="A485" t="str">
        <f t="shared" si="102"/>
        <v>alp_Man-VWCO</v>
      </c>
      <c r="B485" t="str">
        <f t="shared" si="103"/>
        <v>Google Brasil</v>
      </c>
      <c r="C485" t="str">
        <f t="shared" si="104"/>
        <v>google-brasil|retangulo|300x250|vw_caminhoes|always_on|produto|criativo_13_worker_17-190|300x250|cpm</v>
      </c>
      <c r="D485" t="str">
        <f t="shared" si="105"/>
        <v>138018035</v>
      </c>
      <c r="E485" t="str">
        <f t="shared" si="106"/>
        <v>Default</v>
      </c>
      <c r="F485" t="str">
        <f t="shared" si="107"/>
        <v>300x250 Default Web Ad</v>
      </c>
      <c r="G485" t="str">
        <f t="shared" si="108"/>
        <v>310387630</v>
      </c>
      <c r="H485" t="str">
        <f t="shared" si="109"/>
        <v>Display</v>
      </c>
      <c r="I485">
        <f t="shared" si="110"/>
        <v>3522</v>
      </c>
      <c r="J485">
        <f t="shared" si="111"/>
        <v>7</v>
      </c>
      <c r="K485" s="4">
        <f t="shared" si="100"/>
        <v>3.8199999999999998E-2</v>
      </c>
      <c r="L485">
        <f t="shared" si="101"/>
        <v>0.09</v>
      </c>
      <c r="M485" s="4">
        <f t="shared" si="112"/>
        <v>0.1345404</v>
      </c>
      <c r="N485" s="4">
        <f t="shared" si="113"/>
        <v>0.31697999999999998</v>
      </c>
    </row>
    <row r="486" spans="1:14">
      <c r="A486" t="str">
        <f t="shared" si="102"/>
        <v>alp_Man-VWCO</v>
      </c>
      <c r="B486" t="str">
        <f t="shared" si="103"/>
        <v>Google Brasil</v>
      </c>
      <c r="C486" t="str">
        <f t="shared" si="104"/>
        <v>google-brasil|retangulo|300x250|vw_caminhoes|always_on|produto|criativo_14_worker_17-230|300x250|cpm</v>
      </c>
      <c r="D486" t="str">
        <f t="shared" si="105"/>
        <v>138018030</v>
      </c>
      <c r="E486" t="str">
        <f t="shared" si="106"/>
        <v>Default</v>
      </c>
      <c r="F486" t="str">
        <f t="shared" si="107"/>
        <v>300x250 Default Web Ad</v>
      </c>
      <c r="G486" t="str">
        <f t="shared" si="108"/>
        <v>310387630</v>
      </c>
      <c r="H486" t="str">
        <f t="shared" si="109"/>
        <v>Display</v>
      </c>
      <c r="I486">
        <f t="shared" si="110"/>
        <v>7001</v>
      </c>
      <c r="J486">
        <f t="shared" si="111"/>
        <v>13</v>
      </c>
      <c r="K486" s="4">
        <f t="shared" si="100"/>
        <v>3.8199999999999998E-2</v>
      </c>
      <c r="L486">
        <f t="shared" si="101"/>
        <v>0.09</v>
      </c>
      <c r="M486" s="4">
        <f t="shared" si="112"/>
        <v>0.26743820000000001</v>
      </c>
      <c r="N486" s="4">
        <f t="shared" si="113"/>
        <v>0.63009000000000004</v>
      </c>
    </row>
    <row r="487" spans="1:14">
      <c r="A487" t="str">
        <f t="shared" si="102"/>
        <v>alp_Man-VWCO</v>
      </c>
      <c r="B487" t="str">
        <f t="shared" si="103"/>
        <v>Google Brasil</v>
      </c>
      <c r="C487" t="str">
        <f t="shared" si="104"/>
        <v>google-brasil|retangulo|300x250|vw_caminhoes|always_on|produto|criativo_14_worker_17-230|300x250|cpm</v>
      </c>
      <c r="D487" t="str">
        <f t="shared" si="105"/>
        <v>138018030</v>
      </c>
      <c r="E487" t="str">
        <f t="shared" si="106"/>
        <v>Default</v>
      </c>
      <c r="F487" t="str">
        <f t="shared" si="107"/>
        <v>300x250 Default Web Ad</v>
      </c>
      <c r="G487" t="str">
        <f t="shared" si="108"/>
        <v>310387630</v>
      </c>
      <c r="H487" t="str">
        <f t="shared" si="109"/>
        <v>Display</v>
      </c>
      <c r="I487">
        <f t="shared" si="110"/>
        <v>5113</v>
      </c>
      <c r="J487">
        <f t="shared" si="111"/>
        <v>5</v>
      </c>
      <c r="K487" s="4">
        <f t="shared" si="100"/>
        <v>3.8199999999999998E-2</v>
      </c>
      <c r="L487">
        <f t="shared" si="101"/>
        <v>0.09</v>
      </c>
      <c r="M487" s="4">
        <f t="shared" si="112"/>
        <v>0.19531660000000001</v>
      </c>
      <c r="N487" s="4">
        <f t="shared" si="113"/>
        <v>0.46016999999999997</v>
      </c>
    </row>
    <row r="488" spans="1:14">
      <c r="A488" t="str">
        <f t="shared" si="102"/>
        <v>alp_Man-VWCO</v>
      </c>
      <c r="B488" t="str">
        <f t="shared" si="103"/>
        <v>Google Brasil</v>
      </c>
      <c r="C488" t="str">
        <f t="shared" si="104"/>
        <v>google-brasil|retangulo|300x250|vw_caminhoes|always_on|produto|criativo_16_constellation_canavieiro|300x250|cpm</v>
      </c>
      <c r="D488" t="str">
        <f t="shared" si="105"/>
        <v>138018020</v>
      </c>
      <c r="E488" t="str">
        <f t="shared" si="106"/>
        <v>Default</v>
      </c>
      <c r="F488" t="str">
        <f t="shared" si="107"/>
        <v>300x250 Default Web Ad</v>
      </c>
      <c r="G488" t="str">
        <f t="shared" si="108"/>
        <v>310387630</v>
      </c>
      <c r="H488" t="str">
        <f t="shared" si="109"/>
        <v>Display</v>
      </c>
      <c r="I488">
        <f t="shared" si="110"/>
        <v>3809</v>
      </c>
      <c r="J488">
        <f t="shared" si="111"/>
        <v>7</v>
      </c>
      <c r="K488" s="4">
        <f t="shared" si="100"/>
        <v>3.8199999999999998E-2</v>
      </c>
      <c r="L488">
        <f t="shared" si="101"/>
        <v>0.09</v>
      </c>
      <c r="M488" s="4">
        <f t="shared" si="112"/>
        <v>0.14550379999999999</v>
      </c>
      <c r="N488" s="4">
        <f t="shared" si="113"/>
        <v>0.34281</v>
      </c>
    </row>
    <row r="489" spans="1:14">
      <c r="A489" t="str">
        <f t="shared" si="102"/>
        <v>alp_Man-VWCO</v>
      </c>
      <c r="B489" t="str">
        <f t="shared" si="103"/>
        <v>Google Brasil</v>
      </c>
      <c r="C489" t="str">
        <f t="shared" si="104"/>
        <v>google-brasil|retangulo|300x250|vw_caminhoes|always_on|produto|criativo_17_constellation_compactor|300x250|cpm</v>
      </c>
      <c r="D489" t="str">
        <f t="shared" si="105"/>
        <v>138018015</v>
      </c>
      <c r="E489" t="str">
        <f t="shared" si="106"/>
        <v>Default</v>
      </c>
      <c r="F489" t="str">
        <f t="shared" si="107"/>
        <v>300x250 Default Web Ad</v>
      </c>
      <c r="G489" t="str">
        <f t="shared" si="108"/>
        <v>310387630</v>
      </c>
      <c r="H489" t="str">
        <f t="shared" si="109"/>
        <v>Display</v>
      </c>
      <c r="I489">
        <f t="shared" si="110"/>
        <v>4266</v>
      </c>
      <c r="J489">
        <f t="shared" si="111"/>
        <v>1</v>
      </c>
      <c r="K489" s="4">
        <f t="shared" si="100"/>
        <v>3.8199999999999998E-2</v>
      </c>
      <c r="L489">
        <f t="shared" si="101"/>
        <v>0.09</v>
      </c>
      <c r="M489" s="4">
        <f t="shared" si="112"/>
        <v>0.1629612</v>
      </c>
      <c r="N489" s="4">
        <f t="shared" si="113"/>
        <v>0.38394</v>
      </c>
    </row>
    <row r="490" spans="1:14">
      <c r="A490" t="str">
        <f t="shared" si="102"/>
        <v>alp_Man-VWCO</v>
      </c>
      <c r="B490" t="str">
        <f t="shared" si="103"/>
        <v>Google Brasil</v>
      </c>
      <c r="C490" t="str">
        <f t="shared" si="104"/>
        <v>google-brasil|retangulo|300x250|vw_caminhoes|always_on|produto|criativo_17_constellation_compactor|300x250|cpm</v>
      </c>
      <c r="D490" t="str">
        <f t="shared" si="105"/>
        <v>138018015</v>
      </c>
      <c r="E490" t="str">
        <f t="shared" si="106"/>
        <v>Default</v>
      </c>
      <c r="F490" t="str">
        <f t="shared" si="107"/>
        <v>300x250 Default Web Ad</v>
      </c>
      <c r="G490" t="str">
        <f t="shared" si="108"/>
        <v>310387630</v>
      </c>
      <c r="H490" t="str">
        <f t="shared" si="109"/>
        <v>Display</v>
      </c>
      <c r="I490">
        <f t="shared" si="110"/>
        <v>3381</v>
      </c>
      <c r="J490">
        <f t="shared" si="111"/>
        <v>2</v>
      </c>
      <c r="K490" s="4">
        <f t="shared" si="100"/>
        <v>3.8199999999999998E-2</v>
      </c>
      <c r="L490">
        <f t="shared" si="101"/>
        <v>0.09</v>
      </c>
      <c r="M490" s="4">
        <f t="shared" si="112"/>
        <v>0.1291542</v>
      </c>
      <c r="N490" s="4">
        <f t="shared" si="113"/>
        <v>0.30428999999999995</v>
      </c>
    </row>
    <row r="491" spans="1:14">
      <c r="A491" t="str">
        <f t="shared" si="102"/>
        <v>alp_Man-VWCO</v>
      </c>
      <c r="B491" t="str">
        <f t="shared" si="103"/>
        <v>Google Brasil</v>
      </c>
      <c r="C491" t="str">
        <f t="shared" si="104"/>
        <v>google-brasil|retangulo|300x250|vw_caminhoes|always_on|produto|criativo_34_constructor_basculante|300x250|cpm</v>
      </c>
      <c r="D491" t="str">
        <f t="shared" si="105"/>
        <v>138017960</v>
      </c>
      <c r="E491" t="str">
        <f t="shared" si="106"/>
        <v>Default</v>
      </c>
      <c r="F491" t="str">
        <f t="shared" si="107"/>
        <v>300x250 Default Web Ad</v>
      </c>
      <c r="G491" t="str">
        <f t="shared" si="108"/>
        <v>310387630</v>
      </c>
      <c r="H491" t="str">
        <f t="shared" si="109"/>
        <v>Display</v>
      </c>
      <c r="I491">
        <f t="shared" si="110"/>
        <v>2086</v>
      </c>
      <c r="J491">
        <f t="shared" si="111"/>
        <v>1</v>
      </c>
      <c r="K491" s="4">
        <f t="shared" si="100"/>
        <v>3.8199999999999998E-2</v>
      </c>
      <c r="L491">
        <f t="shared" si="101"/>
        <v>0.09</v>
      </c>
      <c r="M491" s="4">
        <f t="shared" si="112"/>
        <v>7.9685199999999998E-2</v>
      </c>
      <c r="N491" s="4">
        <f t="shared" si="113"/>
        <v>0.18773999999999999</v>
      </c>
    </row>
    <row r="492" spans="1:14">
      <c r="A492" t="str">
        <f t="shared" si="102"/>
        <v>alp_Man-VWCO</v>
      </c>
      <c r="B492" t="str">
        <f t="shared" si="103"/>
        <v>Google Brasil</v>
      </c>
      <c r="C492" t="str">
        <f t="shared" si="104"/>
        <v>google-brasil|retangulo|300x250|vw_caminhoes|always_on|produto|criativo_34_constructor_basculante|300x250|cpm</v>
      </c>
      <c r="D492" t="str">
        <f t="shared" si="105"/>
        <v>138017960</v>
      </c>
      <c r="E492" t="str">
        <f t="shared" si="106"/>
        <v>Default</v>
      </c>
      <c r="F492" t="str">
        <f t="shared" si="107"/>
        <v>300x250 Default Web Ad</v>
      </c>
      <c r="G492" t="str">
        <f t="shared" si="108"/>
        <v>310387630</v>
      </c>
      <c r="H492" t="str">
        <f t="shared" si="109"/>
        <v>Display</v>
      </c>
      <c r="I492">
        <f t="shared" si="110"/>
        <v>3237</v>
      </c>
      <c r="J492">
        <f t="shared" si="111"/>
        <v>9</v>
      </c>
      <c r="K492" s="4">
        <f t="shared" ref="K492:K555" si="114">IF(LEFT(B492,3)="DBM",0,VLOOKUP(E492,tabela,2,FALSE))</f>
        <v>3.8199999999999998E-2</v>
      </c>
      <c r="L492">
        <f t="shared" ref="L492:L555" si="115">VLOOKUP(E492,tabela,3,FALSE)</f>
        <v>0.09</v>
      </c>
      <c r="M492" s="4">
        <f t="shared" si="112"/>
        <v>0.1236534</v>
      </c>
      <c r="N492" s="4">
        <f t="shared" si="113"/>
        <v>0.29132999999999998</v>
      </c>
    </row>
    <row r="493" spans="1:14">
      <c r="A493" t="str">
        <f t="shared" si="102"/>
        <v>alp_Man-VWCO</v>
      </c>
      <c r="B493" t="str">
        <f t="shared" si="103"/>
        <v>Google Brasil</v>
      </c>
      <c r="C493" t="str">
        <f t="shared" si="104"/>
        <v>google-brasil|retangulo|300x250|vw_caminhoes|always_on|produto|criativo_35_constructor_betoneira|300x250|cpm</v>
      </c>
      <c r="D493" t="str">
        <f t="shared" si="105"/>
        <v>138017955</v>
      </c>
      <c r="E493" t="str">
        <f t="shared" si="106"/>
        <v>Default</v>
      </c>
      <c r="F493" t="str">
        <f t="shared" si="107"/>
        <v>300x250 Default Web Ad</v>
      </c>
      <c r="G493" t="str">
        <f t="shared" si="108"/>
        <v>310387630</v>
      </c>
      <c r="H493" t="str">
        <f t="shared" si="109"/>
        <v>Display</v>
      </c>
      <c r="I493">
        <f t="shared" si="110"/>
        <v>1878</v>
      </c>
      <c r="J493">
        <f t="shared" si="111"/>
        <v>11</v>
      </c>
      <c r="K493" s="4">
        <f t="shared" si="114"/>
        <v>3.8199999999999998E-2</v>
      </c>
      <c r="L493">
        <f t="shared" si="115"/>
        <v>0.09</v>
      </c>
      <c r="M493" s="4">
        <f t="shared" si="112"/>
        <v>7.1739600000000001E-2</v>
      </c>
      <c r="N493" s="4">
        <f t="shared" si="113"/>
        <v>0.16901999999999998</v>
      </c>
    </row>
    <row r="494" spans="1:14">
      <c r="A494" t="str">
        <f t="shared" si="102"/>
        <v>alp_Man-VWCO</v>
      </c>
      <c r="B494" t="str">
        <f t="shared" si="103"/>
        <v>Google Brasil</v>
      </c>
      <c r="C494" t="str">
        <f t="shared" si="104"/>
        <v>google-brasil|retangulo|300x250|vw_caminhoes|always_on|produto|criativo_35_constructor_betoneira|300x250|cpm</v>
      </c>
      <c r="D494" t="str">
        <f t="shared" si="105"/>
        <v>138017955</v>
      </c>
      <c r="E494" t="str">
        <f t="shared" si="106"/>
        <v>Default</v>
      </c>
      <c r="F494" t="str">
        <f t="shared" si="107"/>
        <v>300x250 Default Web Ad</v>
      </c>
      <c r="G494" t="str">
        <f t="shared" si="108"/>
        <v>310387630</v>
      </c>
      <c r="H494" t="str">
        <f t="shared" si="109"/>
        <v>Display</v>
      </c>
      <c r="I494">
        <f t="shared" si="110"/>
        <v>130</v>
      </c>
      <c r="J494">
        <f t="shared" si="111"/>
        <v>0</v>
      </c>
      <c r="K494" s="4">
        <f t="shared" si="114"/>
        <v>3.8199999999999998E-2</v>
      </c>
      <c r="L494">
        <f t="shared" si="115"/>
        <v>0.09</v>
      </c>
      <c r="M494" s="4">
        <f t="shared" si="112"/>
        <v>4.9659999999999991E-3</v>
      </c>
      <c r="N494" s="4">
        <f t="shared" si="113"/>
        <v>1.1699999999999999E-2</v>
      </c>
    </row>
    <row r="495" spans="1:14">
      <c r="A495" t="str">
        <f t="shared" si="102"/>
        <v>alp_Man-VWCO</v>
      </c>
      <c r="B495" t="str">
        <f t="shared" si="103"/>
        <v>Google Brasil</v>
      </c>
      <c r="C495" t="str">
        <f t="shared" si="104"/>
        <v>google-brasil|retangulo|300x250|vw_caminhoes|always_on|produto|criativo_36_constellation_distributor|300x250|cpm</v>
      </c>
      <c r="D495" t="str">
        <f t="shared" si="105"/>
        <v>138017950</v>
      </c>
      <c r="E495" t="str">
        <f t="shared" si="106"/>
        <v>Default</v>
      </c>
      <c r="F495" t="str">
        <f t="shared" si="107"/>
        <v>300x250 Default Web Ad</v>
      </c>
      <c r="G495" t="str">
        <f t="shared" si="108"/>
        <v>310387630</v>
      </c>
      <c r="H495" t="str">
        <f t="shared" si="109"/>
        <v>Display</v>
      </c>
      <c r="I495">
        <f t="shared" si="110"/>
        <v>3467</v>
      </c>
      <c r="J495">
        <f t="shared" si="111"/>
        <v>8</v>
      </c>
      <c r="K495" s="4">
        <f t="shared" si="114"/>
        <v>3.8199999999999998E-2</v>
      </c>
      <c r="L495">
        <f t="shared" si="115"/>
        <v>0.09</v>
      </c>
      <c r="M495" s="4">
        <f t="shared" si="112"/>
        <v>0.13243940000000001</v>
      </c>
      <c r="N495" s="4">
        <f t="shared" si="113"/>
        <v>0.31202999999999997</v>
      </c>
    </row>
    <row r="496" spans="1:14">
      <c r="A496" t="str">
        <f t="shared" si="102"/>
        <v>alp_Man-VWCO</v>
      </c>
      <c r="B496" t="str">
        <f t="shared" si="103"/>
        <v>Google Brasil</v>
      </c>
      <c r="C496" t="str">
        <f t="shared" si="104"/>
        <v>google-brasil|retangulo|300x250|vw_caminhoes|always_on|produto|criativo_36_constellation_distributor|300x250|cpm</v>
      </c>
      <c r="D496" t="str">
        <f t="shared" si="105"/>
        <v>138017950</v>
      </c>
      <c r="E496" t="str">
        <f t="shared" si="106"/>
        <v>Default</v>
      </c>
      <c r="F496" t="str">
        <f t="shared" si="107"/>
        <v>300x250 Default Web Ad</v>
      </c>
      <c r="G496" t="str">
        <f t="shared" si="108"/>
        <v>310387630</v>
      </c>
      <c r="H496" t="str">
        <f t="shared" si="109"/>
        <v>Display</v>
      </c>
      <c r="I496">
        <f t="shared" si="110"/>
        <v>3671</v>
      </c>
      <c r="J496">
        <f t="shared" si="111"/>
        <v>4</v>
      </c>
      <c r="K496" s="4">
        <f t="shared" si="114"/>
        <v>3.8199999999999998E-2</v>
      </c>
      <c r="L496">
        <f t="shared" si="115"/>
        <v>0.09</v>
      </c>
      <c r="M496" s="4">
        <f t="shared" si="112"/>
        <v>0.1402322</v>
      </c>
      <c r="N496" s="4">
        <f t="shared" si="113"/>
        <v>0.33038999999999996</v>
      </c>
    </row>
    <row r="497" spans="1:14">
      <c r="A497" t="str">
        <f t="shared" si="102"/>
        <v>alp_Man-VWCO</v>
      </c>
      <c r="B497" t="str">
        <f t="shared" si="103"/>
        <v>Google Brasil</v>
      </c>
      <c r="C497" t="str">
        <f t="shared" si="104"/>
        <v>google-brasil|retangulo|300x250|vw_caminhoes|always_on|produto|criativo_38_worker_17-230|300x250|cpm</v>
      </c>
      <c r="D497" t="str">
        <f t="shared" si="105"/>
        <v>138017940</v>
      </c>
      <c r="E497" t="str">
        <f t="shared" si="106"/>
        <v>Default</v>
      </c>
      <c r="F497" t="str">
        <f t="shared" si="107"/>
        <v>300x250 Default Web Ad</v>
      </c>
      <c r="G497" t="str">
        <f t="shared" si="108"/>
        <v>310387630</v>
      </c>
      <c r="H497" t="str">
        <f t="shared" si="109"/>
        <v>Display</v>
      </c>
      <c r="I497">
        <f t="shared" si="110"/>
        <v>14132</v>
      </c>
      <c r="J497">
        <f t="shared" si="111"/>
        <v>19</v>
      </c>
      <c r="K497" s="4">
        <f t="shared" si="114"/>
        <v>3.8199999999999998E-2</v>
      </c>
      <c r="L497">
        <f t="shared" si="115"/>
        <v>0.09</v>
      </c>
      <c r="M497" s="4">
        <f t="shared" si="112"/>
        <v>0.53984239999999994</v>
      </c>
      <c r="N497" s="4">
        <f t="shared" si="113"/>
        <v>1.2718799999999999</v>
      </c>
    </row>
    <row r="498" spans="1:14">
      <c r="A498" t="str">
        <f t="shared" si="102"/>
        <v>alp_Man-VWCO</v>
      </c>
      <c r="B498" t="str">
        <f t="shared" si="103"/>
        <v>Google Brasil</v>
      </c>
      <c r="C498" t="str">
        <f t="shared" si="104"/>
        <v>google-brasil|retangulo|300x250|vw_caminhoes|always_on|produto|criativo_38_worker_17-230|300x250|cpm</v>
      </c>
      <c r="D498" t="str">
        <f t="shared" si="105"/>
        <v>138017940</v>
      </c>
      <c r="E498" t="str">
        <f t="shared" si="106"/>
        <v>Default</v>
      </c>
      <c r="F498" t="str">
        <f t="shared" si="107"/>
        <v>300x250 Default Web Ad</v>
      </c>
      <c r="G498" t="str">
        <f t="shared" si="108"/>
        <v>310387630</v>
      </c>
      <c r="H498" t="str">
        <f t="shared" si="109"/>
        <v>Display</v>
      </c>
      <c r="I498">
        <f t="shared" si="110"/>
        <v>10452</v>
      </c>
      <c r="J498">
        <f t="shared" si="111"/>
        <v>13</v>
      </c>
      <c r="K498" s="4">
        <f t="shared" si="114"/>
        <v>3.8199999999999998E-2</v>
      </c>
      <c r="L498">
        <f t="shared" si="115"/>
        <v>0.09</v>
      </c>
      <c r="M498" s="4">
        <f t="shared" si="112"/>
        <v>0.39926639999999997</v>
      </c>
      <c r="N498" s="4">
        <f t="shared" si="113"/>
        <v>0.94067999999999996</v>
      </c>
    </row>
    <row r="499" spans="1:14">
      <c r="A499" t="str">
        <f t="shared" si="102"/>
        <v>alp_Man-VWCO</v>
      </c>
      <c r="B499" t="str">
        <f t="shared" si="103"/>
        <v>Google Brasil</v>
      </c>
      <c r="C499" t="str">
        <f t="shared" si="104"/>
        <v>google-brasil|retangulo|300x250|vw_caminhoes|always_on|produto|criativo_39_worker_17-230|300x250|cpm</v>
      </c>
      <c r="D499" t="str">
        <f t="shared" si="105"/>
        <v>138017935</v>
      </c>
      <c r="E499" t="str">
        <f t="shared" si="106"/>
        <v>Default</v>
      </c>
      <c r="F499" t="str">
        <f t="shared" si="107"/>
        <v>300x250 Default Web Ad</v>
      </c>
      <c r="G499" t="str">
        <f t="shared" si="108"/>
        <v>310387630</v>
      </c>
      <c r="H499" t="str">
        <f t="shared" si="109"/>
        <v>Display</v>
      </c>
      <c r="I499">
        <f t="shared" si="110"/>
        <v>14048</v>
      </c>
      <c r="J499">
        <f t="shared" si="111"/>
        <v>15</v>
      </c>
      <c r="K499" s="4">
        <f t="shared" si="114"/>
        <v>3.8199999999999998E-2</v>
      </c>
      <c r="L499">
        <f t="shared" si="115"/>
        <v>0.09</v>
      </c>
      <c r="M499" s="4">
        <f t="shared" si="112"/>
        <v>0.53663360000000004</v>
      </c>
      <c r="N499" s="4">
        <f t="shared" si="113"/>
        <v>1.2643199999999999</v>
      </c>
    </row>
    <row r="500" spans="1:14">
      <c r="A500" t="str">
        <f t="shared" si="102"/>
        <v>alp_Man-VWCO</v>
      </c>
      <c r="B500" t="str">
        <f t="shared" si="103"/>
        <v>Google Brasil</v>
      </c>
      <c r="C500" t="str">
        <f t="shared" si="104"/>
        <v>google-brasil|retangulo|300x250|vw_caminhoes|always_on|produto|criativo_39_worker_17-230|300x250|cpm</v>
      </c>
      <c r="D500" t="str">
        <f t="shared" si="105"/>
        <v>138017935</v>
      </c>
      <c r="E500" t="str">
        <f t="shared" si="106"/>
        <v>Default</v>
      </c>
      <c r="F500" t="str">
        <f t="shared" si="107"/>
        <v>300x250 Default Web Ad</v>
      </c>
      <c r="G500" t="str">
        <f t="shared" si="108"/>
        <v>310387630</v>
      </c>
      <c r="H500" t="str">
        <f t="shared" si="109"/>
        <v>Display</v>
      </c>
      <c r="I500">
        <f t="shared" si="110"/>
        <v>10025</v>
      </c>
      <c r="J500">
        <f t="shared" si="111"/>
        <v>15</v>
      </c>
      <c r="K500" s="4">
        <f t="shared" si="114"/>
        <v>3.8199999999999998E-2</v>
      </c>
      <c r="L500">
        <f t="shared" si="115"/>
        <v>0.09</v>
      </c>
      <c r="M500" s="4">
        <f t="shared" si="112"/>
        <v>0.38295499999999999</v>
      </c>
      <c r="N500" s="4">
        <f t="shared" si="113"/>
        <v>0.90225</v>
      </c>
    </row>
    <row r="501" spans="1:14">
      <c r="A501" t="str">
        <f t="shared" si="102"/>
        <v>alp_Man-VWCO</v>
      </c>
      <c r="B501" t="str">
        <f t="shared" si="103"/>
        <v>Google Brasil</v>
      </c>
      <c r="C501" t="str">
        <f t="shared" si="104"/>
        <v>google-brasil|retangulo|300x250|vw_caminhoes|always_on|produto|criativo_40_worker_23-230|300x250|cpm</v>
      </c>
      <c r="D501" t="str">
        <f t="shared" si="105"/>
        <v>138017930</v>
      </c>
      <c r="E501" t="str">
        <f t="shared" si="106"/>
        <v>Default</v>
      </c>
      <c r="F501" t="str">
        <f t="shared" si="107"/>
        <v>300x250 Default Web Ad</v>
      </c>
      <c r="G501" t="str">
        <f t="shared" si="108"/>
        <v>310387630</v>
      </c>
      <c r="H501" t="str">
        <f t="shared" si="109"/>
        <v>Display</v>
      </c>
      <c r="I501">
        <f t="shared" si="110"/>
        <v>7099</v>
      </c>
      <c r="J501">
        <f t="shared" si="111"/>
        <v>5</v>
      </c>
      <c r="K501" s="4">
        <f t="shared" si="114"/>
        <v>3.8199999999999998E-2</v>
      </c>
      <c r="L501">
        <f t="shared" si="115"/>
        <v>0.09</v>
      </c>
      <c r="M501" s="4">
        <f t="shared" si="112"/>
        <v>0.27118180000000003</v>
      </c>
      <c r="N501" s="4">
        <f t="shared" si="113"/>
        <v>0.63890999999999998</v>
      </c>
    </row>
    <row r="502" spans="1:14">
      <c r="A502" t="str">
        <f t="shared" si="102"/>
        <v>alp_Man-VWCO</v>
      </c>
      <c r="B502" t="str">
        <f t="shared" si="103"/>
        <v>Google Brasil</v>
      </c>
      <c r="C502" t="str">
        <f t="shared" si="104"/>
        <v>google-brasil|retangulo|300x250|vw_caminhoes|always_on|produto|criativo_40_worker_23-230|300x250|cpm</v>
      </c>
      <c r="D502" t="str">
        <f t="shared" si="105"/>
        <v>138017930</v>
      </c>
      <c r="E502" t="str">
        <f t="shared" si="106"/>
        <v>Default</v>
      </c>
      <c r="F502" t="str">
        <f t="shared" si="107"/>
        <v>300x250 Default Web Ad</v>
      </c>
      <c r="G502" t="str">
        <f t="shared" si="108"/>
        <v>310387630</v>
      </c>
      <c r="H502" t="str">
        <f t="shared" si="109"/>
        <v>Display</v>
      </c>
      <c r="I502">
        <f t="shared" si="110"/>
        <v>5347</v>
      </c>
      <c r="J502">
        <f t="shared" si="111"/>
        <v>9</v>
      </c>
      <c r="K502" s="4">
        <f t="shared" si="114"/>
        <v>3.8199999999999998E-2</v>
      </c>
      <c r="L502">
        <f t="shared" si="115"/>
        <v>0.09</v>
      </c>
      <c r="M502" s="4">
        <f t="shared" si="112"/>
        <v>0.20425539999999998</v>
      </c>
      <c r="N502" s="4">
        <f t="shared" si="113"/>
        <v>0.48122999999999994</v>
      </c>
    </row>
    <row r="503" spans="1:14">
      <c r="A503" t="str">
        <f t="shared" si="102"/>
        <v>alp_Man-VWCO</v>
      </c>
      <c r="B503" t="str">
        <f t="shared" si="103"/>
        <v>Google Brasil</v>
      </c>
      <c r="C503" t="str">
        <f t="shared" si="104"/>
        <v>google-brasil|retangulo|300x250|vw_caminhoes|always_on|produto|criativo_41_worker_23-230|300x250|cpm</v>
      </c>
      <c r="D503" t="str">
        <f t="shared" si="105"/>
        <v>138017925</v>
      </c>
      <c r="E503" t="str">
        <f t="shared" si="106"/>
        <v>Default</v>
      </c>
      <c r="F503" t="str">
        <f t="shared" si="107"/>
        <v>300x250 Default Web Ad</v>
      </c>
      <c r="G503" t="str">
        <f t="shared" si="108"/>
        <v>310387630</v>
      </c>
      <c r="H503" t="str">
        <f t="shared" si="109"/>
        <v>Display</v>
      </c>
      <c r="I503">
        <f t="shared" si="110"/>
        <v>6877</v>
      </c>
      <c r="J503">
        <f t="shared" si="111"/>
        <v>5</v>
      </c>
      <c r="K503" s="4">
        <f t="shared" si="114"/>
        <v>3.8199999999999998E-2</v>
      </c>
      <c r="L503">
        <f t="shared" si="115"/>
        <v>0.09</v>
      </c>
      <c r="M503" s="4">
        <f t="shared" si="112"/>
        <v>0.26270139999999997</v>
      </c>
      <c r="N503" s="4">
        <f t="shared" si="113"/>
        <v>0.61892999999999998</v>
      </c>
    </row>
    <row r="504" spans="1:14">
      <c r="A504" t="str">
        <f t="shared" si="102"/>
        <v>alp_Man-VWCO</v>
      </c>
      <c r="B504" t="str">
        <f t="shared" si="103"/>
        <v>Google Brasil</v>
      </c>
      <c r="C504" t="str">
        <f t="shared" si="104"/>
        <v>google-brasil|retangulo|300x250|vw_caminhoes|always_on|produto|criativo_41_worker_23-230|300x250|cpm</v>
      </c>
      <c r="D504" t="str">
        <f t="shared" si="105"/>
        <v>138017925</v>
      </c>
      <c r="E504" t="str">
        <f t="shared" si="106"/>
        <v>Default</v>
      </c>
      <c r="F504" t="str">
        <f t="shared" si="107"/>
        <v>300x250 Default Web Ad</v>
      </c>
      <c r="G504" t="str">
        <f t="shared" si="108"/>
        <v>310387630</v>
      </c>
      <c r="H504" t="str">
        <f t="shared" si="109"/>
        <v>Display</v>
      </c>
      <c r="I504">
        <f t="shared" si="110"/>
        <v>5503</v>
      </c>
      <c r="J504">
        <f t="shared" si="111"/>
        <v>5</v>
      </c>
      <c r="K504" s="4">
        <f t="shared" si="114"/>
        <v>3.8199999999999998E-2</v>
      </c>
      <c r="L504">
        <f t="shared" si="115"/>
        <v>0.09</v>
      </c>
      <c r="M504" s="4">
        <f t="shared" si="112"/>
        <v>0.2102146</v>
      </c>
      <c r="N504" s="4">
        <f t="shared" si="113"/>
        <v>0.49526999999999999</v>
      </c>
    </row>
    <row r="505" spans="1:14">
      <c r="A505" t="str">
        <f t="shared" si="102"/>
        <v>alp_Man-VWCO</v>
      </c>
      <c r="B505" t="str">
        <f t="shared" si="103"/>
        <v>Google Brasil</v>
      </c>
      <c r="C505" t="str">
        <f t="shared" si="104"/>
        <v>google-brasil|retangulo|300x250|vw_caminhoes|always_on|produto|criativo_51_constellation_31-280|300x250|cpm</v>
      </c>
      <c r="D505" t="str">
        <f t="shared" si="105"/>
        <v>138017875</v>
      </c>
      <c r="E505" t="str">
        <f t="shared" si="106"/>
        <v>Default</v>
      </c>
      <c r="F505" t="str">
        <f t="shared" si="107"/>
        <v>300x250 Default Web Ad</v>
      </c>
      <c r="G505" t="str">
        <f t="shared" si="108"/>
        <v>310387630</v>
      </c>
      <c r="H505" t="str">
        <f t="shared" si="109"/>
        <v>Display</v>
      </c>
      <c r="I505">
        <f t="shared" si="110"/>
        <v>10221</v>
      </c>
      <c r="J505">
        <f t="shared" si="111"/>
        <v>17</v>
      </c>
      <c r="K505" s="4">
        <f t="shared" si="114"/>
        <v>3.8199999999999998E-2</v>
      </c>
      <c r="L505">
        <f t="shared" si="115"/>
        <v>0.09</v>
      </c>
      <c r="M505" s="4">
        <f t="shared" si="112"/>
        <v>0.39044219999999996</v>
      </c>
      <c r="N505" s="4">
        <f t="shared" si="113"/>
        <v>0.91988999999999999</v>
      </c>
    </row>
    <row r="506" spans="1:14">
      <c r="A506" t="str">
        <f t="shared" si="102"/>
        <v>alp_Man-VWCO</v>
      </c>
      <c r="B506" t="str">
        <f t="shared" si="103"/>
        <v>Google Brasil</v>
      </c>
      <c r="C506" t="str">
        <f t="shared" si="104"/>
        <v>google-brasil|retangulo|300x250|vw_caminhoes|always_on|produto|criativo_51_constellation_31-280|300x250|cpm</v>
      </c>
      <c r="D506" t="str">
        <f t="shared" si="105"/>
        <v>138017875</v>
      </c>
      <c r="E506" t="str">
        <f t="shared" si="106"/>
        <v>Default</v>
      </c>
      <c r="F506" t="str">
        <f t="shared" si="107"/>
        <v>300x250 Default Web Ad</v>
      </c>
      <c r="G506" t="str">
        <f t="shared" si="108"/>
        <v>310387630</v>
      </c>
      <c r="H506" t="str">
        <f t="shared" si="109"/>
        <v>Display</v>
      </c>
      <c r="I506">
        <f t="shared" si="110"/>
        <v>8589</v>
      </c>
      <c r="J506">
        <f t="shared" si="111"/>
        <v>13</v>
      </c>
      <c r="K506" s="4">
        <f t="shared" si="114"/>
        <v>3.8199999999999998E-2</v>
      </c>
      <c r="L506">
        <f t="shared" si="115"/>
        <v>0.09</v>
      </c>
      <c r="M506" s="4">
        <f t="shared" si="112"/>
        <v>0.32809979999999994</v>
      </c>
      <c r="N506" s="4">
        <f t="shared" si="113"/>
        <v>0.77300999999999997</v>
      </c>
    </row>
    <row r="507" spans="1:14">
      <c r="A507" t="str">
        <f t="shared" si="102"/>
        <v>alp_Man-VWCO</v>
      </c>
      <c r="B507" t="str">
        <f t="shared" si="103"/>
        <v>Google Brasil</v>
      </c>
      <c r="C507" t="str">
        <f t="shared" si="104"/>
        <v>google-brasil|retangulo|300x250|vw_caminhoes|always_on|produto|criativo_52_constellation_31-280|300x250|cpm</v>
      </c>
      <c r="D507" t="str">
        <f t="shared" si="105"/>
        <v>138017870</v>
      </c>
      <c r="E507" t="str">
        <f t="shared" si="106"/>
        <v>Default</v>
      </c>
      <c r="F507" t="str">
        <f t="shared" si="107"/>
        <v>300x250 Default Web Ad</v>
      </c>
      <c r="G507" t="str">
        <f t="shared" si="108"/>
        <v>310387630</v>
      </c>
      <c r="H507" t="str">
        <f t="shared" si="109"/>
        <v>Display</v>
      </c>
      <c r="I507">
        <f t="shared" si="110"/>
        <v>10372</v>
      </c>
      <c r="J507">
        <f t="shared" si="111"/>
        <v>23</v>
      </c>
      <c r="K507" s="4">
        <f t="shared" si="114"/>
        <v>3.8199999999999998E-2</v>
      </c>
      <c r="L507">
        <f t="shared" si="115"/>
        <v>0.09</v>
      </c>
      <c r="M507" s="4">
        <f t="shared" si="112"/>
        <v>0.39621040000000002</v>
      </c>
      <c r="N507" s="4">
        <f t="shared" si="113"/>
        <v>0.93347999999999998</v>
      </c>
    </row>
    <row r="508" spans="1:14">
      <c r="A508" t="str">
        <f t="shared" si="102"/>
        <v>alp_Man-VWCO</v>
      </c>
      <c r="B508" t="str">
        <f t="shared" si="103"/>
        <v>Google Brasil</v>
      </c>
      <c r="C508" t="str">
        <f t="shared" si="104"/>
        <v>google-brasil|retangulo|300x250|vw_caminhoes|always_on|produto|criativo_52_constellation_31-280|300x250|cpm</v>
      </c>
      <c r="D508" t="str">
        <f t="shared" si="105"/>
        <v>138017870</v>
      </c>
      <c r="E508" t="str">
        <f t="shared" si="106"/>
        <v>Default</v>
      </c>
      <c r="F508" t="str">
        <f t="shared" si="107"/>
        <v>300x250 Default Web Ad</v>
      </c>
      <c r="G508" t="str">
        <f t="shared" si="108"/>
        <v>310387630</v>
      </c>
      <c r="H508" t="str">
        <f t="shared" si="109"/>
        <v>Display</v>
      </c>
      <c r="I508">
        <f t="shared" si="110"/>
        <v>9443</v>
      </c>
      <c r="J508">
        <f t="shared" si="111"/>
        <v>19</v>
      </c>
      <c r="K508" s="4">
        <f t="shared" si="114"/>
        <v>3.8199999999999998E-2</v>
      </c>
      <c r="L508">
        <f t="shared" si="115"/>
        <v>0.09</v>
      </c>
      <c r="M508" s="4">
        <f t="shared" si="112"/>
        <v>0.3607226</v>
      </c>
      <c r="N508" s="4">
        <f t="shared" si="113"/>
        <v>0.84987000000000001</v>
      </c>
    </row>
    <row r="509" spans="1:14">
      <c r="A509" t="str">
        <f t="shared" si="102"/>
        <v>alp_Man-VWCO</v>
      </c>
      <c r="B509" t="str">
        <f t="shared" si="103"/>
        <v>Google Brasil</v>
      </c>
      <c r="C509" t="str">
        <f t="shared" si="104"/>
        <v>google-brasil|retangulo|300x250|vw_caminhoes|always_on|produto|criativo_53_constellation_31-280|300x250|cpm</v>
      </c>
      <c r="D509" t="str">
        <f t="shared" si="105"/>
        <v>138017865</v>
      </c>
      <c r="E509" t="str">
        <f t="shared" si="106"/>
        <v>Default</v>
      </c>
      <c r="F509" t="str">
        <f t="shared" si="107"/>
        <v>300x250 Default Web Ad</v>
      </c>
      <c r="G509" t="str">
        <f t="shared" si="108"/>
        <v>310387630</v>
      </c>
      <c r="H509" t="str">
        <f t="shared" si="109"/>
        <v>Display</v>
      </c>
      <c r="I509">
        <f t="shared" si="110"/>
        <v>10918</v>
      </c>
      <c r="J509">
        <f t="shared" si="111"/>
        <v>11</v>
      </c>
      <c r="K509" s="4">
        <f t="shared" si="114"/>
        <v>3.8199999999999998E-2</v>
      </c>
      <c r="L509">
        <f t="shared" si="115"/>
        <v>0.09</v>
      </c>
      <c r="M509" s="4">
        <f t="shared" si="112"/>
        <v>0.41706759999999998</v>
      </c>
      <c r="N509" s="4">
        <f t="shared" si="113"/>
        <v>0.98262000000000005</v>
      </c>
    </row>
    <row r="510" spans="1:14">
      <c r="A510" t="str">
        <f t="shared" si="102"/>
        <v>alp_Man-VWCO</v>
      </c>
      <c r="B510" t="str">
        <f t="shared" si="103"/>
        <v>Google Brasil</v>
      </c>
      <c r="C510" t="str">
        <f t="shared" si="104"/>
        <v>google-brasil|retangulo|300x250|vw_caminhoes|always_on|produto|criativo_53_constellation_31-280|300x250|cpm</v>
      </c>
      <c r="D510" t="str">
        <f t="shared" si="105"/>
        <v>138017865</v>
      </c>
      <c r="E510" t="str">
        <f t="shared" si="106"/>
        <v>Default</v>
      </c>
      <c r="F510" t="str">
        <f t="shared" si="107"/>
        <v>300x250 Default Web Ad</v>
      </c>
      <c r="G510" t="str">
        <f t="shared" si="108"/>
        <v>310387630</v>
      </c>
      <c r="H510" t="str">
        <f t="shared" si="109"/>
        <v>Display</v>
      </c>
      <c r="I510">
        <f t="shared" si="110"/>
        <v>8208</v>
      </c>
      <c r="J510">
        <f t="shared" si="111"/>
        <v>7</v>
      </c>
      <c r="K510" s="4">
        <f t="shared" si="114"/>
        <v>3.8199999999999998E-2</v>
      </c>
      <c r="L510">
        <f t="shared" si="115"/>
        <v>0.09</v>
      </c>
      <c r="M510" s="4">
        <f t="shared" si="112"/>
        <v>0.31354559999999998</v>
      </c>
      <c r="N510" s="4">
        <f t="shared" si="113"/>
        <v>0.73872000000000004</v>
      </c>
    </row>
    <row r="511" spans="1:14">
      <c r="A511" t="str">
        <f t="shared" si="102"/>
        <v>alp_Man-VWCO</v>
      </c>
      <c r="B511" t="str">
        <f t="shared" si="103"/>
        <v>Google Brasil</v>
      </c>
      <c r="C511" t="str">
        <f t="shared" si="104"/>
        <v>google-brasil|retangulo|300x250|vw_caminhoes|always_on|produto|criativo_57_constellation_31-390|300x250|cpm</v>
      </c>
      <c r="D511" t="str">
        <f t="shared" si="105"/>
        <v>138017845</v>
      </c>
      <c r="E511" t="str">
        <f t="shared" si="106"/>
        <v>Default</v>
      </c>
      <c r="F511" t="str">
        <f t="shared" si="107"/>
        <v>300x250 Default Web Ad</v>
      </c>
      <c r="G511" t="str">
        <f t="shared" si="108"/>
        <v>310387630</v>
      </c>
      <c r="H511" t="str">
        <f t="shared" si="109"/>
        <v>Display</v>
      </c>
      <c r="I511">
        <f t="shared" si="110"/>
        <v>10147</v>
      </c>
      <c r="J511">
        <f t="shared" si="111"/>
        <v>24</v>
      </c>
      <c r="K511" s="4">
        <f t="shared" si="114"/>
        <v>3.8199999999999998E-2</v>
      </c>
      <c r="L511">
        <f t="shared" si="115"/>
        <v>0.09</v>
      </c>
      <c r="M511" s="4">
        <f t="shared" si="112"/>
        <v>0.38761539999999994</v>
      </c>
      <c r="N511" s="4">
        <f t="shared" si="113"/>
        <v>0.91322999999999999</v>
      </c>
    </row>
    <row r="512" spans="1:14">
      <c r="A512" t="str">
        <f t="shared" si="102"/>
        <v>alp_Man-VWCO</v>
      </c>
      <c r="B512" t="str">
        <f t="shared" si="103"/>
        <v>Google Brasil</v>
      </c>
      <c r="C512" t="str">
        <f t="shared" si="104"/>
        <v>google-brasil|retangulo|300x250|vw_caminhoes|always_on|produto|criativo_57_constellation_31-390|300x250|cpm</v>
      </c>
      <c r="D512" t="str">
        <f t="shared" si="105"/>
        <v>138017845</v>
      </c>
      <c r="E512" t="str">
        <f t="shared" si="106"/>
        <v>Default</v>
      </c>
      <c r="F512" t="str">
        <f t="shared" si="107"/>
        <v>300x250 Default Web Ad</v>
      </c>
      <c r="G512" t="str">
        <f t="shared" si="108"/>
        <v>310387630</v>
      </c>
      <c r="H512" t="str">
        <f t="shared" si="109"/>
        <v>Display</v>
      </c>
      <c r="I512">
        <f t="shared" si="110"/>
        <v>8387</v>
      </c>
      <c r="J512">
        <f t="shared" si="111"/>
        <v>11</v>
      </c>
      <c r="K512" s="4">
        <f t="shared" si="114"/>
        <v>3.8199999999999998E-2</v>
      </c>
      <c r="L512">
        <f t="shared" si="115"/>
        <v>0.09</v>
      </c>
      <c r="M512" s="4">
        <f t="shared" si="112"/>
        <v>0.32038339999999998</v>
      </c>
      <c r="N512" s="4">
        <f t="shared" si="113"/>
        <v>0.75482999999999989</v>
      </c>
    </row>
    <row r="513" spans="1:14">
      <c r="A513" t="str">
        <f t="shared" si="102"/>
        <v>alp_Man-VWCO</v>
      </c>
      <c r="B513" t="str">
        <f t="shared" si="103"/>
        <v>Google Brasil</v>
      </c>
      <c r="C513" t="str">
        <f t="shared" si="104"/>
        <v>google-brasil|retangulo|300x250|vw_caminhoes|always_on|produto|criativo_58_constellation_31-390|300x250|cpm</v>
      </c>
      <c r="D513" t="str">
        <f t="shared" si="105"/>
        <v>138017840</v>
      </c>
      <c r="E513" t="str">
        <f t="shared" si="106"/>
        <v>Default</v>
      </c>
      <c r="F513" t="str">
        <f t="shared" si="107"/>
        <v>300x250 Default Web Ad</v>
      </c>
      <c r="G513" t="str">
        <f t="shared" si="108"/>
        <v>310387630</v>
      </c>
      <c r="H513" t="str">
        <f t="shared" si="109"/>
        <v>Display</v>
      </c>
      <c r="I513">
        <f t="shared" si="110"/>
        <v>10277</v>
      </c>
      <c r="J513">
        <f t="shared" si="111"/>
        <v>6</v>
      </c>
      <c r="K513" s="4">
        <f t="shared" si="114"/>
        <v>3.8199999999999998E-2</v>
      </c>
      <c r="L513">
        <f t="shared" si="115"/>
        <v>0.09</v>
      </c>
      <c r="M513" s="4">
        <f t="shared" si="112"/>
        <v>0.39258139999999997</v>
      </c>
      <c r="N513" s="4">
        <f t="shared" si="113"/>
        <v>0.92492999999999992</v>
      </c>
    </row>
    <row r="514" spans="1:14">
      <c r="A514" t="str">
        <f t="shared" ref="A514:A577" si="116">bd_campaign</f>
        <v>alp_Man-VWCO</v>
      </c>
      <c r="B514" t="str">
        <f t="shared" ref="B514:B577" si="117">bd_site</f>
        <v>Google Brasil</v>
      </c>
      <c r="C514" t="str">
        <f t="shared" ref="C514:C577" si="118">bd_placement</f>
        <v>google-brasil|retangulo|300x250|vw_caminhoes|always_on|produto|criativo_58_constellation_31-390|300x250|cpm</v>
      </c>
      <c r="D514" t="str">
        <f t="shared" ref="D514:D577" si="119">bd_placementID</f>
        <v>138017840</v>
      </c>
      <c r="E514" t="str">
        <f t="shared" ref="E514:E577" si="120">VLOOKUP(CONCATENATE(bd_adtype,"_",bd_creativetype),tabela,2,FALSE)</f>
        <v>Default</v>
      </c>
      <c r="F514" t="str">
        <f t="shared" ref="F514:F577" si="121">bd_ad</f>
        <v>300x250 Default Web Ad</v>
      </c>
      <c r="G514" t="str">
        <f t="shared" ref="G514:G577" si="122">bd_adid</f>
        <v>310387630</v>
      </c>
      <c r="H514" t="str">
        <f t="shared" ref="H514:H577" si="123">bd_creativetype</f>
        <v>Display</v>
      </c>
      <c r="I514">
        <f t="shared" ref="I514:I577" si="124">bd_impression</f>
        <v>7573</v>
      </c>
      <c r="J514">
        <f t="shared" ref="J514:J577" si="125">bd_clicks</f>
        <v>7</v>
      </c>
      <c r="K514" s="4">
        <f t="shared" si="114"/>
        <v>3.8199999999999998E-2</v>
      </c>
      <c r="L514">
        <f t="shared" si="115"/>
        <v>0.09</v>
      </c>
      <c r="M514" s="4">
        <f t="shared" si="112"/>
        <v>0.28928859999999995</v>
      </c>
      <c r="N514" s="4">
        <f t="shared" si="113"/>
        <v>0.6815699999999999</v>
      </c>
    </row>
    <row r="515" spans="1:14">
      <c r="A515" t="str">
        <f t="shared" si="116"/>
        <v>alp_Man-VWCO</v>
      </c>
      <c r="B515" t="str">
        <f t="shared" si="117"/>
        <v>Google Brasil</v>
      </c>
      <c r="C515" t="str">
        <f t="shared" si="118"/>
        <v>google-brasil|retangulo|300x250|vw_caminhoes|always_on|produto|criativo_59_constellation_31-390|300x250|cpm</v>
      </c>
      <c r="D515" t="str">
        <f t="shared" si="119"/>
        <v>138017835</v>
      </c>
      <c r="E515" t="str">
        <f t="shared" si="120"/>
        <v>Default</v>
      </c>
      <c r="F515" t="str">
        <f t="shared" si="121"/>
        <v>300x250 Default Web Ad</v>
      </c>
      <c r="G515" t="str">
        <f t="shared" si="122"/>
        <v>310387630</v>
      </c>
      <c r="H515" t="str">
        <f t="shared" si="123"/>
        <v>Display</v>
      </c>
      <c r="I515">
        <f t="shared" si="124"/>
        <v>10038</v>
      </c>
      <c r="J515">
        <f t="shared" si="125"/>
        <v>17</v>
      </c>
      <c r="K515" s="4">
        <f t="shared" si="114"/>
        <v>3.8199999999999998E-2</v>
      </c>
      <c r="L515">
        <f t="shared" si="115"/>
        <v>0.09</v>
      </c>
      <c r="M515" s="4">
        <f t="shared" si="112"/>
        <v>0.3834516</v>
      </c>
      <c r="N515" s="4">
        <f t="shared" si="113"/>
        <v>0.90342</v>
      </c>
    </row>
    <row r="516" spans="1:14">
      <c r="A516" t="str">
        <f t="shared" si="116"/>
        <v>alp_Man-VWCO</v>
      </c>
      <c r="B516" t="str">
        <f t="shared" si="117"/>
        <v>Google Brasil</v>
      </c>
      <c r="C516" t="str">
        <f t="shared" si="118"/>
        <v>google-brasil|retangulo|300x250|vw_caminhoes|always_on|produto|criativo_59_constellation_31-390|300x250|cpm</v>
      </c>
      <c r="D516" t="str">
        <f t="shared" si="119"/>
        <v>138017835</v>
      </c>
      <c r="E516" t="str">
        <f t="shared" si="120"/>
        <v>Default</v>
      </c>
      <c r="F516" t="str">
        <f t="shared" si="121"/>
        <v>300x250 Default Web Ad</v>
      </c>
      <c r="G516" t="str">
        <f t="shared" si="122"/>
        <v>310387630</v>
      </c>
      <c r="H516" t="str">
        <f t="shared" si="123"/>
        <v>Display</v>
      </c>
      <c r="I516">
        <f t="shared" si="124"/>
        <v>7787</v>
      </c>
      <c r="J516">
        <f t="shared" si="125"/>
        <v>13</v>
      </c>
      <c r="K516" s="4">
        <f t="shared" si="114"/>
        <v>3.8199999999999998E-2</v>
      </c>
      <c r="L516">
        <f t="shared" si="115"/>
        <v>0.09</v>
      </c>
      <c r="M516" s="4">
        <f t="shared" si="112"/>
        <v>0.29746339999999999</v>
      </c>
      <c r="N516" s="4">
        <f t="shared" si="113"/>
        <v>0.70082999999999995</v>
      </c>
    </row>
    <row r="517" spans="1:14">
      <c r="A517" t="str">
        <f t="shared" si="116"/>
        <v>alp_Man-VWCO</v>
      </c>
      <c r="B517" t="str">
        <f t="shared" si="117"/>
        <v>Google Brasil</v>
      </c>
      <c r="C517" t="str">
        <f t="shared" si="118"/>
        <v>google-brasil|retangulo|300x250|vw_caminhoes|always_on|produto|criativo_62_worker_13-190|300x250|cpm</v>
      </c>
      <c r="D517" t="str">
        <f t="shared" si="119"/>
        <v>138017820</v>
      </c>
      <c r="E517" t="str">
        <f t="shared" si="120"/>
        <v>Default</v>
      </c>
      <c r="F517" t="str">
        <f t="shared" si="121"/>
        <v>300x250 Default Web Ad</v>
      </c>
      <c r="G517" t="str">
        <f t="shared" si="122"/>
        <v>310387630</v>
      </c>
      <c r="H517" t="str">
        <f t="shared" si="123"/>
        <v>Display</v>
      </c>
      <c r="I517">
        <f t="shared" si="124"/>
        <v>12515</v>
      </c>
      <c r="J517">
        <f t="shared" si="125"/>
        <v>6</v>
      </c>
      <c r="K517" s="4">
        <f t="shared" si="114"/>
        <v>3.8199999999999998E-2</v>
      </c>
      <c r="L517">
        <f t="shared" si="115"/>
        <v>0.09</v>
      </c>
      <c r="M517" s="4">
        <f t="shared" si="112"/>
        <v>0.47807299999999997</v>
      </c>
      <c r="N517" s="4">
        <f t="shared" si="113"/>
        <v>1.12635</v>
      </c>
    </row>
    <row r="518" spans="1:14">
      <c r="A518" t="str">
        <f t="shared" si="116"/>
        <v>alp_Man-VWCO</v>
      </c>
      <c r="B518" t="str">
        <f t="shared" si="117"/>
        <v>Google Brasil</v>
      </c>
      <c r="C518" t="str">
        <f t="shared" si="118"/>
        <v>google-brasil|retangulo|300x250|vw_caminhoes|always_on|produto|criativo_62_worker_13-190|300x250|cpm</v>
      </c>
      <c r="D518" t="str">
        <f t="shared" si="119"/>
        <v>138017820</v>
      </c>
      <c r="E518" t="str">
        <f t="shared" si="120"/>
        <v>Default</v>
      </c>
      <c r="F518" t="str">
        <f t="shared" si="121"/>
        <v>300x250 Default Web Ad</v>
      </c>
      <c r="G518" t="str">
        <f t="shared" si="122"/>
        <v>310387630</v>
      </c>
      <c r="H518" t="str">
        <f t="shared" si="123"/>
        <v>Display</v>
      </c>
      <c r="I518">
        <f t="shared" si="124"/>
        <v>10910</v>
      </c>
      <c r="J518">
        <f t="shared" si="125"/>
        <v>18</v>
      </c>
      <c r="K518" s="4">
        <f t="shared" si="114"/>
        <v>3.8199999999999998E-2</v>
      </c>
      <c r="L518">
        <f t="shared" si="115"/>
        <v>0.09</v>
      </c>
      <c r="M518" s="4">
        <f t="shared" si="112"/>
        <v>0.41676200000000002</v>
      </c>
      <c r="N518" s="4">
        <f t="shared" si="113"/>
        <v>0.9819</v>
      </c>
    </row>
    <row r="519" spans="1:14">
      <c r="A519" t="str">
        <f t="shared" si="116"/>
        <v>alp_Man-VWCO</v>
      </c>
      <c r="B519" t="str">
        <f t="shared" si="117"/>
        <v>Google Brasil</v>
      </c>
      <c r="C519" t="str">
        <f t="shared" si="118"/>
        <v>google-brasil|retangulo|300x250|vw_caminhoes|always_on|produto|criativo_63_worker_15-190|300x250|cpm</v>
      </c>
      <c r="D519" t="str">
        <f t="shared" si="119"/>
        <v>138017815</v>
      </c>
      <c r="E519" t="str">
        <f t="shared" si="120"/>
        <v>Default</v>
      </c>
      <c r="F519" t="str">
        <f t="shared" si="121"/>
        <v>300x250 Default Web Ad</v>
      </c>
      <c r="G519" t="str">
        <f t="shared" si="122"/>
        <v>310387630</v>
      </c>
      <c r="H519" t="str">
        <f t="shared" si="123"/>
        <v>Display</v>
      </c>
      <c r="I519">
        <f t="shared" si="124"/>
        <v>5714</v>
      </c>
      <c r="J519">
        <f t="shared" si="125"/>
        <v>3</v>
      </c>
      <c r="K519" s="4">
        <f t="shared" si="114"/>
        <v>3.8199999999999998E-2</v>
      </c>
      <c r="L519">
        <f t="shared" si="115"/>
        <v>0.09</v>
      </c>
      <c r="M519" s="4">
        <f t="shared" si="112"/>
        <v>0.21827479999999999</v>
      </c>
      <c r="N519" s="4">
        <f t="shared" si="113"/>
        <v>0.51425999999999994</v>
      </c>
    </row>
    <row r="520" spans="1:14">
      <c r="A520" t="str">
        <f t="shared" si="116"/>
        <v>alp_Man-VWCO</v>
      </c>
      <c r="B520" t="str">
        <f t="shared" si="117"/>
        <v>Google Brasil</v>
      </c>
      <c r="C520" t="str">
        <f t="shared" si="118"/>
        <v>google-brasil|retangulo|300x250|vw_caminhoes|always_on|produto|criativo_63_worker_15-190|300x250|cpm</v>
      </c>
      <c r="D520" t="str">
        <f t="shared" si="119"/>
        <v>138017815</v>
      </c>
      <c r="E520" t="str">
        <f t="shared" si="120"/>
        <v>Default</v>
      </c>
      <c r="F520" t="str">
        <f t="shared" si="121"/>
        <v>300x250 Default Web Ad</v>
      </c>
      <c r="G520" t="str">
        <f t="shared" si="122"/>
        <v>310387630</v>
      </c>
      <c r="H520" t="str">
        <f t="shared" si="123"/>
        <v>Display</v>
      </c>
      <c r="I520">
        <f t="shared" si="124"/>
        <v>3472</v>
      </c>
      <c r="J520">
        <f t="shared" si="125"/>
        <v>0</v>
      </c>
      <c r="K520" s="4">
        <f t="shared" si="114"/>
        <v>3.8199999999999998E-2</v>
      </c>
      <c r="L520">
        <f t="shared" si="115"/>
        <v>0.09</v>
      </c>
      <c r="M520" s="4">
        <f t="shared" si="112"/>
        <v>0.13263039999999998</v>
      </c>
      <c r="N520" s="4">
        <f t="shared" si="113"/>
        <v>0.31247999999999998</v>
      </c>
    </row>
    <row r="521" spans="1:14">
      <c r="A521" t="str">
        <f t="shared" si="116"/>
        <v>alp_Man-VWCO</v>
      </c>
      <c r="B521" t="str">
        <f t="shared" si="117"/>
        <v>Google Brasil</v>
      </c>
      <c r="C521" t="str">
        <f t="shared" si="118"/>
        <v>google-brasil|retangulo|300x250|vw_caminhoes|always_on|produto|criativo_64_worker_15-190|300x250|cpm</v>
      </c>
      <c r="D521" t="str">
        <f t="shared" si="119"/>
        <v>138017810</v>
      </c>
      <c r="E521" t="str">
        <f t="shared" si="120"/>
        <v>Default</v>
      </c>
      <c r="F521" t="str">
        <f t="shared" si="121"/>
        <v>300x250 Default Web Ad</v>
      </c>
      <c r="G521" t="str">
        <f t="shared" si="122"/>
        <v>310387630</v>
      </c>
      <c r="H521" t="str">
        <f t="shared" si="123"/>
        <v>Display</v>
      </c>
      <c r="I521">
        <f t="shared" si="124"/>
        <v>5599</v>
      </c>
      <c r="J521">
        <f t="shared" si="125"/>
        <v>6</v>
      </c>
      <c r="K521" s="4">
        <f t="shared" si="114"/>
        <v>3.8199999999999998E-2</v>
      </c>
      <c r="L521">
        <f t="shared" si="115"/>
        <v>0.09</v>
      </c>
      <c r="M521" s="4">
        <f t="shared" si="112"/>
        <v>0.21388180000000001</v>
      </c>
      <c r="N521" s="4">
        <f t="shared" si="113"/>
        <v>0.50390999999999997</v>
      </c>
    </row>
    <row r="522" spans="1:14">
      <c r="A522" t="str">
        <f t="shared" si="116"/>
        <v>alp_Man-VWCO</v>
      </c>
      <c r="B522" t="str">
        <f t="shared" si="117"/>
        <v>Google Brasil</v>
      </c>
      <c r="C522" t="str">
        <f t="shared" si="118"/>
        <v>google-brasil|retangulo|300x250|vw_caminhoes|always_on|produto|criativo_64_worker_15-190|300x250|cpm</v>
      </c>
      <c r="D522" t="str">
        <f t="shared" si="119"/>
        <v>138017810</v>
      </c>
      <c r="E522" t="str">
        <f t="shared" si="120"/>
        <v>Default</v>
      </c>
      <c r="F522" t="str">
        <f t="shared" si="121"/>
        <v>300x250 Default Web Ad</v>
      </c>
      <c r="G522" t="str">
        <f t="shared" si="122"/>
        <v>310387630</v>
      </c>
      <c r="H522" t="str">
        <f t="shared" si="123"/>
        <v>Display</v>
      </c>
      <c r="I522">
        <f t="shared" si="124"/>
        <v>3353</v>
      </c>
      <c r="J522">
        <f t="shared" si="125"/>
        <v>2</v>
      </c>
      <c r="K522" s="4">
        <f t="shared" si="114"/>
        <v>3.8199999999999998E-2</v>
      </c>
      <c r="L522">
        <f t="shared" si="115"/>
        <v>0.09</v>
      </c>
      <c r="M522" s="4">
        <f t="shared" si="112"/>
        <v>0.12808459999999999</v>
      </c>
      <c r="N522" s="4">
        <f t="shared" si="113"/>
        <v>0.30176999999999998</v>
      </c>
    </row>
    <row r="523" spans="1:14">
      <c r="A523" t="str">
        <f t="shared" si="116"/>
        <v>alp_Man-VWCO</v>
      </c>
      <c r="B523" t="str">
        <f t="shared" si="117"/>
        <v>Google Brasil</v>
      </c>
      <c r="C523" t="str">
        <f t="shared" si="118"/>
        <v>google-brasil|retangulo|300x250|vw_caminhoes|always_on|produto|criativo_65_worker_17-190|300x250|cpm</v>
      </c>
      <c r="D523" t="str">
        <f t="shared" si="119"/>
        <v>138017805</v>
      </c>
      <c r="E523" t="str">
        <f t="shared" si="120"/>
        <v>Default</v>
      </c>
      <c r="F523" t="str">
        <f t="shared" si="121"/>
        <v>300x250 Default Web Ad</v>
      </c>
      <c r="G523" t="str">
        <f t="shared" si="122"/>
        <v>310387630</v>
      </c>
      <c r="H523" t="str">
        <f t="shared" si="123"/>
        <v>Display</v>
      </c>
      <c r="I523">
        <f t="shared" si="124"/>
        <v>7209</v>
      </c>
      <c r="J523">
        <f t="shared" si="125"/>
        <v>4</v>
      </c>
      <c r="K523" s="4">
        <f t="shared" si="114"/>
        <v>3.8199999999999998E-2</v>
      </c>
      <c r="L523">
        <f t="shared" si="115"/>
        <v>0.09</v>
      </c>
      <c r="M523" s="4">
        <f t="shared" si="112"/>
        <v>0.27538380000000001</v>
      </c>
      <c r="N523" s="4">
        <f t="shared" si="113"/>
        <v>0.64881</v>
      </c>
    </row>
    <row r="524" spans="1:14">
      <c r="A524" t="str">
        <f t="shared" si="116"/>
        <v>alp_Man-VWCO</v>
      </c>
      <c r="B524" t="str">
        <f t="shared" si="117"/>
        <v>Google Brasil</v>
      </c>
      <c r="C524" t="str">
        <f t="shared" si="118"/>
        <v>google-brasil|retangulo|300x250|vw_caminhoes|always_on|produto|criativo_65_worker_17-190|300x250|cpm</v>
      </c>
      <c r="D524" t="str">
        <f t="shared" si="119"/>
        <v>138017805</v>
      </c>
      <c r="E524" t="str">
        <f t="shared" si="120"/>
        <v>Default</v>
      </c>
      <c r="F524" t="str">
        <f t="shared" si="121"/>
        <v>300x250 Default Web Ad</v>
      </c>
      <c r="G524" t="str">
        <f t="shared" si="122"/>
        <v>310387630</v>
      </c>
      <c r="H524" t="str">
        <f t="shared" si="123"/>
        <v>Display</v>
      </c>
      <c r="I524">
        <f t="shared" si="124"/>
        <v>3818</v>
      </c>
      <c r="J524">
        <f t="shared" si="125"/>
        <v>6</v>
      </c>
      <c r="K524" s="4">
        <f t="shared" si="114"/>
        <v>3.8199999999999998E-2</v>
      </c>
      <c r="L524">
        <f t="shared" si="115"/>
        <v>0.09</v>
      </c>
      <c r="M524" s="4">
        <f t="shared" si="112"/>
        <v>0.14584759999999999</v>
      </c>
      <c r="N524" s="4">
        <f t="shared" si="113"/>
        <v>0.34361999999999998</v>
      </c>
    </row>
    <row r="525" spans="1:14">
      <c r="A525" t="str">
        <f t="shared" si="116"/>
        <v>alp_Man-VWCO</v>
      </c>
      <c r="B525" t="str">
        <f t="shared" si="117"/>
        <v>Google Brasil</v>
      </c>
      <c r="C525" t="str">
        <f t="shared" si="118"/>
        <v>google-brasil|retangulo|300x250|vw_caminhoes|always_on|produto|criativo_66_constellation_compactor|300x250|cpm</v>
      </c>
      <c r="D525" t="str">
        <f t="shared" si="119"/>
        <v>138017800</v>
      </c>
      <c r="E525" t="str">
        <f t="shared" si="120"/>
        <v>Default</v>
      </c>
      <c r="F525" t="str">
        <f t="shared" si="121"/>
        <v>300x250 Default Web Ad</v>
      </c>
      <c r="G525" t="str">
        <f t="shared" si="122"/>
        <v>310387630</v>
      </c>
      <c r="H525" t="str">
        <f t="shared" si="123"/>
        <v>Display</v>
      </c>
      <c r="I525">
        <f t="shared" si="124"/>
        <v>4457</v>
      </c>
      <c r="J525">
        <f t="shared" si="125"/>
        <v>6</v>
      </c>
      <c r="K525" s="4">
        <f t="shared" si="114"/>
        <v>3.8199999999999998E-2</v>
      </c>
      <c r="L525">
        <f t="shared" si="115"/>
        <v>0.09</v>
      </c>
      <c r="M525" s="4">
        <f t="shared" si="112"/>
        <v>0.1702574</v>
      </c>
      <c r="N525" s="4">
        <f t="shared" si="113"/>
        <v>0.40112999999999999</v>
      </c>
    </row>
    <row r="526" spans="1:14">
      <c r="A526" t="str">
        <f t="shared" si="116"/>
        <v>alp_Man-VWCO</v>
      </c>
      <c r="B526" t="str">
        <f t="shared" si="117"/>
        <v>Google Brasil</v>
      </c>
      <c r="C526" t="str">
        <f t="shared" si="118"/>
        <v>google-brasil|retangulo|300x250|vw_caminhoes|always_on|produto|criativo_66_constellation_compactor|300x250|cpm</v>
      </c>
      <c r="D526" t="str">
        <f t="shared" si="119"/>
        <v>138017800</v>
      </c>
      <c r="E526" t="str">
        <f t="shared" si="120"/>
        <v>Default</v>
      </c>
      <c r="F526" t="str">
        <f t="shared" si="121"/>
        <v>300x250 Default Web Ad</v>
      </c>
      <c r="G526" t="str">
        <f t="shared" si="122"/>
        <v>310387630</v>
      </c>
      <c r="H526" t="str">
        <f t="shared" si="123"/>
        <v>Display</v>
      </c>
      <c r="I526">
        <f t="shared" si="124"/>
        <v>3731</v>
      </c>
      <c r="J526">
        <f t="shared" si="125"/>
        <v>1</v>
      </c>
      <c r="K526" s="4">
        <f t="shared" si="114"/>
        <v>3.8199999999999998E-2</v>
      </c>
      <c r="L526">
        <f t="shared" si="115"/>
        <v>0.09</v>
      </c>
      <c r="M526" s="4">
        <f t="shared" si="112"/>
        <v>0.14252419999999999</v>
      </c>
      <c r="N526" s="4">
        <f t="shared" si="113"/>
        <v>0.33578999999999998</v>
      </c>
    </row>
    <row r="527" spans="1:14">
      <c r="A527" t="str">
        <f t="shared" si="116"/>
        <v>alp_Man-VWCO</v>
      </c>
      <c r="B527" t="str">
        <f t="shared" si="117"/>
        <v>Google Brasil</v>
      </c>
      <c r="C527" t="str">
        <f t="shared" si="118"/>
        <v>google-brasil|retangulo|300x250|vw_caminhoes|always_on|produto|criativo_69_delivery_5-150|300x250|cpm</v>
      </c>
      <c r="D527" t="str">
        <f t="shared" si="119"/>
        <v>138017785</v>
      </c>
      <c r="E527" t="str">
        <f t="shared" si="120"/>
        <v>Default</v>
      </c>
      <c r="F527" t="str">
        <f t="shared" si="121"/>
        <v>300x250 Default Web Ad</v>
      </c>
      <c r="G527" t="str">
        <f t="shared" si="122"/>
        <v>310387630</v>
      </c>
      <c r="H527" t="str">
        <f t="shared" si="123"/>
        <v>Display</v>
      </c>
      <c r="I527">
        <f t="shared" si="124"/>
        <v>13978</v>
      </c>
      <c r="J527">
        <f t="shared" si="125"/>
        <v>19</v>
      </c>
      <c r="K527" s="4">
        <f t="shared" si="114"/>
        <v>3.8199999999999998E-2</v>
      </c>
      <c r="L527">
        <f t="shared" si="115"/>
        <v>0.09</v>
      </c>
      <c r="M527" s="4">
        <f t="shared" si="112"/>
        <v>0.53395959999999998</v>
      </c>
      <c r="N527" s="4">
        <f t="shared" si="113"/>
        <v>1.2580199999999999</v>
      </c>
    </row>
    <row r="528" spans="1:14">
      <c r="A528" t="str">
        <f t="shared" si="116"/>
        <v>alp_Man-VWCO</v>
      </c>
      <c r="B528" t="str">
        <f t="shared" si="117"/>
        <v>Google Brasil</v>
      </c>
      <c r="C528" t="str">
        <f t="shared" si="118"/>
        <v>google-brasil|retangulo|300x250|vw_caminhoes|always_on|produto|criativo_69_delivery_5-150|300x250|cpm</v>
      </c>
      <c r="D528" t="str">
        <f t="shared" si="119"/>
        <v>138017785</v>
      </c>
      <c r="E528" t="str">
        <f t="shared" si="120"/>
        <v>Default</v>
      </c>
      <c r="F528" t="str">
        <f t="shared" si="121"/>
        <v>300x250 Default Web Ad</v>
      </c>
      <c r="G528" t="str">
        <f t="shared" si="122"/>
        <v>310387630</v>
      </c>
      <c r="H528" t="str">
        <f t="shared" si="123"/>
        <v>Display</v>
      </c>
      <c r="I528">
        <f t="shared" si="124"/>
        <v>9590</v>
      </c>
      <c r="J528">
        <f t="shared" si="125"/>
        <v>8</v>
      </c>
      <c r="K528" s="4">
        <f t="shared" si="114"/>
        <v>3.8199999999999998E-2</v>
      </c>
      <c r="L528">
        <f t="shared" si="115"/>
        <v>0.09</v>
      </c>
      <c r="M528" s="4">
        <f t="shared" si="112"/>
        <v>0.36633799999999994</v>
      </c>
      <c r="N528" s="4">
        <f t="shared" si="113"/>
        <v>0.86309999999999998</v>
      </c>
    </row>
    <row r="529" spans="1:14">
      <c r="A529" t="str">
        <f t="shared" si="116"/>
        <v>alp_Man-VWCO</v>
      </c>
      <c r="B529" t="str">
        <f t="shared" si="117"/>
        <v>Google Brasil</v>
      </c>
      <c r="C529" t="str">
        <f t="shared" si="118"/>
        <v>google-brasil|retangulo|300x250|vw_caminhoes|always_on|produto|criativo_70_delivery_5-150|300x250|cpm</v>
      </c>
      <c r="D529" t="str">
        <f t="shared" si="119"/>
        <v>138017780</v>
      </c>
      <c r="E529" t="str">
        <f t="shared" si="120"/>
        <v>Default</v>
      </c>
      <c r="F529" t="str">
        <f t="shared" si="121"/>
        <v>300x250 Default Web Ad</v>
      </c>
      <c r="G529" t="str">
        <f t="shared" si="122"/>
        <v>310387630</v>
      </c>
      <c r="H529" t="str">
        <f t="shared" si="123"/>
        <v>Display</v>
      </c>
      <c r="I529">
        <f t="shared" si="124"/>
        <v>14086</v>
      </c>
      <c r="J529">
        <f t="shared" si="125"/>
        <v>14</v>
      </c>
      <c r="K529" s="4">
        <f t="shared" si="114"/>
        <v>3.8199999999999998E-2</v>
      </c>
      <c r="L529">
        <f t="shared" si="115"/>
        <v>0.09</v>
      </c>
      <c r="M529" s="4">
        <f t="shared" si="112"/>
        <v>0.53808520000000004</v>
      </c>
      <c r="N529" s="4">
        <f t="shared" si="113"/>
        <v>1.2677400000000001</v>
      </c>
    </row>
    <row r="530" spans="1:14">
      <c r="A530" t="str">
        <f t="shared" si="116"/>
        <v>alp_Man-VWCO</v>
      </c>
      <c r="B530" t="str">
        <f t="shared" si="117"/>
        <v>Google Brasil</v>
      </c>
      <c r="C530" t="str">
        <f t="shared" si="118"/>
        <v>google-brasil|retangulo|300x250|vw_caminhoes|always_on|produto|criativo_70_delivery_5-150|300x250|cpm</v>
      </c>
      <c r="D530" t="str">
        <f t="shared" si="119"/>
        <v>138017780</v>
      </c>
      <c r="E530" t="str">
        <f t="shared" si="120"/>
        <v>Default</v>
      </c>
      <c r="F530" t="str">
        <f t="shared" si="121"/>
        <v>300x250 Default Web Ad</v>
      </c>
      <c r="G530" t="str">
        <f t="shared" si="122"/>
        <v>310387630</v>
      </c>
      <c r="H530" t="str">
        <f t="shared" si="123"/>
        <v>Display</v>
      </c>
      <c r="I530">
        <f t="shared" si="124"/>
        <v>9931</v>
      </c>
      <c r="J530">
        <f t="shared" si="125"/>
        <v>8</v>
      </c>
      <c r="K530" s="4">
        <f t="shared" si="114"/>
        <v>3.8199999999999998E-2</v>
      </c>
      <c r="L530">
        <f t="shared" si="115"/>
        <v>0.09</v>
      </c>
      <c r="M530" s="4">
        <f t="shared" si="112"/>
        <v>0.37936419999999998</v>
      </c>
      <c r="N530" s="4">
        <f t="shared" si="113"/>
        <v>0.89378999999999997</v>
      </c>
    </row>
    <row r="531" spans="1:14">
      <c r="A531" t="str">
        <f t="shared" si="116"/>
        <v>alp_Man-VWCO</v>
      </c>
      <c r="B531" t="str">
        <f t="shared" si="117"/>
        <v>Google Brasil</v>
      </c>
      <c r="C531" t="str">
        <f t="shared" si="118"/>
        <v>google-brasil|retangulo|300x250|vw_caminhoes|always_on|produto|criativo_71_delivery_5-150|300x250|cpm</v>
      </c>
      <c r="D531" t="str">
        <f t="shared" si="119"/>
        <v>138017775</v>
      </c>
      <c r="E531" t="str">
        <f t="shared" si="120"/>
        <v>Default</v>
      </c>
      <c r="F531" t="str">
        <f t="shared" si="121"/>
        <v>300x250 Default Web Ad</v>
      </c>
      <c r="G531" t="str">
        <f t="shared" si="122"/>
        <v>310387630</v>
      </c>
      <c r="H531" t="str">
        <f t="shared" si="123"/>
        <v>Display</v>
      </c>
      <c r="I531">
        <f t="shared" si="124"/>
        <v>14287</v>
      </c>
      <c r="J531">
        <f t="shared" si="125"/>
        <v>11</v>
      </c>
      <c r="K531" s="4">
        <f t="shared" si="114"/>
        <v>3.8199999999999998E-2</v>
      </c>
      <c r="L531">
        <f t="shared" si="115"/>
        <v>0.09</v>
      </c>
      <c r="M531" s="4">
        <f t="shared" si="112"/>
        <v>0.5457633999999999</v>
      </c>
      <c r="N531" s="4">
        <f t="shared" si="113"/>
        <v>1.28583</v>
      </c>
    </row>
    <row r="532" spans="1:14">
      <c r="A532" t="str">
        <f t="shared" si="116"/>
        <v>alp_Man-VWCO</v>
      </c>
      <c r="B532" t="str">
        <f t="shared" si="117"/>
        <v>Google Brasil</v>
      </c>
      <c r="C532" t="str">
        <f t="shared" si="118"/>
        <v>google-brasil|retangulo|300x250|vw_caminhoes|always_on|produto|criativo_71_delivery_5-150|300x250|cpm</v>
      </c>
      <c r="D532" t="str">
        <f t="shared" si="119"/>
        <v>138017775</v>
      </c>
      <c r="E532" t="str">
        <f t="shared" si="120"/>
        <v>Default</v>
      </c>
      <c r="F532" t="str">
        <f t="shared" si="121"/>
        <v>300x250 Default Web Ad</v>
      </c>
      <c r="G532" t="str">
        <f t="shared" si="122"/>
        <v>310387630</v>
      </c>
      <c r="H532" t="str">
        <f t="shared" si="123"/>
        <v>Display</v>
      </c>
      <c r="I532">
        <f t="shared" si="124"/>
        <v>9540</v>
      </c>
      <c r="J532">
        <f t="shared" si="125"/>
        <v>16</v>
      </c>
      <c r="K532" s="4">
        <f t="shared" si="114"/>
        <v>3.8199999999999998E-2</v>
      </c>
      <c r="L532">
        <f t="shared" si="115"/>
        <v>0.09</v>
      </c>
      <c r="M532" s="4">
        <f t="shared" si="112"/>
        <v>0.36442799999999997</v>
      </c>
      <c r="N532" s="4">
        <f t="shared" si="113"/>
        <v>0.85860000000000003</v>
      </c>
    </row>
    <row r="533" spans="1:14">
      <c r="A533" t="str">
        <f t="shared" si="116"/>
        <v>alp_Man-VWCO</v>
      </c>
      <c r="B533" t="str">
        <f t="shared" si="117"/>
        <v>Google Brasil</v>
      </c>
      <c r="C533" t="str">
        <f t="shared" si="118"/>
        <v>google-brasil|retangulo|300x250|vw_caminhoes|always_on|produto|criativo_72_delivery_5-150|300x250|cpm</v>
      </c>
      <c r="D533" t="str">
        <f t="shared" si="119"/>
        <v>138017770</v>
      </c>
      <c r="E533" t="str">
        <f t="shared" si="120"/>
        <v>Default</v>
      </c>
      <c r="F533" t="str">
        <f t="shared" si="121"/>
        <v>300x250 Default Web Ad</v>
      </c>
      <c r="G533" t="str">
        <f t="shared" si="122"/>
        <v>310387630</v>
      </c>
      <c r="H533" t="str">
        <f t="shared" si="123"/>
        <v>Display</v>
      </c>
      <c r="I533">
        <f t="shared" si="124"/>
        <v>14186</v>
      </c>
      <c r="J533">
        <f t="shared" si="125"/>
        <v>20</v>
      </c>
      <c r="K533" s="4">
        <f t="shared" si="114"/>
        <v>3.8199999999999998E-2</v>
      </c>
      <c r="L533">
        <f t="shared" si="115"/>
        <v>0.09</v>
      </c>
      <c r="M533" s="4">
        <f t="shared" si="112"/>
        <v>0.54190519999999998</v>
      </c>
      <c r="N533" s="4">
        <f t="shared" si="113"/>
        <v>1.27674</v>
      </c>
    </row>
    <row r="534" spans="1:14">
      <c r="A534" t="str">
        <f t="shared" si="116"/>
        <v>alp_Man-VWCO</v>
      </c>
      <c r="B534" t="str">
        <f t="shared" si="117"/>
        <v>Google Brasil</v>
      </c>
      <c r="C534" t="str">
        <f t="shared" si="118"/>
        <v>google-brasil|retangulo|300x250|vw_caminhoes|always_on|produto|criativo_72_delivery_5-150|300x250|cpm</v>
      </c>
      <c r="D534" t="str">
        <f t="shared" si="119"/>
        <v>138017770</v>
      </c>
      <c r="E534" t="str">
        <f t="shared" si="120"/>
        <v>Default</v>
      </c>
      <c r="F534" t="str">
        <f t="shared" si="121"/>
        <v>300x250 Default Web Ad</v>
      </c>
      <c r="G534" t="str">
        <f t="shared" si="122"/>
        <v>310387630</v>
      </c>
      <c r="H534" t="str">
        <f t="shared" si="123"/>
        <v>Display</v>
      </c>
      <c r="I534">
        <f t="shared" si="124"/>
        <v>9787</v>
      </c>
      <c r="J534">
        <f t="shared" si="125"/>
        <v>9</v>
      </c>
      <c r="K534" s="4">
        <f t="shared" si="114"/>
        <v>3.8199999999999998E-2</v>
      </c>
      <c r="L534">
        <f t="shared" si="115"/>
        <v>0.09</v>
      </c>
      <c r="M534" s="4">
        <f t="shared" si="112"/>
        <v>0.37386339999999996</v>
      </c>
      <c r="N534" s="4">
        <f t="shared" si="113"/>
        <v>0.88082999999999989</v>
      </c>
    </row>
    <row r="535" spans="1:14">
      <c r="A535" t="str">
        <f t="shared" si="116"/>
        <v>alp_Man-VWCO</v>
      </c>
      <c r="B535" t="str">
        <f t="shared" si="117"/>
        <v>Google Brasil</v>
      </c>
      <c r="C535" t="str">
        <f t="shared" si="118"/>
        <v>google-brasil|retangulo|300x250|vw_caminhoes|always_on|produto|criativo_73_delivery_8-160|300x250|cpm</v>
      </c>
      <c r="D535" t="str">
        <f t="shared" si="119"/>
        <v>138017765</v>
      </c>
      <c r="E535" t="str">
        <f t="shared" si="120"/>
        <v>Default</v>
      </c>
      <c r="F535" t="str">
        <f t="shared" si="121"/>
        <v>300x250 Default Web Ad</v>
      </c>
      <c r="G535" t="str">
        <f t="shared" si="122"/>
        <v>310387630</v>
      </c>
      <c r="H535" t="str">
        <f t="shared" si="123"/>
        <v>Display</v>
      </c>
      <c r="I535">
        <f t="shared" si="124"/>
        <v>12159</v>
      </c>
      <c r="J535">
        <f t="shared" si="125"/>
        <v>17</v>
      </c>
      <c r="K535" s="4">
        <f t="shared" si="114"/>
        <v>3.8199999999999998E-2</v>
      </c>
      <c r="L535">
        <f t="shared" si="115"/>
        <v>0.09</v>
      </c>
      <c r="M535" s="4">
        <f t="shared" si="112"/>
        <v>0.46447379999999999</v>
      </c>
      <c r="N535" s="4">
        <f t="shared" si="113"/>
        <v>1.0943099999999999</v>
      </c>
    </row>
    <row r="536" spans="1:14">
      <c r="A536" t="str">
        <f t="shared" si="116"/>
        <v>alp_Man-VWCO</v>
      </c>
      <c r="B536" t="str">
        <f t="shared" si="117"/>
        <v>Google Brasil</v>
      </c>
      <c r="C536" t="str">
        <f t="shared" si="118"/>
        <v>google-brasil|retangulo|300x250|vw_caminhoes|always_on|produto|criativo_73_delivery_8-160|300x250|cpm</v>
      </c>
      <c r="D536" t="str">
        <f t="shared" si="119"/>
        <v>138017765</v>
      </c>
      <c r="E536" t="str">
        <f t="shared" si="120"/>
        <v>Default</v>
      </c>
      <c r="F536" t="str">
        <f t="shared" si="121"/>
        <v>300x250 Default Web Ad</v>
      </c>
      <c r="G536" t="str">
        <f t="shared" si="122"/>
        <v>310387630</v>
      </c>
      <c r="H536" t="str">
        <f t="shared" si="123"/>
        <v>Display</v>
      </c>
      <c r="I536">
        <f t="shared" si="124"/>
        <v>8057</v>
      </c>
      <c r="J536">
        <f t="shared" si="125"/>
        <v>16</v>
      </c>
      <c r="K536" s="4">
        <f t="shared" si="114"/>
        <v>3.8199999999999998E-2</v>
      </c>
      <c r="L536">
        <f t="shared" si="115"/>
        <v>0.09</v>
      </c>
      <c r="M536" s="4">
        <f t="shared" si="112"/>
        <v>0.30777739999999998</v>
      </c>
      <c r="N536" s="4">
        <f t="shared" si="113"/>
        <v>0.72512999999999994</v>
      </c>
    </row>
    <row r="537" spans="1:14">
      <c r="A537" t="str">
        <f t="shared" si="116"/>
        <v>alp_Man-VWCO</v>
      </c>
      <c r="B537" t="str">
        <f t="shared" si="117"/>
        <v>Google Brasil</v>
      </c>
      <c r="C537" t="str">
        <f t="shared" si="118"/>
        <v>google-brasil|retangulo|300x250|vw_caminhoes|always_on|produto|criativo_74_delivery_8-160|300x250|cpm</v>
      </c>
      <c r="D537" t="str">
        <f t="shared" si="119"/>
        <v>138017760</v>
      </c>
      <c r="E537" t="str">
        <f t="shared" si="120"/>
        <v>Default</v>
      </c>
      <c r="F537" t="str">
        <f t="shared" si="121"/>
        <v>300x250 Default Web Ad</v>
      </c>
      <c r="G537" t="str">
        <f t="shared" si="122"/>
        <v>310387630</v>
      </c>
      <c r="H537" t="str">
        <f t="shared" si="123"/>
        <v>Display</v>
      </c>
      <c r="I537">
        <f t="shared" si="124"/>
        <v>13033</v>
      </c>
      <c r="J537">
        <f t="shared" si="125"/>
        <v>12</v>
      </c>
      <c r="K537" s="4">
        <f t="shared" si="114"/>
        <v>3.8199999999999998E-2</v>
      </c>
      <c r="L537">
        <f t="shared" si="115"/>
        <v>0.09</v>
      </c>
      <c r="M537" s="4">
        <f t="shared" si="112"/>
        <v>0.49786059999999999</v>
      </c>
      <c r="N537" s="4">
        <f t="shared" si="113"/>
        <v>1.1729700000000001</v>
      </c>
    </row>
    <row r="538" spans="1:14">
      <c r="A538" t="str">
        <f t="shared" si="116"/>
        <v>alp_Man-VWCO</v>
      </c>
      <c r="B538" t="str">
        <f t="shared" si="117"/>
        <v>Google Brasil</v>
      </c>
      <c r="C538" t="str">
        <f t="shared" si="118"/>
        <v>google-brasil|retangulo|300x250|vw_caminhoes|always_on|produto|criativo_74_delivery_8-160|300x250|cpm</v>
      </c>
      <c r="D538" t="str">
        <f t="shared" si="119"/>
        <v>138017760</v>
      </c>
      <c r="E538" t="str">
        <f t="shared" si="120"/>
        <v>Default</v>
      </c>
      <c r="F538" t="str">
        <f t="shared" si="121"/>
        <v>300x250 Default Web Ad</v>
      </c>
      <c r="G538" t="str">
        <f t="shared" si="122"/>
        <v>310387630</v>
      </c>
      <c r="H538" t="str">
        <f t="shared" si="123"/>
        <v>Display</v>
      </c>
      <c r="I538">
        <f t="shared" si="124"/>
        <v>8057</v>
      </c>
      <c r="J538">
        <f t="shared" si="125"/>
        <v>12</v>
      </c>
      <c r="K538" s="4">
        <f t="shared" si="114"/>
        <v>3.8199999999999998E-2</v>
      </c>
      <c r="L538">
        <f t="shared" si="115"/>
        <v>0.09</v>
      </c>
      <c r="M538" s="4">
        <f t="shared" si="112"/>
        <v>0.30777739999999998</v>
      </c>
      <c r="N538" s="4">
        <f t="shared" si="113"/>
        <v>0.72512999999999994</v>
      </c>
    </row>
    <row r="539" spans="1:14">
      <c r="A539" t="str">
        <f t="shared" si="116"/>
        <v>alp_Man-VWCO</v>
      </c>
      <c r="B539" t="str">
        <f t="shared" si="117"/>
        <v>Google Brasil</v>
      </c>
      <c r="C539" t="str">
        <f t="shared" si="118"/>
        <v>google-brasil|retangulo|300x250|vw_caminhoes|always_on|produto|criativo_75_delivery_8-160|300x250|cpm</v>
      </c>
      <c r="D539" t="str">
        <f t="shared" si="119"/>
        <v>138017755</v>
      </c>
      <c r="E539" t="str">
        <f t="shared" si="120"/>
        <v>Default</v>
      </c>
      <c r="F539" t="str">
        <f t="shared" si="121"/>
        <v>300x250 Default Web Ad</v>
      </c>
      <c r="G539" t="str">
        <f t="shared" si="122"/>
        <v>310387630</v>
      </c>
      <c r="H539" t="str">
        <f t="shared" si="123"/>
        <v>Display</v>
      </c>
      <c r="I539">
        <f t="shared" si="124"/>
        <v>13000</v>
      </c>
      <c r="J539">
        <f t="shared" si="125"/>
        <v>13</v>
      </c>
      <c r="K539" s="4">
        <f t="shared" si="114"/>
        <v>3.8199999999999998E-2</v>
      </c>
      <c r="L539">
        <f t="shared" si="115"/>
        <v>0.09</v>
      </c>
      <c r="M539" s="4">
        <f t="shared" si="112"/>
        <v>0.49659999999999999</v>
      </c>
      <c r="N539" s="4">
        <f t="shared" si="113"/>
        <v>1.17</v>
      </c>
    </row>
    <row r="540" spans="1:14">
      <c r="A540" t="str">
        <f t="shared" si="116"/>
        <v>alp_Man-VWCO</v>
      </c>
      <c r="B540" t="str">
        <f t="shared" si="117"/>
        <v>Google Brasil</v>
      </c>
      <c r="C540" t="str">
        <f t="shared" si="118"/>
        <v>google-brasil|retangulo|300x250|vw_caminhoes|always_on|produto|criativo_75_delivery_8-160|300x250|cpm</v>
      </c>
      <c r="D540" t="str">
        <f t="shared" si="119"/>
        <v>138017755</v>
      </c>
      <c r="E540" t="str">
        <f t="shared" si="120"/>
        <v>Default</v>
      </c>
      <c r="F540" t="str">
        <f t="shared" si="121"/>
        <v>300x250 Default Web Ad</v>
      </c>
      <c r="G540" t="str">
        <f t="shared" si="122"/>
        <v>310387630</v>
      </c>
      <c r="H540" t="str">
        <f t="shared" si="123"/>
        <v>Display</v>
      </c>
      <c r="I540">
        <f t="shared" si="124"/>
        <v>7735</v>
      </c>
      <c r="J540">
        <f t="shared" si="125"/>
        <v>3</v>
      </c>
      <c r="K540" s="4">
        <f t="shared" si="114"/>
        <v>3.8199999999999998E-2</v>
      </c>
      <c r="L540">
        <f t="shared" si="115"/>
        <v>0.09</v>
      </c>
      <c r="M540" s="4">
        <f t="shared" si="112"/>
        <v>0.29547699999999999</v>
      </c>
      <c r="N540" s="4">
        <f t="shared" si="113"/>
        <v>0.69614999999999994</v>
      </c>
    </row>
    <row r="541" spans="1:14">
      <c r="A541" t="str">
        <f t="shared" si="116"/>
        <v>alp_Man-VWCO</v>
      </c>
      <c r="B541" t="str">
        <f t="shared" si="117"/>
        <v>Google Brasil</v>
      </c>
      <c r="C541" t="str">
        <f t="shared" si="118"/>
        <v>google-brasil|retangulo|300x250|vw_caminhoes|always_on|produto|criativo_76_delivery_8-160|300x250|cpm</v>
      </c>
      <c r="D541" t="str">
        <f t="shared" si="119"/>
        <v>138017750</v>
      </c>
      <c r="E541" t="str">
        <f t="shared" si="120"/>
        <v>Default</v>
      </c>
      <c r="F541" t="str">
        <f t="shared" si="121"/>
        <v>300x250 Default Web Ad</v>
      </c>
      <c r="G541" t="str">
        <f t="shared" si="122"/>
        <v>310387630</v>
      </c>
      <c r="H541" t="str">
        <f t="shared" si="123"/>
        <v>Display</v>
      </c>
      <c r="I541">
        <f t="shared" si="124"/>
        <v>13157</v>
      </c>
      <c r="J541">
        <f t="shared" si="125"/>
        <v>14</v>
      </c>
      <c r="K541" s="4">
        <f t="shared" si="114"/>
        <v>3.8199999999999998E-2</v>
      </c>
      <c r="L541">
        <f t="shared" si="115"/>
        <v>0.09</v>
      </c>
      <c r="M541" s="4">
        <f t="shared" si="112"/>
        <v>0.50259739999999997</v>
      </c>
      <c r="N541" s="4">
        <f t="shared" si="113"/>
        <v>1.1841299999999999</v>
      </c>
    </row>
    <row r="542" spans="1:14">
      <c r="A542" t="str">
        <f t="shared" si="116"/>
        <v>alp_Man-VWCO</v>
      </c>
      <c r="B542" t="str">
        <f t="shared" si="117"/>
        <v>Google Brasil</v>
      </c>
      <c r="C542" t="str">
        <f t="shared" si="118"/>
        <v>google-brasil|retangulo|300x250|vw_caminhoes|always_on|produto|criativo_76_delivery_8-160|300x250|cpm</v>
      </c>
      <c r="D542" t="str">
        <f t="shared" si="119"/>
        <v>138017750</v>
      </c>
      <c r="E542" t="str">
        <f t="shared" si="120"/>
        <v>Default</v>
      </c>
      <c r="F542" t="str">
        <f t="shared" si="121"/>
        <v>300x250 Default Web Ad</v>
      </c>
      <c r="G542" t="str">
        <f t="shared" si="122"/>
        <v>310387630</v>
      </c>
      <c r="H542" t="str">
        <f t="shared" si="123"/>
        <v>Display</v>
      </c>
      <c r="I542">
        <f t="shared" si="124"/>
        <v>7818</v>
      </c>
      <c r="J542">
        <f t="shared" si="125"/>
        <v>7</v>
      </c>
      <c r="K542" s="4">
        <f t="shared" si="114"/>
        <v>3.8199999999999998E-2</v>
      </c>
      <c r="L542">
        <f t="shared" si="115"/>
        <v>0.09</v>
      </c>
      <c r="M542" s="4">
        <f t="shared" si="112"/>
        <v>0.29864760000000001</v>
      </c>
      <c r="N542" s="4">
        <f t="shared" si="113"/>
        <v>0.70362000000000002</v>
      </c>
    </row>
    <row r="543" spans="1:14">
      <c r="A543" t="str">
        <f t="shared" si="116"/>
        <v>alp_Man-VWCO</v>
      </c>
      <c r="B543" t="str">
        <f t="shared" si="117"/>
        <v>Google Brasil</v>
      </c>
      <c r="C543" t="str">
        <f t="shared" si="118"/>
        <v>google-brasil|retangulo|300x250|vw_caminhoes|always_on|produto|criativo_77_delivery_8-160|300x250|cpm</v>
      </c>
      <c r="D543" t="str">
        <f t="shared" si="119"/>
        <v>138017745</v>
      </c>
      <c r="E543" t="str">
        <f t="shared" si="120"/>
        <v>Default</v>
      </c>
      <c r="F543" t="str">
        <f t="shared" si="121"/>
        <v>300x250 Default Web Ad</v>
      </c>
      <c r="G543" t="str">
        <f t="shared" si="122"/>
        <v>310387630</v>
      </c>
      <c r="H543" t="str">
        <f t="shared" si="123"/>
        <v>Display</v>
      </c>
      <c r="I543">
        <f t="shared" si="124"/>
        <v>12825</v>
      </c>
      <c r="J543">
        <f t="shared" si="125"/>
        <v>9</v>
      </c>
      <c r="K543" s="4">
        <f t="shared" si="114"/>
        <v>3.8199999999999998E-2</v>
      </c>
      <c r="L543">
        <f t="shared" si="115"/>
        <v>0.09</v>
      </c>
      <c r="M543" s="4">
        <f t="shared" si="112"/>
        <v>0.48991499999999999</v>
      </c>
      <c r="N543" s="4">
        <f t="shared" si="113"/>
        <v>1.15425</v>
      </c>
    </row>
    <row r="544" spans="1:14">
      <c r="A544" t="str">
        <f t="shared" si="116"/>
        <v>alp_Man-VWCO</v>
      </c>
      <c r="B544" t="str">
        <f t="shared" si="117"/>
        <v>Google Brasil</v>
      </c>
      <c r="C544" t="str">
        <f t="shared" si="118"/>
        <v>google-brasil|retangulo|300x250|vw_caminhoes|always_on|produto|criativo_77_delivery_8-160|300x250|cpm</v>
      </c>
      <c r="D544" t="str">
        <f t="shared" si="119"/>
        <v>138017745</v>
      </c>
      <c r="E544" t="str">
        <f t="shared" si="120"/>
        <v>Default</v>
      </c>
      <c r="F544" t="str">
        <f t="shared" si="121"/>
        <v>300x250 Default Web Ad</v>
      </c>
      <c r="G544" t="str">
        <f t="shared" si="122"/>
        <v>310387630</v>
      </c>
      <c r="H544" t="str">
        <f t="shared" si="123"/>
        <v>Display</v>
      </c>
      <c r="I544">
        <f t="shared" si="124"/>
        <v>7780</v>
      </c>
      <c r="J544">
        <f t="shared" si="125"/>
        <v>20</v>
      </c>
      <c r="K544" s="4">
        <f t="shared" si="114"/>
        <v>3.8199999999999998E-2</v>
      </c>
      <c r="L544">
        <f t="shared" si="115"/>
        <v>0.09</v>
      </c>
      <c r="M544" s="4">
        <f t="shared" si="112"/>
        <v>0.29719599999999996</v>
      </c>
      <c r="N544" s="4">
        <f t="shared" si="113"/>
        <v>0.70019999999999993</v>
      </c>
    </row>
    <row r="545" spans="1:14">
      <c r="A545" t="str">
        <f t="shared" si="116"/>
        <v>alp_Man-VWCO</v>
      </c>
      <c r="B545" t="str">
        <f t="shared" si="117"/>
        <v>Google Brasil</v>
      </c>
      <c r="C545" t="str">
        <f t="shared" si="118"/>
        <v>google-brasil|retangulo|300x250|vw_caminhoes|always_on|produto|criativo_78_delivery_8-160|300x250|cpm</v>
      </c>
      <c r="D545" t="str">
        <f t="shared" si="119"/>
        <v>138017740</v>
      </c>
      <c r="E545" t="str">
        <f t="shared" si="120"/>
        <v>Default</v>
      </c>
      <c r="F545" t="str">
        <f t="shared" si="121"/>
        <v>300x250 Default Web Ad</v>
      </c>
      <c r="G545" t="str">
        <f t="shared" si="122"/>
        <v>310387630</v>
      </c>
      <c r="H545" t="str">
        <f t="shared" si="123"/>
        <v>Display</v>
      </c>
      <c r="I545">
        <f t="shared" si="124"/>
        <v>12961</v>
      </c>
      <c r="J545">
        <f t="shared" si="125"/>
        <v>12</v>
      </c>
      <c r="K545" s="4">
        <f t="shared" si="114"/>
        <v>3.8199999999999998E-2</v>
      </c>
      <c r="L545">
        <f t="shared" si="115"/>
        <v>0.09</v>
      </c>
      <c r="M545" s="4">
        <f t="shared" si="112"/>
        <v>0.49511019999999994</v>
      </c>
      <c r="N545" s="4">
        <f t="shared" si="113"/>
        <v>1.16649</v>
      </c>
    </row>
    <row r="546" spans="1:14">
      <c r="A546" t="str">
        <f t="shared" si="116"/>
        <v>alp_Man-VWCO</v>
      </c>
      <c r="B546" t="str">
        <f t="shared" si="117"/>
        <v>Google Brasil</v>
      </c>
      <c r="C546" t="str">
        <f t="shared" si="118"/>
        <v>google-brasil|retangulo|300x250|vw_caminhoes|always_on|produto|criativo_78_delivery_8-160|300x250|cpm</v>
      </c>
      <c r="D546" t="str">
        <f t="shared" si="119"/>
        <v>138017740</v>
      </c>
      <c r="E546" t="str">
        <f t="shared" si="120"/>
        <v>Default</v>
      </c>
      <c r="F546" t="str">
        <f t="shared" si="121"/>
        <v>300x250 Default Web Ad</v>
      </c>
      <c r="G546" t="str">
        <f t="shared" si="122"/>
        <v>310387630</v>
      </c>
      <c r="H546" t="str">
        <f t="shared" si="123"/>
        <v>Display</v>
      </c>
      <c r="I546">
        <f t="shared" si="124"/>
        <v>7878</v>
      </c>
      <c r="J546">
        <f t="shared" si="125"/>
        <v>12</v>
      </c>
      <c r="K546" s="4">
        <f t="shared" si="114"/>
        <v>3.8199999999999998E-2</v>
      </c>
      <c r="L546">
        <f t="shared" si="115"/>
        <v>0.09</v>
      </c>
      <c r="M546" s="4">
        <f t="shared" ref="M546:M609" si="126">IF(E546="Dynamic Click",J546*K546,K546*$I546/1000)</f>
        <v>0.30093959999999997</v>
      </c>
      <c r="N546" s="4">
        <f t="shared" ref="N546:N609" si="127">IF(E546="Dynamic Click",J546*L546,L546*$I546/1000)</f>
        <v>0.70901999999999998</v>
      </c>
    </row>
    <row r="547" spans="1:14">
      <c r="A547" t="str">
        <f t="shared" si="116"/>
        <v>alp_Man-VWCO</v>
      </c>
      <c r="B547" t="str">
        <f t="shared" si="117"/>
        <v>Google Brasil</v>
      </c>
      <c r="C547" t="str">
        <f t="shared" si="118"/>
        <v>google-brasil|retangulo|300x250|vw_caminhoes|always_on|produto|criativo_84_delivery_9-160|300x250|cpm</v>
      </c>
      <c r="D547" t="str">
        <f t="shared" si="119"/>
        <v>138017710</v>
      </c>
      <c r="E547" t="str">
        <f t="shared" si="120"/>
        <v>Default</v>
      </c>
      <c r="F547" t="str">
        <f t="shared" si="121"/>
        <v>300x250 Default Web Ad</v>
      </c>
      <c r="G547" t="str">
        <f t="shared" si="122"/>
        <v>310387630</v>
      </c>
      <c r="H547" t="str">
        <f t="shared" si="123"/>
        <v>Display</v>
      </c>
      <c r="I547">
        <f t="shared" si="124"/>
        <v>6213</v>
      </c>
      <c r="J547">
        <f t="shared" si="125"/>
        <v>3</v>
      </c>
      <c r="K547" s="4">
        <f t="shared" si="114"/>
        <v>3.8199999999999998E-2</v>
      </c>
      <c r="L547">
        <f t="shared" si="115"/>
        <v>0.09</v>
      </c>
      <c r="M547" s="4">
        <f t="shared" si="126"/>
        <v>0.23733659999999998</v>
      </c>
      <c r="N547" s="4">
        <f t="shared" si="127"/>
        <v>0.55916999999999994</v>
      </c>
    </row>
    <row r="548" spans="1:14">
      <c r="A548" t="str">
        <f t="shared" si="116"/>
        <v>alp_Man-VWCO</v>
      </c>
      <c r="B548" t="str">
        <f t="shared" si="117"/>
        <v>Google Brasil</v>
      </c>
      <c r="C548" t="str">
        <f t="shared" si="118"/>
        <v>google-brasil|retangulo|300x250|vw_caminhoes|always_on|produto|criativo_84_delivery_9-160|300x250|cpm</v>
      </c>
      <c r="D548" t="str">
        <f t="shared" si="119"/>
        <v>138017710</v>
      </c>
      <c r="E548" t="str">
        <f t="shared" si="120"/>
        <v>Default</v>
      </c>
      <c r="F548" t="str">
        <f t="shared" si="121"/>
        <v>300x250 Default Web Ad</v>
      </c>
      <c r="G548" t="str">
        <f t="shared" si="122"/>
        <v>310387630</v>
      </c>
      <c r="H548" t="str">
        <f t="shared" si="123"/>
        <v>Display</v>
      </c>
      <c r="I548">
        <f t="shared" si="124"/>
        <v>3964</v>
      </c>
      <c r="J548">
        <f t="shared" si="125"/>
        <v>2</v>
      </c>
      <c r="K548" s="4">
        <f t="shared" si="114"/>
        <v>3.8199999999999998E-2</v>
      </c>
      <c r="L548">
        <f t="shared" si="115"/>
        <v>0.09</v>
      </c>
      <c r="M548" s="4">
        <f t="shared" si="126"/>
        <v>0.1514248</v>
      </c>
      <c r="N548" s="4">
        <f t="shared" si="127"/>
        <v>0.35675999999999997</v>
      </c>
    </row>
    <row r="549" spans="1:14">
      <c r="A549" t="str">
        <f t="shared" si="116"/>
        <v>alp_Man-VWCO</v>
      </c>
      <c r="B549" t="str">
        <f t="shared" si="117"/>
        <v>Google Brasil</v>
      </c>
      <c r="C549" t="str">
        <f t="shared" si="118"/>
        <v>google-brasil|retangulo|300x250|vw_caminhoes|always_on|produto|criativo_85_delivery_9-160|300x250|cpm</v>
      </c>
      <c r="D549" t="str">
        <f t="shared" si="119"/>
        <v>138017705</v>
      </c>
      <c r="E549" t="str">
        <f t="shared" si="120"/>
        <v>Default</v>
      </c>
      <c r="F549" t="str">
        <f t="shared" si="121"/>
        <v>300x250 Default Web Ad</v>
      </c>
      <c r="G549" t="str">
        <f t="shared" si="122"/>
        <v>310387630</v>
      </c>
      <c r="H549" t="str">
        <f t="shared" si="123"/>
        <v>Display</v>
      </c>
      <c r="I549">
        <f t="shared" si="124"/>
        <v>6894</v>
      </c>
      <c r="J549">
        <f t="shared" si="125"/>
        <v>2</v>
      </c>
      <c r="K549" s="4">
        <f t="shared" si="114"/>
        <v>3.8199999999999998E-2</v>
      </c>
      <c r="L549">
        <f t="shared" si="115"/>
        <v>0.09</v>
      </c>
      <c r="M549" s="4">
        <f t="shared" si="126"/>
        <v>0.2633508</v>
      </c>
      <c r="N549" s="4">
        <f t="shared" si="127"/>
        <v>0.6204599999999999</v>
      </c>
    </row>
    <row r="550" spans="1:14">
      <c r="A550" t="str">
        <f t="shared" si="116"/>
        <v>alp_Man-VWCO</v>
      </c>
      <c r="B550" t="str">
        <f t="shared" si="117"/>
        <v>Google Brasil</v>
      </c>
      <c r="C550" t="str">
        <f t="shared" si="118"/>
        <v>google-brasil|retangulo|300x250|vw_caminhoes|always_on|produto|criativo_85_delivery_9-160|300x250|cpm</v>
      </c>
      <c r="D550" t="str">
        <f t="shared" si="119"/>
        <v>138017705</v>
      </c>
      <c r="E550" t="str">
        <f t="shared" si="120"/>
        <v>Default</v>
      </c>
      <c r="F550" t="str">
        <f t="shared" si="121"/>
        <v>300x250 Default Web Ad</v>
      </c>
      <c r="G550" t="str">
        <f t="shared" si="122"/>
        <v>310387630</v>
      </c>
      <c r="H550" t="str">
        <f t="shared" si="123"/>
        <v>Display</v>
      </c>
      <c r="I550">
        <f t="shared" si="124"/>
        <v>4040</v>
      </c>
      <c r="J550">
        <f t="shared" si="125"/>
        <v>4</v>
      </c>
      <c r="K550" s="4">
        <f t="shared" si="114"/>
        <v>3.8199999999999998E-2</v>
      </c>
      <c r="L550">
        <f t="shared" si="115"/>
        <v>0.09</v>
      </c>
      <c r="M550" s="4">
        <f t="shared" si="126"/>
        <v>0.15432799999999999</v>
      </c>
      <c r="N550" s="4">
        <f t="shared" si="127"/>
        <v>0.36359999999999998</v>
      </c>
    </row>
    <row r="551" spans="1:14">
      <c r="A551" t="str">
        <f t="shared" si="116"/>
        <v>alp_Man-VWCO</v>
      </c>
      <c r="B551" t="str">
        <f t="shared" si="117"/>
        <v>Google Brasil</v>
      </c>
      <c r="C551" t="str">
        <f t="shared" si="118"/>
        <v>google-brasil|retangulo|300x250|vw_caminhoes|always_on|produto|criativo_86_delivery_9-160|300x250|cpm</v>
      </c>
      <c r="D551" t="str">
        <f t="shared" si="119"/>
        <v>138017700</v>
      </c>
      <c r="E551" t="str">
        <f t="shared" si="120"/>
        <v>Default</v>
      </c>
      <c r="F551" t="str">
        <f t="shared" si="121"/>
        <v>300x250 Default Web Ad</v>
      </c>
      <c r="G551" t="str">
        <f t="shared" si="122"/>
        <v>310387630</v>
      </c>
      <c r="H551" t="str">
        <f t="shared" si="123"/>
        <v>Display</v>
      </c>
      <c r="I551">
        <f t="shared" si="124"/>
        <v>6977</v>
      </c>
      <c r="J551">
        <f t="shared" si="125"/>
        <v>5</v>
      </c>
      <c r="K551" s="4">
        <f t="shared" si="114"/>
        <v>3.8199999999999998E-2</v>
      </c>
      <c r="L551">
        <f t="shared" si="115"/>
        <v>0.09</v>
      </c>
      <c r="M551" s="4">
        <f t="shared" si="126"/>
        <v>0.26652139999999996</v>
      </c>
      <c r="N551" s="4">
        <f t="shared" si="127"/>
        <v>0.62792999999999999</v>
      </c>
    </row>
    <row r="552" spans="1:14">
      <c r="A552" t="str">
        <f t="shared" si="116"/>
        <v>alp_Man-VWCO</v>
      </c>
      <c r="B552" t="str">
        <f t="shared" si="117"/>
        <v>Google Brasil</v>
      </c>
      <c r="C552" t="str">
        <f t="shared" si="118"/>
        <v>google-brasil|retangulo|300x250|vw_caminhoes|always_on|produto|criativo_86_delivery_9-160|300x250|cpm</v>
      </c>
      <c r="D552" t="str">
        <f t="shared" si="119"/>
        <v>138017700</v>
      </c>
      <c r="E552" t="str">
        <f t="shared" si="120"/>
        <v>Default</v>
      </c>
      <c r="F552" t="str">
        <f t="shared" si="121"/>
        <v>300x250 Default Web Ad</v>
      </c>
      <c r="G552" t="str">
        <f t="shared" si="122"/>
        <v>310387630</v>
      </c>
      <c r="H552" t="str">
        <f t="shared" si="123"/>
        <v>Display</v>
      </c>
      <c r="I552">
        <f t="shared" si="124"/>
        <v>4120</v>
      </c>
      <c r="J552">
        <f t="shared" si="125"/>
        <v>6</v>
      </c>
      <c r="K552" s="4">
        <f t="shared" si="114"/>
        <v>3.8199999999999998E-2</v>
      </c>
      <c r="L552">
        <f t="shared" si="115"/>
        <v>0.09</v>
      </c>
      <c r="M552" s="4">
        <f t="shared" si="126"/>
        <v>0.157384</v>
      </c>
      <c r="N552" s="4">
        <f t="shared" si="127"/>
        <v>0.37080000000000002</v>
      </c>
    </row>
    <row r="553" spans="1:14">
      <c r="A553" t="str">
        <f t="shared" si="116"/>
        <v>alp_Man-VWCO</v>
      </c>
      <c r="B553" t="str">
        <f t="shared" si="117"/>
        <v>Google Brasil</v>
      </c>
      <c r="C553" t="str">
        <f t="shared" si="118"/>
        <v>google-brasil|retangulo|300x250|vw_caminhoes|always_on|produto|criativo_87_delivery_9-160|300x250|cpm</v>
      </c>
      <c r="D553" t="str">
        <f t="shared" si="119"/>
        <v>138015895</v>
      </c>
      <c r="E553" t="str">
        <f t="shared" si="120"/>
        <v>Default</v>
      </c>
      <c r="F553" t="str">
        <f t="shared" si="121"/>
        <v>300x250 Default Web Ad</v>
      </c>
      <c r="G553" t="str">
        <f t="shared" si="122"/>
        <v>310387630</v>
      </c>
      <c r="H553" t="str">
        <f t="shared" si="123"/>
        <v>Display</v>
      </c>
      <c r="I553">
        <f t="shared" si="124"/>
        <v>7214</v>
      </c>
      <c r="J553">
        <f t="shared" si="125"/>
        <v>8</v>
      </c>
      <c r="K553" s="4">
        <f t="shared" si="114"/>
        <v>3.8199999999999998E-2</v>
      </c>
      <c r="L553">
        <f t="shared" si="115"/>
        <v>0.09</v>
      </c>
      <c r="M553" s="4">
        <f t="shared" si="126"/>
        <v>0.27557480000000001</v>
      </c>
      <c r="N553" s="4">
        <f t="shared" si="127"/>
        <v>0.64925999999999995</v>
      </c>
    </row>
    <row r="554" spans="1:14">
      <c r="A554" t="str">
        <f t="shared" si="116"/>
        <v>alp_Man-VWCO</v>
      </c>
      <c r="B554" t="str">
        <f t="shared" si="117"/>
        <v>Google Brasil</v>
      </c>
      <c r="C554" t="str">
        <f t="shared" si="118"/>
        <v>google-brasil|retangulo|300x250|vw_caminhoes|always_on|produto|criativo_87_delivery_9-160|300x250|cpm</v>
      </c>
      <c r="D554" t="str">
        <f t="shared" si="119"/>
        <v>138015895</v>
      </c>
      <c r="E554" t="str">
        <f t="shared" si="120"/>
        <v>Default</v>
      </c>
      <c r="F554" t="str">
        <f t="shared" si="121"/>
        <v>300x250 Default Web Ad</v>
      </c>
      <c r="G554" t="str">
        <f t="shared" si="122"/>
        <v>310387630</v>
      </c>
      <c r="H554" t="str">
        <f t="shared" si="123"/>
        <v>Display</v>
      </c>
      <c r="I554">
        <f t="shared" si="124"/>
        <v>4124</v>
      </c>
      <c r="J554">
        <f t="shared" si="125"/>
        <v>6</v>
      </c>
      <c r="K554" s="4">
        <f t="shared" si="114"/>
        <v>3.8199999999999998E-2</v>
      </c>
      <c r="L554">
        <f t="shared" si="115"/>
        <v>0.09</v>
      </c>
      <c r="M554" s="4">
        <f t="shared" si="126"/>
        <v>0.1575368</v>
      </c>
      <c r="N554" s="4">
        <f t="shared" si="127"/>
        <v>0.37115999999999999</v>
      </c>
    </row>
    <row r="555" spans="1:14">
      <c r="A555" t="str">
        <f t="shared" si="116"/>
        <v>alp_Man-VWCO</v>
      </c>
      <c r="B555" t="str">
        <f t="shared" si="117"/>
        <v>Google Brasil</v>
      </c>
      <c r="C555" t="str">
        <f t="shared" si="118"/>
        <v>google-brasil|retangulo|300x250|vw_caminhoes|always_on|produto|criativo_88_delivery_9-160|300x250|cpm</v>
      </c>
      <c r="D555" t="str">
        <f t="shared" si="119"/>
        <v>138015890</v>
      </c>
      <c r="E555" t="str">
        <f t="shared" si="120"/>
        <v>Default</v>
      </c>
      <c r="F555" t="str">
        <f t="shared" si="121"/>
        <v>300x250 Default Web Ad</v>
      </c>
      <c r="G555" t="str">
        <f t="shared" si="122"/>
        <v>310387630</v>
      </c>
      <c r="H555" t="str">
        <f t="shared" si="123"/>
        <v>Display</v>
      </c>
      <c r="I555">
        <f t="shared" si="124"/>
        <v>7072</v>
      </c>
      <c r="J555">
        <f t="shared" si="125"/>
        <v>2</v>
      </c>
      <c r="K555" s="4">
        <f t="shared" si="114"/>
        <v>3.8199999999999998E-2</v>
      </c>
      <c r="L555">
        <f t="shared" si="115"/>
        <v>0.09</v>
      </c>
      <c r="M555" s="4">
        <f t="shared" si="126"/>
        <v>0.27015040000000001</v>
      </c>
      <c r="N555" s="4">
        <f t="shared" si="127"/>
        <v>0.63648000000000005</v>
      </c>
    </row>
    <row r="556" spans="1:14">
      <c r="A556" t="str">
        <f t="shared" si="116"/>
        <v>alp_Man-VWCO</v>
      </c>
      <c r="B556" t="str">
        <f t="shared" si="117"/>
        <v>Google Brasil</v>
      </c>
      <c r="C556" t="str">
        <f t="shared" si="118"/>
        <v>google-brasil|retangulo|300x250|vw_caminhoes|always_on|produto|criativo_88_delivery_9-160|300x250|cpm</v>
      </c>
      <c r="D556" t="str">
        <f t="shared" si="119"/>
        <v>138015890</v>
      </c>
      <c r="E556" t="str">
        <f t="shared" si="120"/>
        <v>Default</v>
      </c>
      <c r="F556" t="str">
        <f t="shared" si="121"/>
        <v>300x250 Default Web Ad</v>
      </c>
      <c r="G556" t="str">
        <f t="shared" si="122"/>
        <v>310387630</v>
      </c>
      <c r="H556" t="str">
        <f t="shared" si="123"/>
        <v>Display</v>
      </c>
      <c r="I556">
        <f t="shared" si="124"/>
        <v>3772</v>
      </c>
      <c r="J556">
        <f t="shared" si="125"/>
        <v>2</v>
      </c>
      <c r="K556" s="4">
        <f t="shared" ref="K556:K619" si="128">IF(LEFT(B556,3)="DBM",0,VLOOKUP(E556,tabela,2,FALSE))</f>
        <v>3.8199999999999998E-2</v>
      </c>
      <c r="L556">
        <f t="shared" ref="L556:L619" si="129">VLOOKUP(E556,tabela,3,FALSE)</f>
        <v>0.09</v>
      </c>
      <c r="M556" s="4">
        <f t="shared" si="126"/>
        <v>0.14409039999999998</v>
      </c>
      <c r="N556" s="4">
        <f t="shared" si="127"/>
        <v>0.33947999999999995</v>
      </c>
    </row>
    <row r="557" spans="1:14">
      <c r="A557" t="str">
        <f t="shared" si="116"/>
        <v>alp_Man-VWCO</v>
      </c>
      <c r="B557" t="str">
        <f t="shared" si="117"/>
        <v>Google Brasil</v>
      </c>
      <c r="C557" t="str">
        <f t="shared" si="118"/>
        <v>google-brasil|retangulo|300x250|vw_caminhoes|always_on|produto|criativo_90_delivery_10-160|300x250|cpm</v>
      </c>
      <c r="D557" t="str">
        <f t="shared" si="119"/>
        <v>138015880</v>
      </c>
      <c r="E557" t="str">
        <f t="shared" si="120"/>
        <v>Default</v>
      </c>
      <c r="F557" t="str">
        <f t="shared" si="121"/>
        <v>300x250 Default Web Ad</v>
      </c>
      <c r="G557" t="str">
        <f t="shared" si="122"/>
        <v>310387630</v>
      </c>
      <c r="H557" t="str">
        <f t="shared" si="123"/>
        <v>Display</v>
      </c>
      <c r="I557">
        <f t="shared" si="124"/>
        <v>9969</v>
      </c>
      <c r="J557">
        <f t="shared" si="125"/>
        <v>8</v>
      </c>
      <c r="K557" s="4">
        <f t="shared" si="128"/>
        <v>3.8199999999999998E-2</v>
      </c>
      <c r="L557">
        <f t="shared" si="129"/>
        <v>0.09</v>
      </c>
      <c r="M557" s="4">
        <f t="shared" si="126"/>
        <v>0.38081579999999998</v>
      </c>
      <c r="N557" s="4">
        <f t="shared" si="127"/>
        <v>0.89720999999999995</v>
      </c>
    </row>
    <row r="558" spans="1:14">
      <c r="A558" t="str">
        <f t="shared" si="116"/>
        <v>alp_Man-VWCO</v>
      </c>
      <c r="B558" t="str">
        <f t="shared" si="117"/>
        <v>Google Brasil</v>
      </c>
      <c r="C558" t="str">
        <f t="shared" si="118"/>
        <v>google-brasil|retangulo|300x250|vw_caminhoes|always_on|produto|criativo_90_delivery_10-160|300x250|cpm</v>
      </c>
      <c r="D558" t="str">
        <f t="shared" si="119"/>
        <v>138015880</v>
      </c>
      <c r="E558" t="str">
        <f t="shared" si="120"/>
        <v>Default</v>
      </c>
      <c r="F558" t="str">
        <f t="shared" si="121"/>
        <v>300x250 Default Web Ad</v>
      </c>
      <c r="G558" t="str">
        <f t="shared" si="122"/>
        <v>310387630</v>
      </c>
      <c r="H558" t="str">
        <f t="shared" si="123"/>
        <v>Display</v>
      </c>
      <c r="I558">
        <f t="shared" si="124"/>
        <v>7068</v>
      </c>
      <c r="J558">
        <f t="shared" si="125"/>
        <v>6</v>
      </c>
      <c r="K558" s="4">
        <f t="shared" si="128"/>
        <v>3.8199999999999998E-2</v>
      </c>
      <c r="L558">
        <f t="shared" si="129"/>
        <v>0.09</v>
      </c>
      <c r="M558" s="4">
        <f t="shared" si="126"/>
        <v>0.2699976</v>
      </c>
      <c r="N558" s="4">
        <f t="shared" si="127"/>
        <v>0.63612000000000002</v>
      </c>
    </row>
    <row r="559" spans="1:14">
      <c r="A559" t="str">
        <f t="shared" si="116"/>
        <v>alp_Man-VWCO</v>
      </c>
      <c r="B559" t="str">
        <f t="shared" si="117"/>
        <v>Google Brasil</v>
      </c>
      <c r="C559" t="str">
        <f t="shared" si="118"/>
        <v>google-brasil|retangulo|300x250|vw_caminhoes|always_on|produto|criativo_91_delivery_10-160|300x250|cpm</v>
      </c>
      <c r="D559" t="str">
        <f t="shared" si="119"/>
        <v>138015875</v>
      </c>
      <c r="E559" t="str">
        <f t="shared" si="120"/>
        <v>Default</v>
      </c>
      <c r="F559" t="str">
        <f t="shared" si="121"/>
        <v>300x250 Default Web Ad</v>
      </c>
      <c r="G559" t="str">
        <f t="shared" si="122"/>
        <v>310387630</v>
      </c>
      <c r="H559" t="str">
        <f t="shared" si="123"/>
        <v>Display</v>
      </c>
      <c r="I559">
        <f t="shared" si="124"/>
        <v>10057</v>
      </c>
      <c r="J559">
        <f t="shared" si="125"/>
        <v>11</v>
      </c>
      <c r="K559" s="4">
        <f t="shared" si="128"/>
        <v>3.8199999999999998E-2</v>
      </c>
      <c r="L559">
        <f t="shared" si="129"/>
        <v>0.09</v>
      </c>
      <c r="M559" s="4">
        <f t="shared" si="126"/>
        <v>0.3841774</v>
      </c>
      <c r="N559" s="4">
        <f t="shared" si="127"/>
        <v>0.90512999999999999</v>
      </c>
    </row>
    <row r="560" spans="1:14">
      <c r="A560" t="str">
        <f t="shared" si="116"/>
        <v>alp_Man-VWCO</v>
      </c>
      <c r="B560" t="str">
        <f t="shared" si="117"/>
        <v>Google Brasil</v>
      </c>
      <c r="C560" t="str">
        <f t="shared" si="118"/>
        <v>google-brasil|retangulo|300x250|vw_caminhoes|always_on|produto|criativo_91_delivery_10-160|300x250|cpm</v>
      </c>
      <c r="D560" t="str">
        <f t="shared" si="119"/>
        <v>138015875</v>
      </c>
      <c r="E560" t="str">
        <f t="shared" si="120"/>
        <v>Default</v>
      </c>
      <c r="F560" t="str">
        <f t="shared" si="121"/>
        <v>300x250 Default Web Ad</v>
      </c>
      <c r="G560" t="str">
        <f t="shared" si="122"/>
        <v>310387630</v>
      </c>
      <c r="H560" t="str">
        <f t="shared" si="123"/>
        <v>Display</v>
      </c>
      <c r="I560">
        <f t="shared" si="124"/>
        <v>6985</v>
      </c>
      <c r="J560">
        <f t="shared" si="125"/>
        <v>9</v>
      </c>
      <c r="K560" s="4">
        <f t="shared" si="128"/>
        <v>3.8199999999999998E-2</v>
      </c>
      <c r="L560">
        <f t="shared" si="129"/>
        <v>0.09</v>
      </c>
      <c r="M560" s="4">
        <f t="shared" si="126"/>
        <v>0.26682699999999998</v>
      </c>
      <c r="N560" s="4">
        <f t="shared" si="127"/>
        <v>0.62864999999999993</v>
      </c>
    </row>
    <row r="561" spans="1:14">
      <c r="A561" t="str">
        <f t="shared" si="116"/>
        <v>alp_Man-VWCO</v>
      </c>
      <c r="B561" t="str">
        <f t="shared" si="117"/>
        <v>Google Brasil</v>
      </c>
      <c r="C561" t="str">
        <f t="shared" si="118"/>
        <v>google-brasil|retangulo|300x250|vw_caminhoes|always_on|produto|criativo_92_delivery_10-160|300x250|cpm</v>
      </c>
      <c r="D561" t="str">
        <f t="shared" si="119"/>
        <v>138015870</v>
      </c>
      <c r="E561" t="str">
        <f t="shared" si="120"/>
        <v>Default</v>
      </c>
      <c r="F561" t="str">
        <f t="shared" si="121"/>
        <v>300x250 Default Web Ad</v>
      </c>
      <c r="G561" t="str">
        <f t="shared" si="122"/>
        <v>310387630</v>
      </c>
      <c r="H561" t="str">
        <f t="shared" si="123"/>
        <v>Display</v>
      </c>
      <c r="I561">
        <f t="shared" si="124"/>
        <v>10016</v>
      </c>
      <c r="J561">
        <f t="shared" si="125"/>
        <v>4</v>
      </c>
      <c r="K561" s="4">
        <f t="shared" si="128"/>
        <v>3.8199999999999998E-2</v>
      </c>
      <c r="L561">
        <f t="shared" si="129"/>
        <v>0.09</v>
      </c>
      <c r="M561" s="4">
        <f t="shared" si="126"/>
        <v>0.38261119999999998</v>
      </c>
      <c r="N561" s="4">
        <f t="shared" si="127"/>
        <v>0.90143999999999991</v>
      </c>
    </row>
    <row r="562" spans="1:14">
      <c r="A562" t="str">
        <f t="shared" si="116"/>
        <v>alp_Man-VWCO</v>
      </c>
      <c r="B562" t="str">
        <f t="shared" si="117"/>
        <v>Google Brasil</v>
      </c>
      <c r="C562" t="str">
        <f t="shared" si="118"/>
        <v>google-brasil|retangulo|300x250|vw_caminhoes|always_on|produto|criativo_92_delivery_10-160|300x250|cpm</v>
      </c>
      <c r="D562" t="str">
        <f t="shared" si="119"/>
        <v>138015870</v>
      </c>
      <c r="E562" t="str">
        <f t="shared" si="120"/>
        <v>Default</v>
      </c>
      <c r="F562" t="str">
        <f t="shared" si="121"/>
        <v>300x250 Default Web Ad</v>
      </c>
      <c r="G562" t="str">
        <f t="shared" si="122"/>
        <v>310387630</v>
      </c>
      <c r="H562" t="str">
        <f t="shared" si="123"/>
        <v>Display</v>
      </c>
      <c r="I562">
        <f t="shared" si="124"/>
        <v>7079</v>
      </c>
      <c r="J562">
        <f t="shared" si="125"/>
        <v>12</v>
      </c>
      <c r="K562" s="4">
        <f t="shared" si="128"/>
        <v>3.8199999999999998E-2</v>
      </c>
      <c r="L562">
        <f t="shared" si="129"/>
        <v>0.09</v>
      </c>
      <c r="M562" s="4">
        <f t="shared" si="126"/>
        <v>0.27041779999999999</v>
      </c>
      <c r="N562" s="4">
        <f t="shared" si="127"/>
        <v>0.63711000000000007</v>
      </c>
    </row>
    <row r="563" spans="1:14">
      <c r="A563" t="str">
        <f t="shared" si="116"/>
        <v>alp_Man-VWCO</v>
      </c>
      <c r="B563" t="str">
        <f t="shared" si="117"/>
        <v>Google Brasil</v>
      </c>
      <c r="C563" t="str">
        <f t="shared" si="118"/>
        <v>google-brasil|retangulo|300x250|vw_caminhoes|always_on|produto|criativo_93_delivery_10-160|300x250|cpm</v>
      </c>
      <c r="D563" t="str">
        <f t="shared" si="119"/>
        <v>138015865</v>
      </c>
      <c r="E563" t="str">
        <f t="shared" si="120"/>
        <v>Default</v>
      </c>
      <c r="F563" t="str">
        <f t="shared" si="121"/>
        <v>300x250 Default Web Ad</v>
      </c>
      <c r="G563" t="str">
        <f t="shared" si="122"/>
        <v>310387630</v>
      </c>
      <c r="H563" t="str">
        <f t="shared" si="123"/>
        <v>Display</v>
      </c>
      <c r="I563">
        <f t="shared" si="124"/>
        <v>9659</v>
      </c>
      <c r="J563">
        <f t="shared" si="125"/>
        <v>11</v>
      </c>
      <c r="K563" s="4">
        <f t="shared" si="128"/>
        <v>3.8199999999999998E-2</v>
      </c>
      <c r="L563">
        <f t="shared" si="129"/>
        <v>0.09</v>
      </c>
      <c r="M563" s="4">
        <f t="shared" si="126"/>
        <v>0.36897379999999996</v>
      </c>
      <c r="N563" s="4">
        <f t="shared" si="127"/>
        <v>0.86930999999999992</v>
      </c>
    </row>
    <row r="564" spans="1:14">
      <c r="A564" t="str">
        <f t="shared" si="116"/>
        <v>alp_Man-VWCO</v>
      </c>
      <c r="B564" t="str">
        <f t="shared" si="117"/>
        <v>Google Brasil</v>
      </c>
      <c r="C564" t="str">
        <f t="shared" si="118"/>
        <v>google-brasil|retangulo|300x250|vw_caminhoes|always_on|produto|criativo_93_delivery_10-160|300x250|cpm</v>
      </c>
      <c r="D564" t="str">
        <f t="shared" si="119"/>
        <v>138015865</v>
      </c>
      <c r="E564" t="str">
        <f t="shared" si="120"/>
        <v>Default</v>
      </c>
      <c r="F564" t="str">
        <f t="shared" si="121"/>
        <v>300x250 Default Web Ad</v>
      </c>
      <c r="G564" t="str">
        <f t="shared" si="122"/>
        <v>310387630</v>
      </c>
      <c r="H564" t="str">
        <f t="shared" si="123"/>
        <v>Display</v>
      </c>
      <c r="I564">
        <f t="shared" si="124"/>
        <v>6970</v>
      </c>
      <c r="J564">
        <f t="shared" si="125"/>
        <v>13</v>
      </c>
      <c r="K564" s="4">
        <f t="shared" si="128"/>
        <v>3.8199999999999998E-2</v>
      </c>
      <c r="L564">
        <f t="shared" si="129"/>
        <v>0.09</v>
      </c>
      <c r="M564" s="4">
        <f t="shared" si="126"/>
        <v>0.26625399999999994</v>
      </c>
      <c r="N564" s="4">
        <f t="shared" si="127"/>
        <v>0.62729999999999997</v>
      </c>
    </row>
    <row r="565" spans="1:14">
      <c r="A565" t="str">
        <f t="shared" si="116"/>
        <v>alp_Man-VWCO</v>
      </c>
      <c r="B565" t="str">
        <f t="shared" si="117"/>
        <v>Google Brasil</v>
      </c>
      <c r="C565" t="str">
        <f t="shared" si="118"/>
        <v>google-brasil|retangulo|300x250|vw_caminhoes|always_on|vitrine|criativo_01_delivery_10-160|300x250|cpm</v>
      </c>
      <c r="D565" t="str">
        <f t="shared" si="119"/>
        <v>138019020</v>
      </c>
      <c r="E565" t="str">
        <f t="shared" si="120"/>
        <v>Default</v>
      </c>
      <c r="F565" t="str">
        <f t="shared" si="121"/>
        <v>300x250 Default Web Ad</v>
      </c>
      <c r="G565" t="str">
        <f t="shared" si="122"/>
        <v>310387630</v>
      </c>
      <c r="H565" t="str">
        <f t="shared" si="123"/>
        <v>Display</v>
      </c>
      <c r="I565">
        <f t="shared" si="124"/>
        <v>1925</v>
      </c>
      <c r="J565">
        <f t="shared" si="125"/>
        <v>3</v>
      </c>
      <c r="K565" s="4">
        <f t="shared" si="128"/>
        <v>3.8199999999999998E-2</v>
      </c>
      <c r="L565">
        <f t="shared" si="129"/>
        <v>0.09</v>
      </c>
      <c r="M565" s="4">
        <f t="shared" si="126"/>
        <v>7.3535000000000003E-2</v>
      </c>
      <c r="N565" s="4">
        <f t="shared" si="127"/>
        <v>0.17324999999999999</v>
      </c>
    </row>
    <row r="566" spans="1:14">
      <c r="A566" t="str">
        <f t="shared" si="116"/>
        <v>alp_Man-VWCO</v>
      </c>
      <c r="B566" t="str">
        <f t="shared" si="117"/>
        <v>Google Brasil</v>
      </c>
      <c r="C566" t="str">
        <f t="shared" si="118"/>
        <v>google-brasil|retangulo|300x250|vw_caminhoes|always_on|vitrine|criativo_01_delivery_10-160|300x250|cpm</v>
      </c>
      <c r="D566" t="str">
        <f t="shared" si="119"/>
        <v>138019020</v>
      </c>
      <c r="E566" t="str">
        <f t="shared" si="120"/>
        <v>Default</v>
      </c>
      <c r="F566" t="str">
        <f t="shared" si="121"/>
        <v>300x250 Default Web Ad</v>
      </c>
      <c r="G566" t="str">
        <f t="shared" si="122"/>
        <v>310387630</v>
      </c>
      <c r="H566" t="str">
        <f t="shared" si="123"/>
        <v>Display</v>
      </c>
      <c r="I566">
        <f t="shared" si="124"/>
        <v>7506</v>
      </c>
      <c r="J566">
        <f t="shared" si="125"/>
        <v>48</v>
      </c>
      <c r="K566" s="4">
        <f t="shared" si="128"/>
        <v>3.8199999999999998E-2</v>
      </c>
      <c r="L566">
        <f t="shared" si="129"/>
        <v>0.09</v>
      </c>
      <c r="M566" s="4">
        <f t="shared" si="126"/>
        <v>0.28672920000000002</v>
      </c>
      <c r="N566" s="4">
        <f t="shared" si="127"/>
        <v>0.67553999999999992</v>
      </c>
    </row>
    <row r="567" spans="1:14">
      <c r="A567" t="str">
        <f t="shared" si="116"/>
        <v>alp_Man-VWCO</v>
      </c>
      <c r="B567" t="str">
        <f t="shared" si="117"/>
        <v>Google Brasil</v>
      </c>
      <c r="C567" t="str">
        <f t="shared" si="118"/>
        <v>google-brasil|retangulo|300x250|vw_caminhoes|always_on|vitrine|criativo_02_delivery_10-160|300x250|cpm</v>
      </c>
      <c r="D567" t="str">
        <f t="shared" si="119"/>
        <v>138019015</v>
      </c>
      <c r="E567" t="str">
        <f t="shared" si="120"/>
        <v>Default</v>
      </c>
      <c r="F567" t="str">
        <f t="shared" si="121"/>
        <v>300x250 Default Web Ad</v>
      </c>
      <c r="G567" t="str">
        <f t="shared" si="122"/>
        <v>310387630</v>
      </c>
      <c r="H567" t="str">
        <f t="shared" si="123"/>
        <v>Display</v>
      </c>
      <c r="I567">
        <f t="shared" si="124"/>
        <v>1539</v>
      </c>
      <c r="J567">
        <f t="shared" si="125"/>
        <v>6</v>
      </c>
      <c r="K567" s="4">
        <f t="shared" si="128"/>
        <v>3.8199999999999998E-2</v>
      </c>
      <c r="L567">
        <f t="shared" si="129"/>
        <v>0.09</v>
      </c>
      <c r="M567" s="4">
        <f t="shared" si="126"/>
        <v>5.8789799999999996E-2</v>
      </c>
      <c r="N567" s="4">
        <f t="shared" si="127"/>
        <v>0.13850999999999999</v>
      </c>
    </row>
    <row r="568" spans="1:14">
      <c r="A568" t="str">
        <f t="shared" si="116"/>
        <v>alp_Man-VWCO</v>
      </c>
      <c r="B568" t="str">
        <f t="shared" si="117"/>
        <v>Google Brasil</v>
      </c>
      <c r="C568" t="str">
        <f t="shared" si="118"/>
        <v>google-brasil|retangulo|300x250|vw_caminhoes|always_on|vitrine|criativo_02_delivery_10-160|300x250|cpm</v>
      </c>
      <c r="D568" t="str">
        <f t="shared" si="119"/>
        <v>138019015</v>
      </c>
      <c r="E568" t="str">
        <f t="shared" si="120"/>
        <v>Default</v>
      </c>
      <c r="F568" t="str">
        <f t="shared" si="121"/>
        <v>300x250 Default Web Ad</v>
      </c>
      <c r="G568" t="str">
        <f t="shared" si="122"/>
        <v>310387630</v>
      </c>
      <c r="H568" t="str">
        <f t="shared" si="123"/>
        <v>Display</v>
      </c>
      <c r="I568">
        <f t="shared" si="124"/>
        <v>7534</v>
      </c>
      <c r="J568">
        <f t="shared" si="125"/>
        <v>50</v>
      </c>
      <c r="K568" s="4">
        <f t="shared" si="128"/>
        <v>3.8199999999999998E-2</v>
      </c>
      <c r="L568">
        <f t="shared" si="129"/>
        <v>0.09</v>
      </c>
      <c r="M568" s="4">
        <f t="shared" si="126"/>
        <v>0.28779879999999997</v>
      </c>
      <c r="N568" s="4">
        <f t="shared" si="127"/>
        <v>0.67806</v>
      </c>
    </row>
    <row r="569" spans="1:14">
      <c r="A569" t="str">
        <f t="shared" si="116"/>
        <v>alp_Man-VWCO</v>
      </c>
      <c r="B569" t="str">
        <f t="shared" si="117"/>
        <v>Google Brasil</v>
      </c>
      <c r="C569" t="str">
        <f t="shared" si="118"/>
        <v>google-brasil|retangulo|300x250|vw_caminhoes|always_on|vitrine|criativo_03_delivery_10-160|300x250|cpm</v>
      </c>
      <c r="D569" t="str">
        <f t="shared" si="119"/>
        <v>138019010</v>
      </c>
      <c r="E569" t="str">
        <f t="shared" si="120"/>
        <v>Default</v>
      </c>
      <c r="F569" t="str">
        <f t="shared" si="121"/>
        <v>300x250 Default Web Ad</v>
      </c>
      <c r="G569" t="str">
        <f t="shared" si="122"/>
        <v>310387630</v>
      </c>
      <c r="H569" t="str">
        <f t="shared" si="123"/>
        <v>Display</v>
      </c>
      <c r="I569">
        <f t="shared" si="124"/>
        <v>1521</v>
      </c>
      <c r="J569">
        <f t="shared" si="125"/>
        <v>2</v>
      </c>
      <c r="K569" s="4">
        <f t="shared" si="128"/>
        <v>3.8199999999999998E-2</v>
      </c>
      <c r="L569">
        <f t="shared" si="129"/>
        <v>0.09</v>
      </c>
      <c r="M569" s="4">
        <f t="shared" si="126"/>
        <v>5.81022E-2</v>
      </c>
      <c r="N569" s="4">
        <f t="shared" si="127"/>
        <v>0.13688999999999998</v>
      </c>
    </row>
    <row r="570" spans="1:14">
      <c r="A570" t="str">
        <f t="shared" si="116"/>
        <v>alp_Man-VWCO</v>
      </c>
      <c r="B570" t="str">
        <f t="shared" si="117"/>
        <v>Google Brasil</v>
      </c>
      <c r="C570" t="str">
        <f t="shared" si="118"/>
        <v>google-brasil|retangulo|300x250|vw_caminhoes|always_on|vitrine|criativo_03_delivery_10-160|300x250|cpm</v>
      </c>
      <c r="D570" t="str">
        <f t="shared" si="119"/>
        <v>138019010</v>
      </c>
      <c r="E570" t="str">
        <f t="shared" si="120"/>
        <v>Default</v>
      </c>
      <c r="F570" t="str">
        <f t="shared" si="121"/>
        <v>300x250 Default Web Ad</v>
      </c>
      <c r="G570" t="str">
        <f t="shared" si="122"/>
        <v>310387630</v>
      </c>
      <c r="H570" t="str">
        <f t="shared" si="123"/>
        <v>Display</v>
      </c>
      <c r="I570">
        <f t="shared" si="124"/>
        <v>6785</v>
      </c>
      <c r="J570">
        <f t="shared" si="125"/>
        <v>37</v>
      </c>
      <c r="K570" s="4">
        <f t="shared" si="128"/>
        <v>3.8199999999999998E-2</v>
      </c>
      <c r="L570">
        <f t="shared" si="129"/>
        <v>0.09</v>
      </c>
      <c r="M570" s="4">
        <f t="shared" si="126"/>
        <v>0.259187</v>
      </c>
      <c r="N570" s="4">
        <f t="shared" si="127"/>
        <v>0.61065000000000003</v>
      </c>
    </row>
    <row r="571" spans="1:14">
      <c r="A571" t="str">
        <f t="shared" si="116"/>
        <v>alp_Man-VWCO</v>
      </c>
      <c r="B571" t="str">
        <f t="shared" si="117"/>
        <v>Google Brasil</v>
      </c>
      <c r="C571" t="str">
        <f t="shared" si="118"/>
        <v>google-brasil|retangulo|300x250|vw_caminhoes|always_on|vitrine|criativo_04_delivery_10-160|300x250|cpm</v>
      </c>
      <c r="D571" t="str">
        <f t="shared" si="119"/>
        <v>138019005</v>
      </c>
      <c r="E571" t="str">
        <f t="shared" si="120"/>
        <v>Default</v>
      </c>
      <c r="F571" t="str">
        <f t="shared" si="121"/>
        <v>300x250 Default Web Ad</v>
      </c>
      <c r="G571" t="str">
        <f t="shared" si="122"/>
        <v>310387630</v>
      </c>
      <c r="H571" t="str">
        <f t="shared" si="123"/>
        <v>Display</v>
      </c>
      <c r="I571">
        <f t="shared" si="124"/>
        <v>1503</v>
      </c>
      <c r="J571">
        <f t="shared" si="125"/>
        <v>1</v>
      </c>
      <c r="K571" s="4">
        <f t="shared" si="128"/>
        <v>3.8199999999999998E-2</v>
      </c>
      <c r="L571">
        <f t="shared" si="129"/>
        <v>0.09</v>
      </c>
      <c r="M571" s="4">
        <f t="shared" si="126"/>
        <v>5.7414600000000003E-2</v>
      </c>
      <c r="N571" s="4">
        <f t="shared" si="127"/>
        <v>0.13526999999999997</v>
      </c>
    </row>
    <row r="572" spans="1:14">
      <c r="A572" t="str">
        <f t="shared" si="116"/>
        <v>alp_Man-VWCO</v>
      </c>
      <c r="B572" t="str">
        <f t="shared" si="117"/>
        <v>Google Brasil</v>
      </c>
      <c r="C572" t="str">
        <f t="shared" si="118"/>
        <v>google-brasil|retangulo|300x250|vw_caminhoes|always_on|vitrine|criativo_04_delivery_10-160|300x250|cpm</v>
      </c>
      <c r="D572" t="str">
        <f t="shared" si="119"/>
        <v>138019005</v>
      </c>
      <c r="E572" t="str">
        <f t="shared" si="120"/>
        <v>Default</v>
      </c>
      <c r="F572" t="str">
        <f t="shared" si="121"/>
        <v>300x250 Default Web Ad</v>
      </c>
      <c r="G572" t="str">
        <f t="shared" si="122"/>
        <v>310387630</v>
      </c>
      <c r="H572" t="str">
        <f t="shared" si="123"/>
        <v>Display</v>
      </c>
      <c r="I572">
        <f t="shared" si="124"/>
        <v>6758</v>
      </c>
      <c r="J572">
        <f t="shared" si="125"/>
        <v>43</v>
      </c>
      <c r="K572" s="4">
        <f t="shared" si="128"/>
        <v>3.8199999999999998E-2</v>
      </c>
      <c r="L572">
        <f t="shared" si="129"/>
        <v>0.09</v>
      </c>
      <c r="M572" s="4">
        <f t="shared" si="126"/>
        <v>0.25815559999999999</v>
      </c>
      <c r="N572" s="4">
        <f t="shared" si="127"/>
        <v>0.60821999999999998</v>
      </c>
    </row>
    <row r="573" spans="1:14">
      <c r="A573" t="str">
        <f t="shared" si="116"/>
        <v>alp_Man-VWCO</v>
      </c>
      <c r="B573" t="str">
        <f t="shared" si="117"/>
        <v>Google Brasil</v>
      </c>
      <c r="C573" t="str">
        <f t="shared" si="118"/>
        <v>google-brasil|retangulo|300x250|vw_caminhoes|always_on|vitrine|criativo_05_delivery_10-160|300x250|cpm</v>
      </c>
      <c r="D573" t="str">
        <f t="shared" si="119"/>
        <v>138019000</v>
      </c>
      <c r="E573" t="str">
        <f t="shared" si="120"/>
        <v>Default</v>
      </c>
      <c r="F573" t="str">
        <f t="shared" si="121"/>
        <v>300x250 Default Web Ad</v>
      </c>
      <c r="G573" t="str">
        <f t="shared" si="122"/>
        <v>310387630</v>
      </c>
      <c r="H573" t="str">
        <f t="shared" si="123"/>
        <v>Display</v>
      </c>
      <c r="I573">
        <f t="shared" si="124"/>
        <v>1562</v>
      </c>
      <c r="J573">
        <f t="shared" si="125"/>
        <v>3</v>
      </c>
      <c r="K573" s="4">
        <f t="shared" si="128"/>
        <v>3.8199999999999998E-2</v>
      </c>
      <c r="L573">
        <f t="shared" si="129"/>
        <v>0.09</v>
      </c>
      <c r="M573" s="4">
        <f t="shared" si="126"/>
        <v>5.9668399999999996E-2</v>
      </c>
      <c r="N573" s="4">
        <f t="shared" si="127"/>
        <v>0.14057999999999998</v>
      </c>
    </row>
    <row r="574" spans="1:14">
      <c r="A574" t="str">
        <f t="shared" si="116"/>
        <v>alp_Man-VWCO</v>
      </c>
      <c r="B574" t="str">
        <f t="shared" si="117"/>
        <v>Google Brasil</v>
      </c>
      <c r="C574" t="str">
        <f t="shared" si="118"/>
        <v>google-brasil|retangulo|300x250|vw_caminhoes|always_on|vitrine|criativo_05_delivery_10-160|300x250|cpm</v>
      </c>
      <c r="D574" t="str">
        <f t="shared" si="119"/>
        <v>138019000</v>
      </c>
      <c r="E574" t="str">
        <f t="shared" si="120"/>
        <v>Default</v>
      </c>
      <c r="F574" t="str">
        <f t="shared" si="121"/>
        <v>300x250 Default Web Ad</v>
      </c>
      <c r="G574" t="str">
        <f t="shared" si="122"/>
        <v>310387630</v>
      </c>
      <c r="H574" t="str">
        <f t="shared" si="123"/>
        <v>Display</v>
      </c>
      <c r="I574">
        <f t="shared" si="124"/>
        <v>6945</v>
      </c>
      <c r="J574">
        <f t="shared" si="125"/>
        <v>54</v>
      </c>
      <c r="K574" s="4">
        <f t="shared" si="128"/>
        <v>3.8199999999999998E-2</v>
      </c>
      <c r="L574">
        <f t="shared" si="129"/>
        <v>0.09</v>
      </c>
      <c r="M574" s="4">
        <f t="shared" si="126"/>
        <v>0.26529899999999995</v>
      </c>
      <c r="N574" s="4">
        <f t="shared" si="127"/>
        <v>0.62504999999999999</v>
      </c>
    </row>
    <row r="575" spans="1:14">
      <c r="A575" t="str">
        <f t="shared" si="116"/>
        <v>alp_Man-VWCO</v>
      </c>
      <c r="B575" t="str">
        <f t="shared" si="117"/>
        <v>Google Brasil</v>
      </c>
      <c r="C575" t="str">
        <f t="shared" si="118"/>
        <v>google-brasil|retangulo|300x250|vw_caminhoes|always_on|vitrine|criativo_06_delivery_8-160|300x250|cpm</v>
      </c>
      <c r="D575" t="str">
        <f t="shared" si="119"/>
        <v>138018995</v>
      </c>
      <c r="E575" t="str">
        <f t="shared" si="120"/>
        <v>Default</v>
      </c>
      <c r="F575" t="str">
        <f t="shared" si="121"/>
        <v>300x250 Default Web Ad</v>
      </c>
      <c r="G575" t="str">
        <f t="shared" si="122"/>
        <v>310387630</v>
      </c>
      <c r="H575" t="str">
        <f t="shared" si="123"/>
        <v>Display</v>
      </c>
      <c r="I575">
        <f t="shared" si="124"/>
        <v>1660</v>
      </c>
      <c r="J575">
        <f t="shared" si="125"/>
        <v>2</v>
      </c>
      <c r="K575" s="4">
        <f t="shared" si="128"/>
        <v>3.8199999999999998E-2</v>
      </c>
      <c r="L575">
        <f t="shared" si="129"/>
        <v>0.09</v>
      </c>
      <c r="M575" s="4">
        <f t="shared" si="126"/>
        <v>6.3411999999999996E-2</v>
      </c>
      <c r="N575" s="4">
        <f t="shared" si="127"/>
        <v>0.14940000000000001</v>
      </c>
    </row>
    <row r="576" spans="1:14">
      <c r="A576" t="str">
        <f t="shared" si="116"/>
        <v>alp_Man-VWCO</v>
      </c>
      <c r="B576" t="str">
        <f t="shared" si="117"/>
        <v>Google Brasil</v>
      </c>
      <c r="C576" t="str">
        <f t="shared" si="118"/>
        <v>google-brasil|retangulo|300x250|vw_caminhoes|always_on|vitrine|criativo_06_delivery_8-160|300x250|cpm</v>
      </c>
      <c r="D576" t="str">
        <f t="shared" si="119"/>
        <v>138018995</v>
      </c>
      <c r="E576" t="str">
        <f t="shared" si="120"/>
        <v>Default</v>
      </c>
      <c r="F576" t="str">
        <f t="shared" si="121"/>
        <v>300x250 Default Web Ad</v>
      </c>
      <c r="G576" t="str">
        <f t="shared" si="122"/>
        <v>310387630</v>
      </c>
      <c r="H576" t="str">
        <f t="shared" si="123"/>
        <v>Display</v>
      </c>
      <c r="I576">
        <f t="shared" si="124"/>
        <v>6826</v>
      </c>
      <c r="J576">
        <f t="shared" si="125"/>
        <v>37</v>
      </c>
      <c r="K576" s="4">
        <f t="shared" si="128"/>
        <v>3.8199999999999998E-2</v>
      </c>
      <c r="L576">
        <f t="shared" si="129"/>
        <v>0.09</v>
      </c>
      <c r="M576" s="4">
        <f t="shared" si="126"/>
        <v>0.26075320000000002</v>
      </c>
      <c r="N576" s="4">
        <f t="shared" si="127"/>
        <v>0.61434</v>
      </c>
    </row>
    <row r="577" spans="1:14">
      <c r="A577" t="str">
        <f t="shared" si="116"/>
        <v>alp_Man-VWCO</v>
      </c>
      <c r="B577" t="str">
        <f t="shared" si="117"/>
        <v>Google Brasil</v>
      </c>
      <c r="C577" t="str">
        <f t="shared" si="118"/>
        <v>google-brasil|retangulo|300x250|vw_caminhoes|always_on|vitrine|criativo_07_delivery_8-160|300x250|cpm</v>
      </c>
      <c r="D577" t="str">
        <f t="shared" si="119"/>
        <v>138018990</v>
      </c>
      <c r="E577" t="str">
        <f t="shared" si="120"/>
        <v>Default</v>
      </c>
      <c r="F577" t="str">
        <f t="shared" si="121"/>
        <v>300x250 Default Web Ad</v>
      </c>
      <c r="G577" t="str">
        <f t="shared" si="122"/>
        <v>310387630</v>
      </c>
      <c r="H577" t="str">
        <f t="shared" si="123"/>
        <v>Display</v>
      </c>
      <c r="I577">
        <f t="shared" si="124"/>
        <v>1553</v>
      </c>
      <c r="J577">
        <f t="shared" si="125"/>
        <v>0</v>
      </c>
      <c r="K577" s="4">
        <f t="shared" si="128"/>
        <v>3.8199999999999998E-2</v>
      </c>
      <c r="L577">
        <f t="shared" si="129"/>
        <v>0.09</v>
      </c>
      <c r="M577" s="4">
        <f t="shared" si="126"/>
        <v>5.9324599999999998E-2</v>
      </c>
      <c r="N577" s="4">
        <f t="shared" si="127"/>
        <v>0.13976999999999998</v>
      </c>
    </row>
    <row r="578" spans="1:14">
      <c r="A578" t="str">
        <f t="shared" ref="A578:A641" si="130">bd_campaign</f>
        <v>alp_Man-VWCO</v>
      </c>
      <c r="B578" t="str">
        <f t="shared" ref="B578:B641" si="131">bd_site</f>
        <v>Google Brasil</v>
      </c>
      <c r="C578" t="str">
        <f t="shared" ref="C578:C641" si="132">bd_placement</f>
        <v>google-brasil|retangulo|300x250|vw_caminhoes|always_on|vitrine|criativo_07_delivery_8-160|300x250|cpm</v>
      </c>
      <c r="D578" t="str">
        <f t="shared" ref="D578:D641" si="133">bd_placementID</f>
        <v>138018990</v>
      </c>
      <c r="E578" t="str">
        <f t="shared" ref="E578:E641" si="134">VLOOKUP(CONCATENATE(bd_adtype,"_",bd_creativetype),tabela,2,FALSE)</f>
        <v>Default</v>
      </c>
      <c r="F578" t="str">
        <f t="shared" ref="F578:F641" si="135">bd_ad</f>
        <v>300x250 Default Web Ad</v>
      </c>
      <c r="G578" t="str">
        <f t="shared" ref="G578:G641" si="136">bd_adid</f>
        <v>310387630</v>
      </c>
      <c r="H578" t="str">
        <f t="shared" ref="H578:H641" si="137">bd_creativetype</f>
        <v>Display</v>
      </c>
      <c r="I578">
        <f t="shared" ref="I578:I641" si="138">bd_impression</f>
        <v>7150</v>
      </c>
      <c r="J578">
        <f t="shared" ref="J578:J641" si="139">bd_clicks</f>
        <v>29</v>
      </c>
      <c r="K578" s="4">
        <f t="shared" si="128"/>
        <v>3.8199999999999998E-2</v>
      </c>
      <c r="L578">
        <f t="shared" si="129"/>
        <v>0.09</v>
      </c>
      <c r="M578" s="4">
        <f t="shared" si="126"/>
        <v>0.27312999999999998</v>
      </c>
      <c r="N578" s="4">
        <f t="shared" si="127"/>
        <v>0.64349999999999996</v>
      </c>
    </row>
    <row r="579" spans="1:14">
      <c r="A579" t="str">
        <f t="shared" si="130"/>
        <v>alp_Man-VWCO</v>
      </c>
      <c r="B579" t="str">
        <f t="shared" si="131"/>
        <v>Google Brasil</v>
      </c>
      <c r="C579" t="str">
        <f t="shared" si="132"/>
        <v>google-brasil|retangulo|300x250|vw_caminhoes|always_on|vitrine|criativo_08_delivery_8-160|300x250|cpm</v>
      </c>
      <c r="D579" t="str">
        <f t="shared" si="133"/>
        <v>138018985</v>
      </c>
      <c r="E579" t="str">
        <f t="shared" si="134"/>
        <v>Default</v>
      </c>
      <c r="F579" t="str">
        <f t="shared" si="135"/>
        <v>300x250 Default Web Ad</v>
      </c>
      <c r="G579" t="str">
        <f t="shared" si="136"/>
        <v>310387630</v>
      </c>
      <c r="H579" t="str">
        <f t="shared" si="137"/>
        <v>Display</v>
      </c>
      <c r="I579">
        <f t="shared" si="138"/>
        <v>1527</v>
      </c>
      <c r="J579">
        <f t="shared" si="139"/>
        <v>2</v>
      </c>
      <c r="K579" s="4">
        <f t="shared" si="128"/>
        <v>3.8199999999999998E-2</v>
      </c>
      <c r="L579">
        <f t="shared" si="129"/>
        <v>0.09</v>
      </c>
      <c r="M579" s="4">
        <f t="shared" si="126"/>
        <v>5.8331399999999992E-2</v>
      </c>
      <c r="N579" s="4">
        <f t="shared" si="127"/>
        <v>0.13743</v>
      </c>
    </row>
    <row r="580" spans="1:14">
      <c r="A580" t="str">
        <f t="shared" si="130"/>
        <v>alp_Man-VWCO</v>
      </c>
      <c r="B580" t="str">
        <f t="shared" si="131"/>
        <v>Google Brasil</v>
      </c>
      <c r="C580" t="str">
        <f t="shared" si="132"/>
        <v>google-brasil|retangulo|300x250|vw_caminhoes|always_on|vitrine|criativo_08_delivery_8-160|300x250|cpm</v>
      </c>
      <c r="D580" t="str">
        <f t="shared" si="133"/>
        <v>138018985</v>
      </c>
      <c r="E580" t="str">
        <f t="shared" si="134"/>
        <v>Default</v>
      </c>
      <c r="F580" t="str">
        <f t="shared" si="135"/>
        <v>300x250 Default Web Ad</v>
      </c>
      <c r="G580" t="str">
        <f t="shared" si="136"/>
        <v>310387630</v>
      </c>
      <c r="H580" t="str">
        <f t="shared" si="137"/>
        <v>Display</v>
      </c>
      <c r="I580">
        <f t="shared" si="138"/>
        <v>7265</v>
      </c>
      <c r="J580">
        <f t="shared" si="139"/>
        <v>43</v>
      </c>
      <c r="K580" s="4">
        <f t="shared" si="128"/>
        <v>3.8199999999999998E-2</v>
      </c>
      <c r="L580">
        <f t="shared" si="129"/>
        <v>0.09</v>
      </c>
      <c r="M580" s="4">
        <f t="shared" si="126"/>
        <v>0.27752299999999996</v>
      </c>
      <c r="N580" s="4">
        <f t="shared" si="127"/>
        <v>0.65385000000000004</v>
      </c>
    </row>
    <row r="581" spans="1:14">
      <c r="A581" t="str">
        <f t="shared" si="130"/>
        <v>alp_Man-VWCO</v>
      </c>
      <c r="B581" t="str">
        <f t="shared" si="131"/>
        <v>Google Brasil</v>
      </c>
      <c r="C581" t="str">
        <f t="shared" si="132"/>
        <v>google-brasil|retangulo|300x250|vw_caminhoes|always_on|vitrine|criativo_09_delivery_8-160|300x250|cpm</v>
      </c>
      <c r="D581" t="str">
        <f t="shared" si="133"/>
        <v>138018980</v>
      </c>
      <c r="E581" t="str">
        <f t="shared" si="134"/>
        <v>Default</v>
      </c>
      <c r="F581" t="str">
        <f t="shared" si="135"/>
        <v>300x250 Default Web Ad</v>
      </c>
      <c r="G581" t="str">
        <f t="shared" si="136"/>
        <v>310387630</v>
      </c>
      <c r="H581" t="str">
        <f t="shared" si="137"/>
        <v>Display</v>
      </c>
      <c r="I581">
        <f t="shared" si="138"/>
        <v>2064</v>
      </c>
      <c r="J581">
        <f t="shared" si="139"/>
        <v>4</v>
      </c>
      <c r="K581" s="4">
        <f t="shared" si="128"/>
        <v>3.8199999999999998E-2</v>
      </c>
      <c r="L581">
        <f t="shared" si="129"/>
        <v>0.09</v>
      </c>
      <c r="M581" s="4">
        <f t="shared" si="126"/>
        <v>7.8844799999999993E-2</v>
      </c>
      <c r="N581" s="4">
        <f t="shared" si="127"/>
        <v>0.18575999999999998</v>
      </c>
    </row>
    <row r="582" spans="1:14">
      <c r="A582" t="str">
        <f t="shared" si="130"/>
        <v>alp_Man-VWCO</v>
      </c>
      <c r="B582" t="str">
        <f t="shared" si="131"/>
        <v>Google Brasil</v>
      </c>
      <c r="C582" t="str">
        <f t="shared" si="132"/>
        <v>google-brasil|retangulo|300x250|vw_caminhoes|always_on|vitrine|criativo_09_delivery_8-160|300x250|cpm</v>
      </c>
      <c r="D582" t="str">
        <f t="shared" si="133"/>
        <v>138018980</v>
      </c>
      <c r="E582" t="str">
        <f t="shared" si="134"/>
        <v>Default</v>
      </c>
      <c r="F582" t="str">
        <f t="shared" si="135"/>
        <v>300x250 Default Web Ad</v>
      </c>
      <c r="G582" t="str">
        <f t="shared" si="136"/>
        <v>310387630</v>
      </c>
      <c r="H582" t="str">
        <f t="shared" si="137"/>
        <v>Display</v>
      </c>
      <c r="I582">
        <f t="shared" si="138"/>
        <v>8195</v>
      </c>
      <c r="J582">
        <f t="shared" si="139"/>
        <v>61</v>
      </c>
      <c r="K582" s="4">
        <f t="shared" si="128"/>
        <v>3.8199999999999998E-2</v>
      </c>
      <c r="L582">
        <f t="shared" si="129"/>
        <v>0.09</v>
      </c>
      <c r="M582" s="4">
        <f t="shared" si="126"/>
        <v>0.31304899999999997</v>
      </c>
      <c r="N582" s="4">
        <f t="shared" si="127"/>
        <v>0.73754999999999993</v>
      </c>
    </row>
    <row r="583" spans="1:14">
      <c r="A583" t="str">
        <f t="shared" si="130"/>
        <v>alp_Man-VWCO</v>
      </c>
      <c r="B583" t="str">
        <f t="shared" si="131"/>
        <v>Google Brasil</v>
      </c>
      <c r="C583" t="str">
        <f t="shared" si="132"/>
        <v>google-brasil|retangulo|300x250|vw_caminhoes|always_on|vitrine|criativo_10_delivery_8-160|300x250|cpm</v>
      </c>
      <c r="D583" t="str">
        <f t="shared" si="133"/>
        <v>138018975</v>
      </c>
      <c r="E583" t="str">
        <f t="shared" si="134"/>
        <v>Default</v>
      </c>
      <c r="F583" t="str">
        <f t="shared" si="135"/>
        <v>300x250 Default Web Ad</v>
      </c>
      <c r="G583" t="str">
        <f t="shared" si="136"/>
        <v>310387630</v>
      </c>
      <c r="H583" t="str">
        <f t="shared" si="137"/>
        <v>Display</v>
      </c>
      <c r="I583">
        <f t="shared" si="138"/>
        <v>1525</v>
      </c>
      <c r="J583">
        <f t="shared" si="139"/>
        <v>6</v>
      </c>
      <c r="K583" s="4">
        <f t="shared" si="128"/>
        <v>3.8199999999999998E-2</v>
      </c>
      <c r="L583">
        <f t="shared" si="129"/>
        <v>0.09</v>
      </c>
      <c r="M583" s="4">
        <f t="shared" si="126"/>
        <v>5.8254999999999994E-2</v>
      </c>
      <c r="N583" s="4">
        <f t="shared" si="127"/>
        <v>0.13725000000000001</v>
      </c>
    </row>
    <row r="584" spans="1:14">
      <c r="A584" t="str">
        <f t="shared" si="130"/>
        <v>alp_Man-VWCO</v>
      </c>
      <c r="B584" t="str">
        <f t="shared" si="131"/>
        <v>Google Brasil</v>
      </c>
      <c r="C584" t="str">
        <f t="shared" si="132"/>
        <v>google-brasil|retangulo|300x250|vw_caminhoes|always_on|vitrine|criativo_10_delivery_8-160|300x250|cpm</v>
      </c>
      <c r="D584" t="str">
        <f t="shared" si="133"/>
        <v>138018975</v>
      </c>
      <c r="E584" t="str">
        <f t="shared" si="134"/>
        <v>Default</v>
      </c>
      <c r="F584" t="str">
        <f t="shared" si="135"/>
        <v>300x250 Default Web Ad</v>
      </c>
      <c r="G584" t="str">
        <f t="shared" si="136"/>
        <v>310387630</v>
      </c>
      <c r="H584" t="str">
        <f t="shared" si="137"/>
        <v>Display</v>
      </c>
      <c r="I584">
        <f t="shared" si="138"/>
        <v>9137</v>
      </c>
      <c r="J584">
        <f t="shared" si="139"/>
        <v>62</v>
      </c>
      <c r="K584" s="4">
        <f t="shared" si="128"/>
        <v>3.8199999999999998E-2</v>
      </c>
      <c r="L584">
        <f t="shared" si="129"/>
        <v>0.09</v>
      </c>
      <c r="M584" s="4">
        <f t="shared" si="126"/>
        <v>0.34903339999999999</v>
      </c>
      <c r="N584" s="4">
        <f t="shared" si="127"/>
        <v>0.82232999999999989</v>
      </c>
    </row>
    <row r="585" spans="1:14">
      <c r="A585" t="str">
        <f t="shared" si="130"/>
        <v>alp_Man-VWCO</v>
      </c>
      <c r="B585" t="str">
        <f t="shared" si="131"/>
        <v>Google Brasil</v>
      </c>
      <c r="C585" t="str">
        <f t="shared" si="132"/>
        <v>google-brasil|retangulo|300x250|vw_caminhoes|always_on|vitrine|criativo_11_constellation_24-280|300x250|cpm</v>
      </c>
      <c r="D585" t="str">
        <f t="shared" si="133"/>
        <v>138018970</v>
      </c>
      <c r="E585" t="str">
        <f t="shared" si="134"/>
        <v>Default</v>
      </c>
      <c r="F585" t="str">
        <f t="shared" si="135"/>
        <v>300x250 Default Web Ad</v>
      </c>
      <c r="G585" t="str">
        <f t="shared" si="136"/>
        <v>310387630</v>
      </c>
      <c r="H585" t="str">
        <f t="shared" si="137"/>
        <v>Display</v>
      </c>
      <c r="I585">
        <f t="shared" si="138"/>
        <v>2012</v>
      </c>
      <c r="J585">
        <f t="shared" si="139"/>
        <v>9</v>
      </c>
      <c r="K585" s="4">
        <f t="shared" si="128"/>
        <v>3.8199999999999998E-2</v>
      </c>
      <c r="L585">
        <f t="shared" si="129"/>
        <v>0.09</v>
      </c>
      <c r="M585" s="4">
        <f t="shared" si="126"/>
        <v>7.6858399999999993E-2</v>
      </c>
      <c r="N585" s="4">
        <f t="shared" si="127"/>
        <v>0.18107999999999999</v>
      </c>
    </row>
    <row r="586" spans="1:14">
      <c r="A586" t="str">
        <f t="shared" si="130"/>
        <v>alp_Man-VWCO</v>
      </c>
      <c r="B586" t="str">
        <f t="shared" si="131"/>
        <v>Google Brasil</v>
      </c>
      <c r="C586" t="str">
        <f t="shared" si="132"/>
        <v>google-brasil|retangulo|300x250|vw_caminhoes|always_on|vitrine|criativo_11_constellation_24-280|300x250|cpm</v>
      </c>
      <c r="D586" t="str">
        <f t="shared" si="133"/>
        <v>138018970</v>
      </c>
      <c r="E586" t="str">
        <f t="shared" si="134"/>
        <v>Default</v>
      </c>
      <c r="F586" t="str">
        <f t="shared" si="135"/>
        <v>300x250 Default Web Ad</v>
      </c>
      <c r="G586" t="str">
        <f t="shared" si="136"/>
        <v>310387630</v>
      </c>
      <c r="H586" t="str">
        <f t="shared" si="137"/>
        <v>Display</v>
      </c>
      <c r="I586">
        <f t="shared" si="138"/>
        <v>8322</v>
      </c>
      <c r="J586">
        <f t="shared" si="139"/>
        <v>55</v>
      </c>
      <c r="K586" s="4">
        <f t="shared" si="128"/>
        <v>3.8199999999999998E-2</v>
      </c>
      <c r="L586">
        <f t="shared" si="129"/>
        <v>0.09</v>
      </c>
      <c r="M586" s="4">
        <f t="shared" si="126"/>
        <v>0.31790039999999997</v>
      </c>
      <c r="N586" s="4">
        <f t="shared" si="127"/>
        <v>0.74897999999999998</v>
      </c>
    </row>
    <row r="587" spans="1:14">
      <c r="A587" t="str">
        <f t="shared" si="130"/>
        <v>alp_Man-VWCO</v>
      </c>
      <c r="B587" t="str">
        <f t="shared" si="131"/>
        <v>Google Brasil</v>
      </c>
      <c r="C587" t="str">
        <f t="shared" si="132"/>
        <v>google-brasil|retangulo|300x250|vw_caminhoes|always_on|vitrine|criativo_12_constellation_24-280|300x250|cpm</v>
      </c>
      <c r="D587" t="str">
        <f t="shared" si="133"/>
        <v>138018965</v>
      </c>
      <c r="E587" t="str">
        <f t="shared" si="134"/>
        <v>Default</v>
      </c>
      <c r="F587" t="str">
        <f t="shared" si="135"/>
        <v>300x250 Default Web Ad</v>
      </c>
      <c r="G587" t="str">
        <f t="shared" si="136"/>
        <v>310387630</v>
      </c>
      <c r="H587" t="str">
        <f t="shared" si="137"/>
        <v>Display</v>
      </c>
      <c r="I587">
        <f t="shared" si="138"/>
        <v>1530</v>
      </c>
      <c r="J587">
        <f t="shared" si="139"/>
        <v>1</v>
      </c>
      <c r="K587" s="4">
        <f t="shared" si="128"/>
        <v>3.8199999999999998E-2</v>
      </c>
      <c r="L587">
        <f t="shared" si="129"/>
        <v>0.09</v>
      </c>
      <c r="M587" s="4">
        <f t="shared" si="126"/>
        <v>5.8445999999999998E-2</v>
      </c>
      <c r="N587" s="4">
        <f t="shared" si="127"/>
        <v>0.13769999999999999</v>
      </c>
    </row>
    <row r="588" spans="1:14">
      <c r="A588" t="str">
        <f t="shared" si="130"/>
        <v>alp_Man-VWCO</v>
      </c>
      <c r="B588" t="str">
        <f t="shared" si="131"/>
        <v>Google Brasil</v>
      </c>
      <c r="C588" t="str">
        <f t="shared" si="132"/>
        <v>google-brasil|retangulo|300x250|vw_caminhoes|always_on|vitrine|criativo_12_constellation_24-280|300x250|cpm</v>
      </c>
      <c r="D588" t="str">
        <f t="shared" si="133"/>
        <v>138018965</v>
      </c>
      <c r="E588" t="str">
        <f t="shared" si="134"/>
        <v>Default</v>
      </c>
      <c r="F588" t="str">
        <f t="shared" si="135"/>
        <v>300x250 Default Web Ad</v>
      </c>
      <c r="G588" t="str">
        <f t="shared" si="136"/>
        <v>310387630</v>
      </c>
      <c r="H588" t="str">
        <f t="shared" si="137"/>
        <v>Display</v>
      </c>
      <c r="I588">
        <f t="shared" si="138"/>
        <v>7291</v>
      </c>
      <c r="J588">
        <f t="shared" si="139"/>
        <v>42</v>
      </c>
      <c r="K588" s="4">
        <f t="shared" si="128"/>
        <v>3.8199999999999998E-2</v>
      </c>
      <c r="L588">
        <f t="shared" si="129"/>
        <v>0.09</v>
      </c>
      <c r="M588" s="4">
        <f t="shared" si="126"/>
        <v>0.27851619999999999</v>
      </c>
      <c r="N588" s="4">
        <f t="shared" si="127"/>
        <v>0.65618999999999994</v>
      </c>
    </row>
    <row r="589" spans="1:14">
      <c r="A589" t="str">
        <f t="shared" si="130"/>
        <v>alp_Man-VWCO</v>
      </c>
      <c r="B589" t="str">
        <f t="shared" si="131"/>
        <v>Google Brasil</v>
      </c>
      <c r="C589" t="str">
        <f t="shared" si="132"/>
        <v>google-brasil|retangulo|300x250|vw_caminhoes|always_on|vitrine|criativo_13_constellation_24-280|300x250|cpm</v>
      </c>
      <c r="D589" t="str">
        <f t="shared" si="133"/>
        <v>138018960</v>
      </c>
      <c r="E589" t="str">
        <f t="shared" si="134"/>
        <v>Default</v>
      </c>
      <c r="F589" t="str">
        <f t="shared" si="135"/>
        <v>300x250 Default Web Ad</v>
      </c>
      <c r="G589" t="str">
        <f t="shared" si="136"/>
        <v>310387630</v>
      </c>
      <c r="H589" t="str">
        <f t="shared" si="137"/>
        <v>Display</v>
      </c>
      <c r="I589">
        <f t="shared" si="138"/>
        <v>1987</v>
      </c>
      <c r="J589">
        <f t="shared" si="139"/>
        <v>1</v>
      </c>
      <c r="K589" s="4">
        <f t="shared" si="128"/>
        <v>3.8199999999999998E-2</v>
      </c>
      <c r="L589">
        <f t="shared" si="129"/>
        <v>0.09</v>
      </c>
      <c r="M589" s="4">
        <f t="shared" si="126"/>
        <v>7.5903399999999996E-2</v>
      </c>
      <c r="N589" s="4">
        <f t="shared" si="127"/>
        <v>0.17882999999999999</v>
      </c>
    </row>
    <row r="590" spans="1:14">
      <c r="A590" t="str">
        <f t="shared" si="130"/>
        <v>alp_Man-VWCO</v>
      </c>
      <c r="B590" t="str">
        <f t="shared" si="131"/>
        <v>Google Brasil</v>
      </c>
      <c r="C590" t="str">
        <f t="shared" si="132"/>
        <v>google-brasil|retangulo|300x250|vw_caminhoes|always_on|vitrine|criativo_13_constellation_24-280|300x250|cpm</v>
      </c>
      <c r="D590" t="str">
        <f t="shared" si="133"/>
        <v>138018960</v>
      </c>
      <c r="E590" t="str">
        <f t="shared" si="134"/>
        <v>Default</v>
      </c>
      <c r="F590" t="str">
        <f t="shared" si="135"/>
        <v>300x250 Default Web Ad</v>
      </c>
      <c r="G590" t="str">
        <f t="shared" si="136"/>
        <v>310387630</v>
      </c>
      <c r="H590" t="str">
        <f t="shared" si="137"/>
        <v>Display</v>
      </c>
      <c r="I590">
        <f t="shared" si="138"/>
        <v>7594</v>
      </c>
      <c r="J590">
        <f t="shared" si="139"/>
        <v>57</v>
      </c>
      <c r="K590" s="4">
        <f t="shared" si="128"/>
        <v>3.8199999999999998E-2</v>
      </c>
      <c r="L590">
        <f t="shared" si="129"/>
        <v>0.09</v>
      </c>
      <c r="M590" s="4">
        <f t="shared" si="126"/>
        <v>0.29009079999999998</v>
      </c>
      <c r="N590" s="4">
        <f t="shared" si="127"/>
        <v>0.68345999999999996</v>
      </c>
    </row>
    <row r="591" spans="1:14">
      <c r="A591" t="str">
        <f t="shared" si="130"/>
        <v>alp_Man-VWCO</v>
      </c>
      <c r="B591" t="str">
        <f t="shared" si="131"/>
        <v>Google Brasil</v>
      </c>
      <c r="C591" t="str">
        <f t="shared" si="132"/>
        <v>google-brasil|retangulo|300x250|vw_caminhoes|always_on|vitrine|criativo_14_constellation_24-280-v|300x250|cpm</v>
      </c>
      <c r="D591" t="str">
        <f t="shared" si="133"/>
        <v>138018955</v>
      </c>
      <c r="E591" t="str">
        <f t="shared" si="134"/>
        <v>Default</v>
      </c>
      <c r="F591" t="str">
        <f t="shared" si="135"/>
        <v>300x250 Default Web Ad</v>
      </c>
      <c r="G591" t="str">
        <f t="shared" si="136"/>
        <v>310387630</v>
      </c>
      <c r="H591" t="str">
        <f t="shared" si="137"/>
        <v>Display</v>
      </c>
      <c r="I591">
        <f t="shared" si="138"/>
        <v>1933</v>
      </c>
      <c r="J591">
        <f t="shared" si="139"/>
        <v>4</v>
      </c>
      <c r="K591" s="4">
        <f t="shared" si="128"/>
        <v>3.8199999999999998E-2</v>
      </c>
      <c r="L591">
        <f t="shared" si="129"/>
        <v>0.09</v>
      </c>
      <c r="M591" s="4">
        <f t="shared" si="126"/>
        <v>7.3840599999999992E-2</v>
      </c>
      <c r="N591" s="4">
        <f t="shared" si="127"/>
        <v>0.17396999999999999</v>
      </c>
    </row>
    <row r="592" spans="1:14">
      <c r="A592" t="str">
        <f t="shared" si="130"/>
        <v>alp_Man-VWCO</v>
      </c>
      <c r="B592" t="str">
        <f t="shared" si="131"/>
        <v>Google Brasil</v>
      </c>
      <c r="C592" t="str">
        <f t="shared" si="132"/>
        <v>google-brasil|retangulo|300x250|vw_caminhoes|always_on|vitrine|criativo_14_constellation_24-280-v|300x250|cpm</v>
      </c>
      <c r="D592" t="str">
        <f t="shared" si="133"/>
        <v>138018955</v>
      </c>
      <c r="E592" t="str">
        <f t="shared" si="134"/>
        <v>Default</v>
      </c>
      <c r="F592" t="str">
        <f t="shared" si="135"/>
        <v>300x250 Default Web Ad</v>
      </c>
      <c r="G592" t="str">
        <f t="shared" si="136"/>
        <v>310387630</v>
      </c>
      <c r="H592" t="str">
        <f t="shared" si="137"/>
        <v>Display</v>
      </c>
      <c r="I592">
        <f t="shared" si="138"/>
        <v>8014</v>
      </c>
      <c r="J592">
        <f t="shared" si="139"/>
        <v>51</v>
      </c>
      <c r="K592" s="4">
        <f t="shared" si="128"/>
        <v>3.8199999999999998E-2</v>
      </c>
      <c r="L592">
        <f t="shared" si="129"/>
        <v>0.09</v>
      </c>
      <c r="M592" s="4">
        <f t="shared" si="126"/>
        <v>0.30613479999999998</v>
      </c>
      <c r="N592" s="4">
        <f t="shared" si="127"/>
        <v>0.72126000000000001</v>
      </c>
    </row>
    <row r="593" spans="1:14">
      <c r="A593" t="str">
        <f t="shared" si="130"/>
        <v>alp_Man-VWCO</v>
      </c>
      <c r="B593" t="str">
        <f t="shared" si="131"/>
        <v>Google Brasil</v>
      </c>
      <c r="C593" t="str">
        <f t="shared" si="132"/>
        <v>google-brasil|retangulo|300x250|vw_caminhoes|always_on|vitrine|criativo_15_constellation_24-280-8x2|300x250|cpm</v>
      </c>
      <c r="D593" t="str">
        <f t="shared" si="133"/>
        <v>138018950</v>
      </c>
      <c r="E593" t="str">
        <f t="shared" si="134"/>
        <v>Default</v>
      </c>
      <c r="F593" t="str">
        <f t="shared" si="135"/>
        <v>300x250 Default Web Ad</v>
      </c>
      <c r="G593" t="str">
        <f t="shared" si="136"/>
        <v>310387630</v>
      </c>
      <c r="H593" t="str">
        <f t="shared" si="137"/>
        <v>Display</v>
      </c>
      <c r="I593">
        <f t="shared" si="138"/>
        <v>1491</v>
      </c>
      <c r="J593">
        <f t="shared" si="139"/>
        <v>1</v>
      </c>
      <c r="K593" s="4">
        <f t="shared" si="128"/>
        <v>3.8199999999999998E-2</v>
      </c>
      <c r="L593">
        <f t="shared" si="129"/>
        <v>0.09</v>
      </c>
      <c r="M593" s="4">
        <f t="shared" si="126"/>
        <v>5.6956199999999998E-2</v>
      </c>
      <c r="N593" s="4">
        <f t="shared" si="127"/>
        <v>0.13419</v>
      </c>
    </row>
    <row r="594" spans="1:14">
      <c r="A594" t="str">
        <f t="shared" si="130"/>
        <v>alp_Man-VWCO</v>
      </c>
      <c r="B594" t="str">
        <f t="shared" si="131"/>
        <v>Google Brasil</v>
      </c>
      <c r="C594" t="str">
        <f t="shared" si="132"/>
        <v>google-brasil|retangulo|300x250|vw_caminhoes|always_on|vitrine|criativo_15_constellation_24-280-8x2|300x250|cpm</v>
      </c>
      <c r="D594" t="str">
        <f t="shared" si="133"/>
        <v>138018950</v>
      </c>
      <c r="E594" t="str">
        <f t="shared" si="134"/>
        <v>Default</v>
      </c>
      <c r="F594" t="str">
        <f t="shared" si="135"/>
        <v>300x250 Default Web Ad</v>
      </c>
      <c r="G594" t="str">
        <f t="shared" si="136"/>
        <v>310387630</v>
      </c>
      <c r="H594" t="str">
        <f t="shared" si="137"/>
        <v>Display</v>
      </c>
      <c r="I594">
        <f t="shared" si="138"/>
        <v>7376</v>
      </c>
      <c r="J594">
        <f t="shared" si="139"/>
        <v>35</v>
      </c>
      <c r="K594" s="4">
        <f t="shared" si="128"/>
        <v>3.8199999999999998E-2</v>
      </c>
      <c r="L594">
        <f t="shared" si="129"/>
        <v>0.09</v>
      </c>
      <c r="M594" s="4">
        <f t="shared" si="126"/>
        <v>0.28176319999999999</v>
      </c>
      <c r="N594" s="4">
        <f t="shared" si="127"/>
        <v>0.66383999999999999</v>
      </c>
    </row>
    <row r="595" spans="1:14">
      <c r="A595" t="str">
        <f t="shared" si="130"/>
        <v>alp_Man-VWCO</v>
      </c>
      <c r="B595" t="str">
        <f t="shared" si="131"/>
        <v>Google Brasil</v>
      </c>
      <c r="C595" t="str">
        <f t="shared" si="132"/>
        <v>google-brasil|retangulo|300x250|vw_caminhoes|always_on|vitrine|criativo_16_constellation_24-280|300x250|cpm</v>
      </c>
      <c r="D595" t="str">
        <f t="shared" si="133"/>
        <v>138018945</v>
      </c>
      <c r="E595" t="str">
        <f t="shared" si="134"/>
        <v>Default</v>
      </c>
      <c r="F595" t="str">
        <f t="shared" si="135"/>
        <v>300x250 Default Web Ad</v>
      </c>
      <c r="G595" t="str">
        <f t="shared" si="136"/>
        <v>310387630</v>
      </c>
      <c r="H595" t="str">
        <f t="shared" si="137"/>
        <v>Display</v>
      </c>
      <c r="I595">
        <f t="shared" si="138"/>
        <v>1505</v>
      </c>
      <c r="J595">
        <f t="shared" si="139"/>
        <v>2</v>
      </c>
      <c r="K595" s="4">
        <f t="shared" si="128"/>
        <v>3.8199999999999998E-2</v>
      </c>
      <c r="L595">
        <f t="shared" si="129"/>
        <v>0.09</v>
      </c>
      <c r="M595" s="4">
        <f t="shared" si="126"/>
        <v>5.7491E-2</v>
      </c>
      <c r="N595" s="4">
        <f t="shared" si="127"/>
        <v>0.13544999999999999</v>
      </c>
    </row>
    <row r="596" spans="1:14">
      <c r="A596" t="str">
        <f t="shared" si="130"/>
        <v>alp_Man-VWCO</v>
      </c>
      <c r="B596" t="str">
        <f t="shared" si="131"/>
        <v>Google Brasil</v>
      </c>
      <c r="C596" t="str">
        <f t="shared" si="132"/>
        <v>google-brasil|retangulo|300x250|vw_caminhoes|always_on|vitrine|criativo_16_constellation_24-280|300x250|cpm</v>
      </c>
      <c r="D596" t="str">
        <f t="shared" si="133"/>
        <v>138018945</v>
      </c>
      <c r="E596" t="str">
        <f t="shared" si="134"/>
        <v>Default</v>
      </c>
      <c r="F596" t="str">
        <f t="shared" si="135"/>
        <v>300x250 Default Web Ad</v>
      </c>
      <c r="G596" t="str">
        <f t="shared" si="136"/>
        <v>310387630</v>
      </c>
      <c r="H596" t="str">
        <f t="shared" si="137"/>
        <v>Display</v>
      </c>
      <c r="I596">
        <f t="shared" si="138"/>
        <v>7424</v>
      </c>
      <c r="J596">
        <f t="shared" si="139"/>
        <v>59</v>
      </c>
      <c r="K596" s="4">
        <f t="shared" si="128"/>
        <v>3.8199999999999998E-2</v>
      </c>
      <c r="L596">
        <f t="shared" si="129"/>
        <v>0.09</v>
      </c>
      <c r="M596" s="4">
        <f t="shared" si="126"/>
        <v>0.28359679999999998</v>
      </c>
      <c r="N596" s="4">
        <f t="shared" si="127"/>
        <v>0.66815999999999998</v>
      </c>
    </row>
    <row r="597" spans="1:14">
      <c r="A597" t="str">
        <f t="shared" si="130"/>
        <v>alp_Man-VWCO</v>
      </c>
      <c r="B597" t="str">
        <f t="shared" si="131"/>
        <v>Google Brasil</v>
      </c>
      <c r="C597" t="str">
        <f t="shared" si="132"/>
        <v>google-brasil|sky|120x600|man_caminhoes|always_on|institucional|criativo_01|120x600|cpm</v>
      </c>
      <c r="D597" t="str">
        <f t="shared" si="133"/>
        <v>138019087</v>
      </c>
      <c r="E597" t="str">
        <f t="shared" si="134"/>
        <v>Default</v>
      </c>
      <c r="F597" t="str">
        <f t="shared" si="135"/>
        <v>120x600 Default Web Ad</v>
      </c>
      <c r="G597" t="str">
        <f t="shared" si="136"/>
        <v>310387629</v>
      </c>
      <c r="H597" t="str">
        <f t="shared" si="137"/>
        <v>Display</v>
      </c>
      <c r="I597">
        <f t="shared" si="138"/>
        <v>804</v>
      </c>
      <c r="J597">
        <f t="shared" si="139"/>
        <v>0</v>
      </c>
      <c r="K597" s="4">
        <f t="shared" si="128"/>
        <v>3.8199999999999998E-2</v>
      </c>
      <c r="L597">
        <f t="shared" si="129"/>
        <v>0.09</v>
      </c>
      <c r="M597" s="4">
        <f t="shared" si="126"/>
        <v>3.0712799999999998E-2</v>
      </c>
      <c r="N597" s="4">
        <f t="shared" si="127"/>
        <v>7.2359999999999994E-2</v>
      </c>
    </row>
    <row r="598" spans="1:14">
      <c r="A598" t="str">
        <f t="shared" si="130"/>
        <v>alp_Man-VWCO</v>
      </c>
      <c r="B598" t="str">
        <f t="shared" si="131"/>
        <v>Google Brasil</v>
      </c>
      <c r="C598" t="str">
        <f t="shared" si="132"/>
        <v>google-brasil|sky|120x600|man_caminhoes|always_on|institucional|criativo_01|120x600|cpm</v>
      </c>
      <c r="D598" t="str">
        <f t="shared" si="133"/>
        <v>138019087</v>
      </c>
      <c r="E598" t="str">
        <f t="shared" si="134"/>
        <v>Default</v>
      </c>
      <c r="F598" t="str">
        <f t="shared" si="135"/>
        <v>120x600 Default Web Ad</v>
      </c>
      <c r="G598" t="str">
        <f t="shared" si="136"/>
        <v>310387629</v>
      </c>
      <c r="H598" t="str">
        <f t="shared" si="137"/>
        <v>Display</v>
      </c>
      <c r="I598">
        <f t="shared" si="138"/>
        <v>1</v>
      </c>
      <c r="J598">
        <f t="shared" si="139"/>
        <v>0</v>
      </c>
      <c r="K598" s="4">
        <f t="shared" si="128"/>
        <v>3.8199999999999998E-2</v>
      </c>
      <c r="L598">
        <f t="shared" si="129"/>
        <v>0.09</v>
      </c>
      <c r="M598" s="4">
        <f t="shared" si="126"/>
        <v>3.82E-5</v>
      </c>
      <c r="N598" s="4">
        <f t="shared" si="127"/>
        <v>8.9999999999999992E-5</v>
      </c>
    </row>
    <row r="599" spans="1:14">
      <c r="A599" t="str">
        <f t="shared" si="130"/>
        <v>alp_Man-VWCO</v>
      </c>
      <c r="B599" t="str">
        <f t="shared" si="131"/>
        <v>Google Brasil</v>
      </c>
      <c r="C599" t="str">
        <f t="shared" si="132"/>
        <v>google-brasil|sky|120x600|man_caminhoes|always_on|institucional|criativo_02|120x600|cpm</v>
      </c>
      <c r="D599" t="str">
        <f t="shared" si="133"/>
        <v>138019081</v>
      </c>
      <c r="E599" t="str">
        <f t="shared" si="134"/>
        <v>Default</v>
      </c>
      <c r="F599" t="str">
        <f t="shared" si="135"/>
        <v>120x600 Default Web Ad</v>
      </c>
      <c r="G599" t="str">
        <f t="shared" si="136"/>
        <v>310387629</v>
      </c>
      <c r="H599" t="str">
        <f t="shared" si="137"/>
        <v>Display</v>
      </c>
      <c r="I599">
        <f t="shared" si="138"/>
        <v>1040</v>
      </c>
      <c r="J599">
        <f t="shared" si="139"/>
        <v>0</v>
      </c>
      <c r="K599" s="4">
        <f t="shared" si="128"/>
        <v>3.8199999999999998E-2</v>
      </c>
      <c r="L599">
        <f t="shared" si="129"/>
        <v>0.09</v>
      </c>
      <c r="M599" s="4">
        <f t="shared" si="126"/>
        <v>3.9727999999999992E-2</v>
      </c>
      <c r="N599" s="4">
        <f t="shared" si="127"/>
        <v>9.3599999999999989E-2</v>
      </c>
    </row>
    <row r="600" spans="1:14">
      <c r="A600" t="str">
        <f t="shared" si="130"/>
        <v>alp_Man-VWCO</v>
      </c>
      <c r="B600" t="str">
        <f t="shared" si="131"/>
        <v>Google Brasil</v>
      </c>
      <c r="C600" t="str">
        <f t="shared" si="132"/>
        <v>google-brasil|sky|120x600|man_caminhoes|always_on|institucional|criativo_02|120x600|cpm</v>
      </c>
      <c r="D600" t="str">
        <f t="shared" si="133"/>
        <v>138019081</v>
      </c>
      <c r="E600" t="str">
        <f t="shared" si="134"/>
        <v>Default</v>
      </c>
      <c r="F600" t="str">
        <f t="shared" si="135"/>
        <v>120x600 Default Web Ad</v>
      </c>
      <c r="G600" t="str">
        <f t="shared" si="136"/>
        <v>310387629</v>
      </c>
      <c r="H600" t="str">
        <f t="shared" si="137"/>
        <v>Display</v>
      </c>
      <c r="I600">
        <f t="shared" si="138"/>
        <v>1</v>
      </c>
      <c r="J600">
        <f t="shared" si="139"/>
        <v>0</v>
      </c>
      <c r="K600" s="4">
        <f t="shared" si="128"/>
        <v>3.8199999999999998E-2</v>
      </c>
      <c r="L600">
        <f t="shared" si="129"/>
        <v>0.09</v>
      </c>
      <c r="M600" s="4">
        <f t="shared" si="126"/>
        <v>3.82E-5</v>
      </c>
      <c r="N600" s="4">
        <f t="shared" si="127"/>
        <v>8.9999999999999992E-5</v>
      </c>
    </row>
    <row r="601" spans="1:14">
      <c r="A601" t="str">
        <f t="shared" si="130"/>
        <v>alp_Man-VWCO</v>
      </c>
      <c r="B601" t="str">
        <f t="shared" si="131"/>
        <v>Google Brasil</v>
      </c>
      <c r="C601" t="str">
        <f t="shared" si="132"/>
        <v>google-brasil|sky|120x600|man_caminhoes|always_on|institucional|criativo_03|120x600|cpm</v>
      </c>
      <c r="D601" t="str">
        <f t="shared" si="133"/>
        <v>138019076</v>
      </c>
      <c r="E601" t="str">
        <f t="shared" si="134"/>
        <v>Default</v>
      </c>
      <c r="F601" t="str">
        <f t="shared" si="135"/>
        <v>120x600 Default Web Ad</v>
      </c>
      <c r="G601" t="str">
        <f t="shared" si="136"/>
        <v>310387629</v>
      </c>
      <c r="H601" t="str">
        <f t="shared" si="137"/>
        <v>Display</v>
      </c>
      <c r="I601">
        <f t="shared" si="138"/>
        <v>831</v>
      </c>
      <c r="J601">
        <f t="shared" si="139"/>
        <v>0</v>
      </c>
      <c r="K601" s="4">
        <f t="shared" si="128"/>
        <v>3.8199999999999998E-2</v>
      </c>
      <c r="L601">
        <f t="shared" si="129"/>
        <v>0.09</v>
      </c>
      <c r="M601" s="4">
        <f t="shared" si="126"/>
        <v>3.17442E-2</v>
      </c>
      <c r="N601" s="4">
        <f t="shared" si="127"/>
        <v>7.4789999999999995E-2</v>
      </c>
    </row>
    <row r="602" spans="1:14">
      <c r="A602" t="str">
        <f t="shared" si="130"/>
        <v>alp_Man-VWCO</v>
      </c>
      <c r="B602" t="str">
        <f t="shared" si="131"/>
        <v>Google Brasil</v>
      </c>
      <c r="C602" t="str">
        <f t="shared" si="132"/>
        <v>google-brasil|sky|120x600|man_caminhoes|always_on|institucional|criativo_04|120x600|cpm</v>
      </c>
      <c r="D602" t="str">
        <f t="shared" si="133"/>
        <v>138019071</v>
      </c>
      <c r="E602" t="str">
        <f t="shared" si="134"/>
        <v>Default</v>
      </c>
      <c r="F602" t="str">
        <f t="shared" si="135"/>
        <v>120x600 Default Web Ad</v>
      </c>
      <c r="G602" t="str">
        <f t="shared" si="136"/>
        <v>310387629</v>
      </c>
      <c r="H602" t="str">
        <f t="shared" si="137"/>
        <v>Display</v>
      </c>
      <c r="I602">
        <f t="shared" si="138"/>
        <v>886</v>
      </c>
      <c r="J602">
        <f t="shared" si="139"/>
        <v>0</v>
      </c>
      <c r="K602" s="4">
        <f t="shared" si="128"/>
        <v>3.8199999999999998E-2</v>
      </c>
      <c r="L602">
        <f t="shared" si="129"/>
        <v>0.09</v>
      </c>
      <c r="M602" s="4">
        <f t="shared" si="126"/>
        <v>3.3845199999999999E-2</v>
      </c>
      <c r="N602" s="4">
        <f t="shared" si="127"/>
        <v>7.9739999999999991E-2</v>
      </c>
    </row>
    <row r="603" spans="1:14">
      <c r="A603" t="str">
        <f t="shared" si="130"/>
        <v>alp_Man-VWCO</v>
      </c>
      <c r="B603" t="str">
        <f t="shared" si="131"/>
        <v>Google Brasil</v>
      </c>
      <c r="C603" t="str">
        <f t="shared" si="132"/>
        <v>google-brasil|sky|120x600|man_caminhoes|always_on|institucional|criativo_05|120x600|cpm</v>
      </c>
      <c r="D603" t="str">
        <f t="shared" si="133"/>
        <v>138019066</v>
      </c>
      <c r="E603" t="str">
        <f t="shared" si="134"/>
        <v>Default</v>
      </c>
      <c r="F603" t="str">
        <f t="shared" si="135"/>
        <v>120x600 Default Web Ad</v>
      </c>
      <c r="G603" t="str">
        <f t="shared" si="136"/>
        <v>310387629</v>
      </c>
      <c r="H603" t="str">
        <f t="shared" si="137"/>
        <v>Display</v>
      </c>
      <c r="I603">
        <f t="shared" si="138"/>
        <v>793</v>
      </c>
      <c r="J603">
        <f t="shared" si="139"/>
        <v>0</v>
      </c>
      <c r="K603" s="4">
        <f t="shared" si="128"/>
        <v>3.8199999999999998E-2</v>
      </c>
      <c r="L603">
        <f t="shared" si="129"/>
        <v>0.09</v>
      </c>
      <c r="M603" s="4">
        <f t="shared" si="126"/>
        <v>3.0292599999999996E-2</v>
      </c>
      <c r="N603" s="4">
        <f t="shared" si="127"/>
        <v>7.1369999999999989E-2</v>
      </c>
    </row>
    <row r="604" spans="1:14">
      <c r="A604" t="str">
        <f t="shared" si="130"/>
        <v>alp_Man-VWCO</v>
      </c>
      <c r="B604" t="str">
        <f t="shared" si="131"/>
        <v>Google Brasil</v>
      </c>
      <c r="C604" t="str">
        <f t="shared" si="132"/>
        <v>google-brasil|sky|120x600|man_caminhoes|always_on|produto|criativo_11_tgx_29-440|120x600|cpm</v>
      </c>
      <c r="D604" t="str">
        <f t="shared" si="133"/>
        <v>138018381</v>
      </c>
      <c r="E604" t="str">
        <f t="shared" si="134"/>
        <v>Default</v>
      </c>
      <c r="F604" t="str">
        <f t="shared" si="135"/>
        <v>120x600 Default Web Ad</v>
      </c>
      <c r="G604" t="str">
        <f t="shared" si="136"/>
        <v>310387629</v>
      </c>
      <c r="H604" t="str">
        <f t="shared" si="137"/>
        <v>Display</v>
      </c>
      <c r="I604">
        <f t="shared" si="138"/>
        <v>1412</v>
      </c>
      <c r="J604">
        <f t="shared" si="139"/>
        <v>1</v>
      </c>
      <c r="K604" s="4">
        <f t="shared" si="128"/>
        <v>3.8199999999999998E-2</v>
      </c>
      <c r="L604">
        <f t="shared" si="129"/>
        <v>0.09</v>
      </c>
      <c r="M604" s="4">
        <f t="shared" si="126"/>
        <v>5.3938399999999997E-2</v>
      </c>
      <c r="N604" s="4">
        <f t="shared" si="127"/>
        <v>0.12708</v>
      </c>
    </row>
    <row r="605" spans="1:14">
      <c r="A605" t="str">
        <f t="shared" si="130"/>
        <v>alp_Man-VWCO</v>
      </c>
      <c r="B605" t="str">
        <f t="shared" si="131"/>
        <v>Google Brasil</v>
      </c>
      <c r="C605" t="str">
        <f t="shared" si="132"/>
        <v>google-brasil|sky|120x600|man_caminhoes|always_on|produto|criativo_11_tgx_29-440|120x600|cpm</v>
      </c>
      <c r="D605" t="str">
        <f t="shared" si="133"/>
        <v>138018381</v>
      </c>
      <c r="E605" t="str">
        <f t="shared" si="134"/>
        <v>Default</v>
      </c>
      <c r="F605" t="str">
        <f t="shared" si="135"/>
        <v>120x600 Default Web Ad</v>
      </c>
      <c r="G605" t="str">
        <f t="shared" si="136"/>
        <v>310387629</v>
      </c>
      <c r="H605" t="str">
        <f t="shared" si="137"/>
        <v>Display</v>
      </c>
      <c r="I605">
        <f t="shared" si="138"/>
        <v>567</v>
      </c>
      <c r="J605">
        <f t="shared" si="139"/>
        <v>0</v>
      </c>
      <c r="K605" s="4">
        <f t="shared" si="128"/>
        <v>3.8199999999999998E-2</v>
      </c>
      <c r="L605">
        <f t="shared" si="129"/>
        <v>0.09</v>
      </c>
      <c r="M605" s="4">
        <f t="shared" si="126"/>
        <v>2.1659399999999999E-2</v>
      </c>
      <c r="N605" s="4">
        <f t="shared" si="127"/>
        <v>5.1029999999999999E-2</v>
      </c>
    </row>
    <row r="606" spans="1:14">
      <c r="A606" t="str">
        <f t="shared" si="130"/>
        <v>alp_Man-VWCO</v>
      </c>
      <c r="B606" t="str">
        <f t="shared" si="131"/>
        <v>Google Brasil</v>
      </c>
      <c r="C606" t="str">
        <f t="shared" si="132"/>
        <v>google-brasil|sky|120x600|man_caminhoes|always_on|produto|criativo_12_tgx_29-440|120x600|cpm</v>
      </c>
      <c r="D606" t="str">
        <f t="shared" si="133"/>
        <v>138018376</v>
      </c>
      <c r="E606" t="str">
        <f t="shared" si="134"/>
        <v>Default</v>
      </c>
      <c r="F606" t="str">
        <f t="shared" si="135"/>
        <v>120x600 Default Web Ad</v>
      </c>
      <c r="G606" t="str">
        <f t="shared" si="136"/>
        <v>310387629</v>
      </c>
      <c r="H606" t="str">
        <f t="shared" si="137"/>
        <v>Display</v>
      </c>
      <c r="I606">
        <f t="shared" si="138"/>
        <v>1453</v>
      </c>
      <c r="J606">
        <f t="shared" si="139"/>
        <v>0</v>
      </c>
      <c r="K606" s="4">
        <f t="shared" si="128"/>
        <v>3.8199999999999998E-2</v>
      </c>
      <c r="L606">
        <f t="shared" si="129"/>
        <v>0.09</v>
      </c>
      <c r="M606" s="4">
        <f t="shared" si="126"/>
        <v>5.5504599999999994E-2</v>
      </c>
      <c r="N606" s="4">
        <f t="shared" si="127"/>
        <v>0.13076999999999997</v>
      </c>
    </row>
    <row r="607" spans="1:14">
      <c r="A607" t="str">
        <f t="shared" si="130"/>
        <v>alp_Man-VWCO</v>
      </c>
      <c r="B607" t="str">
        <f t="shared" si="131"/>
        <v>Google Brasil</v>
      </c>
      <c r="C607" t="str">
        <f t="shared" si="132"/>
        <v>google-brasil|sky|120x600|man_caminhoes|always_on|produto|criativo_12_tgx_29-440|120x600|cpm</v>
      </c>
      <c r="D607" t="str">
        <f t="shared" si="133"/>
        <v>138018376</v>
      </c>
      <c r="E607" t="str">
        <f t="shared" si="134"/>
        <v>Default</v>
      </c>
      <c r="F607" t="str">
        <f t="shared" si="135"/>
        <v>120x600 Default Web Ad</v>
      </c>
      <c r="G607" t="str">
        <f t="shared" si="136"/>
        <v>310387629</v>
      </c>
      <c r="H607" t="str">
        <f t="shared" si="137"/>
        <v>Display</v>
      </c>
      <c r="I607">
        <f t="shared" si="138"/>
        <v>449</v>
      </c>
      <c r="J607">
        <f t="shared" si="139"/>
        <v>0</v>
      </c>
      <c r="K607" s="4">
        <f t="shared" si="128"/>
        <v>3.8199999999999998E-2</v>
      </c>
      <c r="L607">
        <f t="shared" si="129"/>
        <v>0.09</v>
      </c>
      <c r="M607" s="4">
        <f t="shared" si="126"/>
        <v>1.7151799999999998E-2</v>
      </c>
      <c r="N607" s="4">
        <f t="shared" si="127"/>
        <v>4.0409999999999995E-2</v>
      </c>
    </row>
    <row r="608" spans="1:14">
      <c r="A608" t="str">
        <f t="shared" si="130"/>
        <v>alp_Man-VWCO</v>
      </c>
      <c r="B608" t="str">
        <f t="shared" si="131"/>
        <v>Google Brasil</v>
      </c>
      <c r="C608" t="str">
        <f t="shared" si="132"/>
        <v>google-brasil|sky|120x600|man_caminhoes|always_on|produto|criativo_13_tgx_29-440|120x600|cpm</v>
      </c>
      <c r="D608" t="str">
        <f t="shared" si="133"/>
        <v>138018371</v>
      </c>
      <c r="E608" t="str">
        <f t="shared" si="134"/>
        <v>Default</v>
      </c>
      <c r="F608" t="str">
        <f t="shared" si="135"/>
        <v>120x600 Default Web Ad</v>
      </c>
      <c r="G608" t="str">
        <f t="shared" si="136"/>
        <v>310387629</v>
      </c>
      <c r="H608" t="str">
        <f t="shared" si="137"/>
        <v>Display</v>
      </c>
      <c r="I608">
        <f t="shared" si="138"/>
        <v>1397</v>
      </c>
      <c r="J608">
        <f t="shared" si="139"/>
        <v>0</v>
      </c>
      <c r="K608" s="4">
        <f t="shared" si="128"/>
        <v>3.8199999999999998E-2</v>
      </c>
      <c r="L608">
        <f t="shared" si="129"/>
        <v>0.09</v>
      </c>
      <c r="M608" s="4">
        <f t="shared" si="126"/>
        <v>5.3365399999999993E-2</v>
      </c>
      <c r="N608" s="4">
        <f t="shared" si="127"/>
        <v>0.12572999999999998</v>
      </c>
    </row>
    <row r="609" spans="1:14">
      <c r="A609" t="str">
        <f t="shared" si="130"/>
        <v>alp_Man-VWCO</v>
      </c>
      <c r="B609" t="str">
        <f t="shared" si="131"/>
        <v>Google Brasil</v>
      </c>
      <c r="C609" t="str">
        <f t="shared" si="132"/>
        <v>google-brasil|sky|120x600|man_caminhoes|always_on|produto|criativo_13_tgx_29-440|120x600|cpm</v>
      </c>
      <c r="D609" t="str">
        <f t="shared" si="133"/>
        <v>138018371</v>
      </c>
      <c r="E609" t="str">
        <f t="shared" si="134"/>
        <v>Default</v>
      </c>
      <c r="F609" t="str">
        <f t="shared" si="135"/>
        <v>120x600 Default Web Ad</v>
      </c>
      <c r="G609" t="str">
        <f t="shared" si="136"/>
        <v>310387629</v>
      </c>
      <c r="H609" t="str">
        <f t="shared" si="137"/>
        <v>Display</v>
      </c>
      <c r="I609">
        <f t="shared" si="138"/>
        <v>538</v>
      </c>
      <c r="J609">
        <f t="shared" si="139"/>
        <v>1</v>
      </c>
      <c r="K609" s="4">
        <f t="shared" si="128"/>
        <v>3.8199999999999998E-2</v>
      </c>
      <c r="L609">
        <f t="shared" si="129"/>
        <v>0.09</v>
      </c>
      <c r="M609" s="4">
        <f t="shared" si="126"/>
        <v>2.05516E-2</v>
      </c>
      <c r="N609" s="4">
        <f t="shared" si="127"/>
        <v>4.8420000000000005E-2</v>
      </c>
    </row>
    <row r="610" spans="1:14">
      <c r="A610" t="str">
        <f t="shared" si="130"/>
        <v>alp_Man-VWCO</v>
      </c>
      <c r="B610" t="str">
        <f t="shared" si="131"/>
        <v>Google Brasil</v>
      </c>
      <c r="C610" t="str">
        <f t="shared" si="132"/>
        <v>google-brasil|sky|120x600|man_caminhoes|always_on|produto|criativo_14_tgx_29-440|120x600|cpm</v>
      </c>
      <c r="D610" t="str">
        <f t="shared" si="133"/>
        <v>138018366</v>
      </c>
      <c r="E610" t="str">
        <f t="shared" si="134"/>
        <v>Default</v>
      </c>
      <c r="F610" t="str">
        <f t="shared" si="135"/>
        <v>120x600 Default Web Ad</v>
      </c>
      <c r="G610" t="str">
        <f t="shared" si="136"/>
        <v>310387629</v>
      </c>
      <c r="H610" t="str">
        <f t="shared" si="137"/>
        <v>Display</v>
      </c>
      <c r="I610">
        <f t="shared" si="138"/>
        <v>1338</v>
      </c>
      <c r="J610">
        <f t="shared" si="139"/>
        <v>2</v>
      </c>
      <c r="K610" s="4">
        <f t="shared" si="128"/>
        <v>3.8199999999999998E-2</v>
      </c>
      <c r="L610">
        <f t="shared" si="129"/>
        <v>0.09</v>
      </c>
      <c r="M610" s="4">
        <f t="shared" ref="M610:M673" si="140">IF(E610="Dynamic Click",J610*K610,K610*$I610/1000)</f>
        <v>5.1111599999999993E-2</v>
      </c>
      <c r="N610" s="4">
        <f t="shared" ref="N610:N673" si="141">IF(E610="Dynamic Click",J610*L610,L610*$I610/1000)</f>
        <v>0.12042</v>
      </c>
    </row>
    <row r="611" spans="1:14">
      <c r="A611" t="str">
        <f t="shared" si="130"/>
        <v>alp_Man-VWCO</v>
      </c>
      <c r="B611" t="str">
        <f t="shared" si="131"/>
        <v>Google Brasil</v>
      </c>
      <c r="C611" t="str">
        <f t="shared" si="132"/>
        <v>google-brasil|sky|120x600|man_caminhoes|always_on|produto|criativo_14_tgx_29-440|120x600|cpm</v>
      </c>
      <c r="D611" t="str">
        <f t="shared" si="133"/>
        <v>138018366</v>
      </c>
      <c r="E611" t="str">
        <f t="shared" si="134"/>
        <v>Default</v>
      </c>
      <c r="F611" t="str">
        <f t="shared" si="135"/>
        <v>120x600 Default Web Ad</v>
      </c>
      <c r="G611" t="str">
        <f t="shared" si="136"/>
        <v>310387629</v>
      </c>
      <c r="H611" t="str">
        <f t="shared" si="137"/>
        <v>Display</v>
      </c>
      <c r="I611">
        <f t="shared" si="138"/>
        <v>463</v>
      </c>
      <c r="J611">
        <f t="shared" si="139"/>
        <v>0</v>
      </c>
      <c r="K611" s="4">
        <f t="shared" si="128"/>
        <v>3.8199999999999998E-2</v>
      </c>
      <c r="L611">
        <f t="shared" si="129"/>
        <v>0.09</v>
      </c>
      <c r="M611" s="4">
        <f t="shared" si="140"/>
        <v>1.76866E-2</v>
      </c>
      <c r="N611" s="4">
        <f t="shared" si="141"/>
        <v>4.1669999999999999E-2</v>
      </c>
    </row>
    <row r="612" spans="1:14">
      <c r="A612" t="str">
        <f t="shared" si="130"/>
        <v>alp_Man-VWCO</v>
      </c>
      <c r="B612" t="str">
        <f t="shared" si="131"/>
        <v>Google Brasil</v>
      </c>
      <c r="C612" t="str">
        <f t="shared" si="132"/>
        <v>google-brasil|sky|120x600|man_caminhoes|always_on|produto|criativo_15_tgx_29-440|120x600|cpm</v>
      </c>
      <c r="D612" t="str">
        <f t="shared" si="133"/>
        <v>138018361</v>
      </c>
      <c r="E612" t="str">
        <f t="shared" si="134"/>
        <v>Default</v>
      </c>
      <c r="F612" t="str">
        <f t="shared" si="135"/>
        <v>120x600 Default Web Ad</v>
      </c>
      <c r="G612" t="str">
        <f t="shared" si="136"/>
        <v>310387629</v>
      </c>
      <c r="H612" t="str">
        <f t="shared" si="137"/>
        <v>Display</v>
      </c>
      <c r="I612">
        <f t="shared" si="138"/>
        <v>1445</v>
      </c>
      <c r="J612">
        <f t="shared" si="139"/>
        <v>0</v>
      </c>
      <c r="K612" s="4">
        <f t="shared" si="128"/>
        <v>3.8199999999999998E-2</v>
      </c>
      <c r="L612">
        <f t="shared" si="129"/>
        <v>0.09</v>
      </c>
      <c r="M612" s="4">
        <f t="shared" si="140"/>
        <v>5.5198999999999998E-2</v>
      </c>
      <c r="N612" s="4">
        <f t="shared" si="141"/>
        <v>0.13004999999999997</v>
      </c>
    </row>
    <row r="613" spans="1:14">
      <c r="A613" t="str">
        <f t="shared" si="130"/>
        <v>alp_Man-VWCO</v>
      </c>
      <c r="B613" t="str">
        <f t="shared" si="131"/>
        <v>Google Brasil</v>
      </c>
      <c r="C613" t="str">
        <f t="shared" si="132"/>
        <v>google-brasil|sky|120x600|man_caminhoes|always_on|produto|criativo_15_tgx_29-440|120x600|cpm</v>
      </c>
      <c r="D613" t="str">
        <f t="shared" si="133"/>
        <v>138018361</v>
      </c>
      <c r="E613" t="str">
        <f t="shared" si="134"/>
        <v>Default</v>
      </c>
      <c r="F613" t="str">
        <f t="shared" si="135"/>
        <v>120x600 Default Web Ad</v>
      </c>
      <c r="G613" t="str">
        <f t="shared" si="136"/>
        <v>310387629</v>
      </c>
      <c r="H613" t="str">
        <f t="shared" si="137"/>
        <v>Display</v>
      </c>
      <c r="I613">
        <f t="shared" si="138"/>
        <v>424</v>
      </c>
      <c r="J613">
        <f t="shared" si="139"/>
        <v>1</v>
      </c>
      <c r="K613" s="4">
        <f t="shared" si="128"/>
        <v>3.8199999999999998E-2</v>
      </c>
      <c r="L613">
        <f t="shared" si="129"/>
        <v>0.09</v>
      </c>
      <c r="M613" s="4">
        <f t="shared" si="140"/>
        <v>1.6196800000000001E-2</v>
      </c>
      <c r="N613" s="4">
        <f t="shared" si="141"/>
        <v>3.8159999999999999E-2</v>
      </c>
    </row>
    <row r="614" spans="1:14">
      <c r="A614" t="str">
        <f t="shared" si="130"/>
        <v>alp_Man-VWCO</v>
      </c>
      <c r="B614" t="str">
        <f t="shared" si="131"/>
        <v>Google Brasil</v>
      </c>
      <c r="C614" t="str">
        <f t="shared" si="132"/>
        <v>google-brasil|sky|120x600|man_caminhoes|always_on|produto|criativo_16_tgx_29-440|120x600|cpm</v>
      </c>
      <c r="D614" t="str">
        <f t="shared" si="133"/>
        <v>138018356</v>
      </c>
      <c r="E614" t="str">
        <f t="shared" si="134"/>
        <v>Default</v>
      </c>
      <c r="F614" t="str">
        <f t="shared" si="135"/>
        <v>120x600 Default Web Ad</v>
      </c>
      <c r="G614" t="str">
        <f t="shared" si="136"/>
        <v>310387629</v>
      </c>
      <c r="H614" t="str">
        <f t="shared" si="137"/>
        <v>Display</v>
      </c>
      <c r="I614">
        <f t="shared" si="138"/>
        <v>1427</v>
      </c>
      <c r="J614">
        <f t="shared" si="139"/>
        <v>0</v>
      </c>
      <c r="K614" s="4">
        <f t="shared" si="128"/>
        <v>3.8199999999999998E-2</v>
      </c>
      <c r="L614">
        <f t="shared" si="129"/>
        <v>0.09</v>
      </c>
      <c r="M614" s="4">
        <f t="shared" si="140"/>
        <v>5.4511399999999995E-2</v>
      </c>
      <c r="N614" s="4">
        <f t="shared" si="141"/>
        <v>0.12843000000000002</v>
      </c>
    </row>
    <row r="615" spans="1:14">
      <c r="A615" t="str">
        <f t="shared" si="130"/>
        <v>alp_Man-VWCO</v>
      </c>
      <c r="B615" t="str">
        <f t="shared" si="131"/>
        <v>Google Brasil</v>
      </c>
      <c r="C615" t="str">
        <f t="shared" si="132"/>
        <v>google-brasil|sky|120x600|man_caminhoes|always_on|produto|criativo_16_tgx_29-440|120x600|cpm</v>
      </c>
      <c r="D615" t="str">
        <f t="shared" si="133"/>
        <v>138018356</v>
      </c>
      <c r="E615" t="str">
        <f t="shared" si="134"/>
        <v>Default</v>
      </c>
      <c r="F615" t="str">
        <f t="shared" si="135"/>
        <v>120x600 Default Web Ad</v>
      </c>
      <c r="G615" t="str">
        <f t="shared" si="136"/>
        <v>310387629</v>
      </c>
      <c r="H615" t="str">
        <f t="shared" si="137"/>
        <v>Display</v>
      </c>
      <c r="I615">
        <f t="shared" si="138"/>
        <v>453</v>
      </c>
      <c r="J615">
        <f t="shared" si="139"/>
        <v>0</v>
      </c>
      <c r="K615" s="4">
        <f t="shared" si="128"/>
        <v>3.8199999999999998E-2</v>
      </c>
      <c r="L615">
        <f t="shared" si="129"/>
        <v>0.09</v>
      </c>
      <c r="M615" s="4">
        <f t="shared" si="140"/>
        <v>1.73046E-2</v>
      </c>
      <c r="N615" s="4">
        <f t="shared" si="141"/>
        <v>4.0769999999999994E-2</v>
      </c>
    </row>
    <row r="616" spans="1:14">
      <c r="A616" t="str">
        <f t="shared" si="130"/>
        <v>alp_Man-VWCO</v>
      </c>
      <c r="B616" t="str">
        <f t="shared" si="131"/>
        <v>Google Brasil</v>
      </c>
      <c r="C616" t="str">
        <f t="shared" si="132"/>
        <v>google-brasil|sky|120x600|man_caminhoes|always_on|produto|criativo_17_tgx_29-440|120x600|cpm</v>
      </c>
      <c r="D616" t="str">
        <f t="shared" si="133"/>
        <v>138018351</v>
      </c>
      <c r="E616" t="str">
        <f t="shared" si="134"/>
        <v>Default</v>
      </c>
      <c r="F616" t="str">
        <f t="shared" si="135"/>
        <v>120x600 Default Web Ad</v>
      </c>
      <c r="G616" t="str">
        <f t="shared" si="136"/>
        <v>310387629</v>
      </c>
      <c r="H616" t="str">
        <f t="shared" si="137"/>
        <v>Display</v>
      </c>
      <c r="I616">
        <f t="shared" si="138"/>
        <v>1342</v>
      </c>
      <c r="J616">
        <f t="shared" si="139"/>
        <v>2</v>
      </c>
      <c r="K616" s="4">
        <f t="shared" si="128"/>
        <v>3.8199999999999998E-2</v>
      </c>
      <c r="L616">
        <f t="shared" si="129"/>
        <v>0.09</v>
      </c>
      <c r="M616" s="4">
        <f t="shared" si="140"/>
        <v>5.1264399999999995E-2</v>
      </c>
      <c r="N616" s="4">
        <f t="shared" si="141"/>
        <v>0.12078</v>
      </c>
    </row>
    <row r="617" spans="1:14">
      <c r="A617" t="str">
        <f t="shared" si="130"/>
        <v>alp_Man-VWCO</v>
      </c>
      <c r="B617" t="str">
        <f t="shared" si="131"/>
        <v>Google Brasil</v>
      </c>
      <c r="C617" t="str">
        <f t="shared" si="132"/>
        <v>google-brasil|sky|120x600|man_caminhoes|always_on|produto|criativo_17_tgx_29-440|120x600|cpm</v>
      </c>
      <c r="D617" t="str">
        <f t="shared" si="133"/>
        <v>138018351</v>
      </c>
      <c r="E617" t="str">
        <f t="shared" si="134"/>
        <v>Default</v>
      </c>
      <c r="F617" t="str">
        <f t="shared" si="135"/>
        <v>120x600 Default Web Ad</v>
      </c>
      <c r="G617" t="str">
        <f t="shared" si="136"/>
        <v>310387629</v>
      </c>
      <c r="H617" t="str">
        <f t="shared" si="137"/>
        <v>Display</v>
      </c>
      <c r="I617">
        <f t="shared" si="138"/>
        <v>496</v>
      </c>
      <c r="J617">
        <f t="shared" si="139"/>
        <v>0</v>
      </c>
      <c r="K617" s="4">
        <f t="shared" si="128"/>
        <v>3.8199999999999998E-2</v>
      </c>
      <c r="L617">
        <f t="shared" si="129"/>
        <v>0.09</v>
      </c>
      <c r="M617" s="4">
        <f t="shared" si="140"/>
        <v>1.8947199999999997E-2</v>
      </c>
      <c r="N617" s="4">
        <f t="shared" si="141"/>
        <v>4.4639999999999999E-2</v>
      </c>
    </row>
    <row r="618" spans="1:14">
      <c r="A618" t="str">
        <f t="shared" si="130"/>
        <v>alp_Man-VWCO</v>
      </c>
      <c r="B618" t="str">
        <f t="shared" si="131"/>
        <v>Google Brasil</v>
      </c>
      <c r="C618" t="str">
        <f t="shared" si="132"/>
        <v>google-brasil|sky|120x600|man_caminhoes|always_on|produto|criativo_18_tgx_29-440|120x600|cpm</v>
      </c>
      <c r="D618" t="str">
        <f t="shared" si="133"/>
        <v>138018346</v>
      </c>
      <c r="E618" t="str">
        <f t="shared" si="134"/>
        <v>Default</v>
      </c>
      <c r="F618" t="str">
        <f t="shared" si="135"/>
        <v>120x600 Default Web Ad</v>
      </c>
      <c r="G618" t="str">
        <f t="shared" si="136"/>
        <v>310387629</v>
      </c>
      <c r="H618" t="str">
        <f t="shared" si="137"/>
        <v>Display</v>
      </c>
      <c r="I618">
        <f t="shared" si="138"/>
        <v>1354</v>
      </c>
      <c r="J618">
        <f t="shared" si="139"/>
        <v>1</v>
      </c>
      <c r="K618" s="4">
        <f t="shared" si="128"/>
        <v>3.8199999999999998E-2</v>
      </c>
      <c r="L618">
        <f t="shared" si="129"/>
        <v>0.09</v>
      </c>
      <c r="M618" s="4">
        <f t="shared" si="140"/>
        <v>5.1722799999999999E-2</v>
      </c>
      <c r="N618" s="4">
        <f t="shared" si="141"/>
        <v>0.12186</v>
      </c>
    </row>
    <row r="619" spans="1:14">
      <c r="A619" t="str">
        <f t="shared" si="130"/>
        <v>alp_Man-VWCO</v>
      </c>
      <c r="B619" t="str">
        <f t="shared" si="131"/>
        <v>Google Brasil</v>
      </c>
      <c r="C619" t="str">
        <f t="shared" si="132"/>
        <v>google-brasil|sky|120x600|man_caminhoes|always_on|produto|criativo_18_tgx_29-440|120x600|cpm</v>
      </c>
      <c r="D619" t="str">
        <f t="shared" si="133"/>
        <v>138018346</v>
      </c>
      <c r="E619" t="str">
        <f t="shared" si="134"/>
        <v>Default</v>
      </c>
      <c r="F619" t="str">
        <f t="shared" si="135"/>
        <v>120x600 Default Web Ad</v>
      </c>
      <c r="G619" t="str">
        <f t="shared" si="136"/>
        <v>310387629</v>
      </c>
      <c r="H619" t="str">
        <f t="shared" si="137"/>
        <v>Display</v>
      </c>
      <c r="I619">
        <f t="shared" si="138"/>
        <v>531</v>
      </c>
      <c r="J619">
        <f t="shared" si="139"/>
        <v>0</v>
      </c>
      <c r="K619" s="4">
        <f t="shared" si="128"/>
        <v>3.8199999999999998E-2</v>
      </c>
      <c r="L619">
        <f t="shared" si="129"/>
        <v>0.09</v>
      </c>
      <c r="M619" s="4">
        <f t="shared" si="140"/>
        <v>2.0284199999999999E-2</v>
      </c>
      <c r="N619" s="4">
        <f t="shared" si="141"/>
        <v>4.7789999999999999E-2</v>
      </c>
    </row>
    <row r="620" spans="1:14">
      <c r="A620" t="str">
        <f t="shared" si="130"/>
        <v>alp_Man-VWCO</v>
      </c>
      <c r="B620" t="str">
        <f t="shared" si="131"/>
        <v>Google Brasil</v>
      </c>
      <c r="C620" t="str">
        <f t="shared" si="132"/>
        <v>google-brasil|sky|120x600|man_caminhoes|always_on|produto|criativo_19_tgx_29-480|120x600|cpm</v>
      </c>
      <c r="D620" t="str">
        <f t="shared" si="133"/>
        <v>138018341</v>
      </c>
      <c r="E620" t="str">
        <f t="shared" si="134"/>
        <v>Default</v>
      </c>
      <c r="F620" t="str">
        <f t="shared" si="135"/>
        <v>120x600 Default Web Ad</v>
      </c>
      <c r="G620" t="str">
        <f t="shared" si="136"/>
        <v>310387629</v>
      </c>
      <c r="H620" t="str">
        <f t="shared" si="137"/>
        <v>Display</v>
      </c>
      <c r="I620">
        <f t="shared" si="138"/>
        <v>599</v>
      </c>
      <c r="J620">
        <f t="shared" si="139"/>
        <v>0</v>
      </c>
      <c r="K620" s="4">
        <f t="shared" ref="K620:K683" si="142">IF(LEFT(B620,3)="DBM",0,VLOOKUP(E620,tabela,2,FALSE))</f>
        <v>3.8199999999999998E-2</v>
      </c>
      <c r="L620">
        <f t="shared" ref="L620:L683" si="143">VLOOKUP(E620,tabela,3,FALSE)</f>
        <v>0.09</v>
      </c>
      <c r="M620" s="4">
        <f t="shared" si="140"/>
        <v>2.2881799999999997E-2</v>
      </c>
      <c r="N620" s="4">
        <f t="shared" si="141"/>
        <v>5.391E-2</v>
      </c>
    </row>
    <row r="621" spans="1:14">
      <c r="A621" t="str">
        <f t="shared" si="130"/>
        <v>alp_Man-VWCO</v>
      </c>
      <c r="B621" t="str">
        <f t="shared" si="131"/>
        <v>Google Brasil</v>
      </c>
      <c r="C621" t="str">
        <f t="shared" si="132"/>
        <v>google-brasil|sky|120x600|man_caminhoes|always_on|produto|criativo_20_tgx_29-480|120x600|cpm</v>
      </c>
      <c r="D621" t="str">
        <f t="shared" si="133"/>
        <v>138018336</v>
      </c>
      <c r="E621" t="str">
        <f t="shared" si="134"/>
        <v>Default</v>
      </c>
      <c r="F621" t="str">
        <f t="shared" si="135"/>
        <v>120x600 Default Web Ad</v>
      </c>
      <c r="G621" t="str">
        <f t="shared" si="136"/>
        <v>310387629</v>
      </c>
      <c r="H621" t="str">
        <f t="shared" si="137"/>
        <v>Display</v>
      </c>
      <c r="I621">
        <f t="shared" si="138"/>
        <v>534</v>
      </c>
      <c r="J621">
        <f t="shared" si="139"/>
        <v>0</v>
      </c>
      <c r="K621" s="4">
        <f t="shared" si="142"/>
        <v>3.8199999999999998E-2</v>
      </c>
      <c r="L621">
        <f t="shared" si="143"/>
        <v>0.09</v>
      </c>
      <c r="M621" s="4">
        <f t="shared" si="140"/>
        <v>2.0398799999999998E-2</v>
      </c>
      <c r="N621" s="4">
        <f t="shared" si="141"/>
        <v>4.8059999999999999E-2</v>
      </c>
    </row>
    <row r="622" spans="1:14">
      <c r="A622" t="str">
        <f t="shared" si="130"/>
        <v>alp_Man-VWCO</v>
      </c>
      <c r="B622" t="str">
        <f t="shared" si="131"/>
        <v>Google Brasil</v>
      </c>
      <c r="C622" t="str">
        <f t="shared" si="132"/>
        <v>google-brasil|sky|120x600|man_caminhoes|always_on|produto|criativo_21_tgx_29-480|120x600|cpm</v>
      </c>
      <c r="D622" t="str">
        <f t="shared" si="133"/>
        <v>138018331</v>
      </c>
      <c r="E622" t="str">
        <f t="shared" si="134"/>
        <v>Default</v>
      </c>
      <c r="F622" t="str">
        <f t="shared" si="135"/>
        <v>120x600 Default Web Ad</v>
      </c>
      <c r="G622" t="str">
        <f t="shared" si="136"/>
        <v>310387629</v>
      </c>
      <c r="H622" t="str">
        <f t="shared" si="137"/>
        <v>Display</v>
      </c>
      <c r="I622">
        <f t="shared" si="138"/>
        <v>622</v>
      </c>
      <c r="J622">
        <f t="shared" si="139"/>
        <v>0</v>
      </c>
      <c r="K622" s="4">
        <f t="shared" si="142"/>
        <v>3.8199999999999998E-2</v>
      </c>
      <c r="L622">
        <f t="shared" si="143"/>
        <v>0.09</v>
      </c>
      <c r="M622" s="4">
        <f t="shared" si="140"/>
        <v>2.3760399999999997E-2</v>
      </c>
      <c r="N622" s="4">
        <f t="shared" si="141"/>
        <v>5.5979999999999995E-2</v>
      </c>
    </row>
    <row r="623" spans="1:14">
      <c r="A623" t="str">
        <f t="shared" si="130"/>
        <v>alp_Man-VWCO</v>
      </c>
      <c r="B623" t="str">
        <f t="shared" si="131"/>
        <v>Google Brasil</v>
      </c>
      <c r="C623" t="str">
        <f t="shared" si="132"/>
        <v>google-brasil|sky|120x600|man_caminhoes|always_on|produto|criativo_22_tgx_29-480|120x600|cpm</v>
      </c>
      <c r="D623" t="str">
        <f t="shared" si="133"/>
        <v>138018326</v>
      </c>
      <c r="E623" t="str">
        <f t="shared" si="134"/>
        <v>Default</v>
      </c>
      <c r="F623" t="str">
        <f t="shared" si="135"/>
        <v>120x600 Default Web Ad</v>
      </c>
      <c r="G623" t="str">
        <f t="shared" si="136"/>
        <v>310387629</v>
      </c>
      <c r="H623" t="str">
        <f t="shared" si="137"/>
        <v>Display</v>
      </c>
      <c r="I623">
        <f t="shared" si="138"/>
        <v>580</v>
      </c>
      <c r="J623">
        <f t="shared" si="139"/>
        <v>0</v>
      </c>
      <c r="K623" s="4">
        <f t="shared" si="142"/>
        <v>3.8199999999999998E-2</v>
      </c>
      <c r="L623">
        <f t="shared" si="143"/>
        <v>0.09</v>
      </c>
      <c r="M623" s="4">
        <f t="shared" si="140"/>
        <v>2.2155999999999999E-2</v>
      </c>
      <c r="N623" s="4">
        <f t="shared" si="141"/>
        <v>5.2199999999999996E-2</v>
      </c>
    </row>
    <row r="624" spans="1:14">
      <c r="A624" t="str">
        <f t="shared" si="130"/>
        <v>alp_Man-VWCO</v>
      </c>
      <c r="B624" t="str">
        <f t="shared" si="131"/>
        <v>Google Brasil</v>
      </c>
      <c r="C624" t="str">
        <f t="shared" si="132"/>
        <v>google-brasil|sky|120x600|man_caminhoes|always_on|produto|criativo_23__tgx_29-480|120x600|cpm</v>
      </c>
      <c r="D624" t="str">
        <f t="shared" si="133"/>
        <v>138018321</v>
      </c>
      <c r="E624" t="str">
        <f t="shared" si="134"/>
        <v>Default</v>
      </c>
      <c r="F624" t="str">
        <f t="shared" si="135"/>
        <v>120x600 Default Web Ad</v>
      </c>
      <c r="G624" t="str">
        <f t="shared" si="136"/>
        <v>310387629</v>
      </c>
      <c r="H624" t="str">
        <f t="shared" si="137"/>
        <v>Display</v>
      </c>
      <c r="I624">
        <f t="shared" si="138"/>
        <v>604</v>
      </c>
      <c r="J624">
        <f t="shared" si="139"/>
        <v>1</v>
      </c>
      <c r="K624" s="4">
        <f t="shared" si="142"/>
        <v>3.8199999999999998E-2</v>
      </c>
      <c r="L624">
        <f t="shared" si="143"/>
        <v>0.09</v>
      </c>
      <c r="M624" s="4">
        <f t="shared" si="140"/>
        <v>2.3072799999999997E-2</v>
      </c>
      <c r="N624" s="4">
        <f t="shared" si="141"/>
        <v>5.4359999999999999E-2</v>
      </c>
    </row>
    <row r="625" spans="1:14">
      <c r="A625" t="str">
        <f t="shared" si="130"/>
        <v>alp_Man-VWCO</v>
      </c>
      <c r="B625" t="str">
        <f t="shared" si="131"/>
        <v>Google Brasil</v>
      </c>
      <c r="C625" t="str">
        <f t="shared" si="132"/>
        <v>google-brasil|sky|120x600|man_caminhoes|always_on|produto|criativo_24__tgx_29-480|120x600|cpm</v>
      </c>
      <c r="D625" t="str">
        <f t="shared" si="133"/>
        <v>138018316</v>
      </c>
      <c r="E625" t="str">
        <f t="shared" si="134"/>
        <v>Default</v>
      </c>
      <c r="F625" t="str">
        <f t="shared" si="135"/>
        <v>120x600 Default Web Ad</v>
      </c>
      <c r="G625" t="str">
        <f t="shared" si="136"/>
        <v>310387629</v>
      </c>
      <c r="H625" t="str">
        <f t="shared" si="137"/>
        <v>Display</v>
      </c>
      <c r="I625">
        <f t="shared" si="138"/>
        <v>565</v>
      </c>
      <c r="J625">
        <f t="shared" si="139"/>
        <v>0</v>
      </c>
      <c r="K625" s="4">
        <f t="shared" si="142"/>
        <v>3.8199999999999998E-2</v>
      </c>
      <c r="L625">
        <f t="shared" si="143"/>
        <v>0.09</v>
      </c>
      <c r="M625" s="4">
        <f t="shared" si="140"/>
        <v>2.1582999999999998E-2</v>
      </c>
      <c r="N625" s="4">
        <f t="shared" si="141"/>
        <v>5.0849999999999999E-2</v>
      </c>
    </row>
    <row r="626" spans="1:14">
      <c r="A626" t="str">
        <f t="shared" si="130"/>
        <v>alp_Man-VWCO</v>
      </c>
      <c r="B626" t="str">
        <f t="shared" si="131"/>
        <v>Google Brasil</v>
      </c>
      <c r="C626" t="str">
        <f t="shared" si="132"/>
        <v>google-brasil|sky|120x600|man_caminhoes|always_on|produto|criativo_25_tgx_29-480|120x600|cpm</v>
      </c>
      <c r="D626" t="str">
        <f t="shared" si="133"/>
        <v>138018311</v>
      </c>
      <c r="E626" t="str">
        <f t="shared" si="134"/>
        <v>Default</v>
      </c>
      <c r="F626" t="str">
        <f t="shared" si="135"/>
        <v>120x600 Default Web Ad</v>
      </c>
      <c r="G626" t="str">
        <f t="shared" si="136"/>
        <v>310387629</v>
      </c>
      <c r="H626" t="str">
        <f t="shared" si="137"/>
        <v>Display</v>
      </c>
      <c r="I626">
        <f t="shared" si="138"/>
        <v>540</v>
      </c>
      <c r="J626">
        <f t="shared" si="139"/>
        <v>0</v>
      </c>
      <c r="K626" s="4">
        <f t="shared" si="142"/>
        <v>3.8199999999999998E-2</v>
      </c>
      <c r="L626">
        <f t="shared" si="143"/>
        <v>0.09</v>
      </c>
      <c r="M626" s="4">
        <f t="shared" si="140"/>
        <v>2.0628000000000001E-2</v>
      </c>
      <c r="N626" s="4">
        <f t="shared" si="141"/>
        <v>4.8600000000000004E-2</v>
      </c>
    </row>
    <row r="627" spans="1:14">
      <c r="A627" t="str">
        <f t="shared" si="130"/>
        <v>alp_Man-VWCO</v>
      </c>
      <c r="B627" t="str">
        <f t="shared" si="131"/>
        <v>Google Brasil</v>
      </c>
      <c r="C627" t="str">
        <f t="shared" si="132"/>
        <v>google-brasil|sky|120x600|man_caminhoes|always_on|produto|criativo_26_tgx_29-480|120x600|cpm</v>
      </c>
      <c r="D627" t="str">
        <f t="shared" si="133"/>
        <v>138018306</v>
      </c>
      <c r="E627" t="str">
        <f t="shared" si="134"/>
        <v>Default</v>
      </c>
      <c r="F627" t="str">
        <f t="shared" si="135"/>
        <v>120x600 Default Web Ad</v>
      </c>
      <c r="G627" t="str">
        <f t="shared" si="136"/>
        <v>310387629</v>
      </c>
      <c r="H627" t="str">
        <f t="shared" si="137"/>
        <v>Display</v>
      </c>
      <c r="I627">
        <f t="shared" si="138"/>
        <v>570</v>
      </c>
      <c r="J627">
        <f t="shared" si="139"/>
        <v>0</v>
      </c>
      <c r="K627" s="4">
        <f t="shared" si="142"/>
        <v>3.8199999999999998E-2</v>
      </c>
      <c r="L627">
        <f t="shared" si="143"/>
        <v>0.09</v>
      </c>
      <c r="M627" s="4">
        <f t="shared" si="140"/>
        <v>2.1773999999999998E-2</v>
      </c>
      <c r="N627" s="4">
        <f t="shared" si="141"/>
        <v>5.1299999999999998E-2</v>
      </c>
    </row>
    <row r="628" spans="1:14">
      <c r="A628" t="str">
        <f t="shared" si="130"/>
        <v>alp_Man-VWCO</v>
      </c>
      <c r="B628" t="str">
        <f t="shared" si="131"/>
        <v>Google Brasil</v>
      </c>
      <c r="C628" t="str">
        <f t="shared" si="132"/>
        <v>google-brasil|sky|120x600|man_caminhoes|always_on|produto|criativo_27_tgx_29-480|120x600|cpm</v>
      </c>
      <c r="D628" t="str">
        <f t="shared" si="133"/>
        <v>138018301</v>
      </c>
      <c r="E628" t="str">
        <f t="shared" si="134"/>
        <v>Default</v>
      </c>
      <c r="F628" t="str">
        <f t="shared" si="135"/>
        <v>120x600 Default Web Ad</v>
      </c>
      <c r="G628" t="str">
        <f t="shared" si="136"/>
        <v>310387629</v>
      </c>
      <c r="H628" t="str">
        <f t="shared" si="137"/>
        <v>Display</v>
      </c>
      <c r="I628">
        <f t="shared" si="138"/>
        <v>624</v>
      </c>
      <c r="J628">
        <f t="shared" si="139"/>
        <v>0</v>
      </c>
      <c r="K628" s="4">
        <f t="shared" si="142"/>
        <v>3.8199999999999998E-2</v>
      </c>
      <c r="L628">
        <f t="shared" si="143"/>
        <v>0.09</v>
      </c>
      <c r="M628" s="4">
        <f t="shared" si="140"/>
        <v>2.3836800000000002E-2</v>
      </c>
      <c r="N628" s="4">
        <f t="shared" si="141"/>
        <v>5.6159999999999995E-2</v>
      </c>
    </row>
    <row r="629" spans="1:14">
      <c r="A629" t="str">
        <f t="shared" si="130"/>
        <v>alp_Man-VWCO</v>
      </c>
      <c r="B629" t="str">
        <f t="shared" si="131"/>
        <v>Google Brasil</v>
      </c>
      <c r="C629" t="str">
        <f t="shared" si="132"/>
        <v>google-brasil|sky|120x600|man_caminhoes|always_on|vitrine|criativo_01|120x600|cpm</v>
      </c>
      <c r="D629" t="str">
        <f t="shared" si="133"/>
        <v>138019041</v>
      </c>
      <c r="E629" t="str">
        <f t="shared" si="134"/>
        <v>Default</v>
      </c>
      <c r="F629" t="str">
        <f t="shared" si="135"/>
        <v>120x600 Default Web Ad</v>
      </c>
      <c r="G629" t="str">
        <f t="shared" si="136"/>
        <v>310387629</v>
      </c>
      <c r="H629" t="str">
        <f t="shared" si="137"/>
        <v>Display</v>
      </c>
      <c r="I629">
        <f t="shared" si="138"/>
        <v>3425</v>
      </c>
      <c r="J629">
        <f t="shared" si="139"/>
        <v>1</v>
      </c>
      <c r="K629" s="4">
        <f t="shared" si="142"/>
        <v>3.8199999999999998E-2</v>
      </c>
      <c r="L629">
        <f t="shared" si="143"/>
        <v>0.09</v>
      </c>
      <c r="M629" s="4">
        <f t="shared" si="140"/>
        <v>0.13083499999999998</v>
      </c>
      <c r="N629" s="4">
        <f t="shared" si="141"/>
        <v>0.30825000000000002</v>
      </c>
    </row>
    <row r="630" spans="1:14">
      <c r="A630" t="str">
        <f t="shared" si="130"/>
        <v>alp_Man-VWCO</v>
      </c>
      <c r="B630" t="str">
        <f t="shared" si="131"/>
        <v>Google Brasil</v>
      </c>
      <c r="C630" t="str">
        <f t="shared" si="132"/>
        <v>google-brasil|sky|120x600|man_caminhoes|always_on|vitrine|criativo_01|120x600|cpm</v>
      </c>
      <c r="D630" t="str">
        <f t="shared" si="133"/>
        <v>138019041</v>
      </c>
      <c r="E630" t="str">
        <f t="shared" si="134"/>
        <v>Default</v>
      </c>
      <c r="F630" t="str">
        <f t="shared" si="135"/>
        <v>120x600 Default Web Ad</v>
      </c>
      <c r="G630" t="str">
        <f t="shared" si="136"/>
        <v>310387629</v>
      </c>
      <c r="H630" t="str">
        <f t="shared" si="137"/>
        <v>Display</v>
      </c>
      <c r="I630">
        <f t="shared" si="138"/>
        <v>113</v>
      </c>
      <c r="J630">
        <f t="shared" si="139"/>
        <v>0</v>
      </c>
      <c r="K630" s="4">
        <f t="shared" si="142"/>
        <v>3.8199999999999998E-2</v>
      </c>
      <c r="L630">
        <f t="shared" si="143"/>
        <v>0.09</v>
      </c>
      <c r="M630" s="4">
        <f t="shared" si="140"/>
        <v>4.3165999999999994E-3</v>
      </c>
      <c r="N630" s="4">
        <f t="shared" si="141"/>
        <v>1.017E-2</v>
      </c>
    </row>
    <row r="631" spans="1:14">
      <c r="A631" t="str">
        <f t="shared" si="130"/>
        <v>alp_Man-VWCO</v>
      </c>
      <c r="B631" t="str">
        <f t="shared" si="131"/>
        <v>Google Brasil</v>
      </c>
      <c r="C631" t="str">
        <f t="shared" si="132"/>
        <v>google-brasil|sky|120x600|man_caminhoes|always_on|vitrine|criativo_02|120x600|cpm</v>
      </c>
      <c r="D631" t="str">
        <f t="shared" si="133"/>
        <v>138019036</v>
      </c>
      <c r="E631" t="str">
        <f t="shared" si="134"/>
        <v>Default</v>
      </c>
      <c r="F631" t="str">
        <f t="shared" si="135"/>
        <v>120x600 Default Web Ad</v>
      </c>
      <c r="G631" t="str">
        <f t="shared" si="136"/>
        <v>310387629</v>
      </c>
      <c r="H631" t="str">
        <f t="shared" si="137"/>
        <v>Display</v>
      </c>
      <c r="I631">
        <f t="shared" si="138"/>
        <v>3470</v>
      </c>
      <c r="J631">
        <f t="shared" si="139"/>
        <v>1</v>
      </c>
      <c r="K631" s="4">
        <f t="shared" si="142"/>
        <v>3.8199999999999998E-2</v>
      </c>
      <c r="L631">
        <f t="shared" si="143"/>
        <v>0.09</v>
      </c>
      <c r="M631" s="4">
        <f t="shared" si="140"/>
        <v>0.13255400000000001</v>
      </c>
      <c r="N631" s="4">
        <f t="shared" si="141"/>
        <v>0.31230000000000002</v>
      </c>
    </row>
    <row r="632" spans="1:14">
      <c r="A632" t="str">
        <f t="shared" si="130"/>
        <v>alp_Man-VWCO</v>
      </c>
      <c r="B632" t="str">
        <f t="shared" si="131"/>
        <v>Google Brasil</v>
      </c>
      <c r="C632" t="str">
        <f t="shared" si="132"/>
        <v>google-brasil|sky|120x600|man_caminhoes|always_on|vitrine|criativo_02|120x600|cpm</v>
      </c>
      <c r="D632" t="str">
        <f t="shared" si="133"/>
        <v>138019036</v>
      </c>
      <c r="E632" t="str">
        <f t="shared" si="134"/>
        <v>Default</v>
      </c>
      <c r="F632" t="str">
        <f t="shared" si="135"/>
        <v>120x600 Default Web Ad</v>
      </c>
      <c r="G632" t="str">
        <f t="shared" si="136"/>
        <v>310387629</v>
      </c>
      <c r="H632" t="str">
        <f t="shared" si="137"/>
        <v>Display</v>
      </c>
      <c r="I632">
        <f t="shared" si="138"/>
        <v>142</v>
      </c>
      <c r="J632">
        <f t="shared" si="139"/>
        <v>0</v>
      </c>
      <c r="K632" s="4">
        <f t="shared" si="142"/>
        <v>3.8199999999999998E-2</v>
      </c>
      <c r="L632">
        <f t="shared" si="143"/>
        <v>0.09</v>
      </c>
      <c r="M632" s="4">
        <f t="shared" si="140"/>
        <v>5.4243999999999994E-3</v>
      </c>
      <c r="N632" s="4">
        <f t="shared" si="141"/>
        <v>1.278E-2</v>
      </c>
    </row>
    <row r="633" spans="1:14">
      <c r="A633" t="str">
        <f t="shared" si="130"/>
        <v>alp_Man-VWCO</v>
      </c>
      <c r="B633" t="str">
        <f t="shared" si="131"/>
        <v>Google Brasil</v>
      </c>
      <c r="C633" t="str">
        <f t="shared" si="132"/>
        <v>google-brasil|sky|120x600|man_caminhoes|always_on|vitrine|criativo_03|120x600|cpm</v>
      </c>
      <c r="D633" t="str">
        <f t="shared" si="133"/>
        <v>138019031</v>
      </c>
      <c r="E633" t="str">
        <f t="shared" si="134"/>
        <v>Default</v>
      </c>
      <c r="F633" t="str">
        <f t="shared" si="135"/>
        <v>120x600 Default Web Ad</v>
      </c>
      <c r="G633" t="str">
        <f t="shared" si="136"/>
        <v>310387629</v>
      </c>
      <c r="H633" t="str">
        <f t="shared" si="137"/>
        <v>Display</v>
      </c>
      <c r="I633">
        <f t="shared" si="138"/>
        <v>3600</v>
      </c>
      <c r="J633">
        <f t="shared" si="139"/>
        <v>1</v>
      </c>
      <c r="K633" s="4">
        <f t="shared" si="142"/>
        <v>3.8199999999999998E-2</v>
      </c>
      <c r="L633">
        <f t="shared" si="143"/>
        <v>0.09</v>
      </c>
      <c r="M633" s="4">
        <f t="shared" si="140"/>
        <v>0.13751999999999998</v>
      </c>
      <c r="N633" s="4">
        <f t="shared" si="141"/>
        <v>0.32400000000000001</v>
      </c>
    </row>
    <row r="634" spans="1:14">
      <c r="A634" t="str">
        <f t="shared" si="130"/>
        <v>alp_Man-VWCO</v>
      </c>
      <c r="B634" t="str">
        <f t="shared" si="131"/>
        <v>Google Brasil</v>
      </c>
      <c r="C634" t="str">
        <f t="shared" si="132"/>
        <v>google-brasil|sky|120x600|man_caminhoes|always_on|vitrine|criativo_03|120x600|cpm</v>
      </c>
      <c r="D634" t="str">
        <f t="shared" si="133"/>
        <v>138019031</v>
      </c>
      <c r="E634" t="str">
        <f t="shared" si="134"/>
        <v>Default</v>
      </c>
      <c r="F634" t="str">
        <f t="shared" si="135"/>
        <v>120x600 Default Web Ad</v>
      </c>
      <c r="G634" t="str">
        <f t="shared" si="136"/>
        <v>310387629</v>
      </c>
      <c r="H634" t="str">
        <f t="shared" si="137"/>
        <v>Display</v>
      </c>
      <c r="I634">
        <f t="shared" si="138"/>
        <v>155</v>
      </c>
      <c r="J634">
        <f t="shared" si="139"/>
        <v>0</v>
      </c>
      <c r="K634" s="4">
        <f t="shared" si="142"/>
        <v>3.8199999999999998E-2</v>
      </c>
      <c r="L634">
        <f t="shared" si="143"/>
        <v>0.09</v>
      </c>
      <c r="M634" s="4">
        <f t="shared" si="140"/>
        <v>5.9209999999999992E-3</v>
      </c>
      <c r="N634" s="4">
        <f t="shared" si="141"/>
        <v>1.3949999999999999E-2</v>
      </c>
    </row>
    <row r="635" spans="1:14">
      <c r="A635" t="str">
        <f t="shared" si="130"/>
        <v>alp_Man-VWCO</v>
      </c>
      <c r="B635" t="str">
        <f t="shared" si="131"/>
        <v>Google Brasil</v>
      </c>
      <c r="C635" t="str">
        <f t="shared" si="132"/>
        <v>google-brasil|sky|120x600|man_caminhoes|always_on|vitrine|criativo_04|120x600|cpm</v>
      </c>
      <c r="D635" t="str">
        <f t="shared" si="133"/>
        <v>138019026</v>
      </c>
      <c r="E635" t="str">
        <f t="shared" si="134"/>
        <v>Default</v>
      </c>
      <c r="F635" t="str">
        <f t="shared" si="135"/>
        <v>120x600 Default Web Ad</v>
      </c>
      <c r="G635" t="str">
        <f t="shared" si="136"/>
        <v>310387629</v>
      </c>
      <c r="H635" t="str">
        <f t="shared" si="137"/>
        <v>Display</v>
      </c>
      <c r="I635">
        <f t="shared" si="138"/>
        <v>3340</v>
      </c>
      <c r="J635">
        <f t="shared" si="139"/>
        <v>0</v>
      </c>
      <c r="K635" s="4">
        <f t="shared" si="142"/>
        <v>3.8199999999999998E-2</v>
      </c>
      <c r="L635">
        <f t="shared" si="143"/>
        <v>0.09</v>
      </c>
      <c r="M635" s="4">
        <f t="shared" si="140"/>
        <v>0.12758800000000001</v>
      </c>
      <c r="N635" s="4">
        <f t="shared" si="141"/>
        <v>0.30059999999999998</v>
      </c>
    </row>
    <row r="636" spans="1:14">
      <c r="A636" t="str">
        <f t="shared" si="130"/>
        <v>alp_Man-VWCO</v>
      </c>
      <c r="B636" t="str">
        <f t="shared" si="131"/>
        <v>Google Brasil</v>
      </c>
      <c r="C636" t="str">
        <f t="shared" si="132"/>
        <v>google-brasil|sky|120x600|man_caminhoes|always_on|vitrine|criativo_04|120x600|cpm</v>
      </c>
      <c r="D636" t="str">
        <f t="shared" si="133"/>
        <v>138019026</v>
      </c>
      <c r="E636" t="str">
        <f t="shared" si="134"/>
        <v>Default</v>
      </c>
      <c r="F636" t="str">
        <f t="shared" si="135"/>
        <v>120x600 Default Web Ad</v>
      </c>
      <c r="G636" t="str">
        <f t="shared" si="136"/>
        <v>310387629</v>
      </c>
      <c r="H636" t="str">
        <f t="shared" si="137"/>
        <v>Display</v>
      </c>
      <c r="I636">
        <f t="shared" si="138"/>
        <v>138</v>
      </c>
      <c r="J636">
        <f t="shared" si="139"/>
        <v>0</v>
      </c>
      <c r="K636" s="4">
        <f t="shared" si="142"/>
        <v>3.8199999999999998E-2</v>
      </c>
      <c r="L636">
        <f t="shared" si="143"/>
        <v>0.09</v>
      </c>
      <c r="M636" s="4">
        <f t="shared" si="140"/>
        <v>5.2715999999999996E-3</v>
      </c>
      <c r="N636" s="4">
        <f t="shared" si="141"/>
        <v>1.242E-2</v>
      </c>
    </row>
    <row r="637" spans="1:14">
      <c r="A637" t="str">
        <f t="shared" si="130"/>
        <v>alp_Man-VWCO</v>
      </c>
      <c r="B637" t="str">
        <f t="shared" si="131"/>
        <v>Google Brasil</v>
      </c>
      <c r="C637" t="str">
        <f t="shared" si="132"/>
        <v>google-brasil|sky|120x600|vw_caminhoes|always_on|institucional|criativo_01|120x600|cpm</v>
      </c>
      <c r="D637" t="str">
        <f t="shared" si="133"/>
        <v>138019061</v>
      </c>
      <c r="E637" t="str">
        <f t="shared" si="134"/>
        <v>Default</v>
      </c>
      <c r="F637" t="str">
        <f t="shared" si="135"/>
        <v>120x600 Default Web Ad</v>
      </c>
      <c r="G637" t="str">
        <f t="shared" si="136"/>
        <v>310387629</v>
      </c>
      <c r="H637" t="str">
        <f t="shared" si="137"/>
        <v>Display</v>
      </c>
      <c r="I637">
        <f t="shared" si="138"/>
        <v>859</v>
      </c>
      <c r="J637">
        <f t="shared" si="139"/>
        <v>0</v>
      </c>
      <c r="K637" s="4">
        <f t="shared" si="142"/>
        <v>3.8199999999999998E-2</v>
      </c>
      <c r="L637">
        <f t="shared" si="143"/>
        <v>0.09</v>
      </c>
      <c r="M637" s="4">
        <f t="shared" si="140"/>
        <v>3.2813799999999997E-2</v>
      </c>
      <c r="N637" s="4">
        <f t="shared" si="141"/>
        <v>7.7310000000000004E-2</v>
      </c>
    </row>
    <row r="638" spans="1:14">
      <c r="A638" t="str">
        <f t="shared" si="130"/>
        <v>alp_Man-VWCO</v>
      </c>
      <c r="B638" t="str">
        <f t="shared" si="131"/>
        <v>Google Brasil</v>
      </c>
      <c r="C638" t="str">
        <f t="shared" si="132"/>
        <v>google-brasil|sky|120x600|vw_caminhoes|always_on|institucional|criativo_02|120x600|cpm</v>
      </c>
      <c r="D638" t="str">
        <f t="shared" si="133"/>
        <v>138019056</v>
      </c>
      <c r="E638" t="str">
        <f t="shared" si="134"/>
        <v>Default</v>
      </c>
      <c r="F638" t="str">
        <f t="shared" si="135"/>
        <v>120x600 Default Web Ad</v>
      </c>
      <c r="G638" t="str">
        <f t="shared" si="136"/>
        <v>310387629</v>
      </c>
      <c r="H638" t="str">
        <f t="shared" si="137"/>
        <v>Display</v>
      </c>
      <c r="I638">
        <f t="shared" si="138"/>
        <v>900</v>
      </c>
      <c r="J638">
        <f t="shared" si="139"/>
        <v>0</v>
      </c>
      <c r="K638" s="4">
        <f t="shared" si="142"/>
        <v>3.8199999999999998E-2</v>
      </c>
      <c r="L638">
        <f t="shared" si="143"/>
        <v>0.09</v>
      </c>
      <c r="M638" s="4">
        <f t="shared" si="140"/>
        <v>3.4379999999999994E-2</v>
      </c>
      <c r="N638" s="4">
        <f t="shared" si="141"/>
        <v>8.1000000000000003E-2</v>
      </c>
    </row>
    <row r="639" spans="1:14">
      <c r="A639" t="str">
        <f t="shared" si="130"/>
        <v>alp_Man-VWCO</v>
      </c>
      <c r="B639" t="str">
        <f t="shared" si="131"/>
        <v>Google Brasil</v>
      </c>
      <c r="C639" t="str">
        <f t="shared" si="132"/>
        <v>google-brasil|sky|120x600|vw_caminhoes|always_on|institucional|criativo_02|120x600|cpm</v>
      </c>
      <c r="D639" t="str">
        <f t="shared" si="133"/>
        <v>138019056</v>
      </c>
      <c r="E639" t="str">
        <f t="shared" si="134"/>
        <v>Default</v>
      </c>
      <c r="F639" t="str">
        <f t="shared" si="135"/>
        <v>120x600 Default Web Ad</v>
      </c>
      <c r="G639" t="str">
        <f t="shared" si="136"/>
        <v>310387629</v>
      </c>
      <c r="H639" t="str">
        <f t="shared" si="137"/>
        <v>Display</v>
      </c>
      <c r="I639">
        <f t="shared" si="138"/>
        <v>1</v>
      </c>
      <c r="J639">
        <f t="shared" si="139"/>
        <v>0</v>
      </c>
      <c r="K639" s="4">
        <f t="shared" si="142"/>
        <v>3.8199999999999998E-2</v>
      </c>
      <c r="L639">
        <f t="shared" si="143"/>
        <v>0.09</v>
      </c>
      <c r="M639" s="4">
        <f t="shared" si="140"/>
        <v>3.82E-5</v>
      </c>
      <c r="N639" s="4">
        <f t="shared" si="141"/>
        <v>8.9999999999999992E-5</v>
      </c>
    </row>
    <row r="640" spans="1:14">
      <c r="A640" t="str">
        <f t="shared" si="130"/>
        <v>alp_Man-VWCO</v>
      </c>
      <c r="B640" t="str">
        <f t="shared" si="131"/>
        <v>Google Brasil</v>
      </c>
      <c r="C640" t="str">
        <f t="shared" si="132"/>
        <v>google-brasil|sky|120x600|vw_caminhoes|always_on|institucional|criativo_03|120x600|cpm</v>
      </c>
      <c r="D640" t="str">
        <f t="shared" si="133"/>
        <v>138019051</v>
      </c>
      <c r="E640" t="str">
        <f t="shared" si="134"/>
        <v>Default</v>
      </c>
      <c r="F640" t="str">
        <f t="shared" si="135"/>
        <v>120x600 Default Web Ad</v>
      </c>
      <c r="G640" t="str">
        <f t="shared" si="136"/>
        <v>310387629</v>
      </c>
      <c r="H640" t="str">
        <f t="shared" si="137"/>
        <v>Display</v>
      </c>
      <c r="I640">
        <f t="shared" si="138"/>
        <v>840</v>
      </c>
      <c r="J640">
        <f t="shared" si="139"/>
        <v>1</v>
      </c>
      <c r="K640" s="4">
        <f t="shared" si="142"/>
        <v>3.8199999999999998E-2</v>
      </c>
      <c r="L640">
        <f t="shared" si="143"/>
        <v>0.09</v>
      </c>
      <c r="M640" s="4">
        <f t="shared" si="140"/>
        <v>3.2087999999999998E-2</v>
      </c>
      <c r="N640" s="4">
        <f t="shared" si="141"/>
        <v>7.5600000000000001E-2</v>
      </c>
    </row>
    <row r="641" spans="1:14">
      <c r="A641" t="str">
        <f t="shared" si="130"/>
        <v>alp_Man-VWCO</v>
      </c>
      <c r="B641" t="str">
        <f t="shared" si="131"/>
        <v>Google Brasil</v>
      </c>
      <c r="C641" t="str">
        <f t="shared" si="132"/>
        <v>google-brasil|sky|120x600|vw_caminhoes|always_on|institucional|criativo_03|120x600|cpm</v>
      </c>
      <c r="D641" t="str">
        <f t="shared" si="133"/>
        <v>138019051</v>
      </c>
      <c r="E641" t="str">
        <f t="shared" si="134"/>
        <v>Default</v>
      </c>
      <c r="F641" t="str">
        <f t="shared" si="135"/>
        <v>120x600 Default Web Ad</v>
      </c>
      <c r="G641" t="str">
        <f t="shared" si="136"/>
        <v>310387629</v>
      </c>
      <c r="H641" t="str">
        <f t="shared" si="137"/>
        <v>Display</v>
      </c>
      <c r="I641">
        <f t="shared" si="138"/>
        <v>1</v>
      </c>
      <c r="J641">
        <f t="shared" si="139"/>
        <v>0</v>
      </c>
      <c r="K641" s="4">
        <f t="shared" si="142"/>
        <v>3.8199999999999998E-2</v>
      </c>
      <c r="L641">
        <f t="shared" si="143"/>
        <v>0.09</v>
      </c>
      <c r="M641" s="4">
        <f t="shared" si="140"/>
        <v>3.82E-5</v>
      </c>
      <c r="N641" s="4">
        <f t="shared" si="141"/>
        <v>8.9999999999999992E-5</v>
      </c>
    </row>
    <row r="642" spans="1:14">
      <c r="A642" t="str">
        <f t="shared" ref="A642:A705" si="144">bd_campaign</f>
        <v>alp_Man-VWCO</v>
      </c>
      <c r="B642" t="str">
        <f t="shared" ref="B642:B705" si="145">bd_site</f>
        <v>Google Brasil</v>
      </c>
      <c r="C642" t="str">
        <f t="shared" ref="C642:C705" si="146">bd_placement</f>
        <v>google-brasil|sky|120x600|vw_caminhoes|always_on|institucional|criativo_04|120x600|cpm</v>
      </c>
      <c r="D642" t="str">
        <f t="shared" ref="D642:D705" si="147">bd_placementID</f>
        <v>138019046</v>
      </c>
      <c r="E642" t="str">
        <f t="shared" ref="E642:E705" si="148">VLOOKUP(CONCATENATE(bd_adtype,"_",bd_creativetype),tabela,2,FALSE)</f>
        <v>Default</v>
      </c>
      <c r="F642" t="str">
        <f t="shared" ref="F642:F705" si="149">bd_ad</f>
        <v>120x600 Default Web Ad</v>
      </c>
      <c r="G642" t="str">
        <f t="shared" ref="G642:G705" si="150">bd_adid</f>
        <v>310387629</v>
      </c>
      <c r="H642" t="str">
        <f t="shared" ref="H642:H705" si="151">bd_creativetype</f>
        <v>Display</v>
      </c>
      <c r="I642">
        <f t="shared" ref="I642:I705" si="152">bd_impression</f>
        <v>911</v>
      </c>
      <c r="J642">
        <f t="shared" ref="J642:J705" si="153">bd_clicks</f>
        <v>0</v>
      </c>
      <c r="K642" s="4">
        <f t="shared" si="142"/>
        <v>3.8199999999999998E-2</v>
      </c>
      <c r="L642">
        <f t="shared" si="143"/>
        <v>0.09</v>
      </c>
      <c r="M642" s="4">
        <f t="shared" si="140"/>
        <v>3.4800199999999996E-2</v>
      </c>
      <c r="N642" s="4">
        <f t="shared" si="141"/>
        <v>8.1989999999999993E-2</v>
      </c>
    </row>
    <row r="643" spans="1:14">
      <c r="A643" t="str">
        <f t="shared" si="144"/>
        <v>alp_Man-VWCO</v>
      </c>
      <c r="B643" t="str">
        <f t="shared" si="145"/>
        <v>Google Brasil</v>
      </c>
      <c r="C643" t="str">
        <f t="shared" si="146"/>
        <v>google-brasil|sky|120x600|vw_caminhoes|always_on|institucional|criativo_04|120x600|cpm</v>
      </c>
      <c r="D643" t="str">
        <f t="shared" si="147"/>
        <v>138019046</v>
      </c>
      <c r="E643" t="str">
        <f t="shared" si="148"/>
        <v>Default</v>
      </c>
      <c r="F643" t="str">
        <f t="shared" si="149"/>
        <v>120x600 Default Web Ad</v>
      </c>
      <c r="G643" t="str">
        <f t="shared" si="150"/>
        <v>310387629</v>
      </c>
      <c r="H643" t="str">
        <f t="shared" si="151"/>
        <v>Display</v>
      </c>
      <c r="I643">
        <f t="shared" si="152"/>
        <v>1</v>
      </c>
      <c r="J643">
        <f t="shared" si="153"/>
        <v>0</v>
      </c>
      <c r="K643" s="4">
        <f t="shared" si="142"/>
        <v>3.8199999999999998E-2</v>
      </c>
      <c r="L643">
        <f t="shared" si="143"/>
        <v>0.09</v>
      </c>
      <c r="M643" s="4">
        <f t="shared" si="140"/>
        <v>3.82E-5</v>
      </c>
      <c r="N643" s="4">
        <f t="shared" si="141"/>
        <v>8.9999999999999992E-5</v>
      </c>
    </row>
    <row r="644" spans="1:14">
      <c r="A644" t="str">
        <f t="shared" si="144"/>
        <v>alp_Man-VWCO</v>
      </c>
      <c r="B644" t="str">
        <f t="shared" si="145"/>
        <v>Google Brasil</v>
      </c>
      <c r="C644" t="str">
        <f t="shared" si="146"/>
        <v>google-brasil|sky|120x600|vw_caminhoes|always_on|produto|criativo_10_constellation_31-280|120x600|cpm</v>
      </c>
      <c r="D644" t="str">
        <f t="shared" si="147"/>
        <v>138018051</v>
      </c>
      <c r="E644" t="str">
        <f t="shared" si="148"/>
        <v>Default</v>
      </c>
      <c r="F644" t="str">
        <f t="shared" si="149"/>
        <v>120x600 Default Web Ad</v>
      </c>
      <c r="G644" t="str">
        <f t="shared" si="150"/>
        <v>310387629</v>
      </c>
      <c r="H644" t="str">
        <f t="shared" si="151"/>
        <v>Display</v>
      </c>
      <c r="I644">
        <f t="shared" si="152"/>
        <v>821</v>
      </c>
      <c r="J644">
        <f t="shared" si="153"/>
        <v>0</v>
      </c>
      <c r="K644" s="4">
        <f t="shared" si="142"/>
        <v>3.8199999999999998E-2</v>
      </c>
      <c r="L644">
        <f t="shared" si="143"/>
        <v>0.09</v>
      </c>
      <c r="M644" s="4">
        <f t="shared" si="140"/>
        <v>3.13622E-2</v>
      </c>
      <c r="N644" s="4">
        <f t="shared" si="141"/>
        <v>7.3889999999999997E-2</v>
      </c>
    </row>
    <row r="645" spans="1:14">
      <c r="A645" t="str">
        <f t="shared" si="144"/>
        <v>alp_Man-VWCO</v>
      </c>
      <c r="B645" t="str">
        <f t="shared" si="145"/>
        <v>Google Brasil</v>
      </c>
      <c r="C645" t="str">
        <f t="shared" si="146"/>
        <v>google-brasil|sky|120x600|vw_caminhoes|always_on|produto|criativo_10_constellation_31-280|120x600|cpm</v>
      </c>
      <c r="D645" t="str">
        <f t="shared" si="147"/>
        <v>138018051</v>
      </c>
      <c r="E645" t="str">
        <f t="shared" si="148"/>
        <v>Default</v>
      </c>
      <c r="F645" t="str">
        <f t="shared" si="149"/>
        <v>120x600 Default Web Ad</v>
      </c>
      <c r="G645" t="str">
        <f t="shared" si="150"/>
        <v>310387629</v>
      </c>
      <c r="H645" t="str">
        <f t="shared" si="151"/>
        <v>Display</v>
      </c>
      <c r="I645">
        <f t="shared" si="152"/>
        <v>472</v>
      </c>
      <c r="J645">
        <f t="shared" si="153"/>
        <v>0</v>
      </c>
      <c r="K645" s="4">
        <f t="shared" si="142"/>
        <v>3.8199999999999998E-2</v>
      </c>
      <c r="L645">
        <f t="shared" si="143"/>
        <v>0.09</v>
      </c>
      <c r="M645" s="4">
        <f t="shared" si="140"/>
        <v>1.8030399999999999E-2</v>
      </c>
      <c r="N645" s="4">
        <f t="shared" si="141"/>
        <v>4.2479999999999997E-2</v>
      </c>
    </row>
    <row r="646" spans="1:14">
      <c r="A646" t="str">
        <f t="shared" si="144"/>
        <v>alp_Man-VWCO</v>
      </c>
      <c r="B646" t="str">
        <f t="shared" si="145"/>
        <v>Google Brasil</v>
      </c>
      <c r="C646" t="str">
        <f t="shared" si="146"/>
        <v>google-brasil|sky|120x600|vw_caminhoes|always_on|produto|criativo_12_worker_15-190|120x600|cpm</v>
      </c>
      <c r="D646" t="str">
        <f t="shared" si="147"/>
        <v>138018041</v>
      </c>
      <c r="E646" t="str">
        <f t="shared" si="148"/>
        <v>Default</v>
      </c>
      <c r="F646" t="str">
        <f t="shared" si="149"/>
        <v>120x600 Default Web Ad</v>
      </c>
      <c r="G646" t="str">
        <f t="shared" si="150"/>
        <v>310387629</v>
      </c>
      <c r="H646" t="str">
        <f t="shared" si="151"/>
        <v>Display</v>
      </c>
      <c r="I646">
        <f t="shared" si="152"/>
        <v>128</v>
      </c>
      <c r="J646">
        <f t="shared" si="153"/>
        <v>0</v>
      </c>
      <c r="K646" s="4">
        <f t="shared" si="142"/>
        <v>3.8199999999999998E-2</v>
      </c>
      <c r="L646">
        <f t="shared" si="143"/>
        <v>0.09</v>
      </c>
      <c r="M646" s="4">
        <f t="shared" si="140"/>
        <v>4.8896E-3</v>
      </c>
      <c r="N646" s="4">
        <f t="shared" si="141"/>
        <v>1.1519999999999999E-2</v>
      </c>
    </row>
    <row r="647" spans="1:14">
      <c r="A647" t="str">
        <f t="shared" si="144"/>
        <v>alp_Man-VWCO</v>
      </c>
      <c r="B647" t="str">
        <f t="shared" si="145"/>
        <v>Google Brasil</v>
      </c>
      <c r="C647" t="str">
        <f t="shared" si="146"/>
        <v>google-brasil|sky|120x600|vw_caminhoes|always_on|produto|criativo_12_worker_15-190|120x600|cpm</v>
      </c>
      <c r="D647" t="str">
        <f t="shared" si="147"/>
        <v>138018041</v>
      </c>
      <c r="E647" t="str">
        <f t="shared" si="148"/>
        <v>Default</v>
      </c>
      <c r="F647" t="str">
        <f t="shared" si="149"/>
        <v>120x600 Default Web Ad</v>
      </c>
      <c r="G647" t="str">
        <f t="shared" si="150"/>
        <v>310387629</v>
      </c>
      <c r="H647" t="str">
        <f t="shared" si="151"/>
        <v>Display</v>
      </c>
      <c r="I647">
        <f t="shared" si="152"/>
        <v>217</v>
      </c>
      <c r="J647">
        <f t="shared" si="153"/>
        <v>0</v>
      </c>
      <c r="K647" s="4">
        <f t="shared" si="142"/>
        <v>3.8199999999999998E-2</v>
      </c>
      <c r="L647">
        <f t="shared" si="143"/>
        <v>0.09</v>
      </c>
      <c r="M647" s="4">
        <f t="shared" si="140"/>
        <v>8.2893999999999989E-3</v>
      </c>
      <c r="N647" s="4">
        <f t="shared" si="141"/>
        <v>1.9529999999999999E-2</v>
      </c>
    </row>
    <row r="648" spans="1:14">
      <c r="A648" t="str">
        <f t="shared" si="144"/>
        <v>alp_Man-VWCO</v>
      </c>
      <c r="B648" t="str">
        <f t="shared" si="145"/>
        <v>Google Brasil</v>
      </c>
      <c r="C648" t="str">
        <f t="shared" si="146"/>
        <v>google-brasil|sky|120x600|vw_caminhoes|always_on|produto|criativo_13_worker_17-190|120x600|cpm</v>
      </c>
      <c r="D648" t="str">
        <f t="shared" si="147"/>
        <v>138018036</v>
      </c>
      <c r="E648" t="str">
        <f t="shared" si="148"/>
        <v>Default</v>
      </c>
      <c r="F648" t="str">
        <f t="shared" si="149"/>
        <v>120x600 Default Web Ad</v>
      </c>
      <c r="G648" t="str">
        <f t="shared" si="150"/>
        <v>310387629</v>
      </c>
      <c r="H648" t="str">
        <f t="shared" si="151"/>
        <v>Display</v>
      </c>
      <c r="I648">
        <f t="shared" si="152"/>
        <v>185</v>
      </c>
      <c r="J648">
        <f t="shared" si="153"/>
        <v>0</v>
      </c>
      <c r="K648" s="4">
        <f t="shared" si="142"/>
        <v>3.8199999999999998E-2</v>
      </c>
      <c r="L648">
        <f t="shared" si="143"/>
        <v>0.09</v>
      </c>
      <c r="M648" s="4">
        <f t="shared" si="140"/>
        <v>7.0669999999999995E-3</v>
      </c>
      <c r="N648" s="4">
        <f t="shared" si="141"/>
        <v>1.6649999999999998E-2</v>
      </c>
    </row>
    <row r="649" spans="1:14">
      <c r="A649" t="str">
        <f t="shared" si="144"/>
        <v>alp_Man-VWCO</v>
      </c>
      <c r="B649" t="str">
        <f t="shared" si="145"/>
        <v>Google Brasil</v>
      </c>
      <c r="C649" t="str">
        <f t="shared" si="146"/>
        <v>google-brasil|sky|120x600|vw_caminhoes|always_on|produto|criativo_13_worker_17-190|120x600|cpm</v>
      </c>
      <c r="D649" t="str">
        <f t="shared" si="147"/>
        <v>138018036</v>
      </c>
      <c r="E649" t="str">
        <f t="shared" si="148"/>
        <v>Default</v>
      </c>
      <c r="F649" t="str">
        <f t="shared" si="149"/>
        <v>120x600 Default Web Ad</v>
      </c>
      <c r="G649" t="str">
        <f t="shared" si="150"/>
        <v>310387629</v>
      </c>
      <c r="H649" t="str">
        <f t="shared" si="151"/>
        <v>Display</v>
      </c>
      <c r="I649">
        <f t="shared" si="152"/>
        <v>249</v>
      </c>
      <c r="J649">
        <f t="shared" si="153"/>
        <v>0</v>
      </c>
      <c r="K649" s="4">
        <f t="shared" si="142"/>
        <v>3.8199999999999998E-2</v>
      </c>
      <c r="L649">
        <f t="shared" si="143"/>
        <v>0.09</v>
      </c>
      <c r="M649" s="4">
        <f t="shared" si="140"/>
        <v>9.5117999999999991E-3</v>
      </c>
      <c r="N649" s="4">
        <f t="shared" si="141"/>
        <v>2.2409999999999999E-2</v>
      </c>
    </row>
    <row r="650" spans="1:14">
      <c r="A650" t="str">
        <f t="shared" si="144"/>
        <v>alp_Man-VWCO</v>
      </c>
      <c r="B650" t="str">
        <f t="shared" si="145"/>
        <v>Google Brasil</v>
      </c>
      <c r="C650" t="str">
        <f t="shared" si="146"/>
        <v>google-brasil|sky|120x600|vw_caminhoes|always_on|produto|criativo_14_worker_17-230|120x600|cpm</v>
      </c>
      <c r="D650" t="str">
        <f t="shared" si="147"/>
        <v>138018031</v>
      </c>
      <c r="E650" t="str">
        <f t="shared" si="148"/>
        <v>Default</v>
      </c>
      <c r="F650" t="str">
        <f t="shared" si="149"/>
        <v>120x600 Default Web Ad</v>
      </c>
      <c r="G650" t="str">
        <f t="shared" si="150"/>
        <v>310387629</v>
      </c>
      <c r="H650" t="str">
        <f t="shared" si="151"/>
        <v>Display</v>
      </c>
      <c r="I650">
        <f t="shared" si="152"/>
        <v>172</v>
      </c>
      <c r="J650">
        <f t="shared" si="153"/>
        <v>0</v>
      </c>
      <c r="K650" s="4">
        <f t="shared" si="142"/>
        <v>3.8199999999999998E-2</v>
      </c>
      <c r="L650">
        <f t="shared" si="143"/>
        <v>0.09</v>
      </c>
      <c r="M650" s="4">
        <f t="shared" si="140"/>
        <v>6.5703999999999997E-3</v>
      </c>
      <c r="N650" s="4">
        <f t="shared" si="141"/>
        <v>1.5479999999999999E-2</v>
      </c>
    </row>
    <row r="651" spans="1:14">
      <c r="A651" t="str">
        <f t="shared" si="144"/>
        <v>alp_Man-VWCO</v>
      </c>
      <c r="B651" t="str">
        <f t="shared" si="145"/>
        <v>Google Brasil</v>
      </c>
      <c r="C651" t="str">
        <f t="shared" si="146"/>
        <v>google-brasil|sky|120x600|vw_caminhoes|always_on|produto|criativo_14_worker_17-230|120x600|cpm</v>
      </c>
      <c r="D651" t="str">
        <f t="shared" si="147"/>
        <v>138018031</v>
      </c>
      <c r="E651" t="str">
        <f t="shared" si="148"/>
        <v>Default</v>
      </c>
      <c r="F651" t="str">
        <f t="shared" si="149"/>
        <v>120x600 Default Web Ad</v>
      </c>
      <c r="G651" t="str">
        <f t="shared" si="150"/>
        <v>310387629</v>
      </c>
      <c r="H651" t="str">
        <f t="shared" si="151"/>
        <v>Display</v>
      </c>
      <c r="I651">
        <f t="shared" si="152"/>
        <v>239</v>
      </c>
      <c r="J651">
        <f t="shared" si="153"/>
        <v>0</v>
      </c>
      <c r="K651" s="4">
        <f t="shared" si="142"/>
        <v>3.8199999999999998E-2</v>
      </c>
      <c r="L651">
        <f t="shared" si="143"/>
        <v>0.09</v>
      </c>
      <c r="M651" s="4">
        <f t="shared" si="140"/>
        <v>9.1297999999999987E-3</v>
      </c>
      <c r="N651" s="4">
        <f t="shared" si="141"/>
        <v>2.1509999999999998E-2</v>
      </c>
    </row>
    <row r="652" spans="1:14">
      <c r="A652" t="str">
        <f t="shared" si="144"/>
        <v>alp_Man-VWCO</v>
      </c>
      <c r="B652" t="str">
        <f t="shared" si="145"/>
        <v>Google Brasil</v>
      </c>
      <c r="C652" t="str">
        <f t="shared" si="146"/>
        <v>google-brasil|sky|120x600|vw_caminhoes|always_on|produto|criativo_16_constellation_canavieiro|120x600|cpm</v>
      </c>
      <c r="D652" t="str">
        <f t="shared" si="147"/>
        <v>138018021</v>
      </c>
      <c r="E652" t="str">
        <f t="shared" si="148"/>
        <v>Default</v>
      </c>
      <c r="F652" t="str">
        <f t="shared" si="149"/>
        <v>120x600 Default Web Ad</v>
      </c>
      <c r="G652" t="str">
        <f t="shared" si="150"/>
        <v>310387629</v>
      </c>
      <c r="H652" t="str">
        <f t="shared" si="151"/>
        <v>Display</v>
      </c>
      <c r="I652">
        <f t="shared" si="152"/>
        <v>262</v>
      </c>
      <c r="J652">
        <f t="shared" si="153"/>
        <v>0</v>
      </c>
      <c r="K652" s="4">
        <f t="shared" si="142"/>
        <v>3.8199999999999998E-2</v>
      </c>
      <c r="L652">
        <f t="shared" si="143"/>
        <v>0.09</v>
      </c>
      <c r="M652" s="4">
        <f t="shared" si="140"/>
        <v>1.0008400000000001E-2</v>
      </c>
      <c r="N652" s="4">
        <f t="shared" si="141"/>
        <v>2.3579999999999997E-2</v>
      </c>
    </row>
    <row r="653" spans="1:14">
      <c r="A653" t="str">
        <f t="shared" si="144"/>
        <v>alp_Man-VWCO</v>
      </c>
      <c r="B653" t="str">
        <f t="shared" si="145"/>
        <v>Google Brasil</v>
      </c>
      <c r="C653" t="str">
        <f t="shared" si="146"/>
        <v>google-brasil|sky|120x600|vw_caminhoes|always_on|produto|criativo_17_constellation_compactor|120x600|cpm</v>
      </c>
      <c r="D653" t="str">
        <f t="shared" si="147"/>
        <v>138018016</v>
      </c>
      <c r="E653" t="str">
        <f t="shared" si="148"/>
        <v>Default</v>
      </c>
      <c r="F653" t="str">
        <f t="shared" si="149"/>
        <v>120x600 Default Web Ad</v>
      </c>
      <c r="G653" t="str">
        <f t="shared" si="150"/>
        <v>310387629</v>
      </c>
      <c r="H653" t="str">
        <f t="shared" si="151"/>
        <v>Display</v>
      </c>
      <c r="I653">
        <f t="shared" si="152"/>
        <v>627</v>
      </c>
      <c r="J653">
        <f t="shared" si="153"/>
        <v>0</v>
      </c>
      <c r="K653" s="4">
        <f t="shared" si="142"/>
        <v>3.8199999999999998E-2</v>
      </c>
      <c r="L653">
        <f t="shared" si="143"/>
        <v>0.09</v>
      </c>
      <c r="M653" s="4">
        <f t="shared" si="140"/>
        <v>2.3951400000000001E-2</v>
      </c>
      <c r="N653" s="4">
        <f t="shared" si="141"/>
        <v>5.6430000000000001E-2</v>
      </c>
    </row>
    <row r="654" spans="1:14">
      <c r="A654" t="str">
        <f t="shared" si="144"/>
        <v>alp_Man-VWCO</v>
      </c>
      <c r="B654" t="str">
        <f t="shared" si="145"/>
        <v>Google Brasil</v>
      </c>
      <c r="C654" t="str">
        <f t="shared" si="146"/>
        <v>google-brasil|sky|120x600|vw_caminhoes|always_on|produto|criativo_17_constellation_compactor|120x600|cpm</v>
      </c>
      <c r="D654" t="str">
        <f t="shared" si="147"/>
        <v>138018016</v>
      </c>
      <c r="E654" t="str">
        <f t="shared" si="148"/>
        <v>Default</v>
      </c>
      <c r="F654" t="str">
        <f t="shared" si="149"/>
        <v>120x600 Default Web Ad</v>
      </c>
      <c r="G654" t="str">
        <f t="shared" si="150"/>
        <v>310387629</v>
      </c>
      <c r="H654" t="str">
        <f t="shared" si="151"/>
        <v>Display</v>
      </c>
      <c r="I654">
        <f t="shared" si="152"/>
        <v>373</v>
      </c>
      <c r="J654">
        <f t="shared" si="153"/>
        <v>0</v>
      </c>
      <c r="K654" s="4">
        <f t="shared" si="142"/>
        <v>3.8199999999999998E-2</v>
      </c>
      <c r="L654">
        <f t="shared" si="143"/>
        <v>0.09</v>
      </c>
      <c r="M654" s="4">
        <f t="shared" si="140"/>
        <v>1.42486E-2</v>
      </c>
      <c r="N654" s="4">
        <f t="shared" si="141"/>
        <v>3.3570000000000003E-2</v>
      </c>
    </row>
    <row r="655" spans="1:14">
      <c r="A655" t="str">
        <f t="shared" si="144"/>
        <v>alp_Man-VWCO</v>
      </c>
      <c r="B655" t="str">
        <f t="shared" si="145"/>
        <v>Google Brasil</v>
      </c>
      <c r="C655" t="str">
        <f t="shared" si="146"/>
        <v>google-brasil|sky|120x600|vw_caminhoes|always_on|produto|criativo_34_constructor_basculante|120x600|cpm</v>
      </c>
      <c r="D655" t="str">
        <f t="shared" si="147"/>
        <v>138017961</v>
      </c>
      <c r="E655" t="str">
        <f t="shared" si="148"/>
        <v>Default</v>
      </c>
      <c r="F655" t="str">
        <f t="shared" si="149"/>
        <v>120x600 Default Web Ad</v>
      </c>
      <c r="G655" t="str">
        <f t="shared" si="150"/>
        <v>310387629</v>
      </c>
      <c r="H655" t="str">
        <f t="shared" si="151"/>
        <v>Display</v>
      </c>
      <c r="I655">
        <f t="shared" si="152"/>
        <v>406</v>
      </c>
      <c r="J655">
        <f t="shared" si="153"/>
        <v>0</v>
      </c>
      <c r="K655" s="4">
        <f t="shared" si="142"/>
        <v>3.8199999999999998E-2</v>
      </c>
      <c r="L655">
        <f t="shared" si="143"/>
        <v>0.09</v>
      </c>
      <c r="M655" s="4">
        <f t="shared" si="140"/>
        <v>1.5509199999999999E-2</v>
      </c>
      <c r="N655" s="4">
        <f t="shared" si="141"/>
        <v>3.6539999999999996E-2</v>
      </c>
    </row>
    <row r="656" spans="1:14">
      <c r="A656" t="str">
        <f t="shared" si="144"/>
        <v>alp_Man-VWCO</v>
      </c>
      <c r="B656" t="str">
        <f t="shared" si="145"/>
        <v>Google Brasil</v>
      </c>
      <c r="C656" t="str">
        <f t="shared" si="146"/>
        <v>google-brasil|sky|120x600|vw_caminhoes|always_on|produto|criativo_34_constructor_basculante|120x600|cpm</v>
      </c>
      <c r="D656" t="str">
        <f t="shared" si="147"/>
        <v>138017961</v>
      </c>
      <c r="E656" t="str">
        <f t="shared" si="148"/>
        <v>Default</v>
      </c>
      <c r="F656" t="str">
        <f t="shared" si="149"/>
        <v>120x600 Default Web Ad</v>
      </c>
      <c r="G656" t="str">
        <f t="shared" si="150"/>
        <v>310387629</v>
      </c>
      <c r="H656" t="str">
        <f t="shared" si="151"/>
        <v>Display</v>
      </c>
      <c r="I656">
        <f t="shared" si="152"/>
        <v>687</v>
      </c>
      <c r="J656">
        <f t="shared" si="153"/>
        <v>0</v>
      </c>
      <c r="K656" s="4">
        <f t="shared" si="142"/>
        <v>3.8199999999999998E-2</v>
      </c>
      <c r="L656">
        <f t="shared" si="143"/>
        <v>0.09</v>
      </c>
      <c r="M656" s="4">
        <f t="shared" si="140"/>
        <v>2.6243399999999997E-2</v>
      </c>
      <c r="N656" s="4">
        <f t="shared" si="141"/>
        <v>6.1829999999999996E-2</v>
      </c>
    </row>
    <row r="657" spans="1:14">
      <c r="A657" t="str">
        <f t="shared" si="144"/>
        <v>alp_Man-VWCO</v>
      </c>
      <c r="B657" t="str">
        <f t="shared" si="145"/>
        <v>Google Brasil</v>
      </c>
      <c r="C657" t="str">
        <f t="shared" si="146"/>
        <v>google-brasil|sky|120x600|vw_caminhoes|always_on|produto|criativo_35_constructor_betoneira|120x600|cpm</v>
      </c>
      <c r="D657" t="str">
        <f t="shared" si="147"/>
        <v>138017956</v>
      </c>
      <c r="E657" t="str">
        <f t="shared" si="148"/>
        <v>Default</v>
      </c>
      <c r="F657" t="str">
        <f t="shared" si="149"/>
        <v>120x600 Default Web Ad</v>
      </c>
      <c r="G657" t="str">
        <f t="shared" si="150"/>
        <v>310387629</v>
      </c>
      <c r="H657" t="str">
        <f t="shared" si="151"/>
        <v>Display</v>
      </c>
      <c r="I657">
        <f t="shared" si="152"/>
        <v>85</v>
      </c>
      <c r="J657">
        <f t="shared" si="153"/>
        <v>0</v>
      </c>
      <c r="K657" s="4">
        <f t="shared" si="142"/>
        <v>3.8199999999999998E-2</v>
      </c>
      <c r="L657">
        <f t="shared" si="143"/>
        <v>0.09</v>
      </c>
      <c r="M657" s="4">
        <f t="shared" si="140"/>
        <v>3.2469999999999999E-3</v>
      </c>
      <c r="N657" s="4">
        <f t="shared" si="141"/>
        <v>7.6499999999999997E-3</v>
      </c>
    </row>
    <row r="658" spans="1:14">
      <c r="A658" t="str">
        <f t="shared" si="144"/>
        <v>alp_Man-VWCO</v>
      </c>
      <c r="B658" t="str">
        <f t="shared" si="145"/>
        <v>Google Brasil</v>
      </c>
      <c r="C658" t="str">
        <f t="shared" si="146"/>
        <v>google-brasil|sky|120x600|vw_caminhoes|always_on|produto|criativo_35_constructor_betoneira|120x600|cpm</v>
      </c>
      <c r="D658" t="str">
        <f t="shared" si="147"/>
        <v>138017956</v>
      </c>
      <c r="E658" t="str">
        <f t="shared" si="148"/>
        <v>Default</v>
      </c>
      <c r="F658" t="str">
        <f t="shared" si="149"/>
        <v>120x600 Default Web Ad</v>
      </c>
      <c r="G658" t="str">
        <f t="shared" si="150"/>
        <v>310387629</v>
      </c>
      <c r="H658" t="str">
        <f t="shared" si="151"/>
        <v>Display</v>
      </c>
      <c r="I658">
        <f t="shared" si="152"/>
        <v>2</v>
      </c>
      <c r="J658">
        <f t="shared" si="153"/>
        <v>0</v>
      </c>
      <c r="K658" s="4">
        <f t="shared" si="142"/>
        <v>3.8199999999999998E-2</v>
      </c>
      <c r="L658">
        <f t="shared" si="143"/>
        <v>0.09</v>
      </c>
      <c r="M658" s="4">
        <f t="shared" si="140"/>
        <v>7.64E-5</v>
      </c>
      <c r="N658" s="4">
        <f t="shared" si="141"/>
        <v>1.7999999999999998E-4</v>
      </c>
    </row>
    <row r="659" spans="1:14">
      <c r="A659" t="str">
        <f t="shared" si="144"/>
        <v>alp_Man-VWCO</v>
      </c>
      <c r="B659" t="str">
        <f t="shared" si="145"/>
        <v>Google Brasil</v>
      </c>
      <c r="C659" t="str">
        <f t="shared" si="146"/>
        <v>google-brasil|sky|120x600|vw_caminhoes|always_on|produto|criativo_36_constellation_distributor|120x600|cpm</v>
      </c>
      <c r="D659" t="str">
        <f t="shared" si="147"/>
        <v>138017951</v>
      </c>
      <c r="E659" t="str">
        <f t="shared" si="148"/>
        <v>Default</v>
      </c>
      <c r="F659" t="str">
        <f t="shared" si="149"/>
        <v>120x600 Default Web Ad</v>
      </c>
      <c r="G659" t="str">
        <f t="shared" si="150"/>
        <v>310387629</v>
      </c>
      <c r="H659" t="str">
        <f t="shared" si="151"/>
        <v>Display</v>
      </c>
      <c r="I659">
        <f t="shared" si="152"/>
        <v>344</v>
      </c>
      <c r="J659">
        <f t="shared" si="153"/>
        <v>0</v>
      </c>
      <c r="K659" s="4">
        <f t="shared" si="142"/>
        <v>3.8199999999999998E-2</v>
      </c>
      <c r="L659">
        <f t="shared" si="143"/>
        <v>0.09</v>
      </c>
      <c r="M659" s="4">
        <f t="shared" si="140"/>
        <v>1.3140799999999999E-2</v>
      </c>
      <c r="N659" s="4">
        <f t="shared" si="141"/>
        <v>3.0959999999999998E-2</v>
      </c>
    </row>
    <row r="660" spans="1:14">
      <c r="A660" t="str">
        <f t="shared" si="144"/>
        <v>alp_Man-VWCO</v>
      </c>
      <c r="B660" t="str">
        <f t="shared" si="145"/>
        <v>Google Brasil</v>
      </c>
      <c r="C660" t="str">
        <f t="shared" si="146"/>
        <v>google-brasil|sky|120x600|vw_caminhoes|always_on|produto|criativo_36_constellation_distributor|120x600|cpm</v>
      </c>
      <c r="D660" t="str">
        <f t="shared" si="147"/>
        <v>138017951</v>
      </c>
      <c r="E660" t="str">
        <f t="shared" si="148"/>
        <v>Default</v>
      </c>
      <c r="F660" t="str">
        <f t="shared" si="149"/>
        <v>120x600 Default Web Ad</v>
      </c>
      <c r="G660" t="str">
        <f t="shared" si="150"/>
        <v>310387629</v>
      </c>
      <c r="H660" t="str">
        <f t="shared" si="151"/>
        <v>Display</v>
      </c>
      <c r="I660">
        <f t="shared" si="152"/>
        <v>273</v>
      </c>
      <c r="J660">
        <f t="shared" si="153"/>
        <v>0</v>
      </c>
      <c r="K660" s="4">
        <f t="shared" si="142"/>
        <v>3.8199999999999998E-2</v>
      </c>
      <c r="L660">
        <f t="shared" si="143"/>
        <v>0.09</v>
      </c>
      <c r="M660" s="4">
        <f t="shared" si="140"/>
        <v>1.04286E-2</v>
      </c>
      <c r="N660" s="4">
        <f t="shared" si="141"/>
        <v>2.4570000000000002E-2</v>
      </c>
    </row>
    <row r="661" spans="1:14">
      <c r="A661" t="str">
        <f t="shared" si="144"/>
        <v>alp_Man-VWCO</v>
      </c>
      <c r="B661" t="str">
        <f t="shared" si="145"/>
        <v>Google Brasil</v>
      </c>
      <c r="C661" t="str">
        <f t="shared" si="146"/>
        <v>google-brasil|sky|120x600|vw_caminhoes|always_on|produto|criativo_38_worker_17-230|120x600|cpm</v>
      </c>
      <c r="D661" t="str">
        <f t="shared" si="147"/>
        <v>138017941</v>
      </c>
      <c r="E661" t="str">
        <f t="shared" si="148"/>
        <v>Default</v>
      </c>
      <c r="F661" t="str">
        <f t="shared" si="149"/>
        <v>120x600 Default Web Ad</v>
      </c>
      <c r="G661" t="str">
        <f t="shared" si="150"/>
        <v>310387629</v>
      </c>
      <c r="H661" t="str">
        <f t="shared" si="151"/>
        <v>Display</v>
      </c>
      <c r="I661">
        <f t="shared" si="152"/>
        <v>512</v>
      </c>
      <c r="J661">
        <f t="shared" si="153"/>
        <v>0</v>
      </c>
      <c r="K661" s="4">
        <f t="shared" si="142"/>
        <v>3.8199999999999998E-2</v>
      </c>
      <c r="L661">
        <f t="shared" si="143"/>
        <v>0.09</v>
      </c>
      <c r="M661" s="4">
        <f t="shared" si="140"/>
        <v>1.95584E-2</v>
      </c>
      <c r="N661" s="4">
        <f t="shared" si="141"/>
        <v>4.6079999999999996E-2</v>
      </c>
    </row>
    <row r="662" spans="1:14">
      <c r="A662" t="str">
        <f t="shared" si="144"/>
        <v>alp_Man-VWCO</v>
      </c>
      <c r="B662" t="str">
        <f t="shared" si="145"/>
        <v>Google Brasil</v>
      </c>
      <c r="C662" t="str">
        <f t="shared" si="146"/>
        <v>google-brasil|sky|120x600|vw_caminhoes|always_on|produto|criativo_38_worker_17-230|120x600|cpm</v>
      </c>
      <c r="D662" t="str">
        <f t="shared" si="147"/>
        <v>138017941</v>
      </c>
      <c r="E662" t="str">
        <f t="shared" si="148"/>
        <v>Default</v>
      </c>
      <c r="F662" t="str">
        <f t="shared" si="149"/>
        <v>120x600 Default Web Ad</v>
      </c>
      <c r="G662" t="str">
        <f t="shared" si="150"/>
        <v>310387629</v>
      </c>
      <c r="H662" t="str">
        <f t="shared" si="151"/>
        <v>Display</v>
      </c>
      <c r="I662">
        <f t="shared" si="152"/>
        <v>760</v>
      </c>
      <c r="J662">
        <f t="shared" si="153"/>
        <v>0</v>
      </c>
      <c r="K662" s="4">
        <f t="shared" si="142"/>
        <v>3.8199999999999998E-2</v>
      </c>
      <c r="L662">
        <f t="shared" si="143"/>
        <v>0.09</v>
      </c>
      <c r="M662" s="4">
        <f t="shared" si="140"/>
        <v>2.9031999999999999E-2</v>
      </c>
      <c r="N662" s="4">
        <f t="shared" si="141"/>
        <v>6.8399999999999989E-2</v>
      </c>
    </row>
    <row r="663" spans="1:14">
      <c r="A663" t="str">
        <f t="shared" si="144"/>
        <v>alp_Man-VWCO</v>
      </c>
      <c r="B663" t="str">
        <f t="shared" si="145"/>
        <v>Google Brasil</v>
      </c>
      <c r="C663" t="str">
        <f t="shared" si="146"/>
        <v>google-brasil|sky|120x600|vw_caminhoes|always_on|produto|criativo_39_worker_17-230|120x600|cpm</v>
      </c>
      <c r="D663" t="str">
        <f t="shared" si="147"/>
        <v>138017936</v>
      </c>
      <c r="E663" t="str">
        <f t="shared" si="148"/>
        <v>Default</v>
      </c>
      <c r="F663" t="str">
        <f t="shared" si="149"/>
        <v>120x600 Default Web Ad</v>
      </c>
      <c r="G663" t="str">
        <f t="shared" si="150"/>
        <v>310387629</v>
      </c>
      <c r="H663" t="str">
        <f t="shared" si="151"/>
        <v>Display</v>
      </c>
      <c r="I663">
        <f t="shared" si="152"/>
        <v>529</v>
      </c>
      <c r="J663">
        <f t="shared" si="153"/>
        <v>0</v>
      </c>
      <c r="K663" s="4">
        <f t="shared" si="142"/>
        <v>3.8199999999999998E-2</v>
      </c>
      <c r="L663">
        <f t="shared" si="143"/>
        <v>0.09</v>
      </c>
      <c r="M663" s="4">
        <f t="shared" si="140"/>
        <v>2.0207799999999998E-2</v>
      </c>
      <c r="N663" s="4">
        <f t="shared" si="141"/>
        <v>4.761E-2</v>
      </c>
    </row>
    <row r="664" spans="1:14">
      <c r="A664" t="str">
        <f t="shared" si="144"/>
        <v>alp_Man-VWCO</v>
      </c>
      <c r="B664" t="str">
        <f t="shared" si="145"/>
        <v>Google Brasil</v>
      </c>
      <c r="C664" t="str">
        <f t="shared" si="146"/>
        <v>google-brasil|sky|120x600|vw_caminhoes|always_on|produto|criativo_39_worker_17-230|120x600|cpm</v>
      </c>
      <c r="D664" t="str">
        <f t="shared" si="147"/>
        <v>138017936</v>
      </c>
      <c r="E664" t="str">
        <f t="shared" si="148"/>
        <v>Default</v>
      </c>
      <c r="F664" t="str">
        <f t="shared" si="149"/>
        <v>120x600 Default Web Ad</v>
      </c>
      <c r="G664" t="str">
        <f t="shared" si="150"/>
        <v>310387629</v>
      </c>
      <c r="H664" t="str">
        <f t="shared" si="151"/>
        <v>Display</v>
      </c>
      <c r="I664">
        <f t="shared" si="152"/>
        <v>652</v>
      </c>
      <c r="J664">
        <f t="shared" si="153"/>
        <v>0</v>
      </c>
      <c r="K664" s="4">
        <f t="shared" si="142"/>
        <v>3.8199999999999998E-2</v>
      </c>
      <c r="L664">
        <f t="shared" si="143"/>
        <v>0.09</v>
      </c>
      <c r="M664" s="4">
        <f t="shared" si="140"/>
        <v>2.4906399999999999E-2</v>
      </c>
      <c r="N664" s="4">
        <f t="shared" si="141"/>
        <v>5.8680000000000003E-2</v>
      </c>
    </row>
    <row r="665" spans="1:14">
      <c r="A665" t="str">
        <f t="shared" si="144"/>
        <v>alp_Man-VWCO</v>
      </c>
      <c r="B665" t="str">
        <f t="shared" si="145"/>
        <v>Google Brasil</v>
      </c>
      <c r="C665" t="str">
        <f t="shared" si="146"/>
        <v>google-brasil|sky|120x600|vw_caminhoes|always_on|produto|criativo_40_worker_23-230|120x600|cpm</v>
      </c>
      <c r="D665" t="str">
        <f t="shared" si="147"/>
        <v>138017931</v>
      </c>
      <c r="E665" t="str">
        <f t="shared" si="148"/>
        <v>Default</v>
      </c>
      <c r="F665" t="str">
        <f t="shared" si="149"/>
        <v>120x600 Default Web Ad</v>
      </c>
      <c r="G665" t="str">
        <f t="shared" si="150"/>
        <v>310387629</v>
      </c>
      <c r="H665" t="str">
        <f t="shared" si="151"/>
        <v>Display</v>
      </c>
      <c r="I665">
        <f t="shared" si="152"/>
        <v>345</v>
      </c>
      <c r="J665">
        <f t="shared" si="153"/>
        <v>0</v>
      </c>
      <c r="K665" s="4">
        <f t="shared" si="142"/>
        <v>3.8199999999999998E-2</v>
      </c>
      <c r="L665">
        <f t="shared" si="143"/>
        <v>0.09</v>
      </c>
      <c r="M665" s="4">
        <f t="shared" si="140"/>
        <v>1.3178999999999998E-2</v>
      </c>
      <c r="N665" s="4">
        <f t="shared" si="141"/>
        <v>3.1049999999999998E-2</v>
      </c>
    </row>
    <row r="666" spans="1:14">
      <c r="A666" t="str">
        <f t="shared" si="144"/>
        <v>alp_Man-VWCO</v>
      </c>
      <c r="B666" t="str">
        <f t="shared" si="145"/>
        <v>Google Brasil</v>
      </c>
      <c r="C666" t="str">
        <f t="shared" si="146"/>
        <v>google-brasil|sky|120x600|vw_caminhoes|always_on|produto|criativo_40_worker_23-230|120x600|cpm</v>
      </c>
      <c r="D666" t="str">
        <f t="shared" si="147"/>
        <v>138017931</v>
      </c>
      <c r="E666" t="str">
        <f t="shared" si="148"/>
        <v>Default</v>
      </c>
      <c r="F666" t="str">
        <f t="shared" si="149"/>
        <v>120x600 Default Web Ad</v>
      </c>
      <c r="G666" t="str">
        <f t="shared" si="150"/>
        <v>310387629</v>
      </c>
      <c r="H666" t="str">
        <f t="shared" si="151"/>
        <v>Display</v>
      </c>
      <c r="I666">
        <f t="shared" si="152"/>
        <v>485</v>
      </c>
      <c r="J666">
        <f t="shared" si="153"/>
        <v>0</v>
      </c>
      <c r="K666" s="4">
        <f t="shared" si="142"/>
        <v>3.8199999999999998E-2</v>
      </c>
      <c r="L666">
        <f t="shared" si="143"/>
        <v>0.09</v>
      </c>
      <c r="M666" s="4">
        <f t="shared" si="140"/>
        <v>1.8526999999999998E-2</v>
      </c>
      <c r="N666" s="4">
        <f t="shared" si="141"/>
        <v>4.3650000000000001E-2</v>
      </c>
    </row>
    <row r="667" spans="1:14">
      <c r="A667" t="str">
        <f t="shared" si="144"/>
        <v>alp_Man-VWCO</v>
      </c>
      <c r="B667" t="str">
        <f t="shared" si="145"/>
        <v>Google Brasil</v>
      </c>
      <c r="C667" t="str">
        <f t="shared" si="146"/>
        <v>google-brasil|sky|120x600|vw_caminhoes|always_on|produto|criativo_41_worker_23-230|120x600|cpm</v>
      </c>
      <c r="D667" t="str">
        <f t="shared" si="147"/>
        <v>138017926</v>
      </c>
      <c r="E667" t="str">
        <f t="shared" si="148"/>
        <v>Default</v>
      </c>
      <c r="F667" t="str">
        <f t="shared" si="149"/>
        <v>120x600 Default Web Ad</v>
      </c>
      <c r="G667" t="str">
        <f t="shared" si="150"/>
        <v>310387629</v>
      </c>
      <c r="H667" t="str">
        <f t="shared" si="151"/>
        <v>Display</v>
      </c>
      <c r="I667">
        <f t="shared" si="152"/>
        <v>370</v>
      </c>
      <c r="J667">
        <f t="shared" si="153"/>
        <v>0</v>
      </c>
      <c r="K667" s="4">
        <f t="shared" si="142"/>
        <v>3.8199999999999998E-2</v>
      </c>
      <c r="L667">
        <f t="shared" si="143"/>
        <v>0.09</v>
      </c>
      <c r="M667" s="4">
        <f t="shared" si="140"/>
        <v>1.4133999999999999E-2</v>
      </c>
      <c r="N667" s="4">
        <f t="shared" si="141"/>
        <v>3.3299999999999996E-2</v>
      </c>
    </row>
    <row r="668" spans="1:14">
      <c r="A668" t="str">
        <f t="shared" si="144"/>
        <v>alp_Man-VWCO</v>
      </c>
      <c r="B668" t="str">
        <f t="shared" si="145"/>
        <v>Google Brasil</v>
      </c>
      <c r="C668" t="str">
        <f t="shared" si="146"/>
        <v>google-brasil|sky|120x600|vw_caminhoes|always_on|produto|criativo_41_worker_23-230|120x600|cpm</v>
      </c>
      <c r="D668" t="str">
        <f t="shared" si="147"/>
        <v>138017926</v>
      </c>
      <c r="E668" t="str">
        <f t="shared" si="148"/>
        <v>Default</v>
      </c>
      <c r="F668" t="str">
        <f t="shared" si="149"/>
        <v>120x600 Default Web Ad</v>
      </c>
      <c r="G668" t="str">
        <f t="shared" si="150"/>
        <v>310387629</v>
      </c>
      <c r="H668" t="str">
        <f t="shared" si="151"/>
        <v>Display</v>
      </c>
      <c r="I668">
        <f t="shared" si="152"/>
        <v>529</v>
      </c>
      <c r="J668">
        <f t="shared" si="153"/>
        <v>0</v>
      </c>
      <c r="K668" s="4">
        <f t="shared" si="142"/>
        <v>3.8199999999999998E-2</v>
      </c>
      <c r="L668">
        <f t="shared" si="143"/>
        <v>0.09</v>
      </c>
      <c r="M668" s="4">
        <f t="shared" si="140"/>
        <v>2.0207799999999998E-2</v>
      </c>
      <c r="N668" s="4">
        <f t="shared" si="141"/>
        <v>4.761E-2</v>
      </c>
    </row>
    <row r="669" spans="1:14">
      <c r="A669" t="str">
        <f t="shared" si="144"/>
        <v>alp_Man-VWCO</v>
      </c>
      <c r="B669" t="str">
        <f t="shared" si="145"/>
        <v>Google Brasil</v>
      </c>
      <c r="C669" t="str">
        <f t="shared" si="146"/>
        <v>google-brasil|sky|120x600|vw_caminhoes|always_on|produto|criativo_51_constellation_31-280|120x600|cpm</v>
      </c>
      <c r="D669" t="str">
        <f t="shared" si="147"/>
        <v>138017876</v>
      </c>
      <c r="E669" t="str">
        <f t="shared" si="148"/>
        <v>Default</v>
      </c>
      <c r="F669" t="str">
        <f t="shared" si="149"/>
        <v>120x600 Default Web Ad</v>
      </c>
      <c r="G669" t="str">
        <f t="shared" si="150"/>
        <v>310387629</v>
      </c>
      <c r="H669" t="str">
        <f t="shared" si="151"/>
        <v>Display</v>
      </c>
      <c r="I669">
        <f t="shared" si="152"/>
        <v>800</v>
      </c>
      <c r="J669">
        <f t="shared" si="153"/>
        <v>0</v>
      </c>
      <c r="K669" s="4">
        <f t="shared" si="142"/>
        <v>3.8199999999999998E-2</v>
      </c>
      <c r="L669">
        <f t="shared" si="143"/>
        <v>0.09</v>
      </c>
      <c r="M669" s="4">
        <f t="shared" si="140"/>
        <v>3.056E-2</v>
      </c>
      <c r="N669" s="4">
        <f t="shared" si="141"/>
        <v>7.1999999999999995E-2</v>
      </c>
    </row>
    <row r="670" spans="1:14">
      <c r="A670" t="str">
        <f t="shared" si="144"/>
        <v>alp_Man-VWCO</v>
      </c>
      <c r="B670" t="str">
        <f t="shared" si="145"/>
        <v>Google Brasil</v>
      </c>
      <c r="C670" t="str">
        <f t="shared" si="146"/>
        <v>google-brasil|sky|120x600|vw_caminhoes|always_on|produto|criativo_51_constellation_31-280|120x600|cpm</v>
      </c>
      <c r="D670" t="str">
        <f t="shared" si="147"/>
        <v>138017876</v>
      </c>
      <c r="E670" t="str">
        <f t="shared" si="148"/>
        <v>Default</v>
      </c>
      <c r="F670" t="str">
        <f t="shared" si="149"/>
        <v>120x600 Default Web Ad</v>
      </c>
      <c r="G670" t="str">
        <f t="shared" si="150"/>
        <v>310387629</v>
      </c>
      <c r="H670" t="str">
        <f t="shared" si="151"/>
        <v>Display</v>
      </c>
      <c r="I670">
        <f t="shared" si="152"/>
        <v>447</v>
      </c>
      <c r="J670">
        <f t="shared" si="153"/>
        <v>0</v>
      </c>
      <c r="K670" s="4">
        <f t="shared" si="142"/>
        <v>3.8199999999999998E-2</v>
      </c>
      <c r="L670">
        <f t="shared" si="143"/>
        <v>0.09</v>
      </c>
      <c r="M670" s="4">
        <f t="shared" si="140"/>
        <v>1.7075399999999998E-2</v>
      </c>
      <c r="N670" s="4">
        <f t="shared" si="141"/>
        <v>4.0229999999999995E-2</v>
      </c>
    </row>
    <row r="671" spans="1:14">
      <c r="A671" t="str">
        <f t="shared" si="144"/>
        <v>alp_Man-VWCO</v>
      </c>
      <c r="B671" t="str">
        <f t="shared" si="145"/>
        <v>Google Brasil</v>
      </c>
      <c r="C671" t="str">
        <f t="shared" si="146"/>
        <v>google-brasil|sky|120x600|vw_caminhoes|always_on|produto|criativo_52_constellation_31-280|120x600|cpm</v>
      </c>
      <c r="D671" t="str">
        <f t="shared" si="147"/>
        <v>138017871</v>
      </c>
      <c r="E671" t="str">
        <f t="shared" si="148"/>
        <v>Default</v>
      </c>
      <c r="F671" t="str">
        <f t="shared" si="149"/>
        <v>120x600 Default Web Ad</v>
      </c>
      <c r="G671" t="str">
        <f t="shared" si="150"/>
        <v>310387629</v>
      </c>
      <c r="H671" t="str">
        <f t="shared" si="151"/>
        <v>Display</v>
      </c>
      <c r="I671">
        <f t="shared" si="152"/>
        <v>927</v>
      </c>
      <c r="J671">
        <f t="shared" si="153"/>
        <v>1</v>
      </c>
      <c r="K671" s="4">
        <f t="shared" si="142"/>
        <v>3.8199999999999998E-2</v>
      </c>
      <c r="L671">
        <f t="shared" si="143"/>
        <v>0.09</v>
      </c>
      <c r="M671" s="4">
        <f t="shared" si="140"/>
        <v>3.5411400000000003E-2</v>
      </c>
      <c r="N671" s="4">
        <f t="shared" si="141"/>
        <v>8.342999999999999E-2</v>
      </c>
    </row>
    <row r="672" spans="1:14">
      <c r="A672" t="str">
        <f t="shared" si="144"/>
        <v>alp_Man-VWCO</v>
      </c>
      <c r="B672" t="str">
        <f t="shared" si="145"/>
        <v>Google Brasil</v>
      </c>
      <c r="C672" t="str">
        <f t="shared" si="146"/>
        <v>google-brasil|sky|120x600|vw_caminhoes|always_on|produto|criativo_52_constellation_31-280|120x600|cpm</v>
      </c>
      <c r="D672" t="str">
        <f t="shared" si="147"/>
        <v>138017871</v>
      </c>
      <c r="E672" t="str">
        <f t="shared" si="148"/>
        <v>Default</v>
      </c>
      <c r="F672" t="str">
        <f t="shared" si="149"/>
        <v>120x600 Default Web Ad</v>
      </c>
      <c r="G672" t="str">
        <f t="shared" si="150"/>
        <v>310387629</v>
      </c>
      <c r="H672" t="str">
        <f t="shared" si="151"/>
        <v>Display</v>
      </c>
      <c r="I672">
        <f t="shared" si="152"/>
        <v>486</v>
      </c>
      <c r="J672">
        <f t="shared" si="153"/>
        <v>0</v>
      </c>
      <c r="K672" s="4">
        <f t="shared" si="142"/>
        <v>3.8199999999999998E-2</v>
      </c>
      <c r="L672">
        <f t="shared" si="143"/>
        <v>0.09</v>
      </c>
      <c r="M672" s="4">
        <f t="shared" si="140"/>
        <v>1.8565199999999997E-2</v>
      </c>
      <c r="N672" s="4">
        <f t="shared" si="141"/>
        <v>4.3739999999999994E-2</v>
      </c>
    </row>
    <row r="673" spans="1:14">
      <c r="A673" t="str">
        <f t="shared" si="144"/>
        <v>alp_Man-VWCO</v>
      </c>
      <c r="B673" t="str">
        <f t="shared" si="145"/>
        <v>Google Brasil</v>
      </c>
      <c r="C673" t="str">
        <f t="shared" si="146"/>
        <v>google-brasil|sky|120x600|vw_caminhoes|always_on|produto|criativo_53_constellation_31-280|120x600|cpm</v>
      </c>
      <c r="D673" t="str">
        <f t="shared" si="147"/>
        <v>138017866</v>
      </c>
      <c r="E673" t="str">
        <f t="shared" si="148"/>
        <v>Default</v>
      </c>
      <c r="F673" t="str">
        <f t="shared" si="149"/>
        <v>120x600 Default Web Ad</v>
      </c>
      <c r="G673" t="str">
        <f t="shared" si="150"/>
        <v>310387629</v>
      </c>
      <c r="H673" t="str">
        <f t="shared" si="151"/>
        <v>Display</v>
      </c>
      <c r="I673">
        <f t="shared" si="152"/>
        <v>820</v>
      </c>
      <c r="J673">
        <f t="shared" si="153"/>
        <v>1</v>
      </c>
      <c r="K673" s="4">
        <f t="shared" si="142"/>
        <v>3.8199999999999998E-2</v>
      </c>
      <c r="L673">
        <f t="shared" si="143"/>
        <v>0.09</v>
      </c>
      <c r="M673" s="4">
        <f t="shared" si="140"/>
        <v>3.1323999999999998E-2</v>
      </c>
      <c r="N673" s="4">
        <f t="shared" si="141"/>
        <v>7.3799999999999991E-2</v>
      </c>
    </row>
    <row r="674" spans="1:14">
      <c r="A674" t="str">
        <f t="shared" si="144"/>
        <v>alp_Man-VWCO</v>
      </c>
      <c r="B674" t="str">
        <f t="shared" si="145"/>
        <v>Google Brasil</v>
      </c>
      <c r="C674" t="str">
        <f t="shared" si="146"/>
        <v>google-brasil|sky|120x600|vw_caminhoes|always_on|produto|criativo_53_constellation_31-280|120x600|cpm</v>
      </c>
      <c r="D674" t="str">
        <f t="shared" si="147"/>
        <v>138017866</v>
      </c>
      <c r="E674" t="str">
        <f t="shared" si="148"/>
        <v>Default</v>
      </c>
      <c r="F674" t="str">
        <f t="shared" si="149"/>
        <v>120x600 Default Web Ad</v>
      </c>
      <c r="G674" t="str">
        <f t="shared" si="150"/>
        <v>310387629</v>
      </c>
      <c r="H674" t="str">
        <f t="shared" si="151"/>
        <v>Display</v>
      </c>
      <c r="I674">
        <f t="shared" si="152"/>
        <v>484</v>
      </c>
      <c r="J674">
        <f t="shared" si="153"/>
        <v>0</v>
      </c>
      <c r="K674" s="4">
        <f t="shared" si="142"/>
        <v>3.8199999999999998E-2</v>
      </c>
      <c r="L674">
        <f t="shared" si="143"/>
        <v>0.09</v>
      </c>
      <c r="M674" s="4">
        <f t="shared" ref="M674:M737" si="154">IF(E674="Dynamic Click",J674*K674,K674*$I674/1000)</f>
        <v>1.8488799999999996E-2</v>
      </c>
      <c r="N674" s="4">
        <f t="shared" ref="N674:N737" si="155">IF(E674="Dynamic Click",J674*L674,L674*$I674/1000)</f>
        <v>4.3559999999999995E-2</v>
      </c>
    </row>
    <row r="675" spans="1:14">
      <c r="A675" t="str">
        <f t="shared" si="144"/>
        <v>alp_Man-VWCO</v>
      </c>
      <c r="B675" t="str">
        <f t="shared" si="145"/>
        <v>Google Brasil</v>
      </c>
      <c r="C675" t="str">
        <f t="shared" si="146"/>
        <v>google-brasil|sky|120x600|vw_caminhoes|always_on|produto|criativo_57_constellation_31-390|120x600|cpm</v>
      </c>
      <c r="D675" t="str">
        <f t="shared" si="147"/>
        <v>138017846</v>
      </c>
      <c r="E675" t="str">
        <f t="shared" si="148"/>
        <v>Default</v>
      </c>
      <c r="F675" t="str">
        <f t="shared" si="149"/>
        <v>120x600 Default Web Ad</v>
      </c>
      <c r="G675" t="str">
        <f t="shared" si="150"/>
        <v>310387629</v>
      </c>
      <c r="H675" t="str">
        <f t="shared" si="151"/>
        <v>Display</v>
      </c>
      <c r="I675">
        <f t="shared" si="152"/>
        <v>891</v>
      </c>
      <c r="J675">
        <f t="shared" si="153"/>
        <v>1</v>
      </c>
      <c r="K675" s="4">
        <f t="shared" si="142"/>
        <v>3.8199999999999998E-2</v>
      </c>
      <c r="L675">
        <f t="shared" si="143"/>
        <v>0.09</v>
      </c>
      <c r="M675" s="4">
        <f t="shared" si="154"/>
        <v>3.4036200000000003E-2</v>
      </c>
      <c r="N675" s="4">
        <f t="shared" si="155"/>
        <v>8.0189999999999997E-2</v>
      </c>
    </row>
    <row r="676" spans="1:14">
      <c r="A676" t="str">
        <f t="shared" si="144"/>
        <v>alp_Man-VWCO</v>
      </c>
      <c r="B676" t="str">
        <f t="shared" si="145"/>
        <v>Google Brasil</v>
      </c>
      <c r="C676" t="str">
        <f t="shared" si="146"/>
        <v>google-brasil|sky|120x600|vw_caminhoes|always_on|produto|criativo_57_constellation_31-390|120x600|cpm</v>
      </c>
      <c r="D676" t="str">
        <f t="shared" si="147"/>
        <v>138017846</v>
      </c>
      <c r="E676" t="str">
        <f t="shared" si="148"/>
        <v>Default</v>
      </c>
      <c r="F676" t="str">
        <f t="shared" si="149"/>
        <v>120x600 Default Web Ad</v>
      </c>
      <c r="G676" t="str">
        <f t="shared" si="150"/>
        <v>310387629</v>
      </c>
      <c r="H676" t="str">
        <f t="shared" si="151"/>
        <v>Display</v>
      </c>
      <c r="I676">
        <f t="shared" si="152"/>
        <v>458</v>
      </c>
      <c r="J676">
        <f t="shared" si="153"/>
        <v>0</v>
      </c>
      <c r="K676" s="4">
        <f t="shared" si="142"/>
        <v>3.8199999999999998E-2</v>
      </c>
      <c r="L676">
        <f t="shared" si="143"/>
        <v>0.09</v>
      </c>
      <c r="M676" s="4">
        <f t="shared" si="154"/>
        <v>1.74956E-2</v>
      </c>
      <c r="N676" s="4">
        <f t="shared" si="155"/>
        <v>4.122E-2</v>
      </c>
    </row>
    <row r="677" spans="1:14">
      <c r="A677" t="str">
        <f t="shared" si="144"/>
        <v>alp_Man-VWCO</v>
      </c>
      <c r="B677" t="str">
        <f t="shared" si="145"/>
        <v>Google Brasil</v>
      </c>
      <c r="C677" t="str">
        <f t="shared" si="146"/>
        <v>google-brasil|sky|120x600|vw_caminhoes|always_on|produto|criativo_58_constellation_31-390|120x600|cpm</v>
      </c>
      <c r="D677" t="str">
        <f t="shared" si="147"/>
        <v>138017841</v>
      </c>
      <c r="E677" t="str">
        <f t="shared" si="148"/>
        <v>Default</v>
      </c>
      <c r="F677" t="str">
        <f t="shared" si="149"/>
        <v>120x600 Default Web Ad</v>
      </c>
      <c r="G677" t="str">
        <f t="shared" si="150"/>
        <v>310387629</v>
      </c>
      <c r="H677" t="str">
        <f t="shared" si="151"/>
        <v>Display</v>
      </c>
      <c r="I677">
        <f t="shared" si="152"/>
        <v>928</v>
      </c>
      <c r="J677">
        <f t="shared" si="153"/>
        <v>0</v>
      </c>
      <c r="K677" s="4">
        <f t="shared" si="142"/>
        <v>3.8199999999999998E-2</v>
      </c>
      <c r="L677">
        <f t="shared" si="143"/>
        <v>0.09</v>
      </c>
      <c r="M677" s="4">
        <f t="shared" si="154"/>
        <v>3.5449599999999998E-2</v>
      </c>
      <c r="N677" s="4">
        <f t="shared" si="155"/>
        <v>8.3519999999999997E-2</v>
      </c>
    </row>
    <row r="678" spans="1:14">
      <c r="A678" t="str">
        <f t="shared" si="144"/>
        <v>alp_Man-VWCO</v>
      </c>
      <c r="B678" t="str">
        <f t="shared" si="145"/>
        <v>Google Brasil</v>
      </c>
      <c r="C678" t="str">
        <f t="shared" si="146"/>
        <v>google-brasil|sky|120x600|vw_caminhoes|always_on|produto|criativo_58_constellation_31-390|120x600|cpm</v>
      </c>
      <c r="D678" t="str">
        <f t="shared" si="147"/>
        <v>138017841</v>
      </c>
      <c r="E678" t="str">
        <f t="shared" si="148"/>
        <v>Default</v>
      </c>
      <c r="F678" t="str">
        <f t="shared" si="149"/>
        <v>120x600 Default Web Ad</v>
      </c>
      <c r="G678" t="str">
        <f t="shared" si="150"/>
        <v>310387629</v>
      </c>
      <c r="H678" t="str">
        <f t="shared" si="151"/>
        <v>Display</v>
      </c>
      <c r="I678">
        <f t="shared" si="152"/>
        <v>498</v>
      </c>
      <c r="J678">
        <f t="shared" si="153"/>
        <v>1</v>
      </c>
      <c r="K678" s="4">
        <f t="shared" si="142"/>
        <v>3.8199999999999998E-2</v>
      </c>
      <c r="L678">
        <f t="shared" si="143"/>
        <v>0.09</v>
      </c>
      <c r="M678" s="4">
        <f t="shared" si="154"/>
        <v>1.9023599999999998E-2</v>
      </c>
      <c r="N678" s="4">
        <f t="shared" si="155"/>
        <v>4.4819999999999999E-2</v>
      </c>
    </row>
    <row r="679" spans="1:14">
      <c r="A679" t="str">
        <f t="shared" si="144"/>
        <v>alp_Man-VWCO</v>
      </c>
      <c r="B679" t="str">
        <f t="shared" si="145"/>
        <v>Google Brasil</v>
      </c>
      <c r="C679" t="str">
        <f t="shared" si="146"/>
        <v>google-brasil|sky|120x600|vw_caminhoes|always_on|produto|criativo_59_constellation_31-390|120x600|cpm</v>
      </c>
      <c r="D679" t="str">
        <f t="shared" si="147"/>
        <v>138017836</v>
      </c>
      <c r="E679" t="str">
        <f t="shared" si="148"/>
        <v>Default</v>
      </c>
      <c r="F679" t="str">
        <f t="shared" si="149"/>
        <v>120x600 Default Web Ad</v>
      </c>
      <c r="G679" t="str">
        <f t="shared" si="150"/>
        <v>310387629</v>
      </c>
      <c r="H679" t="str">
        <f t="shared" si="151"/>
        <v>Display</v>
      </c>
      <c r="I679">
        <f t="shared" si="152"/>
        <v>923</v>
      </c>
      <c r="J679">
        <f t="shared" si="153"/>
        <v>0</v>
      </c>
      <c r="K679" s="4">
        <f t="shared" si="142"/>
        <v>3.8199999999999998E-2</v>
      </c>
      <c r="L679">
        <f t="shared" si="143"/>
        <v>0.09</v>
      </c>
      <c r="M679" s="4">
        <f t="shared" si="154"/>
        <v>3.5258600000000001E-2</v>
      </c>
      <c r="N679" s="4">
        <f t="shared" si="155"/>
        <v>8.3069999999999991E-2</v>
      </c>
    </row>
    <row r="680" spans="1:14">
      <c r="A680" t="str">
        <f t="shared" si="144"/>
        <v>alp_Man-VWCO</v>
      </c>
      <c r="B680" t="str">
        <f t="shared" si="145"/>
        <v>Google Brasil</v>
      </c>
      <c r="C680" t="str">
        <f t="shared" si="146"/>
        <v>google-brasil|sky|120x600|vw_caminhoes|always_on|produto|criativo_59_constellation_31-390|120x600|cpm</v>
      </c>
      <c r="D680" t="str">
        <f t="shared" si="147"/>
        <v>138017836</v>
      </c>
      <c r="E680" t="str">
        <f t="shared" si="148"/>
        <v>Default</v>
      </c>
      <c r="F680" t="str">
        <f t="shared" si="149"/>
        <v>120x600 Default Web Ad</v>
      </c>
      <c r="G680" t="str">
        <f t="shared" si="150"/>
        <v>310387629</v>
      </c>
      <c r="H680" t="str">
        <f t="shared" si="151"/>
        <v>Display</v>
      </c>
      <c r="I680">
        <f t="shared" si="152"/>
        <v>431</v>
      </c>
      <c r="J680">
        <f t="shared" si="153"/>
        <v>0</v>
      </c>
      <c r="K680" s="4">
        <f t="shared" si="142"/>
        <v>3.8199999999999998E-2</v>
      </c>
      <c r="L680">
        <f t="shared" si="143"/>
        <v>0.09</v>
      </c>
      <c r="M680" s="4">
        <f t="shared" si="154"/>
        <v>1.6464199999999998E-2</v>
      </c>
      <c r="N680" s="4">
        <f t="shared" si="155"/>
        <v>3.8789999999999998E-2</v>
      </c>
    </row>
    <row r="681" spans="1:14">
      <c r="A681" t="str">
        <f t="shared" si="144"/>
        <v>alp_Man-VWCO</v>
      </c>
      <c r="B681" t="str">
        <f t="shared" si="145"/>
        <v>Google Brasil</v>
      </c>
      <c r="C681" t="str">
        <f t="shared" si="146"/>
        <v>google-brasil|sky|120x600|vw_caminhoes|always_on|produto|criativo_62_worker_13-190|120x600|cpm</v>
      </c>
      <c r="D681" t="str">
        <f t="shared" si="147"/>
        <v>138017821</v>
      </c>
      <c r="E681" t="str">
        <f t="shared" si="148"/>
        <v>Default</v>
      </c>
      <c r="F681" t="str">
        <f t="shared" si="149"/>
        <v>120x600 Default Web Ad</v>
      </c>
      <c r="G681" t="str">
        <f t="shared" si="150"/>
        <v>310387629</v>
      </c>
      <c r="H681" t="str">
        <f t="shared" si="151"/>
        <v>Display</v>
      </c>
      <c r="I681">
        <f t="shared" si="152"/>
        <v>478</v>
      </c>
      <c r="J681">
        <f t="shared" si="153"/>
        <v>0</v>
      </c>
      <c r="K681" s="4">
        <f t="shared" si="142"/>
        <v>3.8199999999999998E-2</v>
      </c>
      <c r="L681">
        <f t="shared" si="143"/>
        <v>0.09</v>
      </c>
      <c r="M681" s="4">
        <f t="shared" si="154"/>
        <v>1.8259599999999997E-2</v>
      </c>
      <c r="N681" s="4">
        <f t="shared" si="155"/>
        <v>4.3019999999999996E-2</v>
      </c>
    </row>
    <row r="682" spans="1:14">
      <c r="A682" t="str">
        <f t="shared" si="144"/>
        <v>alp_Man-VWCO</v>
      </c>
      <c r="B682" t="str">
        <f t="shared" si="145"/>
        <v>Google Brasil</v>
      </c>
      <c r="C682" t="str">
        <f t="shared" si="146"/>
        <v>google-brasil|sky|120x600|vw_caminhoes|always_on|produto|criativo_62_worker_13-190|120x600|cpm</v>
      </c>
      <c r="D682" t="str">
        <f t="shared" si="147"/>
        <v>138017821</v>
      </c>
      <c r="E682" t="str">
        <f t="shared" si="148"/>
        <v>Default</v>
      </c>
      <c r="F682" t="str">
        <f t="shared" si="149"/>
        <v>120x600 Default Web Ad</v>
      </c>
      <c r="G682" t="str">
        <f t="shared" si="150"/>
        <v>310387629</v>
      </c>
      <c r="H682" t="str">
        <f t="shared" si="151"/>
        <v>Display</v>
      </c>
      <c r="I682">
        <f t="shared" si="152"/>
        <v>682</v>
      </c>
      <c r="J682">
        <f t="shared" si="153"/>
        <v>1</v>
      </c>
      <c r="K682" s="4">
        <f t="shared" si="142"/>
        <v>3.8199999999999998E-2</v>
      </c>
      <c r="L682">
        <f t="shared" si="143"/>
        <v>0.09</v>
      </c>
      <c r="M682" s="4">
        <f t="shared" si="154"/>
        <v>2.60524E-2</v>
      </c>
      <c r="N682" s="4">
        <f t="shared" si="155"/>
        <v>6.1379999999999997E-2</v>
      </c>
    </row>
    <row r="683" spans="1:14">
      <c r="A683" t="str">
        <f t="shared" si="144"/>
        <v>alp_Man-VWCO</v>
      </c>
      <c r="B683" t="str">
        <f t="shared" si="145"/>
        <v>Google Brasil</v>
      </c>
      <c r="C683" t="str">
        <f t="shared" si="146"/>
        <v>google-brasil|sky|120x600|vw_caminhoes|always_on|produto|criativo_63_worker_15-190|120x600|cpm</v>
      </c>
      <c r="D683" t="str">
        <f t="shared" si="147"/>
        <v>138017816</v>
      </c>
      <c r="E683" t="str">
        <f t="shared" si="148"/>
        <v>Default</v>
      </c>
      <c r="F683" t="str">
        <f t="shared" si="149"/>
        <v>120x600 Default Web Ad</v>
      </c>
      <c r="G683" t="str">
        <f t="shared" si="150"/>
        <v>310387629</v>
      </c>
      <c r="H683" t="str">
        <f t="shared" si="151"/>
        <v>Display</v>
      </c>
      <c r="I683">
        <f t="shared" si="152"/>
        <v>115</v>
      </c>
      <c r="J683">
        <f t="shared" si="153"/>
        <v>0</v>
      </c>
      <c r="K683" s="4">
        <f t="shared" si="142"/>
        <v>3.8199999999999998E-2</v>
      </c>
      <c r="L683">
        <f t="shared" si="143"/>
        <v>0.09</v>
      </c>
      <c r="M683" s="4">
        <f t="shared" si="154"/>
        <v>4.3930000000000002E-3</v>
      </c>
      <c r="N683" s="4">
        <f t="shared" si="155"/>
        <v>1.035E-2</v>
      </c>
    </row>
    <row r="684" spans="1:14">
      <c r="A684" t="str">
        <f t="shared" si="144"/>
        <v>alp_Man-VWCO</v>
      </c>
      <c r="B684" t="str">
        <f t="shared" si="145"/>
        <v>Google Brasil</v>
      </c>
      <c r="C684" t="str">
        <f t="shared" si="146"/>
        <v>google-brasil|sky|120x600|vw_caminhoes|always_on|produto|criativo_63_worker_15-190|120x600|cpm</v>
      </c>
      <c r="D684" t="str">
        <f t="shared" si="147"/>
        <v>138017816</v>
      </c>
      <c r="E684" t="str">
        <f t="shared" si="148"/>
        <v>Default</v>
      </c>
      <c r="F684" t="str">
        <f t="shared" si="149"/>
        <v>120x600 Default Web Ad</v>
      </c>
      <c r="G684" t="str">
        <f t="shared" si="150"/>
        <v>310387629</v>
      </c>
      <c r="H684" t="str">
        <f t="shared" si="151"/>
        <v>Display</v>
      </c>
      <c r="I684">
        <f t="shared" si="152"/>
        <v>186</v>
      </c>
      <c r="J684">
        <f t="shared" si="153"/>
        <v>0</v>
      </c>
      <c r="K684" s="4">
        <f t="shared" ref="K684:K747" si="156">IF(LEFT(B684,3)="DBM",0,VLOOKUP(E684,tabela,2,FALSE))</f>
        <v>3.8199999999999998E-2</v>
      </c>
      <c r="L684">
        <f t="shared" ref="L684:L747" si="157">VLOOKUP(E684,tabela,3,FALSE)</f>
        <v>0.09</v>
      </c>
      <c r="M684" s="4">
        <f t="shared" si="154"/>
        <v>7.1051999999999999E-3</v>
      </c>
      <c r="N684" s="4">
        <f t="shared" si="155"/>
        <v>1.6739999999999998E-2</v>
      </c>
    </row>
    <row r="685" spans="1:14">
      <c r="A685" t="str">
        <f t="shared" si="144"/>
        <v>alp_Man-VWCO</v>
      </c>
      <c r="B685" t="str">
        <f t="shared" si="145"/>
        <v>Google Brasil</v>
      </c>
      <c r="C685" t="str">
        <f t="shared" si="146"/>
        <v>google-brasil|sky|120x600|vw_caminhoes|always_on|produto|criativo_64_worker_15-190|120x600|cpm</v>
      </c>
      <c r="D685" t="str">
        <f t="shared" si="147"/>
        <v>138017811</v>
      </c>
      <c r="E685" t="str">
        <f t="shared" si="148"/>
        <v>Default</v>
      </c>
      <c r="F685" t="str">
        <f t="shared" si="149"/>
        <v>120x600 Default Web Ad</v>
      </c>
      <c r="G685" t="str">
        <f t="shared" si="150"/>
        <v>310387629</v>
      </c>
      <c r="H685" t="str">
        <f t="shared" si="151"/>
        <v>Display</v>
      </c>
      <c r="I685">
        <f t="shared" si="152"/>
        <v>98</v>
      </c>
      <c r="J685">
        <f t="shared" si="153"/>
        <v>0</v>
      </c>
      <c r="K685" s="4">
        <f t="shared" si="156"/>
        <v>3.8199999999999998E-2</v>
      </c>
      <c r="L685">
        <f t="shared" si="157"/>
        <v>0.09</v>
      </c>
      <c r="M685" s="4">
        <f t="shared" si="154"/>
        <v>3.7435999999999997E-3</v>
      </c>
      <c r="N685" s="4">
        <f t="shared" si="155"/>
        <v>8.8199999999999997E-3</v>
      </c>
    </row>
    <row r="686" spans="1:14">
      <c r="A686" t="str">
        <f t="shared" si="144"/>
        <v>alp_Man-VWCO</v>
      </c>
      <c r="B686" t="str">
        <f t="shared" si="145"/>
        <v>Google Brasil</v>
      </c>
      <c r="C686" t="str">
        <f t="shared" si="146"/>
        <v>google-brasil|sky|120x600|vw_caminhoes|always_on|produto|criativo_64_worker_15-190|120x600|cpm</v>
      </c>
      <c r="D686" t="str">
        <f t="shared" si="147"/>
        <v>138017811</v>
      </c>
      <c r="E686" t="str">
        <f t="shared" si="148"/>
        <v>Default</v>
      </c>
      <c r="F686" t="str">
        <f t="shared" si="149"/>
        <v>120x600 Default Web Ad</v>
      </c>
      <c r="G686" t="str">
        <f t="shared" si="150"/>
        <v>310387629</v>
      </c>
      <c r="H686" t="str">
        <f t="shared" si="151"/>
        <v>Display</v>
      </c>
      <c r="I686">
        <f t="shared" si="152"/>
        <v>209</v>
      </c>
      <c r="J686">
        <f t="shared" si="153"/>
        <v>0</v>
      </c>
      <c r="K686" s="4">
        <f t="shared" si="156"/>
        <v>3.8199999999999998E-2</v>
      </c>
      <c r="L686">
        <f t="shared" si="157"/>
        <v>0.09</v>
      </c>
      <c r="M686" s="4">
        <f t="shared" si="154"/>
        <v>7.9837999999999992E-3</v>
      </c>
      <c r="N686" s="4">
        <f t="shared" si="155"/>
        <v>1.881E-2</v>
      </c>
    </row>
    <row r="687" spans="1:14">
      <c r="A687" t="str">
        <f t="shared" si="144"/>
        <v>alp_Man-VWCO</v>
      </c>
      <c r="B687" t="str">
        <f t="shared" si="145"/>
        <v>Google Brasil</v>
      </c>
      <c r="C687" t="str">
        <f t="shared" si="146"/>
        <v>google-brasil|sky|120x600|vw_caminhoes|always_on|produto|criativo_65_worker_17-190|120x600|cpm</v>
      </c>
      <c r="D687" t="str">
        <f t="shared" si="147"/>
        <v>138017806</v>
      </c>
      <c r="E687" t="str">
        <f t="shared" si="148"/>
        <v>Default</v>
      </c>
      <c r="F687" t="str">
        <f t="shared" si="149"/>
        <v>120x600 Default Web Ad</v>
      </c>
      <c r="G687" t="str">
        <f t="shared" si="150"/>
        <v>310387629</v>
      </c>
      <c r="H687" t="str">
        <f t="shared" si="151"/>
        <v>Display</v>
      </c>
      <c r="I687">
        <f t="shared" si="152"/>
        <v>215</v>
      </c>
      <c r="J687">
        <f t="shared" si="153"/>
        <v>0</v>
      </c>
      <c r="K687" s="4">
        <f t="shared" si="156"/>
        <v>3.8199999999999998E-2</v>
      </c>
      <c r="L687">
        <f t="shared" si="157"/>
        <v>0.09</v>
      </c>
      <c r="M687" s="4">
        <f t="shared" si="154"/>
        <v>8.2129999999999998E-3</v>
      </c>
      <c r="N687" s="4">
        <f t="shared" si="155"/>
        <v>1.9349999999999999E-2</v>
      </c>
    </row>
    <row r="688" spans="1:14">
      <c r="A688" t="str">
        <f t="shared" si="144"/>
        <v>alp_Man-VWCO</v>
      </c>
      <c r="B688" t="str">
        <f t="shared" si="145"/>
        <v>Google Brasil</v>
      </c>
      <c r="C688" t="str">
        <f t="shared" si="146"/>
        <v>google-brasil|sky|120x600|vw_caminhoes|always_on|produto|criativo_65_worker_17-190|120x600|cpm</v>
      </c>
      <c r="D688" t="str">
        <f t="shared" si="147"/>
        <v>138017806</v>
      </c>
      <c r="E688" t="str">
        <f t="shared" si="148"/>
        <v>Default</v>
      </c>
      <c r="F688" t="str">
        <f t="shared" si="149"/>
        <v>120x600 Default Web Ad</v>
      </c>
      <c r="G688" t="str">
        <f t="shared" si="150"/>
        <v>310387629</v>
      </c>
      <c r="H688" t="str">
        <f t="shared" si="151"/>
        <v>Display</v>
      </c>
      <c r="I688">
        <f t="shared" si="152"/>
        <v>254</v>
      </c>
      <c r="J688">
        <f t="shared" si="153"/>
        <v>0</v>
      </c>
      <c r="K688" s="4">
        <f t="shared" si="156"/>
        <v>3.8199999999999998E-2</v>
      </c>
      <c r="L688">
        <f t="shared" si="157"/>
        <v>0.09</v>
      </c>
      <c r="M688" s="4">
        <f t="shared" si="154"/>
        <v>9.7027999999999993E-3</v>
      </c>
      <c r="N688" s="4">
        <f t="shared" si="155"/>
        <v>2.2859999999999998E-2</v>
      </c>
    </row>
    <row r="689" spans="1:14">
      <c r="A689" t="str">
        <f t="shared" si="144"/>
        <v>alp_Man-VWCO</v>
      </c>
      <c r="B689" t="str">
        <f t="shared" si="145"/>
        <v>Google Brasil</v>
      </c>
      <c r="C689" t="str">
        <f t="shared" si="146"/>
        <v>google-brasil|sky|120x600|vw_caminhoes|always_on|produto|criativo_66_constellation_compactor|120x600|cpm</v>
      </c>
      <c r="D689" t="str">
        <f t="shared" si="147"/>
        <v>138017801</v>
      </c>
      <c r="E689" t="str">
        <f t="shared" si="148"/>
        <v>Default</v>
      </c>
      <c r="F689" t="str">
        <f t="shared" si="149"/>
        <v>120x600 Default Web Ad</v>
      </c>
      <c r="G689" t="str">
        <f t="shared" si="150"/>
        <v>310387629</v>
      </c>
      <c r="H689" t="str">
        <f t="shared" si="151"/>
        <v>Display</v>
      </c>
      <c r="I689">
        <f t="shared" si="152"/>
        <v>644</v>
      </c>
      <c r="J689">
        <f t="shared" si="153"/>
        <v>0</v>
      </c>
      <c r="K689" s="4">
        <f t="shared" si="156"/>
        <v>3.8199999999999998E-2</v>
      </c>
      <c r="L689">
        <f t="shared" si="157"/>
        <v>0.09</v>
      </c>
      <c r="M689" s="4">
        <f t="shared" si="154"/>
        <v>2.4600799999999999E-2</v>
      </c>
      <c r="N689" s="4">
        <f t="shared" si="155"/>
        <v>5.7959999999999998E-2</v>
      </c>
    </row>
    <row r="690" spans="1:14">
      <c r="A690" t="str">
        <f t="shared" si="144"/>
        <v>alp_Man-VWCO</v>
      </c>
      <c r="B690" t="str">
        <f t="shared" si="145"/>
        <v>Google Brasil</v>
      </c>
      <c r="C690" t="str">
        <f t="shared" si="146"/>
        <v>google-brasil|sky|120x600|vw_caminhoes|always_on|produto|criativo_66_constellation_compactor|120x600|cpm</v>
      </c>
      <c r="D690" t="str">
        <f t="shared" si="147"/>
        <v>138017801</v>
      </c>
      <c r="E690" t="str">
        <f t="shared" si="148"/>
        <v>Default</v>
      </c>
      <c r="F690" t="str">
        <f t="shared" si="149"/>
        <v>120x600 Default Web Ad</v>
      </c>
      <c r="G690" t="str">
        <f t="shared" si="150"/>
        <v>310387629</v>
      </c>
      <c r="H690" t="str">
        <f t="shared" si="151"/>
        <v>Display</v>
      </c>
      <c r="I690">
        <f t="shared" si="152"/>
        <v>433</v>
      </c>
      <c r="J690">
        <f t="shared" si="153"/>
        <v>0</v>
      </c>
      <c r="K690" s="4">
        <f t="shared" si="156"/>
        <v>3.8199999999999998E-2</v>
      </c>
      <c r="L690">
        <f t="shared" si="157"/>
        <v>0.09</v>
      </c>
      <c r="M690" s="4">
        <f t="shared" si="154"/>
        <v>1.6540599999999999E-2</v>
      </c>
      <c r="N690" s="4">
        <f t="shared" si="155"/>
        <v>3.8969999999999998E-2</v>
      </c>
    </row>
    <row r="691" spans="1:14">
      <c r="A691" t="str">
        <f t="shared" si="144"/>
        <v>alp_Man-VWCO</v>
      </c>
      <c r="B691" t="str">
        <f t="shared" si="145"/>
        <v>Google Brasil</v>
      </c>
      <c r="C691" t="str">
        <f t="shared" si="146"/>
        <v>google-brasil|sky|120x600|vw_caminhoes|always_on|produto|criativo_69_delivery_5-150|120x600|cpm</v>
      </c>
      <c r="D691" t="str">
        <f t="shared" si="147"/>
        <v>138017786</v>
      </c>
      <c r="E691" t="str">
        <f t="shared" si="148"/>
        <v>Default</v>
      </c>
      <c r="F691" t="str">
        <f t="shared" si="149"/>
        <v>120x600 Default Web Ad</v>
      </c>
      <c r="G691" t="str">
        <f t="shared" si="150"/>
        <v>310387629</v>
      </c>
      <c r="H691" t="str">
        <f t="shared" si="151"/>
        <v>Display</v>
      </c>
      <c r="I691">
        <f t="shared" si="152"/>
        <v>506</v>
      </c>
      <c r="J691">
        <f t="shared" si="153"/>
        <v>0</v>
      </c>
      <c r="K691" s="4">
        <f t="shared" si="156"/>
        <v>3.8199999999999998E-2</v>
      </c>
      <c r="L691">
        <f t="shared" si="157"/>
        <v>0.09</v>
      </c>
      <c r="M691" s="4">
        <f t="shared" si="154"/>
        <v>1.9329200000000001E-2</v>
      </c>
      <c r="N691" s="4">
        <f t="shared" si="155"/>
        <v>4.5539999999999997E-2</v>
      </c>
    </row>
    <row r="692" spans="1:14">
      <c r="A692" t="str">
        <f t="shared" si="144"/>
        <v>alp_Man-VWCO</v>
      </c>
      <c r="B692" t="str">
        <f t="shared" si="145"/>
        <v>Google Brasil</v>
      </c>
      <c r="C692" t="str">
        <f t="shared" si="146"/>
        <v>google-brasil|sky|120x600|vw_caminhoes|always_on|produto|criativo_69_delivery_5-150|120x600|cpm</v>
      </c>
      <c r="D692" t="str">
        <f t="shared" si="147"/>
        <v>138017786</v>
      </c>
      <c r="E692" t="str">
        <f t="shared" si="148"/>
        <v>Default</v>
      </c>
      <c r="F692" t="str">
        <f t="shared" si="149"/>
        <v>120x600 Default Web Ad</v>
      </c>
      <c r="G692" t="str">
        <f t="shared" si="150"/>
        <v>310387629</v>
      </c>
      <c r="H692" t="str">
        <f t="shared" si="151"/>
        <v>Display</v>
      </c>
      <c r="I692">
        <f t="shared" si="152"/>
        <v>769</v>
      </c>
      <c r="J692">
        <f t="shared" si="153"/>
        <v>0</v>
      </c>
      <c r="K692" s="4">
        <f t="shared" si="156"/>
        <v>3.8199999999999998E-2</v>
      </c>
      <c r="L692">
        <f t="shared" si="157"/>
        <v>0.09</v>
      </c>
      <c r="M692" s="4">
        <f t="shared" si="154"/>
        <v>2.9375799999999997E-2</v>
      </c>
      <c r="N692" s="4">
        <f t="shared" si="155"/>
        <v>6.9209999999999994E-2</v>
      </c>
    </row>
    <row r="693" spans="1:14">
      <c r="A693" t="str">
        <f t="shared" si="144"/>
        <v>alp_Man-VWCO</v>
      </c>
      <c r="B693" t="str">
        <f t="shared" si="145"/>
        <v>Google Brasil</v>
      </c>
      <c r="C693" t="str">
        <f t="shared" si="146"/>
        <v>google-brasil|sky|120x600|vw_caminhoes|always_on|produto|criativo_70_delivery_5-150|120x600|cpm</v>
      </c>
      <c r="D693" t="str">
        <f t="shared" si="147"/>
        <v>138017781</v>
      </c>
      <c r="E693" t="str">
        <f t="shared" si="148"/>
        <v>Default</v>
      </c>
      <c r="F693" t="str">
        <f t="shared" si="149"/>
        <v>120x600 Default Web Ad</v>
      </c>
      <c r="G693" t="str">
        <f t="shared" si="150"/>
        <v>310387629</v>
      </c>
      <c r="H693" t="str">
        <f t="shared" si="151"/>
        <v>Display</v>
      </c>
      <c r="I693">
        <f t="shared" si="152"/>
        <v>548</v>
      </c>
      <c r="J693">
        <f t="shared" si="153"/>
        <v>0</v>
      </c>
      <c r="K693" s="4">
        <f t="shared" si="156"/>
        <v>3.8199999999999998E-2</v>
      </c>
      <c r="L693">
        <f t="shared" si="157"/>
        <v>0.09</v>
      </c>
      <c r="M693" s="4">
        <f t="shared" si="154"/>
        <v>2.09336E-2</v>
      </c>
      <c r="N693" s="4">
        <f t="shared" si="155"/>
        <v>4.9320000000000003E-2</v>
      </c>
    </row>
    <row r="694" spans="1:14">
      <c r="A694" t="str">
        <f t="shared" si="144"/>
        <v>alp_Man-VWCO</v>
      </c>
      <c r="B694" t="str">
        <f t="shared" si="145"/>
        <v>Google Brasil</v>
      </c>
      <c r="C694" t="str">
        <f t="shared" si="146"/>
        <v>google-brasil|sky|120x600|vw_caminhoes|always_on|produto|criativo_70_delivery_5-150|120x600|cpm</v>
      </c>
      <c r="D694" t="str">
        <f t="shared" si="147"/>
        <v>138017781</v>
      </c>
      <c r="E694" t="str">
        <f t="shared" si="148"/>
        <v>Default</v>
      </c>
      <c r="F694" t="str">
        <f t="shared" si="149"/>
        <v>120x600 Default Web Ad</v>
      </c>
      <c r="G694" t="str">
        <f t="shared" si="150"/>
        <v>310387629</v>
      </c>
      <c r="H694" t="str">
        <f t="shared" si="151"/>
        <v>Display</v>
      </c>
      <c r="I694">
        <f t="shared" si="152"/>
        <v>814</v>
      </c>
      <c r="J694">
        <f t="shared" si="153"/>
        <v>0</v>
      </c>
      <c r="K694" s="4">
        <f t="shared" si="156"/>
        <v>3.8199999999999998E-2</v>
      </c>
      <c r="L694">
        <f t="shared" si="157"/>
        <v>0.09</v>
      </c>
      <c r="M694" s="4">
        <f t="shared" si="154"/>
        <v>3.1094799999999999E-2</v>
      </c>
      <c r="N694" s="4">
        <f t="shared" si="155"/>
        <v>7.3259999999999992E-2</v>
      </c>
    </row>
    <row r="695" spans="1:14">
      <c r="A695" t="str">
        <f t="shared" si="144"/>
        <v>alp_Man-VWCO</v>
      </c>
      <c r="B695" t="str">
        <f t="shared" si="145"/>
        <v>Google Brasil</v>
      </c>
      <c r="C695" t="str">
        <f t="shared" si="146"/>
        <v>google-brasil|sky|120x600|vw_caminhoes|always_on|produto|criativo_71_delivery_5-150|120x600|cpm</v>
      </c>
      <c r="D695" t="str">
        <f t="shared" si="147"/>
        <v>138017776</v>
      </c>
      <c r="E695" t="str">
        <f t="shared" si="148"/>
        <v>Default</v>
      </c>
      <c r="F695" t="str">
        <f t="shared" si="149"/>
        <v>120x600 Default Web Ad</v>
      </c>
      <c r="G695" t="str">
        <f t="shared" si="150"/>
        <v>310387629</v>
      </c>
      <c r="H695" t="str">
        <f t="shared" si="151"/>
        <v>Display</v>
      </c>
      <c r="I695">
        <f t="shared" si="152"/>
        <v>509</v>
      </c>
      <c r="J695">
        <f t="shared" si="153"/>
        <v>0</v>
      </c>
      <c r="K695" s="4">
        <f t="shared" si="156"/>
        <v>3.8199999999999998E-2</v>
      </c>
      <c r="L695">
        <f t="shared" si="157"/>
        <v>0.09</v>
      </c>
      <c r="M695" s="4">
        <f t="shared" si="154"/>
        <v>1.9443800000000001E-2</v>
      </c>
      <c r="N695" s="4">
        <f t="shared" si="155"/>
        <v>4.5809999999999997E-2</v>
      </c>
    </row>
    <row r="696" spans="1:14">
      <c r="A696" t="str">
        <f t="shared" si="144"/>
        <v>alp_Man-VWCO</v>
      </c>
      <c r="B696" t="str">
        <f t="shared" si="145"/>
        <v>Google Brasil</v>
      </c>
      <c r="C696" t="str">
        <f t="shared" si="146"/>
        <v>google-brasil|sky|120x600|vw_caminhoes|always_on|produto|criativo_71_delivery_5-150|120x600|cpm</v>
      </c>
      <c r="D696" t="str">
        <f t="shared" si="147"/>
        <v>138017776</v>
      </c>
      <c r="E696" t="str">
        <f t="shared" si="148"/>
        <v>Default</v>
      </c>
      <c r="F696" t="str">
        <f t="shared" si="149"/>
        <v>120x600 Default Web Ad</v>
      </c>
      <c r="G696" t="str">
        <f t="shared" si="150"/>
        <v>310387629</v>
      </c>
      <c r="H696" t="str">
        <f t="shared" si="151"/>
        <v>Display</v>
      </c>
      <c r="I696">
        <f t="shared" si="152"/>
        <v>702</v>
      </c>
      <c r="J696">
        <f t="shared" si="153"/>
        <v>0</v>
      </c>
      <c r="K696" s="4">
        <f t="shared" si="156"/>
        <v>3.8199999999999998E-2</v>
      </c>
      <c r="L696">
        <f t="shared" si="157"/>
        <v>0.09</v>
      </c>
      <c r="M696" s="4">
        <f t="shared" si="154"/>
        <v>2.6816399999999997E-2</v>
      </c>
      <c r="N696" s="4">
        <f t="shared" si="155"/>
        <v>6.318E-2</v>
      </c>
    </row>
    <row r="697" spans="1:14">
      <c r="A697" t="str">
        <f t="shared" si="144"/>
        <v>alp_Man-VWCO</v>
      </c>
      <c r="B697" t="str">
        <f t="shared" si="145"/>
        <v>Google Brasil</v>
      </c>
      <c r="C697" t="str">
        <f t="shared" si="146"/>
        <v>google-brasil|sky|120x600|vw_caminhoes|always_on|produto|criativo_72_delivery_5-150|120x600|cpm</v>
      </c>
      <c r="D697" t="str">
        <f t="shared" si="147"/>
        <v>138017771</v>
      </c>
      <c r="E697" t="str">
        <f t="shared" si="148"/>
        <v>Default</v>
      </c>
      <c r="F697" t="str">
        <f t="shared" si="149"/>
        <v>120x600 Default Web Ad</v>
      </c>
      <c r="G697" t="str">
        <f t="shared" si="150"/>
        <v>310387629</v>
      </c>
      <c r="H697" t="str">
        <f t="shared" si="151"/>
        <v>Display</v>
      </c>
      <c r="I697">
        <f t="shared" si="152"/>
        <v>527</v>
      </c>
      <c r="J697">
        <f t="shared" si="153"/>
        <v>0</v>
      </c>
      <c r="K697" s="4">
        <f t="shared" si="156"/>
        <v>3.8199999999999998E-2</v>
      </c>
      <c r="L697">
        <f t="shared" si="157"/>
        <v>0.09</v>
      </c>
      <c r="M697" s="4">
        <f t="shared" si="154"/>
        <v>2.0131400000000001E-2</v>
      </c>
      <c r="N697" s="4">
        <f t="shared" si="155"/>
        <v>4.743E-2</v>
      </c>
    </row>
    <row r="698" spans="1:14">
      <c r="A698" t="str">
        <f t="shared" si="144"/>
        <v>alp_Man-VWCO</v>
      </c>
      <c r="B698" t="str">
        <f t="shared" si="145"/>
        <v>Google Brasil</v>
      </c>
      <c r="C698" t="str">
        <f t="shared" si="146"/>
        <v>google-brasil|sky|120x600|vw_caminhoes|always_on|produto|criativo_72_delivery_5-150|120x600|cpm</v>
      </c>
      <c r="D698" t="str">
        <f t="shared" si="147"/>
        <v>138017771</v>
      </c>
      <c r="E698" t="str">
        <f t="shared" si="148"/>
        <v>Default</v>
      </c>
      <c r="F698" t="str">
        <f t="shared" si="149"/>
        <v>120x600 Default Web Ad</v>
      </c>
      <c r="G698" t="str">
        <f t="shared" si="150"/>
        <v>310387629</v>
      </c>
      <c r="H698" t="str">
        <f t="shared" si="151"/>
        <v>Display</v>
      </c>
      <c r="I698">
        <f t="shared" si="152"/>
        <v>711</v>
      </c>
      <c r="J698">
        <f t="shared" si="153"/>
        <v>1</v>
      </c>
      <c r="K698" s="4">
        <f t="shared" si="156"/>
        <v>3.8199999999999998E-2</v>
      </c>
      <c r="L698">
        <f t="shared" si="157"/>
        <v>0.09</v>
      </c>
      <c r="M698" s="4">
        <f t="shared" si="154"/>
        <v>2.7160199999999999E-2</v>
      </c>
      <c r="N698" s="4">
        <f t="shared" si="155"/>
        <v>6.3989999999999991E-2</v>
      </c>
    </row>
    <row r="699" spans="1:14">
      <c r="A699" t="str">
        <f t="shared" si="144"/>
        <v>alp_Man-VWCO</v>
      </c>
      <c r="B699" t="str">
        <f t="shared" si="145"/>
        <v>Google Brasil</v>
      </c>
      <c r="C699" t="str">
        <f t="shared" si="146"/>
        <v>google-brasil|sky|120x600|vw_caminhoes|always_on|produto|criativo_73_delivery_8-160|120x600|cpm</v>
      </c>
      <c r="D699" t="str">
        <f t="shared" si="147"/>
        <v>138017766</v>
      </c>
      <c r="E699" t="str">
        <f t="shared" si="148"/>
        <v>Default</v>
      </c>
      <c r="F699" t="str">
        <f t="shared" si="149"/>
        <v>120x600 Default Web Ad</v>
      </c>
      <c r="G699" t="str">
        <f t="shared" si="150"/>
        <v>310387629</v>
      </c>
      <c r="H699" t="str">
        <f t="shared" si="151"/>
        <v>Display</v>
      </c>
      <c r="I699">
        <f t="shared" si="152"/>
        <v>765</v>
      </c>
      <c r="J699">
        <f t="shared" si="153"/>
        <v>0</v>
      </c>
      <c r="K699" s="4">
        <f t="shared" si="156"/>
        <v>3.8199999999999998E-2</v>
      </c>
      <c r="L699">
        <f t="shared" si="157"/>
        <v>0.09</v>
      </c>
      <c r="M699" s="4">
        <f t="shared" si="154"/>
        <v>2.9222999999999999E-2</v>
      </c>
      <c r="N699" s="4">
        <f t="shared" si="155"/>
        <v>6.8849999999999995E-2</v>
      </c>
    </row>
    <row r="700" spans="1:14">
      <c r="A700" t="str">
        <f t="shared" si="144"/>
        <v>alp_Man-VWCO</v>
      </c>
      <c r="B700" t="str">
        <f t="shared" si="145"/>
        <v>Google Brasil</v>
      </c>
      <c r="C700" t="str">
        <f t="shared" si="146"/>
        <v>google-brasil|sky|120x600|vw_caminhoes|always_on|produto|criativo_73_delivery_8-160|120x600|cpm</v>
      </c>
      <c r="D700" t="str">
        <f t="shared" si="147"/>
        <v>138017766</v>
      </c>
      <c r="E700" t="str">
        <f t="shared" si="148"/>
        <v>Default</v>
      </c>
      <c r="F700" t="str">
        <f t="shared" si="149"/>
        <v>120x600 Default Web Ad</v>
      </c>
      <c r="G700" t="str">
        <f t="shared" si="150"/>
        <v>310387629</v>
      </c>
      <c r="H700" t="str">
        <f t="shared" si="151"/>
        <v>Display</v>
      </c>
      <c r="I700">
        <f t="shared" si="152"/>
        <v>312</v>
      </c>
      <c r="J700">
        <f t="shared" si="153"/>
        <v>0</v>
      </c>
      <c r="K700" s="4">
        <f t="shared" si="156"/>
        <v>3.8199999999999998E-2</v>
      </c>
      <c r="L700">
        <f t="shared" si="157"/>
        <v>0.09</v>
      </c>
      <c r="M700" s="4">
        <f t="shared" si="154"/>
        <v>1.1918400000000001E-2</v>
      </c>
      <c r="N700" s="4">
        <f t="shared" si="155"/>
        <v>2.8079999999999997E-2</v>
      </c>
    </row>
    <row r="701" spans="1:14">
      <c r="A701" t="str">
        <f t="shared" si="144"/>
        <v>alp_Man-VWCO</v>
      </c>
      <c r="B701" t="str">
        <f t="shared" si="145"/>
        <v>Google Brasil</v>
      </c>
      <c r="C701" t="str">
        <f t="shared" si="146"/>
        <v>google-brasil|sky|120x600|vw_caminhoes|always_on|produto|criativo_74_delivery_8-160|120x600|cpm</v>
      </c>
      <c r="D701" t="str">
        <f t="shared" si="147"/>
        <v>138017761</v>
      </c>
      <c r="E701" t="str">
        <f t="shared" si="148"/>
        <v>Default</v>
      </c>
      <c r="F701" t="str">
        <f t="shared" si="149"/>
        <v>120x600 Default Web Ad</v>
      </c>
      <c r="G701" t="str">
        <f t="shared" si="150"/>
        <v>310387629</v>
      </c>
      <c r="H701" t="str">
        <f t="shared" si="151"/>
        <v>Display</v>
      </c>
      <c r="I701">
        <f t="shared" si="152"/>
        <v>765</v>
      </c>
      <c r="J701">
        <f t="shared" si="153"/>
        <v>1</v>
      </c>
      <c r="K701" s="4">
        <f t="shared" si="156"/>
        <v>3.8199999999999998E-2</v>
      </c>
      <c r="L701">
        <f t="shared" si="157"/>
        <v>0.09</v>
      </c>
      <c r="M701" s="4">
        <f t="shared" si="154"/>
        <v>2.9222999999999999E-2</v>
      </c>
      <c r="N701" s="4">
        <f t="shared" si="155"/>
        <v>6.8849999999999995E-2</v>
      </c>
    </row>
    <row r="702" spans="1:14">
      <c r="A702" t="str">
        <f t="shared" si="144"/>
        <v>alp_Man-VWCO</v>
      </c>
      <c r="B702" t="str">
        <f t="shared" si="145"/>
        <v>Google Brasil</v>
      </c>
      <c r="C702" t="str">
        <f t="shared" si="146"/>
        <v>google-brasil|sky|120x600|vw_caminhoes|always_on|produto|criativo_74_delivery_8-160|120x600|cpm</v>
      </c>
      <c r="D702" t="str">
        <f t="shared" si="147"/>
        <v>138017761</v>
      </c>
      <c r="E702" t="str">
        <f t="shared" si="148"/>
        <v>Default</v>
      </c>
      <c r="F702" t="str">
        <f t="shared" si="149"/>
        <v>120x600 Default Web Ad</v>
      </c>
      <c r="G702" t="str">
        <f t="shared" si="150"/>
        <v>310387629</v>
      </c>
      <c r="H702" t="str">
        <f t="shared" si="151"/>
        <v>Display</v>
      </c>
      <c r="I702">
        <f t="shared" si="152"/>
        <v>272</v>
      </c>
      <c r="J702">
        <f t="shared" si="153"/>
        <v>0</v>
      </c>
      <c r="K702" s="4">
        <f t="shared" si="156"/>
        <v>3.8199999999999998E-2</v>
      </c>
      <c r="L702">
        <f t="shared" si="157"/>
        <v>0.09</v>
      </c>
      <c r="M702" s="4">
        <f t="shared" si="154"/>
        <v>1.0390399999999999E-2</v>
      </c>
      <c r="N702" s="4">
        <f t="shared" si="155"/>
        <v>2.4480000000000002E-2</v>
      </c>
    </row>
    <row r="703" spans="1:14">
      <c r="A703" t="str">
        <f t="shared" si="144"/>
        <v>alp_Man-VWCO</v>
      </c>
      <c r="B703" t="str">
        <f t="shared" si="145"/>
        <v>Google Brasil</v>
      </c>
      <c r="C703" t="str">
        <f t="shared" si="146"/>
        <v>google-brasil|sky|120x600|vw_caminhoes|always_on|produto|criativo_75_delivery_8-160|120x600|cpm</v>
      </c>
      <c r="D703" t="str">
        <f t="shared" si="147"/>
        <v>138017756</v>
      </c>
      <c r="E703" t="str">
        <f t="shared" si="148"/>
        <v>Default</v>
      </c>
      <c r="F703" t="str">
        <f t="shared" si="149"/>
        <v>120x600 Default Web Ad</v>
      </c>
      <c r="G703" t="str">
        <f t="shared" si="150"/>
        <v>310387629</v>
      </c>
      <c r="H703" t="str">
        <f t="shared" si="151"/>
        <v>Display</v>
      </c>
      <c r="I703">
        <f t="shared" si="152"/>
        <v>651</v>
      </c>
      <c r="J703">
        <f t="shared" si="153"/>
        <v>0</v>
      </c>
      <c r="K703" s="4">
        <f t="shared" si="156"/>
        <v>3.8199999999999998E-2</v>
      </c>
      <c r="L703">
        <f t="shared" si="157"/>
        <v>0.09</v>
      </c>
      <c r="M703" s="4">
        <f t="shared" si="154"/>
        <v>2.4868199999999997E-2</v>
      </c>
      <c r="N703" s="4">
        <f t="shared" si="155"/>
        <v>5.8589999999999996E-2</v>
      </c>
    </row>
    <row r="704" spans="1:14">
      <c r="A704" t="str">
        <f t="shared" si="144"/>
        <v>alp_Man-VWCO</v>
      </c>
      <c r="B704" t="str">
        <f t="shared" si="145"/>
        <v>Google Brasil</v>
      </c>
      <c r="C704" t="str">
        <f t="shared" si="146"/>
        <v>google-brasil|sky|120x600|vw_caminhoes|always_on|produto|criativo_75_delivery_8-160|120x600|cpm</v>
      </c>
      <c r="D704" t="str">
        <f t="shared" si="147"/>
        <v>138017756</v>
      </c>
      <c r="E704" t="str">
        <f t="shared" si="148"/>
        <v>Default</v>
      </c>
      <c r="F704" t="str">
        <f t="shared" si="149"/>
        <v>120x600 Default Web Ad</v>
      </c>
      <c r="G704" t="str">
        <f t="shared" si="150"/>
        <v>310387629</v>
      </c>
      <c r="H704" t="str">
        <f t="shared" si="151"/>
        <v>Display</v>
      </c>
      <c r="I704">
        <f t="shared" si="152"/>
        <v>316</v>
      </c>
      <c r="J704">
        <f t="shared" si="153"/>
        <v>0</v>
      </c>
      <c r="K704" s="4">
        <f t="shared" si="156"/>
        <v>3.8199999999999998E-2</v>
      </c>
      <c r="L704">
        <f t="shared" si="157"/>
        <v>0.09</v>
      </c>
      <c r="M704" s="4">
        <f t="shared" si="154"/>
        <v>1.2071199999999999E-2</v>
      </c>
      <c r="N704" s="4">
        <f t="shared" si="155"/>
        <v>2.8439999999999997E-2</v>
      </c>
    </row>
    <row r="705" spans="1:14">
      <c r="A705" t="str">
        <f t="shared" si="144"/>
        <v>alp_Man-VWCO</v>
      </c>
      <c r="B705" t="str">
        <f t="shared" si="145"/>
        <v>Google Brasil</v>
      </c>
      <c r="C705" t="str">
        <f t="shared" si="146"/>
        <v>google-brasil|sky|120x600|vw_caminhoes|always_on|produto|criativo_76_delivery_8-160|120x600|cpm</v>
      </c>
      <c r="D705" t="str">
        <f t="shared" si="147"/>
        <v>138017751</v>
      </c>
      <c r="E705" t="str">
        <f t="shared" si="148"/>
        <v>Default</v>
      </c>
      <c r="F705" t="str">
        <f t="shared" si="149"/>
        <v>120x600 Default Web Ad</v>
      </c>
      <c r="G705" t="str">
        <f t="shared" si="150"/>
        <v>310387629</v>
      </c>
      <c r="H705" t="str">
        <f t="shared" si="151"/>
        <v>Display</v>
      </c>
      <c r="I705">
        <f t="shared" si="152"/>
        <v>718</v>
      </c>
      <c r="J705">
        <f t="shared" si="153"/>
        <v>0</v>
      </c>
      <c r="K705" s="4">
        <f t="shared" si="156"/>
        <v>3.8199999999999998E-2</v>
      </c>
      <c r="L705">
        <f t="shared" si="157"/>
        <v>0.09</v>
      </c>
      <c r="M705" s="4">
        <f t="shared" si="154"/>
        <v>2.74276E-2</v>
      </c>
      <c r="N705" s="4">
        <f t="shared" si="155"/>
        <v>6.4620000000000011E-2</v>
      </c>
    </row>
    <row r="706" spans="1:14">
      <c r="A706" t="str">
        <f t="shared" ref="A706:A769" si="158">bd_campaign</f>
        <v>alp_Man-VWCO</v>
      </c>
      <c r="B706" t="str">
        <f t="shared" ref="B706:B769" si="159">bd_site</f>
        <v>Google Brasil</v>
      </c>
      <c r="C706" t="str">
        <f t="shared" ref="C706:C769" si="160">bd_placement</f>
        <v>google-brasil|sky|120x600|vw_caminhoes|always_on|produto|criativo_76_delivery_8-160|120x600|cpm</v>
      </c>
      <c r="D706" t="str">
        <f t="shared" ref="D706:D769" si="161">bd_placementID</f>
        <v>138017751</v>
      </c>
      <c r="E706" t="str">
        <f t="shared" ref="E706:E769" si="162">VLOOKUP(CONCATENATE(bd_adtype,"_",bd_creativetype),tabela,2,FALSE)</f>
        <v>Default</v>
      </c>
      <c r="F706" t="str">
        <f t="shared" ref="F706:F769" si="163">bd_ad</f>
        <v>120x600 Default Web Ad</v>
      </c>
      <c r="G706" t="str">
        <f t="shared" ref="G706:G769" si="164">bd_adid</f>
        <v>310387629</v>
      </c>
      <c r="H706" t="str">
        <f t="shared" ref="H706:H769" si="165">bd_creativetype</f>
        <v>Display</v>
      </c>
      <c r="I706">
        <f t="shared" ref="I706:I769" si="166">bd_impression</f>
        <v>311</v>
      </c>
      <c r="J706">
        <f t="shared" ref="J706:J769" si="167">bd_clicks</f>
        <v>0</v>
      </c>
      <c r="K706" s="4">
        <f t="shared" si="156"/>
        <v>3.8199999999999998E-2</v>
      </c>
      <c r="L706">
        <f t="shared" si="157"/>
        <v>0.09</v>
      </c>
      <c r="M706" s="4">
        <f t="shared" si="154"/>
        <v>1.1880199999999999E-2</v>
      </c>
      <c r="N706" s="4">
        <f t="shared" si="155"/>
        <v>2.7989999999999998E-2</v>
      </c>
    </row>
    <row r="707" spans="1:14">
      <c r="A707" t="str">
        <f t="shared" si="158"/>
        <v>alp_Man-VWCO</v>
      </c>
      <c r="B707" t="str">
        <f t="shared" si="159"/>
        <v>Google Brasil</v>
      </c>
      <c r="C707" t="str">
        <f t="shared" si="160"/>
        <v>google-brasil|sky|120x600|vw_caminhoes|always_on|produto|criativo_77_delivery_8-160|120x600|cpm</v>
      </c>
      <c r="D707" t="str">
        <f t="shared" si="161"/>
        <v>138017746</v>
      </c>
      <c r="E707" t="str">
        <f t="shared" si="162"/>
        <v>Default</v>
      </c>
      <c r="F707" t="str">
        <f t="shared" si="163"/>
        <v>120x600 Default Web Ad</v>
      </c>
      <c r="G707" t="str">
        <f t="shared" si="164"/>
        <v>310387629</v>
      </c>
      <c r="H707" t="str">
        <f t="shared" si="165"/>
        <v>Display</v>
      </c>
      <c r="I707">
        <f t="shared" si="166"/>
        <v>728</v>
      </c>
      <c r="J707">
        <f t="shared" si="167"/>
        <v>0</v>
      </c>
      <c r="K707" s="4">
        <f t="shared" si="156"/>
        <v>3.8199999999999998E-2</v>
      </c>
      <c r="L707">
        <f t="shared" si="157"/>
        <v>0.09</v>
      </c>
      <c r="M707" s="4">
        <f t="shared" si="154"/>
        <v>2.78096E-2</v>
      </c>
      <c r="N707" s="4">
        <f t="shared" si="155"/>
        <v>6.5519999999999995E-2</v>
      </c>
    </row>
    <row r="708" spans="1:14">
      <c r="A708" t="str">
        <f t="shared" si="158"/>
        <v>alp_Man-VWCO</v>
      </c>
      <c r="B708" t="str">
        <f t="shared" si="159"/>
        <v>Google Brasil</v>
      </c>
      <c r="C708" t="str">
        <f t="shared" si="160"/>
        <v>google-brasil|sky|120x600|vw_caminhoes|always_on|produto|criativo_77_delivery_8-160|120x600|cpm</v>
      </c>
      <c r="D708" t="str">
        <f t="shared" si="161"/>
        <v>138017746</v>
      </c>
      <c r="E708" t="str">
        <f t="shared" si="162"/>
        <v>Default</v>
      </c>
      <c r="F708" t="str">
        <f t="shared" si="163"/>
        <v>120x600 Default Web Ad</v>
      </c>
      <c r="G708" t="str">
        <f t="shared" si="164"/>
        <v>310387629</v>
      </c>
      <c r="H708" t="str">
        <f t="shared" si="165"/>
        <v>Display</v>
      </c>
      <c r="I708">
        <f t="shared" si="166"/>
        <v>326</v>
      </c>
      <c r="J708">
        <f t="shared" si="167"/>
        <v>0</v>
      </c>
      <c r="K708" s="4">
        <f t="shared" si="156"/>
        <v>3.8199999999999998E-2</v>
      </c>
      <c r="L708">
        <f t="shared" si="157"/>
        <v>0.09</v>
      </c>
      <c r="M708" s="4">
        <f t="shared" si="154"/>
        <v>1.2453199999999999E-2</v>
      </c>
      <c r="N708" s="4">
        <f t="shared" si="155"/>
        <v>2.9340000000000001E-2</v>
      </c>
    </row>
    <row r="709" spans="1:14">
      <c r="A709" t="str">
        <f t="shared" si="158"/>
        <v>alp_Man-VWCO</v>
      </c>
      <c r="B709" t="str">
        <f t="shared" si="159"/>
        <v>Google Brasil</v>
      </c>
      <c r="C709" t="str">
        <f t="shared" si="160"/>
        <v>google-brasil|sky|120x600|vw_caminhoes|always_on|produto|criativo_78_delivery_8-160|120x600|cpm</v>
      </c>
      <c r="D709" t="str">
        <f t="shared" si="161"/>
        <v>138017741</v>
      </c>
      <c r="E709" t="str">
        <f t="shared" si="162"/>
        <v>Default</v>
      </c>
      <c r="F709" t="str">
        <f t="shared" si="163"/>
        <v>120x600 Default Web Ad</v>
      </c>
      <c r="G709" t="str">
        <f t="shared" si="164"/>
        <v>310387629</v>
      </c>
      <c r="H709" t="str">
        <f t="shared" si="165"/>
        <v>Display</v>
      </c>
      <c r="I709">
        <f t="shared" si="166"/>
        <v>672</v>
      </c>
      <c r="J709">
        <f t="shared" si="167"/>
        <v>0</v>
      </c>
      <c r="K709" s="4">
        <f t="shared" si="156"/>
        <v>3.8199999999999998E-2</v>
      </c>
      <c r="L709">
        <f t="shared" si="157"/>
        <v>0.09</v>
      </c>
      <c r="M709" s="4">
        <f t="shared" si="154"/>
        <v>2.5670399999999996E-2</v>
      </c>
      <c r="N709" s="4">
        <f t="shared" si="155"/>
        <v>6.0479999999999999E-2</v>
      </c>
    </row>
    <row r="710" spans="1:14">
      <c r="A710" t="str">
        <f t="shared" si="158"/>
        <v>alp_Man-VWCO</v>
      </c>
      <c r="B710" t="str">
        <f t="shared" si="159"/>
        <v>Google Brasil</v>
      </c>
      <c r="C710" t="str">
        <f t="shared" si="160"/>
        <v>google-brasil|sky|120x600|vw_caminhoes|always_on|produto|criativo_78_delivery_8-160|120x600|cpm</v>
      </c>
      <c r="D710" t="str">
        <f t="shared" si="161"/>
        <v>138017741</v>
      </c>
      <c r="E710" t="str">
        <f t="shared" si="162"/>
        <v>Default</v>
      </c>
      <c r="F710" t="str">
        <f t="shared" si="163"/>
        <v>120x600 Default Web Ad</v>
      </c>
      <c r="G710" t="str">
        <f t="shared" si="164"/>
        <v>310387629</v>
      </c>
      <c r="H710" t="str">
        <f t="shared" si="165"/>
        <v>Display</v>
      </c>
      <c r="I710">
        <f t="shared" si="166"/>
        <v>302</v>
      </c>
      <c r="J710">
        <f t="shared" si="167"/>
        <v>0</v>
      </c>
      <c r="K710" s="4">
        <f t="shared" si="156"/>
        <v>3.8199999999999998E-2</v>
      </c>
      <c r="L710">
        <f t="shared" si="157"/>
        <v>0.09</v>
      </c>
      <c r="M710" s="4">
        <f t="shared" si="154"/>
        <v>1.1536399999999999E-2</v>
      </c>
      <c r="N710" s="4">
        <f t="shared" si="155"/>
        <v>2.7179999999999999E-2</v>
      </c>
    </row>
    <row r="711" spans="1:14">
      <c r="A711" t="str">
        <f t="shared" si="158"/>
        <v>alp_Man-VWCO</v>
      </c>
      <c r="B711" t="str">
        <f t="shared" si="159"/>
        <v>Google Brasil</v>
      </c>
      <c r="C711" t="str">
        <f t="shared" si="160"/>
        <v>google-brasil|sky|120x600|vw_caminhoes|always_on|produto|criativo_84_delivery_9-160|120x600|cpm</v>
      </c>
      <c r="D711" t="str">
        <f t="shared" si="161"/>
        <v>138017711</v>
      </c>
      <c r="E711" t="str">
        <f t="shared" si="162"/>
        <v>Default</v>
      </c>
      <c r="F711" t="str">
        <f t="shared" si="163"/>
        <v>120x600 Default Web Ad</v>
      </c>
      <c r="G711" t="str">
        <f t="shared" si="164"/>
        <v>310387629</v>
      </c>
      <c r="H711" t="str">
        <f t="shared" si="165"/>
        <v>Display</v>
      </c>
      <c r="I711">
        <f t="shared" si="166"/>
        <v>804</v>
      </c>
      <c r="J711">
        <f t="shared" si="167"/>
        <v>0</v>
      </c>
      <c r="K711" s="4">
        <f t="shared" si="156"/>
        <v>3.8199999999999998E-2</v>
      </c>
      <c r="L711">
        <f t="shared" si="157"/>
        <v>0.09</v>
      </c>
      <c r="M711" s="4">
        <f t="shared" si="154"/>
        <v>3.0712799999999998E-2</v>
      </c>
      <c r="N711" s="4">
        <f t="shared" si="155"/>
        <v>7.2359999999999994E-2</v>
      </c>
    </row>
    <row r="712" spans="1:14">
      <c r="A712" t="str">
        <f t="shared" si="158"/>
        <v>alp_Man-VWCO</v>
      </c>
      <c r="B712" t="str">
        <f t="shared" si="159"/>
        <v>Google Brasil</v>
      </c>
      <c r="C712" t="str">
        <f t="shared" si="160"/>
        <v>google-brasil|sky|120x600|vw_caminhoes|always_on|produto|criativo_84_delivery_9-160|120x600|cpm</v>
      </c>
      <c r="D712" t="str">
        <f t="shared" si="161"/>
        <v>138017711</v>
      </c>
      <c r="E712" t="str">
        <f t="shared" si="162"/>
        <v>Default</v>
      </c>
      <c r="F712" t="str">
        <f t="shared" si="163"/>
        <v>120x600 Default Web Ad</v>
      </c>
      <c r="G712" t="str">
        <f t="shared" si="164"/>
        <v>310387629</v>
      </c>
      <c r="H712" t="str">
        <f t="shared" si="165"/>
        <v>Display</v>
      </c>
      <c r="I712">
        <f t="shared" si="166"/>
        <v>243</v>
      </c>
      <c r="J712">
        <f t="shared" si="167"/>
        <v>0</v>
      </c>
      <c r="K712" s="4">
        <f t="shared" si="156"/>
        <v>3.8199999999999998E-2</v>
      </c>
      <c r="L712">
        <f t="shared" si="157"/>
        <v>0.09</v>
      </c>
      <c r="M712" s="4">
        <f t="shared" si="154"/>
        <v>9.2825999999999985E-3</v>
      </c>
      <c r="N712" s="4">
        <f t="shared" si="155"/>
        <v>2.1869999999999997E-2</v>
      </c>
    </row>
    <row r="713" spans="1:14">
      <c r="A713" t="str">
        <f t="shared" si="158"/>
        <v>alp_Man-VWCO</v>
      </c>
      <c r="B713" t="str">
        <f t="shared" si="159"/>
        <v>Google Brasil</v>
      </c>
      <c r="C713" t="str">
        <f t="shared" si="160"/>
        <v>google-brasil|sky|120x600|vw_caminhoes|always_on|produto|criativo_85_delivery_9-160|120x600|cpm</v>
      </c>
      <c r="D713" t="str">
        <f t="shared" si="161"/>
        <v>138017706</v>
      </c>
      <c r="E713" t="str">
        <f t="shared" si="162"/>
        <v>Default</v>
      </c>
      <c r="F713" t="str">
        <f t="shared" si="163"/>
        <v>120x600 Default Web Ad</v>
      </c>
      <c r="G713" t="str">
        <f t="shared" si="164"/>
        <v>310387629</v>
      </c>
      <c r="H713" t="str">
        <f t="shared" si="165"/>
        <v>Display</v>
      </c>
      <c r="I713">
        <f t="shared" si="166"/>
        <v>811</v>
      </c>
      <c r="J713">
        <f t="shared" si="167"/>
        <v>0</v>
      </c>
      <c r="K713" s="4">
        <f t="shared" si="156"/>
        <v>3.8199999999999998E-2</v>
      </c>
      <c r="L713">
        <f t="shared" si="157"/>
        <v>0.09</v>
      </c>
      <c r="M713" s="4">
        <f t="shared" si="154"/>
        <v>3.0980199999999999E-2</v>
      </c>
      <c r="N713" s="4">
        <f t="shared" si="155"/>
        <v>7.2989999999999999E-2</v>
      </c>
    </row>
    <row r="714" spans="1:14">
      <c r="A714" t="str">
        <f t="shared" si="158"/>
        <v>alp_Man-VWCO</v>
      </c>
      <c r="B714" t="str">
        <f t="shared" si="159"/>
        <v>Google Brasil</v>
      </c>
      <c r="C714" t="str">
        <f t="shared" si="160"/>
        <v>google-brasil|sky|120x600|vw_caminhoes|always_on|produto|criativo_85_delivery_9-160|120x600|cpm</v>
      </c>
      <c r="D714" t="str">
        <f t="shared" si="161"/>
        <v>138017706</v>
      </c>
      <c r="E714" t="str">
        <f t="shared" si="162"/>
        <v>Default</v>
      </c>
      <c r="F714" t="str">
        <f t="shared" si="163"/>
        <v>120x600 Default Web Ad</v>
      </c>
      <c r="G714" t="str">
        <f t="shared" si="164"/>
        <v>310387629</v>
      </c>
      <c r="H714" t="str">
        <f t="shared" si="165"/>
        <v>Display</v>
      </c>
      <c r="I714">
        <f t="shared" si="166"/>
        <v>317</v>
      </c>
      <c r="J714">
        <f t="shared" si="167"/>
        <v>0</v>
      </c>
      <c r="K714" s="4">
        <f t="shared" si="156"/>
        <v>3.8199999999999998E-2</v>
      </c>
      <c r="L714">
        <f t="shared" si="157"/>
        <v>0.09</v>
      </c>
      <c r="M714" s="4">
        <f t="shared" si="154"/>
        <v>1.2109399999999999E-2</v>
      </c>
      <c r="N714" s="4">
        <f t="shared" si="155"/>
        <v>2.8529999999999996E-2</v>
      </c>
    </row>
    <row r="715" spans="1:14">
      <c r="A715" t="str">
        <f t="shared" si="158"/>
        <v>alp_Man-VWCO</v>
      </c>
      <c r="B715" t="str">
        <f t="shared" si="159"/>
        <v>Google Brasil</v>
      </c>
      <c r="C715" t="str">
        <f t="shared" si="160"/>
        <v>google-brasil|sky|120x600|vw_caminhoes|always_on|produto|criativo_86_delivery_9-160|120x600|cpm</v>
      </c>
      <c r="D715" t="str">
        <f t="shared" si="161"/>
        <v>138017701</v>
      </c>
      <c r="E715" t="str">
        <f t="shared" si="162"/>
        <v>Default</v>
      </c>
      <c r="F715" t="str">
        <f t="shared" si="163"/>
        <v>120x600 Default Web Ad</v>
      </c>
      <c r="G715" t="str">
        <f t="shared" si="164"/>
        <v>310387629</v>
      </c>
      <c r="H715" t="str">
        <f t="shared" si="165"/>
        <v>Display</v>
      </c>
      <c r="I715">
        <f t="shared" si="166"/>
        <v>827</v>
      </c>
      <c r="J715">
        <f t="shared" si="167"/>
        <v>0</v>
      </c>
      <c r="K715" s="4">
        <f t="shared" si="156"/>
        <v>3.8199999999999998E-2</v>
      </c>
      <c r="L715">
        <f t="shared" si="157"/>
        <v>0.09</v>
      </c>
      <c r="M715" s="4">
        <f t="shared" si="154"/>
        <v>3.1591399999999999E-2</v>
      </c>
      <c r="N715" s="4">
        <f t="shared" si="155"/>
        <v>7.4429999999999996E-2</v>
      </c>
    </row>
    <row r="716" spans="1:14">
      <c r="A716" t="str">
        <f t="shared" si="158"/>
        <v>alp_Man-VWCO</v>
      </c>
      <c r="B716" t="str">
        <f t="shared" si="159"/>
        <v>Google Brasil</v>
      </c>
      <c r="C716" t="str">
        <f t="shared" si="160"/>
        <v>google-brasil|sky|120x600|vw_caminhoes|always_on|produto|criativo_86_delivery_9-160|120x600|cpm</v>
      </c>
      <c r="D716" t="str">
        <f t="shared" si="161"/>
        <v>138017701</v>
      </c>
      <c r="E716" t="str">
        <f t="shared" si="162"/>
        <v>Default</v>
      </c>
      <c r="F716" t="str">
        <f t="shared" si="163"/>
        <v>120x600 Default Web Ad</v>
      </c>
      <c r="G716" t="str">
        <f t="shared" si="164"/>
        <v>310387629</v>
      </c>
      <c r="H716" t="str">
        <f t="shared" si="165"/>
        <v>Display</v>
      </c>
      <c r="I716">
        <f t="shared" si="166"/>
        <v>274</v>
      </c>
      <c r="J716">
        <f t="shared" si="167"/>
        <v>0</v>
      </c>
      <c r="K716" s="4">
        <f t="shared" si="156"/>
        <v>3.8199999999999998E-2</v>
      </c>
      <c r="L716">
        <f t="shared" si="157"/>
        <v>0.09</v>
      </c>
      <c r="M716" s="4">
        <f t="shared" si="154"/>
        <v>1.04668E-2</v>
      </c>
      <c r="N716" s="4">
        <f t="shared" si="155"/>
        <v>2.4660000000000001E-2</v>
      </c>
    </row>
    <row r="717" spans="1:14">
      <c r="A717" t="str">
        <f t="shared" si="158"/>
        <v>alp_Man-VWCO</v>
      </c>
      <c r="B717" t="str">
        <f t="shared" si="159"/>
        <v>Google Brasil</v>
      </c>
      <c r="C717" t="str">
        <f t="shared" si="160"/>
        <v>google-brasil|sky|120x600|vw_caminhoes|always_on|produto|criativo_87_delivery_9-160|120x600|cpm</v>
      </c>
      <c r="D717" t="str">
        <f t="shared" si="161"/>
        <v>138015896</v>
      </c>
      <c r="E717" t="str">
        <f t="shared" si="162"/>
        <v>Default</v>
      </c>
      <c r="F717" t="str">
        <f t="shared" si="163"/>
        <v>120x600 Default Web Ad</v>
      </c>
      <c r="G717" t="str">
        <f t="shared" si="164"/>
        <v>310387629</v>
      </c>
      <c r="H717" t="str">
        <f t="shared" si="165"/>
        <v>Display</v>
      </c>
      <c r="I717">
        <f t="shared" si="166"/>
        <v>881</v>
      </c>
      <c r="J717">
        <f t="shared" si="167"/>
        <v>0</v>
      </c>
      <c r="K717" s="4">
        <f t="shared" si="156"/>
        <v>3.8199999999999998E-2</v>
      </c>
      <c r="L717">
        <f t="shared" si="157"/>
        <v>0.09</v>
      </c>
      <c r="M717" s="4">
        <f t="shared" si="154"/>
        <v>3.3654199999999995E-2</v>
      </c>
      <c r="N717" s="4">
        <f t="shared" si="155"/>
        <v>7.9289999999999985E-2</v>
      </c>
    </row>
    <row r="718" spans="1:14">
      <c r="A718" t="str">
        <f t="shared" si="158"/>
        <v>alp_Man-VWCO</v>
      </c>
      <c r="B718" t="str">
        <f t="shared" si="159"/>
        <v>Google Brasil</v>
      </c>
      <c r="C718" t="str">
        <f t="shared" si="160"/>
        <v>google-brasil|sky|120x600|vw_caminhoes|always_on|produto|criativo_87_delivery_9-160|120x600|cpm</v>
      </c>
      <c r="D718" t="str">
        <f t="shared" si="161"/>
        <v>138015896</v>
      </c>
      <c r="E718" t="str">
        <f t="shared" si="162"/>
        <v>Default</v>
      </c>
      <c r="F718" t="str">
        <f t="shared" si="163"/>
        <v>120x600 Default Web Ad</v>
      </c>
      <c r="G718" t="str">
        <f t="shared" si="164"/>
        <v>310387629</v>
      </c>
      <c r="H718" t="str">
        <f t="shared" si="165"/>
        <v>Display</v>
      </c>
      <c r="I718">
        <f t="shared" si="166"/>
        <v>269</v>
      </c>
      <c r="J718">
        <f t="shared" si="167"/>
        <v>0</v>
      </c>
      <c r="K718" s="4">
        <f t="shared" si="156"/>
        <v>3.8199999999999998E-2</v>
      </c>
      <c r="L718">
        <f t="shared" si="157"/>
        <v>0.09</v>
      </c>
      <c r="M718" s="4">
        <f t="shared" si="154"/>
        <v>1.02758E-2</v>
      </c>
      <c r="N718" s="4">
        <f t="shared" si="155"/>
        <v>2.4210000000000002E-2</v>
      </c>
    </row>
    <row r="719" spans="1:14">
      <c r="A719" t="str">
        <f t="shared" si="158"/>
        <v>alp_Man-VWCO</v>
      </c>
      <c r="B719" t="str">
        <f t="shared" si="159"/>
        <v>Google Brasil</v>
      </c>
      <c r="C719" t="str">
        <f t="shared" si="160"/>
        <v>google-brasil|sky|120x600|vw_caminhoes|always_on|produto|criativo_88_delivery_9-160|120x600|cpm</v>
      </c>
      <c r="D719" t="str">
        <f t="shared" si="161"/>
        <v>138015891</v>
      </c>
      <c r="E719" t="str">
        <f t="shared" si="162"/>
        <v>Default</v>
      </c>
      <c r="F719" t="str">
        <f t="shared" si="163"/>
        <v>120x600 Default Web Ad</v>
      </c>
      <c r="G719" t="str">
        <f t="shared" si="164"/>
        <v>310387629</v>
      </c>
      <c r="H719" t="str">
        <f t="shared" si="165"/>
        <v>Display</v>
      </c>
      <c r="I719">
        <f t="shared" si="166"/>
        <v>907</v>
      </c>
      <c r="J719">
        <f t="shared" si="167"/>
        <v>0</v>
      </c>
      <c r="K719" s="4">
        <f t="shared" si="156"/>
        <v>3.8199999999999998E-2</v>
      </c>
      <c r="L719">
        <f t="shared" si="157"/>
        <v>0.09</v>
      </c>
      <c r="M719" s="4">
        <f t="shared" si="154"/>
        <v>3.4647399999999995E-2</v>
      </c>
      <c r="N719" s="4">
        <f t="shared" si="155"/>
        <v>8.1629999999999994E-2</v>
      </c>
    </row>
    <row r="720" spans="1:14">
      <c r="A720" t="str">
        <f t="shared" si="158"/>
        <v>alp_Man-VWCO</v>
      </c>
      <c r="B720" t="str">
        <f t="shared" si="159"/>
        <v>Google Brasil</v>
      </c>
      <c r="C720" t="str">
        <f t="shared" si="160"/>
        <v>google-brasil|sky|120x600|vw_caminhoes|always_on|produto|criativo_88_delivery_9-160|120x600|cpm</v>
      </c>
      <c r="D720" t="str">
        <f t="shared" si="161"/>
        <v>138015891</v>
      </c>
      <c r="E720" t="str">
        <f t="shared" si="162"/>
        <v>Default</v>
      </c>
      <c r="F720" t="str">
        <f t="shared" si="163"/>
        <v>120x600 Default Web Ad</v>
      </c>
      <c r="G720" t="str">
        <f t="shared" si="164"/>
        <v>310387629</v>
      </c>
      <c r="H720" t="str">
        <f t="shared" si="165"/>
        <v>Display</v>
      </c>
      <c r="I720">
        <f t="shared" si="166"/>
        <v>266</v>
      </c>
      <c r="J720">
        <f t="shared" si="167"/>
        <v>0</v>
      </c>
      <c r="K720" s="4">
        <f t="shared" si="156"/>
        <v>3.8199999999999998E-2</v>
      </c>
      <c r="L720">
        <f t="shared" si="157"/>
        <v>0.09</v>
      </c>
      <c r="M720" s="4">
        <f t="shared" si="154"/>
        <v>1.0161199999999999E-2</v>
      </c>
      <c r="N720" s="4">
        <f t="shared" si="155"/>
        <v>2.3939999999999996E-2</v>
      </c>
    </row>
    <row r="721" spans="1:14">
      <c r="A721" t="str">
        <f t="shared" si="158"/>
        <v>alp_Man-VWCO</v>
      </c>
      <c r="B721" t="str">
        <f t="shared" si="159"/>
        <v>Google Brasil</v>
      </c>
      <c r="C721" t="str">
        <f t="shared" si="160"/>
        <v>google-brasil|sky|120x600|vw_caminhoes|always_on|produto|criativo_90_delivery_10-160|120x600|cpm</v>
      </c>
      <c r="D721" t="str">
        <f t="shared" si="161"/>
        <v>138015881</v>
      </c>
      <c r="E721" t="str">
        <f t="shared" si="162"/>
        <v>Default</v>
      </c>
      <c r="F721" t="str">
        <f t="shared" si="163"/>
        <v>120x600 Default Web Ad</v>
      </c>
      <c r="G721" t="str">
        <f t="shared" si="164"/>
        <v>310387629</v>
      </c>
      <c r="H721" t="str">
        <f t="shared" si="165"/>
        <v>Display</v>
      </c>
      <c r="I721">
        <f t="shared" si="166"/>
        <v>403</v>
      </c>
      <c r="J721">
        <f t="shared" si="167"/>
        <v>0</v>
      </c>
      <c r="K721" s="4">
        <f t="shared" si="156"/>
        <v>3.8199999999999998E-2</v>
      </c>
      <c r="L721">
        <f t="shared" si="157"/>
        <v>0.09</v>
      </c>
      <c r="M721" s="4">
        <f t="shared" si="154"/>
        <v>1.5394599999999998E-2</v>
      </c>
      <c r="N721" s="4">
        <f t="shared" si="155"/>
        <v>3.6269999999999997E-2</v>
      </c>
    </row>
    <row r="722" spans="1:14">
      <c r="A722" t="str">
        <f t="shared" si="158"/>
        <v>alp_Man-VWCO</v>
      </c>
      <c r="B722" t="str">
        <f t="shared" si="159"/>
        <v>Google Brasil</v>
      </c>
      <c r="C722" t="str">
        <f t="shared" si="160"/>
        <v>google-brasil|sky|120x600|vw_caminhoes|always_on|produto|criativo_90_delivery_10-160|120x600|cpm</v>
      </c>
      <c r="D722" t="str">
        <f t="shared" si="161"/>
        <v>138015881</v>
      </c>
      <c r="E722" t="str">
        <f t="shared" si="162"/>
        <v>Default</v>
      </c>
      <c r="F722" t="str">
        <f t="shared" si="163"/>
        <v>120x600 Default Web Ad</v>
      </c>
      <c r="G722" t="str">
        <f t="shared" si="164"/>
        <v>310387629</v>
      </c>
      <c r="H722" t="str">
        <f t="shared" si="165"/>
        <v>Display</v>
      </c>
      <c r="I722">
        <f t="shared" si="166"/>
        <v>525</v>
      </c>
      <c r="J722">
        <f t="shared" si="167"/>
        <v>0</v>
      </c>
      <c r="K722" s="4">
        <f t="shared" si="156"/>
        <v>3.8199999999999998E-2</v>
      </c>
      <c r="L722">
        <f t="shared" si="157"/>
        <v>0.09</v>
      </c>
      <c r="M722" s="4">
        <f t="shared" si="154"/>
        <v>2.0055E-2</v>
      </c>
      <c r="N722" s="4">
        <f t="shared" si="155"/>
        <v>4.725E-2</v>
      </c>
    </row>
    <row r="723" spans="1:14">
      <c r="A723" t="str">
        <f t="shared" si="158"/>
        <v>alp_Man-VWCO</v>
      </c>
      <c r="B723" t="str">
        <f t="shared" si="159"/>
        <v>Google Brasil</v>
      </c>
      <c r="C723" t="str">
        <f t="shared" si="160"/>
        <v>google-brasil|sky|120x600|vw_caminhoes|always_on|produto|criativo_91_delivery_10-160|120x600|cpm</v>
      </c>
      <c r="D723" t="str">
        <f t="shared" si="161"/>
        <v>138015876</v>
      </c>
      <c r="E723" t="str">
        <f t="shared" si="162"/>
        <v>Default</v>
      </c>
      <c r="F723" t="str">
        <f t="shared" si="163"/>
        <v>120x600 Default Web Ad</v>
      </c>
      <c r="G723" t="str">
        <f t="shared" si="164"/>
        <v>310387629</v>
      </c>
      <c r="H723" t="str">
        <f t="shared" si="165"/>
        <v>Display</v>
      </c>
      <c r="I723">
        <f t="shared" si="166"/>
        <v>459</v>
      </c>
      <c r="J723">
        <f t="shared" si="167"/>
        <v>0</v>
      </c>
      <c r="K723" s="4">
        <f t="shared" si="156"/>
        <v>3.8199999999999998E-2</v>
      </c>
      <c r="L723">
        <f t="shared" si="157"/>
        <v>0.09</v>
      </c>
      <c r="M723" s="4">
        <f t="shared" si="154"/>
        <v>1.7533799999999999E-2</v>
      </c>
      <c r="N723" s="4">
        <f t="shared" si="155"/>
        <v>4.1309999999999993E-2</v>
      </c>
    </row>
    <row r="724" spans="1:14">
      <c r="A724" t="str">
        <f t="shared" si="158"/>
        <v>alp_Man-VWCO</v>
      </c>
      <c r="B724" t="str">
        <f t="shared" si="159"/>
        <v>Google Brasil</v>
      </c>
      <c r="C724" t="str">
        <f t="shared" si="160"/>
        <v>google-brasil|sky|120x600|vw_caminhoes|always_on|produto|criativo_91_delivery_10-160|120x600|cpm</v>
      </c>
      <c r="D724" t="str">
        <f t="shared" si="161"/>
        <v>138015876</v>
      </c>
      <c r="E724" t="str">
        <f t="shared" si="162"/>
        <v>Default</v>
      </c>
      <c r="F724" t="str">
        <f t="shared" si="163"/>
        <v>120x600 Default Web Ad</v>
      </c>
      <c r="G724" t="str">
        <f t="shared" si="164"/>
        <v>310387629</v>
      </c>
      <c r="H724" t="str">
        <f t="shared" si="165"/>
        <v>Display</v>
      </c>
      <c r="I724">
        <f t="shared" si="166"/>
        <v>459</v>
      </c>
      <c r="J724">
        <f t="shared" si="167"/>
        <v>0</v>
      </c>
      <c r="K724" s="4">
        <f t="shared" si="156"/>
        <v>3.8199999999999998E-2</v>
      </c>
      <c r="L724">
        <f t="shared" si="157"/>
        <v>0.09</v>
      </c>
      <c r="M724" s="4">
        <f t="shared" si="154"/>
        <v>1.7533799999999999E-2</v>
      </c>
      <c r="N724" s="4">
        <f t="shared" si="155"/>
        <v>4.1309999999999993E-2</v>
      </c>
    </row>
    <row r="725" spans="1:14">
      <c r="A725" t="str">
        <f t="shared" si="158"/>
        <v>alp_Man-VWCO</v>
      </c>
      <c r="B725" t="str">
        <f t="shared" si="159"/>
        <v>Google Brasil</v>
      </c>
      <c r="C725" t="str">
        <f t="shared" si="160"/>
        <v>google-brasil|sky|120x600|vw_caminhoes|always_on|produto|criativo_92_delivery_10-160|120x600|cpm</v>
      </c>
      <c r="D725" t="str">
        <f t="shared" si="161"/>
        <v>138015871</v>
      </c>
      <c r="E725" t="str">
        <f t="shared" si="162"/>
        <v>Default</v>
      </c>
      <c r="F725" t="str">
        <f t="shared" si="163"/>
        <v>120x600 Default Web Ad</v>
      </c>
      <c r="G725" t="str">
        <f t="shared" si="164"/>
        <v>310387629</v>
      </c>
      <c r="H725" t="str">
        <f t="shared" si="165"/>
        <v>Display</v>
      </c>
      <c r="I725">
        <f t="shared" si="166"/>
        <v>410</v>
      </c>
      <c r="J725">
        <f t="shared" si="167"/>
        <v>0</v>
      </c>
      <c r="K725" s="4">
        <f t="shared" si="156"/>
        <v>3.8199999999999998E-2</v>
      </c>
      <c r="L725">
        <f t="shared" si="157"/>
        <v>0.09</v>
      </c>
      <c r="M725" s="4">
        <f t="shared" si="154"/>
        <v>1.5661999999999999E-2</v>
      </c>
      <c r="N725" s="4">
        <f t="shared" si="155"/>
        <v>3.6899999999999995E-2</v>
      </c>
    </row>
    <row r="726" spans="1:14">
      <c r="A726" t="str">
        <f t="shared" si="158"/>
        <v>alp_Man-VWCO</v>
      </c>
      <c r="B726" t="str">
        <f t="shared" si="159"/>
        <v>Google Brasil</v>
      </c>
      <c r="C726" t="str">
        <f t="shared" si="160"/>
        <v>google-brasil|sky|120x600|vw_caminhoes|always_on|produto|criativo_92_delivery_10-160|120x600|cpm</v>
      </c>
      <c r="D726" t="str">
        <f t="shared" si="161"/>
        <v>138015871</v>
      </c>
      <c r="E726" t="str">
        <f t="shared" si="162"/>
        <v>Default</v>
      </c>
      <c r="F726" t="str">
        <f t="shared" si="163"/>
        <v>120x600 Default Web Ad</v>
      </c>
      <c r="G726" t="str">
        <f t="shared" si="164"/>
        <v>310387629</v>
      </c>
      <c r="H726" t="str">
        <f t="shared" si="165"/>
        <v>Display</v>
      </c>
      <c r="I726">
        <f t="shared" si="166"/>
        <v>495</v>
      </c>
      <c r="J726">
        <f t="shared" si="167"/>
        <v>0</v>
      </c>
      <c r="K726" s="4">
        <f t="shared" si="156"/>
        <v>3.8199999999999998E-2</v>
      </c>
      <c r="L726">
        <f t="shared" si="157"/>
        <v>0.09</v>
      </c>
      <c r="M726" s="4">
        <f t="shared" si="154"/>
        <v>1.8908999999999999E-2</v>
      </c>
      <c r="N726" s="4">
        <f t="shared" si="155"/>
        <v>4.4549999999999999E-2</v>
      </c>
    </row>
    <row r="727" spans="1:14">
      <c r="A727" t="str">
        <f t="shared" si="158"/>
        <v>alp_Man-VWCO</v>
      </c>
      <c r="B727" t="str">
        <f t="shared" si="159"/>
        <v>Google Brasil</v>
      </c>
      <c r="C727" t="str">
        <f t="shared" si="160"/>
        <v>google-brasil|sky|120x600|vw_caminhoes|always_on|produto|criativo_93_delivery_10-160|120x600|cpm</v>
      </c>
      <c r="D727" t="str">
        <f t="shared" si="161"/>
        <v>138015866</v>
      </c>
      <c r="E727" t="str">
        <f t="shared" si="162"/>
        <v>Default</v>
      </c>
      <c r="F727" t="str">
        <f t="shared" si="163"/>
        <v>120x600 Default Web Ad</v>
      </c>
      <c r="G727" t="str">
        <f t="shared" si="164"/>
        <v>310387629</v>
      </c>
      <c r="H727" t="str">
        <f t="shared" si="165"/>
        <v>Display</v>
      </c>
      <c r="I727">
        <f t="shared" si="166"/>
        <v>489</v>
      </c>
      <c r="J727">
        <f t="shared" si="167"/>
        <v>0</v>
      </c>
      <c r="K727" s="4">
        <f t="shared" si="156"/>
        <v>3.8199999999999998E-2</v>
      </c>
      <c r="L727">
        <f t="shared" si="157"/>
        <v>0.09</v>
      </c>
      <c r="M727" s="4">
        <f t="shared" si="154"/>
        <v>1.86798E-2</v>
      </c>
      <c r="N727" s="4">
        <f t="shared" si="155"/>
        <v>4.4010000000000001E-2</v>
      </c>
    </row>
    <row r="728" spans="1:14">
      <c r="A728" t="str">
        <f t="shared" si="158"/>
        <v>alp_Man-VWCO</v>
      </c>
      <c r="B728" t="str">
        <f t="shared" si="159"/>
        <v>Google Brasil</v>
      </c>
      <c r="C728" t="str">
        <f t="shared" si="160"/>
        <v>google-brasil|sky|120x600|vw_caminhoes|always_on|produto|criativo_93_delivery_10-160|120x600|cpm</v>
      </c>
      <c r="D728" t="str">
        <f t="shared" si="161"/>
        <v>138015866</v>
      </c>
      <c r="E728" t="str">
        <f t="shared" si="162"/>
        <v>Default</v>
      </c>
      <c r="F728" t="str">
        <f t="shared" si="163"/>
        <v>120x600 Default Web Ad</v>
      </c>
      <c r="G728" t="str">
        <f t="shared" si="164"/>
        <v>310387629</v>
      </c>
      <c r="H728" t="str">
        <f t="shared" si="165"/>
        <v>Display</v>
      </c>
      <c r="I728">
        <f t="shared" si="166"/>
        <v>458</v>
      </c>
      <c r="J728">
        <f t="shared" si="167"/>
        <v>0</v>
      </c>
      <c r="K728" s="4">
        <f t="shared" si="156"/>
        <v>3.8199999999999998E-2</v>
      </c>
      <c r="L728">
        <f t="shared" si="157"/>
        <v>0.09</v>
      </c>
      <c r="M728" s="4">
        <f t="shared" si="154"/>
        <v>1.74956E-2</v>
      </c>
      <c r="N728" s="4">
        <f t="shared" si="155"/>
        <v>4.122E-2</v>
      </c>
    </row>
    <row r="729" spans="1:14">
      <c r="A729" t="str">
        <f t="shared" si="158"/>
        <v>alp_Man-VWCO</v>
      </c>
      <c r="B729" t="str">
        <f t="shared" si="159"/>
        <v>Google Brasil</v>
      </c>
      <c r="C729" t="str">
        <f t="shared" si="160"/>
        <v>google-brasil|sky|120x600|vw_caminhoes|always_on|vitrine|criativo_01_delivery_10-160|120x600|cpm</v>
      </c>
      <c r="D729" t="str">
        <f t="shared" si="161"/>
        <v>138019021</v>
      </c>
      <c r="E729" t="str">
        <f t="shared" si="162"/>
        <v>Default</v>
      </c>
      <c r="F729" t="str">
        <f t="shared" si="163"/>
        <v>120x600 Default Web Ad</v>
      </c>
      <c r="G729" t="str">
        <f t="shared" si="164"/>
        <v>310387629</v>
      </c>
      <c r="H729" t="str">
        <f t="shared" si="165"/>
        <v>Display</v>
      </c>
      <c r="I729">
        <f t="shared" si="166"/>
        <v>54</v>
      </c>
      <c r="J729">
        <f t="shared" si="167"/>
        <v>0</v>
      </c>
      <c r="K729" s="4">
        <f t="shared" si="156"/>
        <v>3.8199999999999998E-2</v>
      </c>
      <c r="L729">
        <f t="shared" si="157"/>
        <v>0.09</v>
      </c>
      <c r="M729" s="4">
        <f t="shared" si="154"/>
        <v>2.0627999999999996E-3</v>
      </c>
      <c r="N729" s="4">
        <f t="shared" si="155"/>
        <v>4.8599999999999997E-3</v>
      </c>
    </row>
    <row r="730" spans="1:14">
      <c r="A730" t="str">
        <f t="shared" si="158"/>
        <v>alp_Man-VWCO</v>
      </c>
      <c r="B730" t="str">
        <f t="shared" si="159"/>
        <v>Google Brasil</v>
      </c>
      <c r="C730" t="str">
        <f t="shared" si="160"/>
        <v>google-brasil|sky|120x600|vw_caminhoes|always_on|vitrine|criativo_01_delivery_10-160|120x600|cpm</v>
      </c>
      <c r="D730" t="str">
        <f t="shared" si="161"/>
        <v>138019021</v>
      </c>
      <c r="E730" t="str">
        <f t="shared" si="162"/>
        <v>Default</v>
      </c>
      <c r="F730" t="str">
        <f t="shared" si="163"/>
        <v>120x600 Default Web Ad</v>
      </c>
      <c r="G730" t="str">
        <f t="shared" si="164"/>
        <v>310387629</v>
      </c>
      <c r="H730" t="str">
        <f t="shared" si="165"/>
        <v>Display</v>
      </c>
      <c r="I730">
        <f t="shared" si="166"/>
        <v>162</v>
      </c>
      <c r="J730">
        <f t="shared" si="167"/>
        <v>0</v>
      </c>
      <c r="K730" s="4">
        <f t="shared" si="156"/>
        <v>3.8199999999999998E-2</v>
      </c>
      <c r="L730">
        <f t="shared" si="157"/>
        <v>0.09</v>
      </c>
      <c r="M730" s="4">
        <f t="shared" si="154"/>
        <v>6.1883999999999993E-3</v>
      </c>
      <c r="N730" s="4">
        <f t="shared" si="155"/>
        <v>1.4579999999999999E-2</v>
      </c>
    </row>
    <row r="731" spans="1:14">
      <c r="A731" t="str">
        <f t="shared" si="158"/>
        <v>alp_Man-VWCO</v>
      </c>
      <c r="B731" t="str">
        <f t="shared" si="159"/>
        <v>Google Brasil</v>
      </c>
      <c r="C731" t="str">
        <f t="shared" si="160"/>
        <v>google-brasil|sky|120x600|vw_caminhoes|always_on|vitrine|criativo_02_delivery_10-160|120x600|cpm</v>
      </c>
      <c r="D731" t="str">
        <f t="shared" si="161"/>
        <v>138019016</v>
      </c>
      <c r="E731" t="str">
        <f t="shared" si="162"/>
        <v>Default</v>
      </c>
      <c r="F731" t="str">
        <f t="shared" si="163"/>
        <v>120x600 Default Web Ad</v>
      </c>
      <c r="G731" t="str">
        <f t="shared" si="164"/>
        <v>310387629</v>
      </c>
      <c r="H731" t="str">
        <f t="shared" si="165"/>
        <v>Display</v>
      </c>
      <c r="I731">
        <f t="shared" si="166"/>
        <v>42</v>
      </c>
      <c r="J731">
        <f t="shared" si="167"/>
        <v>0</v>
      </c>
      <c r="K731" s="4">
        <f t="shared" si="156"/>
        <v>3.8199999999999998E-2</v>
      </c>
      <c r="L731">
        <f t="shared" si="157"/>
        <v>0.09</v>
      </c>
      <c r="M731" s="4">
        <f t="shared" si="154"/>
        <v>1.6043999999999997E-3</v>
      </c>
      <c r="N731" s="4">
        <f t="shared" si="155"/>
        <v>3.7799999999999999E-3</v>
      </c>
    </row>
    <row r="732" spans="1:14">
      <c r="A732" t="str">
        <f t="shared" si="158"/>
        <v>alp_Man-VWCO</v>
      </c>
      <c r="B732" t="str">
        <f t="shared" si="159"/>
        <v>Google Brasil</v>
      </c>
      <c r="C732" t="str">
        <f t="shared" si="160"/>
        <v>google-brasil|sky|120x600|vw_caminhoes|always_on|vitrine|criativo_02_delivery_10-160|120x600|cpm</v>
      </c>
      <c r="D732" t="str">
        <f t="shared" si="161"/>
        <v>138019016</v>
      </c>
      <c r="E732" t="str">
        <f t="shared" si="162"/>
        <v>Default</v>
      </c>
      <c r="F732" t="str">
        <f t="shared" si="163"/>
        <v>120x600 Default Web Ad</v>
      </c>
      <c r="G732" t="str">
        <f t="shared" si="164"/>
        <v>310387629</v>
      </c>
      <c r="H732" t="str">
        <f t="shared" si="165"/>
        <v>Display</v>
      </c>
      <c r="I732">
        <f t="shared" si="166"/>
        <v>166</v>
      </c>
      <c r="J732">
        <f t="shared" si="167"/>
        <v>0</v>
      </c>
      <c r="K732" s="4">
        <f t="shared" si="156"/>
        <v>3.8199999999999998E-2</v>
      </c>
      <c r="L732">
        <f t="shared" si="157"/>
        <v>0.09</v>
      </c>
      <c r="M732" s="4">
        <f t="shared" si="154"/>
        <v>6.3412E-3</v>
      </c>
      <c r="N732" s="4">
        <f t="shared" si="155"/>
        <v>1.494E-2</v>
      </c>
    </row>
    <row r="733" spans="1:14">
      <c r="A733" t="str">
        <f t="shared" si="158"/>
        <v>alp_Man-VWCO</v>
      </c>
      <c r="B733" t="str">
        <f t="shared" si="159"/>
        <v>Google Brasil</v>
      </c>
      <c r="C733" t="str">
        <f t="shared" si="160"/>
        <v>google-brasil|sky|120x600|vw_caminhoes|always_on|vitrine|criativo_03_delivery_10-160|120x600|cpm</v>
      </c>
      <c r="D733" t="str">
        <f t="shared" si="161"/>
        <v>138019011</v>
      </c>
      <c r="E733" t="str">
        <f t="shared" si="162"/>
        <v>Default</v>
      </c>
      <c r="F733" t="str">
        <f t="shared" si="163"/>
        <v>120x600 Default Web Ad</v>
      </c>
      <c r="G733" t="str">
        <f t="shared" si="164"/>
        <v>310387629</v>
      </c>
      <c r="H733" t="str">
        <f t="shared" si="165"/>
        <v>Display</v>
      </c>
      <c r="I733">
        <f t="shared" si="166"/>
        <v>28</v>
      </c>
      <c r="J733">
        <f t="shared" si="167"/>
        <v>0</v>
      </c>
      <c r="K733" s="4">
        <f t="shared" si="156"/>
        <v>3.8199999999999998E-2</v>
      </c>
      <c r="L733">
        <f t="shared" si="157"/>
        <v>0.09</v>
      </c>
      <c r="M733" s="4">
        <f t="shared" si="154"/>
        <v>1.0696E-3</v>
      </c>
      <c r="N733" s="4">
        <f t="shared" si="155"/>
        <v>2.5200000000000001E-3</v>
      </c>
    </row>
    <row r="734" spans="1:14">
      <c r="A734" t="str">
        <f t="shared" si="158"/>
        <v>alp_Man-VWCO</v>
      </c>
      <c r="B734" t="str">
        <f t="shared" si="159"/>
        <v>Google Brasil</v>
      </c>
      <c r="C734" t="str">
        <f t="shared" si="160"/>
        <v>google-brasil|sky|120x600|vw_caminhoes|always_on|vitrine|criativo_03_delivery_10-160|120x600|cpm</v>
      </c>
      <c r="D734" t="str">
        <f t="shared" si="161"/>
        <v>138019011</v>
      </c>
      <c r="E734" t="str">
        <f t="shared" si="162"/>
        <v>Default</v>
      </c>
      <c r="F734" t="str">
        <f t="shared" si="163"/>
        <v>120x600 Default Web Ad</v>
      </c>
      <c r="G734" t="str">
        <f t="shared" si="164"/>
        <v>310387629</v>
      </c>
      <c r="H734" t="str">
        <f t="shared" si="165"/>
        <v>Display</v>
      </c>
      <c r="I734">
        <f t="shared" si="166"/>
        <v>250</v>
      </c>
      <c r="J734">
        <f t="shared" si="167"/>
        <v>1</v>
      </c>
      <c r="K734" s="4">
        <f t="shared" si="156"/>
        <v>3.8199999999999998E-2</v>
      </c>
      <c r="L734">
        <f t="shared" si="157"/>
        <v>0.09</v>
      </c>
      <c r="M734" s="4">
        <f t="shared" si="154"/>
        <v>9.5499999999999995E-3</v>
      </c>
      <c r="N734" s="4">
        <f t="shared" si="155"/>
        <v>2.2499999999999999E-2</v>
      </c>
    </row>
    <row r="735" spans="1:14">
      <c r="A735" t="str">
        <f t="shared" si="158"/>
        <v>alp_Man-VWCO</v>
      </c>
      <c r="B735" t="str">
        <f t="shared" si="159"/>
        <v>Google Brasil</v>
      </c>
      <c r="C735" t="str">
        <f t="shared" si="160"/>
        <v>google-brasil|sky|120x600|vw_caminhoes|always_on|vitrine|criativo_04_delivery_10-160|120x600|cpm</v>
      </c>
      <c r="D735" t="str">
        <f t="shared" si="161"/>
        <v>138019006</v>
      </c>
      <c r="E735" t="str">
        <f t="shared" si="162"/>
        <v>Default</v>
      </c>
      <c r="F735" t="str">
        <f t="shared" si="163"/>
        <v>120x600 Default Web Ad</v>
      </c>
      <c r="G735" t="str">
        <f t="shared" si="164"/>
        <v>310387629</v>
      </c>
      <c r="H735" t="str">
        <f t="shared" si="165"/>
        <v>Display</v>
      </c>
      <c r="I735">
        <f t="shared" si="166"/>
        <v>40</v>
      </c>
      <c r="J735">
        <f t="shared" si="167"/>
        <v>0</v>
      </c>
      <c r="K735" s="4">
        <f t="shared" si="156"/>
        <v>3.8199999999999998E-2</v>
      </c>
      <c r="L735">
        <f t="shared" si="157"/>
        <v>0.09</v>
      </c>
      <c r="M735" s="4">
        <f t="shared" si="154"/>
        <v>1.5280000000000001E-3</v>
      </c>
      <c r="N735" s="4">
        <f t="shared" si="155"/>
        <v>3.5999999999999995E-3</v>
      </c>
    </row>
    <row r="736" spans="1:14">
      <c r="A736" t="str">
        <f t="shared" si="158"/>
        <v>alp_Man-VWCO</v>
      </c>
      <c r="B736" t="str">
        <f t="shared" si="159"/>
        <v>Google Brasil</v>
      </c>
      <c r="C736" t="str">
        <f t="shared" si="160"/>
        <v>google-brasil|sky|120x600|vw_caminhoes|always_on|vitrine|criativo_04_delivery_10-160|120x600|cpm</v>
      </c>
      <c r="D736" t="str">
        <f t="shared" si="161"/>
        <v>138019006</v>
      </c>
      <c r="E736" t="str">
        <f t="shared" si="162"/>
        <v>Default</v>
      </c>
      <c r="F736" t="str">
        <f t="shared" si="163"/>
        <v>120x600 Default Web Ad</v>
      </c>
      <c r="G736" t="str">
        <f t="shared" si="164"/>
        <v>310387629</v>
      </c>
      <c r="H736" t="str">
        <f t="shared" si="165"/>
        <v>Display</v>
      </c>
      <c r="I736">
        <f t="shared" si="166"/>
        <v>185</v>
      </c>
      <c r="J736">
        <f t="shared" si="167"/>
        <v>0</v>
      </c>
      <c r="K736" s="4">
        <f t="shared" si="156"/>
        <v>3.8199999999999998E-2</v>
      </c>
      <c r="L736">
        <f t="shared" si="157"/>
        <v>0.09</v>
      </c>
      <c r="M736" s="4">
        <f t="shared" si="154"/>
        <v>7.0669999999999995E-3</v>
      </c>
      <c r="N736" s="4">
        <f t="shared" si="155"/>
        <v>1.6649999999999998E-2</v>
      </c>
    </row>
    <row r="737" spans="1:14">
      <c r="A737" t="str">
        <f t="shared" si="158"/>
        <v>alp_Man-VWCO</v>
      </c>
      <c r="B737" t="str">
        <f t="shared" si="159"/>
        <v>Google Brasil</v>
      </c>
      <c r="C737" t="str">
        <f t="shared" si="160"/>
        <v>google-brasil|sky|120x600|vw_caminhoes|always_on|vitrine|criativo_05_delivery_10-160|120x600|cpm</v>
      </c>
      <c r="D737" t="str">
        <f t="shared" si="161"/>
        <v>138019001</v>
      </c>
      <c r="E737" t="str">
        <f t="shared" si="162"/>
        <v>Default</v>
      </c>
      <c r="F737" t="str">
        <f t="shared" si="163"/>
        <v>120x600 Default Web Ad</v>
      </c>
      <c r="G737" t="str">
        <f t="shared" si="164"/>
        <v>310387629</v>
      </c>
      <c r="H737" t="str">
        <f t="shared" si="165"/>
        <v>Display</v>
      </c>
      <c r="I737">
        <f t="shared" si="166"/>
        <v>40</v>
      </c>
      <c r="J737">
        <f t="shared" si="167"/>
        <v>0</v>
      </c>
      <c r="K737" s="4">
        <f t="shared" si="156"/>
        <v>3.8199999999999998E-2</v>
      </c>
      <c r="L737">
        <f t="shared" si="157"/>
        <v>0.09</v>
      </c>
      <c r="M737" s="4">
        <f t="shared" si="154"/>
        <v>1.5280000000000001E-3</v>
      </c>
      <c r="N737" s="4">
        <f t="shared" si="155"/>
        <v>3.5999999999999995E-3</v>
      </c>
    </row>
    <row r="738" spans="1:14">
      <c r="A738" t="str">
        <f t="shared" si="158"/>
        <v>alp_Man-VWCO</v>
      </c>
      <c r="B738" t="str">
        <f t="shared" si="159"/>
        <v>Google Brasil</v>
      </c>
      <c r="C738" t="str">
        <f t="shared" si="160"/>
        <v>google-brasil|sky|120x600|vw_caminhoes|always_on|vitrine|criativo_05_delivery_10-160|120x600|cpm</v>
      </c>
      <c r="D738" t="str">
        <f t="shared" si="161"/>
        <v>138019001</v>
      </c>
      <c r="E738" t="str">
        <f t="shared" si="162"/>
        <v>Default</v>
      </c>
      <c r="F738" t="str">
        <f t="shared" si="163"/>
        <v>120x600 Default Web Ad</v>
      </c>
      <c r="G738" t="str">
        <f t="shared" si="164"/>
        <v>310387629</v>
      </c>
      <c r="H738" t="str">
        <f t="shared" si="165"/>
        <v>Display</v>
      </c>
      <c r="I738">
        <f t="shared" si="166"/>
        <v>402</v>
      </c>
      <c r="J738">
        <f t="shared" si="167"/>
        <v>0</v>
      </c>
      <c r="K738" s="4">
        <f t="shared" si="156"/>
        <v>3.8199999999999998E-2</v>
      </c>
      <c r="L738">
        <f t="shared" si="157"/>
        <v>0.09</v>
      </c>
      <c r="M738" s="4">
        <f t="shared" ref="M738:M801" si="168">IF(E738="Dynamic Click",J738*K738,K738*$I738/1000)</f>
        <v>1.5356399999999999E-2</v>
      </c>
      <c r="N738" s="4">
        <f t="shared" ref="N738:N801" si="169">IF(E738="Dynamic Click",J738*L738,L738*$I738/1000)</f>
        <v>3.6179999999999997E-2</v>
      </c>
    </row>
    <row r="739" spans="1:14">
      <c r="A739" t="str">
        <f t="shared" si="158"/>
        <v>alp_Man-VWCO</v>
      </c>
      <c r="B739" t="str">
        <f t="shared" si="159"/>
        <v>Google Brasil</v>
      </c>
      <c r="C739" t="str">
        <f t="shared" si="160"/>
        <v>google-brasil|sky|120x600|vw_caminhoes|always_on|vitrine|criativo_06_delivery_8-160|120x600|cpm</v>
      </c>
      <c r="D739" t="str">
        <f t="shared" si="161"/>
        <v>138018996</v>
      </c>
      <c r="E739" t="str">
        <f t="shared" si="162"/>
        <v>Default</v>
      </c>
      <c r="F739" t="str">
        <f t="shared" si="163"/>
        <v>120x600 Default Web Ad</v>
      </c>
      <c r="G739" t="str">
        <f t="shared" si="164"/>
        <v>310387629</v>
      </c>
      <c r="H739" t="str">
        <f t="shared" si="165"/>
        <v>Display</v>
      </c>
      <c r="I739">
        <f t="shared" si="166"/>
        <v>33</v>
      </c>
      <c r="J739">
        <f t="shared" si="167"/>
        <v>0</v>
      </c>
      <c r="K739" s="4">
        <f t="shared" si="156"/>
        <v>3.8199999999999998E-2</v>
      </c>
      <c r="L739">
        <f t="shared" si="157"/>
        <v>0.09</v>
      </c>
      <c r="M739" s="4">
        <f t="shared" si="168"/>
        <v>1.2606E-3</v>
      </c>
      <c r="N739" s="4">
        <f t="shared" si="169"/>
        <v>2.9699999999999996E-3</v>
      </c>
    </row>
    <row r="740" spans="1:14">
      <c r="A740" t="str">
        <f t="shared" si="158"/>
        <v>alp_Man-VWCO</v>
      </c>
      <c r="B740" t="str">
        <f t="shared" si="159"/>
        <v>Google Brasil</v>
      </c>
      <c r="C740" t="str">
        <f t="shared" si="160"/>
        <v>google-brasil|sky|120x600|vw_caminhoes|always_on|vitrine|criativo_06_delivery_8-160|120x600|cpm</v>
      </c>
      <c r="D740" t="str">
        <f t="shared" si="161"/>
        <v>138018996</v>
      </c>
      <c r="E740" t="str">
        <f t="shared" si="162"/>
        <v>Default</v>
      </c>
      <c r="F740" t="str">
        <f t="shared" si="163"/>
        <v>120x600 Default Web Ad</v>
      </c>
      <c r="G740" t="str">
        <f t="shared" si="164"/>
        <v>310387629</v>
      </c>
      <c r="H740" t="str">
        <f t="shared" si="165"/>
        <v>Display</v>
      </c>
      <c r="I740">
        <f t="shared" si="166"/>
        <v>141</v>
      </c>
      <c r="J740">
        <f t="shared" si="167"/>
        <v>0</v>
      </c>
      <c r="K740" s="4">
        <f t="shared" si="156"/>
        <v>3.8199999999999998E-2</v>
      </c>
      <c r="L740">
        <f t="shared" si="157"/>
        <v>0.09</v>
      </c>
      <c r="M740" s="4">
        <f t="shared" si="168"/>
        <v>5.3861999999999998E-3</v>
      </c>
      <c r="N740" s="4">
        <f t="shared" si="169"/>
        <v>1.269E-2</v>
      </c>
    </row>
    <row r="741" spans="1:14">
      <c r="A741" t="str">
        <f t="shared" si="158"/>
        <v>alp_Man-VWCO</v>
      </c>
      <c r="B741" t="str">
        <f t="shared" si="159"/>
        <v>Google Brasil</v>
      </c>
      <c r="C741" t="str">
        <f t="shared" si="160"/>
        <v>google-brasil|sky|120x600|vw_caminhoes|always_on|vitrine|criativo_07_delivery_8-160|120x600|cpm</v>
      </c>
      <c r="D741" t="str">
        <f t="shared" si="161"/>
        <v>138018991</v>
      </c>
      <c r="E741" t="str">
        <f t="shared" si="162"/>
        <v>Default</v>
      </c>
      <c r="F741" t="str">
        <f t="shared" si="163"/>
        <v>120x600 Default Web Ad</v>
      </c>
      <c r="G741" t="str">
        <f t="shared" si="164"/>
        <v>310387629</v>
      </c>
      <c r="H741" t="str">
        <f t="shared" si="165"/>
        <v>Display</v>
      </c>
      <c r="I741">
        <f t="shared" si="166"/>
        <v>29</v>
      </c>
      <c r="J741">
        <f t="shared" si="167"/>
        <v>0</v>
      </c>
      <c r="K741" s="4">
        <f t="shared" si="156"/>
        <v>3.8199999999999998E-2</v>
      </c>
      <c r="L741">
        <f t="shared" si="157"/>
        <v>0.09</v>
      </c>
      <c r="M741" s="4">
        <f t="shared" si="168"/>
        <v>1.1077999999999999E-3</v>
      </c>
      <c r="N741" s="4">
        <f t="shared" si="169"/>
        <v>2.6099999999999999E-3</v>
      </c>
    </row>
    <row r="742" spans="1:14">
      <c r="A742" t="str">
        <f t="shared" si="158"/>
        <v>alp_Man-VWCO</v>
      </c>
      <c r="B742" t="str">
        <f t="shared" si="159"/>
        <v>Google Brasil</v>
      </c>
      <c r="C742" t="str">
        <f t="shared" si="160"/>
        <v>google-brasil|sky|120x600|vw_caminhoes|always_on|vitrine|criativo_07_delivery_8-160|120x600|cpm</v>
      </c>
      <c r="D742" t="str">
        <f t="shared" si="161"/>
        <v>138018991</v>
      </c>
      <c r="E742" t="str">
        <f t="shared" si="162"/>
        <v>Default</v>
      </c>
      <c r="F742" t="str">
        <f t="shared" si="163"/>
        <v>120x600 Default Web Ad</v>
      </c>
      <c r="G742" t="str">
        <f t="shared" si="164"/>
        <v>310387629</v>
      </c>
      <c r="H742" t="str">
        <f t="shared" si="165"/>
        <v>Display</v>
      </c>
      <c r="I742">
        <f t="shared" si="166"/>
        <v>171</v>
      </c>
      <c r="J742">
        <f t="shared" si="167"/>
        <v>0</v>
      </c>
      <c r="K742" s="4">
        <f t="shared" si="156"/>
        <v>3.8199999999999998E-2</v>
      </c>
      <c r="L742">
        <f t="shared" si="157"/>
        <v>0.09</v>
      </c>
      <c r="M742" s="4">
        <f t="shared" si="168"/>
        <v>6.5321999999999993E-3</v>
      </c>
      <c r="N742" s="4">
        <f t="shared" si="169"/>
        <v>1.5389999999999999E-2</v>
      </c>
    </row>
    <row r="743" spans="1:14">
      <c r="A743" t="str">
        <f t="shared" si="158"/>
        <v>alp_Man-VWCO</v>
      </c>
      <c r="B743" t="str">
        <f t="shared" si="159"/>
        <v>Google Brasil</v>
      </c>
      <c r="C743" t="str">
        <f t="shared" si="160"/>
        <v>google-brasil|sky|120x600|vw_caminhoes|always_on|vitrine|criativo_08_delivery_8-160|120x600|cpm</v>
      </c>
      <c r="D743" t="str">
        <f t="shared" si="161"/>
        <v>138018986</v>
      </c>
      <c r="E743" t="str">
        <f t="shared" si="162"/>
        <v>Default</v>
      </c>
      <c r="F743" t="str">
        <f t="shared" si="163"/>
        <v>120x600 Default Web Ad</v>
      </c>
      <c r="G743" t="str">
        <f t="shared" si="164"/>
        <v>310387629</v>
      </c>
      <c r="H743" t="str">
        <f t="shared" si="165"/>
        <v>Display</v>
      </c>
      <c r="I743">
        <f t="shared" si="166"/>
        <v>28</v>
      </c>
      <c r="J743">
        <f t="shared" si="167"/>
        <v>0</v>
      </c>
      <c r="K743" s="4">
        <f t="shared" si="156"/>
        <v>3.8199999999999998E-2</v>
      </c>
      <c r="L743">
        <f t="shared" si="157"/>
        <v>0.09</v>
      </c>
      <c r="M743" s="4">
        <f t="shared" si="168"/>
        <v>1.0696E-3</v>
      </c>
      <c r="N743" s="4">
        <f t="shared" si="169"/>
        <v>2.5200000000000001E-3</v>
      </c>
    </row>
    <row r="744" spans="1:14">
      <c r="A744" t="str">
        <f t="shared" si="158"/>
        <v>alp_Man-VWCO</v>
      </c>
      <c r="B744" t="str">
        <f t="shared" si="159"/>
        <v>Google Brasil</v>
      </c>
      <c r="C744" t="str">
        <f t="shared" si="160"/>
        <v>google-brasil|sky|120x600|vw_caminhoes|always_on|vitrine|criativo_08_delivery_8-160|120x600|cpm</v>
      </c>
      <c r="D744" t="str">
        <f t="shared" si="161"/>
        <v>138018986</v>
      </c>
      <c r="E744" t="str">
        <f t="shared" si="162"/>
        <v>Default</v>
      </c>
      <c r="F744" t="str">
        <f t="shared" si="163"/>
        <v>120x600 Default Web Ad</v>
      </c>
      <c r="G744" t="str">
        <f t="shared" si="164"/>
        <v>310387629</v>
      </c>
      <c r="H744" t="str">
        <f t="shared" si="165"/>
        <v>Display</v>
      </c>
      <c r="I744">
        <f t="shared" si="166"/>
        <v>200</v>
      </c>
      <c r="J744">
        <f t="shared" si="167"/>
        <v>0</v>
      </c>
      <c r="K744" s="4">
        <f t="shared" si="156"/>
        <v>3.8199999999999998E-2</v>
      </c>
      <c r="L744">
        <f t="shared" si="157"/>
        <v>0.09</v>
      </c>
      <c r="M744" s="4">
        <f t="shared" si="168"/>
        <v>7.6400000000000001E-3</v>
      </c>
      <c r="N744" s="4">
        <f t="shared" si="169"/>
        <v>1.7999999999999999E-2</v>
      </c>
    </row>
    <row r="745" spans="1:14">
      <c r="A745" t="str">
        <f t="shared" si="158"/>
        <v>alp_Man-VWCO</v>
      </c>
      <c r="B745" t="str">
        <f t="shared" si="159"/>
        <v>Google Brasil</v>
      </c>
      <c r="C745" t="str">
        <f t="shared" si="160"/>
        <v>google-brasil|sky|120x600|vw_caminhoes|always_on|vitrine|criativo_09_delivery_8-160|120x600|cpm</v>
      </c>
      <c r="D745" t="str">
        <f t="shared" si="161"/>
        <v>138018981</v>
      </c>
      <c r="E745" t="str">
        <f t="shared" si="162"/>
        <v>Default</v>
      </c>
      <c r="F745" t="str">
        <f t="shared" si="163"/>
        <v>120x600 Default Web Ad</v>
      </c>
      <c r="G745" t="str">
        <f t="shared" si="164"/>
        <v>310387629</v>
      </c>
      <c r="H745" t="str">
        <f t="shared" si="165"/>
        <v>Display</v>
      </c>
      <c r="I745">
        <f t="shared" si="166"/>
        <v>28</v>
      </c>
      <c r="J745">
        <f t="shared" si="167"/>
        <v>0</v>
      </c>
      <c r="K745" s="4">
        <f t="shared" si="156"/>
        <v>3.8199999999999998E-2</v>
      </c>
      <c r="L745">
        <f t="shared" si="157"/>
        <v>0.09</v>
      </c>
      <c r="M745" s="4">
        <f t="shared" si="168"/>
        <v>1.0696E-3</v>
      </c>
      <c r="N745" s="4">
        <f t="shared" si="169"/>
        <v>2.5200000000000001E-3</v>
      </c>
    </row>
    <row r="746" spans="1:14">
      <c r="A746" t="str">
        <f t="shared" si="158"/>
        <v>alp_Man-VWCO</v>
      </c>
      <c r="B746" t="str">
        <f t="shared" si="159"/>
        <v>Google Brasil</v>
      </c>
      <c r="C746" t="str">
        <f t="shared" si="160"/>
        <v>google-brasil|sky|120x600|vw_caminhoes|always_on|vitrine|criativo_09_delivery_8-160|120x600|cpm</v>
      </c>
      <c r="D746" t="str">
        <f t="shared" si="161"/>
        <v>138018981</v>
      </c>
      <c r="E746" t="str">
        <f t="shared" si="162"/>
        <v>Default</v>
      </c>
      <c r="F746" t="str">
        <f t="shared" si="163"/>
        <v>120x600 Default Web Ad</v>
      </c>
      <c r="G746" t="str">
        <f t="shared" si="164"/>
        <v>310387629</v>
      </c>
      <c r="H746" t="str">
        <f t="shared" si="165"/>
        <v>Display</v>
      </c>
      <c r="I746">
        <f t="shared" si="166"/>
        <v>162</v>
      </c>
      <c r="J746">
        <f t="shared" si="167"/>
        <v>0</v>
      </c>
      <c r="K746" s="4">
        <f t="shared" si="156"/>
        <v>3.8199999999999998E-2</v>
      </c>
      <c r="L746">
        <f t="shared" si="157"/>
        <v>0.09</v>
      </c>
      <c r="M746" s="4">
        <f t="shared" si="168"/>
        <v>6.1883999999999993E-3</v>
      </c>
      <c r="N746" s="4">
        <f t="shared" si="169"/>
        <v>1.4579999999999999E-2</v>
      </c>
    </row>
    <row r="747" spans="1:14">
      <c r="A747" t="str">
        <f t="shared" si="158"/>
        <v>alp_Man-VWCO</v>
      </c>
      <c r="B747" t="str">
        <f t="shared" si="159"/>
        <v>Google Brasil</v>
      </c>
      <c r="C747" t="str">
        <f t="shared" si="160"/>
        <v>google-brasil|sky|120x600|vw_caminhoes|always_on|vitrine|criativo_10_delivery_8-160|120x600|cpm</v>
      </c>
      <c r="D747" t="str">
        <f t="shared" si="161"/>
        <v>138018976</v>
      </c>
      <c r="E747" t="str">
        <f t="shared" si="162"/>
        <v>Default</v>
      </c>
      <c r="F747" t="str">
        <f t="shared" si="163"/>
        <v>120x600 Default Web Ad</v>
      </c>
      <c r="G747" t="str">
        <f t="shared" si="164"/>
        <v>310387629</v>
      </c>
      <c r="H747" t="str">
        <f t="shared" si="165"/>
        <v>Display</v>
      </c>
      <c r="I747">
        <f t="shared" si="166"/>
        <v>22</v>
      </c>
      <c r="J747">
        <f t="shared" si="167"/>
        <v>0</v>
      </c>
      <c r="K747" s="4">
        <f t="shared" si="156"/>
        <v>3.8199999999999998E-2</v>
      </c>
      <c r="L747">
        <f t="shared" si="157"/>
        <v>0.09</v>
      </c>
      <c r="M747" s="4">
        <f t="shared" si="168"/>
        <v>8.4039999999999994E-4</v>
      </c>
      <c r="N747" s="4">
        <f t="shared" si="169"/>
        <v>1.98E-3</v>
      </c>
    </row>
    <row r="748" spans="1:14">
      <c r="A748" t="str">
        <f t="shared" si="158"/>
        <v>alp_Man-VWCO</v>
      </c>
      <c r="B748" t="str">
        <f t="shared" si="159"/>
        <v>Google Brasil</v>
      </c>
      <c r="C748" t="str">
        <f t="shared" si="160"/>
        <v>google-brasil|sky|120x600|vw_caminhoes|always_on|vitrine|criativo_10_delivery_8-160|120x600|cpm</v>
      </c>
      <c r="D748" t="str">
        <f t="shared" si="161"/>
        <v>138018976</v>
      </c>
      <c r="E748" t="str">
        <f t="shared" si="162"/>
        <v>Default</v>
      </c>
      <c r="F748" t="str">
        <f t="shared" si="163"/>
        <v>120x600 Default Web Ad</v>
      </c>
      <c r="G748" t="str">
        <f t="shared" si="164"/>
        <v>310387629</v>
      </c>
      <c r="H748" t="str">
        <f t="shared" si="165"/>
        <v>Display</v>
      </c>
      <c r="I748">
        <f t="shared" si="166"/>
        <v>182</v>
      </c>
      <c r="J748">
        <f t="shared" si="167"/>
        <v>0</v>
      </c>
      <c r="K748" s="4">
        <f t="shared" ref="K748:K811" si="170">IF(LEFT(B748,3)="DBM",0,VLOOKUP(E748,tabela,2,FALSE))</f>
        <v>3.8199999999999998E-2</v>
      </c>
      <c r="L748">
        <f t="shared" ref="L748:L811" si="171">VLOOKUP(E748,tabela,3,FALSE)</f>
        <v>0.09</v>
      </c>
      <c r="M748" s="4">
        <f t="shared" si="168"/>
        <v>6.9524000000000001E-3</v>
      </c>
      <c r="N748" s="4">
        <f t="shared" si="169"/>
        <v>1.6379999999999999E-2</v>
      </c>
    </row>
    <row r="749" spans="1:14">
      <c r="A749" t="str">
        <f t="shared" si="158"/>
        <v>alp_Man-VWCO</v>
      </c>
      <c r="B749" t="str">
        <f t="shared" si="159"/>
        <v>Google Brasil</v>
      </c>
      <c r="C749" t="str">
        <f t="shared" si="160"/>
        <v>google-brasil|sky|120x600|vw_caminhoes|always_on|vitrine|criativo_11_constellation_24-280|120x600|cpm</v>
      </c>
      <c r="D749" t="str">
        <f t="shared" si="161"/>
        <v>138018971</v>
      </c>
      <c r="E749" t="str">
        <f t="shared" si="162"/>
        <v>Default</v>
      </c>
      <c r="F749" t="str">
        <f t="shared" si="163"/>
        <v>120x600 Default Web Ad</v>
      </c>
      <c r="G749" t="str">
        <f t="shared" si="164"/>
        <v>310387629</v>
      </c>
      <c r="H749" t="str">
        <f t="shared" si="165"/>
        <v>Display</v>
      </c>
      <c r="I749">
        <f t="shared" si="166"/>
        <v>19</v>
      </c>
      <c r="J749">
        <f t="shared" si="167"/>
        <v>0</v>
      </c>
      <c r="K749" s="4">
        <f t="shared" si="170"/>
        <v>3.8199999999999998E-2</v>
      </c>
      <c r="L749">
        <f t="shared" si="171"/>
        <v>0.09</v>
      </c>
      <c r="M749" s="4">
        <f t="shared" si="168"/>
        <v>7.2579999999999997E-4</v>
      </c>
      <c r="N749" s="4">
        <f t="shared" si="169"/>
        <v>1.7099999999999999E-3</v>
      </c>
    </row>
    <row r="750" spans="1:14">
      <c r="A750" t="str">
        <f t="shared" si="158"/>
        <v>alp_Man-VWCO</v>
      </c>
      <c r="B750" t="str">
        <f t="shared" si="159"/>
        <v>Google Brasil</v>
      </c>
      <c r="C750" t="str">
        <f t="shared" si="160"/>
        <v>google-brasil|sky|120x600|vw_caminhoes|always_on|vitrine|criativo_11_constellation_24-280|120x600|cpm</v>
      </c>
      <c r="D750" t="str">
        <f t="shared" si="161"/>
        <v>138018971</v>
      </c>
      <c r="E750" t="str">
        <f t="shared" si="162"/>
        <v>Default</v>
      </c>
      <c r="F750" t="str">
        <f t="shared" si="163"/>
        <v>120x600 Default Web Ad</v>
      </c>
      <c r="G750" t="str">
        <f t="shared" si="164"/>
        <v>310387629</v>
      </c>
      <c r="H750" t="str">
        <f t="shared" si="165"/>
        <v>Display</v>
      </c>
      <c r="I750">
        <f t="shared" si="166"/>
        <v>138</v>
      </c>
      <c r="J750">
        <f t="shared" si="167"/>
        <v>1</v>
      </c>
      <c r="K750" s="4">
        <f t="shared" si="170"/>
        <v>3.8199999999999998E-2</v>
      </c>
      <c r="L750">
        <f t="shared" si="171"/>
        <v>0.09</v>
      </c>
      <c r="M750" s="4">
        <f t="shared" si="168"/>
        <v>5.2715999999999996E-3</v>
      </c>
      <c r="N750" s="4">
        <f t="shared" si="169"/>
        <v>1.242E-2</v>
      </c>
    </row>
    <row r="751" spans="1:14">
      <c r="A751" t="str">
        <f t="shared" si="158"/>
        <v>alp_Man-VWCO</v>
      </c>
      <c r="B751" t="str">
        <f t="shared" si="159"/>
        <v>Google Brasil</v>
      </c>
      <c r="C751" t="str">
        <f t="shared" si="160"/>
        <v>google-brasil|sky|120x600|vw_caminhoes|always_on|vitrine|criativo_12_constellation_24-280|120x600|cpm</v>
      </c>
      <c r="D751" t="str">
        <f t="shared" si="161"/>
        <v>138018966</v>
      </c>
      <c r="E751" t="str">
        <f t="shared" si="162"/>
        <v>Default</v>
      </c>
      <c r="F751" t="str">
        <f t="shared" si="163"/>
        <v>120x600 Default Web Ad</v>
      </c>
      <c r="G751" t="str">
        <f t="shared" si="164"/>
        <v>310387629</v>
      </c>
      <c r="H751" t="str">
        <f t="shared" si="165"/>
        <v>Display</v>
      </c>
      <c r="I751">
        <f t="shared" si="166"/>
        <v>23</v>
      </c>
      <c r="J751">
        <f t="shared" si="167"/>
        <v>0</v>
      </c>
      <c r="K751" s="4">
        <f t="shared" si="170"/>
        <v>3.8199999999999998E-2</v>
      </c>
      <c r="L751">
        <f t="shared" si="171"/>
        <v>0.09</v>
      </c>
      <c r="M751" s="4">
        <f t="shared" si="168"/>
        <v>8.7859999999999989E-4</v>
      </c>
      <c r="N751" s="4">
        <f t="shared" si="169"/>
        <v>2.0699999999999998E-3</v>
      </c>
    </row>
    <row r="752" spans="1:14">
      <c r="A752" t="str">
        <f t="shared" si="158"/>
        <v>alp_Man-VWCO</v>
      </c>
      <c r="B752" t="str">
        <f t="shared" si="159"/>
        <v>Google Brasil</v>
      </c>
      <c r="C752" t="str">
        <f t="shared" si="160"/>
        <v>google-brasil|sky|120x600|vw_caminhoes|always_on|vitrine|criativo_12_constellation_24-280|120x600|cpm</v>
      </c>
      <c r="D752" t="str">
        <f t="shared" si="161"/>
        <v>138018966</v>
      </c>
      <c r="E752" t="str">
        <f t="shared" si="162"/>
        <v>Default</v>
      </c>
      <c r="F752" t="str">
        <f t="shared" si="163"/>
        <v>120x600 Default Web Ad</v>
      </c>
      <c r="G752" t="str">
        <f t="shared" si="164"/>
        <v>310387629</v>
      </c>
      <c r="H752" t="str">
        <f t="shared" si="165"/>
        <v>Display</v>
      </c>
      <c r="I752">
        <f t="shared" si="166"/>
        <v>178</v>
      </c>
      <c r="J752">
        <f t="shared" si="167"/>
        <v>0</v>
      </c>
      <c r="K752" s="4">
        <f t="shared" si="170"/>
        <v>3.8199999999999998E-2</v>
      </c>
      <c r="L752">
        <f t="shared" si="171"/>
        <v>0.09</v>
      </c>
      <c r="M752" s="4">
        <f t="shared" si="168"/>
        <v>6.7996000000000003E-3</v>
      </c>
      <c r="N752" s="4">
        <f t="shared" si="169"/>
        <v>1.602E-2</v>
      </c>
    </row>
    <row r="753" spans="1:14">
      <c r="A753" t="str">
        <f t="shared" si="158"/>
        <v>alp_Man-VWCO</v>
      </c>
      <c r="B753" t="str">
        <f t="shared" si="159"/>
        <v>Google Brasil</v>
      </c>
      <c r="C753" t="str">
        <f t="shared" si="160"/>
        <v>google-brasil|sky|120x600|vw_caminhoes|always_on|vitrine|criativo_13_constellation_24-280|120x600|cpm</v>
      </c>
      <c r="D753" t="str">
        <f t="shared" si="161"/>
        <v>138018961</v>
      </c>
      <c r="E753" t="str">
        <f t="shared" si="162"/>
        <v>Default</v>
      </c>
      <c r="F753" t="str">
        <f t="shared" si="163"/>
        <v>120x600 Default Web Ad</v>
      </c>
      <c r="G753" t="str">
        <f t="shared" si="164"/>
        <v>310387629</v>
      </c>
      <c r="H753" t="str">
        <f t="shared" si="165"/>
        <v>Display</v>
      </c>
      <c r="I753">
        <f t="shared" si="166"/>
        <v>24</v>
      </c>
      <c r="J753">
        <f t="shared" si="167"/>
        <v>0</v>
      </c>
      <c r="K753" s="4">
        <f t="shared" si="170"/>
        <v>3.8199999999999998E-2</v>
      </c>
      <c r="L753">
        <f t="shared" si="171"/>
        <v>0.09</v>
      </c>
      <c r="M753" s="4">
        <f t="shared" si="168"/>
        <v>9.1679999999999995E-4</v>
      </c>
      <c r="N753" s="4">
        <f t="shared" si="169"/>
        <v>2.16E-3</v>
      </c>
    </row>
    <row r="754" spans="1:14">
      <c r="A754" t="str">
        <f t="shared" si="158"/>
        <v>alp_Man-VWCO</v>
      </c>
      <c r="B754" t="str">
        <f t="shared" si="159"/>
        <v>Google Brasil</v>
      </c>
      <c r="C754" t="str">
        <f t="shared" si="160"/>
        <v>google-brasil|sky|120x600|vw_caminhoes|always_on|vitrine|criativo_13_constellation_24-280|120x600|cpm</v>
      </c>
      <c r="D754" t="str">
        <f t="shared" si="161"/>
        <v>138018961</v>
      </c>
      <c r="E754" t="str">
        <f t="shared" si="162"/>
        <v>Default</v>
      </c>
      <c r="F754" t="str">
        <f t="shared" si="163"/>
        <v>120x600 Default Web Ad</v>
      </c>
      <c r="G754" t="str">
        <f t="shared" si="164"/>
        <v>310387629</v>
      </c>
      <c r="H754" t="str">
        <f t="shared" si="165"/>
        <v>Display</v>
      </c>
      <c r="I754">
        <f t="shared" si="166"/>
        <v>181</v>
      </c>
      <c r="J754">
        <f t="shared" si="167"/>
        <v>0</v>
      </c>
      <c r="K754" s="4">
        <f t="shared" si="170"/>
        <v>3.8199999999999998E-2</v>
      </c>
      <c r="L754">
        <f t="shared" si="171"/>
        <v>0.09</v>
      </c>
      <c r="M754" s="4">
        <f t="shared" si="168"/>
        <v>6.9141999999999988E-3</v>
      </c>
      <c r="N754" s="4">
        <f t="shared" si="169"/>
        <v>1.6289999999999999E-2</v>
      </c>
    </row>
    <row r="755" spans="1:14">
      <c r="A755" t="str">
        <f t="shared" si="158"/>
        <v>alp_Man-VWCO</v>
      </c>
      <c r="B755" t="str">
        <f t="shared" si="159"/>
        <v>Google Brasil</v>
      </c>
      <c r="C755" t="str">
        <f t="shared" si="160"/>
        <v>google-brasil|sky|120x600|vw_caminhoes|always_on|vitrine|criativo_14_constellation_24-280-v|120x600|cpm</v>
      </c>
      <c r="D755" t="str">
        <f t="shared" si="161"/>
        <v>138018956</v>
      </c>
      <c r="E755" t="str">
        <f t="shared" si="162"/>
        <v>Default</v>
      </c>
      <c r="F755" t="str">
        <f t="shared" si="163"/>
        <v>120x600 Default Web Ad</v>
      </c>
      <c r="G755" t="str">
        <f t="shared" si="164"/>
        <v>310387629</v>
      </c>
      <c r="H755" t="str">
        <f t="shared" si="165"/>
        <v>Display</v>
      </c>
      <c r="I755">
        <f t="shared" si="166"/>
        <v>33</v>
      </c>
      <c r="J755">
        <f t="shared" si="167"/>
        <v>0</v>
      </c>
      <c r="K755" s="4">
        <f t="shared" si="170"/>
        <v>3.8199999999999998E-2</v>
      </c>
      <c r="L755">
        <f t="shared" si="171"/>
        <v>0.09</v>
      </c>
      <c r="M755" s="4">
        <f t="shared" si="168"/>
        <v>1.2606E-3</v>
      </c>
      <c r="N755" s="4">
        <f t="shared" si="169"/>
        <v>2.9699999999999996E-3</v>
      </c>
    </row>
    <row r="756" spans="1:14">
      <c r="A756" t="str">
        <f t="shared" si="158"/>
        <v>alp_Man-VWCO</v>
      </c>
      <c r="B756" t="str">
        <f t="shared" si="159"/>
        <v>Google Brasil</v>
      </c>
      <c r="C756" t="str">
        <f t="shared" si="160"/>
        <v>google-brasil|sky|120x600|vw_caminhoes|always_on|vitrine|criativo_14_constellation_24-280-v|120x600|cpm</v>
      </c>
      <c r="D756" t="str">
        <f t="shared" si="161"/>
        <v>138018956</v>
      </c>
      <c r="E756" t="str">
        <f t="shared" si="162"/>
        <v>Default</v>
      </c>
      <c r="F756" t="str">
        <f t="shared" si="163"/>
        <v>120x600 Default Web Ad</v>
      </c>
      <c r="G756" t="str">
        <f t="shared" si="164"/>
        <v>310387629</v>
      </c>
      <c r="H756" t="str">
        <f t="shared" si="165"/>
        <v>Display</v>
      </c>
      <c r="I756">
        <f t="shared" si="166"/>
        <v>137</v>
      </c>
      <c r="J756">
        <f t="shared" si="167"/>
        <v>0</v>
      </c>
      <c r="K756" s="4">
        <f t="shared" si="170"/>
        <v>3.8199999999999998E-2</v>
      </c>
      <c r="L756">
        <f t="shared" si="171"/>
        <v>0.09</v>
      </c>
      <c r="M756" s="4">
        <f t="shared" si="168"/>
        <v>5.2334E-3</v>
      </c>
      <c r="N756" s="4">
        <f t="shared" si="169"/>
        <v>1.2330000000000001E-2</v>
      </c>
    </row>
    <row r="757" spans="1:14">
      <c r="A757" t="str">
        <f t="shared" si="158"/>
        <v>alp_Man-VWCO</v>
      </c>
      <c r="B757" t="str">
        <f t="shared" si="159"/>
        <v>Google Brasil</v>
      </c>
      <c r="C757" t="str">
        <f t="shared" si="160"/>
        <v>google-brasil|sky|120x600|vw_caminhoes|always_on|vitrine|criativo_15_constellation_24-280-8x2|120x600|cpm</v>
      </c>
      <c r="D757" t="str">
        <f t="shared" si="161"/>
        <v>138018951</v>
      </c>
      <c r="E757" t="str">
        <f t="shared" si="162"/>
        <v>Default</v>
      </c>
      <c r="F757" t="str">
        <f t="shared" si="163"/>
        <v>120x600 Default Web Ad</v>
      </c>
      <c r="G757" t="str">
        <f t="shared" si="164"/>
        <v>310387629</v>
      </c>
      <c r="H757" t="str">
        <f t="shared" si="165"/>
        <v>Display</v>
      </c>
      <c r="I757">
        <f t="shared" si="166"/>
        <v>29</v>
      </c>
      <c r="J757">
        <f t="shared" si="167"/>
        <v>0</v>
      </c>
      <c r="K757" s="4">
        <f t="shared" si="170"/>
        <v>3.8199999999999998E-2</v>
      </c>
      <c r="L757">
        <f t="shared" si="171"/>
        <v>0.09</v>
      </c>
      <c r="M757" s="4">
        <f t="shared" si="168"/>
        <v>1.1077999999999999E-3</v>
      </c>
      <c r="N757" s="4">
        <f t="shared" si="169"/>
        <v>2.6099999999999999E-3</v>
      </c>
    </row>
    <row r="758" spans="1:14">
      <c r="A758" t="str">
        <f t="shared" si="158"/>
        <v>alp_Man-VWCO</v>
      </c>
      <c r="B758" t="str">
        <f t="shared" si="159"/>
        <v>Google Brasil</v>
      </c>
      <c r="C758" t="str">
        <f t="shared" si="160"/>
        <v>google-brasil|sky|120x600|vw_caminhoes|always_on|vitrine|criativo_15_constellation_24-280-8x2|120x600|cpm</v>
      </c>
      <c r="D758" t="str">
        <f t="shared" si="161"/>
        <v>138018951</v>
      </c>
      <c r="E758" t="str">
        <f t="shared" si="162"/>
        <v>Default</v>
      </c>
      <c r="F758" t="str">
        <f t="shared" si="163"/>
        <v>120x600 Default Web Ad</v>
      </c>
      <c r="G758" t="str">
        <f t="shared" si="164"/>
        <v>310387629</v>
      </c>
      <c r="H758" t="str">
        <f t="shared" si="165"/>
        <v>Display</v>
      </c>
      <c r="I758">
        <f t="shared" si="166"/>
        <v>171</v>
      </c>
      <c r="J758">
        <f t="shared" si="167"/>
        <v>0</v>
      </c>
      <c r="K758" s="4">
        <f t="shared" si="170"/>
        <v>3.8199999999999998E-2</v>
      </c>
      <c r="L758">
        <f t="shared" si="171"/>
        <v>0.09</v>
      </c>
      <c r="M758" s="4">
        <f t="shared" si="168"/>
        <v>6.5321999999999993E-3</v>
      </c>
      <c r="N758" s="4">
        <f t="shared" si="169"/>
        <v>1.5389999999999999E-2</v>
      </c>
    </row>
    <row r="759" spans="1:14">
      <c r="A759" t="str">
        <f t="shared" si="158"/>
        <v>alp_Man-VWCO</v>
      </c>
      <c r="B759" t="str">
        <f t="shared" si="159"/>
        <v>Google Brasil</v>
      </c>
      <c r="C759" t="str">
        <f t="shared" si="160"/>
        <v>google-brasil|sky|120x600|vw_caminhoes|always_on|vitrine|criativo_16_constellation_24-280|120x600|cpm</v>
      </c>
      <c r="D759" t="str">
        <f t="shared" si="161"/>
        <v>138018946</v>
      </c>
      <c r="E759" t="str">
        <f t="shared" si="162"/>
        <v>Default</v>
      </c>
      <c r="F759" t="str">
        <f t="shared" si="163"/>
        <v>120x600 Default Web Ad</v>
      </c>
      <c r="G759" t="str">
        <f t="shared" si="164"/>
        <v>310387629</v>
      </c>
      <c r="H759" t="str">
        <f t="shared" si="165"/>
        <v>Display</v>
      </c>
      <c r="I759">
        <f t="shared" si="166"/>
        <v>39</v>
      </c>
      <c r="J759">
        <f t="shared" si="167"/>
        <v>0</v>
      </c>
      <c r="K759" s="4">
        <f t="shared" si="170"/>
        <v>3.8199999999999998E-2</v>
      </c>
      <c r="L759">
        <f t="shared" si="171"/>
        <v>0.09</v>
      </c>
      <c r="M759" s="4">
        <f t="shared" si="168"/>
        <v>1.4898000000000001E-3</v>
      </c>
      <c r="N759" s="4">
        <f t="shared" si="169"/>
        <v>3.5099999999999997E-3</v>
      </c>
    </row>
    <row r="760" spans="1:14">
      <c r="A760" t="str">
        <f t="shared" si="158"/>
        <v>alp_Man-VWCO</v>
      </c>
      <c r="B760" t="str">
        <f t="shared" si="159"/>
        <v>Google Brasil</v>
      </c>
      <c r="C760" t="str">
        <f t="shared" si="160"/>
        <v>google-brasil|sky|120x600|vw_caminhoes|always_on|vitrine|criativo_16_constellation_24-280|120x600|cpm</v>
      </c>
      <c r="D760" t="str">
        <f t="shared" si="161"/>
        <v>138018946</v>
      </c>
      <c r="E760" t="str">
        <f t="shared" si="162"/>
        <v>Default</v>
      </c>
      <c r="F760" t="str">
        <f t="shared" si="163"/>
        <v>120x600 Default Web Ad</v>
      </c>
      <c r="G760" t="str">
        <f t="shared" si="164"/>
        <v>310387629</v>
      </c>
      <c r="H760" t="str">
        <f t="shared" si="165"/>
        <v>Display</v>
      </c>
      <c r="I760">
        <f t="shared" si="166"/>
        <v>171</v>
      </c>
      <c r="J760">
        <f t="shared" si="167"/>
        <v>0</v>
      </c>
      <c r="K760" s="4">
        <f t="shared" si="170"/>
        <v>3.8199999999999998E-2</v>
      </c>
      <c r="L760">
        <f t="shared" si="171"/>
        <v>0.09</v>
      </c>
      <c r="M760" s="4">
        <f t="shared" si="168"/>
        <v>6.5321999999999993E-3</v>
      </c>
      <c r="N760" s="4">
        <f t="shared" si="169"/>
        <v>1.5389999999999999E-2</v>
      </c>
    </row>
    <row r="761" spans="1:14">
      <c r="A761" t="str">
        <f t="shared" si="158"/>
        <v>alp_Man-VWCO</v>
      </c>
      <c r="B761" t="str">
        <f t="shared" si="159"/>
        <v>Google Brasil</v>
      </c>
      <c r="C761" t="str">
        <f t="shared" si="160"/>
        <v>google-brasil|super-banner|728x90|man_caminhoes|always_on|institucional|criativo_01|728x90|cpm</v>
      </c>
      <c r="D761" t="str">
        <f t="shared" si="161"/>
        <v>138019082</v>
      </c>
      <c r="E761" t="str">
        <f t="shared" si="162"/>
        <v>Default</v>
      </c>
      <c r="F761" t="str">
        <f t="shared" si="163"/>
        <v>728x90 Default Web Ad</v>
      </c>
      <c r="G761" t="str">
        <f t="shared" si="164"/>
        <v>310386926</v>
      </c>
      <c r="H761" t="str">
        <f t="shared" si="165"/>
        <v>Display</v>
      </c>
      <c r="I761">
        <f t="shared" si="166"/>
        <v>4774</v>
      </c>
      <c r="J761">
        <f t="shared" si="167"/>
        <v>7</v>
      </c>
      <c r="K761" s="4">
        <f t="shared" si="170"/>
        <v>3.8199999999999998E-2</v>
      </c>
      <c r="L761">
        <f t="shared" si="171"/>
        <v>0.09</v>
      </c>
      <c r="M761" s="4">
        <f t="shared" si="168"/>
        <v>0.1823668</v>
      </c>
      <c r="N761" s="4">
        <f t="shared" si="169"/>
        <v>0.42965999999999999</v>
      </c>
    </row>
    <row r="762" spans="1:14">
      <c r="A762" t="str">
        <f t="shared" si="158"/>
        <v>alp_Man-VWCO</v>
      </c>
      <c r="B762" t="str">
        <f t="shared" si="159"/>
        <v>Google Brasil</v>
      </c>
      <c r="C762" t="str">
        <f t="shared" si="160"/>
        <v>google-brasil|super-banner|728x90|man_caminhoes|always_on|institucional|criativo_01|728x90|cpm</v>
      </c>
      <c r="D762" t="str">
        <f t="shared" si="161"/>
        <v>138019082</v>
      </c>
      <c r="E762" t="str">
        <f t="shared" si="162"/>
        <v>Default</v>
      </c>
      <c r="F762" t="str">
        <f t="shared" si="163"/>
        <v>728x90 Default Web Ad</v>
      </c>
      <c r="G762" t="str">
        <f t="shared" si="164"/>
        <v>310386926</v>
      </c>
      <c r="H762" t="str">
        <f t="shared" si="165"/>
        <v>Display</v>
      </c>
      <c r="I762">
        <f t="shared" si="166"/>
        <v>654</v>
      </c>
      <c r="J762">
        <f t="shared" si="167"/>
        <v>46</v>
      </c>
      <c r="K762" s="4">
        <f t="shared" si="170"/>
        <v>3.8199999999999998E-2</v>
      </c>
      <c r="L762">
        <f t="shared" si="171"/>
        <v>0.09</v>
      </c>
      <c r="M762" s="4">
        <f t="shared" si="168"/>
        <v>2.4982799999999996E-2</v>
      </c>
      <c r="N762" s="4">
        <f t="shared" si="169"/>
        <v>5.8860000000000003E-2</v>
      </c>
    </row>
    <row r="763" spans="1:14">
      <c r="A763" t="str">
        <f t="shared" si="158"/>
        <v>alp_Man-VWCO</v>
      </c>
      <c r="B763" t="str">
        <f t="shared" si="159"/>
        <v>Google Brasil</v>
      </c>
      <c r="C763" t="str">
        <f t="shared" si="160"/>
        <v>google-brasil|super-banner|728x90|man_caminhoes|always_on|institucional|criativo_02|728x90|cpm</v>
      </c>
      <c r="D763" t="str">
        <f t="shared" si="161"/>
        <v>138019077</v>
      </c>
      <c r="E763" t="str">
        <f t="shared" si="162"/>
        <v>Default</v>
      </c>
      <c r="F763" t="str">
        <f t="shared" si="163"/>
        <v>728x90 Default Web Ad</v>
      </c>
      <c r="G763" t="str">
        <f t="shared" si="164"/>
        <v>310386926</v>
      </c>
      <c r="H763" t="str">
        <f t="shared" si="165"/>
        <v>Display</v>
      </c>
      <c r="I763">
        <f t="shared" si="166"/>
        <v>5415</v>
      </c>
      <c r="J763">
        <f t="shared" si="167"/>
        <v>5</v>
      </c>
      <c r="K763" s="4">
        <f t="shared" si="170"/>
        <v>3.8199999999999998E-2</v>
      </c>
      <c r="L763">
        <f t="shared" si="171"/>
        <v>0.09</v>
      </c>
      <c r="M763" s="4">
        <f t="shared" si="168"/>
        <v>0.20685299999999998</v>
      </c>
      <c r="N763" s="4">
        <f t="shared" si="169"/>
        <v>0.48734999999999995</v>
      </c>
    </row>
    <row r="764" spans="1:14">
      <c r="A764" t="str">
        <f t="shared" si="158"/>
        <v>alp_Man-VWCO</v>
      </c>
      <c r="B764" t="str">
        <f t="shared" si="159"/>
        <v>Google Brasil</v>
      </c>
      <c r="C764" t="str">
        <f t="shared" si="160"/>
        <v>google-brasil|super-banner|728x90|man_caminhoes|always_on|institucional|criativo_02|728x90|cpm</v>
      </c>
      <c r="D764" t="str">
        <f t="shared" si="161"/>
        <v>138019077</v>
      </c>
      <c r="E764" t="str">
        <f t="shared" si="162"/>
        <v>Default</v>
      </c>
      <c r="F764" t="str">
        <f t="shared" si="163"/>
        <v>728x90 Default Web Ad</v>
      </c>
      <c r="G764" t="str">
        <f t="shared" si="164"/>
        <v>310386926</v>
      </c>
      <c r="H764" t="str">
        <f t="shared" si="165"/>
        <v>Display</v>
      </c>
      <c r="I764">
        <f t="shared" si="166"/>
        <v>535</v>
      </c>
      <c r="J764">
        <f t="shared" si="167"/>
        <v>39</v>
      </c>
      <c r="K764" s="4">
        <f t="shared" si="170"/>
        <v>3.8199999999999998E-2</v>
      </c>
      <c r="L764">
        <f t="shared" si="171"/>
        <v>0.09</v>
      </c>
      <c r="M764" s="4">
        <f t="shared" si="168"/>
        <v>2.0436999999999997E-2</v>
      </c>
      <c r="N764" s="4">
        <f t="shared" si="169"/>
        <v>4.8149999999999998E-2</v>
      </c>
    </row>
    <row r="765" spans="1:14">
      <c r="A765" t="str">
        <f t="shared" si="158"/>
        <v>alp_Man-VWCO</v>
      </c>
      <c r="B765" t="str">
        <f t="shared" si="159"/>
        <v>Google Brasil</v>
      </c>
      <c r="C765" t="str">
        <f t="shared" si="160"/>
        <v>google-brasil|super-banner|728x90|man_caminhoes|always_on|institucional|criativo_03|728x90|cpm</v>
      </c>
      <c r="D765" t="str">
        <f t="shared" si="161"/>
        <v>138019072</v>
      </c>
      <c r="E765" t="str">
        <f t="shared" si="162"/>
        <v>Default</v>
      </c>
      <c r="F765" t="str">
        <f t="shared" si="163"/>
        <v>728x90 Default Web Ad</v>
      </c>
      <c r="G765" t="str">
        <f t="shared" si="164"/>
        <v>310386926</v>
      </c>
      <c r="H765" t="str">
        <f t="shared" si="165"/>
        <v>Display</v>
      </c>
      <c r="I765">
        <f t="shared" si="166"/>
        <v>4872</v>
      </c>
      <c r="J765">
        <f t="shared" si="167"/>
        <v>7</v>
      </c>
      <c r="K765" s="4">
        <f t="shared" si="170"/>
        <v>3.8199999999999998E-2</v>
      </c>
      <c r="L765">
        <f t="shared" si="171"/>
        <v>0.09</v>
      </c>
      <c r="M765" s="4">
        <f t="shared" si="168"/>
        <v>0.18611040000000001</v>
      </c>
      <c r="N765" s="4">
        <f t="shared" si="169"/>
        <v>0.43847999999999998</v>
      </c>
    </row>
    <row r="766" spans="1:14">
      <c r="A766" t="str">
        <f t="shared" si="158"/>
        <v>alp_Man-VWCO</v>
      </c>
      <c r="B766" t="str">
        <f t="shared" si="159"/>
        <v>Google Brasil</v>
      </c>
      <c r="C766" t="str">
        <f t="shared" si="160"/>
        <v>google-brasil|super-banner|728x90|man_caminhoes|always_on|institucional|criativo_03|728x90|cpm</v>
      </c>
      <c r="D766" t="str">
        <f t="shared" si="161"/>
        <v>138019072</v>
      </c>
      <c r="E766" t="str">
        <f t="shared" si="162"/>
        <v>Default</v>
      </c>
      <c r="F766" t="str">
        <f t="shared" si="163"/>
        <v>728x90 Default Web Ad</v>
      </c>
      <c r="G766" t="str">
        <f t="shared" si="164"/>
        <v>310386926</v>
      </c>
      <c r="H766" t="str">
        <f t="shared" si="165"/>
        <v>Display</v>
      </c>
      <c r="I766">
        <f t="shared" si="166"/>
        <v>1304</v>
      </c>
      <c r="J766">
        <f t="shared" si="167"/>
        <v>98</v>
      </c>
      <c r="K766" s="4">
        <f t="shared" si="170"/>
        <v>3.8199999999999998E-2</v>
      </c>
      <c r="L766">
        <f t="shared" si="171"/>
        <v>0.09</v>
      </c>
      <c r="M766" s="4">
        <f t="shared" si="168"/>
        <v>4.9812799999999997E-2</v>
      </c>
      <c r="N766" s="4">
        <f t="shared" si="169"/>
        <v>0.11736000000000001</v>
      </c>
    </row>
    <row r="767" spans="1:14">
      <c r="A767" t="str">
        <f t="shared" si="158"/>
        <v>alp_Man-VWCO</v>
      </c>
      <c r="B767" t="str">
        <f t="shared" si="159"/>
        <v>Google Brasil</v>
      </c>
      <c r="C767" t="str">
        <f t="shared" si="160"/>
        <v>google-brasil|super-banner|728x90|man_caminhoes|always_on|institucional|criativo_04|728x90|cpm</v>
      </c>
      <c r="D767" t="str">
        <f t="shared" si="161"/>
        <v>138019067</v>
      </c>
      <c r="E767" t="str">
        <f t="shared" si="162"/>
        <v>Default</v>
      </c>
      <c r="F767" t="str">
        <f t="shared" si="163"/>
        <v>728x90 Default Web Ad</v>
      </c>
      <c r="G767" t="str">
        <f t="shared" si="164"/>
        <v>310386926</v>
      </c>
      <c r="H767" t="str">
        <f t="shared" si="165"/>
        <v>Display</v>
      </c>
      <c r="I767">
        <f t="shared" si="166"/>
        <v>5056</v>
      </c>
      <c r="J767">
        <f t="shared" si="167"/>
        <v>3</v>
      </c>
      <c r="K767" s="4">
        <f t="shared" si="170"/>
        <v>3.8199999999999998E-2</v>
      </c>
      <c r="L767">
        <f t="shared" si="171"/>
        <v>0.09</v>
      </c>
      <c r="M767" s="4">
        <f t="shared" si="168"/>
        <v>0.19313919999999998</v>
      </c>
      <c r="N767" s="4">
        <f t="shared" si="169"/>
        <v>0.45503999999999994</v>
      </c>
    </row>
    <row r="768" spans="1:14">
      <c r="A768" t="str">
        <f t="shared" si="158"/>
        <v>alp_Man-VWCO</v>
      </c>
      <c r="B768" t="str">
        <f t="shared" si="159"/>
        <v>Google Brasil</v>
      </c>
      <c r="C768" t="str">
        <f t="shared" si="160"/>
        <v>google-brasil|super-banner|728x90|man_caminhoes|always_on|institucional|criativo_04|728x90|cpm</v>
      </c>
      <c r="D768" t="str">
        <f t="shared" si="161"/>
        <v>138019067</v>
      </c>
      <c r="E768" t="str">
        <f t="shared" si="162"/>
        <v>Default</v>
      </c>
      <c r="F768" t="str">
        <f t="shared" si="163"/>
        <v>728x90 Default Web Ad</v>
      </c>
      <c r="G768" t="str">
        <f t="shared" si="164"/>
        <v>310386926</v>
      </c>
      <c r="H768" t="str">
        <f t="shared" si="165"/>
        <v>Display</v>
      </c>
      <c r="I768">
        <f t="shared" si="166"/>
        <v>707</v>
      </c>
      <c r="J768">
        <f t="shared" si="167"/>
        <v>43</v>
      </c>
      <c r="K768" s="4">
        <f t="shared" si="170"/>
        <v>3.8199999999999998E-2</v>
      </c>
      <c r="L768">
        <f t="shared" si="171"/>
        <v>0.09</v>
      </c>
      <c r="M768" s="4">
        <f t="shared" si="168"/>
        <v>2.7007399999999997E-2</v>
      </c>
      <c r="N768" s="4">
        <f t="shared" si="169"/>
        <v>6.3629999999999992E-2</v>
      </c>
    </row>
    <row r="769" spans="1:14">
      <c r="A769" t="str">
        <f t="shared" si="158"/>
        <v>alp_Man-VWCO</v>
      </c>
      <c r="B769" t="str">
        <f t="shared" si="159"/>
        <v>Google Brasil</v>
      </c>
      <c r="C769" t="str">
        <f t="shared" si="160"/>
        <v>google-brasil|super-banner|728x90|man_caminhoes|always_on|institucional|criativo_05|728x90|cpm</v>
      </c>
      <c r="D769" t="str">
        <f t="shared" si="161"/>
        <v>138019062</v>
      </c>
      <c r="E769" t="str">
        <f t="shared" si="162"/>
        <v>Default</v>
      </c>
      <c r="F769" t="str">
        <f t="shared" si="163"/>
        <v>728x90 Default Web Ad</v>
      </c>
      <c r="G769" t="str">
        <f t="shared" si="164"/>
        <v>310386926</v>
      </c>
      <c r="H769" t="str">
        <f t="shared" si="165"/>
        <v>Display</v>
      </c>
      <c r="I769">
        <f t="shared" si="166"/>
        <v>7890</v>
      </c>
      <c r="J769">
        <f t="shared" si="167"/>
        <v>14</v>
      </c>
      <c r="K769" s="4">
        <f t="shared" si="170"/>
        <v>3.8199999999999998E-2</v>
      </c>
      <c r="L769">
        <f t="shared" si="171"/>
        <v>0.09</v>
      </c>
      <c r="M769" s="4">
        <f t="shared" si="168"/>
        <v>0.30139799999999994</v>
      </c>
      <c r="N769" s="4">
        <f t="shared" si="169"/>
        <v>0.71010000000000006</v>
      </c>
    </row>
    <row r="770" spans="1:14">
      <c r="A770" t="str">
        <f t="shared" ref="A770:A833" si="172">bd_campaign</f>
        <v>alp_Man-VWCO</v>
      </c>
      <c r="B770" t="str">
        <f t="shared" ref="B770:B833" si="173">bd_site</f>
        <v>Google Brasil</v>
      </c>
      <c r="C770" t="str">
        <f t="shared" ref="C770:C833" si="174">bd_placement</f>
        <v>google-brasil|super-banner|728x90|man_caminhoes|always_on|institucional|criativo_05|728x90|cpm</v>
      </c>
      <c r="D770" t="str">
        <f t="shared" ref="D770:D833" si="175">bd_placementID</f>
        <v>138019062</v>
      </c>
      <c r="E770" t="str">
        <f t="shared" ref="E770:E833" si="176">VLOOKUP(CONCATENATE(bd_adtype,"_",bd_creativetype),tabela,2,FALSE)</f>
        <v>Default</v>
      </c>
      <c r="F770" t="str">
        <f t="shared" ref="F770:F833" si="177">bd_ad</f>
        <v>728x90 Default Web Ad</v>
      </c>
      <c r="G770" t="str">
        <f t="shared" ref="G770:G833" si="178">bd_adid</f>
        <v>310386926</v>
      </c>
      <c r="H770" t="str">
        <f t="shared" ref="H770:H833" si="179">bd_creativetype</f>
        <v>Display</v>
      </c>
      <c r="I770">
        <f t="shared" ref="I770:I833" si="180">bd_impression</f>
        <v>1410</v>
      </c>
      <c r="J770">
        <f t="shared" ref="J770:J833" si="181">bd_clicks</f>
        <v>118</v>
      </c>
      <c r="K770" s="4">
        <f t="shared" si="170"/>
        <v>3.8199999999999998E-2</v>
      </c>
      <c r="L770">
        <f t="shared" si="171"/>
        <v>0.09</v>
      </c>
      <c r="M770" s="4">
        <f t="shared" si="168"/>
        <v>5.3861999999999993E-2</v>
      </c>
      <c r="N770" s="4">
        <f t="shared" si="169"/>
        <v>0.12689999999999999</v>
      </c>
    </row>
    <row r="771" spans="1:14">
      <c r="A771" t="str">
        <f t="shared" si="172"/>
        <v>alp_Man-VWCO</v>
      </c>
      <c r="B771" t="str">
        <f t="shared" si="173"/>
        <v>Google Brasil</v>
      </c>
      <c r="C771" t="str">
        <f t="shared" si="174"/>
        <v>google-brasil|super-banner|728x90|man_caminhoes|always_on|produto|criativo_11_tgx_29-440|728x90|cpm</v>
      </c>
      <c r="D771" t="str">
        <f t="shared" si="175"/>
        <v>138018377</v>
      </c>
      <c r="E771" t="str">
        <f t="shared" si="176"/>
        <v>Default</v>
      </c>
      <c r="F771" t="str">
        <f t="shared" si="177"/>
        <v>728x90 Default Web Ad</v>
      </c>
      <c r="G771" t="str">
        <f t="shared" si="178"/>
        <v>310386926</v>
      </c>
      <c r="H771" t="str">
        <f t="shared" si="179"/>
        <v>Display</v>
      </c>
      <c r="I771">
        <f t="shared" si="180"/>
        <v>8616</v>
      </c>
      <c r="J771">
        <f t="shared" si="181"/>
        <v>3</v>
      </c>
      <c r="K771" s="4">
        <f t="shared" si="170"/>
        <v>3.8199999999999998E-2</v>
      </c>
      <c r="L771">
        <f t="shared" si="171"/>
        <v>0.09</v>
      </c>
      <c r="M771" s="4">
        <f t="shared" si="168"/>
        <v>0.32913119999999996</v>
      </c>
      <c r="N771" s="4">
        <f t="shared" si="169"/>
        <v>0.77543999999999991</v>
      </c>
    </row>
    <row r="772" spans="1:14">
      <c r="A772" t="str">
        <f t="shared" si="172"/>
        <v>alp_Man-VWCO</v>
      </c>
      <c r="B772" t="str">
        <f t="shared" si="173"/>
        <v>Google Brasil</v>
      </c>
      <c r="C772" t="str">
        <f t="shared" si="174"/>
        <v>google-brasil|super-banner|728x90|man_caminhoes|always_on|produto|criativo_11_tgx_29-440|728x90|cpm</v>
      </c>
      <c r="D772" t="str">
        <f t="shared" si="175"/>
        <v>138018377</v>
      </c>
      <c r="E772" t="str">
        <f t="shared" si="176"/>
        <v>Default</v>
      </c>
      <c r="F772" t="str">
        <f t="shared" si="177"/>
        <v>728x90 Default Web Ad</v>
      </c>
      <c r="G772" t="str">
        <f t="shared" si="178"/>
        <v>310386926</v>
      </c>
      <c r="H772" t="str">
        <f t="shared" si="179"/>
        <v>Display</v>
      </c>
      <c r="I772">
        <f t="shared" si="180"/>
        <v>2879</v>
      </c>
      <c r="J772">
        <f t="shared" si="181"/>
        <v>1</v>
      </c>
      <c r="K772" s="4">
        <f t="shared" si="170"/>
        <v>3.8199999999999998E-2</v>
      </c>
      <c r="L772">
        <f t="shared" si="171"/>
        <v>0.09</v>
      </c>
      <c r="M772" s="4">
        <f t="shared" si="168"/>
        <v>0.10997779999999999</v>
      </c>
      <c r="N772" s="4">
        <f t="shared" si="169"/>
        <v>0.25911000000000001</v>
      </c>
    </row>
    <row r="773" spans="1:14">
      <c r="A773" t="str">
        <f t="shared" si="172"/>
        <v>alp_Man-VWCO</v>
      </c>
      <c r="B773" t="str">
        <f t="shared" si="173"/>
        <v>Google Brasil</v>
      </c>
      <c r="C773" t="str">
        <f t="shared" si="174"/>
        <v>google-brasil|super-banner|728x90|man_caminhoes|always_on|produto|criativo_12_tgx_29-440|728x90|cpm</v>
      </c>
      <c r="D773" t="str">
        <f t="shared" si="175"/>
        <v>138018372</v>
      </c>
      <c r="E773" t="str">
        <f t="shared" si="176"/>
        <v>Default</v>
      </c>
      <c r="F773" t="str">
        <f t="shared" si="177"/>
        <v>728x90 Default Web Ad</v>
      </c>
      <c r="G773" t="str">
        <f t="shared" si="178"/>
        <v>310386926</v>
      </c>
      <c r="H773" t="str">
        <f t="shared" si="179"/>
        <v>Display</v>
      </c>
      <c r="I773">
        <f t="shared" si="180"/>
        <v>8720</v>
      </c>
      <c r="J773">
        <f t="shared" si="181"/>
        <v>2</v>
      </c>
      <c r="K773" s="4">
        <f t="shared" si="170"/>
        <v>3.8199999999999998E-2</v>
      </c>
      <c r="L773">
        <f t="shared" si="171"/>
        <v>0.09</v>
      </c>
      <c r="M773" s="4">
        <f t="shared" si="168"/>
        <v>0.33310400000000001</v>
      </c>
      <c r="N773" s="4">
        <f t="shared" si="169"/>
        <v>0.78479999999999994</v>
      </c>
    </row>
    <row r="774" spans="1:14">
      <c r="A774" t="str">
        <f t="shared" si="172"/>
        <v>alp_Man-VWCO</v>
      </c>
      <c r="B774" t="str">
        <f t="shared" si="173"/>
        <v>Google Brasil</v>
      </c>
      <c r="C774" t="str">
        <f t="shared" si="174"/>
        <v>google-brasil|super-banner|728x90|man_caminhoes|always_on|produto|criativo_12_tgx_29-440|728x90|cpm</v>
      </c>
      <c r="D774" t="str">
        <f t="shared" si="175"/>
        <v>138018372</v>
      </c>
      <c r="E774" t="str">
        <f t="shared" si="176"/>
        <v>Default</v>
      </c>
      <c r="F774" t="str">
        <f t="shared" si="177"/>
        <v>728x90 Default Web Ad</v>
      </c>
      <c r="G774" t="str">
        <f t="shared" si="178"/>
        <v>310386926</v>
      </c>
      <c r="H774" t="str">
        <f t="shared" si="179"/>
        <v>Display</v>
      </c>
      <c r="I774">
        <f t="shared" si="180"/>
        <v>2761</v>
      </c>
      <c r="J774">
        <f t="shared" si="181"/>
        <v>0</v>
      </c>
      <c r="K774" s="4">
        <f t="shared" si="170"/>
        <v>3.8199999999999998E-2</v>
      </c>
      <c r="L774">
        <f t="shared" si="171"/>
        <v>0.09</v>
      </c>
      <c r="M774" s="4">
        <f t="shared" si="168"/>
        <v>0.10547019999999999</v>
      </c>
      <c r="N774" s="4">
        <f t="shared" si="169"/>
        <v>0.24848999999999999</v>
      </c>
    </row>
    <row r="775" spans="1:14">
      <c r="A775" t="str">
        <f t="shared" si="172"/>
        <v>alp_Man-VWCO</v>
      </c>
      <c r="B775" t="str">
        <f t="shared" si="173"/>
        <v>Google Brasil</v>
      </c>
      <c r="C775" t="str">
        <f t="shared" si="174"/>
        <v>google-brasil|super-banner|728x90|man_caminhoes|always_on|produto|criativo_13_tgx_29-440|728x90|cpm</v>
      </c>
      <c r="D775" t="str">
        <f t="shared" si="175"/>
        <v>138018367</v>
      </c>
      <c r="E775" t="str">
        <f t="shared" si="176"/>
        <v>Default</v>
      </c>
      <c r="F775" t="str">
        <f t="shared" si="177"/>
        <v>728x90 Default Web Ad</v>
      </c>
      <c r="G775" t="str">
        <f t="shared" si="178"/>
        <v>310386926</v>
      </c>
      <c r="H775" t="str">
        <f t="shared" si="179"/>
        <v>Display</v>
      </c>
      <c r="I775">
        <f t="shared" si="180"/>
        <v>8447</v>
      </c>
      <c r="J775">
        <f t="shared" si="181"/>
        <v>3</v>
      </c>
      <c r="K775" s="4">
        <f t="shared" si="170"/>
        <v>3.8199999999999998E-2</v>
      </c>
      <c r="L775">
        <f t="shared" si="171"/>
        <v>0.09</v>
      </c>
      <c r="M775" s="4">
        <f t="shared" si="168"/>
        <v>0.32267539999999995</v>
      </c>
      <c r="N775" s="4">
        <f t="shared" si="169"/>
        <v>0.76023000000000007</v>
      </c>
    </row>
    <row r="776" spans="1:14">
      <c r="A776" t="str">
        <f t="shared" si="172"/>
        <v>alp_Man-VWCO</v>
      </c>
      <c r="B776" t="str">
        <f t="shared" si="173"/>
        <v>Google Brasil</v>
      </c>
      <c r="C776" t="str">
        <f t="shared" si="174"/>
        <v>google-brasil|super-banner|728x90|man_caminhoes|always_on|produto|criativo_13_tgx_29-440|728x90|cpm</v>
      </c>
      <c r="D776" t="str">
        <f t="shared" si="175"/>
        <v>138018367</v>
      </c>
      <c r="E776" t="str">
        <f t="shared" si="176"/>
        <v>Default</v>
      </c>
      <c r="F776" t="str">
        <f t="shared" si="177"/>
        <v>728x90 Default Web Ad</v>
      </c>
      <c r="G776" t="str">
        <f t="shared" si="178"/>
        <v>310386926</v>
      </c>
      <c r="H776" t="str">
        <f t="shared" si="179"/>
        <v>Display</v>
      </c>
      <c r="I776">
        <f t="shared" si="180"/>
        <v>2823</v>
      </c>
      <c r="J776">
        <f t="shared" si="181"/>
        <v>0</v>
      </c>
      <c r="K776" s="4">
        <f t="shared" si="170"/>
        <v>3.8199999999999998E-2</v>
      </c>
      <c r="L776">
        <f t="shared" si="171"/>
        <v>0.09</v>
      </c>
      <c r="M776" s="4">
        <f t="shared" si="168"/>
        <v>0.10783859999999999</v>
      </c>
      <c r="N776" s="4">
        <f t="shared" si="169"/>
        <v>0.25407000000000002</v>
      </c>
    </row>
    <row r="777" spans="1:14">
      <c r="A777" t="str">
        <f t="shared" si="172"/>
        <v>alp_Man-VWCO</v>
      </c>
      <c r="B777" t="str">
        <f t="shared" si="173"/>
        <v>Google Brasil</v>
      </c>
      <c r="C777" t="str">
        <f t="shared" si="174"/>
        <v>google-brasil|super-banner|728x90|man_caminhoes|always_on|produto|criativo_14_tgx_29-440|728x90|cpm</v>
      </c>
      <c r="D777" t="str">
        <f t="shared" si="175"/>
        <v>138018362</v>
      </c>
      <c r="E777" t="str">
        <f t="shared" si="176"/>
        <v>Default</v>
      </c>
      <c r="F777" t="str">
        <f t="shared" si="177"/>
        <v>728x90 Default Web Ad</v>
      </c>
      <c r="G777" t="str">
        <f t="shared" si="178"/>
        <v>310386926</v>
      </c>
      <c r="H777" t="str">
        <f t="shared" si="179"/>
        <v>Display</v>
      </c>
      <c r="I777">
        <f t="shared" si="180"/>
        <v>8669</v>
      </c>
      <c r="J777">
        <f t="shared" si="181"/>
        <v>3</v>
      </c>
      <c r="K777" s="4">
        <f t="shared" si="170"/>
        <v>3.8199999999999998E-2</v>
      </c>
      <c r="L777">
        <f t="shared" si="171"/>
        <v>0.09</v>
      </c>
      <c r="M777" s="4">
        <f t="shared" si="168"/>
        <v>0.3311558</v>
      </c>
      <c r="N777" s="4">
        <f t="shared" si="169"/>
        <v>0.78020999999999996</v>
      </c>
    </row>
    <row r="778" spans="1:14">
      <c r="A778" t="str">
        <f t="shared" si="172"/>
        <v>alp_Man-VWCO</v>
      </c>
      <c r="B778" t="str">
        <f t="shared" si="173"/>
        <v>Google Brasil</v>
      </c>
      <c r="C778" t="str">
        <f t="shared" si="174"/>
        <v>google-brasil|super-banner|728x90|man_caminhoes|always_on|produto|criativo_14_tgx_29-440|728x90|cpm</v>
      </c>
      <c r="D778" t="str">
        <f t="shared" si="175"/>
        <v>138018362</v>
      </c>
      <c r="E778" t="str">
        <f t="shared" si="176"/>
        <v>Default</v>
      </c>
      <c r="F778" t="str">
        <f t="shared" si="177"/>
        <v>728x90 Default Web Ad</v>
      </c>
      <c r="G778" t="str">
        <f t="shared" si="178"/>
        <v>310386926</v>
      </c>
      <c r="H778" t="str">
        <f t="shared" si="179"/>
        <v>Display</v>
      </c>
      <c r="I778">
        <f t="shared" si="180"/>
        <v>3033</v>
      </c>
      <c r="J778">
        <f t="shared" si="181"/>
        <v>2</v>
      </c>
      <c r="K778" s="4">
        <f t="shared" si="170"/>
        <v>3.8199999999999998E-2</v>
      </c>
      <c r="L778">
        <f t="shared" si="171"/>
        <v>0.09</v>
      </c>
      <c r="M778" s="4">
        <f t="shared" si="168"/>
        <v>0.11586059999999999</v>
      </c>
      <c r="N778" s="4">
        <f t="shared" si="169"/>
        <v>0.27296999999999999</v>
      </c>
    </row>
    <row r="779" spans="1:14">
      <c r="A779" t="str">
        <f t="shared" si="172"/>
        <v>alp_Man-VWCO</v>
      </c>
      <c r="B779" t="str">
        <f t="shared" si="173"/>
        <v>Google Brasil</v>
      </c>
      <c r="C779" t="str">
        <f t="shared" si="174"/>
        <v>google-brasil|super-banner|728x90|man_caminhoes|always_on|produto|criativo_15_tgx_29-440|728x90|cpm</v>
      </c>
      <c r="D779" t="str">
        <f t="shared" si="175"/>
        <v>138018357</v>
      </c>
      <c r="E779" t="str">
        <f t="shared" si="176"/>
        <v>Default</v>
      </c>
      <c r="F779" t="str">
        <f t="shared" si="177"/>
        <v>728x90 Default Web Ad</v>
      </c>
      <c r="G779" t="str">
        <f t="shared" si="178"/>
        <v>310386926</v>
      </c>
      <c r="H779" t="str">
        <f t="shared" si="179"/>
        <v>Display</v>
      </c>
      <c r="I779">
        <f t="shared" si="180"/>
        <v>8585</v>
      </c>
      <c r="J779">
        <f t="shared" si="181"/>
        <v>1</v>
      </c>
      <c r="K779" s="4">
        <f t="shared" si="170"/>
        <v>3.8199999999999998E-2</v>
      </c>
      <c r="L779">
        <f t="shared" si="171"/>
        <v>0.09</v>
      </c>
      <c r="M779" s="4">
        <f t="shared" si="168"/>
        <v>0.32794699999999999</v>
      </c>
      <c r="N779" s="4">
        <f t="shared" si="169"/>
        <v>0.77264999999999995</v>
      </c>
    </row>
    <row r="780" spans="1:14">
      <c r="A780" t="str">
        <f t="shared" si="172"/>
        <v>alp_Man-VWCO</v>
      </c>
      <c r="B780" t="str">
        <f t="shared" si="173"/>
        <v>Google Brasil</v>
      </c>
      <c r="C780" t="str">
        <f t="shared" si="174"/>
        <v>google-brasil|super-banner|728x90|man_caminhoes|always_on|produto|criativo_15_tgx_29-440|728x90|cpm</v>
      </c>
      <c r="D780" t="str">
        <f t="shared" si="175"/>
        <v>138018357</v>
      </c>
      <c r="E780" t="str">
        <f t="shared" si="176"/>
        <v>Default</v>
      </c>
      <c r="F780" t="str">
        <f t="shared" si="177"/>
        <v>728x90 Default Web Ad</v>
      </c>
      <c r="G780" t="str">
        <f t="shared" si="178"/>
        <v>310386926</v>
      </c>
      <c r="H780" t="str">
        <f t="shared" si="179"/>
        <v>Display</v>
      </c>
      <c r="I780">
        <f t="shared" si="180"/>
        <v>2719</v>
      </c>
      <c r="J780">
        <f t="shared" si="181"/>
        <v>0</v>
      </c>
      <c r="K780" s="4">
        <f t="shared" si="170"/>
        <v>3.8199999999999998E-2</v>
      </c>
      <c r="L780">
        <f t="shared" si="171"/>
        <v>0.09</v>
      </c>
      <c r="M780" s="4">
        <f t="shared" si="168"/>
        <v>0.10386579999999999</v>
      </c>
      <c r="N780" s="4">
        <f t="shared" si="169"/>
        <v>0.24470999999999998</v>
      </c>
    </row>
    <row r="781" spans="1:14">
      <c r="A781" t="str">
        <f t="shared" si="172"/>
        <v>alp_Man-VWCO</v>
      </c>
      <c r="B781" t="str">
        <f t="shared" si="173"/>
        <v>Google Brasil</v>
      </c>
      <c r="C781" t="str">
        <f t="shared" si="174"/>
        <v>google-brasil|super-banner|728x90|man_caminhoes|always_on|produto|criativo_16_tgx_29-440|728x90|cpm</v>
      </c>
      <c r="D781" t="str">
        <f t="shared" si="175"/>
        <v>138018352</v>
      </c>
      <c r="E781" t="str">
        <f t="shared" si="176"/>
        <v>Default</v>
      </c>
      <c r="F781" t="str">
        <f t="shared" si="177"/>
        <v>728x90 Default Web Ad</v>
      </c>
      <c r="G781" t="str">
        <f t="shared" si="178"/>
        <v>310386926</v>
      </c>
      <c r="H781" t="str">
        <f t="shared" si="179"/>
        <v>Display</v>
      </c>
      <c r="I781">
        <f t="shared" si="180"/>
        <v>8685</v>
      </c>
      <c r="J781">
        <f t="shared" si="181"/>
        <v>3</v>
      </c>
      <c r="K781" s="4">
        <f t="shared" si="170"/>
        <v>3.8199999999999998E-2</v>
      </c>
      <c r="L781">
        <f t="shared" si="171"/>
        <v>0.09</v>
      </c>
      <c r="M781" s="4">
        <f t="shared" si="168"/>
        <v>0.33176699999999998</v>
      </c>
      <c r="N781" s="4">
        <f t="shared" si="169"/>
        <v>0.78164999999999996</v>
      </c>
    </row>
    <row r="782" spans="1:14">
      <c r="A782" t="str">
        <f t="shared" si="172"/>
        <v>alp_Man-VWCO</v>
      </c>
      <c r="B782" t="str">
        <f t="shared" si="173"/>
        <v>Google Brasil</v>
      </c>
      <c r="C782" t="str">
        <f t="shared" si="174"/>
        <v>google-brasil|super-banner|728x90|man_caminhoes|always_on|produto|criativo_16_tgx_29-440|728x90|cpm</v>
      </c>
      <c r="D782" t="str">
        <f t="shared" si="175"/>
        <v>138018352</v>
      </c>
      <c r="E782" t="str">
        <f t="shared" si="176"/>
        <v>Default</v>
      </c>
      <c r="F782" t="str">
        <f t="shared" si="177"/>
        <v>728x90 Default Web Ad</v>
      </c>
      <c r="G782" t="str">
        <f t="shared" si="178"/>
        <v>310386926</v>
      </c>
      <c r="H782" t="str">
        <f t="shared" si="179"/>
        <v>Display</v>
      </c>
      <c r="I782">
        <f t="shared" si="180"/>
        <v>2768</v>
      </c>
      <c r="J782">
        <f t="shared" si="181"/>
        <v>0</v>
      </c>
      <c r="K782" s="4">
        <f t="shared" si="170"/>
        <v>3.8199999999999998E-2</v>
      </c>
      <c r="L782">
        <f t="shared" si="171"/>
        <v>0.09</v>
      </c>
      <c r="M782" s="4">
        <f t="shared" si="168"/>
        <v>0.1057376</v>
      </c>
      <c r="N782" s="4">
        <f t="shared" si="169"/>
        <v>0.24912000000000001</v>
      </c>
    </row>
    <row r="783" spans="1:14">
      <c r="A783" t="str">
        <f t="shared" si="172"/>
        <v>alp_Man-VWCO</v>
      </c>
      <c r="B783" t="str">
        <f t="shared" si="173"/>
        <v>Google Brasil</v>
      </c>
      <c r="C783" t="str">
        <f t="shared" si="174"/>
        <v>google-brasil|super-banner|728x90|man_caminhoes|always_on|produto|criativo_17_tgx_29-440|728x90|cpm</v>
      </c>
      <c r="D783" t="str">
        <f t="shared" si="175"/>
        <v>138018347</v>
      </c>
      <c r="E783" t="str">
        <f t="shared" si="176"/>
        <v>Default</v>
      </c>
      <c r="F783" t="str">
        <f t="shared" si="177"/>
        <v>728x90 Default Web Ad</v>
      </c>
      <c r="G783" t="str">
        <f t="shared" si="178"/>
        <v>310386926</v>
      </c>
      <c r="H783" t="str">
        <f t="shared" si="179"/>
        <v>Display</v>
      </c>
      <c r="I783">
        <f t="shared" si="180"/>
        <v>8539</v>
      </c>
      <c r="J783">
        <f t="shared" si="181"/>
        <v>5</v>
      </c>
      <c r="K783" s="4">
        <f t="shared" si="170"/>
        <v>3.8199999999999998E-2</v>
      </c>
      <c r="L783">
        <f t="shared" si="171"/>
        <v>0.09</v>
      </c>
      <c r="M783" s="4">
        <f t="shared" si="168"/>
        <v>0.32618979999999997</v>
      </c>
      <c r="N783" s="4">
        <f t="shared" si="169"/>
        <v>0.76851000000000003</v>
      </c>
    </row>
    <row r="784" spans="1:14">
      <c r="A784" t="str">
        <f t="shared" si="172"/>
        <v>alp_Man-VWCO</v>
      </c>
      <c r="B784" t="str">
        <f t="shared" si="173"/>
        <v>Google Brasil</v>
      </c>
      <c r="C784" t="str">
        <f t="shared" si="174"/>
        <v>google-brasil|super-banner|728x90|man_caminhoes|always_on|produto|criativo_17_tgx_29-440|728x90|cpm</v>
      </c>
      <c r="D784" t="str">
        <f t="shared" si="175"/>
        <v>138018347</v>
      </c>
      <c r="E784" t="str">
        <f t="shared" si="176"/>
        <v>Default</v>
      </c>
      <c r="F784" t="str">
        <f t="shared" si="177"/>
        <v>728x90 Default Web Ad</v>
      </c>
      <c r="G784" t="str">
        <f t="shared" si="178"/>
        <v>310386926</v>
      </c>
      <c r="H784" t="str">
        <f t="shared" si="179"/>
        <v>Display</v>
      </c>
      <c r="I784">
        <f t="shared" si="180"/>
        <v>3274</v>
      </c>
      <c r="J784">
        <f t="shared" si="181"/>
        <v>1</v>
      </c>
      <c r="K784" s="4">
        <f t="shared" si="170"/>
        <v>3.8199999999999998E-2</v>
      </c>
      <c r="L784">
        <f t="shared" si="171"/>
        <v>0.09</v>
      </c>
      <c r="M784" s="4">
        <f t="shared" si="168"/>
        <v>0.12506679999999998</v>
      </c>
      <c r="N784" s="4">
        <f t="shared" si="169"/>
        <v>0.29465999999999998</v>
      </c>
    </row>
    <row r="785" spans="1:14">
      <c r="A785" t="str">
        <f t="shared" si="172"/>
        <v>alp_Man-VWCO</v>
      </c>
      <c r="B785" t="str">
        <f t="shared" si="173"/>
        <v>Google Brasil</v>
      </c>
      <c r="C785" t="str">
        <f t="shared" si="174"/>
        <v>google-brasil|super-banner|728x90|man_caminhoes|always_on|produto|criativo_18_tgx_29-440|728x90|cpm</v>
      </c>
      <c r="D785" t="str">
        <f t="shared" si="175"/>
        <v>138018342</v>
      </c>
      <c r="E785" t="str">
        <f t="shared" si="176"/>
        <v>Default</v>
      </c>
      <c r="F785" t="str">
        <f t="shared" si="177"/>
        <v>728x90 Default Web Ad</v>
      </c>
      <c r="G785" t="str">
        <f t="shared" si="178"/>
        <v>310386926</v>
      </c>
      <c r="H785" t="str">
        <f t="shared" si="179"/>
        <v>Display</v>
      </c>
      <c r="I785">
        <f t="shared" si="180"/>
        <v>8488</v>
      </c>
      <c r="J785">
        <f t="shared" si="181"/>
        <v>5</v>
      </c>
      <c r="K785" s="4">
        <f t="shared" si="170"/>
        <v>3.8199999999999998E-2</v>
      </c>
      <c r="L785">
        <f t="shared" si="171"/>
        <v>0.09</v>
      </c>
      <c r="M785" s="4">
        <f t="shared" si="168"/>
        <v>0.32424160000000002</v>
      </c>
      <c r="N785" s="4">
        <f t="shared" si="169"/>
        <v>0.76391999999999993</v>
      </c>
    </row>
    <row r="786" spans="1:14">
      <c r="A786" t="str">
        <f t="shared" si="172"/>
        <v>alp_Man-VWCO</v>
      </c>
      <c r="B786" t="str">
        <f t="shared" si="173"/>
        <v>Google Brasil</v>
      </c>
      <c r="C786" t="str">
        <f t="shared" si="174"/>
        <v>google-brasil|super-banner|728x90|man_caminhoes|always_on|produto|criativo_18_tgx_29-440|728x90|cpm</v>
      </c>
      <c r="D786" t="str">
        <f t="shared" si="175"/>
        <v>138018342</v>
      </c>
      <c r="E786" t="str">
        <f t="shared" si="176"/>
        <v>Default</v>
      </c>
      <c r="F786" t="str">
        <f t="shared" si="177"/>
        <v>728x90 Default Web Ad</v>
      </c>
      <c r="G786" t="str">
        <f t="shared" si="178"/>
        <v>310386926</v>
      </c>
      <c r="H786" t="str">
        <f t="shared" si="179"/>
        <v>Display</v>
      </c>
      <c r="I786">
        <f t="shared" si="180"/>
        <v>3093</v>
      </c>
      <c r="J786">
        <f t="shared" si="181"/>
        <v>1</v>
      </c>
      <c r="K786" s="4">
        <f t="shared" si="170"/>
        <v>3.8199999999999998E-2</v>
      </c>
      <c r="L786">
        <f t="shared" si="171"/>
        <v>0.09</v>
      </c>
      <c r="M786" s="4">
        <f t="shared" si="168"/>
        <v>0.1181526</v>
      </c>
      <c r="N786" s="4">
        <f t="shared" si="169"/>
        <v>0.27837000000000001</v>
      </c>
    </row>
    <row r="787" spans="1:14">
      <c r="A787" t="str">
        <f t="shared" si="172"/>
        <v>alp_Man-VWCO</v>
      </c>
      <c r="B787" t="str">
        <f t="shared" si="173"/>
        <v>Google Brasil</v>
      </c>
      <c r="C787" t="str">
        <f t="shared" si="174"/>
        <v>google-brasil|super-banner|728x90|man_caminhoes|always_on|produto|criativo_19_tgx_29-480|728x90|cpm</v>
      </c>
      <c r="D787" t="str">
        <f t="shared" si="175"/>
        <v>138018337</v>
      </c>
      <c r="E787" t="str">
        <f t="shared" si="176"/>
        <v>Default</v>
      </c>
      <c r="F787" t="str">
        <f t="shared" si="177"/>
        <v>728x90 Default Web Ad</v>
      </c>
      <c r="G787" t="str">
        <f t="shared" si="178"/>
        <v>310386926</v>
      </c>
      <c r="H787" t="str">
        <f t="shared" si="179"/>
        <v>Display</v>
      </c>
      <c r="I787">
        <f t="shared" si="180"/>
        <v>2958</v>
      </c>
      <c r="J787">
        <f t="shared" si="181"/>
        <v>0</v>
      </c>
      <c r="K787" s="4">
        <f t="shared" si="170"/>
        <v>3.8199999999999998E-2</v>
      </c>
      <c r="L787">
        <f t="shared" si="171"/>
        <v>0.09</v>
      </c>
      <c r="M787" s="4">
        <f t="shared" si="168"/>
        <v>0.1129956</v>
      </c>
      <c r="N787" s="4">
        <f t="shared" si="169"/>
        <v>0.26621999999999996</v>
      </c>
    </row>
    <row r="788" spans="1:14">
      <c r="A788" t="str">
        <f t="shared" si="172"/>
        <v>alp_Man-VWCO</v>
      </c>
      <c r="B788" t="str">
        <f t="shared" si="173"/>
        <v>Google Brasil</v>
      </c>
      <c r="C788" t="str">
        <f t="shared" si="174"/>
        <v>google-brasil|super-banner|728x90|man_caminhoes|always_on|produto|criativo_20_tgx_29-480|728x90|cpm</v>
      </c>
      <c r="D788" t="str">
        <f t="shared" si="175"/>
        <v>138018332</v>
      </c>
      <c r="E788" t="str">
        <f t="shared" si="176"/>
        <v>Default</v>
      </c>
      <c r="F788" t="str">
        <f t="shared" si="177"/>
        <v>728x90 Default Web Ad</v>
      </c>
      <c r="G788" t="str">
        <f t="shared" si="178"/>
        <v>310386926</v>
      </c>
      <c r="H788" t="str">
        <f t="shared" si="179"/>
        <v>Display</v>
      </c>
      <c r="I788">
        <f t="shared" si="180"/>
        <v>2843</v>
      </c>
      <c r="J788">
        <f t="shared" si="181"/>
        <v>1</v>
      </c>
      <c r="K788" s="4">
        <f t="shared" si="170"/>
        <v>3.8199999999999998E-2</v>
      </c>
      <c r="L788">
        <f t="shared" si="171"/>
        <v>0.09</v>
      </c>
      <c r="M788" s="4">
        <f t="shared" si="168"/>
        <v>0.10860259999999999</v>
      </c>
      <c r="N788" s="4">
        <f t="shared" si="169"/>
        <v>0.25586999999999999</v>
      </c>
    </row>
    <row r="789" spans="1:14">
      <c r="A789" t="str">
        <f t="shared" si="172"/>
        <v>alp_Man-VWCO</v>
      </c>
      <c r="B789" t="str">
        <f t="shared" si="173"/>
        <v>Google Brasil</v>
      </c>
      <c r="C789" t="str">
        <f t="shared" si="174"/>
        <v>google-brasil|super-banner|728x90|man_caminhoes|always_on|produto|criativo_21_tgx_29-480|728x90|cpm</v>
      </c>
      <c r="D789" t="str">
        <f t="shared" si="175"/>
        <v>138018327</v>
      </c>
      <c r="E789" t="str">
        <f t="shared" si="176"/>
        <v>Default</v>
      </c>
      <c r="F789" t="str">
        <f t="shared" si="177"/>
        <v>728x90 Default Web Ad</v>
      </c>
      <c r="G789" t="str">
        <f t="shared" si="178"/>
        <v>310386926</v>
      </c>
      <c r="H789" t="str">
        <f t="shared" si="179"/>
        <v>Display</v>
      </c>
      <c r="I789">
        <f t="shared" si="180"/>
        <v>3020</v>
      </c>
      <c r="J789">
        <f t="shared" si="181"/>
        <v>0</v>
      </c>
      <c r="K789" s="4">
        <f t="shared" si="170"/>
        <v>3.8199999999999998E-2</v>
      </c>
      <c r="L789">
        <f t="shared" si="171"/>
        <v>0.09</v>
      </c>
      <c r="M789" s="4">
        <f t="shared" si="168"/>
        <v>0.11536399999999999</v>
      </c>
      <c r="N789" s="4">
        <f t="shared" si="169"/>
        <v>0.27179999999999999</v>
      </c>
    </row>
    <row r="790" spans="1:14">
      <c r="A790" t="str">
        <f t="shared" si="172"/>
        <v>alp_Man-VWCO</v>
      </c>
      <c r="B790" t="str">
        <f t="shared" si="173"/>
        <v>Google Brasil</v>
      </c>
      <c r="C790" t="str">
        <f t="shared" si="174"/>
        <v>google-brasil|super-banner|728x90|man_caminhoes|always_on|produto|criativo_22_tgx_29-480|728x90|cpm</v>
      </c>
      <c r="D790" t="str">
        <f t="shared" si="175"/>
        <v>138018322</v>
      </c>
      <c r="E790" t="str">
        <f t="shared" si="176"/>
        <v>Default</v>
      </c>
      <c r="F790" t="str">
        <f t="shared" si="177"/>
        <v>728x90 Default Web Ad</v>
      </c>
      <c r="G790" t="str">
        <f t="shared" si="178"/>
        <v>310386926</v>
      </c>
      <c r="H790" t="str">
        <f t="shared" si="179"/>
        <v>Display</v>
      </c>
      <c r="I790">
        <f t="shared" si="180"/>
        <v>2908</v>
      </c>
      <c r="J790">
        <f t="shared" si="181"/>
        <v>0</v>
      </c>
      <c r="K790" s="4">
        <f t="shared" si="170"/>
        <v>3.8199999999999998E-2</v>
      </c>
      <c r="L790">
        <f t="shared" si="171"/>
        <v>0.09</v>
      </c>
      <c r="M790" s="4">
        <f t="shared" si="168"/>
        <v>0.11108559999999999</v>
      </c>
      <c r="N790" s="4">
        <f t="shared" si="169"/>
        <v>0.26171999999999995</v>
      </c>
    </row>
    <row r="791" spans="1:14">
      <c r="A791" t="str">
        <f t="shared" si="172"/>
        <v>alp_Man-VWCO</v>
      </c>
      <c r="B791" t="str">
        <f t="shared" si="173"/>
        <v>Google Brasil</v>
      </c>
      <c r="C791" t="str">
        <f t="shared" si="174"/>
        <v>google-brasil|super-banner|728x90|man_caminhoes|always_on|produto|criativo_23__tgx_29-480|728x90|cpm</v>
      </c>
      <c r="D791" t="str">
        <f t="shared" si="175"/>
        <v>138018317</v>
      </c>
      <c r="E791" t="str">
        <f t="shared" si="176"/>
        <v>Default</v>
      </c>
      <c r="F791" t="str">
        <f t="shared" si="177"/>
        <v>728x90 Default Web Ad</v>
      </c>
      <c r="G791" t="str">
        <f t="shared" si="178"/>
        <v>310386926</v>
      </c>
      <c r="H791" t="str">
        <f t="shared" si="179"/>
        <v>Display</v>
      </c>
      <c r="I791">
        <f t="shared" si="180"/>
        <v>3011</v>
      </c>
      <c r="J791">
        <f t="shared" si="181"/>
        <v>0</v>
      </c>
      <c r="K791" s="4">
        <f t="shared" si="170"/>
        <v>3.8199999999999998E-2</v>
      </c>
      <c r="L791">
        <f t="shared" si="171"/>
        <v>0.09</v>
      </c>
      <c r="M791" s="4">
        <f t="shared" si="168"/>
        <v>0.11502019999999999</v>
      </c>
      <c r="N791" s="4">
        <f t="shared" si="169"/>
        <v>0.27099000000000001</v>
      </c>
    </row>
    <row r="792" spans="1:14">
      <c r="A792" t="str">
        <f t="shared" si="172"/>
        <v>alp_Man-VWCO</v>
      </c>
      <c r="B792" t="str">
        <f t="shared" si="173"/>
        <v>Google Brasil</v>
      </c>
      <c r="C792" t="str">
        <f t="shared" si="174"/>
        <v>google-brasil|super-banner|728x90|man_caminhoes|always_on|produto|criativo_24__tgx_29-480|728x90|cpm</v>
      </c>
      <c r="D792" t="str">
        <f t="shared" si="175"/>
        <v>138018312</v>
      </c>
      <c r="E792" t="str">
        <f t="shared" si="176"/>
        <v>Default</v>
      </c>
      <c r="F792" t="str">
        <f t="shared" si="177"/>
        <v>728x90 Default Web Ad</v>
      </c>
      <c r="G792" t="str">
        <f t="shared" si="178"/>
        <v>310386926</v>
      </c>
      <c r="H792" t="str">
        <f t="shared" si="179"/>
        <v>Display</v>
      </c>
      <c r="I792">
        <f t="shared" si="180"/>
        <v>3093</v>
      </c>
      <c r="J792">
        <f t="shared" si="181"/>
        <v>2</v>
      </c>
      <c r="K792" s="4">
        <f t="shared" si="170"/>
        <v>3.8199999999999998E-2</v>
      </c>
      <c r="L792">
        <f t="shared" si="171"/>
        <v>0.09</v>
      </c>
      <c r="M792" s="4">
        <f t="shared" si="168"/>
        <v>0.1181526</v>
      </c>
      <c r="N792" s="4">
        <f t="shared" si="169"/>
        <v>0.27837000000000001</v>
      </c>
    </row>
    <row r="793" spans="1:14">
      <c r="A793" t="str">
        <f t="shared" si="172"/>
        <v>alp_Man-VWCO</v>
      </c>
      <c r="B793" t="str">
        <f t="shared" si="173"/>
        <v>Google Brasil</v>
      </c>
      <c r="C793" t="str">
        <f t="shared" si="174"/>
        <v>google-brasil|super-banner|728x90|man_caminhoes|always_on|produto|criativo_25_tgx_29-480|728x90|cpm</v>
      </c>
      <c r="D793" t="str">
        <f t="shared" si="175"/>
        <v>138018307</v>
      </c>
      <c r="E793" t="str">
        <f t="shared" si="176"/>
        <v>Default</v>
      </c>
      <c r="F793" t="str">
        <f t="shared" si="177"/>
        <v>728x90 Default Web Ad</v>
      </c>
      <c r="G793" t="str">
        <f t="shared" si="178"/>
        <v>310386926</v>
      </c>
      <c r="H793" t="str">
        <f t="shared" si="179"/>
        <v>Display</v>
      </c>
      <c r="I793">
        <f t="shared" si="180"/>
        <v>2948</v>
      </c>
      <c r="J793">
        <f t="shared" si="181"/>
        <v>0</v>
      </c>
      <c r="K793" s="4">
        <f t="shared" si="170"/>
        <v>3.8199999999999998E-2</v>
      </c>
      <c r="L793">
        <f t="shared" si="171"/>
        <v>0.09</v>
      </c>
      <c r="M793" s="4">
        <f t="shared" si="168"/>
        <v>0.11261359999999999</v>
      </c>
      <c r="N793" s="4">
        <f t="shared" si="169"/>
        <v>0.26532</v>
      </c>
    </row>
    <row r="794" spans="1:14">
      <c r="A794" t="str">
        <f t="shared" si="172"/>
        <v>alp_Man-VWCO</v>
      </c>
      <c r="B794" t="str">
        <f t="shared" si="173"/>
        <v>Google Brasil</v>
      </c>
      <c r="C794" t="str">
        <f t="shared" si="174"/>
        <v>google-brasil|super-banner|728x90|man_caminhoes|always_on|produto|criativo_26_tgx_29-480|728x90|cpm</v>
      </c>
      <c r="D794" t="str">
        <f t="shared" si="175"/>
        <v>138018302</v>
      </c>
      <c r="E794" t="str">
        <f t="shared" si="176"/>
        <v>Default</v>
      </c>
      <c r="F794" t="str">
        <f t="shared" si="177"/>
        <v>728x90 Default Web Ad</v>
      </c>
      <c r="G794" t="str">
        <f t="shared" si="178"/>
        <v>310386926</v>
      </c>
      <c r="H794" t="str">
        <f t="shared" si="179"/>
        <v>Display</v>
      </c>
      <c r="I794">
        <f t="shared" si="180"/>
        <v>2936</v>
      </c>
      <c r="J794">
        <f t="shared" si="181"/>
        <v>1</v>
      </c>
      <c r="K794" s="4">
        <f t="shared" si="170"/>
        <v>3.8199999999999998E-2</v>
      </c>
      <c r="L794">
        <f t="shared" si="171"/>
        <v>0.09</v>
      </c>
      <c r="M794" s="4">
        <f t="shared" si="168"/>
        <v>0.1121552</v>
      </c>
      <c r="N794" s="4">
        <f t="shared" si="169"/>
        <v>0.26424000000000003</v>
      </c>
    </row>
    <row r="795" spans="1:14">
      <c r="A795" t="str">
        <f t="shared" si="172"/>
        <v>alp_Man-VWCO</v>
      </c>
      <c r="B795" t="str">
        <f t="shared" si="173"/>
        <v>Google Brasil</v>
      </c>
      <c r="C795" t="str">
        <f t="shared" si="174"/>
        <v>google-brasil|super-banner|728x90|man_caminhoes|always_on|produto|criativo_27_tgx_29-480|728x90|cpm</v>
      </c>
      <c r="D795" t="str">
        <f t="shared" si="175"/>
        <v>138018097</v>
      </c>
      <c r="E795" t="str">
        <f t="shared" si="176"/>
        <v>Default</v>
      </c>
      <c r="F795" t="str">
        <f t="shared" si="177"/>
        <v>728x90 Default Web Ad</v>
      </c>
      <c r="G795" t="str">
        <f t="shared" si="178"/>
        <v>310386926</v>
      </c>
      <c r="H795" t="str">
        <f t="shared" si="179"/>
        <v>Display</v>
      </c>
      <c r="I795">
        <f t="shared" si="180"/>
        <v>2867</v>
      </c>
      <c r="J795">
        <f t="shared" si="181"/>
        <v>0</v>
      </c>
      <c r="K795" s="4">
        <f t="shared" si="170"/>
        <v>3.8199999999999998E-2</v>
      </c>
      <c r="L795">
        <f t="shared" si="171"/>
        <v>0.09</v>
      </c>
      <c r="M795" s="4">
        <f t="shared" si="168"/>
        <v>0.10951939999999999</v>
      </c>
      <c r="N795" s="4">
        <f t="shared" si="169"/>
        <v>0.25802999999999998</v>
      </c>
    </row>
    <row r="796" spans="1:14">
      <c r="A796" t="str">
        <f t="shared" si="172"/>
        <v>alp_Man-VWCO</v>
      </c>
      <c r="B796" t="str">
        <f t="shared" si="173"/>
        <v>Google Brasil</v>
      </c>
      <c r="C796" t="str">
        <f t="shared" si="174"/>
        <v>google-brasil|super-banner|728x90|man_caminhoes|always_on|vitrine|criativo_01|728x90|cpm</v>
      </c>
      <c r="D796" t="str">
        <f t="shared" si="175"/>
        <v>138019037</v>
      </c>
      <c r="E796" t="str">
        <f t="shared" si="176"/>
        <v>Default</v>
      </c>
      <c r="F796" t="str">
        <f t="shared" si="177"/>
        <v>728x90 Default Web Ad</v>
      </c>
      <c r="G796" t="str">
        <f t="shared" si="178"/>
        <v>310386926</v>
      </c>
      <c r="H796" t="str">
        <f t="shared" si="179"/>
        <v>Display</v>
      </c>
      <c r="I796">
        <f t="shared" si="180"/>
        <v>18237</v>
      </c>
      <c r="J796">
        <f t="shared" si="181"/>
        <v>21</v>
      </c>
      <c r="K796" s="4">
        <f t="shared" si="170"/>
        <v>3.8199999999999998E-2</v>
      </c>
      <c r="L796">
        <f t="shared" si="171"/>
        <v>0.09</v>
      </c>
      <c r="M796" s="4">
        <f t="shared" si="168"/>
        <v>0.69665339999999987</v>
      </c>
      <c r="N796" s="4">
        <f t="shared" si="169"/>
        <v>1.64133</v>
      </c>
    </row>
    <row r="797" spans="1:14">
      <c r="A797" t="str">
        <f t="shared" si="172"/>
        <v>alp_Man-VWCO</v>
      </c>
      <c r="B797" t="str">
        <f t="shared" si="173"/>
        <v>Google Brasil</v>
      </c>
      <c r="C797" t="str">
        <f t="shared" si="174"/>
        <v>google-brasil|super-banner|728x90|man_caminhoes|always_on|vitrine|criativo_01|728x90|cpm</v>
      </c>
      <c r="D797" t="str">
        <f t="shared" si="175"/>
        <v>138019037</v>
      </c>
      <c r="E797" t="str">
        <f t="shared" si="176"/>
        <v>Default</v>
      </c>
      <c r="F797" t="str">
        <f t="shared" si="177"/>
        <v>728x90 Default Web Ad</v>
      </c>
      <c r="G797" t="str">
        <f t="shared" si="178"/>
        <v>310386926</v>
      </c>
      <c r="H797" t="str">
        <f t="shared" si="179"/>
        <v>Display</v>
      </c>
      <c r="I797">
        <f t="shared" si="180"/>
        <v>1800</v>
      </c>
      <c r="J797">
        <f t="shared" si="181"/>
        <v>6</v>
      </c>
      <c r="K797" s="4">
        <f t="shared" si="170"/>
        <v>3.8199999999999998E-2</v>
      </c>
      <c r="L797">
        <f t="shared" si="171"/>
        <v>0.09</v>
      </c>
      <c r="M797" s="4">
        <f t="shared" si="168"/>
        <v>6.8759999999999988E-2</v>
      </c>
      <c r="N797" s="4">
        <f t="shared" si="169"/>
        <v>0.16200000000000001</v>
      </c>
    </row>
    <row r="798" spans="1:14">
      <c r="A798" t="str">
        <f t="shared" si="172"/>
        <v>alp_Man-VWCO</v>
      </c>
      <c r="B798" t="str">
        <f t="shared" si="173"/>
        <v>Google Brasil</v>
      </c>
      <c r="C798" t="str">
        <f t="shared" si="174"/>
        <v>google-brasil|super-banner|728x90|man_caminhoes|always_on|vitrine|criativo_02|728x90|cpm</v>
      </c>
      <c r="D798" t="str">
        <f t="shared" si="175"/>
        <v>138019032</v>
      </c>
      <c r="E798" t="str">
        <f t="shared" si="176"/>
        <v>Default</v>
      </c>
      <c r="F798" t="str">
        <f t="shared" si="177"/>
        <v>728x90 Default Web Ad</v>
      </c>
      <c r="G798" t="str">
        <f t="shared" si="178"/>
        <v>310386926</v>
      </c>
      <c r="H798" t="str">
        <f t="shared" si="179"/>
        <v>Display</v>
      </c>
      <c r="I798">
        <f t="shared" si="180"/>
        <v>18455</v>
      </c>
      <c r="J798">
        <f t="shared" si="181"/>
        <v>15</v>
      </c>
      <c r="K798" s="4">
        <f t="shared" si="170"/>
        <v>3.8199999999999998E-2</v>
      </c>
      <c r="L798">
        <f t="shared" si="171"/>
        <v>0.09</v>
      </c>
      <c r="M798" s="4">
        <f t="shared" si="168"/>
        <v>0.70498099999999997</v>
      </c>
      <c r="N798" s="4">
        <f t="shared" si="169"/>
        <v>1.6609500000000001</v>
      </c>
    </row>
    <row r="799" spans="1:14">
      <c r="A799" t="str">
        <f t="shared" si="172"/>
        <v>alp_Man-VWCO</v>
      </c>
      <c r="B799" t="str">
        <f t="shared" si="173"/>
        <v>Google Brasil</v>
      </c>
      <c r="C799" t="str">
        <f t="shared" si="174"/>
        <v>google-brasil|super-banner|728x90|man_caminhoes|always_on|vitrine|criativo_02|728x90|cpm</v>
      </c>
      <c r="D799" t="str">
        <f t="shared" si="175"/>
        <v>138019032</v>
      </c>
      <c r="E799" t="str">
        <f t="shared" si="176"/>
        <v>Default</v>
      </c>
      <c r="F799" t="str">
        <f t="shared" si="177"/>
        <v>728x90 Default Web Ad</v>
      </c>
      <c r="G799" t="str">
        <f t="shared" si="178"/>
        <v>310386926</v>
      </c>
      <c r="H799" t="str">
        <f t="shared" si="179"/>
        <v>Display</v>
      </c>
      <c r="I799">
        <f t="shared" si="180"/>
        <v>676</v>
      </c>
      <c r="J799">
        <f t="shared" si="181"/>
        <v>3</v>
      </c>
      <c r="K799" s="4">
        <f t="shared" si="170"/>
        <v>3.8199999999999998E-2</v>
      </c>
      <c r="L799">
        <f t="shared" si="171"/>
        <v>0.09</v>
      </c>
      <c r="M799" s="4">
        <f t="shared" si="168"/>
        <v>2.5823200000000001E-2</v>
      </c>
      <c r="N799" s="4">
        <f t="shared" si="169"/>
        <v>6.0839999999999998E-2</v>
      </c>
    </row>
    <row r="800" spans="1:14">
      <c r="A800" t="str">
        <f t="shared" si="172"/>
        <v>alp_Man-VWCO</v>
      </c>
      <c r="B800" t="str">
        <f t="shared" si="173"/>
        <v>Google Brasil</v>
      </c>
      <c r="C800" t="str">
        <f t="shared" si="174"/>
        <v>google-brasil|super-banner|728x90|man_caminhoes|always_on|vitrine|criativo_03|728x90|cpm</v>
      </c>
      <c r="D800" t="str">
        <f t="shared" si="175"/>
        <v>138019027</v>
      </c>
      <c r="E800" t="str">
        <f t="shared" si="176"/>
        <v>Default</v>
      </c>
      <c r="F800" t="str">
        <f t="shared" si="177"/>
        <v>728x90 Default Web Ad</v>
      </c>
      <c r="G800" t="str">
        <f t="shared" si="178"/>
        <v>310386926</v>
      </c>
      <c r="H800" t="str">
        <f t="shared" si="179"/>
        <v>Display</v>
      </c>
      <c r="I800">
        <f t="shared" si="180"/>
        <v>19886</v>
      </c>
      <c r="J800">
        <f t="shared" si="181"/>
        <v>21</v>
      </c>
      <c r="K800" s="4">
        <f t="shared" si="170"/>
        <v>3.8199999999999998E-2</v>
      </c>
      <c r="L800">
        <f t="shared" si="171"/>
        <v>0.09</v>
      </c>
      <c r="M800" s="4">
        <f t="shared" si="168"/>
        <v>0.75964519999999991</v>
      </c>
      <c r="N800" s="4">
        <f t="shared" si="169"/>
        <v>1.7897400000000001</v>
      </c>
    </row>
    <row r="801" spans="1:14">
      <c r="A801" t="str">
        <f t="shared" si="172"/>
        <v>alp_Man-VWCO</v>
      </c>
      <c r="B801" t="str">
        <f t="shared" si="173"/>
        <v>Google Brasil</v>
      </c>
      <c r="C801" t="str">
        <f t="shared" si="174"/>
        <v>google-brasil|super-banner|728x90|man_caminhoes|always_on|vitrine|criativo_03|728x90|cpm</v>
      </c>
      <c r="D801" t="str">
        <f t="shared" si="175"/>
        <v>138019027</v>
      </c>
      <c r="E801" t="str">
        <f>VLOOKUP(CONCATENATE(bd_adtype,"_",bd_creativetype),tabela,2,FALSE)</f>
        <v>Default</v>
      </c>
      <c r="F801" t="str">
        <f t="shared" si="177"/>
        <v>728x90 Default Web Ad</v>
      </c>
      <c r="G801" t="str">
        <f t="shared" si="178"/>
        <v>310386926</v>
      </c>
      <c r="H801" t="str">
        <f t="shared" si="179"/>
        <v>Display</v>
      </c>
      <c r="I801">
        <f t="shared" si="180"/>
        <v>1220</v>
      </c>
      <c r="J801">
        <f t="shared" si="181"/>
        <v>2</v>
      </c>
      <c r="K801" s="4">
        <f t="shared" si="170"/>
        <v>3.8199999999999998E-2</v>
      </c>
      <c r="L801">
        <f t="shared" si="171"/>
        <v>0.09</v>
      </c>
      <c r="M801" s="4">
        <f t="shared" si="168"/>
        <v>4.6604E-2</v>
      </c>
      <c r="N801" s="4">
        <f t="shared" si="169"/>
        <v>0.10979999999999999</v>
      </c>
    </row>
    <row r="802" spans="1:14">
      <c r="A802" t="str">
        <f t="shared" si="172"/>
        <v>alp_Man-VWCO</v>
      </c>
      <c r="B802" t="str">
        <f t="shared" si="173"/>
        <v>Google Brasil</v>
      </c>
      <c r="C802" t="str">
        <f t="shared" si="174"/>
        <v>google-brasil|super-banner|728x90|man_caminhoes|always_on|vitrine|criativo_04|728x90|cpm</v>
      </c>
      <c r="D802" t="str">
        <f t="shared" si="175"/>
        <v>138019022</v>
      </c>
      <c r="E802" t="str">
        <f t="shared" si="176"/>
        <v>Default</v>
      </c>
      <c r="F802" t="str">
        <f t="shared" si="177"/>
        <v>728x90 Default Web Ad</v>
      </c>
      <c r="G802" t="str">
        <f t="shared" si="178"/>
        <v>310386926</v>
      </c>
      <c r="H802" t="str">
        <f t="shared" si="179"/>
        <v>Display</v>
      </c>
      <c r="I802">
        <f t="shared" si="180"/>
        <v>19806</v>
      </c>
      <c r="J802">
        <f t="shared" si="181"/>
        <v>13</v>
      </c>
      <c r="K802" s="4">
        <f t="shared" si="170"/>
        <v>3.8199999999999998E-2</v>
      </c>
      <c r="L802">
        <f t="shared" si="171"/>
        <v>0.09</v>
      </c>
      <c r="M802" s="4">
        <f t="shared" ref="M802:M865" si="182">IF(E802="Dynamic Click",J802*K802,K802*$I802/1000)</f>
        <v>0.75658919999999996</v>
      </c>
      <c r="N802" s="4">
        <f t="shared" ref="N802:N865" si="183">IF(E802="Dynamic Click",J802*L802,L802*$I802/1000)</f>
        <v>1.78254</v>
      </c>
    </row>
    <row r="803" spans="1:14">
      <c r="A803" t="str">
        <f t="shared" si="172"/>
        <v>alp_Man-VWCO</v>
      </c>
      <c r="B803" t="str">
        <f t="shared" si="173"/>
        <v>Google Brasil</v>
      </c>
      <c r="C803" t="str">
        <f t="shared" si="174"/>
        <v>google-brasil|super-banner|728x90|man_caminhoes|always_on|vitrine|criativo_04|728x90|cpm</v>
      </c>
      <c r="D803" t="str">
        <f t="shared" si="175"/>
        <v>138019022</v>
      </c>
      <c r="E803" t="str">
        <f t="shared" si="176"/>
        <v>Default</v>
      </c>
      <c r="F803" t="str">
        <f t="shared" si="177"/>
        <v>728x90 Default Web Ad</v>
      </c>
      <c r="G803" t="str">
        <f t="shared" si="178"/>
        <v>310386926</v>
      </c>
      <c r="H803" t="str">
        <f t="shared" si="179"/>
        <v>Display</v>
      </c>
      <c r="I803">
        <f t="shared" si="180"/>
        <v>602</v>
      </c>
      <c r="J803">
        <f t="shared" si="181"/>
        <v>2</v>
      </c>
      <c r="K803" s="4">
        <f t="shared" si="170"/>
        <v>3.8199999999999998E-2</v>
      </c>
      <c r="L803">
        <f t="shared" si="171"/>
        <v>0.09</v>
      </c>
      <c r="M803" s="4">
        <f t="shared" si="182"/>
        <v>2.2996399999999997E-2</v>
      </c>
      <c r="N803" s="4">
        <f t="shared" si="183"/>
        <v>5.4179999999999999E-2</v>
      </c>
    </row>
    <row r="804" spans="1:14">
      <c r="A804" t="str">
        <f t="shared" si="172"/>
        <v>alp_Man-VWCO</v>
      </c>
      <c r="B804" t="str">
        <f t="shared" si="173"/>
        <v>Google Brasil</v>
      </c>
      <c r="C804" t="str">
        <f t="shared" si="174"/>
        <v>google-brasil|super-banner|728x90|vw_caminhoes|always_on|institucional|criativo_01|728x90|cpm</v>
      </c>
      <c r="D804" t="str">
        <f t="shared" si="175"/>
        <v>138019057</v>
      </c>
      <c r="E804" t="str">
        <f t="shared" si="176"/>
        <v>Default</v>
      </c>
      <c r="F804" t="str">
        <f t="shared" si="177"/>
        <v>728x90 Default Web Ad</v>
      </c>
      <c r="G804" t="str">
        <f t="shared" si="178"/>
        <v>310386926</v>
      </c>
      <c r="H804" t="str">
        <f t="shared" si="179"/>
        <v>Display</v>
      </c>
      <c r="I804">
        <f t="shared" si="180"/>
        <v>5443</v>
      </c>
      <c r="J804">
        <f t="shared" si="181"/>
        <v>6</v>
      </c>
      <c r="K804" s="4">
        <f t="shared" si="170"/>
        <v>3.8199999999999998E-2</v>
      </c>
      <c r="L804">
        <f t="shared" si="171"/>
        <v>0.09</v>
      </c>
      <c r="M804" s="4">
        <f t="shared" si="182"/>
        <v>0.20792259999999999</v>
      </c>
      <c r="N804" s="4">
        <f t="shared" si="183"/>
        <v>0.48987000000000003</v>
      </c>
    </row>
    <row r="805" spans="1:14">
      <c r="A805" t="str">
        <f t="shared" si="172"/>
        <v>alp_Man-VWCO</v>
      </c>
      <c r="B805" t="str">
        <f t="shared" si="173"/>
        <v>Google Brasil</v>
      </c>
      <c r="C805" t="str">
        <f t="shared" si="174"/>
        <v>google-brasil|super-banner|728x90|vw_caminhoes|always_on|institucional|criativo_01|728x90|cpm</v>
      </c>
      <c r="D805" t="str">
        <f t="shared" si="175"/>
        <v>138019057</v>
      </c>
      <c r="E805" t="str">
        <f t="shared" si="176"/>
        <v>Default</v>
      </c>
      <c r="F805" t="str">
        <f t="shared" si="177"/>
        <v>728x90 Default Web Ad</v>
      </c>
      <c r="G805" t="str">
        <f t="shared" si="178"/>
        <v>310386926</v>
      </c>
      <c r="H805" t="str">
        <f t="shared" si="179"/>
        <v>Display</v>
      </c>
      <c r="I805">
        <f t="shared" si="180"/>
        <v>277</v>
      </c>
      <c r="J805">
        <f t="shared" si="181"/>
        <v>21</v>
      </c>
      <c r="K805" s="4">
        <f t="shared" si="170"/>
        <v>3.8199999999999998E-2</v>
      </c>
      <c r="L805">
        <f t="shared" si="171"/>
        <v>0.09</v>
      </c>
      <c r="M805" s="4">
        <f t="shared" si="182"/>
        <v>1.0581399999999998E-2</v>
      </c>
      <c r="N805" s="4">
        <f t="shared" si="183"/>
        <v>2.4930000000000001E-2</v>
      </c>
    </row>
    <row r="806" spans="1:14">
      <c r="A806" t="str">
        <f t="shared" si="172"/>
        <v>alp_Man-VWCO</v>
      </c>
      <c r="B806" t="str">
        <f t="shared" si="173"/>
        <v>Google Brasil</v>
      </c>
      <c r="C806" t="str">
        <f t="shared" si="174"/>
        <v>google-brasil|super-banner|728x90|vw_caminhoes|always_on|institucional|criativo_02|728x90|cpm</v>
      </c>
      <c r="D806" t="str">
        <f t="shared" si="175"/>
        <v>138019052</v>
      </c>
      <c r="E806" t="str">
        <f t="shared" si="176"/>
        <v>Default</v>
      </c>
      <c r="F806" t="str">
        <f t="shared" si="177"/>
        <v>728x90 Default Web Ad</v>
      </c>
      <c r="G806" t="str">
        <f t="shared" si="178"/>
        <v>310386926</v>
      </c>
      <c r="H806" t="str">
        <f t="shared" si="179"/>
        <v>Display</v>
      </c>
      <c r="I806">
        <f t="shared" si="180"/>
        <v>4939</v>
      </c>
      <c r="J806">
        <f t="shared" si="181"/>
        <v>6</v>
      </c>
      <c r="K806" s="4">
        <f t="shared" si="170"/>
        <v>3.8199999999999998E-2</v>
      </c>
      <c r="L806">
        <f t="shared" si="171"/>
        <v>0.09</v>
      </c>
      <c r="M806" s="4">
        <f t="shared" si="182"/>
        <v>0.18866979999999997</v>
      </c>
      <c r="N806" s="4">
        <f t="shared" si="183"/>
        <v>0.44451000000000002</v>
      </c>
    </row>
    <row r="807" spans="1:14">
      <c r="A807" t="str">
        <f t="shared" si="172"/>
        <v>alp_Man-VWCO</v>
      </c>
      <c r="B807" t="str">
        <f t="shared" si="173"/>
        <v>Google Brasil</v>
      </c>
      <c r="C807" t="str">
        <f t="shared" si="174"/>
        <v>google-brasil|super-banner|728x90|vw_caminhoes|always_on|institucional|criativo_02|728x90|cpm</v>
      </c>
      <c r="D807" t="str">
        <f t="shared" si="175"/>
        <v>138019052</v>
      </c>
      <c r="E807" t="str">
        <f t="shared" si="176"/>
        <v>Default</v>
      </c>
      <c r="F807" t="str">
        <f t="shared" si="177"/>
        <v>728x90 Default Web Ad</v>
      </c>
      <c r="G807" t="str">
        <f t="shared" si="178"/>
        <v>310386926</v>
      </c>
      <c r="H807" t="str">
        <f t="shared" si="179"/>
        <v>Display</v>
      </c>
      <c r="I807">
        <f t="shared" si="180"/>
        <v>949</v>
      </c>
      <c r="J807">
        <f t="shared" si="181"/>
        <v>83</v>
      </c>
      <c r="K807" s="4">
        <f t="shared" si="170"/>
        <v>3.8199999999999998E-2</v>
      </c>
      <c r="L807">
        <f t="shared" si="171"/>
        <v>0.09</v>
      </c>
      <c r="M807" s="4">
        <f t="shared" si="182"/>
        <v>3.6251799999999994E-2</v>
      </c>
      <c r="N807" s="4">
        <f t="shared" si="183"/>
        <v>8.541E-2</v>
      </c>
    </row>
    <row r="808" spans="1:14">
      <c r="A808" t="str">
        <f t="shared" si="172"/>
        <v>alp_Man-VWCO</v>
      </c>
      <c r="B808" t="str">
        <f t="shared" si="173"/>
        <v>Google Brasil</v>
      </c>
      <c r="C808" t="str">
        <f t="shared" si="174"/>
        <v>google-brasil|super-banner|728x90|vw_caminhoes|always_on|institucional|criativo_03|728x90|cpm</v>
      </c>
      <c r="D808" t="str">
        <f t="shared" si="175"/>
        <v>138019047</v>
      </c>
      <c r="E808" t="str">
        <f t="shared" si="176"/>
        <v>Default</v>
      </c>
      <c r="F808" t="str">
        <f t="shared" si="177"/>
        <v>728x90 Default Web Ad</v>
      </c>
      <c r="G808" t="str">
        <f t="shared" si="178"/>
        <v>310386926</v>
      </c>
      <c r="H808" t="str">
        <f t="shared" si="179"/>
        <v>Display</v>
      </c>
      <c r="I808">
        <f t="shared" si="180"/>
        <v>5043</v>
      </c>
      <c r="J808">
        <f t="shared" si="181"/>
        <v>8</v>
      </c>
      <c r="K808" s="4">
        <f t="shared" si="170"/>
        <v>3.8199999999999998E-2</v>
      </c>
      <c r="L808">
        <f t="shared" si="171"/>
        <v>0.09</v>
      </c>
      <c r="M808" s="4">
        <f t="shared" si="182"/>
        <v>0.1926426</v>
      </c>
      <c r="N808" s="4">
        <f t="shared" si="183"/>
        <v>0.45387</v>
      </c>
    </row>
    <row r="809" spans="1:14">
      <c r="A809" t="str">
        <f t="shared" si="172"/>
        <v>alp_Man-VWCO</v>
      </c>
      <c r="B809" t="str">
        <f t="shared" si="173"/>
        <v>Google Brasil</v>
      </c>
      <c r="C809" t="str">
        <f t="shared" si="174"/>
        <v>google-brasil|super-banner|728x90|vw_caminhoes|always_on|institucional|criativo_03|728x90|cpm</v>
      </c>
      <c r="D809" t="str">
        <f t="shared" si="175"/>
        <v>138019047</v>
      </c>
      <c r="E809" t="str">
        <f t="shared" si="176"/>
        <v>Default</v>
      </c>
      <c r="F809" t="str">
        <f t="shared" si="177"/>
        <v>728x90 Default Web Ad</v>
      </c>
      <c r="G809" t="str">
        <f t="shared" si="178"/>
        <v>310386926</v>
      </c>
      <c r="H809" t="str">
        <f t="shared" si="179"/>
        <v>Display</v>
      </c>
      <c r="I809">
        <f t="shared" si="180"/>
        <v>716</v>
      </c>
      <c r="J809">
        <f t="shared" si="181"/>
        <v>47</v>
      </c>
      <c r="K809" s="4">
        <f t="shared" si="170"/>
        <v>3.8199999999999998E-2</v>
      </c>
      <c r="L809">
        <f t="shared" si="171"/>
        <v>0.09</v>
      </c>
      <c r="M809" s="4">
        <f t="shared" si="182"/>
        <v>2.7351199999999999E-2</v>
      </c>
      <c r="N809" s="4">
        <f t="shared" si="183"/>
        <v>6.4439999999999997E-2</v>
      </c>
    </row>
    <row r="810" spans="1:14">
      <c r="A810" t="str">
        <f t="shared" si="172"/>
        <v>alp_Man-VWCO</v>
      </c>
      <c r="B810" t="str">
        <f t="shared" si="173"/>
        <v>Google Brasil</v>
      </c>
      <c r="C810" t="str">
        <f t="shared" si="174"/>
        <v>google-brasil|super-banner|728x90|vw_caminhoes|always_on|institucional|criativo_04|728x90|cpm</v>
      </c>
      <c r="D810" t="str">
        <f t="shared" si="175"/>
        <v>138019042</v>
      </c>
      <c r="E810" t="str">
        <f t="shared" si="176"/>
        <v>Default</v>
      </c>
      <c r="F810" t="str">
        <f t="shared" si="177"/>
        <v>728x90 Default Web Ad</v>
      </c>
      <c r="G810" t="str">
        <f t="shared" si="178"/>
        <v>310386926</v>
      </c>
      <c r="H810" t="str">
        <f t="shared" si="179"/>
        <v>Display</v>
      </c>
      <c r="I810">
        <f t="shared" si="180"/>
        <v>5106</v>
      </c>
      <c r="J810">
        <f t="shared" si="181"/>
        <v>8</v>
      </c>
      <c r="K810" s="4">
        <f t="shared" si="170"/>
        <v>3.8199999999999998E-2</v>
      </c>
      <c r="L810">
        <f t="shared" si="171"/>
        <v>0.09</v>
      </c>
      <c r="M810" s="4">
        <f t="shared" si="182"/>
        <v>0.19504919999999998</v>
      </c>
      <c r="N810" s="4">
        <f t="shared" si="183"/>
        <v>0.45953999999999995</v>
      </c>
    </row>
    <row r="811" spans="1:14">
      <c r="A811" t="str">
        <f t="shared" si="172"/>
        <v>alp_Man-VWCO</v>
      </c>
      <c r="B811" t="str">
        <f t="shared" si="173"/>
        <v>Google Brasil</v>
      </c>
      <c r="C811" t="str">
        <f t="shared" si="174"/>
        <v>google-brasil|super-banner|728x90|vw_caminhoes|always_on|institucional|criativo_04|728x90|cpm</v>
      </c>
      <c r="D811" t="str">
        <f t="shared" si="175"/>
        <v>138019042</v>
      </c>
      <c r="E811" t="str">
        <f t="shared" si="176"/>
        <v>Default</v>
      </c>
      <c r="F811" t="str">
        <f t="shared" si="177"/>
        <v>728x90 Default Web Ad</v>
      </c>
      <c r="G811" t="str">
        <f t="shared" si="178"/>
        <v>310386926</v>
      </c>
      <c r="H811" t="str">
        <f t="shared" si="179"/>
        <v>Display</v>
      </c>
      <c r="I811">
        <f t="shared" si="180"/>
        <v>649</v>
      </c>
      <c r="J811">
        <f t="shared" si="181"/>
        <v>53</v>
      </c>
      <c r="K811" s="4">
        <f t="shared" si="170"/>
        <v>3.8199999999999998E-2</v>
      </c>
      <c r="L811">
        <f t="shared" si="171"/>
        <v>0.09</v>
      </c>
      <c r="M811" s="4">
        <f t="shared" si="182"/>
        <v>2.4791799999999999E-2</v>
      </c>
      <c r="N811" s="4">
        <f t="shared" si="183"/>
        <v>5.8409999999999997E-2</v>
      </c>
    </row>
    <row r="812" spans="1:14">
      <c r="A812" t="str">
        <f t="shared" si="172"/>
        <v>alp_Man-VWCO</v>
      </c>
      <c r="B812" t="str">
        <f t="shared" si="173"/>
        <v>Google Brasil</v>
      </c>
      <c r="C812" t="str">
        <f t="shared" si="174"/>
        <v>google-brasil|super-banner|728x90|vw_caminhoes|always_on|produto|criativo_10_constellation_31-280|728x90|cpm</v>
      </c>
      <c r="D812" t="str">
        <f t="shared" si="175"/>
        <v>138018047</v>
      </c>
      <c r="E812" t="str">
        <f t="shared" si="176"/>
        <v>Default</v>
      </c>
      <c r="F812" t="str">
        <f t="shared" si="177"/>
        <v>728x90 Default Web Ad</v>
      </c>
      <c r="G812" t="str">
        <f t="shared" si="178"/>
        <v>310386926</v>
      </c>
      <c r="H812" t="str">
        <f t="shared" si="179"/>
        <v>Display</v>
      </c>
      <c r="I812">
        <f t="shared" si="180"/>
        <v>4421</v>
      </c>
      <c r="J812">
        <f t="shared" si="181"/>
        <v>2</v>
      </c>
      <c r="K812" s="4">
        <f t="shared" ref="K812:K875" si="184">IF(LEFT(B812,3)="DBM",0,VLOOKUP(E812,tabela,2,FALSE))</f>
        <v>3.8199999999999998E-2</v>
      </c>
      <c r="L812">
        <f t="shared" ref="L812:L875" si="185">VLOOKUP(E812,tabela,3,FALSE)</f>
        <v>0.09</v>
      </c>
      <c r="M812" s="4">
        <f t="shared" si="182"/>
        <v>0.16888219999999998</v>
      </c>
      <c r="N812" s="4">
        <f t="shared" si="183"/>
        <v>0.39788999999999997</v>
      </c>
    </row>
    <row r="813" spans="1:14">
      <c r="A813" t="str">
        <f t="shared" si="172"/>
        <v>alp_Man-VWCO</v>
      </c>
      <c r="B813" t="str">
        <f t="shared" si="173"/>
        <v>Google Brasil</v>
      </c>
      <c r="C813" t="str">
        <f t="shared" si="174"/>
        <v>google-brasil|super-banner|728x90|vw_caminhoes|always_on|produto|criativo_10_constellation_31-280|728x90|cpm</v>
      </c>
      <c r="D813" t="str">
        <f t="shared" si="175"/>
        <v>138018047</v>
      </c>
      <c r="E813" t="str">
        <f t="shared" si="176"/>
        <v>Default</v>
      </c>
      <c r="F813" t="str">
        <f t="shared" si="177"/>
        <v>728x90 Default Web Ad</v>
      </c>
      <c r="G813" t="str">
        <f t="shared" si="178"/>
        <v>310386926</v>
      </c>
      <c r="H813" t="str">
        <f t="shared" si="179"/>
        <v>Display</v>
      </c>
      <c r="I813">
        <f t="shared" si="180"/>
        <v>2295</v>
      </c>
      <c r="J813">
        <f t="shared" si="181"/>
        <v>0</v>
      </c>
      <c r="K813" s="4">
        <f t="shared" si="184"/>
        <v>3.8199999999999998E-2</v>
      </c>
      <c r="L813">
        <f t="shared" si="185"/>
        <v>0.09</v>
      </c>
      <c r="M813" s="4">
        <f t="shared" si="182"/>
        <v>8.7668999999999997E-2</v>
      </c>
      <c r="N813" s="4">
        <f t="shared" si="183"/>
        <v>0.20654999999999998</v>
      </c>
    </row>
    <row r="814" spans="1:14">
      <c r="A814" t="str">
        <f t="shared" si="172"/>
        <v>alp_Man-VWCO</v>
      </c>
      <c r="B814" t="str">
        <f t="shared" si="173"/>
        <v>Google Brasil</v>
      </c>
      <c r="C814" t="str">
        <f t="shared" si="174"/>
        <v>google-brasil|super-banner|728x90|vw_caminhoes|always_on|produto|criativo_12_worker_15-190|728x90|cpm</v>
      </c>
      <c r="D814" t="str">
        <f t="shared" si="175"/>
        <v>138018037</v>
      </c>
      <c r="E814" t="str">
        <f t="shared" si="176"/>
        <v>Default</v>
      </c>
      <c r="F814" t="str">
        <f t="shared" si="177"/>
        <v>728x90 Default Web Ad</v>
      </c>
      <c r="G814" t="str">
        <f t="shared" si="178"/>
        <v>310386926</v>
      </c>
      <c r="H814" t="str">
        <f t="shared" si="179"/>
        <v>Display</v>
      </c>
      <c r="I814">
        <f t="shared" si="180"/>
        <v>1824</v>
      </c>
      <c r="J814">
        <f t="shared" si="181"/>
        <v>1</v>
      </c>
      <c r="K814" s="4">
        <f t="shared" si="184"/>
        <v>3.8199999999999998E-2</v>
      </c>
      <c r="L814">
        <f t="shared" si="185"/>
        <v>0.09</v>
      </c>
      <c r="M814" s="4">
        <f t="shared" si="182"/>
        <v>6.9676799999999997E-2</v>
      </c>
      <c r="N814" s="4">
        <f t="shared" si="183"/>
        <v>0.16416</v>
      </c>
    </row>
    <row r="815" spans="1:14">
      <c r="A815" t="str">
        <f t="shared" si="172"/>
        <v>alp_Man-VWCO</v>
      </c>
      <c r="B815" t="str">
        <f t="shared" si="173"/>
        <v>Google Brasil</v>
      </c>
      <c r="C815" t="str">
        <f t="shared" si="174"/>
        <v>google-brasil|super-banner|728x90|vw_caminhoes|always_on|produto|criativo_12_worker_15-190|728x90|cpm</v>
      </c>
      <c r="D815" t="str">
        <f t="shared" si="175"/>
        <v>138018037</v>
      </c>
      <c r="E815" t="str">
        <f t="shared" si="176"/>
        <v>Default</v>
      </c>
      <c r="F815" t="str">
        <f t="shared" si="177"/>
        <v>728x90 Default Web Ad</v>
      </c>
      <c r="G815" t="str">
        <f t="shared" si="178"/>
        <v>310386926</v>
      </c>
      <c r="H815" t="str">
        <f t="shared" si="179"/>
        <v>Display</v>
      </c>
      <c r="I815">
        <f t="shared" si="180"/>
        <v>1341</v>
      </c>
      <c r="J815">
        <f t="shared" si="181"/>
        <v>0</v>
      </c>
      <c r="K815" s="4">
        <f t="shared" si="184"/>
        <v>3.8199999999999998E-2</v>
      </c>
      <c r="L815">
        <f t="shared" si="185"/>
        <v>0.09</v>
      </c>
      <c r="M815" s="4">
        <f t="shared" si="182"/>
        <v>5.12262E-2</v>
      </c>
      <c r="N815" s="4">
        <f t="shared" si="183"/>
        <v>0.12068999999999999</v>
      </c>
    </row>
    <row r="816" spans="1:14">
      <c r="A816" t="str">
        <f t="shared" si="172"/>
        <v>alp_Man-VWCO</v>
      </c>
      <c r="B816" t="str">
        <f t="shared" si="173"/>
        <v>Google Brasil</v>
      </c>
      <c r="C816" t="str">
        <f t="shared" si="174"/>
        <v>google-brasil|super-banner|728x90|vw_caminhoes|always_on|produto|criativo_13_worker_17-190|728x90|cpm</v>
      </c>
      <c r="D816" t="str">
        <f t="shared" si="175"/>
        <v>138018032</v>
      </c>
      <c r="E816" t="str">
        <f t="shared" si="176"/>
        <v>Default</v>
      </c>
      <c r="F816" t="str">
        <f t="shared" si="177"/>
        <v>728x90 Default Web Ad</v>
      </c>
      <c r="G816" t="str">
        <f t="shared" si="178"/>
        <v>310386926</v>
      </c>
      <c r="H816" t="str">
        <f t="shared" si="179"/>
        <v>Display</v>
      </c>
      <c r="I816">
        <f t="shared" si="180"/>
        <v>2499</v>
      </c>
      <c r="J816">
        <f t="shared" si="181"/>
        <v>1</v>
      </c>
      <c r="K816" s="4">
        <f t="shared" si="184"/>
        <v>3.8199999999999998E-2</v>
      </c>
      <c r="L816">
        <f t="shared" si="185"/>
        <v>0.09</v>
      </c>
      <c r="M816" s="4">
        <f t="shared" si="182"/>
        <v>9.5461799999999999E-2</v>
      </c>
      <c r="N816" s="4">
        <f t="shared" si="183"/>
        <v>0.22491</v>
      </c>
    </row>
    <row r="817" spans="1:14">
      <c r="A817" t="str">
        <f t="shared" si="172"/>
        <v>alp_Man-VWCO</v>
      </c>
      <c r="B817" t="str">
        <f t="shared" si="173"/>
        <v>Google Brasil</v>
      </c>
      <c r="C817" t="str">
        <f t="shared" si="174"/>
        <v>google-brasil|super-banner|728x90|vw_caminhoes|always_on|produto|criativo_13_worker_17-190|728x90|cpm</v>
      </c>
      <c r="D817" t="str">
        <f t="shared" si="175"/>
        <v>138018032</v>
      </c>
      <c r="E817" t="str">
        <f t="shared" si="176"/>
        <v>Default</v>
      </c>
      <c r="F817" t="str">
        <f t="shared" si="177"/>
        <v>728x90 Default Web Ad</v>
      </c>
      <c r="G817" t="str">
        <f t="shared" si="178"/>
        <v>310386926</v>
      </c>
      <c r="H817" t="str">
        <f t="shared" si="179"/>
        <v>Display</v>
      </c>
      <c r="I817">
        <f t="shared" si="180"/>
        <v>1237</v>
      </c>
      <c r="J817">
        <f t="shared" si="181"/>
        <v>0</v>
      </c>
      <c r="K817" s="4">
        <f t="shared" si="184"/>
        <v>3.8199999999999998E-2</v>
      </c>
      <c r="L817">
        <f t="shared" si="185"/>
        <v>0.09</v>
      </c>
      <c r="M817" s="4">
        <f t="shared" si="182"/>
        <v>4.7253400000000001E-2</v>
      </c>
      <c r="N817" s="4">
        <f t="shared" si="183"/>
        <v>0.11133</v>
      </c>
    </row>
    <row r="818" spans="1:14">
      <c r="A818" t="str">
        <f t="shared" si="172"/>
        <v>alp_Man-VWCO</v>
      </c>
      <c r="B818" t="str">
        <f t="shared" si="173"/>
        <v>Google Brasil</v>
      </c>
      <c r="C818" t="str">
        <f t="shared" si="174"/>
        <v>google-brasil|super-banner|728x90|vw_caminhoes|always_on|produto|criativo_14_worker_17-230|728x90|cpm</v>
      </c>
      <c r="D818" t="str">
        <f t="shared" si="175"/>
        <v>138018027</v>
      </c>
      <c r="E818" t="str">
        <f t="shared" si="176"/>
        <v>Default</v>
      </c>
      <c r="F818" t="str">
        <f t="shared" si="177"/>
        <v>728x90 Default Web Ad</v>
      </c>
      <c r="G818" t="str">
        <f t="shared" si="178"/>
        <v>310386926</v>
      </c>
      <c r="H818" t="str">
        <f t="shared" si="179"/>
        <v>Display</v>
      </c>
      <c r="I818">
        <f t="shared" si="180"/>
        <v>3530</v>
      </c>
      <c r="J818">
        <f t="shared" si="181"/>
        <v>1</v>
      </c>
      <c r="K818" s="4">
        <f t="shared" si="184"/>
        <v>3.8199999999999998E-2</v>
      </c>
      <c r="L818">
        <f t="shared" si="185"/>
        <v>0.09</v>
      </c>
      <c r="M818" s="4">
        <f t="shared" si="182"/>
        <v>0.13484599999999999</v>
      </c>
      <c r="N818" s="4">
        <f t="shared" si="183"/>
        <v>0.31769999999999998</v>
      </c>
    </row>
    <row r="819" spans="1:14">
      <c r="A819" t="str">
        <f t="shared" si="172"/>
        <v>alp_Man-VWCO</v>
      </c>
      <c r="B819" t="str">
        <f t="shared" si="173"/>
        <v>Google Brasil</v>
      </c>
      <c r="C819" t="str">
        <f t="shared" si="174"/>
        <v>google-brasil|super-banner|728x90|vw_caminhoes|always_on|produto|criativo_14_worker_17-230|728x90|cpm</v>
      </c>
      <c r="D819" t="str">
        <f t="shared" si="175"/>
        <v>138018027</v>
      </c>
      <c r="E819" t="str">
        <f t="shared" si="176"/>
        <v>Default</v>
      </c>
      <c r="F819" t="str">
        <f t="shared" si="177"/>
        <v>728x90 Default Web Ad</v>
      </c>
      <c r="G819" t="str">
        <f t="shared" si="178"/>
        <v>310386926</v>
      </c>
      <c r="H819" t="str">
        <f t="shared" si="179"/>
        <v>Display</v>
      </c>
      <c r="I819">
        <f t="shared" si="180"/>
        <v>2113</v>
      </c>
      <c r="J819">
        <f t="shared" si="181"/>
        <v>0</v>
      </c>
      <c r="K819" s="4">
        <f t="shared" si="184"/>
        <v>3.8199999999999998E-2</v>
      </c>
      <c r="L819">
        <f t="shared" si="185"/>
        <v>0.09</v>
      </c>
      <c r="M819" s="4">
        <f t="shared" si="182"/>
        <v>8.0716599999999999E-2</v>
      </c>
      <c r="N819" s="4">
        <f t="shared" si="183"/>
        <v>0.19016999999999998</v>
      </c>
    </row>
    <row r="820" spans="1:14">
      <c r="A820" t="str">
        <f t="shared" si="172"/>
        <v>alp_Man-VWCO</v>
      </c>
      <c r="B820" t="str">
        <f t="shared" si="173"/>
        <v>Google Brasil</v>
      </c>
      <c r="C820" t="str">
        <f t="shared" si="174"/>
        <v>google-brasil|super-banner|728x90|vw_caminhoes|always_on|produto|criativo_16_constellation_canavieiro|728x90|cpm</v>
      </c>
      <c r="D820" t="str">
        <f t="shared" si="175"/>
        <v>138018017</v>
      </c>
      <c r="E820" t="str">
        <f t="shared" si="176"/>
        <v>Default</v>
      </c>
      <c r="F820" t="str">
        <f t="shared" si="177"/>
        <v>728x90 Default Web Ad</v>
      </c>
      <c r="G820" t="str">
        <f t="shared" si="178"/>
        <v>310386926</v>
      </c>
      <c r="H820" t="str">
        <f t="shared" si="179"/>
        <v>Display</v>
      </c>
      <c r="I820">
        <f t="shared" si="180"/>
        <v>1156</v>
      </c>
      <c r="J820">
        <f t="shared" si="181"/>
        <v>1</v>
      </c>
      <c r="K820" s="4">
        <f t="shared" si="184"/>
        <v>3.8199999999999998E-2</v>
      </c>
      <c r="L820">
        <f t="shared" si="185"/>
        <v>0.09</v>
      </c>
      <c r="M820" s="4">
        <f t="shared" si="182"/>
        <v>4.4159199999999996E-2</v>
      </c>
      <c r="N820" s="4">
        <f t="shared" si="183"/>
        <v>0.10403999999999999</v>
      </c>
    </row>
    <row r="821" spans="1:14">
      <c r="A821" t="str">
        <f t="shared" si="172"/>
        <v>alp_Man-VWCO</v>
      </c>
      <c r="B821" t="str">
        <f t="shared" si="173"/>
        <v>Google Brasil</v>
      </c>
      <c r="C821" t="str">
        <f t="shared" si="174"/>
        <v>google-brasil|super-banner|728x90|vw_caminhoes|always_on|produto|criativo_17_constellation_compactor|728x90|cpm</v>
      </c>
      <c r="D821" t="str">
        <f t="shared" si="175"/>
        <v>138018012</v>
      </c>
      <c r="E821" t="str">
        <f t="shared" si="176"/>
        <v>Default</v>
      </c>
      <c r="F821" t="str">
        <f t="shared" si="177"/>
        <v>728x90 Default Web Ad</v>
      </c>
      <c r="G821" t="str">
        <f t="shared" si="178"/>
        <v>310386926</v>
      </c>
      <c r="H821" t="str">
        <f t="shared" si="179"/>
        <v>Display</v>
      </c>
      <c r="I821">
        <f t="shared" si="180"/>
        <v>3470</v>
      </c>
      <c r="J821">
        <f t="shared" si="181"/>
        <v>2</v>
      </c>
      <c r="K821" s="4">
        <f t="shared" si="184"/>
        <v>3.8199999999999998E-2</v>
      </c>
      <c r="L821">
        <f t="shared" si="185"/>
        <v>0.09</v>
      </c>
      <c r="M821" s="4">
        <f t="shared" si="182"/>
        <v>0.13255400000000001</v>
      </c>
      <c r="N821" s="4">
        <f t="shared" si="183"/>
        <v>0.31230000000000002</v>
      </c>
    </row>
    <row r="822" spans="1:14">
      <c r="A822" t="str">
        <f t="shared" si="172"/>
        <v>alp_Man-VWCO</v>
      </c>
      <c r="B822" t="str">
        <f t="shared" si="173"/>
        <v>Google Brasil</v>
      </c>
      <c r="C822" t="str">
        <f t="shared" si="174"/>
        <v>google-brasil|super-banner|728x90|vw_caminhoes|always_on|produto|criativo_17_constellation_compactor|728x90|cpm</v>
      </c>
      <c r="D822" t="str">
        <f t="shared" si="175"/>
        <v>138018012</v>
      </c>
      <c r="E822" t="str">
        <f t="shared" si="176"/>
        <v>Default</v>
      </c>
      <c r="F822" t="str">
        <f t="shared" si="177"/>
        <v>728x90 Default Web Ad</v>
      </c>
      <c r="G822" t="str">
        <f t="shared" si="178"/>
        <v>310386926</v>
      </c>
      <c r="H822" t="str">
        <f t="shared" si="179"/>
        <v>Display</v>
      </c>
      <c r="I822">
        <f t="shared" si="180"/>
        <v>2599</v>
      </c>
      <c r="J822">
        <f t="shared" si="181"/>
        <v>0</v>
      </c>
      <c r="K822" s="4">
        <f t="shared" si="184"/>
        <v>3.8199999999999998E-2</v>
      </c>
      <c r="L822">
        <f t="shared" si="185"/>
        <v>0.09</v>
      </c>
      <c r="M822" s="4">
        <f t="shared" si="182"/>
        <v>9.928179999999999E-2</v>
      </c>
      <c r="N822" s="4">
        <f t="shared" si="183"/>
        <v>0.23391000000000001</v>
      </c>
    </row>
    <row r="823" spans="1:14">
      <c r="A823" t="str">
        <f t="shared" si="172"/>
        <v>alp_Man-VWCO</v>
      </c>
      <c r="B823" t="str">
        <f t="shared" si="173"/>
        <v>Google Brasil</v>
      </c>
      <c r="C823" t="str">
        <f t="shared" si="174"/>
        <v>google-brasil|super-banner|728x90|vw_caminhoes|always_on|produto|criativo_34_constructor_basculante|728x90|cpm</v>
      </c>
      <c r="D823" t="str">
        <f t="shared" si="175"/>
        <v>138017957</v>
      </c>
      <c r="E823" t="str">
        <f t="shared" si="176"/>
        <v>Default</v>
      </c>
      <c r="F823" t="str">
        <f t="shared" si="177"/>
        <v>728x90 Default Web Ad</v>
      </c>
      <c r="G823" t="str">
        <f t="shared" si="178"/>
        <v>310386926</v>
      </c>
      <c r="H823" t="str">
        <f t="shared" si="179"/>
        <v>Display</v>
      </c>
      <c r="I823">
        <f t="shared" si="180"/>
        <v>1226</v>
      </c>
      <c r="J823">
        <f t="shared" si="181"/>
        <v>0</v>
      </c>
      <c r="K823" s="4">
        <f t="shared" si="184"/>
        <v>3.8199999999999998E-2</v>
      </c>
      <c r="L823">
        <f t="shared" si="185"/>
        <v>0.09</v>
      </c>
      <c r="M823" s="4">
        <f t="shared" si="182"/>
        <v>4.6833199999999998E-2</v>
      </c>
      <c r="N823" s="4">
        <f t="shared" si="183"/>
        <v>0.11033999999999999</v>
      </c>
    </row>
    <row r="824" spans="1:14">
      <c r="A824" t="str">
        <f t="shared" si="172"/>
        <v>alp_Man-VWCO</v>
      </c>
      <c r="B824" t="str">
        <f t="shared" si="173"/>
        <v>Google Brasil</v>
      </c>
      <c r="C824" t="str">
        <f t="shared" si="174"/>
        <v>google-brasil|super-banner|728x90|vw_caminhoes|always_on|produto|criativo_34_constructor_basculante|728x90|cpm</v>
      </c>
      <c r="D824" t="str">
        <f t="shared" si="175"/>
        <v>138017957</v>
      </c>
      <c r="E824" t="str">
        <f t="shared" si="176"/>
        <v>Default</v>
      </c>
      <c r="F824" t="str">
        <f t="shared" si="177"/>
        <v>728x90 Default Web Ad</v>
      </c>
      <c r="G824" t="str">
        <f t="shared" si="178"/>
        <v>310386926</v>
      </c>
      <c r="H824" t="str">
        <f t="shared" si="179"/>
        <v>Display</v>
      </c>
      <c r="I824">
        <f t="shared" si="180"/>
        <v>1836</v>
      </c>
      <c r="J824">
        <f t="shared" si="181"/>
        <v>1</v>
      </c>
      <c r="K824" s="4">
        <f t="shared" si="184"/>
        <v>3.8199999999999998E-2</v>
      </c>
      <c r="L824">
        <f t="shared" si="185"/>
        <v>0.09</v>
      </c>
      <c r="M824" s="4">
        <f t="shared" si="182"/>
        <v>7.0135199999999995E-2</v>
      </c>
      <c r="N824" s="4">
        <f t="shared" si="183"/>
        <v>0.16523999999999997</v>
      </c>
    </row>
    <row r="825" spans="1:14">
      <c r="A825" t="str">
        <f t="shared" si="172"/>
        <v>alp_Man-VWCO</v>
      </c>
      <c r="B825" t="str">
        <f t="shared" si="173"/>
        <v>Google Brasil</v>
      </c>
      <c r="C825" t="str">
        <f t="shared" si="174"/>
        <v>google-brasil|super-banner|728x90|vw_caminhoes|always_on|produto|criativo_35_constructor_betoneira|728x90|cpm</v>
      </c>
      <c r="D825" t="str">
        <f t="shared" si="175"/>
        <v>138017952</v>
      </c>
      <c r="E825" t="str">
        <f t="shared" si="176"/>
        <v>Default</v>
      </c>
      <c r="F825" t="str">
        <f t="shared" si="177"/>
        <v>728x90 Default Web Ad</v>
      </c>
      <c r="G825" t="str">
        <f t="shared" si="178"/>
        <v>310386926</v>
      </c>
      <c r="H825" t="str">
        <f t="shared" si="179"/>
        <v>Display</v>
      </c>
      <c r="I825">
        <f t="shared" si="180"/>
        <v>836</v>
      </c>
      <c r="J825">
        <f t="shared" si="181"/>
        <v>0</v>
      </c>
      <c r="K825" s="4">
        <f t="shared" si="184"/>
        <v>3.8199999999999998E-2</v>
      </c>
      <c r="L825">
        <f t="shared" si="185"/>
        <v>0.09</v>
      </c>
      <c r="M825" s="4">
        <f t="shared" si="182"/>
        <v>3.1935199999999997E-2</v>
      </c>
      <c r="N825" s="4">
        <f t="shared" si="183"/>
        <v>7.5240000000000001E-2</v>
      </c>
    </row>
    <row r="826" spans="1:14">
      <c r="A826" t="str">
        <f t="shared" si="172"/>
        <v>alp_Man-VWCO</v>
      </c>
      <c r="B826" t="str">
        <f t="shared" si="173"/>
        <v>Google Brasil</v>
      </c>
      <c r="C826" t="str">
        <f t="shared" si="174"/>
        <v>google-brasil|super-banner|728x90|vw_caminhoes|always_on|produto|criativo_35_constructor_betoneira|728x90|cpm</v>
      </c>
      <c r="D826" t="str">
        <f t="shared" si="175"/>
        <v>138017952</v>
      </c>
      <c r="E826" t="str">
        <f t="shared" si="176"/>
        <v>Default</v>
      </c>
      <c r="F826" t="str">
        <f t="shared" si="177"/>
        <v>728x90 Default Web Ad</v>
      </c>
      <c r="G826" t="str">
        <f t="shared" si="178"/>
        <v>310386926</v>
      </c>
      <c r="H826" t="str">
        <f t="shared" si="179"/>
        <v>Display</v>
      </c>
      <c r="I826">
        <f t="shared" si="180"/>
        <v>6</v>
      </c>
      <c r="J826">
        <f t="shared" si="181"/>
        <v>0</v>
      </c>
      <c r="K826" s="4">
        <f t="shared" si="184"/>
        <v>3.8199999999999998E-2</v>
      </c>
      <c r="L826">
        <f t="shared" si="185"/>
        <v>0.09</v>
      </c>
      <c r="M826" s="4">
        <f t="shared" si="182"/>
        <v>2.2919999999999999E-4</v>
      </c>
      <c r="N826" s="4">
        <f t="shared" si="183"/>
        <v>5.4000000000000001E-4</v>
      </c>
    </row>
    <row r="827" spans="1:14">
      <c r="A827" t="str">
        <f t="shared" si="172"/>
        <v>alp_Man-VWCO</v>
      </c>
      <c r="B827" t="str">
        <f t="shared" si="173"/>
        <v>Google Brasil</v>
      </c>
      <c r="C827" t="str">
        <f t="shared" si="174"/>
        <v>google-brasil|super-banner|728x90|vw_caminhoes|always_on|produto|criativo_36_constellation_distributor|728x90|cpm</v>
      </c>
      <c r="D827" t="str">
        <f t="shared" si="175"/>
        <v>138017947</v>
      </c>
      <c r="E827" t="str">
        <f t="shared" si="176"/>
        <v>Default</v>
      </c>
      <c r="F827" t="str">
        <f t="shared" si="177"/>
        <v>728x90 Default Web Ad</v>
      </c>
      <c r="G827" t="str">
        <f t="shared" si="178"/>
        <v>310386926</v>
      </c>
      <c r="H827" t="str">
        <f t="shared" si="179"/>
        <v>Display</v>
      </c>
      <c r="I827">
        <f t="shared" si="180"/>
        <v>2123</v>
      </c>
      <c r="J827">
        <f t="shared" si="181"/>
        <v>1</v>
      </c>
      <c r="K827" s="4">
        <f t="shared" si="184"/>
        <v>3.8199999999999998E-2</v>
      </c>
      <c r="L827">
        <f t="shared" si="185"/>
        <v>0.09</v>
      </c>
      <c r="M827" s="4">
        <f t="shared" si="182"/>
        <v>8.1098599999999993E-2</v>
      </c>
      <c r="N827" s="4">
        <f t="shared" si="183"/>
        <v>0.19106999999999999</v>
      </c>
    </row>
    <row r="828" spans="1:14">
      <c r="A828" t="str">
        <f t="shared" si="172"/>
        <v>alp_Man-VWCO</v>
      </c>
      <c r="B828" t="str">
        <f t="shared" si="173"/>
        <v>Google Brasil</v>
      </c>
      <c r="C828" t="str">
        <f t="shared" si="174"/>
        <v>google-brasil|super-banner|728x90|vw_caminhoes|always_on|produto|criativo_36_constellation_distributor|728x90|cpm</v>
      </c>
      <c r="D828" t="str">
        <f t="shared" si="175"/>
        <v>138017947</v>
      </c>
      <c r="E828" t="str">
        <f t="shared" si="176"/>
        <v>Default</v>
      </c>
      <c r="F828" t="str">
        <f t="shared" si="177"/>
        <v>728x90 Default Web Ad</v>
      </c>
      <c r="G828" t="str">
        <f t="shared" si="178"/>
        <v>310386926</v>
      </c>
      <c r="H828" t="str">
        <f t="shared" si="179"/>
        <v>Display</v>
      </c>
      <c r="I828">
        <f t="shared" si="180"/>
        <v>2784</v>
      </c>
      <c r="J828">
        <f t="shared" si="181"/>
        <v>0</v>
      </c>
      <c r="K828" s="4">
        <f t="shared" si="184"/>
        <v>3.8199999999999998E-2</v>
      </c>
      <c r="L828">
        <f t="shared" si="185"/>
        <v>0.09</v>
      </c>
      <c r="M828" s="4">
        <f t="shared" si="182"/>
        <v>0.10634879999999999</v>
      </c>
      <c r="N828" s="4">
        <f t="shared" si="183"/>
        <v>0.25056</v>
      </c>
    </row>
    <row r="829" spans="1:14">
      <c r="A829" t="str">
        <f t="shared" si="172"/>
        <v>alp_Man-VWCO</v>
      </c>
      <c r="B829" t="str">
        <f t="shared" si="173"/>
        <v>Google Brasil</v>
      </c>
      <c r="C829" t="str">
        <f t="shared" si="174"/>
        <v>google-brasil|super-banner|728x90|vw_caminhoes|always_on|produto|criativo_38_worker_17-230|728x90|cpm</v>
      </c>
      <c r="D829" t="str">
        <f t="shared" si="175"/>
        <v>138017937</v>
      </c>
      <c r="E829" t="str">
        <f t="shared" si="176"/>
        <v>Default</v>
      </c>
      <c r="F829" t="str">
        <f t="shared" si="177"/>
        <v>728x90 Default Web Ad</v>
      </c>
      <c r="G829" t="str">
        <f t="shared" si="178"/>
        <v>310386926</v>
      </c>
      <c r="H829" t="str">
        <f t="shared" si="179"/>
        <v>Display</v>
      </c>
      <c r="I829">
        <f t="shared" si="180"/>
        <v>7228</v>
      </c>
      <c r="J829">
        <f t="shared" si="181"/>
        <v>0</v>
      </c>
      <c r="K829" s="4">
        <f t="shared" si="184"/>
        <v>3.8199999999999998E-2</v>
      </c>
      <c r="L829">
        <f t="shared" si="185"/>
        <v>0.09</v>
      </c>
      <c r="M829" s="4">
        <f t="shared" si="182"/>
        <v>0.27610960000000001</v>
      </c>
      <c r="N829" s="4">
        <f t="shared" si="183"/>
        <v>0.65051999999999999</v>
      </c>
    </row>
    <row r="830" spans="1:14">
      <c r="A830" t="str">
        <f t="shared" si="172"/>
        <v>alp_Man-VWCO</v>
      </c>
      <c r="B830" t="str">
        <f t="shared" si="173"/>
        <v>Google Brasil</v>
      </c>
      <c r="C830" t="str">
        <f t="shared" si="174"/>
        <v>google-brasil|super-banner|728x90|vw_caminhoes|always_on|produto|criativo_38_worker_17-230|728x90|cpm</v>
      </c>
      <c r="D830" t="str">
        <f t="shared" si="175"/>
        <v>138017937</v>
      </c>
      <c r="E830" t="str">
        <f t="shared" si="176"/>
        <v>Default</v>
      </c>
      <c r="F830" t="str">
        <f t="shared" si="177"/>
        <v>728x90 Default Web Ad</v>
      </c>
      <c r="G830" t="str">
        <f t="shared" si="178"/>
        <v>310386926</v>
      </c>
      <c r="H830" t="str">
        <f t="shared" si="179"/>
        <v>Display</v>
      </c>
      <c r="I830">
        <f t="shared" si="180"/>
        <v>4182</v>
      </c>
      <c r="J830">
        <f t="shared" si="181"/>
        <v>2</v>
      </c>
      <c r="K830" s="4">
        <f t="shared" si="184"/>
        <v>3.8199999999999998E-2</v>
      </c>
      <c r="L830">
        <f t="shared" si="185"/>
        <v>0.09</v>
      </c>
      <c r="M830" s="4">
        <f t="shared" si="182"/>
        <v>0.15975239999999999</v>
      </c>
      <c r="N830" s="4">
        <f t="shared" si="183"/>
        <v>0.37637999999999999</v>
      </c>
    </row>
    <row r="831" spans="1:14">
      <c r="A831" t="str">
        <f t="shared" si="172"/>
        <v>alp_Man-VWCO</v>
      </c>
      <c r="B831" t="str">
        <f t="shared" si="173"/>
        <v>Google Brasil</v>
      </c>
      <c r="C831" t="str">
        <f t="shared" si="174"/>
        <v>google-brasil|super-banner|728x90|vw_caminhoes|always_on|produto|criativo_39_worker_17-230|728x90|cpm</v>
      </c>
      <c r="D831" t="str">
        <f t="shared" si="175"/>
        <v>138017932</v>
      </c>
      <c r="E831" t="str">
        <f t="shared" si="176"/>
        <v>Default</v>
      </c>
      <c r="F831" t="str">
        <f t="shared" si="177"/>
        <v>728x90 Default Web Ad</v>
      </c>
      <c r="G831" t="str">
        <f t="shared" si="178"/>
        <v>310386926</v>
      </c>
      <c r="H831" t="str">
        <f t="shared" si="179"/>
        <v>Display</v>
      </c>
      <c r="I831">
        <f t="shared" si="180"/>
        <v>6892</v>
      </c>
      <c r="J831">
        <f t="shared" si="181"/>
        <v>4</v>
      </c>
      <c r="K831" s="4">
        <f t="shared" si="184"/>
        <v>3.8199999999999998E-2</v>
      </c>
      <c r="L831">
        <f t="shared" si="185"/>
        <v>0.09</v>
      </c>
      <c r="M831" s="4">
        <f t="shared" si="182"/>
        <v>0.26327439999999996</v>
      </c>
      <c r="N831" s="4">
        <f t="shared" si="183"/>
        <v>0.62027999999999994</v>
      </c>
    </row>
    <row r="832" spans="1:14">
      <c r="A832" t="str">
        <f t="shared" si="172"/>
        <v>alp_Man-VWCO</v>
      </c>
      <c r="B832" t="str">
        <f t="shared" si="173"/>
        <v>Google Brasil</v>
      </c>
      <c r="C832" t="str">
        <f t="shared" si="174"/>
        <v>google-brasil|super-banner|728x90|vw_caminhoes|always_on|produto|criativo_39_worker_17-230|728x90|cpm</v>
      </c>
      <c r="D832" t="str">
        <f t="shared" si="175"/>
        <v>138017932</v>
      </c>
      <c r="E832" t="str">
        <f t="shared" si="176"/>
        <v>Default</v>
      </c>
      <c r="F832" t="str">
        <f t="shared" si="177"/>
        <v>728x90 Default Web Ad</v>
      </c>
      <c r="G832" t="str">
        <f t="shared" si="178"/>
        <v>310386926</v>
      </c>
      <c r="H832" t="str">
        <f t="shared" si="179"/>
        <v>Display</v>
      </c>
      <c r="I832">
        <f t="shared" si="180"/>
        <v>4335</v>
      </c>
      <c r="J832">
        <f t="shared" si="181"/>
        <v>1</v>
      </c>
      <c r="K832" s="4">
        <f t="shared" si="184"/>
        <v>3.8199999999999998E-2</v>
      </c>
      <c r="L832">
        <f t="shared" si="185"/>
        <v>0.09</v>
      </c>
      <c r="M832" s="4">
        <f t="shared" si="182"/>
        <v>0.16559699999999997</v>
      </c>
      <c r="N832" s="4">
        <f t="shared" si="183"/>
        <v>0.39015</v>
      </c>
    </row>
    <row r="833" spans="1:14">
      <c r="A833" t="str">
        <f t="shared" si="172"/>
        <v>alp_Man-VWCO</v>
      </c>
      <c r="B833" t="str">
        <f t="shared" si="173"/>
        <v>Google Brasil</v>
      </c>
      <c r="C833" t="str">
        <f t="shared" si="174"/>
        <v>google-brasil|super-banner|728x90|vw_caminhoes|always_on|produto|criativo_40_worker_23-230|728x90|cpm</v>
      </c>
      <c r="D833" t="str">
        <f t="shared" si="175"/>
        <v>138017927</v>
      </c>
      <c r="E833" t="str">
        <f t="shared" si="176"/>
        <v>Default</v>
      </c>
      <c r="F833" t="str">
        <f t="shared" si="177"/>
        <v>728x90 Default Web Ad</v>
      </c>
      <c r="G833" t="str">
        <f t="shared" si="178"/>
        <v>310386926</v>
      </c>
      <c r="H833" t="str">
        <f t="shared" si="179"/>
        <v>Display</v>
      </c>
      <c r="I833">
        <f t="shared" si="180"/>
        <v>4070</v>
      </c>
      <c r="J833">
        <f t="shared" si="181"/>
        <v>0</v>
      </c>
      <c r="K833" s="4">
        <f t="shared" si="184"/>
        <v>3.8199999999999998E-2</v>
      </c>
      <c r="L833">
        <f t="shared" si="185"/>
        <v>0.09</v>
      </c>
      <c r="M833" s="4">
        <f t="shared" si="182"/>
        <v>0.155474</v>
      </c>
      <c r="N833" s="4">
        <f t="shared" si="183"/>
        <v>0.36630000000000001</v>
      </c>
    </row>
    <row r="834" spans="1:14">
      <c r="A834" t="str">
        <f t="shared" ref="A834:A897" si="186">bd_campaign</f>
        <v>alp_Man-VWCO</v>
      </c>
      <c r="B834" t="str">
        <f t="shared" ref="B834:B897" si="187">bd_site</f>
        <v>Google Brasil</v>
      </c>
      <c r="C834" t="str">
        <f t="shared" ref="C834:C897" si="188">bd_placement</f>
        <v>google-brasil|super-banner|728x90|vw_caminhoes|always_on|produto|criativo_40_worker_23-230|728x90|cpm</v>
      </c>
      <c r="D834" t="str">
        <f t="shared" ref="D834:D897" si="189">bd_placementID</f>
        <v>138017927</v>
      </c>
      <c r="E834" t="str">
        <f t="shared" ref="E834:E897" si="190">VLOOKUP(CONCATENATE(bd_adtype,"_",bd_creativetype),tabela,2,FALSE)</f>
        <v>Default</v>
      </c>
      <c r="F834" t="str">
        <f t="shared" ref="F834:F897" si="191">bd_ad</f>
        <v>728x90 Default Web Ad</v>
      </c>
      <c r="G834" t="str">
        <f t="shared" ref="G834:G897" si="192">bd_adid</f>
        <v>310386926</v>
      </c>
      <c r="H834" t="str">
        <f t="shared" ref="H834:H897" si="193">bd_creativetype</f>
        <v>Display</v>
      </c>
      <c r="I834">
        <f t="shared" ref="I834:I897" si="194">bd_impression</f>
        <v>2254</v>
      </c>
      <c r="J834">
        <f t="shared" ref="J834:J897" si="195">bd_clicks</f>
        <v>0</v>
      </c>
      <c r="K834" s="4">
        <f t="shared" si="184"/>
        <v>3.8199999999999998E-2</v>
      </c>
      <c r="L834">
        <f t="shared" si="185"/>
        <v>0.09</v>
      </c>
      <c r="M834" s="4">
        <f t="shared" si="182"/>
        <v>8.6102800000000007E-2</v>
      </c>
      <c r="N834" s="4">
        <f t="shared" si="183"/>
        <v>0.20285999999999998</v>
      </c>
    </row>
    <row r="835" spans="1:14">
      <c r="A835" t="str">
        <f t="shared" si="186"/>
        <v>alp_Man-VWCO</v>
      </c>
      <c r="B835" t="str">
        <f t="shared" si="187"/>
        <v>Google Brasil</v>
      </c>
      <c r="C835" t="str">
        <f t="shared" si="188"/>
        <v>google-brasil|super-banner|728x90|vw_caminhoes|always_on|produto|criativo_41_worker_23-230|728x90|cpm</v>
      </c>
      <c r="D835" t="str">
        <f t="shared" si="189"/>
        <v>138017922</v>
      </c>
      <c r="E835" t="str">
        <f t="shared" si="190"/>
        <v>Default</v>
      </c>
      <c r="F835" t="str">
        <f t="shared" si="191"/>
        <v>728x90 Default Web Ad</v>
      </c>
      <c r="G835" t="str">
        <f t="shared" si="192"/>
        <v>310386926</v>
      </c>
      <c r="H835" t="str">
        <f t="shared" si="193"/>
        <v>Display</v>
      </c>
      <c r="I835">
        <f t="shared" si="194"/>
        <v>3838</v>
      </c>
      <c r="J835">
        <f t="shared" si="195"/>
        <v>1</v>
      </c>
      <c r="K835" s="4">
        <f t="shared" si="184"/>
        <v>3.8199999999999998E-2</v>
      </c>
      <c r="L835">
        <f t="shared" si="185"/>
        <v>0.09</v>
      </c>
      <c r="M835" s="4">
        <f t="shared" si="182"/>
        <v>0.14661159999999998</v>
      </c>
      <c r="N835" s="4">
        <f t="shared" si="183"/>
        <v>0.34541999999999995</v>
      </c>
    </row>
    <row r="836" spans="1:14">
      <c r="A836" t="str">
        <f t="shared" si="186"/>
        <v>alp_Man-VWCO</v>
      </c>
      <c r="B836" t="str">
        <f t="shared" si="187"/>
        <v>Google Brasil</v>
      </c>
      <c r="C836" t="str">
        <f t="shared" si="188"/>
        <v>google-brasil|super-banner|728x90|vw_caminhoes|always_on|produto|criativo_41_worker_23-230|728x90|cpm</v>
      </c>
      <c r="D836" t="str">
        <f t="shared" si="189"/>
        <v>138017922</v>
      </c>
      <c r="E836" t="str">
        <f t="shared" si="190"/>
        <v>Default</v>
      </c>
      <c r="F836" t="str">
        <f t="shared" si="191"/>
        <v>728x90 Default Web Ad</v>
      </c>
      <c r="G836" t="str">
        <f t="shared" si="192"/>
        <v>310386926</v>
      </c>
      <c r="H836" t="str">
        <f t="shared" si="193"/>
        <v>Display</v>
      </c>
      <c r="I836">
        <f t="shared" si="194"/>
        <v>2160</v>
      </c>
      <c r="J836">
        <f t="shared" si="195"/>
        <v>1</v>
      </c>
      <c r="K836" s="4">
        <f t="shared" si="184"/>
        <v>3.8199999999999998E-2</v>
      </c>
      <c r="L836">
        <f t="shared" si="185"/>
        <v>0.09</v>
      </c>
      <c r="M836" s="4">
        <f t="shared" si="182"/>
        <v>8.2512000000000002E-2</v>
      </c>
      <c r="N836" s="4">
        <f t="shared" si="183"/>
        <v>0.19440000000000002</v>
      </c>
    </row>
    <row r="837" spans="1:14">
      <c r="A837" t="str">
        <f t="shared" si="186"/>
        <v>alp_Man-VWCO</v>
      </c>
      <c r="B837" t="str">
        <f t="shared" si="187"/>
        <v>Google Brasil</v>
      </c>
      <c r="C837" t="str">
        <f t="shared" si="188"/>
        <v>google-brasil|super-banner|728x90|vw_caminhoes|always_on|produto|criativo_51_constellation_31-280|728x90|cpm</v>
      </c>
      <c r="D837" t="str">
        <f t="shared" si="189"/>
        <v>138017872</v>
      </c>
      <c r="E837" t="str">
        <f t="shared" si="190"/>
        <v>Default</v>
      </c>
      <c r="F837" t="str">
        <f t="shared" si="191"/>
        <v>728x90 Default Web Ad</v>
      </c>
      <c r="G837" t="str">
        <f t="shared" si="192"/>
        <v>310386926</v>
      </c>
      <c r="H837" t="str">
        <f t="shared" si="193"/>
        <v>Display</v>
      </c>
      <c r="I837">
        <f t="shared" si="194"/>
        <v>4588</v>
      </c>
      <c r="J837">
        <f t="shared" si="195"/>
        <v>4</v>
      </c>
      <c r="K837" s="4">
        <f t="shared" si="184"/>
        <v>3.8199999999999998E-2</v>
      </c>
      <c r="L837">
        <f t="shared" si="185"/>
        <v>0.09</v>
      </c>
      <c r="M837" s="4">
        <f t="shared" si="182"/>
        <v>0.17526159999999999</v>
      </c>
      <c r="N837" s="4">
        <f t="shared" si="183"/>
        <v>0.41291999999999995</v>
      </c>
    </row>
    <row r="838" spans="1:14">
      <c r="A838" t="str">
        <f t="shared" si="186"/>
        <v>alp_Man-VWCO</v>
      </c>
      <c r="B838" t="str">
        <f t="shared" si="187"/>
        <v>Google Brasil</v>
      </c>
      <c r="C838" t="str">
        <f t="shared" si="188"/>
        <v>google-brasil|super-banner|728x90|vw_caminhoes|always_on|produto|criativo_51_constellation_31-280|728x90|cpm</v>
      </c>
      <c r="D838" t="str">
        <f t="shared" si="189"/>
        <v>138017872</v>
      </c>
      <c r="E838" t="str">
        <f t="shared" si="190"/>
        <v>Default</v>
      </c>
      <c r="F838" t="str">
        <f t="shared" si="191"/>
        <v>728x90 Default Web Ad</v>
      </c>
      <c r="G838" t="str">
        <f t="shared" si="192"/>
        <v>310386926</v>
      </c>
      <c r="H838" t="str">
        <f t="shared" si="193"/>
        <v>Display</v>
      </c>
      <c r="I838">
        <f t="shared" si="194"/>
        <v>2371</v>
      </c>
      <c r="J838">
        <f t="shared" si="195"/>
        <v>0</v>
      </c>
      <c r="K838" s="4">
        <f t="shared" si="184"/>
        <v>3.8199999999999998E-2</v>
      </c>
      <c r="L838">
        <f t="shared" si="185"/>
        <v>0.09</v>
      </c>
      <c r="M838" s="4">
        <f t="shared" si="182"/>
        <v>9.0572199999999992E-2</v>
      </c>
      <c r="N838" s="4">
        <f t="shared" si="183"/>
        <v>0.21339</v>
      </c>
    </row>
    <row r="839" spans="1:14">
      <c r="A839" t="str">
        <f t="shared" si="186"/>
        <v>alp_Man-VWCO</v>
      </c>
      <c r="B839" t="str">
        <f t="shared" si="187"/>
        <v>Google Brasil</v>
      </c>
      <c r="C839" t="str">
        <f t="shared" si="188"/>
        <v>google-brasil|super-banner|728x90|vw_caminhoes|always_on|produto|criativo_52_constellation_31-280|728x90|cpm</v>
      </c>
      <c r="D839" t="str">
        <f t="shared" si="189"/>
        <v>138017867</v>
      </c>
      <c r="E839" t="str">
        <f t="shared" si="190"/>
        <v>Default</v>
      </c>
      <c r="F839" t="str">
        <f t="shared" si="191"/>
        <v>728x90 Default Web Ad</v>
      </c>
      <c r="G839" t="str">
        <f t="shared" si="192"/>
        <v>310386926</v>
      </c>
      <c r="H839" t="str">
        <f t="shared" si="193"/>
        <v>Display</v>
      </c>
      <c r="I839">
        <f t="shared" si="194"/>
        <v>4756</v>
      </c>
      <c r="J839">
        <f t="shared" si="195"/>
        <v>4</v>
      </c>
      <c r="K839" s="4">
        <f t="shared" si="184"/>
        <v>3.8199999999999998E-2</v>
      </c>
      <c r="L839">
        <f t="shared" si="185"/>
        <v>0.09</v>
      </c>
      <c r="M839" s="4">
        <f t="shared" si="182"/>
        <v>0.18167919999999999</v>
      </c>
      <c r="N839" s="4">
        <f t="shared" si="183"/>
        <v>0.42803999999999998</v>
      </c>
    </row>
    <row r="840" spans="1:14">
      <c r="A840" t="str">
        <f t="shared" si="186"/>
        <v>alp_Man-VWCO</v>
      </c>
      <c r="B840" t="str">
        <f t="shared" si="187"/>
        <v>Google Brasil</v>
      </c>
      <c r="C840" t="str">
        <f t="shared" si="188"/>
        <v>google-brasil|super-banner|728x90|vw_caminhoes|always_on|produto|criativo_52_constellation_31-280|728x90|cpm</v>
      </c>
      <c r="D840" t="str">
        <f t="shared" si="189"/>
        <v>138017867</v>
      </c>
      <c r="E840" t="str">
        <f t="shared" si="190"/>
        <v>Default</v>
      </c>
      <c r="F840" t="str">
        <f t="shared" si="191"/>
        <v>728x90 Default Web Ad</v>
      </c>
      <c r="G840" t="str">
        <f t="shared" si="192"/>
        <v>310386926</v>
      </c>
      <c r="H840" t="str">
        <f t="shared" si="193"/>
        <v>Display</v>
      </c>
      <c r="I840">
        <f t="shared" si="194"/>
        <v>2755</v>
      </c>
      <c r="J840">
        <f t="shared" si="195"/>
        <v>0</v>
      </c>
      <c r="K840" s="4">
        <f t="shared" si="184"/>
        <v>3.8199999999999998E-2</v>
      </c>
      <c r="L840">
        <f t="shared" si="185"/>
        <v>0.09</v>
      </c>
      <c r="M840" s="4">
        <f t="shared" si="182"/>
        <v>0.105241</v>
      </c>
      <c r="N840" s="4">
        <f t="shared" si="183"/>
        <v>0.24794999999999998</v>
      </c>
    </row>
    <row r="841" spans="1:14">
      <c r="A841" t="str">
        <f t="shared" si="186"/>
        <v>alp_Man-VWCO</v>
      </c>
      <c r="B841" t="str">
        <f t="shared" si="187"/>
        <v>Google Brasil</v>
      </c>
      <c r="C841" t="str">
        <f t="shared" si="188"/>
        <v>google-brasil|super-banner|728x90|vw_caminhoes|always_on|produto|criativo_53_constellation_31-280|728x90|cpm</v>
      </c>
      <c r="D841" t="str">
        <f t="shared" si="189"/>
        <v>138017862</v>
      </c>
      <c r="E841" t="str">
        <f t="shared" si="190"/>
        <v>Default</v>
      </c>
      <c r="F841" t="str">
        <f t="shared" si="191"/>
        <v>728x90 Default Web Ad</v>
      </c>
      <c r="G841" t="str">
        <f t="shared" si="192"/>
        <v>310386926</v>
      </c>
      <c r="H841" t="str">
        <f t="shared" si="193"/>
        <v>Display</v>
      </c>
      <c r="I841">
        <f t="shared" si="194"/>
        <v>4623</v>
      </c>
      <c r="J841">
        <f t="shared" si="195"/>
        <v>2</v>
      </c>
      <c r="K841" s="4">
        <f t="shared" si="184"/>
        <v>3.8199999999999998E-2</v>
      </c>
      <c r="L841">
        <f t="shared" si="185"/>
        <v>0.09</v>
      </c>
      <c r="M841" s="4">
        <f t="shared" si="182"/>
        <v>0.17659859999999997</v>
      </c>
      <c r="N841" s="4">
        <f t="shared" si="183"/>
        <v>0.41607</v>
      </c>
    </row>
    <row r="842" spans="1:14">
      <c r="A842" t="str">
        <f t="shared" si="186"/>
        <v>alp_Man-VWCO</v>
      </c>
      <c r="B842" t="str">
        <f t="shared" si="187"/>
        <v>Google Brasil</v>
      </c>
      <c r="C842" t="str">
        <f t="shared" si="188"/>
        <v>google-brasil|super-banner|728x90|vw_caminhoes|always_on|produto|criativo_53_constellation_31-280|728x90|cpm</v>
      </c>
      <c r="D842" t="str">
        <f t="shared" si="189"/>
        <v>138017862</v>
      </c>
      <c r="E842" t="str">
        <f t="shared" si="190"/>
        <v>Default</v>
      </c>
      <c r="F842" t="str">
        <f t="shared" si="191"/>
        <v>728x90 Default Web Ad</v>
      </c>
      <c r="G842" t="str">
        <f t="shared" si="192"/>
        <v>310386926</v>
      </c>
      <c r="H842" t="str">
        <f t="shared" si="193"/>
        <v>Display</v>
      </c>
      <c r="I842">
        <f t="shared" si="194"/>
        <v>2497</v>
      </c>
      <c r="J842">
        <f t="shared" si="195"/>
        <v>0</v>
      </c>
      <c r="K842" s="4">
        <f t="shared" si="184"/>
        <v>3.8199999999999998E-2</v>
      </c>
      <c r="L842">
        <f t="shared" si="185"/>
        <v>0.09</v>
      </c>
      <c r="M842" s="4">
        <f t="shared" si="182"/>
        <v>9.5385399999999995E-2</v>
      </c>
      <c r="N842" s="4">
        <f t="shared" si="183"/>
        <v>0.22472999999999999</v>
      </c>
    </row>
    <row r="843" spans="1:14">
      <c r="A843" t="str">
        <f t="shared" si="186"/>
        <v>alp_Man-VWCO</v>
      </c>
      <c r="B843" t="str">
        <f t="shared" si="187"/>
        <v>Google Brasil</v>
      </c>
      <c r="C843" t="str">
        <f t="shared" si="188"/>
        <v>google-brasil|super-banner|728x90|vw_caminhoes|always_on|produto|criativo_57_constellation_31-390|728x90|cpm</v>
      </c>
      <c r="D843" t="str">
        <f t="shared" si="189"/>
        <v>138017842</v>
      </c>
      <c r="E843" t="str">
        <f t="shared" si="190"/>
        <v>Default</v>
      </c>
      <c r="F843" t="str">
        <f t="shared" si="191"/>
        <v>728x90 Default Web Ad</v>
      </c>
      <c r="G843" t="str">
        <f t="shared" si="192"/>
        <v>310386926</v>
      </c>
      <c r="H843" t="str">
        <f t="shared" si="193"/>
        <v>Display</v>
      </c>
      <c r="I843">
        <f t="shared" si="194"/>
        <v>4556</v>
      </c>
      <c r="J843">
        <f t="shared" si="195"/>
        <v>5</v>
      </c>
      <c r="K843" s="4">
        <f t="shared" si="184"/>
        <v>3.8199999999999998E-2</v>
      </c>
      <c r="L843">
        <f t="shared" si="185"/>
        <v>0.09</v>
      </c>
      <c r="M843" s="4">
        <f t="shared" si="182"/>
        <v>0.17403920000000001</v>
      </c>
      <c r="N843" s="4">
        <f t="shared" si="183"/>
        <v>0.41003999999999996</v>
      </c>
    </row>
    <row r="844" spans="1:14">
      <c r="A844" t="str">
        <f t="shared" si="186"/>
        <v>alp_Man-VWCO</v>
      </c>
      <c r="B844" t="str">
        <f t="shared" si="187"/>
        <v>Google Brasil</v>
      </c>
      <c r="C844" t="str">
        <f t="shared" si="188"/>
        <v>google-brasil|super-banner|728x90|vw_caminhoes|always_on|produto|criativo_57_constellation_31-390|728x90|cpm</v>
      </c>
      <c r="D844" t="str">
        <f t="shared" si="189"/>
        <v>138017842</v>
      </c>
      <c r="E844" t="str">
        <f t="shared" si="190"/>
        <v>Default</v>
      </c>
      <c r="F844" t="str">
        <f t="shared" si="191"/>
        <v>728x90 Default Web Ad</v>
      </c>
      <c r="G844" t="str">
        <f t="shared" si="192"/>
        <v>310386926</v>
      </c>
      <c r="H844" t="str">
        <f t="shared" si="193"/>
        <v>Display</v>
      </c>
      <c r="I844">
        <f t="shared" si="194"/>
        <v>3433</v>
      </c>
      <c r="J844">
        <f t="shared" si="195"/>
        <v>0</v>
      </c>
      <c r="K844" s="4">
        <f t="shared" si="184"/>
        <v>3.8199999999999998E-2</v>
      </c>
      <c r="L844">
        <f t="shared" si="185"/>
        <v>0.09</v>
      </c>
      <c r="M844" s="4">
        <f t="shared" si="182"/>
        <v>0.1311406</v>
      </c>
      <c r="N844" s="4">
        <f t="shared" si="183"/>
        <v>0.30896999999999997</v>
      </c>
    </row>
    <row r="845" spans="1:14">
      <c r="A845" t="str">
        <f t="shared" si="186"/>
        <v>alp_Man-VWCO</v>
      </c>
      <c r="B845" t="str">
        <f t="shared" si="187"/>
        <v>Google Brasil</v>
      </c>
      <c r="C845" t="str">
        <f t="shared" si="188"/>
        <v>google-brasil|super-banner|728x90|vw_caminhoes|always_on|produto|criativo_58_constellation_31-390|728x90|cpm</v>
      </c>
      <c r="D845" t="str">
        <f t="shared" si="189"/>
        <v>138017837</v>
      </c>
      <c r="E845" t="str">
        <f t="shared" si="190"/>
        <v>Default</v>
      </c>
      <c r="F845" t="str">
        <f t="shared" si="191"/>
        <v>728x90 Default Web Ad</v>
      </c>
      <c r="G845" t="str">
        <f t="shared" si="192"/>
        <v>310386926</v>
      </c>
      <c r="H845" t="str">
        <f t="shared" si="193"/>
        <v>Display</v>
      </c>
      <c r="I845">
        <f t="shared" si="194"/>
        <v>4618</v>
      </c>
      <c r="J845">
        <f t="shared" si="195"/>
        <v>2</v>
      </c>
      <c r="K845" s="4">
        <f t="shared" si="184"/>
        <v>3.8199999999999998E-2</v>
      </c>
      <c r="L845">
        <f t="shared" si="185"/>
        <v>0.09</v>
      </c>
      <c r="M845" s="4">
        <f t="shared" si="182"/>
        <v>0.1764076</v>
      </c>
      <c r="N845" s="4">
        <f t="shared" si="183"/>
        <v>0.41561999999999999</v>
      </c>
    </row>
    <row r="846" spans="1:14">
      <c r="A846" t="str">
        <f t="shared" si="186"/>
        <v>alp_Man-VWCO</v>
      </c>
      <c r="B846" t="str">
        <f t="shared" si="187"/>
        <v>Google Brasil</v>
      </c>
      <c r="C846" t="str">
        <f t="shared" si="188"/>
        <v>google-brasil|super-banner|728x90|vw_caminhoes|always_on|produto|criativo_58_constellation_31-390|728x90|cpm</v>
      </c>
      <c r="D846" t="str">
        <f t="shared" si="189"/>
        <v>138017837</v>
      </c>
      <c r="E846" t="str">
        <f t="shared" si="190"/>
        <v>Default</v>
      </c>
      <c r="F846" t="str">
        <f t="shared" si="191"/>
        <v>728x90 Default Web Ad</v>
      </c>
      <c r="G846" t="str">
        <f t="shared" si="192"/>
        <v>310386926</v>
      </c>
      <c r="H846" t="str">
        <f t="shared" si="193"/>
        <v>Display</v>
      </c>
      <c r="I846">
        <f t="shared" si="194"/>
        <v>3321</v>
      </c>
      <c r="J846">
        <f t="shared" si="195"/>
        <v>1</v>
      </c>
      <c r="K846" s="4">
        <f t="shared" si="184"/>
        <v>3.8199999999999998E-2</v>
      </c>
      <c r="L846">
        <f t="shared" si="185"/>
        <v>0.09</v>
      </c>
      <c r="M846" s="4">
        <f t="shared" si="182"/>
        <v>0.12686219999999998</v>
      </c>
      <c r="N846" s="4">
        <f t="shared" si="183"/>
        <v>0.29888999999999999</v>
      </c>
    </row>
    <row r="847" spans="1:14">
      <c r="A847" t="str">
        <f t="shared" si="186"/>
        <v>alp_Man-VWCO</v>
      </c>
      <c r="B847" t="str">
        <f t="shared" si="187"/>
        <v>Google Brasil</v>
      </c>
      <c r="C847" t="str">
        <f t="shared" si="188"/>
        <v>google-brasil|super-banner|728x90|vw_caminhoes|always_on|produto|criativo_59_constellation_31-390|728x90|cpm</v>
      </c>
      <c r="D847" t="str">
        <f t="shared" si="189"/>
        <v>138017832</v>
      </c>
      <c r="E847" t="str">
        <f t="shared" si="190"/>
        <v>Default</v>
      </c>
      <c r="F847" t="str">
        <f t="shared" si="191"/>
        <v>728x90 Default Web Ad</v>
      </c>
      <c r="G847" t="str">
        <f t="shared" si="192"/>
        <v>310386926</v>
      </c>
      <c r="H847" t="str">
        <f t="shared" si="193"/>
        <v>Display</v>
      </c>
      <c r="I847">
        <f t="shared" si="194"/>
        <v>4703</v>
      </c>
      <c r="J847">
        <f t="shared" si="195"/>
        <v>3</v>
      </c>
      <c r="K847" s="4">
        <f t="shared" si="184"/>
        <v>3.8199999999999998E-2</v>
      </c>
      <c r="L847">
        <f t="shared" si="185"/>
        <v>0.09</v>
      </c>
      <c r="M847" s="4">
        <f t="shared" si="182"/>
        <v>0.1796546</v>
      </c>
      <c r="N847" s="4">
        <f t="shared" si="183"/>
        <v>0.42326999999999998</v>
      </c>
    </row>
    <row r="848" spans="1:14">
      <c r="A848" t="str">
        <f t="shared" si="186"/>
        <v>alp_Man-VWCO</v>
      </c>
      <c r="B848" t="str">
        <f t="shared" si="187"/>
        <v>Google Brasil</v>
      </c>
      <c r="C848" t="str">
        <f t="shared" si="188"/>
        <v>google-brasil|super-banner|728x90|vw_caminhoes|always_on|produto|criativo_59_constellation_31-390|728x90|cpm</v>
      </c>
      <c r="D848" t="str">
        <f t="shared" si="189"/>
        <v>138017832</v>
      </c>
      <c r="E848" t="str">
        <f t="shared" si="190"/>
        <v>Default</v>
      </c>
      <c r="F848" t="str">
        <f t="shared" si="191"/>
        <v>728x90 Default Web Ad</v>
      </c>
      <c r="G848" t="str">
        <f t="shared" si="192"/>
        <v>310386926</v>
      </c>
      <c r="H848" t="str">
        <f t="shared" si="193"/>
        <v>Display</v>
      </c>
      <c r="I848">
        <f t="shared" si="194"/>
        <v>3376</v>
      </c>
      <c r="J848">
        <f t="shared" si="195"/>
        <v>0</v>
      </c>
      <c r="K848" s="4">
        <f t="shared" si="184"/>
        <v>3.8199999999999998E-2</v>
      </c>
      <c r="L848">
        <f t="shared" si="185"/>
        <v>0.09</v>
      </c>
      <c r="M848" s="4">
        <f t="shared" si="182"/>
        <v>0.1289632</v>
      </c>
      <c r="N848" s="4">
        <f t="shared" si="183"/>
        <v>0.30384</v>
      </c>
    </row>
    <row r="849" spans="1:14">
      <c r="A849" t="str">
        <f t="shared" si="186"/>
        <v>alp_Man-VWCO</v>
      </c>
      <c r="B849" t="str">
        <f t="shared" si="187"/>
        <v>Google Brasil</v>
      </c>
      <c r="C849" t="str">
        <f t="shared" si="188"/>
        <v>google-brasil|super-banner|728x90|vw_caminhoes|always_on|produto|criativo_62_worker_13-190|728x90|cpm</v>
      </c>
      <c r="D849" t="str">
        <f t="shared" si="189"/>
        <v>138017817</v>
      </c>
      <c r="E849" t="str">
        <f t="shared" si="190"/>
        <v>Default</v>
      </c>
      <c r="F849" t="str">
        <f t="shared" si="191"/>
        <v>728x90 Default Web Ad</v>
      </c>
      <c r="G849" t="str">
        <f t="shared" si="192"/>
        <v>310386926</v>
      </c>
      <c r="H849" t="str">
        <f t="shared" si="193"/>
        <v>Display</v>
      </c>
      <c r="I849">
        <f t="shared" si="194"/>
        <v>5309</v>
      </c>
      <c r="J849">
        <f t="shared" si="195"/>
        <v>2</v>
      </c>
      <c r="K849" s="4">
        <f t="shared" si="184"/>
        <v>3.8199999999999998E-2</v>
      </c>
      <c r="L849">
        <f t="shared" si="185"/>
        <v>0.09</v>
      </c>
      <c r="M849" s="4">
        <f t="shared" si="182"/>
        <v>0.20280380000000001</v>
      </c>
      <c r="N849" s="4">
        <f t="shared" si="183"/>
        <v>0.47781000000000001</v>
      </c>
    </row>
    <row r="850" spans="1:14">
      <c r="A850" t="str">
        <f t="shared" si="186"/>
        <v>alp_Man-VWCO</v>
      </c>
      <c r="B850" t="str">
        <f t="shared" si="187"/>
        <v>Google Brasil</v>
      </c>
      <c r="C850" t="str">
        <f t="shared" si="188"/>
        <v>google-brasil|super-banner|728x90|vw_caminhoes|always_on|produto|criativo_62_worker_13-190|728x90|cpm</v>
      </c>
      <c r="D850" t="str">
        <f t="shared" si="189"/>
        <v>138017817</v>
      </c>
      <c r="E850" t="str">
        <f t="shared" si="190"/>
        <v>Default</v>
      </c>
      <c r="F850" t="str">
        <f t="shared" si="191"/>
        <v>728x90 Default Web Ad</v>
      </c>
      <c r="G850" t="str">
        <f t="shared" si="192"/>
        <v>310386926</v>
      </c>
      <c r="H850" t="str">
        <f t="shared" si="193"/>
        <v>Display</v>
      </c>
      <c r="I850">
        <f t="shared" si="194"/>
        <v>4542</v>
      </c>
      <c r="J850">
        <f t="shared" si="195"/>
        <v>1</v>
      </c>
      <c r="K850" s="4">
        <f t="shared" si="184"/>
        <v>3.8199999999999998E-2</v>
      </c>
      <c r="L850">
        <f t="shared" si="185"/>
        <v>0.09</v>
      </c>
      <c r="M850" s="4">
        <f t="shared" si="182"/>
        <v>0.1735044</v>
      </c>
      <c r="N850" s="4">
        <f t="shared" si="183"/>
        <v>0.40877999999999998</v>
      </c>
    </row>
    <row r="851" spans="1:14">
      <c r="A851" t="str">
        <f t="shared" si="186"/>
        <v>alp_Man-VWCO</v>
      </c>
      <c r="B851" t="str">
        <f t="shared" si="187"/>
        <v>Google Brasil</v>
      </c>
      <c r="C851" t="str">
        <f t="shared" si="188"/>
        <v>google-brasil|super-banner|728x90|vw_caminhoes|always_on|produto|criativo_63_worker_15-190|728x90|cpm</v>
      </c>
      <c r="D851" t="str">
        <f t="shared" si="189"/>
        <v>138017812</v>
      </c>
      <c r="E851" t="str">
        <f t="shared" si="190"/>
        <v>Default</v>
      </c>
      <c r="F851" t="str">
        <f t="shared" si="191"/>
        <v>728x90 Default Web Ad</v>
      </c>
      <c r="G851" t="str">
        <f t="shared" si="192"/>
        <v>310386926</v>
      </c>
      <c r="H851" t="str">
        <f t="shared" si="193"/>
        <v>Display</v>
      </c>
      <c r="I851">
        <f t="shared" si="194"/>
        <v>2026</v>
      </c>
      <c r="J851">
        <f t="shared" si="195"/>
        <v>1</v>
      </c>
      <c r="K851" s="4">
        <f t="shared" si="184"/>
        <v>3.8199999999999998E-2</v>
      </c>
      <c r="L851">
        <f t="shared" si="185"/>
        <v>0.09</v>
      </c>
      <c r="M851" s="4">
        <f t="shared" si="182"/>
        <v>7.7393199999999995E-2</v>
      </c>
      <c r="N851" s="4">
        <f t="shared" si="183"/>
        <v>0.18234</v>
      </c>
    </row>
    <row r="852" spans="1:14">
      <c r="A852" t="str">
        <f t="shared" si="186"/>
        <v>alp_Man-VWCO</v>
      </c>
      <c r="B852" t="str">
        <f t="shared" si="187"/>
        <v>Google Brasil</v>
      </c>
      <c r="C852" t="str">
        <f t="shared" si="188"/>
        <v>google-brasil|super-banner|728x90|vw_caminhoes|always_on|produto|criativo_63_worker_15-190|728x90|cpm</v>
      </c>
      <c r="D852" t="str">
        <f t="shared" si="189"/>
        <v>138017812</v>
      </c>
      <c r="E852" t="str">
        <f t="shared" si="190"/>
        <v>Default</v>
      </c>
      <c r="F852" t="str">
        <f t="shared" si="191"/>
        <v>728x90 Default Web Ad</v>
      </c>
      <c r="G852" t="str">
        <f t="shared" si="192"/>
        <v>310386926</v>
      </c>
      <c r="H852" t="str">
        <f t="shared" si="193"/>
        <v>Display</v>
      </c>
      <c r="I852">
        <f t="shared" si="194"/>
        <v>1402</v>
      </c>
      <c r="J852">
        <f t="shared" si="195"/>
        <v>0</v>
      </c>
      <c r="K852" s="4">
        <f t="shared" si="184"/>
        <v>3.8199999999999998E-2</v>
      </c>
      <c r="L852">
        <f t="shared" si="185"/>
        <v>0.09</v>
      </c>
      <c r="M852" s="4">
        <f t="shared" si="182"/>
        <v>5.3556399999999997E-2</v>
      </c>
      <c r="N852" s="4">
        <f t="shared" si="183"/>
        <v>0.12617999999999999</v>
      </c>
    </row>
    <row r="853" spans="1:14">
      <c r="A853" t="str">
        <f t="shared" si="186"/>
        <v>alp_Man-VWCO</v>
      </c>
      <c r="B853" t="str">
        <f t="shared" si="187"/>
        <v>Google Brasil</v>
      </c>
      <c r="C853" t="str">
        <f t="shared" si="188"/>
        <v>google-brasil|super-banner|728x90|vw_caminhoes|always_on|produto|criativo_64_worker_15-190|728x90|cpm</v>
      </c>
      <c r="D853" t="str">
        <f t="shared" si="189"/>
        <v>138017807</v>
      </c>
      <c r="E853" t="str">
        <f t="shared" si="190"/>
        <v>Default</v>
      </c>
      <c r="F853" t="str">
        <f t="shared" si="191"/>
        <v>728x90 Default Web Ad</v>
      </c>
      <c r="G853" t="str">
        <f t="shared" si="192"/>
        <v>310386926</v>
      </c>
      <c r="H853" t="str">
        <f t="shared" si="193"/>
        <v>Display</v>
      </c>
      <c r="I853">
        <f t="shared" si="194"/>
        <v>2101</v>
      </c>
      <c r="J853">
        <f t="shared" si="195"/>
        <v>0</v>
      </c>
      <c r="K853" s="4">
        <f t="shared" si="184"/>
        <v>3.8199999999999998E-2</v>
      </c>
      <c r="L853">
        <f t="shared" si="185"/>
        <v>0.09</v>
      </c>
      <c r="M853" s="4">
        <f t="shared" si="182"/>
        <v>8.0258200000000002E-2</v>
      </c>
      <c r="N853" s="4">
        <f t="shared" si="183"/>
        <v>0.18909000000000001</v>
      </c>
    </row>
    <row r="854" spans="1:14">
      <c r="A854" t="str">
        <f t="shared" si="186"/>
        <v>alp_Man-VWCO</v>
      </c>
      <c r="B854" t="str">
        <f t="shared" si="187"/>
        <v>Google Brasil</v>
      </c>
      <c r="C854" t="str">
        <f t="shared" si="188"/>
        <v>google-brasil|super-banner|728x90|vw_caminhoes|always_on|produto|criativo_64_worker_15-190|728x90|cpm</v>
      </c>
      <c r="D854" t="str">
        <f t="shared" si="189"/>
        <v>138017807</v>
      </c>
      <c r="E854" t="str">
        <f t="shared" si="190"/>
        <v>Default</v>
      </c>
      <c r="F854" t="str">
        <f t="shared" si="191"/>
        <v>728x90 Default Web Ad</v>
      </c>
      <c r="G854" t="str">
        <f t="shared" si="192"/>
        <v>310386926</v>
      </c>
      <c r="H854" t="str">
        <f t="shared" si="193"/>
        <v>Display</v>
      </c>
      <c r="I854">
        <f t="shared" si="194"/>
        <v>1416</v>
      </c>
      <c r="J854">
        <f t="shared" si="195"/>
        <v>0</v>
      </c>
      <c r="K854" s="4">
        <f t="shared" si="184"/>
        <v>3.8199999999999998E-2</v>
      </c>
      <c r="L854">
        <f t="shared" si="185"/>
        <v>0.09</v>
      </c>
      <c r="M854" s="4">
        <f t="shared" si="182"/>
        <v>5.4091199999999992E-2</v>
      </c>
      <c r="N854" s="4">
        <f t="shared" si="183"/>
        <v>0.12744</v>
      </c>
    </row>
    <row r="855" spans="1:14">
      <c r="A855" t="str">
        <f t="shared" si="186"/>
        <v>alp_Man-VWCO</v>
      </c>
      <c r="B855" t="str">
        <f t="shared" si="187"/>
        <v>Google Brasil</v>
      </c>
      <c r="C855" t="str">
        <f t="shared" si="188"/>
        <v>google-brasil|super-banner|728x90|vw_caminhoes|always_on|produto|criativo_65_worker_17-190|728x90|cpm</v>
      </c>
      <c r="D855" t="str">
        <f t="shared" si="189"/>
        <v>138017802</v>
      </c>
      <c r="E855" t="str">
        <f t="shared" si="190"/>
        <v>Default</v>
      </c>
      <c r="F855" t="str">
        <f t="shared" si="191"/>
        <v>728x90 Default Web Ad</v>
      </c>
      <c r="G855" t="str">
        <f t="shared" si="192"/>
        <v>310386926</v>
      </c>
      <c r="H855" t="str">
        <f t="shared" si="193"/>
        <v>Display</v>
      </c>
      <c r="I855">
        <f t="shared" si="194"/>
        <v>3168</v>
      </c>
      <c r="J855">
        <f t="shared" si="195"/>
        <v>0</v>
      </c>
      <c r="K855" s="4">
        <f t="shared" si="184"/>
        <v>3.8199999999999998E-2</v>
      </c>
      <c r="L855">
        <f t="shared" si="185"/>
        <v>0.09</v>
      </c>
      <c r="M855" s="4">
        <f t="shared" si="182"/>
        <v>0.12101759999999999</v>
      </c>
      <c r="N855" s="4">
        <f t="shared" si="183"/>
        <v>0.28511999999999998</v>
      </c>
    </row>
    <row r="856" spans="1:14">
      <c r="A856" t="str">
        <f t="shared" si="186"/>
        <v>alp_Man-VWCO</v>
      </c>
      <c r="B856" t="str">
        <f t="shared" si="187"/>
        <v>Google Brasil</v>
      </c>
      <c r="C856" t="str">
        <f t="shared" si="188"/>
        <v>google-brasil|super-banner|728x90|vw_caminhoes|always_on|produto|criativo_65_worker_17-190|728x90|cpm</v>
      </c>
      <c r="D856" t="str">
        <f t="shared" si="189"/>
        <v>138017802</v>
      </c>
      <c r="E856" t="str">
        <f t="shared" si="190"/>
        <v>Default</v>
      </c>
      <c r="F856" t="str">
        <f t="shared" si="191"/>
        <v>728x90 Default Web Ad</v>
      </c>
      <c r="G856" t="str">
        <f t="shared" si="192"/>
        <v>310386926</v>
      </c>
      <c r="H856" t="str">
        <f t="shared" si="193"/>
        <v>Display</v>
      </c>
      <c r="I856">
        <f t="shared" si="194"/>
        <v>1479</v>
      </c>
      <c r="J856">
        <f t="shared" si="195"/>
        <v>0</v>
      </c>
      <c r="K856" s="4">
        <f t="shared" si="184"/>
        <v>3.8199999999999998E-2</v>
      </c>
      <c r="L856">
        <f t="shared" si="185"/>
        <v>0.09</v>
      </c>
      <c r="M856" s="4">
        <f t="shared" si="182"/>
        <v>5.6497800000000001E-2</v>
      </c>
      <c r="N856" s="4">
        <f t="shared" si="183"/>
        <v>0.13310999999999998</v>
      </c>
    </row>
    <row r="857" spans="1:14">
      <c r="A857" t="str">
        <f t="shared" si="186"/>
        <v>alp_Man-VWCO</v>
      </c>
      <c r="B857" t="str">
        <f t="shared" si="187"/>
        <v>Google Brasil</v>
      </c>
      <c r="C857" t="str">
        <f t="shared" si="188"/>
        <v>google-brasil|super-banner|728x90|vw_caminhoes|always_on|produto|criativo_66_constellation_compactor|728x90|cpm</v>
      </c>
      <c r="D857" t="str">
        <f t="shared" si="189"/>
        <v>138017797</v>
      </c>
      <c r="E857" t="str">
        <f t="shared" si="190"/>
        <v>Default</v>
      </c>
      <c r="F857" t="str">
        <f t="shared" si="191"/>
        <v>728x90 Default Web Ad</v>
      </c>
      <c r="G857" t="str">
        <f t="shared" si="192"/>
        <v>310386926</v>
      </c>
      <c r="H857" t="str">
        <f t="shared" si="193"/>
        <v>Display</v>
      </c>
      <c r="I857">
        <f t="shared" si="194"/>
        <v>3474</v>
      </c>
      <c r="J857">
        <f t="shared" si="195"/>
        <v>0</v>
      </c>
      <c r="K857" s="4">
        <f t="shared" si="184"/>
        <v>3.8199999999999998E-2</v>
      </c>
      <c r="L857">
        <f t="shared" si="185"/>
        <v>0.09</v>
      </c>
      <c r="M857" s="4">
        <f t="shared" si="182"/>
        <v>0.13270679999999999</v>
      </c>
      <c r="N857" s="4">
        <f t="shared" si="183"/>
        <v>0.31265999999999999</v>
      </c>
    </row>
    <row r="858" spans="1:14">
      <c r="A858" t="str">
        <f t="shared" si="186"/>
        <v>alp_Man-VWCO</v>
      </c>
      <c r="B858" t="str">
        <f t="shared" si="187"/>
        <v>Google Brasil</v>
      </c>
      <c r="C858" t="str">
        <f t="shared" si="188"/>
        <v>google-brasil|super-banner|728x90|vw_caminhoes|always_on|produto|criativo_66_constellation_compactor|728x90|cpm</v>
      </c>
      <c r="D858" t="str">
        <f t="shared" si="189"/>
        <v>138017797</v>
      </c>
      <c r="E858" t="str">
        <f t="shared" si="190"/>
        <v>Default</v>
      </c>
      <c r="F858" t="str">
        <f t="shared" si="191"/>
        <v>728x90 Default Web Ad</v>
      </c>
      <c r="G858" t="str">
        <f t="shared" si="192"/>
        <v>310386926</v>
      </c>
      <c r="H858" t="str">
        <f t="shared" si="193"/>
        <v>Display</v>
      </c>
      <c r="I858">
        <f t="shared" si="194"/>
        <v>2643</v>
      </c>
      <c r="J858">
        <f t="shared" si="195"/>
        <v>1</v>
      </c>
      <c r="K858" s="4">
        <f t="shared" si="184"/>
        <v>3.8199999999999998E-2</v>
      </c>
      <c r="L858">
        <f t="shared" si="185"/>
        <v>0.09</v>
      </c>
      <c r="M858" s="4">
        <f t="shared" si="182"/>
        <v>0.1009626</v>
      </c>
      <c r="N858" s="4">
        <f t="shared" si="183"/>
        <v>0.23787</v>
      </c>
    </row>
    <row r="859" spans="1:14">
      <c r="A859" t="str">
        <f t="shared" si="186"/>
        <v>alp_Man-VWCO</v>
      </c>
      <c r="B859" t="str">
        <f t="shared" si="187"/>
        <v>Google Brasil</v>
      </c>
      <c r="C859" t="str">
        <f t="shared" si="188"/>
        <v>google-brasil|super-banner|728x90|vw_caminhoes|always_on|produto|criativo_69_delivery_5-150|728x90|cpm</v>
      </c>
      <c r="D859" t="str">
        <f t="shared" si="189"/>
        <v>138017782</v>
      </c>
      <c r="E859" t="str">
        <f t="shared" si="190"/>
        <v>Default</v>
      </c>
      <c r="F859" t="str">
        <f t="shared" si="191"/>
        <v>728x90 Default Web Ad</v>
      </c>
      <c r="G859" t="str">
        <f t="shared" si="192"/>
        <v>310386926</v>
      </c>
      <c r="H859" t="str">
        <f t="shared" si="193"/>
        <v>Display</v>
      </c>
      <c r="I859">
        <f t="shared" si="194"/>
        <v>9370</v>
      </c>
      <c r="J859">
        <f t="shared" si="195"/>
        <v>2</v>
      </c>
      <c r="K859" s="4">
        <f t="shared" si="184"/>
        <v>3.8199999999999998E-2</v>
      </c>
      <c r="L859">
        <f t="shared" si="185"/>
        <v>0.09</v>
      </c>
      <c r="M859" s="4">
        <f t="shared" si="182"/>
        <v>0.35793399999999997</v>
      </c>
      <c r="N859" s="4">
        <f t="shared" si="183"/>
        <v>0.84329999999999994</v>
      </c>
    </row>
    <row r="860" spans="1:14">
      <c r="A860" t="str">
        <f t="shared" si="186"/>
        <v>alp_Man-VWCO</v>
      </c>
      <c r="B860" t="str">
        <f t="shared" si="187"/>
        <v>Google Brasil</v>
      </c>
      <c r="C860" t="str">
        <f t="shared" si="188"/>
        <v>google-brasil|super-banner|728x90|vw_caminhoes|always_on|produto|criativo_69_delivery_5-150|728x90|cpm</v>
      </c>
      <c r="D860" t="str">
        <f t="shared" si="189"/>
        <v>138017782</v>
      </c>
      <c r="E860" t="str">
        <f t="shared" si="190"/>
        <v>Default</v>
      </c>
      <c r="F860" t="str">
        <f t="shared" si="191"/>
        <v>728x90 Default Web Ad</v>
      </c>
      <c r="G860" t="str">
        <f t="shared" si="192"/>
        <v>310386926</v>
      </c>
      <c r="H860" t="str">
        <f t="shared" si="193"/>
        <v>Display</v>
      </c>
      <c r="I860">
        <f t="shared" si="194"/>
        <v>5520</v>
      </c>
      <c r="J860">
        <f t="shared" si="195"/>
        <v>0</v>
      </c>
      <c r="K860" s="4">
        <f t="shared" si="184"/>
        <v>3.8199999999999998E-2</v>
      </c>
      <c r="L860">
        <f t="shared" si="185"/>
        <v>0.09</v>
      </c>
      <c r="M860" s="4">
        <f t="shared" si="182"/>
        <v>0.21086399999999997</v>
      </c>
      <c r="N860" s="4">
        <f t="shared" si="183"/>
        <v>0.49679999999999996</v>
      </c>
    </row>
    <row r="861" spans="1:14">
      <c r="A861" t="str">
        <f t="shared" si="186"/>
        <v>alp_Man-VWCO</v>
      </c>
      <c r="B861" t="str">
        <f t="shared" si="187"/>
        <v>Google Brasil</v>
      </c>
      <c r="C861" t="str">
        <f t="shared" si="188"/>
        <v>google-brasil|super-banner|728x90|vw_caminhoes|always_on|produto|criativo_70_delivery_5-150|728x90|cpm</v>
      </c>
      <c r="D861" t="str">
        <f t="shared" si="189"/>
        <v>138017777</v>
      </c>
      <c r="E861" t="str">
        <f t="shared" si="190"/>
        <v>Default</v>
      </c>
      <c r="F861" t="str">
        <f t="shared" si="191"/>
        <v>728x90 Default Web Ad</v>
      </c>
      <c r="G861" t="str">
        <f t="shared" si="192"/>
        <v>310386926</v>
      </c>
      <c r="H861" t="str">
        <f t="shared" si="193"/>
        <v>Display</v>
      </c>
      <c r="I861">
        <f t="shared" si="194"/>
        <v>9110</v>
      </c>
      <c r="J861">
        <f t="shared" si="195"/>
        <v>1</v>
      </c>
      <c r="K861" s="4">
        <f t="shared" si="184"/>
        <v>3.8199999999999998E-2</v>
      </c>
      <c r="L861">
        <f t="shared" si="185"/>
        <v>0.09</v>
      </c>
      <c r="M861" s="4">
        <f t="shared" si="182"/>
        <v>0.34800199999999998</v>
      </c>
      <c r="N861" s="4">
        <f t="shared" si="183"/>
        <v>0.81989999999999996</v>
      </c>
    </row>
    <row r="862" spans="1:14">
      <c r="A862" t="str">
        <f t="shared" si="186"/>
        <v>alp_Man-VWCO</v>
      </c>
      <c r="B862" t="str">
        <f t="shared" si="187"/>
        <v>Google Brasil</v>
      </c>
      <c r="C862" t="str">
        <f t="shared" si="188"/>
        <v>google-brasil|super-banner|728x90|vw_caminhoes|always_on|produto|criativo_70_delivery_5-150|728x90|cpm</v>
      </c>
      <c r="D862" t="str">
        <f t="shared" si="189"/>
        <v>138017777</v>
      </c>
      <c r="E862" t="str">
        <f t="shared" si="190"/>
        <v>Default</v>
      </c>
      <c r="F862" t="str">
        <f t="shared" si="191"/>
        <v>728x90 Default Web Ad</v>
      </c>
      <c r="G862" t="str">
        <f t="shared" si="192"/>
        <v>310386926</v>
      </c>
      <c r="H862" t="str">
        <f t="shared" si="193"/>
        <v>Display</v>
      </c>
      <c r="I862">
        <f t="shared" si="194"/>
        <v>5601</v>
      </c>
      <c r="J862">
        <f t="shared" si="195"/>
        <v>0</v>
      </c>
      <c r="K862" s="4">
        <f t="shared" si="184"/>
        <v>3.8199999999999998E-2</v>
      </c>
      <c r="L862">
        <f t="shared" si="185"/>
        <v>0.09</v>
      </c>
      <c r="M862" s="4">
        <f t="shared" si="182"/>
        <v>0.21395819999999999</v>
      </c>
      <c r="N862" s="4">
        <f t="shared" si="183"/>
        <v>0.50408999999999993</v>
      </c>
    </row>
    <row r="863" spans="1:14">
      <c r="A863" t="str">
        <f t="shared" si="186"/>
        <v>alp_Man-VWCO</v>
      </c>
      <c r="B863" t="str">
        <f t="shared" si="187"/>
        <v>Google Brasil</v>
      </c>
      <c r="C863" t="str">
        <f t="shared" si="188"/>
        <v>google-brasil|super-banner|728x90|vw_caminhoes|always_on|produto|criativo_71_delivery_5-150|728x90|cpm</v>
      </c>
      <c r="D863" t="str">
        <f t="shared" si="189"/>
        <v>138017772</v>
      </c>
      <c r="E863" t="str">
        <f t="shared" si="190"/>
        <v>Default</v>
      </c>
      <c r="F863" t="str">
        <f t="shared" si="191"/>
        <v>728x90 Default Web Ad</v>
      </c>
      <c r="G863" t="str">
        <f t="shared" si="192"/>
        <v>310386926</v>
      </c>
      <c r="H863" t="str">
        <f t="shared" si="193"/>
        <v>Display</v>
      </c>
      <c r="I863">
        <f t="shared" si="194"/>
        <v>9219</v>
      </c>
      <c r="J863">
        <f t="shared" si="195"/>
        <v>1</v>
      </c>
      <c r="K863" s="4">
        <f t="shared" si="184"/>
        <v>3.8199999999999998E-2</v>
      </c>
      <c r="L863">
        <f t="shared" si="185"/>
        <v>0.09</v>
      </c>
      <c r="M863" s="4">
        <f t="shared" si="182"/>
        <v>0.35216579999999997</v>
      </c>
      <c r="N863" s="4">
        <f t="shared" si="183"/>
        <v>0.82970999999999995</v>
      </c>
    </row>
    <row r="864" spans="1:14">
      <c r="A864" t="str">
        <f t="shared" si="186"/>
        <v>alp_Man-VWCO</v>
      </c>
      <c r="B864" t="str">
        <f t="shared" si="187"/>
        <v>Google Brasil</v>
      </c>
      <c r="C864" t="str">
        <f t="shared" si="188"/>
        <v>google-brasil|super-banner|728x90|vw_caminhoes|always_on|produto|criativo_71_delivery_5-150|728x90|cpm</v>
      </c>
      <c r="D864" t="str">
        <f t="shared" si="189"/>
        <v>138017772</v>
      </c>
      <c r="E864" t="str">
        <f t="shared" si="190"/>
        <v>Default</v>
      </c>
      <c r="F864" t="str">
        <f t="shared" si="191"/>
        <v>728x90 Default Web Ad</v>
      </c>
      <c r="G864" t="str">
        <f t="shared" si="192"/>
        <v>310386926</v>
      </c>
      <c r="H864" t="str">
        <f t="shared" si="193"/>
        <v>Display</v>
      </c>
      <c r="I864">
        <f t="shared" si="194"/>
        <v>5367</v>
      </c>
      <c r="J864">
        <f t="shared" si="195"/>
        <v>0</v>
      </c>
      <c r="K864" s="4">
        <f t="shared" si="184"/>
        <v>3.8199999999999998E-2</v>
      </c>
      <c r="L864">
        <f t="shared" si="185"/>
        <v>0.09</v>
      </c>
      <c r="M864" s="4">
        <f t="shared" si="182"/>
        <v>0.20501939999999999</v>
      </c>
      <c r="N864" s="4">
        <f t="shared" si="183"/>
        <v>0.48302999999999996</v>
      </c>
    </row>
    <row r="865" spans="1:14">
      <c r="A865" t="str">
        <f t="shared" si="186"/>
        <v>alp_Man-VWCO</v>
      </c>
      <c r="B865" t="str">
        <f t="shared" si="187"/>
        <v>Google Brasil</v>
      </c>
      <c r="C865" t="str">
        <f t="shared" si="188"/>
        <v>google-brasil|super-banner|728x90|vw_caminhoes|always_on|produto|criativo_72_delivery_5-150|728x90|cpm</v>
      </c>
      <c r="D865" t="str">
        <f t="shared" si="189"/>
        <v>138017767</v>
      </c>
      <c r="E865" t="str">
        <f t="shared" si="190"/>
        <v>Default</v>
      </c>
      <c r="F865" t="str">
        <f t="shared" si="191"/>
        <v>728x90 Default Web Ad</v>
      </c>
      <c r="G865" t="str">
        <f t="shared" si="192"/>
        <v>310386926</v>
      </c>
      <c r="H865" t="str">
        <f t="shared" si="193"/>
        <v>Display</v>
      </c>
      <c r="I865">
        <f t="shared" si="194"/>
        <v>9397</v>
      </c>
      <c r="J865">
        <f t="shared" si="195"/>
        <v>2</v>
      </c>
      <c r="K865" s="4">
        <f t="shared" si="184"/>
        <v>3.8199999999999998E-2</v>
      </c>
      <c r="L865">
        <f t="shared" si="185"/>
        <v>0.09</v>
      </c>
      <c r="M865" s="4">
        <f t="shared" si="182"/>
        <v>0.35896539999999999</v>
      </c>
      <c r="N865" s="4">
        <f t="shared" si="183"/>
        <v>0.84572999999999998</v>
      </c>
    </row>
    <row r="866" spans="1:14">
      <c r="A866" t="str">
        <f t="shared" si="186"/>
        <v>alp_Man-VWCO</v>
      </c>
      <c r="B866" t="str">
        <f t="shared" si="187"/>
        <v>Google Brasil</v>
      </c>
      <c r="C866" t="str">
        <f t="shared" si="188"/>
        <v>google-brasil|super-banner|728x90|vw_caminhoes|always_on|produto|criativo_72_delivery_5-150|728x90|cpm</v>
      </c>
      <c r="D866" t="str">
        <f t="shared" si="189"/>
        <v>138017767</v>
      </c>
      <c r="E866" t="str">
        <f t="shared" si="190"/>
        <v>Default</v>
      </c>
      <c r="F866" t="str">
        <f t="shared" si="191"/>
        <v>728x90 Default Web Ad</v>
      </c>
      <c r="G866" t="str">
        <f t="shared" si="192"/>
        <v>310386926</v>
      </c>
      <c r="H866" t="str">
        <f t="shared" si="193"/>
        <v>Display</v>
      </c>
      <c r="I866">
        <f t="shared" si="194"/>
        <v>5534</v>
      </c>
      <c r="J866">
        <f t="shared" si="195"/>
        <v>0</v>
      </c>
      <c r="K866" s="4">
        <f t="shared" si="184"/>
        <v>3.8199999999999998E-2</v>
      </c>
      <c r="L866">
        <f t="shared" si="185"/>
        <v>0.09</v>
      </c>
      <c r="M866" s="4">
        <f t="shared" ref="M866:M929" si="196">IF(E866="Dynamic Click",J866*K866,K866*$I866/1000)</f>
        <v>0.2113988</v>
      </c>
      <c r="N866" s="4">
        <f t="shared" ref="N866:N929" si="197">IF(E866="Dynamic Click",J866*L866,L866*$I866/1000)</f>
        <v>0.49806</v>
      </c>
    </row>
    <row r="867" spans="1:14">
      <c r="A867" t="str">
        <f t="shared" si="186"/>
        <v>alp_Man-VWCO</v>
      </c>
      <c r="B867" t="str">
        <f t="shared" si="187"/>
        <v>Google Brasil</v>
      </c>
      <c r="C867" t="str">
        <f t="shared" si="188"/>
        <v>google-brasil|super-banner|728x90|vw_caminhoes|always_on|produto|criativo_73_delivery_8-160|728x90|cpm</v>
      </c>
      <c r="D867" t="str">
        <f t="shared" si="189"/>
        <v>138017762</v>
      </c>
      <c r="E867" t="str">
        <f t="shared" si="190"/>
        <v>Default</v>
      </c>
      <c r="F867" t="str">
        <f t="shared" si="191"/>
        <v>728x90 Default Web Ad</v>
      </c>
      <c r="G867" t="str">
        <f t="shared" si="192"/>
        <v>310386926</v>
      </c>
      <c r="H867" t="str">
        <f t="shared" si="193"/>
        <v>Display</v>
      </c>
      <c r="I867">
        <f t="shared" si="194"/>
        <v>6359</v>
      </c>
      <c r="J867">
        <f t="shared" si="195"/>
        <v>0</v>
      </c>
      <c r="K867" s="4">
        <f t="shared" si="184"/>
        <v>3.8199999999999998E-2</v>
      </c>
      <c r="L867">
        <f t="shared" si="185"/>
        <v>0.09</v>
      </c>
      <c r="M867" s="4">
        <f t="shared" si="196"/>
        <v>0.24291379999999999</v>
      </c>
      <c r="N867" s="4">
        <f t="shared" si="197"/>
        <v>0.57230999999999999</v>
      </c>
    </row>
    <row r="868" spans="1:14">
      <c r="A868" t="str">
        <f t="shared" si="186"/>
        <v>alp_Man-VWCO</v>
      </c>
      <c r="B868" t="str">
        <f t="shared" si="187"/>
        <v>Google Brasil</v>
      </c>
      <c r="C868" t="str">
        <f t="shared" si="188"/>
        <v>google-brasil|super-banner|728x90|vw_caminhoes|always_on|produto|criativo_73_delivery_8-160|728x90|cpm</v>
      </c>
      <c r="D868" t="str">
        <f t="shared" si="189"/>
        <v>138017762</v>
      </c>
      <c r="E868" t="str">
        <f t="shared" si="190"/>
        <v>Default</v>
      </c>
      <c r="F868" t="str">
        <f t="shared" si="191"/>
        <v>728x90 Default Web Ad</v>
      </c>
      <c r="G868" t="str">
        <f t="shared" si="192"/>
        <v>310386926</v>
      </c>
      <c r="H868" t="str">
        <f t="shared" si="193"/>
        <v>Display</v>
      </c>
      <c r="I868">
        <f t="shared" si="194"/>
        <v>3106</v>
      </c>
      <c r="J868">
        <f t="shared" si="195"/>
        <v>0</v>
      </c>
      <c r="K868" s="4">
        <f t="shared" si="184"/>
        <v>3.8199999999999998E-2</v>
      </c>
      <c r="L868">
        <f t="shared" si="185"/>
        <v>0.09</v>
      </c>
      <c r="M868" s="4">
        <f t="shared" si="196"/>
        <v>0.1186492</v>
      </c>
      <c r="N868" s="4">
        <f t="shared" si="197"/>
        <v>0.27953999999999996</v>
      </c>
    </row>
    <row r="869" spans="1:14">
      <c r="A869" t="str">
        <f t="shared" si="186"/>
        <v>alp_Man-VWCO</v>
      </c>
      <c r="B869" t="str">
        <f t="shared" si="187"/>
        <v>Google Brasil</v>
      </c>
      <c r="C869" t="str">
        <f t="shared" si="188"/>
        <v>google-brasil|super-banner|728x90|vw_caminhoes|always_on|produto|criativo_74_delivery_8-160|728x90|cpm</v>
      </c>
      <c r="D869" t="str">
        <f t="shared" si="189"/>
        <v>138017757</v>
      </c>
      <c r="E869" t="str">
        <f t="shared" si="190"/>
        <v>Default</v>
      </c>
      <c r="F869" t="str">
        <f t="shared" si="191"/>
        <v>728x90 Default Web Ad</v>
      </c>
      <c r="G869" t="str">
        <f t="shared" si="192"/>
        <v>310386926</v>
      </c>
      <c r="H869" t="str">
        <f t="shared" si="193"/>
        <v>Display</v>
      </c>
      <c r="I869">
        <f t="shared" si="194"/>
        <v>6316</v>
      </c>
      <c r="J869">
        <f t="shared" si="195"/>
        <v>4</v>
      </c>
      <c r="K869" s="4">
        <f t="shared" si="184"/>
        <v>3.8199999999999998E-2</v>
      </c>
      <c r="L869">
        <f t="shared" si="185"/>
        <v>0.09</v>
      </c>
      <c r="M869" s="4">
        <f t="shared" si="196"/>
        <v>0.24127119999999999</v>
      </c>
      <c r="N869" s="4">
        <f t="shared" si="197"/>
        <v>0.56843999999999995</v>
      </c>
    </row>
    <row r="870" spans="1:14">
      <c r="A870" t="str">
        <f t="shared" si="186"/>
        <v>alp_Man-VWCO</v>
      </c>
      <c r="B870" t="str">
        <f t="shared" si="187"/>
        <v>Google Brasil</v>
      </c>
      <c r="C870" t="str">
        <f t="shared" si="188"/>
        <v>google-brasil|super-banner|728x90|vw_caminhoes|always_on|produto|criativo_74_delivery_8-160|728x90|cpm</v>
      </c>
      <c r="D870" t="str">
        <f t="shared" si="189"/>
        <v>138017757</v>
      </c>
      <c r="E870" t="str">
        <f t="shared" si="190"/>
        <v>Default</v>
      </c>
      <c r="F870" t="str">
        <f t="shared" si="191"/>
        <v>728x90 Default Web Ad</v>
      </c>
      <c r="G870" t="str">
        <f t="shared" si="192"/>
        <v>310386926</v>
      </c>
      <c r="H870" t="str">
        <f t="shared" si="193"/>
        <v>Display</v>
      </c>
      <c r="I870">
        <f t="shared" si="194"/>
        <v>3185</v>
      </c>
      <c r="J870">
        <f t="shared" si="195"/>
        <v>0</v>
      </c>
      <c r="K870" s="4">
        <f t="shared" si="184"/>
        <v>3.8199999999999998E-2</v>
      </c>
      <c r="L870">
        <f t="shared" si="185"/>
        <v>0.09</v>
      </c>
      <c r="M870" s="4">
        <f t="shared" si="196"/>
        <v>0.12166699999999998</v>
      </c>
      <c r="N870" s="4">
        <f t="shared" si="197"/>
        <v>0.28664999999999996</v>
      </c>
    </row>
    <row r="871" spans="1:14">
      <c r="A871" t="str">
        <f t="shared" si="186"/>
        <v>alp_Man-VWCO</v>
      </c>
      <c r="B871" t="str">
        <f t="shared" si="187"/>
        <v>Google Brasil</v>
      </c>
      <c r="C871" t="str">
        <f t="shared" si="188"/>
        <v>google-brasil|super-banner|728x90|vw_caminhoes|always_on|produto|criativo_75_delivery_8-160|728x90|cpm</v>
      </c>
      <c r="D871" t="str">
        <f t="shared" si="189"/>
        <v>138017752</v>
      </c>
      <c r="E871" t="str">
        <f t="shared" si="190"/>
        <v>Default</v>
      </c>
      <c r="F871" t="str">
        <f t="shared" si="191"/>
        <v>728x90 Default Web Ad</v>
      </c>
      <c r="G871" t="str">
        <f t="shared" si="192"/>
        <v>310386926</v>
      </c>
      <c r="H871" t="str">
        <f t="shared" si="193"/>
        <v>Display</v>
      </c>
      <c r="I871">
        <f t="shared" si="194"/>
        <v>6452</v>
      </c>
      <c r="J871">
        <f t="shared" si="195"/>
        <v>5</v>
      </c>
      <c r="K871" s="4">
        <f t="shared" si="184"/>
        <v>3.8199999999999998E-2</v>
      </c>
      <c r="L871">
        <f t="shared" si="185"/>
        <v>0.09</v>
      </c>
      <c r="M871" s="4">
        <f t="shared" si="196"/>
        <v>0.2464664</v>
      </c>
      <c r="N871" s="4">
        <f t="shared" si="197"/>
        <v>0.58067999999999997</v>
      </c>
    </row>
    <row r="872" spans="1:14">
      <c r="A872" t="str">
        <f t="shared" si="186"/>
        <v>alp_Man-VWCO</v>
      </c>
      <c r="B872" t="str">
        <f t="shared" si="187"/>
        <v>Google Brasil</v>
      </c>
      <c r="C872" t="str">
        <f t="shared" si="188"/>
        <v>google-brasil|super-banner|728x90|vw_caminhoes|always_on|produto|criativo_75_delivery_8-160|728x90|cpm</v>
      </c>
      <c r="D872" t="str">
        <f t="shared" si="189"/>
        <v>138017752</v>
      </c>
      <c r="E872" t="str">
        <f t="shared" si="190"/>
        <v>Default</v>
      </c>
      <c r="F872" t="str">
        <f t="shared" si="191"/>
        <v>728x90 Default Web Ad</v>
      </c>
      <c r="G872" t="str">
        <f t="shared" si="192"/>
        <v>310386926</v>
      </c>
      <c r="H872" t="str">
        <f t="shared" si="193"/>
        <v>Display</v>
      </c>
      <c r="I872">
        <f t="shared" si="194"/>
        <v>3154</v>
      </c>
      <c r="J872">
        <f t="shared" si="195"/>
        <v>2</v>
      </c>
      <c r="K872" s="4">
        <f t="shared" si="184"/>
        <v>3.8199999999999998E-2</v>
      </c>
      <c r="L872">
        <f t="shared" si="185"/>
        <v>0.09</v>
      </c>
      <c r="M872" s="4">
        <f t="shared" si="196"/>
        <v>0.1204828</v>
      </c>
      <c r="N872" s="4">
        <f t="shared" si="197"/>
        <v>0.28386</v>
      </c>
    </row>
    <row r="873" spans="1:14">
      <c r="A873" t="str">
        <f t="shared" si="186"/>
        <v>alp_Man-VWCO</v>
      </c>
      <c r="B873" t="str">
        <f t="shared" si="187"/>
        <v>Google Brasil</v>
      </c>
      <c r="C873" t="str">
        <f t="shared" si="188"/>
        <v>google-brasil|super-banner|728x90|vw_caminhoes|always_on|produto|criativo_76_delivery_8-160|728x90|cpm</v>
      </c>
      <c r="D873" t="str">
        <f t="shared" si="189"/>
        <v>138017747</v>
      </c>
      <c r="E873" t="str">
        <f t="shared" si="190"/>
        <v>Default</v>
      </c>
      <c r="F873" t="str">
        <f t="shared" si="191"/>
        <v>728x90 Default Web Ad</v>
      </c>
      <c r="G873" t="str">
        <f t="shared" si="192"/>
        <v>310386926</v>
      </c>
      <c r="H873" t="str">
        <f t="shared" si="193"/>
        <v>Display</v>
      </c>
      <c r="I873">
        <f t="shared" si="194"/>
        <v>6591</v>
      </c>
      <c r="J873">
        <f t="shared" si="195"/>
        <v>4</v>
      </c>
      <c r="K873" s="4">
        <f t="shared" si="184"/>
        <v>3.8199999999999998E-2</v>
      </c>
      <c r="L873">
        <f t="shared" si="185"/>
        <v>0.09</v>
      </c>
      <c r="M873" s="4">
        <f t="shared" si="196"/>
        <v>0.25177620000000001</v>
      </c>
      <c r="N873" s="4">
        <f t="shared" si="197"/>
        <v>0.59319</v>
      </c>
    </row>
    <row r="874" spans="1:14">
      <c r="A874" t="str">
        <f t="shared" si="186"/>
        <v>alp_Man-VWCO</v>
      </c>
      <c r="B874" t="str">
        <f t="shared" si="187"/>
        <v>Google Brasil</v>
      </c>
      <c r="C874" t="str">
        <f t="shared" si="188"/>
        <v>google-brasil|super-banner|728x90|vw_caminhoes|always_on|produto|criativo_76_delivery_8-160|728x90|cpm</v>
      </c>
      <c r="D874" t="str">
        <f t="shared" si="189"/>
        <v>138017747</v>
      </c>
      <c r="E874" t="str">
        <f t="shared" si="190"/>
        <v>Default</v>
      </c>
      <c r="F874" t="str">
        <f t="shared" si="191"/>
        <v>728x90 Default Web Ad</v>
      </c>
      <c r="G874" t="str">
        <f t="shared" si="192"/>
        <v>310386926</v>
      </c>
      <c r="H874" t="str">
        <f t="shared" si="193"/>
        <v>Display</v>
      </c>
      <c r="I874">
        <f t="shared" si="194"/>
        <v>3229</v>
      </c>
      <c r="J874">
        <f t="shared" si="195"/>
        <v>0</v>
      </c>
      <c r="K874" s="4">
        <f t="shared" si="184"/>
        <v>3.8199999999999998E-2</v>
      </c>
      <c r="L874">
        <f t="shared" si="185"/>
        <v>0.09</v>
      </c>
      <c r="M874" s="4">
        <f t="shared" si="196"/>
        <v>0.12334779999999999</v>
      </c>
      <c r="N874" s="4">
        <f t="shared" si="197"/>
        <v>0.29061000000000003</v>
      </c>
    </row>
    <row r="875" spans="1:14">
      <c r="A875" t="str">
        <f t="shared" si="186"/>
        <v>alp_Man-VWCO</v>
      </c>
      <c r="B875" t="str">
        <f t="shared" si="187"/>
        <v>Google Brasil</v>
      </c>
      <c r="C875" t="str">
        <f t="shared" si="188"/>
        <v>google-brasil|super-banner|728x90|vw_caminhoes|always_on|produto|criativo_77_delivery_8-160|728x90|cpm</v>
      </c>
      <c r="D875" t="str">
        <f t="shared" si="189"/>
        <v>138017742</v>
      </c>
      <c r="E875" t="str">
        <f t="shared" si="190"/>
        <v>Default</v>
      </c>
      <c r="F875" t="str">
        <f t="shared" si="191"/>
        <v>728x90 Default Web Ad</v>
      </c>
      <c r="G875" t="str">
        <f t="shared" si="192"/>
        <v>310386926</v>
      </c>
      <c r="H875" t="str">
        <f t="shared" si="193"/>
        <v>Display</v>
      </c>
      <c r="I875">
        <f t="shared" si="194"/>
        <v>6457</v>
      </c>
      <c r="J875">
        <f t="shared" si="195"/>
        <v>1</v>
      </c>
      <c r="K875" s="4">
        <f t="shared" si="184"/>
        <v>3.8199999999999998E-2</v>
      </c>
      <c r="L875">
        <f t="shared" si="185"/>
        <v>0.09</v>
      </c>
      <c r="M875" s="4">
        <f t="shared" si="196"/>
        <v>0.2466574</v>
      </c>
      <c r="N875" s="4">
        <f t="shared" si="197"/>
        <v>0.58113000000000004</v>
      </c>
    </row>
    <row r="876" spans="1:14">
      <c r="A876" t="str">
        <f t="shared" si="186"/>
        <v>alp_Man-VWCO</v>
      </c>
      <c r="B876" t="str">
        <f t="shared" si="187"/>
        <v>Google Brasil</v>
      </c>
      <c r="C876" t="str">
        <f t="shared" si="188"/>
        <v>google-brasil|super-banner|728x90|vw_caminhoes|always_on|produto|criativo_77_delivery_8-160|728x90|cpm</v>
      </c>
      <c r="D876" t="str">
        <f t="shared" si="189"/>
        <v>138017742</v>
      </c>
      <c r="E876" t="str">
        <f t="shared" si="190"/>
        <v>Default</v>
      </c>
      <c r="F876" t="str">
        <f t="shared" si="191"/>
        <v>728x90 Default Web Ad</v>
      </c>
      <c r="G876" t="str">
        <f t="shared" si="192"/>
        <v>310386926</v>
      </c>
      <c r="H876" t="str">
        <f t="shared" si="193"/>
        <v>Display</v>
      </c>
      <c r="I876">
        <f t="shared" si="194"/>
        <v>2878</v>
      </c>
      <c r="J876">
        <f t="shared" si="195"/>
        <v>0</v>
      </c>
      <c r="K876" s="4">
        <f t="shared" ref="K876:K939" si="198">IF(LEFT(B876,3)="DBM",0,VLOOKUP(E876,tabela,2,FALSE))</f>
        <v>3.8199999999999998E-2</v>
      </c>
      <c r="L876">
        <f t="shared" ref="L876:L939" si="199">VLOOKUP(E876,tabela,3,FALSE)</f>
        <v>0.09</v>
      </c>
      <c r="M876" s="4">
        <f t="shared" si="196"/>
        <v>0.1099396</v>
      </c>
      <c r="N876" s="4">
        <f t="shared" si="197"/>
        <v>0.25901999999999997</v>
      </c>
    </row>
    <row r="877" spans="1:14">
      <c r="A877" t="str">
        <f t="shared" si="186"/>
        <v>alp_Man-VWCO</v>
      </c>
      <c r="B877" t="str">
        <f t="shared" si="187"/>
        <v>Google Brasil</v>
      </c>
      <c r="C877" t="str">
        <f t="shared" si="188"/>
        <v>google-brasil|super-banner|728x90|vw_caminhoes|always_on|produto|criativo_78_delivery_8-160|728x90|cpm</v>
      </c>
      <c r="D877" t="str">
        <f t="shared" si="189"/>
        <v>138017737</v>
      </c>
      <c r="E877" t="str">
        <f t="shared" si="190"/>
        <v>Default</v>
      </c>
      <c r="F877" t="str">
        <f t="shared" si="191"/>
        <v>728x90 Default Web Ad</v>
      </c>
      <c r="G877" t="str">
        <f t="shared" si="192"/>
        <v>310386926</v>
      </c>
      <c r="H877" t="str">
        <f t="shared" si="193"/>
        <v>Display</v>
      </c>
      <c r="I877">
        <f t="shared" si="194"/>
        <v>6447</v>
      </c>
      <c r="J877">
        <f t="shared" si="195"/>
        <v>2</v>
      </c>
      <c r="K877" s="4">
        <f t="shared" si="198"/>
        <v>3.8199999999999998E-2</v>
      </c>
      <c r="L877">
        <f t="shared" si="199"/>
        <v>0.09</v>
      </c>
      <c r="M877" s="4">
        <f t="shared" si="196"/>
        <v>0.24627539999999998</v>
      </c>
      <c r="N877" s="4">
        <f t="shared" si="197"/>
        <v>0.58023000000000002</v>
      </c>
    </row>
    <row r="878" spans="1:14">
      <c r="A878" t="str">
        <f t="shared" si="186"/>
        <v>alp_Man-VWCO</v>
      </c>
      <c r="B878" t="str">
        <f t="shared" si="187"/>
        <v>Google Brasil</v>
      </c>
      <c r="C878" t="str">
        <f t="shared" si="188"/>
        <v>google-brasil|super-banner|728x90|vw_caminhoes|always_on|produto|criativo_78_delivery_8-160|728x90|cpm</v>
      </c>
      <c r="D878" t="str">
        <f t="shared" si="189"/>
        <v>138017737</v>
      </c>
      <c r="E878" t="str">
        <f t="shared" si="190"/>
        <v>Default</v>
      </c>
      <c r="F878" t="str">
        <f t="shared" si="191"/>
        <v>728x90 Default Web Ad</v>
      </c>
      <c r="G878" t="str">
        <f t="shared" si="192"/>
        <v>310386926</v>
      </c>
      <c r="H878" t="str">
        <f t="shared" si="193"/>
        <v>Display</v>
      </c>
      <c r="I878">
        <f t="shared" si="194"/>
        <v>3211</v>
      </c>
      <c r="J878">
        <f t="shared" si="195"/>
        <v>1</v>
      </c>
      <c r="K878" s="4">
        <f t="shared" si="198"/>
        <v>3.8199999999999998E-2</v>
      </c>
      <c r="L878">
        <f t="shared" si="199"/>
        <v>0.09</v>
      </c>
      <c r="M878" s="4">
        <f t="shared" si="196"/>
        <v>0.12266019999999998</v>
      </c>
      <c r="N878" s="4">
        <f t="shared" si="197"/>
        <v>0.28899000000000002</v>
      </c>
    </row>
    <row r="879" spans="1:14">
      <c r="A879" t="str">
        <f t="shared" si="186"/>
        <v>alp_Man-VWCO</v>
      </c>
      <c r="B879" t="str">
        <f t="shared" si="187"/>
        <v>Google Brasil</v>
      </c>
      <c r="C879" t="str">
        <f t="shared" si="188"/>
        <v>google-brasil|super-banner|728x90|vw_caminhoes|always_on|produto|criativo_84_delivery_9-160|728x90|cpm</v>
      </c>
      <c r="D879" t="str">
        <f t="shared" si="189"/>
        <v>138017707</v>
      </c>
      <c r="E879" t="str">
        <f t="shared" si="190"/>
        <v>Default</v>
      </c>
      <c r="F879" t="str">
        <f t="shared" si="191"/>
        <v>728x90 Default Web Ad</v>
      </c>
      <c r="G879" t="str">
        <f t="shared" si="192"/>
        <v>310386926</v>
      </c>
      <c r="H879" t="str">
        <f t="shared" si="193"/>
        <v>Display</v>
      </c>
      <c r="I879">
        <f t="shared" si="194"/>
        <v>4631</v>
      </c>
      <c r="J879">
        <f t="shared" si="195"/>
        <v>1</v>
      </c>
      <c r="K879" s="4">
        <f t="shared" si="198"/>
        <v>3.8199999999999998E-2</v>
      </c>
      <c r="L879">
        <f t="shared" si="199"/>
        <v>0.09</v>
      </c>
      <c r="M879" s="4">
        <f t="shared" si="196"/>
        <v>0.17690420000000001</v>
      </c>
      <c r="N879" s="4">
        <f t="shared" si="197"/>
        <v>0.41678999999999994</v>
      </c>
    </row>
    <row r="880" spans="1:14">
      <c r="A880" t="str">
        <f t="shared" si="186"/>
        <v>alp_Man-VWCO</v>
      </c>
      <c r="B880" t="str">
        <f t="shared" si="187"/>
        <v>Google Brasil</v>
      </c>
      <c r="C880" t="str">
        <f t="shared" si="188"/>
        <v>google-brasil|super-banner|728x90|vw_caminhoes|always_on|produto|criativo_84_delivery_9-160|728x90|cpm</v>
      </c>
      <c r="D880" t="str">
        <f t="shared" si="189"/>
        <v>138017707</v>
      </c>
      <c r="E880" t="str">
        <f t="shared" si="190"/>
        <v>Default</v>
      </c>
      <c r="F880" t="str">
        <f t="shared" si="191"/>
        <v>728x90 Default Web Ad</v>
      </c>
      <c r="G880" t="str">
        <f t="shared" si="192"/>
        <v>310386926</v>
      </c>
      <c r="H880" t="str">
        <f t="shared" si="193"/>
        <v>Display</v>
      </c>
      <c r="I880">
        <f t="shared" si="194"/>
        <v>2270</v>
      </c>
      <c r="J880">
        <f t="shared" si="195"/>
        <v>0</v>
      </c>
      <c r="K880" s="4">
        <f t="shared" si="198"/>
        <v>3.8199999999999998E-2</v>
      </c>
      <c r="L880">
        <f t="shared" si="199"/>
        <v>0.09</v>
      </c>
      <c r="M880" s="4">
        <f t="shared" si="196"/>
        <v>8.6713999999999999E-2</v>
      </c>
      <c r="N880" s="4">
        <f t="shared" si="197"/>
        <v>0.20429999999999998</v>
      </c>
    </row>
    <row r="881" spans="1:14">
      <c r="A881" t="str">
        <f t="shared" si="186"/>
        <v>alp_Man-VWCO</v>
      </c>
      <c r="B881" t="str">
        <f t="shared" si="187"/>
        <v>Google Brasil</v>
      </c>
      <c r="C881" t="str">
        <f t="shared" si="188"/>
        <v>google-brasil|super-banner|728x90|vw_caminhoes|always_on|produto|criativo_85_delivery_9-160|728x90|cpm</v>
      </c>
      <c r="D881" t="str">
        <f t="shared" si="189"/>
        <v>138017702</v>
      </c>
      <c r="E881" t="str">
        <f t="shared" si="190"/>
        <v>Default</v>
      </c>
      <c r="F881" t="str">
        <f t="shared" si="191"/>
        <v>728x90 Default Web Ad</v>
      </c>
      <c r="G881" t="str">
        <f t="shared" si="192"/>
        <v>310386926</v>
      </c>
      <c r="H881" t="str">
        <f t="shared" si="193"/>
        <v>Display</v>
      </c>
      <c r="I881">
        <f t="shared" si="194"/>
        <v>4585</v>
      </c>
      <c r="J881">
        <f t="shared" si="195"/>
        <v>3</v>
      </c>
      <c r="K881" s="4">
        <f t="shared" si="198"/>
        <v>3.8199999999999998E-2</v>
      </c>
      <c r="L881">
        <f t="shared" si="199"/>
        <v>0.09</v>
      </c>
      <c r="M881" s="4">
        <f t="shared" si="196"/>
        <v>0.175147</v>
      </c>
      <c r="N881" s="4">
        <f t="shared" si="197"/>
        <v>0.41264999999999996</v>
      </c>
    </row>
    <row r="882" spans="1:14">
      <c r="A882" t="str">
        <f t="shared" si="186"/>
        <v>alp_Man-VWCO</v>
      </c>
      <c r="B882" t="str">
        <f t="shared" si="187"/>
        <v>Google Brasil</v>
      </c>
      <c r="C882" t="str">
        <f t="shared" si="188"/>
        <v>google-brasil|super-banner|728x90|vw_caminhoes|always_on|produto|criativo_85_delivery_9-160|728x90|cpm</v>
      </c>
      <c r="D882" t="str">
        <f t="shared" si="189"/>
        <v>138017702</v>
      </c>
      <c r="E882" t="str">
        <f t="shared" si="190"/>
        <v>Default</v>
      </c>
      <c r="F882" t="str">
        <f t="shared" si="191"/>
        <v>728x90 Default Web Ad</v>
      </c>
      <c r="G882" t="str">
        <f t="shared" si="192"/>
        <v>310386926</v>
      </c>
      <c r="H882" t="str">
        <f t="shared" si="193"/>
        <v>Display</v>
      </c>
      <c r="I882">
        <f t="shared" si="194"/>
        <v>2222</v>
      </c>
      <c r="J882">
        <f t="shared" si="195"/>
        <v>0</v>
      </c>
      <c r="K882" s="4">
        <f t="shared" si="198"/>
        <v>3.8199999999999998E-2</v>
      </c>
      <c r="L882">
        <f t="shared" si="199"/>
        <v>0.09</v>
      </c>
      <c r="M882" s="4">
        <f t="shared" si="196"/>
        <v>8.4880399999999995E-2</v>
      </c>
      <c r="N882" s="4">
        <f t="shared" si="197"/>
        <v>0.19997999999999999</v>
      </c>
    </row>
    <row r="883" spans="1:14">
      <c r="A883" t="str">
        <f t="shared" si="186"/>
        <v>alp_Man-VWCO</v>
      </c>
      <c r="B883" t="str">
        <f t="shared" si="187"/>
        <v>Google Brasil</v>
      </c>
      <c r="C883" t="str">
        <f t="shared" si="188"/>
        <v>google-brasil|super-banner|728x90|vw_caminhoes|always_on|produto|criativo_86_delivery_9-160|728x90|cpm</v>
      </c>
      <c r="D883" t="str">
        <f t="shared" si="189"/>
        <v>138015897</v>
      </c>
      <c r="E883" t="str">
        <f t="shared" si="190"/>
        <v>Default</v>
      </c>
      <c r="F883" t="str">
        <f t="shared" si="191"/>
        <v>728x90 Default Web Ad</v>
      </c>
      <c r="G883" t="str">
        <f t="shared" si="192"/>
        <v>310386926</v>
      </c>
      <c r="H883" t="str">
        <f t="shared" si="193"/>
        <v>Display</v>
      </c>
      <c r="I883">
        <f t="shared" si="194"/>
        <v>4573</v>
      </c>
      <c r="J883">
        <f t="shared" si="195"/>
        <v>0</v>
      </c>
      <c r="K883" s="4">
        <f t="shared" si="198"/>
        <v>3.8199999999999998E-2</v>
      </c>
      <c r="L883">
        <f t="shared" si="199"/>
        <v>0.09</v>
      </c>
      <c r="M883" s="4">
        <f t="shared" si="196"/>
        <v>0.17468859999999997</v>
      </c>
      <c r="N883" s="4">
        <f t="shared" si="197"/>
        <v>0.41156999999999999</v>
      </c>
    </row>
    <row r="884" spans="1:14">
      <c r="A884" t="str">
        <f t="shared" si="186"/>
        <v>alp_Man-VWCO</v>
      </c>
      <c r="B884" t="str">
        <f t="shared" si="187"/>
        <v>Google Brasil</v>
      </c>
      <c r="C884" t="str">
        <f t="shared" si="188"/>
        <v>google-brasil|super-banner|728x90|vw_caminhoes|always_on|produto|criativo_86_delivery_9-160|728x90|cpm</v>
      </c>
      <c r="D884" t="str">
        <f t="shared" si="189"/>
        <v>138015897</v>
      </c>
      <c r="E884" t="str">
        <f t="shared" si="190"/>
        <v>Default</v>
      </c>
      <c r="F884" t="str">
        <f t="shared" si="191"/>
        <v>728x90 Default Web Ad</v>
      </c>
      <c r="G884" t="str">
        <f t="shared" si="192"/>
        <v>310386926</v>
      </c>
      <c r="H884" t="str">
        <f t="shared" si="193"/>
        <v>Display</v>
      </c>
      <c r="I884">
        <f t="shared" si="194"/>
        <v>2090</v>
      </c>
      <c r="J884">
        <f t="shared" si="195"/>
        <v>1</v>
      </c>
      <c r="K884" s="4">
        <f t="shared" si="198"/>
        <v>3.8199999999999998E-2</v>
      </c>
      <c r="L884">
        <f t="shared" si="199"/>
        <v>0.09</v>
      </c>
      <c r="M884" s="4">
        <f t="shared" si="196"/>
        <v>7.9837999999999992E-2</v>
      </c>
      <c r="N884" s="4">
        <f t="shared" si="197"/>
        <v>0.18809999999999999</v>
      </c>
    </row>
    <row r="885" spans="1:14">
      <c r="A885" t="str">
        <f t="shared" si="186"/>
        <v>alp_Man-VWCO</v>
      </c>
      <c r="B885" t="str">
        <f t="shared" si="187"/>
        <v>Google Brasil</v>
      </c>
      <c r="C885" t="str">
        <f t="shared" si="188"/>
        <v>google-brasil|super-banner|728x90|vw_caminhoes|always_on|produto|criativo_87_delivery_9-160|728x90|cpm</v>
      </c>
      <c r="D885" t="str">
        <f t="shared" si="189"/>
        <v>138015892</v>
      </c>
      <c r="E885" t="str">
        <f t="shared" si="190"/>
        <v>Default</v>
      </c>
      <c r="F885" t="str">
        <f t="shared" si="191"/>
        <v>728x90 Default Web Ad</v>
      </c>
      <c r="G885" t="str">
        <f t="shared" si="192"/>
        <v>310386926</v>
      </c>
      <c r="H885" t="str">
        <f t="shared" si="193"/>
        <v>Display</v>
      </c>
      <c r="I885">
        <f t="shared" si="194"/>
        <v>4521</v>
      </c>
      <c r="J885">
        <f t="shared" si="195"/>
        <v>1</v>
      </c>
      <c r="K885" s="4">
        <f t="shared" si="198"/>
        <v>3.8199999999999998E-2</v>
      </c>
      <c r="L885">
        <f t="shared" si="199"/>
        <v>0.09</v>
      </c>
      <c r="M885" s="4">
        <f t="shared" si="196"/>
        <v>0.17270219999999997</v>
      </c>
      <c r="N885" s="4">
        <f t="shared" si="197"/>
        <v>0.40688999999999997</v>
      </c>
    </row>
    <row r="886" spans="1:14">
      <c r="A886" t="str">
        <f t="shared" si="186"/>
        <v>alp_Man-VWCO</v>
      </c>
      <c r="B886" t="str">
        <f t="shared" si="187"/>
        <v>Google Brasil</v>
      </c>
      <c r="C886" t="str">
        <f t="shared" si="188"/>
        <v>google-brasil|super-banner|728x90|vw_caminhoes|always_on|produto|criativo_87_delivery_9-160|728x90|cpm</v>
      </c>
      <c r="D886" t="str">
        <f t="shared" si="189"/>
        <v>138015892</v>
      </c>
      <c r="E886" t="str">
        <f t="shared" si="190"/>
        <v>Default</v>
      </c>
      <c r="F886" t="str">
        <f t="shared" si="191"/>
        <v>728x90 Default Web Ad</v>
      </c>
      <c r="G886" t="str">
        <f t="shared" si="192"/>
        <v>310386926</v>
      </c>
      <c r="H886" t="str">
        <f t="shared" si="193"/>
        <v>Display</v>
      </c>
      <c r="I886">
        <f t="shared" si="194"/>
        <v>2189</v>
      </c>
      <c r="J886">
        <f t="shared" si="195"/>
        <v>1</v>
      </c>
      <c r="K886" s="4">
        <f t="shared" si="198"/>
        <v>3.8199999999999998E-2</v>
      </c>
      <c r="L886">
        <f t="shared" si="199"/>
        <v>0.09</v>
      </c>
      <c r="M886" s="4">
        <f t="shared" si="196"/>
        <v>8.3619799999999994E-2</v>
      </c>
      <c r="N886" s="4">
        <f t="shared" si="197"/>
        <v>0.19700999999999999</v>
      </c>
    </row>
    <row r="887" spans="1:14">
      <c r="A887" t="str">
        <f t="shared" si="186"/>
        <v>alp_Man-VWCO</v>
      </c>
      <c r="B887" t="str">
        <f t="shared" si="187"/>
        <v>Google Brasil</v>
      </c>
      <c r="C887" t="str">
        <f t="shared" si="188"/>
        <v>google-brasil|super-banner|728x90|vw_caminhoes|always_on|produto|criativo_88_delivery_9-160|728x90|cpm</v>
      </c>
      <c r="D887" t="str">
        <f t="shared" si="189"/>
        <v>138015887</v>
      </c>
      <c r="E887" t="str">
        <f t="shared" si="190"/>
        <v>Default</v>
      </c>
      <c r="F887" t="str">
        <f t="shared" si="191"/>
        <v>728x90 Default Web Ad</v>
      </c>
      <c r="G887" t="str">
        <f t="shared" si="192"/>
        <v>310386926</v>
      </c>
      <c r="H887" t="str">
        <f t="shared" si="193"/>
        <v>Display</v>
      </c>
      <c r="I887">
        <f t="shared" si="194"/>
        <v>4644</v>
      </c>
      <c r="J887">
        <f t="shared" si="195"/>
        <v>1</v>
      </c>
      <c r="K887" s="4">
        <f t="shared" si="198"/>
        <v>3.8199999999999998E-2</v>
      </c>
      <c r="L887">
        <f t="shared" si="199"/>
        <v>0.09</v>
      </c>
      <c r="M887" s="4">
        <f t="shared" si="196"/>
        <v>0.1774008</v>
      </c>
      <c r="N887" s="4">
        <f t="shared" si="197"/>
        <v>0.41796</v>
      </c>
    </row>
    <row r="888" spans="1:14">
      <c r="A888" t="str">
        <f t="shared" si="186"/>
        <v>alp_Man-VWCO</v>
      </c>
      <c r="B888" t="str">
        <f t="shared" si="187"/>
        <v>Google Brasil</v>
      </c>
      <c r="C888" t="str">
        <f t="shared" si="188"/>
        <v>google-brasil|super-banner|728x90|vw_caminhoes|always_on|produto|criativo_88_delivery_9-160|728x90|cpm</v>
      </c>
      <c r="D888" t="str">
        <f t="shared" si="189"/>
        <v>138015887</v>
      </c>
      <c r="E888" t="str">
        <f t="shared" si="190"/>
        <v>Default</v>
      </c>
      <c r="F888" t="str">
        <f t="shared" si="191"/>
        <v>728x90 Default Web Ad</v>
      </c>
      <c r="G888" t="str">
        <f t="shared" si="192"/>
        <v>310386926</v>
      </c>
      <c r="H888" t="str">
        <f t="shared" si="193"/>
        <v>Display</v>
      </c>
      <c r="I888">
        <f t="shared" si="194"/>
        <v>2273</v>
      </c>
      <c r="J888">
        <f t="shared" si="195"/>
        <v>2</v>
      </c>
      <c r="K888" s="4">
        <f t="shared" si="198"/>
        <v>3.8199999999999998E-2</v>
      </c>
      <c r="L888">
        <f t="shared" si="199"/>
        <v>0.09</v>
      </c>
      <c r="M888" s="4">
        <f t="shared" si="196"/>
        <v>8.6828599999999992E-2</v>
      </c>
      <c r="N888" s="4">
        <f t="shared" si="197"/>
        <v>0.20457</v>
      </c>
    </row>
    <row r="889" spans="1:14">
      <c r="A889" t="str">
        <f t="shared" si="186"/>
        <v>alp_Man-VWCO</v>
      </c>
      <c r="B889" t="str">
        <f t="shared" si="187"/>
        <v>Google Brasil</v>
      </c>
      <c r="C889" t="str">
        <f t="shared" si="188"/>
        <v>google-brasil|super-banner|728x90|vw_caminhoes|always_on|produto|criativo_90_delivery_10-160|728x90|cpm</v>
      </c>
      <c r="D889" t="str">
        <f t="shared" si="189"/>
        <v>138015877</v>
      </c>
      <c r="E889" t="str">
        <f t="shared" si="190"/>
        <v>Default</v>
      </c>
      <c r="F889" t="str">
        <f t="shared" si="191"/>
        <v>728x90 Default Web Ad</v>
      </c>
      <c r="G889" t="str">
        <f t="shared" si="192"/>
        <v>310386926</v>
      </c>
      <c r="H889" t="str">
        <f t="shared" si="193"/>
        <v>Display</v>
      </c>
      <c r="I889">
        <f t="shared" si="194"/>
        <v>5777</v>
      </c>
      <c r="J889">
        <f t="shared" si="195"/>
        <v>3</v>
      </c>
      <c r="K889" s="4">
        <f t="shared" si="198"/>
        <v>3.8199999999999998E-2</v>
      </c>
      <c r="L889">
        <f t="shared" si="199"/>
        <v>0.09</v>
      </c>
      <c r="M889" s="4">
        <f t="shared" si="196"/>
        <v>0.2206814</v>
      </c>
      <c r="N889" s="4">
        <f t="shared" si="197"/>
        <v>0.51993</v>
      </c>
    </row>
    <row r="890" spans="1:14">
      <c r="A890" t="str">
        <f t="shared" si="186"/>
        <v>alp_Man-VWCO</v>
      </c>
      <c r="B890" t="str">
        <f t="shared" si="187"/>
        <v>Google Brasil</v>
      </c>
      <c r="C890" t="str">
        <f t="shared" si="188"/>
        <v>google-brasil|super-banner|728x90|vw_caminhoes|always_on|produto|criativo_90_delivery_10-160|728x90|cpm</v>
      </c>
      <c r="D890" t="str">
        <f t="shared" si="189"/>
        <v>138015877</v>
      </c>
      <c r="E890" t="str">
        <f t="shared" si="190"/>
        <v>Default</v>
      </c>
      <c r="F890" t="str">
        <f t="shared" si="191"/>
        <v>728x90 Default Web Ad</v>
      </c>
      <c r="G890" t="str">
        <f t="shared" si="192"/>
        <v>310386926</v>
      </c>
      <c r="H890" t="str">
        <f t="shared" si="193"/>
        <v>Display</v>
      </c>
      <c r="I890">
        <f t="shared" si="194"/>
        <v>2422</v>
      </c>
      <c r="J890">
        <f t="shared" si="195"/>
        <v>1</v>
      </c>
      <c r="K890" s="4">
        <f t="shared" si="198"/>
        <v>3.8199999999999998E-2</v>
      </c>
      <c r="L890">
        <f t="shared" si="199"/>
        <v>0.09</v>
      </c>
      <c r="M890" s="4">
        <f t="shared" si="196"/>
        <v>9.2520399999999989E-2</v>
      </c>
      <c r="N890" s="4">
        <f t="shared" si="197"/>
        <v>0.21797999999999998</v>
      </c>
    </row>
    <row r="891" spans="1:14">
      <c r="A891" t="str">
        <f t="shared" si="186"/>
        <v>alp_Man-VWCO</v>
      </c>
      <c r="B891" t="str">
        <f t="shared" si="187"/>
        <v>Google Brasil</v>
      </c>
      <c r="C891" t="str">
        <f t="shared" si="188"/>
        <v>google-brasil|super-banner|728x90|vw_caminhoes|always_on|produto|criativo_91_delivery_10-160|728x90|cpm</v>
      </c>
      <c r="D891" t="str">
        <f t="shared" si="189"/>
        <v>138015872</v>
      </c>
      <c r="E891" t="str">
        <f t="shared" si="190"/>
        <v>Default</v>
      </c>
      <c r="F891" t="str">
        <f t="shared" si="191"/>
        <v>728x90 Default Web Ad</v>
      </c>
      <c r="G891" t="str">
        <f t="shared" si="192"/>
        <v>310386926</v>
      </c>
      <c r="H891" t="str">
        <f t="shared" si="193"/>
        <v>Display</v>
      </c>
      <c r="I891">
        <f t="shared" si="194"/>
        <v>5821</v>
      </c>
      <c r="J891">
        <f t="shared" si="195"/>
        <v>3</v>
      </c>
      <c r="K891" s="4">
        <f t="shared" si="198"/>
        <v>3.8199999999999998E-2</v>
      </c>
      <c r="L891">
        <f t="shared" si="199"/>
        <v>0.09</v>
      </c>
      <c r="M891" s="4">
        <f t="shared" si="196"/>
        <v>0.22236220000000001</v>
      </c>
      <c r="N891" s="4">
        <f t="shared" si="197"/>
        <v>0.52388999999999997</v>
      </c>
    </row>
    <row r="892" spans="1:14">
      <c r="A892" t="str">
        <f t="shared" si="186"/>
        <v>alp_Man-VWCO</v>
      </c>
      <c r="B892" t="str">
        <f t="shared" si="187"/>
        <v>Google Brasil</v>
      </c>
      <c r="C892" t="str">
        <f t="shared" si="188"/>
        <v>google-brasil|super-banner|728x90|vw_caminhoes|always_on|produto|criativo_91_delivery_10-160|728x90|cpm</v>
      </c>
      <c r="D892" t="str">
        <f t="shared" si="189"/>
        <v>138015872</v>
      </c>
      <c r="E892" t="str">
        <f t="shared" si="190"/>
        <v>Default</v>
      </c>
      <c r="F892" t="str">
        <f t="shared" si="191"/>
        <v>728x90 Default Web Ad</v>
      </c>
      <c r="G892" t="str">
        <f t="shared" si="192"/>
        <v>310386926</v>
      </c>
      <c r="H892" t="str">
        <f t="shared" si="193"/>
        <v>Display</v>
      </c>
      <c r="I892">
        <f t="shared" si="194"/>
        <v>2578</v>
      </c>
      <c r="J892">
        <f t="shared" si="195"/>
        <v>1</v>
      </c>
      <c r="K892" s="4">
        <f t="shared" si="198"/>
        <v>3.8199999999999998E-2</v>
      </c>
      <c r="L892">
        <f t="shared" si="199"/>
        <v>0.09</v>
      </c>
      <c r="M892" s="4">
        <f t="shared" si="196"/>
        <v>9.8479599999999987E-2</v>
      </c>
      <c r="N892" s="4">
        <f t="shared" si="197"/>
        <v>0.23201999999999998</v>
      </c>
    </row>
    <row r="893" spans="1:14">
      <c r="A893" t="str">
        <f t="shared" si="186"/>
        <v>alp_Man-VWCO</v>
      </c>
      <c r="B893" t="str">
        <f t="shared" si="187"/>
        <v>Google Brasil</v>
      </c>
      <c r="C893" t="str">
        <f t="shared" si="188"/>
        <v>google-brasil|super-banner|728x90|vw_caminhoes|always_on|produto|criativo_92_delivery_10-160|728x90|cpm</v>
      </c>
      <c r="D893" t="str">
        <f t="shared" si="189"/>
        <v>138015867</v>
      </c>
      <c r="E893" t="str">
        <f t="shared" si="190"/>
        <v>Default</v>
      </c>
      <c r="F893" t="str">
        <f t="shared" si="191"/>
        <v>728x90 Default Web Ad</v>
      </c>
      <c r="G893" t="str">
        <f t="shared" si="192"/>
        <v>310386926</v>
      </c>
      <c r="H893" t="str">
        <f t="shared" si="193"/>
        <v>Display</v>
      </c>
      <c r="I893">
        <f t="shared" si="194"/>
        <v>5507</v>
      </c>
      <c r="J893">
        <f t="shared" si="195"/>
        <v>2</v>
      </c>
      <c r="K893" s="4">
        <f t="shared" si="198"/>
        <v>3.8199999999999998E-2</v>
      </c>
      <c r="L893">
        <f t="shared" si="199"/>
        <v>0.09</v>
      </c>
      <c r="M893" s="4">
        <f t="shared" si="196"/>
        <v>0.21036739999999998</v>
      </c>
      <c r="N893" s="4">
        <f t="shared" si="197"/>
        <v>0.49563000000000001</v>
      </c>
    </row>
    <row r="894" spans="1:14">
      <c r="A894" t="str">
        <f t="shared" si="186"/>
        <v>alp_Man-VWCO</v>
      </c>
      <c r="B894" t="str">
        <f t="shared" si="187"/>
        <v>Google Brasil</v>
      </c>
      <c r="C894" t="str">
        <f t="shared" si="188"/>
        <v>google-brasil|super-banner|728x90|vw_caminhoes|always_on|produto|criativo_92_delivery_10-160|728x90|cpm</v>
      </c>
      <c r="D894" t="str">
        <f t="shared" si="189"/>
        <v>138015867</v>
      </c>
      <c r="E894" t="str">
        <f t="shared" si="190"/>
        <v>Default</v>
      </c>
      <c r="F894" t="str">
        <f t="shared" si="191"/>
        <v>728x90 Default Web Ad</v>
      </c>
      <c r="G894" t="str">
        <f t="shared" si="192"/>
        <v>310386926</v>
      </c>
      <c r="H894" t="str">
        <f t="shared" si="193"/>
        <v>Display</v>
      </c>
      <c r="I894">
        <f t="shared" si="194"/>
        <v>2378</v>
      </c>
      <c r="J894">
        <f t="shared" si="195"/>
        <v>0</v>
      </c>
      <c r="K894" s="4">
        <f t="shared" si="198"/>
        <v>3.8199999999999998E-2</v>
      </c>
      <c r="L894">
        <f t="shared" si="199"/>
        <v>0.09</v>
      </c>
      <c r="M894" s="4">
        <f t="shared" si="196"/>
        <v>9.0839599999999993E-2</v>
      </c>
      <c r="N894" s="4">
        <f t="shared" si="197"/>
        <v>0.21401999999999999</v>
      </c>
    </row>
    <row r="895" spans="1:14">
      <c r="A895" t="str">
        <f t="shared" si="186"/>
        <v>alp_Man-VWCO</v>
      </c>
      <c r="B895" t="str">
        <f t="shared" si="187"/>
        <v>Google Brasil</v>
      </c>
      <c r="C895" t="str">
        <f t="shared" si="188"/>
        <v>google-brasil|super-banner|728x90|vw_caminhoes|always_on|produto|criativo_93_delivery_10-160|728x90|cpm</v>
      </c>
      <c r="D895" t="str">
        <f t="shared" si="189"/>
        <v>138015862</v>
      </c>
      <c r="E895" t="str">
        <f t="shared" si="190"/>
        <v>Default</v>
      </c>
      <c r="F895" t="str">
        <f t="shared" si="191"/>
        <v>728x90 Default Web Ad</v>
      </c>
      <c r="G895" t="str">
        <f t="shared" si="192"/>
        <v>310386926</v>
      </c>
      <c r="H895" t="str">
        <f t="shared" si="193"/>
        <v>Display</v>
      </c>
      <c r="I895">
        <f t="shared" si="194"/>
        <v>5893</v>
      </c>
      <c r="J895">
        <f t="shared" si="195"/>
        <v>2</v>
      </c>
      <c r="K895" s="4">
        <f t="shared" si="198"/>
        <v>3.8199999999999998E-2</v>
      </c>
      <c r="L895">
        <f t="shared" si="199"/>
        <v>0.09</v>
      </c>
      <c r="M895" s="4">
        <f t="shared" si="196"/>
        <v>0.2251126</v>
      </c>
      <c r="N895" s="4">
        <f t="shared" si="197"/>
        <v>0.53037000000000001</v>
      </c>
    </row>
    <row r="896" spans="1:14">
      <c r="A896" t="str">
        <f t="shared" si="186"/>
        <v>alp_Man-VWCO</v>
      </c>
      <c r="B896" t="str">
        <f t="shared" si="187"/>
        <v>Google Brasil</v>
      </c>
      <c r="C896" t="str">
        <f t="shared" si="188"/>
        <v>google-brasil|super-banner|728x90|vw_caminhoes|always_on|produto|criativo_93_delivery_10-160|728x90|cpm</v>
      </c>
      <c r="D896" t="str">
        <f t="shared" si="189"/>
        <v>138015862</v>
      </c>
      <c r="E896" t="str">
        <f t="shared" si="190"/>
        <v>Default</v>
      </c>
      <c r="F896" t="str">
        <f t="shared" si="191"/>
        <v>728x90 Default Web Ad</v>
      </c>
      <c r="G896" t="str">
        <f t="shared" si="192"/>
        <v>310386926</v>
      </c>
      <c r="H896" t="str">
        <f t="shared" si="193"/>
        <v>Display</v>
      </c>
      <c r="I896">
        <f t="shared" si="194"/>
        <v>2394</v>
      </c>
      <c r="J896">
        <f t="shared" si="195"/>
        <v>0</v>
      </c>
      <c r="K896" s="4">
        <f t="shared" si="198"/>
        <v>3.8199999999999998E-2</v>
      </c>
      <c r="L896">
        <f t="shared" si="199"/>
        <v>0.09</v>
      </c>
      <c r="M896" s="4">
        <f t="shared" si="196"/>
        <v>9.1450799999999999E-2</v>
      </c>
      <c r="N896" s="4">
        <f t="shared" si="197"/>
        <v>0.21545999999999998</v>
      </c>
    </row>
    <row r="897" spans="1:14">
      <c r="A897" t="str">
        <f t="shared" si="186"/>
        <v>alp_Man-VWCO</v>
      </c>
      <c r="B897" t="str">
        <f t="shared" si="187"/>
        <v>Google Brasil</v>
      </c>
      <c r="C897" t="str">
        <f t="shared" si="188"/>
        <v>google-brasil|super-banner|728x90|vw_caminhoes|always_on|vitrine|criativo_01_delivery_10-160|728x90|cpm</v>
      </c>
      <c r="D897" t="str">
        <f t="shared" si="189"/>
        <v>138019017</v>
      </c>
      <c r="E897" t="str">
        <f t="shared" si="190"/>
        <v>Default</v>
      </c>
      <c r="F897" t="str">
        <f t="shared" si="191"/>
        <v>728x90 Default Web Ad</v>
      </c>
      <c r="G897" t="str">
        <f t="shared" si="192"/>
        <v>310386926</v>
      </c>
      <c r="H897" t="str">
        <f t="shared" si="193"/>
        <v>Display</v>
      </c>
      <c r="I897">
        <f t="shared" si="194"/>
        <v>745</v>
      </c>
      <c r="J897">
        <f t="shared" si="195"/>
        <v>1</v>
      </c>
      <c r="K897" s="4">
        <f t="shared" si="198"/>
        <v>3.8199999999999998E-2</v>
      </c>
      <c r="L897">
        <f t="shared" si="199"/>
        <v>0.09</v>
      </c>
      <c r="M897" s="4">
        <f t="shared" si="196"/>
        <v>2.8458999999999998E-2</v>
      </c>
      <c r="N897" s="4">
        <f t="shared" si="197"/>
        <v>6.7049999999999998E-2</v>
      </c>
    </row>
    <row r="898" spans="1:14">
      <c r="A898" t="str">
        <f t="shared" ref="A898:A961" si="200">bd_campaign</f>
        <v>alp_Man-VWCO</v>
      </c>
      <c r="B898" t="str">
        <f t="shared" ref="B898:B961" si="201">bd_site</f>
        <v>Google Brasil</v>
      </c>
      <c r="C898" t="str">
        <f t="shared" ref="C898:C961" si="202">bd_placement</f>
        <v>google-brasil|super-banner|728x90|vw_caminhoes|always_on|vitrine|criativo_01_delivery_10-160|728x90|cpm</v>
      </c>
      <c r="D898" t="str">
        <f t="shared" ref="D898:D961" si="203">bd_placementID</f>
        <v>138019017</v>
      </c>
      <c r="E898" t="str">
        <f t="shared" ref="E898:E961" si="204">VLOOKUP(CONCATENATE(bd_adtype,"_",bd_creativetype),tabela,2,FALSE)</f>
        <v>Default</v>
      </c>
      <c r="F898" t="str">
        <f t="shared" ref="F898:F961" si="205">bd_ad</f>
        <v>728x90 Default Web Ad</v>
      </c>
      <c r="G898" t="str">
        <f t="shared" ref="G898:G961" si="206">bd_adid</f>
        <v>310386926</v>
      </c>
      <c r="H898" t="str">
        <f t="shared" ref="H898:H961" si="207">bd_creativetype</f>
        <v>Display</v>
      </c>
      <c r="I898">
        <f t="shared" ref="I898:I961" si="208">bd_impression</f>
        <v>1370</v>
      </c>
      <c r="J898">
        <f t="shared" ref="J898:J961" si="209">bd_clicks</f>
        <v>4</v>
      </c>
      <c r="K898" s="4">
        <f t="shared" si="198"/>
        <v>3.8199999999999998E-2</v>
      </c>
      <c r="L898">
        <f t="shared" si="199"/>
        <v>0.09</v>
      </c>
      <c r="M898" s="4">
        <f t="shared" si="196"/>
        <v>5.2333999999999999E-2</v>
      </c>
      <c r="N898" s="4">
        <f t="shared" si="197"/>
        <v>0.12329999999999999</v>
      </c>
    </row>
    <row r="899" spans="1:14">
      <c r="A899" t="str">
        <f t="shared" si="200"/>
        <v>alp_Man-VWCO</v>
      </c>
      <c r="B899" t="str">
        <f t="shared" si="201"/>
        <v>Google Brasil</v>
      </c>
      <c r="C899" t="str">
        <f t="shared" si="202"/>
        <v>google-brasil|super-banner|728x90|vw_caminhoes|always_on|vitrine|criativo_02_delivery_10-160|728x90|cpm</v>
      </c>
      <c r="D899" t="str">
        <f t="shared" si="203"/>
        <v>138019012</v>
      </c>
      <c r="E899" t="str">
        <f t="shared" si="204"/>
        <v>Default</v>
      </c>
      <c r="F899" t="str">
        <f t="shared" si="205"/>
        <v>728x90 Default Web Ad</v>
      </c>
      <c r="G899" t="str">
        <f t="shared" si="206"/>
        <v>310386926</v>
      </c>
      <c r="H899" t="str">
        <f t="shared" si="207"/>
        <v>Display</v>
      </c>
      <c r="I899">
        <f t="shared" si="208"/>
        <v>743</v>
      </c>
      <c r="J899">
        <f t="shared" si="209"/>
        <v>1</v>
      </c>
      <c r="K899" s="4">
        <f t="shared" si="198"/>
        <v>3.8199999999999998E-2</v>
      </c>
      <c r="L899">
        <f t="shared" si="199"/>
        <v>0.09</v>
      </c>
      <c r="M899" s="4">
        <f t="shared" si="196"/>
        <v>2.8382600000000001E-2</v>
      </c>
      <c r="N899" s="4">
        <f t="shared" si="197"/>
        <v>6.6869999999999999E-2</v>
      </c>
    </row>
    <row r="900" spans="1:14">
      <c r="A900" t="str">
        <f t="shared" si="200"/>
        <v>alp_Man-VWCO</v>
      </c>
      <c r="B900" t="str">
        <f t="shared" si="201"/>
        <v>Google Brasil</v>
      </c>
      <c r="C900" t="str">
        <f t="shared" si="202"/>
        <v>google-brasil|super-banner|728x90|vw_caminhoes|always_on|vitrine|criativo_02_delivery_10-160|728x90|cpm</v>
      </c>
      <c r="D900" t="str">
        <f t="shared" si="203"/>
        <v>138019012</v>
      </c>
      <c r="E900" t="str">
        <f t="shared" si="204"/>
        <v>Default</v>
      </c>
      <c r="F900" t="str">
        <f t="shared" si="205"/>
        <v>728x90 Default Web Ad</v>
      </c>
      <c r="G900" t="str">
        <f t="shared" si="206"/>
        <v>310386926</v>
      </c>
      <c r="H900" t="str">
        <f t="shared" si="207"/>
        <v>Display</v>
      </c>
      <c r="I900">
        <f t="shared" si="208"/>
        <v>1843</v>
      </c>
      <c r="J900">
        <f t="shared" si="209"/>
        <v>5</v>
      </c>
      <c r="K900" s="4">
        <f t="shared" si="198"/>
        <v>3.8199999999999998E-2</v>
      </c>
      <c r="L900">
        <f t="shared" si="199"/>
        <v>0.09</v>
      </c>
      <c r="M900" s="4">
        <f t="shared" si="196"/>
        <v>7.0402599999999996E-2</v>
      </c>
      <c r="N900" s="4">
        <f t="shared" si="197"/>
        <v>0.16587000000000002</v>
      </c>
    </row>
    <row r="901" spans="1:14">
      <c r="A901" t="str">
        <f t="shared" si="200"/>
        <v>alp_Man-VWCO</v>
      </c>
      <c r="B901" t="str">
        <f t="shared" si="201"/>
        <v>Google Brasil</v>
      </c>
      <c r="C901" t="str">
        <f t="shared" si="202"/>
        <v>google-brasil|super-banner|728x90|vw_caminhoes|always_on|vitrine|criativo_03_delivery_10-160|728x90|cpm</v>
      </c>
      <c r="D901" t="str">
        <f t="shared" si="203"/>
        <v>138019007</v>
      </c>
      <c r="E901" t="str">
        <f t="shared" si="204"/>
        <v>Default</v>
      </c>
      <c r="F901" t="str">
        <f t="shared" si="205"/>
        <v>728x90 Default Web Ad</v>
      </c>
      <c r="G901" t="str">
        <f t="shared" si="206"/>
        <v>310386926</v>
      </c>
      <c r="H901" t="str">
        <f t="shared" si="207"/>
        <v>Display</v>
      </c>
      <c r="I901">
        <f t="shared" si="208"/>
        <v>947</v>
      </c>
      <c r="J901">
        <f t="shared" si="209"/>
        <v>0</v>
      </c>
      <c r="K901" s="4">
        <f t="shared" si="198"/>
        <v>3.8199999999999998E-2</v>
      </c>
      <c r="L901">
        <f t="shared" si="199"/>
        <v>0.09</v>
      </c>
      <c r="M901" s="4">
        <f t="shared" si="196"/>
        <v>3.6175399999999996E-2</v>
      </c>
      <c r="N901" s="4">
        <f t="shared" si="197"/>
        <v>8.5229999999999986E-2</v>
      </c>
    </row>
    <row r="902" spans="1:14">
      <c r="A902" t="str">
        <f t="shared" si="200"/>
        <v>alp_Man-VWCO</v>
      </c>
      <c r="B902" t="str">
        <f t="shared" si="201"/>
        <v>Google Brasil</v>
      </c>
      <c r="C902" t="str">
        <f t="shared" si="202"/>
        <v>google-brasil|super-banner|728x90|vw_caminhoes|always_on|vitrine|criativo_03_delivery_10-160|728x90|cpm</v>
      </c>
      <c r="D902" t="str">
        <f t="shared" si="203"/>
        <v>138019007</v>
      </c>
      <c r="E902" t="str">
        <f t="shared" si="204"/>
        <v>Default</v>
      </c>
      <c r="F902" t="str">
        <f t="shared" si="205"/>
        <v>728x90 Default Web Ad</v>
      </c>
      <c r="G902" t="str">
        <f t="shared" si="206"/>
        <v>310386926</v>
      </c>
      <c r="H902" t="str">
        <f t="shared" si="207"/>
        <v>Display</v>
      </c>
      <c r="I902">
        <f t="shared" si="208"/>
        <v>1392</v>
      </c>
      <c r="J902">
        <f t="shared" si="209"/>
        <v>4</v>
      </c>
      <c r="K902" s="4">
        <f t="shared" si="198"/>
        <v>3.8199999999999998E-2</v>
      </c>
      <c r="L902">
        <f t="shared" si="199"/>
        <v>0.09</v>
      </c>
      <c r="M902" s="4">
        <f t="shared" si="196"/>
        <v>5.3174399999999997E-2</v>
      </c>
      <c r="N902" s="4">
        <f t="shared" si="197"/>
        <v>0.12528</v>
      </c>
    </row>
    <row r="903" spans="1:14">
      <c r="A903" t="str">
        <f t="shared" si="200"/>
        <v>alp_Man-VWCO</v>
      </c>
      <c r="B903" t="str">
        <f t="shared" si="201"/>
        <v>Google Brasil</v>
      </c>
      <c r="C903" t="str">
        <f t="shared" si="202"/>
        <v>google-brasil|super-banner|728x90|vw_caminhoes|always_on|vitrine|criativo_04_delivery_10-160|728x90|cpm</v>
      </c>
      <c r="D903" t="str">
        <f t="shared" si="203"/>
        <v>138019002</v>
      </c>
      <c r="E903" t="str">
        <f t="shared" si="204"/>
        <v>Default</v>
      </c>
      <c r="F903" t="str">
        <f t="shared" si="205"/>
        <v>728x90 Default Web Ad</v>
      </c>
      <c r="G903" t="str">
        <f t="shared" si="206"/>
        <v>310386926</v>
      </c>
      <c r="H903" t="str">
        <f t="shared" si="207"/>
        <v>Display</v>
      </c>
      <c r="I903">
        <f t="shared" si="208"/>
        <v>724</v>
      </c>
      <c r="J903">
        <f t="shared" si="209"/>
        <v>0</v>
      </c>
      <c r="K903" s="4">
        <f t="shared" si="198"/>
        <v>3.8199999999999998E-2</v>
      </c>
      <c r="L903">
        <f t="shared" si="199"/>
        <v>0.09</v>
      </c>
      <c r="M903" s="4">
        <f t="shared" si="196"/>
        <v>2.7656799999999995E-2</v>
      </c>
      <c r="N903" s="4">
        <f t="shared" si="197"/>
        <v>6.5159999999999996E-2</v>
      </c>
    </row>
    <row r="904" spans="1:14">
      <c r="A904" t="str">
        <f t="shared" si="200"/>
        <v>alp_Man-VWCO</v>
      </c>
      <c r="B904" t="str">
        <f t="shared" si="201"/>
        <v>Google Brasil</v>
      </c>
      <c r="C904" t="str">
        <f t="shared" si="202"/>
        <v>google-brasil|super-banner|728x90|vw_caminhoes|always_on|vitrine|criativo_04_delivery_10-160|728x90|cpm</v>
      </c>
      <c r="D904" t="str">
        <f t="shared" si="203"/>
        <v>138019002</v>
      </c>
      <c r="E904" t="str">
        <f t="shared" si="204"/>
        <v>Default</v>
      </c>
      <c r="F904" t="str">
        <f t="shared" si="205"/>
        <v>728x90 Default Web Ad</v>
      </c>
      <c r="G904" t="str">
        <f t="shared" si="206"/>
        <v>310386926</v>
      </c>
      <c r="H904" t="str">
        <f t="shared" si="207"/>
        <v>Display</v>
      </c>
      <c r="I904">
        <f t="shared" si="208"/>
        <v>1368</v>
      </c>
      <c r="J904">
        <f t="shared" si="209"/>
        <v>6</v>
      </c>
      <c r="K904" s="4">
        <f t="shared" si="198"/>
        <v>3.8199999999999998E-2</v>
      </c>
      <c r="L904">
        <f t="shared" si="199"/>
        <v>0.09</v>
      </c>
      <c r="M904" s="4">
        <f t="shared" si="196"/>
        <v>5.2257599999999994E-2</v>
      </c>
      <c r="N904" s="4">
        <f t="shared" si="197"/>
        <v>0.12311999999999999</v>
      </c>
    </row>
    <row r="905" spans="1:14">
      <c r="A905" t="str">
        <f t="shared" si="200"/>
        <v>alp_Man-VWCO</v>
      </c>
      <c r="B905" t="str">
        <f t="shared" si="201"/>
        <v>Google Brasil</v>
      </c>
      <c r="C905" t="str">
        <f t="shared" si="202"/>
        <v>google-brasil|super-banner|728x90|vw_caminhoes|always_on|vitrine|criativo_05_delivery_10-160|728x90|cpm</v>
      </c>
      <c r="D905" t="str">
        <f t="shared" si="203"/>
        <v>138018997</v>
      </c>
      <c r="E905" t="str">
        <f t="shared" si="204"/>
        <v>Default</v>
      </c>
      <c r="F905" t="str">
        <f t="shared" si="205"/>
        <v>728x90 Default Web Ad</v>
      </c>
      <c r="G905" t="str">
        <f t="shared" si="206"/>
        <v>310386926</v>
      </c>
      <c r="H905" t="str">
        <f t="shared" si="207"/>
        <v>Display</v>
      </c>
      <c r="I905">
        <f t="shared" si="208"/>
        <v>725</v>
      </c>
      <c r="J905">
        <f t="shared" si="209"/>
        <v>0</v>
      </c>
      <c r="K905" s="4">
        <f t="shared" si="198"/>
        <v>3.8199999999999998E-2</v>
      </c>
      <c r="L905">
        <f t="shared" si="199"/>
        <v>0.09</v>
      </c>
      <c r="M905" s="4">
        <f t="shared" si="196"/>
        <v>2.7694999999999997E-2</v>
      </c>
      <c r="N905" s="4">
        <f t="shared" si="197"/>
        <v>6.5250000000000002E-2</v>
      </c>
    </row>
    <row r="906" spans="1:14">
      <c r="A906" t="str">
        <f t="shared" si="200"/>
        <v>alp_Man-VWCO</v>
      </c>
      <c r="B906" t="str">
        <f t="shared" si="201"/>
        <v>Google Brasil</v>
      </c>
      <c r="C906" t="str">
        <f t="shared" si="202"/>
        <v>google-brasil|super-banner|728x90|vw_caminhoes|always_on|vitrine|criativo_05_delivery_10-160|728x90|cpm</v>
      </c>
      <c r="D906" t="str">
        <f t="shared" si="203"/>
        <v>138018997</v>
      </c>
      <c r="E906" t="str">
        <f t="shared" si="204"/>
        <v>Default</v>
      </c>
      <c r="F906" t="str">
        <f t="shared" si="205"/>
        <v>728x90 Default Web Ad</v>
      </c>
      <c r="G906" t="str">
        <f t="shared" si="206"/>
        <v>310386926</v>
      </c>
      <c r="H906" t="str">
        <f t="shared" si="207"/>
        <v>Display</v>
      </c>
      <c r="I906">
        <f t="shared" si="208"/>
        <v>1294</v>
      </c>
      <c r="J906">
        <f t="shared" si="209"/>
        <v>2</v>
      </c>
      <c r="K906" s="4">
        <f t="shared" si="198"/>
        <v>3.8199999999999998E-2</v>
      </c>
      <c r="L906">
        <f t="shared" si="199"/>
        <v>0.09</v>
      </c>
      <c r="M906" s="4">
        <f t="shared" si="196"/>
        <v>4.9430799999999997E-2</v>
      </c>
      <c r="N906" s="4">
        <f t="shared" si="197"/>
        <v>0.11645999999999999</v>
      </c>
    </row>
    <row r="907" spans="1:14">
      <c r="A907" t="str">
        <f t="shared" si="200"/>
        <v>alp_Man-VWCO</v>
      </c>
      <c r="B907" t="str">
        <f t="shared" si="201"/>
        <v>Google Brasil</v>
      </c>
      <c r="C907" t="str">
        <f t="shared" si="202"/>
        <v>google-brasil|super-banner|728x90|vw_caminhoes|always_on|vitrine|criativo_06_delivery_8-160|728x90|cpm</v>
      </c>
      <c r="D907" t="str">
        <f t="shared" si="203"/>
        <v>138018992</v>
      </c>
      <c r="E907" t="str">
        <f t="shared" si="204"/>
        <v>Default</v>
      </c>
      <c r="F907" t="str">
        <f t="shared" si="205"/>
        <v>728x90 Default Web Ad</v>
      </c>
      <c r="G907" t="str">
        <f t="shared" si="206"/>
        <v>310386926</v>
      </c>
      <c r="H907" t="str">
        <f t="shared" si="207"/>
        <v>Display</v>
      </c>
      <c r="I907">
        <f t="shared" si="208"/>
        <v>967</v>
      </c>
      <c r="J907">
        <f t="shared" si="209"/>
        <v>0</v>
      </c>
      <c r="K907" s="4">
        <f t="shared" si="198"/>
        <v>3.8199999999999998E-2</v>
      </c>
      <c r="L907">
        <f t="shared" si="199"/>
        <v>0.09</v>
      </c>
      <c r="M907" s="4">
        <f t="shared" si="196"/>
        <v>3.6939399999999997E-2</v>
      </c>
      <c r="N907" s="4">
        <f t="shared" si="197"/>
        <v>8.7029999999999996E-2</v>
      </c>
    </row>
    <row r="908" spans="1:14">
      <c r="A908" t="str">
        <f t="shared" si="200"/>
        <v>alp_Man-VWCO</v>
      </c>
      <c r="B908" t="str">
        <f t="shared" si="201"/>
        <v>Google Brasil</v>
      </c>
      <c r="C908" t="str">
        <f t="shared" si="202"/>
        <v>google-brasil|super-banner|728x90|vw_caminhoes|always_on|vitrine|criativo_06_delivery_8-160|728x90|cpm</v>
      </c>
      <c r="D908" t="str">
        <f t="shared" si="203"/>
        <v>138018992</v>
      </c>
      <c r="E908" t="str">
        <f t="shared" si="204"/>
        <v>Default</v>
      </c>
      <c r="F908" t="str">
        <f t="shared" si="205"/>
        <v>728x90 Default Web Ad</v>
      </c>
      <c r="G908" t="str">
        <f t="shared" si="206"/>
        <v>310386926</v>
      </c>
      <c r="H908" t="str">
        <f t="shared" si="207"/>
        <v>Display</v>
      </c>
      <c r="I908">
        <f t="shared" si="208"/>
        <v>2073</v>
      </c>
      <c r="J908">
        <f t="shared" si="209"/>
        <v>18</v>
      </c>
      <c r="K908" s="4">
        <f t="shared" si="198"/>
        <v>3.8199999999999998E-2</v>
      </c>
      <c r="L908">
        <f t="shared" si="199"/>
        <v>0.09</v>
      </c>
      <c r="M908" s="4">
        <f t="shared" si="196"/>
        <v>7.9188599999999998E-2</v>
      </c>
      <c r="N908" s="4">
        <f t="shared" si="197"/>
        <v>0.18656999999999999</v>
      </c>
    </row>
    <row r="909" spans="1:14">
      <c r="A909" t="str">
        <f t="shared" si="200"/>
        <v>alp_Man-VWCO</v>
      </c>
      <c r="B909" t="str">
        <f t="shared" si="201"/>
        <v>Google Brasil</v>
      </c>
      <c r="C909" t="str">
        <f t="shared" si="202"/>
        <v>google-brasil|super-banner|728x90|vw_caminhoes|always_on|vitrine|criativo_07_delivery_8-160|728x90|cpm</v>
      </c>
      <c r="D909" t="str">
        <f t="shared" si="203"/>
        <v>138018987</v>
      </c>
      <c r="E909" t="str">
        <f t="shared" si="204"/>
        <v>Default</v>
      </c>
      <c r="F909" t="str">
        <f t="shared" si="205"/>
        <v>728x90 Default Web Ad</v>
      </c>
      <c r="G909" t="str">
        <f t="shared" si="206"/>
        <v>310386926</v>
      </c>
      <c r="H909" t="str">
        <f t="shared" si="207"/>
        <v>Display</v>
      </c>
      <c r="I909">
        <f t="shared" si="208"/>
        <v>738</v>
      </c>
      <c r="J909">
        <f t="shared" si="209"/>
        <v>1</v>
      </c>
      <c r="K909" s="4">
        <f t="shared" si="198"/>
        <v>3.8199999999999998E-2</v>
      </c>
      <c r="L909">
        <f t="shared" si="199"/>
        <v>0.09</v>
      </c>
      <c r="M909" s="4">
        <f t="shared" si="196"/>
        <v>2.8191599999999997E-2</v>
      </c>
      <c r="N909" s="4">
        <f t="shared" si="197"/>
        <v>6.6420000000000007E-2</v>
      </c>
    </row>
    <row r="910" spans="1:14">
      <c r="A910" t="str">
        <f t="shared" si="200"/>
        <v>alp_Man-VWCO</v>
      </c>
      <c r="B910" t="str">
        <f t="shared" si="201"/>
        <v>Google Brasil</v>
      </c>
      <c r="C910" t="str">
        <f t="shared" si="202"/>
        <v>google-brasil|super-banner|728x90|vw_caminhoes|always_on|vitrine|criativo_07_delivery_8-160|728x90|cpm</v>
      </c>
      <c r="D910" t="str">
        <f t="shared" si="203"/>
        <v>138018987</v>
      </c>
      <c r="E910" t="str">
        <f t="shared" si="204"/>
        <v>Default</v>
      </c>
      <c r="F910" t="str">
        <f t="shared" si="205"/>
        <v>728x90 Default Web Ad</v>
      </c>
      <c r="G910" t="str">
        <f t="shared" si="206"/>
        <v>310386926</v>
      </c>
      <c r="H910" t="str">
        <f t="shared" si="207"/>
        <v>Display</v>
      </c>
      <c r="I910">
        <f t="shared" si="208"/>
        <v>4233</v>
      </c>
      <c r="J910">
        <f t="shared" si="209"/>
        <v>33</v>
      </c>
      <c r="K910" s="4">
        <f t="shared" si="198"/>
        <v>3.8199999999999998E-2</v>
      </c>
      <c r="L910">
        <f t="shared" si="199"/>
        <v>0.09</v>
      </c>
      <c r="M910" s="4">
        <f t="shared" si="196"/>
        <v>0.16170059999999997</v>
      </c>
      <c r="N910" s="4">
        <f t="shared" si="197"/>
        <v>0.38096999999999998</v>
      </c>
    </row>
    <row r="911" spans="1:14">
      <c r="A911" t="str">
        <f t="shared" si="200"/>
        <v>alp_Man-VWCO</v>
      </c>
      <c r="B911" t="str">
        <f t="shared" si="201"/>
        <v>Google Brasil</v>
      </c>
      <c r="C911" t="str">
        <f t="shared" si="202"/>
        <v>google-brasil|super-banner|728x90|vw_caminhoes|always_on|vitrine|criativo_08_delivery_8-160|728x90|cpm</v>
      </c>
      <c r="D911" t="str">
        <f t="shared" si="203"/>
        <v>138018982</v>
      </c>
      <c r="E911" t="str">
        <f t="shared" si="204"/>
        <v>Default</v>
      </c>
      <c r="F911" t="str">
        <f t="shared" si="205"/>
        <v>728x90 Default Web Ad</v>
      </c>
      <c r="G911" t="str">
        <f t="shared" si="206"/>
        <v>310386926</v>
      </c>
      <c r="H911" t="str">
        <f t="shared" si="207"/>
        <v>Display</v>
      </c>
      <c r="I911">
        <f t="shared" si="208"/>
        <v>925</v>
      </c>
      <c r="J911">
        <f t="shared" si="209"/>
        <v>2</v>
      </c>
      <c r="K911" s="4">
        <f t="shared" si="198"/>
        <v>3.8199999999999998E-2</v>
      </c>
      <c r="L911">
        <f t="shared" si="199"/>
        <v>0.09</v>
      </c>
      <c r="M911" s="4">
        <f t="shared" si="196"/>
        <v>3.5334999999999998E-2</v>
      </c>
      <c r="N911" s="4">
        <f t="shared" si="197"/>
        <v>8.3250000000000005E-2</v>
      </c>
    </row>
    <row r="912" spans="1:14">
      <c r="A912" t="str">
        <f t="shared" si="200"/>
        <v>alp_Man-VWCO</v>
      </c>
      <c r="B912" t="str">
        <f t="shared" si="201"/>
        <v>Google Brasil</v>
      </c>
      <c r="C912" t="str">
        <f t="shared" si="202"/>
        <v>google-brasil|super-banner|728x90|vw_caminhoes|always_on|vitrine|criativo_08_delivery_8-160|728x90|cpm</v>
      </c>
      <c r="D912" t="str">
        <f t="shared" si="203"/>
        <v>138018982</v>
      </c>
      <c r="E912" t="str">
        <f t="shared" si="204"/>
        <v>Default</v>
      </c>
      <c r="F912" t="str">
        <f t="shared" si="205"/>
        <v>728x90 Default Web Ad</v>
      </c>
      <c r="G912" t="str">
        <f t="shared" si="206"/>
        <v>310386926</v>
      </c>
      <c r="H912" t="str">
        <f t="shared" si="207"/>
        <v>Display</v>
      </c>
      <c r="I912">
        <f t="shared" si="208"/>
        <v>3512</v>
      </c>
      <c r="J912">
        <f t="shared" si="209"/>
        <v>6</v>
      </c>
      <c r="K912" s="4">
        <f t="shared" si="198"/>
        <v>3.8199999999999998E-2</v>
      </c>
      <c r="L912">
        <f t="shared" si="199"/>
        <v>0.09</v>
      </c>
      <c r="M912" s="4">
        <f t="shared" si="196"/>
        <v>0.13415840000000001</v>
      </c>
      <c r="N912" s="4">
        <f t="shared" si="197"/>
        <v>0.31607999999999997</v>
      </c>
    </row>
    <row r="913" spans="1:14">
      <c r="A913" t="str">
        <f t="shared" si="200"/>
        <v>alp_Man-VWCO</v>
      </c>
      <c r="B913" t="str">
        <f t="shared" si="201"/>
        <v>Google Brasil</v>
      </c>
      <c r="C913" t="str">
        <f t="shared" si="202"/>
        <v>google-brasil|super-banner|728x90|vw_caminhoes|always_on|vitrine|criativo_09_delivery_8-160|728x90|cpm</v>
      </c>
      <c r="D913" t="str">
        <f t="shared" si="203"/>
        <v>138018977</v>
      </c>
      <c r="E913" t="str">
        <f t="shared" si="204"/>
        <v>Default</v>
      </c>
      <c r="F913" t="str">
        <f t="shared" si="205"/>
        <v>728x90 Default Web Ad</v>
      </c>
      <c r="G913" t="str">
        <f t="shared" si="206"/>
        <v>310386926</v>
      </c>
      <c r="H913" t="str">
        <f t="shared" si="207"/>
        <v>Display</v>
      </c>
      <c r="I913">
        <f t="shared" si="208"/>
        <v>953</v>
      </c>
      <c r="J913">
        <f t="shared" si="209"/>
        <v>0</v>
      </c>
      <c r="K913" s="4">
        <f t="shared" si="198"/>
        <v>3.8199999999999998E-2</v>
      </c>
      <c r="L913">
        <f t="shared" si="199"/>
        <v>0.09</v>
      </c>
      <c r="M913" s="4">
        <f t="shared" si="196"/>
        <v>3.6404599999999995E-2</v>
      </c>
      <c r="N913" s="4">
        <f t="shared" si="197"/>
        <v>8.5769999999999999E-2</v>
      </c>
    </row>
    <row r="914" spans="1:14">
      <c r="A914" t="str">
        <f t="shared" si="200"/>
        <v>alp_Man-VWCO</v>
      </c>
      <c r="B914" t="str">
        <f t="shared" si="201"/>
        <v>Google Brasil</v>
      </c>
      <c r="C914" t="str">
        <f t="shared" si="202"/>
        <v>google-brasil|super-banner|728x90|vw_caminhoes|always_on|vitrine|criativo_09_delivery_8-160|728x90|cpm</v>
      </c>
      <c r="D914" t="str">
        <f t="shared" si="203"/>
        <v>138018977</v>
      </c>
      <c r="E914" t="str">
        <f t="shared" si="204"/>
        <v>Default</v>
      </c>
      <c r="F914" t="str">
        <f t="shared" si="205"/>
        <v>728x90 Default Web Ad</v>
      </c>
      <c r="G914" t="str">
        <f t="shared" si="206"/>
        <v>310386926</v>
      </c>
      <c r="H914" t="str">
        <f t="shared" si="207"/>
        <v>Display</v>
      </c>
      <c r="I914">
        <f t="shared" si="208"/>
        <v>1358</v>
      </c>
      <c r="J914">
        <f t="shared" si="209"/>
        <v>3</v>
      </c>
      <c r="K914" s="4">
        <f t="shared" si="198"/>
        <v>3.8199999999999998E-2</v>
      </c>
      <c r="L914">
        <f t="shared" si="199"/>
        <v>0.09</v>
      </c>
      <c r="M914" s="4">
        <f t="shared" si="196"/>
        <v>5.1875600000000001E-2</v>
      </c>
      <c r="N914" s="4">
        <f t="shared" si="197"/>
        <v>0.12222</v>
      </c>
    </row>
    <row r="915" spans="1:14">
      <c r="A915" t="str">
        <f t="shared" si="200"/>
        <v>alp_Man-VWCO</v>
      </c>
      <c r="B915" t="str">
        <f t="shared" si="201"/>
        <v>Google Brasil</v>
      </c>
      <c r="C915" t="str">
        <f t="shared" si="202"/>
        <v>google-brasil|super-banner|728x90|vw_caminhoes|always_on|vitrine|criativo_10_delivery_8-160|728x90|cpm</v>
      </c>
      <c r="D915" t="str">
        <f t="shared" si="203"/>
        <v>138018972</v>
      </c>
      <c r="E915" t="str">
        <f t="shared" si="204"/>
        <v>Default</v>
      </c>
      <c r="F915" t="str">
        <f t="shared" si="205"/>
        <v>728x90 Default Web Ad</v>
      </c>
      <c r="G915" t="str">
        <f t="shared" si="206"/>
        <v>310386926</v>
      </c>
      <c r="H915" t="str">
        <f t="shared" si="207"/>
        <v>Display</v>
      </c>
      <c r="I915">
        <f t="shared" si="208"/>
        <v>937</v>
      </c>
      <c r="J915">
        <f t="shared" si="209"/>
        <v>0</v>
      </c>
      <c r="K915" s="4">
        <f t="shared" si="198"/>
        <v>3.8199999999999998E-2</v>
      </c>
      <c r="L915">
        <f t="shared" si="199"/>
        <v>0.09</v>
      </c>
      <c r="M915" s="4">
        <f t="shared" si="196"/>
        <v>3.5793399999999996E-2</v>
      </c>
      <c r="N915" s="4">
        <f t="shared" si="197"/>
        <v>8.4330000000000002E-2</v>
      </c>
    </row>
    <row r="916" spans="1:14">
      <c r="A916" t="str">
        <f t="shared" si="200"/>
        <v>alp_Man-VWCO</v>
      </c>
      <c r="B916" t="str">
        <f t="shared" si="201"/>
        <v>Google Brasil</v>
      </c>
      <c r="C916" t="str">
        <f t="shared" si="202"/>
        <v>google-brasil|super-banner|728x90|vw_caminhoes|always_on|vitrine|criativo_10_delivery_8-160|728x90|cpm</v>
      </c>
      <c r="D916" t="str">
        <f t="shared" si="203"/>
        <v>138018972</v>
      </c>
      <c r="E916" t="str">
        <f t="shared" si="204"/>
        <v>Default</v>
      </c>
      <c r="F916" t="str">
        <f t="shared" si="205"/>
        <v>728x90 Default Web Ad</v>
      </c>
      <c r="G916" t="str">
        <f t="shared" si="206"/>
        <v>310386926</v>
      </c>
      <c r="H916" t="str">
        <f t="shared" si="207"/>
        <v>Display</v>
      </c>
      <c r="I916">
        <f t="shared" si="208"/>
        <v>1443</v>
      </c>
      <c r="J916">
        <f t="shared" si="209"/>
        <v>2</v>
      </c>
      <c r="K916" s="4">
        <f t="shared" si="198"/>
        <v>3.8199999999999998E-2</v>
      </c>
      <c r="L916">
        <f t="shared" si="199"/>
        <v>0.09</v>
      </c>
      <c r="M916" s="4">
        <f t="shared" si="196"/>
        <v>5.5122600000000001E-2</v>
      </c>
      <c r="N916" s="4">
        <f t="shared" si="197"/>
        <v>0.12987000000000001</v>
      </c>
    </row>
    <row r="917" spans="1:14">
      <c r="A917" t="str">
        <f t="shared" si="200"/>
        <v>alp_Man-VWCO</v>
      </c>
      <c r="B917" t="str">
        <f t="shared" si="201"/>
        <v>Google Brasil</v>
      </c>
      <c r="C917" t="str">
        <f t="shared" si="202"/>
        <v>google-brasil|super-banner|728x90|vw_caminhoes|always_on|vitrine|criativo_11_constellation_24-280|728x90|cpm</v>
      </c>
      <c r="D917" t="str">
        <f t="shared" si="203"/>
        <v>138018967</v>
      </c>
      <c r="E917" t="str">
        <f t="shared" si="204"/>
        <v>Default</v>
      </c>
      <c r="F917" t="str">
        <f t="shared" si="205"/>
        <v>728x90 Default Web Ad</v>
      </c>
      <c r="G917" t="str">
        <f t="shared" si="206"/>
        <v>310386926</v>
      </c>
      <c r="H917" t="str">
        <f t="shared" si="207"/>
        <v>Display</v>
      </c>
      <c r="I917">
        <f t="shared" si="208"/>
        <v>768</v>
      </c>
      <c r="J917">
        <f t="shared" si="209"/>
        <v>0</v>
      </c>
      <c r="K917" s="4">
        <f t="shared" si="198"/>
        <v>3.8199999999999998E-2</v>
      </c>
      <c r="L917">
        <f t="shared" si="199"/>
        <v>0.09</v>
      </c>
      <c r="M917" s="4">
        <f t="shared" si="196"/>
        <v>2.9337599999999998E-2</v>
      </c>
      <c r="N917" s="4">
        <f t="shared" si="197"/>
        <v>6.9120000000000001E-2</v>
      </c>
    </row>
    <row r="918" spans="1:14">
      <c r="A918" t="str">
        <f t="shared" si="200"/>
        <v>alp_Man-VWCO</v>
      </c>
      <c r="B918" t="str">
        <f t="shared" si="201"/>
        <v>Google Brasil</v>
      </c>
      <c r="C918" t="str">
        <f t="shared" si="202"/>
        <v>google-brasil|super-banner|728x90|vw_caminhoes|always_on|vitrine|criativo_11_constellation_24-280|728x90|cpm</v>
      </c>
      <c r="D918" t="str">
        <f t="shared" si="203"/>
        <v>138018967</v>
      </c>
      <c r="E918" t="str">
        <f t="shared" si="204"/>
        <v>Default</v>
      </c>
      <c r="F918" t="str">
        <f t="shared" si="205"/>
        <v>728x90 Default Web Ad</v>
      </c>
      <c r="G918" t="str">
        <f t="shared" si="206"/>
        <v>310386926</v>
      </c>
      <c r="H918" t="str">
        <f t="shared" si="207"/>
        <v>Display</v>
      </c>
      <c r="I918">
        <f t="shared" si="208"/>
        <v>1741</v>
      </c>
      <c r="J918">
        <f t="shared" si="209"/>
        <v>7</v>
      </c>
      <c r="K918" s="4">
        <f t="shared" si="198"/>
        <v>3.8199999999999998E-2</v>
      </c>
      <c r="L918">
        <f t="shared" si="199"/>
        <v>0.09</v>
      </c>
      <c r="M918" s="4">
        <f t="shared" si="196"/>
        <v>6.6506199999999988E-2</v>
      </c>
      <c r="N918" s="4">
        <f t="shared" si="197"/>
        <v>0.15669</v>
      </c>
    </row>
    <row r="919" spans="1:14">
      <c r="A919" t="str">
        <f t="shared" si="200"/>
        <v>alp_Man-VWCO</v>
      </c>
      <c r="B919" t="str">
        <f t="shared" si="201"/>
        <v>Google Brasil</v>
      </c>
      <c r="C919" t="str">
        <f t="shared" si="202"/>
        <v>google-brasil|super-banner|728x90|vw_caminhoes|always_on|vitrine|criativo_12_constellation_24-280|728x90|cpm</v>
      </c>
      <c r="D919" t="str">
        <f t="shared" si="203"/>
        <v>138018962</v>
      </c>
      <c r="E919" t="str">
        <f t="shared" si="204"/>
        <v>Default</v>
      </c>
      <c r="F919" t="str">
        <f t="shared" si="205"/>
        <v>728x90 Default Web Ad</v>
      </c>
      <c r="G919" t="str">
        <f t="shared" si="206"/>
        <v>310386926</v>
      </c>
      <c r="H919" t="str">
        <f t="shared" si="207"/>
        <v>Display</v>
      </c>
      <c r="I919">
        <f t="shared" si="208"/>
        <v>964</v>
      </c>
      <c r="J919">
        <f t="shared" si="209"/>
        <v>0</v>
      </c>
      <c r="K919" s="4">
        <f t="shared" si="198"/>
        <v>3.8199999999999998E-2</v>
      </c>
      <c r="L919">
        <f t="shared" si="199"/>
        <v>0.09</v>
      </c>
      <c r="M919" s="4">
        <f t="shared" si="196"/>
        <v>3.6824799999999998E-2</v>
      </c>
      <c r="N919" s="4">
        <f t="shared" si="197"/>
        <v>8.675999999999999E-2</v>
      </c>
    </row>
    <row r="920" spans="1:14">
      <c r="A920" t="str">
        <f t="shared" si="200"/>
        <v>alp_Man-VWCO</v>
      </c>
      <c r="B920" t="str">
        <f t="shared" si="201"/>
        <v>Google Brasil</v>
      </c>
      <c r="C920" t="str">
        <f t="shared" si="202"/>
        <v>google-brasil|super-banner|728x90|vw_caminhoes|always_on|vitrine|criativo_12_constellation_24-280|728x90|cpm</v>
      </c>
      <c r="D920" t="str">
        <f t="shared" si="203"/>
        <v>138018962</v>
      </c>
      <c r="E920" t="str">
        <f t="shared" si="204"/>
        <v>Default</v>
      </c>
      <c r="F920" t="str">
        <f t="shared" si="205"/>
        <v>728x90 Default Web Ad</v>
      </c>
      <c r="G920" t="str">
        <f t="shared" si="206"/>
        <v>310386926</v>
      </c>
      <c r="H920" t="str">
        <f t="shared" si="207"/>
        <v>Display</v>
      </c>
      <c r="I920">
        <f t="shared" si="208"/>
        <v>1317</v>
      </c>
      <c r="J920">
        <f t="shared" si="209"/>
        <v>2</v>
      </c>
      <c r="K920" s="4">
        <f t="shared" si="198"/>
        <v>3.8199999999999998E-2</v>
      </c>
      <c r="L920">
        <f t="shared" si="199"/>
        <v>0.09</v>
      </c>
      <c r="M920" s="4">
        <f t="shared" si="196"/>
        <v>5.0309399999999997E-2</v>
      </c>
      <c r="N920" s="4">
        <f t="shared" si="197"/>
        <v>0.11853</v>
      </c>
    </row>
    <row r="921" spans="1:14">
      <c r="A921" t="str">
        <f t="shared" si="200"/>
        <v>alp_Man-VWCO</v>
      </c>
      <c r="B921" t="str">
        <f t="shared" si="201"/>
        <v>Google Brasil</v>
      </c>
      <c r="C921" t="str">
        <f t="shared" si="202"/>
        <v>google-brasil|super-banner|728x90|vw_caminhoes|always_on|vitrine|criativo_13_constellation_24-280|728x90|cpm</v>
      </c>
      <c r="D921" t="str">
        <f t="shared" si="203"/>
        <v>138018957</v>
      </c>
      <c r="E921" t="str">
        <f t="shared" si="204"/>
        <v>Default</v>
      </c>
      <c r="F921" t="str">
        <f t="shared" si="205"/>
        <v>728x90 Default Web Ad</v>
      </c>
      <c r="G921" t="str">
        <f t="shared" si="206"/>
        <v>310386926</v>
      </c>
      <c r="H921" t="str">
        <f t="shared" si="207"/>
        <v>Display</v>
      </c>
      <c r="I921">
        <f t="shared" si="208"/>
        <v>753</v>
      </c>
      <c r="J921">
        <f t="shared" si="209"/>
        <v>0</v>
      </c>
      <c r="K921" s="4">
        <f t="shared" si="198"/>
        <v>3.8199999999999998E-2</v>
      </c>
      <c r="L921">
        <f t="shared" si="199"/>
        <v>0.09</v>
      </c>
      <c r="M921" s="4">
        <f t="shared" si="196"/>
        <v>2.8764599999999998E-2</v>
      </c>
      <c r="N921" s="4">
        <f t="shared" si="197"/>
        <v>6.7769999999999997E-2</v>
      </c>
    </row>
    <row r="922" spans="1:14">
      <c r="A922" t="str">
        <f t="shared" si="200"/>
        <v>alp_Man-VWCO</v>
      </c>
      <c r="B922" t="str">
        <f t="shared" si="201"/>
        <v>Google Brasil</v>
      </c>
      <c r="C922" t="str">
        <f t="shared" si="202"/>
        <v>google-brasil|super-banner|728x90|vw_caminhoes|always_on|vitrine|criativo_13_constellation_24-280|728x90|cpm</v>
      </c>
      <c r="D922" t="str">
        <f t="shared" si="203"/>
        <v>138018957</v>
      </c>
      <c r="E922" t="str">
        <f t="shared" si="204"/>
        <v>Default</v>
      </c>
      <c r="F922" t="str">
        <f t="shared" si="205"/>
        <v>728x90 Default Web Ad</v>
      </c>
      <c r="G922" t="str">
        <f t="shared" si="206"/>
        <v>310386926</v>
      </c>
      <c r="H922" t="str">
        <f t="shared" si="207"/>
        <v>Display</v>
      </c>
      <c r="I922">
        <f t="shared" si="208"/>
        <v>1134</v>
      </c>
      <c r="J922">
        <f t="shared" si="209"/>
        <v>0</v>
      </c>
      <c r="K922" s="4">
        <f t="shared" si="198"/>
        <v>3.8199999999999998E-2</v>
      </c>
      <c r="L922">
        <f t="shared" si="199"/>
        <v>0.09</v>
      </c>
      <c r="M922" s="4">
        <f t="shared" si="196"/>
        <v>4.3318799999999998E-2</v>
      </c>
      <c r="N922" s="4">
        <f t="shared" si="197"/>
        <v>0.10206</v>
      </c>
    </row>
    <row r="923" spans="1:14">
      <c r="A923" t="str">
        <f t="shared" si="200"/>
        <v>alp_Man-VWCO</v>
      </c>
      <c r="B923" t="str">
        <f t="shared" si="201"/>
        <v>Google Brasil</v>
      </c>
      <c r="C923" t="str">
        <f t="shared" si="202"/>
        <v>google-brasil|super-banner|728x90|vw_caminhoes|always_on|vitrine|criativo_14_constellation_24-280-v|728x90|cpm</v>
      </c>
      <c r="D923" t="str">
        <f t="shared" si="203"/>
        <v>138018952</v>
      </c>
      <c r="E923" t="str">
        <f t="shared" si="204"/>
        <v>Default</v>
      </c>
      <c r="F923" t="str">
        <f t="shared" si="205"/>
        <v>728x90 Default Web Ad</v>
      </c>
      <c r="G923" t="str">
        <f t="shared" si="206"/>
        <v>310386926</v>
      </c>
      <c r="H923" t="str">
        <f t="shared" si="207"/>
        <v>Display</v>
      </c>
      <c r="I923">
        <f t="shared" si="208"/>
        <v>1022</v>
      </c>
      <c r="J923">
        <f t="shared" si="209"/>
        <v>0</v>
      </c>
      <c r="K923" s="4">
        <f t="shared" si="198"/>
        <v>3.8199999999999998E-2</v>
      </c>
      <c r="L923">
        <f t="shared" si="199"/>
        <v>0.09</v>
      </c>
      <c r="M923" s="4">
        <f t="shared" si="196"/>
        <v>3.9040399999999996E-2</v>
      </c>
      <c r="N923" s="4">
        <f t="shared" si="197"/>
        <v>9.1979999999999992E-2</v>
      </c>
    </row>
    <row r="924" spans="1:14">
      <c r="A924" t="str">
        <f t="shared" si="200"/>
        <v>alp_Man-VWCO</v>
      </c>
      <c r="B924" t="str">
        <f t="shared" si="201"/>
        <v>Google Brasil</v>
      </c>
      <c r="C924" t="str">
        <f t="shared" si="202"/>
        <v>google-brasil|super-banner|728x90|vw_caminhoes|always_on|vitrine|criativo_14_constellation_24-280-v|728x90|cpm</v>
      </c>
      <c r="D924" t="str">
        <f t="shared" si="203"/>
        <v>138018952</v>
      </c>
      <c r="E924" t="str">
        <f t="shared" si="204"/>
        <v>Default</v>
      </c>
      <c r="F924" t="str">
        <f t="shared" si="205"/>
        <v>728x90 Default Web Ad</v>
      </c>
      <c r="G924" t="str">
        <f t="shared" si="206"/>
        <v>310386926</v>
      </c>
      <c r="H924" t="str">
        <f t="shared" si="207"/>
        <v>Display</v>
      </c>
      <c r="I924">
        <f t="shared" si="208"/>
        <v>1271</v>
      </c>
      <c r="J924">
        <f t="shared" si="209"/>
        <v>2</v>
      </c>
      <c r="K924" s="4">
        <f t="shared" si="198"/>
        <v>3.8199999999999998E-2</v>
      </c>
      <c r="L924">
        <f t="shared" si="199"/>
        <v>0.09</v>
      </c>
      <c r="M924" s="4">
        <f t="shared" si="196"/>
        <v>4.8552199999999997E-2</v>
      </c>
      <c r="N924" s="4">
        <f t="shared" si="197"/>
        <v>0.11439000000000001</v>
      </c>
    </row>
    <row r="925" spans="1:14">
      <c r="A925" t="str">
        <f t="shared" si="200"/>
        <v>alp_Man-VWCO</v>
      </c>
      <c r="B925" t="str">
        <f t="shared" si="201"/>
        <v>Google Brasil</v>
      </c>
      <c r="C925" t="str">
        <f t="shared" si="202"/>
        <v>google-brasil|super-banner|728x90|vw_caminhoes|always_on|vitrine|criativo_15_constellation_24-280-8x2|728x90|cpm</v>
      </c>
      <c r="D925" t="str">
        <f t="shared" si="203"/>
        <v>138018947</v>
      </c>
      <c r="E925" t="str">
        <f t="shared" si="204"/>
        <v>Default</v>
      </c>
      <c r="F925" t="str">
        <f t="shared" si="205"/>
        <v>728x90 Default Web Ad</v>
      </c>
      <c r="G925" t="str">
        <f t="shared" si="206"/>
        <v>310386926</v>
      </c>
      <c r="H925" t="str">
        <f t="shared" si="207"/>
        <v>Display</v>
      </c>
      <c r="I925">
        <f t="shared" si="208"/>
        <v>978</v>
      </c>
      <c r="J925">
        <f t="shared" si="209"/>
        <v>1</v>
      </c>
      <c r="K925" s="4">
        <f t="shared" si="198"/>
        <v>3.8199999999999998E-2</v>
      </c>
      <c r="L925">
        <f t="shared" si="199"/>
        <v>0.09</v>
      </c>
      <c r="M925" s="4">
        <f t="shared" si="196"/>
        <v>3.73596E-2</v>
      </c>
      <c r="N925" s="4">
        <f t="shared" si="197"/>
        <v>8.8020000000000001E-2</v>
      </c>
    </row>
    <row r="926" spans="1:14">
      <c r="A926" t="str">
        <f t="shared" si="200"/>
        <v>alp_Man-VWCO</v>
      </c>
      <c r="B926" t="str">
        <f t="shared" si="201"/>
        <v>Google Brasil</v>
      </c>
      <c r="C926" t="str">
        <f t="shared" si="202"/>
        <v>google-brasil|super-banner|728x90|vw_caminhoes|always_on|vitrine|criativo_15_constellation_24-280-8x2|728x90|cpm</v>
      </c>
      <c r="D926" t="str">
        <f t="shared" si="203"/>
        <v>138018947</v>
      </c>
      <c r="E926" t="str">
        <f t="shared" si="204"/>
        <v>Default</v>
      </c>
      <c r="F926" t="str">
        <f t="shared" si="205"/>
        <v>728x90 Default Web Ad</v>
      </c>
      <c r="G926" t="str">
        <f t="shared" si="206"/>
        <v>310386926</v>
      </c>
      <c r="H926" t="str">
        <f t="shared" si="207"/>
        <v>Display</v>
      </c>
      <c r="I926">
        <f t="shared" si="208"/>
        <v>1353</v>
      </c>
      <c r="J926">
        <f t="shared" si="209"/>
        <v>0</v>
      </c>
      <c r="K926" s="4">
        <f t="shared" si="198"/>
        <v>3.8199999999999998E-2</v>
      </c>
      <c r="L926">
        <f t="shared" si="199"/>
        <v>0.09</v>
      </c>
      <c r="M926" s="4">
        <f t="shared" si="196"/>
        <v>5.1684599999999997E-2</v>
      </c>
      <c r="N926" s="4">
        <f t="shared" si="197"/>
        <v>0.12176999999999999</v>
      </c>
    </row>
    <row r="927" spans="1:14">
      <c r="A927" t="str">
        <f t="shared" si="200"/>
        <v>alp_Man-VWCO</v>
      </c>
      <c r="B927" t="str">
        <f t="shared" si="201"/>
        <v>Google Brasil</v>
      </c>
      <c r="C927" t="str">
        <f t="shared" si="202"/>
        <v>google-brasil|super-banner|728x90|vw_caminhoes|always_on|vitrine|criativo_16_constellation_24-280|728x90|cpm</v>
      </c>
      <c r="D927" t="str">
        <f t="shared" si="203"/>
        <v>138018942</v>
      </c>
      <c r="E927" t="str">
        <f t="shared" si="204"/>
        <v>Default</v>
      </c>
      <c r="F927" t="str">
        <f t="shared" si="205"/>
        <v>728x90 Default Web Ad</v>
      </c>
      <c r="G927" t="str">
        <f t="shared" si="206"/>
        <v>310386926</v>
      </c>
      <c r="H927" t="str">
        <f t="shared" si="207"/>
        <v>Display</v>
      </c>
      <c r="I927">
        <f t="shared" si="208"/>
        <v>690</v>
      </c>
      <c r="J927">
        <f t="shared" si="209"/>
        <v>0</v>
      </c>
      <c r="K927" s="4">
        <f t="shared" si="198"/>
        <v>3.8199999999999998E-2</v>
      </c>
      <c r="L927">
        <f t="shared" si="199"/>
        <v>0.09</v>
      </c>
      <c r="M927" s="4">
        <f t="shared" si="196"/>
        <v>2.6357999999999996E-2</v>
      </c>
      <c r="N927" s="4">
        <f t="shared" si="197"/>
        <v>6.2099999999999995E-2</v>
      </c>
    </row>
    <row r="928" spans="1:14">
      <c r="A928" t="str">
        <f t="shared" si="200"/>
        <v>alp_Man-VWCO</v>
      </c>
      <c r="B928" t="str">
        <f t="shared" si="201"/>
        <v>Google Brasil</v>
      </c>
      <c r="C928" t="str">
        <f t="shared" si="202"/>
        <v>google-brasil|super-banner|728x90|vw_caminhoes|always_on|vitrine|criativo_16_constellation_24-280|728x90|cpm</v>
      </c>
      <c r="D928" t="str">
        <f t="shared" si="203"/>
        <v>138018942</v>
      </c>
      <c r="E928" t="str">
        <f t="shared" si="204"/>
        <v>Default</v>
      </c>
      <c r="F928" t="str">
        <f t="shared" si="205"/>
        <v>728x90 Default Web Ad</v>
      </c>
      <c r="G928" t="str">
        <f t="shared" si="206"/>
        <v>310386926</v>
      </c>
      <c r="H928" t="str">
        <f t="shared" si="207"/>
        <v>Display</v>
      </c>
      <c r="I928">
        <f t="shared" si="208"/>
        <v>1494</v>
      </c>
      <c r="J928">
        <f t="shared" si="209"/>
        <v>4</v>
      </c>
      <c r="K928" s="4">
        <f t="shared" si="198"/>
        <v>3.8199999999999998E-2</v>
      </c>
      <c r="L928">
        <f t="shared" si="199"/>
        <v>0.09</v>
      </c>
      <c r="M928" s="4">
        <f t="shared" si="196"/>
        <v>5.7070799999999998E-2</v>
      </c>
      <c r="N928" s="4">
        <f t="shared" si="197"/>
        <v>0.13446</v>
      </c>
    </row>
    <row r="929" spans="1:14">
      <c r="A929" t="str">
        <f t="shared" si="200"/>
        <v>alp_Man-VWCO</v>
      </c>
      <c r="B929" t="str">
        <f t="shared" si="201"/>
        <v>Instagram</v>
      </c>
      <c r="C929" t="str">
        <f t="shared" si="202"/>
        <v>Desconsiderar_alp_Man-VWCO_Instagram_social_varejo_perfilsegmentado_cpc_prospecting_1200x628__caminhoes</v>
      </c>
      <c r="D929" t="str">
        <f t="shared" si="203"/>
        <v>239689347</v>
      </c>
      <c r="E929" t="str">
        <f t="shared" si="204"/>
        <v>Dynamic Click</v>
      </c>
      <c r="F929" t="str">
        <f t="shared" si="205"/>
        <v>Desconsiderar_alp_Man-VWCO_Instagram_social_varejo_perfilsegmentado_cpc_prospecting_1200x628__caminhoes</v>
      </c>
      <c r="G929" t="str">
        <f t="shared" si="206"/>
        <v>436515981</v>
      </c>
      <c r="H929" t="str">
        <f t="shared" si="207"/>
        <v>Tracking</v>
      </c>
      <c r="I929">
        <f t="shared" si="208"/>
        <v>0</v>
      </c>
      <c r="J929">
        <f t="shared" si="209"/>
        <v>1</v>
      </c>
      <c r="K929" s="4">
        <f t="shared" si="198"/>
        <v>3.5000000000000001E-3</v>
      </c>
      <c r="L929">
        <f t="shared" si="199"/>
        <v>0.02</v>
      </c>
      <c r="M929" s="4">
        <f t="shared" si="196"/>
        <v>3.5000000000000001E-3</v>
      </c>
      <c r="N929" s="4">
        <f t="shared" si="197"/>
        <v>0.02</v>
      </c>
    </row>
    <row r="930" spans="1:14">
      <c r="A930" t="str">
        <f t="shared" si="200"/>
        <v>alp_Man-VWCO</v>
      </c>
      <c r="B930" t="str">
        <f t="shared" si="201"/>
        <v>Mercado Livre</v>
      </c>
      <c r="C930" t="str">
        <f t="shared" si="202"/>
        <v>alp_Man-VWCO_mercadolivre_classificado_Varejo_Categoria-Caminhoes_cpm_prospecting_300x250_varejo-fevereiro_caminhoes</v>
      </c>
      <c r="D930" t="str">
        <f t="shared" si="203"/>
        <v>239644150</v>
      </c>
      <c r="E930" t="str">
        <f t="shared" si="204"/>
        <v>Standard</v>
      </c>
      <c r="F930" t="str">
        <f t="shared" si="205"/>
        <v>alp_Man-VWCO_mercadolivre_classificado_Varejo_Categoria-Caminhoes_cpm_prospecting_300x250_varejo-fevereiro_caminhoes</v>
      </c>
      <c r="G930" t="str">
        <f t="shared" si="206"/>
        <v>436741937</v>
      </c>
      <c r="H930" t="str">
        <f t="shared" si="207"/>
        <v>Display</v>
      </c>
      <c r="I930">
        <f t="shared" si="208"/>
        <v>3384500</v>
      </c>
      <c r="J930">
        <f t="shared" si="209"/>
        <v>1664</v>
      </c>
      <c r="K930" s="4">
        <f t="shared" si="198"/>
        <v>3.8199999999999998E-2</v>
      </c>
      <c r="L930">
        <f t="shared" si="199"/>
        <v>0.09</v>
      </c>
      <c r="M930" s="4">
        <f t="shared" ref="M930:M993" si="210">IF(E930="Dynamic Click",J930*K930,K930*$I930/1000)</f>
        <v>129.28790000000001</v>
      </c>
      <c r="N930" s="4">
        <f t="shared" ref="N930:N993" si="211">IF(E930="Dynamic Click",J930*L930,L930*$I930/1000)</f>
        <v>304.60500000000002</v>
      </c>
    </row>
    <row r="931" spans="1:14">
      <c r="A931" t="str">
        <f t="shared" si="200"/>
        <v>alp_Man-VWCO</v>
      </c>
      <c r="B931" t="str">
        <f t="shared" si="201"/>
        <v>Mercado Livre</v>
      </c>
      <c r="C931" t="str">
        <f t="shared" si="202"/>
        <v>alp_Man-VWCO_mercadolivre_classificado_Varejo_Categoria-Comportamental_cpm_prospecting_728x90_varejo-fevereiro_na</v>
      </c>
      <c r="D931" t="str">
        <f t="shared" si="203"/>
        <v>239438873</v>
      </c>
      <c r="E931" t="str">
        <f t="shared" si="204"/>
        <v>Standard</v>
      </c>
      <c r="F931" t="str">
        <f t="shared" si="205"/>
        <v>alp_Man-VWCO_mercadolivre_classificado_Varejo_Categoria-Comportamental_cpm_prospecting_728x90_varejo-fevereiro_na</v>
      </c>
      <c r="G931" t="str">
        <f t="shared" si="206"/>
        <v>436632437</v>
      </c>
      <c r="H931" t="str">
        <f t="shared" si="207"/>
        <v>Display</v>
      </c>
      <c r="I931">
        <f t="shared" si="208"/>
        <v>1674853</v>
      </c>
      <c r="J931">
        <f t="shared" si="209"/>
        <v>200</v>
      </c>
      <c r="K931" s="4">
        <f t="shared" si="198"/>
        <v>3.8199999999999998E-2</v>
      </c>
      <c r="L931">
        <f t="shared" si="199"/>
        <v>0.09</v>
      </c>
      <c r="M931" s="4">
        <f t="shared" si="210"/>
        <v>63.979384599999996</v>
      </c>
      <c r="N931" s="4">
        <f t="shared" si="211"/>
        <v>150.73676999999998</v>
      </c>
    </row>
    <row r="932" spans="1:14">
      <c r="A932" t="str">
        <f t="shared" si="200"/>
        <v>alp_Man-VWCO</v>
      </c>
      <c r="B932" t="str">
        <f t="shared" si="201"/>
        <v>Mercado Livre</v>
      </c>
      <c r="C932" t="str">
        <f t="shared" si="202"/>
        <v>alp_Man-VWCO_mercadolivre_horizontal_varejo_CategoriaCaminhoes_cpm_prospecting_728x90_tgx_caminhoes</v>
      </c>
      <c r="D932" t="str">
        <f t="shared" si="203"/>
        <v>234078744</v>
      </c>
      <c r="E932" t="str">
        <f t="shared" si="204"/>
        <v>Standard</v>
      </c>
      <c r="F932" t="str">
        <f t="shared" si="205"/>
        <v>alp_Man-VWCO_mercadolivre_horizontal_varejo_CategoriaCaminhoes_cpm_prospecting_728x90_tgx_caminhoes</v>
      </c>
      <c r="G932" t="str">
        <f t="shared" si="206"/>
        <v>431521128</v>
      </c>
      <c r="H932" t="str">
        <f t="shared" si="207"/>
        <v>Display</v>
      </c>
      <c r="I932">
        <f t="shared" si="208"/>
        <v>0</v>
      </c>
      <c r="J932">
        <f t="shared" si="209"/>
        <v>1</v>
      </c>
      <c r="K932" s="4">
        <f t="shared" si="198"/>
        <v>3.8199999999999998E-2</v>
      </c>
      <c r="L932">
        <f t="shared" si="199"/>
        <v>0.09</v>
      </c>
      <c r="M932" s="4">
        <f t="shared" si="210"/>
        <v>0</v>
      </c>
      <c r="N932" s="4">
        <f t="shared" si="211"/>
        <v>0</v>
      </c>
    </row>
    <row r="933" spans="1:14">
      <c r="A933" t="str">
        <f t="shared" si="200"/>
        <v>alp_Man-VWCO</v>
      </c>
      <c r="B933" t="str">
        <f t="shared" si="201"/>
        <v>Mercado Livre</v>
      </c>
      <c r="C933" t="str">
        <f t="shared" si="202"/>
        <v>alp_Man-VWCO_mercadolivre_horizontal_varejo_CategoriaComportamental_cpm_prospecting_728x90_tgx_caminhoes</v>
      </c>
      <c r="D933" t="str">
        <f t="shared" si="203"/>
        <v>234078753</v>
      </c>
      <c r="E933" t="str">
        <f t="shared" si="204"/>
        <v>Standard</v>
      </c>
      <c r="F933" t="str">
        <f t="shared" si="205"/>
        <v>alp_Man-VWCO_mercadolivre_horizontal_varejo_CategoriaComportamental_cpm_prospecting_728x90_tgx_caminhoes</v>
      </c>
      <c r="G933" t="str">
        <f t="shared" si="206"/>
        <v>431521137</v>
      </c>
      <c r="H933" t="str">
        <f t="shared" si="207"/>
        <v>Display</v>
      </c>
      <c r="I933">
        <f t="shared" si="208"/>
        <v>1</v>
      </c>
      <c r="J933">
        <f t="shared" si="209"/>
        <v>0</v>
      </c>
      <c r="K933" s="4">
        <f t="shared" si="198"/>
        <v>3.8199999999999998E-2</v>
      </c>
      <c r="L933">
        <f t="shared" si="199"/>
        <v>0.09</v>
      </c>
      <c r="M933" s="4">
        <f t="shared" si="210"/>
        <v>3.82E-5</v>
      </c>
      <c r="N933" s="4">
        <f t="shared" si="211"/>
        <v>8.9999999999999992E-5</v>
      </c>
    </row>
    <row r="934" spans="1:14">
      <c r="A934" t="str">
        <f t="shared" si="200"/>
        <v>alp_Man-VWCO</v>
      </c>
      <c r="B934" t="str">
        <f t="shared" si="201"/>
        <v>Mercado Livre</v>
      </c>
      <c r="C934" t="str">
        <f t="shared" si="202"/>
        <v>alp_Man-VWCO_mercadolivre_performance_varejo_prospeccaoaudience_cpm_prospecting_320x50_varejo-fevereiro_caminhoes</v>
      </c>
      <c r="D934" t="str">
        <f t="shared" si="203"/>
        <v>239963937</v>
      </c>
      <c r="E934" t="str">
        <f t="shared" si="204"/>
        <v>Standard</v>
      </c>
      <c r="F934" t="str">
        <f t="shared" si="205"/>
        <v>alp_Man-VWCO_mercadolivre_performance_varejo_prospeccaoaudience_cpm_prospecting_320x50_varejo-fevereiro_caminhoes</v>
      </c>
      <c r="G934" t="str">
        <f t="shared" si="206"/>
        <v>436775289</v>
      </c>
      <c r="H934" t="str">
        <f t="shared" si="207"/>
        <v>Display</v>
      </c>
      <c r="I934">
        <f t="shared" si="208"/>
        <v>946804</v>
      </c>
      <c r="J934">
        <f t="shared" si="209"/>
        <v>409</v>
      </c>
      <c r="K934" s="4">
        <f t="shared" si="198"/>
        <v>3.8199999999999998E-2</v>
      </c>
      <c r="L934">
        <f t="shared" si="199"/>
        <v>0.09</v>
      </c>
      <c r="M934" s="4">
        <f t="shared" si="210"/>
        <v>36.167912799999996</v>
      </c>
      <c r="N934" s="4">
        <f t="shared" si="211"/>
        <v>85.212360000000004</v>
      </c>
    </row>
    <row r="935" spans="1:14">
      <c r="A935" t="str">
        <f t="shared" si="200"/>
        <v>alp_Man-VWCO</v>
      </c>
      <c r="B935" t="str">
        <f t="shared" si="201"/>
        <v>Oath BR</v>
      </c>
      <c r="C935" t="str">
        <f t="shared" si="202"/>
        <v>alp_Man-VWCO_OATH_horizontal_varejo_Gemini-Performance_cpm_prospecting_600x600_999-agosto-l2_caminhoes</v>
      </c>
      <c r="D935" t="str">
        <f t="shared" si="203"/>
        <v>227739156</v>
      </c>
      <c r="E935" t="str">
        <f t="shared" si="204"/>
        <v>Dynamic Click</v>
      </c>
      <c r="F935" t="str">
        <f t="shared" si="205"/>
        <v>alp_Man-VWCO_OATH_horizontal_varejo_Gemini-Performance_cpm_prospecting_600x600_999-agosto-l2_caminhoes</v>
      </c>
      <c r="G935" t="str">
        <f t="shared" si="206"/>
        <v>425609772</v>
      </c>
      <c r="H935" t="str">
        <f t="shared" si="207"/>
        <v>Tracking</v>
      </c>
      <c r="I935">
        <f t="shared" si="208"/>
        <v>1</v>
      </c>
      <c r="J935">
        <f t="shared" si="209"/>
        <v>4</v>
      </c>
      <c r="K935" s="4">
        <f t="shared" si="198"/>
        <v>3.5000000000000001E-3</v>
      </c>
      <c r="L935">
        <f t="shared" si="199"/>
        <v>0.02</v>
      </c>
      <c r="M935" s="4">
        <f t="shared" si="210"/>
        <v>1.4E-2</v>
      </c>
      <c r="N935" s="4">
        <f t="shared" si="211"/>
        <v>0.08</v>
      </c>
    </row>
    <row r="936" spans="1:14">
      <c r="A936" t="str">
        <f t="shared" si="200"/>
        <v>alp_Man-VWCO</v>
      </c>
      <c r="B936" t="str">
        <f t="shared" si="201"/>
        <v>Oath BR</v>
      </c>
      <c r="C936" t="str">
        <f t="shared" si="202"/>
        <v>alp_Man-VWCO_OATH_horizontal_varejo_Gemini-Performance_cpm_prospecting_600x600_999-agosto-l2_caminhoes</v>
      </c>
      <c r="D936" t="str">
        <f t="shared" si="203"/>
        <v>227739156</v>
      </c>
      <c r="E936" t="str">
        <f t="shared" si="204"/>
        <v>Dynamic Click</v>
      </c>
      <c r="F936" t="str">
        <f t="shared" si="205"/>
        <v>alp_Man-VWCO_OATH_horizontal_varejo_Gemini-Performance_cpm_prospecting_600x600_999-agosto-l2_caminhoes</v>
      </c>
      <c r="G936" t="str">
        <f t="shared" si="206"/>
        <v>425609772</v>
      </c>
      <c r="H936" t="str">
        <f t="shared" si="207"/>
        <v>Tracking</v>
      </c>
      <c r="I936">
        <f t="shared" si="208"/>
        <v>0</v>
      </c>
      <c r="J936">
        <f t="shared" si="209"/>
        <v>2</v>
      </c>
      <c r="K936" s="4">
        <f t="shared" si="198"/>
        <v>3.5000000000000001E-3</v>
      </c>
      <c r="L936">
        <f t="shared" si="199"/>
        <v>0.02</v>
      </c>
      <c r="M936" s="4">
        <f t="shared" si="210"/>
        <v>7.0000000000000001E-3</v>
      </c>
      <c r="N936" s="4">
        <f t="shared" si="211"/>
        <v>0.04</v>
      </c>
    </row>
    <row r="937" spans="1:14">
      <c r="A937" t="str">
        <f t="shared" si="200"/>
        <v>alp_Man-VWCO</v>
      </c>
      <c r="B937" t="str">
        <f t="shared" si="201"/>
        <v>Oath BR</v>
      </c>
      <c r="C937" t="str">
        <f t="shared" si="202"/>
        <v>alp_Man-VWCO_OATH_horizontal_varejo_GeminiPerformance-Search_cpm_prospecting_600x600_tgx_caminhoes</v>
      </c>
      <c r="D937" t="str">
        <f t="shared" si="203"/>
        <v>233875324</v>
      </c>
      <c r="E937" t="str">
        <f t="shared" si="204"/>
        <v>Dynamic Click</v>
      </c>
      <c r="F937" t="str">
        <f t="shared" si="205"/>
        <v>alp_Man-VWCO_OATH_horizontal_varejo_GeminiPerformance-Search_cpm_prospecting_600x600_tgx_caminhoes</v>
      </c>
      <c r="G937" t="str">
        <f t="shared" si="206"/>
        <v>431468189</v>
      </c>
      <c r="H937" t="str">
        <f t="shared" si="207"/>
        <v>Tracking</v>
      </c>
      <c r="I937">
        <f t="shared" si="208"/>
        <v>18</v>
      </c>
      <c r="J937">
        <f t="shared" si="209"/>
        <v>3</v>
      </c>
      <c r="K937" s="4">
        <f t="shared" si="198"/>
        <v>3.5000000000000001E-3</v>
      </c>
      <c r="L937">
        <f t="shared" si="199"/>
        <v>0.02</v>
      </c>
      <c r="M937" s="4">
        <f t="shared" si="210"/>
        <v>1.0500000000000001E-2</v>
      </c>
      <c r="N937" s="4">
        <f t="shared" si="211"/>
        <v>0.06</v>
      </c>
    </row>
    <row r="938" spans="1:14">
      <c r="A938" t="str">
        <f t="shared" si="200"/>
        <v>alp_Man-VWCO</v>
      </c>
      <c r="B938" t="str">
        <f t="shared" si="201"/>
        <v>Oath BR</v>
      </c>
      <c r="C938" t="str">
        <f t="shared" si="202"/>
        <v>alp_Man-VWCO_OATH_horizontal_varejo_GeminiPerformance-Search_cpm_prospecting_600x600_tgx_caminhoes</v>
      </c>
      <c r="D938" t="str">
        <f t="shared" si="203"/>
        <v>233875324</v>
      </c>
      <c r="E938" t="str">
        <f t="shared" si="204"/>
        <v>Dynamic Click</v>
      </c>
      <c r="F938" t="str">
        <f t="shared" si="205"/>
        <v>alp_Man-VWCO_OATH_horizontal_varejo_GeminiPerformance-Search_cpm_prospecting_600x600_tgx_caminhoes</v>
      </c>
      <c r="G938" t="str">
        <f t="shared" si="206"/>
        <v>431468189</v>
      </c>
      <c r="H938" t="str">
        <f t="shared" si="207"/>
        <v>Tracking</v>
      </c>
      <c r="I938">
        <f t="shared" si="208"/>
        <v>1</v>
      </c>
      <c r="J938">
        <f t="shared" si="209"/>
        <v>0</v>
      </c>
      <c r="K938" s="4">
        <f t="shared" si="198"/>
        <v>3.5000000000000001E-3</v>
      </c>
      <c r="L938">
        <f t="shared" si="199"/>
        <v>0.02</v>
      </c>
      <c r="M938" s="4">
        <f t="shared" si="210"/>
        <v>0</v>
      </c>
      <c r="N938" s="4">
        <f t="shared" si="211"/>
        <v>0</v>
      </c>
    </row>
    <row r="939" spans="1:14">
      <c r="A939" t="str">
        <f t="shared" si="200"/>
        <v>alp_Man-VWCO</v>
      </c>
      <c r="B939" t="str">
        <f t="shared" si="201"/>
        <v>Oath BR</v>
      </c>
      <c r="C939" t="str">
        <f t="shared" si="202"/>
        <v>alp_Man-VWCO_OATH_horizontal_varejo_GeminiPerformance-Search_cpm_prospecting_627x627_tgx02_caminhoes</v>
      </c>
      <c r="D939" t="str">
        <f t="shared" si="203"/>
        <v>237042660</v>
      </c>
      <c r="E939" t="str">
        <f t="shared" si="204"/>
        <v>Dynamic Click</v>
      </c>
      <c r="F939" t="str">
        <f t="shared" si="205"/>
        <v>alp_Man-VWCO_OATH_horizontal_varejo_GeminiPerformance-Search_cpm_prospecting_627x627_tgx02_caminhoes</v>
      </c>
      <c r="G939" t="str">
        <f t="shared" si="206"/>
        <v>434210872</v>
      </c>
      <c r="H939" t="str">
        <f t="shared" si="207"/>
        <v>Tracking</v>
      </c>
      <c r="I939">
        <f t="shared" si="208"/>
        <v>2780869</v>
      </c>
      <c r="J939">
        <f t="shared" si="209"/>
        <v>25033</v>
      </c>
      <c r="K939" s="4">
        <f t="shared" si="198"/>
        <v>3.5000000000000001E-3</v>
      </c>
      <c r="L939">
        <f t="shared" si="199"/>
        <v>0.02</v>
      </c>
      <c r="M939" s="4">
        <f t="shared" si="210"/>
        <v>87.615499999999997</v>
      </c>
      <c r="N939" s="4">
        <f t="shared" si="211"/>
        <v>500.66</v>
      </c>
    </row>
    <row r="940" spans="1:14">
      <c r="A940" t="str">
        <f t="shared" si="200"/>
        <v>alp_Man-VWCO</v>
      </c>
      <c r="B940" t="str">
        <f t="shared" si="201"/>
        <v>Oath BR</v>
      </c>
      <c r="C940" t="str">
        <f t="shared" si="202"/>
        <v>alp_Man-VWCO_OATH_horizontal_varejo_GeminiPerformance-Search_cpm_prospecting_627x627_tgx02_caminhoes</v>
      </c>
      <c r="D940" t="str">
        <f t="shared" si="203"/>
        <v>237042660</v>
      </c>
      <c r="E940" t="str">
        <f t="shared" si="204"/>
        <v>Dynamic Click</v>
      </c>
      <c r="F940" t="str">
        <f t="shared" si="205"/>
        <v>alp_Man-VWCO_OATH_horizontal_varejo_GeminiPerformance-Search_cpm_prospecting_627x627_tgx02_caminhoes</v>
      </c>
      <c r="G940" t="str">
        <f t="shared" si="206"/>
        <v>434210872</v>
      </c>
      <c r="H940" t="str">
        <f t="shared" si="207"/>
        <v>Tracking</v>
      </c>
      <c r="I940">
        <f t="shared" si="208"/>
        <v>406</v>
      </c>
      <c r="J940">
        <f t="shared" si="209"/>
        <v>54</v>
      </c>
      <c r="K940" s="4">
        <f t="shared" ref="K940:K1003" si="212">IF(LEFT(B940,3)="DBM",0,VLOOKUP(E940,tabela,2,FALSE))</f>
        <v>3.5000000000000001E-3</v>
      </c>
      <c r="L940">
        <f t="shared" ref="L940:L1003" si="213">VLOOKUP(E940,tabela,3,FALSE)</f>
        <v>0.02</v>
      </c>
      <c r="M940" s="4">
        <f t="shared" si="210"/>
        <v>0.189</v>
      </c>
      <c r="N940" s="4">
        <f t="shared" si="211"/>
        <v>1.08</v>
      </c>
    </row>
    <row r="941" spans="1:14">
      <c r="A941" t="str">
        <f t="shared" si="200"/>
        <v>alp_Man-VWCO</v>
      </c>
      <c r="B941" t="str">
        <f t="shared" si="201"/>
        <v>Oath BR</v>
      </c>
      <c r="C941" t="str">
        <f t="shared" si="202"/>
        <v>alp_Man-VWCO_OATH_horizontal_varejo_RunOfOutlook_cpm_prospecting_160x600_extrapesado-v1_caminhoes</v>
      </c>
      <c r="D941" t="str">
        <f t="shared" si="203"/>
        <v>237976578</v>
      </c>
      <c r="E941" t="str">
        <f t="shared" si="204"/>
        <v>Dynamic Click</v>
      </c>
      <c r="F941" t="str">
        <f t="shared" si="205"/>
        <v>alp_Man-VWCO_OATH_horizontal_varejo_RunOfOutlook_cpm_prospecting_160x600_extrapesado-v1_caminhoes</v>
      </c>
      <c r="G941" t="str">
        <f t="shared" si="206"/>
        <v>434969886</v>
      </c>
      <c r="H941" t="str">
        <f t="shared" si="207"/>
        <v>Tracking</v>
      </c>
      <c r="I941">
        <f t="shared" si="208"/>
        <v>764831</v>
      </c>
      <c r="J941">
        <f t="shared" si="209"/>
        <v>2</v>
      </c>
      <c r="K941" s="4">
        <f t="shared" si="212"/>
        <v>3.5000000000000001E-3</v>
      </c>
      <c r="L941">
        <f t="shared" si="213"/>
        <v>0.02</v>
      </c>
      <c r="M941" s="4">
        <f t="shared" si="210"/>
        <v>7.0000000000000001E-3</v>
      </c>
      <c r="N941" s="4">
        <f t="shared" si="211"/>
        <v>0.04</v>
      </c>
    </row>
    <row r="942" spans="1:14">
      <c r="A942" t="str">
        <f t="shared" si="200"/>
        <v>alp_Man-VWCO</v>
      </c>
      <c r="B942" t="str">
        <f t="shared" si="201"/>
        <v>Oath BR</v>
      </c>
      <c r="C942" t="str">
        <f t="shared" si="202"/>
        <v>alp_Man-VWCO_OATH_horizontal_varejo_RunOfOutlook_cpm_prospecting_160x600_extrapesado-v2_caminhoes</v>
      </c>
      <c r="D942" t="str">
        <f t="shared" si="203"/>
        <v>237678820</v>
      </c>
      <c r="E942" t="str">
        <f t="shared" si="204"/>
        <v>Dynamic Click</v>
      </c>
      <c r="F942" t="str">
        <f t="shared" si="205"/>
        <v>alp_Man-VWCO_OATH_horizontal_varejo_RunOfOutlook_cpm_prospecting_160x600_extrapesado-v2_caminhoes</v>
      </c>
      <c r="G942" t="str">
        <f t="shared" si="206"/>
        <v>434969046</v>
      </c>
      <c r="H942" t="str">
        <f t="shared" si="207"/>
        <v>Tracking</v>
      </c>
      <c r="I942">
        <f t="shared" si="208"/>
        <v>763839</v>
      </c>
      <c r="J942">
        <f t="shared" si="209"/>
        <v>3</v>
      </c>
      <c r="K942" s="4">
        <f t="shared" si="212"/>
        <v>3.5000000000000001E-3</v>
      </c>
      <c r="L942">
        <f t="shared" si="213"/>
        <v>0.02</v>
      </c>
      <c r="M942" s="4">
        <f t="shared" si="210"/>
        <v>1.0500000000000001E-2</v>
      </c>
      <c r="N942" s="4">
        <f t="shared" si="211"/>
        <v>0.06</v>
      </c>
    </row>
    <row r="943" spans="1:14">
      <c r="A943" t="str">
        <f t="shared" si="200"/>
        <v>alp_Man-VWCO</v>
      </c>
      <c r="B943" t="str">
        <f t="shared" si="201"/>
        <v>Oath BR</v>
      </c>
      <c r="C943" t="str">
        <f t="shared" si="202"/>
        <v>alp_Man-VWCO_OATH_horizontal_varejo_RunOfOutlook_cpm_prospecting_160x600_extrapesado-v2_caminhoes</v>
      </c>
      <c r="D943" t="str">
        <f t="shared" si="203"/>
        <v>237678820</v>
      </c>
      <c r="E943" t="str">
        <f t="shared" si="204"/>
        <v>Dynamic Click</v>
      </c>
      <c r="F943" t="str">
        <f t="shared" si="205"/>
        <v>alp_Man-VWCO_OATH_horizontal_varejo_RunOfOutlook_cpm_prospecting_160x600_extrapesado-v2_caminhoes</v>
      </c>
      <c r="G943" t="str">
        <f t="shared" si="206"/>
        <v>434969046</v>
      </c>
      <c r="H943" t="str">
        <f t="shared" si="207"/>
        <v>Tracking</v>
      </c>
      <c r="I943">
        <f t="shared" si="208"/>
        <v>2</v>
      </c>
      <c r="J943">
        <f t="shared" si="209"/>
        <v>0</v>
      </c>
      <c r="K943" s="4">
        <f t="shared" si="212"/>
        <v>3.5000000000000001E-3</v>
      </c>
      <c r="L943">
        <f t="shared" si="213"/>
        <v>0.02</v>
      </c>
      <c r="M943" s="4">
        <f t="shared" si="210"/>
        <v>0</v>
      </c>
      <c r="N943" s="4">
        <f t="shared" si="211"/>
        <v>0</v>
      </c>
    </row>
    <row r="944" spans="1:14">
      <c r="A944" t="str">
        <f t="shared" si="200"/>
        <v>alp_Man-VWCO</v>
      </c>
      <c r="B944" t="str">
        <f t="shared" si="201"/>
        <v>Oath BR</v>
      </c>
      <c r="C944" t="str">
        <f t="shared" si="202"/>
        <v>alp_Man-VWCO_OATH_horizontal_varejo_RunOfOutlook_cpm_prospecting_300x250_extrapesado-v1_caminhoes</v>
      </c>
      <c r="D944" t="str">
        <f t="shared" si="203"/>
        <v>237678826</v>
      </c>
      <c r="E944" t="str">
        <f t="shared" si="204"/>
        <v>Dynamic Click</v>
      </c>
      <c r="F944" t="str">
        <f t="shared" si="205"/>
        <v>alp_Man-VWCO_OATH_horizontal_varejo_RunOfOutlook_cpm_prospecting_300x250_extrapesado-v1_caminhoes</v>
      </c>
      <c r="G944" t="str">
        <f t="shared" si="206"/>
        <v>434969889</v>
      </c>
      <c r="H944" t="str">
        <f t="shared" si="207"/>
        <v>Tracking</v>
      </c>
      <c r="I944">
        <f t="shared" si="208"/>
        <v>25685</v>
      </c>
      <c r="J944">
        <f t="shared" si="209"/>
        <v>2</v>
      </c>
      <c r="K944" s="4">
        <f t="shared" si="212"/>
        <v>3.5000000000000001E-3</v>
      </c>
      <c r="L944">
        <f t="shared" si="213"/>
        <v>0.02</v>
      </c>
      <c r="M944" s="4">
        <f t="shared" si="210"/>
        <v>7.0000000000000001E-3</v>
      </c>
      <c r="N944" s="4">
        <f t="shared" si="211"/>
        <v>0.04</v>
      </c>
    </row>
    <row r="945" spans="1:14">
      <c r="A945" t="str">
        <f t="shared" si="200"/>
        <v>alp_Man-VWCO</v>
      </c>
      <c r="B945" t="str">
        <f t="shared" si="201"/>
        <v>Oath BR</v>
      </c>
      <c r="C945" t="str">
        <f t="shared" si="202"/>
        <v>alp_Man-VWCO_OATH_horizontal_varejo_RunOfOutlook_cpm_prospecting_300x250_extrapesado-v2_caminhoes</v>
      </c>
      <c r="D945" t="str">
        <f t="shared" si="203"/>
        <v>237676132</v>
      </c>
      <c r="E945" t="str">
        <f t="shared" si="204"/>
        <v>Dynamic Click</v>
      </c>
      <c r="F945" t="str">
        <f t="shared" si="205"/>
        <v>alp_Man-VWCO_OATH_horizontal_varejo_RunOfOutlook_cpm_prospecting_300x250_extrapesado-v2_caminhoes</v>
      </c>
      <c r="G945" t="str">
        <f t="shared" si="206"/>
        <v>434969895</v>
      </c>
      <c r="H945" t="str">
        <f t="shared" si="207"/>
        <v>Tracking</v>
      </c>
      <c r="I945">
        <f t="shared" si="208"/>
        <v>25947</v>
      </c>
      <c r="J945">
        <f t="shared" si="209"/>
        <v>2</v>
      </c>
      <c r="K945" s="4">
        <f t="shared" si="212"/>
        <v>3.5000000000000001E-3</v>
      </c>
      <c r="L945">
        <f t="shared" si="213"/>
        <v>0.02</v>
      </c>
      <c r="M945" s="4">
        <f t="shared" si="210"/>
        <v>7.0000000000000001E-3</v>
      </c>
      <c r="N945" s="4">
        <f t="shared" si="211"/>
        <v>0.04</v>
      </c>
    </row>
    <row r="946" spans="1:14">
      <c r="A946" t="str">
        <f t="shared" si="200"/>
        <v>alp_Man-VWCO</v>
      </c>
      <c r="B946" t="str">
        <f t="shared" si="201"/>
        <v>Oath BR</v>
      </c>
      <c r="C946" t="str">
        <f t="shared" si="202"/>
        <v>alp_Man-VWCO_OATH_horizontal_varejo_RunOfOutlook_cpm_prospecting_300x600_extrapesado-v1_caminhoes</v>
      </c>
      <c r="D946" t="str">
        <f t="shared" si="203"/>
        <v>237644137</v>
      </c>
      <c r="E946" t="str">
        <f t="shared" si="204"/>
        <v>Dynamic Click</v>
      </c>
      <c r="F946" t="str">
        <f t="shared" si="205"/>
        <v>alp_Man-VWCO_OATH_horizontal_varejo_RunOfOutlook_cpm_prospecting_300x600_extrapesado-v1_caminhoes</v>
      </c>
      <c r="G946" t="str">
        <f t="shared" si="206"/>
        <v>434968482</v>
      </c>
      <c r="H946" t="str">
        <f t="shared" si="207"/>
        <v>Tracking</v>
      </c>
      <c r="I946">
        <f t="shared" si="208"/>
        <v>26122</v>
      </c>
      <c r="J946">
        <f t="shared" si="209"/>
        <v>1</v>
      </c>
      <c r="K946" s="4">
        <f t="shared" si="212"/>
        <v>3.5000000000000001E-3</v>
      </c>
      <c r="L946">
        <f t="shared" si="213"/>
        <v>0.02</v>
      </c>
      <c r="M946" s="4">
        <f t="shared" si="210"/>
        <v>3.5000000000000001E-3</v>
      </c>
      <c r="N946" s="4">
        <f t="shared" si="211"/>
        <v>0.02</v>
      </c>
    </row>
    <row r="947" spans="1:14">
      <c r="A947" t="str">
        <f t="shared" si="200"/>
        <v>alp_Man-VWCO</v>
      </c>
      <c r="B947" t="str">
        <f t="shared" si="201"/>
        <v>Oath BR</v>
      </c>
      <c r="C947" t="str">
        <f t="shared" si="202"/>
        <v>alp_Man-VWCO_OATH_horizontal_varejo_RunOfOutlook_cpm_prospecting_300x600_extrapesado-v2_caminhoes</v>
      </c>
      <c r="D947" t="str">
        <f t="shared" si="203"/>
        <v>237976581</v>
      </c>
      <c r="E947" t="str">
        <f t="shared" si="204"/>
        <v>Dynamic Click</v>
      </c>
      <c r="F947" t="str">
        <f t="shared" si="205"/>
        <v>alp_Man-VWCO_OATH_horizontal_varejo_RunOfOutlook_cpm_prospecting_300x600_extrapesado-v2_caminhoes</v>
      </c>
      <c r="G947" t="str">
        <f t="shared" si="206"/>
        <v>434969625</v>
      </c>
      <c r="H947" t="str">
        <f t="shared" si="207"/>
        <v>Tracking</v>
      </c>
      <c r="I947">
        <f t="shared" si="208"/>
        <v>26055</v>
      </c>
      <c r="J947">
        <f t="shared" si="209"/>
        <v>2</v>
      </c>
      <c r="K947" s="4">
        <f t="shared" si="212"/>
        <v>3.5000000000000001E-3</v>
      </c>
      <c r="L947">
        <f t="shared" si="213"/>
        <v>0.02</v>
      </c>
      <c r="M947" s="4">
        <f t="shared" si="210"/>
        <v>7.0000000000000001E-3</v>
      </c>
      <c r="N947" s="4">
        <f t="shared" si="211"/>
        <v>0.04</v>
      </c>
    </row>
    <row r="948" spans="1:14">
      <c r="A948" t="str">
        <f t="shared" si="200"/>
        <v>alp_Man-VWCO</v>
      </c>
      <c r="B948" t="str">
        <f t="shared" si="201"/>
        <v>Oath BR</v>
      </c>
      <c r="C948" t="str">
        <f t="shared" si="202"/>
        <v>alp_Man-VWCO_OATH_horizontal_varejo_RunOfOutlook_cpm_prospecting_728x90_extrapesado-v1_caminhoes</v>
      </c>
      <c r="D948" t="str">
        <f t="shared" si="203"/>
        <v>237639985</v>
      </c>
      <c r="E948" t="str">
        <f t="shared" si="204"/>
        <v>Dynamic Click</v>
      </c>
      <c r="F948" t="str">
        <f t="shared" si="205"/>
        <v>alp_Man-VWCO_OATH_horizontal_varejo_RunOfOutlook_cpm_prospecting_728x90_extrapesado-v1_caminhoes</v>
      </c>
      <c r="G948" t="str">
        <f t="shared" si="206"/>
        <v>434969898</v>
      </c>
      <c r="H948" t="str">
        <f t="shared" si="207"/>
        <v>Tracking</v>
      </c>
      <c r="I948">
        <f t="shared" si="208"/>
        <v>8894</v>
      </c>
      <c r="J948">
        <f t="shared" si="209"/>
        <v>3</v>
      </c>
      <c r="K948" s="4">
        <f t="shared" si="212"/>
        <v>3.5000000000000001E-3</v>
      </c>
      <c r="L948">
        <f t="shared" si="213"/>
        <v>0.02</v>
      </c>
      <c r="M948" s="4">
        <f t="shared" si="210"/>
        <v>1.0500000000000001E-2</v>
      </c>
      <c r="N948" s="4">
        <f t="shared" si="211"/>
        <v>0.06</v>
      </c>
    </row>
    <row r="949" spans="1:14">
      <c r="A949" t="str">
        <f t="shared" si="200"/>
        <v>alp_Man-VWCO</v>
      </c>
      <c r="B949" t="str">
        <f t="shared" si="201"/>
        <v>Oath BR</v>
      </c>
      <c r="C949" t="str">
        <f t="shared" si="202"/>
        <v>alp_Man-VWCO_OATH_horizontal_varejo_RunOfOutlook_cpm_prospecting_728x90_extrapesado-v2_caminhoes</v>
      </c>
      <c r="D949" t="str">
        <f t="shared" si="203"/>
        <v>237971892</v>
      </c>
      <c r="E949" t="str">
        <f t="shared" si="204"/>
        <v>Dynamic Click</v>
      </c>
      <c r="F949" t="str">
        <f t="shared" si="205"/>
        <v>alp_Man-VWCO_OATH_horizontal_varejo_RunOfOutlook_cpm_prospecting_728x90_extrapesado-v2_caminhoes</v>
      </c>
      <c r="G949" t="str">
        <f t="shared" si="206"/>
        <v>434969631</v>
      </c>
      <c r="H949" t="str">
        <f t="shared" si="207"/>
        <v>Tracking</v>
      </c>
      <c r="I949">
        <f t="shared" si="208"/>
        <v>8706</v>
      </c>
      <c r="J949">
        <f t="shared" si="209"/>
        <v>2</v>
      </c>
      <c r="K949" s="4">
        <f t="shared" si="212"/>
        <v>3.5000000000000001E-3</v>
      </c>
      <c r="L949">
        <f t="shared" si="213"/>
        <v>0.02</v>
      </c>
      <c r="M949" s="4">
        <f t="shared" si="210"/>
        <v>7.0000000000000001E-3</v>
      </c>
      <c r="N949" s="4">
        <f t="shared" si="211"/>
        <v>0.04</v>
      </c>
    </row>
    <row r="950" spans="1:14">
      <c r="A950" t="str">
        <f t="shared" si="200"/>
        <v>alp_Man-VWCO</v>
      </c>
      <c r="B950" t="str">
        <f t="shared" si="201"/>
        <v>Oath BR</v>
      </c>
      <c r="C950" t="str">
        <f t="shared" si="202"/>
        <v>alp_Man-VWCO_OATH_horizontal_varejo_RunofOutlook-Ros_cpm_prospecting_160x600_999-agosto-l2_caminhoes</v>
      </c>
      <c r="D950" t="str">
        <f t="shared" si="203"/>
        <v>227581939</v>
      </c>
      <c r="E950" t="str">
        <f t="shared" si="204"/>
        <v>Standard</v>
      </c>
      <c r="F950" t="str">
        <f t="shared" si="205"/>
        <v>alp_Man-VWCO_OATH_horizontal_varejo_RunofOutlook-Ros_cpm_prospecting_160x600_999-agosto-l2_caminhoes</v>
      </c>
      <c r="G950" t="str">
        <f t="shared" si="206"/>
        <v>425728627</v>
      </c>
      <c r="H950" t="str">
        <f t="shared" si="207"/>
        <v>Display</v>
      </c>
      <c r="I950">
        <f t="shared" si="208"/>
        <v>1</v>
      </c>
      <c r="J950">
        <f t="shared" si="209"/>
        <v>0</v>
      </c>
      <c r="K950" s="4">
        <f t="shared" si="212"/>
        <v>3.8199999999999998E-2</v>
      </c>
      <c r="L950">
        <f t="shared" si="213"/>
        <v>0.09</v>
      </c>
      <c r="M950" s="4">
        <f t="shared" si="210"/>
        <v>3.82E-5</v>
      </c>
      <c r="N950" s="4">
        <f t="shared" si="211"/>
        <v>8.9999999999999992E-5</v>
      </c>
    </row>
    <row r="951" spans="1:14">
      <c r="A951" t="str">
        <f t="shared" si="200"/>
        <v>alp_Man-VWCO</v>
      </c>
      <c r="B951" t="str">
        <f t="shared" si="201"/>
        <v>Oath BR</v>
      </c>
      <c r="C951" t="str">
        <f t="shared" si="202"/>
        <v>alp_Man-VWCO_OATH_horizontal_varejo_RunofOutlook-Ros_cpm_prospecting_160x600_999-agosto_caminhoes</v>
      </c>
      <c r="D951" t="str">
        <f t="shared" si="203"/>
        <v>227172440</v>
      </c>
      <c r="E951" t="str">
        <f t="shared" si="204"/>
        <v>Standard</v>
      </c>
      <c r="F951" t="str">
        <f t="shared" si="205"/>
        <v>alp_Man-VWCO_OATH_horizontal_varejo_RunofOutlook-Ros_cpm_prospecting_160x600_999-agosto_caminhoes</v>
      </c>
      <c r="G951" t="str">
        <f t="shared" si="206"/>
        <v>425339681</v>
      </c>
      <c r="H951" t="str">
        <f t="shared" si="207"/>
        <v>Display</v>
      </c>
      <c r="I951">
        <f t="shared" si="208"/>
        <v>3</v>
      </c>
      <c r="J951">
        <f t="shared" si="209"/>
        <v>0</v>
      </c>
      <c r="K951" s="4">
        <f t="shared" si="212"/>
        <v>3.8199999999999998E-2</v>
      </c>
      <c r="L951">
        <f t="shared" si="213"/>
        <v>0.09</v>
      </c>
      <c r="M951" s="4">
        <f t="shared" si="210"/>
        <v>1.1459999999999999E-4</v>
      </c>
      <c r="N951" s="4">
        <f t="shared" si="211"/>
        <v>2.7E-4</v>
      </c>
    </row>
    <row r="952" spans="1:14">
      <c r="A952" t="str">
        <f t="shared" si="200"/>
        <v>alp_Man-VWCO</v>
      </c>
      <c r="B952" t="str">
        <f t="shared" si="201"/>
        <v>Oath BR</v>
      </c>
      <c r="C952" t="str">
        <f t="shared" si="202"/>
        <v>alp_Man-VWCO_OATH_horizontal_varejo_RunofOutlookRos_cpm_prospecting_160x600_tgx_caminhoes</v>
      </c>
      <c r="D952" t="str">
        <f t="shared" si="203"/>
        <v>234078726</v>
      </c>
      <c r="E952" t="str">
        <f t="shared" si="204"/>
        <v>Standard</v>
      </c>
      <c r="F952" t="str">
        <f t="shared" si="205"/>
        <v>alp_Man-VWCO_OATH_horizontal_varejo_RunofOutlookRos_cpm_prospecting_160x600_tgx_caminhoes</v>
      </c>
      <c r="G952" t="str">
        <f t="shared" si="206"/>
        <v>431521110</v>
      </c>
      <c r="H952" t="str">
        <f t="shared" si="207"/>
        <v>Display</v>
      </c>
      <c r="I952">
        <f t="shared" si="208"/>
        <v>1</v>
      </c>
      <c r="J952">
        <f t="shared" si="209"/>
        <v>0</v>
      </c>
      <c r="K952" s="4">
        <f t="shared" si="212"/>
        <v>3.8199999999999998E-2</v>
      </c>
      <c r="L952">
        <f t="shared" si="213"/>
        <v>0.09</v>
      </c>
      <c r="M952" s="4">
        <f t="shared" si="210"/>
        <v>3.82E-5</v>
      </c>
      <c r="N952" s="4">
        <f t="shared" si="211"/>
        <v>8.9999999999999992E-5</v>
      </c>
    </row>
    <row r="953" spans="1:14">
      <c r="A953" t="str">
        <f t="shared" si="200"/>
        <v>alp_Man-VWCO</v>
      </c>
      <c r="B953" t="str">
        <f t="shared" si="201"/>
        <v>Prefeitos&amp;Gestões</v>
      </c>
      <c r="C953" t="str">
        <f t="shared" si="202"/>
        <v>alp_Man-VWCO_prefeitosegestoes_horizontal_timelines_site-prefeitosegestoes_cpm_prospecting_728x90_volksbus_geolocalizado</v>
      </c>
      <c r="D953" t="str">
        <f t="shared" si="203"/>
        <v>234497168</v>
      </c>
      <c r="E953" t="str">
        <f t="shared" si="204"/>
        <v>Dynamic Click</v>
      </c>
      <c r="F953" t="str">
        <f t="shared" si="205"/>
        <v>alp_Man-VWCO_prefeitosegestoes_horizontal_timelines_site-prefeitosegestoes_cpm_prospecting_728x90_volksbus_geolocalizado</v>
      </c>
      <c r="G953" t="str">
        <f t="shared" si="206"/>
        <v>432187334</v>
      </c>
      <c r="H953" t="str">
        <f t="shared" si="207"/>
        <v>Tracking</v>
      </c>
      <c r="I953">
        <f t="shared" si="208"/>
        <v>0</v>
      </c>
      <c r="J953">
        <f t="shared" si="209"/>
        <v>1</v>
      </c>
      <c r="K953" s="4">
        <f t="shared" si="212"/>
        <v>3.5000000000000001E-3</v>
      </c>
      <c r="L953">
        <f t="shared" si="213"/>
        <v>0.02</v>
      </c>
      <c r="M953" s="4">
        <f t="shared" si="210"/>
        <v>3.5000000000000001E-3</v>
      </c>
      <c r="N953" s="4">
        <f t="shared" si="211"/>
        <v>0.02</v>
      </c>
    </row>
    <row r="954" spans="1:14">
      <c r="A954" t="str">
        <f t="shared" si="200"/>
        <v>alp_Man-VWCO</v>
      </c>
      <c r="B954" t="str">
        <f t="shared" si="201"/>
        <v>br.linkedin.com</v>
      </c>
      <c r="C954" t="str">
        <f t="shared" si="202"/>
        <v>alp_Man-VWCO_LinkedIn_social_varejo_Sponsored-Content-Lead-Gen-Forms_cpm__1200x627_999-agosto-l2_caminhoes</v>
      </c>
      <c r="D954" t="str">
        <f t="shared" si="203"/>
        <v>227739159</v>
      </c>
      <c r="E954" t="str">
        <f t="shared" si="204"/>
        <v>Dynamic Click</v>
      </c>
      <c r="F954" t="str">
        <f t="shared" si="205"/>
        <v>alp_Man-VWCO_LinkedIn_social_varejo_Sponsored-Content-Lead-Gen-Forms_cpm__1200x627_999-agosto-l2_caminhoes</v>
      </c>
      <c r="G954" t="str">
        <f t="shared" si="206"/>
        <v>425609775</v>
      </c>
      <c r="H954" t="str">
        <f t="shared" si="207"/>
        <v>Tracking</v>
      </c>
      <c r="I954">
        <f t="shared" si="208"/>
        <v>0</v>
      </c>
      <c r="J954">
        <f t="shared" si="209"/>
        <v>1</v>
      </c>
      <c r="K954" s="4">
        <f t="shared" si="212"/>
        <v>3.5000000000000001E-3</v>
      </c>
      <c r="L954">
        <f t="shared" si="213"/>
        <v>0.02</v>
      </c>
      <c r="M954" s="4">
        <f t="shared" si="210"/>
        <v>3.5000000000000001E-3</v>
      </c>
      <c r="N954" s="4">
        <f t="shared" si="211"/>
        <v>0.02</v>
      </c>
    </row>
    <row r="955" spans="1:14">
      <c r="A955" t="str">
        <f t="shared" si="200"/>
        <v>alp_Man-VWCO</v>
      </c>
      <c r="B955" t="str">
        <f t="shared" si="201"/>
        <v>br.linkedin.com</v>
      </c>
      <c r="C955" t="str">
        <f t="shared" si="202"/>
        <v>alp_Man-VWCO_LinkedIn_social_varejo_SponsoredContentLeadGenForms_cpm_prospecting_1200x627_tgx_caminhoes</v>
      </c>
      <c r="D955" t="str">
        <f t="shared" si="203"/>
        <v>233753913</v>
      </c>
      <c r="E955" t="str">
        <f t="shared" si="204"/>
        <v>Dynamic Click</v>
      </c>
      <c r="F955" t="str">
        <f t="shared" si="205"/>
        <v>alp_Man-VWCO_LinkedIn_social_varejo_SponsoredContentLeadGenForms_cpm_prospecting_1200x627_tgx_caminhoes</v>
      </c>
      <c r="G955" t="str">
        <f t="shared" si="206"/>
        <v>431183235</v>
      </c>
      <c r="H955" t="str">
        <f t="shared" si="207"/>
        <v>Tracking</v>
      </c>
      <c r="I955">
        <f t="shared" si="208"/>
        <v>0</v>
      </c>
      <c r="J955">
        <f t="shared" si="209"/>
        <v>289</v>
      </c>
      <c r="K955" s="4">
        <f t="shared" si="212"/>
        <v>3.5000000000000001E-3</v>
      </c>
      <c r="L955">
        <f t="shared" si="213"/>
        <v>0.02</v>
      </c>
      <c r="M955" s="4">
        <f t="shared" si="210"/>
        <v>1.0115000000000001</v>
      </c>
      <c r="N955" s="4">
        <f t="shared" si="211"/>
        <v>5.78</v>
      </c>
    </row>
    <row r="956" spans="1:14">
      <c r="A956" t="str">
        <f t="shared" si="200"/>
        <v>alp_Man-VWCO</v>
      </c>
      <c r="B956" t="str">
        <f t="shared" si="201"/>
        <v>br.linkedin.com</v>
      </c>
      <c r="C956" t="str">
        <f t="shared" si="202"/>
        <v>alp_Man-VWCO_LinkedIn_social_varejo_SponsoredContentLeadGenForms_cpm_prospecting_1200x627_varejo-fevereiro_caminhoes</v>
      </c>
      <c r="D956" t="str">
        <f t="shared" si="203"/>
        <v>239442920</v>
      </c>
      <c r="E956" t="str">
        <f t="shared" si="204"/>
        <v>Dynamic Click</v>
      </c>
      <c r="F956" t="str">
        <f t="shared" si="205"/>
        <v>alp_Man-VWCO_LinkedIn_social_varejo_SponsoredContentLeadGenForms_cpm_prospecting_1200x627_varejo-fevereiro_caminhoes</v>
      </c>
      <c r="G956" t="str">
        <f t="shared" si="206"/>
        <v>436594380</v>
      </c>
      <c r="H956" t="str">
        <f t="shared" si="207"/>
        <v>Tracking</v>
      </c>
      <c r="I956">
        <f t="shared" si="208"/>
        <v>0</v>
      </c>
      <c r="J956">
        <f t="shared" si="209"/>
        <v>56</v>
      </c>
      <c r="K956" s="4">
        <f t="shared" si="212"/>
        <v>3.5000000000000001E-3</v>
      </c>
      <c r="L956">
        <f t="shared" si="213"/>
        <v>0.02</v>
      </c>
      <c r="M956" s="4">
        <f t="shared" si="210"/>
        <v>0.19600000000000001</v>
      </c>
      <c r="N956" s="4">
        <f t="shared" si="211"/>
        <v>1.1200000000000001</v>
      </c>
    </row>
    <row r="957" spans="1:14">
      <c r="A957" t="str">
        <f t="shared" si="200"/>
        <v>alp_Man-VWCO</v>
      </c>
      <c r="B957" t="str">
        <f t="shared" si="201"/>
        <v>br.linkedin.com</v>
      </c>
      <c r="C957" t="str">
        <f t="shared" si="202"/>
        <v>alp_Man-VWCO_LinkedIn_social_varejo_SponsoredContent_cpm_prospecting_1200x627_tgx_caminhoes</v>
      </c>
      <c r="D957" t="str">
        <f t="shared" si="203"/>
        <v>233753916</v>
      </c>
      <c r="E957" t="str">
        <f t="shared" si="204"/>
        <v>Dynamic Click</v>
      </c>
      <c r="F957" t="str">
        <f t="shared" si="205"/>
        <v>alp_Man-VWCO_LinkedIn_social_varejo_SponsoredContent_cpm_prospecting_1200x627_tgx_caminhoes</v>
      </c>
      <c r="G957" t="str">
        <f t="shared" si="206"/>
        <v>431183238</v>
      </c>
      <c r="H957" t="str">
        <f t="shared" si="207"/>
        <v>Tracking</v>
      </c>
      <c r="I957">
        <f t="shared" si="208"/>
        <v>0</v>
      </c>
      <c r="J957">
        <f t="shared" si="209"/>
        <v>77</v>
      </c>
      <c r="K957" s="4">
        <f t="shared" si="212"/>
        <v>3.5000000000000001E-3</v>
      </c>
      <c r="L957">
        <f t="shared" si="213"/>
        <v>0.02</v>
      </c>
      <c r="M957" s="4">
        <f t="shared" si="210"/>
        <v>0.26950000000000002</v>
      </c>
      <c r="N957" s="4">
        <f t="shared" si="211"/>
        <v>1.54</v>
      </c>
    </row>
    <row r="958" spans="1:14">
      <c r="A958" t="str">
        <f t="shared" si="200"/>
        <v>alp_Man-VWCO</v>
      </c>
      <c r="B958" t="str">
        <f t="shared" si="201"/>
        <v>br.linkedin.com</v>
      </c>
      <c r="C958" t="str">
        <f t="shared" si="202"/>
        <v>alp_Man-VWCO_LinkedIn_social_varejo_SponsoredContent_cpm_prospecting_1200x627_varejo-fevereiro_caminhoes</v>
      </c>
      <c r="D958" t="str">
        <f t="shared" si="203"/>
        <v>239442923</v>
      </c>
      <c r="E958" t="str">
        <f t="shared" si="204"/>
        <v>Dynamic Click</v>
      </c>
      <c r="F958" t="str">
        <f t="shared" si="205"/>
        <v>alp_Man-VWCO_LinkedIn_social_varejo_SponsoredContent_cpm_prospecting_1200x627_varejo-fevereiro_caminhoes</v>
      </c>
      <c r="G958" t="str">
        <f t="shared" si="206"/>
        <v>436594383</v>
      </c>
      <c r="H958" t="str">
        <f t="shared" si="207"/>
        <v>Tracking</v>
      </c>
      <c r="I958">
        <f t="shared" si="208"/>
        <v>0</v>
      </c>
      <c r="J958">
        <f t="shared" si="209"/>
        <v>784</v>
      </c>
      <c r="K958" s="4">
        <f t="shared" si="212"/>
        <v>3.5000000000000001E-3</v>
      </c>
      <c r="L958">
        <f t="shared" si="213"/>
        <v>0.02</v>
      </c>
      <c r="M958" s="4">
        <f t="shared" si="210"/>
        <v>2.7440000000000002</v>
      </c>
      <c r="N958" s="4">
        <f t="shared" si="211"/>
        <v>15.68</v>
      </c>
    </row>
    <row r="959" spans="1:14">
      <c r="A959" t="str">
        <f t="shared" si="200"/>
        <v>alp_Man-VWCO</v>
      </c>
      <c r="B959" t="str">
        <f t="shared" si="201"/>
        <v>facebook.com.br</v>
      </c>
      <c r="C959" t="str">
        <f t="shared" si="202"/>
        <v>alp_Man-VWCO_facebook_Social_timelines_facebook_cpm_prospecting_pagepost_Oportunidade-Ford-1_open</v>
      </c>
      <c r="D959" t="str">
        <f t="shared" si="203"/>
        <v>241228210</v>
      </c>
      <c r="E959" t="str">
        <f t="shared" si="204"/>
        <v>Dynamic Click</v>
      </c>
      <c r="F959" t="str">
        <f t="shared" si="205"/>
        <v>alp_Man-VWCO_facebook_Social_timelines_facebook_cpm_prospecting_pagepost_Oportunidade-Ford-1_open</v>
      </c>
      <c r="G959" t="str">
        <f t="shared" si="206"/>
        <v>438086798</v>
      </c>
      <c r="H959" t="str">
        <f t="shared" si="207"/>
        <v>Tracking</v>
      </c>
      <c r="I959">
        <f t="shared" si="208"/>
        <v>0</v>
      </c>
      <c r="J959">
        <f t="shared" si="209"/>
        <v>3</v>
      </c>
      <c r="K959" s="4">
        <f t="shared" si="212"/>
        <v>3.5000000000000001E-3</v>
      </c>
      <c r="L959">
        <f t="shared" si="213"/>
        <v>0.02</v>
      </c>
      <c r="M959" s="4">
        <f t="shared" si="210"/>
        <v>1.0500000000000001E-2</v>
      </c>
      <c r="N959" s="4">
        <f t="shared" si="211"/>
        <v>0.06</v>
      </c>
    </row>
    <row r="960" spans="1:14">
      <c r="A960" t="str">
        <f t="shared" si="200"/>
        <v>alp_Man-VWCO</v>
      </c>
      <c r="B960" t="str">
        <f t="shared" si="201"/>
        <v>facebook.com.br</v>
      </c>
      <c r="C960" t="str">
        <f t="shared" si="202"/>
        <v>alp_Man-VWCO_facebook_Social_timelines_facebook_cpm_prospecting_pagepost_Oportunidade-Ford_open</v>
      </c>
      <c r="D960" t="str">
        <f t="shared" si="203"/>
        <v>241220548</v>
      </c>
      <c r="E960" t="str">
        <f t="shared" si="204"/>
        <v>Dynamic Click</v>
      </c>
      <c r="F960" t="str">
        <f t="shared" si="205"/>
        <v>alp_Man-VWCO_facebook_Social_timelines_facebook_cpm_prospecting_pagepost_Oportunidade-Ford_open</v>
      </c>
      <c r="G960" t="str">
        <f t="shared" si="206"/>
        <v>438091121</v>
      </c>
      <c r="H960" t="str">
        <f t="shared" si="207"/>
        <v>Tracking</v>
      </c>
      <c r="I960">
        <f t="shared" si="208"/>
        <v>0</v>
      </c>
      <c r="J960">
        <f t="shared" si="209"/>
        <v>6</v>
      </c>
      <c r="K960" s="4">
        <f t="shared" si="212"/>
        <v>3.5000000000000001E-3</v>
      </c>
      <c r="L960">
        <f t="shared" si="213"/>
        <v>0.02</v>
      </c>
      <c r="M960" s="4">
        <f t="shared" si="210"/>
        <v>2.1000000000000001E-2</v>
      </c>
      <c r="N960" s="4">
        <f t="shared" si="211"/>
        <v>0.12</v>
      </c>
    </row>
    <row r="961" spans="1:14">
      <c r="A961" t="str">
        <f t="shared" si="200"/>
        <v>alp_Man-VWCO</v>
      </c>
      <c r="B961" t="str">
        <f t="shared" si="201"/>
        <v>facebook.com.br</v>
      </c>
      <c r="C961" t="str">
        <f t="shared" si="202"/>
        <v>alp_Man-alp_Man-VWCO_facebook_social_varejo_perfilsegmentado_cpc_prospecting_1200x628_varejo-fevereiro_caminhoes</v>
      </c>
      <c r="D961" t="str">
        <f t="shared" si="203"/>
        <v>239465074</v>
      </c>
      <c r="E961" t="str">
        <f t="shared" si="204"/>
        <v>Dynamic Click</v>
      </c>
      <c r="F961" t="str">
        <f t="shared" si="205"/>
        <v>alp_Man-VWCO_facebook_social_varejo_perfilsegmentado_cpc_prospecting_1200x628_varejo-fevereiro_caminhoes</v>
      </c>
      <c r="G961" t="str">
        <f t="shared" si="206"/>
        <v>436542506</v>
      </c>
      <c r="H961" t="str">
        <f t="shared" si="207"/>
        <v>Tracking</v>
      </c>
      <c r="I961">
        <f t="shared" si="208"/>
        <v>0</v>
      </c>
      <c r="J961">
        <f t="shared" si="209"/>
        <v>1</v>
      </c>
      <c r="K961" s="4">
        <f t="shared" si="212"/>
        <v>3.5000000000000001E-3</v>
      </c>
      <c r="L961">
        <f t="shared" si="213"/>
        <v>0.02</v>
      </c>
      <c r="M961" s="4">
        <f t="shared" si="210"/>
        <v>3.5000000000000001E-3</v>
      </c>
      <c r="N961" s="4">
        <f t="shared" si="211"/>
        <v>0.02</v>
      </c>
    </row>
    <row r="962" spans="1:14">
      <c r="A962" t="str">
        <f t="shared" ref="A962:A1025" si="214">bd_campaign</f>
        <v>alp_Man-VWCO-2019</v>
      </c>
      <c r="B962" t="str">
        <f t="shared" ref="B962:B1025" si="215">bd_site</f>
        <v>autodata.com.br</v>
      </c>
      <c r="C962" t="str">
        <f t="shared" ref="C962:C1025" si="216">bd_placement</f>
        <v>alp_Man-VWCO-2019_autodata_vertical_banner_home_cpm_prospecting_350x150_man-delivery_open</v>
      </c>
      <c r="D962" t="str">
        <f t="shared" ref="D962:D1025" si="217">bd_placementID</f>
        <v>239905204</v>
      </c>
      <c r="E962" t="str">
        <f t="shared" ref="E962:E1025" si="218">VLOOKUP(CONCATENATE(bd_adtype,"_",bd_creativetype),tabela,2,FALSE)</f>
        <v>Dynamic Click</v>
      </c>
      <c r="F962" t="str">
        <f t="shared" ref="F962:F1025" si="219">bd_ad</f>
        <v>alp_Man-VWCO-2019_autodata_vertical_banner_home_cpm_prospecting_350x150_man-delivery_open</v>
      </c>
      <c r="G962" t="str">
        <f t="shared" ref="G962:G1025" si="220">bd_adid</f>
        <v>436926171</v>
      </c>
      <c r="H962" t="str">
        <f t="shared" ref="H962:H1025" si="221">bd_creativetype</f>
        <v>Tracking</v>
      </c>
      <c r="I962">
        <f t="shared" ref="I962:I1025" si="222">bd_impression</f>
        <v>0</v>
      </c>
      <c r="J962">
        <f t="shared" ref="J962:J1025" si="223">bd_clicks</f>
        <v>1</v>
      </c>
      <c r="K962" s="4">
        <f t="shared" si="212"/>
        <v>3.5000000000000001E-3</v>
      </c>
      <c r="L962">
        <f t="shared" si="213"/>
        <v>0.02</v>
      </c>
      <c r="M962" s="4">
        <f t="shared" si="210"/>
        <v>3.5000000000000001E-3</v>
      </c>
      <c r="N962" s="4">
        <f t="shared" si="211"/>
        <v>0.02</v>
      </c>
    </row>
    <row r="963" spans="1:14">
      <c r="A963" t="str">
        <f t="shared" si="214"/>
        <v>alp_Man-VWCO-2019</v>
      </c>
      <c r="B963" t="str">
        <f t="shared" si="215"/>
        <v>facebook.com.br</v>
      </c>
      <c r="C963" t="str">
        <f t="shared" si="216"/>
        <v>alp_Man-VWCO-2019_facebook_social_banner_perfilsegmentado_cpm_prospecting_1200x628_constalletion_open</v>
      </c>
      <c r="D963" t="str">
        <f t="shared" si="217"/>
        <v>240921303</v>
      </c>
      <c r="E963" t="str">
        <f t="shared" si="218"/>
        <v>Dynamic Click</v>
      </c>
      <c r="F963" t="str">
        <f t="shared" si="219"/>
        <v>alp_Man-VWCO-2019_facebook_social_banner_perfilsegmentado_cpm_prospecting_1200x628_constalletion_open</v>
      </c>
      <c r="G963" t="str">
        <f t="shared" si="220"/>
        <v>437687584</v>
      </c>
      <c r="H963" t="str">
        <f t="shared" si="221"/>
        <v>Tracking</v>
      </c>
      <c r="I963">
        <f t="shared" si="222"/>
        <v>0</v>
      </c>
      <c r="J963">
        <f t="shared" si="223"/>
        <v>1</v>
      </c>
      <c r="K963" s="4">
        <f t="shared" si="212"/>
        <v>3.5000000000000001E-3</v>
      </c>
      <c r="L963">
        <f t="shared" si="213"/>
        <v>0.02</v>
      </c>
      <c r="M963" s="4">
        <f t="shared" si="210"/>
        <v>3.5000000000000001E-3</v>
      </c>
      <c r="N963" s="4">
        <f t="shared" si="211"/>
        <v>0.02</v>
      </c>
    </row>
    <row r="964" spans="1:14">
      <c r="A964" t="str">
        <f t="shared" si="214"/>
        <v>alp_onibusvw</v>
      </c>
      <c r="B964" t="str">
        <f t="shared" si="215"/>
        <v>Estadão</v>
      </c>
      <c r="C964" t="str">
        <f t="shared" si="216"/>
        <v>alp_onibusvw_estadao_timelines_volksbus_prospeccao_cpc_prospecting_120x600_volksbus2_na</v>
      </c>
      <c r="D964" t="str">
        <f t="shared" si="217"/>
        <v>226014505</v>
      </c>
      <c r="E964" t="str">
        <f t="shared" si="218"/>
        <v>Standard</v>
      </c>
      <c r="F964" t="str">
        <f t="shared" si="219"/>
        <v>alp_onibusvw_estadao_timelines_volksbus_prospeccao_cpc_prospecting_120x600_volksbus2_na</v>
      </c>
      <c r="G964" t="str">
        <f t="shared" si="220"/>
        <v>424108271</v>
      </c>
      <c r="H964" t="str">
        <f t="shared" si="221"/>
        <v>Display</v>
      </c>
      <c r="I964">
        <f t="shared" si="222"/>
        <v>204301</v>
      </c>
      <c r="J964">
        <f t="shared" si="223"/>
        <v>15</v>
      </c>
      <c r="K964" s="4">
        <f t="shared" si="212"/>
        <v>3.8199999999999998E-2</v>
      </c>
      <c r="L964">
        <f t="shared" si="213"/>
        <v>0.09</v>
      </c>
      <c r="M964" s="4">
        <f t="shared" si="210"/>
        <v>7.804298199999999</v>
      </c>
      <c r="N964" s="4">
        <f t="shared" si="211"/>
        <v>18.387090000000001</v>
      </c>
    </row>
    <row r="965" spans="1:14">
      <c r="A965" t="str">
        <f t="shared" si="214"/>
        <v>alp_onibusvw</v>
      </c>
      <c r="B965" t="str">
        <f t="shared" si="215"/>
        <v>Estadão</v>
      </c>
      <c r="C965" t="str">
        <f t="shared" si="216"/>
        <v>alp_onibusvw_estadao_timelines_volksbus_prospeccao_cpc_prospecting_120x600_volksbus_na</v>
      </c>
      <c r="D965" t="str">
        <f t="shared" si="217"/>
        <v>226014535</v>
      </c>
      <c r="E965" t="str">
        <f t="shared" si="218"/>
        <v>Standard</v>
      </c>
      <c r="F965" t="str">
        <f t="shared" si="219"/>
        <v>alp_onibusvw_estadao_timelines_volksbus_prospeccao_cpc_prospecting_120x600_volksbus_na</v>
      </c>
      <c r="G965" t="str">
        <f t="shared" si="220"/>
        <v>424108301</v>
      </c>
      <c r="H965" t="str">
        <f t="shared" si="221"/>
        <v>Display</v>
      </c>
      <c r="I965">
        <f t="shared" si="222"/>
        <v>79805</v>
      </c>
      <c r="J965">
        <f t="shared" si="223"/>
        <v>4</v>
      </c>
      <c r="K965" s="4">
        <f t="shared" si="212"/>
        <v>3.8199999999999998E-2</v>
      </c>
      <c r="L965">
        <f t="shared" si="213"/>
        <v>0.09</v>
      </c>
      <c r="M965" s="4">
        <f t="shared" si="210"/>
        <v>3.0485509999999998</v>
      </c>
      <c r="N965" s="4">
        <f t="shared" si="211"/>
        <v>7.1824500000000002</v>
      </c>
    </row>
    <row r="966" spans="1:14">
      <c r="A966" t="str">
        <f t="shared" si="214"/>
        <v>alp_onibusvw</v>
      </c>
      <c r="B966" t="str">
        <f t="shared" si="215"/>
        <v>Estadão</v>
      </c>
      <c r="C966" t="str">
        <f t="shared" si="216"/>
        <v>alp_onibusvw_estadao_timelines_volksbus_prospeccao_cpc_prospecting_160x600_volksbus2_na</v>
      </c>
      <c r="D966" t="str">
        <f t="shared" si="217"/>
        <v>226014541</v>
      </c>
      <c r="E966" t="str">
        <f t="shared" si="218"/>
        <v>Standard</v>
      </c>
      <c r="F966" t="str">
        <f t="shared" si="219"/>
        <v>alp_onibusvw_estadao_timelines_volksbus_prospeccao_cpc_prospecting_160x600_volksbus2_na</v>
      </c>
      <c r="G966" t="str">
        <f t="shared" si="220"/>
        <v>424108307</v>
      </c>
      <c r="H966" t="str">
        <f t="shared" si="221"/>
        <v>Display</v>
      </c>
      <c r="I966">
        <f t="shared" si="222"/>
        <v>19089</v>
      </c>
      <c r="J966">
        <f t="shared" si="223"/>
        <v>0</v>
      </c>
      <c r="K966" s="4">
        <f t="shared" si="212"/>
        <v>3.8199999999999998E-2</v>
      </c>
      <c r="L966">
        <f t="shared" si="213"/>
        <v>0.09</v>
      </c>
      <c r="M966" s="4">
        <f t="shared" si="210"/>
        <v>0.72919979999999995</v>
      </c>
      <c r="N966" s="4">
        <f t="shared" si="211"/>
        <v>1.71801</v>
      </c>
    </row>
    <row r="967" spans="1:14">
      <c r="A967" t="str">
        <f t="shared" si="214"/>
        <v>alp_onibusvw</v>
      </c>
      <c r="B967" t="str">
        <f t="shared" si="215"/>
        <v>Estadão</v>
      </c>
      <c r="C967" t="str">
        <f t="shared" si="216"/>
        <v>alp_onibusvw_estadao_timelines_volksbus_prospeccao_cpc_prospecting_160x600_volksbus_na</v>
      </c>
      <c r="D967" t="str">
        <f t="shared" si="217"/>
        <v>226014523</v>
      </c>
      <c r="E967" t="str">
        <f t="shared" si="218"/>
        <v>Standard</v>
      </c>
      <c r="F967" t="str">
        <f t="shared" si="219"/>
        <v>alp_onibusvw_estadao_timelines_volksbus_prospeccao_cpc_prospecting_160x600_volksbus_na</v>
      </c>
      <c r="G967" t="str">
        <f t="shared" si="220"/>
        <v>424108289</v>
      </c>
      <c r="H967" t="str">
        <f t="shared" si="221"/>
        <v>Display</v>
      </c>
      <c r="I967">
        <f t="shared" si="222"/>
        <v>44013</v>
      </c>
      <c r="J967">
        <f t="shared" si="223"/>
        <v>1</v>
      </c>
      <c r="K967" s="4">
        <f t="shared" si="212"/>
        <v>3.8199999999999998E-2</v>
      </c>
      <c r="L967">
        <f t="shared" si="213"/>
        <v>0.09</v>
      </c>
      <c r="M967" s="4">
        <f t="shared" si="210"/>
        <v>1.6812965999999998</v>
      </c>
      <c r="N967" s="4">
        <f t="shared" si="211"/>
        <v>3.9611700000000001</v>
      </c>
    </row>
    <row r="968" spans="1:14">
      <c r="A968" t="str">
        <f t="shared" si="214"/>
        <v>alp_onibusvw</v>
      </c>
      <c r="B968" t="str">
        <f t="shared" si="215"/>
        <v>Estadão</v>
      </c>
      <c r="C968" t="str">
        <f t="shared" si="216"/>
        <v>alp_onibusvw_estadao_timelines_volksbus_prospeccao_cpc_prospecting_300x250_volksbus2_na</v>
      </c>
      <c r="D968" t="str">
        <f t="shared" si="217"/>
        <v>226014520</v>
      </c>
      <c r="E968" t="str">
        <f t="shared" si="218"/>
        <v>Standard</v>
      </c>
      <c r="F968" t="str">
        <f t="shared" si="219"/>
        <v>alp_onibusvw_estadao_timelines_volksbus_prospeccao_cpc_prospecting_300x250_volksbus2_na</v>
      </c>
      <c r="G968" t="str">
        <f t="shared" si="220"/>
        <v>424108286</v>
      </c>
      <c r="H968" t="str">
        <f t="shared" si="221"/>
        <v>Display</v>
      </c>
      <c r="I968">
        <f t="shared" si="222"/>
        <v>18435</v>
      </c>
      <c r="J968">
        <f t="shared" si="223"/>
        <v>22</v>
      </c>
      <c r="K968" s="4">
        <f t="shared" si="212"/>
        <v>3.8199999999999998E-2</v>
      </c>
      <c r="L968">
        <f t="shared" si="213"/>
        <v>0.09</v>
      </c>
      <c r="M968" s="4">
        <f t="shared" si="210"/>
        <v>0.70421699999999998</v>
      </c>
      <c r="N968" s="4">
        <f t="shared" si="211"/>
        <v>1.6591499999999999</v>
      </c>
    </row>
    <row r="969" spans="1:14">
      <c r="A969" t="str">
        <f t="shared" si="214"/>
        <v>alp_onibusvw</v>
      </c>
      <c r="B969" t="str">
        <f t="shared" si="215"/>
        <v>Estadão</v>
      </c>
      <c r="C969" t="str">
        <f t="shared" si="216"/>
        <v>alp_onibusvw_estadao_timelines_volksbus_prospeccao_cpc_prospecting_300x250_volksbus2_na</v>
      </c>
      <c r="D969" t="str">
        <f t="shared" si="217"/>
        <v>226014520</v>
      </c>
      <c r="E969" t="str">
        <f t="shared" si="218"/>
        <v>Standard</v>
      </c>
      <c r="F969" t="str">
        <f t="shared" si="219"/>
        <v>alp_onibusvw_estadao_timelines_volksbus_prospeccao_cpc_prospecting_300x250_volksbus2_na</v>
      </c>
      <c r="G969" t="str">
        <f t="shared" si="220"/>
        <v>424108286</v>
      </c>
      <c r="H969" t="str">
        <f t="shared" si="221"/>
        <v>Display</v>
      </c>
      <c r="I969">
        <f t="shared" si="222"/>
        <v>355</v>
      </c>
      <c r="J969">
        <f t="shared" si="223"/>
        <v>0</v>
      </c>
      <c r="K969" s="4">
        <f t="shared" si="212"/>
        <v>3.8199999999999998E-2</v>
      </c>
      <c r="L969">
        <f t="shared" si="213"/>
        <v>0.09</v>
      </c>
      <c r="M969" s="4">
        <f t="shared" si="210"/>
        <v>1.3561E-2</v>
      </c>
      <c r="N969" s="4">
        <f t="shared" si="211"/>
        <v>3.1949999999999999E-2</v>
      </c>
    </row>
    <row r="970" spans="1:14">
      <c r="A970" t="str">
        <f t="shared" si="214"/>
        <v>alp_onibusvw</v>
      </c>
      <c r="B970" t="str">
        <f t="shared" si="215"/>
        <v>Estadão</v>
      </c>
      <c r="C970" t="str">
        <f t="shared" si="216"/>
        <v>alp_onibusvw_estadao_timelines_volksbus_prospeccao_cpc_prospecting_300x250_volksbus_na</v>
      </c>
      <c r="D970" t="str">
        <f t="shared" si="217"/>
        <v>226014562</v>
      </c>
      <c r="E970" t="str">
        <f t="shared" si="218"/>
        <v>Standard</v>
      </c>
      <c r="F970" t="str">
        <f t="shared" si="219"/>
        <v>alp_onibusvw_estadao_timelines_volksbus_prospeccao_cpc_prospecting_300x250_volksbus_na</v>
      </c>
      <c r="G970" t="str">
        <f t="shared" si="220"/>
        <v>424108328</v>
      </c>
      <c r="H970" t="str">
        <f t="shared" si="221"/>
        <v>Display</v>
      </c>
      <c r="I970">
        <f t="shared" si="222"/>
        <v>27176</v>
      </c>
      <c r="J970">
        <f t="shared" si="223"/>
        <v>36</v>
      </c>
      <c r="K970" s="4">
        <f t="shared" si="212"/>
        <v>3.8199999999999998E-2</v>
      </c>
      <c r="L970">
        <f t="shared" si="213"/>
        <v>0.09</v>
      </c>
      <c r="M970" s="4">
        <f t="shared" si="210"/>
        <v>1.0381232</v>
      </c>
      <c r="N970" s="4">
        <f t="shared" si="211"/>
        <v>2.4458399999999996</v>
      </c>
    </row>
    <row r="971" spans="1:14">
      <c r="A971" t="str">
        <f t="shared" si="214"/>
        <v>alp_onibusvw</v>
      </c>
      <c r="B971" t="str">
        <f t="shared" si="215"/>
        <v>Estadão</v>
      </c>
      <c r="C971" t="str">
        <f t="shared" si="216"/>
        <v>alp_onibusvw_estadao_timelines_volksbus_prospeccao_cpc_prospecting_300x250_volksbus_na</v>
      </c>
      <c r="D971" t="str">
        <f t="shared" si="217"/>
        <v>226014562</v>
      </c>
      <c r="E971" t="str">
        <f t="shared" si="218"/>
        <v>Standard</v>
      </c>
      <c r="F971" t="str">
        <f t="shared" si="219"/>
        <v>alp_onibusvw_estadao_timelines_volksbus_prospeccao_cpc_prospecting_300x250_volksbus_na</v>
      </c>
      <c r="G971" t="str">
        <f t="shared" si="220"/>
        <v>424108328</v>
      </c>
      <c r="H971" t="str">
        <f t="shared" si="221"/>
        <v>Display</v>
      </c>
      <c r="I971">
        <f t="shared" si="222"/>
        <v>361</v>
      </c>
      <c r="J971">
        <f t="shared" si="223"/>
        <v>1</v>
      </c>
      <c r="K971" s="4">
        <f t="shared" si="212"/>
        <v>3.8199999999999998E-2</v>
      </c>
      <c r="L971">
        <f t="shared" si="213"/>
        <v>0.09</v>
      </c>
      <c r="M971" s="4">
        <f t="shared" si="210"/>
        <v>1.3790199999999999E-2</v>
      </c>
      <c r="N971" s="4">
        <f t="shared" si="211"/>
        <v>3.2490000000000005E-2</v>
      </c>
    </row>
    <row r="972" spans="1:14">
      <c r="A972" t="str">
        <f t="shared" si="214"/>
        <v>alp_onibusvw</v>
      </c>
      <c r="B972" t="str">
        <f t="shared" si="215"/>
        <v>Estadão</v>
      </c>
      <c r="C972" t="str">
        <f t="shared" si="216"/>
        <v>alp_onibusvw_estadao_timelines_volksbus_prospeccao_cpc_prospecting_300x50_volksbus2_na</v>
      </c>
      <c r="D972" t="str">
        <f t="shared" si="217"/>
        <v>226014559</v>
      </c>
      <c r="E972" t="str">
        <f t="shared" si="218"/>
        <v>Standard</v>
      </c>
      <c r="F972" t="str">
        <f t="shared" si="219"/>
        <v>alp_onibusvw_estadao_timelines_volksbus_prospeccao_cpc_prospecting_300x50_volksbus2_na</v>
      </c>
      <c r="G972" t="str">
        <f t="shared" si="220"/>
        <v>424108325</v>
      </c>
      <c r="H972" t="str">
        <f t="shared" si="221"/>
        <v>Display</v>
      </c>
      <c r="I972">
        <f t="shared" si="222"/>
        <v>78753</v>
      </c>
      <c r="J972">
        <f t="shared" si="223"/>
        <v>90</v>
      </c>
      <c r="K972" s="4">
        <f t="shared" si="212"/>
        <v>3.8199999999999998E-2</v>
      </c>
      <c r="L972">
        <f t="shared" si="213"/>
        <v>0.09</v>
      </c>
      <c r="M972" s="4">
        <f t="shared" si="210"/>
        <v>3.0083645999999997</v>
      </c>
      <c r="N972" s="4">
        <f t="shared" si="211"/>
        <v>7.0877699999999999</v>
      </c>
    </row>
    <row r="973" spans="1:14">
      <c r="A973" t="str">
        <f t="shared" si="214"/>
        <v>alp_onibusvw</v>
      </c>
      <c r="B973" t="str">
        <f t="shared" si="215"/>
        <v>Estadão</v>
      </c>
      <c r="C973" t="str">
        <f t="shared" si="216"/>
        <v>alp_onibusvw_estadao_timelines_volksbus_prospeccao_cpc_prospecting_300x50_volksbus_na</v>
      </c>
      <c r="D973" t="str">
        <f t="shared" si="217"/>
        <v>226014532</v>
      </c>
      <c r="E973" t="str">
        <f t="shared" si="218"/>
        <v>Standard</v>
      </c>
      <c r="F973" t="str">
        <f t="shared" si="219"/>
        <v>alp_onibusvw_estadao_timelines_volksbus_prospeccao_cpc_prospecting_300x50_volksbus_na</v>
      </c>
      <c r="G973" t="str">
        <f t="shared" si="220"/>
        <v>424108298</v>
      </c>
      <c r="H973" t="str">
        <f t="shared" si="221"/>
        <v>Display</v>
      </c>
      <c r="I973">
        <f t="shared" si="222"/>
        <v>182894</v>
      </c>
      <c r="J973">
        <f t="shared" si="223"/>
        <v>222</v>
      </c>
      <c r="K973" s="4">
        <f t="shared" si="212"/>
        <v>3.8199999999999998E-2</v>
      </c>
      <c r="L973">
        <f t="shared" si="213"/>
        <v>0.09</v>
      </c>
      <c r="M973" s="4">
        <f t="shared" si="210"/>
        <v>6.9865507999999998</v>
      </c>
      <c r="N973" s="4">
        <f t="shared" si="211"/>
        <v>16.460459999999998</v>
      </c>
    </row>
    <row r="974" spans="1:14">
      <c r="A974" t="str">
        <f t="shared" si="214"/>
        <v>alp_onibusvw</v>
      </c>
      <c r="B974" t="str">
        <f t="shared" si="215"/>
        <v>Estadão</v>
      </c>
      <c r="C974" t="str">
        <f t="shared" si="216"/>
        <v>alp_onibusvw_estadao_timelines_volksbus_prospeccao_cpc_prospecting_300x600_volksbus2_na</v>
      </c>
      <c r="D974" t="str">
        <f t="shared" si="217"/>
        <v>226014514</v>
      </c>
      <c r="E974" t="str">
        <f t="shared" si="218"/>
        <v>Standard</v>
      </c>
      <c r="F974" t="str">
        <f t="shared" si="219"/>
        <v>alp_onibusvw_estadao_timelines_volksbus_prospeccao_cpc_prospecting_300x600_volksbus2_na</v>
      </c>
      <c r="G974" t="str">
        <f t="shared" si="220"/>
        <v>424108280</v>
      </c>
      <c r="H974" t="str">
        <f t="shared" si="221"/>
        <v>Display</v>
      </c>
      <c r="I974">
        <f t="shared" si="222"/>
        <v>11294</v>
      </c>
      <c r="J974">
        <f t="shared" si="223"/>
        <v>59</v>
      </c>
      <c r="K974" s="4">
        <f t="shared" si="212"/>
        <v>3.8199999999999998E-2</v>
      </c>
      <c r="L974">
        <f t="shared" si="213"/>
        <v>0.09</v>
      </c>
      <c r="M974" s="4">
        <f t="shared" si="210"/>
        <v>0.4314308</v>
      </c>
      <c r="N974" s="4">
        <f t="shared" si="211"/>
        <v>1.0164599999999999</v>
      </c>
    </row>
    <row r="975" spans="1:14">
      <c r="A975" t="str">
        <f t="shared" si="214"/>
        <v>alp_onibusvw</v>
      </c>
      <c r="B975" t="str">
        <f t="shared" si="215"/>
        <v>Estadão</v>
      </c>
      <c r="C975" t="str">
        <f t="shared" si="216"/>
        <v>alp_onibusvw_estadao_timelines_volksbus_prospeccao_cpc_prospecting_300x600_volksbus2_na</v>
      </c>
      <c r="D975" t="str">
        <f t="shared" si="217"/>
        <v>226014514</v>
      </c>
      <c r="E975" t="str">
        <f t="shared" si="218"/>
        <v>Standard</v>
      </c>
      <c r="F975" t="str">
        <f t="shared" si="219"/>
        <v>alp_onibusvw_estadao_timelines_volksbus_prospeccao_cpc_prospecting_300x600_volksbus2_na</v>
      </c>
      <c r="G975" t="str">
        <f t="shared" si="220"/>
        <v>424108280</v>
      </c>
      <c r="H975" t="str">
        <f t="shared" si="221"/>
        <v>Display</v>
      </c>
      <c r="I975">
        <f t="shared" si="222"/>
        <v>471</v>
      </c>
      <c r="J975">
        <f t="shared" si="223"/>
        <v>1</v>
      </c>
      <c r="K975" s="4">
        <f t="shared" si="212"/>
        <v>3.8199999999999998E-2</v>
      </c>
      <c r="L975">
        <f t="shared" si="213"/>
        <v>0.09</v>
      </c>
      <c r="M975" s="4">
        <f t="shared" si="210"/>
        <v>1.79922E-2</v>
      </c>
      <c r="N975" s="4">
        <f t="shared" si="211"/>
        <v>4.2389999999999997E-2</v>
      </c>
    </row>
    <row r="976" spans="1:14">
      <c r="A976" t="str">
        <f t="shared" si="214"/>
        <v>alp_onibusvw</v>
      </c>
      <c r="B976" t="str">
        <f t="shared" si="215"/>
        <v>Estadão</v>
      </c>
      <c r="C976" t="str">
        <f t="shared" si="216"/>
        <v>alp_onibusvw_estadao_timelines_volksbus_prospeccao_cpc_prospecting_300x600_volksbus_na</v>
      </c>
      <c r="D976" t="str">
        <f t="shared" si="217"/>
        <v>226014550</v>
      </c>
      <c r="E976" t="str">
        <f t="shared" si="218"/>
        <v>Standard</v>
      </c>
      <c r="F976" t="str">
        <f t="shared" si="219"/>
        <v>alp_onibusvw_estadao_timelines_volksbus_prospeccao_cpc_prospecting_300x600_volksbus_na</v>
      </c>
      <c r="G976" t="str">
        <f t="shared" si="220"/>
        <v>424108316</v>
      </c>
      <c r="H976" t="str">
        <f t="shared" si="221"/>
        <v>Display</v>
      </c>
      <c r="I976">
        <f t="shared" si="222"/>
        <v>7346</v>
      </c>
      <c r="J976">
        <f t="shared" si="223"/>
        <v>49</v>
      </c>
      <c r="K976" s="4">
        <f t="shared" si="212"/>
        <v>3.8199999999999998E-2</v>
      </c>
      <c r="L976">
        <f t="shared" si="213"/>
        <v>0.09</v>
      </c>
      <c r="M976" s="4">
        <f t="shared" si="210"/>
        <v>0.28061719999999996</v>
      </c>
      <c r="N976" s="4">
        <f t="shared" si="211"/>
        <v>0.66113999999999995</v>
      </c>
    </row>
    <row r="977" spans="1:14">
      <c r="A977" t="str">
        <f t="shared" si="214"/>
        <v>alp_onibusvw</v>
      </c>
      <c r="B977" t="str">
        <f t="shared" si="215"/>
        <v>Estadão</v>
      </c>
      <c r="C977" t="str">
        <f t="shared" si="216"/>
        <v>alp_onibusvw_estadao_timelines_volksbus_prospeccao_cpc_prospecting_300x600_volksbus_na</v>
      </c>
      <c r="D977" t="str">
        <f t="shared" si="217"/>
        <v>226014550</v>
      </c>
      <c r="E977" t="str">
        <f t="shared" si="218"/>
        <v>Standard</v>
      </c>
      <c r="F977" t="str">
        <f t="shared" si="219"/>
        <v>alp_onibusvw_estadao_timelines_volksbus_prospeccao_cpc_prospecting_300x600_volksbus_na</v>
      </c>
      <c r="G977" t="str">
        <f t="shared" si="220"/>
        <v>424108316</v>
      </c>
      <c r="H977" t="str">
        <f t="shared" si="221"/>
        <v>Display</v>
      </c>
      <c r="I977">
        <f t="shared" si="222"/>
        <v>177</v>
      </c>
      <c r="J977">
        <f t="shared" si="223"/>
        <v>0</v>
      </c>
      <c r="K977" s="4">
        <f t="shared" si="212"/>
        <v>3.8199999999999998E-2</v>
      </c>
      <c r="L977">
        <f t="shared" si="213"/>
        <v>0.09</v>
      </c>
      <c r="M977" s="4">
        <f t="shared" si="210"/>
        <v>6.761399999999999E-3</v>
      </c>
      <c r="N977" s="4">
        <f t="shared" si="211"/>
        <v>1.593E-2</v>
      </c>
    </row>
    <row r="978" spans="1:14">
      <c r="A978" t="str">
        <f t="shared" si="214"/>
        <v>alp_onibusvw</v>
      </c>
      <c r="B978" t="str">
        <f t="shared" si="215"/>
        <v>Estadão</v>
      </c>
      <c r="C978" t="str">
        <f t="shared" si="216"/>
        <v>alp_onibusvw_estadao_timelines_volksbus_prospeccao_cpc_prospecting_320x50_volksbus2_na</v>
      </c>
      <c r="D978" t="str">
        <f t="shared" si="217"/>
        <v>226014553</v>
      </c>
      <c r="E978" t="str">
        <f t="shared" si="218"/>
        <v>Standard</v>
      </c>
      <c r="F978" t="str">
        <f t="shared" si="219"/>
        <v>alp_onibusvw_estadao_timelines_volksbus_prospeccao_cpc_prospecting_320x50_volksbus2_na</v>
      </c>
      <c r="G978" t="str">
        <f t="shared" si="220"/>
        <v>424108319</v>
      </c>
      <c r="H978" t="str">
        <f t="shared" si="221"/>
        <v>Display</v>
      </c>
      <c r="I978">
        <f t="shared" si="222"/>
        <v>118805</v>
      </c>
      <c r="J978">
        <f t="shared" si="223"/>
        <v>180</v>
      </c>
      <c r="K978" s="4">
        <f t="shared" si="212"/>
        <v>3.8199999999999998E-2</v>
      </c>
      <c r="L978">
        <f t="shared" si="213"/>
        <v>0.09</v>
      </c>
      <c r="M978" s="4">
        <f t="shared" si="210"/>
        <v>4.5383509999999996</v>
      </c>
      <c r="N978" s="4">
        <f t="shared" si="211"/>
        <v>10.692449999999999</v>
      </c>
    </row>
    <row r="979" spans="1:14">
      <c r="A979" t="str">
        <f t="shared" si="214"/>
        <v>alp_onibusvw</v>
      </c>
      <c r="B979" t="str">
        <f t="shared" si="215"/>
        <v>Estadão</v>
      </c>
      <c r="C979" t="str">
        <f t="shared" si="216"/>
        <v>alp_onibusvw_estadao_timelines_volksbus_prospeccao_cpc_prospecting_320x50_volksbus2_na</v>
      </c>
      <c r="D979" t="str">
        <f t="shared" si="217"/>
        <v>226014553</v>
      </c>
      <c r="E979" t="str">
        <f t="shared" si="218"/>
        <v>Standard</v>
      </c>
      <c r="F979" t="str">
        <f t="shared" si="219"/>
        <v>alp_onibusvw_estadao_timelines_volksbus_prospeccao_cpc_prospecting_320x50_volksbus2_na</v>
      </c>
      <c r="G979" t="str">
        <f t="shared" si="220"/>
        <v>424108319</v>
      </c>
      <c r="H979" t="str">
        <f t="shared" si="221"/>
        <v>Display</v>
      </c>
      <c r="I979">
        <f t="shared" si="222"/>
        <v>440</v>
      </c>
      <c r="J979">
        <f t="shared" si="223"/>
        <v>1</v>
      </c>
      <c r="K979" s="4">
        <f t="shared" si="212"/>
        <v>3.8199999999999998E-2</v>
      </c>
      <c r="L979">
        <f t="shared" si="213"/>
        <v>0.09</v>
      </c>
      <c r="M979" s="4">
        <f t="shared" si="210"/>
        <v>1.6808E-2</v>
      </c>
      <c r="N979" s="4">
        <f t="shared" si="211"/>
        <v>3.9600000000000003E-2</v>
      </c>
    </row>
    <row r="980" spans="1:14">
      <c r="A980" t="str">
        <f t="shared" si="214"/>
        <v>alp_onibusvw</v>
      </c>
      <c r="B980" t="str">
        <f t="shared" si="215"/>
        <v>Estadão</v>
      </c>
      <c r="C980" t="str">
        <f t="shared" si="216"/>
        <v>alp_onibusvw_estadao_timelines_volksbus_prospeccao_cpc_prospecting_320x50_volksbus_na</v>
      </c>
      <c r="D980" t="str">
        <f t="shared" si="217"/>
        <v>226014529</v>
      </c>
      <c r="E980" t="str">
        <f t="shared" si="218"/>
        <v>Standard</v>
      </c>
      <c r="F980" t="str">
        <f t="shared" si="219"/>
        <v>alp_onibusvw_estadao_timelines_volksbus_prospeccao_cpc_prospecting_320x50_volksbus_na</v>
      </c>
      <c r="G980" t="str">
        <f t="shared" si="220"/>
        <v>424108295</v>
      </c>
      <c r="H980" t="str">
        <f t="shared" si="221"/>
        <v>Display</v>
      </c>
      <c r="I980">
        <f t="shared" si="222"/>
        <v>42355</v>
      </c>
      <c r="J980">
        <f t="shared" si="223"/>
        <v>323</v>
      </c>
      <c r="K980" s="4">
        <f t="shared" si="212"/>
        <v>3.8199999999999998E-2</v>
      </c>
      <c r="L980">
        <f t="shared" si="213"/>
        <v>0.09</v>
      </c>
      <c r="M980" s="4">
        <f t="shared" si="210"/>
        <v>1.617961</v>
      </c>
      <c r="N980" s="4">
        <f t="shared" si="211"/>
        <v>3.8119499999999999</v>
      </c>
    </row>
    <row r="981" spans="1:14">
      <c r="A981" t="str">
        <f t="shared" si="214"/>
        <v>alp_onibusvw</v>
      </c>
      <c r="B981" t="str">
        <f t="shared" si="215"/>
        <v>Estadão</v>
      </c>
      <c r="C981" t="str">
        <f t="shared" si="216"/>
        <v>alp_onibusvw_estadao_timelines_volksbus_prospeccao_cpc_prospecting_320x50_volksbus_na</v>
      </c>
      <c r="D981" t="str">
        <f t="shared" si="217"/>
        <v>226014529</v>
      </c>
      <c r="E981" t="str">
        <f t="shared" si="218"/>
        <v>Standard</v>
      </c>
      <c r="F981" t="str">
        <f t="shared" si="219"/>
        <v>alp_onibusvw_estadao_timelines_volksbus_prospeccao_cpc_prospecting_320x50_volksbus_na</v>
      </c>
      <c r="G981" t="str">
        <f t="shared" si="220"/>
        <v>424108295</v>
      </c>
      <c r="H981" t="str">
        <f t="shared" si="221"/>
        <v>Display</v>
      </c>
      <c r="I981">
        <f t="shared" si="222"/>
        <v>632</v>
      </c>
      <c r="J981">
        <f t="shared" si="223"/>
        <v>3</v>
      </c>
      <c r="K981" s="4">
        <f t="shared" si="212"/>
        <v>3.8199999999999998E-2</v>
      </c>
      <c r="L981">
        <f t="shared" si="213"/>
        <v>0.09</v>
      </c>
      <c r="M981" s="4">
        <f t="shared" si="210"/>
        <v>2.4142399999999998E-2</v>
      </c>
      <c r="N981" s="4">
        <f t="shared" si="211"/>
        <v>5.6879999999999993E-2</v>
      </c>
    </row>
    <row r="982" spans="1:14">
      <c r="A982" t="str">
        <f t="shared" si="214"/>
        <v>alp_onibusvw</v>
      </c>
      <c r="B982" t="str">
        <f t="shared" si="215"/>
        <v>Estadão</v>
      </c>
      <c r="C982" t="str">
        <f t="shared" si="216"/>
        <v>alp_onibusvw_estadao_timelines_volksbus_prospeccao_cpc_prospecting_728x90_volksbus2_na</v>
      </c>
      <c r="D982" t="str">
        <f t="shared" si="217"/>
        <v>226014517</v>
      </c>
      <c r="E982" t="str">
        <f t="shared" si="218"/>
        <v>Standard</v>
      </c>
      <c r="F982" t="str">
        <f t="shared" si="219"/>
        <v>alp_onibusvw_estadao_timelines_volksbus_prospeccao_cpc_prospecting_728x90_volksbus2_na</v>
      </c>
      <c r="G982" t="str">
        <f t="shared" si="220"/>
        <v>424108283</v>
      </c>
      <c r="H982" t="str">
        <f t="shared" si="221"/>
        <v>Display</v>
      </c>
      <c r="I982">
        <f t="shared" si="222"/>
        <v>5832</v>
      </c>
      <c r="J982">
        <f t="shared" si="223"/>
        <v>2</v>
      </c>
      <c r="K982" s="4">
        <f t="shared" si="212"/>
        <v>3.8199999999999998E-2</v>
      </c>
      <c r="L982">
        <f t="shared" si="213"/>
        <v>0.09</v>
      </c>
      <c r="M982" s="4">
        <f t="shared" si="210"/>
        <v>0.22278239999999999</v>
      </c>
      <c r="N982" s="4">
        <f t="shared" si="211"/>
        <v>0.52488000000000001</v>
      </c>
    </row>
    <row r="983" spans="1:14">
      <c r="A983" t="str">
        <f t="shared" si="214"/>
        <v>alp_onibusvw</v>
      </c>
      <c r="B983" t="str">
        <f t="shared" si="215"/>
        <v>Estadão</v>
      </c>
      <c r="C983" t="str">
        <f t="shared" si="216"/>
        <v>alp_onibusvw_estadao_timelines_volksbus_prospeccao_cpc_prospecting_728x90_volksbus2_na</v>
      </c>
      <c r="D983" t="str">
        <f t="shared" si="217"/>
        <v>226014517</v>
      </c>
      <c r="E983" t="str">
        <f t="shared" si="218"/>
        <v>Standard</v>
      </c>
      <c r="F983" t="str">
        <f t="shared" si="219"/>
        <v>alp_onibusvw_estadao_timelines_volksbus_prospeccao_cpc_prospecting_728x90_volksbus2_na</v>
      </c>
      <c r="G983" t="str">
        <f t="shared" si="220"/>
        <v>424108283</v>
      </c>
      <c r="H983" t="str">
        <f t="shared" si="221"/>
        <v>Display</v>
      </c>
      <c r="I983">
        <f t="shared" si="222"/>
        <v>79</v>
      </c>
      <c r="J983">
        <f t="shared" si="223"/>
        <v>0</v>
      </c>
      <c r="K983" s="4">
        <f t="shared" si="212"/>
        <v>3.8199999999999998E-2</v>
      </c>
      <c r="L983">
        <f t="shared" si="213"/>
        <v>0.09</v>
      </c>
      <c r="M983" s="4">
        <f t="shared" si="210"/>
        <v>3.0177999999999997E-3</v>
      </c>
      <c r="N983" s="4">
        <f t="shared" si="211"/>
        <v>7.1099999999999991E-3</v>
      </c>
    </row>
    <row r="984" spans="1:14">
      <c r="A984" t="str">
        <f t="shared" si="214"/>
        <v>alp_onibusvw</v>
      </c>
      <c r="B984" t="str">
        <f t="shared" si="215"/>
        <v>Estadão</v>
      </c>
      <c r="C984" t="str">
        <f t="shared" si="216"/>
        <v>alp_onibusvw_estadao_timelines_volksbus_prospeccao_cpc_prospecting_728x90_volksbus_na</v>
      </c>
      <c r="D984" t="str">
        <f t="shared" si="217"/>
        <v>226014556</v>
      </c>
      <c r="E984" t="str">
        <f t="shared" si="218"/>
        <v>Standard</v>
      </c>
      <c r="F984" t="str">
        <f t="shared" si="219"/>
        <v>alp_onibusvw_estadao_timelines_volksbus_prospeccao_cpc_prospecting_728x90_volksbus_na</v>
      </c>
      <c r="G984" t="str">
        <f t="shared" si="220"/>
        <v>424108322</v>
      </c>
      <c r="H984" t="str">
        <f t="shared" si="221"/>
        <v>Display</v>
      </c>
      <c r="I984">
        <f t="shared" si="222"/>
        <v>12200</v>
      </c>
      <c r="J984">
        <f t="shared" si="223"/>
        <v>3</v>
      </c>
      <c r="K984" s="4">
        <f t="shared" si="212"/>
        <v>3.8199999999999998E-2</v>
      </c>
      <c r="L984">
        <f t="shared" si="213"/>
        <v>0.09</v>
      </c>
      <c r="M984" s="4">
        <f t="shared" si="210"/>
        <v>0.46603999999999995</v>
      </c>
      <c r="N984" s="4">
        <f t="shared" si="211"/>
        <v>1.0980000000000001</v>
      </c>
    </row>
    <row r="985" spans="1:14">
      <c r="A985" t="str">
        <f t="shared" si="214"/>
        <v>alp_onibusvw</v>
      </c>
      <c r="B985" t="str">
        <f t="shared" si="215"/>
        <v>Estadão</v>
      </c>
      <c r="C985" t="str">
        <f t="shared" si="216"/>
        <v>alp_onibusvw_estadao_timelines_volksbus_prospeccao_cpc_prospecting_728x90_volksbus_na</v>
      </c>
      <c r="D985" t="str">
        <f t="shared" si="217"/>
        <v>226014556</v>
      </c>
      <c r="E985" t="str">
        <f t="shared" si="218"/>
        <v>Standard</v>
      </c>
      <c r="F985" t="str">
        <f t="shared" si="219"/>
        <v>alp_onibusvw_estadao_timelines_volksbus_prospeccao_cpc_prospecting_728x90_volksbus_na</v>
      </c>
      <c r="G985" t="str">
        <f t="shared" si="220"/>
        <v>424108322</v>
      </c>
      <c r="H985" t="str">
        <f t="shared" si="221"/>
        <v>Display</v>
      </c>
      <c r="I985">
        <f t="shared" si="222"/>
        <v>255</v>
      </c>
      <c r="J985">
        <f t="shared" si="223"/>
        <v>1</v>
      </c>
      <c r="K985" s="4">
        <f t="shared" si="212"/>
        <v>3.8199999999999998E-2</v>
      </c>
      <c r="L985">
        <f t="shared" si="213"/>
        <v>0.09</v>
      </c>
      <c r="M985" s="4">
        <f t="shared" si="210"/>
        <v>9.7409999999999997E-3</v>
      </c>
      <c r="N985" s="4">
        <f t="shared" si="211"/>
        <v>2.2949999999999998E-2</v>
      </c>
    </row>
    <row r="986" spans="1:14">
      <c r="A986" t="str">
        <f t="shared" si="214"/>
        <v>alp_onibusvw</v>
      </c>
      <c r="B986" t="str">
        <f t="shared" si="215"/>
        <v>Estadão</v>
      </c>
      <c r="C986" t="str">
        <f t="shared" si="216"/>
        <v>alp_onibusvw_estadao_timelines_volksbus_prospeccao_cpc_prospecting_970x250_volksbus2_na</v>
      </c>
      <c r="D986" t="str">
        <f t="shared" si="217"/>
        <v>226014508</v>
      </c>
      <c r="E986" t="str">
        <f t="shared" si="218"/>
        <v>Standard</v>
      </c>
      <c r="F986" t="str">
        <f t="shared" si="219"/>
        <v>alp_onibusvw_estadao_timelines_volksbus_prospeccao_cpc_prospecting_970x250_volksbus2_na</v>
      </c>
      <c r="G986" t="str">
        <f t="shared" si="220"/>
        <v>424108274</v>
      </c>
      <c r="H986" t="str">
        <f t="shared" si="221"/>
        <v>Display</v>
      </c>
      <c r="I986">
        <f t="shared" si="222"/>
        <v>60</v>
      </c>
      <c r="J986">
        <f t="shared" si="223"/>
        <v>0</v>
      </c>
      <c r="K986" s="4">
        <f t="shared" si="212"/>
        <v>3.8199999999999998E-2</v>
      </c>
      <c r="L986">
        <f t="shared" si="213"/>
        <v>0.09</v>
      </c>
      <c r="M986" s="4">
        <f t="shared" si="210"/>
        <v>2.2919999999999998E-3</v>
      </c>
      <c r="N986" s="4">
        <f t="shared" si="211"/>
        <v>5.3999999999999994E-3</v>
      </c>
    </row>
    <row r="987" spans="1:14">
      <c r="A987" t="str">
        <f t="shared" si="214"/>
        <v>alp_onibusvw</v>
      </c>
      <c r="B987" t="str">
        <f t="shared" si="215"/>
        <v>Estadão</v>
      </c>
      <c r="C987" t="str">
        <f t="shared" si="216"/>
        <v>alp_onibusvw_estadao_timelines_volksbus_prospeccao_cpc_prospecting_970x250_volksbus2_na</v>
      </c>
      <c r="D987" t="str">
        <f t="shared" si="217"/>
        <v>226014508</v>
      </c>
      <c r="E987" t="str">
        <f t="shared" si="218"/>
        <v>Standard</v>
      </c>
      <c r="F987" t="str">
        <f t="shared" si="219"/>
        <v>alp_onibusvw_estadao_timelines_volksbus_prospeccao_cpc_prospecting_970x250_volksbus2_na</v>
      </c>
      <c r="G987" t="str">
        <f t="shared" si="220"/>
        <v>424108274</v>
      </c>
      <c r="H987" t="str">
        <f t="shared" si="221"/>
        <v>Display</v>
      </c>
      <c r="I987">
        <f t="shared" si="222"/>
        <v>75</v>
      </c>
      <c r="J987">
        <f t="shared" si="223"/>
        <v>0</v>
      </c>
      <c r="K987" s="4">
        <f t="shared" si="212"/>
        <v>3.8199999999999998E-2</v>
      </c>
      <c r="L987">
        <f t="shared" si="213"/>
        <v>0.09</v>
      </c>
      <c r="M987" s="4">
        <f t="shared" si="210"/>
        <v>2.8649999999999999E-3</v>
      </c>
      <c r="N987" s="4">
        <f t="shared" si="211"/>
        <v>6.7499999999999999E-3</v>
      </c>
    </row>
    <row r="988" spans="1:14">
      <c r="A988" t="str">
        <f t="shared" si="214"/>
        <v>alp_onibusvw</v>
      </c>
      <c r="B988" t="str">
        <f t="shared" si="215"/>
        <v>Estadão</v>
      </c>
      <c r="C988" t="str">
        <f t="shared" si="216"/>
        <v>alp_onibusvw_estadao_timelines_volksbus_prospeccao_cpc_prospecting_970x250_volksbus_na</v>
      </c>
      <c r="D988" t="str">
        <f t="shared" si="217"/>
        <v>226014538</v>
      </c>
      <c r="E988" t="str">
        <f t="shared" si="218"/>
        <v>Standard</v>
      </c>
      <c r="F988" t="str">
        <f t="shared" si="219"/>
        <v>alp_onibusvw_estadao_timelines_volksbus_prospeccao_cpc_prospecting_970x250_volksbus_na</v>
      </c>
      <c r="G988" t="str">
        <f t="shared" si="220"/>
        <v>424108304</v>
      </c>
      <c r="H988" t="str">
        <f t="shared" si="221"/>
        <v>Display</v>
      </c>
      <c r="I988">
        <f t="shared" si="222"/>
        <v>244</v>
      </c>
      <c r="J988">
        <f t="shared" si="223"/>
        <v>4</v>
      </c>
      <c r="K988" s="4">
        <f t="shared" si="212"/>
        <v>3.8199999999999998E-2</v>
      </c>
      <c r="L988">
        <f t="shared" si="213"/>
        <v>0.09</v>
      </c>
      <c r="M988" s="4">
        <f t="shared" si="210"/>
        <v>9.3208000000000006E-3</v>
      </c>
      <c r="N988" s="4">
        <f t="shared" si="211"/>
        <v>2.196E-2</v>
      </c>
    </row>
    <row r="989" spans="1:14">
      <c r="A989" t="str">
        <f t="shared" si="214"/>
        <v>alp_onibusvw</v>
      </c>
      <c r="B989" t="str">
        <f t="shared" si="215"/>
        <v>Estadão</v>
      </c>
      <c r="C989" t="str">
        <f t="shared" si="216"/>
        <v>alp_onibusvw_estadao_timelines_volksbus_prospeccao_cpc_prospecting_970x250_volksbus_na</v>
      </c>
      <c r="D989" t="str">
        <f t="shared" si="217"/>
        <v>226014538</v>
      </c>
      <c r="E989" t="str">
        <f t="shared" si="218"/>
        <v>Standard</v>
      </c>
      <c r="F989" t="str">
        <f t="shared" si="219"/>
        <v>alp_onibusvw_estadao_timelines_volksbus_prospeccao_cpc_prospecting_970x250_volksbus_na</v>
      </c>
      <c r="G989" t="str">
        <f t="shared" si="220"/>
        <v>424108304</v>
      </c>
      <c r="H989" t="str">
        <f t="shared" si="221"/>
        <v>Display</v>
      </c>
      <c r="I989">
        <f t="shared" si="222"/>
        <v>396</v>
      </c>
      <c r="J989">
        <f t="shared" si="223"/>
        <v>2</v>
      </c>
      <c r="K989" s="4">
        <f t="shared" si="212"/>
        <v>3.8199999999999998E-2</v>
      </c>
      <c r="L989">
        <f t="shared" si="213"/>
        <v>0.09</v>
      </c>
      <c r="M989" s="4">
        <f t="shared" si="210"/>
        <v>1.5127199999999999E-2</v>
      </c>
      <c r="N989" s="4">
        <f t="shared" si="211"/>
        <v>3.5639999999999998E-2</v>
      </c>
    </row>
    <row r="990" spans="1:14">
      <c r="A990" t="str">
        <f t="shared" si="214"/>
        <v>alp_onibusvw</v>
      </c>
      <c r="B990" t="str">
        <f t="shared" si="215"/>
        <v>Estadão</v>
      </c>
      <c r="C990" t="str">
        <f t="shared" si="216"/>
        <v>alp_onibusvw_estadao_timelines_volksbus_prospeccao_cpc_prospecting_970x90_volksbus2_na</v>
      </c>
      <c r="D990" t="str">
        <f t="shared" si="217"/>
        <v>226014511</v>
      </c>
      <c r="E990" t="str">
        <f t="shared" si="218"/>
        <v>Standard</v>
      </c>
      <c r="F990" t="str">
        <f t="shared" si="219"/>
        <v>alp_onibusvw_estadao_timelines_volksbus_prospeccao_cpc_prospecting_970x90_volksbus2_na</v>
      </c>
      <c r="G990" t="str">
        <f t="shared" si="220"/>
        <v>424108277</v>
      </c>
      <c r="H990" t="str">
        <f t="shared" si="221"/>
        <v>Display</v>
      </c>
      <c r="I990">
        <f t="shared" si="222"/>
        <v>4584</v>
      </c>
      <c r="J990">
        <f t="shared" si="223"/>
        <v>3</v>
      </c>
      <c r="K990" s="4">
        <f t="shared" si="212"/>
        <v>3.8199999999999998E-2</v>
      </c>
      <c r="L990">
        <f t="shared" si="213"/>
        <v>0.09</v>
      </c>
      <c r="M990" s="4">
        <f t="shared" si="210"/>
        <v>0.17510880000000001</v>
      </c>
      <c r="N990" s="4">
        <f t="shared" si="211"/>
        <v>0.41255999999999998</v>
      </c>
    </row>
    <row r="991" spans="1:14">
      <c r="A991" t="str">
        <f t="shared" si="214"/>
        <v>alp_onibusvw</v>
      </c>
      <c r="B991" t="str">
        <f t="shared" si="215"/>
        <v>Estadão</v>
      </c>
      <c r="C991" t="str">
        <f t="shared" si="216"/>
        <v>alp_onibusvw_estadao_timelines_volksbus_prospeccao_cpc_prospecting_970x90_volksbus2_na</v>
      </c>
      <c r="D991" t="str">
        <f t="shared" si="217"/>
        <v>226014511</v>
      </c>
      <c r="E991" t="str">
        <f t="shared" si="218"/>
        <v>Standard</v>
      </c>
      <c r="F991" t="str">
        <f t="shared" si="219"/>
        <v>alp_onibusvw_estadao_timelines_volksbus_prospeccao_cpc_prospecting_970x90_volksbus2_na</v>
      </c>
      <c r="G991" t="str">
        <f t="shared" si="220"/>
        <v>424108277</v>
      </c>
      <c r="H991" t="str">
        <f t="shared" si="221"/>
        <v>Display</v>
      </c>
      <c r="I991">
        <f t="shared" si="222"/>
        <v>191</v>
      </c>
      <c r="J991">
        <f t="shared" si="223"/>
        <v>0</v>
      </c>
      <c r="K991" s="4">
        <f t="shared" si="212"/>
        <v>3.8199999999999998E-2</v>
      </c>
      <c r="L991">
        <f t="shared" si="213"/>
        <v>0.09</v>
      </c>
      <c r="M991" s="4">
        <f t="shared" si="210"/>
        <v>7.2962000000000001E-3</v>
      </c>
      <c r="N991" s="4">
        <f t="shared" si="211"/>
        <v>1.7189999999999997E-2</v>
      </c>
    </row>
    <row r="992" spans="1:14">
      <c r="A992" t="str">
        <f t="shared" si="214"/>
        <v>alp_onibusvw</v>
      </c>
      <c r="B992" t="str">
        <f t="shared" si="215"/>
        <v>Estadão</v>
      </c>
      <c r="C992" t="str">
        <f t="shared" si="216"/>
        <v>alp_onibusvw_estadao_timelines_volksbus_prospeccao_cpc_prospecting_970x90_volksbus_na</v>
      </c>
      <c r="D992" t="str">
        <f t="shared" si="217"/>
        <v>226014544</v>
      </c>
      <c r="E992" t="str">
        <f t="shared" si="218"/>
        <v>Standard</v>
      </c>
      <c r="F992" t="str">
        <f t="shared" si="219"/>
        <v>alp_onibusvw_estadao_timelines_volksbus_prospeccao_cpc_prospecting_970x90_volksbus_na</v>
      </c>
      <c r="G992" t="str">
        <f t="shared" si="220"/>
        <v>424108310</v>
      </c>
      <c r="H992" t="str">
        <f t="shared" si="221"/>
        <v>Display</v>
      </c>
      <c r="I992">
        <f t="shared" si="222"/>
        <v>2380</v>
      </c>
      <c r="J992">
        <f t="shared" si="223"/>
        <v>0</v>
      </c>
      <c r="K992" s="4">
        <f t="shared" si="212"/>
        <v>3.8199999999999998E-2</v>
      </c>
      <c r="L992">
        <f t="shared" si="213"/>
        <v>0.09</v>
      </c>
      <c r="M992" s="4">
        <f t="shared" si="210"/>
        <v>9.0915999999999997E-2</v>
      </c>
      <c r="N992" s="4">
        <f t="shared" si="211"/>
        <v>0.2142</v>
      </c>
    </row>
    <row r="993" spans="1:14">
      <c r="A993" t="str">
        <f t="shared" si="214"/>
        <v>alp_onibusvw</v>
      </c>
      <c r="B993" t="str">
        <f t="shared" si="215"/>
        <v>Estadão</v>
      </c>
      <c r="C993" t="str">
        <f t="shared" si="216"/>
        <v>alp_onibusvw_estadao_timelines_volksbus_prospeccao_cpc_prospecting_970x90_volksbus_na</v>
      </c>
      <c r="D993" t="str">
        <f t="shared" si="217"/>
        <v>226014544</v>
      </c>
      <c r="E993" t="str">
        <f t="shared" si="218"/>
        <v>Standard</v>
      </c>
      <c r="F993" t="str">
        <f t="shared" si="219"/>
        <v>alp_onibusvw_estadao_timelines_volksbus_prospeccao_cpc_prospecting_970x90_volksbus_na</v>
      </c>
      <c r="G993" t="str">
        <f t="shared" si="220"/>
        <v>424108310</v>
      </c>
      <c r="H993" t="str">
        <f t="shared" si="221"/>
        <v>Display</v>
      </c>
      <c r="I993">
        <f t="shared" si="222"/>
        <v>160</v>
      </c>
      <c r="J993">
        <f t="shared" si="223"/>
        <v>2</v>
      </c>
      <c r="K993" s="4">
        <f t="shared" si="212"/>
        <v>3.8199999999999998E-2</v>
      </c>
      <c r="L993">
        <f t="shared" si="213"/>
        <v>0.09</v>
      </c>
      <c r="M993" s="4">
        <f t="shared" si="210"/>
        <v>6.1120000000000002E-3</v>
      </c>
      <c r="N993" s="4">
        <f t="shared" si="211"/>
        <v>1.4399999999999998E-2</v>
      </c>
    </row>
    <row r="994" spans="1:14">
      <c r="A994" t="str">
        <f t="shared" si="214"/>
        <v>alp_varejo-maio</v>
      </c>
      <c r="B994" t="str">
        <f t="shared" si="215"/>
        <v>BR MSN.</v>
      </c>
      <c r="C994" t="str">
        <f t="shared" si="216"/>
        <v>alp_varejo-maio_msn_horizontal_Varejo_Categoria-Caminhoes_cpc_prospecting_1200x627_constellation_na</v>
      </c>
      <c r="D994" t="str">
        <f t="shared" si="217"/>
        <v>222150324</v>
      </c>
      <c r="E994" t="str">
        <f t="shared" si="218"/>
        <v>Dynamic Click</v>
      </c>
      <c r="F994" t="str">
        <f t="shared" si="219"/>
        <v>alp_varejo-maio_msn_horizontal_Varejo_Categoria-Caminhoes_cpc_prospecting_1200x627_constellation_na</v>
      </c>
      <c r="G994" t="str">
        <f t="shared" si="220"/>
        <v>420336144</v>
      </c>
      <c r="H994" t="str">
        <f t="shared" si="221"/>
        <v>Tracking</v>
      </c>
      <c r="I994">
        <f t="shared" si="222"/>
        <v>0</v>
      </c>
      <c r="J994">
        <f t="shared" si="223"/>
        <v>2</v>
      </c>
      <c r="K994" s="4">
        <f t="shared" si="212"/>
        <v>3.5000000000000001E-3</v>
      </c>
      <c r="L994">
        <f t="shared" si="213"/>
        <v>0.02</v>
      </c>
      <c r="M994" s="4">
        <f t="shared" ref="M994:M1056" si="224">IF(E994="Dynamic Click",J994*K994,K994*$I994/1000)</f>
        <v>7.0000000000000001E-3</v>
      </c>
      <c r="N994" s="4">
        <f t="shared" ref="N994:N1056" si="225">IF(E994="Dynamic Click",J994*L994,L994*$I994/1000)</f>
        <v>0.04</v>
      </c>
    </row>
    <row r="995" spans="1:14">
      <c r="A995" t="str">
        <f t="shared" si="214"/>
        <v>alp_varejo-maio</v>
      </c>
      <c r="B995" t="str">
        <f t="shared" si="215"/>
        <v>BR MSN.</v>
      </c>
      <c r="C995" t="str">
        <f t="shared" si="216"/>
        <v>alp_varejo-maio_msn_horizontal_Varejo_Categoria-Caminhoes_cpc_prospecting_1200x627_constellation_na</v>
      </c>
      <c r="D995" t="str">
        <f t="shared" si="217"/>
        <v>222150324</v>
      </c>
      <c r="E995" t="str">
        <f t="shared" si="218"/>
        <v>Dynamic Click</v>
      </c>
      <c r="F995" t="str">
        <f t="shared" si="219"/>
        <v>alp_varejo-maio_msn_horizontal_Varejo_Categoria-Caminhoes_cpc_prospecting_1200x627_constellation_na</v>
      </c>
      <c r="G995" t="str">
        <f t="shared" si="220"/>
        <v>420336144</v>
      </c>
      <c r="H995" t="str">
        <f t="shared" si="221"/>
        <v>Tracking</v>
      </c>
      <c r="I995">
        <f t="shared" si="222"/>
        <v>1</v>
      </c>
      <c r="J995">
        <f t="shared" si="223"/>
        <v>0</v>
      </c>
      <c r="K995" s="4">
        <f t="shared" si="212"/>
        <v>3.5000000000000001E-3</v>
      </c>
      <c r="L995">
        <f t="shared" si="213"/>
        <v>0.02</v>
      </c>
      <c r="M995" s="4">
        <f t="shared" si="224"/>
        <v>0</v>
      </c>
      <c r="N995" s="4">
        <f t="shared" si="225"/>
        <v>0</v>
      </c>
    </row>
    <row r="996" spans="1:14">
      <c r="A996" t="str">
        <f t="shared" si="214"/>
        <v>alp_varejo-maio</v>
      </c>
      <c r="B996" t="str">
        <f t="shared" si="215"/>
        <v>Google Brasil</v>
      </c>
      <c r="C996" t="str">
        <f t="shared" si="216"/>
        <v>alp_varejo-maio_dbm_timelines_timelines_prospeccao-audience_cpm_prospecting_120x600_open</v>
      </c>
      <c r="D996" t="str">
        <f t="shared" si="217"/>
        <v>222048062</v>
      </c>
      <c r="E996" t="str">
        <f t="shared" si="218"/>
        <v>Standard</v>
      </c>
      <c r="F996" t="str">
        <f t="shared" si="219"/>
        <v>alp_varejo-maio_dbm_timelines_timelines_prospeccao-audience_cpm_prospecting_120x600_constellation_open</v>
      </c>
      <c r="G996" t="str">
        <f t="shared" si="220"/>
        <v>420388082</v>
      </c>
      <c r="H996" t="str">
        <f t="shared" si="221"/>
        <v>Display</v>
      </c>
      <c r="I996">
        <f t="shared" si="222"/>
        <v>919</v>
      </c>
      <c r="J996">
        <f t="shared" si="223"/>
        <v>0</v>
      </c>
      <c r="K996" s="4">
        <f t="shared" si="212"/>
        <v>3.8199999999999998E-2</v>
      </c>
      <c r="L996">
        <f t="shared" si="213"/>
        <v>0.09</v>
      </c>
      <c r="M996" s="4">
        <f t="shared" si="224"/>
        <v>3.5105799999999993E-2</v>
      </c>
      <c r="N996" s="4">
        <f t="shared" si="225"/>
        <v>8.2709999999999992E-2</v>
      </c>
    </row>
    <row r="997" spans="1:14">
      <c r="A997" t="str">
        <f t="shared" si="214"/>
        <v>alp_varejo-maio</v>
      </c>
      <c r="B997" t="str">
        <f t="shared" si="215"/>
        <v>Google Brasil</v>
      </c>
      <c r="C997" t="str">
        <f t="shared" si="216"/>
        <v>alp_varejo-maio_dbm_timelines_timelines_prospeccao-audience_cpm_prospecting_300x250_open</v>
      </c>
      <c r="D997" t="str">
        <f t="shared" si="217"/>
        <v>221806843</v>
      </c>
      <c r="E997" t="str">
        <f t="shared" si="218"/>
        <v>Standard</v>
      </c>
      <c r="F997" t="str">
        <f t="shared" si="219"/>
        <v>alp_varejo-maio_dbm_timelines_timelines_prospeccao-audience_cpm_prospecting_300x250_constellation_open</v>
      </c>
      <c r="G997" t="str">
        <f t="shared" si="220"/>
        <v>420039230</v>
      </c>
      <c r="H997" t="str">
        <f t="shared" si="221"/>
        <v>Display</v>
      </c>
      <c r="I997">
        <f t="shared" si="222"/>
        <v>54350</v>
      </c>
      <c r="J997">
        <f t="shared" si="223"/>
        <v>198</v>
      </c>
      <c r="K997" s="4">
        <f t="shared" si="212"/>
        <v>3.8199999999999998E-2</v>
      </c>
      <c r="L997">
        <f t="shared" si="213"/>
        <v>0.09</v>
      </c>
      <c r="M997" s="4">
        <f t="shared" si="224"/>
        <v>2.0761700000000003</v>
      </c>
      <c r="N997" s="4">
        <f t="shared" si="225"/>
        <v>4.8914999999999997</v>
      </c>
    </row>
    <row r="998" spans="1:14">
      <c r="A998" t="str">
        <f t="shared" si="214"/>
        <v>alp_varejo-maio</v>
      </c>
      <c r="B998" t="str">
        <f t="shared" si="215"/>
        <v>Google Brasil</v>
      </c>
      <c r="C998" t="str">
        <f t="shared" si="216"/>
        <v>alp_varejo-maio_dbm_timelines_timelines_prospeccao-audience_cpm_prospecting_300x250_open</v>
      </c>
      <c r="D998" t="str">
        <f t="shared" si="217"/>
        <v>221806843</v>
      </c>
      <c r="E998" t="str">
        <f t="shared" si="218"/>
        <v>Standard</v>
      </c>
      <c r="F998" t="str">
        <f t="shared" si="219"/>
        <v>alp_varejo-maio_dbm_timelines_timelines_prospeccao-audience_cpm_prospecting_300x250_constellation_open</v>
      </c>
      <c r="G998" t="str">
        <f t="shared" si="220"/>
        <v>420039230</v>
      </c>
      <c r="H998" t="str">
        <f t="shared" si="221"/>
        <v>Display</v>
      </c>
      <c r="I998">
        <f t="shared" si="222"/>
        <v>20</v>
      </c>
      <c r="J998">
        <f t="shared" si="223"/>
        <v>0</v>
      </c>
      <c r="K998" s="4">
        <f t="shared" si="212"/>
        <v>3.8199999999999998E-2</v>
      </c>
      <c r="L998">
        <f t="shared" si="213"/>
        <v>0.09</v>
      </c>
      <c r="M998" s="4">
        <f t="shared" si="224"/>
        <v>7.6400000000000003E-4</v>
      </c>
      <c r="N998" s="4">
        <f t="shared" si="225"/>
        <v>1.7999999999999997E-3</v>
      </c>
    </row>
    <row r="999" spans="1:14">
      <c r="A999" t="str">
        <f t="shared" si="214"/>
        <v>alp_varejo-maio</v>
      </c>
      <c r="B999" t="str">
        <f t="shared" si="215"/>
        <v>Google Brasil</v>
      </c>
      <c r="C999" t="str">
        <f t="shared" si="216"/>
        <v>alp_varejo-maio_dbm_timelines_timelines_prospeccao-audience_cpm_prospecting_300x600_open</v>
      </c>
      <c r="D999" t="str">
        <f t="shared" si="217"/>
        <v>221806837</v>
      </c>
      <c r="E999" t="str">
        <f t="shared" si="218"/>
        <v>Standard</v>
      </c>
      <c r="F999" t="str">
        <f t="shared" si="219"/>
        <v>alp_varejo-maio_dbm_timelines_timelines_prospeccao-audience_cpm_prospecting_300x600_constellation_open</v>
      </c>
      <c r="G999" t="str">
        <f t="shared" si="220"/>
        <v>420039224</v>
      </c>
      <c r="H999" t="str">
        <f t="shared" si="221"/>
        <v>Display</v>
      </c>
      <c r="I999">
        <f t="shared" si="222"/>
        <v>7441</v>
      </c>
      <c r="J999">
        <f t="shared" si="223"/>
        <v>19</v>
      </c>
      <c r="K999" s="4">
        <f t="shared" si="212"/>
        <v>3.8199999999999998E-2</v>
      </c>
      <c r="L999">
        <f t="shared" si="213"/>
        <v>0.09</v>
      </c>
      <c r="M999" s="4">
        <f t="shared" si="224"/>
        <v>0.2842462</v>
      </c>
      <c r="N999" s="4">
        <f t="shared" si="225"/>
        <v>0.6696899999999999</v>
      </c>
    </row>
    <row r="1000" spans="1:14">
      <c r="A1000" t="str">
        <f t="shared" si="214"/>
        <v>alp_varejo-maio</v>
      </c>
      <c r="B1000" t="str">
        <f t="shared" si="215"/>
        <v>Google Brasil</v>
      </c>
      <c r="C1000" t="str">
        <f t="shared" si="216"/>
        <v>alp_varejo-maio_dbm_timelines_timelines_prospeccao-audience_cpm_prospecting_300x600_open</v>
      </c>
      <c r="D1000" t="str">
        <f t="shared" si="217"/>
        <v>221806837</v>
      </c>
      <c r="E1000" t="str">
        <f t="shared" si="218"/>
        <v>Standard</v>
      </c>
      <c r="F1000" t="str">
        <f t="shared" si="219"/>
        <v>alp_varejo-maio_dbm_timelines_timelines_prospeccao-audience_cpm_prospecting_300x600_constellation_open</v>
      </c>
      <c r="G1000" t="str">
        <f t="shared" si="220"/>
        <v>420039224</v>
      </c>
      <c r="H1000" t="str">
        <f t="shared" si="221"/>
        <v>Display</v>
      </c>
      <c r="I1000">
        <f t="shared" si="222"/>
        <v>1</v>
      </c>
      <c r="J1000">
        <f t="shared" si="223"/>
        <v>0</v>
      </c>
      <c r="K1000" s="4">
        <f t="shared" si="212"/>
        <v>3.8199999999999998E-2</v>
      </c>
      <c r="L1000">
        <f t="shared" si="213"/>
        <v>0.09</v>
      </c>
      <c r="M1000" s="4">
        <f t="shared" si="224"/>
        <v>3.82E-5</v>
      </c>
      <c r="N1000" s="4">
        <f t="shared" si="225"/>
        <v>8.9999999999999992E-5</v>
      </c>
    </row>
    <row r="1001" spans="1:14">
      <c r="A1001" t="str">
        <f t="shared" si="214"/>
        <v>alp_varejo-maio</v>
      </c>
      <c r="B1001" t="str">
        <f t="shared" si="215"/>
        <v>Google Brasil</v>
      </c>
      <c r="C1001" t="str">
        <f t="shared" si="216"/>
        <v>alp_varejo-maio_dbm_timelines_timelines_prospeccao-audience_cpm_prospecting_320x50_open</v>
      </c>
      <c r="D1001" t="str">
        <f t="shared" si="217"/>
        <v>222109024</v>
      </c>
      <c r="E1001" t="str">
        <f t="shared" si="218"/>
        <v>Standard</v>
      </c>
      <c r="F1001" t="str">
        <f t="shared" si="219"/>
        <v>alp_varejo-maio_dbm_timelines_timelines_prospeccao-audience_cpm_prospecting_320x50_constellation_open</v>
      </c>
      <c r="G1001" t="str">
        <f t="shared" si="220"/>
        <v>420383564</v>
      </c>
      <c r="H1001" t="str">
        <f t="shared" si="221"/>
        <v>Display</v>
      </c>
      <c r="I1001">
        <f t="shared" si="222"/>
        <v>19603</v>
      </c>
      <c r="J1001">
        <f t="shared" si="223"/>
        <v>39</v>
      </c>
      <c r="K1001" s="4">
        <f t="shared" si="212"/>
        <v>3.8199999999999998E-2</v>
      </c>
      <c r="L1001">
        <f t="shared" si="213"/>
        <v>0.09</v>
      </c>
      <c r="M1001" s="4">
        <f t="shared" si="224"/>
        <v>0.74883459999999991</v>
      </c>
      <c r="N1001" s="4">
        <f t="shared" si="225"/>
        <v>1.76427</v>
      </c>
    </row>
    <row r="1002" spans="1:14">
      <c r="A1002" t="str">
        <f t="shared" si="214"/>
        <v>alp_varejo-maio</v>
      </c>
      <c r="B1002" t="str">
        <f t="shared" si="215"/>
        <v>Google Brasil</v>
      </c>
      <c r="C1002" t="str">
        <f t="shared" si="216"/>
        <v>alp_varejo-maio_dbm_timelines_timelines_prospeccao-audience_cpm_prospecting_320x50_open</v>
      </c>
      <c r="D1002" t="str">
        <f t="shared" si="217"/>
        <v>222109024</v>
      </c>
      <c r="E1002" t="str">
        <f t="shared" si="218"/>
        <v>Standard</v>
      </c>
      <c r="F1002" t="str">
        <f t="shared" si="219"/>
        <v>alp_varejo-maio_dbm_timelines_timelines_prospeccao-audience_cpm_prospecting_320x50_constellation_open</v>
      </c>
      <c r="G1002" t="str">
        <f t="shared" si="220"/>
        <v>420383564</v>
      </c>
      <c r="H1002" t="str">
        <f t="shared" si="221"/>
        <v>Display</v>
      </c>
      <c r="I1002">
        <f t="shared" si="222"/>
        <v>11</v>
      </c>
      <c r="J1002">
        <f t="shared" si="223"/>
        <v>0</v>
      </c>
      <c r="K1002" s="4">
        <f t="shared" si="212"/>
        <v>3.8199999999999998E-2</v>
      </c>
      <c r="L1002">
        <f t="shared" si="213"/>
        <v>0.09</v>
      </c>
      <c r="M1002" s="4">
        <f t="shared" si="224"/>
        <v>4.2019999999999997E-4</v>
      </c>
      <c r="N1002" s="4">
        <f t="shared" si="225"/>
        <v>9.8999999999999999E-4</v>
      </c>
    </row>
    <row r="1003" spans="1:14">
      <c r="A1003" t="str">
        <f t="shared" si="214"/>
        <v>alp_varejo-maio</v>
      </c>
      <c r="B1003" t="str">
        <f t="shared" si="215"/>
        <v>Google Brasil</v>
      </c>
      <c r="C1003" t="str">
        <f t="shared" si="216"/>
        <v>alp_varejo-maio_dbm_timelines_timelines_prospeccao-audience_cpm_prospecting_728x90_open</v>
      </c>
      <c r="D1003" t="str">
        <f t="shared" si="217"/>
        <v>221806831</v>
      </c>
      <c r="E1003" t="str">
        <f t="shared" si="218"/>
        <v>Standard</v>
      </c>
      <c r="F1003" t="str">
        <f t="shared" si="219"/>
        <v>alp_varejo-maio_dbm_timelines_timelines_prospeccao-audience_cpm_prospecting_728x90_constellation_open</v>
      </c>
      <c r="G1003" t="str">
        <f t="shared" si="220"/>
        <v>420039218</v>
      </c>
      <c r="H1003" t="str">
        <f t="shared" si="221"/>
        <v>Display</v>
      </c>
      <c r="I1003">
        <f t="shared" si="222"/>
        <v>16903</v>
      </c>
      <c r="J1003">
        <f t="shared" si="223"/>
        <v>35</v>
      </c>
      <c r="K1003" s="4">
        <f t="shared" si="212"/>
        <v>3.8199999999999998E-2</v>
      </c>
      <c r="L1003">
        <f t="shared" si="213"/>
        <v>0.09</v>
      </c>
      <c r="M1003" s="4">
        <f t="shared" si="224"/>
        <v>0.6456945999999999</v>
      </c>
      <c r="N1003" s="4">
        <f t="shared" si="225"/>
        <v>1.5212699999999999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776"/>
  <sheetViews>
    <sheetView showGridLines="0" tabSelected="1" workbookViewId="0">
      <selection activeCell="A1020" sqref="A1020:XFD1020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49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55260631</v>
      </c>
      <c r="E4" s="14">
        <f>C4*D4/1000</f>
        <v>4973.4567900000002</v>
      </c>
      <c r="G4" s="23" t="s">
        <v>67</v>
      </c>
      <c r="H4" s="23" t="s">
        <v>68</v>
      </c>
    </row>
    <row r="5" spans="1:8">
      <c r="B5" s="13" t="s">
        <v>11</v>
      </c>
      <c r="C5" s="2">
        <v>0.09</v>
      </c>
      <c r="D5" s="2">
        <f>SUMIF(adtype_filtrada,$B5,impressoes_filtrada)</f>
        <v>4736174</v>
      </c>
      <c r="E5" s="14">
        <f>C5*D5/1000</f>
        <v>426.25565999999998</v>
      </c>
      <c r="G5" s="14">
        <f>SUM(total_adops_filtrada)</f>
        <v>7001.2724499999604</v>
      </c>
      <c r="H5" s="14">
        <f>SUM(total_ferramenta_filtrada)</f>
        <v>2572.1509510000046</v>
      </c>
    </row>
    <row r="6" spans="1:8">
      <c r="B6" s="13" t="s">
        <v>10</v>
      </c>
      <c r="C6" s="2">
        <v>0.02</v>
      </c>
      <c r="D6" s="2">
        <f>SUMIF(adtype_filtrada,$B6,clicks_filtrada)</f>
        <v>80078</v>
      </c>
      <c r="E6" s="14">
        <f>C6*D6</f>
        <v>1601.56</v>
      </c>
    </row>
    <row r="7" spans="1:8">
      <c r="B7" s="13" t="s">
        <v>29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25</v>
      </c>
      <c r="C8" s="2">
        <v>0.35</v>
      </c>
      <c r="D8" s="2">
        <f>SUMIF(adtype_filtrada,$B8,impressoes_filtrada)</f>
        <v>0</v>
      </c>
      <c r="E8" s="14">
        <f>C8*D8/1000</f>
        <v>0</v>
      </c>
    </row>
    <row r="9" spans="1:8">
      <c r="B9" s="12" t="s">
        <v>23</v>
      </c>
      <c r="C9" s="12"/>
      <c r="D9" s="12"/>
      <c r="E9" s="15">
        <f>SUM(E4:E8)</f>
        <v>7001.2724500000004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69</v>
      </c>
      <c r="C19" t="s">
        <v>61</v>
      </c>
      <c r="D19" t="s">
        <v>70</v>
      </c>
      <c r="E19" t="s">
        <v>71</v>
      </c>
      <c r="F19" t="s">
        <v>11</v>
      </c>
      <c r="G19" t="s">
        <v>51</v>
      </c>
      <c r="H19" t="s">
        <v>72</v>
      </c>
      <c r="I19" t="s">
        <v>31</v>
      </c>
      <c r="J19">
        <v>2</v>
      </c>
      <c r="K19">
        <v>0</v>
      </c>
      <c r="L19" s="4">
        <v>3.8199999999999998E-2</v>
      </c>
      <c r="M19">
        <v>0.09</v>
      </c>
      <c r="N19" s="4">
        <v>7.64E-5</v>
      </c>
      <c r="O19" s="4">
        <v>1.7999999999999998E-4</v>
      </c>
    </row>
    <row r="20" spans="1:15">
      <c r="B20" t="s">
        <v>69</v>
      </c>
      <c r="C20" t="s">
        <v>61</v>
      </c>
      <c r="D20" t="s">
        <v>73</v>
      </c>
      <c r="E20" t="s">
        <v>74</v>
      </c>
      <c r="F20" t="s">
        <v>11</v>
      </c>
      <c r="G20" t="s">
        <v>56</v>
      </c>
      <c r="H20" t="s">
        <v>75</v>
      </c>
      <c r="I20" t="s">
        <v>31</v>
      </c>
      <c r="J20">
        <v>2</v>
      </c>
      <c r="K20">
        <v>0</v>
      </c>
      <c r="L20" s="4">
        <v>3.8199999999999998E-2</v>
      </c>
      <c r="M20">
        <v>0.09</v>
      </c>
      <c r="N20" s="4">
        <v>7.64E-5</v>
      </c>
      <c r="O20" s="4">
        <v>1.7999999999999998E-4</v>
      </c>
    </row>
    <row r="21" spans="1:15">
      <c r="B21" t="s">
        <v>69</v>
      </c>
      <c r="C21" t="s">
        <v>59</v>
      </c>
      <c r="D21" t="s">
        <v>76</v>
      </c>
      <c r="E21" t="s">
        <v>77</v>
      </c>
      <c r="F21" t="s">
        <v>12</v>
      </c>
      <c r="G21" t="s">
        <v>76</v>
      </c>
      <c r="H21" t="s">
        <v>78</v>
      </c>
      <c r="I21" t="s">
        <v>31</v>
      </c>
      <c r="J21">
        <v>498806</v>
      </c>
      <c r="K21">
        <v>670</v>
      </c>
      <c r="L21" s="4">
        <v>3.8199999999999998E-2</v>
      </c>
      <c r="M21">
        <v>0.09</v>
      </c>
      <c r="N21" s="4">
        <v>19.054389199999999</v>
      </c>
      <c r="O21" s="4">
        <v>44.892540000000004</v>
      </c>
    </row>
    <row r="22" spans="1:15">
      <c r="B22" t="s">
        <v>69</v>
      </c>
      <c r="C22" t="s">
        <v>59</v>
      </c>
      <c r="D22" t="s">
        <v>79</v>
      </c>
      <c r="E22" t="s">
        <v>80</v>
      </c>
      <c r="F22" t="s">
        <v>12</v>
      </c>
      <c r="G22" t="s">
        <v>79</v>
      </c>
      <c r="H22" t="s">
        <v>81</v>
      </c>
      <c r="I22" t="s">
        <v>31</v>
      </c>
      <c r="J22">
        <v>3159905</v>
      </c>
      <c r="K22">
        <v>9532</v>
      </c>
      <c r="L22" s="4">
        <v>3.8199999999999998E-2</v>
      </c>
      <c r="M22">
        <v>0.09</v>
      </c>
      <c r="N22" s="4">
        <v>120.708371</v>
      </c>
      <c r="O22" s="4">
        <v>284.39145000000002</v>
      </c>
    </row>
    <row r="23" spans="1:15">
      <c r="B23" t="s">
        <v>69</v>
      </c>
      <c r="C23" t="s">
        <v>59</v>
      </c>
      <c r="D23" t="s">
        <v>82</v>
      </c>
      <c r="E23" t="s">
        <v>83</v>
      </c>
      <c r="F23" t="s">
        <v>12</v>
      </c>
      <c r="G23" t="s">
        <v>82</v>
      </c>
      <c r="H23" t="s">
        <v>84</v>
      </c>
      <c r="I23" t="s">
        <v>31</v>
      </c>
      <c r="J23">
        <v>1852318</v>
      </c>
      <c r="K23">
        <v>1307</v>
      </c>
      <c r="L23" s="4">
        <v>3.8199999999999998E-2</v>
      </c>
      <c r="M23">
        <v>0.09</v>
      </c>
      <c r="N23" s="4">
        <v>70.758547599999986</v>
      </c>
      <c r="O23" s="4">
        <v>166.70862</v>
      </c>
    </row>
    <row r="24" spans="1:15">
      <c r="B24" t="s">
        <v>69</v>
      </c>
      <c r="C24" t="s">
        <v>59</v>
      </c>
      <c r="D24" t="s">
        <v>85</v>
      </c>
      <c r="E24" t="s">
        <v>86</v>
      </c>
      <c r="F24" t="s">
        <v>12</v>
      </c>
      <c r="G24" t="s">
        <v>85</v>
      </c>
      <c r="H24" t="s">
        <v>87</v>
      </c>
      <c r="I24" t="s">
        <v>31</v>
      </c>
      <c r="J24">
        <v>1571042</v>
      </c>
      <c r="K24">
        <v>1381</v>
      </c>
      <c r="L24" s="4">
        <v>3.8199999999999998E-2</v>
      </c>
      <c r="M24">
        <v>0.09</v>
      </c>
      <c r="N24" s="4">
        <v>60.013804399999991</v>
      </c>
      <c r="O24" s="4">
        <v>141.39377999999999</v>
      </c>
    </row>
    <row r="25" spans="1:15">
      <c r="B25" t="s">
        <v>69</v>
      </c>
      <c r="C25" t="s">
        <v>59</v>
      </c>
      <c r="D25" t="s">
        <v>88</v>
      </c>
      <c r="E25" t="s">
        <v>89</v>
      </c>
      <c r="F25" t="s">
        <v>10</v>
      </c>
      <c r="G25" t="s">
        <v>88</v>
      </c>
      <c r="H25" t="s">
        <v>90</v>
      </c>
      <c r="I25" t="s">
        <v>32</v>
      </c>
      <c r="J25">
        <v>0</v>
      </c>
      <c r="K25">
        <v>1</v>
      </c>
      <c r="L25" s="4">
        <v>3.5000000000000001E-3</v>
      </c>
      <c r="M25">
        <v>0.02</v>
      </c>
      <c r="N25" s="4">
        <v>3.5000000000000001E-3</v>
      </c>
      <c r="O25" s="4">
        <v>0.02</v>
      </c>
    </row>
    <row r="26" spans="1:15">
      <c r="B26" t="s">
        <v>69</v>
      </c>
      <c r="C26" t="s">
        <v>59</v>
      </c>
      <c r="D26" t="s">
        <v>91</v>
      </c>
      <c r="E26" t="s">
        <v>92</v>
      </c>
      <c r="F26" t="s">
        <v>12</v>
      </c>
      <c r="G26" t="s">
        <v>91</v>
      </c>
      <c r="H26" t="s">
        <v>93</v>
      </c>
      <c r="I26" t="s">
        <v>31</v>
      </c>
      <c r="J26">
        <v>505328</v>
      </c>
      <c r="K26">
        <v>159</v>
      </c>
      <c r="L26" s="4">
        <v>3.8199999999999998E-2</v>
      </c>
      <c r="M26">
        <v>0.09</v>
      </c>
      <c r="N26" s="4">
        <v>19.303529599999997</v>
      </c>
      <c r="O26" s="4">
        <v>45.479519999999994</v>
      </c>
    </row>
    <row r="27" spans="1:15">
      <c r="B27" t="s">
        <v>69</v>
      </c>
      <c r="C27" t="s">
        <v>59</v>
      </c>
      <c r="D27" t="s">
        <v>94</v>
      </c>
      <c r="E27" t="s">
        <v>95</v>
      </c>
      <c r="F27" t="s">
        <v>12</v>
      </c>
      <c r="G27" t="s">
        <v>94</v>
      </c>
      <c r="H27" t="s">
        <v>96</v>
      </c>
      <c r="I27" t="s">
        <v>31</v>
      </c>
      <c r="J27">
        <v>1576143</v>
      </c>
      <c r="K27">
        <v>643</v>
      </c>
      <c r="L27" s="4">
        <v>3.8199999999999998E-2</v>
      </c>
      <c r="M27">
        <v>0.09</v>
      </c>
      <c r="N27" s="4">
        <v>60.208662599999997</v>
      </c>
      <c r="O27" s="4">
        <v>141.85287</v>
      </c>
    </row>
    <row r="28" spans="1:15">
      <c r="B28" t="s">
        <v>69</v>
      </c>
      <c r="C28" t="s">
        <v>59</v>
      </c>
      <c r="D28" t="s">
        <v>97</v>
      </c>
      <c r="E28" t="s">
        <v>98</v>
      </c>
      <c r="F28" t="s">
        <v>10</v>
      </c>
      <c r="G28" t="s">
        <v>97</v>
      </c>
      <c r="H28" t="s">
        <v>99</v>
      </c>
      <c r="I28" t="s">
        <v>32</v>
      </c>
      <c r="J28">
        <v>0</v>
      </c>
      <c r="K28">
        <v>15475</v>
      </c>
      <c r="L28" s="4">
        <v>3.5000000000000001E-3</v>
      </c>
      <c r="M28">
        <v>0.02</v>
      </c>
      <c r="N28" s="4">
        <v>54.162500000000001</v>
      </c>
      <c r="O28" s="4">
        <v>309.5</v>
      </c>
    </row>
    <row r="29" spans="1:15">
      <c r="B29" t="s">
        <v>69</v>
      </c>
      <c r="C29" t="s">
        <v>59</v>
      </c>
      <c r="D29" t="s">
        <v>97</v>
      </c>
      <c r="E29" t="s">
        <v>98</v>
      </c>
      <c r="F29" t="s">
        <v>10</v>
      </c>
      <c r="G29" t="s">
        <v>97</v>
      </c>
      <c r="H29" t="s">
        <v>99</v>
      </c>
      <c r="I29" t="s">
        <v>32</v>
      </c>
      <c r="J29">
        <v>0</v>
      </c>
      <c r="K29">
        <v>22</v>
      </c>
      <c r="L29" s="4">
        <v>3.5000000000000001E-3</v>
      </c>
      <c r="M29">
        <v>0.02</v>
      </c>
      <c r="N29" s="4">
        <v>7.6999999999999999E-2</v>
      </c>
      <c r="O29" s="4">
        <v>0.44</v>
      </c>
    </row>
    <row r="30" spans="1:15">
      <c r="B30" t="s">
        <v>69</v>
      </c>
      <c r="C30" t="s">
        <v>59</v>
      </c>
      <c r="D30" t="s">
        <v>100</v>
      </c>
      <c r="E30" t="s">
        <v>101</v>
      </c>
      <c r="F30" t="s">
        <v>10</v>
      </c>
      <c r="G30" t="s">
        <v>100</v>
      </c>
      <c r="H30" t="s">
        <v>102</v>
      </c>
      <c r="I30" t="s">
        <v>32</v>
      </c>
      <c r="J30">
        <v>0</v>
      </c>
      <c r="K30">
        <v>30412</v>
      </c>
      <c r="L30" s="4">
        <v>3.5000000000000001E-3</v>
      </c>
      <c r="M30">
        <v>0.02</v>
      </c>
      <c r="N30" s="4">
        <v>106.44200000000001</v>
      </c>
      <c r="O30" s="4">
        <v>608.24</v>
      </c>
    </row>
    <row r="31" spans="1:15">
      <c r="B31" t="s">
        <v>69</v>
      </c>
      <c r="C31" t="s">
        <v>59</v>
      </c>
      <c r="D31" t="s">
        <v>103</v>
      </c>
      <c r="E31" t="s">
        <v>104</v>
      </c>
      <c r="F31" t="s">
        <v>10</v>
      </c>
      <c r="G31" t="s">
        <v>103</v>
      </c>
      <c r="H31" t="s">
        <v>105</v>
      </c>
      <c r="I31" t="s">
        <v>32</v>
      </c>
      <c r="J31">
        <v>0</v>
      </c>
      <c r="K31">
        <v>2</v>
      </c>
      <c r="L31" s="4">
        <v>3.5000000000000001E-3</v>
      </c>
      <c r="M31">
        <v>0.02</v>
      </c>
      <c r="N31" s="4">
        <v>7.0000000000000001E-3</v>
      </c>
      <c r="O31" s="4">
        <v>0.04</v>
      </c>
    </row>
    <row r="32" spans="1:15">
      <c r="B32" t="s">
        <v>69</v>
      </c>
      <c r="C32" t="s">
        <v>59</v>
      </c>
      <c r="D32" t="s">
        <v>106</v>
      </c>
      <c r="E32" t="s">
        <v>107</v>
      </c>
      <c r="F32" t="s">
        <v>10</v>
      </c>
      <c r="G32" t="s">
        <v>106</v>
      </c>
      <c r="H32" t="s">
        <v>108</v>
      </c>
      <c r="I32" t="s">
        <v>32</v>
      </c>
      <c r="J32">
        <v>102907</v>
      </c>
      <c r="K32">
        <v>929</v>
      </c>
      <c r="L32" s="4">
        <v>3.5000000000000001E-3</v>
      </c>
      <c r="M32">
        <v>0.02</v>
      </c>
      <c r="N32" s="4">
        <v>3.2515000000000001</v>
      </c>
      <c r="O32" s="4">
        <v>18.580000000000002</v>
      </c>
    </row>
    <row r="33" spans="2:15">
      <c r="B33" t="s">
        <v>69</v>
      </c>
      <c r="C33" t="s">
        <v>59</v>
      </c>
      <c r="D33" t="s">
        <v>109</v>
      </c>
      <c r="E33" t="s">
        <v>110</v>
      </c>
      <c r="F33" t="s">
        <v>12</v>
      </c>
      <c r="G33" t="s">
        <v>109</v>
      </c>
      <c r="H33" t="s">
        <v>111</v>
      </c>
      <c r="I33" t="s">
        <v>31</v>
      </c>
      <c r="J33">
        <v>144473</v>
      </c>
      <c r="K33">
        <v>151</v>
      </c>
      <c r="L33" s="4">
        <v>3.8199999999999998E-2</v>
      </c>
      <c r="M33">
        <v>0.09</v>
      </c>
      <c r="N33" s="4">
        <v>5.5188685999999993</v>
      </c>
      <c r="O33" s="4">
        <v>13.00257</v>
      </c>
    </row>
    <row r="34" spans="2:15">
      <c r="B34" t="s">
        <v>69</v>
      </c>
      <c r="C34" t="s">
        <v>59</v>
      </c>
      <c r="D34" t="s">
        <v>112</v>
      </c>
      <c r="E34" t="s">
        <v>113</v>
      </c>
      <c r="F34" t="s">
        <v>10</v>
      </c>
      <c r="G34" t="s">
        <v>112</v>
      </c>
      <c r="H34" t="s">
        <v>114</v>
      </c>
      <c r="I34" t="s">
        <v>32</v>
      </c>
      <c r="J34">
        <v>0</v>
      </c>
      <c r="K34">
        <v>1</v>
      </c>
      <c r="L34" s="4">
        <v>3.5000000000000001E-3</v>
      </c>
      <c r="M34">
        <v>0.02</v>
      </c>
      <c r="N34" s="4">
        <v>3.5000000000000001E-3</v>
      </c>
      <c r="O34" s="4">
        <v>0.02</v>
      </c>
    </row>
    <row r="35" spans="2:15">
      <c r="B35" t="s">
        <v>69</v>
      </c>
      <c r="C35" t="s">
        <v>59</v>
      </c>
      <c r="D35" t="s">
        <v>115</v>
      </c>
      <c r="E35" t="s">
        <v>116</v>
      </c>
      <c r="F35" t="s">
        <v>12</v>
      </c>
      <c r="G35" t="s">
        <v>115</v>
      </c>
      <c r="H35" t="s">
        <v>117</v>
      </c>
      <c r="I35" t="s">
        <v>31</v>
      </c>
      <c r="J35">
        <v>1648164</v>
      </c>
      <c r="K35">
        <v>1141</v>
      </c>
      <c r="L35" s="4">
        <v>3.8199999999999998E-2</v>
      </c>
      <c r="M35">
        <v>0.09</v>
      </c>
      <c r="N35" s="4">
        <v>62.959864799999998</v>
      </c>
      <c r="O35" s="4">
        <v>148.33475999999999</v>
      </c>
    </row>
    <row r="36" spans="2:15">
      <c r="B36" t="s">
        <v>69</v>
      </c>
      <c r="C36" t="s">
        <v>59</v>
      </c>
      <c r="D36" t="s">
        <v>118</v>
      </c>
      <c r="E36" t="s">
        <v>119</v>
      </c>
      <c r="F36" t="s">
        <v>12</v>
      </c>
      <c r="G36" t="s">
        <v>118</v>
      </c>
      <c r="H36" t="s">
        <v>120</v>
      </c>
      <c r="I36" t="s">
        <v>31</v>
      </c>
      <c r="J36">
        <v>3111402</v>
      </c>
      <c r="K36">
        <v>2948</v>
      </c>
      <c r="L36" s="4">
        <v>3.8199999999999998E-2</v>
      </c>
      <c r="M36">
        <v>0.09</v>
      </c>
      <c r="N36" s="4">
        <v>118.85555639999998</v>
      </c>
      <c r="O36" s="4">
        <v>280.02618000000001</v>
      </c>
    </row>
    <row r="37" spans="2:15">
      <c r="B37" t="s">
        <v>69</v>
      </c>
      <c r="C37" t="s">
        <v>63</v>
      </c>
      <c r="D37" t="s">
        <v>121</v>
      </c>
      <c r="E37" t="s">
        <v>122</v>
      </c>
      <c r="F37" t="s">
        <v>12</v>
      </c>
      <c r="G37" t="s">
        <v>123</v>
      </c>
      <c r="H37" t="s">
        <v>124</v>
      </c>
      <c r="I37" t="s">
        <v>31</v>
      </c>
      <c r="J37">
        <v>1</v>
      </c>
      <c r="K37">
        <v>1</v>
      </c>
      <c r="L37" s="4">
        <v>3.8199999999999998E-2</v>
      </c>
      <c r="M37">
        <v>0.09</v>
      </c>
      <c r="N37" s="4">
        <v>3.82E-5</v>
      </c>
      <c r="O37" s="4">
        <v>8.9999999999999992E-5</v>
      </c>
    </row>
    <row r="38" spans="2:15">
      <c r="B38" t="s">
        <v>69</v>
      </c>
      <c r="C38" t="s">
        <v>63</v>
      </c>
      <c r="D38" t="s">
        <v>121</v>
      </c>
      <c r="E38" t="s">
        <v>122</v>
      </c>
      <c r="F38" t="s">
        <v>12</v>
      </c>
      <c r="G38" t="s">
        <v>123</v>
      </c>
      <c r="H38" t="s">
        <v>124</v>
      </c>
      <c r="I38" t="s">
        <v>31</v>
      </c>
      <c r="J38">
        <v>2</v>
      </c>
      <c r="K38">
        <v>0</v>
      </c>
      <c r="L38" s="4">
        <v>3.8199999999999998E-2</v>
      </c>
      <c r="M38">
        <v>0.09</v>
      </c>
      <c r="N38" s="4">
        <v>7.64E-5</v>
      </c>
      <c r="O38" s="4">
        <v>1.7999999999999998E-4</v>
      </c>
    </row>
    <row r="39" spans="2:15">
      <c r="B39" t="s">
        <v>69</v>
      </c>
      <c r="C39" t="s">
        <v>63</v>
      </c>
      <c r="D39" t="s">
        <v>121</v>
      </c>
      <c r="E39" t="s">
        <v>122</v>
      </c>
      <c r="F39" t="s">
        <v>10</v>
      </c>
      <c r="G39" t="s">
        <v>121</v>
      </c>
      <c r="H39" t="s">
        <v>125</v>
      </c>
      <c r="I39" t="s">
        <v>32</v>
      </c>
      <c r="J39">
        <v>251256</v>
      </c>
      <c r="K39">
        <v>1496</v>
      </c>
      <c r="L39" s="4">
        <v>3.5000000000000001E-3</v>
      </c>
      <c r="M39">
        <v>0.02</v>
      </c>
      <c r="N39" s="4">
        <v>5.2359999999999998</v>
      </c>
      <c r="O39" s="4">
        <v>29.92</v>
      </c>
    </row>
    <row r="40" spans="2:15">
      <c r="B40" t="s">
        <v>69</v>
      </c>
      <c r="C40" t="s">
        <v>63</v>
      </c>
      <c r="D40" t="s">
        <v>126</v>
      </c>
      <c r="E40" t="s">
        <v>127</v>
      </c>
      <c r="F40" t="s">
        <v>12</v>
      </c>
      <c r="G40" t="s">
        <v>128</v>
      </c>
      <c r="H40" t="s">
        <v>129</v>
      </c>
      <c r="I40" t="s">
        <v>31</v>
      </c>
      <c r="J40">
        <v>1</v>
      </c>
      <c r="K40">
        <v>1</v>
      </c>
      <c r="L40" s="4">
        <v>3.8199999999999998E-2</v>
      </c>
      <c r="M40">
        <v>0.09</v>
      </c>
      <c r="N40" s="4">
        <v>3.82E-5</v>
      </c>
      <c r="O40" s="4">
        <v>8.9999999999999992E-5</v>
      </c>
    </row>
    <row r="41" spans="2:15">
      <c r="B41" t="s">
        <v>69</v>
      </c>
      <c r="C41" t="s">
        <v>63</v>
      </c>
      <c r="D41" t="s">
        <v>126</v>
      </c>
      <c r="E41" t="s">
        <v>127</v>
      </c>
      <c r="F41" t="s">
        <v>12</v>
      </c>
      <c r="G41" t="s">
        <v>128</v>
      </c>
      <c r="H41" t="s">
        <v>129</v>
      </c>
      <c r="I41" t="s">
        <v>31</v>
      </c>
      <c r="J41">
        <v>3</v>
      </c>
      <c r="K41">
        <v>0</v>
      </c>
      <c r="L41" s="4">
        <v>3.8199999999999998E-2</v>
      </c>
      <c r="M41">
        <v>0.09</v>
      </c>
      <c r="N41" s="4">
        <v>1.1459999999999999E-4</v>
      </c>
      <c r="O41" s="4">
        <v>2.7E-4</v>
      </c>
    </row>
    <row r="42" spans="2:15">
      <c r="B42" t="s">
        <v>69</v>
      </c>
      <c r="C42" t="s">
        <v>63</v>
      </c>
      <c r="D42" t="s">
        <v>126</v>
      </c>
      <c r="E42" t="s">
        <v>127</v>
      </c>
      <c r="F42" t="s">
        <v>10</v>
      </c>
      <c r="G42" t="s">
        <v>126</v>
      </c>
      <c r="H42" t="s">
        <v>130</v>
      </c>
      <c r="I42" t="s">
        <v>32</v>
      </c>
      <c r="J42">
        <v>311739</v>
      </c>
      <c r="K42">
        <v>5402</v>
      </c>
      <c r="L42" s="4">
        <v>3.5000000000000001E-3</v>
      </c>
      <c r="M42">
        <v>0.02</v>
      </c>
      <c r="N42" s="4">
        <v>18.907</v>
      </c>
      <c r="O42" s="4">
        <v>108.04</v>
      </c>
    </row>
    <row r="43" spans="2:15">
      <c r="B43" t="s">
        <v>69</v>
      </c>
      <c r="C43" t="s">
        <v>63</v>
      </c>
      <c r="D43" t="s">
        <v>131</v>
      </c>
      <c r="E43" t="s">
        <v>132</v>
      </c>
      <c r="F43" t="s">
        <v>12</v>
      </c>
      <c r="G43" t="s">
        <v>131</v>
      </c>
      <c r="H43" t="s">
        <v>133</v>
      </c>
      <c r="I43" t="s">
        <v>31</v>
      </c>
      <c r="J43">
        <v>10225</v>
      </c>
      <c r="K43">
        <v>17</v>
      </c>
      <c r="L43" s="4">
        <v>3.8199999999999998E-2</v>
      </c>
      <c r="M43">
        <v>0.09</v>
      </c>
      <c r="N43" s="4">
        <v>0.39059499999999997</v>
      </c>
      <c r="O43" s="4">
        <v>0.92025000000000001</v>
      </c>
    </row>
    <row r="44" spans="2:15">
      <c r="B44" t="s">
        <v>69</v>
      </c>
      <c r="C44" t="s">
        <v>63</v>
      </c>
      <c r="D44" t="s">
        <v>131</v>
      </c>
      <c r="E44" t="s">
        <v>132</v>
      </c>
      <c r="F44" t="s">
        <v>12</v>
      </c>
      <c r="G44" t="s">
        <v>131</v>
      </c>
      <c r="H44" t="s">
        <v>133</v>
      </c>
      <c r="I44" t="s">
        <v>31</v>
      </c>
      <c r="J44">
        <v>1150</v>
      </c>
      <c r="K44">
        <v>2</v>
      </c>
      <c r="L44" s="4">
        <v>3.8199999999999998E-2</v>
      </c>
      <c r="M44">
        <v>0.09</v>
      </c>
      <c r="N44" s="4">
        <v>4.3929999999999997E-2</v>
      </c>
      <c r="O44" s="4">
        <v>0.10349999999999999</v>
      </c>
    </row>
    <row r="45" spans="2:15">
      <c r="B45" t="s">
        <v>69</v>
      </c>
      <c r="C45" t="s">
        <v>63</v>
      </c>
      <c r="D45" t="s">
        <v>134</v>
      </c>
      <c r="E45" t="s">
        <v>135</v>
      </c>
      <c r="F45" t="s">
        <v>12</v>
      </c>
      <c r="G45" t="s">
        <v>134</v>
      </c>
      <c r="H45" t="s">
        <v>136</v>
      </c>
      <c r="I45" t="s">
        <v>31</v>
      </c>
      <c r="J45">
        <v>7618</v>
      </c>
      <c r="K45">
        <v>12</v>
      </c>
      <c r="L45" s="4">
        <v>3.8199999999999998E-2</v>
      </c>
      <c r="M45">
        <v>0.09</v>
      </c>
      <c r="N45" s="4">
        <v>0.29100759999999998</v>
      </c>
      <c r="O45" s="4">
        <v>0.68562000000000001</v>
      </c>
    </row>
    <row r="46" spans="2:15">
      <c r="B46" t="s">
        <v>69</v>
      </c>
      <c r="C46" t="s">
        <v>63</v>
      </c>
      <c r="D46" t="s">
        <v>134</v>
      </c>
      <c r="E46" t="s">
        <v>135</v>
      </c>
      <c r="F46" t="s">
        <v>12</v>
      </c>
      <c r="G46" t="s">
        <v>134</v>
      </c>
      <c r="H46" t="s">
        <v>136</v>
      </c>
      <c r="I46" t="s">
        <v>31</v>
      </c>
      <c r="J46">
        <v>902</v>
      </c>
      <c r="K46">
        <v>6</v>
      </c>
      <c r="L46" s="4">
        <v>3.8199999999999998E-2</v>
      </c>
      <c r="M46">
        <v>0.09</v>
      </c>
      <c r="N46" s="4">
        <v>3.4456399999999998E-2</v>
      </c>
      <c r="O46" s="4">
        <v>8.1179999999999988E-2</v>
      </c>
    </row>
    <row r="47" spans="2:15">
      <c r="B47" t="s">
        <v>69</v>
      </c>
      <c r="C47" t="s">
        <v>63</v>
      </c>
      <c r="D47" t="s">
        <v>137</v>
      </c>
      <c r="E47" t="s">
        <v>138</v>
      </c>
      <c r="F47" t="s">
        <v>12</v>
      </c>
      <c r="G47" t="s">
        <v>137</v>
      </c>
      <c r="H47" t="s">
        <v>139</v>
      </c>
      <c r="I47" t="s">
        <v>31</v>
      </c>
      <c r="J47">
        <v>6077</v>
      </c>
      <c r="K47">
        <v>23</v>
      </c>
      <c r="L47" s="4">
        <v>3.8199999999999998E-2</v>
      </c>
      <c r="M47">
        <v>0.09</v>
      </c>
      <c r="N47" s="4">
        <v>0.23214139999999997</v>
      </c>
      <c r="O47" s="4">
        <v>0.54692999999999992</v>
      </c>
    </row>
    <row r="48" spans="2:15">
      <c r="B48" t="s">
        <v>69</v>
      </c>
      <c r="C48" t="s">
        <v>63</v>
      </c>
      <c r="D48" t="s">
        <v>137</v>
      </c>
      <c r="E48" t="s">
        <v>138</v>
      </c>
      <c r="F48" t="s">
        <v>12</v>
      </c>
      <c r="G48" t="s">
        <v>137</v>
      </c>
      <c r="H48" t="s">
        <v>139</v>
      </c>
      <c r="I48" t="s">
        <v>31</v>
      </c>
      <c r="J48">
        <v>1050</v>
      </c>
      <c r="K48">
        <v>4</v>
      </c>
      <c r="L48" s="4">
        <v>3.8199999999999998E-2</v>
      </c>
      <c r="M48">
        <v>0.09</v>
      </c>
      <c r="N48" s="4">
        <v>4.011E-2</v>
      </c>
      <c r="O48" s="4">
        <v>9.4500000000000001E-2</v>
      </c>
    </row>
    <row r="49" spans="2:15">
      <c r="B49" t="s">
        <v>69</v>
      </c>
      <c r="C49" t="s">
        <v>63</v>
      </c>
      <c r="D49" t="s">
        <v>140</v>
      </c>
      <c r="E49" t="s">
        <v>141</v>
      </c>
      <c r="F49" t="s">
        <v>12</v>
      </c>
      <c r="G49" t="s">
        <v>140</v>
      </c>
      <c r="H49" t="s">
        <v>142</v>
      </c>
      <c r="I49" t="s">
        <v>31</v>
      </c>
      <c r="J49">
        <v>13348</v>
      </c>
      <c r="K49">
        <v>32</v>
      </c>
      <c r="L49" s="4">
        <v>3.8199999999999998E-2</v>
      </c>
      <c r="M49">
        <v>0.09</v>
      </c>
      <c r="N49" s="4">
        <v>0.50989359999999995</v>
      </c>
      <c r="O49" s="4">
        <v>1.2013199999999999</v>
      </c>
    </row>
    <row r="50" spans="2:15">
      <c r="B50" t="s">
        <v>69</v>
      </c>
      <c r="C50" t="s">
        <v>63</v>
      </c>
      <c r="D50" t="s">
        <v>140</v>
      </c>
      <c r="E50" t="s">
        <v>141</v>
      </c>
      <c r="F50" t="s">
        <v>12</v>
      </c>
      <c r="G50" t="s">
        <v>140</v>
      </c>
      <c r="H50" t="s">
        <v>142</v>
      </c>
      <c r="I50" t="s">
        <v>31</v>
      </c>
      <c r="J50">
        <v>1792</v>
      </c>
      <c r="K50">
        <v>5</v>
      </c>
      <c r="L50" s="4">
        <v>3.8199999999999998E-2</v>
      </c>
      <c r="M50">
        <v>0.09</v>
      </c>
      <c r="N50" s="4">
        <v>6.8454399999999999E-2</v>
      </c>
      <c r="O50" s="4">
        <v>0.16128000000000001</v>
      </c>
    </row>
    <row r="51" spans="2:15">
      <c r="B51" t="s">
        <v>69</v>
      </c>
      <c r="C51" t="s">
        <v>63</v>
      </c>
      <c r="D51" t="s">
        <v>143</v>
      </c>
      <c r="E51" t="s">
        <v>144</v>
      </c>
      <c r="F51" t="s">
        <v>12</v>
      </c>
      <c r="G51" t="s">
        <v>143</v>
      </c>
      <c r="H51" t="s">
        <v>145</v>
      </c>
      <c r="I51" t="s">
        <v>31</v>
      </c>
      <c r="J51">
        <v>7916</v>
      </c>
      <c r="K51">
        <v>15</v>
      </c>
      <c r="L51" s="4">
        <v>3.8199999999999998E-2</v>
      </c>
      <c r="M51">
        <v>0.09</v>
      </c>
      <c r="N51" s="4">
        <v>0.30239119999999997</v>
      </c>
      <c r="O51" s="4">
        <v>0.71243999999999996</v>
      </c>
    </row>
    <row r="52" spans="2:15">
      <c r="B52" t="s">
        <v>69</v>
      </c>
      <c r="C52" t="s">
        <v>63</v>
      </c>
      <c r="D52" t="s">
        <v>143</v>
      </c>
      <c r="E52" t="s">
        <v>144</v>
      </c>
      <c r="F52" t="s">
        <v>12</v>
      </c>
      <c r="G52" t="s">
        <v>143</v>
      </c>
      <c r="H52" t="s">
        <v>145</v>
      </c>
      <c r="I52" t="s">
        <v>31</v>
      </c>
      <c r="J52">
        <v>901</v>
      </c>
      <c r="K52">
        <v>3</v>
      </c>
      <c r="L52" s="4">
        <v>3.8199999999999998E-2</v>
      </c>
      <c r="M52">
        <v>0.09</v>
      </c>
      <c r="N52" s="4">
        <v>3.4418199999999996E-2</v>
      </c>
      <c r="O52" s="4">
        <v>8.1090000000000009E-2</v>
      </c>
    </row>
    <row r="53" spans="2:15">
      <c r="B53" t="s">
        <v>69</v>
      </c>
      <c r="C53" t="s">
        <v>50</v>
      </c>
      <c r="D53" t="s">
        <v>146</v>
      </c>
      <c r="E53" t="s">
        <v>147</v>
      </c>
      <c r="F53" t="s">
        <v>10</v>
      </c>
      <c r="G53" t="s">
        <v>146</v>
      </c>
      <c r="H53" t="s">
        <v>148</v>
      </c>
      <c r="I53" t="s">
        <v>32</v>
      </c>
      <c r="J53">
        <v>0</v>
      </c>
      <c r="K53">
        <v>2</v>
      </c>
      <c r="L53" s="4">
        <v>3.5000000000000001E-3</v>
      </c>
      <c r="M53">
        <v>0.02</v>
      </c>
      <c r="N53" s="4">
        <v>7.0000000000000001E-3</v>
      </c>
      <c r="O53" s="4">
        <v>0.04</v>
      </c>
    </row>
    <row r="54" spans="2:15">
      <c r="B54" t="s">
        <v>69</v>
      </c>
      <c r="C54" t="s">
        <v>50</v>
      </c>
      <c r="D54" t="s">
        <v>149</v>
      </c>
      <c r="E54" t="s">
        <v>150</v>
      </c>
      <c r="F54" t="s">
        <v>12</v>
      </c>
      <c r="G54" t="s">
        <v>149</v>
      </c>
      <c r="H54" t="s">
        <v>151</v>
      </c>
      <c r="I54" t="s">
        <v>31</v>
      </c>
      <c r="J54">
        <v>3729</v>
      </c>
      <c r="K54">
        <v>2</v>
      </c>
      <c r="L54" s="4">
        <v>3.8199999999999998E-2</v>
      </c>
      <c r="M54">
        <v>0.09</v>
      </c>
      <c r="N54" s="4">
        <v>0.14244780000000001</v>
      </c>
      <c r="O54" s="4">
        <v>0.33561000000000002</v>
      </c>
    </row>
    <row r="55" spans="2:15">
      <c r="B55" t="s">
        <v>69</v>
      </c>
      <c r="C55" t="s">
        <v>50</v>
      </c>
      <c r="D55" t="s">
        <v>152</v>
      </c>
      <c r="E55" t="s">
        <v>153</v>
      </c>
      <c r="F55" t="s">
        <v>11</v>
      </c>
      <c r="G55" t="s">
        <v>55</v>
      </c>
      <c r="H55" t="s">
        <v>154</v>
      </c>
      <c r="I55" t="s">
        <v>31</v>
      </c>
      <c r="J55">
        <v>5349</v>
      </c>
      <c r="K55">
        <v>3</v>
      </c>
      <c r="L55" s="4">
        <v>3.8199999999999998E-2</v>
      </c>
      <c r="M55">
        <v>0.09</v>
      </c>
      <c r="N55" s="4">
        <v>0.20433179999999998</v>
      </c>
      <c r="O55" s="4">
        <v>0.48140999999999995</v>
      </c>
    </row>
    <row r="56" spans="2:15">
      <c r="B56" t="s">
        <v>69</v>
      </c>
      <c r="C56" t="s">
        <v>50</v>
      </c>
      <c r="D56" t="s">
        <v>155</v>
      </c>
      <c r="E56" t="s">
        <v>156</v>
      </c>
      <c r="F56" t="s">
        <v>12</v>
      </c>
      <c r="G56" t="s">
        <v>155</v>
      </c>
      <c r="H56" t="s">
        <v>157</v>
      </c>
      <c r="I56" t="s">
        <v>31</v>
      </c>
      <c r="J56">
        <v>171568</v>
      </c>
      <c r="K56">
        <v>316</v>
      </c>
      <c r="L56" s="4">
        <v>3.8199999999999998E-2</v>
      </c>
      <c r="M56">
        <v>0.09</v>
      </c>
      <c r="N56" s="4">
        <v>6.5538975999999991</v>
      </c>
      <c r="O56" s="4">
        <v>15.44112</v>
      </c>
    </row>
    <row r="57" spans="2:15">
      <c r="B57" t="s">
        <v>69</v>
      </c>
      <c r="C57" t="s">
        <v>50</v>
      </c>
      <c r="D57" t="s">
        <v>155</v>
      </c>
      <c r="E57" t="s">
        <v>156</v>
      </c>
      <c r="F57" t="s">
        <v>12</v>
      </c>
      <c r="G57" t="s">
        <v>155</v>
      </c>
      <c r="H57" t="s">
        <v>157</v>
      </c>
      <c r="I57" t="s">
        <v>31</v>
      </c>
      <c r="J57">
        <v>4</v>
      </c>
      <c r="K57">
        <v>0</v>
      </c>
      <c r="L57" s="4">
        <v>3.8199999999999998E-2</v>
      </c>
      <c r="M57">
        <v>0.09</v>
      </c>
      <c r="N57" s="4">
        <v>1.528E-4</v>
      </c>
      <c r="O57" s="4">
        <v>3.5999999999999997E-4</v>
      </c>
    </row>
    <row r="58" spans="2:15">
      <c r="B58" t="s">
        <v>69</v>
      </c>
      <c r="C58" t="s">
        <v>50</v>
      </c>
      <c r="D58" t="s">
        <v>158</v>
      </c>
      <c r="E58" t="s">
        <v>159</v>
      </c>
      <c r="F58" t="s">
        <v>11</v>
      </c>
      <c r="G58" t="s">
        <v>51</v>
      </c>
      <c r="H58" t="s">
        <v>72</v>
      </c>
      <c r="I58" t="s">
        <v>31</v>
      </c>
      <c r="J58">
        <v>186274</v>
      </c>
      <c r="K58">
        <v>173</v>
      </c>
      <c r="L58" s="4">
        <v>3.8199999999999998E-2</v>
      </c>
      <c r="M58">
        <v>0.09</v>
      </c>
      <c r="N58" s="4">
        <v>7.1156667999999996</v>
      </c>
      <c r="O58" s="4">
        <v>16.764659999999999</v>
      </c>
    </row>
    <row r="59" spans="2:15">
      <c r="B59" t="s">
        <v>69</v>
      </c>
      <c r="C59" t="s">
        <v>50</v>
      </c>
      <c r="D59" t="s">
        <v>158</v>
      </c>
      <c r="E59" t="s">
        <v>159</v>
      </c>
      <c r="F59" t="s">
        <v>11</v>
      </c>
      <c r="G59" t="s">
        <v>51</v>
      </c>
      <c r="H59" t="s">
        <v>72</v>
      </c>
      <c r="I59" t="s">
        <v>31</v>
      </c>
      <c r="J59">
        <v>4</v>
      </c>
      <c r="K59">
        <v>0</v>
      </c>
      <c r="L59" s="4">
        <v>3.8199999999999998E-2</v>
      </c>
      <c r="M59">
        <v>0.09</v>
      </c>
      <c r="N59" s="4">
        <v>1.528E-4</v>
      </c>
      <c r="O59" s="4">
        <v>3.5999999999999997E-4</v>
      </c>
    </row>
    <row r="60" spans="2:15">
      <c r="B60" t="s">
        <v>69</v>
      </c>
      <c r="C60" t="s">
        <v>50</v>
      </c>
      <c r="D60" t="s">
        <v>160</v>
      </c>
      <c r="E60" t="s">
        <v>161</v>
      </c>
      <c r="F60" t="s">
        <v>12</v>
      </c>
      <c r="G60" t="s">
        <v>160</v>
      </c>
      <c r="H60" t="s">
        <v>162</v>
      </c>
      <c r="I60" t="s">
        <v>31</v>
      </c>
      <c r="J60">
        <v>31355</v>
      </c>
      <c r="K60">
        <v>25</v>
      </c>
      <c r="L60" s="4">
        <v>3.8199999999999998E-2</v>
      </c>
      <c r="M60">
        <v>0.09</v>
      </c>
      <c r="N60" s="4">
        <v>1.1977610000000001</v>
      </c>
      <c r="O60" s="4">
        <v>2.8219499999999997</v>
      </c>
    </row>
    <row r="61" spans="2:15">
      <c r="B61" t="s">
        <v>69</v>
      </c>
      <c r="C61" t="s">
        <v>50</v>
      </c>
      <c r="D61" t="s">
        <v>163</v>
      </c>
      <c r="E61" t="s">
        <v>164</v>
      </c>
      <c r="F61" t="s">
        <v>11</v>
      </c>
      <c r="G61" t="s">
        <v>57</v>
      </c>
      <c r="H61" t="s">
        <v>165</v>
      </c>
      <c r="I61" t="s">
        <v>31</v>
      </c>
      <c r="J61">
        <v>34536</v>
      </c>
      <c r="K61">
        <v>32</v>
      </c>
      <c r="L61" s="4">
        <v>3.8199999999999998E-2</v>
      </c>
      <c r="M61">
        <v>0.09</v>
      </c>
      <c r="N61" s="4">
        <v>1.3192751999999999</v>
      </c>
      <c r="O61" s="4">
        <v>3.1082399999999999</v>
      </c>
    </row>
    <row r="62" spans="2:15">
      <c r="B62" t="s">
        <v>69</v>
      </c>
      <c r="C62" t="s">
        <v>50</v>
      </c>
      <c r="D62" t="s">
        <v>166</v>
      </c>
      <c r="E62" t="s">
        <v>167</v>
      </c>
      <c r="F62" t="s">
        <v>12</v>
      </c>
      <c r="G62" t="s">
        <v>166</v>
      </c>
      <c r="H62" t="s">
        <v>168</v>
      </c>
      <c r="I62" t="s">
        <v>31</v>
      </c>
      <c r="J62">
        <v>46857</v>
      </c>
      <c r="K62">
        <v>289</v>
      </c>
      <c r="L62" s="4">
        <v>3.8199999999999998E-2</v>
      </c>
      <c r="M62">
        <v>0.09</v>
      </c>
      <c r="N62" s="4">
        <v>1.7899373999999999</v>
      </c>
      <c r="O62" s="4">
        <v>4.21713</v>
      </c>
    </row>
    <row r="63" spans="2:15">
      <c r="B63" t="s">
        <v>69</v>
      </c>
      <c r="C63" t="s">
        <v>50</v>
      </c>
      <c r="D63" t="s">
        <v>169</v>
      </c>
      <c r="E63" t="s">
        <v>170</v>
      </c>
      <c r="F63" t="s">
        <v>11</v>
      </c>
      <c r="G63" t="s">
        <v>52</v>
      </c>
      <c r="H63" t="s">
        <v>171</v>
      </c>
      <c r="I63" t="s">
        <v>31</v>
      </c>
      <c r="J63">
        <v>44594</v>
      </c>
      <c r="K63">
        <v>66</v>
      </c>
      <c r="L63" s="4">
        <v>3.8199999999999998E-2</v>
      </c>
      <c r="M63">
        <v>0.09</v>
      </c>
      <c r="N63" s="4">
        <v>1.7034907999999997</v>
      </c>
      <c r="O63" s="4">
        <v>4.0134600000000002</v>
      </c>
    </row>
    <row r="64" spans="2:15">
      <c r="B64" t="s">
        <v>69</v>
      </c>
      <c r="C64" t="s">
        <v>50</v>
      </c>
      <c r="D64" t="s">
        <v>169</v>
      </c>
      <c r="E64" t="s">
        <v>170</v>
      </c>
      <c r="F64" t="s">
        <v>11</v>
      </c>
      <c r="G64" t="s">
        <v>52</v>
      </c>
      <c r="H64" t="s">
        <v>171</v>
      </c>
      <c r="I64" t="s">
        <v>31</v>
      </c>
      <c r="J64">
        <v>1</v>
      </c>
      <c r="K64">
        <v>0</v>
      </c>
      <c r="L64" s="4">
        <v>3.8199999999999998E-2</v>
      </c>
      <c r="M64">
        <v>0.09</v>
      </c>
      <c r="N64" s="4">
        <v>3.82E-5</v>
      </c>
      <c r="O64" s="4">
        <v>8.9999999999999992E-5</v>
      </c>
    </row>
    <row r="65" spans="2:15">
      <c r="B65" t="s">
        <v>69</v>
      </c>
      <c r="C65" t="s">
        <v>50</v>
      </c>
      <c r="D65" t="s">
        <v>172</v>
      </c>
      <c r="E65" t="s">
        <v>173</v>
      </c>
      <c r="F65" t="s">
        <v>12</v>
      </c>
      <c r="G65" t="s">
        <v>172</v>
      </c>
      <c r="H65" t="s">
        <v>174</v>
      </c>
      <c r="I65" t="s">
        <v>31</v>
      </c>
      <c r="J65">
        <v>84231</v>
      </c>
      <c r="K65">
        <v>46</v>
      </c>
      <c r="L65" s="4">
        <v>3.8199999999999998E-2</v>
      </c>
      <c r="M65">
        <v>0.09</v>
      </c>
      <c r="N65" s="4">
        <v>3.2176241999999999</v>
      </c>
      <c r="O65" s="4">
        <v>7.5807900000000004</v>
      </c>
    </row>
    <row r="66" spans="2:15">
      <c r="B66" t="s">
        <v>69</v>
      </c>
      <c r="C66" t="s">
        <v>50</v>
      </c>
      <c r="D66" t="s">
        <v>172</v>
      </c>
      <c r="E66" t="s">
        <v>173</v>
      </c>
      <c r="F66" t="s">
        <v>12</v>
      </c>
      <c r="G66" t="s">
        <v>172</v>
      </c>
      <c r="H66" t="s">
        <v>174</v>
      </c>
      <c r="I66" t="s">
        <v>31</v>
      </c>
      <c r="J66">
        <v>3</v>
      </c>
      <c r="K66">
        <v>0</v>
      </c>
      <c r="L66" s="4">
        <v>3.8199999999999998E-2</v>
      </c>
      <c r="M66">
        <v>0.09</v>
      </c>
      <c r="N66" s="4">
        <v>1.1459999999999999E-4</v>
      </c>
      <c r="O66" s="4">
        <v>2.7E-4</v>
      </c>
    </row>
    <row r="67" spans="2:15">
      <c r="B67" t="s">
        <v>69</v>
      </c>
      <c r="C67" t="s">
        <v>50</v>
      </c>
      <c r="D67" t="s">
        <v>175</v>
      </c>
      <c r="E67" t="s">
        <v>176</v>
      </c>
      <c r="F67" t="s">
        <v>11</v>
      </c>
      <c r="G67" t="s">
        <v>58</v>
      </c>
      <c r="H67" t="s">
        <v>177</v>
      </c>
      <c r="I67" t="s">
        <v>31</v>
      </c>
      <c r="J67">
        <v>91025</v>
      </c>
      <c r="K67">
        <v>32</v>
      </c>
      <c r="L67" s="4">
        <v>3.8199999999999998E-2</v>
      </c>
      <c r="M67">
        <v>0.09</v>
      </c>
      <c r="N67" s="4">
        <v>3.4771549999999998</v>
      </c>
      <c r="O67" s="4">
        <v>8.1922499999999996</v>
      </c>
    </row>
    <row r="68" spans="2:15">
      <c r="B68" t="s">
        <v>69</v>
      </c>
      <c r="C68" t="s">
        <v>50</v>
      </c>
      <c r="D68" t="s">
        <v>175</v>
      </c>
      <c r="E68" t="s">
        <v>176</v>
      </c>
      <c r="F68" t="s">
        <v>11</v>
      </c>
      <c r="G68" t="s">
        <v>58</v>
      </c>
      <c r="H68" t="s">
        <v>177</v>
      </c>
      <c r="I68" t="s">
        <v>31</v>
      </c>
      <c r="J68">
        <v>2</v>
      </c>
      <c r="K68">
        <v>0</v>
      </c>
      <c r="L68" s="4">
        <v>3.8199999999999998E-2</v>
      </c>
      <c r="M68">
        <v>0.09</v>
      </c>
      <c r="N68" s="4">
        <v>7.64E-5</v>
      </c>
      <c r="O68" s="4">
        <v>1.7999999999999998E-4</v>
      </c>
    </row>
    <row r="69" spans="2:15">
      <c r="B69" t="s">
        <v>69</v>
      </c>
      <c r="C69" t="s">
        <v>50</v>
      </c>
      <c r="D69" t="s">
        <v>178</v>
      </c>
      <c r="E69" t="s">
        <v>179</v>
      </c>
      <c r="F69" t="s">
        <v>12</v>
      </c>
      <c r="G69" t="s">
        <v>178</v>
      </c>
      <c r="H69" t="s">
        <v>180</v>
      </c>
      <c r="I69" t="s">
        <v>31</v>
      </c>
      <c r="J69">
        <v>25666</v>
      </c>
      <c r="K69">
        <v>7</v>
      </c>
      <c r="L69" s="4">
        <v>3.8199999999999998E-2</v>
      </c>
      <c r="M69">
        <v>0.09</v>
      </c>
      <c r="N69" s="4">
        <v>0.98044120000000001</v>
      </c>
      <c r="O69" s="4">
        <v>2.3099400000000001</v>
      </c>
    </row>
    <row r="70" spans="2:15">
      <c r="B70" t="s">
        <v>69</v>
      </c>
      <c r="C70" t="s">
        <v>50</v>
      </c>
      <c r="D70" t="s">
        <v>178</v>
      </c>
      <c r="E70" t="s">
        <v>179</v>
      </c>
      <c r="F70" t="s">
        <v>12</v>
      </c>
      <c r="G70" t="s">
        <v>178</v>
      </c>
      <c r="H70" t="s">
        <v>180</v>
      </c>
      <c r="I70" t="s">
        <v>31</v>
      </c>
      <c r="J70">
        <v>4587</v>
      </c>
      <c r="K70">
        <v>7</v>
      </c>
      <c r="L70" s="4">
        <v>3.8199999999999998E-2</v>
      </c>
      <c r="M70">
        <v>0.09</v>
      </c>
      <c r="N70" s="4">
        <v>0.1752234</v>
      </c>
      <c r="O70" s="4">
        <v>0.41282999999999997</v>
      </c>
    </row>
    <row r="71" spans="2:15">
      <c r="B71" t="s">
        <v>69</v>
      </c>
      <c r="C71" t="s">
        <v>50</v>
      </c>
      <c r="D71" t="s">
        <v>181</v>
      </c>
      <c r="E71" t="s">
        <v>182</v>
      </c>
      <c r="F71" t="s">
        <v>12</v>
      </c>
      <c r="G71" t="s">
        <v>181</v>
      </c>
      <c r="H71" t="s">
        <v>183</v>
      </c>
      <c r="I71" t="s">
        <v>31</v>
      </c>
      <c r="J71">
        <v>37084</v>
      </c>
      <c r="K71">
        <v>9</v>
      </c>
      <c r="L71" s="4">
        <v>3.8199999999999998E-2</v>
      </c>
      <c r="M71">
        <v>0.09</v>
      </c>
      <c r="N71" s="4">
        <v>1.4166087999999999</v>
      </c>
      <c r="O71" s="4">
        <v>3.3375599999999999</v>
      </c>
    </row>
    <row r="72" spans="2:15">
      <c r="B72" t="s">
        <v>69</v>
      </c>
      <c r="C72" t="s">
        <v>50</v>
      </c>
      <c r="D72" t="s">
        <v>181</v>
      </c>
      <c r="E72" t="s">
        <v>182</v>
      </c>
      <c r="F72" t="s">
        <v>12</v>
      </c>
      <c r="G72" t="s">
        <v>181</v>
      </c>
      <c r="H72" t="s">
        <v>183</v>
      </c>
      <c r="I72" t="s">
        <v>31</v>
      </c>
      <c r="J72">
        <v>3910</v>
      </c>
      <c r="K72">
        <v>2</v>
      </c>
      <c r="L72" s="4">
        <v>3.8199999999999998E-2</v>
      </c>
      <c r="M72">
        <v>0.09</v>
      </c>
      <c r="N72" s="4">
        <v>0.14936199999999999</v>
      </c>
      <c r="O72" s="4">
        <v>0.35189999999999999</v>
      </c>
    </row>
    <row r="73" spans="2:15">
      <c r="B73" t="s">
        <v>69</v>
      </c>
      <c r="C73" t="s">
        <v>50</v>
      </c>
      <c r="D73" t="s">
        <v>184</v>
      </c>
      <c r="E73" t="s">
        <v>185</v>
      </c>
      <c r="F73" t="s">
        <v>12</v>
      </c>
      <c r="G73" t="s">
        <v>184</v>
      </c>
      <c r="H73" t="s">
        <v>186</v>
      </c>
      <c r="I73" t="s">
        <v>31</v>
      </c>
      <c r="J73">
        <v>34288</v>
      </c>
      <c r="K73">
        <v>25</v>
      </c>
      <c r="L73" s="4">
        <v>3.8199999999999998E-2</v>
      </c>
      <c r="M73">
        <v>0.09</v>
      </c>
      <c r="N73" s="4">
        <v>1.3098015999999999</v>
      </c>
      <c r="O73" s="4">
        <v>3.0859200000000002</v>
      </c>
    </row>
    <row r="74" spans="2:15">
      <c r="B74" t="s">
        <v>69</v>
      </c>
      <c r="C74" t="s">
        <v>50</v>
      </c>
      <c r="D74" t="s">
        <v>187</v>
      </c>
      <c r="E74" t="s">
        <v>188</v>
      </c>
      <c r="F74" t="s">
        <v>12</v>
      </c>
      <c r="G74" t="s">
        <v>187</v>
      </c>
      <c r="H74" t="s">
        <v>189</v>
      </c>
      <c r="I74" t="s">
        <v>31</v>
      </c>
      <c r="J74">
        <v>51965</v>
      </c>
      <c r="K74">
        <v>21</v>
      </c>
      <c r="L74" s="4">
        <v>3.8199999999999998E-2</v>
      </c>
      <c r="M74">
        <v>0.09</v>
      </c>
      <c r="N74" s="4">
        <v>1.9850629999999998</v>
      </c>
      <c r="O74" s="4">
        <v>4.6768499999999991</v>
      </c>
    </row>
    <row r="75" spans="2:15">
      <c r="B75" t="s">
        <v>69</v>
      </c>
      <c r="C75" t="s">
        <v>50</v>
      </c>
      <c r="D75" t="s">
        <v>187</v>
      </c>
      <c r="E75" t="s">
        <v>188</v>
      </c>
      <c r="F75" t="s">
        <v>12</v>
      </c>
      <c r="G75" t="s">
        <v>187</v>
      </c>
      <c r="H75" t="s">
        <v>189</v>
      </c>
      <c r="I75" t="s">
        <v>31</v>
      </c>
      <c r="J75">
        <v>10660</v>
      </c>
      <c r="K75">
        <v>9</v>
      </c>
      <c r="L75" s="4">
        <v>3.8199999999999998E-2</v>
      </c>
      <c r="M75">
        <v>0.09</v>
      </c>
      <c r="N75" s="4">
        <v>0.40721199999999996</v>
      </c>
      <c r="O75" s="4">
        <v>0.95940000000000003</v>
      </c>
    </row>
    <row r="76" spans="2:15">
      <c r="B76" t="s">
        <v>69</v>
      </c>
      <c r="C76" t="s">
        <v>50</v>
      </c>
      <c r="D76" t="s">
        <v>190</v>
      </c>
      <c r="E76" t="s">
        <v>191</v>
      </c>
      <c r="F76" t="s">
        <v>12</v>
      </c>
      <c r="G76" t="s">
        <v>190</v>
      </c>
      <c r="H76" t="s">
        <v>192</v>
      </c>
      <c r="I76" t="s">
        <v>31</v>
      </c>
      <c r="J76">
        <v>1220300</v>
      </c>
      <c r="K76">
        <v>5714</v>
      </c>
      <c r="L76" s="4">
        <v>3.8199999999999998E-2</v>
      </c>
      <c r="M76">
        <v>0.09</v>
      </c>
      <c r="N76" s="4">
        <v>46.615459999999999</v>
      </c>
      <c r="O76" s="4">
        <v>109.827</v>
      </c>
    </row>
    <row r="77" spans="2:15">
      <c r="B77" t="s">
        <v>69</v>
      </c>
      <c r="C77" t="s">
        <v>50</v>
      </c>
      <c r="D77" t="s">
        <v>190</v>
      </c>
      <c r="E77" t="s">
        <v>191</v>
      </c>
      <c r="F77" t="s">
        <v>12</v>
      </c>
      <c r="G77" t="s">
        <v>190</v>
      </c>
      <c r="H77" t="s">
        <v>192</v>
      </c>
      <c r="I77" t="s">
        <v>31</v>
      </c>
      <c r="J77">
        <v>923597</v>
      </c>
      <c r="K77">
        <v>6641</v>
      </c>
      <c r="L77" s="4">
        <v>3.8199999999999998E-2</v>
      </c>
      <c r="M77">
        <v>0.09</v>
      </c>
      <c r="N77" s="4">
        <v>35.281405399999997</v>
      </c>
      <c r="O77" s="4">
        <v>83.123729999999995</v>
      </c>
    </row>
    <row r="78" spans="2:15">
      <c r="B78" t="s">
        <v>69</v>
      </c>
      <c r="C78" t="s">
        <v>50</v>
      </c>
      <c r="D78" t="s">
        <v>193</v>
      </c>
      <c r="E78" t="s">
        <v>194</v>
      </c>
      <c r="F78" t="s">
        <v>11</v>
      </c>
      <c r="G78" t="s">
        <v>51</v>
      </c>
      <c r="H78" t="s">
        <v>72</v>
      </c>
      <c r="I78" t="s">
        <v>31</v>
      </c>
      <c r="J78">
        <v>1</v>
      </c>
      <c r="K78">
        <v>0</v>
      </c>
      <c r="L78" s="4">
        <v>3.8199999999999998E-2</v>
      </c>
      <c r="M78">
        <v>0.09</v>
      </c>
      <c r="N78" s="4">
        <v>3.82E-5</v>
      </c>
      <c r="O78" s="4">
        <v>8.9999999999999992E-5</v>
      </c>
    </row>
    <row r="79" spans="2:15">
      <c r="B79" t="s">
        <v>69</v>
      </c>
      <c r="C79" t="s">
        <v>50</v>
      </c>
      <c r="D79" t="s">
        <v>193</v>
      </c>
      <c r="E79" t="s">
        <v>194</v>
      </c>
      <c r="F79" t="s">
        <v>12</v>
      </c>
      <c r="G79" t="s">
        <v>193</v>
      </c>
      <c r="H79" t="s">
        <v>195</v>
      </c>
      <c r="I79" t="s">
        <v>31</v>
      </c>
      <c r="J79">
        <v>2966224</v>
      </c>
      <c r="K79">
        <v>9093</v>
      </c>
      <c r="L79" s="4">
        <v>3.8199999999999998E-2</v>
      </c>
      <c r="M79">
        <v>0.09</v>
      </c>
      <c r="N79" s="4">
        <v>113.30975679999999</v>
      </c>
      <c r="O79" s="4">
        <v>266.96015999999997</v>
      </c>
    </row>
    <row r="80" spans="2:15">
      <c r="B80" t="s">
        <v>69</v>
      </c>
      <c r="C80" t="s">
        <v>50</v>
      </c>
      <c r="D80" t="s">
        <v>193</v>
      </c>
      <c r="E80" t="s">
        <v>194</v>
      </c>
      <c r="F80" t="s">
        <v>12</v>
      </c>
      <c r="G80" t="s">
        <v>193</v>
      </c>
      <c r="H80" t="s">
        <v>195</v>
      </c>
      <c r="I80" t="s">
        <v>31</v>
      </c>
      <c r="J80">
        <v>4282034</v>
      </c>
      <c r="K80">
        <v>18037</v>
      </c>
      <c r="L80" s="4">
        <v>3.8199999999999998E-2</v>
      </c>
      <c r="M80">
        <v>0.09</v>
      </c>
      <c r="N80" s="4">
        <v>163.57369879999999</v>
      </c>
      <c r="O80" s="4">
        <v>385.38306</v>
      </c>
    </row>
    <row r="81" spans="2:15">
      <c r="B81" t="s">
        <v>69</v>
      </c>
      <c r="C81" t="s">
        <v>50</v>
      </c>
      <c r="D81" t="s">
        <v>196</v>
      </c>
      <c r="E81" t="s">
        <v>197</v>
      </c>
      <c r="F81" t="s">
        <v>12</v>
      </c>
      <c r="G81" t="s">
        <v>196</v>
      </c>
      <c r="H81" t="s">
        <v>198</v>
      </c>
      <c r="I81" t="s">
        <v>31</v>
      </c>
      <c r="J81">
        <v>4661695</v>
      </c>
      <c r="K81">
        <v>33550</v>
      </c>
      <c r="L81" s="4">
        <v>3.8199999999999998E-2</v>
      </c>
      <c r="M81">
        <v>0.09</v>
      </c>
      <c r="N81" s="4">
        <v>178.07674899999998</v>
      </c>
      <c r="O81" s="4">
        <v>419.55255</v>
      </c>
    </row>
    <row r="82" spans="2:15">
      <c r="B82" t="s">
        <v>69</v>
      </c>
      <c r="C82" t="s">
        <v>50</v>
      </c>
      <c r="D82" t="s">
        <v>199</v>
      </c>
      <c r="E82" t="s">
        <v>200</v>
      </c>
      <c r="F82" t="s">
        <v>12</v>
      </c>
      <c r="G82" t="s">
        <v>199</v>
      </c>
      <c r="H82" t="s">
        <v>201</v>
      </c>
      <c r="I82" t="s">
        <v>31</v>
      </c>
      <c r="J82">
        <v>677753</v>
      </c>
      <c r="K82">
        <v>1793</v>
      </c>
      <c r="L82" s="4">
        <v>3.8199999999999998E-2</v>
      </c>
      <c r="M82">
        <v>0.09</v>
      </c>
      <c r="N82" s="4">
        <v>25.890164599999999</v>
      </c>
      <c r="O82" s="4">
        <v>60.997769999999996</v>
      </c>
    </row>
    <row r="83" spans="2:15">
      <c r="B83" t="s">
        <v>69</v>
      </c>
      <c r="C83" t="s">
        <v>50</v>
      </c>
      <c r="D83" t="s">
        <v>199</v>
      </c>
      <c r="E83" t="s">
        <v>200</v>
      </c>
      <c r="F83" t="s">
        <v>12</v>
      </c>
      <c r="G83" t="s">
        <v>199</v>
      </c>
      <c r="H83" t="s">
        <v>201</v>
      </c>
      <c r="I83" t="s">
        <v>31</v>
      </c>
      <c r="J83">
        <v>844505</v>
      </c>
      <c r="K83">
        <v>6398</v>
      </c>
      <c r="L83" s="4">
        <v>3.8199999999999998E-2</v>
      </c>
      <c r="M83">
        <v>0.09</v>
      </c>
      <c r="N83" s="4">
        <v>32.260090999999996</v>
      </c>
      <c r="O83" s="4">
        <v>76.005449999999996</v>
      </c>
    </row>
    <row r="84" spans="2:15">
      <c r="B84" t="s">
        <v>69</v>
      </c>
      <c r="C84" t="s">
        <v>50</v>
      </c>
      <c r="D84" t="s">
        <v>202</v>
      </c>
      <c r="E84" t="s">
        <v>203</v>
      </c>
      <c r="F84" t="s">
        <v>12</v>
      </c>
      <c r="G84" t="s">
        <v>202</v>
      </c>
      <c r="H84" t="s">
        <v>204</v>
      </c>
      <c r="I84" t="s">
        <v>31</v>
      </c>
      <c r="J84">
        <v>289783</v>
      </c>
      <c r="K84">
        <v>6691</v>
      </c>
      <c r="L84" s="4">
        <v>3.8199999999999998E-2</v>
      </c>
      <c r="M84">
        <v>0.09</v>
      </c>
      <c r="N84" s="4">
        <v>11.069710599999999</v>
      </c>
      <c r="O84" s="4">
        <v>26.080469999999998</v>
      </c>
    </row>
    <row r="85" spans="2:15">
      <c r="B85" t="s">
        <v>69</v>
      </c>
      <c r="C85" t="s">
        <v>50</v>
      </c>
      <c r="D85" t="s">
        <v>202</v>
      </c>
      <c r="E85" t="s">
        <v>203</v>
      </c>
      <c r="F85" t="s">
        <v>12</v>
      </c>
      <c r="G85" t="s">
        <v>202</v>
      </c>
      <c r="H85" t="s">
        <v>204</v>
      </c>
      <c r="I85" t="s">
        <v>31</v>
      </c>
      <c r="J85">
        <v>345640</v>
      </c>
      <c r="K85">
        <v>12353</v>
      </c>
      <c r="L85" s="4">
        <v>3.8199999999999998E-2</v>
      </c>
      <c r="M85">
        <v>0.09</v>
      </c>
      <c r="N85" s="4">
        <v>13.203447999999998</v>
      </c>
      <c r="O85" s="4">
        <v>31.107599999999998</v>
      </c>
    </row>
    <row r="86" spans="2:15">
      <c r="B86" t="s">
        <v>69</v>
      </c>
      <c r="C86" t="s">
        <v>50</v>
      </c>
      <c r="D86" t="s">
        <v>205</v>
      </c>
      <c r="E86" t="s">
        <v>206</v>
      </c>
      <c r="F86" t="s">
        <v>12</v>
      </c>
      <c r="G86" t="s">
        <v>205</v>
      </c>
      <c r="H86" t="s">
        <v>207</v>
      </c>
      <c r="I86" t="s">
        <v>31</v>
      </c>
      <c r="J86">
        <v>343154</v>
      </c>
      <c r="K86">
        <v>3561</v>
      </c>
      <c r="L86" s="4">
        <v>3.8199999999999998E-2</v>
      </c>
      <c r="M86">
        <v>0.09</v>
      </c>
      <c r="N86" s="4">
        <v>13.108482799999999</v>
      </c>
      <c r="O86" s="4">
        <v>30.883860000000002</v>
      </c>
    </row>
    <row r="87" spans="2:15">
      <c r="B87" t="s">
        <v>69</v>
      </c>
      <c r="C87" t="s">
        <v>50</v>
      </c>
      <c r="D87" t="s">
        <v>205</v>
      </c>
      <c r="E87" t="s">
        <v>206</v>
      </c>
      <c r="F87" t="s">
        <v>12</v>
      </c>
      <c r="G87" t="s">
        <v>205</v>
      </c>
      <c r="H87" t="s">
        <v>207</v>
      </c>
      <c r="I87" t="s">
        <v>31</v>
      </c>
      <c r="J87">
        <v>269977</v>
      </c>
      <c r="K87">
        <v>5512</v>
      </c>
      <c r="L87" s="4">
        <v>3.8199999999999998E-2</v>
      </c>
      <c r="M87">
        <v>0.09</v>
      </c>
      <c r="N87" s="4">
        <v>10.3131214</v>
      </c>
      <c r="O87" s="4">
        <v>24.297930000000001</v>
      </c>
    </row>
    <row r="88" spans="2:15">
      <c r="B88" t="s">
        <v>69</v>
      </c>
      <c r="C88" t="s">
        <v>50</v>
      </c>
      <c r="D88" t="s">
        <v>208</v>
      </c>
      <c r="E88" t="s">
        <v>209</v>
      </c>
      <c r="F88" t="s">
        <v>12</v>
      </c>
      <c r="G88" t="s">
        <v>208</v>
      </c>
      <c r="H88" t="s">
        <v>210</v>
      </c>
      <c r="I88" t="s">
        <v>31</v>
      </c>
      <c r="J88">
        <v>1738646</v>
      </c>
      <c r="K88">
        <v>64323</v>
      </c>
      <c r="L88" s="4">
        <v>3.8199999999999998E-2</v>
      </c>
      <c r="M88">
        <v>0.09</v>
      </c>
      <c r="N88" s="4">
        <v>66.416277199999996</v>
      </c>
      <c r="O88" s="4">
        <v>156.47814</v>
      </c>
    </row>
    <row r="89" spans="2:15">
      <c r="B89" t="s">
        <v>69</v>
      </c>
      <c r="C89" t="s">
        <v>50</v>
      </c>
      <c r="D89" t="s">
        <v>211</v>
      </c>
      <c r="E89" t="s">
        <v>212</v>
      </c>
      <c r="F89" t="s">
        <v>12</v>
      </c>
      <c r="G89" t="s">
        <v>211</v>
      </c>
      <c r="H89" t="s">
        <v>213</v>
      </c>
      <c r="I89" t="s">
        <v>31</v>
      </c>
      <c r="J89">
        <v>155924</v>
      </c>
      <c r="K89">
        <v>1527</v>
      </c>
      <c r="L89" s="4">
        <v>3.8199999999999998E-2</v>
      </c>
      <c r="M89">
        <v>0.09</v>
      </c>
      <c r="N89" s="4">
        <v>5.9562968000000005</v>
      </c>
      <c r="O89" s="4">
        <v>14.033160000000001</v>
      </c>
    </row>
    <row r="90" spans="2:15">
      <c r="B90" t="s">
        <v>69</v>
      </c>
      <c r="C90" t="s">
        <v>50</v>
      </c>
      <c r="D90" t="s">
        <v>211</v>
      </c>
      <c r="E90" t="s">
        <v>212</v>
      </c>
      <c r="F90" t="s">
        <v>12</v>
      </c>
      <c r="G90" t="s">
        <v>211</v>
      </c>
      <c r="H90" t="s">
        <v>213</v>
      </c>
      <c r="I90" t="s">
        <v>31</v>
      </c>
      <c r="J90">
        <v>214461</v>
      </c>
      <c r="K90">
        <v>9406</v>
      </c>
      <c r="L90" s="4">
        <v>3.8199999999999998E-2</v>
      </c>
      <c r="M90">
        <v>0.09</v>
      </c>
      <c r="N90" s="4">
        <v>8.1924101999999994</v>
      </c>
      <c r="O90" s="4">
        <v>19.301489999999998</v>
      </c>
    </row>
    <row r="91" spans="2:15">
      <c r="B91" t="s">
        <v>69</v>
      </c>
      <c r="C91" t="s">
        <v>50</v>
      </c>
      <c r="D91" t="s">
        <v>214</v>
      </c>
      <c r="E91" t="s">
        <v>215</v>
      </c>
      <c r="F91" t="s">
        <v>12</v>
      </c>
      <c r="G91" t="s">
        <v>214</v>
      </c>
      <c r="H91" t="s">
        <v>216</v>
      </c>
      <c r="I91" t="s">
        <v>31</v>
      </c>
      <c r="J91">
        <v>847603</v>
      </c>
      <c r="K91">
        <v>3145</v>
      </c>
      <c r="L91" s="4">
        <v>3.8199999999999998E-2</v>
      </c>
      <c r="M91">
        <v>0.09</v>
      </c>
      <c r="N91" s="4">
        <v>32.378434599999999</v>
      </c>
      <c r="O91" s="4">
        <v>76.284270000000006</v>
      </c>
    </row>
    <row r="92" spans="2:15">
      <c r="B92" t="s">
        <v>69</v>
      </c>
      <c r="C92" t="s">
        <v>50</v>
      </c>
      <c r="D92" t="s">
        <v>214</v>
      </c>
      <c r="E92" t="s">
        <v>215</v>
      </c>
      <c r="F92" t="s">
        <v>12</v>
      </c>
      <c r="G92" t="s">
        <v>214</v>
      </c>
      <c r="H92" t="s">
        <v>216</v>
      </c>
      <c r="I92" t="s">
        <v>31</v>
      </c>
      <c r="J92">
        <v>3302047</v>
      </c>
      <c r="K92">
        <v>24072</v>
      </c>
      <c r="L92" s="4">
        <v>3.8199999999999998E-2</v>
      </c>
      <c r="M92">
        <v>0.09</v>
      </c>
      <c r="N92" s="4">
        <v>126.1381954</v>
      </c>
      <c r="O92" s="4">
        <v>297.18422999999996</v>
      </c>
    </row>
    <row r="93" spans="2:15">
      <c r="B93" t="s">
        <v>69</v>
      </c>
      <c r="C93" t="s">
        <v>50</v>
      </c>
      <c r="D93" t="s">
        <v>217</v>
      </c>
      <c r="E93" t="s">
        <v>218</v>
      </c>
      <c r="F93" t="s">
        <v>11</v>
      </c>
      <c r="G93" t="s">
        <v>52</v>
      </c>
      <c r="H93" t="s">
        <v>171</v>
      </c>
      <c r="I93" t="s">
        <v>31</v>
      </c>
      <c r="J93">
        <v>1</v>
      </c>
      <c r="K93">
        <v>0</v>
      </c>
      <c r="L93" s="4">
        <v>3.8199999999999998E-2</v>
      </c>
      <c r="M93">
        <v>0.09</v>
      </c>
      <c r="N93" s="4">
        <v>3.82E-5</v>
      </c>
      <c r="O93" s="4">
        <v>8.9999999999999992E-5</v>
      </c>
    </row>
    <row r="94" spans="2:15">
      <c r="B94" t="s">
        <v>69</v>
      </c>
      <c r="C94" t="s">
        <v>50</v>
      </c>
      <c r="D94" t="s">
        <v>217</v>
      </c>
      <c r="E94" t="s">
        <v>218</v>
      </c>
      <c r="F94" t="s">
        <v>12</v>
      </c>
      <c r="G94" t="s">
        <v>217</v>
      </c>
      <c r="H94" t="s">
        <v>219</v>
      </c>
      <c r="I94" t="s">
        <v>31</v>
      </c>
      <c r="J94">
        <v>1239611</v>
      </c>
      <c r="K94">
        <v>4276</v>
      </c>
      <c r="L94" s="4">
        <v>3.8199999999999998E-2</v>
      </c>
      <c r="M94">
        <v>0.09</v>
      </c>
      <c r="N94" s="4">
        <v>47.353140199999991</v>
      </c>
      <c r="O94" s="4">
        <v>111.56498999999999</v>
      </c>
    </row>
    <row r="95" spans="2:15">
      <c r="B95" t="s">
        <v>69</v>
      </c>
      <c r="C95" t="s">
        <v>50</v>
      </c>
      <c r="D95" t="s">
        <v>217</v>
      </c>
      <c r="E95" t="s">
        <v>218</v>
      </c>
      <c r="F95" t="s">
        <v>12</v>
      </c>
      <c r="G95" t="s">
        <v>217</v>
      </c>
      <c r="H95" t="s">
        <v>219</v>
      </c>
      <c r="I95" t="s">
        <v>31</v>
      </c>
      <c r="J95">
        <v>1876220</v>
      </c>
      <c r="K95">
        <v>9601</v>
      </c>
      <c r="L95" s="4">
        <v>3.8199999999999998E-2</v>
      </c>
      <c r="M95">
        <v>0.09</v>
      </c>
      <c r="N95" s="4">
        <v>71.671603999999988</v>
      </c>
      <c r="O95" s="4">
        <v>168.85979999999998</v>
      </c>
    </row>
    <row r="96" spans="2:15">
      <c r="B96" t="s">
        <v>69</v>
      </c>
      <c r="C96" t="s">
        <v>50</v>
      </c>
      <c r="D96" t="s">
        <v>220</v>
      </c>
      <c r="E96" t="s">
        <v>221</v>
      </c>
      <c r="F96" t="s">
        <v>12</v>
      </c>
      <c r="G96" t="s">
        <v>220</v>
      </c>
      <c r="H96" t="s">
        <v>222</v>
      </c>
      <c r="I96" t="s">
        <v>31</v>
      </c>
      <c r="J96">
        <v>4714547</v>
      </c>
      <c r="K96">
        <v>32496</v>
      </c>
      <c r="L96" s="4">
        <v>3.8199999999999998E-2</v>
      </c>
      <c r="M96">
        <v>0.09</v>
      </c>
      <c r="N96" s="4">
        <v>180.09569540000001</v>
      </c>
      <c r="O96" s="4">
        <v>424.30922999999996</v>
      </c>
    </row>
    <row r="97" spans="2:15">
      <c r="B97" t="s">
        <v>69</v>
      </c>
      <c r="C97" t="s">
        <v>50</v>
      </c>
      <c r="D97" t="s">
        <v>223</v>
      </c>
      <c r="E97" t="s">
        <v>224</v>
      </c>
      <c r="F97" t="s">
        <v>12</v>
      </c>
      <c r="G97" t="s">
        <v>223</v>
      </c>
      <c r="H97" t="s">
        <v>225</v>
      </c>
      <c r="I97" t="s">
        <v>31</v>
      </c>
      <c r="J97">
        <v>306498</v>
      </c>
      <c r="K97">
        <v>1426</v>
      </c>
      <c r="L97" s="4">
        <v>3.8199999999999998E-2</v>
      </c>
      <c r="M97">
        <v>0.09</v>
      </c>
      <c r="N97" s="4">
        <v>11.7082236</v>
      </c>
      <c r="O97" s="4">
        <v>27.584820000000001</v>
      </c>
    </row>
    <row r="98" spans="2:15">
      <c r="B98" t="s">
        <v>69</v>
      </c>
      <c r="C98" t="s">
        <v>50</v>
      </c>
      <c r="D98" t="s">
        <v>223</v>
      </c>
      <c r="E98" t="s">
        <v>224</v>
      </c>
      <c r="F98" t="s">
        <v>12</v>
      </c>
      <c r="G98" t="s">
        <v>223</v>
      </c>
      <c r="H98" t="s">
        <v>225</v>
      </c>
      <c r="I98" t="s">
        <v>31</v>
      </c>
      <c r="J98">
        <v>566123</v>
      </c>
      <c r="K98">
        <v>5027</v>
      </c>
      <c r="L98" s="4">
        <v>3.8199999999999998E-2</v>
      </c>
      <c r="M98">
        <v>0.09</v>
      </c>
      <c r="N98" s="4">
        <v>21.625898599999999</v>
      </c>
      <c r="O98" s="4">
        <v>50.951070000000001</v>
      </c>
    </row>
    <row r="99" spans="2:15">
      <c r="B99" t="s">
        <v>69</v>
      </c>
      <c r="C99" t="s">
        <v>50</v>
      </c>
      <c r="D99" t="s">
        <v>226</v>
      </c>
      <c r="E99" t="s">
        <v>227</v>
      </c>
      <c r="F99" t="s">
        <v>12</v>
      </c>
      <c r="G99" t="s">
        <v>226</v>
      </c>
      <c r="H99" t="s">
        <v>228</v>
      </c>
      <c r="I99" t="s">
        <v>31</v>
      </c>
      <c r="J99">
        <v>346241</v>
      </c>
      <c r="K99">
        <v>842</v>
      </c>
      <c r="L99" s="4">
        <v>3.8199999999999998E-2</v>
      </c>
      <c r="M99">
        <v>0.09</v>
      </c>
      <c r="N99" s="4">
        <v>13.2264062</v>
      </c>
      <c r="O99" s="4">
        <v>31.16169</v>
      </c>
    </row>
    <row r="100" spans="2:15">
      <c r="B100" t="s">
        <v>69</v>
      </c>
      <c r="C100" t="s">
        <v>50</v>
      </c>
      <c r="D100" t="s">
        <v>226</v>
      </c>
      <c r="E100" t="s">
        <v>227</v>
      </c>
      <c r="F100" t="s">
        <v>12</v>
      </c>
      <c r="G100" t="s">
        <v>226</v>
      </c>
      <c r="H100" t="s">
        <v>228</v>
      </c>
      <c r="I100" t="s">
        <v>31</v>
      </c>
      <c r="J100">
        <v>181691</v>
      </c>
      <c r="K100">
        <v>3753</v>
      </c>
      <c r="L100" s="4">
        <v>3.8199999999999998E-2</v>
      </c>
      <c r="M100">
        <v>0.09</v>
      </c>
      <c r="N100" s="4">
        <v>6.9405961999999999</v>
      </c>
      <c r="O100" s="4">
        <v>16.35219</v>
      </c>
    </row>
    <row r="101" spans="2:15">
      <c r="B101" t="s">
        <v>69</v>
      </c>
      <c r="C101" t="s">
        <v>50</v>
      </c>
      <c r="D101" t="s">
        <v>229</v>
      </c>
      <c r="E101" t="s">
        <v>230</v>
      </c>
      <c r="F101" t="s">
        <v>12</v>
      </c>
      <c r="G101" t="s">
        <v>229</v>
      </c>
      <c r="H101" t="s">
        <v>231</v>
      </c>
      <c r="I101" t="s">
        <v>31</v>
      </c>
      <c r="J101">
        <v>177696</v>
      </c>
      <c r="K101">
        <v>234</v>
      </c>
      <c r="L101" s="4">
        <v>3.8199999999999998E-2</v>
      </c>
      <c r="M101">
        <v>0.09</v>
      </c>
      <c r="N101" s="4">
        <v>6.7879871999999999</v>
      </c>
      <c r="O101" s="4">
        <v>15.99264</v>
      </c>
    </row>
    <row r="102" spans="2:15">
      <c r="B102" t="s">
        <v>69</v>
      </c>
      <c r="C102" t="s">
        <v>50</v>
      </c>
      <c r="D102" t="s">
        <v>229</v>
      </c>
      <c r="E102" t="s">
        <v>230</v>
      </c>
      <c r="F102" t="s">
        <v>12</v>
      </c>
      <c r="G102" t="s">
        <v>229</v>
      </c>
      <c r="H102" t="s">
        <v>231</v>
      </c>
      <c r="I102" t="s">
        <v>31</v>
      </c>
      <c r="J102">
        <v>21729</v>
      </c>
      <c r="K102">
        <v>250</v>
      </c>
      <c r="L102" s="4">
        <v>3.8199999999999998E-2</v>
      </c>
      <c r="M102">
        <v>0.09</v>
      </c>
      <c r="N102" s="4">
        <v>0.83004779999999989</v>
      </c>
      <c r="O102" s="4">
        <v>1.9556099999999998</v>
      </c>
    </row>
    <row r="103" spans="2:15">
      <c r="B103" t="s">
        <v>69</v>
      </c>
      <c r="C103" t="s">
        <v>50</v>
      </c>
      <c r="D103" t="s">
        <v>232</v>
      </c>
      <c r="E103" t="s">
        <v>233</v>
      </c>
      <c r="F103" t="s">
        <v>12</v>
      </c>
      <c r="G103" t="s">
        <v>232</v>
      </c>
      <c r="H103" t="s">
        <v>234</v>
      </c>
      <c r="I103" t="s">
        <v>31</v>
      </c>
      <c r="J103">
        <v>300920</v>
      </c>
      <c r="K103">
        <v>3650</v>
      </c>
      <c r="L103" s="4">
        <v>3.8199999999999998E-2</v>
      </c>
      <c r="M103">
        <v>0.09</v>
      </c>
      <c r="N103" s="4">
        <v>11.495144</v>
      </c>
      <c r="O103" s="4">
        <v>27.082799999999999</v>
      </c>
    </row>
    <row r="104" spans="2:15">
      <c r="B104" t="s">
        <v>69</v>
      </c>
      <c r="C104" t="s">
        <v>50</v>
      </c>
      <c r="D104" t="s">
        <v>235</v>
      </c>
      <c r="E104" t="s">
        <v>236</v>
      </c>
      <c r="F104" t="s">
        <v>12</v>
      </c>
      <c r="G104" t="s">
        <v>235</v>
      </c>
      <c r="H104" t="s">
        <v>237</v>
      </c>
      <c r="I104" t="s">
        <v>31</v>
      </c>
      <c r="J104">
        <v>289672</v>
      </c>
      <c r="K104">
        <v>142</v>
      </c>
      <c r="L104" s="4">
        <v>3.8199999999999998E-2</v>
      </c>
      <c r="M104">
        <v>0.09</v>
      </c>
      <c r="N104" s="4">
        <v>11.065470400000001</v>
      </c>
      <c r="O104" s="4">
        <v>26.07048</v>
      </c>
    </row>
    <row r="105" spans="2:15">
      <c r="B105" t="s">
        <v>69</v>
      </c>
      <c r="C105" t="s">
        <v>50</v>
      </c>
      <c r="D105" t="s">
        <v>235</v>
      </c>
      <c r="E105" t="s">
        <v>236</v>
      </c>
      <c r="F105" t="s">
        <v>12</v>
      </c>
      <c r="G105" t="s">
        <v>235</v>
      </c>
      <c r="H105" t="s">
        <v>237</v>
      </c>
      <c r="I105" t="s">
        <v>31</v>
      </c>
      <c r="J105">
        <v>111189</v>
      </c>
      <c r="K105">
        <v>229</v>
      </c>
      <c r="L105" s="4">
        <v>3.8199999999999998E-2</v>
      </c>
      <c r="M105">
        <v>0.09</v>
      </c>
      <c r="N105" s="4">
        <v>4.2474197999999994</v>
      </c>
      <c r="O105" s="4">
        <v>10.007010000000001</v>
      </c>
    </row>
    <row r="106" spans="2:15">
      <c r="B106" t="s">
        <v>69</v>
      </c>
      <c r="C106" t="s">
        <v>50</v>
      </c>
      <c r="D106" t="s">
        <v>238</v>
      </c>
      <c r="E106" t="s">
        <v>239</v>
      </c>
      <c r="F106" t="s">
        <v>12</v>
      </c>
      <c r="G106" t="s">
        <v>240</v>
      </c>
      <c r="H106" t="s">
        <v>241</v>
      </c>
      <c r="I106" t="s">
        <v>31</v>
      </c>
      <c r="J106">
        <v>129699</v>
      </c>
      <c r="K106">
        <v>1539</v>
      </c>
      <c r="L106" s="4">
        <v>3.8199999999999998E-2</v>
      </c>
      <c r="M106">
        <v>0.09</v>
      </c>
      <c r="N106" s="4">
        <v>4.9545018000000001</v>
      </c>
      <c r="O106" s="4">
        <v>11.67291</v>
      </c>
    </row>
    <row r="107" spans="2:15">
      <c r="B107" t="s">
        <v>69</v>
      </c>
      <c r="C107" t="s">
        <v>50</v>
      </c>
      <c r="D107" t="s">
        <v>238</v>
      </c>
      <c r="E107" t="s">
        <v>239</v>
      </c>
      <c r="F107" t="s">
        <v>12</v>
      </c>
      <c r="G107" t="s">
        <v>240</v>
      </c>
      <c r="H107" t="s">
        <v>241</v>
      </c>
      <c r="I107" t="s">
        <v>31</v>
      </c>
      <c r="J107">
        <v>257887</v>
      </c>
      <c r="K107">
        <v>8766</v>
      </c>
      <c r="L107" s="4">
        <v>3.8199999999999998E-2</v>
      </c>
      <c r="M107">
        <v>0.09</v>
      </c>
      <c r="N107" s="4">
        <v>9.8512833999999998</v>
      </c>
      <c r="O107" s="4">
        <v>23.209829999999997</v>
      </c>
    </row>
    <row r="108" spans="2:15">
      <c r="B108" t="s">
        <v>69</v>
      </c>
      <c r="C108" t="s">
        <v>50</v>
      </c>
      <c r="D108" t="s">
        <v>242</v>
      </c>
      <c r="E108" t="s">
        <v>243</v>
      </c>
      <c r="F108" t="s">
        <v>12</v>
      </c>
      <c r="G108" t="s">
        <v>244</v>
      </c>
      <c r="H108" t="s">
        <v>245</v>
      </c>
      <c r="I108" t="s">
        <v>31</v>
      </c>
      <c r="J108">
        <v>5689</v>
      </c>
      <c r="K108">
        <v>102</v>
      </c>
      <c r="L108" s="4">
        <v>3.8199999999999998E-2</v>
      </c>
      <c r="M108">
        <v>0.09</v>
      </c>
      <c r="N108" s="4">
        <v>0.21731979999999998</v>
      </c>
      <c r="O108" s="4">
        <v>0.51200999999999997</v>
      </c>
    </row>
    <row r="109" spans="2:15">
      <c r="B109" t="s">
        <v>69</v>
      </c>
      <c r="C109" t="s">
        <v>50</v>
      </c>
      <c r="D109" t="s">
        <v>242</v>
      </c>
      <c r="E109" t="s">
        <v>243</v>
      </c>
      <c r="F109" t="s">
        <v>12</v>
      </c>
      <c r="G109" t="s">
        <v>244</v>
      </c>
      <c r="H109" t="s">
        <v>245</v>
      </c>
      <c r="I109" t="s">
        <v>31</v>
      </c>
      <c r="J109">
        <v>8218</v>
      </c>
      <c r="K109">
        <v>486</v>
      </c>
      <c r="L109" s="4">
        <v>3.8199999999999998E-2</v>
      </c>
      <c r="M109">
        <v>0.09</v>
      </c>
      <c r="N109" s="4">
        <v>0.31392759999999997</v>
      </c>
      <c r="O109" s="4">
        <v>0.73962000000000006</v>
      </c>
    </row>
    <row r="110" spans="2:15">
      <c r="B110" t="s">
        <v>69</v>
      </c>
      <c r="C110" t="s">
        <v>50</v>
      </c>
      <c r="D110" t="s">
        <v>246</v>
      </c>
      <c r="E110" t="s">
        <v>247</v>
      </c>
      <c r="F110" t="s">
        <v>12</v>
      </c>
      <c r="G110" t="s">
        <v>248</v>
      </c>
      <c r="H110" t="s">
        <v>249</v>
      </c>
      <c r="I110" t="s">
        <v>31</v>
      </c>
      <c r="J110">
        <v>9069</v>
      </c>
      <c r="K110">
        <v>31</v>
      </c>
      <c r="L110" s="4">
        <v>3.8199999999999998E-2</v>
      </c>
      <c r="M110">
        <v>0.09</v>
      </c>
      <c r="N110" s="4">
        <v>0.34643579999999996</v>
      </c>
      <c r="O110" s="4">
        <v>0.81620999999999988</v>
      </c>
    </row>
    <row r="111" spans="2:15">
      <c r="B111" t="s">
        <v>69</v>
      </c>
      <c r="C111" t="s">
        <v>50</v>
      </c>
      <c r="D111" t="s">
        <v>246</v>
      </c>
      <c r="E111" t="s">
        <v>247</v>
      </c>
      <c r="F111" t="s">
        <v>12</v>
      </c>
      <c r="G111" t="s">
        <v>248</v>
      </c>
      <c r="H111" t="s">
        <v>249</v>
      </c>
      <c r="I111" t="s">
        <v>31</v>
      </c>
      <c r="J111">
        <v>36164</v>
      </c>
      <c r="K111">
        <v>511</v>
      </c>
      <c r="L111" s="4">
        <v>3.8199999999999998E-2</v>
      </c>
      <c r="M111">
        <v>0.09</v>
      </c>
      <c r="N111" s="4">
        <v>1.3814648</v>
      </c>
      <c r="O111" s="4">
        <v>3.2547599999999997</v>
      </c>
    </row>
    <row r="112" spans="2:15">
      <c r="B112" t="s">
        <v>69</v>
      </c>
      <c r="C112" t="s">
        <v>50</v>
      </c>
      <c r="D112" t="s">
        <v>250</v>
      </c>
      <c r="E112" t="s">
        <v>251</v>
      </c>
      <c r="F112" t="s">
        <v>12</v>
      </c>
      <c r="G112" t="s">
        <v>252</v>
      </c>
      <c r="H112" t="s">
        <v>253</v>
      </c>
      <c r="I112" t="s">
        <v>31</v>
      </c>
      <c r="J112">
        <v>5101</v>
      </c>
      <c r="K112">
        <v>7</v>
      </c>
      <c r="L112" s="4">
        <v>3.8199999999999998E-2</v>
      </c>
      <c r="M112">
        <v>0.09</v>
      </c>
      <c r="N112" s="4">
        <v>0.19485819999999998</v>
      </c>
      <c r="O112" s="4">
        <v>0.45909</v>
      </c>
    </row>
    <row r="113" spans="2:15">
      <c r="B113" t="s">
        <v>69</v>
      </c>
      <c r="C113" t="s">
        <v>50</v>
      </c>
      <c r="D113" t="s">
        <v>250</v>
      </c>
      <c r="E113" t="s">
        <v>251</v>
      </c>
      <c r="F113" t="s">
        <v>12</v>
      </c>
      <c r="G113" t="s">
        <v>252</v>
      </c>
      <c r="H113" t="s">
        <v>253</v>
      </c>
      <c r="I113" t="s">
        <v>31</v>
      </c>
      <c r="J113">
        <v>281</v>
      </c>
      <c r="K113">
        <v>23</v>
      </c>
      <c r="L113" s="4">
        <v>3.8199999999999998E-2</v>
      </c>
      <c r="M113">
        <v>0.09</v>
      </c>
      <c r="N113" s="4">
        <v>1.0734199999999999E-2</v>
      </c>
      <c r="O113" s="4">
        <v>2.529E-2</v>
      </c>
    </row>
    <row r="114" spans="2:15">
      <c r="B114" t="s">
        <v>69</v>
      </c>
      <c r="C114" t="s">
        <v>50</v>
      </c>
      <c r="D114" t="s">
        <v>254</v>
      </c>
      <c r="E114" t="s">
        <v>255</v>
      </c>
      <c r="F114" t="s">
        <v>11</v>
      </c>
      <c r="G114" t="s">
        <v>57</v>
      </c>
      <c r="H114" t="s">
        <v>165</v>
      </c>
      <c r="I114" t="s">
        <v>31</v>
      </c>
      <c r="J114">
        <v>5150</v>
      </c>
      <c r="K114">
        <v>94</v>
      </c>
      <c r="L114" s="4">
        <v>3.8199999999999998E-2</v>
      </c>
      <c r="M114">
        <v>0.09</v>
      </c>
      <c r="N114" s="4">
        <v>0.19672999999999999</v>
      </c>
      <c r="O114" s="4">
        <v>0.46350000000000002</v>
      </c>
    </row>
    <row r="115" spans="2:15">
      <c r="B115" t="s">
        <v>69</v>
      </c>
      <c r="C115" t="s">
        <v>50</v>
      </c>
      <c r="D115" t="s">
        <v>254</v>
      </c>
      <c r="E115" t="s">
        <v>255</v>
      </c>
      <c r="F115" t="s">
        <v>11</v>
      </c>
      <c r="G115" t="s">
        <v>57</v>
      </c>
      <c r="H115" t="s">
        <v>165</v>
      </c>
      <c r="I115" t="s">
        <v>31</v>
      </c>
      <c r="J115">
        <v>11914</v>
      </c>
      <c r="K115">
        <v>713</v>
      </c>
      <c r="L115" s="4">
        <v>3.8199999999999998E-2</v>
      </c>
      <c r="M115">
        <v>0.09</v>
      </c>
      <c r="N115" s="4">
        <v>0.45511479999999999</v>
      </c>
      <c r="O115" s="4">
        <v>1.07226</v>
      </c>
    </row>
    <row r="116" spans="2:15">
      <c r="B116" t="s">
        <v>69</v>
      </c>
      <c r="C116" t="s">
        <v>50</v>
      </c>
      <c r="D116" t="s">
        <v>256</v>
      </c>
      <c r="E116" t="s">
        <v>257</v>
      </c>
      <c r="F116" t="s">
        <v>11</v>
      </c>
      <c r="G116" t="s">
        <v>57</v>
      </c>
      <c r="H116" t="s">
        <v>165</v>
      </c>
      <c r="I116" t="s">
        <v>31</v>
      </c>
      <c r="J116">
        <v>7912</v>
      </c>
      <c r="K116">
        <v>205</v>
      </c>
      <c r="L116" s="4">
        <v>3.8199999999999998E-2</v>
      </c>
      <c r="M116">
        <v>0.09</v>
      </c>
      <c r="N116" s="4">
        <v>0.30223839999999996</v>
      </c>
      <c r="O116" s="4">
        <v>0.71207999999999994</v>
      </c>
    </row>
    <row r="117" spans="2:15">
      <c r="B117" t="s">
        <v>69</v>
      </c>
      <c r="C117" t="s">
        <v>50</v>
      </c>
      <c r="D117" t="s">
        <v>256</v>
      </c>
      <c r="E117" t="s">
        <v>257</v>
      </c>
      <c r="F117" t="s">
        <v>11</v>
      </c>
      <c r="G117" t="s">
        <v>57</v>
      </c>
      <c r="H117" t="s">
        <v>165</v>
      </c>
      <c r="I117" t="s">
        <v>31</v>
      </c>
      <c r="J117">
        <v>10128</v>
      </c>
      <c r="K117">
        <v>593</v>
      </c>
      <c r="L117" s="4">
        <v>3.8199999999999998E-2</v>
      </c>
      <c r="M117">
        <v>0.09</v>
      </c>
      <c r="N117" s="4">
        <v>0.3868896</v>
      </c>
      <c r="O117" s="4">
        <v>0.91152</v>
      </c>
    </row>
    <row r="118" spans="2:15">
      <c r="B118" t="s">
        <v>69</v>
      </c>
      <c r="C118" t="s">
        <v>50</v>
      </c>
      <c r="D118" t="s">
        <v>258</v>
      </c>
      <c r="E118" t="s">
        <v>259</v>
      </c>
      <c r="F118" t="s">
        <v>11</v>
      </c>
      <c r="G118" t="s">
        <v>57</v>
      </c>
      <c r="H118" t="s">
        <v>165</v>
      </c>
      <c r="I118" t="s">
        <v>31</v>
      </c>
      <c r="J118">
        <v>5023</v>
      </c>
      <c r="K118">
        <v>78</v>
      </c>
      <c r="L118" s="4">
        <v>3.8199999999999998E-2</v>
      </c>
      <c r="M118">
        <v>0.09</v>
      </c>
      <c r="N118" s="4">
        <v>0.19187859999999998</v>
      </c>
      <c r="O118" s="4">
        <v>0.45206999999999997</v>
      </c>
    </row>
    <row r="119" spans="2:15">
      <c r="B119" t="s">
        <v>69</v>
      </c>
      <c r="C119" t="s">
        <v>50</v>
      </c>
      <c r="D119" t="s">
        <v>258</v>
      </c>
      <c r="E119" t="s">
        <v>259</v>
      </c>
      <c r="F119" t="s">
        <v>11</v>
      </c>
      <c r="G119" t="s">
        <v>57</v>
      </c>
      <c r="H119" t="s">
        <v>165</v>
      </c>
      <c r="I119" t="s">
        <v>31</v>
      </c>
      <c r="J119">
        <v>9880</v>
      </c>
      <c r="K119">
        <v>614</v>
      </c>
      <c r="L119" s="4">
        <v>3.8199999999999998E-2</v>
      </c>
      <c r="M119">
        <v>0.09</v>
      </c>
      <c r="N119" s="4">
        <v>0.37741599999999997</v>
      </c>
      <c r="O119" s="4">
        <v>0.88919999999999988</v>
      </c>
    </row>
    <row r="120" spans="2:15">
      <c r="B120" t="s">
        <v>69</v>
      </c>
      <c r="C120" t="s">
        <v>50</v>
      </c>
      <c r="D120" t="s">
        <v>260</v>
      </c>
      <c r="E120" t="s">
        <v>261</v>
      </c>
      <c r="F120" t="s">
        <v>11</v>
      </c>
      <c r="G120" t="s">
        <v>57</v>
      </c>
      <c r="H120" t="s">
        <v>165</v>
      </c>
      <c r="I120" t="s">
        <v>31</v>
      </c>
      <c r="J120">
        <v>7460</v>
      </c>
      <c r="K120">
        <v>170</v>
      </c>
      <c r="L120" s="4">
        <v>3.8199999999999998E-2</v>
      </c>
      <c r="M120">
        <v>0.09</v>
      </c>
      <c r="N120" s="4">
        <v>0.284972</v>
      </c>
      <c r="O120" s="4">
        <v>0.6714</v>
      </c>
    </row>
    <row r="121" spans="2:15">
      <c r="B121" t="s">
        <v>69</v>
      </c>
      <c r="C121" t="s">
        <v>50</v>
      </c>
      <c r="D121" t="s">
        <v>260</v>
      </c>
      <c r="E121" t="s">
        <v>261</v>
      </c>
      <c r="F121" t="s">
        <v>11</v>
      </c>
      <c r="G121" t="s">
        <v>57</v>
      </c>
      <c r="H121" t="s">
        <v>165</v>
      </c>
      <c r="I121" t="s">
        <v>31</v>
      </c>
      <c r="J121">
        <v>9138</v>
      </c>
      <c r="K121">
        <v>589</v>
      </c>
      <c r="L121" s="4">
        <v>3.8199999999999998E-2</v>
      </c>
      <c r="M121">
        <v>0.09</v>
      </c>
      <c r="N121" s="4">
        <v>0.34907159999999998</v>
      </c>
      <c r="O121" s="4">
        <v>0.82241999999999993</v>
      </c>
    </row>
    <row r="122" spans="2:15">
      <c r="B122" t="s">
        <v>69</v>
      </c>
      <c r="C122" t="s">
        <v>50</v>
      </c>
      <c r="D122" t="s">
        <v>262</v>
      </c>
      <c r="E122" t="s">
        <v>263</v>
      </c>
      <c r="F122" t="s">
        <v>11</v>
      </c>
      <c r="G122" t="s">
        <v>57</v>
      </c>
      <c r="H122" t="s">
        <v>165</v>
      </c>
      <c r="I122" t="s">
        <v>31</v>
      </c>
      <c r="J122">
        <v>98191</v>
      </c>
      <c r="K122">
        <v>4064</v>
      </c>
      <c r="L122" s="4">
        <v>3.8199999999999998E-2</v>
      </c>
      <c r="M122">
        <v>0.09</v>
      </c>
      <c r="N122" s="4">
        <v>3.7508961999999997</v>
      </c>
      <c r="O122" s="4">
        <v>8.8371899999999997</v>
      </c>
    </row>
    <row r="123" spans="2:15">
      <c r="B123" t="s">
        <v>69</v>
      </c>
      <c r="C123" t="s">
        <v>50</v>
      </c>
      <c r="D123" t="s">
        <v>262</v>
      </c>
      <c r="E123" t="s">
        <v>263</v>
      </c>
      <c r="F123" t="s">
        <v>11</v>
      </c>
      <c r="G123" t="s">
        <v>57</v>
      </c>
      <c r="H123" t="s">
        <v>165</v>
      </c>
      <c r="I123" t="s">
        <v>31</v>
      </c>
      <c r="J123">
        <v>126754</v>
      </c>
      <c r="K123">
        <v>8252</v>
      </c>
      <c r="L123" s="4">
        <v>3.8199999999999998E-2</v>
      </c>
      <c r="M123">
        <v>0.09</v>
      </c>
      <c r="N123" s="4">
        <v>4.8420027999999995</v>
      </c>
      <c r="O123" s="4">
        <v>11.407859999999999</v>
      </c>
    </row>
    <row r="124" spans="2:15">
      <c r="B124" t="s">
        <v>69</v>
      </c>
      <c r="C124" t="s">
        <v>50</v>
      </c>
      <c r="D124" t="s">
        <v>264</v>
      </c>
      <c r="E124" t="s">
        <v>265</v>
      </c>
      <c r="F124" t="s">
        <v>11</v>
      </c>
      <c r="G124" t="s">
        <v>57</v>
      </c>
      <c r="H124" t="s">
        <v>165</v>
      </c>
      <c r="I124" t="s">
        <v>31</v>
      </c>
      <c r="J124">
        <v>5101</v>
      </c>
      <c r="K124">
        <v>39</v>
      </c>
      <c r="L124" s="4">
        <v>3.8199999999999998E-2</v>
      </c>
      <c r="M124">
        <v>0.09</v>
      </c>
      <c r="N124" s="4">
        <v>0.19485819999999998</v>
      </c>
      <c r="O124" s="4">
        <v>0.45909</v>
      </c>
    </row>
    <row r="125" spans="2:15">
      <c r="B125" t="s">
        <v>69</v>
      </c>
      <c r="C125" t="s">
        <v>50</v>
      </c>
      <c r="D125" t="s">
        <v>264</v>
      </c>
      <c r="E125" t="s">
        <v>265</v>
      </c>
      <c r="F125" t="s">
        <v>11</v>
      </c>
      <c r="G125" t="s">
        <v>57</v>
      </c>
      <c r="H125" t="s">
        <v>165</v>
      </c>
      <c r="I125" t="s">
        <v>31</v>
      </c>
      <c r="J125">
        <v>1771</v>
      </c>
      <c r="K125">
        <v>15</v>
      </c>
      <c r="L125" s="4">
        <v>3.8199999999999998E-2</v>
      </c>
      <c r="M125">
        <v>0.09</v>
      </c>
      <c r="N125" s="4">
        <v>6.7652199999999996E-2</v>
      </c>
      <c r="O125" s="4">
        <v>0.15938999999999998</v>
      </c>
    </row>
    <row r="126" spans="2:15">
      <c r="B126" t="s">
        <v>69</v>
      </c>
      <c r="C126" t="s">
        <v>50</v>
      </c>
      <c r="D126" t="s">
        <v>266</v>
      </c>
      <c r="E126" t="s">
        <v>267</v>
      </c>
      <c r="F126" t="s">
        <v>11</v>
      </c>
      <c r="G126" t="s">
        <v>57</v>
      </c>
      <c r="H126" t="s">
        <v>165</v>
      </c>
      <c r="I126" t="s">
        <v>31</v>
      </c>
      <c r="J126">
        <v>5280</v>
      </c>
      <c r="K126">
        <v>51</v>
      </c>
      <c r="L126" s="4">
        <v>3.8199999999999998E-2</v>
      </c>
      <c r="M126">
        <v>0.09</v>
      </c>
      <c r="N126" s="4">
        <v>0.20169599999999999</v>
      </c>
      <c r="O126" s="4">
        <v>0.47520000000000001</v>
      </c>
    </row>
    <row r="127" spans="2:15">
      <c r="B127" t="s">
        <v>69</v>
      </c>
      <c r="C127" t="s">
        <v>50</v>
      </c>
      <c r="D127" t="s">
        <v>266</v>
      </c>
      <c r="E127" t="s">
        <v>267</v>
      </c>
      <c r="F127" t="s">
        <v>11</v>
      </c>
      <c r="G127" t="s">
        <v>57</v>
      </c>
      <c r="H127" t="s">
        <v>165</v>
      </c>
      <c r="I127" t="s">
        <v>31</v>
      </c>
      <c r="J127">
        <v>1955</v>
      </c>
      <c r="K127">
        <v>19</v>
      </c>
      <c r="L127" s="4">
        <v>3.8199999999999998E-2</v>
      </c>
      <c r="M127">
        <v>0.09</v>
      </c>
      <c r="N127" s="4">
        <v>7.4680999999999997E-2</v>
      </c>
      <c r="O127" s="4">
        <v>0.17595</v>
      </c>
    </row>
    <row r="128" spans="2:15">
      <c r="B128" t="s">
        <v>69</v>
      </c>
      <c r="C128" t="s">
        <v>50</v>
      </c>
      <c r="D128" t="s">
        <v>268</v>
      </c>
      <c r="E128" t="s">
        <v>269</v>
      </c>
      <c r="F128" t="s">
        <v>11</v>
      </c>
      <c r="G128" t="s">
        <v>57</v>
      </c>
      <c r="H128" t="s">
        <v>165</v>
      </c>
      <c r="I128" t="s">
        <v>31</v>
      </c>
      <c r="J128">
        <v>5115</v>
      </c>
      <c r="K128">
        <v>43</v>
      </c>
      <c r="L128" s="4">
        <v>3.8199999999999998E-2</v>
      </c>
      <c r="M128">
        <v>0.09</v>
      </c>
      <c r="N128" s="4">
        <v>0.19539300000000001</v>
      </c>
      <c r="O128" s="4">
        <v>0.46034999999999998</v>
      </c>
    </row>
    <row r="129" spans="2:15">
      <c r="B129" t="s">
        <v>69</v>
      </c>
      <c r="C129" t="s">
        <v>50</v>
      </c>
      <c r="D129" t="s">
        <v>268</v>
      </c>
      <c r="E129" t="s">
        <v>269</v>
      </c>
      <c r="F129" t="s">
        <v>11</v>
      </c>
      <c r="G129" t="s">
        <v>57</v>
      </c>
      <c r="H129" t="s">
        <v>165</v>
      </c>
      <c r="I129" t="s">
        <v>31</v>
      </c>
      <c r="J129">
        <v>1823</v>
      </c>
      <c r="K129">
        <v>14</v>
      </c>
      <c r="L129" s="4">
        <v>3.8199999999999998E-2</v>
      </c>
      <c r="M129">
        <v>0.09</v>
      </c>
      <c r="N129" s="4">
        <v>6.9638599999999995E-2</v>
      </c>
      <c r="O129" s="4">
        <v>0.16406999999999999</v>
      </c>
    </row>
    <row r="130" spans="2:15">
      <c r="B130" t="s">
        <v>69</v>
      </c>
      <c r="C130" t="s">
        <v>50</v>
      </c>
      <c r="D130" t="s">
        <v>270</v>
      </c>
      <c r="E130" t="s">
        <v>271</v>
      </c>
      <c r="F130" t="s">
        <v>11</v>
      </c>
      <c r="G130" t="s">
        <v>57</v>
      </c>
      <c r="H130" t="s">
        <v>165</v>
      </c>
      <c r="I130" t="s">
        <v>31</v>
      </c>
      <c r="J130">
        <v>5177</v>
      </c>
      <c r="K130">
        <v>47</v>
      </c>
      <c r="L130" s="4">
        <v>3.8199999999999998E-2</v>
      </c>
      <c r="M130">
        <v>0.09</v>
      </c>
      <c r="N130" s="4">
        <v>0.19776139999999998</v>
      </c>
      <c r="O130" s="4">
        <v>0.46593000000000001</v>
      </c>
    </row>
    <row r="131" spans="2:15">
      <c r="B131" t="s">
        <v>69</v>
      </c>
      <c r="C131" t="s">
        <v>50</v>
      </c>
      <c r="D131" t="s">
        <v>270</v>
      </c>
      <c r="E131" t="s">
        <v>271</v>
      </c>
      <c r="F131" t="s">
        <v>11</v>
      </c>
      <c r="G131" t="s">
        <v>57</v>
      </c>
      <c r="H131" t="s">
        <v>165</v>
      </c>
      <c r="I131" t="s">
        <v>31</v>
      </c>
      <c r="J131">
        <v>2011</v>
      </c>
      <c r="K131">
        <v>20</v>
      </c>
      <c r="L131" s="4">
        <v>3.8199999999999998E-2</v>
      </c>
      <c r="M131">
        <v>0.09</v>
      </c>
      <c r="N131" s="4">
        <v>7.6820200000000005E-2</v>
      </c>
      <c r="O131" s="4">
        <v>0.18098999999999998</v>
      </c>
    </row>
    <row r="132" spans="2:15">
      <c r="B132" t="s">
        <v>69</v>
      </c>
      <c r="C132" t="s">
        <v>50</v>
      </c>
      <c r="D132" t="s">
        <v>272</v>
      </c>
      <c r="E132" t="s">
        <v>273</v>
      </c>
      <c r="F132" t="s">
        <v>11</v>
      </c>
      <c r="G132" t="s">
        <v>57</v>
      </c>
      <c r="H132" t="s">
        <v>165</v>
      </c>
      <c r="I132" t="s">
        <v>31</v>
      </c>
      <c r="J132">
        <v>5379</v>
      </c>
      <c r="K132">
        <v>44</v>
      </c>
      <c r="L132" s="4">
        <v>3.8199999999999998E-2</v>
      </c>
      <c r="M132">
        <v>0.09</v>
      </c>
      <c r="N132" s="4">
        <v>0.20547779999999999</v>
      </c>
      <c r="O132" s="4">
        <v>0.48410999999999993</v>
      </c>
    </row>
    <row r="133" spans="2:15">
      <c r="B133" t="s">
        <v>69</v>
      </c>
      <c r="C133" t="s">
        <v>50</v>
      </c>
      <c r="D133" t="s">
        <v>272</v>
      </c>
      <c r="E133" t="s">
        <v>273</v>
      </c>
      <c r="F133" t="s">
        <v>11</v>
      </c>
      <c r="G133" t="s">
        <v>57</v>
      </c>
      <c r="H133" t="s">
        <v>165</v>
      </c>
      <c r="I133" t="s">
        <v>31</v>
      </c>
      <c r="J133">
        <v>1883</v>
      </c>
      <c r="K133">
        <v>17</v>
      </c>
      <c r="L133" s="4">
        <v>3.8199999999999998E-2</v>
      </c>
      <c r="M133">
        <v>0.09</v>
      </c>
      <c r="N133" s="4">
        <v>7.1930599999999997E-2</v>
      </c>
      <c r="O133" s="4">
        <v>0.16947000000000001</v>
      </c>
    </row>
    <row r="134" spans="2:15">
      <c r="B134" t="s">
        <v>69</v>
      </c>
      <c r="C134" t="s">
        <v>50</v>
      </c>
      <c r="D134" t="s">
        <v>274</v>
      </c>
      <c r="E134" t="s">
        <v>275</v>
      </c>
      <c r="F134" t="s">
        <v>11</v>
      </c>
      <c r="G134" t="s">
        <v>57</v>
      </c>
      <c r="H134" t="s">
        <v>165</v>
      </c>
      <c r="I134" t="s">
        <v>31</v>
      </c>
      <c r="J134">
        <v>5267</v>
      </c>
      <c r="K134">
        <v>30</v>
      </c>
      <c r="L134" s="4">
        <v>3.8199999999999998E-2</v>
      </c>
      <c r="M134">
        <v>0.09</v>
      </c>
      <c r="N134" s="4">
        <v>0.2011994</v>
      </c>
      <c r="O134" s="4">
        <v>0.47402999999999995</v>
      </c>
    </row>
    <row r="135" spans="2:15">
      <c r="B135" t="s">
        <v>69</v>
      </c>
      <c r="C135" t="s">
        <v>50</v>
      </c>
      <c r="D135" t="s">
        <v>274</v>
      </c>
      <c r="E135" t="s">
        <v>275</v>
      </c>
      <c r="F135" t="s">
        <v>11</v>
      </c>
      <c r="G135" t="s">
        <v>57</v>
      </c>
      <c r="H135" t="s">
        <v>165</v>
      </c>
      <c r="I135" t="s">
        <v>31</v>
      </c>
      <c r="J135">
        <v>1742</v>
      </c>
      <c r="K135">
        <v>12</v>
      </c>
      <c r="L135" s="4">
        <v>3.8199999999999998E-2</v>
      </c>
      <c r="M135">
        <v>0.09</v>
      </c>
      <c r="N135" s="4">
        <v>6.654439999999999E-2</v>
      </c>
      <c r="O135" s="4">
        <v>0.15678</v>
      </c>
    </row>
    <row r="136" spans="2:15">
      <c r="B136" t="s">
        <v>69</v>
      </c>
      <c r="C136" t="s">
        <v>50</v>
      </c>
      <c r="D136" t="s">
        <v>276</v>
      </c>
      <c r="E136" t="s">
        <v>277</v>
      </c>
      <c r="F136" t="s">
        <v>11</v>
      </c>
      <c r="G136" t="s">
        <v>57</v>
      </c>
      <c r="H136" t="s">
        <v>165</v>
      </c>
      <c r="I136" t="s">
        <v>31</v>
      </c>
      <c r="J136">
        <v>5028</v>
      </c>
      <c r="K136">
        <v>52</v>
      </c>
      <c r="L136" s="4">
        <v>3.8199999999999998E-2</v>
      </c>
      <c r="M136">
        <v>0.09</v>
      </c>
      <c r="N136" s="4">
        <v>0.19206959999999998</v>
      </c>
      <c r="O136" s="4">
        <v>0.45251999999999998</v>
      </c>
    </row>
    <row r="137" spans="2:15">
      <c r="B137" t="s">
        <v>69</v>
      </c>
      <c r="C137" t="s">
        <v>50</v>
      </c>
      <c r="D137" t="s">
        <v>276</v>
      </c>
      <c r="E137" t="s">
        <v>277</v>
      </c>
      <c r="F137" t="s">
        <v>11</v>
      </c>
      <c r="G137" t="s">
        <v>57</v>
      </c>
      <c r="H137" t="s">
        <v>165</v>
      </c>
      <c r="I137" t="s">
        <v>31</v>
      </c>
      <c r="J137">
        <v>2162</v>
      </c>
      <c r="K137">
        <v>25</v>
      </c>
      <c r="L137" s="4">
        <v>3.8199999999999998E-2</v>
      </c>
      <c r="M137">
        <v>0.09</v>
      </c>
      <c r="N137" s="4">
        <v>8.2588399999999992E-2</v>
      </c>
      <c r="O137" s="4">
        <v>0.19457999999999998</v>
      </c>
    </row>
    <row r="138" spans="2:15">
      <c r="B138" t="s">
        <v>69</v>
      </c>
      <c r="C138" t="s">
        <v>50</v>
      </c>
      <c r="D138" t="s">
        <v>278</v>
      </c>
      <c r="E138" t="s">
        <v>279</v>
      </c>
      <c r="F138" t="s">
        <v>11</v>
      </c>
      <c r="G138" t="s">
        <v>57</v>
      </c>
      <c r="H138" t="s">
        <v>165</v>
      </c>
      <c r="I138" t="s">
        <v>31</v>
      </c>
      <c r="J138">
        <v>5342</v>
      </c>
      <c r="K138">
        <v>38</v>
      </c>
      <c r="L138" s="4">
        <v>3.8199999999999998E-2</v>
      </c>
      <c r="M138">
        <v>0.09</v>
      </c>
      <c r="N138" s="4">
        <v>0.20406439999999998</v>
      </c>
      <c r="O138" s="4">
        <v>0.48077999999999999</v>
      </c>
    </row>
    <row r="139" spans="2:15">
      <c r="B139" t="s">
        <v>69</v>
      </c>
      <c r="C139" t="s">
        <v>50</v>
      </c>
      <c r="D139" t="s">
        <v>278</v>
      </c>
      <c r="E139" t="s">
        <v>279</v>
      </c>
      <c r="F139" t="s">
        <v>11</v>
      </c>
      <c r="G139" t="s">
        <v>57</v>
      </c>
      <c r="H139" t="s">
        <v>165</v>
      </c>
      <c r="I139" t="s">
        <v>31</v>
      </c>
      <c r="J139">
        <v>1891</v>
      </c>
      <c r="K139">
        <v>20</v>
      </c>
      <c r="L139" s="4">
        <v>3.8199999999999998E-2</v>
      </c>
      <c r="M139">
        <v>0.09</v>
      </c>
      <c r="N139" s="4">
        <v>7.22362E-2</v>
      </c>
      <c r="O139" s="4">
        <v>0.17019000000000001</v>
      </c>
    </row>
    <row r="140" spans="2:15">
      <c r="B140" t="s">
        <v>69</v>
      </c>
      <c r="C140" t="s">
        <v>50</v>
      </c>
      <c r="D140" t="s">
        <v>280</v>
      </c>
      <c r="E140" t="s">
        <v>281</v>
      </c>
      <c r="F140" t="s">
        <v>11</v>
      </c>
      <c r="G140" t="s">
        <v>57</v>
      </c>
      <c r="H140" t="s">
        <v>165</v>
      </c>
      <c r="I140" t="s">
        <v>31</v>
      </c>
      <c r="J140">
        <v>1354</v>
      </c>
      <c r="K140">
        <v>5</v>
      </c>
      <c r="L140" s="4">
        <v>3.8199999999999998E-2</v>
      </c>
      <c r="M140">
        <v>0.09</v>
      </c>
      <c r="N140" s="4">
        <v>5.1722799999999999E-2</v>
      </c>
      <c r="O140" s="4">
        <v>0.12186</v>
      </c>
    </row>
    <row r="141" spans="2:15">
      <c r="B141" t="s">
        <v>69</v>
      </c>
      <c r="C141" t="s">
        <v>50</v>
      </c>
      <c r="D141" t="s">
        <v>282</v>
      </c>
      <c r="E141" t="s">
        <v>283</v>
      </c>
      <c r="F141" t="s">
        <v>11</v>
      </c>
      <c r="G141" t="s">
        <v>57</v>
      </c>
      <c r="H141" t="s">
        <v>165</v>
      </c>
      <c r="I141" t="s">
        <v>31</v>
      </c>
      <c r="J141">
        <v>1428</v>
      </c>
      <c r="K141">
        <v>4</v>
      </c>
      <c r="L141" s="4">
        <v>3.8199999999999998E-2</v>
      </c>
      <c r="M141">
        <v>0.09</v>
      </c>
      <c r="N141" s="4">
        <v>5.4549599999999997E-2</v>
      </c>
      <c r="O141" s="4">
        <v>0.12852</v>
      </c>
    </row>
    <row r="142" spans="2:15">
      <c r="B142" t="s">
        <v>69</v>
      </c>
      <c r="C142" t="s">
        <v>50</v>
      </c>
      <c r="D142" t="s">
        <v>284</v>
      </c>
      <c r="E142" t="s">
        <v>285</v>
      </c>
      <c r="F142" t="s">
        <v>11</v>
      </c>
      <c r="G142" t="s">
        <v>57</v>
      </c>
      <c r="H142" t="s">
        <v>165</v>
      </c>
      <c r="I142" t="s">
        <v>31</v>
      </c>
      <c r="J142">
        <v>1349</v>
      </c>
      <c r="K142">
        <v>2</v>
      </c>
      <c r="L142" s="4">
        <v>3.8199999999999998E-2</v>
      </c>
      <c r="M142">
        <v>0.09</v>
      </c>
      <c r="N142" s="4">
        <v>5.1531799999999996E-2</v>
      </c>
      <c r="O142" s="4">
        <v>0.12140999999999999</v>
      </c>
    </row>
    <row r="143" spans="2:15">
      <c r="B143" t="s">
        <v>69</v>
      </c>
      <c r="C143" t="s">
        <v>50</v>
      </c>
      <c r="D143" t="s">
        <v>286</v>
      </c>
      <c r="E143" t="s">
        <v>287</v>
      </c>
      <c r="F143" t="s">
        <v>11</v>
      </c>
      <c r="G143" t="s">
        <v>57</v>
      </c>
      <c r="H143" t="s">
        <v>165</v>
      </c>
      <c r="I143" t="s">
        <v>31</v>
      </c>
      <c r="J143">
        <v>1903</v>
      </c>
      <c r="K143">
        <v>8</v>
      </c>
      <c r="L143" s="4">
        <v>3.8199999999999998E-2</v>
      </c>
      <c r="M143">
        <v>0.09</v>
      </c>
      <c r="N143" s="4">
        <v>7.2694599999999998E-2</v>
      </c>
      <c r="O143" s="4">
        <v>0.17126999999999998</v>
      </c>
    </row>
    <row r="144" spans="2:15">
      <c r="B144" t="s">
        <v>69</v>
      </c>
      <c r="C144" t="s">
        <v>50</v>
      </c>
      <c r="D144" t="s">
        <v>288</v>
      </c>
      <c r="E144" t="s">
        <v>289</v>
      </c>
      <c r="F144" t="s">
        <v>11</v>
      </c>
      <c r="G144" t="s">
        <v>57</v>
      </c>
      <c r="H144" t="s">
        <v>165</v>
      </c>
      <c r="I144" t="s">
        <v>31</v>
      </c>
      <c r="J144">
        <v>1299</v>
      </c>
      <c r="K144">
        <v>5</v>
      </c>
      <c r="L144" s="4">
        <v>3.8199999999999998E-2</v>
      </c>
      <c r="M144">
        <v>0.09</v>
      </c>
      <c r="N144" s="4">
        <v>4.9621800000000001E-2</v>
      </c>
      <c r="O144" s="4">
        <v>0.11691</v>
      </c>
    </row>
    <row r="145" spans="2:15">
      <c r="B145" t="s">
        <v>69</v>
      </c>
      <c r="C145" t="s">
        <v>50</v>
      </c>
      <c r="D145" t="s">
        <v>290</v>
      </c>
      <c r="E145" t="s">
        <v>291</v>
      </c>
      <c r="F145" t="s">
        <v>11</v>
      </c>
      <c r="G145" t="s">
        <v>57</v>
      </c>
      <c r="H145" t="s">
        <v>165</v>
      </c>
      <c r="I145" t="s">
        <v>31</v>
      </c>
      <c r="J145">
        <v>1400</v>
      </c>
      <c r="K145">
        <v>5</v>
      </c>
      <c r="L145" s="4">
        <v>3.8199999999999998E-2</v>
      </c>
      <c r="M145">
        <v>0.09</v>
      </c>
      <c r="N145" s="4">
        <v>5.348E-2</v>
      </c>
      <c r="O145" s="4">
        <v>0.126</v>
      </c>
    </row>
    <row r="146" spans="2:15">
      <c r="B146" t="s">
        <v>69</v>
      </c>
      <c r="C146" t="s">
        <v>50</v>
      </c>
      <c r="D146" t="s">
        <v>292</v>
      </c>
      <c r="E146" t="s">
        <v>293</v>
      </c>
      <c r="F146" t="s">
        <v>11</v>
      </c>
      <c r="G146" t="s">
        <v>57</v>
      </c>
      <c r="H146" t="s">
        <v>165</v>
      </c>
      <c r="I146" t="s">
        <v>31</v>
      </c>
      <c r="J146">
        <v>1362</v>
      </c>
      <c r="K146">
        <v>6</v>
      </c>
      <c r="L146" s="4">
        <v>3.8199999999999998E-2</v>
      </c>
      <c r="M146">
        <v>0.09</v>
      </c>
      <c r="N146" s="4">
        <v>5.2028399999999995E-2</v>
      </c>
      <c r="O146" s="4">
        <v>0.12257999999999999</v>
      </c>
    </row>
    <row r="147" spans="2:15">
      <c r="B147" t="s">
        <v>69</v>
      </c>
      <c r="C147" t="s">
        <v>50</v>
      </c>
      <c r="D147" t="s">
        <v>294</v>
      </c>
      <c r="E147" t="s">
        <v>295</v>
      </c>
      <c r="F147" t="s">
        <v>11</v>
      </c>
      <c r="G147" t="s">
        <v>57</v>
      </c>
      <c r="H147" t="s">
        <v>165</v>
      </c>
      <c r="I147" t="s">
        <v>31</v>
      </c>
      <c r="J147">
        <v>1328</v>
      </c>
      <c r="K147">
        <v>4</v>
      </c>
      <c r="L147" s="4">
        <v>3.8199999999999998E-2</v>
      </c>
      <c r="M147">
        <v>0.09</v>
      </c>
      <c r="N147" s="4">
        <v>5.07296E-2</v>
      </c>
      <c r="O147" s="4">
        <v>0.11952</v>
      </c>
    </row>
    <row r="148" spans="2:15">
      <c r="B148" t="s">
        <v>69</v>
      </c>
      <c r="C148" t="s">
        <v>50</v>
      </c>
      <c r="D148" t="s">
        <v>296</v>
      </c>
      <c r="E148" t="s">
        <v>297</v>
      </c>
      <c r="F148" t="s">
        <v>11</v>
      </c>
      <c r="G148" t="s">
        <v>57</v>
      </c>
      <c r="H148" t="s">
        <v>165</v>
      </c>
      <c r="I148" t="s">
        <v>31</v>
      </c>
      <c r="J148">
        <v>1447</v>
      </c>
      <c r="K148">
        <v>1</v>
      </c>
      <c r="L148" s="4">
        <v>3.8199999999999998E-2</v>
      </c>
      <c r="M148">
        <v>0.09</v>
      </c>
      <c r="N148" s="4">
        <v>5.5275399999999995E-2</v>
      </c>
      <c r="O148" s="4">
        <v>0.13022999999999998</v>
      </c>
    </row>
    <row r="149" spans="2:15">
      <c r="B149" t="s">
        <v>69</v>
      </c>
      <c r="C149" t="s">
        <v>50</v>
      </c>
      <c r="D149" t="s">
        <v>298</v>
      </c>
      <c r="E149" t="s">
        <v>299</v>
      </c>
      <c r="F149" t="s">
        <v>11</v>
      </c>
      <c r="G149" t="s">
        <v>57</v>
      </c>
      <c r="H149" t="s">
        <v>165</v>
      </c>
      <c r="I149" t="s">
        <v>31</v>
      </c>
      <c r="J149">
        <v>16284</v>
      </c>
      <c r="K149">
        <v>440</v>
      </c>
      <c r="L149" s="4">
        <v>3.8199999999999998E-2</v>
      </c>
      <c r="M149">
        <v>0.09</v>
      </c>
      <c r="N149" s="4">
        <v>0.62204879999999996</v>
      </c>
      <c r="O149" s="4">
        <v>1.46556</v>
      </c>
    </row>
    <row r="150" spans="2:15">
      <c r="B150" t="s">
        <v>69</v>
      </c>
      <c r="C150" t="s">
        <v>50</v>
      </c>
      <c r="D150" t="s">
        <v>298</v>
      </c>
      <c r="E150" t="s">
        <v>299</v>
      </c>
      <c r="F150" t="s">
        <v>11</v>
      </c>
      <c r="G150" t="s">
        <v>57</v>
      </c>
      <c r="H150" t="s">
        <v>165</v>
      </c>
      <c r="I150" t="s">
        <v>31</v>
      </c>
      <c r="J150">
        <v>3952</v>
      </c>
      <c r="K150">
        <v>293</v>
      </c>
      <c r="L150" s="4">
        <v>3.8199999999999998E-2</v>
      </c>
      <c r="M150">
        <v>0.09</v>
      </c>
      <c r="N150" s="4">
        <v>0.1509664</v>
      </c>
      <c r="O150" s="4">
        <v>0.35568</v>
      </c>
    </row>
    <row r="151" spans="2:15">
      <c r="B151" t="s">
        <v>69</v>
      </c>
      <c r="C151" t="s">
        <v>50</v>
      </c>
      <c r="D151" t="s">
        <v>300</v>
      </c>
      <c r="E151" t="s">
        <v>301</v>
      </c>
      <c r="F151" t="s">
        <v>11</v>
      </c>
      <c r="G151" t="s">
        <v>57</v>
      </c>
      <c r="H151" t="s">
        <v>165</v>
      </c>
      <c r="I151" t="s">
        <v>31</v>
      </c>
      <c r="J151">
        <v>15855</v>
      </c>
      <c r="K151">
        <v>410</v>
      </c>
      <c r="L151" s="4">
        <v>3.8199999999999998E-2</v>
      </c>
      <c r="M151">
        <v>0.09</v>
      </c>
      <c r="N151" s="4">
        <v>0.60566099999999989</v>
      </c>
      <c r="O151" s="4">
        <v>1.4269499999999999</v>
      </c>
    </row>
    <row r="152" spans="2:15">
      <c r="B152" t="s">
        <v>69</v>
      </c>
      <c r="C152" t="s">
        <v>50</v>
      </c>
      <c r="D152" t="s">
        <v>300</v>
      </c>
      <c r="E152" t="s">
        <v>301</v>
      </c>
      <c r="F152" t="s">
        <v>11</v>
      </c>
      <c r="G152" t="s">
        <v>57</v>
      </c>
      <c r="H152" t="s">
        <v>165</v>
      </c>
      <c r="I152" t="s">
        <v>31</v>
      </c>
      <c r="J152">
        <v>4868</v>
      </c>
      <c r="K152">
        <v>411</v>
      </c>
      <c r="L152" s="4">
        <v>3.8199999999999998E-2</v>
      </c>
      <c r="M152">
        <v>0.09</v>
      </c>
      <c r="N152" s="4">
        <v>0.18595759999999997</v>
      </c>
      <c r="O152" s="4">
        <v>0.43812000000000001</v>
      </c>
    </row>
    <row r="153" spans="2:15">
      <c r="B153" t="s">
        <v>69</v>
      </c>
      <c r="C153" t="s">
        <v>50</v>
      </c>
      <c r="D153" t="s">
        <v>302</v>
      </c>
      <c r="E153" t="s">
        <v>303</v>
      </c>
      <c r="F153" t="s">
        <v>11</v>
      </c>
      <c r="G153" t="s">
        <v>57</v>
      </c>
      <c r="H153" t="s">
        <v>165</v>
      </c>
      <c r="I153" t="s">
        <v>31</v>
      </c>
      <c r="J153">
        <v>15466</v>
      </c>
      <c r="K153">
        <v>426</v>
      </c>
      <c r="L153" s="4">
        <v>3.8199999999999998E-2</v>
      </c>
      <c r="M153">
        <v>0.09</v>
      </c>
      <c r="N153" s="4">
        <v>0.59080120000000003</v>
      </c>
      <c r="O153" s="4">
        <v>1.39194</v>
      </c>
    </row>
    <row r="154" spans="2:15">
      <c r="B154" t="s">
        <v>69</v>
      </c>
      <c r="C154" t="s">
        <v>50</v>
      </c>
      <c r="D154" t="s">
        <v>302</v>
      </c>
      <c r="E154" t="s">
        <v>303</v>
      </c>
      <c r="F154" t="s">
        <v>11</v>
      </c>
      <c r="G154" t="s">
        <v>57</v>
      </c>
      <c r="H154" t="s">
        <v>165</v>
      </c>
      <c r="I154" t="s">
        <v>31</v>
      </c>
      <c r="J154">
        <v>29950</v>
      </c>
      <c r="K154">
        <v>2326</v>
      </c>
      <c r="L154" s="4">
        <v>3.8199999999999998E-2</v>
      </c>
      <c r="M154">
        <v>0.09</v>
      </c>
      <c r="N154" s="4">
        <v>1.1440899999999998</v>
      </c>
      <c r="O154" s="4">
        <v>2.6955</v>
      </c>
    </row>
    <row r="155" spans="2:15">
      <c r="B155" t="s">
        <v>69</v>
      </c>
      <c r="C155" t="s">
        <v>50</v>
      </c>
      <c r="D155" t="s">
        <v>304</v>
      </c>
      <c r="E155" t="s">
        <v>305</v>
      </c>
      <c r="F155" t="s">
        <v>11</v>
      </c>
      <c r="G155" t="s">
        <v>57</v>
      </c>
      <c r="H155" t="s">
        <v>165</v>
      </c>
      <c r="I155" t="s">
        <v>31</v>
      </c>
      <c r="J155">
        <v>15742</v>
      </c>
      <c r="K155">
        <v>417</v>
      </c>
      <c r="L155" s="4">
        <v>3.8199999999999998E-2</v>
      </c>
      <c r="M155">
        <v>0.09</v>
      </c>
      <c r="N155" s="4">
        <v>0.6013444</v>
      </c>
      <c r="O155" s="4">
        <v>1.4167799999999999</v>
      </c>
    </row>
    <row r="156" spans="2:15">
      <c r="B156" t="s">
        <v>69</v>
      </c>
      <c r="C156" t="s">
        <v>50</v>
      </c>
      <c r="D156" t="s">
        <v>304</v>
      </c>
      <c r="E156" t="s">
        <v>305</v>
      </c>
      <c r="F156" t="s">
        <v>11</v>
      </c>
      <c r="G156" t="s">
        <v>57</v>
      </c>
      <c r="H156" t="s">
        <v>165</v>
      </c>
      <c r="I156" t="s">
        <v>31</v>
      </c>
      <c r="J156">
        <v>9751</v>
      </c>
      <c r="K156">
        <v>674</v>
      </c>
      <c r="L156" s="4">
        <v>3.8199999999999998E-2</v>
      </c>
      <c r="M156">
        <v>0.09</v>
      </c>
      <c r="N156" s="4">
        <v>0.37248819999999999</v>
      </c>
      <c r="O156" s="4">
        <v>0.87758999999999987</v>
      </c>
    </row>
    <row r="157" spans="2:15">
      <c r="B157" t="s">
        <v>69</v>
      </c>
      <c r="C157" t="s">
        <v>50</v>
      </c>
      <c r="D157" t="s">
        <v>306</v>
      </c>
      <c r="E157" t="s">
        <v>307</v>
      </c>
      <c r="F157" t="s">
        <v>11</v>
      </c>
      <c r="G157" t="s">
        <v>57</v>
      </c>
      <c r="H157" t="s">
        <v>165</v>
      </c>
      <c r="I157" t="s">
        <v>31</v>
      </c>
      <c r="J157">
        <v>5352</v>
      </c>
      <c r="K157">
        <v>115</v>
      </c>
      <c r="L157" s="4">
        <v>3.8199999999999998E-2</v>
      </c>
      <c r="M157">
        <v>0.09</v>
      </c>
      <c r="N157" s="4">
        <v>0.20444639999999997</v>
      </c>
      <c r="O157" s="4">
        <v>0.48168</v>
      </c>
    </row>
    <row r="158" spans="2:15">
      <c r="B158" t="s">
        <v>69</v>
      </c>
      <c r="C158" t="s">
        <v>50</v>
      </c>
      <c r="D158" t="s">
        <v>306</v>
      </c>
      <c r="E158" t="s">
        <v>307</v>
      </c>
      <c r="F158" t="s">
        <v>11</v>
      </c>
      <c r="G158" t="s">
        <v>57</v>
      </c>
      <c r="H158" t="s">
        <v>165</v>
      </c>
      <c r="I158" t="s">
        <v>31</v>
      </c>
      <c r="J158">
        <v>11785</v>
      </c>
      <c r="K158">
        <v>738</v>
      </c>
      <c r="L158" s="4">
        <v>3.8199999999999998E-2</v>
      </c>
      <c r="M158">
        <v>0.09</v>
      </c>
      <c r="N158" s="4">
        <v>0.45018699999999995</v>
      </c>
      <c r="O158" s="4">
        <v>1.0606499999999999</v>
      </c>
    </row>
    <row r="159" spans="2:15">
      <c r="B159" t="s">
        <v>69</v>
      </c>
      <c r="C159" t="s">
        <v>50</v>
      </c>
      <c r="D159" t="s">
        <v>308</v>
      </c>
      <c r="E159" t="s">
        <v>309</v>
      </c>
      <c r="F159" t="s">
        <v>11</v>
      </c>
      <c r="G159" t="s">
        <v>57</v>
      </c>
      <c r="H159" t="s">
        <v>165</v>
      </c>
      <c r="I159" t="s">
        <v>31</v>
      </c>
      <c r="J159">
        <v>7397</v>
      </c>
      <c r="K159">
        <v>174</v>
      </c>
      <c r="L159" s="4">
        <v>3.8199999999999998E-2</v>
      </c>
      <c r="M159">
        <v>0.09</v>
      </c>
      <c r="N159" s="4">
        <v>0.28256540000000002</v>
      </c>
      <c r="O159" s="4">
        <v>0.66573000000000004</v>
      </c>
    </row>
    <row r="160" spans="2:15">
      <c r="B160" t="s">
        <v>69</v>
      </c>
      <c r="C160" t="s">
        <v>50</v>
      </c>
      <c r="D160" t="s">
        <v>308</v>
      </c>
      <c r="E160" t="s">
        <v>309</v>
      </c>
      <c r="F160" t="s">
        <v>11</v>
      </c>
      <c r="G160" t="s">
        <v>57</v>
      </c>
      <c r="H160" t="s">
        <v>165</v>
      </c>
      <c r="I160" t="s">
        <v>31</v>
      </c>
      <c r="J160">
        <v>13059</v>
      </c>
      <c r="K160">
        <v>843</v>
      </c>
      <c r="L160" s="4">
        <v>3.8199999999999998E-2</v>
      </c>
      <c r="M160">
        <v>0.09</v>
      </c>
      <c r="N160" s="4">
        <v>0.49885379999999996</v>
      </c>
      <c r="O160" s="4">
        <v>1.1753099999999999</v>
      </c>
    </row>
    <row r="161" spans="2:15">
      <c r="B161" t="s">
        <v>69</v>
      </c>
      <c r="C161" t="s">
        <v>50</v>
      </c>
      <c r="D161" t="s">
        <v>310</v>
      </c>
      <c r="E161" t="s">
        <v>311</v>
      </c>
      <c r="F161" t="s">
        <v>11</v>
      </c>
      <c r="G161" t="s">
        <v>57</v>
      </c>
      <c r="H161" t="s">
        <v>165</v>
      </c>
      <c r="I161" t="s">
        <v>31</v>
      </c>
      <c r="J161">
        <v>4733</v>
      </c>
      <c r="K161">
        <v>66</v>
      </c>
      <c r="L161" s="4">
        <v>3.8199999999999998E-2</v>
      </c>
      <c r="M161">
        <v>0.09</v>
      </c>
      <c r="N161" s="4">
        <v>0.18080060000000001</v>
      </c>
      <c r="O161" s="4">
        <v>0.42596999999999996</v>
      </c>
    </row>
    <row r="162" spans="2:15">
      <c r="B162" t="s">
        <v>69</v>
      </c>
      <c r="C162" t="s">
        <v>50</v>
      </c>
      <c r="D162" t="s">
        <v>310</v>
      </c>
      <c r="E162" t="s">
        <v>311</v>
      </c>
      <c r="F162" t="s">
        <v>11</v>
      </c>
      <c r="G162" t="s">
        <v>57</v>
      </c>
      <c r="H162" t="s">
        <v>165</v>
      </c>
      <c r="I162" t="s">
        <v>31</v>
      </c>
      <c r="J162">
        <v>25836</v>
      </c>
      <c r="K162">
        <v>1557</v>
      </c>
      <c r="L162" s="4">
        <v>3.8199999999999998E-2</v>
      </c>
      <c r="M162">
        <v>0.09</v>
      </c>
      <c r="N162" s="4">
        <v>0.9869351999999999</v>
      </c>
      <c r="O162" s="4">
        <v>2.32524</v>
      </c>
    </row>
    <row r="163" spans="2:15">
      <c r="B163" t="s">
        <v>69</v>
      </c>
      <c r="C163" t="s">
        <v>50</v>
      </c>
      <c r="D163" t="s">
        <v>312</v>
      </c>
      <c r="E163" t="s">
        <v>313</v>
      </c>
      <c r="F163" t="s">
        <v>11</v>
      </c>
      <c r="G163" t="s">
        <v>57</v>
      </c>
      <c r="H163" t="s">
        <v>165</v>
      </c>
      <c r="I163" t="s">
        <v>31</v>
      </c>
      <c r="J163">
        <v>14085</v>
      </c>
      <c r="K163">
        <v>469</v>
      </c>
      <c r="L163" s="4">
        <v>3.8199999999999998E-2</v>
      </c>
      <c r="M163">
        <v>0.09</v>
      </c>
      <c r="N163" s="4">
        <v>0.53804700000000005</v>
      </c>
      <c r="O163" s="4">
        <v>1.2676499999999999</v>
      </c>
    </row>
    <row r="164" spans="2:15">
      <c r="B164" t="s">
        <v>69</v>
      </c>
      <c r="C164" t="s">
        <v>50</v>
      </c>
      <c r="D164" t="s">
        <v>312</v>
      </c>
      <c r="E164" t="s">
        <v>313</v>
      </c>
      <c r="F164" t="s">
        <v>11</v>
      </c>
      <c r="G164" t="s">
        <v>57</v>
      </c>
      <c r="H164" t="s">
        <v>165</v>
      </c>
      <c r="I164" t="s">
        <v>31</v>
      </c>
      <c r="J164">
        <v>10254</v>
      </c>
      <c r="K164">
        <v>618</v>
      </c>
      <c r="L164" s="4">
        <v>3.8199999999999998E-2</v>
      </c>
      <c r="M164">
        <v>0.09</v>
      </c>
      <c r="N164" s="4">
        <v>0.39170279999999996</v>
      </c>
      <c r="O164" s="4">
        <v>0.92286000000000001</v>
      </c>
    </row>
    <row r="165" spans="2:15">
      <c r="B165" t="s">
        <v>69</v>
      </c>
      <c r="C165" t="s">
        <v>50</v>
      </c>
      <c r="D165" t="s">
        <v>314</v>
      </c>
      <c r="E165" t="s">
        <v>315</v>
      </c>
      <c r="F165" t="s">
        <v>11</v>
      </c>
      <c r="G165" t="s">
        <v>57</v>
      </c>
      <c r="H165" t="s">
        <v>165</v>
      </c>
      <c r="I165" t="s">
        <v>31</v>
      </c>
      <c r="J165">
        <v>2377</v>
      </c>
      <c r="K165">
        <v>18</v>
      </c>
      <c r="L165" s="4">
        <v>3.8199999999999998E-2</v>
      </c>
      <c r="M165">
        <v>0.09</v>
      </c>
      <c r="N165" s="4">
        <v>9.0801400000000004E-2</v>
      </c>
      <c r="O165" s="4">
        <v>0.21392999999999998</v>
      </c>
    </row>
    <row r="166" spans="2:15">
      <c r="B166" t="s">
        <v>69</v>
      </c>
      <c r="C166" t="s">
        <v>50</v>
      </c>
      <c r="D166" t="s">
        <v>314</v>
      </c>
      <c r="E166" t="s">
        <v>315</v>
      </c>
      <c r="F166" t="s">
        <v>11</v>
      </c>
      <c r="G166" t="s">
        <v>57</v>
      </c>
      <c r="H166" t="s">
        <v>165</v>
      </c>
      <c r="I166" t="s">
        <v>31</v>
      </c>
      <c r="J166">
        <v>1176</v>
      </c>
      <c r="K166">
        <v>6</v>
      </c>
      <c r="L166" s="4">
        <v>3.8199999999999998E-2</v>
      </c>
      <c r="M166">
        <v>0.09</v>
      </c>
      <c r="N166" s="4">
        <v>4.4923199999999996E-2</v>
      </c>
      <c r="O166" s="4">
        <v>0.10583999999999999</v>
      </c>
    </row>
    <row r="167" spans="2:15">
      <c r="B167" t="s">
        <v>69</v>
      </c>
      <c r="C167" t="s">
        <v>50</v>
      </c>
      <c r="D167" t="s">
        <v>316</v>
      </c>
      <c r="E167" t="s">
        <v>317</v>
      </c>
      <c r="F167" t="s">
        <v>11</v>
      </c>
      <c r="G167" t="s">
        <v>57</v>
      </c>
      <c r="H167" t="s">
        <v>165</v>
      </c>
      <c r="I167" t="s">
        <v>31</v>
      </c>
      <c r="J167">
        <v>996</v>
      </c>
      <c r="K167">
        <v>6</v>
      </c>
      <c r="L167" s="4">
        <v>3.8199999999999998E-2</v>
      </c>
      <c r="M167">
        <v>0.09</v>
      </c>
      <c r="N167" s="4">
        <v>3.8047199999999996E-2</v>
      </c>
      <c r="O167" s="4">
        <v>8.9639999999999997E-2</v>
      </c>
    </row>
    <row r="168" spans="2:15">
      <c r="B168" t="s">
        <v>69</v>
      </c>
      <c r="C168" t="s">
        <v>50</v>
      </c>
      <c r="D168" t="s">
        <v>316</v>
      </c>
      <c r="E168" t="s">
        <v>317</v>
      </c>
      <c r="F168" t="s">
        <v>11</v>
      </c>
      <c r="G168" t="s">
        <v>57</v>
      </c>
      <c r="H168" t="s">
        <v>165</v>
      </c>
      <c r="I168" t="s">
        <v>31</v>
      </c>
      <c r="J168">
        <v>549</v>
      </c>
      <c r="K168">
        <v>3</v>
      </c>
      <c r="L168" s="4">
        <v>3.8199999999999998E-2</v>
      </c>
      <c r="M168">
        <v>0.09</v>
      </c>
      <c r="N168" s="4">
        <v>2.0971799999999999E-2</v>
      </c>
      <c r="O168" s="4">
        <v>4.9409999999999996E-2</v>
      </c>
    </row>
    <row r="169" spans="2:15">
      <c r="B169" t="s">
        <v>69</v>
      </c>
      <c r="C169" t="s">
        <v>50</v>
      </c>
      <c r="D169" t="s">
        <v>318</v>
      </c>
      <c r="E169" t="s">
        <v>319</v>
      </c>
      <c r="F169" t="s">
        <v>11</v>
      </c>
      <c r="G169" t="s">
        <v>57</v>
      </c>
      <c r="H169" t="s">
        <v>165</v>
      </c>
      <c r="I169" t="s">
        <v>31</v>
      </c>
      <c r="J169">
        <v>990</v>
      </c>
      <c r="K169">
        <v>4</v>
      </c>
      <c r="L169" s="4">
        <v>3.8199999999999998E-2</v>
      </c>
      <c r="M169">
        <v>0.09</v>
      </c>
      <c r="N169" s="4">
        <v>3.7817999999999997E-2</v>
      </c>
      <c r="O169" s="4">
        <v>8.9099999999999999E-2</v>
      </c>
    </row>
    <row r="170" spans="2:15">
      <c r="B170" t="s">
        <v>69</v>
      </c>
      <c r="C170" t="s">
        <v>50</v>
      </c>
      <c r="D170" t="s">
        <v>318</v>
      </c>
      <c r="E170" t="s">
        <v>319</v>
      </c>
      <c r="F170" t="s">
        <v>11</v>
      </c>
      <c r="G170" t="s">
        <v>57</v>
      </c>
      <c r="H170" t="s">
        <v>165</v>
      </c>
      <c r="I170" t="s">
        <v>31</v>
      </c>
      <c r="J170">
        <v>629</v>
      </c>
      <c r="K170">
        <v>5</v>
      </c>
      <c r="L170" s="4">
        <v>3.8199999999999998E-2</v>
      </c>
      <c r="M170">
        <v>0.09</v>
      </c>
      <c r="N170" s="4">
        <v>2.4027799999999998E-2</v>
      </c>
      <c r="O170" s="4">
        <v>5.6610000000000001E-2</v>
      </c>
    </row>
    <row r="171" spans="2:15">
      <c r="B171" t="s">
        <v>69</v>
      </c>
      <c r="C171" t="s">
        <v>50</v>
      </c>
      <c r="D171" t="s">
        <v>320</v>
      </c>
      <c r="E171" t="s">
        <v>321</v>
      </c>
      <c r="F171" t="s">
        <v>11</v>
      </c>
      <c r="G171" t="s">
        <v>57</v>
      </c>
      <c r="H171" t="s">
        <v>165</v>
      </c>
      <c r="I171" t="s">
        <v>31</v>
      </c>
      <c r="J171">
        <v>1655</v>
      </c>
      <c r="K171">
        <v>4</v>
      </c>
      <c r="L171" s="4">
        <v>3.8199999999999998E-2</v>
      </c>
      <c r="M171">
        <v>0.09</v>
      </c>
      <c r="N171" s="4">
        <v>6.3220999999999999E-2</v>
      </c>
      <c r="O171" s="4">
        <v>0.14895</v>
      </c>
    </row>
    <row r="172" spans="2:15">
      <c r="B172" t="s">
        <v>69</v>
      </c>
      <c r="C172" t="s">
        <v>50</v>
      </c>
      <c r="D172" t="s">
        <v>320</v>
      </c>
      <c r="E172" t="s">
        <v>321</v>
      </c>
      <c r="F172" t="s">
        <v>11</v>
      </c>
      <c r="G172" t="s">
        <v>57</v>
      </c>
      <c r="H172" t="s">
        <v>165</v>
      </c>
      <c r="I172" t="s">
        <v>31</v>
      </c>
      <c r="J172">
        <v>1140</v>
      </c>
      <c r="K172">
        <v>5</v>
      </c>
      <c r="L172" s="4">
        <v>3.8199999999999998E-2</v>
      </c>
      <c r="M172">
        <v>0.09</v>
      </c>
      <c r="N172" s="4">
        <v>4.3547999999999996E-2</v>
      </c>
      <c r="O172" s="4">
        <v>0.1026</v>
      </c>
    </row>
    <row r="173" spans="2:15">
      <c r="B173" t="s">
        <v>69</v>
      </c>
      <c r="C173" t="s">
        <v>50</v>
      </c>
      <c r="D173" t="s">
        <v>322</v>
      </c>
      <c r="E173" t="s">
        <v>323</v>
      </c>
      <c r="F173" t="s">
        <v>11</v>
      </c>
      <c r="G173" t="s">
        <v>57</v>
      </c>
      <c r="H173" t="s">
        <v>165</v>
      </c>
      <c r="I173" t="s">
        <v>31</v>
      </c>
      <c r="J173">
        <v>648</v>
      </c>
      <c r="K173">
        <v>3</v>
      </c>
      <c r="L173" s="4">
        <v>3.8199999999999998E-2</v>
      </c>
      <c r="M173">
        <v>0.09</v>
      </c>
      <c r="N173" s="4">
        <v>2.4753599999999997E-2</v>
      </c>
      <c r="O173" s="4">
        <v>5.8319999999999997E-2</v>
      </c>
    </row>
    <row r="174" spans="2:15">
      <c r="B174" t="s">
        <v>69</v>
      </c>
      <c r="C174" t="s">
        <v>50</v>
      </c>
      <c r="D174" t="s">
        <v>324</v>
      </c>
      <c r="E174" t="s">
        <v>325</v>
      </c>
      <c r="F174" t="s">
        <v>11</v>
      </c>
      <c r="G174" t="s">
        <v>57</v>
      </c>
      <c r="H174" t="s">
        <v>165</v>
      </c>
      <c r="I174" t="s">
        <v>31</v>
      </c>
      <c r="J174">
        <v>3874</v>
      </c>
      <c r="K174">
        <v>18</v>
      </c>
      <c r="L174" s="4">
        <v>3.8199999999999998E-2</v>
      </c>
      <c r="M174">
        <v>0.09</v>
      </c>
      <c r="N174" s="4">
        <v>0.1479868</v>
      </c>
      <c r="O174" s="4">
        <v>0.34865999999999997</v>
      </c>
    </row>
    <row r="175" spans="2:15">
      <c r="B175" t="s">
        <v>69</v>
      </c>
      <c r="C175" t="s">
        <v>50</v>
      </c>
      <c r="D175" t="s">
        <v>324</v>
      </c>
      <c r="E175" t="s">
        <v>325</v>
      </c>
      <c r="F175" t="s">
        <v>11</v>
      </c>
      <c r="G175" t="s">
        <v>57</v>
      </c>
      <c r="H175" t="s">
        <v>165</v>
      </c>
      <c r="I175" t="s">
        <v>31</v>
      </c>
      <c r="J175">
        <v>1884</v>
      </c>
      <c r="K175">
        <v>3</v>
      </c>
      <c r="L175" s="4">
        <v>3.8199999999999998E-2</v>
      </c>
      <c r="M175">
        <v>0.09</v>
      </c>
      <c r="N175" s="4">
        <v>7.1968799999999999E-2</v>
      </c>
      <c r="O175" s="4">
        <v>0.16955999999999999</v>
      </c>
    </row>
    <row r="176" spans="2:15">
      <c r="B176" t="s">
        <v>69</v>
      </c>
      <c r="C176" t="s">
        <v>50</v>
      </c>
      <c r="D176" t="s">
        <v>326</v>
      </c>
      <c r="E176" t="s">
        <v>327</v>
      </c>
      <c r="F176" t="s">
        <v>11</v>
      </c>
      <c r="G176" t="s">
        <v>57</v>
      </c>
      <c r="H176" t="s">
        <v>165</v>
      </c>
      <c r="I176" t="s">
        <v>31</v>
      </c>
      <c r="J176">
        <v>575</v>
      </c>
      <c r="K176">
        <v>0</v>
      </c>
      <c r="L176" s="4">
        <v>3.8199999999999998E-2</v>
      </c>
      <c r="M176">
        <v>0.09</v>
      </c>
      <c r="N176" s="4">
        <v>2.1964999999999998E-2</v>
      </c>
      <c r="O176" s="4">
        <v>5.1749999999999997E-2</v>
      </c>
    </row>
    <row r="177" spans="2:15">
      <c r="B177" t="s">
        <v>69</v>
      </c>
      <c r="C177" t="s">
        <v>50</v>
      </c>
      <c r="D177" t="s">
        <v>326</v>
      </c>
      <c r="E177" t="s">
        <v>327</v>
      </c>
      <c r="F177" t="s">
        <v>11</v>
      </c>
      <c r="G177" t="s">
        <v>57</v>
      </c>
      <c r="H177" t="s">
        <v>165</v>
      </c>
      <c r="I177" t="s">
        <v>31</v>
      </c>
      <c r="J177">
        <v>18</v>
      </c>
      <c r="K177">
        <v>0</v>
      </c>
      <c r="L177" s="4">
        <v>3.8199999999999998E-2</v>
      </c>
      <c r="M177">
        <v>0.09</v>
      </c>
      <c r="N177" s="4">
        <v>6.8760000000000002E-4</v>
      </c>
      <c r="O177" s="4">
        <v>1.6199999999999999E-3</v>
      </c>
    </row>
    <row r="178" spans="2:15">
      <c r="B178" t="s">
        <v>69</v>
      </c>
      <c r="C178" t="s">
        <v>50</v>
      </c>
      <c r="D178" t="s">
        <v>328</v>
      </c>
      <c r="E178" t="s">
        <v>329</v>
      </c>
      <c r="F178" t="s">
        <v>11</v>
      </c>
      <c r="G178" t="s">
        <v>57</v>
      </c>
      <c r="H178" t="s">
        <v>165</v>
      </c>
      <c r="I178" t="s">
        <v>31</v>
      </c>
      <c r="J178">
        <v>1499</v>
      </c>
      <c r="K178">
        <v>2</v>
      </c>
      <c r="L178" s="4">
        <v>3.8199999999999998E-2</v>
      </c>
      <c r="M178">
        <v>0.09</v>
      </c>
      <c r="N178" s="4">
        <v>5.7261799999999995E-2</v>
      </c>
      <c r="O178" s="4">
        <v>0.13491</v>
      </c>
    </row>
    <row r="179" spans="2:15">
      <c r="B179" t="s">
        <v>69</v>
      </c>
      <c r="C179" t="s">
        <v>50</v>
      </c>
      <c r="D179" t="s">
        <v>328</v>
      </c>
      <c r="E179" t="s">
        <v>329</v>
      </c>
      <c r="F179" t="s">
        <v>11</v>
      </c>
      <c r="G179" t="s">
        <v>57</v>
      </c>
      <c r="H179" t="s">
        <v>165</v>
      </c>
      <c r="I179" t="s">
        <v>31</v>
      </c>
      <c r="J179">
        <v>1555</v>
      </c>
      <c r="K179">
        <v>0</v>
      </c>
      <c r="L179" s="4">
        <v>3.8199999999999998E-2</v>
      </c>
      <c r="M179">
        <v>0.09</v>
      </c>
      <c r="N179" s="4">
        <v>5.9400999999999995E-2</v>
      </c>
      <c r="O179" s="4">
        <v>0.13994999999999999</v>
      </c>
    </row>
    <row r="180" spans="2:15">
      <c r="B180" t="s">
        <v>69</v>
      </c>
      <c r="C180" t="s">
        <v>50</v>
      </c>
      <c r="D180" t="s">
        <v>330</v>
      </c>
      <c r="E180" t="s">
        <v>331</v>
      </c>
      <c r="F180" t="s">
        <v>11</v>
      </c>
      <c r="G180" t="s">
        <v>57</v>
      </c>
      <c r="H180" t="s">
        <v>165</v>
      </c>
      <c r="I180" t="s">
        <v>31</v>
      </c>
      <c r="J180">
        <v>2962</v>
      </c>
      <c r="K180">
        <v>15</v>
      </c>
      <c r="L180" s="4">
        <v>3.8199999999999998E-2</v>
      </c>
      <c r="M180">
        <v>0.09</v>
      </c>
      <c r="N180" s="4">
        <v>0.1131484</v>
      </c>
      <c r="O180" s="4">
        <v>0.26657999999999998</v>
      </c>
    </row>
    <row r="181" spans="2:15">
      <c r="B181" t="s">
        <v>69</v>
      </c>
      <c r="C181" t="s">
        <v>50</v>
      </c>
      <c r="D181" t="s">
        <v>330</v>
      </c>
      <c r="E181" t="s">
        <v>331</v>
      </c>
      <c r="F181" t="s">
        <v>11</v>
      </c>
      <c r="G181" t="s">
        <v>57</v>
      </c>
      <c r="H181" t="s">
        <v>165</v>
      </c>
      <c r="I181" t="s">
        <v>31</v>
      </c>
      <c r="J181">
        <v>2357</v>
      </c>
      <c r="K181">
        <v>6</v>
      </c>
      <c r="L181" s="4">
        <v>3.8199999999999998E-2</v>
      </c>
      <c r="M181">
        <v>0.09</v>
      </c>
      <c r="N181" s="4">
        <v>9.003739999999999E-2</v>
      </c>
      <c r="O181" s="4">
        <v>0.21212999999999999</v>
      </c>
    </row>
    <row r="182" spans="2:15">
      <c r="B182" t="s">
        <v>69</v>
      </c>
      <c r="C182" t="s">
        <v>50</v>
      </c>
      <c r="D182" t="s">
        <v>332</v>
      </c>
      <c r="E182" t="s">
        <v>333</v>
      </c>
      <c r="F182" t="s">
        <v>11</v>
      </c>
      <c r="G182" t="s">
        <v>57</v>
      </c>
      <c r="H182" t="s">
        <v>165</v>
      </c>
      <c r="I182" t="s">
        <v>31</v>
      </c>
      <c r="J182">
        <v>3009</v>
      </c>
      <c r="K182">
        <v>10</v>
      </c>
      <c r="L182" s="4">
        <v>3.8199999999999998E-2</v>
      </c>
      <c r="M182">
        <v>0.09</v>
      </c>
      <c r="N182" s="4">
        <v>0.1149438</v>
      </c>
      <c r="O182" s="4">
        <v>0.27081</v>
      </c>
    </row>
    <row r="183" spans="2:15">
      <c r="B183" t="s">
        <v>69</v>
      </c>
      <c r="C183" t="s">
        <v>50</v>
      </c>
      <c r="D183" t="s">
        <v>332</v>
      </c>
      <c r="E183" t="s">
        <v>333</v>
      </c>
      <c r="F183" t="s">
        <v>11</v>
      </c>
      <c r="G183" t="s">
        <v>57</v>
      </c>
      <c r="H183" t="s">
        <v>165</v>
      </c>
      <c r="I183" t="s">
        <v>31</v>
      </c>
      <c r="J183">
        <v>2246</v>
      </c>
      <c r="K183">
        <v>5</v>
      </c>
      <c r="L183" s="4">
        <v>3.8199999999999998E-2</v>
      </c>
      <c r="M183">
        <v>0.09</v>
      </c>
      <c r="N183" s="4">
        <v>8.579719999999999E-2</v>
      </c>
      <c r="O183" s="4">
        <v>0.20213999999999999</v>
      </c>
    </row>
    <row r="184" spans="2:15">
      <c r="B184" t="s">
        <v>69</v>
      </c>
      <c r="C184" t="s">
        <v>50</v>
      </c>
      <c r="D184" t="s">
        <v>334</v>
      </c>
      <c r="E184" t="s">
        <v>335</v>
      </c>
      <c r="F184" t="s">
        <v>11</v>
      </c>
      <c r="G184" t="s">
        <v>57</v>
      </c>
      <c r="H184" t="s">
        <v>165</v>
      </c>
      <c r="I184" t="s">
        <v>31</v>
      </c>
      <c r="J184">
        <v>1492</v>
      </c>
      <c r="K184">
        <v>2</v>
      </c>
      <c r="L184" s="4">
        <v>3.8199999999999998E-2</v>
      </c>
      <c r="M184">
        <v>0.09</v>
      </c>
      <c r="N184" s="4">
        <v>5.6994400000000001E-2</v>
      </c>
      <c r="O184" s="4">
        <v>0.13428000000000001</v>
      </c>
    </row>
    <row r="185" spans="2:15">
      <c r="B185" t="s">
        <v>69</v>
      </c>
      <c r="C185" t="s">
        <v>50</v>
      </c>
      <c r="D185" t="s">
        <v>334</v>
      </c>
      <c r="E185" t="s">
        <v>335</v>
      </c>
      <c r="F185" t="s">
        <v>11</v>
      </c>
      <c r="G185" t="s">
        <v>57</v>
      </c>
      <c r="H185" t="s">
        <v>165</v>
      </c>
      <c r="I185" t="s">
        <v>31</v>
      </c>
      <c r="J185">
        <v>1250</v>
      </c>
      <c r="K185">
        <v>1</v>
      </c>
      <c r="L185" s="4">
        <v>3.8199999999999998E-2</v>
      </c>
      <c r="M185">
        <v>0.09</v>
      </c>
      <c r="N185" s="4">
        <v>4.7750000000000001E-2</v>
      </c>
      <c r="O185" s="4">
        <v>0.1125</v>
      </c>
    </row>
    <row r="186" spans="2:15">
      <c r="B186" t="s">
        <v>69</v>
      </c>
      <c r="C186" t="s">
        <v>50</v>
      </c>
      <c r="D186" t="s">
        <v>336</v>
      </c>
      <c r="E186" t="s">
        <v>337</v>
      </c>
      <c r="F186" t="s">
        <v>11</v>
      </c>
      <c r="G186" t="s">
        <v>57</v>
      </c>
      <c r="H186" t="s">
        <v>165</v>
      </c>
      <c r="I186" t="s">
        <v>31</v>
      </c>
      <c r="J186">
        <v>1575</v>
      </c>
      <c r="K186">
        <v>3</v>
      </c>
      <c r="L186" s="4">
        <v>3.8199999999999998E-2</v>
      </c>
      <c r="M186">
        <v>0.09</v>
      </c>
      <c r="N186" s="4">
        <v>6.0164999999999996E-2</v>
      </c>
      <c r="O186" s="4">
        <v>0.14174999999999999</v>
      </c>
    </row>
    <row r="187" spans="2:15">
      <c r="B187" t="s">
        <v>69</v>
      </c>
      <c r="C187" t="s">
        <v>50</v>
      </c>
      <c r="D187" t="s">
        <v>336</v>
      </c>
      <c r="E187" t="s">
        <v>337</v>
      </c>
      <c r="F187" t="s">
        <v>11</v>
      </c>
      <c r="G187" t="s">
        <v>57</v>
      </c>
      <c r="H187" t="s">
        <v>165</v>
      </c>
      <c r="I187" t="s">
        <v>31</v>
      </c>
      <c r="J187">
        <v>1255</v>
      </c>
      <c r="K187">
        <v>2</v>
      </c>
      <c r="L187" s="4">
        <v>3.8199999999999998E-2</v>
      </c>
      <c r="M187">
        <v>0.09</v>
      </c>
      <c r="N187" s="4">
        <v>4.7940999999999998E-2</v>
      </c>
      <c r="O187" s="4">
        <v>0.11295000000000001</v>
      </c>
    </row>
    <row r="188" spans="2:15">
      <c r="B188" t="s">
        <v>69</v>
      </c>
      <c r="C188" t="s">
        <v>50</v>
      </c>
      <c r="D188" t="s">
        <v>338</v>
      </c>
      <c r="E188" t="s">
        <v>339</v>
      </c>
      <c r="F188" t="s">
        <v>11</v>
      </c>
      <c r="G188" t="s">
        <v>57</v>
      </c>
      <c r="H188" t="s">
        <v>165</v>
      </c>
      <c r="I188" t="s">
        <v>31</v>
      </c>
      <c r="J188">
        <v>2573</v>
      </c>
      <c r="K188">
        <v>14</v>
      </c>
      <c r="L188" s="4">
        <v>3.8199999999999998E-2</v>
      </c>
      <c r="M188">
        <v>0.09</v>
      </c>
      <c r="N188" s="4">
        <v>9.828859999999999E-2</v>
      </c>
      <c r="O188" s="4">
        <v>0.23157</v>
      </c>
    </row>
    <row r="189" spans="2:15">
      <c r="B189" t="s">
        <v>69</v>
      </c>
      <c r="C189" t="s">
        <v>50</v>
      </c>
      <c r="D189" t="s">
        <v>338</v>
      </c>
      <c r="E189" t="s">
        <v>339</v>
      </c>
      <c r="F189" t="s">
        <v>11</v>
      </c>
      <c r="G189" t="s">
        <v>57</v>
      </c>
      <c r="H189" t="s">
        <v>165</v>
      </c>
      <c r="I189" t="s">
        <v>31</v>
      </c>
      <c r="J189">
        <v>1251</v>
      </c>
      <c r="K189">
        <v>11</v>
      </c>
      <c r="L189" s="4">
        <v>3.8199999999999998E-2</v>
      </c>
      <c r="M189">
        <v>0.09</v>
      </c>
      <c r="N189" s="4">
        <v>4.7788199999999996E-2</v>
      </c>
      <c r="O189" s="4">
        <v>0.11259</v>
      </c>
    </row>
    <row r="190" spans="2:15">
      <c r="B190" t="s">
        <v>69</v>
      </c>
      <c r="C190" t="s">
        <v>50</v>
      </c>
      <c r="D190" t="s">
        <v>340</v>
      </c>
      <c r="E190" t="s">
        <v>341</v>
      </c>
      <c r="F190" t="s">
        <v>11</v>
      </c>
      <c r="G190" t="s">
        <v>57</v>
      </c>
      <c r="H190" t="s">
        <v>165</v>
      </c>
      <c r="I190" t="s">
        <v>31</v>
      </c>
      <c r="J190">
        <v>2675</v>
      </c>
      <c r="K190">
        <v>22</v>
      </c>
      <c r="L190" s="4">
        <v>3.8199999999999998E-2</v>
      </c>
      <c r="M190">
        <v>0.09</v>
      </c>
      <c r="N190" s="4">
        <v>0.10218499999999998</v>
      </c>
      <c r="O190" s="4">
        <v>0.24074999999999999</v>
      </c>
    </row>
    <row r="191" spans="2:15">
      <c r="B191" t="s">
        <v>69</v>
      </c>
      <c r="C191" t="s">
        <v>50</v>
      </c>
      <c r="D191" t="s">
        <v>340</v>
      </c>
      <c r="E191" t="s">
        <v>341</v>
      </c>
      <c r="F191" t="s">
        <v>11</v>
      </c>
      <c r="G191" t="s">
        <v>57</v>
      </c>
      <c r="H191" t="s">
        <v>165</v>
      </c>
      <c r="I191" t="s">
        <v>31</v>
      </c>
      <c r="J191">
        <v>1524</v>
      </c>
      <c r="K191">
        <v>12</v>
      </c>
      <c r="L191" s="4">
        <v>3.8199999999999998E-2</v>
      </c>
      <c r="M191">
        <v>0.09</v>
      </c>
      <c r="N191" s="4">
        <v>5.8216799999999999E-2</v>
      </c>
      <c r="O191" s="4">
        <v>0.13716</v>
      </c>
    </row>
    <row r="192" spans="2:15">
      <c r="B192" t="s">
        <v>69</v>
      </c>
      <c r="C192" t="s">
        <v>50</v>
      </c>
      <c r="D192" t="s">
        <v>342</v>
      </c>
      <c r="E192" t="s">
        <v>343</v>
      </c>
      <c r="F192" t="s">
        <v>11</v>
      </c>
      <c r="G192" t="s">
        <v>57</v>
      </c>
      <c r="H192" t="s">
        <v>165</v>
      </c>
      <c r="I192" t="s">
        <v>31</v>
      </c>
      <c r="J192">
        <v>2543</v>
      </c>
      <c r="K192">
        <v>16</v>
      </c>
      <c r="L192" s="4">
        <v>3.8199999999999998E-2</v>
      </c>
      <c r="M192">
        <v>0.09</v>
      </c>
      <c r="N192" s="4">
        <v>9.7142599999999996E-2</v>
      </c>
      <c r="O192" s="4">
        <v>0.22887000000000002</v>
      </c>
    </row>
    <row r="193" spans="2:15">
      <c r="B193" t="s">
        <v>69</v>
      </c>
      <c r="C193" t="s">
        <v>50</v>
      </c>
      <c r="D193" t="s">
        <v>342</v>
      </c>
      <c r="E193" t="s">
        <v>343</v>
      </c>
      <c r="F193" t="s">
        <v>11</v>
      </c>
      <c r="G193" t="s">
        <v>57</v>
      </c>
      <c r="H193" t="s">
        <v>165</v>
      </c>
      <c r="I193" t="s">
        <v>31</v>
      </c>
      <c r="J193">
        <v>1572</v>
      </c>
      <c r="K193">
        <v>11</v>
      </c>
      <c r="L193" s="4">
        <v>3.8199999999999998E-2</v>
      </c>
      <c r="M193">
        <v>0.09</v>
      </c>
      <c r="N193" s="4">
        <v>6.0050399999999997E-2</v>
      </c>
      <c r="O193" s="4">
        <v>0.14147999999999999</v>
      </c>
    </row>
    <row r="194" spans="2:15">
      <c r="B194" t="s">
        <v>69</v>
      </c>
      <c r="C194" t="s">
        <v>50</v>
      </c>
      <c r="D194" t="s">
        <v>344</v>
      </c>
      <c r="E194" t="s">
        <v>345</v>
      </c>
      <c r="F194" t="s">
        <v>11</v>
      </c>
      <c r="G194" t="s">
        <v>57</v>
      </c>
      <c r="H194" t="s">
        <v>165</v>
      </c>
      <c r="I194" t="s">
        <v>31</v>
      </c>
      <c r="J194">
        <v>2287</v>
      </c>
      <c r="K194">
        <v>4</v>
      </c>
      <c r="L194" s="4">
        <v>3.8199999999999998E-2</v>
      </c>
      <c r="M194">
        <v>0.09</v>
      </c>
      <c r="N194" s="4">
        <v>8.7363399999999994E-2</v>
      </c>
      <c r="O194" s="4">
        <v>0.20582999999999999</v>
      </c>
    </row>
    <row r="195" spans="2:15">
      <c r="B195" t="s">
        <v>69</v>
      </c>
      <c r="C195" t="s">
        <v>50</v>
      </c>
      <c r="D195" t="s">
        <v>344</v>
      </c>
      <c r="E195" t="s">
        <v>345</v>
      </c>
      <c r="F195" t="s">
        <v>11</v>
      </c>
      <c r="G195" t="s">
        <v>57</v>
      </c>
      <c r="H195" t="s">
        <v>165</v>
      </c>
      <c r="I195" t="s">
        <v>31</v>
      </c>
      <c r="J195">
        <v>1746</v>
      </c>
      <c r="K195">
        <v>2</v>
      </c>
      <c r="L195" s="4">
        <v>3.8199999999999998E-2</v>
      </c>
      <c r="M195">
        <v>0.09</v>
      </c>
      <c r="N195" s="4">
        <v>6.6697199999999998E-2</v>
      </c>
      <c r="O195" s="4">
        <v>0.15713999999999997</v>
      </c>
    </row>
    <row r="196" spans="2:15">
      <c r="B196" t="s">
        <v>69</v>
      </c>
      <c r="C196" t="s">
        <v>50</v>
      </c>
      <c r="D196" t="s">
        <v>346</v>
      </c>
      <c r="E196" t="s">
        <v>347</v>
      </c>
      <c r="F196" t="s">
        <v>11</v>
      </c>
      <c r="G196" t="s">
        <v>57</v>
      </c>
      <c r="H196" t="s">
        <v>165</v>
      </c>
      <c r="I196" t="s">
        <v>31</v>
      </c>
      <c r="J196">
        <v>2318</v>
      </c>
      <c r="K196">
        <v>9</v>
      </c>
      <c r="L196" s="4">
        <v>3.8199999999999998E-2</v>
      </c>
      <c r="M196">
        <v>0.09</v>
      </c>
      <c r="N196" s="4">
        <v>8.854759999999999E-2</v>
      </c>
      <c r="O196" s="4">
        <v>0.20862</v>
      </c>
    </row>
    <row r="197" spans="2:15">
      <c r="B197" t="s">
        <v>69</v>
      </c>
      <c r="C197" t="s">
        <v>50</v>
      </c>
      <c r="D197" t="s">
        <v>346</v>
      </c>
      <c r="E197" t="s">
        <v>347</v>
      </c>
      <c r="F197" t="s">
        <v>11</v>
      </c>
      <c r="G197" t="s">
        <v>57</v>
      </c>
      <c r="H197" t="s">
        <v>165</v>
      </c>
      <c r="I197" t="s">
        <v>31</v>
      </c>
      <c r="J197">
        <v>1797</v>
      </c>
      <c r="K197">
        <v>5</v>
      </c>
      <c r="L197" s="4">
        <v>3.8199999999999998E-2</v>
      </c>
      <c r="M197">
        <v>0.09</v>
      </c>
      <c r="N197" s="4">
        <v>6.8645399999999995E-2</v>
      </c>
      <c r="O197" s="4">
        <v>0.16172999999999998</v>
      </c>
    </row>
    <row r="198" spans="2:15">
      <c r="B198" t="s">
        <v>69</v>
      </c>
      <c r="C198" t="s">
        <v>50</v>
      </c>
      <c r="D198" t="s">
        <v>348</v>
      </c>
      <c r="E198" t="s">
        <v>349</v>
      </c>
      <c r="F198" t="s">
        <v>11</v>
      </c>
      <c r="G198" t="s">
        <v>57</v>
      </c>
      <c r="H198" t="s">
        <v>165</v>
      </c>
      <c r="I198" t="s">
        <v>31</v>
      </c>
      <c r="J198">
        <v>2465</v>
      </c>
      <c r="K198">
        <v>9</v>
      </c>
      <c r="L198" s="4">
        <v>3.8199999999999998E-2</v>
      </c>
      <c r="M198">
        <v>0.09</v>
      </c>
      <c r="N198" s="4">
        <v>9.4162999999999997E-2</v>
      </c>
      <c r="O198" s="4">
        <v>0.22184999999999999</v>
      </c>
    </row>
    <row r="199" spans="2:15">
      <c r="B199" t="s">
        <v>69</v>
      </c>
      <c r="C199" t="s">
        <v>50</v>
      </c>
      <c r="D199" t="s">
        <v>348</v>
      </c>
      <c r="E199" t="s">
        <v>349</v>
      </c>
      <c r="F199" t="s">
        <v>11</v>
      </c>
      <c r="G199" t="s">
        <v>57</v>
      </c>
      <c r="H199" t="s">
        <v>165</v>
      </c>
      <c r="I199" t="s">
        <v>31</v>
      </c>
      <c r="J199">
        <v>1853</v>
      </c>
      <c r="K199">
        <v>5</v>
      </c>
      <c r="L199" s="4">
        <v>3.8199999999999998E-2</v>
      </c>
      <c r="M199">
        <v>0.09</v>
      </c>
      <c r="N199" s="4">
        <v>7.0784600000000003E-2</v>
      </c>
      <c r="O199" s="4">
        <v>0.16676999999999997</v>
      </c>
    </row>
    <row r="200" spans="2:15">
      <c r="B200" t="s">
        <v>69</v>
      </c>
      <c r="C200" t="s">
        <v>50</v>
      </c>
      <c r="D200" t="s">
        <v>350</v>
      </c>
      <c r="E200" t="s">
        <v>351</v>
      </c>
      <c r="F200" t="s">
        <v>11</v>
      </c>
      <c r="G200" t="s">
        <v>57</v>
      </c>
      <c r="H200" t="s">
        <v>165</v>
      </c>
      <c r="I200" t="s">
        <v>31</v>
      </c>
      <c r="J200">
        <v>2136</v>
      </c>
      <c r="K200">
        <v>7</v>
      </c>
      <c r="L200" s="4">
        <v>3.8199999999999998E-2</v>
      </c>
      <c r="M200">
        <v>0.09</v>
      </c>
      <c r="N200" s="4">
        <v>8.1595199999999993E-2</v>
      </c>
      <c r="O200" s="4">
        <v>0.19223999999999999</v>
      </c>
    </row>
    <row r="201" spans="2:15">
      <c r="B201" t="s">
        <v>69</v>
      </c>
      <c r="C201" t="s">
        <v>50</v>
      </c>
      <c r="D201" t="s">
        <v>350</v>
      </c>
      <c r="E201" t="s">
        <v>351</v>
      </c>
      <c r="F201" t="s">
        <v>11</v>
      </c>
      <c r="G201" t="s">
        <v>57</v>
      </c>
      <c r="H201" t="s">
        <v>165</v>
      </c>
      <c r="I201" t="s">
        <v>31</v>
      </c>
      <c r="J201">
        <v>2787</v>
      </c>
      <c r="K201">
        <v>13</v>
      </c>
      <c r="L201" s="4">
        <v>3.8199999999999998E-2</v>
      </c>
      <c r="M201">
        <v>0.09</v>
      </c>
      <c r="N201" s="4">
        <v>0.1064634</v>
      </c>
      <c r="O201" s="4">
        <v>0.25083</v>
      </c>
    </row>
    <row r="202" spans="2:15">
      <c r="B202" t="s">
        <v>69</v>
      </c>
      <c r="C202" t="s">
        <v>50</v>
      </c>
      <c r="D202" t="s">
        <v>352</v>
      </c>
      <c r="E202" t="s">
        <v>353</v>
      </c>
      <c r="F202" t="s">
        <v>11</v>
      </c>
      <c r="G202" t="s">
        <v>57</v>
      </c>
      <c r="H202" t="s">
        <v>165</v>
      </c>
      <c r="I202" t="s">
        <v>31</v>
      </c>
      <c r="J202">
        <v>1077</v>
      </c>
      <c r="K202">
        <v>3</v>
      </c>
      <c r="L202" s="4">
        <v>3.8199999999999998E-2</v>
      </c>
      <c r="M202">
        <v>0.09</v>
      </c>
      <c r="N202" s="4">
        <v>4.1141399999999995E-2</v>
      </c>
      <c r="O202" s="4">
        <v>9.6929999999999988E-2</v>
      </c>
    </row>
    <row r="203" spans="2:15">
      <c r="B203" t="s">
        <v>69</v>
      </c>
      <c r="C203" t="s">
        <v>50</v>
      </c>
      <c r="D203" t="s">
        <v>352</v>
      </c>
      <c r="E203" t="s">
        <v>353</v>
      </c>
      <c r="F203" t="s">
        <v>11</v>
      </c>
      <c r="G203" t="s">
        <v>57</v>
      </c>
      <c r="H203" t="s">
        <v>165</v>
      </c>
      <c r="I203" t="s">
        <v>31</v>
      </c>
      <c r="J203">
        <v>622</v>
      </c>
      <c r="K203">
        <v>5</v>
      </c>
      <c r="L203" s="4">
        <v>3.8199999999999998E-2</v>
      </c>
      <c r="M203">
        <v>0.09</v>
      </c>
      <c r="N203" s="4">
        <v>2.3760399999999997E-2</v>
      </c>
      <c r="O203" s="4">
        <v>5.5979999999999995E-2</v>
      </c>
    </row>
    <row r="204" spans="2:15">
      <c r="B204" t="s">
        <v>69</v>
      </c>
      <c r="C204" t="s">
        <v>50</v>
      </c>
      <c r="D204" t="s">
        <v>354</v>
      </c>
      <c r="E204" t="s">
        <v>355</v>
      </c>
      <c r="F204" t="s">
        <v>11</v>
      </c>
      <c r="G204" t="s">
        <v>57</v>
      </c>
      <c r="H204" t="s">
        <v>165</v>
      </c>
      <c r="I204" t="s">
        <v>31</v>
      </c>
      <c r="J204">
        <v>941</v>
      </c>
      <c r="K204">
        <v>1</v>
      </c>
      <c r="L204" s="4">
        <v>3.8199999999999998E-2</v>
      </c>
      <c r="M204">
        <v>0.09</v>
      </c>
      <c r="N204" s="4">
        <v>3.5946199999999998E-2</v>
      </c>
      <c r="O204" s="4">
        <v>8.4690000000000001E-2</v>
      </c>
    </row>
    <row r="205" spans="2:15">
      <c r="B205" t="s">
        <v>69</v>
      </c>
      <c r="C205" t="s">
        <v>50</v>
      </c>
      <c r="D205" t="s">
        <v>354</v>
      </c>
      <c r="E205" t="s">
        <v>355</v>
      </c>
      <c r="F205" t="s">
        <v>11</v>
      </c>
      <c r="G205" t="s">
        <v>57</v>
      </c>
      <c r="H205" t="s">
        <v>165</v>
      </c>
      <c r="I205" t="s">
        <v>31</v>
      </c>
      <c r="J205">
        <v>614</v>
      </c>
      <c r="K205">
        <v>0</v>
      </c>
      <c r="L205" s="4">
        <v>3.8199999999999998E-2</v>
      </c>
      <c r="M205">
        <v>0.09</v>
      </c>
      <c r="N205" s="4">
        <v>2.3454799999999998E-2</v>
      </c>
      <c r="O205" s="4">
        <v>5.5259999999999997E-2</v>
      </c>
    </row>
    <row r="206" spans="2:15">
      <c r="B206" t="s">
        <v>69</v>
      </c>
      <c r="C206" t="s">
        <v>50</v>
      </c>
      <c r="D206" t="s">
        <v>356</v>
      </c>
      <c r="E206" t="s">
        <v>357</v>
      </c>
      <c r="F206" t="s">
        <v>11</v>
      </c>
      <c r="G206" t="s">
        <v>57</v>
      </c>
      <c r="H206" t="s">
        <v>165</v>
      </c>
      <c r="I206" t="s">
        <v>31</v>
      </c>
      <c r="J206">
        <v>1048</v>
      </c>
      <c r="K206">
        <v>2</v>
      </c>
      <c r="L206" s="4">
        <v>3.8199999999999998E-2</v>
      </c>
      <c r="M206">
        <v>0.09</v>
      </c>
      <c r="N206" s="4">
        <v>4.0033600000000003E-2</v>
      </c>
      <c r="O206" s="4">
        <v>9.4319999999999987E-2</v>
      </c>
    </row>
    <row r="207" spans="2:15">
      <c r="B207" t="s">
        <v>69</v>
      </c>
      <c r="C207" t="s">
        <v>50</v>
      </c>
      <c r="D207" t="s">
        <v>356</v>
      </c>
      <c r="E207" t="s">
        <v>357</v>
      </c>
      <c r="F207" t="s">
        <v>11</v>
      </c>
      <c r="G207" t="s">
        <v>57</v>
      </c>
      <c r="H207" t="s">
        <v>165</v>
      </c>
      <c r="I207" t="s">
        <v>31</v>
      </c>
      <c r="J207">
        <v>671</v>
      </c>
      <c r="K207">
        <v>3</v>
      </c>
      <c r="L207" s="4">
        <v>3.8199999999999998E-2</v>
      </c>
      <c r="M207">
        <v>0.09</v>
      </c>
      <c r="N207" s="4">
        <v>2.5632199999999997E-2</v>
      </c>
      <c r="O207" s="4">
        <v>6.0389999999999999E-2</v>
      </c>
    </row>
    <row r="208" spans="2:15">
      <c r="B208" t="s">
        <v>69</v>
      </c>
      <c r="C208" t="s">
        <v>50</v>
      </c>
      <c r="D208" t="s">
        <v>358</v>
      </c>
      <c r="E208" t="s">
        <v>359</v>
      </c>
      <c r="F208" t="s">
        <v>11</v>
      </c>
      <c r="G208" t="s">
        <v>57</v>
      </c>
      <c r="H208" t="s">
        <v>165</v>
      </c>
      <c r="I208" t="s">
        <v>31</v>
      </c>
      <c r="J208">
        <v>3761</v>
      </c>
      <c r="K208">
        <v>16</v>
      </c>
      <c r="L208" s="4">
        <v>3.8199999999999998E-2</v>
      </c>
      <c r="M208">
        <v>0.09</v>
      </c>
      <c r="N208" s="4">
        <v>0.1436702</v>
      </c>
      <c r="O208" s="4">
        <v>0.33849000000000001</v>
      </c>
    </row>
    <row r="209" spans="2:15">
      <c r="B209" t="s">
        <v>69</v>
      </c>
      <c r="C209" t="s">
        <v>50</v>
      </c>
      <c r="D209" t="s">
        <v>358</v>
      </c>
      <c r="E209" t="s">
        <v>359</v>
      </c>
      <c r="F209" t="s">
        <v>11</v>
      </c>
      <c r="G209" t="s">
        <v>57</v>
      </c>
      <c r="H209" t="s">
        <v>165</v>
      </c>
      <c r="I209" t="s">
        <v>31</v>
      </c>
      <c r="J209">
        <v>1925</v>
      </c>
      <c r="K209">
        <v>2</v>
      </c>
      <c r="L209" s="4">
        <v>3.8199999999999998E-2</v>
      </c>
      <c r="M209">
        <v>0.09</v>
      </c>
      <c r="N209" s="4">
        <v>7.3535000000000003E-2</v>
      </c>
      <c r="O209" s="4">
        <v>0.17324999999999999</v>
      </c>
    </row>
    <row r="210" spans="2:15">
      <c r="B210" t="s">
        <v>69</v>
      </c>
      <c r="C210" t="s">
        <v>50</v>
      </c>
      <c r="D210" t="s">
        <v>360</v>
      </c>
      <c r="E210" t="s">
        <v>361</v>
      </c>
      <c r="F210" t="s">
        <v>11</v>
      </c>
      <c r="G210" t="s">
        <v>57</v>
      </c>
      <c r="H210" t="s">
        <v>165</v>
      </c>
      <c r="I210" t="s">
        <v>31</v>
      </c>
      <c r="J210">
        <v>3892</v>
      </c>
      <c r="K210">
        <v>7</v>
      </c>
      <c r="L210" s="4">
        <v>3.8199999999999998E-2</v>
      </c>
      <c r="M210">
        <v>0.09</v>
      </c>
      <c r="N210" s="4">
        <v>0.14867439999999998</v>
      </c>
      <c r="O210" s="4">
        <v>0.35027999999999998</v>
      </c>
    </row>
    <row r="211" spans="2:15">
      <c r="B211" t="s">
        <v>69</v>
      </c>
      <c r="C211" t="s">
        <v>50</v>
      </c>
      <c r="D211" t="s">
        <v>360</v>
      </c>
      <c r="E211" t="s">
        <v>361</v>
      </c>
      <c r="F211" t="s">
        <v>11</v>
      </c>
      <c r="G211" t="s">
        <v>57</v>
      </c>
      <c r="H211" t="s">
        <v>165</v>
      </c>
      <c r="I211" t="s">
        <v>31</v>
      </c>
      <c r="J211">
        <v>2627</v>
      </c>
      <c r="K211">
        <v>5</v>
      </c>
      <c r="L211" s="4">
        <v>3.8199999999999998E-2</v>
      </c>
      <c r="M211">
        <v>0.09</v>
      </c>
      <c r="N211" s="4">
        <v>0.10035139999999999</v>
      </c>
      <c r="O211" s="4">
        <v>0.23642999999999997</v>
      </c>
    </row>
    <row r="212" spans="2:15">
      <c r="B212" t="s">
        <v>69</v>
      </c>
      <c r="C212" t="s">
        <v>50</v>
      </c>
      <c r="D212" t="s">
        <v>362</v>
      </c>
      <c r="E212" t="s">
        <v>363</v>
      </c>
      <c r="F212" t="s">
        <v>11</v>
      </c>
      <c r="G212" t="s">
        <v>57</v>
      </c>
      <c r="H212" t="s">
        <v>165</v>
      </c>
      <c r="I212" t="s">
        <v>31</v>
      </c>
      <c r="J212">
        <v>3492</v>
      </c>
      <c r="K212">
        <v>6</v>
      </c>
      <c r="L212" s="4">
        <v>3.8199999999999998E-2</v>
      </c>
      <c r="M212">
        <v>0.09</v>
      </c>
      <c r="N212" s="4">
        <v>0.1333944</v>
      </c>
      <c r="O212" s="4">
        <v>0.31427999999999995</v>
      </c>
    </row>
    <row r="213" spans="2:15">
      <c r="B213" t="s">
        <v>69</v>
      </c>
      <c r="C213" t="s">
        <v>50</v>
      </c>
      <c r="D213" t="s">
        <v>362</v>
      </c>
      <c r="E213" t="s">
        <v>363</v>
      </c>
      <c r="F213" t="s">
        <v>11</v>
      </c>
      <c r="G213" t="s">
        <v>57</v>
      </c>
      <c r="H213" t="s">
        <v>165</v>
      </c>
      <c r="I213" t="s">
        <v>31</v>
      </c>
      <c r="J213">
        <v>2621</v>
      </c>
      <c r="K213">
        <v>7</v>
      </c>
      <c r="L213" s="4">
        <v>3.8199999999999998E-2</v>
      </c>
      <c r="M213">
        <v>0.09</v>
      </c>
      <c r="N213" s="4">
        <v>0.10012219999999999</v>
      </c>
      <c r="O213" s="4">
        <v>0.23588999999999999</v>
      </c>
    </row>
    <row r="214" spans="2:15">
      <c r="B214" t="s">
        <v>69</v>
      </c>
      <c r="C214" t="s">
        <v>50</v>
      </c>
      <c r="D214" t="s">
        <v>364</v>
      </c>
      <c r="E214" t="s">
        <v>365</v>
      </c>
      <c r="F214" t="s">
        <v>11</v>
      </c>
      <c r="G214" t="s">
        <v>57</v>
      </c>
      <c r="H214" t="s">
        <v>165</v>
      </c>
      <c r="I214" t="s">
        <v>31</v>
      </c>
      <c r="J214">
        <v>3776</v>
      </c>
      <c r="K214">
        <v>8</v>
      </c>
      <c r="L214" s="4">
        <v>3.8199999999999998E-2</v>
      </c>
      <c r="M214">
        <v>0.09</v>
      </c>
      <c r="N214" s="4">
        <v>0.14424319999999999</v>
      </c>
      <c r="O214" s="4">
        <v>0.33983999999999998</v>
      </c>
    </row>
    <row r="215" spans="2:15">
      <c r="B215" t="s">
        <v>69</v>
      </c>
      <c r="C215" t="s">
        <v>50</v>
      </c>
      <c r="D215" t="s">
        <v>364</v>
      </c>
      <c r="E215" t="s">
        <v>365</v>
      </c>
      <c r="F215" t="s">
        <v>11</v>
      </c>
      <c r="G215" t="s">
        <v>57</v>
      </c>
      <c r="H215" t="s">
        <v>165</v>
      </c>
      <c r="I215" t="s">
        <v>31</v>
      </c>
      <c r="J215">
        <v>2557</v>
      </c>
      <c r="K215">
        <v>7</v>
      </c>
      <c r="L215" s="4">
        <v>3.8199999999999998E-2</v>
      </c>
      <c r="M215">
        <v>0.09</v>
      </c>
      <c r="N215" s="4">
        <v>9.7677399999999998E-2</v>
      </c>
      <c r="O215" s="4">
        <v>0.23013</v>
      </c>
    </row>
    <row r="216" spans="2:15">
      <c r="B216" t="s">
        <v>69</v>
      </c>
      <c r="C216" t="s">
        <v>50</v>
      </c>
      <c r="D216" t="s">
        <v>366</v>
      </c>
      <c r="E216" t="s">
        <v>367</v>
      </c>
      <c r="F216" t="s">
        <v>11</v>
      </c>
      <c r="G216" t="s">
        <v>57</v>
      </c>
      <c r="H216" t="s">
        <v>165</v>
      </c>
      <c r="I216" t="s">
        <v>31</v>
      </c>
      <c r="J216">
        <v>3870</v>
      </c>
      <c r="K216">
        <v>7</v>
      </c>
      <c r="L216" s="4">
        <v>3.8199999999999998E-2</v>
      </c>
      <c r="M216">
        <v>0.09</v>
      </c>
      <c r="N216" s="4">
        <v>0.14783399999999999</v>
      </c>
      <c r="O216" s="4">
        <v>0.3483</v>
      </c>
    </row>
    <row r="217" spans="2:15">
      <c r="B217" t="s">
        <v>69</v>
      </c>
      <c r="C217" t="s">
        <v>50</v>
      </c>
      <c r="D217" t="s">
        <v>366</v>
      </c>
      <c r="E217" t="s">
        <v>367</v>
      </c>
      <c r="F217" t="s">
        <v>11</v>
      </c>
      <c r="G217" t="s">
        <v>57</v>
      </c>
      <c r="H217" t="s">
        <v>165</v>
      </c>
      <c r="I217" t="s">
        <v>31</v>
      </c>
      <c r="J217">
        <v>2631</v>
      </c>
      <c r="K217">
        <v>5</v>
      </c>
      <c r="L217" s="4">
        <v>3.8199999999999998E-2</v>
      </c>
      <c r="M217">
        <v>0.09</v>
      </c>
      <c r="N217" s="4">
        <v>0.1005042</v>
      </c>
      <c r="O217" s="4">
        <v>0.23679</v>
      </c>
    </row>
    <row r="218" spans="2:15">
      <c r="B218" t="s">
        <v>69</v>
      </c>
      <c r="C218" t="s">
        <v>50</v>
      </c>
      <c r="D218" t="s">
        <v>368</v>
      </c>
      <c r="E218" t="s">
        <v>369</v>
      </c>
      <c r="F218" t="s">
        <v>11</v>
      </c>
      <c r="G218" t="s">
        <v>57</v>
      </c>
      <c r="H218" t="s">
        <v>165</v>
      </c>
      <c r="I218" t="s">
        <v>31</v>
      </c>
      <c r="J218">
        <v>2228</v>
      </c>
      <c r="K218">
        <v>3</v>
      </c>
      <c r="L218" s="4">
        <v>3.8199999999999998E-2</v>
      </c>
      <c r="M218">
        <v>0.09</v>
      </c>
      <c r="N218" s="4">
        <v>8.5109599999999994E-2</v>
      </c>
      <c r="O218" s="4">
        <v>0.20051999999999998</v>
      </c>
    </row>
    <row r="219" spans="2:15">
      <c r="B219" t="s">
        <v>69</v>
      </c>
      <c r="C219" t="s">
        <v>50</v>
      </c>
      <c r="D219" t="s">
        <v>368</v>
      </c>
      <c r="E219" t="s">
        <v>369</v>
      </c>
      <c r="F219" t="s">
        <v>11</v>
      </c>
      <c r="G219" t="s">
        <v>57</v>
      </c>
      <c r="H219" t="s">
        <v>165</v>
      </c>
      <c r="I219" t="s">
        <v>31</v>
      </c>
      <c r="J219">
        <v>1661</v>
      </c>
      <c r="K219">
        <v>15</v>
      </c>
      <c r="L219" s="4">
        <v>3.8199999999999998E-2</v>
      </c>
      <c r="M219">
        <v>0.09</v>
      </c>
      <c r="N219" s="4">
        <v>6.3450199999999998E-2</v>
      </c>
      <c r="O219" s="4">
        <v>0.14948999999999998</v>
      </c>
    </row>
    <row r="220" spans="2:15">
      <c r="B220" t="s">
        <v>69</v>
      </c>
      <c r="C220" t="s">
        <v>50</v>
      </c>
      <c r="D220" t="s">
        <v>370</v>
      </c>
      <c r="E220" t="s">
        <v>371</v>
      </c>
      <c r="F220" t="s">
        <v>11</v>
      </c>
      <c r="G220" t="s">
        <v>57</v>
      </c>
      <c r="H220" t="s">
        <v>165</v>
      </c>
      <c r="I220" t="s">
        <v>31</v>
      </c>
      <c r="J220">
        <v>2678</v>
      </c>
      <c r="K220">
        <v>5</v>
      </c>
      <c r="L220" s="4">
        <v>3.8199999999999998E-2</v>
      </c>
      <c r="M220">
        <v>0.09</v>
      </c>
      <c r="N220" s="4">
        <v>0.1022996</v>
      </c>
      <c r="O220" s="4">
        <v>0.24101999999999998</v>
      </c>
    </row>
    <row r="221" spans="2:15">
      <c r="B221" t="s">
        <v>69</v>
      </c>
      <c r="C221" t="s">
        <v>50</v>
      </c>
      <c r="D221" t="s">
        <v>370</v>
      </c>
      <c r="E221" t="s">
        <v>371</v>
      </c>
      <c r="F221" t="s">
        <v>11</v>
      </c>
      <c r="G221" t="s">
        <v>57</v>
      </c>
      <c r="H221" t="s">
        <v>165</v>
      </c>
      <c r="I221" t="s">
        <v>31</v>
      </c>
      <c r="J221">
        <v>1561</v>
      </c>
      <c r="K221">
        <v>3</v>
      </c>
      <c r="L221" s="4">
        <v>3.8199999999999998E-2</v>
      </c>
      <c r="M221">
        <v>0.09</v>
      </c>
      <c r="N221" s="4">
        <v>5.9630199999999994E-2</v>
      </c>
      <c r="O221" s="4">
        <v>0.14048999999999998</v>
      </c>
    </row>
    <row r="222" spans="2:15">
      <c r="B222" t="s">
        <v>69</v>
      </c>
      <c r="C222" t="s">
        <v>50</v>
      </c>
      <c r="D222" t="s">
        <v>372</v>
      </c>
      <c r="E222" t="s">
        <v>373</v>
      </c>
      <c r="F222" t="s">
        <v>11</v>
      </c>
      <c r="G222" t="s">
        <v>57</v>
      </c>
      <c r="H222" t="s">
        <v>165</v>
      </c>
      <c r="I222" t="s">
        <v>31</v>
      </c>
      <c r="J222">
        <v>2534</v>
      </c>
      <c r="K222">
        <v>3</v>
      </c>
      <c r="L222" s="4">
        <v>3.8199999999999998E-2</v>
      </c>
      <c r="M222">
        <v>0.09</v>
      </c>
      <c r="N222" s="4">
        <v>9.6798800000000004E-2</v>
      </c>
      <c r="O222" s="4">
        <v>0.22806000000000001</v>
      </c>
    </row>
    <row r="223" spans="2:15">
      <c r="B223" t="s">
        <v>69</v>
      </c>
      <c r="C223" t="s">
        <v>50</v>
      </c>
      <c r="D223" t="s">
        <v>372</v>
      </c>
      <c r="E223" t="s">
        <v>373</v>
      </c>
      <c r="F223" t="s">
        <v>11</v>
      </c>
      <c r="G223" t="s">
        <v>57</v>
      </c>
      <c r="H223" t="s">
        <v>165</v>
      </c>
      <c r="I223" t="s">
        <v>31</v>
      </c>
      <c r="J223">
        <v>1700</v>
      </c>
      <c r="K223">
        <v>8</v>
      </c>
      <c r="L223" s="4">
        <v>3.8199999999999998E-2</v>
      </c>
      <c r="M223">
        <v>0.09</v>
      </c>
      <c r="N223" s="4">
        <v>6.4939999999999998E-2</v>
      </c>
      <c r="O223" s="4">
        <v>0.153</v>
      </c>
    </row>
    <row r="224" spans="2:15">
      <c r="B224" t="s">
        <v>69</v>
      </c>
      <c r="C224" t="s">
        <v>50</v>
      </c>
      <c r="D224" t="s">
        <v>374</v>
      </c>
      <c r="E224" t="s">
        <v>375</v>
      </c>
      <c r="F224" t="s">
        <v>11</v>
      </c>
      <c r="G224" t="s">
        <v>57</v>
      </c>
      <c r="H224" t="s">
        <v>165</v>
      </c>
      <c r="I224" t="s">
        <v>31</v>
      </c>
      <c r="J224">
        <v>2618</v>
      </c>
      <c r="K224">
        <v>3</v>
      </c>
      <c r="L224" s="4">
        <v>3.8199999999999998E-2</v>
      </c>
      <c r="M224">
        <v>0.09</v>
      </c>
      <c r="N224" s="4">
        <v>0.1000076</v>
      </c>
      <c r="O224" s="4">
        <v>0.23562</v>
      </c>
    </row>
    <row r="225" spans="2:15">
      <c r="B225" t="s">
        <v>69</v>
      </c>
      <c r="C225" t="s">
        <v>50</v>
      </c>
      <c r="D225" t="s">
        <v>374</v>
      </c>
      <c r="E225" t="s">
        <v>375</v>
      </c>
      <c r="F225" t="s">
        <v>11</v>
      </c>
      <c r="G225" t="s">
        <v>57</v>
      </c>
      <c r="H225" t="s">
        <v>165</v>
      </c>
      <c r="I225" t="s">
        <v>31</v>
      </c>
      <c r="J225">
        <v>1560</v>
      </c>
      <c r="K225">
        <v>12</v>
      </c>
      <c r="L225" s="4">
        <v>3.8199999999999998E-2</v>
      </c>
      <c r="M225">
        <v>0.09</v>
      </c>
      <c r="N225" s="4">
        <v>5.9591999999999999E-2</v>
      </c>
      <c r="O225" s="4">
        <v>0.1404</v>
      </c>
    </row>
    <row r="226" spans="2:15">
      <c r="B226" t="s">
        <v>69</v>
      </c>
      <c r="C226" t="s">
        <v>50</v>
      </c>
      <c r="D226" t="s">
        <v>376</v>
      </c>
      <c r="E226" t="s">
        <v>377</v>
      </c>
      <c r="F226" t="s">
        <v>11</v>
      </c>
      <c r="G226" t="s">
        <v>57</v>
      </c>
      <c r="H226" t="s">
        <v>165</v>
      </c>
      <c r="I226" t="s">
        <v>31</v>
      </c>
      <c r="J226">
        <v>2586</v>
      </c>
      <c r="K226">
        <v>9</v>
      </c>
      <c r="L226" s="4">
        <v>3.8199999999999998E-2</v>
      </c>
      <c r="M226">
        <v>0.09</v>
      </c>
      <c r="N226" s="4">
        <v>9.878519999999999E-2</v>
      </c>
      <c r="O226" s="4">
        <v>0.23273999999999997</v>
      </c>
    </row>
    <row r="227" spans="2:15">
      <c r="B227" t="s">
        <v>69</v>
      </c>
      <c r="C227" t="s">
        <v>50</v>
      </c>
      <c r="D227" t="s">
        <v>376</v>
      </c>
      <c r="E227" t="s">
        <v>377</v>
      </c>
      <c r="F227" t="s">
        <v>11</v>
      </c>
      <c r="G227" t="s">
        <v>57</v>
      </c>
      <c r="H227" t="s">
        <v>165</v>
      </c>
      <c r="I227" t="s">
        <v>31</v>
      </c>
      <c r="J227">
        <v>1633</v>
      </c>
      <c r="K227">
        <v>9</v>
      </c>
      <c r="L227" s="4">
        <v>3.8199999999999998E-2</v>
      </c>
      <c r="M227">
        <v>0.09</v>
      </c>
      <c r="N227" s="4">
        <v>6.2380599999999994E-2</v>
      </c>
      <c r="O227" s="4">
        <v>0.14696999999999999</v>
      </c>
    </row>
    <row r="228" spans="2:15">
      <c r="B228" t="s">
        <v>69</v>
      </c>
      <c r="C228" t="s">
        <v>50</v>
      </c>
      <c r="D228" t="s">
        <v>378</v>
      </c>
      <c r="E228" t="s">
        <v>379</v>
      </c>
      <c r="F228" t="s">
        <v>11</v>
      </c>
      <c r="G228" t="s">
        <v>57</v>
      </c>
      <c r="H228" t="s">
        <v>165</v>
      </c>
      <c r="I228" t="s">
        <v>31</v>
      </c>
      <c r="J228">
        <v>2609</v>
      </c>
      <c r="K228">
        <v>6</v>
      </c>
      <c r="L228" s="4">
        <v>3.8199999999999998E-2</v>
      </c>
      <c r="M228">
        <v>0.09</v>
      </c>
      <c r="N228" s="4">
        <v>9.9663799999999997E-2</v>
      </c>
      <c r="O228" s="4">
        <v>0.23480999999999999</v>
      </c>
    </row>
    <row r="229" spans="2:15">
      <c r="B229" t="s">
        <v>69</v>
      </c>
      <c r="C229" t="s">
        <v>50</v>
      </c>
      <c r="D229" t="s">
        <v>378</v>
      </c>
      <c r="E229" t="s">
        <v>379</v>
      </c>
      <c r="F229" t="s">
        <v>11</v>
      </c>
      <c r="G229" t="s">
        <v>57</v>
      </c>
      <c r="H229" t="s">
        <v>165</v>
      </c>
      <c r="I229" t="s">
        <v>31</v>
      </c>
      <c r="J229">
        <v>1661</v>
      </c>
      <c r="K229">
        <v>8</v>
      </c>
      <c r="L229" s="4">
        <v>3.8199999999999998E-2</v>
      </c>
      <c r="M229">
        <v>0.09</v>
      </c>
      <c r="N229" s="4">
        <v>6.3450199999999998E-2</v>
      </c>
      <c r="O229" s="4">
        <v>0.14948999999999998</v>
      </c>
    </row>
    <row r="230" spans="2:15">
      <c r="B230" t="s">
        <v>69</v>
      </c>
      <c r="C230" t="s">
        <v>50</v>
      </c>
      <c r="D230" t="s">
        <v>380</v>
      </c>
      <c r="E230" t="s">
        <v>381</v>
      </c>
      <c r="F230" t="s">
        <v>11</v>
      </c>
      <c r="G230" t="s">
        <v>57</v>
      </c>
      <c r="H230" t="s">
        <v>165</v>
      </c>
      <c r="I230" t="s">
        <v>31</v>
      </c>
      <c r="J230">
        <v>1395</v>
      </c>
      <c r="K230">
        <v>1</v>
      </c>
      <c r="L230" s="4">
        <v>3.8199999999999998E-2</v>
      </c>
      <c r="M230">
        <v>0.09</v>
      </c>
      <c r="N230" s="4">
        <v>5.3288999999999996E-2</v>
      </c>
      <c r="O230" s="4">
        <v>0.12554999999999999</v>
      </c>
    </row>
    <row r="231" spans="2:15">
      <c r="B231" t="s">
        <v>69</v>
      </c>
      <c r="C231" t="s">
        <v>50</v>
      </c>
      <c r="D231" t="s">
        <v>380</v>
      </c>
      <c r="E231" t="s">
        <v>381</v>
      </c>
      <c r="F231" t="s">
        <v>11</v>
      </c>
      <c r="G231" t="s">
        <v>57</v>
      </c>
      <c r="H231" t="s">
        <v>165</v>
      </c>
      <c r="I231" t="s">
        <v>31</v>
      </c>
      <c r="J231">
        <v>1138</v>
      </c>
      <c r="K231">
        <v>3</v>
      </c>
      <c r="L231" s="4">
        <v>3.8199999999999998E-2</v>
      </c>
      <c r="M231">
        <v>0.09</v>
      </c>
      <c r="N231" s="4">
        <v>4.3471599999999992E-2</v>
      </c>
      <c r="O231" s="4">
        <v>0.10242</v>
      </c>
    </row>
    <row r="232" spans="2:15">
      <c r="B232" t="s">
        <v>69</v>
      </c>
      <c r="C232" t="s">
        <v>50</v>
      </c>
      <c r="D232" t="s">
        <v>382</v>
      </c>
      <c r="E232" t="s">
        <v>383</v>
      </c>
      <c r="F232" t="s">
        <v>11</v>
      </c>
      <c r="G232" t="s">
        <v>57</v>
      </c>
      <c r="H232" t="s">
        <v>165</v>
      </c>
      <c r="I232" t="s">
        <v>31</v>
      </c>
      <c r="J232">
        <v>1595</v>
      </c>
      <c r="K232">
        <v>3</v>
      </c>
      <c r="L232" s="4">
        <v>3.8199999999999998E-2</v>
      </c>
      <c r="M232">
        <v>0.09</v>
      </c>
      <c r="N232" s="4">
        <v>6.0928999999999997E-2</v>
      </c>
      <c r="O232" s="4">
        <v>0.14354999999999998</v>
      </c>
    </row>
    <row r="233" spans="2:15">
      <c r="B233" t="s">
        <v>69</v>
      </c>
      <c r="C233" t="s">
        <v>50</v>
      </c>
      <c r="D233" t="s">
        <v>382</v>
      </c>
      <c r="E233" t="s">
        <v>383</v>
      </c>
      <c r="F233" t="s">
        <v>11</v>
      </c>
      <c r="G233" t="s">
        <v>57</v>
      </c>
      <c r="H233" t="s">
        <v>165</v>
      </c>
      <c r="I233" t="s">
        <v>31</v>
      </c>
      <c r="J233">
        <v>1110</v>
      </c>
      <c r="K233">
        <v>1</v>
      </c>
      <c r="L233" s="4">
        <v>3.8199999999999998E-2</v>
      </c>
      <c r="M233">
        <v>0.09</v>
      </c>
      <c r="N233" s="4">
        <v>4.2402000000000002E-2</v>
      </c>
      <c r="O233" s="4">
        <v>9.9899999999999989E-2</v>
      </c>
    </row>
    <row r="234" spans="2:15">
      <c r="B234" t="s">
        <v>69</v>
      </c>
      <c r="C234" t="s">
        <v>50</v>
      </c>
      <c r="D234" t="s">
        <v>384</v>
      </c>
      <c r="E234" t="s">
        <v>385</v>
      </c>
      <c r="F234" t="s">
        <v>11</v>
      </c>
      <c r="G234" t="s">
        <v>57</v>
      </c>
      <c r="H234" t="s">
        <v>165</v>
      </c>
      <c r="I234" t="s">
        <v>31</v>
      </c>
      <c r="J234">
        <v>1594</v>
      </c>
      <c r="K234">
        <v>5</v>
      </c>
      <c r="L234" s="4">
        <v>3.8199999999999998E-2</v>
      </c>
      <c r="M234">
        <v>0.09</v>
      </c>
      <c r="N234" s="4">
        <v>6.0890800000000002E-2</v>
      </c>
      <c r="O234" s="4">
        <v>0.14346</v>
      </c>
    </row>
    <row r="235" spans="2:15">
      <c r="B235" t="s">
        <v>69</v>
      </c>
      <c r="C235" t="s">
        <v>50</v>
      </c>
      <c r="D235" t="s">
        <v>384</v>
      </c>
      <c r="E235" t="s">
        <v>385</v>
      </c>
      <c r="F235" t="s">
        <v>11</v>
      </c>
      <c r="G235" t="s">
        <v>57</v>
      </c>
      <c r="H235" t="s">
        <v>165</v>
      </c>
      <c r="I235" t="s">
        <v>31</v>
      </c>
      <c r="J235">
        <v>1092</v>
      </c>
      <c r="K235">
        <v>5</v>
      </c>
      <c r="L235" s="4">
        <v>3.8199999999999998E-2</v>
      </c>
      <c r="M235">
        <v>0.09</v>
      </c>
      <c r="N235" s="4">
        <v>4.1714399999999999E-2</v>
      </c>
      <c r="O235" s="4">
        <v>9.8280000000000006E-2</v>
      </c>
    </row>
    <row r="236" spans="2:15">
      <c r="B236" t="s">
        <v>69</v>
      </c>
      <c r="C236" t="s">
        <v>50</v>
      </c>
      <c r="D236" t="s">
        <v>386</v>
      </c>
      <c r="E236" t="s">
        <v>387</v>
      </c>
      <c r="F236" t="s">
        <v>11</v>
      </c>
      <c r="G236" t="s">
        <v>57</v>
      </c>
      <c r="H236" t="s">
        <v>165</v>
      </c>
      <c r="I236" t="s">
        <v>31</v>
      </c>
      <c r="J236">
        <v>1647</v>
      </c>
      <c r="K236">
        <v>4</v>
      </c>
      <c r="L236" s="4">
        <v>3.8199999999999998E-2</v>
      </c>
      <c r="M236">
        <v>0.09</v>
      </c>
      <c r="N236" s="4">
        <v>6.2915399999999996E-2</v>
      </c>
      <c r="O236" s="4">
        <v>0.14823</v>
      </c>
    </row>
    <row r="237" spans="2:15">
      <c r="B237" t="s">
        <v>69</v>
      </c>
      <c r="C237" t="s">
        <v>50</v>
      </c>
      <c r="D237" t="s">
        <v>386</v>
      </c>
      <c r="E237" t="s">
        <v>387</v>
      </c>
      <c r="F237" t="s">
        <v>11</v>
      </c>
      <c r="G237" t="s">
        <v>57</v>
      </c>
      <c r="H237" t="s">
        <v>165</v>
      </c>
      <c r="I237" t="s">
        <v>31</v>
      </c>
      <c r="J237">
        <v>1187</v>
      </c>
      <c r="K237">
        <v>4</v>
      </c>
      <c r="L237" s="4">
        <v>3.8199999999999998E-2</v>
      </c>
      <c r="M237">
        <v>0.09</v>
      </c>
      <c r="N237" s="4">
        <v>4.5343399999999992E-2</v>
      </c>
      <c r="O237" s="4">
        <v>0.10682999999999999</v>
      </c>
    </row>
    <row r="238" spans="2:15">
      <c r="B238" t="s">
        <v>69</v>
      </c>
      <c r="C238" t="s">
        <v>50</v>
      </c>
      <c r="D238" t="s">
        <v>388</v>
      </c>
      <c r="E238" t="s">
        <v>389</v>
      </c>
      <c r="F238" t="s">
        <v>11</v>
      </c>
      <c r="G238" t="s">
        <v>57</v>
      </c>
      <c r="H238" t="s">
        <v>165</v>
      </c>
      <c r="I238" t="s">
        <v>31</v>
      </c>
      <c r="J238">
        <v>1694</v>
      </c>
      <c r="K238">
        <v>3</v>
      </c>
      <c r="L238" s="4">
        <v>3.8199999999999998E-2</v>
      </c>
      <c r="M238">
        <v>0.09</v>
      </c>
      <c r="N238" s="4">
        <v>6.4710799999999985E-2</v>
      </c>
      <c r="O238" s="4">
        <v>0.15246000000000001</v>
      </c>
    </row>
    <row r="239" spans="2:15">
      <c r="B239" t="s">
        <v>69</v>
      </c>
      <c r="C239" t="s">
        <v>50</v>
      </c>
      <c r="D239" t="s">
        <v>388</v>
      </c>
      <c r="E239" t="s">
        <v>389</v>
      </c>
      <c r="F239" t="s">
        <v>11</v>
      </c>
      <c r="G239" t="s">
        <v>57</v>
      </c>
      <c r="H239" t="s">
        <v>165</v>
      </c>
      <c r="I239" t="s">
        <v>31</v>
      </c>
      <c r="J239">
        <v>1081</v>
      </c>
      <c r="K239">
        <v>5</v>
      </c>
      <c r="L239" s="4">
        <v>3.8199999999999998E-2</v>
      </c>
      <c r="M239">
        <v>0.09</v>
      </c>
      <c r="N239" s="4">
        <v>4.1294199999999996E-2</v>
      </c>
      <c r="O239" s="4">
        <v>9.7289999999999988E-2</v>
      </c>
    </row>
    <row r="240" spans="2:15">
      <c r="B240" t="s">
        <v>69</v>
      </c>
      <c r="C240" t="s">
        <v>50</v>
      </c>
      <c r="D240" t="s">
        <v>390</v>
      </c>
      <c r="E240" t="s">
        <v>391</v>
      </c>
      <c r="F240" t="s">
        <v>11</v>
      </c>
      <c r="G240" t="s">
        <v>57</v>
      </c>
      <c r="H240" t="s">
        <v>165</v>
      </c>
      <c r="I240" t="s">
        <v>31</v>
      </c>
      <c r="J240">
        <v>2164</v>
      </c>
      <c r="K240">
        <v>7</v>
      </c>
      <c r="L240" s="4">
        <v>3.8199999999999998E-2</v>
      </c>
      <c r="M240">
        <v>0.09</v>
      </c>
      <c r="N240" s="4">
        <v>8.2664799999999997E-2</v>
      </c>
      <c r="O240" s="4">
        <v>0.19475999999999999</v>
      </c>
    </row>
    <row r="241" spans="2:15">
      <c r="B241" t="s">
        <v>69</v>
      </c>
      <c r="C241" t="s">
        <v>50</v>
      </c>
      <c r="D241" t="s">
        <v>390</v>
      </c>
      <c r="E241" t="s">
        <v>391</v>
      </c>
      <c r="F241" t="s">
        <v>11</v>
      </c>
      <c r="G241" t="s">
        <v>57</v>
      </c>
      <c r="H241" t="s">
        <v>165</v>
      </c>
      <c r="I241" t="s">
        <v>31</v>
      </c>
      <c r="J241">
        <v>1043</v>
      </c>
      <c r="K241">
        <v>6</v>
      </c>
      <c r="L241" s="4">
        <v>3.8199999999999998E-2</v>
      </c>
      <c r="M241">
        <v>0.09</v>
      </c>
      <c r="N241" s="4">
        <v>3.9842599999999999E-2</v>
      </c>
      <c r="O241" s="4">
        <v>9.3869999999999995E-2</v>
      </c>
    </row>
    <row r="242" spans="2:15">
      <c r="B242" t="s">
        <v>69</v>
      </c>
      <c r="C242" t="s">
        <v>50</v>
      </c>
      <c r="D242" t="s">
        <v>392</v>
      </c>
      <c r="E242" t="s">
        <v>393</v>
      </c>
      <c r="F242" t="s">
        <v>11</v>
      </c>
      <c r="G242" t="s">
        <v>57</v>
      </c>
      <c r="H242" t="s">
        <v>165</v>
      </c>
      <c r="I242" t="s">
        <v>31</v>
      </c>
      <c r="J242">
        <v>2234</v>
      </c>
      <c r="K242">
        <v>14</v>
      </c>
      <c r="L242" s="4">
        <v>3.8199999999999998E-2</v>
      </c>
      <c r="M242">
        <v>0.09</v>
      </c>
      <c r="N242" s="4">
        <v>8.5338799999999992E-2</v>
      </c>
      <c r="O242" s="4">
        <v>0.20105999999999999</v>
      </c>
    </row>
    <row r="243" spans="2:15">
      <c r="B243" t="s">
        <v>69</v>
      </c>
      <c r="C243" t="s">
        <v>50</v>
      </c>
      <c r="D243" t="s">
        <v>392</v>
      </c>
      <c r="E243" t="s">
        <v>393</v>
      </c>
      <c r="F243" t="s">
        <v>11</v>
      </c>
      <c r="G243" t="s">
        <v>57</v>
      </c>
      <c r="H243" t="s">
        <v>165</v>
      </c>
      <c r="I243" t="s">
        <v>31</v>
      </c>
      <c r="J243">
        <v>1101</v>
      </c>
      <c r="K243">
        <v>11</v>
      </c>
      <c r="L243" s="4">
        <v>3.8199999999999998E-2</v>
      </c>
      <c r="M243">
        <v>0.09</v>
      </c>
      <c r="N243" s="4">
        <v>4.2058199999999997E-2</v>
      </c>
      <c r="O243" s="4">
        <v>9.9089999999999998E-2</v>
      </c>
    </row>
    <row r="244" spans="2:15">
      <c r="B244" t="s">
        <v>69</v>
      </c>
      <c r="C244" t="s">
        <v>50</v>
      </c>
      <c r="D244" t="s">
        <v>394</v>
      </c>
      <c r="E244" t="s">
        <v>395</v>
      </c>
      <c r="F244" t="s">
        <v>11</v>
      </c>
      <c r="G244" t="s">
        <v>57</v>
      </c>
      <c r="H244" t="s">
        <v>165</v>
      </c>
      <c r="I244" t="s">
        <v>31</v>
      </c>
      <c r="J244">
        <v>2205</v>
      </c>
      <c r="K244">
        <v>7</v>
      </c>
      <c r="L244" s="4">
        <v>3.8199999999999998E-2</v>
      </c>
      <c r="M244">
        <v>0.09</v>
      </c>
      <c r="N244" s="4">
        <v>8.4231E-2</v>
      </c>
      <c r="O244" s="4">
        <v>0.19844999999999999</v>
      </c>
    </row>
    <row r="245" spans="2:15">
      <c r="B245" t="s">
        <v>69</v>
      </c>
      <c r="C245" t="s">
        <v>50</v>
      </c>
      <c r="D245" t="s">
        <v>394</v>
      </c>
      <c r="E245" t="s">
        <v>395</v>
      </c>
      <c r="F245" t="s">
        <v>11</v>
      </c>
      <c r="G245" t="s">
        <v>57</v>
      </c>
      <c r="H245" t="s">
        <v>165</v>
      </c>
      <c r="I245" t="s">
        <v>31</v>
      </c>
      <c r="J245">
        <v>1086</v>
      </c>
      <c r="K245">
        <v>2</v>
      </c>
      <c r="L245" s="4">
        <v>3.8199999999999998E-2</v>
      </c>
      <c r="M245">
        <v>0.09</v>
      </c>
      <c r="N245" s="4">
        <v>4.14852E-2</v>
      </c>
      <c r="O245" s="4">
        <v>9.7739999999999994E-2</v>
      </c>
    </row>
    <row r="246" spans="2:15">
      <c r="B246" t="s">
        <v>69</v>
      </c>
      <c r="C246" t="s">
        <v>50</v>
      </c>
      <c r="D246" t="s">
        <v>396</v>
      </c>
      <c r="E246" t="s">
        <v>397</v>
      </c>
      <c r="F246" t="s">
        <v>11</v>
      </c>
      <c r="G246" t="s">
        <v>57</v>
      </c>
      <c r="H246" t="s">
        <v>165</v>
      </c>
      <c r="I246" t="s">
        <v>31</v>
      </c>
      <c r="J246">
        <v>2316</v>
      </c>
      <c r="K246">
        <v>19</v>
      </c>
      <c r="L246" s="4">
        <v>3.8199999999999998E-2</v>
      </c>
      <c r="M246">
        <v>0.09</v>
      </c>
      <c r="N246" s="4">
        <v>8.84712E-2</v>
      </c>
      <c r="O246" s="4">
        <v>0.20843999999999999</v>
      </c>
    </row>
    <row r="247" spans="2:15">
      <c r="B247" t="s">
        <v>69</v>
      </c>
      <c r="C247" t="s">
        <v>50</v>
      </c>
      <c r="D247" t="s">
        <v>396</v>
      </c>
      <c r="E247" t="s">
        <v>397</v>
      </c>
      <c r="F247" t="s">
        <v>11</v>
      </c>
      <c r="G247" t="s">
        <v>57</v>
      </c>
      <c r="H247" t="s">
        <v>165</v>
      </c>
      <c r="I247" t="s">
        <v>31</v>
      </c>
      <c r="J247">
        <v>1616</v>
      </c>
      <c r="K247">
        <v>16</v>
      </c>
      <c r="L247" s="4">
        <v>3.8199999999999998E-2</v>
      </c>
      <c r="M247">
        <v>0.09</v>
      </c>
      <c r="N247" s="4">
        <v>6.1731199999999993E-2</v>
      </c>
      <c r="O247" s="4">
        <v>0.14543999999999999</v>
      </c>
    </row>
    <row r="248" spans="2:15">
      <c r="B248" t="s">
        <v>69</v>
      </c>
      <c r="C248" t="s">
        <v>50</v>
      </c>
      <c r="D248" t="s">
        <v>398</v>
      </c>
      <c r="E248" t="s">
        <v>399</v>
      </c>
      <c r="F248" t="s">
        <v>11</v>
      </c>
      <c r="G248" t="s">
        <v>57</v>
      </c>
      <c r="H248" t="s">
        <v>165</v>
      </c>
      <c r="I248" t="s">
        <v>31</v>
      </c>
      <c r="J248">
        <v>300</v>
      </c>
      <c r="K248">
        <v>1</v>
      </c>
      <c r="L248" s="4">
        <v>3.8199999999999998E-2</v>
      </c>
      <c r="M248">
        <v>0.09</v>
      </c>
      <c r="N248" s="4">
        <v>1.146E-2</v>
      </c>
      <c r="O248" s="4">
        <v>2.7E-2</v>
      </c>
    </row>
    <row r="249" spans="2:15">
      <c r="B249" t="s">
        <v>69</v>
      </c>
      <c r="C249" t="s">
        <v>50</v>
      </c>
      <c r="D249" t="s">
        <v>398</v>
      </c>
      <c r="E249" t="s">
        <v>399</v>
      </c>
      <c r="F249" t="s">
        <v>11</v>
      </c>
      <c r="G249" t="s">
        <v>57</v>
      </c>
      <c r="H249" t="s">
        <v>165</v>
      </c>
      <c r="I249" t="s">
        <v>31</v>
      </c>
      <c r="J249">
        <v>1138</v>
      </c>
      <c r="K249">
        <v>55</v>
      </c>
      <c r="L249" s="4">
        <v>3.8199999999999998E-2</v>
      </c>
      <c r="M249">
        <v>0.09</v>
      </c>
      <c r="N249" s="4">
        <v>4.3471599999999992E-2</v>
      </c>
      <c r="O249" s="4">
        <v>0.10242</v>
      </c>
    </row>
    <row r="250" spans="2:15">
      <c r="B250" t="s">
        <v>69</v>
      </c>
      <c r="C250" t="s">
        <v>50</v>
      </c>
      <c r="D250" t="s">
        <v>400</v>
      </c>
      <c r="E250" t="s">
        <v>401</v>
      </c>
      <c r="F250" t="s">
        <v>11</v>
      </c>
      <c r="G250" t="s">
        <v>57</v>
      </c>
      <c r="H250" t="s">
        <v>165</v>
      </c>
      <c r="I250" t="s">
        <v>31</v>
      </c>
      <c r="J250">
        <v>281</v>
      </c>
      <c r="K250">
        <v>4</v>
      </c>
      <c r="L250" s="4">
        <v>3.8199999999999998E-2</v>
      </c>
      <c r="M250">
        <v>0.09</v>
      </c>
      <c r="N250" s="4">
        <v>1.0734199999999999E-2</v>
      </c>
      <c r="O250" s="4">
        <v>2.529E-2</v>
      </c>
    </row>
    <row r="251" spans="2:15">
      <c r="B251" t="s">
        <v>69</v>
      </c>
      <c r="C251" t="s">
        <v>50</v>
      </c>
      <c r="D251" t="s">
        <v>400</v>
      </c>
      <c r="E251" t="s">
        <v>401</v>
      </c>
      <c r="F251" t="s">
        <v>11</v>
      </c>
      <c r="G251" t="s">
        <v>57</v>
      </c>
      <c r="H251" t="s">
        <v>165</v>
      </c>
      <c r="I251" t="s">
        <v>31</v>
      </c>
      <c r="J251">
        <v>1071</v>
      </c>
      <c r="K251">
        <v>37</v>
      </c>
      <c r="L251" s="4">
        <v>3.8199999999999998E-2</v>
      </c>
      <c r="M251">
        <v>0.09</v>
      </c>
      <c r="N251" s="4">
        <v>4.0912199999999996E-2</v>
      </c>
      <c r="O251" s="4">
        <v>9.6390000000000003E-2</v>
      </c>
    </row>
    <row r="252" spans="2:15">
      <c r="B252" t="s">
        <v>69</v>
      </c>
      <c r="C252" t="s">
        <v>50</v>
      </c>
      <c r="D252" t="s">
        <v>402</v>
      </c>
      <c r="E252" t="s">
        <v>403</v>
      </c>
      <c r="F252" t="s">
        <v>11</v>
      </c>
      <c r="G252" t="s">
        <v>57</v>
      </c>
      <c r="H252" t="s">
        <v>165</v>
      </c>
      <c r="I252" t="s">
        <v>31</v>
      </c>
      <c r="J252">
        <v>268</v>
      </c>
      <c r="K252">
        <v>0</v>
      </c>
      <c r="L252" s="4">
        <v>3.8199999999999998E-2</v>
      </c>
      <c r="M252">
        <v>0.09</v>
      </c>
      <c r="N252" s="4">
        <v>1.0237599999999999E-2</v>
      </c>
      <c r="O252" s="4">
        <v>2.4119999999999999E-2</v>
      </c>
    </row>
    <row r="253" spans="2:15">
      <c r="B253" t="s">
        <v>69</v>
      </c>
      <c r="C253" t="s">
        <v>50</v>
      </c>
      <c r="D253" t="s">
        <v>402</v>
      </c>
      <c r="E253" t="s">
        <v>403</v>
      </c>
      <c r="F253" t="s">
        <v>11</v>
      </c>
      <c r="G253" t="s">
        <v>57</v>
      </c>
      <c r="H253" t="s">
        <v>165</v>
      </c>
      <c r="I253" t="s">
        <v>31</v>
      </c>
      <c r="J253">
        <v>1107</v>
      </c>
      <c r="K253">
        <v>47</v>
      </c>
      <c r="L253" s="4">
        <v>3.8199999999999998E-2</v>
      </c>
      <c r="M253">
        <v>0.09</v>
      </c>
      <c r="N253" s="4">
        <v>4.2287399999999996E-2</v>
      </c>
      <c r="O253" s="4">
        <v>9.9629999999999996E-2</v>
      </c>
    </row>
    <row r="254" spans="2:15">
      <c r="B254" t="s">
        <v>69</v>
      </c>
      <c r="C254" t="s">
        <v>50</v>
      </c>
      <c r="D254" t="s">
        <v>404</v>
      </c>
      <c r="E254" t="s">
        <v>405</v>
      </c>
      <c r="F254" t="s">
        <v>11</v>
      </c>
      <c r="G254" t="s">
        <v>57</v>
      </c>
      <c r="H254" t="s">
        <v>165</v>
      </c>
      <c r="I254" t="s">
        <v>31</v>
      </c>
      <c r="J254">
        <v>260</v>
      </c>
      <c r="K254">
        <v>0</v>
      </c>
      <c r="L254" s="4">
        <v>3.8199999999999998E-2</v>
      </c>
      <c r="M254">
        <v>0.09</v>
      </c>
      <c r="N254" s="4">
        <v>9.9319999999999981E-3</v>
      </c>
      <c r="O254" s="4">
        <v>2.3399999999999997E-2</v>
      </c>
    </row>
    <row r="255" spans="2:15">
      <c r="B255" t="s">
        <v>69</v>
      </c>
      <c r="C255" t="s">
        <v>50</v>
      </c>
      <c r="D255" t="s">
        <v>404</v>
      </c>
      <c r="E255" t="s">
        <v>405</v>
      </c>
      <c r="F255" t="s">
        <v>11</v>
      </c>
      <c r="G255" t="s">
        <v>57</v>
      </c>
      <c r="H255" t="s">
        <v>165</v>
      </c>
      <c r="I255" t="s">
        <v>31</v>
      </c>
      <c r="J255">
        <v>1140</v>
      </c>
      <c r="K255">
        <v>41</v>
      </c>
      <c r="L255" s="4">
        <v>3.8199999999999998E-2</v>
      </c>
      <c r="M255">
        <v>0.09</v>
      </c>
      <c r="N255" s="4">
        <v>4.3547999999999996E-2</v>
      </c>
      <c r="O255" s="4">
        <v>0.1026</v>
      </c>
    </row>
    <row r="256" spans="2:15">
      <c r="B256" t="s">
        <v>69</v>
      </c>
      <c r="C256" t="s">
        <v>50</v>
      </c>
      <c r="D256" t="s">
        <v>406</v>
      </c>
      <c r="E256" t="s">
        <v>407</v>
      </c>
      <c r="F256" t="s">
        <v>11</v>
      </c>
      <c r="G256" t="s">
        <v>57</v>
      </c>
      <c r="H256" t="s">
        <v>165</v>
      </c>
      <c r="I256" t="s">
        <v>31</v>
      </c>
      <c r="J256">
        <v>270</v>
      </c>
      <c r="K256">
        <v>1</v>
      </c>
      <c r="L256" s="4">
        <v>3.8199999999999998E-2</v>
      </c>
      <c r="M256">
        <v>0.09</v>
      </c>
      <c r="N256" s="4">
        <v>1.0314E-2</v>
      </c>
      <c r="O256" s="4">
        <v>2.4300000000000002E-2</v>
      </c>
    </row>
    <row r="257" spans="2:15">
      <c r="B257" t="s">
        <v>69</v>
      </c>
      <c r="C257" t="s">
        <v>50</v>
      </c>
      <c r="D257" t="s">
        <v>406</v>
      </c>
      <c r="E257" t="s">
        <v>407</v>
      </c>
      <c r="F257" t="s">
        <v>11</v>
      </c>
      <c r="G257" t="s">
        <v>57</v>
      </c>
      <c r="H257" t="s">
        <v>165</v>
      </c>
      <c r="I257" t="s">
        <v>31</v>
      </c>
      <c r="J257">
        <v>1003</v>
      </c>
      <c r="K257">
        <v>50</v>
      </c>
      <c r="L257" s="4">
        <v>3.8199999999999998E-2</v>
      </c>
      <c r="M257">
        <v>0.09</v>
      </c>
      <c r="N257" s="4">
        <v>3.8314599999999997E-2</v>
      </c>
      <c r="O257" s="4">
        <v>9.0269999999999989E-2</v>
      </c>
    </row>
    <row r="258" spans="2:15">
      <c r="B258" t="s">
        <v>69</v>
      </c>
      <c r="C258" t="s">
        <v>50</v>
      </c>
      <c r="D258" t="s">
        <v>408</v>
      </c>
      <c r="E258" t="s">
        <v>409</v>
      </c>
      <c r="F258" t="s">
        <v>11</v>
      </c>
      <c r="G258" t="s">
        <v>57</v>
      </c>
      <c r="H258" t="s">
        <v>165</v>
      </c>
      <c r="I258" t="s">
        <v>31</v>
      </c>
      <c r="J258">
        <v>378</v>
      </c>
      <c r="K258">
        <v>2</v>
      </c>
      <c r="L258" s="4">
        <v>3.8199999999999998E-2</v>
      </c>
      <c r="M258">
        <v>0.09</v>
      </c>
      <c r="N258" s="4">
        <v>1.4439599999999999E-2</v>
      </c>
      <c r="O258" s="4">
        <v>3.4019999999999995E-2</v>
      </c>
    </row>
    <row r="259" spans="2:15">
      <c r="B259" t="s">
        <v>69</v>
      </c>
      <c r="C259" t="s">
        <v>50</v>
      </c>
      <c r="D259" t="s">
        <v>408</v>
      </c>
      <c r="E259" t="s">
        <v>409</v>
      </c>
      <c r="F259" t="s">
        <v>11</v>
      </c>
      <c r="G259" t="s">
        <v>57</v>
      </c>
      <c r="H259" t="s">
        <v>165</v>
      </c>
      <c r="I259" t="s">
        <v>31</v>
      </c>
      <c r="J259">
        <v>1101</v>
      </c>
      <c r="K259">
        <v>43</v>
      </c>
      <c r="L259" s="4">
        <v>3.8199999999999998E-2</v>
      </c>
      <c r="M259">
        <v>0.09</v>
      </c>
      <c r="N259" s="4">
        <v>4.2058199999999997E-2</v>
      </c>
      <c r="O259" s="4">
        <v>9.9089999999999998E-2</v>
      </c>
    </row>
    <row r="260" spans="2:15">
      <c r="B260" t="s">
        <v>69</v>
      </c>
      <c r="C260" t="s">
        <v>50</v>
      </c>
      <c r="D260" t="s">
        <v>410</v>
      </c>
      <c r="E260" t="s">
        <v>411</v>
      </c>
      <c r="F260" t="s">
        <v>11</v>
      </c>
      <c r="G260" t="s">
        <v>57</v>
      </c>
      <c r="H260" t="s">
        <v>165</v>
      </c>
      <c r="I260" t="s">
        <v>31</v>
      </c>
      <c r="J260">
        <v>282</v>
      </c>
      <c r="K260">
        <v>0</v>
      </c>
      <c r="L260" s="4">
        <v>3.8199999999999998E-2</v>
      </c>
      <c r="M260">
        <v>0.09</v>
      </c>
      <c r="N260" s="4">
        <v>1.07724E-2</v>
      </c>
      <c r="O260" s="4">
        <v>2.538E-2</v>
      </c>
    </row>
    <row r="261" spans="2:15">
      <c r="B261" t="s">
        <v>69</v>
      </c>
      <c r="C261" t="s">
        <v>50</v>
      </c>
      <c r="D261" t="s">
        <v>410</v>
      </c>
      <c r="E261" t="s">
        <v>411</v>
      </c>
      <c r="F261" t="s">
        <v>11</v>
      </c>
      <c r="G261" t="s">
        <v>57</v>
      </c>
      <c r="H261" t="s">
        <v>165</v>
      </c>
      <c r="I261" t="s">
        <v>31</v>
      </c>
      <c r="J261">
        <v>1106</v>
      </c>
      <c r="K261">
        <v>51</v>
      </c>
      <c r="L261" s="4">
        <v>3.8199999999999998E-2</v>
      </c>
      <c r="M261">
        <v>0.09</v>
      </c>
      <c r="N261" s="4">
        <v>4.2249199999999994E-2</v>
      </c>
      <c r="O261" s="4">
        <v>9.953999999999999E-2</v>
      </c>
    </row>
    <row r="262" spans="2:15">
      <c r="B262" t="s">
        <v>69</v>
      </c>
      <c r="C262" t="s">
        <v>50</v>
      </c>
      <c r="D262" t="s">
        <v>412</v>
      </c>
      <c r="E262" t="s">
        <v>413</v>
      </c>
      <c r="F262" t="s">
        <v>11</v>
      </c>
      <c r="G262" t="s">
        <v>57</v>
      </c>
      <c r="H262" t="s">
        <v>165</v>
      </c>
      <c r="I262" t="s">
        <v>31</v>
      </c>
      <c r="J262">
        <v>267</v>
      </c>
      <c r="K262">
        <v>0</v>
      </c>
      <c r="L262" s="4">
        <v>3.8199999999999998E-2</v>
      </c>
      <c r="M262">
        <v>0.09</v>
      </c>
      <c r="N262" s="4">
        <v>1.0199399999999999E-2</v>
      </c>
      <c r="O262" s="4">
        <v>2.4029999999999999E-2</v>
      </c>
    </row>
    <row r="263" spans="2:15">
      <c r="B263" t="s">
        <v>69</v>
      </c>
      <c r="C263" t="s">
        <v>50</v>
      </c>
      <c r="D263" t="s">
        <v>412</v>
      </c>
      <c r="E263" t="s">
        <v>413</v>
      </c>
      <c r="F263" t="s">
        <v>11</v>
      </c>
      <c r="G263" t="s">
        <v>57</v>
      </c>
      <c r="H263" t="s">
        <v>165</v>
      </c>
      <c r="I263" t="s">
        <v>31</v>
      </c>
      <c r="J263">
        <v>1120</v>
      </c>
      <c r="K263">
        <v>54</v>
      </c>
      <c r="L263" s="4">
        <v>3.8199999999999998E-2</v>
      </c>
      <c r="M263">
        <v>0.09</v>
      </c>
      <c r="N263" s="4">
        <v>4.2783999999999996E-2</v>
      </c>
      <c r="O263" s="4">
        <v>0.1008</v>
      </c>
    </row>
    <row r="264" spans="2:15">
      <c r="B264" t="s">
        <v>69</v>
      </c>
      <c r="C264" t="s">
        <v>50</v>
      </c>
      <c r="D264" t="s">
        <v>414</v>
      </c>
      <c r="E264" t="s">
        <v>415</v>
      </c>
      <c r="F264" t="s">
        <v>11</v>
      </c>
      <c r="G264" t="s">
        <v>57</v>
      </c>
      <c r="H264" t="s">
        <v>165</v>
      </c>
      <c r="I264" t="s">
        <v>31</v>
      </c>
      <c r="J264">
        <v>303</v>
      </c>
      <c r="K264">
        <v>0</v>
      </c>
      <c r="L264" s="4">
        <v>3.8199999999999998E-2</v>
      </c>
      <c r="M264">
        <v>0.09</v>
      </c>
      <c r="N264" s="4">
        <v>1.1574600000000001E-2</v>
      </c>
      <c r="O264" s="4">
        <v>2.7269999999999999E-2</v>
      </c>
    </row>
    <row r="265" spans="2:15">
      <c r="B265" t="s">
        <v>69</v>
      </c>
      <c r="C265" t="s">
        <v>50</v>
      </c>
      <c r="D265" t="s">
        <v>414</v>
      </c>
      <c r="E265" t="s">
        <v>415</v>
      </c>
      <c r="F265" t="s">
        <v>11</v>
      </c>
      <c r="G265" t="s">
        <v>57</v>
      </c>
      <c r="H265" t="s">
        <v>165</v>
      </c>
      <c r="I265" t="s">
        <v>31</v>
      </c>
      <c r="J265">
        <v>955</v>
      </c>
      <c r="K265">
        <v>39</v>
      </c>
      <c r="L265" s="4">
        <v>3.8199999999999998E-2</v>
      </c>
      <c r="M265">
        <v>0.09</v>
      </c>
      <c r="N265" s="4">
        <v>3.6480999999999993E-2</v>
      </c>
      <c r="O265" s="4">
        <v>8.5949999999999999E-2</v>
      </c>
    </row>
    <row r="266" spans="2:15">
      <c r="B266" t="s">
        <v>69</v>
      </c>
      <c r="C266" t="s">
        <v>50</v>
      </c>
      <c r="D266" t="s">
        <v>416</v>
      </c>
      <c r="E266" t="s">
        <v>417</v>
      </c>
      <c r="F266" t="s">
        <v>11</v>
      </c>
      <c r="G266" t="s">
        <v>57</v>
      </c>
      <c r="H266" t="s">
        <v>165</v>
      </c>
      <c r="I266" t="s">
        <v>31</v>
      </c>
      <c r="J266">
        <v>259</v>
      </c>
      <c r="K266">
        <v>0</v>
      </c>
      <c r="L266" s="4">
        <v>3.8199999999999998E-2</v>
      </c>
      <c r="M266">
        <v>0.09</v>
      </c>
      <c r="N266" s="4">
        <v>9.8937999999999995E-3</v>
      </c>
      <c r="O266" s="4">
        <v>2.3309999999999997E-2</v>
      </c>
    </row>
    <row r="267" spans="2:15">
      <c r="B267" t="s">
        <v>69</v>
      </c>
      <c r="C267" t="s">
        <v>50</v>
      </c>
      <c r="D267" t="s">
        <v>416</v>
      </c>
      <c r="E267" t="s">
        <v>417</v>
      </c>
      <c r="F267" t="s">
        <v>11</v>
      </c>
      <c r="G267" t="s">
        <v>57</v>
      </c>
      <c r="H267" t="s">
        <v>165</v>
      </c>
      <c r="I267" t="s">
        <v>31</v>
      </c>
      <c r="J267">
        <v>1148</v>
      </c>
      <c r="K267">
        <v>42</v>
      </c>
      <c r="L267" s="4">
        <v>3.8199999999999998E-2</v>
      </c>
      <c r="M267">
        <v>0.09</v>
      </c>
      <c r="N267" s="4">
        <v>4.38536E-2</v>
      </c>
      <c r="O267" s="4">
        <v>0.10332</v>
      </c>
    </row>
    <row r="268" spans="2:15">
      <c r="B268" t="s">
        <v>69</v>
      </c>
      <c r="C268" t="s">
        <v>50</v>
      </c>
      <c r="D268" t="s">
        <v>418</v>
      </c>
      <c r="E268" t="s">
        <v>419</v>
      </c>
      <c r="F268" t="s">
        <v>11</v>
      </c>
      <c r="G268" t="s">
        <v>57</v>
      </c>
      <c r="H268" t="s">
        <v>165</v>
      </c>
      <c r="I268" t="s">
        <v>31</v>
      </c>
      <c r="J268">
        <v>273</v>
      </c>
      <c r="K268">
        <v>0</v>
      </c>
      <c r="L268" s="4">
        <v>3.8199999999999998E-2</v>
      </c>
      <c r="M268">
        <v>0.09</v>
      </c>
      <c r="N268" s="4">
        <v>1.04286E-2</v>
      </c>
      <c r="O268" s="4">
        <v>2.4570000000000002E-2</v>
      </c>
    </row>
    <row r="269" spans="2:15">
      <c r="B269" t="s">
        <v>69</v>
      </c>
      <c r="C269" t="s">
        <v>50</v>
      </c>
      <c r="D269" t="s">
        <v>418</v>
      </c>
      <c r="E269" t="s">
        <v>419</v>
      </c>
      <c r="F269" t="s">
        <v>11</v>
      </c>
      <c r="G269" t="s">
        <v>57</v>
      </c>
      <c r="H269" t="s">
        <v>165</v>
      </c>
      <c r="I269" t="s">
        <v>31</v>
      </c>
      <c r="J269">
        <v>1213</v>
      </c>
      <c r="K269">
        <v>65</v>
      </c>
      <c r="L269" s="4">
        <v>3.8199999999999998E-2</v>
      </c>
      <c r="M269">
        <v>0.09</v>
      </c>
      <c r="N269" s="4">
        <v>4.6336599999999999E-2</v>
      </c>
      <c r="O269" s="4">
        <v>0.10917</v>
      </c>
    </row>
    <row r="270" spans="2:15">
      <c r="B270" t="s">
        <v>69</v>
      </c>
      <c r="C270" t="s">
        <v>50</v>
      </c>
      <c r="D270" t="s">
        <v>420</v>
      </c>
      <c r="E270" t="s">
        <v>421</v>
      </c>
      <c r="F270" t="s">
        <v>11</v>
      </c>
      <c r="G270" t="s">
        <v>57</v>
      </c>
      <c r="H270" t="s">
        <v>165</v>
      </c>
      <c r="I270" t="s">
        <v>31</v>
      </c>
      <c r="J270">
        <v>261</v>
      </c>
      <c r="K270">
        <v>0</v>
      </c>
      <c r="L270" s="4">
        <v>3.8199999999999998E-2</v>
      </c>
      <c r="M270">
        <v>0.09</v>
      </c>
      <c r="N270" s="4">
        <v>9.9702000000000002E-3</v>
      </c>
      <c r="O270" s="4">
        <v>2.3489999999999997E-2</v>
      </c>
    </row>
    <row r="271" spans="2:15">
      <c r="B271" t="s">
        <v>69</v>
      </c>
      <c r="C271" t="s">
        <v>50</v>
      </c>
      <c r="D271" t="s">
        <v>420</v>
      </c>
      <c r="E271" t="s">
        <v>421</v>
      </c>
      <c r="F271" t="s">
        <v>11</v>
      </c>
      <c r="G271" t="s">
        <v>57</v>
      </c>
      <c r="H271" t="s">
        <v>165</v>
      </c>
      <c r="I271" t="s">
        <v>31</v>
      </c>
      <c r="J271">
        <v>1088</v>
      </c>
      <c r="K271">
        <v>62</v>
      </c>
      <c r="L271" s="4">
        <v>3.8199999999999998E-2</v>
      </c>
      <c r="M271">
        <v>0.09</v>
      </c>
      <c r="N271" s="4">
        <v>4.1561599999999997E-2</v>
      </c>
      <c r="O271" s="4">
        <v>9.7920000000000007E-2</v>
      </c>
    </row>
    <row r="272" spans="2:15">
      <c r="B272" t="s">
        <v>69</v>
      </c>
      <c r="C272" t="s">
        <v>50</v>
      </c>
      <c r="D272" t="s">
        <v>422</v>
      </c>
      <c r="E272" t="s">
        <v>423</v>
      </c>
      <c r="F272" t="s">
        <v>11</v>
      </c>
      <c r="G272" t="s">
        <v>57</v>
      </c>
      <c r="H272" t="s">
        <v>165</v>
      </c>
      <c r="I272" t="s">
        <v>31</v>
      </c>
      <c r="J272">
        <v>357</v>
      </c>
      <c r="K272">
        <v>0</v>
      </c>
      <c r="L272" s="4">
        <v>3.8199999999999998E-2</v>
      </c>
      <c r="M272">
        <v>0.09</v>
      </c>
      <c r="N272" s="4">
        <v>1.3637399999999999E-2</v>
      </c>
      <c r="O272" s="4">
        <v>3.2129999999999999E-2</v>
      </c>
    </row>
    <row r="273" spans="2:15">
      <c r="B273" t="s">
        <v>69</v>
      </c>
      <c r="C273" t="s">
        <v>50</v>
      </c>
      <c r="D273" t="s">
        <v>422</v>
      </c>
      <c r="E273" t="s">
        <v>423</v>
      </c>
      <c r="F273" t="s">
        <v>11</v>
      </c>
      <c r="G273" t="s">
        <v>57</v>
      </c>
      <c r="H273" t="s">
        <v>165</v>
      </c>
      <c r="I273" t="s">
        <v>31</v>
      </c>
      <c r="J273">
        <v>1136</v>
      </c>
      <c r="K273">
        <v>49</v>
      </c>
      <c r="L273" s="4">
        <v>3.8199999999999998E-2</v>
      </c>
      <c r="M273">
        <v>0.09</v>
      </c>
      <c r="N273" s="4">
        <v>4.3395199999999995E-2</v>
      </c>
      <c r="O273" s="4">
        <v>0.10224</v>
      </c>
    </row>
    <row r="274" spans="2:15">
      <c r="B274" t="s">
        <v>69</v>
      </c>
      <c r="C274" t="s">
        <v>50</v>
      </c>
      <c r="D274" t="s">
        <v>424</v>
      </c>
      <c r="E274" t="s">
        <v>425</v>
      </c>
      <c r="F274" t="s">
        <v>11</v>
      </c>
      <c r="G274" t="s">
        <v>57</v>
      </c>
      <c r="H274" t="s">
        <v>165</v>
      </c>
      <c r="I274" t="s">
        <v>31</v>
      </c>
      <c r="J274">
        <v>280</v>
      </c>
      <c r="K274">
        <v>0</v>
      </c>
      <c r="L274" s="4">
        <v>3.8199999999999998E-2</v>
      </c>
      <c r="M274">
        <v>0.09</v>
      </c>
      <c r="N274" s="4">
        <v>1.0695999999999999E-2</v>
      </c>
      <c r="O274" s="4">
        <v>2.52E-2</v>
      </c>
    </row>
    <row r="275" spans="2:15">
      <c r="B275" t="s">
        <v>69</v>
      </c>
      <c r="C275" t="s">
        <v>50</v>
      </c>
      <c r="D275" t="s">
        <v>424</v>
      </c>
      <c r="E275" t="s">
        <v>425</v>
      </c>
      <c r="F275" t="s">
        <v>11</v>
      </c>
      <c r="G275" t="s">
        <v>57</v>
      </c>
      <c r="H275" t="s">
        <v>165</v>
      </c>
      <c r="I275" t="s">
        <v>31</v>
      </c>
      <c r="J275">
        <v>1080</v>
      </c>
      <c r="K275">
        <v>46</v>
      </c>
      <c r="L275" s="4">
        <v>3.8199999999999998E-2</v>
      </c>
      <c r="M275">
        <v>0.09</v>
      </c>
      <c r="N275" s="4">
        <v>4.1256000000000001E-2</v>
      </c>
      <c r="O275" s="4">
        <v>9.7200000000000009E-2</v>
      </c>
    </row>
    <row r="276" spans="2:15">
      <c r="B276" t="s">
        <v>69</v>
      </c>
      <c r="C276" t="s">
        <v>50</v>
      </c>
      <c r="D276" t="s">
        <v>426</v>
      </c>
      <c r="E276" t="s">
        <v>427</v>
      </c>
      <c r="F276" t="s">
        <v>11</v>
      </c>
      <c r="G276" t="s">
        <v>57</v>
      </c>
      <c r="H276" t="s">
        <v>165</v>
      </c>
      <c r="I276" t="s">
        <v>31</v>
      </c>
      <c r="J276">
        <v>307</v>
      </c>
      <c r="K276">
        <v>1</v>
      </c>
      <c r="L276" s="4">
        <v>3.8199999999999998E-2</v>
      </c>
      <c r="M276">
        <v>0.09</v>
      </c>
      <c r="N276" s="4">
        <v>1.1727399999999999E-2</v>
      </c>
      <c r="O276" s="4">
        <v>2.7629999999999998E-2</v>
      </c>
    </row>
    <row r="277" spans="2:15">
      <c r="B277" t="s">
        <v>69</v>
      </c>
      <c r="C277" t="s">
        <v>50</v>
      </c>
      <c r="D277" t="s">
        <v>426</v>
      </c>
      <c r="E277" t="s">
        <v>427</v>
      </c>
      <c r="F277" t="s">
        <v>11</v>
      </c>
      <c r="G277" t="s">
        <v>57</v>
      </c>
      <c r="H277" t="s">
        <v>165</v>
      </c>
      <c r="I277" t="s">
        <v>31</v>
      </c>
      <c r="J277">
        <v>1081</v>
      </c>
      <c r="K277">
        <v>50</v>
      </c>
      <c r="L277" s="4">
        <v>3.8199999999999998E-2</v>
      </c>
      <c r="M277">
        <v>0.09</v>
      </c>
      <c r="N277" s="4">
        <v>4.1294199999999996E-2</v>
      </c>
      <c r="O277" s="4">
        <v>9.7289999999999988E-2</v>
      </c>
    </row>
    <row r="278" spans="2:15">
      <c r="B278" t="s">
        <v>69</v>
      </c>
      <c r="C278" t="s">
        <v>50</v>
      </c>
      <c r="D278" t="s">
        <v>428</v>
      </c>
      <c r="E278" t="s">
        <v>429</v>
      </c>
      <c r="F278" t="s">
        <v>11</v>
      </c>
      <c r="G278" t="s">
        <v>57</v>
      </c>
      <c r="H278" t="s">
        <v>165</v>
      </c>
      <c r="I278" t="s">
        <v>31</v>
      </c>
      <c r="J278">
        <v>374</v>
      </c>
      <c r="K278">
        <v>0</v>
      </c>
      <c r="L278" s="4">
        <v>3.8199999999999998E-2</v>
      </c>
      <c r="M278">
        <v>0.09</v>
      </c>
      <c r="N278" s="4">
        <v>1.4286799999999999E-2</v>
      </c>
      <c r="O278" s="4">
        <v>3.3659999999999995E-2</v>
      </c>
    </row>
    <row r="279" spans="2:15">
      <c r="B279" t="s">
        <v>69</v>
      </c>
      <c r="C279" t="s">
        <v>50</v>
      </c>
      <c r="D279" t="s">
        <v>428</v>
      </c>
      <c r="E279" t="s">
        <v>429</v>
      </c>
      <c r="F279" t="s">
        <v>11</v>
      </c>
      <c r="G279" t="s">
        <v>57</v>
      </c>
      <c r="H279" t="s">
        <v>165</v>
      </c>
      <c r="I279" t="s">
        <v>31</v>
      </c>
      <c r="J279">
        <v>1211</v>
      </c>
      <c r="K279">
        <v>55</v>
      </c>
      <c r="L279" s="4">
        <v>3.8199999999999998E-2</v>
      </c>
      <c r="M279">
        <v>0.09</v>
      </c>
      <c r="N279" s="4">
        <v>4.6260199999999994E-2</v>
      </c>
      <c r="O279" s="4">
        <v>0.10898999999999999</v>
      </c>
    </row>
    <row r="280" spans="2:15">
      <c r="B280" t="s">
        <v>69</v>
      </c>
      <c r="C280" t="s">
        <v>50</v>
      </c>
      <c r="D280" t="s">
        <v>430</v>
      </c>
      <c r="E280" t="s">
        <v>431</v>
      </c>
      <c r="F280" t="s">
        <v>11</v>
      </c>
      <c r="G280" t="s">
        <v>52</v>
      </c>
      <c r="H280" t="s">
        <v>171</v>
      </c>
      <c r="I280" t="s">
        <v>31</v>
      </c>
      <c r="J280">
        <v>8711</v>
      </c>
      <c r="K280">
        <v>16</v>
      </c>
      <c r="L280" s="4">
        <v>3.8199999999999998E-2</v>
      </c>
      <c r="M280">
        <v>0.09</v>
      </c>
      <c r="N280" s="4">
        <v>0.33276020000000001</v>
      </c>
      <c r="O280" s="4">
        <v>0.78398999999999996</v>
      </c>
    </row>
    <row r="281" spans="2:15">
      <c r="B281" t="s">
        <v>69</v>
      </c>
      <c r="C281" t="s">
        <v>50</v>
      </c>
      <c r="D281" t="s">
        <v>430</v>
      </c>
      <c r="E281" t="s">
        <v>431</v>
      </c>
      <c r="F281" t="s">
        <v>11</v>
      </c>
      <c r="G281" t="s">
        <v>52</v>
      </c>
      <c r="H281" t="s">
        <v>171</v>
      </c>
      <c r="I281" t="s">
        <v>31</v>
      </c>
      <c r="J281">
        <v>3781</v>
      </c>
      <c r="K281">
        <v>56</v>
      </c>
      <c r="L281" s="4">
        <v>3.8199999999999998E-2</v>
      </c>
      <c r="M281">
        <v>0.09</v>
      </c>
      <c r="N281" s="4">
        <v>0.14443420000000001</v>
      </c>
      <c r="O281" s="4">
        <v>0.34028999999999998</v>
      </c>
    </row>
    <row r="282" spans="2:15">
      <c r="B282" t="s">
        <v>69</v>
      </c>
      <c r="C282" t="s">
        <v>50</v>
      </c>
      <c r="D282" t="s">
        <v>432</v>
      </c>
      <c r="E282" t="s">
        <v>433</v>
      </c>
      <c r="F282" t="s">
        <v>11</v>
      </c>
      <c r="G282" t="s">
        <v>52</v>
      </c>
      <c r="H282" t="s">
        <v>171</v>
      </c>
      <c r="I282" t="s">
        <v>31</v>
      </c>
      <c r="J282">
        <v>9125</v>
      </c>
      <c r="K282">
        <v>31</v>
      </c>
      <c r="L282" s="4">
        <v>3.8199999999999998E-2</v>
      </c>
      <c r="M282">
        <v>0.09</v>
      </c>
      <c r="N282" s="4">
        <v>0.34857499999999997</v>
      </c>
      <c r="O282" s="4">
        <v>0.82125000000000004</v>
      </c>
    </row>
    <row r="283" spans="2:15">
      <c r="B283" t="s">
        <v>69</v>
      </c>
      <c r="C283" t="s">
        <v>50</v>
      </c>
      <c r="D283" t="s">
        <v>432</v>
      </c>
      <c r="E283" t="s">
        <v>433</v>
      </c>
      <c r="F283" t="s">
        <v>11</v>
      </c>
      <c r="G283" t="s">
        <v>52</v>
      </c>
      <c r="H283" t="s">
        <v>171</v>
      </c>
      <c r="I283" t="s">
        <v>31</v>
      </c>
      <c r="J283">
        <v>9152</v>
      </c>
      <c r="K283">
        <v>100</v>
      </c>
      <c r="L283" s="4">
        <v>3.8199999999999998E-2</v>
      </c>
      <c r="M283">
        <v>0.09</v>
      </c>
      <c r="N283" s="4">
        <v>0.34960639999999998</v>
      </c>
      <c r="O283" s="4">
        <v>0.82367999999999997</v>
      </c>
    </row>
    <row r="284" spans="2:15">
      <c r="B284" t="s">
        <v>69</v>
      </c>
      <c r="C284" t="s">
        <v>50</v>
      </c>
      <c r="D284" t="s">
        <v>434</v>
      </c>
      <c r="E284" t="s">
        <v>435</v>
      </c>
      <c r="F284" t="s">
        <v>11</v>
      </c>
      <c r="G284" t="s">
        <v>52</v>
      </c>
      <c r="H284" t="s">
        <v>171</v>
      </c>
      <c r="I284" t="s">
        <v>31</v>
      </c>
      <c r="J284">
        <v>8486</v>
      </c>
      <c r="K284">
        <v>23</v>
      </c>
      <c r="L284" s="4">
        <v>3.8199999999999998E-2</v>
      </c>
      <c r="M284">
        <v>0.09</v>
      </c>
      <c r="N284" s="4">
        <v>0.32416519999999999</v>
      </c>
      <c r="O284" s="4">
        <v>0.76373999999999997</v>
      </c>
    </row>
    <row r="285" spans="2:15">
      <c r="B285" t="s">
        <v>69</v>
      </c>
      <c r="C285" t="s">
        <v>50</v>
      </c>
      <c r="D285" t="s">
        <v>434</v>
      </c>
      <c r="E285" t="s">
        <v>435</v>
      </c>
      <c r="F285" t="s">
        <v>11</v>
      </c>
      <c r="G285" t="s">
        <v>52</v>
      </c>
      <c r="H285" t="s">
        <v>171</v>
      </c>
      <c r="I285" t="s">
        <v>31</v>
      </c>
      <c r="J285">
        <v>7167</v>
      </c>
      <c r="K285">
        <v>80</v>
      </c>
      <c r="L285" s="4">
        <v>3.8199999999999998E-2</v>
      </c>
      <c r="M285">
        <v>0.09</v>
      </c>
      <c r="N285" s="4">
        <v>0.27377940000000001</v>
      </c>
      <c r="O285" s="4">
        <v>0.64502999999999999</v>
      </c>
    </row>
    <row r="286" spans="2:15">
      <c r="B286" t="s">
        <v>69</v>
      </c>
      <c r="C286" t="s">
        <v>50</v>
      </c>
      <c r="D286" t="s">
        <v>436</v>
      </c>
      <c r="E286" t="s">
        <v>437</v>
      </c>
      <c r="F286" t="s">
        <v>11</v>
      </c>
      <c r="G286" t="s">
        <v>52</v>
      </c>
      <c r="H286" t="s">
        <v>171</v>
      </c>
      <c r="I286" t="s">
        <v>31</v>
      </c>
      <c r="J286">
        <v>8905</v>
      </c>
      <c r="K286">
        <v>28</v>
      </c>
      <c r="L286" s="4">
        <v>3.8199999999999998E-2</v>
      </c>
      <c r="M286">
        <v>0.09</v>
      </c>
      <c r="N286" s="4">
        <v>0.340171</v>
      </c>
      <c r="O286" s="4">
        <v>0.80144999999999988</v>
      </c>
    </row>
    <row r="287" spans="2:15">
      <c r="B287" t="s">
        <v>69</v>
      </c>
      <c r="C287" t="s">
        <v>50</v>
      </c>
      <c r="D287" t="s">
        <v>436</v>
      </c>
      <c r="E287" t="s">
        <v>437</v>
      </c>
      <c r="F287" t="s">
        <v>11</v>
      </c>
      <c r="G287" t="s">
        <v>52</v>
      </c>
      <c r="H287" t="s">
        <v>171</v>
      </c>
      <c r="I287" t="s">
        <v>31</v>
      </c>
      <c r="J287">
        <v>4039</v>
      </c>
      <c r="K287">
        <v>44</v>
      </c>
      <c r="L287" s="4">
        <v>3.8199999999999998E-2</v>
      </c>
      <c r="M287">
        <v>0.09</v>
      </c>
      <c r="N287" s="4">
        <v>0.15428979999999998</v>
      </c>
      <c r="O287" s="4">
        <v>0.36351</v>
      </c>
    </row>
    <row r="288" spans="2:15">
      <c r="B288" t="s">
        <v>69</v>
      </c>
      <c r="C288" t="s">
        <v>50</v>
      </c>
      <c r="D288" t="s">
        <v>438</v>
      </c>
      <c r="E288" t="s">
        <v>439</v>
      </c>
      <c r="F288" t="s">
        <v>11</v>
      </c>
      <c r="G288" t="s">
        <v>52</v>
      </c>
      <c r="H288" t="s">
        <v>171</v>
      </c>
      <c r="I288" t="s">
        <v>31</v>
      </c>
      <c r="J288">
        <v>8653</v>
      </c>
      <c r="K288">
        <v>23</v>
      </c>
      <c r="L288" s="4">
        <v>3.8199999999999998E-2</v>
      </c>
      <c r="M288">
        <v>0.09</v>
      </c>
      <c r="N288" s="4">
        <v>0.33054460000000002</v>
      </c>
      <c r="O288" s="4">
        <v>0.77876999999999996</v>
      </c>
    </row>
    <row r="289" spans="2:15">
      <c r="B289" t="s">
        <v>69</v>
      </c>
      <c r="C289" t="s">
        <v>50</v>
      </c>
      <c r="D289" t="s">
        <v>438</v>
      </c>
      <c r="E289" t="s">
        <v>439</v>
      </c>
      <c r="F289" t="s">
        <v>11</v>
      </c>
      <c r="G289" t="s">
        <v>52</v>
      </c>
      <c r="H289" t="s">
        <v>171</v>
      </c>
      <c r="I289" t="s">
        <v>31</v>
      </c>
      <c r="J289">
        <v>9729</v>
      </c>
      <c r="K289">
        <v>101</v>
      </c>
      <c r="L289" s="4">
        <v>3.8199999999999998E-2</v>
      </c>
      <c r="M289">
        <v>0.09</v>
      </c>
      <c r="N289" s="4">
        <v>0.37164779999999997</v>
      </c>
      <c r="O289" s="4">
        <v>0.87561</v>
      </c>
    </row>
    <row r="290" spans="2:15">
      <c r="B290" t="s">
        <v>69</v>
      </c>
      <c r="C290" t="s">
        <v>50</v>
      </c>
      <c r="D290" t="s">
        <v>440</v>
      </c>
      <c r="E290" t="s">
        <v>441</v>
      </c>
      <c r="F290" t="s">
        <v>11</v>
      </c>
      <c r="G290" t="s">
        <v>52</v>
      </c>
      <c r="H290" t="s">
        <v>171</v>
      </c>
      <c r="I290" t="s">
        <v>31</v>
      </c>
      <c r="J290">
        <v>10503</v>
      </c>
      <c r="K290">
        <v>35</v>
      </c>
      <c r="L290" s="4">
        <v>3.8199999999999998E-2</v>
      </c>
      <c r="M290">
        <v>0.09</v>
      </c>
      <c r="N290" s="4">
        <v>0.40121459999999998</v>
      </c>
      <c r="O290" s="4">
        <v>0.94526999999999994</v>
      </c>
    </row>
    <row r="291" spans="2:15">
      <c r="B291" t="s">
        <v>69</v>
      </c>
      <c r="C291" t="s">
        <v>50</v>
      </c>
      <c r="D291" t="s">
        <v>440</v>
      </c>
      <c r="E291" t="s">
        <v>441</v>
      </c>
      <c r="F291" t="s">
        <v>11</v>
      </c>
      <c r="G291" t="s">
        <v>52</v>
      </c>
      <c r="H291" t="s">
        <v>171</v>
      </c>
      <c r="I291" t="s">
        <v>31</v>
      </c>
      <c r="J291">
        <v>4064</v>
      </c>
      <c r="K291">
        <v>11</v>
      </c>
      <c r="L291" s="4">
        <v>3.8199999999999998E-2</v>
      </c>
      <c r="M291">
        <v>0.09</v>
      </c>
      <c r="N291" s="4">
        <v>0.15524479999999999</v>
      </c>
      <c r="O291" s="4">
        <v>0.36575999999999997</v>
      </c>
    </row>
    <row r="292" spans="2:15">
      <c r="B292" t="s">
        <v>69</v>
      </c>
      <c r="C292" t="s">
        <v>50</v>
      </c>
      <c r="D292" t="s">
        <v>442</v>
      </c>
      <c r="E292" t="s">
        <v>443</v>
      </c>
      <c r="F292" t="s">
        <v>11</v>
      </c>
      <c r="G292" t="s">
        <v>52</v>
      </c>
      <c r="H292" t="s">
        <v>171</v>
      </c>
      <c r="I292" t="s">
        <v>31</v>
      </c>
      <c r="J292">
        <v>10639</v>
      </c>
      <c r="K292">
        <v>42</v>
      </c>
      <c r="L292" s="4">
        <v>3.8199999999999998E-2</v>
      </c>
      <c r="M292">
        <v>0.09</v>
      </c>
      <c r="N292" s="4">
        <v>0.40640979999999999</v>
      </c>
      <c r="O292" s="4">
        <v>0.95750999999999997</v>
      </c>
    </row>
    <row r="293" spans="2:15">
      <c r="B293" t="s">
        <v>69</v>
      </c>
      <c r="C293" t="s">
        <v>50</v>
      </c>
      <c r="D293" t="s">
        <v>442</v>
      </c>
      <c r="E293" t="s">
        <v>443</v>
      </c>
      <c r="F293" t="s">
        <v>11</v>
      </c>
      <c r="G293" t="s">
        <v>52</v>
      </c>
      <c r="H293" t="s">
        <v>171</v>
      </c>
      <c r="I293" t="s">
        <v>31</v>
      </c>
      <c r="J293">
        <v>4117</v>
      </c>
      <c r="K293">
        <v>7</v>
      </c>
      <c r="L293" s="4">
        <v>3.8199999999999998E-2</v>
      </c>
      <c r="M293">
        <v>0.09</v>
      </c>
      <c r="N293" s="4">
        <v>0.1572694</v>
      </c>
      <c r="O293" s="4">
        <v>0.37052999999999997</v>
      </c>
    </row>
    <row r="294" spans="2:15">
      <c r="B294" t="s">
        <v>69</v>
      </c>
      <c r="C294" t="s">
        <v>50</v>
      </c>
      <c r="D294" t="s">
        <v>444</v>
      </c>
      <c r="E294" t="s">
        <v>445</v>
      </c>
      <c r="F294" t="s">
        <v>11</v>
      </c>
      <c r="G294" t="s">
        <v>52</v>
      </c>
      <c r="H294" t="s">
        <v>171</v>
      </c>
      <c r="I294" t="s">
        <v>31</v>
      </c>
      <c r="J294">
        <v>10381</v>
      </c>
      <c r="K294">
        <v>42</v>
      </c>
      <c r="L294" s="4">
        <v>3.8199999999999998E-2</v>
      </c>
      <c r="M294">
        <v>0.09</v>
      </c>
      <c r="N294" s="4">
        <v>0.39655419999999997</v>
      </c>
      <c r="O294" s="4">
        <v>0.93428999999999995</v>
      </c>
    </row>
    <row r="295" spans="2:15">
      <c r="B295" t="s">
        <v>69</v>
      </c>
      <c r="C295" t="s">
        <v>50</v>
      </c>
      <c r="D295" t="s">
        <v>444</v>
      </c>
      <c r="E295" t="s">
        <v>445</v>
      </c>
      <c r="F295" t="s">
        <v>11</v>
      </c>
      <c r="G295" t="s">
        <v>52</v>
      </c>
      <c r="H295" t="s">
        <v>171</v>
      </c>
      <c r="I295" t="s">
        <v>31</v>
      </c>
      <c r="J295">
        <v>4182</v>
      </c>
      <c r="K295">
        <v>10</v>
      </c>
      <c r="L295" s="4">
        <v>3.8199999999999998E-2</v>
      </c>
      <c r="M295">
        <v>0.09</v>
      </c>
      <c r="N295" s="4">
        <v>0.15975239999999999</v>
      </c>
      <c r="O295" s="4">
        <v>0.37637999999999999</v>
      </c>
    </row>
    <row r="296" spans="2:15">
      <c r="B296" t="s">
        <v>69</v>
      </c>
      <c r="C296" t="s">
        <v>50</v>
      </c>
      <c r="D296" t="s">
        <v>446</v>
      </c>
      <c r="E296" t="s">
        <v>447</v>
      </c>
      <c r="F296" t="s">
        <v>11</v>
      </c>
      <c r="G296" t="s">
        <v>52</v>
      </c>
      <c r="H296" t="s">
        <v>171</v>
      </c>
      <c r="I296" t="s">
        <v>31</v>
      </c>
      <c r="J296">
        <v>10743</v>
      </c>
      <c r="K296">
        <v>39</v>
      </c>
      <c r="L296" s="4">
        <v>3.8199999999999998E-2</v>
      </c>
      <c r="M296">
        <v>0.09</v>
      </c>
      <c r="N296" s="4">
        <v>0.41038259999999999</v>
      </c>
      <c r="O296" s="4">
        <v>0.96687000000000001</v>
      </c>
    </row>
    <row r="297" spans="2:15">
      <c r="B297" t="s">
        <v>69</v>
      </c>
      <c r="C297" t="s">
        <v>50</v>
      </c>
      <c r="D297" t="s">
        <v>446</v>
      </c>
      <c r="E297" t="s">
        <v>447</v>
      </c>
      <c r="F297" t="s">
        <v>11</v>
      </c>
      <c r="G297" t="s">
        <v>52</v>
      </c>
      <c r="H297" t="s">
        <v>171</v>
      </c>
      <c r="I297" t="s">
        <v>31</v>
      </c>
      <c r="J297">
        <v>3964</v>
      </c>
      <c r="K297">
        <v>6</v>
      </c>
      <c r="L297" s="4">
        <v>3.8199999999999998E-2</v>
      </c>
      <c r="M297">
        <v>0.09</v>
      </c>
      <c r="N297" s="4">
        <v>0.1514248</v>
      </c>
      <c r="O297" s="4">
        <v>0.35675999999999997</v>
      </c>
    </row>
    <row r="298" spans="2:15">
      <c r="B298" t="s">
        <v>69</v>
      </c>
      <c r="C298" t="s">
        <v>50</v>
      </c>
      <c r="D298" t="s">
        <v>448</v>
      </c>
      <c r="E298" t="s">
        <v>449</v>
      </c>
      <c r="F298" t="s">
        <v>11</v>
      </c>
      <c r="G298" t="s">
        <v>52</v>
      </c>
      <c r="H298" t="s">
        <v>171</v>
      </c>
      <c r="I298" t="s">
        <v>31</v>
      </c>
      <c r="J298">
        <v>10726</v>
      </c>
      <c r="K298">
        <v>42</v>
      </c>
      <c r="L298" s="4">
        <v>3.8199999999999998E-2</v>
      </c>
      <c r="M298">
        <v>0.09</v>
      </c>
      <c r="N298" s="4">
        <v>0.40973319999999996</v>
      </c>
      <c r="O298" s="4">
        <v>0.96533999999999986</v>
      </c>
    </row>
    <row r="299" spans="2:15">
      <c r="B299" t="s">
        <v>69</v>
      </c>
      <c r="C299" t="s">
        <v>50</v>
      </c>
      <c r="D299" t="s">
        <v>448</v>
      </c>
      <c r="E299" t="s">
        <v>449</v>
      </c>
      <c r="F299" t="s">
        <v>11</v>
      </c>
      <c r="G299" t="s">
        <v>52</v>
      </c>
      <c r="H299" t="s">
        <v>171</v>
      </c>
      <c r="I299" t="s">
        <v>31</v>
      </c>
      <c r="J299">
        <v>4160</v>
      </c>
      <c r="K299">
        <v>12</v>
      </c>
      <c r="L299" s="4">
        <v>3.8199999999999998E-2</v>
      </c>
      <c r="M299">
        <v>0.09</v>
      </c>
      <c r="N299" s="4">
        <v>0.15891199999999997</v>
      </c>
      <c r="O299" s="4">
        <v>0.37439999999999996</v>
      </c>
    </row>
    <row r="300" spans="2:15">
      <c r="B300" t="s">
        <v>69</v>
      </c>
      <c r="C300" t="s">
        <v>50</v>
      </c>
      <c r="D300" t="s">
        <v>450</v>
      </c>
      <c r="E300" t="s">
        <v>451</v>
      </c>
      <c r="F300" t="s">
        <v>11</v>
      </c>
      <c r="G300" t="s">
        <v>52</v>
      </c>
      <c r="H300" t="s">
        <v>171</v>
      </c>
      <c r="I300" t="s">
        <v>31</v>
      </c>
      <c r="J300">
        <v>10891</v>
      </c>
      <c r="K300">
        <v>42</v>
      </c>
      <c r="L300" s="4">
        <v>3.8199999999999998E-2</v>
      </c>
      <c r="M300">
        <v>0.09</v>
      </c>
      <c r="N300" s="4">
        <v>0.41603619999999997</v>
      </c>
      <c r="O300" s="4">
        <v>0.98018999999999989</v>
      </c>
    </row>
    <row r="301" spans="2:15">
      <c r="B301" t="s">
        <v>69</v>
      </c>
      <c r="C301" t="s">
        <v>50</v>
      </c>
      <c r="D301" t="s">
        <v>450</v>
      </c>
      <c r="E301" t="s">
        <v>451</v>
      </c>
      <c r="F301" t="s">
        <v>11</v>
      </c>
      <c r="G301" t="s">
        <v>52</v>
      </c>
      <c r="H301" t="s">
        <v>171</v>
      </c>
      <c r="I301" t="s">
        <v>31</v>
      </c>
      <c r="J301">
        <v>3986</v>
      </c>
      <c r="K301">
        <v>10</v>
      </c>
      <c r="L301" s="4">
        <v>3.8199999999999998E-2</v>
      </c>
      <c r="M301">
        <v>0.09</v>
      </c>
      <c r="N301" s="4">
        <v>0.15226519999999999</v>
      </c>
      <c r="O301" s="4">
        <v>0.35874</v>
      </c>
    </row>
    <row r="302" spans="2:15">
      <c r="B302" t="s">
        <v>69</v>
      </c>
      <c r="C302" t="s">
        <v>50</v>
      </c>
      <c r="D302" t="s">
        <v>452</v>
      </c>
      <c r="E302" t="s">
        <v>453</v>
      </c>
      <c r="F302" t="s">
        <v>11</v>
      </c>
      <c r="G302" t="s">
        <v>52</v>
      </c>
      <c r="H302" t="s">
        <v>171</v>
      </c>
      <c r="I302" t="s">
        <v>31</v>
      </c>
      <c r="J302">
        <v>10913</v>
      </c>
      <c r="K302">
        <v>47</v>
      </c>
      <c r="L302" s="4">
        <v>3.8199999999999998E-2</v>
      </c>
      <c r="M302">
        <v>0.09</v>
      </c>
      <c r="N302" s="4">
        <v>0.41687659999999999</v>
      </c>
      <c r="O302" s="4">
        <v>0.98216999999999999</v>
      </c>
    </row>
    <row r="303" spans="2:15">
      <c r="B303" t="s">
        <v>69</v>
      </c>
      <c r="C303" t="s">
        <v>50</v>
      </c>
      <c r="D303" t="s">
        <v>452</v>
      </c>
      <c r="E303" t="s">
        <v>453</v>
      </c>
      <c r="F303" t="s">
        <v>11</v>
      </c>
      <c r="G303" t="s">
        <v>52</v>
      </c>
      <c r="H303" t="s">
        <v>171</v>
      </c>
      <c r="I303" t="s">
        <v>31</v>
      </c>
      <c r="J303">
        <v>3928</v>
      </c>
      <c r="K303">
        <v>11</v>
      </c>
      <c r="L303" s="4">
        <v>3.8199999999999998E-2</v>
      </c>
      <c r="M303">
        <v>0.09</v>
      </c>
      <c r="N303" s="4">
        <v>0.15004960000000001</v>
      </c>
      <c r="O303" s="4">
        <v>0.35352</v>
      </c>
    </row>
    <row r="304" spans="2:15">
      <c r="B304" t="s">
        <v>69</v>
      </c>
      <c r="C304" t="s">
        <v>50</v>
      </c>
      <c r="D304" t="s">
        <v>454</v>
      </c>
      <c r="E304" t="s">
        <v>455</v>
      </c>
      <c r="F304" t="s">
        <v>11</v>
      </c>
      <c r="G304" t="s">
        <v>52</v>
      </c>
      <c r="H304" t="s">
        <v>171</v>
      </c>
      <c r="I304" t="s">
        <v>31</v>
      </c>
      <c r="J304">
        <v>10243</v>
      </c>
      <c r="K304">
        <v>30</v>
      </c>
      <c r="L304" s="4">
        <v>3.8199999999999998E-2</v>
      </c>
      <c r="M304">
        <v>0.09</v>
      </c>
      <c r="N304" s="4">
        <v>0.39128259999999998</v>
      </c>
      <c r="O304" s="4">
        <v>0.92186999999999997</v>
      </c>
    </row>
    <row r="305" spans="2:15">
      <c r="B305" t="s">
        <v>69</v>
      </c>
      <c r="C305" t="s">
        <v>50</v>
      </c>
      <c r="D305" t="s">
        <v>454</v>
      </c>
      <c r="E305" t="s">
        <v>455</v>
      </c>
      <c r="F305" t="s">
        <v>11</v>
      </c>
      <c r="G305" t="s">
        <v>52</v>
      </c>
      <c r="H305" t="s">
        <v>171</v>
      </c>
      <c r="I305" t="s">
        <v>31</v>
      </c>
      <c r="J305">
        <v>3678</v>
      </c>
      <c r="K305">
        <v>10</v>
      </c>
      <c r="L305" s="4">
        <v>3.8199999999999998E-2</v>
      </c>
      <c r="M305">
        <v>0.09</v>
      </c>
      <c r="N305" s="4">
        <v>0.14049959999999997</v>
      </c>
      <c r="O305" s="4">
        <v>0.33101999999999998</v>
      </c>
    </row>
    <row r="306" spans="2:15">
      <c r="B306" t="s">
        <v>69</v>
      </c>
      <c r="C306" t="s">
        <v>50</v>
      </c>
      <c r="D306" t="s">
        <v>456</v>
      </c>
      <c r="E306" t="s">
        <v>457</v>
      </c>
      <c r="F306" t="s">
        <v>11</v>
      </c>
      <c r="G306" t="s">
        <v>52</v>
      </c>
      <c r="H306" t="s">
        <v>171</v>
      </c>
      <c r="I306" t="s">
        <v>31</v>
      </c>
      <c r="J306">
        <v>1804</v>
      </c>
      <c r="K306">
        <v>2</v>
      </c>
      <c r="L306" s="4">
        <v>3.8199999999999998E-2</v>
      </c>
      <c r="M306">
        <v>0.09</v>
      </c>
      <c r="N306" s="4">
        <v>6.8912799999999996E-2</v>
      </c>
      <c r="O306" s="4">
        <v>0.16235999999999998</v>
      </c>
    </row>
    <row r="307" spans="2:15">
      <c r="B307" t="s">
        <v>69</v>
      </c>
      <c r="C307" t="s">
        <v>50</v>
      </c>
      <c r="D307" t="s">
        <v>458</v>
      </c>
      <c r="E307" t="s">
        <v>459</v>
      </c>
      <c r="F307" t="s">
        <v>11</v>
      </c>
      <c r="G307" t="s">
        <v>52</v>
      </c>
      <c r="H307" t="s">
        <v>171</v>
      </c>
      <c r="I307" t="s">
        <v>31</v>
      </c>
      <c r="J307">
        <v>1942</v>
      </c>
      <c r="K307">
        <v>4</v>
      </c>
      <c r="L307" s="4">
        <v>3.8199999999999998E-2</v>
      </c>
      <c r="M307">
        <v>0.09</v>
      </c>
      <c r="N307" s="4">
        <v>7.4184399999999998E-2</v>
      </c>
      <c r="O307" s="4">
        <v>0.17477999999999999</v>
      </c>
    </row>
    <row r="308" spans="2:15">
      <c r="B308" t="s">
        <v>69</v>
      </c>
      <c r="C308" t="s">
        <v>50</v>
      </c>
      <c r="D308" t="s">
        <v>460</v>
      </c>
      <c r="E308" t="s">
        <v>461</v>
      </c>
      <c r="F308" t="s">
        <v>11</v>
      </c>
      <c r="G308" t="s">
        <v>52</v>
      </c>
      <c r="H308" t="s">
        <v>171</v>
      </c>
      <c r="I308" t="s">
        <v>31</v>
      </c>
      <c r="J308">
        <v>1821</v>
      </c>
      <c r="K308">
        <v>1</v>
      </c>
      <c r="L308" s="4">
        <v>3.8199999999999998E-2</v>
      </c>
      <c r="M308">
        <v>0.09</v>
      </c>
      <c r="N308" s="4">
        <v>6.9562199999999991E-2</v>
      </c>
      <c r="O308" s="4">
        <v>0.16388999999999998</v>
      </c>
    </row>
    <row r="309" spans="2:15">
      <c r="B309" t="s">
        <v>69</v>
      </c>
      <c r="C309" t="s">
        <v>50</v>
      </c>
      <c r="D309" t="s">
        <v>462</v>
      </c>
      <c r="E309" t="s">
        <v>463</v>
      </c>
      <c r="F309" t="s">
        <v>11</v>
      </c>
      <c r="G309" t="s">
        <v>52</v>
      </c>
      <c r="H309" t="s">
        <v>171</v>
      </c>
      <c r="I309" t="s">
        <v>31</v>
      </c>
      <c r="J309">
        <v>1896</v>
      </c>
      <c r="K309">
        <v>1</v>
      </c>
      <c r="L309" s="4">
        <v>3.8199999999999998E-2</v>
      </c>
      <c r="M309">
        <v>0.09</v>
      </c>
      <c r="N309" s="4">
        <v>7.2427199999999997E-2</v>
      </c>
      <c r="O309" s="4">
        <v>0.17063999999999999</v>
      </c>
    </row>
    <row r="310" spans="2:15">
      <c r="B310" t="s">
        <v>69</v>
      </c>
      <c r="C310" t="s">
        <v>50</v>
      </c>
      <c r="D310" t="s">
        <v>464</v>
      </c>
      <c r="E310" t="s">
        <v>465</v>
      </c>
      <c r="F310" t="s">
        <v>11</v>
      </c>
      <c r="G310" t="s">
        <v>52</v>
      </c>
      <c r="H310" t="s">
        <v>171</v>
      </c>
      <c r="I310" t="s">
        <v>31</v>
      </c>
      <c r="J310">
        <v>1826</v>
      </c>
      <c r="K310">
        <v>3</v>
      </c>
      <c r="L310" s="4">
        <v>3.8199999999999998E-2</v>
      </c>
      <c r="M310">
        <v>0.09</v>
      </c>
      <c r="N310" s="4">
        <v>6.9753199999999987E-2</v>
      </c>
      <c r="O310" s="4">
        <v>0.16434000000000001</v>
      </c>
    </row>
    <row r="311" spans="2:15">
      <c r="B311" t="s">
        <v>69</v>
      </c>
      <c r="C311" t="s">
        <v>50</v>
      </c>
      <c r="D311" t="s">
        <v>466</v>
      </c>
      <c r="E311" t="s">
        <v>467</v>
      </c>
      <c r="F311" t="s">
        <v>11</v>
      </c>
      <c r="G311" t="s">
        <v>52</v>
      </c>
      <c r="H311" t="s">
        <v>171</v>
      </c>
      <c r="I311" t="s">
        <v>31</v>
      </c>
      <c r="J311">
        <v>1856</v>
      </c>
      <c r="K311">
        <v>1</v>
      </c>
      <c r="L311" s="4">
        <v>3.8199999999999998E-2</v>
      </c>
      <c r="M311">
        <v>0.09</v>
      </c>
      <c r="N311" s="4">
        <v>7.0899199999999996E-2</v>
      </c>
      <c r="O311" s="4">
        <v>0.16703999999999999</v>
      </c>
    </row>
    <row r="312" spans="2:15">
      <c r="B312" t="s">
        <v>69</v>
      </c>
      <c r="C312" t="s">
        <v>50</v>
      </c>
      <c r="D312" t="s">
        <v>468</v>
      </c>
      <c r="E312" t="s">
        <v>469</v>
      </c>
      <c r="F312" t="s">
        <v>11</v>
      </c>
      <c r="G312" t="s">
        <v>52</v>
      </c>
      <c r="H312" t="s">
        <v>171</v>
      </c>
      <c r="I312" t="s">
        <v>31</v>
      </c>
      <c r="J312">
        <v>1890</v>
      </c>
      <c r="K312">
        <v>2</v>
      </c>
      <c r="L312" s="4">
        <v>3.8199999999999998E-2</v>
      </c>
      <c r="M312">
        <v>0.09</v>
      </c>
      <c r="N312" s="4">
        <v>7.2197999999999998E-2</v>
      </c>
      <c r="O312" s="4">
        <v>0.1701</v>
      </c>
    </row>
    <row r="313" spans="2:15">
      <c r="B313" t="s">
        <v>69</v>
      </c>
      <c r="C313" t="s">
        <v>50</v>
      </c>
      <c r="D313" t="s">
        <v>470</v>
      </c>
      <c r="E313" t="s">
        <v>471</v>
      </c>
      <c r="F313" t="s">
        <v>11</v>
      </c>
      <c r="G313" t="s">
        <v>52</v>
      </c>
      <c r="H313" t="s">
        <v>171</v>
      </c>
      <c r="I313" t="s">
        <v>31</v>
      </c>
      <c r="J313">
        <v>1867</v>
      </c>
      <c r="K313">
        <v>2</v>
      </c>
      <c r="L313" s="4">
        <v>3.8199999999999998E-2</v>
      </c>
      <c r="M313">
        <v>0.09</v>
      </c>
      <c r="N313" s="4">
        <v>7.1319400000000005E-2</v>
      </c>
      <c r="O313" s="4">
        <v>0.16803000000000001</v>
      </c>
    </row>
    <row r="314" spans="2:15">
      <c r="B314" t="s">
        <v>69</v>
      </c>
      <c r="C314" t="s">
        <v>50</v>
      </c>
      <c r="D314" t="s">
        <v>472</v>
      </c>
      <c r="E314" t="s">
        <v>473</v>
      </c>
      <c r="F314" t="s">
        <v>11</v>
      </c>
      <c r="G314" t="s">
        <v>52</v>
      </c>
      <c r="H314" t="s">
        <v>171</v>
      </c>
      <c r="I314" t="s">
        <v>31</v>
      </c>
      <c r="J314">
        <v>1937</v>
      </c>
      <c r="K314">
        <v>0</v>
      </c>
      <c r="L314" s="4">
        <v>3.8199999999999998E-2</v>
      </c>
      <c r="M314">
        <v>0.09</v>
      </c>
      <c r="N314" s="4">
        <v>7.3993400000000001E-2</v>
      </c>
      <c r="O314" s="4">
        <v>0.17432999999999998</v>
      </c>
    </row>
    <row r="315" spans="2:15">
      <c r="B315" t="s">
        <v>69</v>
      </c>
      <c r="C315" t="s">
        <v>50</v>
      </c>
      <c r="D315" t="s">
        <v>474</v>
      </c>
      <c r="E315" t="s">
        <v>475</v>
      </c>
      <c r="F315" t="s">
        <v>11</v>
      </c>
      <c r="G315" t="s">
        <v>52</v>
      </c>
      <c r="H315" t="s">
        <v>171</v>
      </c>
      <c r="I315" t="s">
        <v>31</v>
      </c>
      <c r="J315">
        <v>72411</v>
      </c>
      <c r="K315">
        <v>277</v>
      </c>
      <c r="L315" s="4">
        <v>3.8199999999999998E-2</v>
      </c>
      <c r="M315">
        <v>0.09</v>
      </c>
      <c r="N315" s="4">
        <v>2.7661001999999999</v>
      </c>
      <c r="O315" s="4">
        <v>6.5169899999999998</v>
      </c>
    </row>
    <row r="316" spans="2:15">
      <c r="B316" t="s">
        <v>69</v>
      </c>
      <c r="C316" t="s">
        <v>50</v>
      </c>
      <c r="D316" t="s">
        <v>474</v>
      </c>
      <c r="E316" t="s">
        <v>475</v>
      </c>
      <c r="F316" t="s">
        <v>11</v>
      </c>
      <c r="G316" t="s">
        <v>52</v>
      </c>
      <c r="H316" t="s">
        <v>171</v>
      </c>
      <c r="I316" t="s">
        <v>31</v>
      </c>
      <c r="J316">
        <v>6575</v>
      </c>
      <c r="K316">
        <v>43</v>
      </c>
      <c r="L316" s="4">
        <v>3.8199999999999998E-2</v>
      </c>
      <c r="M316">
        <v>0.09</v>
      </c>
      <c r="N316" s="4">
        <v>0.25116499999999997</v>
      </c>
      <c r="O316" s="4">
        <v>0.59175</v>
      </c>
    </row>
    <row r="317" spans="2:15">
      <c r="B317" t="s">
        <v>69</v>
      </c>
      <c r="C317" t="s">
        <v>50</v>
      </c>
      <c r="D317" t="s">
        <v>476</v>
      </c>
      <c r="E317" t="s">
        <v>477</v>
      </c>
      <c r="F317" t="s">
        <v>11</v>
      </c>
      <c r="G317" t="s">
        <v>52</v>
      </c>
      <c r="H317" t="s">
        <v>171</v>
      </c>
      <c r="I317" t="s">
        <v>31</v>
      </c>
      <c r="J317">
        <v>74016</v>
      </c>
      <c r="K317">
        <v>314</v>
      </c>
      <c r="L317" s="4">
        <v>3.8199999999999998E-2</v>
      </c>
      <c r="M317">
        <v>0.09</v>
      </c>
      <c r="N317" s="4">
        <v>2.8274111999999998</v>
      </c>
      <c r="O317" s="4">
        <v>6.6614399999999998</v>
      </c>
    </row>
    <row r="318" spans="2:15">
      <c r="B318" t="s">
        <v>69</v>
      </c>
      <c r="C318" t="s">
        <v>50</v>
      </c>
      <c r="D318" t="s">
        <v>476</v>
      </c>
      <c r="E318" t="s">
        <v>477</v>
      </c>
      <c r="F318" t="s">
        <v>11</v>
      </c>
      <c r="G318" t="s">
        <v>52</v>
      </c>
      <c r="H318" t="s">
        <v>171</v>
      </c>
      <c r="I318" t="s">
        <v>31</v>
      </c>
      <c r="J318">
        <v>10816</v>
      </c>
      <c r="K318">
        <v>93</v>
      </c>
      <c r="L318" s="4">
        <v>3.8199999999999998E-2</v>
      </c>
      <c r="M318">
        <v>0.09</v>
      </c>
      <c r="N318" s="4">
        <v>0.41317120000000002</v>
      </c>
      <c r="O318" s="4">
        <v>0.97343999999999997</v>
      </c>
    </row>
    <row r="319" spans="2:15">
      <c r="B319" t="s">
        <v>69</v>
      </c>
      <c r="C319" t="s">
        <v>50</v>
      </c>
      <c r="D319" t="s">
        <v>478</v>
      </c>
      <c r="E319" t="s">
        <v>479</v>
      </c>
      <c r="F319" t="s">
        <v>11</v>
      </c>
      <c r="G319" t="s">
        <v>52</v>
      </c>
      <c r="H319" t="s">
        <v>171</v>
      </c>
      <c r="I319" t="s">
        <v>31</v>
      </c>
      <c r="J319">
        <v>73460</v>
      </c>
      <c r="K319">
        <v>281</v>
      </c>
      <c r="L319" s="4">
        <v>3.8199999999999998E-2</v>
      </c>
      <c r="M319">
        <v>0.09</v>
      </c>
      <c r="N319" s="4">
        <v>2.8061720000000001</v>
      </c>
      <c r="O319" s="4">
        <v>6.6113999999999997</v>
      </c>
    </row>
    <row r="320" spans="2:15">
      <c r="B320" t="s">
        <v>69</v>
      </c>
      <c r="C320" t="s">
        <v>50</v>
      </c>
      <c r="D320" t="s">
        <v>478</v>
      </c>
      <c r="E320" t="s">
        <v>479</v>
      </c>
      <c r="F320" t="s">
        <v>11</v>
      </c>
      <c r="G320" t="s">
        <v>52</v>
      </c>
      <c r="H320" t="s">
        <v>171</v>
      </c>
      <c r="I320" t="s">
        <v>31</v>
      </c>
      <c r="J320">
        <v>7498</v>
      </c>
      <c r="K320">
        <v>47</v>
      </c>
      <c r="L320" s="4">
        <v>3.8199999999999998E-2</v>
      </c>
      <c r="M320">
        <v>0.09</v>
      </c>
      <c r="N320" s="4">
        <v>0.28642359999999994</v>
      </c>
      <c r="O320" s="4">
        <v>0.67481999999999998</v>
      </c>
    </row>
    <row r="321" spans="2:15">
      <c r="B321" t="s">
        <v>69</v>
      </c>
      <c r="C321" t="s">
        <v>50</v>
      </c>
      <c r="D321" t="s">
        <v>480</v>
      </c>
      <c r="E321" t="s">
        <v>481</v>
      </c>
      <c r="F321" t="s">
        <v>11</v>
      </c>
      <c r="G321" t="s">
        <v>52</v>
      </c>
      <c r="H321" t="s">
        <v>171</v>
      </c>
      <c r="I321" t="s">
        <v>31</v>
      </c>
      <c r="J321">
        <v>72884</v>
      </c>
      <c r="K321">
        <v>303</v>
      </c>
      <c r="L321" s="4">
        <v>3.8199999999999998E-2</v>
      </c>
      <c r="M321">
        <v>0.09</v>
      </c>
      <c r="N321" s="4">
        <v>2.7841687999999998</v>
      </c>
      <c r="O321" s="4">
        <v>6.5595599999999994</v>
      </c>
    </row>
    <row r="322" spans="2:15">
      <c r="B322" t="s">
        <v>69</v>
      </c>
      <c r="C322" t="s">
        <v>50</v>
      </c>
      <c r="D322" t="s">
        <v>480</v>
      </c>
      <c r="E322" t="s">
        <v>481</v>
      </c>
      <c r="F322" t="s">
        <v>11</v>
      </c>
      <c r="G322" t="s">
        <v>52</v>
      </c>
      <c r="H322" t="s">
        <v>171</v>
      </c>
      <c r="I322" t="s">
        <v>31</v>
      </c>
      <c r="J322">
        <v>9420</v>
      </c>
      <c r="K322">
        <v>60</v>
      </c>
      <c r="L322" s="4">
        <v>3.8199999999999998E-2</v>
      </c>
      <c r="M322">
        <v>0.09</v>
      </c>
      <c r="N322" s="4">
        <v>0.359844</v>
      </c>
      <c r="O322" s="4">
        <v>0.8478</v>
      </c>
    </row>
    <row r="323" spans="2:15">
      <c r="B323" t="s">
        <v>69</v>
      </c>
      <c r="C323" t="s">
        <v>50</v>
      </c>
      <c r="D323" t="s">
        <v>482</v>
      </c>
      <c r="E323" t="s">
        <v>483</v>
      </c>
      <c r="F323" t="s">
        <v>11</v>
      </c>
      <c r="G323" t="s">
        <v>52</v>
      </c>
      <c r="H323" t="s">
        <v>171</v>
      </c>
      <c r="I323" t="s">
        <v>31</v>
      </c>
      <c r="J323">
        <v>8887</v>
      </c>
      <c r="K323">
        <v>20</v>
      </c>
      <c r="L323" s="4">
        <v>3.8199999999999998E-2</v>
      </c>
      <c r="M323">
        <v>0.09</v>
      </c>
      <c r="N323" s="4">
        <v>0.33948339999999994</v>
      </c>
      <c r="O323" s="4">
        <v>0.79982999999999993</v>
      </c>
    </row>
    <row r="324" spans="2:15">
      <c r="B324" t="s">
        <v>69</v>
      </c>
      <c r="C324" t="s">
        <v>50</v>
      </c>
      <c r="D324" t="s">
        <v>482</v>
      </c>
      <c r="E324" t="s">
        <v>483</v>
      </c>
      <c r="F324" t="s">
        <v>11</v>
      </c>
      <c r="G324" t="s">
        <v>52</v>
      </c>
      <c r="H324" t="s">
        <v>171</v>
      </c>
      <c r="I324" t="s">
        <v>31</v>
      </c>
      <c r="J324">
        <v>4946</v>
      </c>
      <c r="K324">
        <v>50</v>
      </c>
      <c r="L324" s="4">
        <v>3.8199999999999998E-2</v>
      </c>
      <c r="M324">
        <v>0.09</v>
      </c>
      <c r="N324" s="4">
        <v>0.1889372</v>
      </c>
      <c r="O324" s="4">
        <v>0.44513999999999998</v>
      </c>
    </row>
    <row r="325" spans="2:15">
      <c r="B325" t="s">
        <v>69</v>
      </c>
      <c r="C325" t="s">
        <v>50</v>
      </c>
      <c r="D325" t="s">
        <v>484</v>
      </c>
      <c r="E325" t="s">
        <v>485</v>
      </c>
      <c r="F325" t="s">
        <v>11</v>
      </c>
      <c r="G325" t="s">
        <v>52</v>
      </c>
      <c r="H325" t="s">
        <v>171</v>
      </c>
      <c r="I325" t="s">
        <v>31</v>
      </c>
      <c r="J325">
        <v>8984</v>
      </c>
      <c r="K325">
        <v>21</v>
      </c>
      <c r="L325" s="4">
        <v>3.8199999999999998E-2</v>
      </c>
      <c r="M325">
        <v>0.09</v>
      </c>
      <c r="N325" s="4">
        <v>0.34318879999999996</v>
      </c>
      <c r="O325" s="4">
        <v>0.80855999999999995</v>
      </c>
    </row>
    <row r="326" spans="2:15">
      <c r="B326" t="s">
        <v>69</v>
      </c>
      <c r="C326" t="s">
        <v>50</v>
      </c>
      <c r="D326" t="s">
        <v>484</v>
      </c>
      <c r="E326" t="s">
        <v>485</v>
      </c>
      <c r="F326" t="s">
        <v>11</v>
      </c>
      <c r="G326" t="s">
        <v>52</v>
      </c>
      <c r="H326" t="s">
        <v>171</v>
      </c>
      <c r="I326" t="s">
        <v>31</v>
      </c>
      <c r="J326">
        <v>5406</v>
      </c>
      <c r="K326">
        <v>66</v>
      </c>
      <c r="L326" s="4">
        <v>3.8199999999999998E-2</v>
      </c>
      <c r="M326">
        <v>0.09</v>
      </c>
      <c r="N326" s="4">
        <v>0.2065092</v>
      </c>
      <c r="O326" s="4">
        <v>0.48653999999999997</v>
      </c>
    </row>
    <row r="327" spans="2:15">
      <c r="B327" t="s">
        <v>69</v>
      </c>
      <c r="C327" t="s">
        <v>50</v>
      </c>
      <c r="D327" t="s">
        <v>486</v>
      </c>
      <c r="E327" t="s">
        <v>487</v>
      </c>
      <c r="F327" t="s">
        <v>11</v>
      </c>
      <c r="G327" t="s">
        <v>52</v>
      </c>
      <c r="H327" t="s">
        <v>171</v>
      </c>
      <c r="I327" t="s">
        <v>31</v>
      </c>
      <c r="J327">
        <v>9437</v>
      </c>
      <c r="K327">
        <v>29</v>
      </c>
      <c r="L327" s="4">
        <v>3.8199999999999998E-2</v>
      </c>
      <c r="M327">
        <v>0.09</v>
      </c>
      <c r="N327" s="4">
        <v>0.36049339999999996</v>
      </c>
      <c r="O327" s="4">
        <v>0.84932999999999992</v>
      </c>
    </row>
    <row r="328" spans="2:15">
      <c r="B328" t="s">
        <v>69</v>
      </c>
      <c r="C328" t="s">
        <v>50</v>
      </c>
      <c r="D328" t="s">
        <v>486</v>
      </c>
      <c r="E328" t="s">
        <v>487</v>
      </c>
      <c r="F328" t="s">
        <v>11</v>
      </c>
      <c r="G328" t="s">
        <v>52</v>
      </c>
      <c r="H328" t="s">
        <v>171</v>
      </c>
      <c r="I328" t="s">
        <v>31</v>
      </c>
      <c r="J328">
        <v>26529</v>
      </c>
      <c r="K328">
        <v>112</v>
      </c>
      <c r="L328" s="4">
        <v>3.8199999999999998E-2</v>
      </c>
      <c r="M328">
        <v>0.09</v>
      </c>
      <c r="N328" s="4">
        <v>1.0134078</v>
      </c>
      <c r="O328" s="4">
        <v>2.38761</v>
      </c>
    </row>
    <row r="329" spans="2:15">
      <c r="B329" t="s">
        <v>69</v>
      </c>
      <c r="C329" t="s">
        <v>50</v>
      </c>
      <c r="D329" t="s">
        <v>488</v>
      </c>
      <c r="E329" t="s">
        <v>489</v>
      </c>
      <c r="F329" t="s">
        <v>11</v>
      </c>
      <c r="G329" t="s">
        <v>52</v>
      </c>
      <c r="H329" t="s">
        <v>171</v>
      </c>
      <c r="I329" t="s">
        <v>31</v>
      </c>
      <c r="J329">
        <v>9349</v>
      </c>
      <c r="K329">
        <v>28</v>
      </c>
      <c r="L329" s="4">
        <v>3.8199999999999998E-2</v>
      </c>
      <c r="M329">
        <v>0.09</v>
      </c>
      <c r="N329" s="4">
        <v>0.3571318</v>
      </c>
      <c r="O329" s="4">
        <v>0.84140999999999999</v>
      </c>
    </row>
    <row r="330" spans="2:15">
      <c r="B330" t="s">
        <v>69</v>
      </c>
      <c r="C330" t="s">
        <v>50</v>
      </c>
      <c r="D330" t="s">
        <v>488</v>
      </c>
      <c r="E330" t="s">
        <v>489</v>
      </c>
      <c r="F330" t="s">
        <v>11</v>
      </c>
      <c r="G330" t="s">
        <v>52</v>
      </c>
      <c r="H330" t="s">
        <v>171</v>
      </c>
      <c r="I330" t="s">
        <v>31</v>
      </c>
      <c r="J330">
        <v>5847</v>
      </c>
      <c r="K330">
        <v>71</v>
      </c>
      <c r="L330" s="4">
        <v>3.8199999999999998E-2</v>
      </c>
      <c r="M330">
        <v>0.09</v>
      </c>
      <c r="N330" s="4">
        <v>0.22335539999999998</v>
      </c>
      <c r="O330" s="4">
        <v>0.52622999999999998</v>
      </c>
    </row>
    <row r="331" spans="2:15">
      <c r="B331" t="s">
        <v>69</v>
      </c>
      <c r="C331" t="s">
        <v>50</v>
      </c>
      <c r="D331" t="s">
        <v>490</v>
      </c>
      <c r="E331" t="s">
        <v>491</v>
      </c>
      <c r="F331" t="s">
        <v>11</v>
      </c>
      <c r="G331" t="s">
        <v>52</v>
      </c>
      <c r="H331" t="s">
        <v>171</v>
      </c>
      <c r="I331" t="s">
        <v>31</v>
      </c>
      <c r="J331">
        <v>5236</v>
      </c>
      <c r="K331">
        <v>11</v>
      </c>
      <c r="L331" s="4">
        <v>3.8199999999999998E-2</v>
      </c>
      <c r="M331">
        <v>0.09</v>
      </c>
      <c r="N331" s="4">
        <v>0.2000152</v>
      </c>
      <c r="O331" s="4">
        <v>0.47123999999999999</v>
      </c>
    </row>
    <row r="332" spans="2:15">
      <c r="B332" t="s">
        <v>69</v>
      </c>
      <c r="C332" t="s">
        <v>50</v>
      </c>
      <c r="D332" t="s">
        <v>490</v>
      </c>
      <c r="E332" t="s">
        <v>491</v>
      </c>
      <c r="F332" t="s">
        <v>11</v>
      </c>
      <c r="G332" t="s">
        <v>52</v>
      </c>
      <c r="H332" t="s">
        <v>171</v>
      </c>
      <c r="I332" t="s">
        <v>31</v>
      </c>
      <c r="J332">
        <v>3814</v>
      </c>
      <c r="K332">
        <v>6</v>
      </c>
      <c r="L332" s="4">
        <v>3.8199999999999998E-2</v>
      </c>
      <c r="M332">
        <v>0.09</v>
      </c>
      <c r="N332" s="4">
        <v>0.14569479999999999</v>
      </c>
      <c r="O332" s="4">
        <v>0.34326000000000001</v>
      </c>
    </row>
    <row r="333" spans="2:15">
      <c r="B333" t="s">
        <v>69</v>
      </c>
      <c r="C333" t="s">
        <v>50</v>
      </c>
      <c r="D333" t="s">
        <v>492</v>
      </c>
      <c r="E333" t="s">
        <v>493</v>
      </c>
      <c r="F333" t="s">
        <v>11</v>
      </c>
      <c r="G333" t="s">
        <v>52</v>
      </c>
      <c r="H333" t="s">
        <v>171</v>
      </c>
      <c r="I333" t="s">
        <v>31</v>
      </c>
      <c r="J333">
        <v>1532</v>
      </c>
      <c r="K333">
        <v>3</v>
      </c>
      <c r="L333" s="4">
        <v>3.8199999999999998E-2</v>
      </c>
      <c r="M333">
        <v>0.09</v>
      </c>
      <c r="N333" s="4">
        <v>5.8522399999999995E-2</v>
      </c>
      <c r="O333" s="4">
        <v>0.13788</v>
      </c>
    </row>
    <row r="334" spans="2:15">
      <c r="B334" t="s">
        <v>69</v>
      </c>
      <c r="C334" t="s">
        <v>50</v>
      </c>
      <c r="D334" t="s">
        <v>492</v>
      </c>
      <c r="E334" t="s">
        <v>493</v>
      </c>
      <c r="F334" t="s">
        <v>11</v>
      </c>
      <c r="G334" t="s">
        <v>52</v>
      </c>
      <c r="H334" t="s">
        <v>171</v>
      </c>
      <c r="I334" t="s">
        <v>31</v>
      </c>
      <c r="J334">
        <v>1398</v>
      </c>
      <c r="K334">
        <v>4</v>
      </c>
      <c r="L334" s="4">
        <v>3.8199999999999998E-2</v>
      </c>
      <c r="M334">
        <v>0.09</v>
      </c>
      <c r="N334" s="4">
        <v>5.3403599999999996E-2</v>
      </c>
      <c r="O334" s="4">
        <v>0.12581999999999999</v>
      </c>
    </row>
    <row r="335" spans="2:15">
      <c r="B335" t="s">
        <v>69</v>
      </c>
      <c r="C335" t="s">
        <v>50</v>
      </c>
      <c r="D335" t="s">
        <v>494</v>
      </c>
      <c r="E335" t="s">
        <v>495</v>
      </c>
      <c r="F335" t="s">
        <v>11</v>
      </c>
      <c r="G335" t="s">
        <v>52</v>
      </c>
      <c r="H335" t="s">
        <v>171</v>
      </c>
      <c r="I335" t="s">
        <v>31</v>
      </c>
      <c r="J335">
        <v>1745</v>
      </c>
      <c r="K335">
        <v>1</v>
      </c>
      <c r="L335" s="4">
        <v>3.8199999999999998E-2</v>
      </c>
      <c r="M335">
        <v>0.09</v>
      </c>
      <c r="N335" s="4">
        <v>6.6658999999999996E-2</v>
      </c>
      <c r="O335" s="4">
        <v>0.15705</v>
      </c>
    </row>
    <row r="336" spans="2:15">
      <c r="B336" t="s">
        <v>69</v>
      </c>
      <c r="C336" t="s">
        <v>50</v>
      </c>
      <c r="D336" t="s">
        <v>494</v>
      </c>
      <c r="E336" t="s">
        <v>495</v>
      </c>
      <c r="F336" t="s">
        <v>11</v>
      </c>
      <c r="G336" t="s">
        <v>52</v>
      </c>
      <c r="H336" t="s">
        <v>171</v>
      </c>
      <c r="I336" t="s">
        <v>31</v>
      </c>
      <c r="J336">
        <v>1684</v>
      </c>
      <c r="K336">
        <v>1</v>
      </c>
      <c r="L336" s="4">
        <v>3.8199999999999998E-2</v>
      </c>
      <c r="M336">
        <v>0.09</v>
      </c>
      <c r="N336" s="4">
        <v>6.4328800000000005E-2</v>
      </c>
      <c r="O336" s="4">
        <v>0.15156</v>
      </c>
    </row>
    <row r="337" spans="2:15">
      <c r="B337" t="s">
        <v>69</v>
      </c>
      <c r="C337" t="s">
        <v>50</v>
      </c>
      <c r="D337" t="s">
        <v>496</v>
      </c>
      <c r="E337" t="s">
        <v>497</v>
      </c>
      <c r="F337" t="s">
        <v>11</v>
      </c>
      <c r="G337" t="s">
        <v>52</v>
      </c>
      <c r="H337" t="s">
        <v>171</v>
      </c>
      <c r="I337" t="s">
        <v>31</v>
      </c>
      <c r="J337">
        <v>1717</v>
      </c>
      <c r="K337">
        <v>3</v>
      </c>
      <c r="L337" s="4">
        <v>3.8199999999999998E-2</v>
      </c>
      <c r="M337">
        <v>0.09</v>
      </c>
      <c r="N337" s="4">
        <v>6.5589399999999992E-2</v>
      </c>
      <c r="O337" s="4">
        <v>0.15453</v>
      </c>
    </row>
    <row r="338" spans="2:15">
      <c r="B338" t="s">
        <v>69</v>
      </c>
      <c r="C338" t="s">
        <v>50</v>
      </c>
      <c r="D338" t="s">
        <v>496</v>
      </c>
      <c r="E338" t="s">
        <v>497</v>
      </c>
      <c r="F338" t="s">
        <v>11</v>
      </c>
      <c r="G338" t="s">
        <v>52</v>
      </c>
      <c r="H338" t="s">
        <v>171</v>
      </c>
      <c r="I338" t="s">
        <v>31</v>
      </c>
      <c r="J338">
        <v>2231</v>
      </c>
      <c r="K338">
        <v>11</v>
      </c>
      <c r="L338" s="4">
        <v>3.8199999999999998E-2</v>
      </c>
      <c r="M338">
        <v>0.09</v>
      </c>
      <c r="N338" s="4">
        <v>8.52242E-2</v>
      </c>
      <c r="O338" s="4">
        <v>0.20079</v>
      </c>
    </row>
    <row r="339" spans="2:15">
      <c r="B339" t="s">
        <v>69</v>
      </c>
      <c r="C339" t="s">
        <v>50</v>
      </c>
      <c r="D339" t="s">
        <v>498</v>
      </c>
      <c r="E339" t="s">
        <v>499</v>
      </c>
      <c r="F339" t="s">
        <v>11</v>
      </c>
      <c r="G339" t="s">
        <v>52</v>
      </c>
      <c r="H339" t="s">
        <v>171</v>
      </c>
      <c r="I339" t="s">
        <v>31</v>
      </c>
      <c r="J339">
        <v>2047</v>
      </c>
      <c r="K339">
        <v>2</v>
      </c>
      <c r="L339" s="4">
        <v>3.8199999999999998E-2</v>
      </c>
      <c r="M339">
        <v>0.09</v>
      </c>
      <c r="N339" s="4">
        <v>7.8195399999999998E-2</v>
      </c>
      <c r="O339" s="4">
        <v>0.18422999999999998</v>
      </c>
    </row>
    <row r="340" spans="2:15">
      <c r="B340" t="s">
        <v>69</v>
      </c>
      <c r="C340" t="s">
        <v>50</v>
      </c>
      <c r="D340" t="s">
        <v>500</v>
      </c>
      <c r="E340" t="s">
        <v>501</v>
      </c>
      <c r="F340" t="s">
        <v>11</v>
      </c>
      <c r="G340" t="s">
        <v>52</v>
      </c>
      <c r="H340" t="s">
        <v>171</v>
      </c>
      <c r="I340" t="s">
        <v>31</v>
      </c>
      <c r="J340">
        <v>1056</v>
      </c>
      <c r="K340">
        <v>9</v>
      </c>
      <c r="L340" s="4">
        <v>3.8199999999999998E-2</v>
      </c>
      <c r="M340">
        <v>0.09</v>
      </c>
      <c r="N340" s="4">
        <v>4.0339199999999999E-2</v>
      </c>
      <c r="O340" s="4">
        <v>9.5039999999999986E-2</v>
      </c>
    </row>
    <row r="341" spans="2:15">
      <c r="B341" t="s">
        <v>69</v>
      </c>
      <c r="C341" t="s">
        <v>50</v>
      </c>
      <c r="D341" t="s">
        <v>500</v>
      </c>
      <c r="E341" t="s">
        <v>501</v>
      </c>
      <c r="F341" t="s">
        <v>11</v>
      </c>
      <c r="G341" t="s">
        <v>52</v>
      </c>
      <c r="H341" t="s">
        <v>171</v>
      </c>
      <c r="I341" t="s">
        <v>31</v>
      </c>
      <c r="J341">
        <v>1355</v>
      </c>
      <c r="K341">
        <v>2</v>
      </c>
      <c r="L341" s="4">
        <v>3.8199999999999998E-2</v>
      </c>
      <c r="M341">
        <v>0.09</v>
      </c>
      <c r="N341" s="4">
        <v>5.1760999999999995E-2</v>
      </c>
      <c r="O341" s="4">
        <v>0.12194999999999999</v>
      </c>
    </row>
    <row r="342" spans="2:15">
      <c r="B342" t="s">
        <v>69</v>
      </c>
      <c r="C342" t="s">
        <v>50</v>
      </c>
      <c r="D342" t="s">
        <v>502</v>
      </c>
      <c r="E342" t="s">
        <v>503</v>
      </c>
      <c r="F342" t="s">
        <v>11</v>
      </c>
      <c r="G342" t="s">
        <v>52</v>
      </c>
      <c r="H342" t="s">
        <v>171</v>
      </c>
      <c r="I342" t="s">
        <v>31</v>
      </c>
      <c r="J342">
        <v>906</v>
      </c>
      <c r="K342">
        <v>1</v>
      </c>
      <c r="L342" s="4">
        <v>3.8199999999999998E-2</v>
      </c>
      <c r="M342">
        <v>0.09</v>
      </c>
      <c r="N342" s="4">
        <v>3.46092E-2</v>
      </c>
      <c r="O342" s="4">
        <v>8.1539999999999987E-2</v>
      </c>
    </row>
    <row r="343" spans="2:15">
      <c r="B343" t="s">
        <v>69</v>
      </c>
      <c r="C343" t="s">
        <v>50</v>
      </c>
      <c r="D343" t="s">
        <v>502</v>
      </c>
      <c r="E343" t="s">
        <v>503</v>
      </c>
      <c r="F343" t="s">
        <v>11</v>
      </c>
      <c r="G343" t="s">
        <v>52</v>
      </c>
      <c r="H343" t="s">
        <v>171</v>
      </c>
      <c r="I343" t="s">
        <v>31</v>
      </c>
      <c r="J343">
        <v>1054</v>
      </c>
      <c r="K343">
        <v>0</v>
      </c>
      <c r="L343" s="4">
        <v>3.8199999999999998E-2</v>
      </c>
      <c r="M343">
        <v>0.09</v>
      </c>
      <c r="N343" s="4">
        <v>4.0262800000000001E-2</v>
      </c>
      <c r="O343" s="4">
        <v>9.486E-2</v>
      </c>
    </row>
    <row r="344" spans="2:15">
      <c r="B344" t="s">
        <v>69</v>
      </c>
      <c r="C344" t="s">
        <v>50</v>
      </c>
      <c r="D344" t="s">
        <v>504</v>
      </c>
      <c r="E344" t="s">
        <v>505</v>
      </c>
      <c r="F344" t="s">
        <v>11</v>
      </c>
      <c r="G344" t="s">
        <v>52</v>
      </c>
      <c r="H344" t="s">
        <v>171</v>
      </c>
      <c r="I344" t="s">
        <v>31</v>
      </c>
      <c r="J344">
        <v>722</v>
      </c>
      <c r="K344">
        <v>8</v>
      </c>
      <c r="L344" s="4">
        <v>3.8199999999999998E-2</v>
      </c>
      <c r="M344">
        <v>0.09</v>
      </c>
      <c r="N344" s="4">
        <v>2.7580399999999998E-2</v>
      </c>
      <c r="O344" s="4">
        <v>6.498000000000001E-2</v>
      </c>
    </row>
    <row r="345" spans="2:15">
      <c r="B345" t="s">
        <v>69</v>
      </c>
      <c r="C345" t="s">
        <v>50</v>
      </c>
      <c r="D345" t="s">
        <v>504</v>
      </c>
      <c r="E345" t="s">
        <v>505</v>
      </c>
      <c r="F345" t="s">
        <v>11</v>
      </c>
      <c r="G345" t="s">
        <v>52</v>
      </c>
      <c r="H345" t="s">
        <v>171</v>
      </c>
      <c r="I345" t="s">
        <v>31</v>
      </c>
      <c r="J345">
        <v>24</v>
      </c>
      <c r="K345">
        <v>0</v>
      </c>
      <c r="L345" s="4">
        <v>3.8199999999999998E-2</v>
      </c>
      <c r="M345">
        <v>0.09</v>
      </c>
      <c r="N345" s="4">
        <v>9.1679999999999995E-4</v>
      </c>
      <c r="O345" s="4">
        <v>2.16E-3</v>
      </c>
    </row>
    <row r="346" spans="2:15">
      <c r="B346" t="s">
        <v>69</v>
      </c>
      <c r="C346" t="s">
        <v>50</v>
      </c>
      <c r="D346" t="s">
        <v>506</v>
      </c>
      <c r="E346" t="s">
        <v>507</v>
      </c>
      <c r="F346" t="s">
        <v>11</v>
      </c>
      <c r="G346" t="s">
        <v>52</v>
      </c>
      <c r="H346" t="s">
        <v>171</v>
      </c>
      <c r="I346" t="s">
        <v>31</v>
      </c>
      <c r="J346">
        <v>1272</v>
      </c>
      <c r="K346">
        <v>4</v>
      </c>
      <c r="L346" s="4">
        <v>3.8199999999999998E-2</v>
      </c>
      <c r="M346">
        <v>0.09</v>
      </c>
      <c r="N346" s="4">
        <v>4.8590399999999992E-2</v>
      </c>
      <c r="O346" s="4">
        <v>0.11447999999999998</v>
      </c>
    </row>
    <row r="347" spans="2:15">
      <c r="B347" t="s">
        <v>69</v>
      </c>
      <c r="C347" t="s">
        <v>50</v>
      </c>
      <c r="D347" t="s">
        <v>506</v>
      </c>
      <c r="E347" t="s">
        <v>507</v>
      </c>
      <c r="F347" t="s">
        <v>11</v>
      </c>
      <c r="G347" t="s">
        <v>52</v>
      </c>
      <c r="H347" t="s">
        <v>171</v>
      </c>
      <c r="I347" t="s">
        <v>31</v>
      </c>
      <c r="J347">
        <v>1553</v>
      </c>
      <c r="K347">
        <v>0</v>
      </c>
      <c r="L347" s="4">
        <v>3.8199999999999998E-2</v>
      </c>
      <c r="M347">
        <v>0.09</v>
      </c>
      <c r="N347" s="4">
        <v>5.9324599999999998E-2</v>
      </c>
      <c r="O347" s="4">
        <v>0.13976999999999998</v>
      </c>
    </row>
    <row r="348" spans="2:15">
      <c r="B348" t="s">
        <v>69</v>
      </c>
      <c r="C348" t="s">
        <v>50</v>
      </c>
      <c r="D348" t="s">
        <v>508</v>
      </c>
      <c r="E348" t="s">
        <v>509</v>
      </c>
      <c r="F348" t="s">
        <v>11</v>
      </c>
      <c r="G348" t="s">
        <v>52</v>
      </c>
      <c r="H348" t="s">
        <v>171</v>
      </c>
      <c r="I348" t="s">
        <v>31</v>
      </c>
      <c r="J348">
        <v>3962</v>
      </c>
      <c r="K348">
        <v>6</v>
      </c>
      <c r="L348" s="4">
        <v>3.8199999999999998E-2</v>
      </c>
      <c r="M348">
        <v>0.09</v>
      </c>
      <c r="N348" s="4">
        <v>0.15134839999999999</v>
      </c>
      <c r="O348" s="4">
        <v>0.35658000000000001</v>
      </c>
    </row>
    <row r="349" spans="2:15">
      <c r="B349" t="s">
        <v>69</v>
      </c>
      <c r="C349" t="s">
        <v>50</v>
      </c>
      <c r="D349" t="s">
        <v>508</v>
      </c>
      <c r="E349" t="s">
        <v>509</v>
      </c>
      <c r="F349" t="s">
        <v>11</v>
      </c>
      <c r="G349" t="s">
        <v>52</v>
      </c>
      <c r="H349" t="s">
        <v>171</v>
      </c>
      <c r="I349" t="s">
        <v>31</v>
      </c>
      <c r="J349">
        <v>4603</v>
      </c>
      <c r="K349">
        <v>10</v>
      </c>
      <c r="L349" s="4">
        <v>3.8199999999999998E-2</v>
      </c>
      <c r="M349">
        <v>0.09</v>
      </c>
      <c r="N349" s="4">
        <v>0.17583460000000001</v>
      </c>
      <c r="O349" s="4">
        <v>0.41426999999999997</v>
      </c>
    </row>
    <row r="350" spans="2:15">
      <c r="B350" t="s">
        <v>69</v>
      </c>
      <c r="C350" t="s">
        <v>50</v>
      </c>
      <c r="D350" t="s">
        <v>510</v>
      </c>
      <c r="E350" t="s">
        <v>511</v>
      </c>
      <c r="F350" t="s">
        <v>11</v>
      </c>
      <c r="G350" t="s">
        <v>52</v>
      </c>
      <c r="H350" t="s">
        <v>171</v>
      </c>
      <c r="I350" t="s">
        <v>31</v>
      </c>
      <c r="J350">
        <v>4081</v>
      </c>
      <c r="K350">
        <v>6</v>
      </c>
      <c r="L350" s="4">
        <v>3.8199999999999998E-2</v>
      </c>
      <c r="M350">
        <v>0.09</v>
      </c>
      <c r="N350" s="4">
        <v>0.15589419999999998</v>
      </c>
      <c r="O350" s="4">
        <v>0.36728999999999995</v>
      </c>
    </row>
    <row r="351" spans="2:15">
      <c r="B351" t="s">
        <v>69</v>
      </c>
      <c r="C351" t="s">
        <v>50</v>
      </c>
      <c r="D351" t="s">
        <v>510</v>
      </c>
      <c r="E351" t="s">
        <v>511</v>
      </c>
      <c r="F351" t="s">
        <v>11</v>
      </c>
      <c r="G351" t="s">
        <v>52</v>
      </c>
      <c r="H351" t="s">
        <v>171</v>
      </c>
      <c r="I351" t="s">
        <v>31</v>
      </c>
      <c r="J351">
        <v>4454</v>
      </c>
      <c r="K351">
        <v>14</v>
      </c>
      <c r="L351" s="4">
        <v>3.8199999999999998E-2</v>
      </c>
      <c r="M351">
        <v>0.09</v>
      </c>
      <c r="N351" s="4">
        <v>0.17014279999999998</v>
      </c>
      <c r="O351" s="4">
        <v>0.40085999999999994</v>
      </c>
    </row>
    <row r="352" spans="2:15">
      <c r="B352" t="s">
        <v>69</v>
      </c>
      <c r="C352" t="s">
        <v>50</v>
      </c>
      <c r="D352" t="s">
        <v>512</v>
      </c>
      <c r="E352" t="s">
        <v>513</v>
      </c>
      <c r="F352" t="s">
        <v>11</v>
      </c>
      <c r="G352" t="s">
        <v>52</v>
      </c>
      <c r="H352" t="s">
        <v>171</v>
      </c>
      <c r="I352" t="s">
        <v>31</v>
      </c>
      <c r="J352">
        <v>2257</v>
      </c>
      <c r="K352">
        <v>3</v>
      </c>
      <c r="L352" s="4">
        <v>3.8199999999999998E-2</v>
      </c>
      <c r="M352">
        <v>0.09</v>
      </c>
      <c r="N352" s="4">
        <v>8.62174E-2</v>
      </c>
      <c r="O352" s="4">
        <v>0.20313000000000001</v>
      </c>
    </row>
    <row r="353" spans="2:15">
      <c r="B353" t="s">
        <v>69</v>
      </c>
      <c r="C353" t="s">
        <v>50</v>
      </c>
      <c r="D353" t="s">
        <v>512</v>
      </c>
      <c r="E353" t="s">
        <v>513</v>
      </c>
      <c r="F353" t="s">
        <v>11</v>
      </c>
      <c r="G353" t="s">
        <v>52</v>
      </c>
      <c r="H353" t="s">
        <v>171</v>
      </c>
      <c r="I353" t="s">
        <v>31</v>
      </c>
      <c r="J353">
        <v>2493</v>
      </c>
      <c r="K353">
        <v>0</v>
      </c>
      <c r="L353" s="4">
        <v>3.8199999999999998E-2</v>
      </c>
      <c r="M353">
        <v>0.09</v>
      </c>
      <c r="N353" s="4">
        <v>9.5232599999999987E-2</v>
      </c>
      <c r="O353" s="4">
        <v>0.22437000000000001</v>
      </c>
    </row>
    <row r="354" spans="2:15">
      <c r="B354" t="s">
        <v>69</v>
      </c>
      <c r="C354" t="s">
        <v>50</v>
      </c>
      <c r="D354" t="s">
        <v>514</v>
      </c>
      <c r="E354" t="s">
        <v>515</v>
      </c>
      <c r="F354" t="s">
        <v>11</v>
      </c>
      <c r="G354" t="s">
        <v>52</v>
      </c>
      <c r="H354" t="s">
        <v>171</v>
      </c>
      <c r="I354" t="s">
        <v>31</v>
      </c>
      <c r="J354">
        <v>2206</v>
      </c>
      <c r="K354">
        <v>3</v>
      </c>
      <c r="L354" s="4">
        <v>3.8199999999999998E-2</v>
      </c>
      <c r="M354">
        <v>0.09</v>
      </c>
      <c r="N354" s="4">
        <v>8.4269200000000002E-2</v>
      </c>
      <c r="O354" s="4">
        <v>0.19853999999999999</v>
      </c>
    </row>
    <row r="355" spans="2:15">
      <c r="B355" t="s">
        <v>69</v>
      </c>
      <c r="C355" t="s">
        <v>50</v>
      </c>
      <c r="D355" t="s">
        <v>514</v>
      </c>
      <c r="E355" t="s">
        <v>515</v>
      </c>
      <c r="F355" t="s">
        <v>11</v>
      </c>
      <c r="G355" t="s">
        <v>52</v>
      </c>
      <c r="H355" t="s">
        <v>171</v>
      </c>
      <c r="I355" t="s">
        <v>31</v>
      </c>
      <c r="J355">
        <v>2391</v>
      </c>
      <c r="K355">
        <v>2</v>
      </c>
      <c r="L355" s="4">
        <v>3.8199999999999998E-2</v>
      </c>
      <c r="M355">
        <v>0.09</v>
      </c>
      <c r="N355" s="4">
        <v>9.1336199999999992E-2</v>
      </c>
      <c r="O355" s="4">
        <v>0.21518999999999999</v>
      </c>
    </row>
    <row r="356" spans="2:15">
      <c r="B356" t="s">
        <v>69</v>
      </c>
      <c r="C356" t="s">
        <v>50</v>
      </c>
      <c r="D356" t="s">
        <v>516</v>
      </c>
      <c r="E356" t="s">
        <v>517</v>
      </c>
      <c r="F356" t="s">
        <v>11</v>
      </c>
      <c r="G356" t="s">
        <v>52</v>
      </c>
      <c r="H356" t="s">
        <v>171</v>
      </c>
      <c r="I356" t="s">
        <v>31</v>
      </c>
      <c r="J356">
        <v>5111</v>
      </c>
      <c r="K356">
        <v>7</v>
      </c>
      <c r="L356" s="4">
        <v>3.8199999999999998E-2</v>
      </c>
      <c r="M356">
        <v>0.09</v>
      </c>
      <c r="N356" s="4">
        <v>0.19524019999999997</v>
      </c>
      <c r="O356" s="4">
        <v>0.45999000000000001</v>
      </c>
    </row>
    <row r="357" spans="2:15">
      <c r="B357" t="s">
        <v>69</v>
      </c>
      <c r="C357" t="s">
        <v>50</v>
      </c>
      <c r="D357" t="s">
        <v>516</v>
      </c>
      <c r="E357" t="s">
        <v>517</v>
      </c>
      <c r="F357" t="s">
        <v>11</v>
      </c>
      <c r="G357" t="s">
        <v>52</v>
      </c>
      <c r="H357" t="s">
        <v>171</v>
      </c>
      <c r="I357" t="s">
        <v>31</v>
      </c>
      <c r="J357">
        <v>3707</v>
      </c>
      <c r="K357">
        <v>5</v>
      </c>
      <c r="L357" s="4">
        <v>3.8199999999999998E-2</v>
      </c>
      <c r="M357">
        <v>0.09</v>
      </c>
      <c r="N357" s="4">
        <v>0.14160739999999999</v>
      </c>
      <c r="O357" s="4">
        <v>0.33362999999999998</v>
      </c>
    </row>
    <row r="358" spans="2:15">
      <c r="B358" t="s">
        <v>69</v>
      </c>
      <c r="C358" t="s">
        <v>50</v>
      </c>
      <c r="D358" t="s">
        <v>518</v>
      </c>
      <c r="E358" t="s">
        <v>519</v>
      </c>
      <c r="F358" t="s">
        <v>11</v>
      </c>
      <c r="G358" t="s">
        <v>52</v>
      </c>
      <c r="H358" t="s">
        <v>171</v>
      </c>
      <c r="I358" t="s">
        <v>31</v>
      </c>
      <c r="J358">
        <v>5050</v>
      </c>
      <c r="K358">
        <v>8</v>
      </c>
      <c r="L358" s="4">
        <v>3.8199999999999998E-2</v>
      </c>
      <c r="M358">
        <v>0.09</v>
      </c>
      <c r="N358" s="4">
        <v>0.19291</v>
      </c>
      <c r="O358" s="4">
        <v>0.45450000000000002</v>
      </c>
    </row>
    <row r="359" spans="2:15">
      <c r="B359" t="s">
        <v>69</v>
      </c>
      <c r="C359" t="s">
        <v>50</v>
      </c>
      <c r="D359" t="s">
        <v>518</v>
      </c>
      <c r="E359" t="s">
        <v>519</v>
      </c>
      <c r="F359" t="s">
        <v>11</v>
      </c>
      <c r="G359" t="s">
        <v>52</v>
      </c>
      <c r="H359" t="s">
        <v>171</v>
      </c>
      <c r="I359" t="s">
        <v>31</v>
      </c>
      <c r="J359">
        <v>3768</v>
      </c>
      <c r="K359">
        <v>4</v>
      </c>
      <c r="L359" s="4">
        <v>3.8199999999999998E-2</v>
      </c>
      <c r="M359">
        <v>0.09</v>
      </c>
      <c r="N359" s="4">
        <v>0.1439376</v>
      </c>
      <c r="O359" s="4">
        <v>0.33911999999999998</v>
      </c>
    </row>
    <row r="360" spans="2:15">
      <c r="B360" t="s">
        <v>69</v>
      </c>
      <c r="C360" t="s">
        <v>50</v>
      </c>
      <c r="D360" t="s">
        <v>520</v>
      </c>
      <c r="E360" t="s">
        <v>521</v>
      </c>
      <c r="F360" t="s">
        <v>11</v>
      </c>
      <c r="G360" t="s">
        <v>52</v>
      </c>
      <c r="H360" t="s">
        <v>171</v>
      </c>
      <c r="I360" t="s">
        <v>31</v>
      </c>
      <c r="J360">
        <v>5308</v>
      </c>
      <c r="K360">
        <v>7</v>
      </c>
      <c r="L360" s="4">
        <v>3.8199999999999998E-2</v>
      </c>
      <c r="M360">
        <v>0.09</v>
      </c>
      <c r="N360" s="4">
        <v>0.20276559999999999</v>
      </c>
      <c r="O360" s="4">
        <v>0.47771999999999998</v>
      </c>
    </row>
    <row r="361" spans="2:15">
      <c r="B361" t="s">
        <v>69</v>
      </c>
      <c r="C361" t="s">
        <v>50</v>
      </c>
      <c r="D361" t="s">
        <v>520</v>
      </c>
      <c r="E361" t="s">
        <v>521</v>
      </c>
      <c r="F361" t="s">
        <v>11</v>
      </c>
      <c r="G361" t="s">
        <v>52</v>
      </c>
      <c r="H361" t="s">
        <v>171</v>
      </c>
      <c r="I361" t="s">
        <v>31</v>
      </c>
      <c r="J361">
        <v>3963</v>
      </c>
      <c r="K361">
        <v>10</v>
      </c>
      <c r="L361" s="4">
        <v>3.8199999999999998E-2</v>
      </c>
      <c r="M361">
        <v>0.09</v>
      </c>
      <c r="N361" s="4">
        <v>0.15138659999999998</v>
      </c>
      <c r="O361" s="4">
        <v>0.35666999999999993</v>
      </c>
    </row>
    <row r="362" spans="2:15">
      <c r="B362" t="s">
        <v>69</v>
      </c>
      <c r="C362" t="s">
        <v>50</v>
      </c>
      <c r="D362" t="s">
        <v>522</v>
      </c>
      <c r="E362" t="s">
        <v>523</v>
      </c>
      <c r="F362" t="s">
        <v>11</v>
      </c>
      <c r="G362" t="s">
        <v>52</v>
      </c>
      <c r="H362" t="s">
        <v>171</v>
      </c>
      <c r="I362" t="s">
        <v>31</v>
      </c>
      <c r="J362">
        <v>3891</v>
      </c>
      <c r="K362">
        <v>11</v>
      </c>
      <c r="L362" s="4">
        <v>3.8199999999999998E-2</v>
      </c>
      <c r="M362">
        <v>0.09</v>
      </c>
      <c r="N362" s="4">
        <v>0.1486362</v>
      </c>
      <c r="O362" s="4">
        <v>0.35019</v>
      </c>
    </row>
    <row r="363" spans="2:15">
      <c r="B363" t="s">
        <v>69</v>
      </c>
      <c r="C363" t="s">
        <v>50</v>
      </c>
      <c r="D363" t="s">
        <v>522</v>
      </c>
      <c r="E363" t="s">
        <v>523</v>
      </c>
      <c r="F363" t="s">
        <v>11</v>
      </c>
      <c r="G363" t="s">
        <v>52</v>
      </c>
      <c r="H363" t="s">
        <v>171</v>
      </c>
      <c r="I363" t="s">
        <v>31</v>
      </c>
      <c r="J363">
        <v>2386</v>
      </c>
      <c r="K363">
        <v>6</v>
      </c>
      <c r="L363" s="4">
        <v>3.8199999999999998E-2</v>
      </c>
      <c r="M363">
        <v>0.09</v>
      </c>
      <c r="N363" s="4">
        <v>9.1145199999999982E-2</v>
      </c>
      <c r="O363" s="4">
        <v>0.21473999999999999</v>
      </c>
    </row>
    <row r="364" spans="2:15">
      <c r="B364" t="s">
        <v>69</v>
      </c>
      <c r="C364" t="s">
        <v>50</v>
      </c>
      <c r="D364" t="s">
        <v>524</v>
      </c>
      <c r="E364" t="s">
        <v>525</v>
      </c>
      <c r="F364" t="s">
        <v>11</v>
      </c>
      <c r="G364" t="s">
        <v>52</v>
      </c>
      <c r="H364" t="s">
        <v>171</v>
      </c>
      <c r="I364" t="s">
        <v>31</v>
      </c>
      <c r="J364">
        <v>3733</v>
      </c>
      <c r="K364">
        <v>10</v>
      </c>
      <c r="L364" s="4">
        <v>3.8199999999999998E-2</v>
      </c>
      <c r="M364">
        <v>0.09</v>
      </c>
      <c r="N364" s="4">
        <v>0.14260059999999999</v>
      </c>
      <c r="O364" s="4">
        <v>0.33596999999999999</v>
      </c>
    </row>
    <row r="365" spans="2:15">
      <c r="B365" t="s">
        <v>69</v>
      </c>
      <c r="C365" t="s">
        <v>50</v>
      </c>
      <c r="D365" t="s">
        <v>524</v>
      </c>
      <c r="E365" t="s">
        <v>525</v>
      </c>
      <c r="F365" t="s">
        <v>11</v>
      </c>
      <c r="G365" t="s">
        <v>52</v>
      </c>
      <c r="H365" t="s">
        <v>171</v>
      </c>
      <c r="I365" t="s">
        <v>31</v>
      </c>
      <c r="J365">
        <v>2458</v>
      </c>
      <c r="K365">
        <v>4</v>
      </c>
      <c r="L365" s="4">
        <v>3.8199999999999998E-2</v>
      </c>
      <c r="M365">
        <v>0.09</v>
      </c>
      <c r="N365" s="4">
        <v>9.3895599999999996E-2</v>
      </c>
      <c r="O365" s="4">
        <v>0.22122</v>
      </c>
    </row>
    <row r="366" spans="2:15">
      <c r="B366" t="s">
        <v>69</v>
      </c>
      <c r="C366" t="s">
        <v>50</v>
      </c>
      <c r="D366" t="s">
        <v>526</v>
      </c>
      <c r="E366" t="s">
        <v>527</v>
      </c>
      <c r="F366" t="s">
        <v>11</v>
      </c>
      <c r="G366" t="s">
        <v>52</v>
      </c>
      <c r="H366" t="s">
        <v>171</v>
      </c>
      <c r="I366" t="s">
        <v>31</v>
      </c>
      <c r="J366">
        <v>3778</v>
      </c>
      <c r="K366">
        <v>8</v>
      </c>
      <c r="L366" s="4">
        <v>3.8199999999999998E-2</v>
      </c>
      <c r="M366">
        <v>0.09</v>
      </c>
      <c r="N366" s="4">
        <v>0.14431959999999999</v>
      </c>
      <c r="O366" s="4">
        <v>0.34001999999999999</v>
      </c>
    </row>
    <row r="367" spans="2:15">
      <c r="B367" t="s">
        <v>69</v>
      </c>
      <c r="C367" t="s">
        <v>50</v>
      </c>
      <c r="D367" t="s">
        <v>526</v>
      </c>
      <c r="E367" t="s">
        <v>527</v>
      </c>
      <c r="F367" t="s">
        <v>11</v>
      </c>
      <c r="G367" t="s">
        <v>52</v>
      </c>
      <c r="H367" t="s">
        <v>171</v>
      </c>
      <c r="I367" t="s">
        <v>31</v>
      </c>
      <c r="J367">
        <v>2319</v>
      </c>
      <c r="K367">
        <v>5</v>
      </c>
      <c r="L367" s="4">
        <v>3.8199999999999998E-2</v>
      </c>
      <c r="M367">
        <v>0.09</v>
      </c>
      <c r="N367" s="4">
        <v>8.8585799999999992E-2</v>
      </c>
      <c r="O367" s="4">
        <v>0.20870999999999998</v>
      </c>
    </row>
    <row r="368" spans="2:15">
      <c r="B368" t="s">
        <v>69</v>
      </c>
      <c r="C368" t="s">
        <v>50</v>
      </c>
      <c r="D368" t="s">
        <v>528</v>
      </c>
      <c r="E368" t="s">
        <v>529</v>
      </c>
      <c r="F368" t="s">
        <v>11</v>
      </c>
      <c r="G368" t="s">
        <v>52</v>
      </c>
      <c r="H368" t="s">
        <v>171</v>
      </c>
      <c r="I368" t="s">
        <v>31</v>
      </c>
      <c r="J368">
        <v>3071</v>
      </c>
      <c r="K368">
        <v>4</v>
      </c>
      <c r="L368" s="4">
        <v>3.8199999999999998E-2</v>
      </c>
      <c r="M368">
        <v>0.09</v>
      </c>
      <c r="N368" s="4">
        <v>0.11731219999999999</v>
      </c>
      <c r="O368" s="4">
        <v>0.27638999999999997</v>
      </c>
    </row>
    <row r="369" spans="2:15">
      <c r="B369" t="s">
        <v>69</v>
      </c>
      <c r="C369" t="s">
        <v>50</v>
      </c>
      <c r="D369" t="s">
        <v>528</v>
      </c>
      <c r="E369" t="s">
        <v>529</v>
      </c>
      <c r="F369" t="s">
        <v>11</v>
      </c>
      <c r="G369" t="s">
        <v>52</v>
      </c>
      <c r="H369" t="s">
        <v>171</v>
      </c>
      <c r="I369" t="s">
        <v>31</v>
      </c>
      <c r="J369">
        <v>3207</v>
      </c>
      <c r="K369">
        <v>9</v>
      </c>
      <c r="L369" s="4">
        <v>3.8199999999999998E-2</v>
      </c>
      <c r="M369">
        <v>0.09</v>
      </c>
      <c r="N369" s="4">
        <v>0.12250739999999999</v>
      </c>
      <c r="O369" s="4">
        <v>0.28863</v>
      </c>
    </row>
    <row r="370" spans="2:15">
      <c r="B370" t="s">
        <v>69</v>
      </c>
      <c r="C370" t="s">
        <v>50</v>
      </c>
      <c r="D370" t="s">
        <v>530</v>
      </c>
      <c r="E370" t="s">
        <v>531</v>
      </c>
      <c r="F370" t="s">
        <v>11</v>
      </c>
      <c r="G370" t="s">
        <v>52</v>
      </c>
      <c r="H370" t="s">
        <v>171</v>
      </c>
      <c r="I370" t="s">
        <v>31</v>
      </c>
      <c r="J370">
        <v>1342</v>
      </c>
      <c r="K370">
        <v>1</v>
      </c>
      <c r="L370" s="4">
        <v>3.8199999999999998E-2</v>
      </c>
      <c r="M370">
        <v>0.09</v>
      </c>
      <c r="N370" s="4">
        <v>5.1264399999999995E-2</v>
      </c>
      <c r="O370" s="4">
        <v>0.12078</v>
      </c>
    </row>
    <row r="371" spans="2:15">
      <c r="B371" t="s">
        <v>69</v>
      </c>
      <c r="C371" t="s">
        <v>50</v>
      </c>
      <c r="D371" t="s">
        <v>530</v>
      </c>
      <c r="E371" t="s">
        <v>531</v>
      </c>
      <c r="F371" t="s">
        <v>11</v>
      </c>
      <c r="G371" t="s">
        <v>52</v>
      </c>
      <c r="H371" t="s">
        <v>171</v>
      </c>
      <c r="I371" t="s">
        <v>31</v>
      </c>
      <c r="J371">
        <v>1562</v>
      </c>
      <c r="K371">
        <v>4</v>
      </c>
      <c r="L371" s="4">
        <v>3.8199999999999998E-2</v>
      </c>
      <c r="M371">
        <v>0.09</v>
      </c>
      <c r="N371" s="4">
        <v>5.9668399999999996E-2</v>
      </c>
      <c r="O371" s="4">
        <v>0.14057999999999998</v>
      </c>
    </row>
    <row r="372" spans="2:15">
      <c r="B372" t="s">
        <v>69</v>
      </c>
      <c r="C372" t="s">
        <v>50</v>
      </c>
      <c r="D372" t="s">
        <v>532</v>
      </c>
      <c r="E372" t="s">
        <v>533</v>
      </c>
      <c r="F372" t="s">
        <v>11</v>
      </c>
      <c r="G372" t="s">
        <v>52</v>
      </c>
      <c r="H372" t="s">
        <v>171</v>
      </c>
      <c r="I372" t="s">
        <v>31</v>
      </c>
      <c r="J372">
        <v>1271</v>
      </c>
      <c r="K372">
        <v>1</v>
      </c>
      <c r="L372" s="4">
        <v>3.8199999999999998E-2</v>
      </c>
      <c r="M372">
        <v>0.09</v>
      </c>
      <c r="N372" s="4">
        <v>4.8552199999999997E-2</v>
      </c>
      <c r="O372" s="4">
        <v>0.11439000000000001</v>
      </c>
    </row>
    <row r="373" spans="2:15">
      <c r="B373" t="s">
        <v>69</v>
      </c>
      <c r="C373" t="s">
        <v>50</v>
      </c>
      <c r="D373" t="s">
        <v>532</v>
      </c>
      <c r="E373" t="s">
        <v>533</v>
      </c>
      <c r="F373" t="s">
        <v>11</v>
      </c>
      <c r="G373" t="s">
        <v>52</v>
      </c>
      <c r="H373" t="s">
        <v>171</v>
      </c>
      <c r="I373" t="s">
        <v>31</v>
      </c>
      <c r="J373">
        <v>1350</v>
      </c>
      <c r="K373">
        <v>6</v>
      </c>
      <c r="L373" s="4">
        <v>3.8199999999999998E-2</v>
      </c>
      <c r="M373">
        <v>0.09</v>
      </c>
      <c r="N373" s="4">
        <v>5.1569999999999998E-2</v>
      </c>
      <c r="O373" s="4">
        <v>0.1215</v>
      </c>
    </row>
    <row r="374" spans="2:15">
      <c r="B374" t="s">
        <v>69</v>
      </c>
      <c r="C374" t="s">
        <v>50</v>
      </c>
      <c r="D374" t="s">
        <v>534</v>
      </c>
      <c r="E374" t="s">
        <v>535</v>
      </c>
      <c r="F374" t="s">
        <v>11</v>
      </c>
      <c r="G374" t="s">
        <v>52</v>
      </c>
      <c r="H374" t="s">
        <v>171</v>
      </c>
      <c r="I374" t="s">
        <v>31</v>
      </c>
      <c r="J374">
        <v>1563</v>
      </c>
      <c r="K374">
        <v>2</v>
      </c>
      <c r="L374" s="4">
        <v>3.8199999999999998E-2</v>
      </c>
      <c r="M374">
        <v>0.09</v>
      </c>
      <c r="N374" s="4">
        <v>5.9706599999999992E-2</v>
      </c>
      <c r="O374" s="4">
        <v>0.14066999999999999</v>
      </c>
    </row>
    <row r="375" spans="2:15">
      <c r="B375" t="s">
        <v>69</v>
      </c>
      <c r="C375" t="s">
        <v>50</v>
      </c>
      <c r="D375" t="s">
        <v>534</v>
      </c>
      <c r="E375" t="s">
        <v>535</v>
      </c>
      <c r="F375" t="s">
        <v>11</v>
      </c>
      <c r="G375" t="s">
        <v>52</v>
      </c>
      <c r="H375" t="s">
        <v>171</v>
      </c>
      <c r="I375" t="s">
        <v>31</v>
      </c>
      <c r="J375">
        <v>1666</v>
      </c>
      <c r="K375">
        <v>1</v>
      </c>
      <c r="L375" s="4">
        <v>3.8199999999999998E-2</v>
      </c>
      <c r="M375">
        <v>0.09</v>
      </c>
      <c r="N375" s="4">
        <v>6.3641199999999995E-2</v>
      </c>
      <c r="O375" s="4">
        <v>0.14993999999999999</v>
      </c>
    </row>
    <row r="376" spans="2:15">
      <c r="B376" t="s">
        <v>69</v>
      </c>
      <c r="C376" t="s">
        <v>50</v>
      </c>
      <c r="D376" t="s">
        <v>536</v>
      </c>
      <c r="E376" t="s">
        <v>537</v>
      </c>
      <c r="F376" t="s">
        <v>11</v>
      </c>
      <c r="G376" t="s">
        <v>52</v>
      </c>
      <c r="H376" t="s">
        <v>171</v>
      </c>
      <c r="I376" t="s">
        <v>31</v>
      </c>
      <c r="J376">
        <v>980</v>
      </c>
      <c r="K376">
        <v>3</v>
      </c>
      <c r="L376" s="4">
        <v>3.8199999999999998E-2</v>
      </c>
      <c r="M376">
        <v>0.09</v>
      </c>
      <c r="N376" s="4">
        <v>3.7435999999999997E-2</v>
      </c>
      <c r="O376" s="4">
        <v>8.8200000000000001E-2</v>
      </c>
    </row>
    <row r="377" spans="2:15">
      <c r="B377" t="s">
        <v>69</v>
      </c>
      <c r="C377" t="s">
        <v>50</v>
      </c>
      <c r="D377" t="s">
        <v>536</v>
      </c>
      <c r="E377" t="s">
        <v>537</v>
      </c>
      <c r="F377" t="s">
        <v>11</v>
      </c>
      <c r="G377" t="s">
        <v>52</v>
      </c>
      <c r="H377" t="s">
        <v>171</v>
      </c>
      <c r="I377" t="s">
        <v>31</v>
      </c>
      <c r="J377">
        <v>1008</v>
      </c>
      <c r="K377">
        <v>2</v>
      </c>
      <c r="L377" s="4">
        <v>3.8199999999999998E-2</v>
      </c>
      <c r="M377">
        <v>0.09</v>
      </c>
      <c r="N377" s="4">
        <v>3.8505600000000001E-2</v>
      </c>
      <c r="O377" s="4">
        <v>9.0719999999999995E-2</v>
      </c>
    </row>
    <row r="378" spans="2:15">
      <c r="B378" t="s">
        <v>69</v>
      </c>
      <c r="C378" t="s">
        <v>50</v>
      </c>
      <c r="D378" t="s">
        <v>538</v>
      </c>
      <c r="E378" t="s">
        <v>539</v>
      </c>
      <c r="F378" t="s">
        <v>11</v>
      </c>
      <c r="G378" t="s">
        <v>52</v>
      </c>
      <c r="H378" t="s">
        <v>171</v>
      </c>
      <c r="I378" t="s">
        <v>31</v>
      </c>
      <c r="J378">
        <v>3291</v>
      </c>
      <c r="K378">
        <v>10</v>
      </c>
      <c r="L378" s="4">
        <v>3.8199999999999998E-2</v>
      </c>
      <c r="M378">
        <v>0.09</v>
      </c>
      <c r="N378" s="4">
        <v>0.1257162</v>
      </c>
      <c r="O378" s="4">
        <v>0.29619000000000001</v>
      </c>
    </row>
    <row r="379" spans="2:15">
      <c r="B379" t="s">
        <v>69</v>
      </c>
      <c r="C379" t="s">
        <v>50</v>
      </c>
      <c r="D379" t="s">
        <v>538</v>
      </c>
      <c r="E379" t="s">
        <v>539</v>
      </c>
      <c r="F379" t="s">
        <v>11</v>
      </c>
      <c r="G379" t="s">
        <v>52</v>
      </c>
      <c r="H379" t="s">
        <v>171</v>
      </c>
      <c r="I379" t="s">
        <v>31</v>
      </c>
      <c r="J379">
        <v>3597</v>
      </c>
      <c r="K379">
        <v>8</v>
      </c>
      <c r="L379" s="4">
        <v>3.8199999999999998E-2</v>
      </c>
      <c r="M379">
        <v>0.09</v>
      </c>
      <c r="N379" s="4">
        <v>0.13740539999999998</v>
      </c>
      <c r="O379" s="4">
        <v>0.32372999999999996</v>
      </c>
    </row>
    <row r="380" spans="2:15">
      <c r="B380" t="s">
        <v>69</v>
      </c>
      <c r="C380" t="s">
        <v>50</v>
      </c>
      <c r="D380" t="s">
        <v>540</v>
      </c>
      <c r="E380" t="s">
        <v>541</v>
      </c>
      <c r="F380" t="s">
        <v>11</v>
      </c>
      <c r="G380" t="s">
        <v>52</v>
      </c>
      <c r="H380" t="s">
        <v>171</v>
      </c>
      <c r="I380" t="s">
        <v>31</v>
      </c>
      <c r="J380">
        <v>3507</v>
      </c>
      <c r="K380">
        <v>7</v>
      </c>
      <c r="L380" s="4">
        <v>3.8199999999999998E-2</v>
      </c>
      <c r="M380">
        <v>0.09</v>
      </c>
      <c r="N380" s="4">
        <v>0.13396739999999999</v>
      </c>
      <c r="O380" s="4">
        <v>0.31563000000000002</v>
      </c>
    </row>
    <row r="381" spans="2:15">
      <c r="B381" t="s">
        <v>69</v>
      </c>
      <c r="C381" t="s">
        <v>50</v>
      </c>
      <c r="D381" t="s">
        <v>540</v>
      </c>
      <c r="E381" t="s">
        <v>541</v>
      </c>
      <c r="F381" t="s">
        <v>11</v>
      </c>
      <c r="G381" t="s">
        <v>52</v>
      </c>
      <c r="H381" t="s">
        <v>171</v>
      </c>
      <c r="I381" t="s">
        <v>31</v>
      </c>
      <c r="J381">
        <v>4267</v>
      </c>
      <c r="K381">
        <v>12</v>
      </c>
      <c r="L381" s="4">
        <v>3.8199999999999998E-2</v>
      </c>
      <c r="M381">
        <v>0.09</v>
      </c>
      <c r="N381" s="4">
        <v>0.16299939999999999</v>
      </c>
      <c r="O381" s="4">
        <v>0.38402999999999998</v>
      </c>
    </row>
    <row r="382" spans="2:15">
      <c r="B382" t="s">
        <v>69</v>
      </c>
      <c r="C382" t="s">
        <v>50</v>
      </c>
      <c r="D382" t="s">
        <v>542</v>
      </c>
      <c r="E382" t="s">
        <v>543</v>
      </c>
      <c r="F382" t="s">
        <v>11</v>
      </c>
      <c r="G382" t="s">
        <v>52</v>
      </c>
      <c r="H382" t="s">
        <v>171</v>
      </c>
      <c r="I382" t="s">
        <v>31</v>
      </c>
      <c r="J382">
        <v>3382</v>
      </c>
      <c r="K382">
        <v>5</v>
      </c>
      <c r="L382" s="4">
        <v>3.8199999999999998E-2</v>
      </c>
      <c r="M382">
        <v>0.09</v>
      </c>
      <c r="N382" s="4">
        <v>0.12919239999999999</v>
      </c>
      <c r="O382" s="4">
        <v>0.30437999999999998</v>
      </c>
    </row>
    <row r="383" spans="2:15">
      <c r="B383" t="s">
        <v>69</v>
      </c>
      <c r="C383" t="s">
        <v>50</v>
      </c>
      <c r="D383" t="s">
        <v>542</v>
      </c>
      <c r="E383" t="s">
        <v>543</v>
      </c>
      <c r="F383" t="s">
        <v>11</v>
      </c>
      <c r="G383" t="s">
        <v>52</v>
      </c>
      <c r="H383" t="s">
        <v>171</v>
      </c>
      <c r="I383" t="s">
        <v>31</v>
      </c>
      <c r="J383">
        <v>3816</v>
      </c>
      <c r="K383">
        <v>9</v>
      </c>
      <c r="L383" s="4">
        <v>3.8199999999999998E-2</v>
      </c>
      <c r="M383">
        <v>0.09</v>
      </c>
      <c r="N383" s="4">
        <v>0.14577119999999999</v>
      </c>
      <c r="O383" s="4">
        <v>0.34344000000000002</v>
      </c>
    </row>
    <row r="384" spans="2:15">
      <c r="B384" t="s">
        <v>69</v>
      </c>
      <c r="C384" t="s">
        <v>50</v>
      </c>
      <c r="D384" t="s">
        <v>544</v>
      </c>
      <c r="E384" t="s">
        <v>545</v>
      </c>
      <c r="F384" t="s">
        <v>11</v>
      </c>
      <c r="G384" t="s">
        <v>52</v>
      </c>
      <c r="H384" t="s">
        <v>171</v>
      </c>
      <c r="I384" t="s">
        <v>31</v>
      </c>
      <c r="J384">
        <v>3425</v>
      </c>
      <c r="K384">
        <v>10</v>
      </c>
      <c r="L384" s="4">
        <v>3.8199999999999998E-2</v>
      </c>
      <c r="M384">
        <v>0.09</v>
      </c>
      <c r="N384" s="4">
        <v>0.13083499999999998</v>
      </c>
      <c r="O384" s="4">
        <v>0.30825000000000002</v>
      </c>
    </row>
    <row r="385" spans="2:15">
      <c r="B385" t="s">
        <v>69</v>
      </c>
      <c r="C385" t="s">
        <v>50</v>
      </c>
      <c r="D385" t="s">
        <v>544</v>
      </c>
      <c r="E385" t="s">
        <v>545</v>
      </c>
      <c r="F385" t="s">
        <v>11</v>
      </c>
      <c r="G385" t="s">
        <v>52</v>
      </c>
      <c r="H385" t="s">
        <v>171</v>
      </c>
      <c r="I385" t="s">
        <v>31</v>
      </c>
      <c r="J385">
        <v>3813</v>
      </c>
      <c r="K385">
        <v>11</v>
      </c>
      <c r="L385" s="4">
        <v>3.8199999999999998E-2</v>
      </c>
      <c r="M385">
        <v>0.09</v>
      </c>
      <c r="N385" s="4">
        <v>0.1456566</v>
      </c>
      <c r="O385" s="4">
        <v>0.34316999999999998</v>
      </c>
    </row>
    <row r="386" spans="2:15">
      <c r="B386" t="s">
        <v>69</v>
      </c>
      <c r="C386" t="s">
        <v>50</v>
      </c>
      <c r="D386" t="s">
        <v>546</v>
      </c>
      <c r="E386" t="s">
        <v>547</v>
      </c>
      <c r="F386" t="s">
        <v>11</v>
      </c>
      <c r="G386" t="s">
        <v>52</v>
      </c>
      <c r="H386" t="s">
        <v>171</v>
      </c>
      <c r="I386" t="s">
        <v>31</v>
      </c>
      <c r="J386">
        <v>3610</v>
      </c>
      <c r="K386">
        <v>12</v>
      </c>
      <c r="L386" s="4">
        <v>3.8199999999999998E-2</v>
      </c>
      <c r="M386">
        <v>0.09</v>
      </c>
      <c r="N386" s="4">
        <v>0.137902</v>
      </c>
      <c r="O386" s="4">
        <v>0.32489999999999997</v>
      </c>
    </row>
    <row r="387" spans="2:15">
      <c r="B387" t="s">
        <v>69</v>
      </c>
      <c r="C387" t="s">
        <v>50</v>
      </c>
      <c r="D387" t="s">
        <v>546</v>
      </c>
      <c r="E387" t="s">
        <v>547</v>
      </c>
      <c r="F387" t="s">
        <v>11</v>
      </c>
      <c r="G387" t="s">
        <v>52</v>
      </c>
      <c r="H387" t="s">
        <v>171</v>
      </c>
      <c r="I387" t="s">
        <v>31</v>
      </c>
      <c r="J387">
        <v>6063</v>
      </c>
      <c r="K387">
        <v>26</v>
      </c>
      <c r="L387" s="4">
        <v>3.8199999999999998E-2</v>
      </c>
      <c r="M387">
        <v>0.09</v>
      </c>
      <c r="N387" s="4">
        <v>0.2316066</v>
      </c>
      <c r="O387" s="4">
        <v>0.54566999999999999</v>
      </c>
    </row>
    <row r="388" spans="2:15">
      <c r="B388" t="s">
        <v>69</v>
      </c>
      <c r="C388" t="s">
        <v>50</v>
      </c>
      <c r="D388" t="s">
        <v>548</v>
      </c>
      <c r="E388" t="s">
        <v>549</v>
      </c>
      <c r="F388" t="s">
        <v>11</v>
      </c>
      <c r="G388" t="s">
        <v>52</v>
      </c>
      <c r="H388" t="s">
        <v>171</v>
      </c>
      <c r="I388" t="s">
        <v>31</v>
      </c>
      <c r="J388">
        <v>3637</v>
      </c>
      <c r="K388">
        <v>12</v>
      </c>
      <c r="L388" s="4">
        <v>3.8199999999999998E-2</v>
      </c>
      <c r="M388">
        <v>0.09</v>
      </c>
      <c r="N388" s="4">
        <v>0.13893340000000001</v>
      </c>
      <c r="O388" s="4">
        <v>0.32733000000000001</v>
      </c>
    </row>
    <row r="389" spans="2:15">
      <c r="B389" t="s">
        <v>69</v>
      </c>
      <c r="C389" t="s">
        <v>50</v>
      </c>
      <c r="D389" t="s">
        <v>548</v>
      </c>
      <c r="E389" t="s">
        <v>549</v>
      </c>
      <c r="F389" t="s">
        <v>11</v>
      </c>
      <c r="G389" t="s">
        <v>52</v>
      </c>
      <c r="H389" t="s">
        <v>171</v>
      </c>
      <c r="I389" t="s">
        <v>31</v>
      </c>
      <c r="J389">
        <v>4548</v>
      </c>
      <c r="K389">
        <v>13</v>
      </c>
      <c r="L389" s="4">
        <v>3.8199999999999998E-2</v>
      </c>
      <c r="M389">
        <v>0.09</v>
      </c>
      <c r="N389" s="4">
        <v>0.17373359999999999</v>
      </c>
      <c r="O389" s="4">
        <v>0.40932000000000002</v>
      </c>
    </row>
    <row r="390" spans="2:15">
      <c r="B390" t="s">
        <v>69</v>
      </c>
      <c r="C390" t="s">
        <v>50</v>
      </c>
      <c r="D390" t="s">
        <v>550</v>
      </c>
      <c r="E390" t="s">
        <v>551</v>
      </c>
      <c r="F390" t="s">
        <v>11</v>
      </c>
      <c r="G390" t="s">
        <v>52</v>
      </c>
      <c r="H390" t="s">
        <v>171</v>
      </c>
      <c r="I390" t="s">
        <v>31</v>
      </c>
      <c r="J390">
        <v>3844</v>
      </c>
      <c r="K390">
        <v>8</v>
      </c>
      <c r="L390" s="4">
        <v>3.8199999999999998E-2</v>
      </c>
      <c r="M390">
        <v>0.09</v>
      </c>
      <c r="N390" s="4">
        <v>0.14684079999999999</v>
      </c>
      <c r="O390" s="4">
        <v>0.34595999999999999</v>
      </c>
    </row>
    <row r="391" spans="2:15">
      <c r="B391" t="s">
        <v>69</v>
      </c>
      <c r="C391" t="s">
        <v>50</v>
      </c>
      <c r="D391" t="s">
        <v>550</v>
      </c>
      <c r="E391" t="s">
        <v>551</v>
      </c>
      <c r="F391" t="s">
        <v>11</v>
      </c>
      <c r="G391" t="s">
        <v>52</v>
      </c>
      <c r="H391" t="s">
        <v>171</v>
      </c>
      <c r="I391" t="s">
        <v>31</v>
      </c>
      <c r="J391">
        <v>3846</v>
      </c>
      <c r="K391">
        <v>6</v>
      </c>
      <c r="L391" s="4">
        <v>3.8199999999999998E-2</v>
      </c>
      <c r="M391">
        <v>0.09</v>
      </c>
      <c r="N391" s="4">
        <v>0.14691719999999997</v>
      </c>
      <c r="O391" s="4">
        <v>0.34614</v>
      </c>
    </row>
    <row r="392" spans="2:15">
      <c r="B392" t="s">
        <v>69</v>
      </c>
      <c r="C392" t="s">
        <v>50</v>
      </c>
      <c r="D392" t="s">
        <v>552</v>
      </c>
      <c r="E392" t="s">
        <v>553</v>
      </c>
      <c r="F392" t="s">
        <v>11</v>
      </c>
      <c r="G392" t="s">
        <v>52</v>
      </c>
      <c r="H392" t="s">
        <v>171</v>
      </c>
      <c r="I392" t="s">
        <v>31</v>
      </c>
      <c r="J392">
        <v>3527</v>
      </c>
      <c r="K392">
        <v>6</v>
      </c>
      <c r="L392" s="4">
        <v>3.8199999999999998E-2</v>
      </c>
      <c r="M392">
        <v>0.09</v>
      </c>
      <c r="N392" s="4">
        <v>0.13473139999999997</v>
      </c>
      <c r="O392" s="4">
        <v>0.31742999999999999</v>
      </c>
    </row>
    <row r="393" spans="2:15">
      <c r="B393" t="s">
        <v>69</v>
      </c>
      <c r="C393" t="s">
        <v>50</v>
      </c>
      <c r="D393" t="s">
        <v>552</v>
      </c>
      <c r="E393" t="s">
        <v>553</v>
      </c>
      <c r="F393" t="s">
        <v>11</v>
      </c>
      <c r="G393" t="s">
        <v>52</v>
      </c>
      <c r="H393" t="s">
        <v>171</v>
      </c>
      <c r="I393" t="s">
        <v>31</v>
      </c>
      <c r="J393">
        <v>4426</v>
      </c>
      <c r="K393">
        <v>11</v>
      </c>
      <c r="L393" s="4">
        <v>3.8199999999999998E-2</v>
      </c>
      <c r="M393">
        <v>0.09</v>
      </c>
      <c r="N393" s="4">
        <v>0.16907319999999998</v>
      </c>
      <c r="O393" s="4">
        <v>0.39833999999999997</v>
      </c>
    </row>
    <row r="394" spans="2:15">
      <c r="B394" t="s">
        <v>69</v>
      </c>
      <c r="C394" t="s">
        <v>50</v>
      </c>
      <c r="D394" t="s">
        <v>554</v>
      </c>
      <c r="E394" t="s">
        <v>555</v>
      </c>
      <c r="F394" t="s">
        <v>11</v>
      </c>
      <c r="G394" t="s">
        <v>52</v>
      </c>
      <c r="H394" t="s">
        <v>171</v>
      </c>
      <c r="I394" t="s">
        <v>31</v>
      </c>
      <c r="J394">
        <v>3615</v>
      </c>
      <c r="K394">
        <v>6</v>
      </c>
      <c r="L394" s="4">
        <v>3.8199999999999998E-2</v>
      </c>
      <c r="M394">
        <v>0.09</v>
      </c>
      <c r="N394" s="4">
        <v>0.13809299999999999</v>
      </c>
      <c r="O394" s="4">
        <v>0.32534999999999997</v>
      </c>
    </row>
    <row r="395" spans="2:15">
      <c r="B395" t="s">
        <v>69</v>
      </c>
      <c r="C395" t="s">
        <v>50</v>
      </c>
      <c r="D395" t="s">
        <v>554</v>
      </c>
      <c r="E395" t="s">
        <v>555</v>
      </c>
      <c r="F395" t="s">
        <v>11</v>
      </c>
      <c r="G395" t="s">
        <v>52</v>
      </c>
      <c r="H395" t="s">
        <v>171</v>
      </c>
      <c r="I395" t="s">
        <v>31</v>
      </c>
      <c r="J395">
        <v>4187</v>
      </c>
      <c r="K395">
        <v>14</v>
      </c>
      <c r="L395" s="4">
        <v>3.8199999999999998E-2</v>
      </c>
      <c r="M395">
        <v>0.09</v>
      </c>
      <c r="N395" s="4">
        <v>0.15994339999999999</v>
      </c>
      <c r="O395" s="4">
        <v>0.37683</v>
      </c>
    </row>
    <row r="396" spans="2:15">
      <c r="B396" t="s">
        <v>69</v>
      </c>
      <c r="C396" t="s">
        <v>50</v>
      </c>
      <c r="D396" t="s">
        <v>556</v>
      </c>
      <c r="E396" t="s">
        <v>557</v>
      </c>
      <c r="F396" t="s">
        <v>11</v>
      </c>
      <c r="G396" t="s">
        <v>52</v>
      </c>
      <c r="H396" t="s">
        <v>171</v>
      </c>
      <c r="I396" t="s">
        <v>31</v>
      </c>
      <c r="J396">
        <v>3659</v>
      </c>
      <c r="K396">
        <v>12</v>
      </c>
      <c r="L396" s="4">
        <v>3.8199999999999998E-2</v>
      </c>
      <c r="M396">
        <v>0.09</v>
      </c>
      <c r="N396" s="4">
        <v>0.1397738</v>
      </c>
      <c r="O396" s="4">
        <v>0.32930999999999999</v>
      </c>
    </row>
    <row r="397" spans="2:15">
      <c r="B397" t="s">
        <v>69</v>
      </c>
      <c r="C397" t="s">
        <v>50</v>
      </c>
      <c r="D397" t="s">
        <v>556</v>
      </c>
      <c r="E397" t="s">
        <v>557</v>
      </c>
      <c r="F397" t="s">
        <v>11</v>
      </c>
      <c r="G397" t="s">
        <v>52</v>
      </c>
      <c r="H397" t="s">
        <v>171</v>
      </c>
      <c r="I397" t="s">
        <v>31</v>
      </c>
      <c r="J397">
        <v>4309</v>
      </c>
      <c r="K397">
        <v>9</v>
      </c>
      <c r="L397" s="4">
        <v>3.8199999999999998E-2</v>
      </c>
      <c r="M397">
        <v>0.09</v>
      </c>
      <c r="N397" s="4">
        <v>0.16460379999999997</v>
      </c>
      <c r="O397" s="4">
        <v>0.38780999999999999</v>
      </c>
    </row>
    <row r="398" spans="2:15">
      <c r="B398" t="s">
        <v>69</v>
      </c>
      <c r="C398" t="s">
        <v>50</v>
      </c>
      <c r="D398" t="s">
        <v>558</v>
      </c>
      <c r="E398" t="s">
        <v>559</v>
      </c>
      <c r="F398" t="s">
        <v>11</v>
      </c>
      <c r="G398" t="s">
        <v>52</v>
      </c>
      <c r="H398" t="s">
        <v>171</v>
      </c>
      <c r="I398" t="s">
        <v>31</v>
      </c>
      <c r="J398">
        <v>2316</v>
      </c>
      <c r="K398">
        <v>4</v>
      </c>
      <c r="L398" s="4">
        <v>3.8199999999999998E-2</v>
      </c>
      <c r="M398">
        <v>0.09</v>
      </c>
      <c r="N398" s="4">
        <v>8.84712E-2</v>
      </c>
      <c r="O398" s="4">
        <v>0.20843999999999999</v>
      </c>
    </row>
    <row r="399" spans="2:15">
      <c r="B399" t="s">
        <v>69</v>
      </c>
      <c r="C399" t="s">
        <v>50</v>
      </c>
      <c r="D399" t="s">
        <v>558</v>
      </c>
      <c r="E399" t="s">
        <v>559</v>
      </c>
      <c r="F399" t="s">
        <v>11</v>
      </c>
      <c r="G399" t="s">
        <v>52</v>
      </c>
      <c r="H399" t="s">
        <v>171</v>
      </c>
      <c r="I399" t="s">
        <v>31</v>
      </c>
      <c r="J399">
        <v>3058</v>
      </c>
      <c r="K399">
        <v>4</v>
      </c>
      <c r="L399" s="4">
        <v>3.8199999999999998E-2</v>
      </c>
      <c r="M399">
        <v>0.09</v>
      </c>
      <c r="N399" s="4">
        <v>0.11681559999999999</v>
      </c>
      <c r="O399" s="4">
        <v>0.27521999999999996</v>
      </c>
    </row>
    <row r="400" spans="2:15">
      <c r="B400" t="s">
        <v>69</v>
      </c>
      <c r="C400" t="s">
        <v>50</v>
      </c>
      <c r="D400" t="s">
        <v>560</v>
      </c>
      <c r="E400" t="s">
        <v>561</v>
      </c>
      <c r="F400" t="s">
        <v>11</v>
      </c>
      <c r="G400" t="s">
        <v>52</v>
      </c>
      <c r="H400" t="s">
        <v>171</v>
      </c>
      <c r="I400" t="s">
        <v>31</v>
      </c>
      <c r="J400">
        <v>2525</v>
      </c>
      <c r="K400">
        <v>3</v>
      </c>
      <c r="L400" s="4">
        <v>3.8199999999999998E-2</v>
      </c>
      <c r="M400">
        <v>0.09</v>
      </c>
      <c r="N400" s="4">
        <v>9.6454999999999999E-2</v>
      </c>
      <c r="O400" s="4">
        <v>0.22725000000000001</v>
      </c>
    </row>
    <row r="401" spans="2:15">
      <c r="B401" t="s">
        <v>69</v>
      </c>
      <c r="C401" t="s">
        <v>50</v>
      </c>
      <c r="D401" t="s">
        <v>560</v>
      </c>
      <c r="E401" t="s">
        <v>561</v>
      </c>
      <c r="F401" t="s">
        <v>11</v>
      </c>
      <c r="G401" t="s">
        <v>52</v>
      </c>
      <c r="H401" t="s">
        <v>171</v>
      </c>
      <c r="I401" t="s">
        <v>31</v>
      </c>
      <c r="J401">
        <v>2479</v>
      </c>
      <c r="K401">
        <v>4</v>
      </c>
      <c r="L401" s="4">
        <v>3.8199999999999998E-2</v>
      </c>
      <c r="M401">
        <v>0.09</v>
      </c>
      <c r="N401" s="4">
        <v>9.4697799999999999E-2</v>
      </c>
      <c r="O401" s="4">
        <v>0.22310999999999998</v>
      </c>
    </row>
    <row r="402" spans="2:15">
      <c r="B402" t="s">
        <v>69</v>
      </c>
      <c r="C402" t="s">
        <v>50</v>
      </c>
      <c r="D402" t="s">
        <v>562</v>
      </c>
      <c r="E402" t="s">
        <v>563</v>
      </c>
      <c r="F402" t="s">
        <v>11</v>
      </c>
      <c r="G402" t="s">
        <v>52</v>
      </c>
      <c r="H402" t="s">
        <v>171</v>
      </c>
      <c r="I402" t="s">
        <v>31</v>
      </c>
      <c r="J402">
        <v>2179</v>
      </c>
      <c r="K402">
        <v>1</v>
      </c>
      <c r="L402" s="4">
        <v>3.8199999999999998E-2</v>
      </c>
      <c r="M402">
        <v>0.09</v>
      </c>
      <c r="N402" s="4">
        <v>8.3237799999999987E-2</v>
      </c>
      <c r="O402" s="4">
        <v>0.19610999999999998</v>
      </c>
    </row>
    <row r="403" spans="2:15">
      <c r="B403" t="s">
        <v>69</v>
      </c>
      <c r="C403" t="s">
        <v>50</v>
      </c>
      <c r="D403" t="s">
        <v>562</v>
      </c>
      <c r="E403" t="s">
        <v>563</v>
      </c>
      <c r="F403" t="s">
        <v>11</v>
      </c>
      <c r="G403" t="s">
        <v>52</v>
      </c>
      <c r="H403" t="s">
        <v>171</v>
      </c>
      <c r="I403" t="s">
        <v>31</v>
      </c>
      <c r="J403">
        <v>2871</v>
      </c>
      <c r="K403">
        <v>6</v>
      </c>
      <c r="L403" s="4">
        <v>3.8199999999999998E-2</v>
      </c>
      <c r="M403">
        <v>0.09</v>
      </c>
      <c r="N403" s="4">
        <v>0.10967219999999998</v>
      </c>
      <c r="O403" s="4">
        <v>0.25839000000000001</v>
      </c>
    </row>
    <row r="404" spans="2:15">
      <c r="B404" t="s">
        <v>69</v>
      </c>
      <c r="C404" t="s">
        <v>50</v>
      </c>
      <c r="D404" t="s">
        <v>564</v>
      </c>
      <c r="E404" t="s">
        <v>565</v>
      </c>
      <c r="F404" t="s">
        <v>11</v>
      </c>
      <c r="G404" t="s">
        <v>52</v>
      </c>
      <c r="H404" t="s">
        <v>171</v>
      </c>
      <c r="I404" t="s">
        <v>31</v>
      </c>
      <c r="J404">
        <v>2683</v>
      </c>
      <c r="K404">
        <v>4</v>
      </c>
      <c r="L404" s="4">
        <v>3.8199999999999998E-2</v>
      </c>
      <c r="M404">
        <v>0.09</v>
      </c>
      <c r="N404" s="4">
        <v>0.1024906</v>
      </c>
      <c r="O404" s="4">
        <v>0.24146999999999999</v>
      </c>
    </row>
    <row r="405" spans="2:15">
      <c r="B405" t="s">
        <v>69</v>
      </c>
      <c r="C405" t="s">
        <v>50</v>
      </c>
      <c r="D405" t="s">
        <v>564</v>
      </c>
      <c r="E405" t="s">
        <v>565</v>
      </c>
      <c r="F405" t="s">
        <v>11</v>
      </c>
      <c r="G405" t="s">
        <v>52</v>
      </c>
      <c r="H405" t="s">
        <v>171</v>
      </c>
      <c r="I405" t="s">
        <v>31</v>
      </c>
      <c r="J405">
        <v>2620</v>
      </c>
      <c r="K405">
        <v>3</v>
      </c>
      <c r="L405" s="4">
        <v>3.8199999999999998E-2</v>
      </c>
      <c r="M405">
        <v>0.09</v>
      </c>
      <c r="N405" s="4">
        <v>0.10008399999999999</v>
      </c>
      <c r="O405" s="4">
        <v>0.23579999999999998</v>
      </c>
    </row>
    <row r="406" spans="2:15">
      <c r="B406" t="s">
        <v>69</v>
      </c>
      <c r="C406" t="s">
        <v>50</v>
      </c>
      <c r="D406" t="s">
        <v>566</v>
      </c>
      <c r="E406" t="s">
        <v>567</v>
      </c>
      <c r="F406" t="s">
        <v>11</v>
      </c>
      <c r="G406" t="s">
        <v>52</v>
      </c>
      <c r="H406" t="s">
        <v>171</v>
      </c>
      <c r="I406" t="s">
        <v>31</v>
      </c>
      <c r="J406">
        <v>2390</v>
      </c>
      <c r="K406">
        <v>5</v>
      </c>
      <c r="L406" s="4">
        <v>3.8199999999999998E-2</v>
      </c>
      <c r="M406">
        <v>0.09</v>
      </c>
      <c r="N406" s="4">
        <v>9.1298000000000004E-2</v>
      </c>
      <c r="O406" s="4">
        <v>0.21509999999999999</v>
      </c>
    </row>
    <row r="407" spans="2:15">
      <c r="B407" t="s">
        <v>69</v>
      </c>
      <c r="C407" t="s">
        <v>50</v>
      </c>
      <c r="D407" t="s">
        <v>566</v>
      </c>
      <c r="E407" t="s">
        <v>567</v>
      </c>
      <c r="F407" t="s">
        <v>11</v>
      </c>
      <c r="G407" t="s">
        <v>52</v>
      </c>
      <c r="H407" t="s">
        <v>171</v>
      </c>
      <c r="I407" t="s">
        <v>31</v>
      </c>
      <c r="J407">
        <v>3367</v>
      </c>
      <c r="K407">
        <v>2</v>
      </c>
      <c r="L407" s="4">
        <v>3.8199999999999998E-2</v>
      </c>
      <c r="M407">
        <v>0.09</v>
      </c>
      <c r="N407" s="4">
        <v>0.12861939999999999</v>
      </c>
      <c r="O407" s="4">
        <v>0.30302999999999997</v>
      </c>
    </row>
    <row r="408" spans="2:15">
      <c r="B408" t="s">
        <v>69</v>
      </c>
      <c r="C408" t="s">
        <v>50</v>
      </c>
      <c r="D408" t="s">
        <v>568</v>
      </c>
      <c r="E408" t="s">
        <v>569</v>
      </c>
      <c r="F408" t="s">
        <v>11</v>
      </c>
      <c r="G408" t="s">
        <v>52</v>
      </c>
      <c r="H408" t="s">
        <v>171</v>
      </c>
      <c r="I408" t="s">
        <v>31</v>
      </c>
      <c r="J408">
        <v>2980</v>
      </c>
      <c r="K408">
        <v>3</v>
      </c>
      <c r="L408" s="4">
        <v>3.8199999999999998E-2</v>
      </c>
      <c r="M408">
        <v>0.09</v>
      </c>
      <c r="N408" s="4">
        <v>0.11383599999999999</v>
      </c>
      <c r="O408" s="4">
        <v>0.26819999999999999</v>
      </c>
    </row>
    <row r="409" spans="2:15">
      <c r="B409" t="s">
        <v>69</v>
      </c>
      <c r="C409" t="s">
        <v>50</v>
      </c>
      <c r="D409" t="s">
        <v>568</v>
      </c>
      <c r="E409" t="s">
        <v>569</v>
      </c>
      <c r="F409" t="s">
        <v>11</v>
      </c>
      <c r="G409" t="s">
        <v>52</v>
      </c>
      <c r="H409" t="s">
        <v>171</v>
      </c>
      <c r="I409" t="s">
        <v>31</v>
      </c>
      <c r="J409">
        <v>3234</v>
      </c>
      <c r="K409">
        <v>3</v>
      </c>
      <c r="L409" s="4">
        <v>3.8199999999999998E-2</v>
      </c>
      <c r="M409">
        <v>0.09</v>
      </c>
      <c r="N409" s="4">
        <v>0.12353879999999999</v>
      </c>
      <c r="O409" s="4">
        <v>0.29105999999999999</v>
      </c>
    </row>
    <row r="410" spans="2:15">
      <c r="B410" t="s">
        <v>69</v>
      </c>
      <c r="C410" t="s">
        <v>50</v>
      </c>
      <c r="D410" t="s">
        <v>570</v>
      </c>
      <c r="E410" t="s">
        <v>571</v>
      </c>
      <c r="F410" t="s">
        <v>11</v>
      </c>
      <c r="G410" t="s">
        <v>52</v>
      </c>
      <c r="H410" t="s">
        <v>171</v>
      </c>
      <c r="I410" t="s">
        <v>31</v>
      </c>
      <c r="J410">
        <v>2860</v>
      </c>
      <c r="K410">
        <v>5</v>
      </c>
      <c r="L410" s="4">
        <v>3.8199999999999998E-2</v>
      </c>
      <c r="M410">
        <v>0.09</v>
      </c>
      <c r="N410" s="4">
        <v>0.109252</v>
      </c>
      <c r="O410" s="4">
        <v>0.25739999999999996</v>
      </c>
    </row>
    <row r="411" spans="2:15">
      <c r="B411" t="s">
        <v>69</v>
      </c>
      <c r="C411" t="s">
        <v>50</v>
      </c>
      <c r="D411" t="s">
        <v>570</v>
      </c>
      <c r="E411" t="s">
        <v>571</v>
      </c>
      <c r="F411" t="s">
        <v>11</v>
      </c>
      <c r="G411" t="s">
        <v>52</v>
      </c>
      <c r="H411" t="s">
        <v>171</v>
      </c>
      <c r="I411" t="s">
        <v>31</v>
      </c>
      <c r="J411">
        <v>3426</v>
      </c>
      <c r="K411">
        <v>5</v>
      </c>
      <c r="L411" s="4">
        <v>3.8199999999999998E-2</v>
      </c>
      <c r="M411">
        <v>0.09</v>
      </c>
      <c r="N411" s="4">
        <v>0.1308732</v>
      </c>
      <c r="O411" s="4">
        <v>0.30833999999999995</v>
      </c>
    </row>
    <row r="412" spans="2:15">
      <c r="B412" t="s">
        <v>69</v>
      </c>
      <c r="C412" t="s">
        <v>50</v>
      </c>
      <c r="D412" t="s">
        <v>572</v>
      </c>
      <c r="E412" t="s">
        <v>573</v>
      </c>
      <c r="F412" t="s">
        <v>11</v>
      </c>
      <c r="G412" t="s">
        <v>52</v>
      </c>
      <c r="H412" t="s">
        <v>171</v>
      </c>
      <c r="I412" t="s">
        <v>31</v>
      </c>
      <c r="J412">
        <v>3063</v>
      </c>
      <c r="K412">
        <v>4</v>
      </c>
      <c r="L412" s="4">
        <v>3.8199999999999998E-2</v>
      </c>
      <c r="M412">
        <v>0.09</v>
      </c>
      <c r="N412" s="4">
        <v>0.11700659999999999</v>
      </c>
      <c r="O412" s="4">
        <v>0.27567000000000003</v>
      </c>
    </row>
    <row r="413" spans="2:15">
      <c r="B413" t="s">
        <v>69</v>
      </c>
      <c r="C413" t="s">
        <v>50</v>
      </c>
      <c r="D413" t="s">
        <v>572</v>
      </c>
      <c r="E413" t="s">
        <v>573</v>
      </c>
      <c r="F413" t="s">
        <v>11</v>
      </c>
      <c r="G413" t="s">
        <v>52</v>
      </c>
      <c r="H413" t="s">
        <v>171</v>
      </c>
      <c r="I413" t="s">
        <v>31</v>
      </c>
      <c r="J413">
        <v>3457</v>
      </c>
      <c r="K413">
        <v>6</v>
      </c>
      <c r="L413" s="4">
        <v>3.8199999999999998E-2</v>
      </c>
      <c r="M413">
        <v>0.09</v>
      </c>
      <c r="N413" s="4">
        <v>0.13205739999999999</v>
      </c>
      <c r="O413" s="4">
        <v>0.31113000000000002</v>
      </c>
    </row>
    <row r="414" spans="2:15">
      <c r="B414" t="s">
        <v>69</v>
      </c>
      <c r="C414" t="s">
        <v>50</v>
      </c>
      <c r="D414" t="s">
        <v>574</v>
      </c>
      <c r="E414" t="s">
        <v>575</v>
      </c>
      <c r="F414" t="s">
        <v>11</v>
      </c>
      <c r="G414" t="s">
        <v>52</v>
      </c>
      <c r="H414" t="s">
        <v>171</v>
      </c>
      <c r="I414" t="s">
        <v>31</v>
      </c>
      <c r="J414">
        <v>3133</v>
      </c>
      <c r="K414">
        <v>6</v>
      </c>
      <c r="L414" s="4">
        <v>3.8199999999999998E-2</v>
      </c>
      <c r="M414">
        <v>0.09</v>
      </c>
      <c r="N414" s="4">
        <v>0.1196806</v>
      </c>
      <c r="O414" s="4">
        <v>0.28196999999999994</v>
      </c>
    </row>
    <row r="415" spans="2:15">
      <c r="B415" t="s">
        <v>69</v>
      </c>
      <c r="C415" t="s">
        <v>50</v>
      </c>
      <c r="D415" t="s">
        <v>574</v>
      </c>
      <c r="E415" t="s">
        <v>575</v>
      </c>
      <c r="F415" t="s">
        <v>11</v>
      </c>
      <c r="G415" t="s">
        <v>52</v>
      </c>
      <c r="H415" t="s">
        <v>171</v>
      </c>
      <c r="I415" t="s">
        <v>31</v>
      </c>
      <c r="J415">
        <v>3958</v>
      </c>
      <c r="K415">
        <v>4</v>
      </c>
      <c r="L415" s="4">
        <v>3.8199999999999998E-2</v>
      </c>
      <c r="M415">
        <v>0.09</v>
      </c>
      <c r="N415" s="4">
        <v>0.15119559999999999</v>
      </c>
      <c r="O415" s="4">
        <v>0.35621999999999998</v>
      </c>
    </row>
    <row r="416" spans="2:15">
      <c r="B416" t="s">
        <v>69</v>
      </c>
      <c r="C416" t="s">
        <v>50</v>
      </c>
      <c r="D416" t="s">
        <v>576</v>
      </c>
      <c r="E416" t="s">
        <v>577</v>
      </c>
      <c r="F416" t="s">
        <v>11</v>
      </c>
      <c r="G416" t="s">
        <v>52</v>
      </c>
      <c r="H416" t="s">
        <v>171</v>
      </c>
      <c r="I416" t="s">
        <v>31</v>
      </c>
      <c r="J416">
        <v>614</v>
      </c>
      <c r="K416">
        <v>0</v>
      </c>
      <c r="L416" s="4">
        <v>3.8199999999999998E-2</v>
      </c>
      <c r="M416">
        <v>0.09</v>
      </c>
      <c r="N416" s="4">
        <v>2.3454799999999998E-2</v>
      </c>
      <c r="O416" s="4">
        <v>5.5259999999999997E-2</v>
      </c>
    </row>
    <row r="417" spans="2:15">
      <c r="B417" t="s">
        <v>69</v>
      </c>
      <c r="C417" t="s">
        <v>50</v>
      </c>
      <c r="D417" t="s">
        <v>576</v>
      </c>
      <c r="E417" t="s">
        <v>577</v>
      </c>
      <c r="F417" t="s">
        <v>11</v>
      </c>
      <c r="G417" t="s">
        <v>52</v>
      </c>
      <c r="H417" t="s">
        <v>171</v>
      </c>
      <c r="I417" t="s">
        <v>31</v>
      </c>
      <c r="J417">
        <v>3380</v>
      </c>
      <c r="K417">
        <v>13</v>
      </c>
      <c r="L417" s="4">
        <v>3.8199999999999998E-2</v>
      </c>
      <c r="M417">
        <v>0.09</v>
      </c>
      <c r="N417" s="4">
        <v>0.12911599999999998</v>
      </c>
      <c r="O417" s="4">
        <v>0.30419999999999997</v>
      </c>
    </row>
    <row r="418" spans="2:15">
      <c r="B418" t="s">
        <v>69</v>
      </c>
      <c r="C418" t="s">
        <v>50</v>
      </c>
      <c r="D418" t="s">
        <v>578</v>
      </c>
      <c r="E418" t="s">
        <v>579</v>
      </c>
      <c r="F418" t="s">
        <v>11</v>
      </c>
      <c r="G418" t="s">
        <v>52</v>
      </c>
      <c r="H418" t="s">
        <v>171</v>
      </c>
      <c r="I418" t="s">
        <v>31</v>
      </c>
      <c r="J418">
        <v>584</v>
      </c>
      <c r="K418">
        <v>1</v>
      </c>
      <c r="L418" s="4">
        <v>3.8199999999999998E-2</v>
      </c>
      <c r="M418">
        <v>0.09</v>
      </c>
      <c r="N418" s="4">
        <v>2.2308799999999997E-2</v>
      </c>
      <c r="O418" s="4">
        <v>5.2559999999999996E-2</v>
      </c>
    </row>
    <row r="419" spans="2:15">
      <c r="B419" t="s">
        <v>69</v>
      </c>
      <c r="C419" t="s">
        <v>50</v>
      </c>
      <c r="D419" t="s">
        <v>578</v>
      </c>
      <c r="E419" t="s">
        <v>579</v>
      </c>
      <c r="F419" t="s">
        <v>11</v>
      </c>
      <c r="G419" t="s">
        <v>52</v>
      </c>
      <c r="H419" t="s">
        <v>171</v>
      </c>
      <c r="I419" t="s">
        <v>31</v>
      </c>
      <c r="J419">
        <v>3525</v>
      </c>
      <c r="K419">
        <v>15</v>
      </c>
      <c r="L419" s="4">
        <v>3.8199999999999998E-2</v>
      </c>
      <c r="M419">
        <v>0.09</v>
      </c>
      <c r="N419" s="4">
        <v>0.134655</v>
      </c>
      <c r="O419" s="4">
        <v>0.31724999999999998</v>
      </c>
    </row>
    <row r="420" spans="2:15">
      <c r="B420" t="s">
        <v>69</v>
      </c>
      <c r="C420" t="s">
        <v>50</v>
      </c>
      <c r="D420" t="s">
        <v>580</v>
      </c>
      <c r="E420" t="s">
        <v>581</v>
      </c>
      <c r="F420" t="s">
        <v>11</v>
      </c>
      <c r="G420" t="s">
        <v>52</v>
      </c>
      <c r="H420" t="s">
        <v>171</v>
      </c>
      <c r="I420" t="s">
        <v>31</v>
      </c>
      <c r="J420">
        <v>564</v>
      </c>
      <c r="K420">
        <v>0</v>
      </c>
      <c r="L420" s="4">
        <v>3.8199999999999998E-2</v>
      </c>
      <c r="M420">
        <v>0.09</v>
      </c>
      <c r="N420" s="4">
        <v>2.1544799999999999E-2</v>
      </c>
      <c r="O420" s="4">
        <v>5.076E-2</v>
      </c>
    </row>
    <row r="421" spans="2:15">
      <c r="B421" t="s">
        <v>69</v>
      </c>
      <c r="C421" t="s">
        <v>50</v>
      </c>
      <c r="D421" t="s">
        <v>580</v>
      </c>
      <c r="E421" t="s">
        <v>581</v>
      </c>
      <c r="F421" t="s">
        <v>11</v>
      </c>
      <c r="G421" t="s">
        <v>52</v>
      </c>
      <c r="H421" t="s">
        <v>171</v>
      </c>
      <c r="I421" t="s">
        <v>31</v>
      </c>
      <c r="J421">
        <v>3144</v>
      </c>
      <c r="K421">
        <v>11</v>
      </c>
      <c r="L421" s="4">
        <v>3.8199999999999998E-2</v>
      </c>
      <c r="M421">
        <v>0.09</v>
      </c>
      <c r="N421" s="4">
        <v>0.12010079999999999</v>
      </c>
      <c r="O421" s="4">
        <v>0.28295999999999999</v>
      </c>
    </row>
    <row r="422" spans="2:15">
      <c r="B422" t="s">
        <v>69</v>
      </c>
      <c r="C422" t="s">
        <v>50</v>
      </c>
      <c r="D422" t="s">
        <v>582</v>
      </c>
      <c r="E422" t="s">
        <v>583</v>
      </c>
      <c r="F422" t="s">
        <v>11</v>
      </c>
      <c r="G422" t="s">
        <v>52</v>
      </c>
      <c r="H422" t="s">
        <v>171</v>
      </c>
      <c r="I422" t="s">
        <v>31</v>
      </c>
      <c r="J422">
        <v>18870</v>
      </c>
      <c r="K422">
        <v>160</v>
      </c>
      <c r="L422" s="4">
        <v>3.8199999999999998E-2</v>
      </c>
      <c r="M422">
        <v>0.09</v>
      </c>
      <c r="N422" s="4">
        <v>0.72083399999999997</v>
      </c>
      <c r="O422" s="4">
        <v>1.6982999999999999</v>
      </c>
    </row>
    <row r="423" spans="2:15">
      <c r="B423" t="s">
        <v>69</v>
      </c>
      <c r="C423" t="s">
        <v>50</v>
      </c>
      <c r="D423" t="s">
        <v>584</v>
      </c>
      <c r="E423" t="s">
        <v>585</v>
      </c>
      <c r="F423" t="s">
        <v>11</v>
      </c>
      <c r="G423" t="s">
        <v>52</v>
      </c>
      <c r="H423" t="s">
        <v>171</v>
      </c>
      <c r="I423" t="s">
        <v>31</v>
      </c>
      <c r="J423">
        <v>567</v>
      </c>
      <c r="K423">
        <v>0</v>
      </c>
      <c r="L423" s="4">
        <v>3.8199999999999998E-2</v>
      </c>
      <c r="M423">
        <v>0.09</v>
      </c>
      <c r="N423" s="4">
        <v>2.1659399999999999E-2</v>
      </c>
      <c r="O423" s="4">
        <v>5.1029999999999999E-2</v>
      </c>
    </row>
    <row r="424" spans="2:15">
      <c r="B424" t="s">
        <v>69</v>
      </c>
      <c r="C424" t="s">
        <v>50</v>
      </c>
      <c r="D424" t="s">
        <v>584</v>
      </c>
      <c r="E424" t="s">
        <v>585</v>
      </c>
      <c r="F424" t="s">
        <v>11</v>
      </c>
      <c r="G424" t="s">
        <v>52</v>
      </c>
      <c r="H424" t="s">
        <v>171</v>
      </c>
      <c r="I424" t="s">
        <v>31</v>
      </c>
      <c r="J424">
        <v>3158</v>
      </c>
      <c r="K424">
        <v>6</v>
      </c>
      <c r="L424" s="4">
        <v>3.8199999999999998E-2</v>
      </c>
      <c r="M424">
        <v>0.09</v>
      </c>
      <c r="N424" s="4">
        <v>0.1206356</v>
      </c>
      <c r="O424" s="4">
        <v>0.28421999999999997</v>
      </c>
    </row>
    <row r="425" spans="2:15">
      <c r="B425" t="s">
        <v>69</v>
      </c>
      <c r="C425" t="s">
        <v>50</v>
      </c>
      <c r="D425" t="s">
        <v>586</v>
      </c>
      <c r="E425" t="s">
        <v>587</v>
      </c>
      <c r="F425" t="s">
        <v>11</v>
      </c>
      <c r="G425" t="s">
        <v>52</v>
      </c>
      <c r="H425" t="s">
        <v>171</v>
      </c>
      <c r="I425" t="s">
        <v>31</v>
      </c>
      <c r="J425">
        <v>568</v>
      </c>
      <c r="K425">
        <v>0</v>
      </c>
      <c r="L425" s="4">
        <v>3.8199999999999998E-2</v>
      </c>
      <c r="M425">
        <v>0.09</v>
      </c>
      <c r="N425" s="4">
        <v>2.1697599999999997E-2</v>
      </c>
      <c r="O425" s="4">
        <v>5.1119999999999999E-2</v>
      </c>
    </row>
    <row r="426" spans="2:15">
      <c r="B426" t="s">
        <v>69</v>
      </c>
      <c r="C426" t="s">
        <v>50</v>
      </c>
      <c r="D426" t="s">
        <v>586</v>
      </c>
      <c r="E426" t="s">
        <v>587</v>
      </c>
      <c r="F426" t="s">
        <v>11</v>
      </c>
      <c r="G426" t="s">
        <v>52</v>
      </c>
      <c r="H426" t="s">
        <v>171</v>
      </c>
      <c r="I426" t="s">
        <v>31</v>
      </c>
      <c r="J426">
        <v>3352</v>
      </c>
      <c r="K426">
        <v>17</v>
      </c>
      <c r="L426" s="4">
        <v>3.8199999999999998E-2</v>
      </c>
      <c r="M426">
        <v>0.09</v>
      </c>
      <c r="N426" s="4">
        <v>0.1280464</v>
      </c>
      <c r="O426" s="4">
        <v>0.30168</v>
      </c>
    </row>
    <row r="427" spans="2:15">
      <c r="B427" t="s">
        <v>69</v>
      </c>
      <c r="C427" t="s">
        <v>50</v>
      </c>
      <c r="D427" t="s">
        <v>588</v>
      </c>
      <c r="E427" t="s">
        <v>589</v>
      </c>
      <c r="F427" t="s">
        <v>11</v>
      </c>
      <c r="G427" t="s">
        <v>52</v>
      </c>
      <c r="H427" t="s">
        <v>171</v>
      </c>
      <c r="I427" t="s">
        <v>31</v>
      </c>
      <c r="J427">
        <v>682</v>
      </c>
      <c r="K427">
        <v>2</v>
      </c>
      <c r="L427" s="4">
        <v>3.8199999999999998E-2</v>
      </c>
      <c r="M427">
        <v>0.09</v>
      </c>
      <c r="N427" s="4">
        <v>2.60524E-2</v>
      </c>
      <c r="O427" s="4">
        <v>6.1379999999999997E-2</v>
      </c>
    </row>
    <row r="428" spans="2:15">
      <c r="B428" t="s">
        <v>69</v>
      </c>
      <c r="C428" t="s">
        <v>50</v>
      </c>
      <c r="D428" t="s">
        <v>588</v>
      </c>
      <c r="E428" t="s">
        <v>589</v>
      </c>
      <c r="F428" t="s">
        <v>11</v>
      </c>
      <c r="G428" t="s">
        <v>52</v>
      </c>
      <c r="H428" t="s">
        <v>171</v>
      </c>
      <c r="I428" t="s">
        <v>31</v>
      </c>
      <c r="J428">
        <v>3169</v>
      </c>
      <c r="K428">
        <v>6</v>
      </c>
      <c r="L428" s="4">
        <v>3.8199999999999998E-2</v>
      </c>
      <c r="M428">
        <v>0.09</v>
      </c>
      <c r="N428" s="4">
        <v>0.12105579999999999</v>
      </c>
      <c r="O428" s="4">
        <v>0.28520999999999996</v>
      </c>
    </row>
    <row r="429" spans="2:15">
      <c r="B429" t="s">
        <v>69</v>
      </c>
      <c r="C429" t="s">
        <v>50</v>
      </c>
      <c r="D429" t="s">
        <v>590</v>
      </c>
      <c r="E429" t="s">
        <v>591</v>
      </c>
      <c r="F429" t="s">
        <v>11</v>
      </c>
      <c r="G429" t="s">
        <v>52</v>
      </c>
      <c r="H429" t="s">
        <v>171</v>
      </c>
      <c r="I429" t="s">
        <v>31</v>
      </c>
      <c r="J429">
        <v>643</v>
      </c>
      <c r="K429">
        <v>0</v>
      </c>
      <c r="L429" s="4">
        <v>3.8199999999999998E-2</v>
      </c>
      <c r="M429">
        <v>0.09</v>
      </c>
      <c r="N429" s="4">
        <v>2.45626E-2</v>
      </c>
      <c r="O429" s="4">
        <v>5.7869999999999998E-2</v>
      </c>
    </row>
    <row r="430" spans="2:15">
      <c r="B430" t="s">
        <v>69</v>
      </c>
      <c r="C430" t="s">
        <v>50</v>
      </c>
      <c r="D430" t="s">
        <v>590</v>
      </c>
      <c r="E430" t="s">
        <v>591</v>
      </c>
      <c r="F430" t="s">
        <v>11</v>
      </c>
      <c r="G430" t="s">
        <v>52</v>
      </c>
      <c r="H430" t="s">
        <v>171</v>
      </c>
      <c r="I430" t="s">
        <v>31</v>
      </c>
      <c r="J430">
        <v>3390</v>
      </c>
      <c r="K430">
        <v>13</v>
      </c>
      <c r="L430" s="4">
        <v>3.8199999999999998E-2</v>
      </c>
      <c r="M430">
        <v>0.09</v>
      </c>
      <c r="N430" s="4">
        <v>0.129498</v>
      </c>
      <c r="O430" s="4">
        <v>0.30509999999999998</v>
      </c>
    </row>
    <row r="431" spans="2:15">
      <c r="B431" t="s">
        <v>69</v>
      </c>
      <c r="C431" t="s">
        <v>50</v>
      </c>
      <c r="D431" t="s">
        <v>592</v>
      </c>
      <c r="E431" t="s">
        <v>593</v>
      </c>
      <c r="F431" t="s">
        <v>11</v>
      </c>
      <c r="G431" t="s">
        <v>52</v>
      </c>
      <c r="H431" t="s">
        <v>171</v>
      </c>
      <c r="I431" t="s">
        <v>31</v>
      </c>
      <c r="J431">
        <v>578</v>
      </c>
      <c r="K431">
        <v>0</v>
      </c>
      <c r="L431" s="4">
        <v>3.8199999999999998E-2</v>
      </c>
      <c r="M431">
        <v>0.09</v>
      </c>
      <c r="N431" s="4">
        <v>2.2079599999999998E-2</v>
      </c>
      <c r="O431" s="4">
        <v>5.2019999999999997E-2</v>
      </c>
    </row>
    <row r="432" spans="2:15">
      <c r="B432" t="s">
        <v>69</v>
      </c>
      <c r="C432" t="s">
        <v>50</v>
      </c>
      <c r="D432" t="s">
        <v>592</v>
      </c>
      <c r="E432" t="s">
        <v>593</v>
      </c>
      <c r="F432" t="s">
        <v>11</v>
      </c>
      <c r="G432" t="s">
        <v>52</v>
      </c>
      <c r="H432" t="s">
        <v>171</v>
      </c>
      <c r="I432" t="s">
        <v>31</v>
      </c>
      <c r="J432">
        <v>3222</v>
      </c>
      <c r="K432">
        <v>12</v>
      </c>
      <c r="L432" s="4">
        <v>3.8199999999999998E-2</v>
      </c>
      <c r="M432">
        <v>0.09</v>
      </c>
      <c r="N432" s="4">
        <v>0.12308039999999999</v>
      </c>
      <c r="O432" s="4">
        <v>0.28997999999999996</v>
      </c>
    </row>
    <row r="433" spans="2:15">
      <c r="B433" t="s">
        <v>69</v>
      </c>
      <c r="C433" t="s">
        <v>50</v>
      </c>
      <c r="D433" t="s">
        <v>594</v>
      </c>
      <c r="E433" t="s">
        <v>595</v>
      </c>
      <c r="F433" t="s">
        <v>11</v>
      </c>
      <c r="G433" t="s">
        <v>52</v>
      </c>
      <c r="H433" t="s">
        <v>171</v>
      </c>
      <c r="I433" t="s">
        <v>31</v>
      </c>
      <c r="J433">
        <v>550</v>
      </c>
      <c r="K433">
        <v>0</v>
      </c>
      <c r="L433" s="4">
        <v>3.8199999999999998E-2</v>
      </c>
      <c r="M433">
        <v>0.09</v>
      </c>
      <c r="N433" s="4">
        <v>2.1009999999999997E-2</v>
      </c>
      <c r="O433" s="4">
        <v>4.9500000000000002E-2</v>
      </c>
    </row>
    <row r="434" spans="2:15">
      <c r="B434" t="s">
        <v>69</v>
      </c>
      <c r="C434" t="s">
        <v>50</v>
      </c>
      <c r="D434" t="s">
        <v>594</v>
      </c>
      <c r="E434" t="s">
        <v>595</v>
      </c>
      <c r="F434" t="s">
        <v>11</v>
      </c>
      <c r="G434" t="s">
        <v>52</v>
      </c>
      <c r="H434" t="s">
        <v>171</v>
      </c>
      <c r="I434" t="s">
        <v>31</v>
      </c>
      <c r="J434">
        <v>3361</v>
      </c>
      <c r="K434">
        <v>14</v>
      </c>
      <c r="L434" s="4">
        <v>3.8199999999999998E-2</v>
      </c>
      <c r="M434">
        <v>0.09</v>
      </c>
      <c r="N434" s="4">
        <v>0.12839019999999998</v>
      </c>
      <c r="O434" s="4">
        <v>0.30249000000000004</v>
      </c>
    </row>
    <row r="435" spans="2:15">
      <c r="B435" t="s">
        <v>69</v>
      </c>
      <c r="C435" t="s">
        <v>50</v>
      </c>
      <c r="D435" t="s">
        <v>596</v>
      </c>
      <c r="E435" t="s">
        <v>597</v>
      </c>
      <c r="F435" t="s">
        <v>11</v>
      </c>
      <c r="G435" t="s">
        <v>52</v>
      </c>
      <c r="H435" t="s">
        <v>171</v>
      </c>
      <c r="I435" t="s">
        <v>31</v>
      </c>
      <c r="J435">
        <v>547</v>
      </c>
      <c r="K435">
        <v>1</v>
      </c>
      <c r="L435" s="4">
        <v>3.8199999999999998E-2</v>
      </c>
      <c r="M435">
        <v>0.09</v>
      </c>
      <c r="N435" s="4">
        <v>2.0895399999999998E-2</v>
      </c>
      <c r="O435" s="4">
        <v>4.9229999999999996E-2</v>
      </c>
    </row>
    <row r="436" spans="2:15">
      <c r="B436" t="s">
        <v>69</v>
      </c>
      <c r="C436" t="s">
        <v>50</v>
      </c>
      <c r="D436" t="s">
        <v>596</v>
      </c>
      <c r="E436" t="s">
        <v>597</v>
      </c>
      <c r="F436" t="s">
        <v>11</v>
      </c>
      <c r="G436" t="s">
        <v>52</v>
      </c>
      <c r="H436" t="s">
        <v>171</v>
      </c>
      <c r="I436" t="s">
        <v>31</v>
      </c>
      <c r="J436">
        <v>3732</v>
      </c>
      <c r="K436">
        <v>19</v>
      </c>
      <c r="L436" s="4">
        <v>3.8199999999999998E-2</v>
      </c>
      <c r="M436">
        <v>0.09</v>
      </c>
      <c r="N436" s="4">
        <v>0.14256240000000001</v>
      </c>
      <c r="O436" s="4">
        <v>0.33588000000000001</v>
      </c>
    </row>
    <row r="437" spans="2:15">
      <c r="B437" t="s">
        <v>69</v>
      </c>
      <c r="C437" t="s">
        <v>50</v>
      </c>
      <c r="D437" t="s">
        <v>598</v>
      </c>
      <c r="E437" t="s">
        <v>599</v>
      </c>
      <c r="F437" t="s">
        <v>11</v>
      </c>
      <c r="G437" t="s">
        <v>52</v>
      </c>
      <c r="H437" t="s">
        <v>171</v>
      </c>
      <c r="I437" t="s">
        <v>31</v>
      </c>
      <c r="J437">
        <v>19147</v>
      </c>
      <c r="K437">
        <v>168</v>
      </c>
      <c r="L437" s="4">
        <v>3.8199999999999998E-2</v>
      </c>
      <c r="M437">
        <v>0.09</v>
      </c>
      <c r="N437" s="4">
        <v>0.73141539999999994</v>
      </c>
      <c r="O437" s="4">
        <v>1.72323</v>
      </c>
    </row>
    <row r="438" spans="2:15">
      <c r="B438" t="s">
        <v>69</v>
      </c>
      <c r="C438" t="s">
        <v>50</v>
      </c>
      <c r="D438" t="s">
        <v>600</v>
      </c>
      <c r="E438" t="s">
        <v>601</v>
      </c>
      <c r="F438" t="s">
        <v>11</v>
      </c>
      <c r="G438" t="s">
        <v>52</v>
      </c>
      <c r="H438" t="s">
        <v>171</v>
      </c>
      <c r="I438" t="s">
        <v>31</v>
      </c>
      <c r="J438">
        <v>557</v>
      </c>
      <c r="K438">
        <v>2</v>
      </c>
      <c r="L438" s="4">
        <v>3.8199999999999998E-2</v>
      </c>
      <c r="M438">
        <v>0.09</v>
      </c>
      <c r="N438" s="4">
        <v>2.1277399999999998E-2</v>
      </c>
      <c r="O438" s="4">
        <v>5.0129999999999994E-2</v>
      </c>
    </row>
    <row r="439" spans="2:15">
      <c r="B439" t="s">
        <v>69</v>
      </c>
      <c r="C439" t="s">
        <v>50</v>
      </c>
      <c r="D439" t="s">
        <v>600</v>
      </c>
      <c r="E439" t="s">
        <v>601</v>
      </c>
      <c r="F439" t="s">
        <v>11</v>
      </c>
      <c r="G439" t="s">
        <v>52</v>
      </c>
      <c r="H439" t="s">
        <v>171</v>
      </c>
      <c r="I439" t="s">
        <v>31</v>
      </c>
      <c r="J439">
        <v>3346</v>
      </c>
      <c r="K439">
        <v>17</v>
      </c>
      <c r="L439" s="4">
        <v>3.8199999999999998E-2</v>
      </c>
      <c r="M439">
        <v>0.09</v>
      </c>
      <c r="N439" s="4">
        <v>0.12781719999999999</v>
      </c>
      <c r="O439" s="4">
        <v>0.30113999999999996</v>
      </c>
    </row>
    <row r="440" spans="2:15">
      <c r="B440" t="s">
        <v>69</v>
      </c>
      <c r="C440" t="s">
        <v>50</v>
      </c>
      <c r="D440" t="s">
        <v>602</v>
      </c>
      <c r="E440" t="s">
        <v>603</v>
      </c>
      <c r="F440" t="s">
        <v>11</v>
      </c>
      <c r="G440" t="s">
        <v>52</v>
      </c>
      <c r="H440" t="s">
        <v>171</v>
      </c>
      <c r="I440" t="s">
        <v>31</v>
      </c>
      <c r="J440">
        <v>636</v>
      </c>
      <c r="K440">
        <v>0</v>
      </c>
      <c r="L440" s="4">
        <v>3.8199999999999998E-2</v>
      </c>
      <c r="M440">
        <v>0.09</v>
      </c>
      <c r="N440" s="4">
        <v>2.4295199999999996E-2</v>
      </c>
      <c r="O440" s="4">
        <v>5.7239999999999992E-2</v>
      </c>
    </row>
    <row r="441" spans="2:15">
      <c r="B441" t="s">
        <v>69</v>
      </c>
      <c r="C441" t="s">
        <v>50</v>
      </c>
      <c r="D441" t="s">
        <v>602</v>
      </c>
      <c r="E441" t="s">
        <v>603</v>
      </c>
      <c r="F441" t="s">
        <v>11</v>
      </c>
      <c r="G441" t="s">
        <v>52</v>
      </c>
      <c r="H441" t="s">
        <v>171</v>
      </c>
      <c r="I441" t="s">
        <v>31</v>
      </c>
      <c r="J441">
        <v>3432</v>
      </c>
      <c r="K441">
        <v>15</v>
      </c>
      <c r="L441" s="4">
        <v>3.8199999999999998E-2</v>
      </c>
      <c r="M441">
        <v>0.09</v>
      </c>
      <c r="N441" s="4">
        <v>0.13110239999999998</v>
      </c>
      <c r="O441" s="4">
        <v>0.30887999999999999</v>
      </c>
    </row>
    <row r="442" spans="2:15">
      <c r="B442" t="s">
        <v>69</v>
      </c>
      <c r="C442" t="s">
        <v>50</v>
      </c>
      <c r="D442" t="s">
        <v>604</v>
      </c>
      <c r="E442" t="s">
        <v>605</v>
      </c>
      <c r="F442" t="s">
        <v>11</v>
      </c>
      <c r="G442" t="s">
        <v>52</v>
      </c>
      <c r="H442" t="s">
        <v>171</v>
      </c>
      <c r="I442" t="s">
        <v>31</v>
      </c>
      <c r="J442">
        <v>545</v>
      </c>
      <c r="K442">
        <v>0</v>
      </c>
      <c r="L442" s="4">
        <v>3.8199999999999998E-2</v>
      </c>
      <c r="M442">
        <v>0.09</v>
      </c>
      <c r="N442" s="4">
        <v>2.0819000000000001E-2</v>
      </c>
      <c r="O442" s="4">
        <v>4.9049999999999996E-2</v>
      </c>
    </row>
    <row r="443" spans="2:15">
      <c r="B443" t="s">
        <v>69</v>
      </c>
      <c r="C443" t="s">
        <v>50</v>
      </c>
      <c r="D443" t="s">
        <v>604</v>
      </c>
      <c r="E443" t="s">
        <v>605</v>
      </c>
      <c r="F443" t="s">
        <v>11</v>
      </c>
      <c r="G443" t="s">
        <v>52</v>
      </c>
      <c r="H443" t="s">
        <v>171</v>
      </c>
      <c r="I443" t="s">
        <v>31</v>
      </c>
      <c r="J443">
        <v>3514</v>
      </c>
      <c r="K443">
        <v>12</v>
      </c>
      <c r="L443" s="4">
        <v>3.8199999999999998E-2</v>
      </c>
      <c r="M443">
        <v>0.09</v>
      </c>
      <c r="N443" s="4">
        <v>0.13423479999999999</v>
      </c>
      <c r="O443" s="4">
        <v>0.31625999999999999</v>
      </c>
    </row>
    <row r="444" spans="2:15">
      <c r="B444" t="s">
        <v>69</v>
      </c>
      <c r="C444" t="s">
        <v>50</v>
      </c>
      <c r="D444" t="s">
        <v>606</v>
      </c>
      <c r="E444" t="s">
        <v>607</v>
      </c>
      <c r="F444" t="s">
        <v>11</v>
      </c>
      <c r="G444" t="s">
        <v>52</v>
      </c>
      <c r="H444" t="s">
        <v>171</v>
      </c>
      <c r="I444" t="s">
        <v>31</v>
      </c>
      <c r="J444">
        <v>544</v>
      </c>
      <c r="K444">
        <v>0</v>
      </c>
      <c r="L444" s="4">
        <v>3.8199999999999998E-2</v>
      </c>
      <c r="M444">
        <v>0.09</v>
      </c>
      <c r="N444" s="4">
        <v>2.0780799999999999E-2</v>
      </c>
      <c r="O444" s="4">
        <v>4.8960000000000004E-2</v>
      </c>
    </row>
    <row r="445" spans="2:15">
      <c r="B445" t="s">
        <v>69</v>
      </c>
      <c r="C445" t="s">
        <v>50</v>
      </c>
      <c r="D445" t="s">
        <v>606</v>
      </c>
      <c r="E445" t="s">
        <v>607</v>
      </c>
      <c r="F445" t="s">
        <v>11</v>
      </c>
      <c r="G445" t="s">
        <v>52</v>
      </c>
      <c r="H445" t="s">
        <v>171</v>
      </c>
      <c r="I445" t="s">
        <v>31</v>
      </c>
      <c r="J445">
        <v>3133</v>
      </c>
      <c r="K445">
        <v>8</v>
      </c>
      <c r="L445" s="4">
        <v>3.8199999999999998E-2</v>
      </c>
      <c r="M445">
        <v>0.09</v>
      </c>
      <c r="N445" s="4">
        <v>0.1196806</v>
      </c>
      <c r="O445" s="4">
        <v>0.28196999999999994</v>
      </c>
    </row>
    <row r="446" spans="2:15">
      <c r="B446" t="s">
        <v>69</v>
      </c>
      <c r="C446" t="s">
        <v>50</v>
      </c>
      <c r="D446" t="s">
        <v>608</v>
      </c>
      <c r="E446" t="s">
        <v>609</v>
      </c>
      <c r="F446" t="s">
        <v>11</v>
      </c>
      <c r="G446" t="s">
        <v>51</v>
      </c>
      <c r="H446" t="s">
        <v>72</v>
      </c>
      <c r="I446" t="s">
        <v>31</v>
      </c>
      <c r="J446">
        <v>19909</v>
      </c>
      <c r="K446">
        <v>78</v>
      </c>
      <c r="L446" s="4">
        <v>3.8199999999999998E-2</v>
      </c>
      <c r="M446">
        <v>0.09</v>
      </c>
      <c r="N446" s="4">
        <v>0.76052379999999997</v>
      </c>
      <c r="O446" s="4">
        <v>1.7918099999999999</v>
      </c>
    </row>
    <row r="447" spans="2:15">
      <c r="B447" t="s">
        <v>69</v>
      </c>
      <c r="C447" t="s">
        <v>50</v>
      </c>
      <c r="D447" t="s">
        <v>608</v>
      </c>
      <c r="E447" t="s">
        <v>609</v>
      </c>
      <c r="F447" t="s">
        <v>11</v>
      </c>
      <c r="G447" t="s">
        <v>51</v>
      </c>
      <c r="H447" t="s">
        <v>72</v>
      </c>
      <c r="I447" t="s">
        <v>31</v>
      </c>
      <c r="J447">
        <v>4890</v>
      </c>
      <c r="K447">
        <v>150</v>
      </c>
      <c r="L447" s="4">
        <v>3.8199999999999998E-2</v>
      </c>
      <c r="M447">
        <v>0.09</v>
      </c>
      <c r="N447" s="4">
        <v>0.18679799999999999</v>
      </c>
      <c r="O447" s="4">
        <v>0.44009999999999999</v>
      </c>
    </row>
    <row r="448" spans="2:15">
      <c r="B448" t="s">
        <v>69</v>
      </c>
      <c r="C448" t="s">
        <v>50</v>
      </c>
      <c r="D448" t="s">
        <v>610</v>
      </c>
      <c r="E448" t="s">
        <v>611</v>
      </c>
      <c r="F448" t="s">
        <v>11</v>
      </c>
      <c r="G448" t="s">
        <v>51</v>
      </c>
      <c r="H448" t="s">
        <v>72</v>
      </c>
      <c r="I448" t="s">
        <v>31</v>
      </c>
      <c r="J448">
        <v>20908</v>
      </c>
      <c r="K448">
        <v>86</v>
      </c>
      <c r="L448" s="4">
        <v>3.8199999999999998E-2</v>
      </c>
      <c r="M448">
        <v>0.09</v>
      </c>
      <c r="N448" s="4">
        <v>0.79868559999999988</v>
      </c>
      <c r="O448" s="4">
        <v>1.8817200000000001</v>
      </c>
    </row>
    <row r="449" spans="2:15">
      <c r="B449" t="s">
        <v>69</v>
      </c>
      <c r="C449" t="s">
        <v>50</v>
      </c>
      <c r="D449" t="s">
        <v>610</v>
      </c>
      <c r="E449" t="s">
        <v>611</v>
      </c>
      <c r="F449" t="s">
        <v>11</v>
      </c>
      <c r="G449" t="s">
        <v>51</v>
      </c>
      <c r="H449" t="s">
        <v>72</v>
      </c>
      <c r="I449" t="s">
        <v>31</v>
      </c>
      <c r="J449">
        <v>6761</v>
      </c>
      <c r="K449">
        <v>205</v>
      </c>
      <c r="L449" s="4">
        <v>3.8199999999999998E-2</v>
      </c>
      <c r="M449">
        <v>0.09</v>
      </c>
      <c r="N449" s="4">
        <v>0.25827020000000001</v>
      </c>
      <c r="O449" s="4">
        <v>0.60848999999999998</v>
      </c>
    </row>
    <row r="450" spans="2:15">
      <c r="B450" t="s">
        <v>69</v>
      </c>
      <c r="C450" t="s">
        <v>50</v>
      </c>
      <c r="D450" t="s">
        <v>612</v>
      </c>
      <c r="E450" t="s">
        <v>613</v>
      </c>
      <c r="F450" t="s">
        <v>11</v>
      </c>
      <c r="G450" t="s">
        <v>51</v>
      </c>
      <c r="H450" t="s">
        <v>72</v>
      </c>
      <c r="I450" t="s">
        <v>31</v>
      </c>
      <c r="J450">
        <v>19142</v>
      </c>
      <c r="K450">
        <v>53</v>
      </c>
      <c r="L450" s="4">
        <v>3.8199999999999998E-2</v>
      </c>
      <c r="M450">
        <v>0.09</v>
      </c>
      <c r="N450" s="4">
        <v>0.7312244</v>
      </c>
      <c r="O450" s="4">
        <v>1.72278</v>
      </c>
    </row>
    <row r="451" spans="2:15">
      <c r="B451" t="s">
        <v>69</v>
      </c>
      <c r="C451" t="s">
        <v>50</v>
      </c>
      <c r="D451" t="s">
        <v>612</v>
      </c>
      <c r="E451" t="s">
        <v>613</v>
      </c>
      <c r="F451" t="s">
        <v>11</v>
      </c>
      <c r="G451" t="s">
        <v>51</v>
      </c>
      <c r="H451" t="s">
        <v>72</v>
      </c>
      <c r="I451" t="s">
        <v>31</v>
      </c>
      <c r="J451">
        <v>4452</v>
      </c>
      <c r="K451">
        <v>149</v>
      </c>
      <c r="L451" s="4">
        <v>3.8199999999999998E-2</v>
      </c>
      <c r="M451">
        <v>0.09</v>
      </c>
      <c r="N451" s="4">
        <v>0.17006639999999998</v>
      </c>
      <c r="O451" s="4">
        <v>0.40067999999999998</v>
      </c>
    </row>
    <row r="452" spans="2:15">
      <c r="B452" t="s">
        <v>69</v>
      </c>
      <c r="C452" t="s">
        <v>50</v>
      </c>
      <c r="D452" t="s">
        <v>614</v>
      </c>
      <c r="E452" t="s">
        <v>615</v>
      </c>
      <c r="F452" t="s">
        <v>11</v>
      </c>
      <c r="G452" t="s">
        <v>51</v>
      </c>
      <c r="H452" t="s">
        <v>72</v>
      </c>
      <c r="I452" t="s">
        <v>31</v>
      </c>
      <c r="J452">
        <v>67329</v>
      </c>
      <c r="K452">
        <v>566</v>
      </c>
      <c r="L452" s="4">
        <v>3.8199999999999998E-2</v>
      </c>
      <c r="M452">
        <v>0.09</v>
      </c>
      <c r="N452" s="4">
        <v>2.5719677999999999</v>
      </c>
      <c r="O452" s="4">
        <v>6.0596099999999993</v>
      </c>
    </row>
    <row r="453" spans="2:15">
      <c r="B453" t="s">
        <v>69</v>
      </c>
      <c r="C453" t="s">
        <v>50</v>
      </c>
      <c r="D453" t="s">
        <v>614</v>
      </c>
      <c r="E453" t="s">
        <v>615</v>
      </c>
      <c r="F453" t="s">
        <v>11</v>
      </c>
      <c r="G453" t="s">
        <v>51</v>
      </c>
      <c r="H453" t="s">
        <v>72</v>
      </c>
      <c r="I453" t="s">
        <v>31</v>
      </c>
      <c r="J453">
        <v>5653</v>
      </c>
      <c r="K453">
        <v>177</v>
      </c>
      <c r="L453" s="4">
        <v>3.8199999999999998E-2</v>
      </c>
      <c r="M453">
        <v>0.09</v>
      </c>
      <c r="N453" s="4">
        <v>0.21594459999999999</v>
      </c>
      <c r="O453" s="4">
        <v>0.50876999999999994</v>
      </c>
    </row>
    <row r="454" spans="2:15">
      <c r="B454" t="s">
        <v>69</v>
      </c>
      <c r="C454" t="s">
        <v>50</v>
      </c>
      <c r="D454" t="s">
        <v>616</v>
      </c>
      <c r="E454" t="s">
        <v>617</v>
      </c>
      <c r="F454" t="s">
        <v>11</v>
      </c>
      <c r="G454" t="s">
        <v>51</v>
      </c>
      <c r="H454" t="s">
        <v>72</v>
      </c>
      <c r="I454" t="s">
        <v>31</v>
      </c>
      <c r="J454">
        <v>32605</v>
      </c>
      <c r="K454">
        <v>181</v>
      </c>
      <c r="L454" s="4">
        <v>3.8199999999999998E-2</v>
      </c>
      <c r="M454">
        <v>0.09</v>
      </c>
      <c r="N454" s="4">
        <v>1.245511</v>
      </c>
      <c r="O454" s="4">
        <v>2.93445</v>
      </c>
    </row>
    <row r="455" spans="2:15">
      <c r="B455" t="s">
        <v>69</v>
      </c>
      <c r="C455" t="s">
        <v>50</v>
      </c>
      <c r="D455" t="s">
        <v>616</v>
      </c>
      <c r="E455" t="s">
        <v>617</v>
      </c>
      <c r="F455" t="s">
        <v>11</v>
      </c>
      <c r="G455" t="s">
        <v>51</v>
      </c>
      <c r="H455" t="s">
        <v>72</v>
      </c>
      <c r="I455" t="s">
        <v>31</v>
      </c>
      <c r="J455">
        <v>4112</v>
      </c>
      <c r="K455">
        <v>138</v>
      </c>
      <c r="L455" s="4">
        <v>3.8199999999999998E-2</v>
      </c>
      <c r="M455">
        <v>0.09</v>
      </c>
      <c r="N455" s="4">
        <v>0.15707839999999998</v>
      </c>
      <c r="O455" s="4">
        <v>0.37007999999999996</v>
      </c>
    </row>
    <row r="456" spans="2:15">
      <c r="B456" t="s">
        <v>69</v>
      </c>
      <c r="C456" t="s">
        <v>50</v>
      </c>
      <c r="D456" t="s">
        <v>618</v>
      </c>
      <c r="E456" t="s">
        <v>619</v>
      </c>
      <c r="F456" t="s">
        <v>11</v>
      </c>
      <c r="G456" t="s">
        <v>51</v>
      </c>
      <c r="H456" t="s">
        <v>72</v>
      </c>
      <c r="I456" t="s">
        <v>31</v>
      </c>
      <c r="J456">
        <v>21513</v>
      </c>
      <c r="K456">
        <v>40</v>
      </c>
      <c r="L456" s="4">
        <v>3.8199999999999998E-2</v>
      </c>
      <c r="M456">
        <v>0.09</v>
      </c>
      <c r="N456" s="4">
        <v>0.82179659999999988</v>
      </c>
      <c r="O456" s="4">
        <v>1.9361699999999999</v>
      </c>
    </row>
    <row r="457" spans="2:15">
      <c r="B457" t="s">
        <v>69</v>
      </c>
      <c r="C457" t="s">
        <v>50</v>
      </c>
      <c r="D457" t="s">
        <v>618</v>
      </c>
      <c r="E457" t="s">
        <v>619</v>
      </c>
      <c r="F457" t="s">
        <v>11</v>
      </c>
      <c r="G457" t="s">
        <v>51</v>
      </c>
      <c r="H457" t="s">
        <v>72</v>
      </c>
      <c r="I457" t="s">
        <v>31</v>
      </c>
      <c r="J457">
        <v>8286</v>
      </c>
      <c r="K457">
        <v>16</v>
      </c>
      <c r="L457" s="4">
        <v>3.8199999999999998E-2</v>
      </c>
      <c r="M457">
        <v>0.09</v>
      </c>
      <c r="N457" s="4">
        <v>0.31652520000000001</v>
      </c>
      <c r="O457" s="4">
        <v>0.74573999999999996</v>
      </c>
    </row>
    <row r="458" spans="2:15">
      <c r="B458" t="s">
        <v>69</v>
      </c>
      <c r="C458" t="s">
        <v>50</v>
      </c>
      <c r="D458" t="s">
        <v>620</v>
      </c>
      <c r="E458" t="s">
        <v>621</v>
      </c>
      <c r="F458" t="s">
        <v>11</v>
      </c>
      <c r="G458" t="s">
        <v>51</v>
      </c>
      <c r="H458" t="s">
        <v>72</v>
      </c>
      <c r="I458" t="s">
        <v>31</v>
      </c>
      <c r="J458">
        <v>21470</v>
      </c>
      <c r="K458">
        <v>39</v>
      </c>
      <c r="L458" s="4">
        <v>3.8199999999999998E-2</v>
      </c>
      <c r="M458">
        <v>0.09</v>
      </c>
      <c r="N458" s="4">
        <v>0.82015400000000005</v>
      </c>
      <c r="O458" s="4">
        <v>1.9322999999999999</v>
      </c>
    </row>
    <row r="459" spans="2:15">
      <c r="B459" t="s">
        <v>69</v>
      </c>
      <c r="C459" t="s">
        <v>50</v>
      </c>
      <c r="D459" t="s">
        <v>620</v>
      </c>
      <c r="E459" t="s">
        <v>621</v>
      </c>
      <c r="F459" t="s">
        <v>11</v>
      </c>
      <c r="G459" t="s">
        <v>51</v>
      </c>
      <c r="H459" t="s">
        <v>72</v>
      </c>
      <c r="I459" t="s">
        <v>31</v>
      </c>
      <c r="J459">
        <v>8040</v>
      </c>
      <c r="K459">
        <v>12</v>
      </c>
      <c r="L459" s="4">
        <v>3.8199999999999998E-2</v>
      </c>
      <c r="M459">
        <v>0.09</v>
      </c>
      <c r="N459" s="4">
        <v>0.30712800000000001</v>
      </c>
      <c r="O459" s="4">
        <v>0.72360000000000002</v>
      </c>
    </row>
    <row r="460" spans="2:15">
      <c r="B460" t="s">
        <v>69</v>
      </c>
      <c r="C460" t="s">
        <v>50</v>
      </c>
      <c r="D460" t="s">
        <v>622</v>
      </c>
      <c r="E460" t="s">
        <v>623</v>
      </c>
      <c r="F460" t="s">
        <v>11</v>
      </c>
      <c r="G460" t="s">
        <v>51</v>
      </c>
      <c r="H460" t="s">
        <v>72</v>
      </c>
      <c r="I460" t="s">
        <v>31</v>
      </c>
      <c r="J460">
        <v>21689</v>
      </c>
      <c r="K460">
        <v>39</v>
      </c>
      <c r="L460" s="4">
        <v>3.8199999999999998E-2</v>
      </c>
      <c r="M460">
        <v>0.09</v>
      </c>
      <c r="N460" s="4">
        <v>0.82851979999999992</v>
      </c>
      <c r="O460" s="4">
        <v>1.95201</v>
      </c>
    </row>
    <row r="461" spans="2:15">
      <c r="B461" t="s">
        <v>69</v>
      </c>
      <c r="C461" t="s">
        <v>50</v>
      </c>
      <c r="D461" t="s">
        <v>622</v>
      </c>
      <c r="E461" t="s">
        <v>623</v>
      </c>
      <c r="F461" t="s">
        <v>11</v>
      </c>
      <c r="G461" t="s">
        <v>51</v>
      </c>
      <c r="H461" t="s">
        <v>72</v>
      </c>
      <c r="I461" t="s">
        <v>31</v>
      </c>
      <c r="J461">
        <v>7921</v>
      </c>
      <c r="K461">
        <v>17</v>
      </c>
      <c r="L461" s="4">
        <v>3.8199999999999998E-2</v>
      </c>
      <c r="M461">
        <v>0.09</v>
      </c>
      <c r="N461" s="4">
        <v>0.30258220000000002</v>
      </c>
      <c r="O461" s="4">
        <v>0.71289000000000002</v>
      </c>
    </row>
    <row r="462" spans="2:15">
      <c r="B462" t="s">
        <v>69</v>
      </c>
      <c r="C462" t="s">
        <v>50</v>
      </c>
      <c r="D462" t="s">
        <v>624</v>
      </c>
      <c r="E462" t="s">
        <v>625</v>
      </c>
      <c r="F462" t="s">
        <v>11</v>
      </c>
      <c r="G462" t="s">
        <v>51</v>
      </c>
      <c r="H462" t="s">
        <v>72</v>
      </c>
      <c r="I462" t="s">
        <v>31</v>
      </c>
      <c r="J462">
        <v>21643</v>
      </c>
      <c r="K462">
        <v>47</v>
      </c>
      <c r="L462" s="4">
        <v>3.8199999999999998E-2</v>
      </c>
      <c r="M462">
        <v>0.09</v>
      </c>
      <c r="N462" s="4">
        <v>0.8267625999999999</v>
      </c>
      <c r="O462" s="4">
        <v>1.94787</v>
      </c>
    </row>
    <row r="463" spans="2:15">
      <c r="B463" t="s">
        <v>69</v>
      </c>
      <c r="C463" t="s">
        <v>50</v>
      </c>
      <c r="D463" t="s">
        <v>624</v>
      </c>
      <c r="E463" t="s">
        <v>625</v>
      </c>
      <c r="F463" t="s">
        <v>11</v>
      </c>
      <c r="G463" t="s">
        <v>51</v>
      </c>
      <c r="H463" t="s">
        <v>72</v>
      </c>
      <c r="I463" t="s">
        <v>31</v>
      </c>
      <c r="J463">
        <v>9391</v>
      </c>
      <c r="K463">
        <v>14</v>
      </c>
      <c r="L463" s="4">
        <v>3.8199999999999998E-2</v>
      </c>
      <c r="M463">
        <v>0.09</v>
      </c>
      <c r="N463" s="4">
        <v>0.35873620000000001</v>
      </c>
      <c r="O463" s="4">
        <v>0.84518999999999989</v>
      </c>
    </row>
    <row r="464" spans="2:15">
      <c r="B464" t="s">
        <v>69</v>
      </c>
      <c r="C464" t="s">
        <v>50</v>
      </c>
      <c r="D464" t="s">
        <v>626</v>
      </c>
      <c r="E464" t="s">
        <v>627</v>
      </c>
      <c r="F464" t="s">
        <v>11</v>
      </c>
      <c r="G464" t="s">
        <v>51</v>
      </c>
      <c r="H464" t="s">
        <v>72</v>
      </c>
      <c r="I464" t="s">
        <v>31</v>
      </c>
      <c r="J464">
        <v>21925</v>
      </c>
      <c r="K464">
        <v>36</v>
      </c>
      <c r="L464" s="4">
        <v>3.8199999999999998E-2</v>
      </c>
      <c r="M464">
        <v>0.09</v>
      </c>
      <c r="N464" s="4">
        <v>0.83753499999999992</v>
      </c>
      <c r="O464" s="4">
        <v>1.9732499999999999</v>
      </c>
    </row>
    <row r="465" spans="2:15">
      <c r="B465" t="s">
        <v>69</v>
      </c>
      <c r="C465" t="s">
        <v>50</v>
      </c>
      <c r="D465" t="s">
        <v>626</v>
      </c>
      <c r="E465" t="s">
        <v>627</v>
      </c>
      <c r="F465" t="s">
        <v>11</v>
      </c>
      <c r="G465" t="s">
        <v>51</v>
      </c>
      <c r="H465" t="s">
        <v>72</v>
      </c>
      <c r="I465" t="s">
        <v>31</v>
      </c>
      <c r="J465">
        <v>7797</v>
      </c>
      <c r="K465">
        <v>7</v>
      </c>
      <c r="L465" s="4">
        <v>3.8199999999999998E-2</v>
      </c>
      <c r="M465">
        <v>0.09</v>
      </c>
      <c r="N465" s="4">
        <v>0.29784539999999998</v>
      </c>
      <c r="O465" s="4">
        <v>0.70172999999999996</v>
      </c>
    </row>
    <row r="466" spans="2:15">
      <c r="B466" t="s">
        <v>69</v>
      </c>
      <c r="C466" t="s">
        <v>50</v>
      </c>
      <c r="D466" t="s">
        <v>628</v>
      </c>
      <c r="E466" t="s">
        <v>629</v>
      </c>
      <c r="F466" t="s">
        <v>11</v>
      </c>
      <c r="G466" t="s">
        <v>51</v>
      </c>
      <c r="H466" t="s">
        <v>72</v>
      </c>
      <c r="I466" t="s">
        <v>31</v>
      </c>
      <c r="J466">
        <v>21264</v>
      </c>
      <c r="K466">
        <v>43</v>
      </c>
      <c r="L466" s="4">
        <v>3.8199999999999998E-2</v>
      </c>
      <c r="M466">
        <v>0.09</v>
      </c>
      <c r="N466" s="4">
        <v>0.81228479999999992</v>
      </c>
      <c r="O466" s="4">
        <v>1.9137599999999999</v>
      </c>
    </row>
    <row r="467" spans="2:15">
      <c r="B467" t="s">
        <v>69</v>
      </c>
      <c r="C467" t="s">
        <v>50</v>
      </c>
      <c r="D467" t="s">
        <v>628</v>
      </c>
      <c r="E467" t="s">
        <v>629</v>
      </c>
      <c r="F467" t="s">
        <v>11</v>
      </c>
      <c r="G467" t="s">
        <v>51</v>
      </c>
      <c r="H467" t="s">
        <v>72</v>
      </c>
      <c r="I467" t="s">
        <v>31</v>
      </c>
      <c r="J467">
        <v>7999</v>
      </c>
      <c r="K467">
        <v>10</v>
      </c>
      <c r="L467" s="4">
        <v>3.8199999999999998E-2</v>
      </c>
      <c r="M467">
        <v>0.09</v>
      </c>
      <c r="N467" s="4">
        <v>0.30556179999999999</v>
      </c>
      <c r="O467" s="4">
        <v>0.71990999999999994</v>
      </c>
    </row>
    <row r="468" spans="2:15">
      <c r="B468" t="s">
        <v>69</v>
      </c>
      <c r="C468" t="s">
        <v>50</v>
      </c>
      <c r="D468" t="s">
        <v>630</v>
      </c>
      <c r="E468" t="s">
        <v>631</v>
      </c>
      <c r="F468" t="s">
        <v>11</v>
      </c>
      <c r="G468" t="s">
        <v>51</v>
      </c>
      <c r="H468" t="s">
        <v>72</v>
      </c>
      <c r="I468" t="s">
        <v>31</v>
      </c>
      <c r="J468">
        <v>21795</v>
      </c>
      <c r="K468">
        <v>42</v>
      </c>
      <c r="L468" s="4">
        <v>3.8199999999999998E-2</v>
      </c>
      <c r="M468">
        <v>0.09</v>
      </c>
      <c r="N468" s="4">
        <v>0.832569</v>
      </c>
      <c r="O468" s="4">
        <v>1.9615499999999999</v>
      </c>
    </row>
    <row r="469" spans="2:15">
      <c r="B469" t="s">
        <v>69</v>
      </c>
      <c r="C469" t="s">
        <v>50</v>
      </c>
      <c r="D469" t="s">
        <v>630</v>
      </c>
      <c r="E469" t="s">
        <v>631</v>
      </c>
      <c r="F469" t="s">
        <v>11</v>
      </c>
      <c r="G469" t="s">
        <v>51</v>
      </c>
      <c r="H469" t="s">
        <v>72</v>
      </c>
      <c r="I469" t="s">
        <v>31</v>
      </c>
      <c r="J469">
        <v>7807</v>
      </c>
      <c r="K469">
        <v>5</v>
      </c>
      <c r="L469" s="4">
        <v>3.8199999999999998E-2</v>
      </c>
      <c r="M469">
        <v>0.09</v>
      </c>
      <c r="N469" s="4">
        <v>0.29822739999999998</v>
      </c>
      <c r="O469" s="4">
        <v>0.70262999999999998</v>
      </c>
    </row>
    <row r="470" spans="2:15">
      <c r="B470" t="s">
        <v>69</v>
      </c>
      <c r="C470" t="s">
        <v>50</v>
      </c>
      <c r="D470" t="s">
        <v>632</v>
      </c>
      <c r="E470" t="s">
        <v>633</v>
      </c>
      <c r="F470" t="s">
        <v>11</v>
      </c>
      <c r="G470" t="s">
        <v>51</v>
      </c>
      <c r="H470" t="s">
        <v>72</v>
      </c>
      <c r="I470" t="s">
        <v>31</v>
      </c>
      <c r="J470">
        <v>21505</v>
      </c>
      <c r="K470">
        <v>42</v>
      </c>
      <c r="L470" s="4">
        <v>3.8199999999999998E-2</v>
      </c>
      <c r="M470">
        <v>0.09</v>
      </c>
      <c r="N470" s="4">
        <v>0.82149099999999997</v>
      </c>
      <c r="O470" s="4">
        <v>1.9354499999999999</v>
      </c>
    </row>
    <row r="471" spans="2:15">
      <c r="B471" t="s">
        <v>69</v>
      </c>
      <c r="C471" t="s">
        <v>50</v>
      </c>
      <c r="D471" t="s">
        <v>632</v>
      </c>
      <c r="E471" t="s">
        <v>633</v>
      </c>
      <c r="F471" t="s">
        <v>11</v>
      </c>
      <c r="G471" t="s">
        <v>51</v>
      </c>
      <c r="H471" t="s">
        <v>72</v>
      </c>
      <c r="I471" t="s">
        <v>31</v>
      </c>
      <c r="J471">
        <v>8140</v>
      </c>
      <c r="K471">
        <v>10</v>
      </c>
      <c r="L471" s="4">
        <v>3.8199999999999998E-2</v>
      </c>
      <c r="M471">
        <v>0.09</v>
      </c>
      <c r="N471" s="4">
        <v>0.310948</v>
      </c>
      <c r="O471" s="4">
        <v>0.73260000000000003</v>
      </c>
    </row>
    <row r="472" spans="2:15">
      <c r="B472" t="s">
        <v>69</v>
      </c>
      <c r="C472" t="s">
        <v>50</v>
      </c>
      <c r="D472" t="s">
        <v>634</v>
      </c>
      <c r="E472" t="s">
        <v>635</v>
      </c>
      <c r="F472" t="s">
        <v>11</v>
      </c>
      <c r="G472" t="s">
        <v>51</v>
      </c>
      <c r="H472" t="s">
        <v>72</v>
      </c>
      <c r="I472" t="s">
        <v>31</v>
      </c>
      <c r="J472">
        <v>6048</v>
      </c>
      <c r="K472">
        <v>3</v>
      </c>
      <c r="L472" s="4">
        <v>3.8199999999999998E-2</v>
      </c>
      <c r="M472">
        <v>0.09</v>
      </c>
      <c r="N472" s="4">
        <v>0.23103359999999998</v>
      </c>
      <c r="O472" s="4">
        <v>0.54431999999999992</v>
      </c>
    </row>
    <row r="473" spans="2:15">
      <c r="B473" t="s">
        <v>69</v>
      </c>
      <c r="C473" t="s">
        <v>50</v>
      </c>
      <c r="D473" t="s">
        <v>636</v>
      </c>
      <c r="E473" t="s">
        <v>637</v>
      </c>
      <c r="F473" t="s">
        <v>11</v>
      </c>
      <c r="G473" t="s">
        <v>51</v>
      </c>
      <c r="H473" t="s">
        <v>72</v>
      </c>
      <c r="I473" t="s">
        <v>31</v>
      </c>
      <c r="J473">
        <v>5843</v>
      </c>
      <c r="K473">
        <v>4</v>
      </c>
      <c r="L473" s="4">
        <v>3.8199999999999998E-2</v>
      </c>
      <c r="M473">
        <v>0.09</v>
      </c>
      <c r="N473" s="4">
        <v>0.2232026</v>
      </c>
      <c r="O473" s="4">
        <v>0.52587000000000006</v>
      </c>
    </row>
    <row r="474" spans="2:15">
      <c r="B474" t="s">
        <v>69</v>
      </c>
      <c r="C474" t="s">
        <v>50</v>
      </c>
      <c r="D474" t="s">
        <v>638</v>
      </c>
      <c r="E474" t="s">
        <v>639</v>
      </c>
      <c r="F474" t="s">
        <v>11</v>
      </c>
      <c r="G474" t="s">
        <v>51</v>
      </c>
      <c r="H474" t="s">
        <v>72</v>
      </c>
      <c r="I474" t="s">
        <v>31</v>
      </c>
      <c r="J474">
        <v>7090</v>
      </c>
      <c r="K474">
        <v>9</v>
      </c>
      <c r="L474" s="4">
        <v>3.8199999999999998E-2</v>
      </c>
      <c r="M474">
        <v>0.09</v>
      </c>
      <c r="N474" s="4">
        <v>0.27083799999999997</v>
      </c>
      <c r="O474" s="4">
        <v>0.6381</v>
      </c>
    </row>
    <row r="475" spans="2:15">
      <c r="B475" t="s">
        <v>69</v>
      </c>
      <c r="C475" t="s">
        <v>50</v>
      </c>
      <c r="D475" t="s">
        <v>640</v>
      </c>
      <c r="E475" t="s">
        <v>641</v>
      </c>
      <c r="F475" t="s">
        <v>11</v>
      </c>
      <c r="G475" t="s">
        <v>51</v>
      </c>
      <c r="H475" t="s">
        <v>72</v>
      </c>
      <c r="I475" t="s">
        <v>31</v>
      </c>
      <c r="J475">
        <v>6053</v>
      </c>
      <c r="K475">
        <v>7</v>
      </c>
      <c r="L475" s="4">
        <v>3.8199999999999998E-2</v>
      </c>
      <c r="M475">
        <v>0.09</v>
      </c>
      <c r="N475" s="4">
        <v>0.23122459999999997</v>
      </c>
      <c r="O475" s="4">
        <v>0.54476999999999998</v>
      </c>
    </row>
    <row r="476" spans="2:15">
      <c r="B476" t="s">
        <v>69</v>
      </c>
      <c r="C476" t="s">
        <v>50</v>
      </c>
      <c r="D476" t="s">
        <v>642</v>
      </c>
      <c r="E476" t="s">
        <v>643</v>
      </c>
      <c r="F476" t="s">
        <v>11</v>
      </c>
      <c r="G476" t="s">
        <v>51</v>
      </c>
      <c r="H476" t="s">
        <v>72</v>
      </c>
      <c r="I476" t="s">
        <v>31</v>
      </c>
      <c r="J476">
        <v>5990</v>
      </c>
      <c r="K476">
        <v>5</v>
      </c>
      <c r="L476" s="4">
        <v>3.8199999999999998E-2</v>
      </c>
      <c r="M476">
        <v>0.09</v>
      </c>
      <c r="N476" s="4">
        <v>0.22881799999999999</v>
      </c>
      <c r="O476" s="4">
        <v>0.53910000000000002</v>
      </c>
    </row>
    <row r="477" spans="2:15">
      <c r="B477" t="s">
        <v>69</v>
      </c>
      <c r="C477" t="s">
        <v>50</v>
      </c>
      <c r="D477" t="s">
        <v>644</v>
      </c>
      <c r="E477" t="s">
        <v>645</v>
      </c>
      <c r="F477" t="s">
        <v>11</v>
      </c>
      <c r="G477" t="s">
        <v>51</v>
      </c>
      <c r="H477" t="s">
        <v>72</v>
      </c>
      <c r="I477" t="s">
        <v>31</v>
      </c>
      <c r="J477">
        <v>6521</v>
      </c>
      <c r="K477">
        <v>12</v>
      </c>
      <c r="L477" s="4">
        <v>3.8199999999999998E-2</v>
      </c>
      <c r="M477">
        <v>0.09</v>
      </c>
      <c r="N477" s="4">
        <v>0.2491022</v>
      </c>
      <c r="O477" s="4">
        <v>0.58689000000000002</v>
      </c>
    </row>
    <row r="478" spans="2:15">
      <c r="B478" t="s">
        <v>69</v>
      </c>
      <c r="C478" t="s">
        <v>50</v>
      </c>
      <c r="D478" t="s">
        <v>646</v>
      </c>
      <c r="E478" t="s">
        <v>647</v>
      </c>
      <c r="F478" t="s">
        <v>11</v>
      </c>
      <c r="G478" t="s">
        <v>51</v>
      </c>
      <c r="H478" t="s">
        <v>72</v>
      </c>
      <c r="I478" t="s">
        <v>31</v>
      </c>
      <c r="J478">
        <v>5937</v>
      </c>
      <c r="K478">
        <v>4</v>
      </c>
      <c r="L478" s="4">
        <v>3.8199999999999998E-2</v>
      </c>
      <c r="M478">
        <v>0.09</v>
      </c>
      <c r="N478" s="4">
        <v>0.22679339999999998</v>
      </c>
      <c r="O478" s="4">
        <v>0.53432999999999997</v>
      </c>
    </row>
    <row r="479" spans="2:15">
      <c r="B479" t="s">
        <v>69</v>
      </c>
      <c r="C479" t="s">
        <v>50</v>
      </c>
      <c r="D479" t="s">
        <v>648</v>
      </c>
      <c r="E479" t="s">
        <v>649</v>
      </c>
      <c r="F479" t="s">
        <v>11</v>
      </c>
      <c r="G479" t="s">
        <v>51</v>
      </c>
      <c r="H479" t="s">
        <v>72</v>
      </c>
      <c r="I479" t="s">
        <v>31</v>
      </c>
      <c r="J479">
        <v>6355</v>
      </c>
      <c r="K479">
        <v>8</v>
      </c>
      <c r="L479" s="4">
        <v>3.8199999999999998E-2</v>
      </c>
      <c r="M479">
        <v>0.09</v>
      </c>
      <c r="N479" s="4">
        <v>0.242761</v>
      </c>
      <c r="O479" s="4">
        <v>0.57194999999999996</v>
      </c>
    </row>
    <row r="480" spans="2:15">
      <c r="B480" t="s">
        <v>69</v>
      </c>
      <c r="C480" t="s">
        <v>50</v>
      </c>
      <c r="D480" t="s">
        <v>650</v>
      </c>
      <c r="E480" t="s">
        <v>651</v>
      </c>
      <c r="F480" t="s">
        <v>11</v>
      </c>
      <c r="G480" t="s">
        <v>51</v>
      </c>
      <c r="H480" t="s">
        <v>72</v>
      </c>
      <c r="I480" t="s">
        <v>31</v>
      </c>
      <c r="J480">
        <v>6602</v>
      </c>
      <c r="K480">
        <v>9</v>
      </c>
      <c r="L480" s="4">
        <v>3.8199999999999998E-2</v>
      </c>
      <c r="M480">
        <v>0.09</v>
      </c>
      <c r="N480" s="4">
        <v>0.25219639999999999</v>
      </c>
      <c r="O480" s="4">
        <v>0.59417999999999993</v>
      </c>
    </row>
    <row r="481" spans="2:15">
      <c r="B481" t="s">
        <v>69</v>
      </c>
      <c r="C481" t="s">
        <v>50</v>
      </c>
      <c r="D481" t="s">
        <v>652</v>
      </c>
      <c r="E481" t="s">
        <v>653</v>
      </c>
      <c r="F481" t="s">
        <v>11</v>
      </c>
      <c r="G481" t="s">
        <v>51</v>
      </c>
      <c r="H481" t="s">
        <v>72</v>
      </c>
      <c r="I481" t="s">
        <v>31</v>
      </c>
      <c r="J481">
        <v>110785</v>
      </c>
      <c r="K481">
        <v>459</v>
      </c>
      <c r="L481" s="4">
        <v>3.8199999999999998E-2</v>
      </c>
      <c r="M481">
        <v>0.09</v>
      </c>
      <c r="N481" s="4">
        <v>4.2319870000000002</v>
      </c>
      <c r="O481" s="4">
        <v>9.9706499999999991</v>
      </c>
    </row>
    <row r="482" spans="2:15">
      <c r="B482" t="s">
        <v>69</v>
      </c>
      <c r="C482" t="s">
        <v>50</v>
      </c>
      <c r="D482" t="s">
        <v>652</v>
      </c>
      <c r="E482" t="s">
        <v>653</v>
      </c>
      <c r="F482" t="s">
        <v>11</v>
      </c>
      <c r="G482" t="s">
        <v>51</v>
      </c>
      <c r="H482" t="s">
        <v>72</v>
      </c>
      <c r="I482" t="s">
        <v>31</v>
      </c>
      <c r="J482">
        <v>12068</v>
      </c>
      <c r="K482">
        <v>206</v>
      </c>
      <c r="L482" s="4">
        <v>3.8199999999999998E-2</v>
      </c>
      <c r="M482">
        <v>0.09</v>
      </c>
      <c r="N482" s="4">
        <v>0.46099759999999995</v>
      </c>
      <c r="O482" s="4">
        <v>1.08612</v>
      </c>
    </row>
    <row r="483" spans="2:15">
      <c r="B483" t="s">
        <v>69</v>
      </c>
      <c r="C483" t="s">
        <v>50</v>
      </c>
      <c r="D483" t="s">
        <v>654</v>
      </c>
      <c r="E483" t="s">
        <v>655</v>
      </c>
      <c r="F483" t="s">
        <v>11</v>
      </c>
      <c r="G483" t="s">
        <v>51</v>
      </c>
      <c r="H483" t="s">
        <v>72</v>
      </c>
      <c r="I483" t="s">
        <v>31</v>
      </c>
      <c r="J483">
        <v>110460</v>
      </c>
      <c r="K483">
        <v>490</v>
      </c>
      <c r="L483" s="4">
        <v>3.8199999999999998E-2</v>
      </c>
      <c r="M483">
        <v>0.09</v>
      </c>
      <c r="N483" s="4">
        <v>4.2195720000000003</v>
      </c>
      <c r="O483" s="4">
        <v>9.9413999999999998</v>
      </c>
    </row>
    <row r="484" spans="2:15">
      <c r="B484" t="s">
        <v>69</v>
      </c>
      <c r="C484" t="s">
        <v>50</v>
      </c>
      <c r="D484" t="s">
        <v>654</v>
      </c>
      <c r="E484" t="s">
        <v>655</v>
      </c>
      <c r="F484" t="s">
        <v>11</v>
      </c>
      <c r="G484" t="s">
        <v>51</v>
      </c>
      <c r="H484" t="s">
        <v>72</v>
      </c>
      <c r="I484" t="s">
        <v>31</v>
      </c>
      <c r="J484">
        <v>38238</v>
      </c>
      <c r="K484">
        <v>474</v>
      </c>
      <c r="L484" s="4">
        <v>3.8199999999999998E-2</v>
      </c>
      <c r="M484">
        <v>0.09</v>
      </c>
      <c r="N484" s="4">
        <v>1.4606915999999999</v>
      </c>
      <c r="O484" s="4">
        <v>3.4414199999999999</v>
      </c>
    </row>
    <row r="485" spans="2:15">
      <c r="B485" t="s">
        <v>69</v>
      </c>
      <c r="C485" t="s">
        <v>50</v>
      </c>
      <c r="D485" t="s">
        <v>656</v>
      </c>
      <c r="E485" t="s">
        <v>657</v>
      </c>
      <c r="F485" t="s">
        <v>11</v>
      </c>
      <c r="G485" t="s">
        <v>51</v>
      </c>
      <c r="H485" t="s">
        <v>72</v>
      </c>
      <c r="I485" t="s">
        <v>31</v>
      </c>
      <c r="J485">
        <v>113538</v>
      </c>
      <c r="K485">
        <v>416</v>
      </c>
      <c r="L485" s="4">
        <v>3.8199999999999998E-2</v>
      </c>
      <c r="M485">
        <v>0.09</v>
      </c>
      <c r="N485" s="4">
        <v>4.3371516000000003</v>
      </c>
      <c r="O485" s="4">
        <v>10.21842</v>
      </c>
    </row>
    <row r="486" spans="2:15">
      <c r="B486" t="s">
        <v>69</v>
      </c>
      <c r="C486" t="s">
        <v>50</v>
      </c>
      <c r="D486" t="s">
        <v>656</v>
      </c>
      <c r="E486" t="s">
        <v>657</v>
      </c>
      <c r="F486" t="s">
        <v>11</v>
      </c>
      <c r="G486" t="s">
        <v>51</v>
      </c>
      <c r="H486" t="s">
        <v>72</v>
      </c>
      <c r="I486" t="s">
        <v>31</v>
      </c>
      <c r="J486">
        <v>7290</v>
      </c>
      <c r="K486">
        <v>131</v>
      </c>
      <c r="L486" s="4">
        <v>3.8199999999999998E-2</v>
      </c>
      <c r="M486">
        <v>0.09</v>
      </c>
      <c r="N486" s="4">
        <v>0.278478</v>
      </c>
      <c r="O486" s="4">
        <v>0.65610000000000002</v>
      </c>
    </row>
    <row r="487" spans="2:15">
      <c r="B487" t="s">
        <v>69</v>
      </c>
      <c r="C487" t="s">
        <v>50</v>
      </c>
      <c r="D487" t="s">
        <v>658</v>
      </c>
      <c r="E487" t="s">
        <v>659</v>
      </c>
      <c r="F487" t="s">
        <v>11</v>
      </c>
      <c r="G487" t="s">
        <v>51</v>
      </c>
      <c r="H487" t="s">
        <v>72</v>
      </c>
      <c r="I487" t="s">
        <v>31</v>
      </c>
      <c r="J487">
        <v>113691</v>
      </c>
      <c r="K487">
        <v>456</v>
      </c>
      <c r="L487" s="4">
        <v>3.8199999999999998E-2</v>
      </c>
      <c r="M487">
        <v>0.09</v>
      </c>
      <c r="N487" s="4">
        <v>4.3429962</v>
      </c>
      <c r="O487" s="4">
        <v>10.232190000000001</v>
      </c>
    </row>
    <row r="488" spans="2:15">
      <c r="B488" t="s">
        <v>69</v>
      </c>
      <c r="C488" t="s">
        <v>50</v>
      </c>
      <c r="D488" t="s">
        <v>658</v>
      </c>
      <c r="E488" t="s">
        <v>659</v>
      </c>
      <c r="F488" t="s">
        <v>11</v>
      </c>
      <c r="G488" t="s">
        <v>51</v>
      </c>
      <c r="H488" t="s">
        <v>72</v>
      </c>
      <c r="I488" t="s">
        <v>31</v>
      </c>
      <c r="J488">
        <v>22477</v>
      </c>
      <c r="K488">
        <v>481</v>
      </c>
      <c r="L488" s="4">
        <v>3.8199999999999998E-2</v>
      </c>
      <c r="M488">
        <v>0.09</v>
      </c>
      <c r="N488" s="4">
        <v>0.85862139999999998</v>
      </c>
      <c r="O488" s="4">
        <v>2.0229299999999997</v>
      </c>
    </row>
    <row r="489" spans="2:15">
      <c r="B489" t="s">
        <v>69</v>
      </c>
      <c r="C489" t="s">
        <v>50</v>
      </c>
      <c r="D489" t="s">
        <v>660</v>
      </c>
      <c r="E489" t="s">
        <v>661</v>
      </c>
      <c r="F489" t="s">
        <v>11</v>
      </c>
      <c r="G489" t="s">
        <v>51</v>
      </c>
      <c r="H489" t="s">
        <v>72</v>
      </c>
      <c r="I489" t="s">
        <v>31</v>
      </c>
      <c r="J489">
        <v>51595</v>
      </c>
      <c r="K489">
        <v>578</v>
      </c>
      <c r="L489" s="4">
        <v>3.8199999999999998E-2</v>
      </c>
      <c r="M489">
        <v>0.09</v>
      </c>
      <c r="N489" s="4">
        <v>1.9709289999999999</v>
      </c>
      <c r="O489" s="4">
        <v>4.6435500000000003</v>
      </c>
    </row>
    <row r="490" spans="2:15">
      <c r="B490" t="s">
        <v>69</v>
      </c>
      <c r="C490" t="s">
        <v>50</v>
      </c>
      <c r="D490" t="s">
        <v>660</v>
      </c>
      <c r="E490" t="s">
        <v>661</v>
      </c>
      <c r="F490" t="s">
        <v>11</v>
      </c>
      <c r="G490" t="s">
        <v>51</v>
      </c>
      <c r="H490" t="s">
        <v>72</v>
      </c>
      <c r="I490" t="s">
        <v>31</v>
      </c>
      <c r="J490">
        <v>10991</v>
      </c>
      <c r="K490">
        <v>362</v>
      </c>
      <c r="L490" s="4">
        <v>3.8199999999999998E-2</v>
      </c>
      <c r="M490">
        <v>0.09</v>
      </c>
      <c r="N490" s="4">
        <v>0.41985620000000001</v>
      </c>
      <c r="O490" s="4">
        <v>0.9891899999999999</v>
      </c>
    </row>
    <row r="491" spans="2:15">
      <c r="B491" t="s">
        <v>69</v>
      </c>
      <c r="C491" t="s">
        <v>50</v>
      </c>
      <c r="D491" t="s">
        <v>662</v>
      </c>
      <c r="E491" t="s">
        <v>663</v>
      </c>
      <c r="F491" t="s">
        <v>11</v>
      </c>
      <c r="G491" t="s">
        <v>51</v>
      </c>
      <c r="H491" t="s">
        <v>72</v>
      </c>
      <c r="I491" t="s">
        <v>31</v>
      </c>
      <c r="J491">
        <v>20557</v>
      </c>
      <c r="K491">
        <v>58</v>
      </c>
      <c r="L491" s="4">
        <v>3.8199999999999998E-2</v>
      </c>
      <c r="M491">
        <v>0.09</v>
      </c>
      <c r="N491" s="4">
        <v>0.7852773999999999</v>
      </c>
      <c r="O491" s="4">
        <v>1.8501299999999998</v>
      </c>
    </row>
    <row r="492" spans="2:15">
      <c r="B492" t="s">
        <v>69</v>
      </c>
      <c r="C492" t="s">
        <v>50</v>
      </c>
      <c r="D492" t="s">
        <v>662</v>
      </c>
      <c r="E492" t="s">
        <v>663</v>
      </c>
      <c r="F492" t="s">
        <v>11</v>
      </c>
      <c r="G492" t="s">
        <v>51</v>
      </c>
      <c r="H492" t="s">
        <v>72</v>
      </c>
      <c r="I492" t="s">
        <v>31</v>
      </c>
      <c r="J492">
        <v>5896</v>
      </c>
      <c r="K492">
        <v>208</v>
      </c>
      <c r="L492" s="4">
        <v>3.8199999999999998E-2</v>
      </c>
      <c r="M492">
        <v>0.09</v>
      </c>
      <c r="N492" s="4">
        <v>0.22522719999999999</v>
      </c>
      <c r="O492" s="4">
        <v>0.53064</v>
      </c>
    </row>
    <row r="493" spans="2:15">
      <c r="B493" t="s">
        <v>69</v>
      </c>
      <c r="C493" t="s">
        <v>50</v>
      </c>
      <c r="D493" t="s">
        <v>664</v>
      </c>
      <c r="E493" t="s">
        <v>665</v>
      </c>
      <c r="F493" t="s">
        <v>11</v>
      </c>
      <c r="G493" t="s">
        <v>51</v>
      </c>
      <c r="H493" t="s">
        <v>72</v>
      </c>
      <c r="I493" t="s">
        <v>31</v>
      </c>
      <c r="J493">
        <v>19807</v>
      </c>
      <c r="K493">
        <v>61</v>
      </c>
      <c r="L493" s="4">
        <v>3.8199999999999998E-2</v>
      </c>
      <c r="M493">
        <v>0.09</v>
      </c>
      <c r="N493" s="4">
        <v>0.75662739999999995</v>
      </c>
      <c r="O493" s="4">
        <v>1.7826299999999999</v>
      </c>
    </row>
    <row r="494" spans="2:15">
      <c r="B494" t="s">
        <v>69</v>
      </c>
      <c r="C494" t="s">
        <v>50</v>
      </c>
      <c r="D494" t="s">
        <v>664</v>
      </c>
      <c r="E494" t="s">
        <v>665</v>
      </c>
      <c r="F494" t="s">
        <v>11</v>
      </c>
      <c r="G494" t="s">
        <v>51</v>
      </c>
      <c r="H494" t="s">
        <v>72</v>
      </c>
      <c r="I494" t="s">
        <v>31</v>
      </c>
      <c r="J494">
        <v>4528</v>
      </c>
      <c r="K494">
        <v>140</v>
      </c>
      <c r="L494" s="4">
        <v>3.8199999999999998E-2</v>
      </c>
      <c r="M494">
        <v>0.09</v>
      </c>
      <c r="N494" s="4">
        <v>0.17296959999999997</v>
      </c>
      <c r="O494" s="4">
        <v>0.40751999999999999</v>
      </c>
    </row>
    <row r="495" spans="2:15">
      <c r="B495" t="s">
        <v>69</v>
      </c>
      <c r="C495" t="s">
        <v>50</v>
      </c>
      <c r="D495" t="s">
        <v>666</v>
      </c>
      <c r="E495" t="s">
        <v>667</v>
      </c>
      <c r="F495" t="s">
        <v>11</v>
      </c>
      <c r="G495" t="s">
        <v>51</v>
      </c>
      <c r="H495" t="s">
        <v>72</v>
      </c>
      <c r="I495" t="s">
        <v>31</v>
      </c>
      <c r="J495">
        <v>24640</v>
      </c>
      <c r="K495">
        <v>65</v>
      </c>
      <c r="L495" s="4">
        <v>3.8199999999999998E-2</v>
      </c>
      <c r="M495">
        <v>0.09</v>
      </c>
      <c r="N495" s="4">
        <v>0.94124799999999997</v>
      </c>
      <c r="O495" s="4">
        <v>2.2176</v>
      </c>
    </row>
    <row r="496" spans="2:15">
      <c r="B496" t="s">
        <v>69</v>
      </c>
      <c r="C496" t="s">
        <v>50</v>
      </c>
      <c r="D496" t="s">
        <v>666</v>
      </c>
      <c r="E496" t="s">
        <v>667</v>
      </c>
      <c r="F496" t="s">
        <v>11</v>
      </c>
      <c r="G496" t="s">
        <v>51</v>
      </c>
      <c r="H496" t="s">
        <v>72</v>
      </c>
      <c r="I496" t="s">
        <v>31</v>
      </c>
      <c r="J496">
        <v>4267</v>
      </c>
      <c r="K496">
        <v>127</v>
      </c>
      <c r="L496" s="4">
        <v>3.8199999999999998E-2</v>
      </c>
      <c r="M496">
        <v>0.09</v>
      </c>
      <c r="N496" s="4">
        <v>0.16299939999999999</v>
      </c>
      <c r="O496" s="4">
        <v>0.38402999999999998</v>
      </c>
    </row>
    <row r="497" spans="2:15">
      <c r="B497" t="s">
        <v>69</v>
      </c>
      <c r="C497" t="s">
        <v>50</v>
      </c>
      <c r="D497" t="s">
        <v>668</v>
      </c>
      <c r="E497" t="s">
        <v>669</v>
      </c>
      <c r="F497" t="s">
        <v>11</v>
      </c>
      <c r="G497" t="s">
        <v>51</v>
      </c>
      <c r="H497" t="s">
        <v>72</v>
      </c>
      <c r="I497" t="s">
        <v>31</v>
      </c>
      <c r="J497">
        <v>10431</v>
      </c>
      <c r="K497">
        <v>11</v>
      </c>
      <c r="L497" s="4">
        <v>3.8199999999999998E-2</v>
      </c>
      <c r="M497">
        <v>0.09</v>
      </c>
      <c r="N497" s="4">
        <v>0.39846419999999999</v>
      </c>
      <c r="O497" s="4">
        <v>0.93879000000000001</v>
      </c>
    </row>
    <row r="498" spans="2:15">
      <c r="B498" t="s">
        <v>69</v>
      </c>
      <c r="C498" t="s">
        <v>50</v>
      </c>
      <c r="D498" t="s">
        <v>668</v>
      </c>
      <c r="E498" t="s">
        <v>669</v>
      </c>
      <c r="F498" t="s">
        <v>11</v>
      </c>
      <c r="G498" t="s">
        <v>51</v>
      </c>
      <c r="H498" t="s">
        <v>72</v>
      </c>
      <c r="I498" t="s">
        <v>31</v>
      </c>
      <c r="J498">
        <v>7914</v>
      </c>
      <c r="K498">
        <v>6</v>
      </c>
      <c r="L498" s="4">
        <v>3.8199999999999998E-2</v>
      </c>
      <c r="M498">
        <v>0.09</v>
      </c>
      <c r="N498" s="4">
        <v>0.30231479999999999</v>
      </c>
      <c r="O498" s="4">
        <v>0.71226</v>
      </c>
    </row>
    <row r="499" spans="2:15">
      <c r="B499" t="s">
        <v>69</v>
      </c>
      <c r="C499" t="s">
        <v>50</v>
      </c>
      <c r="D499" t="s">
        <v>670</v>
      </c>
      <c r="E499" t="s">
        <v>671</v>
      </c>
      <c r="F499" t="s">
        <v>11</v>
      </c>
      <c r="G499" t="s">
        <v>51</v>
      </c>
      <c r="H499" t="s">
        <v>72</v>
      </c>
      <c r="I499" t="s">
        <v>31</v>
      </c>
      <c r="J499">
        <v>5180</v>
      </c>
      <c r="K499">
        <v>8</v>
      </c>
      <c r="L499" s="4">
        <v>3.8199999999999998E-2</v>
      </c>
      <c r="M499">
        <v>0.09</v>
      </c>
      <c r="N499" s="4">
        <v>0.19787599999999997</v>
      </c>
      <c r="O499" s="4">
        <v>0.4662</v>
      </c>
    </row>
    <row r="500" spans="2:15">
      <c r="B500" t="s">
        <v>69</v>
      </c>
      <c r="C500" t="s">
        <v>50</v>
      </c>
      <c r="D500" t="s">
        <v>670</v>
      </c>
      <c r="E500" t="s">
        <v>671</v>
      </c>
      <c r="F500" t="s">
        <v>11</v>
      </c>
      <c r="G500" t="s">
        <v>51</v>
      </c>
      <c r="H500" t="s">
        <v>72</v>
      </c>
      <c r="I500" t="s">
        <v>31</v>
      </c>
      <c r="J500">
        <v>3376</v>
      </c>
      <c r="K500">
        <v>4</v>
      </c>
      <c r="L500" s="4">
        <v>3.8199999999999998E-2</v>
      </c>
      <c r="M500">
        <v>0.09</v>
      </c>
      <c r="N500" s="4">
        <v>0.1289632</v>
      </c>
      <c r="O500" s="4">
        <v>0.30384</v>
      </c>
    </row>
    <row r="501" spans="2:15">
      <c r="B501" t="s">
        <v>69</v>
      </c>
      <c r="C501" t="s">
        <v>50</v>
      </c>
      <c r="D501" t="s">
        <v>672</v>
      </c>
      <c r="E501" t="s">
        <v>673</v>
      </c>
      <c r="F501" t="s">
        <v>11</v>
      </c>
      <c r="G501" t="s">
        <v>51</v>
      </c>
      <c r="H501" t="s">
        <v>72</v>
      </c>
      <c r="I501" t="s">
        <v>31</v>
      </c>
      <c r="J501">
        <v>6347</v>
      </c>
      <c r="K501">
        <v>4</v>
      </c>
      <c r="L501" s="4">
        <v>3.8199999999999998E-2</v>
      </c>
      <c r="M501">
        <v>0.09</v>
      </c>
      <c r="N501" s="4">
        <v>0.24245539999999999</v>
      </c>
      <c r="O501" s="4">
        <v>0.57123000000000002</v>
      </c>
    </row>
    <row r="502" spans="2:15">
      <c r="B502" t="s">
        <v>69</v>
      </c>
      <c r="C502" t="s">
        <v>50</v>
      </c>
      <c r="D502" t="s">
        <v>672</v>
      </c>
      <c r="E502" t="s">
        <v>673</v>
      </c>
      <c r="F502" t="s">
        <v>11</v>
      </c>
      <c r="G502" t="s">
        <v>51</v>
      </c>
      <c r="H502" t="s">
        <v>72</v>
      </c>
      <c r="I502" t="s">
        <v>31</v>
      </c>
      <c r="J502">
        <v>3522</v>
      </c>
      <c r="K502">
        <v>7</v>
      </c>
      <c r="L502" s="4">
        <v>3.8199999999999998E-2</v>
      </c>
      <c r="M502">
        <v>0.09</v>
      </c>
      <c r="N502" s="4">
        <v>0.1345404</v>
      </c>
      <c r="O502" s="4">
        <v>0.31697999999999998</v>
      </c>
    </row>
    <row r="503" spans="2:15">
      <c r="B503" t="s">
        <v>69</v>
      </c>
      <c r="C503" t="s">
        <v>50</v>
      </c>
      <c r="D503" t="s">
        <v>674</v>
      </c>
      <c r="E503" t="s">
        <v>675</v>
      </c>
      <c r="F503" t="s">
        <v>11</v>
      </c>
      <c r="G503" t="s">
        <v>51</v>
      </c>
      <c r="H503" t="s">
        <v>72</v>
      </c>
      <c r="I503" t="s">
        <v>31</v>
      </c>
      <c r="J503">
        <v>7001</v>
      </c>
      <c r="K503">
        <v>13</v>
      </c>
      <c r="L503" s="4">
        <v>3.8199999999999998E-2</v>
      </c>
      <c r="M503">
        <v>0.09</v>
      </c>
      <c r="N503" s="4">
        <v>0.26743820000000001</v>
      </c>
      <c r="O503" s="4">
        <v>0.63009000000000004</v>
      </c>
    </row>
    <row r="504" spans="2:15">
      <c r="B504" t="s">
        <v>69</v>
      </c>
      <c r="C504" t="s">
        <v>50</v>
      </c>
      <c r="D504" t="s">
        <v>674</v>
      </c>
      <c r="E504" t="s">
        <v>675</v>
      </c>
      <c r="F504" t="s">
        <v>11</v>
      </c>
      <c r="G504" t="s">
        <v>51</v>
      </c>
      <c r="H504" t="s">
        <v>72</v>
      </c>
      <c r="I504" t="s">
        <v>31</v>
      </c>
      <c r="J504">
        <v>5113</v>
      </c>
      <c r="K504">
        <v>5</v>
      </c>
      <c r="L504" s="4">
        <v>3.8199999999999998E-2</v>
      </c>
      <c r="M504">
        <v>0.09</v>
      </c>
      <c r="N504" s="4">
        <v>0.19531660000000001</v>
      </c>
      <c r="O504" s="4">
        <v>0.46016999999999997</v>
      </c>
    </row>
    <row r="505" spans="2:15">
      <c r="B505" t="s">
        <v>69</v>
      </c>
      <c r="C505" t="s">
        <v>50</v>
      </c>
      <c r="D505" t="s">
        <v>676</v>
      </c>
      <c r="E505" t="s">
        <v>677</v>
      </c>
      <c r="F505" t="s">
        <v>11</v>
      </c>
      <c r="G505" t="s">
        <v>51</v>
      </c>
      <c r="H505" t="s">
        <v>72</v>
      </c>
      <c r="I505" t="s">
        <v>31</v>
      </c>
      <c r="J505">
        <v>3809</v>
      </c>
      <c r="K505">
        <v>7</v>
      </c>
      <c r="L505" s="4">
        <v>3.8199999999999998E-2</v>
      </c>
      <c r="M505">
        <v>0.09</v>
      </c>
      <c r="N505" s="4">
        <v>0.14550379999999999</v>
      </c>
      <c r="O505" s="4">
        <v>0.34281</v>
      </c>
    </row>
    <row r="506" spans="2:15">
      <c r="B506" t="s">
        <v>69</v>
      </c>
      <c r="C506" t="s">
        <v>50</v>
      </c>
      <c r="D506" t="s">
        <v>678</v>
      </c>
      <c r="E506" t="s">
        <v>679</v>
      </c>
      <c r="F506" t="s">
        <v>11</v>
      </c>
      <c r="G506" t="s">
        <v>51</v>
      </c>
      <c r="H506" t="s">
        <v>72</v>
      </c>
      <c r="I506" t="s">
        <v>31</v>
      </c>
      <c r="J506">
        <v>4266</v>
      </c>
      <c r="K506">
        <v>1</v>
      </c>
      <c r="L506" s="4">
        <v>3.8199999999999998E-2</v>
      </c>
      <c r="M506">
        <v>0.09</v>
      </c>
      <c r="N506" s="4">
        <v>0.1629612</v>
      </c>
      <c r="O506" s="4">
        <v>0.38394</v>
      </c>
    </row>
    <row r="507" spans="2:15">
      <c r="B507" t="s">
        <v>69</v>
      </c>
      <c r="C507" t="s">
        <v>50</v>
      </c>
      <c r="D507" t="s">
        <v>678</v>
      </c>
      <c r="E507" t="s">
        <v>679</v>
      </c>
      <c r="F507" t="s">
        <v>11</v>
      </c>
      <c r="G507" t="s">
        <v>51</v>
      </c>
      <c r="H507" t="s">
        <v>72</v>
      </c>
      <c r="I507" t="s">
        <v>31</v>
      </c>
      <c r="J507">
        <v>3381</v>
      </c>
      <c r="K507">
        <v>2</v>
      </c>
      <c r="L507" s="4">
        <v>3.8199999999999998E-2</v>
      </c>
      <c r="M507">
        <v>0.09</v>
      </c>
      <c r="N507" s="4">
        <v>0.1291542</v>
      </c>
      <c r="O507" s="4">
        <v>0.30428999999999995</v>
      </c>
    </row>
    <row r="508" spans="2:15">
      <c r="B508" t="s">
        <v>69</v>
      </c>
      <c r="C508" t="s">
        <v>50</v>
      </c>
      <c r="D508" t="s">
        <v>680</v>
      </c>
      <c r="E508" t="s">
        <v>681</v>
      </c>
      <c r="F508" t="s">
        <v>11</v>
      </c>
      <c r="G508" t="s">
        <v>51</v>
      </c>
      <c r="H508" t="s">
        <v>72</v>
      </c>
      <c r="I508" t="s">
        <v>31</v>
      </c>
      <c r="J508">
        <v>2086</v>
      </c>
      <c r="K508">
        <v>1</v>
      </c>
      <c r="L508" s="4">
        <v>3.8199999999999998E-2</v>
      </c>
      <c r="M508">
        <v>0.09</v>
      </c>
      <c r="N508" s="4">
        <v>7.9685199999999998E-2</v>
      </c>
      <c r="O508" s="4">
        <v>0.18773999999999999</v>
      </c>
    </row>
    <row r="509" spans="2:15">
      <c r="B509" t="s">
        <v>69</v>
      </c>
      <c r="C509" t="s">
        <v>50</v>
      </c>
      <c r="D509" t="s">
        <v>680</v>
      </c>
      <c r="E509" t="s">
        <v>681</v>
      </c>
      <c r="F509" t="s">
        <v>11</v>
      </c>
      <c r="G509" t="s">
        <v>51</v>
      </c>
      <c r="H509" t="s">
        <v>72</v>
      </c>
      <c r="I509" t="s">
        <v>31</v>
      </c>
      <c r="J509">
        <v>3237</v>
      </c>
      <c r="K509">
        <v>9</v>
      </c>
      <c r="L509" s="4">
        <v>3.8199999999999998E-2</v>
      </c>
      <c r="M509">
        <v>0.09</v>
      </c>
      <c r="N509" s="4">
        <v>0.1236534</v>
      </c>
      <c r="O509" s="4">
        <v>0.29132999999999998</v>
      </c>
    </row>
    <row r="510" spans="2:15">
      <c r="B510" t="s">
        <v>69</v>
      </c>
      <c r="C510" t="s">
        <v>50</v>
      </c>
      <c r="D510" t="s">
        <v>682</v>
      </c>
      <c r="E510" t="s">
        <v>683</v>
      </c>
      <c r="F510" t="s">
        <v>11</v>
      </c>
      <c r="G510" t="s">
        <v>51</v>
      </c>
      <c r="H510" t="s">
        <v>72</v>
      </c>
      <c r="I510" t="s">
        <v>31</v>
      </c>
      <c r="J510">
        <v>1878</v>
      </c>
      <c r="K510">
        <v>11</v>
      </c>
      <c r="L510" s="4">
        <v>3.8199999999999998E-2</v>
      </c>
      <c r="M510">
        <v>0.09</v>
      </c>
      <c r="N510" s="4">
        <v>7.1739600000000001E-2</v>
      </c>
      <c r="O510" s="4">
        <v>0.16901999999999998</v>
      </c>
    </row>
    <row r="511" spans="2:15">
      <c r="B511" t="s">
        <v>69</v>
      </c>
      <c r="C511" t="s">
        <v>50</v>
      </c>
      <c r="D511" t="s">
        <v>682</v>
      </c>
      <c r="E511" t="s">
        <v>683</v>
      </c>
      <c r="F511" t="s">
        <v>11</v>
      </c>
      <c r="G511" t="s">
        <v>51</v>
      </c>
      <c r="H511" t="s">
        <v>72</v>
      </c>
      <c r="I511" t="s">
        <v>31</v>
      </c>
      <c r="J511">
        <v>130</v>
      </c>
      <c r="K511">
        <v>0</v>
      </c>
      <c r="L511" s="4">
        <v>3.8199999999999998E-2</v>
      </c>
      <c r="M511">
        <v>0.09</v>
      </c>
      <c r="N511" s="4">
        <v>4.9659999999999991E-3</v>
      </c>
      <c r="O511" s="4">
        <v>1.1699999999999999E-2</v>
      </c>
    </row>
    <row r="512" spans="2:15">
      <c r="B512" t="s">
        <v>69</v>
      </c>
      <c r="C512" t="s">
        <v>50</v>
      </c>
      <c r="D512" t="s">
        <v>684</v>
      </c>
      <c r="E512" t="s">
        <v>685</v>
      </c>
      <c r="F512" t="s">
        <v>11</v>
      </c>
      <c r="G512" t="s">
        <v>51</v>
      </c>
      <c r="H512" t="s">
        <v>72</v>
      </c>
      <c r="I512" t="s">
        <v>31</v>
      </c>
      <c r="J512">
        <v>3467</v>
      </c>
      <c r="K512">
        <v>8</v>
      </c>
      <c r="L512" s="4">
        <v>3.8199999999999998E-2</v>
      </c>
      <c r="M512">
        <v>0.09</v>
      </c>
      <c r="N512" s="4">
        <v>0.13243940000000001</v>
      </c>
      <c r="O512" s="4">
        <v>0.31202999999999997</v>
      </c>
    </row>
    <row r="513" spans="2:15">
      <c r="B513" t="s">
        <v>69</v>
      </c>
      <c r="C513" t="s">
        <v>50</v>
      </c>
      <c r="D513" t="s">
        <v>684</v>
      </c>
      <c r="E513" t="s">
        <v>685</v>
      </c>
      <c r="F513" t="s">
        <v>11</v>
      </c>
      <c r="G513" t="s">
        <v>51</v>
      </c>
      <c r="H513" t="s">
        <v>72</v>
      </c>
      <c r="I513" t="s">
        <v>31</v>
      </c>
      <c r="J513">
        <v>3671</v>
      </c>
      <c r="K513">
        <v>4</v>
      </c>
      <c r="L513" s="4">
        <v>3.8199999999999998E-2</v>
      </c>
      <c r="M513">
        <v>0.09</v>
      </c>
      <c r="N513" s="4">
        <v>0.1402322</v>
      </c>
      <c r="O513" s="4">
        <v>0.33038999999999996</v>
      </c>
    </row>
    <row r="514" spans="2:15">
      <c r="B514" t="s">
        <v>69</v>
      </c>
      <c r="C514" t="s">
        <v>50</v>
      </c>
      <c r="D514" t="s">
        <v>686</v>
      </c>
      <c r="E514" t="s">
        <v>687</v>
      </c>
      <c r="F514" t="s">
        <v>11</v>
      </c>
      <c r="G514" t="s">
        <v>51</v>
      </c>
      <c r="H514" t="s">
        <v>72</v>
      </c>
      <c r="I514" t="s">
        <v>31</v>
      </c>
      <c r="J514">
        <v>14132</v>
      </c>
      <c r="K514">
        <v>19</v>
      </c>
      <c r="L514" s="4">
        <v>3.8199999999999998E-2</v>
      </c>
      <c r="M514">
        <v>0.09</v>
      </c>
      <c r="N514" s="4">
        <v>0.53984239999999994</v>
      </c>
      <c r="O514" s="4">
        <v>1.2718799999999999</v>
      </c>
    </row>
    <row r="515" spans="2:15">
      <c r="B515" t="s">
        <v>69</v>
      </c>
      <c r="C515" t="s">
        <v>50</v>
      </c>
      <c r="D515" t="s">
        <v>686</v>
      </c>
      <c r="E515" t="s">
        <v>687</v>
      </c>
      <c r="F515" t="s">
        <v>11</v>
      </c>
      <c r="G515" t="s">
        <v>51</v>
      </c>
      <c r="H515" t="s">
        <v>72</v>
      </c>
      <c r="I515" t="s">
        <v>31</v>
      </c>
      <c r="J515">
        <v>10452</v>
      </c>
      <c r="K515">
        <v>13</v>
      </c>
      <c r="L515" s="4">
        <v>3.8199999999999998E-2</v>
      </c>
      <c r="M515">
        <v>0.09</v>
      </c>
      <c r="N515" s="4">
        <v>0.39926639999999997</v>
      </c>
      <c r="O515" s="4">
        <v>0.94067999999999996</v>
      </c>
    </row>
    <row r="516" spans="2:15">
      <c r="B516" t="s">
        <v>69</v>
      </c>
      <c r="C516" t="s">
        <v>50</v>
      </c>
      <c r="D516" t="s">
        <v>688</v>
      </c>
      <c r="E516" t="s">
        <v>689</v>
      </c>
      <c r="F516" t="s">
        <v>11</v>
      </c>
      <c r="G516" t="s">
        <v>51</v>
      </c>
      <c r="H516" t="s">
        <v>72</v>
      </c>
      <c r="I516" t="s">
        <v>31</v>
      </c>
      <c r="J516">
        <v>14048</v>
      </c>
      <c r="K516">
        <v>15</v>
      </c>
      <c r="L516" s="4">
        <v>3.8199999999999998E-2</v>
      </c>
      <c r="M516">
        <v>0.09</v>
      </c>
      <c r="N516" s="4">
        <v>0.53663360000000004</v>
      </c>
      <c r="O516" s="4">
        <v>1.2643199999999999</v>
      </c>
    </row>
    <row r="517" spans="2:15">
      <c r="B517" t="s">
        <v>69</v>
      </c>
      <c r="C517" t="s">
        <v>50</v>
      </c>
      <c r="D517" t="s">
        <v>688</v>
      </c>
      <c r="E517" t="s">
        <v>689</v>
      </c>
      <c r="F517" t="s">
        <v>11</v>
      </c>
      <c r="G517" t="s">
        <v>51</v>
      </c>
      <c r="H517" t="s">
        <v>72</v>
      </c>
      <c r="I517" t="s">
        <v>31</v>
      </c>
      <c r="J517">
        <v>10025</v>
      </c>
      <c r="K517">
        <v>15</v>
      </c>
      <c r="L517" s="4">
        <v>3.8199999999999998E-2</v>
      </c>
      <c r="M517">
        <v>0.09</v>
      </c>
      <c r="N517" s="4">
        <v>0.38295499999999999</v>
      </c>
      <c r="O517" s="4">
        <v>0.90225</v>
      </c>
    </row>
    <row r="518" spans="2:15">
      <c r="B518" t="s">
        <v>69</v>
      </c>
      <c r="C518" t="s">
        <v>50</v>
      </c>
      <c r="D518" t="s">
        <v>690</v>
      </c>
      <c r="E518" t="s">
        <v>691</v>
      </c>
      <c r="F518" t="s">
        <v>11</v>
      </c>
      <c r="G518" t="s">
        <v>51</v>
      </c>
      <c r="H518" t="s">
        <v>72</v>
      </c>
      <c r="I518" t="s">
        <v>31</v>
      </c>
      <c r="J518">
        <v>7099</v>
      </c>
      <c r="K518">
        <v>5</v>
      </c>
      <c r="L518" s="4">
        <v>3.8199999999999998E-2</v>
      </c>
      <c r="M518">
        <v>0.09</v>
      </c>
      <c r="N518" s="4">
        <v>0.27118180000000003</v>
      </c>
      <c r="O518" s="4">
        <v>0.63890999999999998</v>
      </c>
    </row>
    <row r="519" spans="2:15">
      <c r="B519" t="s">
        <v>69</v>
      </c>
      <c r="C519" t="s">
        <v>50</v>
      </c>
      <c r="D519" t="s">
        <v>690</v>
      </c>
      <c r="E519" t="s">
        <v>691</v>
      </c>
      <c r="F519" t="s">
        <v>11</v>
      </c>
      <c r="G519" t="s">
        <v>51</v>
      </c>
      <c r="H519" t="s">
        <v>72</v>
      </c>
      <c r="I519" t="s">
        <v>31</v>
      </c>
      <c r="J519">
        <v>5347</v>
      </c>
      <c r="K519">
        <v>9</v>
      </c>
      <c r="L519" s="4">
        <v>3.8199999999999998E-2</v>
      </c>
      <c r="M519">
        <v>0.09</v>
      </c>
      <c r="N519" s="4">
        <v>0.20425539999999998</v>
      </c>
      <c r="O519" s="4">
        <v>0.48122999999999994</v>
      </c>
    </row>
    <row r="520" spans="2:15">
      <c r="B520" t="s">
        <v>69</v>
      </c>
      <c r="C520" t="s">
        <v>50</v>
      </c>
      <c r="D520" t="s">
        <v>692</v>
      </c>
      <c r="E520" t="s">
        <v>693</v>
      </c>
      <c r="F520" t="s">
        <v>11</v>
      </c>
      <c r="G520" t="s">
        <v>51</v>
      </c>
      <c r="H520" t="s">
        <v>72</v>
      </c>
      <c r="I520" t="s">
        <v>31</v>
      </c>
      <c r="J520">
        <v>6877</v>
      </c>
      <c r="K520">
        <v>5</v>
      </c>
      <c r="L520" s="4">
        <v>3.8199999999999998E-2</v>
      </c>
      <c r="M520">
        <v>0.09</v>
      </c>
      <c r="N520" s="4">
        <v>0.26270139999999997</v>
      </c>
      <c r="O520" s="4">
        <v>0.61892999999999998</v>
      </c>
    </row>
    <row r="521" spans="2:15">
      <c r="B521" t="s">
        <v>69</v>
      </c>
      <c r="C521" t="s">
        <v>50</v>
      </c>
      <c r="D521" t="s">
        <v>692</v>
      </c>
      <c r="E521" t="s">
        <v>693</v>
      </c>
      <c r="F521" t="s">
        <v>11</v>
      </c>
      <c r="G521" t="s">
        <v>51</v>
      </c>
      <c r="H521" t="s">
        <v>72</v>
      </c>
      <c r="I521" t="s">
        <v>31</v>
      </c>
      <c r="J521">
        <v>5503</v>
      </c>
      <c r="K521">
        <v>5</v>
      </c>
      <c r="L521" s="4">
        <v>3.8199999999999998E-2</v>
      </c>
      <c r="M521">
        <v>0.09</v>
      </c>
      <c r="N521" s="4">
        <v>0.2102146</v>
      </c>
      <c r="O521" s="4">
        <v>0.49526999999999999</v>
      </c>
    </row>
    <row r="522" spans="2:15">
      <c r="B522" t="s">
        <v>69</v>
      </c>
      <c r="C522" t="s">
        <v>50</v>
      </c>
      <c r="D522" t="s">
        <v>694</v>
      </c>
      <c r="E522" t="s">
        <v>695</v>
      </c>
      <c r="F522" t="s">
        <v>11</v>
      </c>
      <c r="G522" t="s">
        <v>51</v>
      </c>
      <c r="H522" t="s">
        <v>72</v>
      </c>
      <c r="I522" t="s">
        <v>31</v>
      </c>
      <c r="J522">
        <v>10221</v>
      </c>
      <c r="K522">
        <v>17</v>
      </c>
      <c r="L522" s="4">
        <v>3.8199999999999998E-2</v>
      </c>
      <c r="M522">
        <v>0.09</v>
      </c>
      <c r="N522" s="4">
        <v>0.39044219999999996</v>
      </c>
      <c r="O522" s="4">
        <v>0.91988999999999999</v>
      </c>
    </row>
    <row r="523" spans="2:15">
      <c r="B523" t="s">
        <v>69</v>
      </c>
      <c r="C523" t="s">
        <v>50</v>
      </c>
      <c r="D523" t="s">
        <v>694</v>
      </c>
      <c r="E523" t="s">
        <v>695</v>
      </c>
      <c r="F523" t="s">
        <v>11</v>
      </c>
      <c r="G523" t="s">
        <v>51</v>
      </c>
      <c r="H523" t="s">
        <v>72</v>
      </c>
      <c r="I523" t="s">
        <v>31</v>
      </c>
      <c r="J523">
        <v>8589</v>
      </c>
      <c r="K523">
        <v>13</v>
      </c>
      <c r="L523" s="4">
        <v>3.8199999999999998E-2</v>
      </c>
      <c r="M523">
        <v>0.09</v>
      </c>
      <c r="N523" s="4">
        <v>0.32809979999999994</v>
      </c>
      <c r="O523" s="4">
        <v>0.77300999999999997</v>
      </c>
    </row>
    <row r="524" spans="2:15">
      <c r="B524" t="s">
        <v>69</v>
      </c>
      <c r="C524" t="s">
        <v>50</v>
      </c>
      <c r="D524" t="s">
        <v>696</v>
      </c>
      <c r="E524" t="s">
        <v>697</v>
      </c>
      <c r="F524" t="s">
        <v>11</v>
      </c>
      <c r="G524" t="s">
        <v>51</v>
      </c>
      <c r="H524" t="s">
        <v>72</v>
      </c>
      <c r="I524" t="s">
        <v>31</v>
      </c>
      <c r="J524">
        <v>10372</v>
      </c>
      <c r="K524">
        <v>23</v>
      </c>
      <c r="L524" s="4">
        <v>3.8199999999999998E-2</v>
      </c>
      <c r="M524">
        <v>0.09</v>
      </c>
      <c r="N524" s="4">
        <v>0.39621040000000002</v>
      </c>
      <c r="O524" s="4">
        <v>0.93347999999999998</v>
      </c>
    </row>
    <row r="525" spans="2:15">
      <c r="B525" t="s">
        <v>69</v>
      </c>
      <c r="C525" t="s">
        <v>50</v>
      </c>
      <c r="D525" t="s">
        <v>696</v>
      </c>
      <c r="E525" t="s">
        <v>697</v>
      </c>
      <c r="F525" t="s">
        <v>11</v>
      </c>
      <c r="G525" t="s">
        <v>51</v>
      </c>
      <c r="H525" t="s">
        <v>72</v>
      </c>
      <c r="I525" t="s">
        <v>31</v>
      </c>
      <c r="J525">
        <v>9443</v>
      </c>
      <c r="K525">
        <v>19</v>
      </c>
      <c r="L525" s="4">
        <v>3.8199999999999998E-2</v>
      </c>
      <c r="M525">
        <v>0.09</v>
      </c>
      <c r="N525" s="4">
        <v>0.3607226</v>
      </c>
      <c r="O525" s="4">
        <v>0.84987000000000001</v>
      </c>
    </row>
    <row r="526" spans="2:15">
      <c r="B526" t="s">
        <v>69</v>
      </c>
      <c r="C526" t="s">
        <v>50</v>
      </c>
      <c r="D526" t="s">
        <v>698</v>
      </c>
      <c r="E526" t="s">
        <v>699</v>
      </c>
      <c r="F526" t="s">
        <v>11</v>
      </c>
      <c r="G526" t="s">
        <v>51</v>
      </c>
      <c r="H526" t="s">
        <v>72</v>
      </c>
      <c r="I526" t="s">
        <v>31</v>
      </c>
      <c r="J526">
        <v>10918</v>
      </c>
      <c r="K526">
        <v>11</v>
      </c>
      <c r="L526" s="4">
        <v>3.8199999999999998E-2</v>
      </c>
      <c r="M526">
        <v>0.09</v>
      </c>
      <c r="N526" s="4">
        <v>0.41706759999999998</v>
      </c>
      <c r="O526" s="4">
        <v>0.98262000000000005</v>
      </c>
    </row>
    <row r="527" spans="2:15">
      <c r="B527" t="s">
        <v>69</v>
      </c>
      <c r="C527" t="s">
        <v>50</v>
      </c>
      <c r="D527" t="s">
        <v>698</v>
      </c>
      <c r="E527" t="s">
        <v>699</v>
      </c>
      <c r="F527" t="s">
        <v>11</v>
      </c>
      <c r="G527" t="s">
        <v>51</v>
      </c>
      <c r="H527" t="s">
        <v>72</v>
      </c>
      <c r="I527" t="s">
        <v>31</v>
      </c>
      <c r="J527">
        <v>8208</v>
      </c>
      <c r="K527">
        <v>7</v>
      </c>
      <c r="L527" s="4">
        <v>3.8199999999999998E-2</v>
      </c>
      <c r="M527">
        <v>0.09</v>
      </c>
      <c r="N527" s="4">
        <v>0.31354559999999998</v>
      </c>
      <c r="O527" s="4">
        <v>0.73872000000000004</v>
      </c>
    </row>
    <row r="528" spans="2:15">
      <c r="B528" t="s">
        <v>69</v>
      </c>
      <c r="C528" t="s">
        <v>50</v>
      </c>
      <c r="D528" t="s">
        <v>700</v>
      </c>
      <c r="E528" t="s">
        <v>701</v>
      </c>
      <c r="F528" t="s">
        <v>11</v>
      </c>
      <c r="G528" t="s">
        <v>51</v>
      </c>
      <c r="H528" t="s">
        <v>72</v>
      </c>
      <c r="I528" t="s">
        <v>31</v>
      </c>
      <c r="J528">
        <v>10147</v>
      </c>
      <c r="K528">
        <v>24</v>
      </c>
      <c r="L528" s="4">
        <v>3.8199999999999998E-2</v>
      </c>
      <c r="M528">
        <v>0.09</v>
      </c>
      <c r="N528" s="4">
        <v>0.38761539999999994</v>
      </c>
      <c r="O528" s="4">
        <v>0.91322999999999999</v>
      </c>
    </row>
    <row r="529" spans="2:15">
      <c r="B529" t="s">
        <v>69</v>
      </c>
      <c r="C529" t="s">
        <v>50</v>
      </c>
      <c r="D529" t="s">
        <v>700</v>
      </c>
      <c r="E529" t="s">
        <v>701</v>
      </c>
      <c r="F529" t="s">
        <v>11</v>
      </c>
      <c r="G529" t="s">
        <v>51</v>
      </c>
      <c r="H529" t="s">
        <v>72</v>
      </c>
      <c r="I529" t="s">
        <v>31</v>
      </c>
      <c r="J529">
        <v>8387</v>
      </c>
      <c r="K529">
        <v>11</v>
      </c>
      <c r="L529" s="4">
        <v>3.8199999999999998E-2</v>
      </c>
      <c r="M529">
        <v>0.09</v>
      </c>
      <c r="N529" s="4">
        <v>0.32038339999999998</v>
      </c>
      <c r="O529" s="4">
        <v>0.75482999999999989</v>
      </c>
    </row>
    <row r="530" spans="2:15">
      <c r="B530" t="s">
        <v>69</v>
      </c>
      <c r="C530" t="s">
        <v>50</v>
      </c>
      <c r="D530" t="s">
        <v>702</v>
      </c>
      <c r="E530" t="s">
        <v>703</v>
      </c>
      <c r="F530" t="s">
        <v>11</v>
      </c>
      <c r="G530" t="s">
        <v>51</v>
      </c>
      <c r="H530" t="s">
        <v>72</v>
      </c>
      <c r="I530" t="s">
        <v>31</v>
      </c>
      <c r="J530">
        <v>10277</v>
      </c>
      <c r="K530">
        <v>6</v>
      </c>
      <c r="L530" s="4">
        <v>3.8199999999999998E-2</v>
      </c>
      <c r="M530">
        <v>0.09</v>
      </c>
      <c r="N530" s="4">
        <v>0.39258139999999997</v>
      </c>
      <c r="O530" s="4">
        <v>0.92492999999999992</v>
      </c>
    </row>
    <row r="531" spans="2:15">
      <c r="B531" t="s">
        <v>69</v>
      </c>
      <c r="C531" t="s">
        <v>50</v>
      </c>
      <c r="D531" t="s">
        <v>702</v>
      </c>
      <c r="E531" t="s">
        <v>703</v>
      </c>
      <c r="F531" t="s">
        <v>11</v>
      </c>
      <c r="G531" t="s">
        <v>51</v>
      </c>
      <c r="H531" t="s">
        <v>72</v>
      </c>
      <c r="I531" t="s">
        <v>31</v>
      </c>
      <c r="J531">
        <v>7573</v>
      </c>
      <c r="K531">
        <v>7</v>
      </c>
      <c r="L531" s="4">
        <v>3.8199999999999998E-2</v>
      </c>
      <c r="M531">
        <v>0.09</v>
      </c>
      <c r="N531" s="4">
        <v>0.28928859999999995</v>
      </c>
      <c r="O531" s="4">
        <v>0.6815699999999999</v>
      </c>
    </row>
    <row r="532" spans="2:15">
      <c r="B532" t="s">
        <v>69</v>
      </c>
      <c r="C532" t="s">
        <v>50</v>
      </c>
      <c r="D532" t="s">
        <v>704</v>
      </c>
      <c r="E532" t="s">
        <v>705</v>
      </c>
      <c r="F532" t="s">
        <v>11</v>
      </c>
      <c r="G532" t="s">
        <v>51</v>
      </c>
      <c r="H532" t="s">
        <v>72</v>
      </c>
      <c r="I532" t="s">
        <v>31</v>
      </c>
      <c r="J532">
        <v>10038</v>
      </c>
      <c r="K532">
        <v>17</v>
      </c>
      <c r="L532" s="4">
        <v>3.8199999999999998E-2</v>
      </c>
      <c r="M532">
        <v>0.09</v>
      </c>
      <c r="N532" s="4">
        <v>0.3834516</v>
      </c>
      <c r="O532" s="4">
        <v>0.90342</v>
      </c>
    </row>
    <row r="533" spans="2:15">
      <c r="B533" t="s">
        <v>69</v>
      </c>
      <c r="C533" t="s">
        <v>50</v>
      </c>
      <c r="D533" t="s">
        <v>704</v>
      </c>
      <c r="E533" t="s">
        <v>705</v>
      </c>
      <c r="F533" t="s">
        <v>11</v>
      </c>
      <c r="G533" t="s">
        <v>51</v>
      </c>
      <c r="H533" t="s">
        <v>72</v>
      </c>
      <c r="I533" t="s">
        <v>31</v>
      </c>
      <c r="J533">
        <v>7787</v>
      </c>
      <c r="K533">
        <v>13</v>
      </c>
      <c r="L533" s="4">
        <v>3.8199999999999998E-2</v>
      </c>
      <c r="M533">
        <v>0.09</v>
      </c>
      <c r="N533" s="4">
        <v>0.29746339999999999</v>
      </c>
      <c r="O533" s="4">
        <v>0.70082999999999995</v>
      </c>
    </row>
    <row r="534" spans="2:15">
      <c r="B534" t="s">
        <v>69</v>
      </c>
      <c r="C534" t="s">
        <v>50</v>
      </c>
      <c r="D534" t="s">
        <v>706</v>
      </c>
      <c r="E534" t="s">
        <v>707</v>
      </c>
      <c r="F534" t="s">
        <v>11</v>
      </c>
      <c r="G534" t="s">
        <v>51</v>
      </c>
      <c r="H534" t="s">
        <v>72</v>
      </c>
      <c r="I534" t="s">
        <v>31</v>
      </c>
      <c r="J534">
        <v>12515</v>
      </c>
      <c r="K534">
        <v>6</v>
      </c>
      <c r="L534" s="4">
        <v>3.8199999999999998E-2</v>
      </c>
      <c r="M534">
        <v>0.09</v>
      </c>
      <c r="N534" s="4">
        <v>0.47807299999999997</v>
      </c>
      <c r="O534" s="4">
        <v>1.12635</v>
      </c>
    </row>
    <row r="535" spans="2:15">
      <c r="B535" t="s">
        <v>69</v>
      </c>
      <c r="C535" t="s">
        <v>50</v>
      </c>
      <c r="D535" t="s">
        <v>706</v>
      </c>
      <c r="E535" t="s">
        <v>707</v>
      </c>
      <c r="F535" t="s">
        <v>11</v>
      </c>
      <c r="G535" t="s">
        <v>51</v>
      </c>
      <c r="H535" t="s">
        <v>72</v>
      </c>
      <c r="I535" t="s">
        <v>31</v>
      </c>
      <c r="J535">
        <v>10910</v>
      </c>
      <c r="K535">
        <v>18</v>
      </c>
      <c r="L535" s="4">
        <v>3.8199999999999998E-2</v>
      </c>
      <c r="M535">
        <v>0.09</v>
      </c>
      <c r="N535" s="4">
        <v>0.41676200000000002</v>
      </c>
      <c r="O535" s="4">
        <v>0.9819</v>
      </c>
    </row>
    <row r="536" spans="2:15">
      <c r="B536" t="s">
        <v>69</v>
      </c>
      <c r="C536" t="s">
        <v>50</v>
      </c>
      <c r="D536" t="s">
        <v>708</v>
      </c>
      <c r="E536" t="s">
        <v>709</v>
      </c>
      <c r="F536" t="s">
        <v>11</v>
      </c>
      <c r="G536" t="s">
        <v>51</v>
      </c>
      <c r="H536" t="s">
        <v>72</v>
      </c>
      <c r="I536" t="s">
        <v>31</v>
      </c>
      <c r="J536">
        <v>5714</v>
      </c>
      <c r="K536">
        <v>3</v>
      </c>
      <c r="L536" s="4">
        <v>3.8199999999999998E-2</v>
      </c>
      <c r="M536">
        <v>0.09</v>
      </c>
      <c r="N536" s="4">
        <v>0.21827479999999999</v>
      </c>
      <c r="O536" s="4">
        <v>0.51425999999999994</v>
      </c>
    </row>
    <row r="537" spans="2:15">
      <c r="B537" t="s">
        <v>69</v>
      </c>
      <c r="C537" t="s">
        <v>50</v>
      </c>
      <c r="D537" t="s">
        <v>708</v>
      </c>
      <c r="E537" t="s">
        <v>709</v>
      </c>
      <c r="F537" t="s">
        <v>11</v>
      </c>
      <c r="G537" t="s">
        <v>51</v>
      </c>
      <c r="H537" t="s">
        <v>72</v>
      </c>
      <c r="I537" t="s">
        <v>31</v>
      </c>
      <c r="J537">
        <v>3472</v>
      </c>
      <c r="K537">
        <v>0</v>
      </c>
      <c r="L537" s="4">
        <v>3.8199999999999998E-2</v>
      </c>
      <c r="M537">
        <v>0.09</v>
      </c>
      <c r="N537" s="4">
        <v>0.13263039999999998</v>
      </c>
      <c r="O537" s="4">
        <v>0.31247999999999998</v>
      </c>
    </row>
    <row r="538" spans="2:15">
      <c r="B538" t="s">
        <v>69</v>
      </c>
      <c r="C538" t="s">
        <v>50</v>
      </c>
      <c r="D538" t="s">
        <v>710</v>
      </c>
      <c r="E538" t="s">
        <v>711</v>
      </c>
      <c r="F538" t="s">
        <v>11</v>
      </c>
      <c r="G538" t="s">
        <v>51</v>
      </c>
      <c r="H538" t="s">
        <v>72</v>
      </c>
      <c r="I538" t="s">
        <v>31</v>
      </c>
      <c r="J538">
        <v>5599</v>
      </c>
      <c r="K538">
        <v>6</v>
      </c>
      <c r="L538" s="4">
        <v>3.8199999999999998E-2</v>
      </c>
      <c r="M538">
        <v>0.09</v>
      </c>
      <c r="N538" s="4">
        <v>0.21388180000000001</v>
      </c>
      <c r="O538" s="4">
        <v>0.50390999999999997</v>
      </c>
    </row>
    <row r="539" spans="2:15">
      <c r="B539" t="s">
        <v>69</v>
      </c>
      <c r="C539" t="s">
        <v>50</v>
      </c>
      <c r="D539" t="s">
        <v>710</v>
      </c>
      <c r="E539" t="s">
        <v>711</v>
      </c>
      <c r="F539" t="s">
        <v>11</v>
      </c>
      <c r="G539" t="s">
        <v>51</v>
      </c>
      <c r="H539" t="s">
        <v>72</v>
      </c>
      <c r="I539" t="s">
        <v>31</v>
      </c>
      <c r="J539">
        <v>3353</v>
      </c>
      <c r="K539">
        <v>2</v>
      </c>
      <c r="L539" s="4">
        <v>3.8199999999999998E-2</v>
      </c>
      <c r="M539">
        <v>0.09</v>
      </c>
      <c r="N539" s="4">
        <v>0.12808459999999999</v>
      </c>
      <c r="O539" s="4">
        <v>0.30176999999999998</v>
      </c>
    </row>
    <row r="540" spans="2:15">
      <c r="B540" t="s">
        <v>69</v>
      </c>
      <c r="C540" t="s">
        <v>50</v>
      </c>
      <c r="D540" t="s">
        <v>712</v>
      </c>
      <c r="E540" t="s">
        <v>713</v>
      </c>
      <c r="F540" t="s">
        <v>11</v>
      </c>
      <c r="G540" t="s">
        <v>51</v>
      </c>
      <c r="H540" t="s">
        <v>72</v>
      </c>
      <c r="I540" t="s">
        <v>31</v>
      </c>
      <c r="J540">
        <v>7209</v>
      </c>
      <c r="K540">
        <v>4</v>
      </c>
      <c r="L540" s="4">
        <v>3.8199999999999998E-2</v>
      </c>
      <c r="M540">
        <v>0.09</v>
      </c>
      <c r="N540" s="4">
        <v>0.27538380000000001</v>
      </c>
      <c r="O540" s="4">
        <v>0.64881</v>
      </c>
    </row>
    <row r="541" spans="2:15">
      <c r="B541" t="s">
        <v>69</v>
      </c>
      <c r="C541" t="s">
        <v>50</v>
      </c>
      <c r="D541" t="s">
        <v>712</v>
      </c>
      <c r="E541" t="s">
        <v>713</v>
      </c>
      <c r="F541" t="s">
        <v>11</v>
      </c>
      <c r="G541" t="s">
        <v>51</v>
      </c>
      <c r="H541" t="s">
        <v>72</v>
      </c>
      <c r="I541" t="s">
        <v>31</v>
      </c>
      <c r="J541">
        <v>3818</v>
      </c>
      <c r="K541">
        <v>6</v>
      </c>
      <c r="L541" s="4">
        <v>3.8199999999999998E-2</v>
      </c>
      <c r="M541">
        <v>0.09</v>
      </c>
      <c r="N541" s="4">
        <v>0.14584759999999999</v>
      </c>
      <c r="O541" s="4">
        <v>0.34361999999999998</v>
      </c>
    </row>
    <row r="542" spans="2:15">
      <c r="B542" t="s">
        <v>69</v>
      </c>
      <c r="C542" t="s">
        <v>50</v>
      </c>
      <c r="D542" t="s">
        <v>714</v>
      </c>
      <c r="E542" t="s">
        <v>715</v>
      </c>
      <c r="F542" t="s">
        <v>11</v>
      </c>
      <c r="G542" t="s">
        <v>51</v>
      </c>
      <c r="H542" t="s">
        <v>72</v>
      </c>
      <c r="I542" t="s">
        <v>31</v>
      </c>
      <c r="J542">
        <v>4457</v>
      </c>
      <c r="K542">
        <v>6</v>
      </c>
      <c r="L542" s="4">
        <v>3.8199999999999998E-2</v>
      </c>
      <c r="M542">
        <v>0.09</v>
      </c>
      <c r="N542" s="4">
        <v>0.1702574</v>
      </c>
      <c r="O542" s="4">
        <v>0.40112999999999999</v>
      </c>
    </row>
    <row r="543" spans="2:15">
      <c r="B543" t="s">
        <v>69</v>
      </c>
      <c r="C543" t="s">
        <v>50</v>
      </c>
      <c r="D543" t="s">
        <v>714</v>
      </c>
      <c r="E543" t="s">
        <v>715</v>
      </c>
      <c r="F543" t="s">
        <v>11</v>
      </c>
      <c r="G543" t="s">
        <v>51</v>
      </c>
      <c r="H543" t="s">
        <v>72</v>
      </c>
      <c r="I543" t="s">
        <v>31</v>
      </c>
      <c r="J543">
        <v>3731</v>
      </c>
      <c r="K543">
        <v>1</v>
      </c>
      <c r="L543" s="4">
        <v>3.8199999999999998E-2</v>
      </c>
      <c r="M543">
        <v>0.09</v>
      </c>
      <c r="N543" s="4">
        <v>0.14252419999999999</v>
      </c>
      <c r="O543" s="4">
        <v>0.33578999999999998</v>
      </c>
    </row>
    <row r="544" spans="2:15">
      <c r="B544" t="s">
        <v>69</v>
      </c>
      <c r="C544" t="s">
        <v>50</v>
      </c>
      <c r="D544" t="s">
        <v>716</v>
      </c>
      <c r="E544" t="s">
        <v>717</v>
      </c>
      <c r="F544" t="s">
        <v>11</v>
      </c>
      <c r="G544" t="s">
        <v>51</v>
      </c>
      <c r="H544" t="s">
        <v>72</v>
      </c>
      <c r="I544" t="s">
        <v>31</v>
      </c>
      <c r="J544">
        <v>13978</v>
      </c>
      <c r="K544">
        <v>19</v>
      </c>
      <c r="L544" s="4">
        <v>3.8199999999999998E-2</v>
      </c>
      <c r="M544">
        <v>0.09</v>
      </c>
      <c r="N544" s="4">
        <v>0.53395959999999998</v>
      </c>
      <c r="O544" s="4">
        <v>1.2580199999999999</v>
      </c>
    </row>
    <row r="545" spans="2:15">
      <c r="B545" t="s">
        <v>69</v>
      </c>
      <c r="C545" t="s">
        <v>50</v>
      </c>
      <c r="D545" t="s">
        <v>716</v>
      </c>
      <c r="E545" t="s">
        <v>717</v>
      </c>
      <c r="F545" t="s">
        <v>11</v>
      </c>
      <c r="G545" t="s">
        <v>51</v>
      </c>
      <c r="H545" t="s">
        <v>72</v>
      </c>
      <c r="I545" t="s">
        <v>31</v>
      </c>
      <c r="J545">
        <v>9590</v>
      </c>
      <c r="K545">
        <v>8</v>
      </c>
      <c r="L545" s="4">
        <v>3.8199999999999998E-2</v>
      </c>
      <c r="M545">
        <v>0.09</v>
      </c>
      <c r="N545" s="4">
        <v>0.36633799999999994</v>
      </c>
      <c r="O545" s="4">
        <v>0.86309999999999998</v>
      </c>
    </row>
    <row r="546" spans="2:15">
      <c r="B546" t="s">
        <v>69</v>
      </c>
      <c r="C546" t="s">
        <v>50</v>
      </c>
      <c r="D546" t="s">
        <v>718</v>
      </c>
      <c r="E546" t="s">
        <v>719</v>
      </c>
      <c r="F546" t="s">
        <v>11</v>
      </c>
      <c r="G546" t="s">
        <v>51</v>
      </c>
      <c r="H546" t="s">
        <v>72</v>
      </c>
      <c r="I546" t="s">
        <v>31</v>
      </c>
      <c r="J546">
        <v>14086</v>
      </c>
      <c r="K546">
        <v>14</v>
      </c>
      <c r="L546" s="4">
        <v>3.8199999999999998E-2</v>
      </c>
      <c r="M546">
        <v>0.09</v>
      </c>
      <c r="N546" s="4">
        <v>0.53808520000000004</v>
      </c>
      <c r="O546" s="4">
        <v>1.2677400000000001</v>
      </c>
    </row>
    <row r="547" spans="2:15">
      <c r="B547" t="s">
        <v>69</v>
      </c>
      <c r="C547" t="s">
        <v>50</v>
      </c>
      <c r="D547" t="s">
        <v>718</v>
      </c>
      <c r="E547" t="s">
        <v>719</v>
      </c>
      <c r="F547" t="s">
        <v>11</v>
      </c>
      <c r="G547" t="s">
        <v>51</v>
      </c>
      <c r="H547" t="s">
        <v>72</v>
      </c>
      <c r="I547" t="s">
        <v>31</v>
      </c>
      <c r="J547">
        <v>9931</v>
      </c>
      <c r="K547">
        <v>8</v>
      </c>
      <c r="L547" s="4">
        <v>3.8199999999999998E-2</v>
      </c>
      <c r="M547">
        <v>0.09</v>
      </c>
      <c r="N547" s="4">
        <v>0.37936419999999998</v>
      </c>
      <c r="O547" s="4">
        <v>0.89378999999999997</v>
      </c>
    </row>
    <row r="548" spans="2:15">
      <c r="B548" t="s">
        <v>69</v>
      </c>
      <c r="C548" t="s">
        <v>50</v>
      </c>
      <c r="D548" t="s">
        <v>720</v>
      </c>
      <c r="E548" t="s">
        <v>721</v>
      </c>
      <c r="F548" t="s">
        <v>11</v>
      </c>
      <c r="G548" t="s">
        <v>51</v>
      </c>
      <c r="H548" t="s">
        <v>72</v>
      </c>
      <c r="I548" t="s">
        <v>31</v>
      </c>
      <c r="J548">
        <v>14287</v>
      </c>
      <c r="K548">
        <v>11</v>
      </c>
      <c r="L548" s="4">
        <v>3.8199999999999998E-2</v>
      </c>
      <c r="M548">
        <v>0.09</v>
      </c>
      <c r="N548" s="4">
        <v>0.5457633999999999</v>
      </c>
      <c r="O548" s="4">
        <v>1.28583</v>
      </c>
    </row>
    <row r="549" spans="2:15">
      <c r="B549" t="s">
        <v>69</v>
      </c>
      <c r="C549" t="s">
        <v>50</v>
      </c>
      <c r="D549" t="s">
        <v>720</v>
      </c>
      <c r="E549" t="s">
        <v>721</v>
      </c>
      <c r="F549" t="s">
        <v>11</v>
      </c>
      <c r="G549" t="s">
        <v>51</v>
      </c>
      <c r="H549" t="s">
        <v>72</v>
      </c>
      <c r="I549" t="s">
        <v>31</v>
      </c>
      <c r="J549">
        <v>9540</v>
      </c>
      <c r="K549">
        <v>16</v>
      </c>
      <c r="L549" s="4">
        <v>3.8199999999999998E-2</v>
      </c>
      <c r="M549">
        <v>0.09</v>
      </c>
      <c r="N549" s="4">
        <v>0.36442799999999997</v>
      </c>
      <c r="O549" s="4">
        <v>0.85860000000000003</v>
      </c>
    </row>
    <row r="550" spans="2:15">
      <c r="B550" t="s">
        <v>69</v>
      </c>
      <c r="C550" t="s">
        <v>50</v>
      </c>
      <c r="D550" t="s">
        <v>722</v>
      </c>
      <c r="E550" t="s">
        <v>723</v>
      </c>
      <c r="F550" t="s">
        <v>11</v>
      </c>
      <c r="G550" t="s">
        <v>51</v>
      </c>
      <c r="H550" t="s">
        <v>72</v>
      </c>
      <c r="I550" t="s">
        <v>31</v>
      </c>
      <c r="J550">
        <v>14186</v>
      </c>
      <c r="K550">
        <v>20</v>
      </c>
      <c r="L550" s="4">
        <v>3.8199999999999998E-2</v>
      </c>
      <c r="M550">
        <v>0.09</v>
      </c>
      <c r="N550" s="4">
        <v>0.54190519999999998</v>
      </c>
      <c r="O550" s="4">
        <v>1.27674</v>
      </c>
    </row>
    <row r="551" spans="2:15">
      <c r="B551" t="s">
        <v>69</v>
      </c>
      <c r="C551" t="s">
        <v>50</v>
      </c>
      <c r="D551" t="s">
        <v>722</v>
      </c>
      <c r="E551" t="s">
        <v>723</v>
      </c>
      <c r="F551" t="s">
        <v>11</v>
      </c>
      <c r="G551" t="s">
        <v>51</v>
      </c>
      <c r="H551" t="s">
        <v>72</v>
      </c>
      <c r="I551" t="s">
        <v>31</v>
      </c>
      <c r="J551">
        <v>9787</v>
      </c>
      <c r="K551">
        <v>9</v>
      </c>
      <c r="L551" s="4">
        <v>3.8199999999999998E-2</v>
      </c>
      <c r="M551">
        <v>0.09</v>
      </c>
      <c r="N551" s="4">
        <v>0.37386339999999996</v>
      </c>
      <c r="O551" s="4">
        <v>0.88082999999999989</v>
      </c>
    </row>
    <row r="552" spans="2:15">
      <c r="B552" t="s">
        <v>69</v>
      </c>
      <c r="C552" t="s">
        <v>50</v>
      </c>
      <c r="D552" t="s">
        <v>724</v>
      </c>
      <c r="E552" t="s">
        <v>725</v>
      </c>
      <c r="F552" t="s">
        <v>11</v>
      </c>
      <c r="G552" t="s">
        <v>51</v>
      </c>
      <c r="H552" t="s">
        <v>72</v>
      </c>
      <c r="I552" t="s">
        <v>31</v>
      </c>
      <c r="J552">
        <v>12159</v>
      </c>
      <c r="K552">
        <v>17</v>
      </c>
      <c r="L552" s="4">
        <v>3.8199999999999998E-2</v>
      </c>
      <c r="M552">
        <v>0.09</v>
      </c>
      <c r="N552" s="4">
        <v>0.46447379999999999</v>
      </c>
      <c r="O552" s="4">
        <v>1.0943099999999999</v>
      </c>
    </row>
    <row r="553" spans="2:15">
      <c r="B553" t="s">
        <v>69</v>
      </c>
      <c r="C553" t="s">
        <v>50</v>
      </c>
      <c r="D553" t="s">
        <v>724</v>
      </c>
      <c r="E553" t="s">
        <v>725</v>
      </c>
      <c r="F553" t="s">
        <v>11</v>
      </c>
      <c r="G553" t="s">
        <v>51</v>
      </c>
      <c r="H553" t="s">
        <v>72</v>
      </c>
      <c r="I553" t="s">
        <v>31</v>
      </c>
      <c r="J553">
        <v>8057</v>
      </c>
      <c r="K553">
        <v>16</v>
      </c>
      <c r="L553" s="4">
        <v>3.8199999999999998E-2</v>
      </c>
      <c r="M553">
        <v>0.09</v>
      </c>
      <c r="N553" s="4">
        <v>0.30777739999999998</v>
      </c>
      <c r="O553" s="4">
        <v>0.72512999999999994</v>
      </c>
    </row>
    <row r="554" spans="2:15">
      <c r="B554" t="s">
        <v>69</v>
      </c>
      <c r="C554" t="s">
        <v>50</v>
      </c>
      <c r="D554" t="s">
        <v>726</v>
      </c>
      <c r="E554" t="s">
        <v>727</v>
      </c>
      <c r="F554" t="s">
        <v>11</v>
      </c>
      <c r="G554" t="s">
        <v>51</v>
      </c>
      <c r="H554" t="s">
        <v>72</v>
      </c>
      <c r="I554" t="s">
        <v>31</v>
      </c>
      <c r="J554">
        <v>13033</v>
      </c>
      <c r="K554">
        <v>12</v>
      </c>
      <c r="L554" s="4">
        <v>3.8199999999999998E-2</v>
      </c>
      <c r="M554">
        <v>0.09</v>
      </c>
      <c r="N554" s="4">
        <v>0.49786059999999999</v>
      </c>
      <c r="O554" s="4">
        <v>1.1729700000000001</v>
      </c>
    </row>
    <row r="555" spans="2:15">
      <c r="B555" t="s">
        <v>69</v>
      </c>
      <c r="C555" t="s">
        <v>50</v>
      </c>
      <c r="D555" t="s">
        <v>726</v>
      </c>
      <c r="E555" t="s">
        <v>727</v>
      </c>
      <c r="F555" t="s">
        <v>11</v>
      </c>
      <c r="G555" t="s">
        <v>51</v>
      </c>
      <c r="H555" t="s">
        <v>72</v>
      </c>
      <c r="I555" t="s">
        <v>31</v>
      </c>
      <c r="J555">
        <v>8057</v>
      </c>
      <c r="K555">
        <v>12</v>
      </c>
      <c r="L555" s="4">
        <v>3.8199999999999998E-2</v>
      </c>
      <c r="M555">
        <v>0.09</v>
      </c>
      <c r="N555" s="4">
        <v>0.30777739999999998</v>
      </c>
      <c r="O555" s="4">
        <v>0.72512999999999994</v>
      </c>
    </row>
    <row r="556" spans="2:15">
      <c r="B556" t="s">
        <v>69</v>
      </c>
      <c r="C556" t="s">
        <v>50</v>
      </c>
      <c r="D556" t="s">
        <v>728</v>
      </c>
      <c r="E556" t="s">
        <v>729</v>
      </c>
      <c r="F556" t="s">
        <v>11</v>
      </c>
      <c r="G556" t="s">
        <v>51</v>
      </c>
      <c r="H556" t="s">
        <v>72</v>
      </c>
      <c r="I556" t="s">
        <v>31</v>
      </c>
      <c r="J556">
        <v>13000</v>
      </c>
      <c r="K556">
        <v>13</v>
      </c>
      <c r="L556" s="4">
        <v>3.8199999999999998E-2</v>
      </c>
      <c r="M556">
        <v>0.09</v>
      </c>
      <c r="N556" s="4">
        <v>0.49659999999999999</v>
      </c>
      <c r="O556" s="4">
        <v>1.17</v>
      </c>
    </row>
    <row r="557" spans="2:15">
      <c r="B557" t="s">
        <v>69</v>
      </c>
      <c r="C557" t="s">
        <v>50</v>
      </c>
      <c r="D557" t="s">
        <v>728</v>
      </c>
      <c r="E557" t="s">
        <v>729</v>
      </c>
      <c r="F557" t="s">
        <v>11</v>
      </c>
      <c r="G557" t="s">
        <v>51</v>
      </c>
      <c r="H557" t="s">
        <v>72</v>
      </c>
      <c r="I557" t="s">
        <v>31</v>
      </c>
      <c r="J557">
        <v>7735</v>
      </c>
      <c r="K557">
        <v>3</v>
      </c>
      <c r="L557" s="4">
        <v>3.8199999999999998E-2</v>
      </c>
      <c r="M557">
        <v>0.09</v>
      </c>
      <c r="N557" s="4">
        <v>0.29547699999999999</v>
      </c>
      <c r="O557" s="4">
        <v>0.69614999999999994</v>
      </c>
    </row>
    <row r="558" spans="2:15">
      <c r="B558" t="s">
        <v>69</v>
      </c>
      <c r="C558" t="s">
        <v>50</v>
      </c>
      <c r="D558" t="s">
        <v>730</v>
      </c>
      <c r="E558" t="s">
        <v>731</v>
      </c>
      <c r="F558" t="s">
        <v>11</v>
      </c>
      <c r="G558" t="s">
        <v>51</v>
      </c>
      <c r="H558" t="s">
        <v>72</v>
      </c>
      <c r="I558" t="s">
        <v>31</v>
      </c>
      <c r="J558">
        <v>13157</v>
      </c>
      <c r="K558">
        <v>14</v>
      </c>
      <c r="L558" s="4">
        <v>3.8199999999999998E-2</v>
      </c>
      <c r="M558">
        <v>0.09</v>
      </c>
      <c r="N558" s="4">
        <v>0.50259739999999997</v>
      </c>
      <c r="O558" s="4">
        <v>1.1841299999999999</v>
      </c>
    </row>
    <row r="559" spans="2:15">
      <c r="B559" t="s">
        <v>69</v>
      </c>
      <c r="C559" t="s">
        <v>50</v>
      </c>
      <c r="D559" t="s">
        <v>730</v>
      </c>
      <c r="E559" t="s">
        <v>731</v>
      </c>
      <c r="F559" t="s">
        <v>11</v>
      </c>
      <c r="G559" t="s">
        <v>51</v>
      </c>
      <c r="H559" t="s">
        <v>72</v>
      </c>
      <c r="I559" t="s">
        <v>31</v>
      </c>
      <c r="J559">
        <v>7818</v>
      </c>
      <c r="K559">
        <v>7</v>
      </c>
      <c r="L559" s="4">
        <v>3.8199999999999998E-2</v>
      </c>
      <c r="M559">
        <v>0.09</v>
      </c>
      <c r="N559" s="4">
        <v>0.29864760000000001</v>
      </c>
      <c r="O559" s="4">
        <v>0.70362000000000002</v>
      </c>
    </row>
    <row r="560" spans="2:15">
      <c r="B560" t="s">
        <v>69</v>
      </c>
      <c r="C560" t="s">
        <v>50</v>
      </c>
      <c r="D560" t="s">
        <v>732</v>
      </c>
      <c r="E560" t="s">
        <v>733</v>
      </c>
      <c r="F560" t="s">
        <v>11</v>
      </c>
      <c r="G560" t="s">
        <v>51</v>
      </c>
      <c r="H560" t="s">
        <v>72</v>
      </c>
      <c r="I560" t="s">
        <v>31</v>
      </c>
      <c r="J560">
        <v>12825</v>
      </c>
      <c r="K560">
        <v>9</v>
      </c>
      <c r="L560" s="4">
        <v>3.8199999999999998E-2</v>
      </c>
      <c r="M560">
        <v>0.09</v>
      </c>
      <c r="N560" s="4">
        <v>0.48991499999999999</v>
      </c>
      <c r="O560" s="4">
        <v>1.15425</v>
      </c>
    </row>
    <row r="561" spans="2:15">
      <c r="B561" t="s">
        <v>69</v>
      </c>
      <c r="C561" t="s">
        <v>50</v>
      </c>
      <c r="D561" t="s">
        <v>732</v>
      </c>
      <c r="E561" t="s">
        <v>733</v>
      </c>
      <c r="F561" t="s">
        <v>11</v>
      </c>
      <c r="G561" t="s">
        <v>51</v>
      </c>
      <c r="H561" t="s">
        <v>72</v>
      </c>
      <c r="I561" t="s">
        <v>31</v>
      </c>
      <c r="J561">
        <v>7780</v>
      </c>
      <c r="K561">
        <v>20</v>
      </c>
      <c r="L561" s="4">
        <v>3.8199999999999998E-2</v>
      </c>
      <c r="M561">
        <v>0.09</v>
      </c>
      <c r="N561" s="4">
        <v>0.29719599999999996</v>
      </c>
      <c r="O561" s="4">
        <v>0.70019999999999993</v>
      </c>
    </row>
    <row r="562" spans="2:15">
      <c r="B562" t="s">
        <v>69</v>
      </c>
      <c r="C562" t="s">
        <v>50</v>
      </c>
      <c r="D562" t="s">
        <v>734</v>
      </c>
      <c r="E562" t="s">
        <v>735</v>
      </c>
      <c r="F562" t="s">
        <v>11</v>
      </c>
      <c r="G562" t="s">
        <v>51</v>
      </c>
      <c r="H562" t="s">
        <v>72</v>
      </c>
      <c r="I562" t="s">
        <v>31</v>
      </c>
      <c r="J562">
        <v>12961</v>
      </c>
      <c r="K562">
        <v>12</v>
      </c>
      <c r="L562" s="4">
        <v>3.8199999999999998E-2</v>
      </c>
      <c r="M562">
        <v>0.09</v>
      </c>
      <c r="N562" s="4">
        <v>0.49511019999999994</v>
      </c>
      <c r="O562" s="4">
        <v>1.16649</v>
      </c>
    </row>
    <row r="563" spans="2:15">
      <c r="B563" t="s">
        <v>69</v>
      </c>
      <c r="C563" t="s">
        <v>50</v>
      </c>
      <c r="D563" t="s">
        <v>734</v>
      </c>
      <c r="E563" t="s">
        <v>735</v>
      </c>
      <c r="F563" t="s">
        <v>11</v>
      </c>
      <c r="G563" t="s">
        <v>51</v>
      </c>
      <c r="H563" t="s">
        <v>72</v>
      </c>
      <c r="I563" t="s">
        <v>31</v>
      </c>
      <c r="J563">
        <v>7878</v>
      </c>
      <c r="K563">
        <v>12</v>
      </c>
      <c r="L563" s="4">
        <v>3.8199999999999998E-2</v>
      </c>
      <c r="M563">
        <v>0.09</v>
      </c>
      <c r="N563" s="4">
        <v>0.30093959999999997</v>
      </c>
      <c r="O563" s="4">
        <v>0.70901999999999998</v>
      </c>
    </row>
    <row r="564" spans="2:15">
      <c r="B564" t="s">
        <v>69</v>
      </c>
      <c r="C564" t="s">
        <v>50</v>
      </c>
      <c r="D564" t="s">
        <v>736</v>
      </c>
      <c r="E564" t="s">
        <v>737</v>
      </c>
      <c r="F564" t="s">
        <v>11</v>
      </c>
      <c r="G564" t="s">
        <v>51</v>
      </c>
      <c r="H564" t="s">
        <v>72</v>
      </c>
      <c r="I564" t="s">
        <v>31</v>
      </c>
      <c r="J564">
        <v>6213</v>
      </c>
      <c r="K564">
        <v>3</v>
      </c>
      <c r="L564" s="4">
        <v>3.8199999999999998E-2</v>
      </c>
      <c r="M564">
        <v>0.09</v>
      </c>
      <c r="N564" s="4">
        <v>0.23733659999999998</v>
      </c>
      <c r="O564" s="4">
        <v>0.55916999999999994</v>
      </c>
    </row>
    <row r="565" spans="2:15">
      <c r="B565" t="s">
        <v>69</v>
      </c>
      <c r="C565" t="s">
        <v>50</v>
      </c>
      <c r="D565" t="s">
        <v>736</v>
      </c>
      <c r="E565" t="s">
        <v>737</v>
      </c>
      <c r="F565" t="s">
        <v>11</v>
      </c>
      <c r="G565" t="s">
        <v>51</v>
      </c>
      <c r="H565" t="s">
        <v>72</v>
      </c>
      <c r="I565" t="s">
        <v>31</v>
      </c>
      <c r="J565">
        <v>3964</v>
      </c>
      <c r="K565">
        <v>2</v>
      </c>
      <c r="L565" s="4">
        <v>3.8199999999999998E-2</v>
      </c>
      <c r="M565">
        <v>0.09</v>
      </c>
      <c r="N565" s="4">
        <v>0.1514248</v>
      </c>
      <c r="O565" s="4">
        <v>0.35675999999999997</v>
      </c>
    </row>
    <row r="566" spans="2:15">
      <c r="B566" t="s">
        <v>69</v>
      </c>
      <c r="C566" t="s">
        <v>50</v>
      </c>
      <c r="D566" t="s">
        <v>738</v>
      </c>
      <c r="E566" t="s">
        <v>739</v>
      </c>
      <c r="F566" t="s">
        <v>11</v>
      </c>
      <c r="G566" t="s">
        <v>51</v>
      </c>
      <c r="H566" t="s">
        <v>72</v>
      </c>
      <c r="I566" t="s">
        <v>31</v>
      </c>
      <c r="J566">
        <v>6894</v>
      </c>
      <c r="K566">
        <v>2</v>
      </c>
      <c r="L566" s="4">
        <v>3.8199999999999998E-2</v>
      </c>
      <c r="M566">
        <v>0.09</v>
      </c>
      <c r="N566" s="4">
        <v>0.2633508</v>
      </c>
      <c r="O566" s="4">
        <v>0.6204599999999999</v>
      </c>
    </row>
    <row r="567" spans="2:15">
      <c r="B567" t="s">
        <v>69</v>
      </c>
      <c r="C567" t="s">
        <v>50</v>
      </c>
      <c r="D567" t="s">
        <v>738</v>
      </c>
      <c r="E567" t="s">
        <v>739</v>
      </c>
      <c r="F567" t="s">
        <v>11</v>
      </c>
      <c r="G567" t="s">
        <v>51</v>
      </c>
      <c r="H567" t="s">
        <v>72</v>
      </c>
      <c r="I567" t="s">
        <v>31</v>
      </c>
      <c r="J567">
        <v>4040</v>
      </c>
      <c r="K567">
        <v>4</v>
      </c>
      <c r="L567" s="4">
        <v>3.8199999999999998E-2</v>
      </c>
      <c r="M567">
        <v>0.09</v>
      </c>
      <c r="N567" s="4">
        <v>0.15432799999999999</v>
      </c>
      <c r="O567" s="4">
        <v>0.36359999999999998</v>
      </c>
    </row>
    <row r="568" spans="2:15">
      <c r="B568" t="s">
        <v>69</v>
      </c>
      <c r="C568" t="s">
        <v>50</v>
      </c>
      <c r="D568" t="s">
        <v>740</v>
      </c>
      <c r="E568" t="s">
        <v>741</v>
      </c>
      <c r="F568" t="s">
        <v>11</v>
      </c>
      <c r="G568" t="s">
        <v>51</v>
      </c>
      <c r="H568" t="s">
        <v>72</v>
      </c>
      <c r="I568" t="s">
        <v>31</v>
      </c>
      <c r="J568">
        <v>6977</v>
      </c>
      <c r="K568">
        <v>5</v>
      </c>
      <c r="L568" s="4">
        <v>3.8199999999999998E-2</v>
      </c>
      <c r="M568">
        <v>0.09</v>
      </c>
      <c r="N568" s="4">
        <v>0.26652139999999996</v>
      </c>
      <c r="O568" s="4">
        <v>0.62792999999999999</v>
      </c>
    </row>
    <row r="569" spans="2:15">
      <c r="B569" t="s">
        <v>69</v>
      </c>
      <c r="C569" t="s">
        <v>50</v>
      </c>
      <c r="D569" t="s">
        <v>740</v>
      </c>
      <c r="E569" t="s">
        <v>741</v>
      </c>
      <c r="F569" t="s">
        <v>11</v>
      </c>
      <c r="G569" t="s">
        <v>51</v>
      </c>
      <c r="H569" t="s">
        <v>72</v>
      </c>
      <c r="I569" t="s">
        <v>31</v>
      </c>
      <c r="J569">
        <v>4120</v>
      </c>
      <c r="K569">
        <v>6</v>
      </c>
      <c r="L569" s="4">
        <v>3.8199999999999998E-2</v>
      </c>
      <c r="M569">
        <v>0.09</v>
      </c>
      <c r="N569" s="4">
        <v>0.157384</v>
      </c>
      <c r="O569" s="4">
        <v>0.37080000000000002</v>
      </c>
    </row>
    <row r="570" spans="2:15">
      <c r="B570" t="s">
        <v>69</v>
      </c>
      <c r="C570" t="s">
        <v>50</v>
      </c>
      <c r="D570" t="s">
        <v>742</v>
      </c>
      <c r="E570" t="s">
        <v>743</v>
      </c>
      <c r="F570" t="s">
        <v>11</v>
      </c>
      <c r="G570" t="s">
        <v>51</v>
      </c>
      <c r="H570" t="s">
        <v>72</v>
      </c>
      <c r="I570" t="s">
        <v>31</v>
      </c>
      <c r="J570">
        <v>7214</v>
      </c>
      <c r="K570">
        <v>8</v>
      </c>
      <c r="L570" s="4">
        <v>3.8199999999999998E-2</v>
      </c>
      <c r="M570">
        <v>0.09</v>
      </c>
      <c r="N570" s="4">
        <v>0.27557480000000001</v>
      </c>
      <c r="O570" s="4">
        <v>0.64925999999999995</v>
      </c>
    </row>
    <row r="571" spans="2:15">
      <c r="B571" t="s">
        <v>69</v>
      </c>
      <c r="C571" t="s">
        <v>50</v>
      </c>
      <c r="D571" t="s">
        <v>742</v>
      </c>
      <c r="E571" t="s">
        <v>743</v>
      </c>
      <c r="F571" t="s">
        <v>11</v>
      </c>
      <c r="G571" t="s">
        <v>51</v>
      </c>
      <c r="H571" t="s">
        <v>72</v>
      </c>
      <c r="I571" t="s">
        <v>31</v>
      </c>
      <c r="J571">
        <v>4124</v>
      </c>
      <c r="K571">
        <v>6</v>
      </c>
      <c r="L571" s="4">
        <v>3.8199999999999998E-2</v>
      </c>
      <c r="M571">
        <v>0.09</v>
      </c>
      <c r="N571" s="4">
        <v>0.1575368</v>
      </c>
      <c r="O571" s="4">
        <v>0.37115999999999999</v>
      </c>
    </row>
    <row r="572" spans="2:15">
      <c r="B572" t="s">
        <v>69</v>
      </c>
      <c r="C572" t="s">
        <v>50</v>
      </c>
      <c r="D572" t="s">
        <v>744</v>
      </c>
      <c r="E572" t="s">
        <v>745</v>
      </c>
      <c r="F572" t="s">
        <v>11</v>
      </c>
      <c r="G572" t="s">
        <v>51</v>
      </c>
      <c r="H572" t="s">
        <v>72</v>
      </c>
      <c r="I572" t="s">
        <v>31</v>
      </c>
      <c r="J572">
        <v>7072</v>
      </c>
      <c r="K572">
        <v>2</v>
      </c>
      <c r="L572" s="4">
        <v>3.8199999999999998E-2</v>
      </c>
      <c r="M572">
        <v>0.09</v>
      </c>
      <c r="N572" s="4">
        <v>0.27015040000000001</v>
      </c>
      <c r="O572" s="4">
        <v>0.63648000000000005</v>
      </c>
    </row>
    <row r="573" spans="2:15">
      <c r="B573" t="s">
        <v>69</v>
      </c>
      <c r="C573" t="s">
        <v>50</v>
      </c>
      <c r="D573" t="s">
        <v>744</v>
      </c>
      <c r="E573" t="s">
        <v>745</v>
      </c>
      <c r="F573" t="s">
        <v>11</v>
      </c>
      <c r="G573" t="s">
        <v>51</v>
      </c>
      <c r="H573" t="s">
        <v>72</v>
      </c>
      <c r="I573" t="s">
        <v>31</v>
      </c>
      <c r="J573">
        <v>3772</v>
      </c>
      <c r="K573">
        <v>2</v>
      </c>
      <c r="L573" s="4">
        <v>3.8199999999999998E-2</v>
      </c>
      <c r="M573">
        <v>0.09</v>
      </c>
      <c r="N573" s="4">
        <v>0.14409039999999998</v>
      </c>
      <c r="O573" s="4">
        <v>0.33947999999999995</v>
      </c>
    </row>
    <row r="574" spans="2:15">
      <c r="B574" t="s">
        <v>69</v>
      </c>
      <c r="C574" t="s">
        <v>50</v>
      </c>
      <c r="D574" t="s">
        <v>746</v>
      </c>
      <c r="E574" t="s">
        <v>747</v>
      </c>
      <c r="F574" t="s">
        <v>11</v>
      </c>
      <c r="G574" t="s">
        <v>51</v>
      </c>
      <c r="H574" t="s">
        <v>72</v>
      </c>
      <c r="I574" t="s">
        <v>31</v>
      </c>
      <c r="J574">
        <v>9969</v>
      </c>
      <c r="K574">
        <v>8</v>
      </c>
      <c r="L574" s="4">
        <v>3.8199999999999998E-2</v>
      </c>
      <c r="M574">
        <v>0.09</v>
      </c>
      <c r="N574" s="4">
        <v>0.38081579999999998</v>
      </c>
      <c r="O574" s="4">
        <v>0.89720999999999995</v>
      </c>
    </row>
    <row r="575" spans="2:15">
      <c r="B575" t="s">
        <v>69</v>
      </c>
      <c r="C575" t="s">
        <v>50</v>
      </c>
      <c r="D575" t="s">
        <v>746</v>
      </c>
      <c r="E575" t="s">
        <v>747</v>
      </c>
      <c r="F575" t="s">
        <v>11</v>
      </c>
      <c r="G575" t="s">
        <v>51</v>
      </c>
      <c r="H575" t="s">
        <v>72</v>
      </c>
      <c r="I575" t="s">
        <v>31</v>
      </c>
      <c r="J575">
        <v>7068</v>
      </c>
      <c r="K575">
        <v>6</v>
      </c>
      <c r="L575" s="4">
        <v>3.8199999999999998E-2</v>
      </c>
      <c r="M575">
        <v>0.09</v>
      </c>
      <c r="N575" s="4">
        <v>0.2699976</v>
      </c>
      <c r="O575" s="4">
        <v>0.63612000000000002</v>
      </c>
    </row>
    <row r="576" spans="2:15">
      <c r="B576" t="s">
        <v>69</v>
      </c>
      <c r="C576" t="s">
        <v>50</v>
      </c>
      <c r="D576" t="s">
        <v>748</v>
      </c>
      <c r="E576" t="s">
        <v>749</v>
      </c>
      <c r="F576" t="s">
        <v>11</v>
      </c>
      <c r="G576" t="s">
        <v>51</v>
      </c>
      <c r="H576" t="s">
        <v>72</v>
      </c>
      <c r="I576" t="s">
        <v>31</v>
      </c>
      <c r="J576">
        <v>10057</v>
      </c>
      <c r="K576">
        <v>11</v>
      </c>
      <c r="L576" s="4">
        <v>3.8199999999999998E-2</v>
      </c>
      <c r="M576">
        <v>0.09</v>
      </c>
      <c r="N576" s="4">
        <v>0.3841774</v>
      </c>
      <c r="O576" s="4">
        <v>0.90512999999999999</v>
      </c>
    </row>
    <row r="577" spans="2:15">
      <c r="B577" t="s">
        <v>69</v>
      </c>
      <c r="C577" t="s">
        <v>50</v>
      </c>
      <c r="D577" t="s">
        <v>748</v>
      </c>
      <c r="E577" t="s">
        <v>749</v>
      </c>
      <c r="F577" t="s">
        <v>11</v>
      </c>
      <c r="G577" t="s">
        <v>51</v>
      </c>
      <c r="H577" t="s">
        <v>72</v>
      </c>
      <c r="I577" t="s">
        <v>31</v>
      </c>
      <c r="J577">
        <v>6985</v>
      </c>
      <c r="K577">
        <v>9</v>
      </c>
      <c r="L577" s="4">
        <v>3.8199999999999998E-2</v>
      </c>
      <c r="M577">
        <v>0.09</v>
      </c>
      <c r="N577" s="4">
        <v>0.26682699999999998</v>
      </c>
      <c r="O577" s="4">
        <v>0.62864999999999993</v>
      </c>
    </row>
    <row r="578" spans="2:15">
      <c r="B578" t="s">
        <v>69</v>
      </c>
      <c r="C578" t="s">
        <v>50</v>
      </c>
      <c r="D578" t="s">
        <v>750</v>
      </c>
      <c r="E578" t="s">
        <v>751</v>
      </c>
      <c r="F578" t="s">
        <v>11</v>
      </c>
      <c r="G578" t="s">
        <v>51</v>
      </c>
      <c r="H578" t="s">
        <v>72</v>
      </c>
      <c r="I578" t="s">
        <v>31</v>
      </c>
      <c r="J578">
        <v>10016</v>
      </c>
      <c r="K578">
        <v>4</v>
      </c>
      <c r="L578" s="4">
        <v>3.8199999999999998E-2</v>
      </c>
      <c r="M578">
        <v>0.09</v>
      </c>
      <c r="N578" s="4">
        <v>0.38261119999999998</v>
      </c>
      <c r="O578" s="4">
        <v>0.90143999999999991</v>
      </c>
    </row>
    <row r="579" spans="2:15">
      <c r="B579" t="s">
        <v>69</v>
      </c>
      <c r="C579" t="s">
        <v>50</v>
      </c>
      <c r="D579" t="s">
        <v>750</v>
      </c>
      <c r="E579" t="s">
        <v>751</v>
      </c>
      <c r="F579" t="s">
        <v>11</v>
      </c>
      <c r="G579" t="s">
        <v>51</v>
      </c>
      <c r="H579" t="s">
        <v>72</v>
      </c>
      <c r="I579" t="s">
        <v>31</v>
      </c>
      <c r="J579">
        <v>7079</v>
      </c>
      <c r="K579">
        <v>12</v>
      </c>
      <c r="L579" s="4">
        <v>3.8199999999999998E-2</v>
      </c>
      <c r="M579">
        <v>0.09</v>
      </c>
      <c r="N579" s="4">
        <v>0.27041779999999999</v>
      </c>
      <c r="O579" s="4">
        <v>0.63711000000000007</v>
      </c>
    </row>
    <row r="580" spans="2:15">
      <c r="B580" t="s">
        <v>69</v>
      </c>
      <c r="C580" t="s">
        <v>50</v>
      </c>
      <c r="D580" t="s">
        <v>752</v>
      </c>
      <c r="E580" t="s">
        <v>753</v>
      </c>
      <c r="F580" t="s">
        <v>11</v>
      </c>
      <c r="G580" t="s">
        <v>51</v>
      </c>
      <c r="H580" t="s">
        <v>72</v>
      </c>
      <c r="I580" t="s">
        <v>31</v>
      </c>
      <c r="J580">
        <v>9659</v>
      </c>
      <c r="K580">
        <v>11</v>
      </c>
      <c r="L580" s="4">
        <v>3.8199999999999998E-2</v>
      </c>
      <c r="M580">
        <v>0.09</v>
      </c>
      <c r="N580" s="4">
        <v>0.36897379999999996</v>
      </c>
      <c r="O580" s="4">
        <v>0.86930999999999992</v>
      </c>
    </row>
    <row r="581" spans="2:15">
      <c r="B581" t="s">
        <v>69</v>
      </c>
      <c r="C581" t="s">
        <v>50</v>
      </c>
      <c r="D581" t="s">
        <v>752</v>
      </c>
      <c r="E581" t="s">
        <v>753</v>
      </c>
      <c r="F581" t="s">
        <v>11</v>
      </c>
      <c r="G581" t="s">
        <v>51</v>
      </c>
      <c r="H581" t="s">
        <v>72</v>
      </c>
      <c r="I581" t="s">
        <v>31</v>
      </c>
      <c r="J581">
        <v>6970</v>
      </c>
      <c r="K581">
        <v>13</v>
      </c>
      <c r="L581" s="4">
        <v>3.8199999999999998E-2</v>
      </c>
      <c r="M581">
        <v>0.09</v>
      </c>
      <c r="N581" s="4">
        <v>0.26625399999999994</v>
      </c>
      <c r="O581" s="4">
        <v>0.62729999999999997</v>
      </c>
    </row>
    <row r="582" spans="2:15">
      <c r="B582" t="s">
        <v>69</v>
      </c>
      <c r="C582" t="s">
        <v>50</v>
      </c>
      <c r="D582" t="s">
        <v>754</v>
      </c>
      <c r="E582" t="s">
        <v>755</v>
      </c>
      <c r="F582" t="s">
        <v>11</v>
      </c>
      <c r="G582" t="s">
        <v>51</v>
      </c>
      <c r="H582" t="s">
        <v>72</v>
      </c>
      <c r="I582" t="s">
        <v>31</v>
      </c>
      <c r="J582">
        <v>1925</v>
      </c>
      <c r="K582">
        <v>3</v>
      </c>
      <c r="L582" s="4">
        <v>3.8199999999999998E-2</v>
      </c>
      <c r="M582">
        <v>0.09</v>
      </c>
      <c r="N582" s="4">
        <v>7.3535000000000003E-2</v>
      </c>
      <c r="O582" s="4">
        <v>0.17324999999999999</v>
      </c>
    </row>
    <row r="583" spans="2:15">
      <c r="B583" t="s">
        <v>69</v>
      </c>
      <c r="C583" t="s">
        <v>50</v>
      </c>
      <c r="D583" t="s">
        <v>754</v>
      </c>
      <c r="E583" t="s">
        <v>755</v>
      </c>
      <c r="F583" t="s">
        <v>11</v>
      </c>
      <c r="G583" t="s">
        <v>51</v>
      </c>
      <c r="H583" t="s">
        <v>72</v>
      </c>
      <c r="I583" t="s">
        <v>31</v>
      </c>
      <c r="J583">
        <v>7506</v>
      </c>
      <c r="K583">
        <v>48</v>
      </c>
      <c r="L583" s="4">
        <v>3.8199999999999998E-2</v>
      </c>
      <c r="M583">
        <v>0.09</v>
      </c>
      <c r="N583" s="4">
        <v>0.28672920000000002</v>
      </c>
      <c r="O583" s="4">
        <v>0.67553999999999992</v>
      </c>
    </row>
    <row r="584" spans="2:15">
      <c r="B584" t="s">
        <v>69</v>
      </c>
      <c r="C584" t="s">
        <v>50</v>
      </c>
      <c r="D584" t="s">
        <v>756</v>
      </c>
      <c r="E584" t="s">
        <v>757</v>
      </c>
      <c r="F584" t="s">
        <v>11</v>
      </c>
      <c r="G584" t="s">
        <v>51</v>
      </c>
      <c r="H584" t="s">
        <v>72</v>
      </c>
      <c r="I584" t="s">
        <v>31</v>
      </c>
      <c r="J584">
        <v>1539</v>
      </c>
      <c r="K584">
        <v>6</v>
      </c>
      <c r="L584" s="4">
        <v>3.8199999999999998E-2</v>
      </c>
      <c r="M584">
        <v>0.09</v>
      </c>
      <c r="N584" s="4">
        <v>5.8789799999999996E-2</v>
      </c>
      <c r="O584" s="4">
        <v>0.13850999999999999</v>
      </c>
    </row>
    <row r="585" spans="2:15">
      <c r="B585" t="s">
        <v>69</v>
      </c>
      <c r="C585" t="s">
        <v>50</v>
      </c>
      <c r="D585" t="s">
        <v>756</v>
      </c>
      <c r="E585" t="s">
        <v>757</v>
      </c>
      <c r="F585" t="s">
        <v>11</v>
      </c>
      <c r="G585" t="s">
        <v>51</v>
      </c>
      <c r="H585" t="s">
        <v>72</v>
      </c>
      <c r="I585" t="s">
        <v>31</v>
      </c>
      <c r="J585">
        <v>7534</v>
      </c>
      <c r="K585">
        <v>50</v>
      </c>
      <c r="L585" s="4">
        <v>3.8199999999999998E-2</v>
      </c>
      <c r="M585">
        <v>0.09</v>
      </c>
      <c r="N585" s="4">
        <v>0.28779879999999997</v>
      </c>
      <c r="O585" s="4">
        <v>0.67806</v>
      </c>
    </row>
    <row r="586" spans="2:15">
      <c r="B586" t="s">
        <v>69</v>
      </c>
      <c r="C586" t="s">
        <v>50</v>
      </c>
      <c r="D586" t="s">
        <v>758</v>
      </c>
      <c r="E586" t="s">
        <v>759</v>
      </c>
      <c r="F586" t="s">
        <v>11</v>
      </c>
      <c r="G586" t="s">
        <v>51</v>
      </c>
      <c r="H586" t="s">
        <v>72</v>
      </c>
      <c r="I586" t="s">
        <v>31</v>
      </c>
      <c r="J586">
        <v>1521</v>
      </c>
      <c r="K586">
        <v>2</v>
      </c>
      <c r="L586" s="4">
        <v>3.8199999999999998E-2</v>
      </c>
      <c r="M586">
        <v>0.09</v>
      </c>
      <c r="N586" s="4">
        <v>5.81022E-2</v>
      </c>
      <c r="O586" s="4">
        <v>0.13688999999999998</v>
      </c>
    </row>
    <row r="587" spans="2:15">
      <c r="B587" t="s">
        <v>69</v>
      </c>
      <c r="C587" t="s">
        <v>50</v>
      </c>
      <c r="D587" t="s">
        <v>758</v>
      </c>
      <c r="E587" t="s">
        <v>759</v>
      </c>
      <c r="F587" t="s">
        <v>11</v>
      </c>
      <c r="G587" t="s">
        <v>51</v>
      </c>
      <c r="H587" t="s">
        <v>72</v>
      </c>
      <c r="I587" t="s">
        <v>31</v>
      </c>
      <c r="J587">
        <v>6785</v>
      </c>
      <c r="K587">
        <v>37</v>
      </c>
      <c r="L587" s="4">
        <v>3.8199999999999998E-2</v>
      </c>
      <c r="M587">
        <v>0.09</v>
      </c>
      <c r="N587" s="4">
        <v>0.259187</v>
      </c>
      <c r="O587" s="4">
        <v>0.61065000000000003</v>
      </c>
    </row>
    <row r="588" spans="2:15">
      <c r="B588" t="s">
        <v>69</v>
      </c>
      <c r="C588" t="s">
        <v>50</v>
      </c>
      <c r="D588" t="s">
        <v>760</v>
      </c>
      <c r="E588" t="s">
        <v>761</v>
      </c>
      <c r="F588" t="s">
        <v>11</v>
      </c>
      <c r="G588" t="s">
        <v>51</v>
      </c>
      <c r="H588" t="s">
        <v>72</v>
      </c>
      <c r="I588" t="s">
        <v>31</v>
      </c>
      <c r="J588">
        <v>1503</v>
      </c>
      <c r="K588">
        <v>1</v>
      </c>
      <c r="L588" s="4">
        <v>3.8199999999999998E-2</v>
      </c>
      <c r="M588">
        <v>0.09</v>
      </c>
      <c r="N588" s="4">
        <v>5.7414600000000003E-2</v>
      </c>
      <c r="O588" s="4">
        <v>0.13526999999999997</v>
      </c>
    </row>
    <row r="589" spans="2:15">
      <c r="B589" t="s">
        <v>69</v>
      </c>
      <c r="C589" t="s">
        <v>50</v>
      </c>
      <c r="D589" t="s">
        <v>760</v>
      </c>
      <c r="E589" t="s">
        <v>761</v>
      </c>
      <c r="F589" t="s">
        <v>11</v>
      </c>
      <c r="G589" t="s">
        <v>51</v>
      </c>
      <c r="H589" t="s">
        <v>72</v>
      </c>
      <c r="I589" t="s">
        <v>31</v>
      </c>
      <c r="J589">
        <v>6758</v>
      </c>
      <c r="K589">
        <v>43</v>
      </c>
      <c r="L589" s="4">
        <v>3.8199999999999998E-2</v>
      </c>
      <c r="M589">
        <v>0.09</v>
      </c>
      <c r="N589" s="4">
        <v>0.25815559999999999</v>
      </c>
      <c r="O589" s="4">
        <v>0.60821999999999998</v>
      </c>
    </row>
    <row r="590" spans="2:15">
      <c r="B590" t="s">
        <v>69</v>
      </c>
      <c r="C590" t="s">
        <v>50</v>
      </c>
      <c r="D590" t="s">
        <v>762</v>
      </c>
      <c r="E590" t="s">
        <v>763</v>
      </c>
      <c r="F590" t="s">
        <v>11</v>
      </c>
      <c r="G590" t="s">
        <v>51</v>
      </c>
      <c r="H590" t="s">
        <v>72</v>
      </c>
      <c r="I590" t="s">
        <v>31</v>
      </c>
      <c r="J590">
        <v>1562</v>
      </c>
      <c r="K590">
        <v>3</v>
      </c>
      <c r="L590" s="4">
        <v>3.8199999999999998E-2</v>
      </c>
      <c r="M590">
        <v>0.09</v>
      </c>
      <c r="N590" s="4">
        <v>5.9668399999999996E-2</v>
      </c>
      <c r="O590" s="4">
        <v>0.14057999999999998</v>
      </c>
    </row>
    <row r="591" spans="2:15">
      <c r="B591" t="s">
        <v>69</v>
      </c>
      <c r="C591" t="s">
        <v>50</v>
      </c>
      <c r="D591" t="s">
        <v>762</v>
      </c>
      <c r="E591" t="s">
        <v>763</v>
      </c>
      <c r="F591" t="s">
        <v>11</v>
      </c>
      <c r="G591" t="s">
        <v>51</v>
      </c>
      <c r="H591" t="s">
        <v>72</v>
      </c>
      <c r="I591" t="s">
        <v>31</v>
      </c>
      <c r="J591">
        <v>6945</v>
      </c>
      <c r="K591">
        <v>54</v>
      </c>
      <c r="L591" s="4">
        <v>3.8199999999999998E-2</v>
      </c>
      <c r="M591">
        <v>0.09</v>
      </c>
      <c r="N591" s="4">
        <v>0.26529899999999995</v>
      </c>
      <c r="O591" s="4">
        <v>0.62504999999999999</v>
      </c>
    </row>
    <row r="592" spans="2:15">
      <c r="B592" t="s">
        <v>69</v>
      </c>
      <c r="C592" t="s">
        <v>50</v>
      </c>
      <c r="D592" t="s">
        <v>764</v>
      </c>
      <c r="E592" t="s">
        <v>765</v>
      </c>
      <c r="F592" t="s">
        <v>11</v>
      </c>
      <c r="G592" t="s">
        <v>51</v>
      </c>
      <c r="H592" t="s">
        <v>72</v>
      </c>
      <c r="I592" t="s">
        <v>31</v>
      </c>
      <c r="J592">
        <v>1660</v>
      </c>
      <c r="K592">
        <v>2</v>
      </c>
      <c r="L592" s="4">
        <v>3.8199999999999998E-2</v>
      </c>
      <c r="M592">
        <v>0.09</v>
      </c>
      <c r="N592" s="4">
        <v>6.3411999999999996E-2</v>
      </c>
      <c r="O592" s="4">
        <v>0.14940000000000001</v>
      </c>
    </row>
    <row r="593" spans="2:15">
      <c r="B593" t="s">
        <v>69</v>
      </c>
      <c r="C593" t="s">
        <v>50</v>
      </c>
      <c r="D593" t="s">
        <v>764</v>
      </c>
      <c r="E593" t="s">
        <v>765</v>
      </c>
      <c r="F593" t="s">
        <v>11</v>
      </c>
      <c r="G593" t="s">
        <v>51</v>
      </c>
      <c r="H593" t="s">
        <v>72</v>
      </c>
      <c r="I593" t="s">
        <v>31</v>
      </c>
      <c r="J593">
        <v>6826</v>
      </c>
      <c r="K593">
        <v>37</v>
      </c>
      <c r="L593" s="4">
        <v>3.8199999999999998E-2</v>
      </c>
      <c r="M593">
        <v>0.09</v>
      </c>
      <c r="N593" s="4">
        <v>0.26075320000000002</v>
      </c>
      <c r="O593" s="4">
        <v>0.61434</v>
      </c>
    </row>
    <row r="594" spans="2:15">
      <c r="B594" t="s">
        <v>69</v>
      </c>
      <c r="C594" t="s">
        <v>50</v>
      </c>
      <c r="D594" t="s">
        <v>766</v>
      </c>
      <c r="E594" t="s">
        <v>767</v>
      </c>
      <c r="F594" t="s">
        <v>11</v>
      </c>
      <c r="G594" t="s">
        <v>51</v>
      </c>
      <c r="H594" t="s">
        <v>72</v>
      </c>
      <c r="I594" t="s">
        <v>31</v>
      </c>
      <c r="J594">
        <v>1553</v>
      </c>
      <c r="K594">
        <v>0</v>
      </c>
      <c r="L594" s="4">
        <v>3.8199999999999998E-2</v>
      </c>
      <c r="M594">
        <v>0.09</v>
      </c>
      <c r="N594" s="4">
        <v>5.9324599999999998E-2</v>
      </c>
      <c r="O594" s="4">
        <v>0.13976999999999998</v>
      </c>
    </row>
    <row r="595" spans="2:15">
      <c r="B595" t="s">
        <v>69</v>
      </c>
      <c r="C595" t="s">
        <v>50</v>
      </c>
      <c r="D595" t="s">
        <v>766</v>
      </c>
      <c r="E595" t="s">
        <v>767</v>
      </c>
      <c r="F595" t="s">
        <v>11</v>
      </c>
      <c r="G595" t="s">
        <v>51</v>
      </c>
      <c r="H595" t="s">
        <v>72</v>
      </c>
      <c r="I595" t="s">
        <v>31</v>
      </c>
      <c r="J595">
        <v>7150</v>
      </c>
      <c r="K595">
        <v>29</v>
      </c>
      <c r="L595" s="4">
        <v>3.8199999999999998E-2</v>
      </c>
      <c r="M595">
        <v>0.09</v>
      </c>
      <c r="N595" s="4">
        <v>0.27312999999999998</v>
      </c>
      <c r="O595" s="4">
        <v>0.64349999999999996</v>
      </c>
    </row>
    <row r="596" spans="2:15">
      <c r="B596" t="s">
        <v>69</v>
      </c>
      <c r="C596" t="s">
        <v>50</v>
      </c>
      <c r="D596" t="s">
        <v>768</v>
      </c>
      <c r="E596" t="s">
        <v>769</v>
      </c>
      <c r="F596" t="s">
        <v>11</v>
      </c>
      <c r="G596" t="s">
        <v>51</v>
      </c>
      <c r="H596" t="s">
        <v>72</v>
      </c>
      <c r="I596" t="s">
        <v>31</v>
      </c>
      <c r="J596">
        <v>1527</v>
      </c>
      <c r="K596">
        <v>2</v>
      </c>
      <c r="L596" s="4">
        <v>3.8199999999999998E-2</v>
      </c>
      <c r="M596">
        <v>0.09</v>
      </c>
      <c r="N596" s="4">
        <v>5.8331399999999992E-2</v>
      </c>
      <c r="O596" s="4">
        <v>0.13743</v>
      </c>
    </row>
    <row r="597" spans="2:15">
      <c r="B597" t="s">
        <v>69</v>
      </c>
      <c r="C597" t="s">
        <v>50</v>
      </c>
      <c r="D597" t="s">
        <v>768</v>
      </c>
      <c r="E597" t="s">
        <v>769</v>
      </c>
      <c r="F597" t="s">
        <v>11</v>
      </c>
      <c r="G597" t="s">
        <v>51</v>
      </c>
      <c r="H597" t="s">
        <v>72</v>
      </c>
      <c r="I597" t="s">
        <v>31</v>
      </c>
      <c r="J597">
        <v>7265</v>
      </c>
      <c r="K597">
        <v>43</v>
      </c>
      <c r="L597" s="4">
        <v>3.8199999999999998E-2</v>
      </c>
      <c r="M597">
        <v>0.09</v>
      </c>
      <c r="N597" s="4">
        <v>0.27752299999999996</v>
      </c>
      <c r="O597" s="4">
        <v>0.65385000000000004</v>
      </c>
    </row>
    <row r="598" spans="2:15">
      <c r="B598" t="s">
        <v>69</v>
      </c>
      <c r="C598" t="s">
        <v>50</v>
      </c>
      <c r="D598" t="s">
        <v>770</v>
      </c>
      <c r="E598" t="s">
        <v>771</v>
      </c>
      <c r="F598" t="s">
        <v>11</v>
      </c>
      <c r="G598" t="s">
        <v>51</v>
      </c>
      <c r="H598" t="s">
        <v>72</v>
      </c>
      <c r="I598" t="s">
        <v>31</v>
      </c>
      <c r="J598">
        <v>2064</v>
      </c>
      <c r="K598">
        <v>4</v>
      </c>
      <c r="L598" s="4">
        <v>3.8199999999999998E-2</v>
      </c>
      <c r="M598">
        <v>0.09</v>
      </c>
      <c r="N598" s="4">
        <v>7.8844799999999993E-2</v>
      </c>
      <c r="O598" s="4">
        <v>0.18575999999999998</v>
      </c>
    </row>
    <row r="599" spans="2:15">
      <c r="B599" t="s">
        <v>69</v>
      </c>
      <c r="C599" t="s">
        <v>50</v>
      </c>
      <c r="D599" t="s">
        <v>770</v>
      </c>
      <c r="E599" t="s">
        <v>771</v>
      </c>
      <c r="F599" t="s">
        <v>11</v>
      </c>
      <c r="G599" t="s">
        <v>51</v>
      </c>
      <c r="H599" t="s">
        <v>72</v>
      </c>
      <c r="I599" t="s">
        <v>31</v>
      </c>
      <c r="J599">
        <v>8195</v>
      </c>
      <c r="K599">
        <v>61</v>
      </c>
      <c r="L599" s="4">
        <v>3.8199999999999998E-2</v>
      </c>
      <c r="M599">
        <v>0.09</v>
      </c>
      <c r="N599" s="4">
        <v>0.31304899999999997</v>
      </c>
      <c r="O599" s="4">
        <v>0.73754999999999993</v>
      </c>
    </row>
    <row r="600" spans="2:15">
      <c r="B600" t="s">
        <v>69</v>
      </c>
      <c r="C600" t="s">
        <v>50</v>
      </c>
      <c r="D600" t="s">
        <v>772</v>
      </c>
      <c r="E600" t="s">
        <v>773</v>
      </c>
      <c r="F600" t="s">
        <v>11</v>
      </c>
      <c r="G600" t="s">
        <v>51</v>
      </c>
      <c r="H600" t="s">
        <v>72</v>
      </c>
      <c r="I600" t="s">
        <v>31</v>
      </c>
      <c r="J600">
        <v>1525</v>
      </c>
      <c r="K600">
        <v>6</v>
      </c>
      <c r="L600" s="4">
        <v>3.8199999999999998E-2</v>
      </c>
      <c r="M600">
        <v>0.09</v>
      </c>
      <c r="N600" s="4">
        <v>5.8254999999999994E-2</v>
      </c>
      <c r="O600" s="4">
        <v>0.13725000000000001</v>
      </c>
    </row>
    <row r="601" spans="2:15">
      <c r="B601" t="s">
        <v>69</v>
      </c>
      <c r="C601" t="s">
        <v>50</v>
      </c>
      <c r="D601" t="s">
        <v>772</v>
      </c>
      <c r="E601" t="s">
        <v>773</v>
      </c>
      <c r="F601" t="s">
        <v>11</v>
      </c>
      <c r="G601" t="s">
        <v>51</v>
      </c>
      <c r="H601" t="s">
        <v>72</v>
      </c>
      <c r="I601" t="s">
        <v>31</v>
      </c>
      <c r="J601">
        <v>9137</v>
      </c>
      <c r="K601">
        <v>62</v>
      </c>
      <c r="L601" s="4">
        <v>3.8199999999999998E-2</v>
      </c>
      <c r="M601">
        <v>0.09</v>
      </c>
      <c r="N601" s="4">
        <v>0.34903339999999999</v>
      </c>
      <c r="O601" s="4">
        <v>0.82232999999999989</v>
      </c>
    </row>
    <row r="602" spans="2:15">
      <c r="B602" t="s">
        <v>69</v>
      </c>
      <c r="C602" t="s">
        <v>50</v>
      </c>
      <c r="D602" t="s">
        <v>774</v>
      </c>
      <c r="E602" t="s">
        <v>775</v>
      </c>
      <c r="F602" t="s">
        <v>11</v>
      </c>
      <c r="G602" t="s">
        <v>51</v>
      </c>
      <c r="H602" t="s">
        <v>72</v>
      </c>
      <c r="I602" t="s">
        <v>31</v>
      </c>
      <c r="J602">
        <v>2012</v>
      </c>
      <c r="K602">
        <v>9</v>
      </c>
      <c r="L602" s="4">
        <v>3.8199999999999998E-2</v>
      </c>
      <c r="M602">
        <v>0.09</v>
      </c>
      <c r="N602" s="4">
        <v>7.6858399999999993E-2</v>
      </c>
      <c r="O602" s="4">
        <v>0.18107999999999999</v>
      </c>
    </row>
    <row r="603" spans="2:15">
      <c r="B603" t="s">
        <v>69</v>
      </c>
      <c r="C603" t="s">
        <v>50</v>
      </c>
      <c r="D603" t="s">
        <v>774</v>
      </c>
      <c r="E603" t="s">
        <v>775</v>
      </c>
      <c r="F603" t="s">
        <v>11</v>
      </c>
      <c r="G603" t="s">
        <v>51</v>
      </c>
      <c r="H603" t="s">
        <v>72</v>
      </c>
      <c r="I603" t="s">
        <v>31</v>
      </c>
      <c r="J603">
        <v>8322</v>
      </c>
      <c r="K603">
        <v>55</v>
      </c>
      <c r="L603" s="4">
        <v>3.8199999999999998E-2</v>
      </c>
      <c r="M603">
        <v>0.09</v>
      </c>
      <c r="N603" s="4">
        <v>0.31790039999999997</v>
      </c>
      <c r="O603" s="4">
        <v>0.74897999999999998</v>
      </c>
    </row>
    <row r="604" spans="2:15">
      <c r="B604" t="s">
        <v>69</v>
      </c>
      <c r="C604" t="s">
        <v>50</v>
      </c>
      <c r="D604" t="s">
        <v>776</v>
      </c>
      <c r="E604" t="s">
        <v>777</v>
      </c>
      <c r="F604" t="s">
        <v>11</v>
      </c>
      <c r="G604" t="s">
        <v>51</v>
      </c>
      <c r="H604" t="s">
        <v>72</v>
      </c>
      <c r="I604" t="s">
        <v>31</v>
      </c>
      <c r="J604">
        <v>1530</v>
      </c>
      <c r="K604">
        <v>1</v>
      </c>
      <c r="L604" s="4">
        <v>3.8199999999999998E-2</v>
      </c>
      <c r="M604">
        <v>0.09</v>
      </c>
      <c r="N604" s="4">
        <v>5.8445999999999998E-2</v>
      </c>
      <c r="O604" s="4">
        <v>0.13769999999999999</v>
      </c>
    </row>
    <row r="605" spans="2:15">
      <c r="B605" t="s">
        <v>69</v>
      </c>
      <c r="C605" t="s">
        <v>50</v>
      </c>
      <c r="D605" t="s">
        <v>776</v>
      </c>
      <c r="E605" t="s">
        <v>777</v>
      </c>
      <c r="F605" t="s">
        <v>11</v>
      </c>
      <c r="G605" t="s">
        <v>51</v>
      </c>
      <c r="H605" t="s">
        <v>72</v>
      </c>
      <c r="I605" t="s">
        <v>31</v>
      </c>
      <c r="J605">
        <v>7291</v>
      </c>
      <c r="K605">
        <v>42</v>
      </c>
      <c r="L605" s="4">
        <v>3.8199999999999998E-2</v>
      </c>
      <c r="M605">
        <v>0.09</v>
      </c>
      <c r="N605" s="4">
        <v>0.27851619999999999</v>
      </c>
      <c r="O605" s="4">
        <v>0.65618999999999994</v>
      </c>
    </row>
    <row r="606" spans="2:15">
      <c r="B606" t="s">
        <v>69</v>
      </c>
      <c r="C606" t="s">
        <v>50</v>
      </c>
      <c r="D606" t="s">
        <v>778</v>
      </c>
      <c r="E606" t="s">
        <v>779</v>
      </c>
      <c r="F606" t="s">
        <v>11</v>
      </c>
      <c r="G606" t="s">
        <v>51</v>
      </c>
      <c r="H606" t="s">
        <v>72</v>
      </c>
      <c r="I606" t="s">
        <v>31</v>
      </c>
      <c r="J606">
        <v>1987</v>
      </c>
      <c r="K606">
        <v>1</v>
      </c>
      <c r="L606" s="4">
        <v>3.8199999999999998E-2</v>
      </c>
      <c r="M606">
        <v>0.09</v>
      </c>
      <c r="N606" s="4">
        <v>7.5903399999999996E-2</v>
      </c>
      <c r="O606" s="4">
        <v>0.17882999999999999</v>
      </c>
    </row>
    <row r="607" spans="2:15">
      <c r="B607" t="s">
        <v>69</v>
      </c>
      <c r="C607" t="s">
        <v>50</v>
      </c>
      <c r="D607" t="s">
        <v>778</v>
      </c>
      <c r="E607" t="s">
        <v>779</v>
      </c>
      <c r="F607" t="s">
        <v>11</v>
      </c>
      <c r="G607" t="s">
        <v>51</v>
      </c>
      <c r="H607" t="s">
        <v>72</v>
      </c>
      <c r="I607" t="s">
        <v>31</v>
      </c>
      <c r="J607">
        <v>7594</v>
      </c>
      <c r="K607">
        <v>57</v>
      </c>
      <c r="L607" s="4">
        <v>3.8199999999999998E-2</v>
      </c>
      <c r="M607">
        <v>0.09</v>
      </c>
      <c r="N607" s="4">
        <v>0.29009079999999998</v>
      </c>
      <c r="O607" s="4">
        <v>0.68345999999999996</v>
      </c>
    </row>
    <row r="608" spans="2:15">
      <c r="B608" t="s">
        <v>69</v>
      </c>
      <c r="C608" t="s">
        <v>50</v>
      </c>
      <c r="D608" t="s">
        <v>780</v>
      </c>
      <c r="E608" t="s">
        <v>781</v>
      </c>
      <c r="F608" t="s">
        <v>11</v>
      </c>
      <c r="G608" t="s">
        <v>51</v>
      </c>
      <c r="H608" t="s">
        <v>72</v>
      </c>
      <c r="I608" t="s">
        <v>31</v>
      </c>
      <c r="J608">
        <v>1933</v>
      </c>
      <c r="K608">
        <v>4</v>
      </c>
      <c r="L608" s="4">
        <v>3.8199999999999998E-2</v>
      </c>
      <c r="M608">
        <v>0.09</v>
      </c>
      <c r="N608" s="4">
        <v>7.3840599999999992E-2</v>
      </c>
      <c r="O608" s="4">
        <v>0.17396999999999999</v>
      </c>
    </row>
    <row r="609" spans="2:15">
      <c r="B609" t="s">
        <v>69</v>
      </c>
      <c r="C609" t="s">
        <v>50</v>
      </c>
      <c r="D609" t="s">
        <v>780</v>
      </c>
      <c r="E609" t="s">
        <v>781</v>
      </c>
      <c r="F609" t="s">
        <v>11</v>
      </c>
      <c r="G609" t="s">
        <v>51</v>
      </c>
      <c r="H609" t="s">
        <v>72</v>
      </c>
      <c r="I609" t="s">
        <v>31</v>
      </c>
      <c r="J609">
        <v>8014</v>
      </c>
      <c r="K609">
        <v>51</v>
      </c>
      <c r="L609" s="4">
        <v>3.8199999999999998E-2</v>
      </c>
      <c r="M609">
        <v>0.09</v>
      </c>
      <c r="N609" s="4">
        <v>0.30613479999999998</v>
      </c>
      <c r="O609" s="4">
        <v>0.72126000000000001</v>
      </c>
    </row>
    <row r="610" spans="2:15">
      <c r="B610" t="s">
        <v>69</v>
      </c>
      <c r="C610" t="s">
        <v>50</v>
      </c>
      <c r="D610" t="s">
        <v>782</v>
      </c>
      <c r="E610" t="s">
        <v>783</v>
      </c>
      <c r="F610" t="s">
        <v>11</v>
      </c>
      <c r="G610" t="s">
        <v>51</v>
      </c>
      <c r="H610" t="s">
        <v>72</v>
      </c>
      <c r="I610" t="s">
        <v>31</v>
      </c>
      <c r="J610">
        <v>1491</v>
      </c>
      <c r="K610">
        <v>1</v>
      </c>
      <c r="L610" s="4">
        <v>3.8199999999999998E-2</v>
      </c>
      <c r="M610">
        <v>0.09</v>
      </c>
      <c r="N610" s="4">
        <v>5.6956199999999998E-2</v>
      </c>
      <c r="O610" s="4">
        <v>0.13419</v>
      </c>
    </row>
    <row r="611" spans="2:15">
      <c r="B611" t="s">
        <v>69</v>
      </c>
      <c r="C611" t="s">
        <v>50</v>
      </c>
      <c r="D611" t="s">
        <v>782</v>
      </c>
      <c r="E611" t="s">
        <v>783</v>
      </c>
      <c r="F611" t="s">
        <v>11</v>
      </c>
      <c r="G611" t="s">
        <v>51</v>
      </c>
      <c r="H611" t="s">
        <v>72</v>
      </c>
      <c r="I611" t="s">
        <v>31</v>
      </c>
      <c r="J611">
        <v>7376</v>
      </c>
      <c r="K611">
        <v>35</v>
      </c>
      <c r="L611" s="4">
        <v>3.8199999999999998E-2</v>
      </c>
      <c r="M611">
        <v>0.09</v>
      </c>
      <c r="N611" s="4">
        <v>0.28176319999999999</v>
      </c>
      <c r="O611" s="4">
        <v>0.66383999999999999</v>
      </c>
    </row>
    <row r="612" spans="2:15">
      <c r="B612" t="s">
        <v>69</v>
      </c>
      <c r="C612" t="s">
        <v>50</v>
      </c>
      <c r="D612" t="s">
        <v>784</v>
      </c>
      <c r="E612" t="s">
        <v>785</v>
      </c>
      <c r="F612" t="s">
        <v>11</v>
      </c>
      <c r="G612" t="s">
        <v>51</v>
      </c>
      <c r="H612" t="s">
        <v>72</v>
      </c>
      <c r="I612" t="s">
        <v>31</v>
      </c>
      <c r="J612">
        <v>1505</v>
      </c>
      <c r="K612">
        <v>2</v>
      </c>
      <c r="L612" s="4">
        <v>3.8199999999999998E-2</v>
      </c>
      <c r="M612">
        <v>0.09</v>
      </c>
      <c r="N612" s="4">
        <v>5.7491E-2</v>
      </c>
      <c r="O612" s="4">
        <v>0.13544999999999999</v>
      </c>
    </row>
    <row r="613" spans="2:15">
      <c r="B613" t="s">
        <v>69</v>
      </c>
      <c r="C613" t="s">
        <v>50</v>
      </c>
      <c r="D613" t="s">
        <v>784</v>
      </c>
      <c r="E613" t="s">
        <v>785</v>
      </c>
      <c r="F613" t="s">
        <v>11</v>
      </c>
      <c r="G613" t="s">
        <v>51</v>
      </c>
      <c r="H613" t="s">
        <v>72</v>
      </c>
      <c r="I613" t="s">
        <v>31</v>
      </c>
      <c r="J613">
        <v>7424</v>
      </c>
      <c r="K613">
        <v>59</v>
      </c>
      <c r="L613" s="4">
        <v>3.8199999999999998E-2</v>
      </c>
      <c r="M613">
        <v>0.09</v>
      </c>
      <c r="N613" s="4">
        <v>0.28359679999999998</v>
      </c>
      <c r="O613" s="4">
        <v>0.66815999999999998</v>
      </c>
    </row>
    <row r="614" spans="2:15">
      <c r="B614" t="s">
        <v>69</v>
      </c>
      <c r="C614" t="s">
        <v>50</v>
      </c>
      <c r="D614" t="s">
        <v>786</v>
      </c>
      <c r="E614" t="s">
        <v>787</v>
      </c>
      <c r="F614" t="s">
        <v>11</v>
      </c>
      <c r="G614" t="s">
        <v>55</v>
      </c>
      <c r="H614" t="s">
        <v>154</v>
      </c>
      <c r="I614" t="s">
        <v>31</v>
      </c>
      <c r="J614">
        <v>804</v>
      </c>
      <c r="K614">
        <v>0</v>
      </c>
      <c r="L614" s="4">
        <v>3.8199999999999998E-2</v>
      </c>
      <c r="M614">
        <v>0.09</v>
      </c>
      <c r="N614" s="4">
        <v>3.0712799999999998E-2</v>
      </c>
      <c r="O614" s="4">
        <v>7.2359999999999994E-2</v>
      </c>
    </row>
    <row r="615" spans="2:15">
      <c r="B615" t="s">
        <v>69</v>
      </c>
      <c r="C615" t="s">
        <v>50</v>
      </c>
      <c r="D615" t="s">
        <v>786</v>
      </c>
      <c r="E615" t="s">
        <v>787</v>
      </c>
      <c r="F615" t="s">
        <v>11</v>
      </c>
      <c r="G615" t="s">
        <v>55</v>
      </c>
      <c r="H615" t="s">
        <v>154</v>
      </c>
      <c r="I615" t="s">
        <v>31</v>
      </c>
      <c r="J615">
        <v>1</v>
      </c>
      <c r="K615">
        <v>0</v>
      </c>
      <c r="L615" s="4">
        <v>3.8199999999999998E-2</v>
      </c>
      <c r="M615">
        <v>0.09</v>
      </c>
      <c r="N615" s="4">
        <v>3.82E-5</v>
      </c>
      <c r="O615" s="4">
        <v>8.9999999999999992E-5</v>
      </c>
    </row>
    <row r="616" spans="2:15">
      <c r="B616" t="s">
        <v>69</v>
      </c>
      <c r="C616" t="s">
        <v>50</v>
      </c>
      <c r="D616" t="s">
        <v>788</v>
      </c>
      <c r="E616" t="s">
        <v>789</v>
      </c>
      <c r="F616" t="s">
        <v>11</v>
      </c>
      <c r="G616" t="s">
        <v>55</v>
      </c>
      <c r="H616" t="s">
        <v>154</v>
      </c>
      <c r="I616" t="s">
        <v>31</v>
      </c>
      <c r="J616">
        <v>1040</v>
      </c>
      <c r="K616">
        <v>0</v>
      </c>
      <c r="L616" s="4">
        <v>3.8199999999999998E-2</v>
      </c>
      <c r="M616">
        <v>0.09</v>
      </c>
      <c r="N616" s="4">
        <v>3.9727999999999992E-2</v>
      </c>
      <c r="O616" s="4">
        <v>9.3599999999999989E-2</v>
      </c>
    </row>
    <row r="617" spans="2:15">
      <c r="B617" t="s">
        <v>69</v>
      </c>
      <c r="C617" t="s">
        <v>50</v>
      </c>
      <c r="D617" t="s">
        <v>788</v>
      </c>
      <c r="E617" t="s">
        <v>789</v>
      </c>
      <c r="F617" t="s">
        <v>11</v>
      </c>
      <c r="G617" t="s">
        <v>55</v>
      </c>
      <c r="H617" t="s">
        <v>154</v>
      </c>
      <c r="I617" t="s">
        <v>31</v>
      </c>
      <c r="J617">
        <v>1</v>
      </c>
      <c r="K617">
        <v>0</v>
      </c>
      <c r="L617" s="4">
        <v>3.8199999999999998E-2</v>
      </c>
      <c r="M617">
        <v>0.09</v>
      </c>
      <c r="N617" s="4">
        <v>3.82E-5</v>
      </c>
      <c r="O617" s="4">
        <v>8.9999999999999992E-5</v>
      </c>
    </row>
    <row r="618" spans="2:15">
      <c r="B618" t="s">
        <v>69</v>
      </c>
      <c r="C618" t="s">
        <v>50</v>
      </c>
      <c r="D618" t="s">
        <v>790</v>
      </c>
      <c r="E618" t="s">
        <v>791</v>
      </c>
      <c r="F618" t="s">
        <v>11</v>
      </c>
      <c r="G618" t="s">
        <v>55</v>
      </c>
      <c r="H618" t="s">
        <v>154</v>
      </c>
      <c r="I618" t="s">
        <v>31</v>
      </c>
      <c r="J618">
        <v>831</v>
      </c>
      <c r="K618">
        <v>0</v>
      </c>
      <c r="L618" s="4">
        <v>3.8199999999999998E-2</v>
      </c>
      <c r="M618">
        <v>0.09</v>
      </c>
      <c r="N618" s="4">
        <v>3.17442E-2</v>
      </c>
      <c r="O618" s="4">
        <v>7.4789999999999995E-2</v>
      </c>
    </row>
    <row r="619" spans="2:15">
      <c r="B619" t="s">
        <v>69</v>
      </c>
      <c r="C619" t="s">
        <v>50</v>
      </c>
      <c r="D619" t="s">
        <v>792</v>
      </c>
      <c r="E619" t="s">
        <v>793</v>
      </c>
      <c r="F619" t="s">
        <v>11</v>
      </c>
      <c r="G619" t="s">
        <v>55</v>
      </c>
      <c r="H619" t="s">
        <v>154</v>
      </c>
      <c r="I619" t="s">
        <v>31</v>
      </c>
      <c r="J619">
        <v>886</v>
      </c>
      <c r="K619">
        <v>0</v>
      </c>
      <c r="L619" s="4">
        <v>3.8199999999999998E-2</v>
      </c>
      <c r="M619">
        <v>0.09</v>
      </c>
      <c r="N619" s="4">
        <v>3.3845199999999999E-2</v>
      </c>
      <c r="O619" s="4">
        <v>7.9739999999999991E-2</v>
      </c>
    </row>
    <row r="620" spans="2:15">
      <c r="B620" t="s">
        <v>69</v>
      </c>
      <c r="C620" t="s">
        <v>50</v>
      </c>
      <c r="D620" t="s">
        <v>794</v>
      </c>
      <c r="E620" t="s">
        <v>795</v>
      </c>
      <c r="F620" t="s">
        <v>11</v>
      </c>
      <c r="G620" t="s">
        <v>55</v>
      </c>
      <c r="H620" t="s">
        <v>154</v>
      </c>
      <c r="I620" t="s">
        <v>31</v>
      </c>
      <c r="J620">
        <v>793</v>
      </c>
      <c r="K620">
        <v>0</v>
      </c>
      <c r="L620" s="4">
        <v>3.8199999999999998E-2</v>
      </c>
      <c r="M620">
        <v>0.09</v>
      </c>
      <c r="N620" s="4">
        <v>3.0292599999999996E-2</v>
      </c>
      <c r="O620" s="4">
        <v>7.1369999999999989E-2</v>
      </c>
    </row>
    <row r="621" spans="2:15">
      <c r="B621" t="s">
        <v>69</v>
      </c>
      <c r="C621" t="s">
        <v>50</v>
      </c>
      <c r="D621" t="s">
        <v>796</v>
      </c>
      <c r="E621" t="s">
        <v>797</v>
      </c>
      <c r="F621" t="s">
        <v>11</v>
      </c>
      <c r="G621" t="s">
        <v>55</v>
      </c>
      <c r="H621" t="s">
        <v>154</v>
      </c>
      <c r="I621" t="s">
        <v>31</v>
      </c>
      <c r="J621">
        <v>1412</v>
      </c>
      <c r="K621">
        <v>1</v>
      </c>
      <c r="L621" s="4">
        <v>3.8199999999999998E-2</v>
      </c>
      <c r="M621">
        <v>0.09</v>
      </c>
      <c r="N621" s="4">
        <v>5.3938399999999997E-2</v>
      </c>
      <c r="O621" s="4">
        <v>0.12708</v>
      </c>
    </row>
    <row r="622" spans="2:15">
      <c r="B622" t="s">
        <v>69</v>
      </c>
      <c r="C622" t="s">
        <v>50</v>
      </c>
      <c r="D622" t="s">
        <v>796</v>
      </c>
      <c r="E622" t="s">
        <v>797</v>
      </c>
      <c r="F622" t="s">
        <v>11</v>
      </c>
      <c r="G622" t="s">
        <v>55</v>
      </c>
      <c r="H622" t="s">
        <v>154</v>
      </c>
      <c r="I622" t="s">
        <v>31</v>
      </c>
      <c r="J622">
        <v>567</v>
      </c>
      <c r="K622">
        <v>0</v>
      </c>
      <c r="L622" s="4">
        <v>3.8199999999999998E-2</v>
      </c>
      <c r="M622">
        <v>0.09</v>
      </c>
      <c r="N622" s="4">
        <v>2.1659399999999999E-2</v>
      </c>
      <c r="O622" s="4">
        <v>5.1029999999999999E-2</v>
      </c>
    </row>
    <row r="623" spans="2:15">
      <c r="B623" t="s">
        <v>69</v>
      </c>
      <c r="C623" t="s">
        <v>50</v>
      </c>
      <c r="D623" t="s">
        <v>798</v>
      </c>
      <c r="E623" t="s">
        <v>799</v>
      </c>
      <c r="F623" t="s">
        <v>11</v>
      </c>
      <c r="G623" t="s">
        <v>55</v>
      </c>
      <c r="H623" t="s">
        <v>154</v>
      </c>
      <c r="I623" t="s">
        <v>31</v>
      </c>
      <c r="J623">
        <v>1453</v>
      </c>
      <c r="K623">
        <v>0</v>
      </c>
      <c r="L623" s="4">
        <v>3.8199999999999998E-2</v>
      </c>
      <c r="M623">
        <v>0.09</v>
      </c>
      <c r="N623" s="4">
        <v>5.5504599999999994E-2</v>
      </c>
      <c r="O623" s="4">
        <v>0.13076999999999997</v>
      </c>
    </row>
    <row r="624" spans="2:15">
      <c r="B624" t="s">
        <v>69</v>
      </c>
      <c r="C624" t="s">
        <v>50</v>
      </c>
      <c r="D624" t="s">
        <v>798</v>
      </c>
      <c r="E624" t="s">
        <v>799</v>
      </c>
      <c r="F624" t="s">
        <v>11</v>
      </c>
      <c r="G624" t="s">
        <v>55</v>
      </c>
      <c r="H624" t="s">
        <v>154</v>
      </c>
      <c r="I624" t="s">
        <v>31</v>
      </c>
      <c r="J624">
        <v>449</v>
      </c>
      <c r="K624">
        <v>0</v>
      </c>
      <c r="L624" s="4">
        <v>3.8199999999999998E-2</v>
      </c>
      <c r="M624">
        <v>0.09</v>
      </c>
      <c r="N624" s="4">
        <v>1.7151799999999998E-2</v>
      </c>
      <c r="O624" s="4">
        <v>4.0409999999999995E-2</v>
      </c>
    </row>
    <row r="625" spans="2:15">
      <c r="B625" t="s">
        <v>69</v>
      </c>
      <c r="C625" t="s">
        <v>50</v>
      </c>
      <c r="D625" t="s">
        <v>800</v>
      </c>
      <c r="E625" t="s">
        <v>801</v>
      </c>
      <c r="F625" t="s">
        <v>11</v>
      </c>
      <c r="G625" t="s">
        <v>55</v>
      </c>
      <c r="H625" t="s">
        <v>154</v>
      </c>
      <c r="I625" t="s">
        <v>31</v>
      </c>
      <c r="J625">
        <v>1397</v>
      </c>
      <c r="K625">
        <v>0</v>
      </c>
      <c r="L625" s="4">
        <v>3.8199999999999998E-2</v>
      </c>
      <c r="M625">
        <v>0.09</v>
      </c>
      <c r="N625" s="4">
        <v>5.3365399999999993E-2</v>
      </c>
      <c r="O625" s="4">
        <v>0.12572999999999998</v>
      </c>
    </row>
    <row r="626" spans="2:15">
      <c r="B626" t="s">
        <v>69</v>
      </c>
      <c r="C626" t="s">
        <v>50</v>
      </c>
      <c r="D626" t="s">
        <v>800</v>
      </c>
      <c r="E626" t="s">
        <v>801</v>
      </c>
      <c r="F626" t="s">
        <v>11</v>
      </c>
      <c r="G626" t="s">
        <v>55</v>
      </c>
      <c r="H626" t="s">
        <v>154</v>
      </c>
      <c r="I626" t="s">
        <v>31</v>
      </c>
      <c r="J626">
        <v>538</v>
      </c>
      <c r="K626">
        <v>1</v>
      </c>
      <c r="L626" s="4">
        <v>3.8199999999999998E-2</v>
      </c>
      <c r="M626">
        <v>0.09</v>
      </c>
      <c r="N626" s="4">
        <v>2.05516E-2</v>
      </c>
      <c r="O626" s="4">
        <v>4.8420000000000005E-2</v>
      </c>
    </row>
    <row r="627" spans="2:15">
      <c r="B627" t="s">
        <v>69</v>
      </c>
      <c r="C627" t="s">
        <v>50</v>
      </c>
      <c r="D627" t="s">
        <v>802</v>
      </c>
      <c r="E627" t="s">
        <v>803</v>
      </c>
      <c r="F627" t="s">
        <v>11</v>
      </c>
      <c r="G627" t="s">
        <v>55</v>
      </c>
      <c r="H627" t="s">
        <v>154</v>
      </c>
      <c r="I627" t="s">
        <v>31</v>
      </c>
      <c r="J627">
        <v>1338</v>
      </c>
      <c r="K627">
        <v>2</v>
      </c>
      <c r="L627" s="4">
        <v>3.8199999999999998E-2</v>
      </c>
      <c r="M627">
        <v>0.09</v>
      </c>
      <c r="N627" s="4">
        <v>5.1111599999999993E-2</v>
      </c>
      <c r="O627" s="4">
        <v>0.12042</v>
      </c>
    </row>
    <row r="628" spans="2:15">
      <c r="B628" t="s">
        <v>69</v>
      </c>
      <c r="C628" t="s">
        <v>50</v>
      </c>
      <c r="D628" t="s">
        <v>802</v>
      </c>
      <c r="E628" t="s">
        <v>803</v>
      </c>
      <c r="F628" t="s">
        <v>11</v>
      </c>
      <c r="G628" t="s">
        <v>55</v>
      </c>
      <c r="H628" t="s">
        <v>154</v>
      </c>
      <c r="I628" t="s">
        <v>31</v>
      </c>
      <c r="J628">
        <v>463</v>
      </c>
      <c r="K628">
        <v>0</v>
      </c>
      <c r="L628" s="4">
        <v>3.8199999999999998E-2</v>
      </c>
      <c r="M628">
        <v>0.09</v>
      </c>
      <c r="N628" s="4">
        <v>1.76866E-2</v>
      </c>
      <c r="O628" s="4">
        <v>4.1669999999999999E-2</v>
      </c>
    </row>
    <row r="629" spans="2:15">
      <c r="B629" t="s">
        <v>69</v>
      </c>
      <c r="C629" t="s">
        <v>50</v>
      </c>
      <c r="D629" t="s">
        <v>804</v>
      </c>
      <c r="E629" t="s">
        <v>805</v>
      </c>
      <c r="F629" t="s">
        <v>11</v>
      </c>
      <c r="G629" t="s">
        <v>55</v>
      </c>
      <c r="H629" t="s">
        <v>154</v>
      </c>
      <c r="I629" t="s">
        <v>31</v>
      </c>
      <c r="J629">
        <v>1445</v>
      </c>
      <c r="K629">
        <v>0</v>
      </c>
      <c r="L629" s="4">
        <v>3.8199999999999998E-2</v>
      </c>
      <c r="M629">
        <v>0.09</v>
      </c>
      <c r="N629" s="4">
        <v>5.5198999999999998E-2</v>
      </c>
      <c r="O629" s="4">
        <v>0.13004999999999997</v>
      </c>
    </row>
    <row r="630" spans="2:15">
      <c r="B630" t="s">
        <v>69</v>
      </c>
      <c r="C630" t="s">
        <v>50</v>
      </c>
      <c r="D630" t="s">
        <v>804</v>
      </c>
      <c r="E630" t="s">
        <v>805</v>
      </c>
      <c r="F630" t="s">
        <v>11</v>
      </c>
      <c r="G630" t="s">
        <v>55</v>
      </c>
      <c r="H630" t="s">
        <v>154</v>
      </c>
      <c r="I630" t="s">
        <v>31</v>
      </c>
      <c r="J630">
        <v>424</v>
      </c>
      <c r="K630">
        <v>1</v>
      </c>
      <c r="L630" s="4">
        <v>3.8199999999999998E-2</v>
      </c>
      <c r="M630">
        <v>0.09</v>
      </c>
      <c r="N630" s="4">
        <v>1.6196800000000001E-2</v>
      </c>
      <c r="O630" s="4">
        <v>3.8159999999999999E-2</v>
      </c>
    </row>
    <row r="631" spans="2:15">
      <c r="B631" t="s">
        <v>69</v>
      </c>
      <c r="C631" t="s">
        <v>50</v>
      </c>
      <c r="D631" t="s">
        <v>806</v>
      </c>
      <c r="E631" t="s">
        <v>807</v>
      </c>
      <c r="F631" t="s">
        <v>11</v>
      </c>
      <c r="G631" t="s">
        <v>55</v>
      </c>
      <c r="H631" t="s">
        <v>154</v>
      </c>
      <c r="I631" t="s">
        <v>31</v>
      </c>
      <c r="J631">
        <v>1427</v>
      </c>
      <c r="K631">
        <v>0</v>
      </c>
      <c r="L631" s="4">
        <v>3.8199999999999998E-2</v>
      </c>
      <c r="M631">
        <v>0.09</v>
      </c>
      <c r="N631" s="4">
        <v>5.4511399999999995E-2</v>
      </c>
      <c r="O631" s="4">
        <v>0.12843000000000002</v>
      </c>
    </row>
    <row r="632" spans="2:15">
      <c r="B632" t="s">
        <v>69</v>
      </c>
      <c r="C632" t="s">
        <v>50</v>
      </c>
      <c r="D632" t="s">
        <v>806</v>
      </c>
      <c r="E632" t="s">
        <v>807</v>
      </c>
      <c r="F632" t="s">
        <v>11</v>
      </c>
      <c r="G632" t="s">
        <v>55</v>
      </c>
      <c r="H632" t="s">
        <v>154</v>
      </c>
      <c r="I632" t="s">
        <v>31</v>
      </c>
      <c r="J632">
        <v>453</v>
      </c>
      <c r="K632">
        <v>0</v>
      </c>
      <c r="L632" s="4">
        <v>3.8199999999999998E-2</v>
      </c>
      <c r="M632">
        <v>0.09</v>
      </c>
      <c r="N632" s="4">
        <v>1.73046E-2</v>
      </c>
      <c r="O632" s="4">
        <v>4.0769999999999994E-2</v>
      </c>
    </row>
    <row r="633" spans="2:15">
      <c r="B633" t="s">
        <v>69</v>
      </c>
      <c r="C633" t="s">
        <v>50</v>
      </c>
      <c r="D633" t="s">
        <v>808</v>
      </c>
      <c r="E633" t="s">
        <v>809</v>
      </c>
      <c r="F633" t="s">
        <v>11</v>
      </c>
      <c r="G633" t="s">
        <v>55</v>
      </c>
      <c r="H633" t="s">
        <v>154</v>
      </c>
      <c r="I633" t="s">
        <v>31</v>
      </c>
      <c r="J633">
        <v>1342</v>
      </c>
      <c r="K633">
        <v>2</v>
      </c>
      <c r="L633" s="4">
        <v>3.8199999999999998E-2</v>
      </c>
      <c r="M633">
        <v>0.09</v>
      </c>
      <c r="N633" s="4">
        <v>5.1264399999999995E-2</v>
      </c>
      <c r="O633" s="4">
        <v>0.12078</v>
      </c>
    </row>
    <row r="634" spans="2:15">
      <c r="B634" t="s">
        <v>69</v>
      </c>
      <c r="C634" t="s">
        <v>50</v>
      </c>
      <c r="D634" t="s">
        <v>808</v>
      </c>
      <c r="E634" t="s">
        <v>809</v>
      </c>
      <c r="F634" t="s">
        <v>11</v>
      </c>
      <c r="G634" t="s">
        <v>55</v>
      </c>
      <c r="H634" t="s">
        <v>154</v>
      </c>
      <c r="I634" t="s">
        <v>31</v>
      </c>
      <c r="J634">
        <v>496</v>
      </c>
      <c r="K634">
        <v>0</v>
      </c>
      <c r="L634" s="4">
        <v>3.8199999999999998E-2</v>
      </c>
      <c r="M634">
        <v>0.09</v>
      </c>
      <c r="N634" s="4">
        <v>1.8947199999999997E-2</v>
      </c>
      <c r="O634" s="4">
        <v>4.4639999999999999E-2</v>
      </c>
    </row>
    <row r="635" spans="2:15">
      <c r="B635" t="s">
        <v>69</v>
      </c>
      <c r="C635" t="s">
        <v>50</v>
      </c>
      <c r="D635" t="s">
        <v>810</v>
      </c>
      <c r="E635" t="s">
        <v>811</v>
      </c>
      <c r="F635" t="s">
        <v>11</v>
      </c>
      <c r="G635" t="s">
        <v>55</v>
      </c>
      <c r="H635" t="s">
        <v>154</v>
      </c>
      <c r="I635" t="s">
        <v>31</v>
      </c>
      <c r="J635">
        <v>1354</v>
      </c>
      <c r="K635">
        <v>1</v>
      </c>
      <c r="L635" s="4">
        <v>3.8199999999999998E-2</v>
      </c>
      <c r="M635">
        <v>0.09</v>
      </c>
      <c r="N635" s="4">
        <v>5.1722799999999999E-2</v>
      </c>
      <c r="O635" s="4">
        <v>0.12186</v>
      </c>
    </row>
    <row r="636" spans="2:15">
      <c r="B636" t="s">
        <v>69</v>
      </c>
      <c r="C636" t="s">
        <v>50</v>
      </c>
      <c r="D636" t="s">
        <v>810</v>
      </c>
      <c r="E636" t="s">
        <v>811</v>
      </c>
      <c r="F636" t="s">
        <v>11</v>
      </c>
      <c r="G636" t="s">
        <v>55</v>
      </c>
      <c r="H636" t="s">
        <v>154</v>
      </c>
      <c r="I636" t="s">
        <v>31</v>
      </c>
      <c r="J636">
        <v>531</v>
      </c>
      <c r="K636">
        <v>0</v>
      </c>
      <c r="L636" s="4">
        <v>3.8199999999999998E-2</v>
      </c>
      <c r="M636">
        <v>0.09</v>
      </c>
      <c r="N636" s="4">
        <v>2.0284199999999999E-2</v>
      </c>
      <c r="O636" s="4">
        <v>4.7789999999999999E-2</v>
      </c>
    </row>
    <row r="637" spans="2:15">
      <c r="B637" t="s">
        <v>69</v>
      </c>
      <c r="C637" t="s">
        <v>50</v>
      </c>
      <c r="D637" t="s">
        <v>812</v>
      </c>
      <c r="E637" t="s">
        <v>813</v>
      </c>
      <c r="F637" t="s">
        <v>11</v>
      </c>
      <c r="G637" t="s">
        <v>55</v>
      </c>
      <c r="H637" t="s">
        <v>154</v>
      </c>
      <c r="I637" t="s">
        <v>31</v>
      </c>
      <c r="J637">
        <v>599</v>
      </c>
      <c r="K637">
        <v>0</v>
      </c>
      <c r="L637" s="4">
        <v>3.8199999999999998E-2</v>
      </c>
      <c r="M637">
        <v>0.09</v>
      </c>
      <c r="N637" s="4">
        <v>2.2881799999999997E-2</v>
      </c>
      <c r="O637" s="4">
        <v>5.391E-2</v>
      </c>
    </row>
    <row r="638" spans="2:15">
      <c r="B638" t="s">
        <v>69</v>
      </c>
      <c r="C638" t="s">
        <v>50</v>
      </c>
      <c r="D638" t="s">
        <v>814</v>
      </c>
      <c r="E638" t="s">
        <v>815</v>
      </c>
      <c r="F638" t="s">
        <v>11</v>
      </c>
      <c r="G638" t="s">
        <v>55</v>
      </c>
      <c r="H638" t="s">
        <v>154</v>
      </c>
      <c r="I638" t="s">
        <v>31</v>
      </c>
      <c r="J638">
        <v>534</v>
      </c>
      <c r="K638">
        <v>0</v>
      </c>
      <c r="L638" s="4">
        <v>3.8199999999999998E-2</v>
      </c>
      <c r="M638">
        <v>0.09</v>
      </c>
      <c r="N638" s="4">
        <v>2.0398799999999998E-2</v>
      </c>
      <c r="O638" s="4">
        <v>4.8059999999999999E-2</v>
      </c>
    </row>
    <row r="639" spans="2:15">
      <c r="B639" t="s">
        <v>69</v>
      </c>
      <c r="C639" t="s">
        <v>50</v>
      </c>
      <c r="D639" t="s">
        <v>816</v>
      </c>
      <c r="E639" t="s">
        <v>817</v>
      </c>
      <c r="F639" t="s">
        <v>11</v>
      </c>
      <c r="G639" t="s">
        <v>55</v>
      </c>
      <c r="H639" t="s">
        <v>154</v>
      </c>
      <c r="I639" t="s">
        <v>31</v>
      </c>
      <c r="J639">
        <v>622</v>
      </c>
      <c r="K639">
        <v>0</v>
      </c>
      <c r="L639" s="4">
        <v>3.8199999999999998E-2</v>
      </c>
      <c r="M639">
        <v>0.09</v>
      </c>
      <c r="N639" s="4">
        <v>2.3760399999999997E-2</v>
      </c>
      <c r="O639" s="4">
        <v>5.5979999999999995E-2</v>
      </c>
    </row>
    <row r="640" spans="2:15">
      <c r="B640" t="s">
        <v>69</v>
      </c>
      <c r="C640" t="s">
        <v>50</v>
      </c>
      <c r="D640" t="s">
        <v>818</v>
      </c>
      <c r="E640" t="s">
        <v>819</v>
      </c>
      <c r="F640" t="s">
        <v>11</v>
      </c>
      <c r="G640" t="s">
        <v>55</v>
      </c>
      <c r="H640" t="s">
        <v>154</v>
      </c>
      <c r="I640" t="s">
        <v>31</v>
      </c>
      <c r="J640">
        <v>580</v>
      </c>
      <c r="K640">
        <v>0</v>
      </c>
      <c r="L640" s="4">
        <v>3.8199999999999998E-2</v>
      </c>
      <c r="M640">
        <v>0.09</v>
      </c>
      <c r="N640" s="4">
        <v>2.2155999999999999E-2</v>
      </c>
      <c r="O640" s="4">
        <v>5.2199999999999996E-2</v>
      </c>
    </row>
    <row r="641" spans="2:15">
      <c r="B641" t="s">
        <v>69</v>
      </c>
      <c r="C641" t="s">
        <v>50</v>
      </c>
      <c r="D641" t="s">
        <v>820</v>
      </c>
      <c r="E641" t="s">
        <v>821</v>
      </c>
      <c r="F641" t="s">
        <v>11</v>
      </c>
      <c r="G641" t="s">
        <v>55</v>
      </c>
      <c r="H641" t="s">
        <v>154</v>
      </c>
      <c r="I641" t="s">
        <v>31</v>
      </c>
      <c r="J641">
        <v>604</v>
      </c>
      <c r="K641">
        <v>1</v>
      </c>
      <c r="L641" s="4">
        <v>3.8199999999999998E-2</v>
      </c>
      <c r="M641">
        <v>0.09</v>
      </c>
      <c r="N641" s="4">
        <v>2.3072799999999997E-2</v>
      </c>
      <c r="O641" s="4">
        <v>5.4359999999999999E-2</v>
      </c>
    </row>
    <row r="642" spans="2:15">
      <c r="B642" t="s">
        <v>69</v>
      </c>
      <c r="C642" t="s">
        <v>50</v>
      </c>
      <c r="D642" t="s">
        <v>822</v>
      </c>
      <c r="E642" t="s">
        <v>823</v>
      </c>
      <c r="F642" t="s">
        <v>11</v>
      </c>
      <c r="G642" t="s">
        <v>55</v>
      </c>
      <c r="H642" t="s">
        <v>154</v>
      </c>
      <c r="I642" t="s">
        <v>31</v>
      </c>
      <c r="J642">
        <v>565</v>
      </c>
      <c r="K642">
        <v>0</v>
      </c>
      <c r="L642" s="4">
        <v>3.8199999999999998E-2</v>
      </c>
      <c r="M642">
        <v>0.09</v>
      </c>
      <c r="N642" s="4">
        <v>2.1582999999999998E-2</v>
      </c>
      <c r="O642" s="4">
        <v>5.0849999999999999E-2</v>
      </c>
    </row>
    <row r="643" spans="2:15">
      <c r="B643" t="s">
        <v>69</v>
      </c>
      <c r="C643" t="s">
        <v>50</v>
      </c>
      <c r="D643" t="s">
        <v>824</v>
      </c>
      <c r="E643" t="s">
        <v>825</v>
      </c>
      <c r="F643" t="s">
        <v>11</v>
      </c>
      <c r="G643" t="s">
        <v>55</v>
      </c>
      <c r="H643" t="s">
        <v>154</v>
      </c>
      <c r="I643" t="s">
        <v>31</v>
      </c>
      <c r="J643">
        <v>540</v>
      </c>
      <c r="K643">
        <v>0</v>
      </c>
      <c r="L643" s="4">
        <v>3.8199999999999998E-2</v>
      </c>
      <c r="M643">
        <v>0.09</v>
      </c>
      <c r="N643" s="4">
        <v>2.0628000000000001E-2</v>
      </c>
      <c r="O643" s="4">
        <v>4.8600000000000004E-2</v>
      </c>
    </row>
    <row r="644" spans="2:15">
      <c r="B644" t="s">
        <v>69</v>
      </c>
      <c r="C644" t="s">
        <v>50</v>
      </c>
      <c r="D644" t="s">
        <v>826</v>
      </c>
      <c r="E644" t="s">
        <v>827</v>
      </c>
      <c r="F644" t="s">
        <v>11</v>
      </c>
      <c r="G644" t="s">
        <v>55</v>
      </c>
      <c r="H644" t="s">
        <v>154</v>
      </c>
      <c r="I644" t="s">
        <v>31</v>
      </c>
      <c r="J644">
        <v>570</v>
      </c>
      <c r="K644">
        <v>0</v>
      </c>
      <c r="L644" s="4">
        <v>3.8199999999999998E-2</v>
      </c>
      <c r="M644">
        <v>0.09</v>
      </c>
      <c r="N644" s="4">
        <v>2.1773999999999998E-2</v>
      </c>
      <c r="O644" s="4">
        <v>5.1299999999999998E-2</v>
      </c>
    </row>
    <row r="645" spans="2:15">
      <c r="B645" t="s">
        <v>69</v>
      </c>
      <c r="C645" t="s">
        <v>50</v>
      </c>
      <c r="D645" t="s">
        <v>828</v>
      </c>
      <c r="E645" t="s">
        <v>829</v>
      </c>
      <c r="F645" t="s">
        <v>11</v>
      </c>
      <c r="G645" t="s">
        <v>55</v>
      </c>
      <c r="H645" t="s">
        <v>154</v>
      </c>
      <c r="I645" t="s">
        <v>31</v>
      </c>
      <c r="J645">
        <v>624</v>
      </c>
      <c r="K645">
        <v>0</v>
      </c>
      <c r="L645" s="4">
        <v>3.8199999999999998E-2</v>
      </c>
      <c r="M645">
        <v>0.09</v>
      </c>
      <c r="N645" s="4">
        <v>2.3836800000000002E-2</v>
      </c>
      <c r="O645" s="4">
        <v>5.6159999999999995E-2</v>
      </c>
    </row>
    <row r="646" spans="2:15">
      <c r="B646" t="s">
        <v>69</v>
      </c>
      <c r="C646" t="s">
        <v>50</v>
      </c>
      <c r="D646" t="s">
        <v>830</v>
      </c>
      <c r="E646" t="s">
        <v>831</v>
      </c>
      <c r="F646" t="s">
        <v>11</v>
      </c>
      <c r="G646" t="s">
        <v>55</v>
      </c>
      <c r="H646" t="s">
        <v>154</v>
      </c>
      <c r="I646" t="s">
        <v>31</v>
      </c>
      <c r="J646">
        <v>3425</v>
      </c>
      <c r="K646">
        <v>1</v>
      </c>
      <c r="L646" s="4">
        <v>3.8199999999999998E-2</v>
      </c>
      <c r="M646">
        <v>0.09</v>
      </c>
      <c r="N646" s="4">
        <v>0.13083499999999998</v>
      </c>
      <c r="O646" s="4">
        <v>0.30825000000000002</v>
      </c>
    </row>
    <row r="647" spans="2:15">
      <c r="B647" t="s">
        <v>69</v>
      </c>
      <c r="C647" t="s">
        <v>50</v>
      </c>
      <c r="D647" t="s">
        <v>830</v>
      </c>
      <c r="E647" t="s">
        <v>831</v>
      </c>
      <c r="F647" t="s">
        <v>11</v>
      </c>
      <c r="G647" t="s">
        <v>55</v>
      </c>
      <c r="H647" t="s">
        <v>154</v>
      </c>
      <c r="I647" t="s">
        <v>31</v>
      </c>
      <c r="J647">
        <v>113</v>
      </c>
      <c r="K647">
        <v>0</v>
      </c>
      <c r="L647" s="4">
        <v>3.8199999999999998E-2</v>
      </c>
      <c r="M647">
        <v>0.09</v>
      </c>
      <c r="N647" s="4">
        <v>4.3165999999999994E-3</v>
      </c>
      <c r="O647" s="4">
        <v>1.017E-2</v>
      </c>
    </row>
    <row r="648" spans="2:15">
      <c r="B648" t="s">
        <v>69</v>
      </c>
      <c r="C648" t="s">
        <v>50</v>
      </c>
      <c r="D648" t="s">
        <v>832</v>
      </c>
      <c r="E648" t="s">
        <v>833</v>
      </c>
      <c r="F648" t="s">
        <v>11</v>
      </c>
      <c r="G648" t="s">
        <v>55</v>
      </c>
      <c r="H648" t="s">
        <v>154</v>
      </c>
      <c r="I648" t="s">
        <v>31</v>
      </c>
      <c r="J648">
        <v>3470</v>
      </c>
      <c r="K648">
        <v>1</v>
      </c>
      <c r="L648" s="4">
        <v>3.8199999999999998E-2</v>
      </c>
      <c r="M648">
        <v>0.09</v>
      </c>
      <c r="N648" s="4">
        <v>0.13255400000000001</v>
      </c>
      <c r="O648" s="4">
        <v>0.31230000000000002</v>
      </c>
    </row>
    <row r="649" spans="2:15">
      <c r="B649" t="s">
        <v>69</v>
      </c>
      <c r="C649" t="s">
        <v>50</v>
      </c>
      <c r="D649" t="s">
        <v>832</v>
      </c>
      <c r="E649" t="s">
        <v>833</v>
      </c>
      <c r="F649" t="s">
        <v>11</v>
      </c>
      <c r="G649" t="s">
        <v>55</v>
      </c>
      <c r="H649" t="s">
        <v>154</v>
      </c>
      <c r="I649" t="s">
        <v>31</v>
      </c>
      <c r="J649">
        <v>142</v>
      </c>
      <c r="K649">
        <v>0</v>
      </c>
      <c r="L649" s="4">
        <v>3.8199999999999998E-2</v>
      </c>
      <c r="M649">
        <v>0.09</v>
      </c>
      <c r="N649" s="4">
        <v>5.4243999999999994E-3</v>
      </c>
      <c r="O649" s="4">
        <v>1.278E-2</v>
      </c>
    </row>
    <row r="650" spans="2:15">
      <c r="B650" t="s">
        <v>69</v>
      </c>
      <c r="C650" t="s">
        <v>50</v>
      </c>
      <c r="D650" t="s">
        <v>834</v>
      </c>
      <c r="E650" t="s">
        <v>835</v>
      </c>
      <c r="F650" t="s">
        <v>11</v>
      </c>
      <c r="G650" t="s">
        <v>55</v>
      </c>
      <c r="H650" t="s">
        <v>154</v>
      </c>
      <c r="I650" t="s">
        <v>31</v>
      </c>
      <c r="J650">
        <v>3600</v>
      </c>
      <c r="K650">
        <v>1</v>
      </c>
      <c r="L650" s="4">
        <v>3.8199999999999998E-2</v>
      </c>
      <c r="M650">
        <v>0.09</v>
      </c>
      <c r="N650" s="4">
        <v>0.13751999999999998</v>
      </c>
      <c r="O650" s="4">
        <v>0.32400000000000001</v>
      </c>
    </row>
    <row r="651" spans="2:15">
      <c r="B651" t="s">
        <v>69</v>
      </c>
      <c r="C651" t="s">
        <v>50</v>
      </c>
      <c r="D651" t="s">
        <v>834</v>
      </c>
      <c r="E651" t="s">
        <v>835</v>
      </c>
      <c r="F651" t="s">
        <v>11</v>
      </c>
      <c r="G651" t="s">
        <v>55</v>
      </c>
      <c r="H651" t="s">
        <v>154</v>
      </c>
      <c r="I651" t="s">
        <v>31</v>
      </c>
      <c r="J651">
        <v>155</v>
      </c>
      <c r="K651">
        <v>0</v>
      </c>
      <c r="L651" s="4">
        <v>3.8199999999999998E-2</v>
      </c>
      <c r="M651">
        <v>0.09</v>
      </c>
      <c r="N651" s="4">
        <v>5.9209999999999992E-3</v>
      </c>
      <c r="O651" s="4">
        <v>1.3949999999999999E-2</v>
      </c>
    </row>
    <row r="652" spans="2:15">
      <c r="B652" t="s">
        <v>69</v>
      </c>
      <c r="C652" t="s">
        <v>50</v>
      </c>
      <c r="D652" t="s">
        <v>836</v>
      </c>
      <c r="E652" t="s">
        <v>837</v>
      </c>
      <c r="F652" t="s">
        <v>11</v>
      </c>
      <c r="G652" t="s">
        <v>55</v>
      </c>
      <c r="H652" t="s">
        <v>154</v>
      </c>
      <c r="I652" t="s">
        <v>31</v>
      </c>
      <c r="J652">
        <v>3340</v>
      </c>
      <c r="K652">
        <v>0</v>
      </c>
      <c r="L652" s="4">
        <v>3.8199999999999998E-2</v>
      </c>
      <c r="M652">
        <v>0.09</v>
      </c>
      <c r="N652" s="4">
        <v>0.12758800000000001</v>
      </c>
      <c r="O652" s="4">
        <v>0.30059999999999998</v>
      </c>
    </row>
    <row r="653" spans="2:15">
      <c r="B653" t="s">
        <v>69</v>
      </c>
      <c r="C653" t="s">
        <v>50</v>
      </c>
      <c r="D653" t="s">
        <v>836</v>
      </c>
      <c r="E653" t="s">
        <v>837</v>
      </c>
      <c r="F653" t="s">
        <v>11</v>
      </c>
      <c r="G653" t="s">
        <v>55</v>
      </c>
      <c r="H653" t="s">
        <v>154</v>
      </c>
      <c r="I653" t="s">
        <v>31</v>
      </c>
      <c r="J653">
        <v>138</v>
      </c>
      <c r="K653">
        <v>0</v>
      </c>
      <c r="L653" s="4">
        <v>3.8199999999999998E-2</v>
      </c>
      <c r="M653">
        <v>0.09</v>
      </c>
      <c r="N653" s="4">
        <v>5.2715999999999996E-3</v>
      </c>
      <c r="O653" s="4">
        <v>1.242E-2</v>
      </c>
    </row>
    <row r="654" spans="2:15">
      <c r="B654" t="s">
        <v>69</v>
      </c>
      <c r="C654" t="s">
        <v>50</v>
      </c>
      <c r="D654" t="s">
        <v>838</v>
      </c>
      <c r="E654" t="s">
        <v>839</v>
      </c>
      <c r="F654" t="s">
        <v>11</v>
      </c>
      <c r="G654" t="s">
        <v>55</v>
      </c>
      <c r="H654" t="s">
        <v>154</v>
      </c>
      <c r="I654" t="s">
        <v>31</v>
      </c>
      <c r="J654">
        <v>859</v>
      </c>
      <c r="K654">
        <v>0</v>
      </c>
      <c r="L654" s="4">
        <v>3.8199999999999998E-2</v>
      </c>
      <c r="M654">
        <v>0.09</v>
      </c>
      <c r="N654" s="4">
        <v>3.2813799999999997E-2</v>
      </c>
      <c r="O654" s="4">
        <v>7.7310000000000004E-2</v>
      </c>
    </row>
    <row r="655" spans="2:15">
      <c r="B655" t="s">
        <v>69</v>
      </c>
      <c r="C655" t="s">
        <v>50</v>
      </c>
      <c r="D655" t="s">
        <v>840</v>
      </c>
      <c r="E655" t="s">
        <v>841</v>
      </c>
      <c r="F655" t="s">
        <v>11</v>
      </c>
      <c r="G655" t="s">
        <v>55</v>
      </c>
      <c r="H655" t="s">
        <v>154</v>
      </c>
      <c r="I655" t="s">
        <v>31</v>
      </c>
      <c r="J655">
        <v>900</v>
      </c>
      <c r="K655">
        <v>0</v>
      </c>
      <c r="L655" s="4">
        <v>3.8199999999999998E-2</v>
      </c>
      <c r="M655">
        <v>0.09</v>
      </c>
      <c r="N655" s="4">
        <v>3.4379999999999994E-2</v>
      </c>
      <c r="O655" s="4">
        <v>8.1000000000000003E-2</v>
      </c>
    </row>
    <row r="656" spans="2:15">
      <c r="B656" t="s">
        <v>69</v>
      </c>
      <c r="C656" t="s">
        <v>50</v>
      </c>
      <c r="D656" t="s">
        <v>840</v>
      </c>
      <c r="E656" t="s">
        <v>841</v>
      </c>
      <c r="F656" t="s">
        <v>11</v>
      </c>
      <c r="G656" t="s">
        <v>55</v>
      </c>
      <c r="H656" t="s">
        <v>154</v>
      </c>
      <c r="I656" t="s">
        <v>31</v>
      </c>
      <c r="J656">
        <v>1</v>
      </c>
      <c r="K656">
        <v>0</v>
      </c>
      <c r="L656" s="4">
        <v>3.8199999999999998E-2</v>
      </c>
      <c r="M656">
        <v>0.09</v>
      </c>
      <c r="N656" s="4">
        <v>3.82E-5</v>
      </c>
      <c r="O656" s="4">
        <v>8.9999999999999992E-5</v>
      </c>
    </row>
    <row r="657" spans="2:15">
      <c r="B657" t="s">
        <v>69</v>
      </c>
      <c r="C657" t="s">
        <v>50</v>
      </c>
      <c r="D657" t="s">
        <v>842</v>
      </c>
      <c r="E657" t="s">
        <v>843</v>
      </c>
      <c r="F657" t="s">
        <v>11</v>
      </c>
      <c r="G657" t="s">
        <v>55</v>
      </c>
      <c r="H657" t="s">
        <v>154</v>
      </c>
      <c r="I657" t="s">
        <v>31</v>
      </c>
      <c r="J657">
        <v>840</v>
      </c>
      <c r="K657">
        <v>1</v>
      </c>
      <c r="L657" s="4">
        <v>3.8199999999999998E-2</v>
      </c>
      <c r="M657">
        <v>0.09</v>
      </c>
      <c r="N657" s="4">
        <v>3.2087999999999998E-2</v>
      </c>
      <c r="O657" s="4">
        <v>7.5600000000000001E-2</v>
      </c>
    </row>
    <row r="658" spans="2:15">
      <c r="B658" t="s">
        <v>69</v>
      </c>
      <c r="C658" t="s">
        <v>50</v>
      </c>
      <c r="D658" t="s">
        <v>842</v>
      </c>
      <c r="E658" t="s">
        <v>843</v>
      </c>
      <c r="F658" t="s">
        <v>11</v>
      </c>
      <c r="G658" t="s">
        <v>55</v>
      </c>
      <c r="H658" t="s">
        <v>154</v>
      </c>
      <c r="I658" t="s">
        <v>31</v>
      </c>
      <c r="J658">
        <v>1</v>
      </c>
      <c r="K658">
        <v>0</v>
      </c>
      <c r="L658" s="4">
        <v>3.8199999999999998E-2</v>
      </c>
      <c r="M658">
        <v>0.09</v>
      </c>
      <c r="N658" s="4">
        <v>3.82E-5</v>
      </c>
      <c r="O658" s="4">
        <v>8.9999999999999992E-5</v>
      </c>
    </row>
    <row r="659" spans="2:15">
      <c r="B659" t="s">
        <v>69</v>
      </c>
      <c r="C659" t="s">
        <v>50</v>
      </c>
      <c r="D659" t="s">
        <v>844</v>
      </c>
      <c r="E659" t="s">
        <v>845</v>
      </c>
      <c r="F659" t="s">
        <v>11</v>
      </c>
      <c r="G659" t="s">
        <v>55</v>
      </c>
      <c r="H659" t="s">
        <v>154</v>
      </c>
      <c r="I659" t="s">
        <v>31</v>
      </c>
      <c r="J659">
        <v>911</v>
      </c>
      <c r="K659">
        <v>0</v>
      </c>
      <c r="L659" s="4">
        <v>3.8199999999999998E-2</v>
      </c>
      <c r="M659">
        <v>0.09</v>
      </c>
      <c r="N659" s="4">
        <v>3.4800199999999996E-2</v>
      </c>
      <c r="O659" s="4">
        <v>8.1989999999999993E-2</v>
      </c>
    </row>
    <row r="660" spans="2:15">
      <c r="B660" t="s">
        <v>69</v>
      </c>
      <c r="C660" t="s">
        <v>50</v>
      </c>
      <c r="D660" t="s">
        <v>844</v>
      </c>
      <c r="E660" t="s">
        <v>845</v>
      </c>
      <c r="F660" t="s">
        <v>11</v>
      </c>
      <c r="G660" t="s">
        <v>55</v>
      </c>
      <c r="H660" t="s">
        <v>154</v>
      </c>
      <c r="I660" t="s">
        <v>31</v>
      </c>
      <c r="J660">
        <v>1</v>
      </c>
      <c r="K660">
        <v>0</v>
      </c>
      <c r="L660" s="4">
        <v>3.8199999999999998E-2</v>
      </c>
      <c r="M660">
        <v>0.09</v>
      </c>
      <c r="N660" s="4">
        <v>3.82E-5</v>
      </c>
      <c r="O660" s="4">
        <v>8.9999999999999992E-5</v>
      </c>
    </row>
    <row r="661" spans="2:15">
      <c r="B661" t="s">
        <v>69</v>
      </c>
      <c r="C661" t="s">
        <v>50</v>
      </c>
      <c r="D661" t="s">
        <v>846</v>
      </c>
      <c r="E661" t="s">
        <v>847</v>
      </c>
      <c r="F661" t="s">
        <v>11</v>
      </c>
      <c r="G661" t="s">
        <v>55</v>
      </c>
      <c r="H661" t="s">
        <v>154</v>
      </c>
      <c r="I661" t="s">
        <v>31</v>
      </c>
      <c r="J661">
        <v>821</v>
      </c>
      <c r="K661">
        <v>0</v>
      </c>
      <c r="L661" s="4">
        <v>3.8199999999999998E-2</v>
      </c>
      <c r="M661">
        <v>0.09</v>
      </c>
      <c r="N661" s="4">
        <v>3.13622E-2</v>
      </c>
      <c r="O661" s="4">
        <v>7.3889999999999997E-2</v>
      </c>
    </row>
    <row r="662" spans="2:15">
      <c r="B662" t="s">
        <v>69</v>
      </c>
      <c r="C662" t="s">
        <v>50</v>
      </c>
      <c r="D662" t="s">
        <v>846</v>
      </c>
      <c r="E662" t="s">
        <v>847</v>
      </c>
      <c r="F662" t="s">
        <v>11</v>
      </c>
      <c r="G662" t="s">
        <v>55</v>
      </c>
      <c r="H662" t="s">
        <v>154</v>
      </c>
      <c r="I662" t="s">
        <v>31</v>
      </c>
      <c r="J662">
        <v>472</v>
      </c>
      <c r="K662">
        <v>0</v>
      </c>
      <c r="L662" s="4">
        <v>3.8199999999999998E-2</v>
      </c>
      <c r="M662">
        <v>0.09</v>
      </c>
      <c r="N662" s="4">
        <v>1.8030399999999999E-2</v>
      </c>
      <c r="O662" s="4">
        <v>4.2479999999999997E-2</v>
      </c>
    </row>
    <row r="663" spans="2:15">
      <c r="B663" t="s">
        <v>69</v>
      </c>
      <c r="C663" t="s">
        <v>50</v>
      </c>
      <c r="D663" t="s">
        <v>848</v>
      </c>
      <c r="E663" t="s">
        <v>849</v>
      </c>
      <c r="F663" t="s">
        <v>11</v>
      </c>
      <c r="G663" t="s">
        <v>55</v>
      </c>
      <c r="H663" t="s">
        <v>154</v>
      </c>
      <c r="I663" t="s">
        <v>31</v>
      </c>
      <c r="J663">
        <v>128</v>
      </c>
      <c r="K663">
        <v>0</v>
      </c>
      <c r="L663" s="4">
        <v>3.8199999999999998E-2</v>
      </c>
      <c r="M663">
        <v>0.09</v>
      </c>
      <c r="N663" s="4">
        <v>4.8896E-3</v>
      </c>
      <c r="O663" s="4">
        <v>1.1519999999999999E-2</v>
      </c>
    </row>
    <row r="664" spans="2:15">
      <c r="B664" t="s">
        <v>69</v>
      </c>
      <c r="C664" t="s">
        <v>50</v>
      </c>
      <c r="D664" t="s">
        <v>848</v>
      </c>
      <c r="E664" t="s">
        <v>849</v>
      </c>
      <c r="F664" t="s">
        <v>11</v>
      </c>
      <c r="G664" t="s">
        <v>55</v>
      </c>
      <c r="H664" t="s">
        <v>154</v>
      </c>
      <c r="I664" t="s">
        <v>31</v>
      </c>
      <c r="J664">
        <v>217</v>
      </c>
      <c r="K664">
        <v>0</v>
      </c>
      <c r="L664" s="4">
        <v>3.8199999999999998E-2</v>
      </c>
      <c r="M664">
        <v>0.09</v>
      </c>
      <c r="N664" s="4">
        <v>8.2893999999999989E-3</v>
      </c>
      <c r="O664" s="4">
        <v>1.9529999999999999E-2</v>
      </c>
    </row>
    <row r="665" spans="2:15">
      <c r="B665" t="s">
        <v>69</v>
      </c>
      <c r="C665" t="s">
        <v>50</v>
      </c>
      <c r="D665" t="s">
        <v>850</v>
      </c>
      <c r="E665" t="s">
        <v>851</v>
      </c>
      <c r="F665" t="s">
        <v>11</v>
      </c>
      <c r="G665" t="s">
        <v>55</v>
      </c>
      <c r="H665" t="s">
        <v>154</v>
      </c>
      <c r="I665" t="s">
        <v>31</v>
      </c>
      <c r="J665">
        <v>185</v>
      </c>
      <c r="K665">
        <v>0</v>
      </c>
      <c r="L665" s="4">
        <v>3.8199999999999998E-2</v>
      </c>
      <c r="M665">
        <v>0.09</v>
      </c>
      <c r="N665" s="4">
        <v>7.0669999999999995E-3</v>
      </c>
      <c r="O665" s="4">
        <v>1.6649999999999998E-2</v>
      </c>
    </row>
    <row r="666" spans="2:15">
      <c r="B666" t="s">
        <v>69</v>
      </c>
      <c r="C666" t="s">
        <v>50</v>
      </c>
      <c r="D666" t="s">
        <v>850</v>
      </c>
      <c r="E666" t="s">
        <v>851</v>
      </c>
      <c r="F666" t="s">
        <v>11</v>
      </c>
      <c r="G666" t="s">
        <v>55</v>
      </c>
      <c r="H666" t="s">
        <v>154</v>
      </c>
      <c r="I666" t="s">
        <v>31</v>
      </c>
      <c r="J666">
        <v>249</v>
      </c>
      <c r="K666">
        <v>0</v>
      </c>
      <c r="L666" s="4">
        <v>3.8199999999999998E-2</v>
      </c>
      <c r="M666">
        <v>0.09</v>
      </c>
      <c r="N666" s="4">
        <v>9.5117999999999991E-3</v>
      </c>
      <c r="O666" s="4">
        <v>2.2409999999999999E-2</v>
      </c>
    </row>
    <row r="667" spans="2:15">
      <c r="B667" t="s">
        <v>69</v>
      </c>
      <c r="C667" t="s">
        <v>50</v>
      </c>
      <c r="D667" t="s">
        <v>852</v>
      </c>
      <c r="E667" t="s">
        <v>853</v>
      </c>
      <c r="F667" t="s">
        <v>11</v>
      </c>
      <c r="G667" t="s">
        <v>55</v>
      </c>
      <c r="H667" t="s">
        <v>154</v>
      </c>
      <c r="I667" t="s">
        <v>31</v>
      </c>
      <c r="J667">
        <v>172</v>
      </c>
      <c r="K667">
        <v>0</v>
      </c>
      <c r="L667" s="4">
        <v>3.8199999999999998E-2</v>
      </c>
      <c r="M667">
        <v>0.09</v>
      </c>
      <c r="N667" s="4">
        <v>6.5703999999999997E-3</v>
      </c>
      <c r="O667" s="4">
        <v>1.5479999999999999E-2</v>
      </c>
    </row>
    <row r="668" spans="2:15">
      <c r="B668" t="s">
        <v>69</v>
      </c>
      <c r="C668" t="s">
        <v>50</v>
      </c>
      <c r="D668" t="s">
        <v>852</v>
      </c>
      <c r="E668" t="s">
        <v>853</v>
      </c>
      <c r="F668" t="s">
        <v>11</v>
      </c>
      <c r="G668" t="s">
        <v>55</v>
      </c>
      <c r="H668" t="s">
        <v>154</v>
      </c>
      <c r="I668" t="s">
        <v>31</v>
      </c>
      <c r="J668">
        <v>239</v>
      </c>
      <c r="K668">
        <v>0</v>
      </c>
      <c r="L668" s="4">
        <v>3.8199999999999998E-2</v>
      </c>
      <c r="M668">
        <v>0.09</v>
      </c>
      <c r="N668" s="4">
        <v>9.1297999999999987E-3</v>
      </c>
      <c r="O668" s="4">
        <v>2.1509999999999998E-2</v>
      </c>
    </row>
    <row r="669" spans="2:15">
      <c r="B669" t="s">
        <v>69</v>
      </c>
      <c r="C669" t="s">
        <v>50</v>
      </c>
      <c r="D669" t="s">
        <v>854</v>
      </c>
      <c r="E669" t="s">
        <v>855</v>
      </c>
      <c r="F669" t="s">
        <v>11</v>
      </c>
      <c r="G669" t="s">
        <v>55</v>
      </c>
      <c r="H669" t="s">
        <v>154</v>
      </c>
      <c r="I669" t="s">
        <v>31</v>
      </c>
      <c r="J669">
        <v>262</v>
      </c>
      <c r="K669">
        <v>0</v>
      </c>
      <c r="L669" s="4">
        <v>3.8199999999999998E-2</v>
      </c>
      <c r="M669">
        <v>0.09</v>
      </c>
      <c r="N669" s="4">
        <v>1.0008400000000001E-2</v>
      </c>
      <c r="O669" s="4">
        <v>2.3579999999999997E-2</v>
      </c>
    </row>
    <row r="670" spans="2:15">
      <c r="B670" t="s">
        <v>69</v>
      </c>
      <c r="C670" t="s">
        <v>50</v>
      </c>
      <c r="D670" t="s">
        <v>856</v>
      </c>
      <c r="E670" t="s">
        <v>857</v>
      </c>
      <c r="F670" t="s">
        <v>11</v>
      </c>
      <c r="G670" t="s">
        <v>55</v>
      </c>
      <c r="H670" t="s">
        <v>154</v>
      </c>
      <c r="I670" t="s">
        <v>31</v>
      </c>
      <c r="J670">
        <v>627</v>
      </c>
      <c r="K670">
        <v>0</v>
      </c>
      <c r="L670" s="4">
        <v>3.8199999999999998E-2</v>
      </c>
      <c r="M670">
        <v>0.09</v>
      </c>
      <c r="N670" s="4">
        <v>2.3951400000000001E-2</v>
      </c>
      <c r="O670" s="4">
        <v>5.6430000000000001E-2</v>
      </c>
    </row>
    <row r="671" spans="2:15">
      <c r="B671" t="s">
        <v>69</v>
      </c>
      <c r="C671" t="s">
        <v>50</v>
      </c>
      <c r="D671" t="s">
        <v>856</v>
      </c>
      <c r="E671" t="s">
        <v>857</v>
      </c>
      <c r="F671" t="s">
        <v>11</v>
      </c>
      <c r="G671" t="s">
        <v>55</v>
      </c>
      <c r="H671" t="s">
        <v>154</v>
      </c>
      <c r="I671" t="s">
        <v>31</v>
      </c>
      <c r="J671">
        <v>373</v>
      </c>
      <c r="K671">
        <v>0</v>
      </c>
      <c r="L671" s="4">
        <v>3.8199999999999998E-2</v>
      </c>
      <c r="M671">
        <v>0.09</v>
      </c>
      <c r="N671" s="4">
        <v>1.42486E-2</v>
      </c>
      <c r="O671" s="4">
        <v>3.3570000000000003E-2</v>
      </c>
    </row>
    <row r="672" spans="2:15">
      <c r="B672" t="s">
        <v>69</v>
      </c>
      <c r="C672" t="s">
        <v>50</v>
      </c>
      <c r="D672" t="s">
        <v>858</v>
      </c>
      <c r="E672" t="s">
        <v>859</v>
      </c>
      <c r="F672" t="s">
        <v>11</v>
      </c>
      <c r="G672" t="s">
        <v>55</v>
      </c>
      <c r="H672" t="s">
        <v>154</v>
      </c>
      <c r="I672" t="s">
        <v>31</v>
      </c>
      <c r="J672">
        <v>406</v>
      </c>
      <c r="K672">
        <v>0</v>
      </c>
      <c r="L672" s="4">
        <v>3.8199999999999998E-2</v>
      </c>
      <c r="M672">
        <v>0.09</v>
      </c>
      <c r="N672" s="4">
        <v>1.5509199999999999E-2</v>
      </c>
      <c r="O672" s="4">
        <v>3.6539999999999996E-2</v>
      </c>
    </row>
    <row r="673" spans="2:15">
      <c r="B673" t="s">
        <v>69</v>
      </c>
      <c r="C673" t="s">
        <v>50</v>
      </c>
      <c r="D673" t="s">
        <v>858</v>
      </c>
      <c r="E673" t="s">
        <v>859</v>
      </c>
      <c r="F673" t="s">
        <v>11</v>
      </c>
      <c r="G673" t="s">
        <v>55</v>
      </c>
      <c r="H673" t="s">
        <v>154</v>
      </c>
      <c r="I673" t="s">
        <v>31</v>
      </c>
      <c r="J673">
        <v>687</v>
      </c>
      <c r="K673">
        <v>0</v>
      </c>
      <c r="L673" s="4">
        <v>3.8199999999999998E-2</v>
      </c>
      <c r="M673">
        <v>0.09</v>
      </c>
      <c r="N673" s="4">
        <v>2.6243399999999997E-2</v>
      </c>
      <c r="O673" s="4">
        <v>6.1829999999999996E-2</v>
      </c>
    </row>
    <row r="674" spans="2:15">
      <c r="B674" t="s">
        <v>69</v>
      </c>
      <c r="C674" t="s">
        <v>50</v>
      </c>
      <c r="D674" t="s">
        <v>860</v>
      </c>
      <c r="E674" t="s">
        <v>861</v>
      </c>
      <c r="F674" t="s">
        <v>11</v>
      </c>
      <c r="G674" t="s">
        <v>55</v>
      </c>
      <c r="H674" t="s">
        <v>154</v>
      </c>
      <c r="I674" t="s">
        <v>31</v>
      </c>
      <c r="J674">
        <v>85</v>
      </c>
      <c r="K674">
        <v>0</v>
      </c>
      <c r="L674" s="4">
        <v>3.8199999999999998E-2</v>
      </c>
      <c r="M674">
        <v>0.09</v>
      </c>
      <c r="N674" s="4">
        <v>3.2469999999999999E-3</v>
      </c>
      <c r="O674" s="4">
        <v>7.6499999999999997E-3</v>
      </c>
    </row>
    <row r="675" spans="2:15">
      <c r="B675" t="s">
        <v>69</v>
      </c>
      <c r="C675" t="s">
        <v>50</v>
      </c>
      <c r="D675" t="s">
        <v>860</v>
      </c>
      <c r="E675" t="s">
        <v>861</v>
      </c>
      <c r="F675" t="s">
        <v>11</v>
      </c>
      <c r="G675" t="s">
        <v>55</v>
      </c>
      <c r="H675" t="s">
        <v>154</v>
      </c>
      <c r="I675" t="s">
        <v>31</v>
      </c>
      <c r="J675">
        <v>2</v>
      </c>
      <c r="K675">
        <v>0</v>
      </c>
      <c r="L675" s="4">
        <v>3.8199999999999998E-2</v>
      </c>
      <c r="M675">
        <v>0.09</v>
      </c>
      <c r="N675" s="4">
        <v>7.64E-5</v>
      </c>
      <c r="O675" s="4">
        <v>1.7999999999999998E-4</v>
      </c>
    </row>
    <row r="676" spans="2:15">
      <c r="B676" t="s">
        <v>69</v>
      </c>
      <c r="C676" t="s">
        <v>50</v>
      </c>
      <c r="D676" t="s">
        <v>862</v>
      </c>
      <c r="E676" t="s">
        <v>863</v>
      </c>
      <c r="F676" t="s">
        <v>11</v>
      </c>
      <c r="G676" t="s">
        <v>55</v>
      </c>
      <c r="H676" t="s">
        <v>154</v>
      </c>
      <c r="I676" t="s">
        <v>31</v>
      </c>
      <c r="J676">
        <v>344</v>
      </c>
      <c r="K676">
        <v>0</v>
      </c>
      <c r="L676" s="4">
        <v>3.8199999999999998E-2</v>
      </c>
      <c r="M676">
        <v>0.09</v>
      </c>
      <c r="N676" s="4">
        <v>1.3140799999999999E-2</v>
      </c>
      <c r="O676" s="4">
        <v>3.0959999999999998E-2</v>
      </c>
    </row>
    <row r="677" spans="2:15">
      <c r="B677" t="s">
        <v>69</v>
      </c>
      <c r="C677" t="s">
        <v>50</v>
      </c>
      <c r="D677" t="s">
        <v>862</v>
      </c>
      <c r="E677" t="s">
        <v>863</v>
      </c>
      <c r="F677" t="s">
        <v>11</v>
      </c>
      <c r="G677" t="s">
        <v>55</v>
      </c>
      <c r="H677" t="s">
        <v>154</v>
      </c>
      <c r="I677" t="s">
        <v>31</v>
      </c>
      <c r="J677">
        <v>273</v>
      </c>
      <c r="K677">
        <v>0</v>
      </c>
      <c r="L677" s="4">
        <v>3.8199999999999998E-2</v>
      </c>
      <c r="M677">
        <v>0.09</v>
      </c>
      <c r="N677" s="4">
        <v>1.04286E-2</v>
      </c>
      <c r="O677" s="4">
        <v>2.4570000000000002E-2</v>
      </c>
    </row>
    <row r="678" spans="2:15">
      <c r="B678" t="s">
        <v>69</v>
      </c>
      <c r="C678" t="s">
        <v>50</v>
      </c>
      <c r="D678" t="s">
        <v>864</v>
      </c>
      <c r="E678" t="s">
        <v>865</v>
      </c>
      <c r="F678" t="s">
        <v>11</v>
      </c>
      <c r="G678" t="s">
        <v>55</v>
      </c>
      <c r="H678" t="s">
        <v>154</v>
      </c>
      <c r="I678" t="s">
        <v>31</v>
      </c>
      <c r="J678">
        <v>512</v>
      </c>
      <c r="K678">
        <v>0</v>
      </c>
      <c r="L678" s="4">
        <v>3.8199999999999998E-2</v>
      </c>
      <c r="M678">
        <v>0.09</v>
      </c>
      <c r="N678" s="4">
        <v>1.95584E-2</v>
      </c>
      <c r="O678" s="4">
        <v>4.6079999999999996E-2</v>
      </c>
    </row>
    <row r="679" spans="2:15">
      <c r="B679" t="s">
        <v>69</v>
      </c>
      <c r="C679" t="s">
        <v>50</v>
      </c>
      <c r="D679" t="s">
        <v>864</v>
      </c>
      <c r="E679" t="s">
        <v>865</v>
      </c>
      <c r="F679" t="s">
        <v>11</v>
      </c>
      <c r="G679" t="s">
        <v>55</v>
      </c>
      <c r="H679" t="s">
        <v>154</v>
      </c>
      <c r="I679" t="s">
        <v>31</v>
      </c>
      <c r="J679">
        <v>760</v>
      </c>
      <c r="K679">
        <v>0</v>
      </c>
      <c r="L679" s="4">
        <v>3.8199999999999998E-2</v>
      </c>
      <c r="M679">
        <v>0.09</v>
      </c>
      <c r="N679" s="4">
        <v>2.9031999999999999E-2</v>
      </c>
      <c r="O679" s="4">
        <v>6.8399999999999989E-2</v>
      </c>
    </row>
    <row r="680" spans="2:15">
      <c r="B680" t="s">
        <v>69</v>
      </c>
      <c r="C680" t="s">
        <v>50</v>
      </c>
      <c r="D680" t="s">
        <v>866</v>
      </c>
      <c r="E680" t="s">
        <v>867</v>
      </c>
      <c r="F680" t="s">
        <v>11</v>
      </c>
      <c r="G680" t="s">
        <v>55</v>
      </c>
      <c r="H680" t="s">
        <v>154</v>
      </c>
      <c r="I680" t="s">
        <v>31</v>
      </c>
      <c r="J680">
        <v>529</v>
      </c>
      <c r="K680">
        <v>0</v>
      </c>
      <c r="L680" s="4">
        <v>3.8199999999999998E-2</v>
      </c>
      <c r="M680">
        <v>0.09</v>
      </c>
      <c r="N680" s="4">
        <v>2.0207799999999998E-2</v>
      </c>
      <c r="O680" s="4">
        <v>4.761E-2</v>
      </c>
    </row>
    <row r="681" spans="2:15">
      <c r="B681" t="s">
        <v>69</v>
      </c>
      <c r="C681" t="s">
        <v>50</v>
      </c>
      <c r="D681" t="s">
        <v>866</v>
      </c>
      <c r="E681" t="s">
        <v>867</v>
      </c>
      <c r="F681" t="s">
        <v>11</v>
      </c>
      <c r="G681" t="s">
        <v>55</v>
      </c>
      <c r="H681" t="s">
        <v>154</v>
      </c>
      <c r="I681" t="s">
        <v>31</v>
      </c>
      <c r="J681">
        <v>652</v>
      </c>
      <c r="K681">
        <v>0</v>
      </c>
      <c r="L681" s="4">
        <v>3.8199999999999998E-2</v>
      </c>
      <c r="M681">
        <v>0.09</v>
      </c>
      <c r="N681" s="4">
        <v>2.4906399999999999E-2</v>
      </c>
      <c r="O681" s="4">
        <v>5.8680000000000003E-2</v>
      </c>
    </row>
    <row r="682" spans="2:15">
      <c r="B682" t="s">
        <v>69</v>
      </c>
      <c r="C682" t="s">
        <v>50</v>
      </c>
      <c r="D682" t="s">
        <v>868</v>
      </c>
      <c r="E682" t="s">
        <v>869</v>
      </c>
      <c r="F682" t="s">
        <v>11</v>
      </c>
      <c r="G682" t="s">
        <v>55</v>
      </c>
      <c r="H682" t="s">
        <v>154</v>
      </c>
      <c r="I682" t="s">
        <v>31</v>
      </c>
      <c r="J682">
        <v>345</v>
      </c>
      <c r="K682">
        <v>0</v>
      </c>
      <c r="L682" s="4">
        <v>3.8199999999999998E-2</v>
      </c>
      <c r="M682">
        <v>0.09</v>
      </c>
      <c r="N682" s="4">
        <v>1.3178999999999998E-2</v>
      </c>
      <c r="O682" s="4">
        <v>3.1049999999999998E-2</v>
      </c>
    </row>
    <row r="683" spans="2:15">
      <c r="B683" t="s">
        <v>69</v>
      </c>
      <c r="C683" t="s">
        <v>50</v>
      </c>
      <c r="D683" t="s">
        <v>868</v>
      </c>
      <c r="E683" t="s">
        <v>869</v>
      </c>
      <c r="F683" t="s">
        <v>11</v>
      </c>
      <c r="G683" t="s">
        <v>55</v>
      </c>
      <c r="H683" t="s">
        <v>154</v>
      </c>
      <c r="I683" t="s">
        <v>31</v>
      </c>
      <c r="J683">
        <v>485</v>
      </c>
      <c r="K683">
        <v>0</v>
      </c>
      <c r="L683" s="4">
        <v>3.8199999999999998E-2</v>
      </c>
      <c r="M683">
        <v>0.09</v>
      </c>
      <c r="N683" s="4">
        <v>1.8526999999999998E-2</v>
      </c>
      <c r="O683" s="4">
        <v>4.3650000000000001E-2</v>
      </c>
    </row>
    <row r="684" spans="2:15">
      <c r="B684" t="s">
        <v>69</v>
      </c>
      <c r="C684" t="s">
        <v>50</v>
      </c>
      <c r="D684" t="s">
        <v>870</v>
      </c>
      <c r="E684" t="s">
        <v>871</v>
      </c>
      <c r="F684" t="s">
        <v>11</v>
      </c>
      <c r="G684" t="s">
        <v>55</v>
      </c>
      <c r="H684" t="s">
        <v>154</v>
      </c>
      <c r="I684" t="s">
        <v>31</v>
      </c>
      <c r="J684">
        <v>370</v>
      </c>
      <c r="K684">
        <v>0</v>
      </c>
      <c r="L684" s="4">
        <v>3.8199999999999998E-2</v>
      </c>
      <c r="M684">
        <v>0.09</v>
      </c>
      <c r="N684" s="4">
        <v>1.4133999999999999E-2</v>
      </c>
      <c r="O684" s="4">
        <v>3.3299999999999996E-2</v>
      </c>
    </row>
    <row r="685" spans="2:15">
      <c r="B685" t="s">
        <v>69</v>
      </c>
      <c r="C685" t="s">
        <v>50</v>
      </c>
      <c r="D685" t="s">
        <v>870</v>
      </c>
      <c r="E685" t="s">
        <v>871</v>
      </c>
      <c r="F685" t="s">
        <v>11</v>
      </c>
      <c r="G685" t="s">
        <v>55</v>
      </c>
      <c r="H685" t="s">
        <v>154</v>
      </c>
      <c r="I685" t="s">
        <v>31</v>
      </c>
      <c r="J685">
        <v>529</v>
      </c>
      <c r="K685">
        <v>0</v>
      </c>
      <c r="L685" s="4">
        <v>3.8199999999999998E-2</v>
      </c>
      <c r="M685">
        <v>0.09</v>
      </c>
      <c r="N685" s="4">
        <v>2.0207799999999998E-2</v>
      </c>
      <c r="O685" s="4">
        <v>4.761E-2</v>
      </c>
    </row>
    <row r="686" spans="2:15">
      <c r="B686" t="s">
        <v>69</v>
      </c>
      <c r="C686" t="s">
        <v>50</v>
      </c>
      <c r="D686" t="s">
        <v>872</v>
      </c>
      <c r="E686" t="s">
        <v>873</v>
      </c>
      <c r="F686" t="s">
        <v>11</v>
      </c>
      <c r="G686" t="s">
        <v>55</v>
      </c>
      <c r="H686" t="s">
        <v>154</v>
      </c>
      <c r="I686" t="s">
        <v>31</v>
      </c>
      <c r="J686">
        <v>800</v>
      </c>
      <c r="K686">
        <v>0</v>
      </c>
      <c r="L686" s="4">
        <v>3.8199999999999998E-2</v>
      </c>
      <c r="M686">
        <v>0.09</v>
      </c>
      <c r="N686" s="4">
        <v>3.056E-2</v>
      </c>
      <c r="O686" s="4">
        <v>7.1999999999999995E-2</v>
      </c>
    </row>
    <row r="687" spans="2:15">
      <c r="B687" t="s">
        <v>69</v>
      </c>
      <c r="C687" t="s">
        <v>50</v>
      </c>
      <c r="D687" t="s">
        <v>872</v>
      </c>
      <c r="E687" t="s">
        <v>873</v>
      </c>
      <c r="F687" t="s">
        <v>11</v>
      </c>
      <c r="G687" t="s">
        <v>55</v>
      </c>
      <c r="H687" t="s">
        <v>154</v>
      </c>
      <c r="I687" t="s">
        <v>31</v>
      </c>
      <c r="J687">
        <v>447</v>
      </c>
      <c r="K687">
        <v>0</v>
      </c>
      <c r="L687" s="4">
        <v>3.8199999999999998E-2</v>
      </c>
      <c r="M687">
        <v>0.09</v>
      </c>
      <c r="N687" s="4">
        <v>1.7075399999999998E-2</v>
      </c>
      <c r="O687" s="4">
        <v>4.0229999999999995E-2</v>
      </c>
    </row>
    <row r="688" spans="2:15">
      <c r="B688" t="s">
        <v>69</v>
      </c>
      <c r="C688" t="s">
        <v>50</v>
      </c>
      <c r="D688" t="s">
        <v>874</v>
      </c>
      <c r="E688" t="s">
        <v>875</v>
      </c>
      <c r="F688" t="s">
        <v>11</v>
      </c>
      <c r="G688" t="s">
        <v>55</v>
      </c>
      <c r="H688" t="s">
        <v>154</v>
      </c>
      <c r="I688" t="s">
        <v>31</v>
      </c>
      <c r="J688">
        <v>927</v>
      </c>
      <c r="K688">
        <v>1</v>
      </c>
      <c r="L688" s="4">
        <v>3.8199999999999998E-2</v>
      </c>
      <c r="M688">
        <v>0.09</v>
      </c>
      <c r="N688" s="4">
        <v>3.5411400000000003E-2</v>
      </c>
      <c r="O688" s="4">
        <v>8.342999999999999E-2</v>
      </c>
    </row>
    <row r="689" spans="2:15">
      <c r="B689" t="s">
        <v>69</v>
      </c>
      <c r="C689" t="s">
        <v>50</v>
      </c>
      <c r="D689" t="s">
        <v>874</v>
      </c>
      <c r="E689" t="s">
        <v>875</v>
      </c>
      <c r="F689" t="s">
        <v>11</v>
      </c>
      <c r="G689" t="s">
        <v>55</v>
      </c>
      <c r="H689" t="s">
        <v>154</v>
      </c>
      <c r="I689" t="s">
        <v>31</v>
      </c>
      <c r="J689">
        <v>486</v>
      </c>
      <c r="K689">
        <v>0</v>
      </c>
      <c r="L689" s="4">
        <v>3.8199999999999998E-2</v>
      </c>
      <c r="M689">
        <v>0.09</v>
      </c>
      <c r="N689" s="4">
        <v>1.8565199999999997E-2</v>
      </c>
      <c r="O689" s="4">
        <v>4.3739999999999994E-2</v>
      </c>
    </row>
    <row r="690" spans="2:15">
      <c r="B690" t="s">
        <v>69</v>
      </c>
      <c r="C690" t="s">
        <v>50</v>
      </c>
      <c r="D690" t="s">
        <v>876</v>
      </c>
      <c r="E690" t="s">
        <v>877</v>
      </c>
      <c r="F690" t="s">
        <v>11</v>
      </c>
      <c r="G690" t="s">
        <v>55</v>
      </c>
      <c r="H690" t="s">
        <v>154</v>
      </c>
      <c r="I690" t="s">
        <v>31</v>
      </c>
      <c r="J690">
        <v>820</v>
      </c>
      <c r="K690">
        <v>1</v>
      </c>
      <c r="L690" s="4">
        <v>3.8199999999999998E-2</v>
      </c>
      <c r="M690">
        <v>0.09</v>
      </c>
      <c r="N690" s="4">
        <v>3.1323999999999998E-2</v>
      </c>
      <c r="O690" s="4">
        <v>7.3799999999999991E-2</v>
      </c>
    </row>
    <row r="691" spans="2:15">
      <c r="B691" t="s">
        <v>69</v>
      </c>
      <c r="C691" t="s">
        <v>50</v>
      </c>
      <c r="D691" t="s">
        <v>876</v>
      </c>
      <c r="E691" t="s">
        <v>877</v>
      </c>
      <c r="F691" t="s">
        <v>11</v>
      </c>
      <c r="G691" t="s">
        <v>55</v>
      </c>
      <c r="H691" t="s">
        <v>154</v>
      </c>
      <c r="I691" t="s">
        <v>31</v>
      </c>
      <c r="J691">
        <v>484</v>
      </c>
      <c r="K691">
        <v>0</v>
      </c>
      <c r="L691" s="4">
        <v>3.8199999999999998E-2</v>
      </c>
      <c r="M691">
        <v>0.09</v>
      </c>
      <c r="N691" s="4">
        <v>1.8488799999999996E-2</v>
      </c>
      <c r="O691" s="4">
        <v>4.3559999999999995E-2</v>
      </c>
    </row>
    <row r="692" spans="2:15">
      <c r="B692" t="s">
        <v>69</v>
      </c>
      <c r="C692" t="s">
        <v>50</v>
      </c>
      <c r="D692" t="s">
        <v>878</v>
      </c>
      <c r="E692" t="s">
        <v>879</v>
      </c>
      <c r="F692" t="s">
        <v>11</v>
      </c>
      <c r="G692" t="s">
        <v>55</v>
      </c>
      <c r="H692" t="s">
        <v>154</v>
      </c>
      <c r="I692" t="s">
        <v>31</v>
      </c>
      <c r="J692">
        <v>891</v>
      </c>
      <c r="K692">
        <v>1</v>
      </c>
      <c r="L692" s="4">
        <v>3.8199999999999998E-2</v>
      </c>
      <c r="M692">
        <v>0.09</v>
      </c>
      <c r="N692" s="4">
        <v>3.4036200000000003E-2</v>
      </c>
      <c r="O692" s="4">
        <v>8.0189999999999997E-2</v>
      </c>
    </row>
    <row r="693" spans="2:15">
      <c r="B693" t="s">
        <v>69</v>
      </c>
      <c r="C693" t="s">
        <v>50</v>
      </c>
      <c r="D693" t="s">
        <v>878</v>
      </c>
      <c r="E693" t="s">
        <v>879</v>
      </c>
      <c r="F693" t="s">
        <v>11</v>
      </c>
      <c r="G693" t="s">
        <v>55</v>
      </c>
      <c r="H693" t="s">
        <v>154</v>
      </c>
      <c r="I693" t="s">
        <v>31</v>
      </c>
      <c r="J693">
        <v>458</v>
      </c>
      <c r="K693">
        <v>0</v>
      </c>
      <c r="L693" s="4">
        <v>3.8199999999999998E-2</v>
      </c>
      <c r="M693">
        <v>0.09</v>
      </c>
      <c r="N693" s="4">
        <v>1.74956E-2</v>
      </c>
      <c r="O693" s="4">
        <v>4.122E-2</v>
      </c>
    </row>
    <row r="694" spans="2:15">
      <c r="B694" t="s">
        <v>69</v>
      </c>
      <c r="C694" t="s">
        <v>50</v>
      </c>
      <c r="D694" t="s">
        <v>880</v>
      </c>
      <c r="E694" t="s">
        <v>881</v>
      </c>
      <c r="F694" t="s">
        <v>11</v>
      </c>
      <c r="G694" t="s">
        <v>55</v>
      </c>
      <c r="H694" t="s">
        <v>154</v>
      </c>
      <c r="I694" t="s">
        <v>31</v>
      </c>
      <c r="J694">
        <v>928</v>
      </c>
      <c r="K694">
        <v>0</v>
      </c>
      <c r="L694" s="4">
        <v>3.8199999999999998E-2</v>
      </c>
      <c r="M694">
        <v>0.09</v>
      </c>
      <c r="N694" s="4">
        <v>3.5449599999999998E-2</v>
      </c>
      <c r="O694" s="4">
        <v>8.3519999999999997E-2</v>
      </c>
    </row>
    <row r="695" spans="2:15">
      <c r="B695" t="s">
        <v>69</v>
      </c>
      <c r="C695" t="s">
        <v>50</v>
      </c>
      <c r="D695" t="s">
        <v>880</v>
      </c>
      <c r="E695" t="s">
        <v>881</v>
      </c>
      <c r="F695" t="s">
        <v>11</v>
      </c>
      <c r="G695" t="s">
        <v>55</v>
      </c>
      <c r="H695" t="s">
        <v>154</v>
      </c>
      <c r="I695" t="s">
        <v>31</v>
      </c>
      <c r="J695">
        <v>498</v>
      </c>
      <c r="K695">
        <v>1</v>
      </c>
      <c r="L695" s="4">
        <v>3.8199999999999998E-2</v>
      </c>
      <c r="M695">
        <v>0.09</v>
      </c>
      <c r="N695" s="4">
        <v>1.9023599999999998E-2</v>
      </c>
      <c r="O695" s="4">
        <v>4.4819999999999999E-2</v>
      </c>
    </row>
    <row r="696" spans="2:15">
      <c r="B696" t="s">
        <v>69</v>
      </c>
      <c r="C696" t="s">
        <v>50</v>
      </c>
      <c r="D696" t="s">
        <v>882</v>
      </c>
      <c r="E696" t="s">
        <v>883</v>
      </c>
      <c r="F696" t="s">
        <v>11</v>
      </c>
      <c r="G696" t="s">
        <v>55</v>
      </c>
      <c r="H696" t="s">
        <v>154</v>
      </c>
      <c r="I696" t="s">
        <v>31</v>
      </c>
      <c r="J696">
        <v>923</v>
      </c>
      <c r="K696">
        <v>0</v>
      </c>
      <c r="L696" s="4">
        <v>3.8199999999999998E-2</v>
      </c>
      <c r="M696">
        <v>0.09</v>
      </c>
      <c r="N696" s="4">
        <v>3.5258600000000001E-2</v>
      </c>
      <c r="O696" s="4">
        <v>8.3069999999999991E-2</v>
      </c>
    </row>
    <row r="697" spans="2:15">
      <c r="B697" t="s">
        <v>69</v>
      </c>
      <c r="C697" t="s">
        <v>50</v>
      </c>
      <c r="D697" t="s">
        <v>882</v>
      </c>
      <c r="E697" t="s">
        <v>883</v>
      </c>
      <c r="F697" t="s">
        <v>11</v>
      </c>
      <c r="G697" t="s">
        <v>55</v>
      </c>
      <c r="H697" t="s">
        <v>154</v>
      </c>
      <c r="I697" t="s">
        <v>31</v>
      </c>
      <c r="J697">
        <v>431</v>
      </c>
      <c r="K697">
        <v>0</v>
      </c>
      <c r="L697" s="4">
        <v>3.8199999999999998E-2</v>
      </c>
      <c r="M697">
        <v>0.09</v>
      </c>
      <c r="N697" s="4">
        <v>1.6464199999999998E-2</v>
      </c>
      <c r="O697" s="4">
        <v>3.8789999999999998E-2</v>
      </c>
    </row>
    <row r="698" spans="2:15">
      <c r="B698" t="s">
        <v>69</v>
      </c>
      <c r="C698" t="s">
        <v>50</v>
      </c>
      <c r="D698" t="s">
        <v>884</v>
      </c>
      <c r="E698" t="s">
        <v>885</v>
      </c>
      <c r="F698" t="s">
        <v>11</v>
      </c>
      <c r="G698" t="s">
        <v>55</v>
      </c>
      <c r="H698" t="s">
        <v>154</v>
      </c>
      <c r="I698" t="s">
        <v>31</v>
      </c>
      <c r="J698">
        <v>478</v>
      </c>
      <c r="K698">
        <v>0</v>
      </c>
      <c r="L698" s="4">
        <v>3.8199999999999998E-2</v>
      </c>
      <c r="M698">
        <v>0.09</v>
      </c>
      <c r="N698" s="4">
        <v>1.8259599999999997E-2</v>
      </c>
      <c r="O698" s="4">
        <v>4.3019999999999996E-2</v>
      </c>
    </row>
    <row r="699" spans="2:15">
      <c r="B699" t="s">
        <v>69</v>
      </c>
      <c r="C699" t="s">
        <v>50</v>
      </c>
      <c r="D699" t="s">
        <v>884</v>
      </c>
      <c r="E699" t="s">
        <v>885</v>
      </c>
      <c r="F699" t="s">
        <v>11</v>
      </c>
      <c r="G699" t="s">
        <v>55</v>
      </c>
      <c r="H699" t="s">
        <v>154</v>
      </c>
      <c r="I699" t="s">
        <v>31</v>
      </c>
      <c r="J699">
        <v>682</v>
      </c>
      <c r="K699">
        <v>1</v>
      </c>
      <c r="L699" s="4">
        <v>3.8199999999999998E-2</v>
      </c>
      <c r="M699">
        <v>0.09</v>
      </c>
      <c r="N699" s="4">
        <v>2.60524E-2</v>
      </c>
      <c r="O699" s="4">
        <v>6.1379999999999997E-2</v>
      </c>
    </row>
    <row r="700" spans="2:15">
      <c r="B700" t="s">
        <v>69</v>
      </c>
      <c r="C700" t="s">
        <v>50</v>
      </c>
      <c r="D700" t="s">
        <v>886</v>
      </c>
      <c r="E700" t="s">
        <v>887</v>
      </c>
      <c r="F700" t="s">
        <v>11</v>
      </c>
      <c r="G700" t="s">
        <v>55</v>
      </c>
      <c r="H700" t="s">
        <v>154</v>
      </c>
      <c r="I700" t="s">
        <v>31</v>
      </c>
      <c r="J700">
        <v>115</v>
      </c>
      <c r="K700">
        <v>0</v>
      </c>
      <c r="L700" s="4">
        <v>3.8199999999999998E-2</v>
      </c>
      <c r="M700">
        <v>0.09</v>
      </c>
      <c r="N700" s="4">
        <v>4.3930000000000002E-3</v>
      </c>
      <c r="O700" s="4">
        <v>1.035E-2</v>
      </c>
    </row>
    <row r="701" spans="2:15">
      <c r="B701" t="s">
        <v>69</v>
      </c>
      <c r="C701" t="s">
        <v>50</v>
      </c>
      <c r="D701" t="s">
        <v>886</v>
      </c>
      <c r="E701" t="s">
        <v>887</v>
      </c>
      <c r="F701" t="s">
        <v>11</v>
      </c>
      <c r="G701" t="s">
        <v>55</v>
      </c>
      <c r="H701" t="s">
        <v>154</v>
      </c>
      <c r="I701" t="s">
        <v>31</v>
      </c>
      <c r="J701">
        <v>186</v>
      </c>
      <c r="K701">
        <v>0</v>
      </c>
      <c r="L701" s="4">
        <v>3.8199999999999998E-2</v>
      </c>
      <c r="M701">
        <v>0.09</v>
      </c>
      <c r="N701" s="4">
        <v>7.1051999999999999E-3</v>
      </c>
      <c r="O701" s="4">
        <v>1.6739999999999998E-2</v>
      </c>
    </row>
    <row r="702" spans="2:15">
      <c r="B702" t="s">
        <v>69</v>
      </c>
      <c r="C702" t="s">
        <v>50</v>
      </c>
      <c r="D702" t="s">
        <v>888</v>
      </c>
      <c r="E702" t="s">
        <v>889</v>
      </c>
      <c r="F702" t="s">
        <v>11</v>
      </c>
      <c r="G702" t="s">
        <v>55</v>
      </c>
      <c r="H702" t="s">
        <v>154</v>
      </c>
      <c r="I702" t="s">
        <v>31</v>
      </c>
      <c r="J702">
        <v>98</v>
      </c>
      <c r="K702">
        <v>0</v>
      </c>
      <c r="L702" s="4">
        <v>3.8199999999999998E-2</v>
      </c>
      <c r="M702">
        <v>0.09</v>
      </c>
      <c r="N702" s="4">
        <v>3.7435999999999997E-3</v>
      </c>
      <c r="O702" s="4">
        <v>8.8199999999999997E-3</v>
      </c>
    </row>
    <row r="703" spans="2:15">
      <c r="B703" t="s">
        <v>69</v>
      </c>
      <c r="C703" t="s">
        <v>50</v>
      </c>
      <c r="D703" t="s">
        <v>888</v>
      </c>
      <c r="E703" t="s">
        <v>889</v>
      </c>
      <c r="F703" t="s">
        <v>11</v>
      </c>
      <c r="G703" t="s">
        <v>55</v>
      </c>
      <c r="H703" t="s">
        <v>154</v>
      </c>
      <c r="I703" t="s">
        <v>31</v>
      </c>
      <c r="J703">
        <v>209</v>
      </c>
      <c r="K703">
        <v>0</v>
      </c>
      <c r="L703" s="4">
        <v>3.8199999999999998E-2</v>
      </c>
      <c r="M703">
        <v>0.09</v>
      </c>
      <c r="N703" s="4">
        <v>7.9837999999999992E-3</v>
      </c>
      <c r="O703" s="4">
        <v>1.881E-2</v>
      </c>
    </row>
    <row r="704" spans="2:15">
      <c r="B704" t="s">
        <v>69</v>
      </c>
      <c r="C704" t="s">
        <v>50</v>
      </c>
      <c r="D704" t="s">
        <v>890</v>
      </c>
      <c r="E704" t="s">
        <v>891</v>
      </c>
      <c r="F704" t="s">
        <v>11</v>
      </c>
      <c r="G704" t="s">
        <v>55</v>
      </c>
      <c r="H704" t="s">
        <v>154</v>
      </c>
      <c r="I704" t="s">
        <v>31</v>
      </c>
      <c r="J704">
        <v>215</v>
      </c>
      <c r="K704">
        <v>0</v>
      </c>
      <c r="L704" s="4">
        <v>3.8199999999999998E-2</v>
      </c>
      <c r="M704">
        <v>0.09</v>
      </c>
      <c r="N704" s="4">
        <v>8.2129999999999998E-3</v>
      </c>
      <c r="O704" s="4">
        <v>1.9349999999999999E-2</v>
      </c>
    </row>
    <row r="705" spans="2:15">
      <c r="B705" t="s">
        <v>69</v>
      </c>
      <c r="C705" t="s">
        <v>50</v>
      </c>
      <c r="D705" t="s">
        <v>890</v>
      </c>
      <c r="E705" t="s">
        <v>891</v>
      </c>
      <c r="F705" t="s">
        <v>11</v>
      </c>
      <c r="G705" t="s">
        <v>55</v>
      </c>
      <c r="H705" t="s">
        <v>154</v>
      </c>
      <c r="I705" t="s">
        <v>31</v>
      </c>
      <c r="J705">
        <v>254</v>
      </c>
      <c r="K705">
        <v>0</v>
      </c>
      <c r="L705" s="4">
        <v>3.8199999999999998E-2</v>
      </c>
      <c r="M705">
        <v>0.09</v>
      </c>
      <c r="N705" s="4">
        <v>9.7027999999999993E-3</v>
      </c>
      <c r="O705" s="4">
        <v>2.2859999999999998E-2</v>
      </c>
    </row>
    <row r="706" spans="2:15">
      <c r="B706" t="s">
        <v>69</v>
      </c>
      <c r="C706" t="s">
        <v>50</v>
      </c>
      <c r="D706" t="s">
        <v>892</v>
      </c>
      <c r="E706" t="s">
        <v>893</v>
      </c>
      <c r="F706" t="s">
        <v>11</v>
      </c>
      <c r="G706" t="s">
        <v>55</v>
      </c>
      <c r="H706" t="s">
        <v>154</v>
      </c>
      <c r="I706" t="s">
        <v>31</v>
      </c>
      <c r="J706">
        <v>644</v>
      </c>
      <c r="K706">
        <v>0</v>
      </c>
      <c r="L706" s="4">
        <v>3.8199999999999998E-2</v>
      </c>
      <c r="M706">
        <v>0.09</v>
      </c>
      <c r="N706" s="4">
        <v>2.4600799999999999E-2</v>
      </c>
      <c r="O706" s="4">
        <v>5.7959999999999998E-2</v>
      </c>
    </row>
    <row r="707" spans="2:15">
      <c r="B707" t="s">
        <v>69</v>
      </c>
      <c r="C707" t="s">
        <v>50</v>
      </c>
      <c r="D707" t="s">
        <v>892</v>
      </c>
      <c r="E707" t="s">
        <v>893</v>
      </c>
      <c r="F707" t="s">
        <v>11</v>
      </c>
      <c r="G707" t="s">
        <v>55</v>
      </c>
      <c r="H707" t="s">
        <v>154</v>
      </c>
      <c r="I707" t="s">
        <v>31</v>
      </c>
      <c r="J707">
        <v>433</v>
      </c>
      <c r="K707">
        <v>0</v>
      </c>
      <c r="L707" s="4">
        <v>3.8199999999999998E-2</v>
      </c>
      <c r="M707">
        <v>0.09</v>
      </c>
      <c r="N707" s="4">
        <v>1.6540599999999999E-2</v>
      </c>
      <c r="O707" s="4">
        <v>3.8969999999999998E-2</v>
      </c>
    </row>
    <row r="708" spans="2:15">
      <c r="B708" t="s">
        <v>69</v>
      </c>
      <c r="C708" t="s">
        <v>50</v>
      </c>
      <c r="D708" t="s">
        <v>894</v>
      </c>
      <c r="E708" t="s">
        <v>895</v>
      </c>
      <c r="F708" t="s">
        <v>11</v>
      </c>
      <c r="G708" t="s">
        <v>55</v>
      </c>
      <c r="H708" t="s">
        <v>154</v>
      </c>
      <c r="I708" t="s">
        <v>31</v>
      </c>
      <c r="J708">
        <v>506</v>
      </c>
      <c r="K708">
        <v>0</v>
      </c>
      <c r="L708" s="4">
        <v>3.8199999999999998E-2</v>
      </c>
      <c r="M708">
        <v>0.09</v>
      </c>
      <c r="N708" s="4">
        <v>1.9329200000000001E-2</v>
      </c>
      <c r="O708" s="4">
        <v>4.5539999999999997E-2</v>
      </c>
    </row>
    <row r="709" spans="2:15">
      <c r="B709" t="s">
        <v>69</v>
      </c>
      <c r="C709" t="s">
        <v>50</v>
      </c>
      <c r="D709" t="s">
        <v>894</v>
      </c>
      <c r="E709" t="s">
        <v>895</v>
      </c>
      <c r="F709" t="s">
        <v>11</v>
      </c>
      <c r="G709" t="s">
        <v>55</v>
      </c>
      <c r="H709" t="s">
        <v>154</v>
      </c>
      <c r="I709" t="s">
        <v>31</v>
      </c>
      <c r="J709">
        <v>769</v>
      </c>
      <c r="K709">
        <v>0</v>
      </c>
      <c r="L709" s="4">
        <v>3.8199999999999998E-2</v>
      </c>
      <c r="M709">
        <v>0.09</v>
      </c>
      <c r="N709" s="4">
        <v>2.9375799999999997E-2</v>
      </c>
      <c r="O709" s="4">
        <v>6.9209999999999994E-2</v>
      </c>
    </row>
    <row r="710" spans="2:15">
      <c r="B710" t="s">
        <v>69</v>
      </c>
      <c r="C710" t="s">
        <v>50</v>
      </c>
      <c r="D710" t="s">
        <v>896</v>
      </c>
      <c r="E710" t="s">
        <v>897</v>
      </c>
      <c r="F710" t="s">
        <v>11</v>
      </c>
      <c r="G710" t="s">
        <v>55</v>
      </c>
      <c r="H710" t="s">
        <v>154</v>
      </c>
      <c r="I710" t="s">
        <v>31</v>
      </c>
      <c r="J710">
        <v>548</v>
      </c>
      <c r="K710">
        <v>0</v>
      </c>
      <c r="L710" s="4">
        <v>3.8199999999999998E-2</v>
      </c>
      <c r="M710">
        <v>0.09</v>
      </c>
      <c r="N710" s="4">
        <v>2.09336E-2</v>
      </c>
      <c r="O710" s="4">
        <v>4.9320000000000003E-2</v>
      </c>
    </row>
    <row r="711" spans="2:15">
      <c r="B711" t="s">
        <v>69</v>
      </c>
      <c r="C711" t="s">
        <v>50</v>
      </c>
      <c r="D711" t="s">
        <v>896</v>
      </c>
      <c r="E711" t="s">
        <v>897</v>
      </c>
      <c r="F711" t="s">
        <v>11</v>
      </c>
      <c r="G711" t="s">
        <v>55</v>
      </c>
      <c r="H711" t="s">
        <v>154</v>
      </c>
      <c r="I711" t="s">
        <v>31</v>
      </c>
      <c r="J711">
        <v>814</v>
      </c>
      <c r="K711">
        <v>0</v>
      </c>
      <c r="L711" s="4">
        <v>3.8199999999999998E-2</v>
      </c>
      <c r="M711">
        <v>0.09</v>
      </c>
      <c r="N711" s="4">
        <v>3.1094799999999999E-2</v>
      </c>
      <c r="O711" s="4">
        <v>7.3259999999999992E-2</v>
      </c>
    </row>
    <row r="712" spans="2:15">
      <c r="B712" t="s">
        <v>69</v>
      </c>
      <c r="C712" t="s">
        <v>50</v>
      </c>
      <c r="D712" t="s">
        <v>898</v>
      </c>
      <c r="E712" t="s">
        <v>899</v>
      </c>
      <c r="F712" t="s">
        <v>11</v>
      </c>
      <c r="G712" t="s">
        <v>55</v>
      </c>
      <c r="H712" t="s">
        <v>154</v>
      </c>
      <c r="I712" t="s">
        <v>31</v>
      </c>
      <c r="J712">
        <v>509</v>
      </c>
      <c r="K712">
        <v>0</v>
      </c>
      <c r="L712" s="4">
        <v>3.8199999999999998E-2</v>
      </c>
      <c r="M712">
        <v>0.09</v>
      </c>
      <c r="N712" s="4">
        <v>1.9443800000000001E-2</v>
      </c>
      <c r="O712" s="4">
        <v>4.5809999999999997E-2</v>
      </c>
    </row>
    <row r="713" spans="2:15">
      <c r="B713" t="s">
        <v>69</v>
      </c>
      <c r="C713" t="s">
        <v>50</v>
      </c>
      <c r="D713" t="s">
        <v>898</v>
      </c>
      <c r="E713" t="s">
        <v>899</v>
      </c>
      <c r="F713" t="s">
        <v>11</v>
      </c>
      <c r="G713" t="s">
        <v>55</v>
      </c>
      <c r="H713" t="s">
        <v>154</v>
      </c>
      <c r="I713" t="s">
        <v>31</v>
      </c>
      <c r="J713">
        <v>702</v>
      </c>
      <c r="K713">
        <v>0</v>
      </c>
      <c r="L713" s="4">
        <v>3.8199999999999998E-2</v>
      </c>
      <c r="M713">
        <v>0.09</v>
      </c>
      <c r="N713" s="4">
        <v>2.6816399999999997E-2</v>
      </c>
      <c r="O713" s="4">
        <v>6.318E-2</v>
      </c>
    </row>
    <row r="714" spans="2:15">
      <c r="B714" t="s">
        <v>69</v>
      </c>
      <c r="C714" t="s">
        <v>50</v>
      </c>
      <c r="D714" t="s">
        <v>900</v>
      </c>
      <c r="E714" t="s">
        <v>901</v>
      </c>
      <c r="F714" t="s">
        <v>11</v>
      </c>
      <c r="G714" t="s">
        <v>55</v>
      </c>
      <c r="H714" t="s">
        <v>154</v>
      </c>
      <c r="I714" t="s">
        <v>31</v>
      </c>
      <c r="J714">
        <v>527</v>
      </c>
      <c r="K714">
        <v>0</v>
      </c>
      <c r="L714" s="4">
        <v>3.8199999999999998E-2</v>
      </c>
      <c r="M714">
        <v>0.09</v>
      </c>
      <c r="N714" s="4">
        <v>2.0131400000000001E-2</v>
      </c>
      <c r="O714" s="4">
        <v>4.743E-2</v>
      </c>
    </row>
    <row r="715" spans="2:15">
      <c r="B715" t="s">
        <v>69</v>
      </c>
      <c r="C715" t="s">
        <v>50</v>
      </c>
      <c r="D715" t="s">
        <v>900</v>
      </c>
      <c r="E715" t="s">
        <v>901</v>
      </c>
      <c r="F715" t="s">
        <v>11</v>
      </c>
      <c r="G715" t="s">
        <v>55</v>
      </c>
      <c r="H715" t="s">
        <v>154</v>
      </c>
      <c r="I715" t="s">
        <v>31</v>
      </c>
      <c r="J715">
        <v>711</v>
      </c>
      <c r="K715">
        <v>1</v>
      </c>
      <c r="L715" s="4">
        <v>3.8199999999999998E-2</v>
      </c>
      <c r="M715">
        <v>0.09</v>
      </c>
      <c r="N715" s="4">
        <v>2.7160199999999999E-2</v>
      </c>
      <c r="O715" s="4">
        <v>6.3989999999999991E-2</v>
      </c>
    </row>
    <row r="716" spans="2:15">
      <c r="B716" t="s">
        <v>69</v>
      </c>
      <c r="C716" t="s">
        <v>50</v>
      </c>
      <c r="D716" t="s">
        <v>902</v>
      </c>
      <c r="E716" t="s">
        <v>903</v>
      </c>
      <c r="F716" t="s">
        <v>11</v>
      </c>
      <c r="G716" t="s">
        <v>55</v>
      </c>
      <c r="H716" t="s">
        <v>154</v>
      </c>
      <c r="I716" t="s">
        <v>31</v>
      </c>
      <c r="J716">
        <v>765</v>
      </c>
      <c r="K716">
        <v>0</v>
      </c>
      <c r="L716" s="4">
        <v>3.8199999999999998E-2</v>
      </c>
      <c r="M716">
        <v>0.09</v>
      </c>
      <c r="N716" s="4">
        <v>2.9222999999999999E-2</v>
      </c>
      <c r="O716" s="4">
        <v>6.8849999999999995E-2</v>
      </c>
    </row>
    <row r="717" spans="2:15">
      <c r="B717" t="s">
        <v>69</v>
      </c>
      <c r="C717" t="s">
        <v>50</v>
      </c>
      <c r="D717" t="s">
        <v>902</v>
      </c>
      <c r="E717" t="s">
        <v>903</v>
      </c>
      <c r="F717" t="s">
        <v>11</v>
      </c>
      <c r="G717" t="s">
        <v>55</v>
      </c>
      <c r="H717" t="s">
        <v>154</v>
      </c>
      <c r="I717" t="s">
        <v>31</v>
      </c>
      <c r="J717">
        <v>312</v>
      </c>
      <c r="K717">
        <v>0</v>
      </c>
      <c r="L717" s="4">
        <v>3.8199999999999998E-2</v>
      </c>
      <c r="M717">
        <v>0.09</v>
      </c>
      <c r="N717" s="4">
        <v>1.1918400000000001E-2</v>
      </c>
      <c r="O717" s="4">
        <v>2.8079999999999997E-2</v>
      </c>
    </row>
    <row r="718" spans="2:15">
      <c r="B718" t="s">
        <v>69</v>
      </c>
      <c r="C718" t="s">
        <v>50</v>
      </c>
      <c r="D718" t="s">
        <v>904</v>
      </c>
      <c r="E718" t="s">
        <v>905</v>
      </c>
      <c r="F718" t="s">
        <v>11</v>
      </c>
      <c r="G718" t="s">
        <v>55</v>
      </c>
      <c r="H718" t="s">
        <v>154</v>
      </c>
      <c r="I718" t="s">
        <v>31</v>
      </c>
      <c r="J718">
        <v>765</v>
      </c>
      <c r="K718">
        <v>1</v>
      </c>
      <c r="L718" s="4">
        <v>3.8199999999999998E-2</v>
      </c>
      <c r="M718">
        <v>0.09</v>
      </c>
      <c r="N718" s="4">
        <v>2.9222999999999999E-2</v>
      </c>
      <c r="O718" s="4">
        <v>6.8849999999999995E-2</v>
      </c>
    </row>
    <row r="719" spans="2:15">
      <c r="B719" t="s">
        <v>69</v>
      </c>
      <c r="C719" t="s">
        <v>50</v>
      </c>
      <c r="D719" t="s">
        <v>904</v>
      </c>
      <c r="E719" t="s">
        <v>905</v>
      </c>
      <c r="F719" t="s">
        <v>11</v>
      </c>
      <c r="G719" t="s">
        <v>55</v>
      </c>
      <c r="H719" t="s">
        <v>154</v>
      </c>
      <c r="I719" t="s">
        <v>31</v>
      </c>
      <c r="J719">
        <v>272</v>
      </c>
      <c r="K719">
        <v>0</v>
      </c>
      <c r="L719" s="4">
        <v>3.8199999999999998E-2</v>
      </c>
      <c r="M719">
        <v>0.09</v>
      </c>
      <c r="N719" s="4">
        <v>1.0390399999999999E-2</v>
      </c>
      <c r="O719" s="4">
        <v>2.4480000000000002E-2</v>
      </c>
    </row>
    <row r="720" spans="2:15">
      <c r="B720" t="s">
        <v>69</v>
      </c>
      <c r="C720" t="s">
        <v>50</v>
      </c>
      <c r="D720" t="s">
        <v>906</v>
      </c>
      <c r="E720" t="s">
        <v>907</v>
      </c>
      <c r="F720" t="s">
        <v>11</v>
      </c>
      <c r="G720" t="s">
        <v>55</v>
      </c>
      <c r="H720" t="s">
        <v>154</v>
      </c>
      <c r="I720" t="s">
        <v>31</v>
      </c>
      <c r="J720">
        <v>651</v>
      </c>
      <c r="K720">
        <v>0</v>
      </c>
      <c r="L720" s="4">
        <v>3.8199999999999998E-2</v>
      </c>
      <c r="M720">
        <v>0.09</v>
      </c>
      <c r="N720" s="4">
        <v>2.4868199999999997E-2</v>
      </c>
      <c r="O720" s="4">
        <v>5.8589999999999996E-2</v>
      </c>
    </row>
    <row r="721" spans="2:15">
      <c r="B721" t="s">
        <v>69</v>
      </c>
      <c r="C721" t="s">
        <v>50</v>
      </c>
      <c r="D721" t="s">
        <v>906</v>
      </c>
      <c r="E721" t="s">
        <v>907</v>
      </c>
      <c r="F721" t="s">
        <v>11</v>
      </c>
      <c r="G721" t="s">
        <v>55</v>
      </c>
      <c r="H721" t="s">
        <v>154</v>
      </c>
      <c r="I721" t="s">
        <v>31</v>
      </c>
      <c r="J721">
        <v>316</v>
      </c>
      <c r="K721">
        <v>0</v>
      </c>
      <c r="L721" s="4">
        <v>3.8199999999999998E-2</v>
      </c>
      <c r="M721">
        <v>0.09</v>
      </c>
      <c r="N721" s="4">
        <v>1.2071199999999999E-2</v>
      </c>
      <c r="O721" s="4">
        <v>2.8439999999999997E-2</v>
      </c>
    </row>
    <row r="722" spans="2:15">
      <c r="B722" t="s">
        <v>69</v>
      </c>
      <c r="C722" t="s">
        <v>50</v>
      </c>
      <c r="D722" t="s">
        <v>908</v>
      </c>
      <c r="E722" t="s">
        <v>909</v>
      </c>
      <c r="F722" t="s">
        <v>11</v>
      </c>
      <c r="G722" t="s">
        <v>55</v>
      </c>
      <c r="H722" t="s">
        <v>154</v>
      </c>
      <c r="I722" t="s">
        <v>31</v>
      </c>
      <c r="J722">
        <v>718</v>
      </c>
      <c r="K722">
        <v>0</v>
      </c>
      <c r="L722" s="4">
        <v>3.8199999999999998E-2</v>
      </c>
      <c r="M722">
        <v>0.09</v>
      </c>
      <c r="N722" s="4">
        <v>2.74276E-2</v>
      </c>
      <c r="O722" s="4">
        <v>6.4620000000000011E-2</v>
      </c>
    </row>
    <row r="723" spans="2:15">
      <c r="B723" t="s">
        <v>69</v>
      </c>
      <c r="C723" t="s">
        <v>50</v>
      </c>
      <c r="D723" t="s">
        <v>908</v>
      </c>
      <c r="E723" t="s">
        <v>909</v>
      </c>
      <c r="F723" t="s">
        <v>11</v>
      </c>
      <c r="G723" t="s">
        <v>55</v>
      </c>
      <c r="H723" t="s">
        <v>154</v>
      </c>
      <c r="I723" t="s">
        <v>31</v>
      </c>
      <c r="J723">
        <v>311</v>
      </c>
      <c r="K723">
        <v>0</v>
      </c>
      <c r="L723" s="4">
        <v>3.8199999999999998E-2</v>
      </c>
      <c r="M723">
        <v>0.09</v>
      </c>
      <c r="N723" s="4">
        <v>1.1880199999999999E-2</v>
      </c>
      <c r="O723" s="4">
        <v>2.7989999999999998E-2</v>
      </c>
    </row>
    <row r="724" spans="2:15">
      <c r="B724" t="s">
        <v>69</v>
      </c>
      <c r="C724" t="s">
        <v>50</v>
      </c>
      <c r="D724" t="s">
        <v>910</v>
      </c>
      <c r="E724" t="s">
        <v>911</v>
      </c>
      <c r="F724" t="s">
        <v>11</v>
      </c>
      <c r="G724" t="s">
        <v>55</v>
      </c>
      <c r="H724" t="s">
        <v>154</v>
      </c>
      <c r="I724" t="s">
        <v>31</v>
      </c>
      <c r="J724">
        <v>728</v>
      </c>
      <c r="K724">
        <v>0</v>
      </c>
      <c r="L724" s="4">
        <v>3.8199999999999998E-2</v>
      </c>
      <c r="M724">
        <v>0.09</v>
      </c>
      <c r="N724" s="4">
        <v>2.78096E-2</v>
      </c>
      <c r="O724" s="4">
        <v>6.5519999999999995E-2</v>
      </c>
    </row>
    <row r="725" spans="2:15">
      <c r="B725" t="s">
        <v>69</v>
      </c>
      <c r="C725" t="s">
        <v>50</v>
      </c>
      <c r="D725" t="s">
        <v>910</v>
      </c>
      <c r="E725" t="s">
        <v>911</v>
      </c>
      <c r="F725" t="s">
        <v>11</v>
      </c>
      <c r="G725" t="s">
        <v>55</v>
      </c>
      <c r="H725" t="s">
        <v>154</v>
      </c>
      <c r="I725" t="s">
        <v>31</v>
      </c>
      <c r="J725">
        <v>326</v>
      </c>
      <c r="K725">
        <v>0</v>
      </c>
      <c r="L725" s="4">
        <v>3.8199999999999998E-2</v>
      </c>
      <c r="M725">
        <v>0.09</v>
      </c>
      <c r="N725" s="4">
        <v>1.2453199999999999E-2</v>
      </c>
      <c r="O725" s="4">
        <v>2.9340000000000001E-2</v>
      </c>
    </row>
    <row r="726" spans="2:15">
      <c r="B726" t="s">
        <v>69</v>
      </c>
      <c r="C726" t="s">
        <v>50</v>
      </c>
      <c r="D726" t="s">
        <v>912</v>
      </c>
      <c r="E726" t="s">
        <v>913</v>
      </c>
      <c r="F726" t="s">
        <v>11</v>
      </c>
      <c r="G726" t="s">
        <v>55</v>
      </c>
      <c r="H726" t="s">
        <v>154</v>
      </c>
      <c r="I726" t="s">
        <v>31</v>
      </c>
      <c r="J726">
        <v>672</v>
      </c>
      <c r="K726">
        <v>0</v>
      </c>
      <c r="L726" s="4">
        <v>3.8199999999999998E-2</v>
      </c>
      <c r="M726">
        <v>0.09</v>
      </c>
      <c r="N726" s="4">
        <v>2.5670399999999996E-2</v>
      </c>
      <c r="O726" s="4">
        <v>6.0479999999999999E-2</v>
      </c>
    </row>
    <row r="727" spans="2:15">
      <c r="B727" t="s">
        <v>69</v>
      </c>
      <c r="C727" t="s">
        <v>50</v>
      </c>
      <c r="D727" t="s">
        <v>912</v>
      </c>
      <c r="E727" t="s">
        <v>913</v>
      </c>
      <c r="F727" t="s">
        <v>11</v>
      </c>
      <c r="G727" t="s">
        <v>55</v>
      </c>
      <c r="H727" t="s">
        <v>154</v>
      </c>
      <c r="I727" t="s">
        <v>31</v>
      </c>
      <c r="J727">
        <v>302</v>
      </c>
      <c r="K727">
        <v>0</v>
      </c>
      <c r="L727" s="4">
        <v>3.8199999999999998E-2</v>
      </c>
      <c r="M727">
        <v>0.09</v>
      </c>
      <c r="N727" s="4">
        <v>1.1536399999999999E-2</v>
      </c>
      <c r="O727" s="4">
        <v>2.7179999999999999E-2</v>
      </c>
    </row>
    <row r="728" spans="2:15">
      <c r="B728" t="s">
        <v>69</v>
      </c>
      <c r="C728" t="s">
        <v>50</v>
      </c>
      <c r="D728" t="s">
        <v>914</v>
      </c>
      <c r="E728" t="s">
        <v>915</v>
      </c>
      <c r="F728" t="s">
        <v>11</v>
      </c>
      <c r="G728" t="s">
        <v>55</v>
      </c>
      <c r="H728" t="s">
        <v>154</v>
      </c>
      <c r="I728" t="s">
        <v>31</v>
      </c>
      <c r="J728">
        <v>804</v>
      </c>
      <c r="K728">
        <v>0</v>
      </c>
      <c r="L728" s="4">
        <v>3.8199999999999998E-2</v>
      </c>
      <c r="M728">
        <v>0.09</v>
      </c>
      <c r="N728" s="4">
        <v>3.0712799999999998E-2</v>
      </c>
      <c r="O728" s="4">
        <v>7.2359999999999994E-2</v>
      </c>
    </row>
    <row r="729" spans="2:15">
      <c r="B729" t="s">
        <v>69</v>
      </c>
      <c r="C729" t="s">
        <v>50</v>
      </c>
      <c r="D729" t="s">
        <v>914</v>
      </c>
      <c r="E729" t="s">
        <v>915</v>
      </c>
      <c r="F729" t="s">
        <v>11</v>
      </c>
      <c r="G729" t="s">
        <v>55</v>
      </c>
      <c r="H729" t="s">
        <v>154</v>
      </c>
      <c r="I729" t="s">
        <v>31</v>
      </c>
      <c r="J729">
        <v>243</v>
      </c>
      <c r="K729">
        <v>0</v>
      </c>
      <c r="L729" s="4">
        <v>3.8199999999999998E-2</v>
      </c>
      <c r="M729">
        <v>0.09</v>
      </c>
      <c r="N729" s="4">
        <v>9.2825999999999985E-3</v>
      </c>
      <c r="O729" s="4">
        <v>2.1869999999999997E-2</v>
      </c>
    </row>
    <row r="730" spans="2:15">
      <c r="B730" t="s">
        <v>69</v>
      </c>
      <c r="C730" t="s">
        <v>50</v>
      </c>
      <c r="D730" t="s">
        <v>916</v>
      </c>
      <c r="E730" t="s">
        <v>917</v>
      </c>
      <c r="F730" t="s">
        <v>11</v>
      </c>
      <c r="G730" t="s">
        <v>55</v>
      </c>
      <c r="H730" t="s">
        <v>154</v>
      </c>
      <c r="I730" t="s">
        <v>31</v>
      </c>
      <c r="J730">
        <v>811</v>
      </c>
      <c r="K730">
        <v>0</v>
      </c>
      <c r="L730" s="4">
        <v>3.8199999999999998E-2</v>
      </c>
      <c r="M730">
        <v>0.09</v>
      </c>
      <c r="N730" s="4">
        <v>3.0980199999999999E-2</v>
      </c>
      <c r="O730" s="4">
        <v>7.2989999999999999E-2</v>
      </c>
    </row>
    <row r="731" spans="2:15">
      <c r="B731" t="s">
        <v>69</v>
      </c>
      <c r="C731" t="s">
        <v>50</v>
      </c>
      <c r="D731" t="s">
        <v>916</v>
      </c>
      <c r="E731" t="s">
        <v>917</v>
      </c>
      <c r="F731" t="s">
        <v>11</v>
      </c>
      <c r="G731" t="s">
        <v>55</v>
      </c>
      <c r="H731" t="s">
        <v>154</v>
      </c>
      <c r="I731" t="s">
        <v>31</v>
      </c>
      <c r="J731">
        <v>317</v>
      </c>
      <c r="K731">
        <v>0</v>
      </c>
      <c r="L731" s="4">
        <v>3.8199999999999998E-2</v>
      </c>
      <c r="M731">
        <v>0.09</v>
      </c>
      <c r="N731" s="4">
        <v>1.2109399999999999E-2</v>
      </c>
      <c r="O731" s="4">
        <v>2.8529999999999996E-2</v>
      </c>
    </row>
    <row r="732" spans="2:15">
      <c r="B732" t="s">
        <v>69</v>
      </c>
      <c r="C732" t="s">
        <v>50</v>
      </c>
      <c r="D732" t="s">
        <v>918</v>
      </c>
      <c r="E732" t="s">
        <v>919</v>
      </c>
      <c r="F732" t="s">
        <v>11</v>
      </c>
      <c r="G732" t="s">
        <v>55</v>
      </c>
      <c r="H732" t="s">
        <v>154</v>
      </c>
      <c r="I732" t="s">
        <v>31</v>
      </c>
      <c r="J732">
        <v>827</v>
      </c>
      <c r="K732">
        <v>0</v>
      </c>
      <c r="L732" s="4">
        <v>3.8199999999999998E-2</v>
      </c>
      <c r="M732">
        <v>0.09</v>
      </c>
      <c r="N732" s="4">
        <v>3.1591399999999999E-2</v>
      </c>
      <c r="O732" s="4">
        <v>7.4429999999999996E-2</v>
      </c>
    </row>
    <row r="733" spans="2:15">
      <c r="B733" t="s">
        <v>69</v>
      </c>
      <c r="C733" t="s">
        <v>50</v>
      </c>
      <c r="D733" t="s">
        <v>918</v>
      </c>
      <c r="E733" t="s">
        <v>919</v>
      </c>
      <c r="F733" t="s">
        <v>11</v>
      </c>
      <c r="G733" t="s">
        <v>55</v>
      </c>
      <c r="H733" t="s">
        <v>154</v>
      </c>
      <c r="I733" t="s">
        <v>31</v>
      </c>
      <c r="J733">
        <v>274</v>
      </c>
      <c r="K733">
        <v>0</v>
      </c>
      <c r="L733" s="4">
        <v>3.8199999999999998E-2</v>
      </c>
      <c r="M733">
        <v>0.09</v>
      </c>
      <c r="N733" s="4">
        <v>1.04668E-2</v>
      </c>
      <c r="O733" s="4">
        <v>2.4660000000000001E-2</v>
      </c>
    </row>
    <row r="734" spans="2:15">
      <c r="B734" t="s">
        <v>69</v>
      </c>
      <c r="C734" t="s">
        <v>50</v>
      </c>
      <c r="D734" t="s">
        <v>920</v>
      </c>
      <c r="E734" t="s">
        <v>921</v>
      </c>
      <c r="F734" t="s">
        <v>11</v>
      </c>
      <c r="G734" t="s">
        <v>55</v>
      </c>
      <c r="H734" t="s">
        <v>154</v>
      </c>
      <c r="I734" t="s">
        <v>31</v>
      </c>
      <c r="J734">
        <v>881</v>
      </c>
      <c r="K734">
        <v>0</v>
      </c>
      <c r="L734" s="4">
        <v>3.8199999999999998E-2</v>
      </c>
      <c r="M734">
        <v>0.09</v>
      </c>
      <c r="N734" s="4">
        <v>3.3654199999999995E-2</v>
      </c>
      <c r="O734" s="4">
        <v>7.9289999999999985E-2</v>
      </c>
    </row>
    <row r="735" spans="2:15">
      <c r="B735" t="s">
        <v>69</v>
      </c>
      <c r="C735" t="s">
        <v>50</v>
      </c>
      <c r="D735" t="s">
        <v>920</v>
      </c>
      <c r="E735" t="s">
        <v>921</v>
      </c>
      <c r="F735" t="s">
        <v>11</v>
      </c>
      <c r="G735" t="s">
        <v>55</v>
      </c>
      <c r="H735" t="s">
        <v>154</v>
      </c>
      <c r="I735" t="s">
        <v>31</v>
      </c>
      <c r="J735">
        <v>269</v>
      </c>
      <c r="K735">
        <v>0</v>
      </c>
      <c r="L735" s="4">
        <v>3.8199999999999998E-2</v>
      </c>
      <c r="M735">
        <v>0.09</v>
      </c>
      <c r="N735" s="4">
        <v>1.02758E-2</v>
      </c>
      <c r="O735" s="4">
        <v>2.4210000000000002E-2</v>
      </c>
    </row>
    <row r="736" spans="2:15">
      <c r="B736" t="s">
        <v>69</v>
      </c>
      <c r="C736" t="s">
        <v>50</v>
      </c>
      <c r="D736" t="s">
        <v>922</v>
      </c>
      <c r="E736" t="s">
        <v>923</v>
      </c>
      <c r="F736" t="s">
        <v>11</v>
      </c>
      <c r="G736" t="s">
        <v>55</v>
      </c>
      <c r="H736" t="s">
        <v>154</v>
      </c>
      <c r="I736" t="s">
        <v>31</v>
      </c>
      <c r="J736">
        <v>907</v>
      </c>
      <c r="K736">
        <v>0</v>
      </c>
      <c r="L736" s="4">
        <v>3.8199999999999998E-2</v>
      </c>
      <c r="M736">
        <v>0.09</v>
      </c>
      <c r="N736" s="4">
        <v>3.4647399999999995E-2</v>
      </c>
      <c r="O736" s="4">
        <v>8.1629999999999994E-2</v>
      </c>
    </row>
    <row r="737" spans="2:15">
      <c r="B737" t="s">
        <v>69</v>
      </c>
      <c r="C737" t="s">
        <v>50</v>
      </c>
      <c r="D737" t="s">
        <v>922</v>
      </c>
      <c r="E737" t="s">
        <v>923</v>
      </c>
      <c r="F737" t="s">
        <v>11</v>
      </c>
      <c r="G737" t="s">
        <v>55</v>
      </c>
      <c r="H737" t="s">
        <v>154</v>
      </c>
      <c r="I737" t="s">
        <v>31</v>
      </c>
      <c r="J737">
        <v>266</v>
      </c>
      <c r="K737">
        <v>0</v>
      </c>
      <c r="L737" s="4">
        <v>3.8199999999999998E-2</v>
      </c>
      <c r="M737">
        <v>0.09</v>
      </c>
      <c r="N737" s="4">
        <v>1.0161199999999999E-2</v>
      </c>
      <c r="O737" s="4">
        <v>2.3939999999999996E-2</v>
      </c>
    </row>
    <row r="738" spans="2:15">
      <c r="B738" t="s">
        <v>69</v>
      </c>
      <c r="C738" t="s">
        <v>50</v>
      </c>
      <c r="D738" t="s">
        <v>924</v>
      </c>
      <c r="E738" t="s">
        <v>925</v>
      </c>
      <c r="F738" t="s">
        <v>11</v>
      </c>
      <c r="G738" t="s">
        <v>55</v>
      </c>
      <c r="H738" t="s">
        <v>154</v>
      </c>
      <c r="I738" t="s">
        <v>31</v>
      </c>
      <c r="J738">
        <v>403</v>
      </c>
      <c r="K738">
        <v>0</v>
      </c>
      <c r="L738" s="4">
        <v>3.8199999999999998E-2</v>
      </c>
      <c r="M738">
        <v>0.09</v>
      </c>
      <c r="N738" s="4">
        <v>1.5394599999999998E-2</v>
      </c>
      <c r="O738" s="4">
        <v>3.6269999999999997E-2</v>
      </c>
    </row>
    <row r="739" spans="2:15">
      <c r="B739" t="s">
        <v>69</v>
      </c>
      <c r="C739" t="s">
        <v>50</v>
      </c>
      <c r="D739" t="s">
        <v>924</v>
      </c>
      <c r="E739" t="s">
        <v>925</v>
      </c>
      <c r="F739" t="s">
        <v>11</v>
      </c>
      <c r="G739" t="s">
        <v>55</v>
      </c>
      <c r="H739" t="s">
        <v>154</v>
      </c>
      <c r="I739" t="s">
        <v>31</v>
      </c>
      <c r="J739">
        <v>525</v>
      </c>
      <c r="K739">
        <v>0</v>
      </c>
      <c r="L739" s="4">
        <v>3.8199999999999998E-2</v>
      </c>
      <c r="M739">
        <v>0.09</v>
      </c>
      <c r="N739" s="4">
        <v>2.0055E-2</v>
      </c>
      <c r="O739" s="4">
        <v>4.725E-2</v>
      </c>
    </row>
    <row r="740" spans="2:15">
      <c r="B740" t="s">
        <v>69</v>
      </c>
      <c r="C740" t="s">
        <v>50</v>
      </c>
      <c r="D740" t="s">
        <v>926</v>
      </c>
      <c r="E740" t="s">
        <v>927</v>
      </c>
      <c r="F740" t="s">
        <v>11</v>
      </c>
      <c r="G740" t="s">
        <v>55</v>
      </c>
      <c r="H740" t="s">
        <v>154</v>
      </c>
      <c r="I740" t="s">
        <v>31</v>
      </c>
      <c r="J740">
        <v>459</v>
      </c>
      <c r="K740">
        <v>0</v>
      </c>
      <c r="L740" s="4">
        <v>3.8199999999999998E-2</v>
      </c>
      <c r="M740">
        <v>0.09</v>
      </c>
      <c r="N740" s="4">
        <v>1.7533799999999999E-2</v>
      </c>
      <c r="O740" s="4">
        <v>4.1309999999999993E-2</v>
      </c>
    </row>
    <row r="741" spans="2:15">
      <c r="B741" t="s">
        <v>69</v>
      </c>
      <c r="C741" t="s">
        <v>50</v>
      </c>
      <c r="D741" t="s">
        <v>928</v>
      </c>
      <c r="E741" t="s">
        <v>929</v>
      </c>
      <c r="F741" t="s">
        <v>11</v>
      </c>
      <c r="G741" t="s">
        <v>55</v>
      </c>
      <c r="H741" t="s">
        <v>154</v>
      </c>
      <c r="I741" t="s">
        <v>31</v>
      </c>
      <c r="J741">
        <v>410</v>
      </c>
      <c r="K741">
        <v>0</v>
      </c>
      <c r="L741" s="4">
        <v>3.8199999999999998E-2</v>
      </c>
      <c r="M741">
        <v>0.09</v>
      </c>
      <c r="N741" s="4">
        <v>1.5661999999999999E-2</v>
      </c>
      <c r="O741" s="4">
        <v>3.6899999999999995E-2</v>
      </c>
    </row>
    <row r="742" spans="2:15">
      <c r="B742" t="s">
        <v>69</v>
      </c>
      <c r="C742" t="s">
        <v>50</v>
      </c>
      <c r="D742" t="s">
        <v>928</v>
      </c>
      <c r="E742" t="s">
        <v>929</v>
      </c>
      <c r="F742" t="s">
        <v>11</v>
      </c>
      <c r="G742" t="s">
        <v>55</v>
      </c>
      <c r="H742" t="s">
        <v>154</v>
      </c>
      <c r="I742" t="s">
        <v>31</v>
      </c>
      <c r="J742">
        <v>495</v>
      </c>
      <c r="K742">
        <v>0</v>
      </c>
      <c r="L742" s="4">
        <v>3.8199999999999998E-2</v>
      </c>
      <c r="M742">
        <v>0.09</v>
      </c>
      <c r="N742" s="4">
        <v>1.8908999999999999E-2</v>
      </c>
      <c r="O742" s="4">
        <v>4.4549999999999999E-2</v>
      </c>
    </row>
    <row r="743" spans="2:15">
      <c r="B743" t="s">
        <v>69</v>
      </c>
      <c r="C743" t="s">
        <v>50</v>
      </c>
      <c r="D743" t="s">
        <v>930</v>
      </c>
      <c r="E743" t="s">
        <v>931</v>
      </c>
      <c r="F743" t="s">
        <v>11</v>
      </c>
      <c r="G743" t="s">
        <v>55</v>
      </c>
      <c r="H743" t="s">
        <v>154</v>
      </c>
      <c r="I743" t="s">
        <v>31</v>
      </c>
      <c r="J743">
        <v>489</v>
      </c>
      <c r="K743">
        <v>0</v>
      </c>
      <c r="L743" s="4">
        <v>3.8199999999999998E-2</v>
      </c>
      <c r="M743">
        <v>0.09</v>
      </c>
      <c r="N743" s="4">
        <v>1.86798E-2</v>
      </c>
      <c r="O743" s="4">
        <v>4.4010000000000001E-2</v>
      </c>
    </row>
    <row r="744" spans="2:15">
      <c r="B744" t="s">
        <v>69</v>
      </c>
      <c r="C744" t="s">
        <v>50</v>
      </c>
      <c r="D744" t="s">
        <v>930</v>
      </c>
      <c r="E744" t="s">
        <v>931</v>
      </c>
      <c r="F744" t="s">
        <v>11</v>
      </c>
      <c r="G744" t="s">
        <v>55</v>
      </c>
      <c r="H744" t="s">
        <v>154</v>
      </c>
      <c r="I744" t="s">
        <v>31</v>
      </c>
      <c r="J744">
        <v>458</v>
      </c>
      <c r="K744">
        <v>0</v>
      </c>
      <c r="L744" s="4">
        <v>3.8199999999999998E-2</v>
      </c>
      <c r="M744">
        <v>0.09</v>
      </c>
      <c r="N744" s="4">
        <v>1.74956E-2</v>
      </c>
      <c r="O744" s="4">
        <v>4.122E-2</v>
      </c>
    </row>
    <row r="745" spans="2:15">
      <c r="B745" t="s">
        <v>69</v>
      </c>
      <c r="C745" t="s">
        <v>50</v>
      </c>
      <c r="D745" t="s">
        <v>932</v>
      </c>
      <c r="E745" t="s">
        <v>933</v>
      </c>
      <c r="F745" t="s">
        <v>11</v>
      </c>
      <c r="G745" t="s">
        <v>55</v>
      </c>
      <c r="H745" t="s">
        <v>154</v>
      </c>
      <c r="I745" t="s">
        <v>31</v>
      </c>
      <c r="J745">
        <v>54</v>
      </c>
      <c r="K745">
        <v>0</v>
      </c>
      <c r="L745" s="4">
        <v>3.8199999999999998E-2</v>
      </c>
      <c r="M745">
        <v>0.09</v>
      </c>
      <c r="N745" s="4">
        <v>2.0627999999999996E-3</v>
      </c>
      <c r="O745" s="4">
        <v>4.8599999999999997E-3</v>
      </c>
    </row>
    <row r="746" spans="2:15">
      <c r="B746" t="s">
        <v>69</v>
      </c>
      <c r="C746" t="s">
        <v>50</v>
      </c>
      <c r="D746" t="s">
        <v>932</v>
      </c>
      <c r="E746" t="s">
        <v>933</v>
      </c>
      <c r="F746" t="s">
        <v>11</v>
      </c>
      <c r="G746" t="s">
        <v>55</v>
      </c>
      <c r="H746" t="s">
        <v>154</v>
      </c>
      <c r="I746" t="s">
        <v>31</v>
      </c>
      <c r="J746">
        <v>162</v>
      </c>
      <c r="K746">
        <v>0</v>
      </c>
      <c r="L746" s="4">
        <v>3.8199999999999998E-2</v>
      </c>
      <c r="M746">
        <v>0.09</v>
      </c>
      <c r="N746" s="4">
        <v>6.1883999999999993E-3</v>
      </c>
      <c r="O746" s="4">
        <v>1.4579999999999999E-2</v>
      </c>
    </row>
    <row r="747" spans="2:15">
      <c r="B747" t="s">
        <v>69</v>
      </c>
      <c r="C747" t="s">
        <v>50</v>
      </c>
      <c r="D747" t="s">
        <v>934</v>
      </c>
      <c r="E747" t="s">
        <v>935</v>
      </c>
      <c r="F747" t="s">
        <v>11</v>
      </c>
      <c r="G747" t="s">
        <v>55</v>
      </c>
      <c r="H747" t="s">
        <v>154</v>
      </c>
      <c r="I747" t="s">
        <v>31</v>
      </c>
      <c r="J747">
        <v>42</v>
      </c>
      <c r="K747">
        <v>0</v>
      </c>
      <c r="L747" s="4">
        <v>3.8199999999999998E-2</v>
      </c>
      <c r="M747">
        <v>0.09</v>
      </c>
      <c r="N747" s="4">
        <v>1.6043999999999997E-3</v>
      </c>
      <c r="O747" s="4">
        <v>3.7799999999999999E-3</v>
      </c>
    </row>
    <row r="748" spans="2:15">
      <c r="B748" t="s">
        <v>69</v>
      </c>
      <c r="C748" t="s">
        <v>50</v>
      </c>
      <c r="D748" t="s">
        <v>934</v>
      </c>
      <c r="E748" t="s">
        <v>935</v>
      </c>
      <c r="F748" t="s">
        <v>11</v>
      </c>
      <c r="G748" t="s">
        <v>55</v>
      </c>
      <c r="H748" t="s">
        <v>154</v>
      </c>
      <c r="I748" t="s">
        <v>31</v>
      </c>
      <c r="J748">
        <v>166</v>
      </c>
      <c r="K748">
        <v>0</v>
      </c>
      <c r="L748" s="4">
        <v>3.8199999999999998E-2</v>
      </c>
      <c r="M748">
        <v>0.09</v>
      </c>
      <c r="N748" s="4">
        <v>6.3412E-3</v>
      </c>
      <c r="O748" s="4">
        <v>1.494E-2</v>
      </c>
    </row>
    <row r="749" spans="2:15">
      <c r="B749" t="s">
        <v>69</v>
      </c>
      <c r="C749" t="s">
        <v>50</v>
      </c>
      <c r="D749" t="s">
        <v>936</v>
      </c>
      <c r="E749" t="s">
        <v>937</v>
      </c>
      <c r="F749" t="s">
        <v>11</v>
      </c>
      <c r="G749" t="s">
        <v>55</v>
      </c>
      <c r="H749" t="s">
        <v>154</v>
      </c>
      <c r="I749" t="s">
        <v>31</v>
      </c>
      <c r="J749">
        <v>28</v>
      </c>
      <c r="K749">
        <v>0</v>
      </c>
      <c r="L749" s="4">
        <v>3.8199999999999998E-2</v>
      </c>
      <c r="M749">
        <v>0.09</v>
      </c>
      <c r="N749" s="4">
        <v>1.0696E-3</v>
      </c>
      <c r="O749" s="4">
        <v>2.5200000000000001E-3</v>
      </c>
    </row>
    <row r="750" spans="2:15">
      <c r="B750" t="s">
        <v>69</v>
      </c>
      <c r="C750" t="s">
        <v>50</v>
      </c>
      <c r="D750" t="s">
        <v>936</v>
      </c>
      <c r="E750" t="s">
        <v>937</v>
      </c>
      <c r="F750" t="s">
        <v>11</v>
      </c>
      <c r="G750" t="s">
        <v>55</v>
      </c>
      <c r="H750" t="s">
        <v>154</v>
      </c>
      <c r="I750" t="s">
        <v>31</v>
      </c>
      <c r="J750">
        <v>250</v>
      </c>
      <c r="K750">
        <v>1</v>
      </c>
      <c r="L750" s="4">
        <v>3.8199999999999998E-2</v>
      </c>
      <c r="M750">
        <v>0.09</v>
      </c>
      <c r="N750" s="4">
        <v>9.5499999999999995E-3</v>
      </c>
      <c r="O750" s="4">
        <v>2.2499999999999999E-2</v>
      </c>
    </row>
    <row r="751" spans="2:15">
      <c r="B751" t="s">
        <v>69</v>
      </c>
      <c r="C751" t="s">
        <v>50</v>
      </c>
      <c r="D751" t="s">
        <v>938</v>
      </c>
      <c r="E751" t="s">
        <v>939</v>
      </c>
      <c r="F751" t="s">
        <v>11</v>
      </c>
      <c r="G751" t="s">
        <v>55</v>
      </c>
      <c r="H751" t="s">
        <v>154</v>
      </c>
      <c r="I751" t="s">
        <v>31</v>
      </c>
      <c r="J751">
        <v>40</v>
      </c>
      <c r="K751">
        <v>0</v>
      </c>
      <c r="L751" s="4">
        <v>3.8199999999999998E-2</v>
      </c>
      <c r="M751">
        <v>0.09</v>
      </c>
      <c r="N751" s="4">
        <v>1.5280000000000001E-3</v>
      </c>
      <c r="O751" s="4">
        <v>3.5999999999999995E-3</v>
      </c>
    </row>
    <row r="752" spans="2:15">
      <c r="B752" t="s">
        <v>69</v>
      </c>
      <c r="C752" t="s">
        <v>50</v>
      </c>
      <c r="D752" t="s">
        <v>938</v>
      </c>
      <c r="E752" t="s">
        <v>939</v>
      </c>
      <c r="F752" t="s">
        <v>11</v>
      </c>
      <c r="G752" t="s">
        <v>55</v>
      </c>
      <c r="H752" t="s">
        <v>154</v>
      </c>
      <c r="I752" t="s">
        <v>31</v>
      </c>
      <c r="J752">
        <v>185</v>
      </c>
      <c r="K752">
        <v>0</v>
      </c>
      <c r="L752" s="4">
        <v>3.8199999999999998E-2</v>
      </c>
      <c r="M752">
        <v>0.09</v>
      </c>
      <c r="N752" s="4">
        <v>7.0669999999999995E-3</v>
      </c>
      <c r="O752" s="4">
        <v>1.6649999999999998E-2</v>
      </c>
    </row>
    <row r="753" spans="2:15">
      <c r="B753" t="s">
        <v>69</v>
      </c>
      <c r="C753" t="s">
        <v>50</v>
      </c>
      <c r="D753" t="s">
        <v>940</v>
      </c>
      <c r="E753" t="s">
        <v>941</v>
      </c>
      <c r="F753" t="s">
        <v>11</v>
      </c>
      <c r="G753" t="s">
        <v>55</v>
      </c>
      <c r="H753" t="s">
        <v>154</v>
      </c>
      <c r="I753" t="s">
        <v>31</v>
      </c>
      <c r="J753">
        <v>40</v>
      </c>
      <c r="K753">
        <v>0</v>
      </c>
      <c r="L753" s="4">
        <v>3.8199999999999998E-2</v>
      </c>
      <c r="M753">
        <v>0.09</v>
      </c>
      <c r="N753" s="4">
        <v>1.5280000000000001E-3</v>
      </c>
      <c r="O753" s="4">
        <v>3.5999999999999995E-3</v>
      </c>
    </row>
    <row r="754" spans="2:15">
      <c r="B754" t="s">
        <v>69</v>
      </c>
      <c r="C754" t="s">
        <v>50</v>
      </c>
      <c r="D754" t="s">
        <v>940</v>
      </c>
      <c r="E754" t="s">
        <v>941</v>
      </c>
      <c r="F754" t="s">
        <v>11</v>
      </c>
      <c r="G754" t="s">
        <v>55</v>
      </c>
      <c r="H754" t="s">
        <v>154</v>
      </c>
      <c r="I754" t="s">
        <v>31</v>
      </c>
      <c r="J754">
        <v>402</v>
      </c>
      <c r="K754">
        <v>0</v>
      </c>
      <c r="L754" s="4">
        <v>3.8199999999999998E-2</v>
      </c>
      <c r="M754">
        <v>0.09</v>
      </c>
      <c r="N754" s="4">
        <v>1.5356399999999999E-2</v>
      </c>
      <c r="O754" s="4">
        <v>3.6179999999999997E-2</v>
      </c>
    </row>
    <row r="755" spans="2:15">
      <c r="B755" t="s">
        <v>69</v>
      </c>
      <c r="C755" t="s">
        <v>50</v>
      </c>
      <c r="D755" t="s">
        <v>942</v>
      </c>
      <c r="E755" t="s">
        <v>943</v>
      </c>
      <c r="F755" t="s">
        <v>11</v>
      </c>
      <c r="G755" t="s">
        <v>55</v>
      </c>
      <c r="H755" t="s">
        <v>154</v>
      </c>
      <c r="I755" t="s">
        <v>31</v>
      </c>
      <c r="J755">
        <v>33</v>
      </c>
      <c r="K755">
        <v>0</v>
      </c>
      <c r="L755" s="4">
        <v>3.8199999999999998E-2</v>
      </c>
      <c r="M755">
        <v>0.09</v>
      </c>
      <c r="N755" s="4">
        <v>1.2606E-3</v>
      </c>
      <c r="O755" s="4">
        <v>2.9699999999999996E-3</v>
      </c>
    </row>
    <row r="756" spans="2:15">
      <c r="B756" t="s">
        <v>69</v>
      </c>
      <c r="C756" t="s">
        <v>50</v>
      </c>
      <c r="D756" t="s">
        <v>942</v>
      </c>
      <c r="E756" t="s">
        <v>943</v>
      </c>
      <c r="F756" t="s">
        <v>11</v>
      </c>
      <c r="G756" t="s">
        <v>55</v>
      </c>
      <c r="H756" t="s">
        <v>154</v>
      </c>
      <c r="I756" t="s">
        <v>31</v>
      </c>
      <c r="J756">
        <v>141</v>
      </c>
      <c r="K756">
        <v>0</v>
      </c>
      <c r="L756" s="4">
        <v>3.8199999999999998E-2</v>
      </c>
      <c r="M756">
        <v>0.09</v>
      </c>
      <c r="N756" s="4">
        <v>5.3861999999999998E-3</v>
      </c>
      <c r="O756" s="4">
        <v>1.269E-2</v>
      </c>
    </row>
    <row r="757" spans="2:15">
      <c r="B757" t="s">
        <v>69</v>
      </c>
      <c r="C757" t="s">
        <v>50</v>
      </c>
      <c r="D757" t="s">
        <v>944</v>
      </c>
      <c r="E757" t="s">
        <v>945</v>
      </c>
      <c r="F757" t="s">
        <v>11</v>
      </c>
      <c r="G757" t="s">
        <v>55</v>
      </c>
      <c r="H757" t="s">
        <v>154</v>
      </c>
      <c r="I757" t="s">
        <v>31</v>
      </c>
      <c r="J757">
        <v>29</v>
      </c>
      <c r="K757">
        <v>0</v>
      </c>
      <c r="L757" s="4">
        <v>3.8199999999999998E-2</v>
      </c>
      <c r="M757">
        <v>0.09</v>
      </c>
      <c r="N757" s="4">
        <v>1.1077999999999999E-3</v>
      </c>
      <c r="O757" s="4">
        <v>2.6099999999999999E-3</v>
      </c>
    </row>
    <row r="758" spans="2:15">
      <c r="B758" t="s">
        <v>69</v>
      </c>
      <c r="C758" t="s">
        <v>50</v>
      </c>
      <c r="D758" t="s">
        <v>944</v>
      </c>
      <c r="E758" t="s">
        <v>945</v>
      </c>
      <c r="F758" t="s">
        <v>11</v>
      </c>
      <c r="G758" t="s">
        <v>55</v>
      </c>
      <c r="H758" t="s">
        <v>154</v>
      </c>
      <c r="I758" t="s">
        <v>31</v>
      </c>
      <c r="J758">
        <v>171</v>
      </c>
      <c r="K758">
        <v>0</v>
      </c>
      <c r="L758" s="4">
        <v>3.8199999999999998E-2</v>
      </c>
      <c r="M758">
        <v>0.09</v>
      </c>
      <c r="N758" s="4">
        <v>6.5321999999999993E-3</v>
      </c>
      <c r="O758" s="4">
        <v>1.5389999999999999E-2</v>
      </c>
    </row>
    <row r="759" spans="2:15">
      <c r="B759" t="s">
        <v>69</v>
      </c>
      <c r="C759" t="s">
        <v>50</v>
      </c>
      <c r="D759" t="s">
        <v>946</v>
      </c>
      <c r="E759" t="s">
        <v>947</v>
      </c>
      <c r="F759" t="s">
        <v>11</v>
      </c>
      <c r="G759" t="s">
        <v>55</v>
      </c>
      <c r="H759" t="s">
        <v>154</v>
      </c>
      <c r="I759" t="s">
        <v>31</v>
      </c>
      <c r="J759">
        <v>28</v>
      </c>
      <c r="K759">
        <v>0</v>
      </c>
      <c r="L759" s="4">
        <v>3.8199999999999998E-2</v>
      </c>
      <c r="M759">
        <v>0.09</v>
      </c>
      <c r="N759" s="4">
        <v>1.0696E-3</v>
      </c>
      <c r="O759" s="4">
        <v>2.5200000000000001E-3</v>
      </c>
    </row>
    <row r="760" spans="2:15">
      <c r="B760" t="s">
        <v>69</v>
      </c>
      <c r="C760" t="s">
        <v>50</v>
      </c>
      <c r="D760" t="s">
        <v>946</v>
      </c>
      <c r="E760" t="s">
        <v>947</v>
      </c>
      <c r="F760" t="s">
        <v>11</v>
      </c>
      <c r="G760" t="s">
        <v>55</v>
      </c>
      <c r="H760" t="s">
        <v>154</v>
      </c>
      <c r="I760" t="s">
        <v>31</v>
      </c>
      <c r="J760">
        <v>200</v>
      </c>
      <c r="K760">
        <v>0</v>
      </c>
      <c r="L760" s="4">
        <v>3.8199999999999998E-2</v>
      </c>
      <c r="M760">
        <v>0.09</v>
      </c>
      <c r="N760" s="4">
        <v>7.6400000000000001E-3</v>
      </c>
      <c r="O760" s="4">
        <v>1.7999999999999999E-2</v>
      </c>
    </row>
    <row r="761" spans="2:15">
      <c r="B761" t="s">
        <v>69</v>
      </c>
      <c r="C761" t="s">
        <v>50</v>
      </c>
      <c r="D761" t="s">
        <v>948</v>
      </c>
      <c r="E761" t="s">
        <v>949</v>
      </c>
      <c r="F761" t="s">
        <v>11</v>
      </c>
      <c r="G761" t="s">
        <v>55</v>
      </c>
      <c r="H761" t="s">
        <v>154</v>
      </c>
      <c r="I761" t="s">
        <v>31</v>
      </c>
      <c r="J761">
        <v>28</v>
      </c>
      <c r="K761">
        <v>0</v>
      </c>
      <c r="L761" s="4">
        <v>3.8199999999999998E-2</v>
      </c>
      <c r="M761">
        <v>0.09</v>
      </c>
      <c r="N761" s="4">
        <v>1.0696E-3</v>
      </c>
      <c r="O761" s="4">
        <v>2.5200000000000001E-3</v>
      </c>
    </row>
    <row r="762" spans="2:15">
      <c r="B762" t="s">
        <v>69</v>
      </c>
      <c r="C762" t="s">
        <v>50</v>
      </c>
      <c r="D762" t="s">
        <v>948</v>
      </c>
      <c r="E762" t="s">
        <v>949</v>
      </c>
      <c r="F762" t="s">
        <v>11</v>
      </c>
      <c r="G762" t="s">
        <v>55</v>
      </c>
      <c r="H762" t="s">
        <v>154</v>
      </c>
      <c r="I762" t="s">
        <v>31</v>
      </c>
      <c r="J762">
        <v>162</v>
      </c>
      <c r="K762">
        <v>0</v>
      </c>
      <c r="L762" s="4">
        <v>3.8199999999999998E-2</v>
      </c>
      <c r="M762">
        <v>0.09</v>
      </c>
      <c r="N762" s="4">
        <v>6.1883999999999993E-3</v>
      </c>
      <c r="O762" s="4">
        <v>1.4579999999999999E-2</v>
      </c>
    </row>
    <row r="763" spans="2:15">
      <c r="B763" t="s">
        <v>69</v>
      </c>
      <c r="C763" t="s">
        <v>50</v>
      </c>
      <c r="D763" t="s">
        <v>950</v>
      </c>
      <c r="E763" t="s">
        <v>951</v>
      </c>
      <c r="F763" t="s">
        <v>11</v>
      </c>
      <c r="G763" t="s">
        <v>55</v>
      </c>
      <c r="H763" t="s">
        <v>154</v>
      </c>
      <c r="I763" t="s">
        <v>31</v>
      </c>
      <c r="J763">
        <v>22</v>
      </c>
      <c r="K763">
        <v>0</v>
      </c>
      <c r="L763" s="4">
        <v>3.8199999999999998E-2</v>
      </c>
      <c r="M763">
        <v>0.09</v>
      </c>
      <c r="N763" s="4">
        <v>8.4039999999999994E-4</v>
      </c>
      <c r="O763" s="4">
        <v>1.98E-3</v>
      </c>
    </row>
    <row r="764" spans="2:15">
      <c r="B764" t="s">
        <v>69</v>
      </c>
      <c r="C764" t="s">
        <v>50</v>
      </c>
      <c r="D764" t="s">
        <v>950</v>
      </c>
      <c r="E764" t="s">
        <v>951</v>
      </c>
      <c r="F764" t="s">
        <v>11</v>
      </c>
      <c r="G764" t="s">
        <v>55</v>
      </c>
      <c r="H764" t="s">
        <v>154</v>
      </c>
      <c r="I764" t="s">
        <v>31</v>
      </c>
      <c r="J764">
        <v>182</v>
      </c>
      <c r="K764">
        <v>0</v>
      </c>
      <c r="L764" s="4">
        <v>3.8199999999999998E-2</v>
      </c>
      <c r="M764">
        <v>0.09</v>
      </c>
      <c r="N764" s="4">
        <v>6.9524000000000001E-3</v>
      </c>
      <c r="O764" s="4">
        <v>1.6379999999999999E-2</v>
      </c>
    </row>
    <row r="765" spans="2:15">
      <c r="B765" t="s">
        <v>69</v>
      </c>
      <c r="C765" t="s">
        <v>50</v>
      </c>
      <c r="D765" t="s">
        <v>952</v>
      </c>
      <c r="E765" t="s">
        <v>953</v>
      </c>
      <c r="F765" t="s">
        <v>11</v>
      </c>
      <c r="G765" t="s">
        <v>55</v>
      </c>
      <c r="H765" t="s">
        <v>154</v>
      </c>
      <c r="I765" t="s">
        <v>31</v>
      </c>
      <c r="J765">
        <v>19</v>
      </c>
      <c r="K765">
        <v>0</v>
      </c>
      <c r="L765" s="4">
        <v>3.8199999999999998E-2</v>
      </c>
      <c r="M765">
        <v>0.09</v>
      </c>
      <c r="N765" s="4">
        <v>7.2579999999999997E-4</v>
      </c>
      <c r="O765" s="4">
        <v>1.7099999999999999E-3</v>
      </c>
    </row>
    <row r="766" spans="2:15">
      <c r="B766" t="s">
        <v>69</v>
      </c>
      <c r="C766" t="s">
        <v>50</v>
      </c>
      <c r="D766" t="s">
        <v>952</v>
      </c>
      <c r="E766" t="s">
        <v>953</v>
      </c>
      <c r="F766" t="s">
        <v>11</v>
      </c>
      <c r="G766" t="s">
        <v>55</v>
      </c>
      <c r="H766" t="s">
        <v>154</v>
      </c>
      <c r="I766" t="s">
        <v>31</v>
      </c>
      <c r="J766">
        <v>138</v>
      </c>
      <c r="K766">
        <v>1</v>
      </c>
      <c r="L766" s="4">
        <v>3.8199999999999998E-2</v>
      </c>
      <c r="M766">
        <v>0.09</v>
      </c>
      <c r="N766" s="4">
        <v>5.2715999999999996E-3</v>
      </c>
      <c r="O766" s="4">
        <v>1.242E-2</v>
      </c>
    </row>
    <row r="767" spans="2:15">
      <c r="B767" t="s">
        <v>69</v>
      </c>
      <c r="C767" t="s">
        <v>50</v>
      </c>
      <c r="D767" t="s">
        <v>954</v>
      </c>
      <c r="E767" t="s">
        <v>955</v>
      </c>
      <c r="F767" t="s">
        <v>11</v>
      </c>
      <c r="G767" t="s">
        <v>55</v>
      </c>
      <c r="H767" t="s">
        <v>154</v>
      </c>
      <c r="I767" t="s">
        <v>31</v>
      </c>
      <c r="J767">
        <v>23</v>
      </c>
      <c r="K767">
        <v>0</v>
      </c>
      <c r="L767" s="4">
        <v>3.8199999999999998E-2</v>
      </c>
      <c r="M767">
        <v>0.09</v>
      </c>
      <c r="N767" s="4">
        <v>8.7859999999999989E-4</v>
      </c>
      <c r="O767" s="4">
        <v>2.0699999999999998E-3</v>
      </c>
    </row>
    <row r="768" spans="2:15">
      <c r="B768" t="s">
        <v>69</v>
      </c>
      <c r="C768" t="s">
        <v>50</v>
      </c>
      <c r="D768" t="s">
        <v>954</v>
      </c>
      <c r="E768" t="s">
        <v>955</v>
      </c>
      <c r="F768" t="s">
        <v>11</v>
      </c>
      <c r="G768" t="s">
        <v>55</v>
      </c>
      <c r="H768" t="s">
        <v>154</v>
      </c>
      <c r="I768" t="s">
        <v>31</v>
      </c>
      <c r="J768">
        <v>178</v>
      </c>
      <c r="K768">
        <v>0</v>
      </c>
      <c r="L768" s="4">
        <v>3.8199999999999998E-2</v>
      </c>
      <c r="M768">
        <v>0.09</v>
      </c>
      <c r="N768" s="4">
        <v>6.7996000000000003E-3</v>
      </c>
      <c r="O768" s="4">
        <v>1.602E-2</v>
      </c>
    </row>
    <row r="769" spans="2:15">
      <c r="B769" t="s">
        <v>69</v>
      </c>
      <c r="C769" t="s">
        <v>50</v>
      </c>
      <c r="D769" t="s">
        <v>956</v>
      </c>
      <c r="E769" t="s">
        <v>957</v>
      </c>
      <c r="F769" t="s">
        <v>11</v>
      </c>
      <c r="G769" t="s">
        <v>55</v>
      </c>
      <c r="H769" t="s">
        <v>154</v>
      </c>
      <c r="I769" t="s">
        <v>31</v>
      </c>
      <c r="J769">
        <v>24</v>
      </c>
      <c r="K769">
        <v>0</v>
      </c>
      <c r="L769" s="4">
        <v>3.8199999999999998E-2</v>
      </c>
      <c r="M769">
        <v>0.09</v>
      </c>
      <c r="N769" s="4">
        <v>9.1679999999999995E-4</v>
      </c>
      <c r="O769" s="4">
        <v>2.16E-3</v>
      </c>
    </row>
    <row r="770" spans="2:15">
      <c r="B770" t="s">
        <v>69</v>
      </c>
      <c r="C770" t="s">
        <v>50</v>
      </c>
      <c r="D770" t="s">
        <v>956</v>
      </c>
      <c r="E770" t="s">
        <v>957</v>
      </c>
      <c r="F770" t="s">
        <v>11</v>
      </c>
      <c r="G770" t="s">
        <v>55</v>
      </c>
      <c r="H770" t="s">
        <v>154</v>
      </c>
      <c r="I770" t="s">
        <v>31</v>
      </c>
      <c r="J770">
        <v>181</v>
      </c>
      <c r="K770">
        <v>0</v>
      </c>
      <c r="L770" s="4">
        <v>3.8199999999999998E-2</v>
      </c>
      <c r="M770">
        <v>0.09</v>
      </c>
      <c r="N770" s="4">
        <v>6.9141999999999988E-3</v>
      </c>
      <c r="O770" s="4">
        <v>1.6289999999999999E-2</v>
      </c>
    </row>
    <row r="771" spans="2:15">
      <c r="B771" t="s">
        <v>69</v>
      </c>
      <c r="C771" t="s">
        <v>50</v>
      </c>
      <c r="D771" t="s">
        <v>958</v>
      </c>
      <c r="E771" t="s">
        <v>959</v>
      </c>
      <c r="F771" t="s">
        <v>11</v>
      </c>
      <c r="G771" t="s">
        <v>55</v>
      </c>
      <c r="H771" t="s">
        <v>154</v>
      </c>
      <c r="I771" t="s">
        <v>31</v>
      </c>
      <c r="J771">
        <v>33</v>
      </c>
      <c r="K771">
        <v>0</v>
      </c>
      <c r="L771" s="4">
        <v>3.8199999999999998E-2</v>
      </c>
      <c r="M771">
        <v>0.09</v>
      </c>
      <c r="N771" s="4">
        <v>1.2606E-3</v>
      </c>
      <c r="O771" s="4">
        <v>2.9699999999999996E-3</v>
      </c>
    </row>
    <row r="772" spans="2:15">
      <c r="B772" t="s">
        <v>69</v>
      </c>
      <c r="C772" t="s">
        <v>50</v>
      </c>
      <c r="D772" t="s">
        <v>958</v>
      </c>
      <c r="E772" t="s">
        <v>959</v>
      </c>
      <c r="F772" t="s">
        <v>11</v>
      </c>
      <c r="G772" t="s">
        <v>55</v>
      </c>
      <c r="H772" t="s">
        <v>154</v>
      </c>
      <c r="I772" t="s">
        <v>31</v>
      </c>
      <c r="J772">
        <v>137</v>
      </c>
      <c r="K772">
        <v>0</v>
      </c>
      <c r="L772" s="4">
        <v>3.8199999999999998E-2</v>
      </c>
      <c r="M772">
        <v>0.09</v>
      </c>
      <c r="N772" s="4">
        <v>5.2334E-3</v>
      </c>
      <c r="O772" s="4">
        <v>1.2330000000000001E-2</v>
      </c>
    </row>
    <row r="773" spans="2:15">
      <c r="B773" t="s">
        <v>69</v>
      </c>
      <c r="C773" t="s">
        <v>50</v>
      </c>
      <c r="D773" t="s">
        <v>960</v>
      </c>
      <c r="E773" t="s">
        <v>961</v>
      </c>
      <c r="F773" t="s">
        <v>11</v>
      </c>
      <c r="G773" t="s">
        <v>55</v>
      </c>
      <c r="H773" t="s">
        <v>154</v>
      </c>
      <c r="I773" t="s">
        <v>31</v>
      </c>
      <c r="J773">
        <v>29</v>
      </c>
      <c r="K773">
        <v>0</v>
      </c>
      <c r="L773" s="4">
        <v>3.8199999999999998E-2</v>
      </c>
      <c r="M773">
        <v>0.09</v>
      </c>
      <c r="N773" s="4">
        <v>1.1077999999999999E-3</v>
      </c>
      <c r="O773" s="4">
        <v>2.6099999999999999E-3</v>
      </c>
    </row>
    <row r="774" spans="2:15">
      <c r="B774" t="s">
        <v>69</v>
      </c>
      <c r="C774" t="s">
        <v>50</v>
      </c>
      <c r="D774" t="s">
        <v>960</v>
      </c>
      <c r="E774" t="s">
        <v>961</v>
      </c>
      <c r="F774" t="s">
        <v>11</v>
      </c>
      <c r="G774" t="s">
        <v>55</v>
      </c>
      <c r="H774" t="s">
        <v>154</v>
      </c>
      <c r="I774" t="s">
        <v>31</v>
      </c>
      <c r="J774">
        <v>171</v>
      </c>
      <c r="K774">
        <v>0</v>
      </c>
      <c r="L774" s="4">
        <v>3.8199999999999998E-2</v>
      </c>
      <c r="M774">
        <v>0.09</v>
      </c>
      <c r="N774" s="4">
        <v>6.5321999999999993E-3</v>
      </c>
      <c r="O774" s="4">
        <v>1.5389999999999999E-2</v>
      </c>
    </row>
    <row r="775" spans="2:15">
      <c r="B775" t="s">
        <v>69</v>
      </c>
      <c r="C775" t="s">
        <v>50</v>
      </c>
      <c r="D775" t="s">
        <v>962</v>
      </c>
      <c r="E775" t="s">
        <v>963</v>
      </c>
      <c r="F775" t="s">
        <v>11</v>
      </c>
      <c r="G775" t="s">
        <v>55</v>
      </c>
      <c r="H775" t="s">
        <v>154</v>
      </c>
      <c r="I775" t="s">
        <v>31</v>
      </c>
      <c r="J775">
        <v>39</v>
      </c>
      <c r="K775">
        <v>0</v>
      </c>
      <c r="L775" s="4">
        <v>3.8199999999999998E-2</v>
      </c>
      <c r="M775">
        <v>0.09</v>
      </c>
      <c r="N775" s="4">
        <v>1.4898000000000001E-3</v>
      </c>
      <c r="O775" s="4">
        <v>3.5099999999999997E-3</v>
      </c>
    </row>
    <row r="776" spans="2:15">
      <c r="B776" t="s">
        <v>69</v>
      </c>
      <c r="C776" t="s">
        <v>50</v>
      </c>
      <c r="D776" t="s">
        <v>962</v>
      </c>
      <c r="E776" t="s">
        <v>963</v>
      </c>
      <c r="F776" t="s">
        <v>11</v>
      </c>
      <c r="G776" t="s">
        <v>55</v>
      </c>
      <c r="H776" t="s">
        <v>154</v>
      </c>
      <c r="I776" t="s">
        <v>31</v>
      </c>
      <c r="J776">
        <v>171</v>
      </c>
      <c r="K776">
        <v>0</v>
      </c>
      <c r="L776" s="4">
        <v>3.8199999999999998E-2</v>
      </c>
      <c r="M776">
        <v>0.09</v>
      </c>
      <c r="N776" s="4">
        <v>6.5321999999999993E-3</v>
      </c>
      <c r="O776" s="4">
        <v>1.5389999999999999E-2</v>
      </c>
    </row>
    <row r="777" spans="2:15">
      <c r="B777" t="s">
        <v>69</v>
      </c>
      <c r="C777" t="s">
        <v>50</v>
      </c>
      <c r="D777" t="s">
        <v>964</v>
      </c>
      <c r="E777" t="s">
        <v>965</v>
      </c>
      <c r="F777" t="s">
        <v>11</v>
      </c>
      <c r="G777" t="s">
        <v>58</v>
      </c>
      <c r="H777" t="s">
        <v>177</v>
      </c>
      <c r="I777" t="s">
        <v>31</v>
      </c>
      <c r="J777">
        <v>4774</v>
      </c>
      <c r="K777">
        <v>7</v>
      </c>
      <c r="L777" s="4">
        <v>3.8199999999999998E-2</v>
      </c>
      <c r="M777">
        <v>0.09</v>
      </c>
      <c r="N777" s="4">
        <v>0.1823668</v>
      </c>
      <c r="O777" s="4">
        <v>0.42965999999999999</v>
      </c>
    </row>
    <row r="778" spans="2:15">
      <c r="B778" t="s">
        <v>69</v>
      </c>
      <c r="C778" t="s">
        <v>50</v>
      </c>
      <c r="D778" t="s">
        <v>964</v>
      </c>
      <c r="E778" t="s">
        <v>965</v>
      </c>
      <c r="F778" t="s">
        <v>11</v>
      </c>
      <c r="G778" t="s">
        <v>58</v>
      </c>
      <c r="H778" t="s">
        <v>177</v>
      </c>
      <c r="I778" t="s">
        <v>31</v>
      </c>
      <c r="J778">
        <v>654</v>
      </c>
      <c r="K778">
        <v>46</v>
      </c>
      <c r="L778" s="4">
        <v>3.8199999999999998E-2</v>
      </c>
      <c r="M778">
        <v>0.09</v>
      </c>
      <c r="N778" s="4">
        <v>2.4982799999999996E-2</v>
      </c>
      <c r="O778" s="4">
        <v>5.8860000000000003E-2</v>
      </c>
    </row>
    <row r="779" spans="2:15">
      <c r="B779" t="s">
        <v>69</v>
      </c>
      <c r="C779" t="s">
        <v>50</v>
      </c>
      <c r="D779" t="s">
        <v>966</v>
      </c>
      <c r="E779" t="s">
        <v>967</v>
      </c>
      <c r="F779" t="s">
        <v>11</v>
      </c>
      <c r="G779" t="s">
        <v>58</v>
      </c>
      <c r="H779" t="s">
        <v>177</v>
      </c>
      <c r="I779" t="s">
        <v>31</v>
      </c>
      <c r="J779">
        <v>5415</v>
      </c>
      <c r="K779">
        <v>5</v>
      </c>
      <c r="L779" s="4">
        <v>3.8199999999999998E-2</v>
      </c>
      <c r="M779">
        <v>0.09</v>
      </c>
      <c r="N779" s="4">
        <v>0.20685299999999998</v>
      </c>
      <c r="O779" s="4">
        <v>0.48734999999999995</v>
      </c>
    </row>
    <row r="780" spans="2:15">
      <c r="B780" t="s">
        <v>69</v>
      </c>
      <c r="C780" t="s">
        <v>50</v>
      </c>
      <c r="D780" t="s">
        <v>966</v>
      </c>
      <c r="E780" t="s">
        <v>967</v>
      </c>
      <c r="F780" t="s">
        <v>11</v>
      </c>
      <c r="G780" t="s">
        <v>58</v>
      </c>
      <c r="H780" t="s">
        <v>177</v>
      </c>
      <c r="I780" t="s">
        <v>31</v>
      </c>
      <c r="J780">
        <v>535</v>
      </c>
      <c r="K780">
        <v>39</v>
      </c>
      <c r="L780" s="4">
        <v>3.8199999999999998E-2</v>
      </c>
      <c r="M780">
        <v>0.09</v>
      </c>
      <c r="N780" s="4">
        <v>2.0436999999999997E-2</v>
      </c>
      <c r="O780" s="4">
        <v>4.8149999999999998E-2</v>
      </c>
    </row>
    <row r="781" spans="2:15">
      <c r="B781" t="s">
        <v>69</v>
      </c>
      <c r="C781" t="s">
        <v>50</v>
      </c>
      <c r="D781" t="s">
        <v>968</v>
      </c>
      <c r="E781" t="s">
        <v>969</v>
      </c>
      <c r="F781" t="s">
        <v>11</v>
      </c>
      <c r="G781" t="s">
        <v>58</v>
      </c>
      <c r="H781" t="s">
        <v>177</v>
      </c>
      <c r="I781" t="s">
        <v>31</v>
      </c>
      <c r="J781">
        <v>4872</v>
      </c>
      <c r="K781">
        <v>7</v>
      </c>
      <c r="L781" s="4">
        <v>3.8199999999999998E-2</v>
      </c>
      <c r="M781">
        <v>0.09</v>
      </c>
      <c r="N781" s="4">
        <v>0.18611040000000001</v>
      </c>
      <c r="O781" s="4">
        <v>0.43847999999999998</v>
      </c>
    </row>
    <row r="782" spans="2:15">
      <c r="B782" t="s">
        <v>69</v>
      </c>
      <c r="C782" t="s">
        <v>50</v>
      </c>
      <c r="D782" t="s">
        <v>968</v>
      </c>
      <c r="E782" t="s">
        <v>969</v>
      </c>
      <c r="F782" t="s">
        <v>11</v>
      </c>
      <c r="G782" t="s">
        <v>58</v>
      </c>
      <c r="H782" t="s">
        <v>177</v>
      </c>
      <c r="I782" t="s">
        <v>31</v>
      </c>
      <c r="J782">
        <v>1304</v>
      </c>
      <c r="K782">
        <v>98</v>
      </c>
      <c r="L782" s="4">
        <v>3.8199999999999998E-2</v>
      </c>
      <c r="M782">
        <v>0.09</v>
      </c>
      <c r="N782" s="4">
        <v>4.9812799999999997E-2</v>
      </c>
      <c r="O782" s="4">
        <v>0.11736000000000001</v>
      </c>
    </row>
    <row r="783" spans="2:15">
      <c r="B783" t="s">
        <v>69</v>
      </c>
      <c r="C783" t="s">
        <v>50</v>
      </c>
      <c r="D783" t="s">
        <v>970</v>
      </c>
      <c r="E783" t="s">
        <v>971</v>
      </c>
      <c r="F783" t="s">
        <v>11</v>
      </c>
      <c r="G783" t="s">
        <v>58</v>
      </c>
      <c r="H783" t="s">
        <v>177</v>
      </c>
      <c r="I783" t="s">
        <v>31</v>
      </c>
      <c r="J783">
        <v>5056</v>
      </c>
      <c r="K783">
        <v>3</v>
      </c>
      <c r="L783" s="4">
        <v>3.8199999999999998E-2</v>
      </c>
      <c r="M783">
        <v>0.09</v>
      </c>
      <c r="N783" s="4">
        <v>0.19313919999999998</v>
      </c>
      <c r="O783" s="4">
        <v>0.45503999999999994</v>
      </c>
    </row>
    <row r="784" spans="2:15">
      <c r="B784" t="s">
        <v>69</v>
      </c>
      <c r="C784" t="s">
        <v>50</v>
      </c>
      <c r="D784" t="s">
        <v>970</v>
      </c>
      <c r="E784" t="s">
        <v>971</v>
      </c>
      <c r="F784" t="s">
        <v>11</v>
      </c>
      <c r="G784" t="s">
        <v>58</v>
      </c>
      <c r="H784" t="s">
        <v>177</v>
      </c>
      <c r="I784" t="s">
        <v>31</v>
      </c>
      <c r="J784">
        <v>707</v>
      </c>
      <c r="K784">
        <v>43</v>
      </c>
      <c r="L784" s="4">
        <v>3.8199999999999998E-2</v>
      </c>
      <c r="M784">
        <v>0.09</v>
      </c>
      <c r="N784" s="4">
        <v>2.7007399999999997E-2</v>
      </c>
      <c r="O784" s="4">
        <v>6.3629999999999992E-2</v>
      </c>
    </row>
    <row r="785" spans="2:15">
      <c r="B785" t="s">
        <v>69</v>
      </c>
      <c r="C785" t="s">
        <v>50</v>
      </c>
      <c r="D785" t="s">
        <v>972</v>
      </c>
      <c r="E785" t="s">
        <v>973</v>
      </c>
      <c r="F785" t="s">
        <v>11</v>
      </c>
      <c r="G785" t="s">
        <v>58</v>
      </c>
      <c r="H785" t="s">
        <v>177</v>
      </c>
      <c r="I785" t="s">
        <v>31</v>
      </c>
      <c r="J785">
        <v>7890</v>
      </c>
      <c r="K785">
        <v>14</v>
      </c>
      <c r="L785" s="4">
        <v>3.8199999999999998E-2</v>
      </c>
      <c r="M785">
        <v>0.09</v>
      </c>
      <c r="N785" s="4">
        <v>0.30139799999999994</v>
      </c>
      <c r="O785" s="4">
        <v>0.71010000000000006</v>
      </c>
    </row>
    <row r="786" spans="2:15">
      <c r="B786" t="s">
        <v>69</v>
      </c>
      <c r="C786" t="s">
        <v>50</v>
      </c>
      <c r="D786" t="s">
        <v>972</v>
      </c>
      <c r="E786" t="s">
        <v>973</v>
      </c>
      <c r="F786" t="s">
        <v>11</v>
      </c>
      <c r="G786" t="s">
        <v>58</v>
      </c>
      <c r="H786" t="s">
        <v>177</v>
      </c>
      <c r="I786" t="s">
        <v>31</v>
      </c>
      <c r="J786">
        <v>1410</v>
      </c>
      <c r="K786">
        <v>118</v>
      </c>
      <c r="L786" s="4">
        <v>3.8199999999999998E-2</v>
      </c>
      <c r="M786">
        <v>0.09</v>
      </c>
      <c r="N786" s="4">
        <v>5.3861999999999993E-2</v>
      </c>
      <c r="O786" s="4">
        <v>0.12689999999999999</v>
      </c>
    </row>
    <row r="787" spans="2:15">
      <c r="B787" t="s">
        <v>69</v>
      </c>
      <c r="C787" t="s">
        <v>50</v>
      </c>
      <c r="D787" t="s">
        <v>974</v>
      </c>
      <c r="E787" t="s">
        <v>975</v>
      </c>
      <c r="F787" t="s">
        <v>11</v>
      </c>
      <c r="G787" t="s">
        <v>58</v>
      </c>
      <c r="H787" t="s">
        <v>177</v>
      </c>
      <c r="I787" t="s">
        <v>31</v>
      </c>
      <c r="J787">
        <v>8616</v>
      </c>
      <c r="K787">
        <v>3</v>
      </c>
      <c r="L787" s="4">
        <v>3.8199999999999998E-2</v>
      </c>
      <c r="M787">
        <v>0.09</v>
      </c>
      <c r="N787" s="4">
        <v>0.32913119999999996</v>
      </c>
      <c r="O787" s="4">
        <v>0.77543999999999991</v>
      </c>
    </row>
    <row r="788" spans="2:15">
      <c r="B788" t="s">
        <v>69</v>
      </c>
      <c r="C788" t="s">
        <v>50</v>
      </c>
      <c r="D788" t="s">
        <v>974</v>
      </c>
      <c r="E788" t="s">
        <v>975</v>
      </c>
      <c r="F788" t="s">
        <v>11</v>
      </c>
      <c r="G788" t="s">
        <v>58</v>
      </c>
      <c r="H788" t="s">
        <v>177</v>
      </c>
      <c r="I788" t="s">
        <v>31</v>
      </c>
      <c r="J788">
        <v>2879</v>
      </c>
      <c r="K788">
        <v>1</v>
      </c>
      <c r="L788" s="4">
        <v>3.8199999999999998E-2</v>
      </c>
      <c r="M788">
        <v>0.09</v>
      </c>
      <c r="N788" s="4">
        <v>0.10997779999999999</v>
      </c>
      <c r="O788" s="4">
        <v>0.25911000000000001</v>
      </c>
    </row>
    <row r="789" spans="2:15">
      <c r="B789" t="s">
        <v>69</v>
      </c>
      <c r="C789" t="s">
        <v>50</v>
      </c>
      <c r="D789" t="s">
        <v>976</v>
      </c>
      <c r="E789" t="s">
        <v>977</v>
      </c>
      <c r="F789" t="s">
        <v>11</v>
      </c>
      <c r="G789" t="s">
        <v>58</v>
      </c>
      <c r="H789" t="s">
        <v>177</v>
      </c>
      <c r="I789" t="s">
        <v>31</v>
      </c>
      <c r="J789">
        <v>8720</v>
      </c>
      <c r="K789">
        <v>2</v>
      </c>
      <c r="L789" s="4">
        <v>3.8199999999999998E-2</v>
      </c>
      <c r="M789">
        <v>0.09</v>
      </c>
      <c r="N789" s="4">
        <v>0.33310400000000001</v>
      </c>
      <c r="O789" s="4">
        <v>0.78479999999999994</v>
      </c>
    </row>
    <row r="790" spans="2:15">
      <c r="B790" t="s">
        <v>69</v>
      </c>
      <c r="C790" t="s">
        <v>50</v>
      </c>
      <c r="D790" t="s">
        <v>976</v>
      </c>
      <c r="E790" t="s">
        <v>977</v>
      </c>
      <c r="F790" t="s">
        <v>11</v>
      </c>
      <c r="G790" t="s">
        <v>58</v>
      </c>
      <c r="H790" t="s">
        <v>177</v>
      </c>
      <c r="I790" t="s">
        <v>31</v>
      </c>
      <c r="J790">
        <v>2761</v>
      </c>
      <c r="K790">
        <v>0</v>
      </c>
      <c r="L790" s="4">
        <v>3.8199999999999998E-2</v>
      </c>
      <c r="M790">
        <v>0.09</v>
      </c>
      <c r="N790" s="4">
        <v>0.10547019999999999</v>
      </c>
      <c r="O790" s="4">
        <v>0.24848999999999999</v>
      </c>
    </row>
    <row r="791" spans="2:15">
      <c r="B791" t="s">
        <v>69</v>
      </c>
      <c r="C791" t="s">
        <v>50</v>
      </c>
      <c r="D791" t="s">
        <v>978</v>
      </c>
      <c r="E791" t="s">
        <v>979</v>
      </c>
      <c r="F791" t="s">
        <v>11</v>
      </c>
      <c r="G791" t="s">
        <v>58</v>
      </c>
      <c r="H791" t="s">
        <v>177</v>
      </c>
      <c r="I791" t="s">
        <v>31</v>
      </c>
      <c r="J791">
        <v>8447</v>
      </c>
      <c r="K791">
        <v>3</v>
      </c>
      <c r="L791" s="4">
        <v>3.8199999999999998E-2</v>
      </c>
      <c r="M791">
        <v>0.09</v>
      </c>
      <c r="N791" s="4">
        <v>0.32267539999999995</v>
      </c>
      <c r="O791" s="4">
        <v>0.76023000000000007</v>
      </c>
    </row>
    <row r="792" spans="2:15">
      <c r="B792" t="s">
        <v>69</v>
      </c>
      <c r="C792" t="s">
        <v>50</v>
      </c>
      <c r="D792" t="s">
        <v>978</v>
      </c>
      <c r="E792" t="s">
        <v>979</v>
      </c>
      <c r="F792" t="s">
        <v>11</v>
      </c>
      <c r="G792" t="s">
        <v>58</v>
      </c>
      <c r="H792" t="s">
        <v>177</v>
      </c>
      <c r="I792" t="s">
        <v>31</v>
      </c>
      <c r="J792">
        <v>2823</v>
      </c>
      <c r="K792">
        <v>0</v>
      </c>
      <c r="L792" s="4">
        <v>3.8199999999999998E-2</v>
      </c>
      <c r="M792">
        <v>0.09</v>
      </c>
      <c r="N792" s="4">
        <v>0.10783859999999999</v>
      </c>
      <c r="O792" s="4">
        <v>0.25407000000000002</v>
      </c>
    </row>
    <row r="793" spans="2:15">
      <c r="B793" t="s">
        <v>69</v>
      </c>
      <c r="C793" t="s">
        <v>50</v>
      </c>
      <c r="D793" t="s">
        <v>980</v>
      </c>
      <c r="E793" t="s">
        <v>981</v>
      </c>
      <c r="F793" t="s">
        <v>11</v>
      </c>
      <c r="G793" t="s">
        <v>58</v>
      </c>
      <c r="H793" t="s">
        <v>177</v>
      </c>
      <c r="I793" t="s">
        <v>31</v>
      </c>
      <c r="J793">
        <v>8669</v>
      </c>
      <c r="K793">
        <v>3</v>
      </c>
      <c r="L793" s="4">
        <v>3.8199999999999998E-2</v>
      </c>
      <c r="M793">
        <v>0.09</v>
      </c>
      <c r="N793" s="4">
        <v>0.3311558</v>
      </c>
      <c r="O793" s="4">
        <v>0.78020999999999996</v>
      </c>
    </row>
    <row r="794" spans="2:15">
      <c r="B794" t="s">
        <v>69</v>
      </c>
      <c r="C794" t="s">
        <v>50</v>
      </c>
      <c r="D794" t="s">
        <v>980</v>
      </c>
      <c r="E794" t="s">
        <v>981</v>
      </c>
      <c r="F794" t="s">
        <v>11</v>
      </c>
      <c r="G794" t="s">
        <v>58</v>
      </c>
      <c r="H794" t="s">
        <v>177</v>
      </c>
      <c r="I794" t="s">
        <v>31</v>
      </c>
      <c r="J794">
        <v>3033</v>
      </c>
      <c r="K794">
        <v>2</v>
      </c>
      <c r="L794" s="4">
        <v>3.8199999999999998E-2</v>
      </c>
      <c r="M794">
        <v>0.09</v>
      </c>
      <c r="N794" s="4">
        <v>0.11586059999999999</v>
      </c>
      <c r="O794" s="4">
        <v>0.27296999999999999</v>
      </c>
    </row>
    <row r="795" spans="2:15">
      <c r="B795" t="s">
        <v>69</v>
      </c>
      <c r="C795" t="s">
        <v>50</v>
      </c>
      <c r="D795" t="s">
        <v>982</v>
      </c>
      <c r="E795" t="s">
        <v>983</v>
      </c>
      <c r="F795" t="s">
        <v>11</v>
      </c>
      <c r="G795" t="s">
        <v>58</v>
      </c>
      <c r="H795" t="s">
        <v>177</v>
      </c>
      <c r="I795" t="s">
        <v>31</v>
      </c>
      <c r="J795">
        <v>8585</v>
      </c>
      <c r="K795">
        <v>1</v>
      </c>
      <c r="L795" s="4">
        <v>3.8199999999999998E-2</v>
      </c>
      <c r="M795">
        <v>0.09</v>
      </c>
      <c r="N795" s="4">
        <v>0.32794699999999999</v>
      </c>
      <c r="O795" s="4">
        <v>0.77264999999999995</v>
      </c>
    </row>
    <row r="796" spans="2:15">
      <c r="B796" t="s">
        <v>69</v>
      </c>
      <c r="C796" t="s">
        <v>50</v>
      </c>
      <c r="D796" t="s">
        <v>982</v>
      </c>
      <c r="E796" t="s">
        <v>983</v>
      </c>
      <c r="F796" t="s">
        <v>11</v>
      </c>
      <c r="G796" t="s">
        <v>58</v>
      </c>
      <c r="H796" t="s">
        <v>177</v>
      </c>
      <c r="I796" t="s">
        <v>31</v>
      </c>
      <c r="J796">
        <v>2719</v>
      </c>
      <c r="K796">
        <v>0</v>
      </c>
      <c r="L796" s="4">
        <v>3.8199999999999998E-2</v>
      </c>
      <c r="M796">
        <v>0.09</v>
      </c>
      <c r="N796" s="4">
        <v>0.10386579999999999</v>
      </c>
      <c r="O796" s="4">
        <v>0.24470999999999998</v>
      </c>
    </row>
    <row r="797" spans="2:15">
      <c r="B797" t="s">
        <v>69</v>
      </c>
      <c r="C797" t="s">
        <v>50</v>
      </c>
      <c r="D797" t="s">
        <v>984</v>
      </c>
      <c r="E797" t="s">
        <v>985</v>
      </c>
      <c r="F797" t="s">
        <v>11</v>
      </c>
      <c r="G797" t="s">
        <v>58</v>
      </c>
      <c r="H797" t="s">
        <v>177</v>
      </c>
      <c r="I797" t="s">
        <v>31</v>
      </c>
      <c r="J797">
        <v>8685</v>
      </c>
      <c r="K797">
        <v>3</v>
      </c>
      <c r="L797" s="4">
        <v>3.8199999999999998E-2</v>
      </c>
      <c r="M797">
        <v>0.09</v>
      </c>
      <c r="N797" s="4">
        <v>0.33176699999999998</v>
      </c>
      <c r="O797" s="4">
        <v>0.78164999999999996</v>
      </c>
    </row>
    <row r="798" spans="2:15">
      <c r="B798" t="s">
        <v>69</v>
      </c>
      <c r="C798" t="s">
        <v>50</v>
      </c>
      <c r="D798" t="s">
        <v>984</v>
      </c>
      <c r="E798" t="s">
        <v>985</v>
      </c>
      <c r="F798" t="s">
        <v>11</v>
      </c>
      <c r="G798" t="s">
        <v>58</v>
      </c>
      <c r="H798" t="s">
        <v>177</v>
      </c>
      <c r="I798" t="s">
        <v>31</v>
      </c>
      <c r="J798">
        <v>2768</v>
      </c>
      <c r="K798">
        <v>0</v>
      </c>
      <c r="L798" s="4">
        <v>3.8199999999999998E-2</v>
      </c>
      <c r="M798">
        <v>0.09</v>
      </c>
      <c r="N798" s="4">
        <v>0.1057376</v>
      </c>
      <c r="O798" s="4">
        <v>0.24912000000000001</v>
      </c>
    </row>
    <row r="799" spans="2:15">
      <c r="B799" t="s">
        <v>69</v>
      </c>
      <c r="C799" t="s">
        <v>50</v>
      </c>
      <c r="D799" t="s">
        <v>986</v>
      </c>
      <c r="E799" t="s">
        <v>987</v>
      </c>
      <c r="F799" t="s">
        <v>11</v>
      </c>
      <c r="G799" t="s">
        <v>58</v>
      </c>
      <c r="H799" t="s">
        <v>177</v>
      </c>
      <c r="I799" t="s">
        <v>31</v>
      </c>
      <c r="J799">
        <v>8539</v>
      </c>
      <c r="K799">
        <v>5</v>
      </c>
      <c r="L799" s="4">
        <v>3.8199999999999998E-2</v>
      </c>
      <c r="M799">
        <v>0.09</v>
      </c>
      <c r="N799" s="4">
        <v>0.32618979999999997</v>
      </c>
      <c r="O799" s="4">
        <v>0.76851000000000003</v>
      </c>
    </row>
    <row r="800" spans="2:15">
      <c r="B800" t="s">
        <v>69</v>
      </c>
      <c r="C800" t="s">
        <v>50</v>
      </c>
      <c r="D800" t="s">
        <v>986</v>
      </c>
      <c r="E800" t="s">
        <v>987</v>
      </c>
      <c r="F800" t="s">
        <v>11</v>
      </c>
      <c r="G800" t="s">
        <v>58</v>
      </c>
      <c r="H800" t="s">
        <v>177</v>
      </c>
      <c r="I800" t="s">
        <v>31</v>
      </c>
      <c r="J800">
        <v>3274</v>
      </c>
      <c r="K800">
        <v>1</v>
      </c>
      <c r="L800" s="4">
        <v>3.8199999999999998E-2</v>
      </c>
      <c r="M800">
        <v>0.09</v>
      </c>
      <c r="N800" s="4">
        <v>0.12506679999999998</v>
      </c>
      <c r="O800" s="4">
        <v>0.29465999999999998</v>
      </c>
    </row>
    <row r="801" spans="2:15">
      <c r="B801" t="s">
        <v>69</v>
      </c>
      <c r="C801" t="s">
        <v>50</v>
      </c>
      <c r="D801" t="s">
        <v>988</v>
      </c>
      <c r="E801" t="s">
        <v>989</v>
      </c>
      <c r="F801" t="s">
        <v>11</v>
      </c>
      <c r="G801" t="s">
        <v>58</v>
      </c>
      <c r="H801" t="s">
        <v>177</v>
      </c>
      <c r="I801" t="s">
        <v>31</v>
      </c>
      <c r="J801">
        <v>8488</v>
      </c>
      <c r="K801">
        <v>5</v>
      </c>
      <c r="L801" s="4">
        <v>3.8199999999999998E-2</v>
      </c>
      <c r="M801">
        <v>0.09</v>
      </c>
      <c r="N801" s="4">
        <v>0.32424160000000002</v>
      </c>
      <c r="O801" s="4">
        <v>0.76391999999999993</v>
      </c>
    </row>
    <row r="802" spans="2:15">
      <c r="B802" t="s">
        <v>69</v>
      </c>
      <c r="C802" t="s">
        <v>50</v>
      </c>
      <c r="D802" t="s">
        <v>988</v>
      </c>
      <c r="E802" t="s">
        <v>989</v>
      </c>
      <c r="F802" t="s">
        <v>11</v>
      </c>
      <c r="G802" t="s">
        <v>58</v>
      </c>
      <c r="H802" t="s">
        <v>177</v>
      </c>
      <c r="I802" t="s">
        <v>31</v>
      </c>
      <c r="J802">
        <v>3093</v>
      </c>
      <c r="K802">
        <v>1</v>
      </c>
      <c r="L802" s="4">
        <v>3.8199999999999998E-2</v>
      </c>
      <c r="M802">
        <v>0.09</v>
      </c>
      <c r="N802" s="4">
        <v>0.1181526</v>
      </c>
      <c r="O802" s="4">
        <v>0.27837000000000001</v>
      </c>
    </row>
    <row r="803" spans="2:15">
      <c r="B803" t="s">
        <v>69</v>
      </c>
      <c r="C803" t="s">
        <v>50</v>
      </c>
      <c r="D803" t="s">
        <v>990</v>
      </c>
      <c r="E803" t="s">
        <v>991</v>
      </c>
      <c r="F803" t="s">
        <v>11</v>
      </c>
      <c r="G803" t="s">
        <v>58</v>
      </c>
      <c r="H803" t="s">
        <v>177</v>
      </c>
      <c r="I803" t="s">
        <v>31</v>
      </c>
      <c r="J803">
        <v>2958</v>
      </c>
      <c r="K803">
        <v>0</v>
      </c>
      <c r="L803" s="4">
        <v>3.8199999999999998E-2</v>
      </c>
      <c r="M803">
        <v>0.09</v>
      </c>
      <c r="N803" s="4">
        <v>0.1129956</v>
      </c>
      <c r="O803" s="4">
        <v>0.26621999999999996</v>
      </c>
    </row>
    <row r="804" spans="2:15">
      <c r="B804" t="s">
        <v>69</v>
      </c>
      <c r="C804" t="s">
        <v>50</v>
      </c>
      <c r="D804" t="s">
        <v>992</v>
      </c>
      <c r="E804" t="s">
        <v>993</v>
      </c>
      <c r="F804" t="s">
        <v>11</v>
      </c>
      <c r="G804" t="s">
        <v>58</v>
      </c>
      <c r="H804" t="s">
        <v>177</v>
      </c>
      <c r="I804" t="s">
        <v>31</v>
      </c>
      <c r="J804">
        <v>2843</v>
      </c>
      <c r="K804">
        <v>1</v>
      </c>
      <c r="L804" s="4">
        <v>3.8199999999999998E-2</v>
      </c>
      <c r="M804">
        <v>0.09</v>
      </c>
      <c r="N804" s="4">
        <v>0.10860259999999999</v>
      </c>
      <c r="O804" s="4">
        <v>0.25586999999999999</v>
      </c>
    </row>
    <row r="805" spans="2:15">
      <c r="B805" t="s">
        <v>69</v>
      </c>
      <c r="C805" t="s">
        <v>50</v>
      </c>
      <c r="D805" t="s">
        <v>994</v>
      </c>
      <c r="E805" t="s">
        <v>995</v>
      </c>
      <c r="F805" t="s">
        <v>11</v>
      </c>
      <c r="G805" t="s">
        <v>58</v>
      </c>
      <c r="H805" t="s">
        <v>177</v>
      </c>
      <c r="I805" t="s">
        <v>31</v>
      </c>
      <c r="J805">
        <v>3020</v>
      </c>
      <c r="K805">
        <v>0</v>
      </c>
      <c r="L805" s="4">
        <v>3.8199999999999998E-2</v>
      </c>
      <c r="M805">
        <v>0.09</v>
      </c>
      <c r="N805" s="4">
        <v>0.11536399999999999</v>
      </c>
      <c r="O805" s="4">
        <v>0.27179999999999999</v>
      </c>
    </row>
    <row r="806" spans="2:15">
      <c r="B806" t="s">
        <v>69</v>
      </c>
      <c r="C806" t="s">
        <v>50</v>
      </c>
      <c r="D806" t="s">
        <v>996</v>
      </c>
      <c r="E806" t="s">
        <v>997</v>
      </c>
      <c r="F806" t="s">
        <v>11</v>
      </c>
      <c r="G806" t="s">
        <v>58</v>
      </c>
      <c r="H806" t="s">
        <v>177</v>
      </c>
      <c r="I806" t="s">
        <v>31</v>
      </c>
      <c r="J806">
        <v>2908</v>
      </c>
      <c r="K806">
        <v>0</v>
      </c>
      <c r="L806" s="4">
        <v>3.8199999999999998E-2</v>
      </c>
      <c r="M806">
        <v>0.09</v>
      </c>
      <c r="N806" s="4">
        <v>0.11108559999999999</v>
      </c>
      <c r="O806" s="4">
        <v>0.26171999999999995</v>
      </c>
    </row>
    <row r="807" spans="2:15">
      <c r="B807" t="s">
        <v>69</v>
      </c>
      <c r="C807" t="s">
        <v>50</v>
      </c>
      <c r="D807" t="s">
        <v>998</v>
      </c>
      <c r="E807" t="s">
        <v>999</v>
      </c>
      <c r="F807" t="s">
        <v>11</v>
      </c>
      <c r="G807" t="s">
        <v>58</v>
      </c>
      <c r="H807" t="s">
        <v>177</v>
      </c>
      <c r="I807" t="s">
        <v>31</v>
      </c>
      <c r="J807">
        <v>3011</v>
      </c>
      <c r="K807">
        <v>0</v>
      </c>
      <c r="L807" s="4">
        <v>3.8199999999999998E-2</v>
      </c>
      <c r="M807">
        <v>0.09</v>
      </c>
      <c r="N807" s="4">
        <v>0.11502019999999999</v>
      </c>
      <c r="O807" s="4">
        <v>0.27099000000000001</v>
      </c>
    </row>
    <row r="808" spans="2:15">
      <c r="B808" t="s">
        <v>69</v>
      </c>
      <c r="C808" t="s">
        <v>50</v>
      </c>
      <c r="D808" t="s">
        <v>1000</v>
      </c>
      <c r="E808" t="s">
        <v>1001</v>
      </c>
      <c r="F808" t="s">
        <v>11</v>
      </c>
      <c r="G808" t="s">
        <v>58</v>
      </c>
      <c r="H808" t="s">
        <v>177</v>
      </c>
      <c r="I808" t="s">
        <v>31</v>
      </c>
      <c r="J808">
        <v>3093</v>
      </c>
      <c r="K808">
        <v>2</v>
      </c>
      <c r="L808" s="4">
        <v>3.8199999999999998E-2</v>
      </c>
      <c r="M808">
        <v>0.09</v>
      </c>
      <c r="N808" s="4">
        <v>0.1181526</v>
      </c>
      <c r="O808" s="4">
        <v>0.27837000000000001</v>
      </c>
    </row>
    <row r="809" spans="2:15">
      <c r="B809" t="s">
        <v>69</v>
      </c>
      <c r="C809" t="s">
        <v>50</v>
      </c>
      <c r="D809" t="s">
        <v>1002</v>
      </c>
      <c r="E809" t="s">
        <v>1003</v>
      </c>
      <c r="F809" t="s">
        <v>11</v>
      </c>
      <c r="G809" t="s">
        <v>58</v>
      </c>
      <c r="H809" t="s">
        <v>177</v>
      </c>
      <c r="I809" t="s">
        <v>31</v>
      </c>
      <c r="J809">
        <v>2948</v>
      </c>
      <c r="K809">
        <v>0</v>
      </c>
      <c r="L809" s="4">
        <v>3.8199999999999998E-2</v>
      </c>
      <c r="M809">
        <v>0.09</v>
      </c>
      <c r="N809" s="4">
        <v>0.11261359999999999</v>
      </c>
      <c r="O809" s="4">
        <v>0.26532</v>
      </c>
    </row>
    <row r="810" spans="2:15">
      <c r="B810" t="s">
        <v>69</v>
      </c>
      <c r="C810" t="s">
        <v>50</v>
      </c>
      <c r="D810" t="s">
        <v>1004</v>
      </c>
      <c r="E810" t="s">
        <v>1005</v>
      </c>
      <c r="F810" t="s">
        <v>11</v>
      </c>
      <c r="G810" t="s">
        <v>58</v>
      </c>
      <c r="H810" t="s">
        <v>177</v>
      </c>
      <c r="I810" t="s">
        <v>31</v>
      </c>
      <c r="J810">
        <v>2936</v>
      </c>
      <c r="K810">
        <v>1</v>
      </c>
      <c r="L810" s="4">
        <v>3.8199999999999998E-2</v>
      </c>
      <c r="M810">
        <v>0.09</v>
      </c>
      <c r="N810" s="4">
        <v>0.1121552</v>
      </c>
      <c r="O810" s="4">
        <v>0.26424000000000003</v>
      </c>
    </row>
    <row r="811" spans="2:15">
      <c r="B811" t="s">
        <v>69</v>
      </c>
      <c r="C811" t="s">
        <v>50</v>
      </c>
      <c r="D811" t="s">
        <v>1006</v>
      </c>
      <c r="E811" t="s">
        <v>1007</v>
      </c>
      <c r="F811" t="s">
        <v>11</v>
      </c>
      <c r="G811" t="s">
        <v>58</v>
      </c>
      <c r="H811" t="s">
        <v>177</v>
      </c>
      <c r="I811" t="s">
        <v>31</v>
      </c>
      <c r="J811">
        <v>2867</v>
      </c>
      <c r="K811">
        <v>0</v>
      </c>
      <c r="L811" s="4">
        <v>3.8199999999999998E-2</v>
      </c>
      <c r="M811">
        <v>0.09</v>
      </c>
      <c r="N811" s="4">
        <v>0.10951939999999999</v>
      </c>
      <c r="O811" s="4">
        <v>0.25802999999999998</v>
      </c>
    </row>
    <row r="812" spans="2:15">
      <c r="B812" t="s">
        <v>69</v>
      </c>
      <c r="C812" t="s">
        <v>50</v>
      </c>
      <c r="D812" t="s">
        <v>1008</v>
      </c>
      <c r="E812" t="s">
        <v>1009</v>
      </c>
      <c r="F812" t="s">
        <v>11</v>
      </c>
      <c r="G812" t="s">
        <v>58</v>
      </c>
      <c r="H812" t="s">
        <v>177</v>
      </c>
      <c r="I812" t="s">
        <v>31</v>
      </c>
      <c r="J812">
        <v>18237</v>
      </c>
      <c r="K812">
        <v>21</v>
      </c>
      <c r="L812" s="4">
        <v>3.8199999999999998E-2</v>
      </c>
      <c r="M812">
        <v>0.09</v>
      </c>
      <c r="N812" s="4">
        <v>0.69665339999999987</v>
      </c>
      <c r="O812" s="4">
        <v>1.64133</v>
      </c>
    </row>
    <row r="813" spans="2:15">
      <c r="B813" t="s">
        <v>69</v>
      </c>
      <c r="C813" t="s">
        <v>50</v>
      </c>
      <c r="D813" t="s">
        <v>1008</v>
      </c>
      <c r="E813" t="s">
        <v>1009</v>
      </c>
      <c r="F813" t="s">
        <v>11</v>
      </c>
      <c r="G813" t="s">
        <v>58</v>
      </c>
      <c r="H813" t="s">
        <v>177</v>
      </c>
      <c r="I813" t="s">
        <v>31</v>
      </c>
      <c r="J813">
        <v>1800</v>
      </c>
      <c r="K813">
        <v>6</v>
      </c>
      <c r="L813" s="4">
        <v>3.8199999999999998E-2</v>
      </c>
      <c r="M813">
        <v>0.09</v>
      </c>
      <c r="N813" s="4">
        <v>6.8759999999999988E-2</v>
      </c>
      <c r="O813" s="4">
        <v>0.16200000000000001</v>
      </c>
    </row>
    <row r="814" spans="2:15">
      <c r="B814" t="s">
        <v>69</v>
      </c>
      <c r="C814" t="s">
        <v>50</v>
      </c>
      <c r="D814" t="s">
        <v>1010</v>
      </c>
      <c r="E814" t="s">
        <v>1011</v>
      </c>
      <c r="F814" t="s">
        <v>11</v>
      </c>
      <c r="G814" t="s">
        <v>58</v>
      </c>
      <c r="H814" t="s">
        <v>177</v>
      </c>
      <c r="I814" t="s">
        <v>31</v>
      </c>
      <c r="J814">
        <v>18455</v>
      </c>
      <c r="K814">
        <v>15</v>
      </c>
      <c r="L814" s="4">
        <v>3.8199999999999998E-2</v>
      </c>
      <c r="M814">
        <v>0.09</v>
      </c>
      <c r="N814" s="4">
        <v>0.70498099999999997</v>
      </c>
      <c r="O814" s="4">
        <v>1.6609500000000001</v>
      </c>
    </row>
    <row r="815" spans="2:15">
      <c r="B815" t="s">
        <v>69</v>
      </c>
      <c r="C815" t="s">
        <v>50</v>
      </c>
      <c r="D815" t="s">
        <v>1010</v>
      </c>
      <c r="E815" t="s">
        <v>1011</v>
      </c>
      <c r="F815" t="s">
        <v>11</v>
      </c>
      <c r="G815" t="s">
        <v>58</v>
      </c>
      <c r="H815" t="s">
        <v>177</v>
      </c>
      <c r="I815" t="s">
        <v>31</v>
      </c>
      <c r="J815">
        <v>676</v>
      </c>
      <c r="K815">
        <v>3</v>
      </c>
      <c r="L815" s="4">
        <v>3.8199999999999998E-2</v>
      </c>
      <c r="M815">
        <v>0.09</v>
      </c>
      <c r="N815" s="4">
        <v>2.5823200000000001E-2</v>
      </c>
      <c r="O815" s="4">
        <v>6.0839999999999998E-2</v>
      </c>
    </row>
    <row r="816" spans="2:15">
      <c r="B816" t="s">
        <v>69</v>
      </c>
      <c r="C816" t="s">
        <v>50</v>
      </c>
      <c r="D816" t="s">
        <v>1012</v>
      </c>
      <c r="E816" t="s">
        <v>1013</v>
      </c>
      <c r="F816" t="s">
        <v>11</v>
      </c>
      <c r="G816" t="s">
        <v>58</v>
      </c>
      <c r="H816" t="s">
        <v>177</v>
      </c>
      <c r="I816" t="s">
        <v>31</v>
      </c>
      <c r="J816">
        <v>19886</v>
      </c>
      <c r="K816">
        <v>21</v>
      </c>
      <c r="L816" s="4">
        <v>3.8199999999999998E-2</v>
      </c>
      <c r="M816">
        <v>0.09</v>
      </c>
      <c r="N816" s="4">
        <v>0.75964519999999991</v>
      </c>
      <c r="O816" s="4">
        <v>1.7897400000000001</v>
      </c>
    </row>
    <row r="817" spans="2:15">
      <c r="B817" t="s">
        <v>69</v>
      </c>
      <c r="C817" t="s">
        <v>50</v>
      </c>
      <c r="D817" t="s">
        <v>1012</v>
      </c>
      <c r="E817" t="s">
        <v>1013</v>
      </c>
      <c r="F817" t="s">
        <v>11</v>
      </c>
      <c r="G817" t="s">
        <v>58</v>
      </c>
      <c r="H817" t="s">
        <v>177</v>
      </c>
      <c r="I817" t="s">
        <v>31</v>
      </c>
      <c r="J817">
        <v>1220</v>
      </c>
      <c r="K817">
        <v>2</v>
      </c>
      <c r="L817" s="4">
        <v>3.8199999999999998E-2</v>
      </c>
      <c r="M817">
        <v>0.09</v>
      </c>
      <c r="N817" s="4">
        <v>4.6604E-2</v>
      </c>
      <c r="O817" s="4">
        <v>0.10979999999999999</v>
      </c>
    </row>
    <row r="818" spans="2:15">
      <c r="B818" t="s">
        <v>69</v>
      </c>
      <c r="C818" t="s">
        <v>50</v>
      </c>
      <c r="D818" t="s">
        <v>1014</v>
      </c>
      <c r="E818" t="s">
        <v>1015</v>
      </c>
      <c r="F818" t="s">
        <v>11</v>
      </c>
      <c r="G818" t="s">
        <v>58</v>
      </c>
      <c r="H818" t="s">
        <v>177</v>
      </c>
      <c r="I818" t="s">
        <v>31</v>
      </c>
      <c r="J818">
        <v>19806</v>
      </c>
      <c r="K818">
        <v>13</v>
      </c>
      <c r="L818" s="4">
        <v>3.8199999999999998E-2</v>
      </c>
      <c r="M818">
        <v>0.09</v>
      </c>
      <c r="N818" s="4">
        <v>0.75658919999999996</v>
      </c>
      <c r="O818" s="4">
        <v>1.78254</v>
      </c>
    </row>
    <row r="819" spans="2:15">
      <c r="B819" t="s">
        <v>69</v>
      </c>
      <c r="C819" t="s">
        <v>50</v>
      </c>
      <c r="D819" t="s">
        <v>1014</v>
      </c>
      <c r="E819" t="s">
        <v>1015</v>
      </c>
      <c r="F819" t="s">
        <v>11</v>
      </c>
      <c r="G819" t="s">
        <v>58</v>
      </c>
      <c r="H819" t="s">
        <v>177</v>
      </c>
      <c r="I819" t="s">
        <v>31</v>
      </c>
      <c r="J819">
        <v>602</v>
      </c>
      <c r="K819">
        <v>2</v>
      </c>
      <c r="L819" s="4">
        <v>3.8199999999999998E-2</v>
      </c>
      <c r="M819">
        <v>0.09</v>
      </c>
      <c r="N819" s="4">
        <v>2.2996399999999997E-2</v>
      </c>
      <c r="O819" s="4">
        <v>5.4179999999999999E-2</v>
      </c>
    </row>
    <row r="820" spans="2:15">
      <c r="B820" t="s">
        <v>69</v>
      </c>
      <c r="C820" t="s">
        <v>50</v>
      </c>
      <c r="D820" t="s">
        <v>1016</v>
      </c>
      <c r="E820" t="s">
        <v>1017</v>
      </c>
      <c r="F820" t="s">
        <v>11</v>
      </c>
      <c r="G820" t="s">
        <v>58</v>
      </c>
      <c r="H820" t="s">
        <v>177</v>
      </c>
      <c r="I820" t="s">
        <v>31</v>
      </c>
      <c r="J820">
        <v>5443</v>
      </c>
      <c r="K820">
        <v>6</v>
      </c>
      <c r="L820" s="4">
        <v>3.8199999999999998E-2</v>
      </c>
      <c r="M820">
        <v>0.09</v>
      </c>
      <c r="N820" s="4">
        <v>0.20792259999999999</v>
      </c>
      <c r="O820" s="4">
        <v>0.48987000000000003</v>
      </c>
    </row>
    <row r="821" spans="2:15">
      <c r="B821" t="s">
        <v>69</v>
      </c>
      <c r="C821" t="s">
        <v>50</v>
      </c>
      <c r="D821" t="s">
        <v>1016</v>
      </c>
      <c r="E821" t="s">
        <v>1017</v>
      </c>
      <c r="F821" t="s">
        <v>11</v>
      </c>
      <c r="G821" t="s">
        <v>58</v>
      </c>
      <c r="H821" t="s">
        <v>177</v>
      </c>
      <c r="I821" t="s">
        <v>31</v>
      </c>
      <c r="J821">
        <v>277</v>
      </c>
      <c r="K821">
        <v>21</v>
      </c>
      <c r="L821" s="4">
        <v>3.8199999999999998E-2</v>
      </c>
      <c r="M821">
        <v>0.09</v>
      </c>
      <c r="N821" s="4">
        <v>1.0581399999999998E-2</v>
      </c>
      <c r="O821" s="4">
        <v>2.4930000000000001E-2</v>
      </c>
    </row>
    <row r="822" spans="2:15">
      <c r="B822" t="s">
        <v>69</v>
      </c>
      <c r="C822" t="s">
        <v>50</v>
      </c>
      <c r="D822" t="s">
        <v>1018</v>
      </c>
      <c r="E822" t="s">
        <v>1019</v>
      </c>
      <c r="F822" t="s">
        <v>11</v>
      </c>
      <c r="G822" t="s">
        <v>58</v>
      </c>
      <c r="H822" t="s">
        <v>177</v>
      </c>
      <c r="I822" t="s">
        <v>31</v>
      </c>
      <c r="J822">
        <v>4939</v>
      </c>
      <c r="K822">
        <v>6</v>
      </c>
      <c r="L822" s="4">
        <v>3.8199999999999998E-2</v>
      </c>
      <c r="M822">
        <v>0.09</v>
      </c>
      <c r="N822" s="4">
        <v>0.18866979999999997</v>
      </c>
      <c r="O822" s="4">
        <v>0.44451000000000002</v>
      </c>
    </row>
    <row r="823" spans="2:15">
      <c r="B823" t="s">
        <v>69</v>
      </c>
      <c r="C823" t="s">
        <v>50</v>
      </c>
      <c r="D823" t="s">
        <v>1018</v>
      </c>
      <c r="E823" t="s">
        <v>1019</v>
      </c>
      <c r="F823" t="s">
        <v>11</v>
      </c>
      <c r="G823" t="s">
        <v>58</v>
      </c>
      <c r="H823" t="s">
        <v>177</v>
      </c>
      <c r="I823" t="s">
        <v>31</v>
      </c>
      <c r="J823">
        <v>949</v>
      </c>
      <c r="K823">
        <v>83</v>
      </c>
      <c r="L823" s="4">
        <v>3.8199999999999998E-2</v>
      </c>
      <c r="M823">
        <v>0.09</v>
      </c>
      <c r="N823" s="4">
        <v>3.6251799999999994E-2</v>
      </c>
      <c r="O823" s="4">
        <v>8.541E-2</v>
      </c>
    </row>
    <row r="824" spans="2:15">
      <c r="B824" t="s">
        <v>69</v>
      </c>
      <c r="C824" t="s">
        <v>50</v>
      </c>
      <c r="D824" t="s">
        <v>1020</v>
      </c>
      <c r="E824" t="s">
        <v>1021</v>
      </c>
      <c r="F824" t="s">
        <v>11</v>
      </c>
      <c r="G824" t="s">
        <v>58</v>
      </c>
      <c r="H824" t="s">
        <v>177</v>
      </c>
      <c r="I824" t="s">
        <v>31</v>
      </c>
      <c r="J824">
        <v>5043</v>
      </c>
      <c r="K824">
        <v>8</v>
      </c>
      <c r="L824" s="4">
        <v>3.8199999999999998E-2</v>
      </c>
      <c r="M824">
        <v>0.09</v>
      </c>
      <c r="N824" s="4">
        <v>0.1926426</v>
      </c>
      <c r="O824" s="4">
        <v>0.45387</v>
      </c>
    </row>
    <row r="825" spans="2:15">
      <c r="B825" t="s">
        <v>69</v>
      </c>
      <c r="C825" t="s">
        <v>50</v>
      </c>
      <c r="D825" t="s">
        <v>1020</v>
      </c>
      <c r="E825" t="s">
        <v>1021</v>
      </c>
      <c r="F825" t="s">
        <v>11</v>
      </c>
      <c r="G825" t="s">
        <v>58</v>
      </c>
      <c r="H825" t="s">
        <v>177</v>
      </c>
      <c r="I825" t="s">
        <v>31</v>
      </c>
      <c r="J825">
        <v>716</v>
      </c>
      <c r="K825">
        <v>47</v>
      </c>
      <c r="L825" s="4">
        <v>3.8199999999999998E-2</v>
      </c>
      <c r="M825">
        <v>0.09</v>
      </c>
      <c r="N825" s="4">
        <v>2.7351199999999999E-2</v>
      </c>
      <c r="O825" s="4">
        <v>6.4439999999999997E-2</v>
      </c>
    </row>
    <row r="826" spans="2:15">
      <c r="B826" t="s">
        <v>69</v>
      </c>
      <c r="C826" t="s">
        <v>50</v>
      </c>
      <c r="D826" t="s">
        <v>1022</v>
      </c>
      <c r="E826" t="s">
        <v>1023</v>
      </c>
      <c r="F826" t="s">
        <v>11</v>
      </c>
      <c r="G826" t="s">
        <v>58</v>
      </c>
      <c r="H826" t="s">
        <v>177</v>
      </c>
      <c r="I826" t="s">
        <v>31</v>
      </c>
      <c r="J826">
        <v>5106</v>
      </c>
      <c r="K826">
        <v>8</v>
      </c>
      <c r="L826" s="4">
        <v>3.8199999999999998E-2</v>
      </c>
      <c r="M826">
        <v>0.09</v>
      </c>
      <c r="N826" s="4">
        <v>0.19504919999999998</v>
      </c>
      <c r="O826" s="4">
        <v>0.45953999999999995</v>
      </c>
    </row>
    <row r="827" spans="2:15">
      <c r="B827" t="s">
        <v>69</v>
      </c>
      <c r="C827" t="s">
        <v>50</v>
      </c>
      <c r="D827" t="s">
        <v>1022</v>
      </c>
      <c r="E827" t="s">
        <v>1023</v>
      </c>
      <c r="F827" t="s">
        <v>11</v>
      </c>
      <c r="G827" t="s">
        <v>58</v>
      </c>
      <c r="H827" t="s">
        <v>177</v>
      </c>
      <c r="I827" t="s">
        <v>31</v>
      </c>
      <c r="J827">
        <v>649</v>
      </c>
      <c r="K827">
        <v>53</v>
      </c>
      <c r="L827" s="4">
        <v>3.8199999999999998E-2</v>
      </c>
      <c r="M827">
        <v>0.09</v>
      </c>
      <c r="N827" s="4">
        <v>2.4791799999999999E-2</v>
      </c>
      <c r="O827" s="4">
        <v>5.8409999999999997E-2</v>
      </c>
    </row>
    <row r="828" spans="2:15">
      <c r="B828" t="s">
        <v>69</v>
      </c>
      <c r="C828" t="s">
        <v>50</v>
      </c>
      <c r="D828" t="s">
        <v>1024</v>
      </c>
      <c r="E828" t="s">
        <v>1025</v>
      </c>
      <c r="F828" t="s">
        <v>11</v>
      </c>
      <c r="G828" t="s">
        <v>58</v>
      </c>
      <c r="H828" t="s">
        <v>177</v>
      </c>
      <c r="I828" t="s">
        <v>31</v>
      </c>
      <c r="J828">
        <v>4421</v>
      </c>
      <c r="K828">
        <v>2</v>
      </c>
      <c r="L828" s="4">
        <v>3.8199999999999998E-2</v>
      </c>
      <c r="M828">
        <v>0.09</v>
      </c>
      <c r="N828" s="4">
        <v>0.16888219999999998</v>
      </c>
      <c r="O828" s="4">
        <v>0.39788999999999997</v>
      </c>
    </row>
    <row r="829" spans="2:15">
      <c r="B829" t="s">
        <v>69</v>
      </c>
      <c r="C829" t="s">
        <v>50</v>
      </c>
      <c r="D829" t="s">
        <v>1024</v>
      </c>
      <c r="E829" t="s">
        <v>1025</v>
      </c>
      <c r="F829" t="s">
        <v>11</v>
      </c>
      <c r="G829" t="s">
        <v>58</v>
      </c>
      <c r="H829" t="s">
        <v>177</v>
      </c>
      <c r="I829" t="s">
        <v>31</v>
      </c>
      <c r="J829">
        <v>2295</v>
      </c>
      <c r="K829">
        <v>0</v>
      </c>
      <c r="L829" s="4">
        <v>3.8199999999999998E-2</v>
      </c>
      <c r="M829">
        <v>0.09</v>
      </c>
      <c r="N829" s="4">
        <v>8.7668999999999997E-2</v>
      </c>
      <c r="O829" s="4">
        <v>0.20654999999999998</v>
      </c>
    </row>
    <row r="830" spans="2:15">
      <c r="B830" t="s">
        <v>69</v>
      </c>
      <c r="C830" t="s">
        <v>50</v>
      </c>
      <c r="D830" t="s">
        <v>1026</v>
      </c>
      <c r="E830" t="s">
        <v>1027</v>
      </c>
      <c r="F830" t="s">
        <v>11</v>
      </c>
      <c r="G830" t="s">
        <v>58</v>
      </c>
      <c r="H830" t="s">
        <v>177</v>
      </c>
      <c r="I830" t="s">
        <v>31</v>
      </c>
      <c r="J830">
        <v>1824</v>
      </c>
      <c r="K830">
        <v>1</v>
      </c>
      <c r="L830" s="4">
        <v>3.8199999999999998E-2</v>
      </c>
      <c r="M830">
        <v>0.09</v>
      </c>
      <c r="N830" s="4">
        <v>6.9676799999999997E-2</v>
      </c>
      <c r="O830" s="4">
        <v>0.16416</v>
      </c>
    </row>
    <row r="831" spans="2:15">
      <c r="B831" t="s">
        <v>69</v>
      </c>
      <c r="C831" t="s">
        <v>50</v>
      </c>
      <c r="D831" t="s">
        <v>1026</v>
      </c>
      <c r="E831" t="s">
        <v>1027</v>
      </c>
      <c r="F831" t="s">
        <v>11</v>
      </c>
      <c r="G831" t="s">
        <v>58</v>
      </c>
      <c r="H831" t="s">
        <v>177</v>
      </c>
      <c r="I831" t="s">
        <v>31</v>
      </c>
      <c r="J831">
        <v>1341</v>
      </c>
      <c r="K831">
        <v>0</v>
      </c>
      <c r="L831" s="4">
        <v>3.8199999999999998E-2</v>
      </c>
      <c r="M831">
        <v>0.09</v>
      </c>
      <c r="N831" s="4">
        <v>5.12262E-2</v>
      </c>
      <c r="O831" s="4">
        <v>0.12068999999999999</v>
      </c>
    </row>
    <row r="832" spans="2:15">
      <c r="B832" t="s">
        <v>69</v>
      </c>
      <c r="C832" t="s">
        <v>50</v>
      </c>
      <c r="D832" t="s">
        <v>1028</v>
      </c>
      <c r="E832" t="s">
        <v>1029</v>
      </c>
      <c r="F832" t="s">
        <v>11</v>
      </c>
      <c r="G832" t="s">
        <v>58</v>
      </c>
      <c r="H832" t="s">
        <v>177</v>
      </c>
      <c r="I832" t="s">
        <v>31</v>
      </c>
      <c r="J832">
        <v>2499</v>
      </c>
      <c r="K832">
        <v>1</v>
      </c>
      <c r="L832" s="4">
        <v>3.8199999999999998E-2</v>
      </c>
      <c r="M832">
        <v>0.09</v>
      </c>
      <c r="N832" s="4">
        <v>9.5461799999999999E-2</v>
      </c>
      <c r="O832" s="4">
        <v>0.22491</v>
      </c>
    </row>
    <row r="833" spans="2:15">
      <c r="B833" t="s">
        <v>69</v>
      </c>
      <c r="C833" t="s">
        <v>50</v>
      </c>
      <c r="D833" t="s">
        <v>1028</v>
      </c>
      <c r="E833" t="s">
        <v>1029</v>
      </c>
      <c r="F833" t="s">
        <v>11</v>
      </c>
      <c r="G833" t="s">
        <v>58</v>
      </c>
      <c r="H833" t="s">
        <v>177</v>
      </c>
      <c r="I833" t="s">
        <v>31</v>
      </c>
      <c r="J833">
        <v>1237</v>
      </c>
      <c r="K833">
        <v>0</v>
      </c>
      <c r="L833" s="4">
        <v>3.8199999999999998E-2</v>
      </c>
      <c r="M833">
        <v>0.09</v>
      </c>
      <c r="N833" s="4">
        <v>4.7253400000000001E-2</v>
      </c>
      <c r="O833" s="4">
        <v>0.11133</v>
      </c>
    </row>
    <row r="834" spans="2:15">
      <c r="B834" t="s">
        <v>69</v>
      </c>
      <c r="C834" t="s">
        <v>50</v>
      </c>
      <c r="D834" t="s">
        <v>1030</v>
      </c>
      <c r="E834" t="s">
        <v>1031</v>
      </c>
      <c r="F834" t="s">
        <v>11</v>
      </c>
      <c r="G834" t="s">
        <v>58</v>
      </c>
      <c r="H834" t="s">
        <v>177</v>
      </c>
      <c r="I834" t="s">
        <v>31</v>
      </c>
      <c r="J834">
        <v>3530</v>
      </c>
      <c r="K834">
        <v>1</v>
      </c>
      <c r="L834" s="4">
        <v>3.8199999999999998E-2</v>
      </c>
      <c r="M834">
        <v>0.09</v>
      </c>
      <c r="N834" s="4">
        <v>0.13484599999999999</v>
      </c>
      <c r="O834" s="4">
        <v>0.31769999999999998</v>
      </c>
    </row>
    <row r="835" spans="2:15">
      <c r="B835" t="s">
        <v>69</v>
      </c>
      <c r="C835" t="s">
        <v>50</v>
      </c>
      <c r="D835" t="s">
        <v>1030</v>
      </c>
      <c r="E835" t="s">
        <v>1031</v>
      </c>
      <c r="F835" t="s">
        <v>11</v>
      </c>
      <c r="G835" t="s">
        <v>58</v>
      </c>
      <c r="H835" t="s">
        <v>177</v>
      </c>
      <c r="I835" t="s">
        <v>31</v>
      </c>
      <c r="J835">
        <v>2113</v>
      </c>
      <c r="K835">
        <v>0</v>
      </c>
      <c r="L835" s="4">
        <v>3.8199999999999998E-2</v>
      </c>
      <c r="M835">
        <v>0.09</v>
      </c>
      <c r="N835" s="4">
        <v>8.0716599999999999E-2</v>
      </c>
      <c r="O835" s="4">
        <v>0.19016999999999998</v>
      </c>
    </row>
    <row r="836" spans="2:15">
      <c r="B836" t="s">
        <v>69</v>
      </c>
      <c r="C836" t="s">
        <v>50</v>
      </c>
      <c r="D836" t="s">
        <v>1032</v>
      </c>
      <c r="E836" t="s">
        <v>1033</v>
      </c>
      <c r="F836" t="s">
        <v>11</v>
      </c>
      <c r="G836" t="s">
        <v>58</v>
      </c>
      <c r="H836" t="s">
        <v>177</v>
      </c>
      <c r="I836" t="s">
        <v>31</v>
      </c>
      <c r="J836">
        <v>1156</v>
      </c>
      <c r="K836">
        <v>1</v>
      </c>
      <c r="L836" s="4">
        <v>3.8199999999999998E-2</v>
      </c>
      <c r="M836">
        <v>0.09</v>
      </c>
      <c r="N836" s="4">
        <v>4.4159199999999996E-2</v>
      </c>
      <c r="O836" s="4">
        <v>0.10403999999999999</v>
      </c>
    </row>
    <row r="837" spans="2:15">
      <c r="B837" t="s">
        <v>69</v>
      </c>
      <c r="C837" t="s">
        <v>50</v>
      </c>
      <c r="D837" t="s">
        <v>1034</v>
      </c>
      <c r="E837" t="s">
        <v>1035</v>
      </c>
      <c r="F837" t="s">
        <v>11</v>
      </c>
      <c r="G837" t="s">
        <v>58</v>
      </c>
      <c r="H837" t="s">
        <v>177</v>
      </c>
      <c r="I837" t="s">
        <v>31</v>
      </c>
      <c r="J837">
        <v>3470</v>
      </c>
      <c r="K837">
        <v>2</v>
      </c>
      <c r="L837" s="4">
        <v>3.8199999999999998E-2</v>
      </c>
      <c r="M837">
        <v>0.09</v>
      </c>
      <c r="N837" s="4">
        <v>0.13255400000000001</v>
      </c>
      <c r="O837" s="4">
        <v>0.31230000000000002</v>
      </c>
    </row>
    <row r="838" spans="2:15">
      <c r="B838" t="s">
        <v>69</v>
      </c>
      <c r="C838" t="s">
        <v>50</v>
      </c>
      <c r="D838" t="s">
        <v>1034</v>
      </c>
      <c r="E838" t="s">
        <v>1035</v>
      </c>
      <c r="F838" t="s">
        <v>11</v>
      </c>
      <c r="G838" t="s">
        <v>58</v>
      </c>
      <c r="H838" t="s">
        <v>177</v>
      </c>
      <c r="I838" t="s">
        <v>31</v>
      </c>
      <c r="J838">
        <v>2599</v>
      </c>
      <c r="K838">
        <v>0</v>
      </c>
      <c r="L838" s="4">
        <v>3.8199999999999998E-2</v>
      </c>
      <c r="M838">
        <v>0.09</v>
      </c>
      <c r="N838" s="4">
        <v>9.928179999999999E-2</v>
      </c>
      <c r="O838" s="4">
        <v>0.23391000000000001</v>
      </c>
    </row>
    <row r="839" spans="2:15">
      <c r="B839" t="s">
        <v>69</v>
      </c>
      <c r="C839" t="s">
        <v>50</v>
      </c>
      <c r="D839" t="s">
        <v>1036</v>
      </c>
      <c r="E839" t="s">
        <v>1037</v>
      </c>
      <c r="F839" t="s">
        <v>11</v>
      </c>
      <c r="G839" t="s">
        <v>58</v>
      </c>
      <c r="H839" t="s">
        <v>177</v>
      </c>
      <c r="I839" t="s">
        <v>31</v>
      </c>
      <c r="J839">
        <v>1226</v>
      </c>
      <c r="K839">
        <v>0</v>
      </c>
      <c r="L839" s="4">
        <v>3.8199999999999998E-2</v>
      </c>
      <c r="M839">
        <v>0.09</v>
      </c>
      <c r="N839" s="4">
        <v>4.6833199999999998E-2</v>
      </c>
      <c r="O839" s="4">
        <v>0.11033999999999999</v>
      </c>
    </row>
    <row r="840" spans="2:15">
      <c r="B840" t="s">
        <v>69</v>
      </c>
      <c r="C840" t="s">
        <v>50</v>
      </c>
      <c r="D840" t="s">
        <v>1036</v>
      </c>
      <c r="E840" t="s">
        <v>1037</v>
      </c>
      <c r="F840" t="s">
        <v>11</v>
      </c>
      <c r="G840" t="s">
        <v>58</v>
      </c>
      <c r="H840" t="s">
        <v>177</v>
      </c>
      <c r="I840" t="s">
        <v>31</v>
      </c>
      <c r="J840">
        <v>1836</v>
      </c>
      <c r="K840">
        <v>1</v>
      </c>
      <c r="L840" s="4">
        <v>3.8199999999999998E-2</v>
      </c>
      <c r="M840">
        <v>0.09</v>
      </c>
      <c r="N840" s="4">
        <v>7.0135199999999995E-2</v>
      </c>
      <c r="O840" s="4">
        <v>0.16523999999999997</v>
      </c>
    </row>
    <row r="841" spans="2:15">
      <c r="B841" t="s">
        <v>69</v>
      </c>
      <c r="C841" t="s">
        <v>50</v>
      </c>
      <c r="D841" t="s">
        <v>1038</v>
      </c>
      <c r="E841" t="s">
        <v>1039</v>
      </c>
      <c r="F841" t="s">
        <v>11</v>
      </c>
      <c r="G841" t="s">
        <v>58</v>
      </c>
      <c r="H841" t="s">
        <v>177</v>
      </c>
      <c r="I841" t="s">
        <v>31</v>
      </c>
      <c r="J841">
        <v>836</v>
      </c>
      <c r="K841">
        <v>0</v>
      </c>
      <c r="L841" s="4">
        <v>3.8199999999999998E-2</v>
      </c>
      <c r="M841">
        <v>0.09</v>
      </c>
      <c r="N841" s="4">
        <v>3.1935199999999997E-2</v>
      </c>
      <c r="O841" s="4">
        <v>7.5240000000000001E-2</v>
      </c>
    </row>
    <row r="842" spans="2:15">
      <c r="B842" t="s">
        <v>69</v>
      </c>
      <c r="C842" t="s">
        <v>50</v>
      </c>
      <c r="D842" t="s">
        <v>1038</v>
      </c>
      <c r="E842" t="s">
        <v>1039</v>
      </c>
      <c r="F842" t="s">
        <v>11</v>
      </c>
      <c r="G842" t="s">
        <v>58</v>
      </c>
      <c r="H842" t="s">
        <v>177</v>
      </c>
      <c r="I842" t="s">
        <v>31</v>
      </c>
      <c r="J842">
        <v>6</v>
      </c>
      <c r="K842">
        <v>0</v>
      </c>
      <c r="L842" s="4">
        <v>3.8199999999999998E-2</v>
      </c>
      <c r="M842">
        <v>0.09</v>
      </c>
      <c r="N842" s="4">
        <v>2.2919999999999999E-4</v>
      </c>
      <c r="O842" s="4">
        <v>5.4000000000000001E-4</v>
      </c>
    </row>
    <row r="843" spans="2:15">
      <c r="B843" t="s">
        <v>69</v>
      </c>
      <c r="C843" t="s">
        <v>50</v>
      </c>
      <c r="D843" t="s">
        <v>1040</v>
      </c>
      <c r="E843" t="s">
        <v>1041</v>
      </c>
      <c r="F843" t="s">
        <v>11</v>
      </c>
      <c r="G843" t="s">
        <v>58</v>
      </c>
      <c r="H843" t="s">
        <v>177</v>
      </c>
      <c r="I843" t="s">
        <v>31</v>
      </c>
      <c r="J843">
        <v>2123</v>
      </c>
      <c r="K843">
        <v>1</v>
      </c>
      <c r="L843" s="4">
        <v>3.8199999999999998E-2</v>
      </c>
      <c r="M843">
        <v>0.09</v>
      </c>
      <c r="N843" s="4">
        <v>8.1098599999999993E-2</v>
      </c>
      <c r="O843" s="4">
        <v>0.19106999999999999</v>
      </c>
    </row>
    <row r="844" spans="2:15">
      <c r="B844" t="s">
        <v>69</v>
      </c>
      <c r="C844" t="s">
        <v>50</v>
      </c>
      <c r="D844" t="s">
        <v>1040</v>
      </c>
      <c r="E844" t="s">
        <v>1041</v>
      </c>
      <c r="F844" t="s">
        <v>11</v>
      </c>
      <c r="G844" t="s">
        <v>58</v>
      </c>
      <c r="H844" t="s">
        <v>177</v>
      </c>
      <c r="I844" t="s">
        <v>31</v>
      </c>
      <c r="J844">
        <v>2784</v>
      </c>
      <c r="K844">
        <v>0</v>
      </c>
      <c r="L844" s="4">
        <v>3.8199999999999998E-2</v>
      </c>
      <c r="M844">
        <v>0.09</v>
      </c>
      <c r="N844" s="4">
        <v>0.10634879999999999</v>
      </c>
      <c r="O844" s="4">
        <v>0.25056</v>
      </c>
    </row>
    <row r="845" spans="2:15">
      <c r="B845" t="s">
        <v>69</v>
      </c>
      <c r="C845" t="s">
        <v>50</v>
      </c>
      <c r="D845" t="s">
        <v>1042</v>
      </c>
      <c r="E845" t="s">
        <v>1043</v>
      </c>
      <c r="F845" t="s">
        <v>11</v>
      </c>
      <c r="G845" t="s">
        <v>58</v>
      </c>
      <c r="H845" t="s">
        <v>177</v>
      </c>
      <c r="I845" t="s">
        <v>31</v>
      </c>
      <c r="J845">
        <v>7228</v>
      </c>
      <c r="K845">
        <v>0</v>
      </c>
      <c r="L845" s="4">
        <v>3.8199999999999998E-2</v>
      </c>
      <c r="M845">
        <v>0.09</v>
      </c>
      <c r="N845" s="4">
        <v>0.27610960000000001</v>
      </c>
      <c r="O845" s="4">
        <v>0.65051999999999999</v>
      </c>
    </row>
    <row r="846" spans="2:15">
      <c r="B846" t="s">
        <v>69</v>
      </c>
      <c r="C846" t="s">
        <v>50</v>
      </c>
      <c r="D846" t="s">
        <v>1042</v>
      </c>
      <c r="E846" t="s">
        <v>1043</v>
      </c>
      <c r="F846" t="s">
        <v>11</v>
      </c>
      <c r="G846" t="s">
        <v>58</v>
      </c>
      <c r="H846" t="s">
        <v>177</v>
      </c>
      <c r="I846" t="s">
        <v>31</v>
      </c>
      <c r="J846">
        <v>4182</v>
      </c>
      <c r="K846">
        <v>2</v>
      </c>
      <c r="L846" s="4">
        <v>3.8199999999999998E-2</v>
      </c>
      <c r="M846">
        <v>0.09</v>
      </c>
      <c r="N846" s="4">
        <v>0.15975239999999999</v>
      </c>
      <c r="O846" s="4">
        <v>0.37637999999999999</v>
      </c>
    </row>
    <row r="847" spans="2:15">
      <c r="B847" t="s">
        <v>69</v>
      </c>
      <c r="C847" t="s">
        <v>50</v>
      </c>
      <c r="D847" t="s">
        <v>1044</v>
      </c>
      <c r="E847" t="s">
        <v>1045</v>
      </c>
      <c r="F847" t="s">
        <v>11</v>
      </c>
      <c r="G847" t="s">
        <v>58</v>
      </c>
      <c r="H847" t="s">
        <v>177</v>
      </c>
      <c r="I847" t="s">
        <v>31</v>
      </c>
      <c r="J847">
        <v>6892</v>
      </c>
      <c r="K847">
        <v>4</v>
      </c>
      <c r="L847" s="4">
        <v>3.8199999999999998E-2</v>
      </c>
      <c r="M847">
        <v>0.09</v>
      </c>
      <c r="N847" s="4">
        <v>0.26327439999999996</v>
      </c>
      <c r="O847" s="4">
        <v>0.62027999999999994</v>
      </c>
    </row>
    <row r="848" spans="2:15">
      <c r="B848" t="s">
        <v>69</v>
      </c>
      <c r="C848" t="s">
        <v>50</v>
      </c>
      <c r="D848" t="s">
        <v>1044</v>
      </c>
      <c r="E848" t="s">
        <v>1045</v>
      </c>
      <c r="F848" t="s">
        <v>11</v>
      </c>
      <c r="G848" t="s">
        <v>58</v>
      </c>
      <c r="H848" t="s">
        <v>177</v>
      </c>
      <c r="I848" t="s">
        <v>31</v>
      </c>
      <c r="J848">
        <v>4335</v>
      </c>
      <c r="K848">
        <v>1</v>
      </c>
      <c r="L848" s="4">
        <v>3.8199999999999998E-2</v>
      </c>
      <c r="M848">
        <v>0.09</v>
      </c>
      <c r="N848" s="4">
        <v>0.16559699999999997</v>
      </c>
      <c r="O848" s="4">
        <v>0.39015</v>
      </c>
    </row>
    <row r="849" spans="2:15">
      <c r="B849" t="s">
        <v>69</v>
      </c>
      <c r="C849" t="s">
        <v>50</v>
      </c>
      <c r="D849" t="s">
        <v>1046</v>
      </c>
      <c r="E849" t="s">
        <v>1047</v>
      </c>
      <c r="F849" t="s">
        <v>11</v>
      </c>
      <c r="G849" t="s">
        <v>58</v>
      </c>
      <c r="H849" t="s">
        <v>177</v>
      </c>
      <c r="I849" t="s">
        <v>31</v>
      </c>
      <c r="J849">
        <v>4070</v>
      </c>
      <c r="K849">
        <v>0</v>
      </c>
      <c r="L849" s="4">
        <v>3.8199999999999998E-2</v>
      </c>
      <c r="M849">
        <v>0.09</v>
      </c>
      <c r="N849" s="4">
        <v>0.155474</v>
      </c>
      <c r="O849" s="4">
        <v>0.36630000000000001</v>
      </c>
    </row>
    <row r="850" spans="2:15">
      <c r="B850" t="s">
        <v>69</v>
      </c>
      <c r="C850" t="s">
        <v>50</v>
      </c>
      <c r="D850" t="s">
        <v>1046</v>
      </c>
      <c r="E850" t="s">
        <v>1047</v>
      </c>
      <c r="F850" t="s">
        <v>11</v>
      </c>
      <c r="G850" t="s">
        <v>58</v>
      </c>
      <c r="H850" t="s">
        <v>177</v>
      </c>
      <c r="I850" t="s">
        <v>31</v>
      </c>
      <c r="J850">
        <v>2254</v>
      </c>
      <c r="K850">
        <v>0</v>
      </c>
      <c r="L850" s="4">
        <v>3.8199999999999998E-2</v>
      </c>
      <c r="M850">
        <v>0.09</v>
      </c>
      <c r="N850" s="4">
        <v>8.6102800000000007E-2</v>
      </c>
      <c r="O850" s="4">
        <v>0.20285999999999998</v>
      </c>
    </row>
    <row r="851" spans="2:15">
      <c r="B851" t="s">
        <v>69</v>
      </c>
      <c r="C851" t="s">
        <v>50</v>
      </c>
      <c r="D851" t="s">
        <v>1048</v>
      </c>
      <c r="E851" t="s">
        <v>1049</v>
      </c>
      <c r="F851" t="s">
        <v>11</v>
      </c>
      <c r="G851" t="s">
        <v>58</v>
      </c>
      <c r="H851" t="s">
        <v>177</v>
      </c>
      <c r="I851" t="s">
        <v>31</v>
      </c>
      <c r="J851">
        <v>3838</v>
      </c>
      <c r="K851">
        <v>1</v>
      </c>
      <c r="L851" s="4">
        <v>3.8199999999999998E-2</v>
      </c>
      <c r="M851">
        <v>0.09</v>
      </c>
      <c r="N851" s="4">
        <v>0.14661159999999998</v>
      </c>
      <c r="O851" s="4">
        <v>0.34541999999999995</v>
      </c>
    </row>
    <row r="852" spans="2:15">
      <c r="B852" t="s">
        <v>69</v>
      </c>
      <c r="C852" t="s">
        <v>50</v>
      </c>
      <c r="D852" t="s">
        <v>1048</v>
      </c>
      <c r="E852" t="s">
        <v>1049</v>
      </c>
      <c r="F852" t="s">
        <v>11</v>
      </c>
      <c r="G852" t="s">
        <v>58</v>
      </c>
      <c r="H852" t="s">
        <v>177</v>
      </c>
      <c r="I852" t="s">
        <v>31</v>
      </c>
      <c r="J852">
        <v>2160</v>
      </c>
      <c r="K852">
        <v>1</v>
      </c>
      <c r="L852" s="4">
        <v>3.8199999999999998E-2</v>
      </c>
      <c r="M852">
        <v>0.09</v>
      </c>
      <c r="N852" s="4">
        <v>8.2512000000000002E-2</v>
      </c>
      <c r="O852" s="4">
        <v>0.19440000000000002</v>
      </c>
    </row>
    <row r="853" spans="2:15">
      <c r="B853" t="s">
        <v>69</v>
      </c>
      <c r="C853" t="s">
        <v>50</v>
      </c>
      <c r="D853" t="s">
        <v>1050</v>
      </c>
      <c r="E853" t="s">
        <v>1051</v>
      </c>
      <c r="F853" t="s">
        <v>11</v>
      </c>
      <c r="G853" t="s">
        <v>58</v>
      </c>
      <c r="H853" t="s">
        <v>177</v>
      </c>
      <c r="I853" t="s">
        <v>31</v>
      </c>
      <c r="J853">
        <v>4588</v>
      </c>
      <c r="K853">
        <v>4</v>
      </c>
      <c r="L853" s="4">
        <v>3.8199999999999998E-2</v>
      </c>
      <c r="M853">
        <v>0.09</v>
      </c>
      <c r="N853" s="4">
        <v>0.17526159999999999</v>
      </c>
      <c r="O853" s="4">
        <v>0.41291999999999995</v>
      </c>
    </row>
    <row r="854" spans="2:15">
      <c r="B854" t="s">
        <v>69</v>
      </c>
      <c r="C854" t="s">
        <v>50</v>
      </c>
      <c r="D854" t="s">
        <v>1050</v>
      </c>
      <c r="E854" t="s">
        <v>1051</v>
      </c>
      <c r="F854" t="s">
        <v>11</v>
      </c>
      <c r="G854" t="s">
        <v>58</v>
      </c>
      <c r="H854" t="s">
        <v>177</v>
      </c>
      <c r="I854" t="s">
        <v>31</v>
      </c>
      <c r="J854">
        <v>2371</v>
      </c>
      <c r="K854">
        <v>0</v>
      </c>
      <c r="L854" s="4">
        <v>3.8199999999999998E-2</v>
      </c>
      <c r="M854">
        <v>0.09</v>
      </c>
      <c r="N854" s="4">
        <v>9.0572199999999992E-2</v>
      </c>
      <c r="O854" s="4">
        <v>0.21339</v>
      </c>
    </row>
    <row r="855" spans="2:15">
      <c r="B855" t="s">
        <v>69</v>
      </c>
      <c r="C855" t="s">
        <v>50</v>
      </c>
      <c r="D855" t="s">
        <v>1052</v>
      </c>
      <c r="E855" t="s">
        <v>1053</v>
      </c>
      <c r="F855" t="s">
        <v>11</v>
      </c>
      <c r="G855" t="s">
        <v>58</v>
      </c>
      <c r="H855" t="s">
        <v>177</v>
      </c>
      <c r="I855" t="s">
        <v>31</v>
      </c>
      <c r="J855">
        <v>4756</v>
      </c>
      <c r="K855">
        <v>4</v>
      </c>
      <c r="L855" s="4">
        <v>3.8199999999999998E-2</v>
      </c>
      <c r="M855">
        <v>0.09</v>
      </c>
      <c r="N855" s="4">
        <v>0.18167919999999999</v>
      </c>
      <c r="O855" s="4">
        <v>0.42803999999999998</v>
      </c>
    </row>
    <row r="856" spans="2:15">
      <c r="B856" t="s">
        <v>69</v>
      </c>
      <c r="C856" t="s">
        <v>50</v>
      </c>
      <c r="D856" t="s">
        <v>1052</v>
      </c>
      <c r="E856" t="s">
        <v>1053</v>
      </c>
      <c r="F856" t="s">
        <v>11</v>
      </c>
      <c r="G856" t="s">
        <v>58</v>
      </c>
      <c r="H856" t="s">
        <v>177</v>
      </c>
      <c r="I856" t="s">
        <v>31</v>
      </c>
      <c r="J856">
        <v>2755</v>
      </c>
      <c r="K856">
        <v>0</v>
      </c>
      <c r="L856" s="4">
        <v>3.8199999999999998E-2</v>
      </c>
      <c r="M856">
        <v>0.09</v>
      </c>
      <c r="N856" s="4">
        <v>0.105241</v>
      </c>
      <c r="O856" s="4">
        <v>0.24794999999999998</v>
      </c>
    </row>
    <row r="857" spans="2:15">
      <c r="B857" t="s">
        <v>69</v>
      </c>
      <c r="C857" t="s">
        <v>50</v>
      </c>
      <c r="D857" t="s">
        <v>1054</v>
      </c>
      <c r="E857" t="s">
        <v>1055</v>
      </c>
      <c r="F857" t="s">
        <v>11</v>
      </c>
      <c r="G857" t="s">
        <v>58</v>
      </c>
      <c r="H857" t="s">
        <v>177</v>
      </c>
      <c r="I857" t="s">
        <v>31</v>
      </c>
      <c r="J857">
        <v>4623</v>
      </c>
      <c r="K857">
        <v>2</v>
      </c>
      <c r="L857" s="4">
        <v>3.8199999999999998E-2</v>
      </c>
      <c r="M857">
        <v>0.09</v>
      </c>
      <c r="N857" s="4">
        <v>0.17659859999999997</v>
      </c>
      <c r="O857" s="4">
        <v>0.41607</v>
      </c>
    </row>
    <row r="858" spans="2:15">
      <c r="B858" t="s">
        <v>69</v>
      </c>
      <c r="C858" t="s">
        <v>50</v>
      </c>
      <c r="D858" t="s">
        <v>1054</v>
      </c>
      <c r="E858" t="s">
        <v>1055</v>
      </c>
      <c r="F858" t="s">
        <v>11</v>
      </c>
      <c r="G858" t="s">
        <v>58</v>
      </c>
      <c r="H858" t="s">
        <v>177</v>
      </c>
      <c r="I858" t="s">
        <v>31</v>
      </c>
      <c r="J858">
        <v>2497</v>
      </c>
      <c r="K858">
        <v>0</v>
      </c>
      <c r="L858" s="4">
        <v>3.8199999999999998E-2</v>
      </c>
      <c r="M858">
        <v>0.09</v>
      </c>
      <c r="N858" s="4">
        <v>9.5385399999999995E-2</v>
      </c>
      <c r="O858" s="4">
        <v>0.22472999999999999</v>
      </c>
    </row>
    <row r="859" spans="2:15">
      <c r="B859" t="s">
        <v>69</v>
      </c>
      <c r="C859" t="s">
        <v>50</v>
      </c>
      <c r="D859" t="s">
        <v>1056</v>
      </c>
      <c r="E859" t="s">
        <v>1057</v>
      </c>
      <c r="F859" t="s">
        <v>11</v>
      </c>
      <c r="G859" t="s">
        <v>58</v>
      </c>
      <c r="H859" t="s">
        <v>177</v>
      </c>
      <c r="I859" t="s">
        <v>31</v>
      </c>
      <c r="J859">
        <v>4556</v>
      </c>
      <c r="K859">
        <v>5</v>
      </c>
      <c r="L859" s="4">
        <v>3.8199999999999998E-2</v>
      </c>
      <c r="M859">
        <v>0.09</v>
      </c>
      <c r="N859" s="4">
        <v>0.17403920000000001</v>
      </c>
      <c r="O859" s="4">
        <v>0.41003999999999996</v>
      </c>
    </row>
    <row r="860" spans="2:15">
      <c r="B860" t="s">
        <v>69</v>
      </c>
      <c r="C860" t="s">
        <v>50</v>
      </c>
      <c r="D860" t="s">
        <v>1056</v>
      </c>
      <c r="E860" t="s">
        <v>1057</v>
      </c>
      <c r="F860" t="s">
        <v>11</v>
      </c>
      <c r="G860" t="s">
        <v>58</v>
      </c>
      <c r="H860" t="s">
        <v>177</v>
      </c>
      <c r="I860" t="s">
        <v>31</v>
      </c>
      <c r="J860">
        <v>3433</v>
      </c>
      <c r="K860">
        <v>0</v>
      </c>
      <c r="L860" s="4">
        <v>3.8199999999999998E-2</v>
      </c>
      <c r="M860">
        <v>0.09</v>
      </c>
      <c r="N860" s="4">
        <v>0.1311406</v>
      </c>
      <c r="O860" s="4">
        <v>0.30896999999999997</v>
      </c>
    </row>
    <row r="861" spans="2:15">
      <c r="B861" t="s">
        <v>69</v>
      </c>
      <c r="C861" t="s">
        <v>50</v>
      </c>
      <c r="D861" t="s">
        <v>1058</v>
      </c>
      <c r="E861" t="s">
        <v>1059</v>
      </c>
      <c r="F861" t="s">
        <v>11</v>
      </c>
      <c r="G861" t="s">
        <v>58</v>
      </c>
      <c r="H861" t="s">
        <v>177</v>
      </c>
      <c r="I861" t="s">
        <v>31</v>
      </c>
      <c r="J861">
        <v>4618</v>
      </c>
      <c r="K861">
        <v>2</v>
      </c>
      <c r="L861" s="4">
        <v>3.8199999999999998E-2</v>
      </c>
      <c r="M861">
        <v>0.09</v>
      </c>
      <c r="N861" s="4">
        <v>0.1764076</v>
      </c>
      <c r="O861" s="4">
        <v>0.41561999999999999</v>
      </c>
    </row>
    <row r="862" spans="2:15">
      <c r="B862" t="s">
        <v>69</v>
      </c>
      <c r="C862" t="s">
        <v>50</v>
      </c>
      <c r="D862" t="s">
        <v>1058</v>
      </c>
      <c r="E862" t="s">
        <v>1059</v>
      </c>
      <c r="F862" t="s">
        <v>11</v>
      </c>
      <c r="G862" t="s">
        <v>58</v>
      </c>
      <c r="H862" t="s">
        <v>177</v>
      </c>
      <c r="I862" t="s">
        <v>31</v>
      </c>
      <c r="J862">
        <v>3321</v>
      </c>
      <c r="K862">
        <v>1</v>
      </c>
      <c r="L862" s="4">
        <v>3.8199999999999998E-2</v>
      </c>
      <c r="M862">
        <v>0.09</v>
      </c>
      <c r="N862" s="4">
        <v>0.12686219999999998</v>
      </c>
      <c r="O862" s="4">
        <v>0.29888999999999999</v>
      </c>
    </row>
    <row r="863" spans="2:15">
      <c r="B863" t="s">
        <v>69</v>
      </c>
      <c r="C863" t="s">
        <v>50</v>
      </c>
      <c r="D863" t="s">
        <v>1060</v>
      </c>
      <c r="E863" t="s">
        <v>1061</v>
      </c>
      <c r="F863" t="s">
        <v>11</v>
      </c>
      <c r="G863" t="s">
        <v>58</v>
      </c>
      <c r="H863" t="s">
        <v>177</v>
      </c>
      <c r="I863" t="s">
        <v>31</v>
      </c>
      <c r="J863">
        <v>4703</v>
      </c>
      <c r="K863">
        <v>3</v>
      </c>
      <c r="L863" s="4">
        <v>3.8199999999999998E-2</v>
      </c>
      <c r="M863">
        <v>0.09</v>
      </c>
      <c r="N863" s="4">
        <v>0.1796546</v>
      </c>
      <c r="O863" s="4">
        <v>0.42326999999999998</v>
      </c>
    </row>
    <row r="864" spans="2:15">
      <c r="B864" t="s">
        <v>69</v>
      </c>
      <c r="C864" t="s">
        <v>50</v>
      </c>
      <c r="D864" t="s">
        <v>1060</v>
      </c>
      <c r="E864" t="s">
        <v>1061</v>
      </c>
      <c r="F864" t="s">
        <v>11</v>
      </c>
      <c r="G864" t="s">
        <v>58</v>
      </c>
      <c r="H864" t="s">
        <v>177</v>
      </c>
      <c r="I864" t="s">
        <v>31</v>
      </c>
      <c r="J864">
        <v>3376</v>
      </c>
      <c r="K864">
        <v>0</v>
      </c>
      <c r="L864" s="4">
        <v>3.8199999999999998E-2</v>
      </c>
      <c r="M864">
        <v>0.09</v>
      </c>
      <c r="N864" s="4">
        <v>0.1289632</v>
      </c>
      <c r="O864" s="4">
        <v>0.30384</v>
      </c>
    </row>
    <row r="865" spans="2:15">
      <c r="B865" t="s">
        <v>69</v>
      </c>
      <c r="C865" t="s">
        <v>50</v>
      </c>
      <c r="D865" t="s">
        <v>1062</v>
      </c>
      <c r="E865" t="s">
        <v>1063</v>
      </c>
      <c r="F865" t="s">
        <v>11</v>
      </c>
      <c r="G865" t="s">
        <v>58</v>
      </c>
      <c r="H865" t="s">
        <v>177</v>
      </c>
      <c r="I865" t="s">
        <v>31</v>
      </c>
      <c r="J865">
        <v>5309</v>
      </c>
      <c r="K865">
        <v>2</v>
      </c>
      <c r="L865" s="4">
        <v>3.8199999999999998E-2</v>
      </c>
      <c r="M865">
        <v>0.09</v>
      </c>
      <c r="N865" s="4">
        <v>0.20280380000000001</v>
      </c>
      <c r="O865" s="4">
        <v>0.47781000000000001</v>
      </c>
    </row>
    <row r="866" spans="2:15">
      <c r="B866" t="s">
        <v>69</v>
      </c>
      <c r="C866" t="s">
        <v>50</v>
      </c>
      <c r="D866" t="s">
        <v>1062</v>
      </c>
      <c r="E866" t="s">
        <v>1063</v>
      </c>
      <c r="F866" t="s">
        <v>11</v>
      </c>
      <c r="G866" t="s">
        <v>58</v>
      </c>
      <c r="H866" t="s">
        <v>177</v>
      </c>
      <c r="I866" t="s">
        <v>31</v>
      </c>
      <c r="J866">
        <v>4542</v>
      </c>
      <c r="K866">
        <v>1</v>
      </c>
      <c r="L866" s="4">
        <v>3.8199999999999998E-2</v>
      </c>
      <c r="M866">
        <v>0.09</v>
      </c>
      <c r="N866" s="4">
        <v>0.1735044</v>
      </c>
      <c r="O866" s="4">
        <v>0.40877999999999998</v>
      </c>
    </row>
    <row r="867" spans="2:15">
      <c r="B867" t="s">
        <v>69</v>
      </c>
      <c r="C867" t="s">
        <v>50</v>
      </c>
      <c r="D867" t="s">
        <v>1064</v>
      </c>
      <c r="E867" t="s">
        <v>1065</v>
      </c>
      <c r="F867" t="s">
        <v>11</v>
      </c>
      <c r="G867" t="s">
        <v>58</v>
      </c>
      <c r="H867" t="s">
        <v>177</v>
      </c>
      <c r="I867" t="s">
        <v>31</v>
      </c>
      <c r="J867">
        <v>2026</v>
      </c>
      <c r="K867">
        <v>1</v>
      </c>
      <c r="L867" s="4">
        <v>3.8199999999999998E-2</v>
      </c>
      <c r="M867">
        <v>0.09</v>
      </c>
      <c r="N867" s="4">
        <v>7.7393199999999995E-2</v>
      </c>
      <c r="O867" s="4">
        <v>0.18234</v>
      </c>
    </row>
    <row r="868" spans="2:15">
      <c r="B868" t="s">
        <v>69</v>
      </c>
      <c r="C868" t="s">
        <v>50</v>
      </c>
      <c r="D868" t="s">
        <v>1064</v>
      </c>
      <c r="E868" t="s">
        <v>1065</v>
      </c>
      <c r="F868" t="s">
        <v>11</v>
      </c>
      <c r="G868" t="s">
        <v>58</v>
      </c>
      <c r="H868" t="s">
        <v>177</v>
      </c>
      <c r="I868" t="s">
        <v>31</v>
      </c>
      <c r="J868">
        <v>1402</v>
      </c>
      <c r="K868">
        <v>0</v>
      </c>
      <c r="L868" s="4">
        <v>3.8199999999999998E-2</v>
      </c>
      <c r="M868">
        <v>0.09</v>
      </c>
      <c r="N868" s="4">
        <v>5.3556399999999997E-2</v>
      </c>
      <c r="O868" s="4">
        <v>0.12617999999999999</v>
      </c>
    </row>
    <row r="869" spans="2:15">
      <c r="B869" t="s">
        <v>69</v>
      </c>
      <c r="C869" t="s">
        <v>50</v>
      </c>
      <c r="D869" t="s">
        <v>1066</v>
      </c>
      <c r="E869" t="s">
        <v>1067</v>
      </c>
      <c r="F869" t="s">
        <v>11</v>
      </c>
      <c r="G869" t="s">
        <v>58</v>
      </c>
      <c r="H869" t="s">
        <v>177</v>
      </c>
      <c r="I869" t="s">
        <v>31</v>
      </c>
      <c r="J869">
        <v>2101</v>
      </c>
      <c r="K869">
        <v>0</v>
      </c>
      <c r="L869" s="4">
        <v>3.8199999999999998E-2</v>
      </c>
      <c r="M869">
        <v>0.09</v>
      </c>
      <c r="N869" s="4">
        <v>8.0258200000000002E-2</v>
      </c>
      <c r="O869" s="4">
        <v>0.18909000000000001</v>
      </c>
    </row>
    <row r="870" spans="2:15">
      <c r="B870" t="s">
        <v>69</v>
      </c>
      <c r="C870" t="s">
        <v>50</v>
      </c>
      <c r="D870" t="s">
        <v>1066</v>
      </c>
      <c r="E870" t="s">
        <v>1067</v>
      </c>
      <c r="F870" t="s">
        <v>11</v>
      </c>
      <c r="G870" t="s">
        <v>58</v>
      </c>
      <c r="H870" t="s">
        <v>177</v>
      </c>
      <c r="I870" t="s">
        <v>31</v>
      </c>
      <c r="J870">
        <v>1416</v>
      </c>
      <c r="K870">
        <v>0</v>
      </c>
      <c r="L870" s="4">
        <v>3.8199999999999998E-2</v>
      </c>
      <c r="M870">
        <v>0.09</v>
      </c>
      <c r="N870" s="4">
        <v>5.4091199999999992E-2</v>
      </c>
      <c r="O870" s="4">
        <v>0.12744</v>
      </c>
    </row>
    <row r="871" spans="2:15">
      <c r="B871" t="s">
        <v>69</v>
      </c>
      <c r="C871" t="s">
        <v>50</v>
      </c>
      <c r="D871" t="s">
        <v>1068</v>
      </c>
      <c r="E871" t="s">
        <v>1069</v>
      </c>
      <c r="F871" t="s">
        <v>11</v>
      </c>
      <c r="G871" t="s">
        <v>58</v>
      </c>
      <c r="H871" t="s">
        <v>177</v>
      </c>
      <c r="I871" t="s">
        <v>31</v>
      </c>
      <c r="J871">
        <v>3168</v>
      </c>
      <c r="K871">
        <v>0</v>
      </c>
      <c r="L871" s="4">
        <v>3.8199999999999998E-2</v>
      </c>
      <c r="M871">
        <v>0.09</v>
      </c>
      <c r="N871" s="4">
        <v>0.12101759999999999</v>
      </c>
      <c r="O871" s="4">
        <v>0.28511999999999998</v>
      </c>
    </row>
    <row r="872" spans="2:15">
      <c r="B872" t="s">
        <v>69</v>
      </c>
      <c r="C872" t="s">
        <v>50</v>
      </c>
      <c r="D872" t="s">
        <v>1068</v>
      </c>
      <c r="E872" t="s">
        <v>1069</v>
      </c>
      <c r="F872" t="s">
        <v>11</v>
      </c>
      <c r="G872" t="s">
        <v>58</v>
      </c>
      <c r="H872" t="s">
        <v>177</v>
      </c>
      <c r="I872" t="s">
        <v>31</v>
      </c>
      <c r="J872">
        <v>1479</v>
      </c>
      <c r="K872">
        <v>0</v>
      </c>
      <c r="L872" s="4">
        <v>3.8199999999999998E-2</v>
      </c>
      <c r="M872">
        <v>0.09</v>
      </c>
      <c r="N872" s="4">
        <v>5.6497800000000001E-2</v>
      </c>
      <c r="O872" s="4">
        <v>0.13310999999999998</v>
      </c>
    </row>
    <row r="873" spans="2:15">
      <c r="B873" t="s">
        <v>69</v>
      </c>
      <c r="C873" t="s">
        <v>50</v>
      </c>
      <c r="D873" t="s">
        <v>1070</v>
      </c>
      <c r="E873" t="s">
        <v>1071</v>
      </c>
      <c r="F873" t="s">
        <v>11</v>
      </c>
      <c r="G873" t="s">
        <v>58</v>
      </c>
      <c r="H873" t="s">
        <v>177</v>
      </c>
      <c r="I873" t="s">
        <v>31</v>
      </c>
      <c r="J873">
        <v>3474</v>
      </c>
      <c r="K873">
        <v>0</v>
      </c>
      <c r="L873" s="4">
        <v>3.8199999999999998E-2</v>
      </c>
      <c r="M873">
        <v>0.09</v>
      </c>
      <c r="N873" s="4">
        <v>0.13270679999999999</v>
      </c>
      <c r="O873" s="4">
        <v>0.31265999999999999</v>
      </c>
    </row>
    <row r="874" spans="2:15">
      <c r="B874" t="s">
        <v>69</v>
      </c>
      <c r="C874" t="s">
        <v>50</v>
      </c>
      <c r="D874" t="s">
        <v>1070</v>
      </c>
      <c r="E874" t="s">
        <v>1071</v>
      </c>
      <c r="F874" t="s">
        <v>11</v>
      </c>
      <c r="G874" t="s">
        <v>58</v>
      </c>
      <c r="H874" t="s">
        <v>177</v>
      </c>
      <c r="I874" t="s">
        <v>31</v>
      </c>
      <c r="J874">
        <v>2643</v>
      </c>
      <c r="K874">
        <v>1</v>
      </c>
      <c r="L874" s="4">
        <v>3.8199999999999998E-2</v>
      </c>
      <c r="M874">
        <v>0.09</v>
      </c>
      <c r="N874" s="4">
        <v>0.1009626</v>
      </c>
      <c r="O874" s="4">
        <v>0.23787</v>
      </c>
    </row>
    <row r="875" spans="2:15">
      <c r="B875" t="s">
        <v>69</v>
      </c>
      <c r="C875" t="s">
        <v>50</v>
      </c>
      <c r="D875" t="s">
        <v>1072</v>
      </c>
      <c r="E875" t="s">
        <v>1073</v>
      </c>
      <c r="F875" t="s">
        <v>11</v>
      </c>
      <c r="G875" t="s">
        <v>58</v>
      </c>
      <c r="H875" t="s">
        <v>177</v>
      </c>
      <c r="I875" t="s">
        <v>31</v>
      </c>
      <c r="J875">
        <v>9370</v>
      </c>
      <c r="K875">
        <v>2</v>
      </c>
      <c r="L875" s="4">
        <v>3.8199999999999998E-2</v>
      </c>
      <c r="M875">
        <v>0.09</v>
      </c>
      <c r="N875" s="4">
        <v>0.35793399999999997</v>
      </c>
      <c r="O875" s="4">
        <v>0.84329999999999994</v>
      </c>
    </row>
    <row r="876" spans="2:15">
      <c r="B876" t="s">
        <v>69</v>
      </c>
      <c r="C876" t="s">
        <v>50</v>
      </c>
      <c r="D876" t="s">
        <v>1072</v>
      </c>
      <c r="E876" t="s">
        <v>1073</v>
      </c>
      <c r="F876" t="s">
        <v>11</v>
      </c>
      <c r="G876" t="s">
        <v>58</v>
      </c>
      <c r="H876" t="s">
        <v>177</v>
      </c>
      <c r="I876" t="s">
        <v>31</v>
      </c>
      <c r="J876">
        <v>5520</v>
      </c>
      <c r="K876">
        <v>0</v>
      </c>
      <c r="L876" s="4">
        <v>3.8199999999999998E-2</v>
      </c>
      <c r="M876">
        <v>0.09</v>
      </c>
      <c r="N876" s="4">
        <v>0.21086399999999997</v>
      </c>
      <c r="O876" s="4">
        <v>0.49679999999999996</v>
      </c>
    </row>
    <row r="877" spans="2:15">
      <c r="B877" t="s">
        <v>69</v>
      </c>
      <c r="C877" t="s">
        <v>50</v>
      </c>
      <c r="D877" t="s">
        <v>1074</v>
      </c>
      <c r="E877" t="s">
        <v>1075</v>
      </c>
      <c r="F877" t="s">
        <v>11</v>
      </c>
      <c r="G877" t="s">
        <v>58</v>
      </c>
      <c r="H877" t="s">
        <v>177</v>
      </c>
      <c r="I877" t="s">
        <v>31</v>
      </c>
      <c r="J877">
        <v>9110</v>
      </c>
      <c r="K877">
        <v>1</v>
      </c>
      <c r="L877" s="4">
        <v>3.8199999999999998E-2</v>
      </c>
      <c r="M877">
        <v>0.09</v>
      </c>
      <c r="N877" s="4">
        <v>0.34800199999999998</v>
      </c>
      <c r="O877" s="4">
        <v>0.81989999999999996</v>
      </c>
    </row>
    <row r="878" spans="2:15">
      <c r="B878" t="s">
        <v>69</v>
      </c>
      <c r="C878" t="s">
        <v>50</v>
      </c>
      <c r="D878" t="s">
        <v>1074</v>
      </c>
      <c r="E878" t="s">
        <v>1075</v>
      </c>
      <c r="F878" t="s">
        <v>11</v>
      </c>
      <c r="G878" t="s">
        <v>58</v>
      </c>
      <c r="H878" t="s">
        <v>177</v>
      </c>
      <c r="I878" t="s">
        <v>31</v>
      </c>
      <c r="J878">
        <v>5601</v>
      </c>
      <c r="K878">
        <v>0</v>
      </c>
      <c r="L878" s="4">
        <v>3.8199999999999998E-2</v>
      </c>
      <c r="M878">
        <v>0.09</v>
      </c>
      <c r="N878" s="4">
        <v>0.21395819999999999</v>
      </c>
      <c r="O878" s="4">
        <v>0.50408999999999993</v>
      </c>
    </row>
    <row r="879" spans="2:15">
      <c r="B879" t="s">
        <v>69</v>
      </c>
      <c r="C879" t="s">
        <v>50</v>
      </c>
      <c r="D879" t="s">
        <v>1076</v>
      </c>
      <c r="E879" t="s">
        <v>1077</v>
      </c>
      <c r="F879" t="s">
        <v>11</v>
      </c>
      <c r="G879" t="s">
        <v>58</v>
      </c>
      <c r="H879" t="s">
        <v>177</v>
      </c>
      <c r="I879" t="s">
        <v>31</v>
      </c>
      <c r="J879">
        <v>9219</v>
      </c>
      <c r="K879">
        <v>1</v>
      </c>
      <c r="L879" s="4">
        <v>3.8199999999999998E-2</v>
      </c>
      <c r="M879">
        <v>0.09</v>
      </c>
      <c r="N879" s="4">
        <v>0.35216579999999997</v>
      </c>
      <c r="O879" s="4">
        <v>0.82970999999999995</v>
      </c>
    </row>
    <row r="880" spans="2:15">
      <c r="B880" t="s">
        <v>69</v>
      </c>
      <c r="C880" t="s">
        <v>50</v>
      </c>
      <c r="D880" t="s">
        <v>1076</v>
      </c>
      <c r="E880" t="s">
        <v>1077</v>
      </c>
      <c r="F880" t="s">
        <v>11</v>
      </c>
      <c r="G880" t="s">
        <v>58</v>
      </c>
      <c r="H880" t="s">
        <v>177</v>
      </c>
      <c r="I880" t="s">
        <v>31</v>
      </c>
      <c r="J880">
        <v>5367</v>
      </c>
      <c r="K880">
        <v>0</v>
      </c>
      <c r="L880" s="4">
        <v>3.8199999999999998E-2</v>
      </c>
      <c r="M880">
        <v>0.09</v>
      </c>
      <c r="N880" s="4">
        <v>0.20501939999999999</v>
      </c>
      <c r="O880" s="4">
        <v>0.48302999999999996</v>
      </c>
    </row>
    <row r="881" spans="2:15">
      <c r="B881" t="s">
        <v>69</v>
      </c>
      <c r="C881" t="s">
        <v>50</v>
      </c>
      <c r="D881" t="s">
        <v>1078</v>
      </c>
      <c r="E881" t="s">
        <v>1079</v>
      </c>
      <c r="F881" t="s">
        <v>11</v>
      </c>
      <c r="G881" t="s">
        <v>58</v>
      </c>
      <c r="H881" t="s">
        <v>177</v>
      </c>
      <c r="I881" t="s">
        <v>31</v>
      </c>
      <c r="J881">
        <v>9397</v>
      </c>
      <c r="K881">
        <v>2</v>
      </c>
      <c r="L881" s="4">
        <v>3.8199999999999998E-2</v>
      </c>
      <c r="M881">
        <v>0.09</v>
      </c>
      <c r="N881" s="4">
        <v>0.35896539999999999</v>
      </c>
      <c r="O881" s="4">
        <v>0.84572999999999998</v>
      </c>
    </row>
    <row r="882" spans="2:15">
      <c r="B882" t="s">
        <v>69</v>
      </c>
      <c r="C882" t="s">
        <v>50</v>
      </c>
      <c r="D882" t="s">
        <v>1078</v>
      </c>
      <c r="E882" t="s">
        <v>1079</v>
      </c>
      <c r="F882" t="s">
        <v>11</v>
      </c>
      <c r="G882" t="s">
        <v>58</v>
      </c>
      <c r="H882" t="s">
        <v>177</v>
      </c>
      <c r="I882" t="s">
        <v>31</v>
      </c>
      <c r="J882">
        <v>5534</v>
      </c>
      <c r="K882">
        <v>0</v>
      </c>
      <c r="L882" s="4">
        <v>3.8199999999999998E-2</v>
      </c>
      <c r="M882">
        <v>0.09</v>
      </c>
      <c r="N882" s="4">
        <v>0.2113988</v>
      </c>
      <c r="O882" s="4">
        <v>0.49806</v>
      </c>
    </row>
    <row r="883" spans="2:15">
      <c r="B883" t="s">
        <v>69</v>
      </c>
      <c r="C883" t="s">
        <v>50</v>
      </c>
      <c r="D883" t="s">
        <v>1080</v>
      </c>
      <c r="E883" t="s">
        <v>1081</v>
      </c>
      <c r="F883" t="s">
        <v>11</v>
      </c>
      <c r="G883" t="s">
        <v>58</v>
      </c>
      <c r="H883" t="s">
        <v>177</v>
      </c>
      <c r="I883" t="s">
        <v>31</v>
      </c>
      <c r="J883">
        <v>6359</v>
      </c>
      <c r="K883">
        <v>0</v>
      </c>
      <c r="L883" s="4">
        <v>3.8199999999999998E-2</v>
      </c>
      <c r="M883">
        <v>0.09</v>
      </c>
      <c r="N883" s="4">
        <v>0.24291379999999999</v>
      </c>
      <c r="O883" s="4">
        <v>0.57230999999999999</v>
      </c>
    </row>
    <row r="884" spans="2:15">
      <c r="B884" t="s">
        <v>69</v>
      </c>
      <c r="C884" t="s">
        <v>50</v>
      </c>
      <c r="D884" t="s">
        <v>1080</v>
      </c>
      <c r="E884" t="s">
        <v>1081</v>
      </c>
      <c r="F884" t="s">
        <v>11</v>
      </c>
      <c r="G884" t="s">
        <v>58</v>
      </c>
      <c r="H884" t="s">
        <v>177</v>
      </c>
      <c r="I884" t="s">
        <v>31</v>
      </c>
      <c r="J884">
        <v>3106</v>
      </c>
      <c r="K884">
        <v>0</v>
      </c>
      <c r="L884" s="4">
        <v>3.8199999999999998E-2</v>
      </c>
      <c r="M884">
        <v>0.09</v>
      </c>
      <c r="N884" s="4">
        <v>0.1186492</v>
      </c>
      <c r="O884" s="4">
        <v>0.27953999999999996</v>
      </c>
    </row>
    <row r="885" spans="2:15">
      <c r="B885" t="s">
        <v>69</v>
      </c>
      <c r="C885" t="s">
        <v>50</v>
      </c>
      <c r="D885" t="s">
        <v>1082</v>
      </c>
      <c r="E885" t="s">
        <v>1083</v>
      </c>
      <c r="F885" t="s">
        <v>11</v>
      </c>
      <c r="G885" t="s">
        <v>58</v>
      </c>
      <c r="H885" t="s">
        <v>177</v>
      </c>
      <c r="I885" t="s">
        <v>31</v>
      </c>
      <c r="J885">
        <v>6316</v>
      </c>
      <c r="K885">
        <v>4</v>
      </c>
      <c r="L885" s="4">
        <v>3.8199999999999998E-2</v>
      </c>
      <c r="M885">
        <v>0.09</v>
      </c>
      <c r="N885" s="4">
        <v>0.24127119999999999</v>
      </c>
      <c r="O885" s="4">
        <v>0.56843999999999995</v>
      </c>
    </row>
    <row r="886" spans="2:15">
      <c r="B886" t="s">
        <v>69</v>
      </c>
      <c r="C886" t="s">
        <v>50</v>
      </c>
      <c r="D886" t="s">
        <v>1082</v>
      </c>
      <c r="E886" t="s">
        <v>1083</v>
      </c>
      <c r="F886" t="s">
        <v>11</v>
      </c>
      <c r="G886" t="s">
        <v>58</v>
      </c>
      <c r="H886" t="s">
        <v>177</v>
      </c>
      <c r="I886" t="s">
        <v>31</v>
      </c>
      <c r="J886">
        <v>3185</v>
      </c>
      <c r="K886">
        <v>0</v>
      </c>
      <c r="L886" s="4">
        <v>3.8199999999999998E-2</v>
      </c>
      <c r="M886">
        <v>0.09</v>
      </c>
      <c r="N886" s="4">
        <v>0.12166699999999998</v>
      </c>
      <c r="O886" s="4">
        <v>0.28664999999999996</v>
      </c>
    </row>
    <row r="887" spans="2:15">
      <c r="B887" t="s">
        <v>69</v>
      </c>
      <c r="C887" t="s">
        <v>50</v>
      </c>
      <c r="D887" t="s">
        <v>1084</v>
      </c>
      <c r="E887" t="s">
        <v>1085</v>
      </c>
      <c r="F887" t="s">
        <v>11</v>
      </c>
      <c r="G887" t="s">
        <v>58</v>
      </c>
      <c r="H887" t="s">
        <v>177</v>
      </c>
      <c r="I887" t="s">
        <v>31</v>
      </c>
      <c r="J887">
        <v>6452</v>
      </c>
      <c r="K887">
        <v>5</v>
      </c>
      <c r="L887" s="4">
        <v>3.8199999999999998E-2</v>
      </c>
      <c r="M887">
        <v>0.09</v>
      </c>
      <c r="N887" s="4">
        <v>0.2464664</v>
      </c>
      <c r="O887" s="4">
        <v>0.58067999999999997</v>
      </c>
    </row>
    <row r="888" spans="2:15">
      <c r="B888" t="s">
        <v>69</v>
      </c>
      <c r="C888" t="s">
        <v>50</v>
      </c>
      <c r="D888" t="s">
        <v>1084</v>
      </c>
      <c r="E888" t="s">
        <v>1085</v>
      </c>
      <c r="F888" t="s">
        <v>11</v>
      </c>
      <c r="G888" t="s">
        <v>58</v>
      </c>
      <c r="H888" t="s">
        <v>177</v>
      </c>
      <c r="I888" t="s">
        <v>31</v>
      </c>
      <c r="J888">
        <v>3154</v>
      </c>
      <c r="K888">
        <v>2</v>
      </c>
      <c r="L888" s="4">
        <v>3.8199999999999998E-2</v>
      </c>
      <c r="M888">
        <v>0.09</v>
      </c>
      <c r="N888" s="4">
        <v>0.1204828</v>
      </c>
      <c r="O888" s="4">
        <v>0.28386</v>
      </c>
    </row>
    <row r="889" spans="2:15">
      <c r="B889" t="s">
        <v>69</v>
      </c>
      <c r="C889" t="s">
        <v>50</v>
      </c>
      <c r="D889" t="s">
        <v>1086</v>
      </c>
      <c r="E889" t="s">
        <v>1087</v>
      </c>
      <c r="F889" t="s">
        <v>11</v>
      </c>
      <c r="G889" t="s">
        <v>58</v>
      </c>
      <c r="H889" t="s">
        <v>177</v>
      </c>
      <c r="I889" t="s">
        <v>31</v>
      </c>
      <c r="J889">
        <v>6591</v>
      </c>
      <c r="K889">
        <v>4</v>
      </c>
      <c r="L889" s="4">
        <v>3.8199999999999998E-2</v>
      </c>
      <c r="M889">
        <v>0.09</v>
      </c>
      <c r="N889" s="4">
        <v>0.25177620000000001</v>
      </c>
      <c r="O889" s="4">
        <v>0.59319</v>
      </c>
    </row>
    <row r="890" spans="2:15">
      <c r="B890" t="s">
        <v>69</v>
      </c>
      <c r="C890" t="s">
        <v>50</v>
      </c>
      <c r="D890" t="s">
        <v>1086</v>
      </c>
      <c r="E890" t="s">
        <v>1087</v>
      </c>
      <c r="F890" t="s">
        <v>11</v>
      </c>
      <c r="G890" t="s">
        <v>58</v>
      </c>
      <c r="H890" t="s">
        <v>177</v>
      </c>
      <c r="I890" t="s">
        <v>31</v>
      </c>
      <c r="J890">
        <v>3229</v>
      </c>
      <c r="K890">
        <v>0</v>
      </c>
      <c r="L890" s="4">
        <v>3.8199999999999998E-2</v>
      </c>
      <c r="M890">
        <v>0.09</v>
      </c>
      <c r="N890" s="4">
        <v>0.12334779999999999</v>
      </c>
      <c r="O890" s="4">
        <v>0.29061000000000003</v>
      </c>
    </row>
    <row r="891" spans="2:15">
      <c r="B891" t="s">
        <v>69</v>
      </c>
      <c r="C891" t="s">
        <v>50</v>
      </c>
      <c r="D891" t="s">
        <v>1088</v>
      </c>
      <c r="E891" t="s">
        <v>1089</v>
      </c>
      <c r="F891" t="s">
        <v>11</v>
      </c>
      <c r="G891" t="s">
        <v>58</v>
      </c>
      <c r="H891" t="s">
        <v>177</v>
      </c>
      <c r="I891" t="s">
        <v>31</v>
      </c>
      <c r="J891">
        <v>6457</v>
      </c>
      <c r="K891">
        <v>1</v>
      </c>
      <c r="L891" s="4">
        <v>3.8199999999999998E-2</v>
      </c>
      <c r="M891">
        <v>0.09</v>
      </c>
      <c r="N891" s="4">
        <v>0.2466574</v>
      </c>
      <c r="O891" s="4">
        <v>0.58113000000000004</v>
      </c>
    </row>
    <row r="892" spans="2:15">
      <c r="B892" t="s">
        <v>69</v>
      </c>
      <c r="C892" t="s">
        <v>50</v>
      </c>
      <c r="D892" t="s">
        <v>1088</v>
      </c>
      <c r="E892" t="s">
        <v>1089</v>
      </c>
      <c r="F892" t="s">
        <v>11</v>
      </c>
      <c r="G892" t="s">
        <v>58</v>
      </c>
      <c r="H892" t="s">
        <v>177</v>
      </c>
      <c r="I892" t="s">
        <v>31</v>
      </c>
      <c r="J892">
        <v>2878</v>
      </c>
      <c r="K892">
        <v>0</v>
      </c>
      <c r="L892" s="4">
        <v>3.8199999999999998E-2</v>
      </c>
      <c r="M892">
        <v>0.09</v>
      </c>
      <c r="N892" s="4">
        <v>0.1099396</v>
      </c>
      <c r="O892" s="4">
        <v>0.25901999999999997</v>
      </c>
    </row>
    <row r="893" spans="2:15">
      <c r="B893" t="s">
        <v>69</v>
      </c>
      <c r="C893" t="s">
        <v>50</v>
      </c>
      <c r="D893" t="s">
        <v>1090</v>
      </c>
      <c r="E893" t="s">
        <v>1091</v>
      </c>
      <c r="F893" t="s">
        <v>11</v>
      </c>
      <c r="G893" t="s">
        <v>58</v>
      </c>
      <c r="H893" t="s">
        <v>177</v>
      </c>
      <c r="I893" t="s">
        <v>31</v>
      </c>
      <c r="J893">
        <v>6447</v>
      </c>
      <c r="K893">
        <v>2</v>
      </c>
      <c r="L893" s="4">
        <v>3.8199999999999998E-2</v>
      </c>
      <c r="M893">
        <v>0.09</v>
      </c>
      <c r="N893" s="4">
        <v>0.24627539999999998</v>
      </c>
      <c r="O893" s="4">
        <v>0.58023000000000002</v>
      </c>
    </row>
    <row r="894" spans="2:15">
      <c r="B894" t="s">
        <v>69</v>
      </c>
      <c r="C894" t="s">
        <v>50</v>
      </c>
      <c r="D894" t="s">
        <v>1090</v>
      </c>
      <c r="E894" t="s">
        <v>1091</v>
      </c>
      <c r="F894" t="s">
        <v>11</v>
      </c>
      <c r="G894" t="s">
        <v>58</v>
      </c>
      <c r="H894" t="s">
        <v>177</v>
      </c>
      <c r="I894" t="s">
        <v>31</v>
      </c>
      <c r="J894">
        <v>3211</v>
      </c>
      <c r="K894">
        <v>1</v>
      </c>
      <c r="L894" s="4">
        <v>3.8199999999999998E-2</v>
      </c>
      <c r="M894">
        <v>0.09</v>
      </c>
      <c r="N894" s="4">
        <v>0.12266019999999998</v>
      </c>
      <c r="O894" s="4">
        <v>0.28899000000000002</v>
      </c>
    </row>
    <row r="895" spans="2:15">
      <c r="B895" t="s">
        <v>69</v>
      </c>
      <c r="C895" t="s">
        <v>50</v>
      </c>
      <c r="D895" t="s">
        <v>1092</v>
      </c>
      <c r="E895" t="s">
        <v>1093</v>
      </c>
      <c r="F895" t="s">
        <v>11</v>
      </c>
      <c r="G895" t="s">
        <v>58</v>
      </c>
      <c r="H895" t="s">
        <v>177</v>
      </c>
      <c r="I895" t="s">
        <v>31</v>
      </c>
      <c r="J895">
        <v>4631</v>
      </c>
      <c r="K895">
        <v>1</v>
      </c>
      <c r="L895" s="4">
        <v>3.8199999999999998E-2</v>
      </c>
      <c r="M895">
        <v>0.09</v>
      </c>
      <c r="N895" s="4">
        <v>0.17690420000000001</v>
      </c>
      <c r="O895" s="4">
        <v>0.41678999999999994</v>
      </c>
    </row>
    <row r="896" spans="2:15">
      <c r="B896" t="s">
        <v>69</v>
      </c>
      <c r="C896" t="s">
        <v>50</v>
      </c>
      <c r="D896" t="s">
        <v>1092</v>
      </c>
      <c r="E896" t="s">
        <v>1093</v>
      </c>
      <c r="F896" t="s">
        <v>11</v>
      </c>
      <c r="G896" t="s">
        <v>58</v>
      </c>
      <c r="H896" t="s">
        <v>177</v>
      </c>
      <c r="I896" t="s">
        <v>31</v>
      </c>
      <c r="J896">
        <v>2270</v>
      </c>
      <c r="K896">
        <v>0</v>
      </c>
      <c r="L896" s="4">
        <v>3.8199999999999998E-2</v>
      </c>
      <c r="M896">
        <v>0.09</v>
      </c>
      <c r="N896" s="4">
        <v>8.6713999999999999E-2</v>
      </c>
      <c r="O896" s="4">
        <v>0.20429999999999998</v>
      </c>
    </row>
    <row r="897" spans="2:15">
      <c r="B897" t="s">
        <v>69</v>
      </c>
      <c r="C897" t="s">
        <v>50</v>
      </c>
      <c r="D897" t="s">
        <v>1094</v>
      </c>
      <c r="E897" t="s">
        <v>1095</v>
      </c>
      <c r="F897" t="s">
        <v>11</v>
      </c>
      <c r="G897" t="s">
        <v>58</v>
      </c>
      <c r="H897" t="s">
        <v>177</v>
      </c>
      <c r="I897" t="s">
        <v>31</v>
      </c>
      <c r="J897">
        <v>4585</v>
      </c>
      <c r="K897">
        <v>3</v>
      </c>
      <c r="L897" s="4">
        <v>3.8199999999999998E-2</v>
      </c>
      <c r="M897">
        <v>0.09</v>
      </c>
      <c r="N897" s="4">
        <v>0.175147</v>
      </c>
      <c r="O897" s="4">
        <v>0.41264999999999996</v>
      </c>
    </row>
    <row r="898" spans="2:15">
      <c r="B898" t="s">
        <v>69</v>
      </c>
      <c r="C898" t="s">
        <v>50</v>
      </c>
      <c r="D898" t="s">
        <v>1094</v>
      </c>
      <c r="E898" t="s">
        <v>1095</v>
      </c>
      <c r="F898" t="s">
        <v>11</v>
      </c>
      <c r="G898" t="s">
        <v>58</v>
      </c>
      <c r="H898" t="s">
        <v>177</v>
      </c>
      <c r="I898" t="s">
        <v>31</v>
      </c>
      <c r="J898">
        <v>2222</v>
      </c>
      <c r="K898">
        <v>0</v>
      </c>
      <c r="L898" s="4">
        <v>3.8199999999999998E-2</v>
      </c>
      <c r="M898">
        <v>0.09</v>
      </c>
      <c r="N898" s="4">
        <v>8.4880399999999995E-2</v>
      </c>
      <c r="O898" s="4">
        <v>0.19997999999999999</v>
      </c>
    </row>
    <row r="899" spans="2:15">
      <c r="B899" t="s">
        <v>69</v>
      </c>
      <c r="C899" t="s">
        <v>50</v>
      </c>
      <c r="D899" t="s">
        <v>1096</v>
      </c>
      <c r="E899" t="s">
        <v>1097</v>
      </c>
      <c r="F899" t="s">
        <v>11</v>
      </c>
      <c r="G899" t="s">
        <v>58</v>
      </c>
      <c r="H899" t="s">
        <v>177</v>
      </c>
      <c r="I899" t="s">
        <v>31</v>
      </c>
      <c r="J899">
        <v>4573</v>
      </c>
      <c r="K899">
        <v>0</v>
      </c>
      <c r="L899" s="4">
        <v>3.8199999999999998E-2</v>
      </c>
      <c r="M899">
        <v>0.09</v>
      </c>
      <c r="N899" s="4">
        <v>0.17468859999999997</v>
      </c>
      <c r="O899" s="4">
        <v>0.41156999999999999</v>
      </c>
    </row>
    <row r="900" spans="2:15">
      <c r="B900" t="s">
        <v>69</v>
      </c>
      <c r="C900" t="s">
        <v>50</v>
      </c>
      <c r="D900" t="s">
        <v>1096</v>
      </c>
      <c r="E900" t="s">
        <v>1097</v>
      </c>
      <c r="F900" t="s">
        <v>11</v>
      </c>
      <c r="G900" t="s">
        <v>58</v>
      </c>
      <c r="H900" t="s">
        <v>177</v>
      </c>
      <c r="I900" t="s">
        <v>31</v>
      </c>
      <c r="J900">
        <v>2090</v>
      </c>
      <c r="K900">
        <v>1</v>
      </c>
      <c r="L900" s="4">
        <v>3.8199999999999998E-2</v>
      </c>
      <c r="M900">
        <v>0.09</v>
      </c>
      <c r="N900" s="4">
        <v>7.9837999999999992E-2</v>
      </c>
      <c r="O900" s="4">
        <v>0.18809999999999999</v>
      </c>
    </row>
    <row r="901" spans="2:15">
      <c r="B901" t="s">
        <v>69</v>
      </c>
      <c r="C901" t="s">
        <v>50</v>
      </c>
      <c r="D901" t="s">
        <v>1098</v>
      </c>
      <c r="E901" t="s">
        <v>1099</v>
      </c>
      <c r="F901" t="s">
        <v>11</v>
      </c>
      <c r="G901" t="s">
        <v>58</v>
      </c>
      <c r="H901" t="s">
        <v>177</v>
      </c>
      <c r="I901" t="s">
        <v>31</v>
      </c>
      <c r="J901">
        <v>4521</v>
      </c>
      <c r="K901">
        <v>1</v>
      </c>
      <c r="L901" s="4">
        <v>3.8199999999999998E-2</v>
      </c>
      <c r="M901">
        <v>0.09</v>
      </c>
      <c r="N901" s="4">
        <v>0.17270219999999997</v>
      </c>
      <c r="O901" s="4">
        <v>0.40688999999999997</v>
      </c>
    </row>
    <row r="902" spans="2:15">
      <c r="B902" t="s">
        <v>69</v>
      </c>
      <c r="C902" t="s">
        <v>50</v>
      </c>
      <c r="D902" t="s">
        <v>1098</v>
      </c>
      <c r="E902" t="s">
        <v>1099</v>
      </c>
      <c r="F902" t="s">
        <v>11</v>
      </c>
      <c r="G902" t="s">
        <v>58</v>
      </c>
      <c r="H902" t="s">
        <v>177</v>
      </c>
      <c r="I902" t="s">
        <v>31</v>
      </c>
      <c r="J902">
        <v>2189</v>
      </c>
      <c r="K902">
        <v>1</v>
      </c>
      <c r="L902" s="4">
        <v>3.8199999999999998E-2</v>
      </c>
      <c r="M902">
        <v>0.09</v>
      </c>
      <c r="N902" s="4">
        <v>8.3619799999999994E-2</v>
      </c>
      <c r="O902" s="4">
        <v>0.19700999999999999</v>
      </c>
    </row>
    <row r="903" spans="2:15">
      <c r="B903" t="s">
        <v>69</v>
      </c>
      <c r="C903" t="s">
        <v>50</v>
      </c>
      <c r="D903" t="s">
        <v>1100</v>
      </c>
      <c r="E903" t="s">
        <v>1101</v>
      </c>
      <c r="F903" t="s">
        <v>11</v>
      </c>
      <c r="G903" t="s">
        <v>58</v>
      </c>
      <c r="H903" t="s">
        <v>177</v>
      </c>
      <c r="I903" t="s">
        <v>31</v>
      </c>
      <c r="J903">
        <v>4644</v>
      </c>
      <c r="K903">
        <v>1</v>
      </c>
      <c r="L903" s="4">
        <v>3.8199999999999998E-2</v>
      </c>
      <c r="M903">
        <v>0.09</v>
      </c>
      <c r="N903" s="4">
        <v>0.1774008</v>
      </c>
      <c r="O903" s="4">
        <v>0.41796</v>
      </c>
    </row>
    <row r="904" spans="2:15">
      <c r="B904" t="s">
        <v>69</v>
      </c>
      <c r="C904" t="s">
        <v>50</v>
      </c>
      <c r="D904" t="s">
        <v>1100</v>
      </c>
      <c r="E904" t="s">
        <v>1101</v>
      </c>
      <c r="F904" t="s">
        <v>11</v>
      </c>
      <c r="G904" t="s">
        <v>58</v>
      </c>
      <c r="H904" t="s">
        <v>177</v>
      </c>
      <c r="I904" t="s">
        <v>31</v>
      </c>
      <c r="J904">
        <v>2273</v>
      </c>
      <c r="K904">
        <v>2</v>
      </c>
      <c r="L904" s="4">
        <v>3.8199999999999998E-2</v>
      </c>
      <c r="M904">
        <v>0.09</v>
      </c>
      <c r="N904" s="4">
        <v>8.6828599999999992E-2</v>
      </c>
      <c r="O904" s="4">
        <v>0.20457</v>
      </c>
    </row>
    <row r="905" spans="2:15">
      <c r="B905" t="s">
        <v>69</v>
      </c>
      <c r="C905" t="s">
        <v>50</v>
      </c>
      <c r="D905" t="s">
        <v>1102</v>
      </c>
      <c r="E905" t="s">
        <v>1103</v>
      </c>
      <c r="F905" t="s">
        <v>11</v>
      </c>
      <c r="G905" t="s">
        <v>58</v>
      </c>
      <c r="H905" t="s">
        <v>177</v>
      </c>
      <c r="I905" t="s">
        <v>31</v>
      </c>
      <c r="J905">
        <v>5777</v>
      </c>
      <c r="K905">
        <v>3</v>
      </c>
      <c r="L905" s="4">
        <v>3.8199999999999998E-2</v>
      </c>
      <c r="M905">
        <v>0.09</v>
      </c>
      <c r="N905" s="4">
        <v>0.2206814</v>
      </c>
      <c r="O905" s="4">
        <v>0.51993</v>
      </c>
    </row>
    <row r="906" spans="2:15">
      <c r="B906" t="s">
        <v>69</v>
      </c>
      <c r="C906" t="s">
        <v>50</v>
      </c>
      <c r="D906" t="s">
        <v>1102</v>
      </c>
      <c r="E906" t="s">
        <v>1103</v>
      </c>
      <c r="F906" t="s">
        <v>11</v>
      </c>
      <c r="G906" t="s">
        <v>58</v>
      </c>
      <c r="H906" t="s">
        <v>177</v>
      </c>
      <c r="I906" t="s">
        <v>31</v>
      </c>
      <c r="J906">
        <v>2422</v>
      </c>
      <c r="K906">
        <v>1</v>
      </c>
      <c r="L906" s="4">
        <v>3.8199999999999998E-2</v>
      </c>
      <c r="M906">
        <v>0.09</v>
      </c>
      <c r="N906" s="4">
        <v>9.2520399999999989E-2</v>
      </c>
      <c r="O906" s="4">
        <v>0.21797999999999998</v>
      </c>
    </row>
    <row r="907" spans="2:15">
      <c r="B907" t="s">
        <v>69</v>
      </c>
      <c r="C907" t="s">
        <v>50</v>
      </c>
      <c r="D907" t="s">
        <v>1104</v>
      </c>
      <c r="E907" t="s">
        <v>1105</v>
      </c>
      <c r="F907" t="s">
        <v>11</v>
      </c>
      <c r="G907" t="s">
        <v>58</v>
      </c>
      <c r="H907" t="s">
        <v>177</v>
      </c>
      <c r="I907" t="s">
        <v>31</v>
      </c>
      <c r="J907">
        <v>5821</v>
      </c>
      <c r="K907">
        <v>3</v>
      </c>
      <c r="L907" s="4">
        <v>3.8199999999999998E-2</v>
      </c>
      <c r="M907">
        <v>0.09</v>
      </c>
      <c r="N907" s="4">
        <v>0.22236220000000001</v>
      </c>
      <c r="O907" s="4">
        <v>0.52388999999999997</v>
      </c>
    </row>
    <row r="908" spans="2:15">
      <c r="B908" t="s">
        <v>69</v>
      </c>
      <c r="C908" t="s">
        <v>50</v>
      </c>
      <c r="D908" t="s">
        <v>1104</v>
      </c>
      <c r="E908" t="s">
        <v>1105</v>
      </c>
      <c r="F908" t="s">
        <v>11</v>
      </c>
      <c r="G908" t="s">
        <v>58</v>
      </c>
      <c r="H908" t="s">
        <v>177</v>
      </c>
      <c r="I908" t="s">
        <v>31</v>
      </c>
      <c r="J908">
        <v>2578</v>
      </c>
      <c r="K908">
        <v>1</v>
      </c>
      <c r="L908" s="4">
        <v>3.8199999999999998E-2</v>
      </c>
      <c r="M908">
        <v>0.09</v>
      </c>
      <c r="N908" s="4">
        <v>9.8479599999999987E-2</v>
      </c>
      <c r="O908" s="4">
        <v>0.23201999999999998</v>
      </c>
    </row>
    <row r="909" spans="2:15">
      <c r="B909" t="s">
        <v>69</v>
      </c>
      <c r="C909" t="s">
        <v>50</v>
      </c>
      <c r="D909" t="s">
        <v>1106</v>
      </c>
      <c r="E909" t="s">
        <v>1107</v>
      </c>
      <c r="F909" t="s">
        <v>11</v>
      </c>
      <c r="G909" t="s">
        <v>58</v>
      </c>
      <c r="H909" t="s">
        <v>177</v>
      </c>
      <c r="I909" t="s">
        <v>31</v>
      </c>
      <c r="J909">
        <v>5507</v>
      </c>
      <c r="K909">
        <v>2</v>
      </c>
      <c r="L909" s="4">
        <v>3.8199999999999998E-2</v>
      </c>
      <c r="M909">
        <v>0.09</v>
      </c>
      <c r="N909" s="4">
        <v>0.21036739999999998</v>
      </c>
      <c r="O909" s="4">
        <v>0.49563000000000001</v>
      </c>
    </row>
    <row r="910" spans="2:15">
      <c r="B910" t="s">
        <v>69</v>
      </c>
      <c r="C910" t="s">
        <v>50</v>
      </c>
      <c r="D910" t="s">
        <v>1106</v>
      </c>
      <c r="E910" t="s">
        <v>1107</v>
      </c>
      <c r="F910" t="s">
        <v>11</v>
      </c>
      <c r="G910" t="s">
        <v>58</v>
      </c>
      <c r="H910" t="s">
        <v>177</v>
      </c>
      <c r="I910" t="s">
        <v>31</v>
      </c>
      <c r="J910">
        <v>2378</v>
      </c>
      <c r="K910">
        <v>0</v>
      </c>
      <c r="L910" s="4">
        <v>3.8199999999999998E-2</v>
      </c>
      <c r="M910">
        <v>0.09</v>
      </c>
      <c r="N910" s="4">
        <v>9.0839599999999993E-2</v>
      </c>
      <c r="O910" s="4">
        <v>0.21401999999999999</v>
      </c>
    </row>
    <row r="911" spans="2:15">
      <c r="B911" t="s">
        <v>69</v>
      </c>
      <c r="C911" t="s">
        <v>50</v>
      </c>
      <c r="D911" t="s">
        <v>1108</v>
      </c>
      <c r="E911" t="s">
        <v>1109</v>
      </c>
      <c r="F911" t="s">
        <v>11</v>
      </c>
      <c r="G911" t="s">
        <v>58</v>
      </c>
      <c r="H911" t="s">
        <v>177</v>
      </c>
      <c r="I911" t="s">
        <v>31</v>
      </c>
      <c r="J911">
        <v>5893</v>
      </c>
      <c r="K911">
        <v>2</v>
      </c>
      <c r="L911" s="4">
        <v>3.8199999999999998E-2</v>
      </c>
      <c r="M911">
        <v>0.09</v>
      </c>
      <c r="N911" s="4">
        <v>0.2251126</v>
      </c>
      <c r="O911" s="4">
        <v>0.53037000000000001</v>
      </c>
    </row>
    <row r="912" spans="2:15">
      <c r="B912" t="s">
        <v>69</v>
      </c>
      <c r="C912" t="s">
        <v>50</v>
      </c>
      <c r="D912" t="s">
        <v>1108</v>
      </c>
      <c r="E912" t="s">
        <v>1109</v>
      </c>
      <c r="F912" t="s">
        <v>11</v>
      </c>
      <c r="G912" t="s">
        <v>58</v>
      </c>
      <c r="H912" t="s">
        <v>177</v>
      </c>
      <c r="I912" t="s">
        <v>31</v>
      </c>
      <c r="J912">
        <v>2394</v>
      </c>
      <c r="K912">
        <v>0</v>
      </c>
      <c r="L912" s="4">
        <v>3.8199999999999998E-2</v>
      </c>
      <c r="M912">
        <v>0.09</v>
      </c>
      <c r="N912" s="4">
        <v>9.1450799999999999E-2</v>
      </c>
      <c r="O912" s="4">
        <v>0.21545999999999998</v>
      </c>
    </row>
    <row r="913" spans="2:15">
      <c r="B913" t="s">
        <v>69</v>
      </c>
      <c r="C913" t="s">
        <v>50</v>
      </c>
      <c r="D913" t="s">
        <v>1110</v>
      </c>
      <c r="E913" t="s">
        <v>1111</v>
      </c>
      <c r="F913" t="s">
        <v>11</v>
      </c>
      <c r="G913" t="s">
        <v>58</v>
      </c>
      <c r="H913" t="s">
        <v>177</v>
      </c>
      <c r="I913" t="s">
        <v>31</v>
      </c>
      <c r="J913">
        <v>745</v>
      </c>
      <c r="K913">
        <v>1</v>
      </c>
      <c r="L913" s="4">
        <v>3.8199999999999998E-2</v>
      </c>
      <c r="M913">
        <v>0.09</v>
      </c>
      <c r="N913" s="4">
        <v>2.8458999999999998E-2</v>
      </c>
      <c r="O913" s="4">
        <v>6.7049999999999998E-2</v>
      </c>
    </row>
    <row r="914" spans="2:15">
      <c r="B914" t="s">
        <v>69</v>
      </c>
      <c r="C914" t="s">
        <v>50</v>
      </c>
      <c r="D914" t="s">
        <v>1110</v>
      </c>
      <c r="E914" t="s">
        <v>1111</v>
      </c>
      <c r="F914" t="s">
        <v>11</v>
      </c>
      <c r="G914" t="s">
        <v>58</v>
      </c>
      <c r="H914" t="s">
        <v>177</v>
      </c>
      <c r="I914" t="s">
        <v>31</v>
      </c>
      <c r="J914">
        <v>1370</v>
      </c>
      <c r="K914">
        <v>4</v>
      </c>
      <c r="L914" s="4">
        <v>3.8199999999999998E-2</v>
      </c>
      <c r="M914">
        <v>0.09</v>
      </c>
      <c r="N914" s="4">
        <v>5.2333999999999999E-2</v>
      </c>
      <c r="O914" s="4">
        <v>0.12329999999999999</v>
      </c>
    </row>
    <row r="915" spans="2:15">
      <c r="B915" t="s">
        <v>69</v>
      </c>
      <c r="C915" t="s">
        <v>50</v>
      </c>
      <c r="D915" t="s">
        <v>1112</v>
      </c>
      <c r="E915" t="s">
        <v>1113</v>
      </c>
      <c r="F915" t="s">
        <v>11</v>
      </c>
      <c r="G915" t="s">
        <v>58</v>
      </c>
      <c r="H915" t="s">
        <v>177</v>
      </c>
      <c r="I915" t="s">
        <v>31</v>
      </c>
      <c r="J915">
        <v>743</v>
      </c>
      <c r="K915">
        <v>1</v>
      </c>
      <c r="L915" s="4">
        <v>3.8199999999999998E-2</v>
      </c>
      <c r="M915">
        <v>0.09</v>
      </c>
      <c r="N915" s="4">
        <v>2.8382600000000001E-2</v>
      </c>
      <c r="O915" s="4">
        <v>6.6869999999999999E-2</v>
      </c>
    </row>
    <row r="916" spans="2:15">
      <c r="B916" t="s">
        <v>69</v>
      </c>
      <c r="C916" t="s">
        <v>50</v>
      </c>
      <c r="D916" t="s">
        <v>1112</v>
      </c>
      <c r="E916" t="s">
        <v>1113</v>
      </c>
      <c r="F916" t="s">
        <v>11</v>
      </c>
      <c r="G916" t="s">
        <v>58</v>
      </c>
      <c r="H916" t="s">
        <v>177</v>
      </c>
      <c r="I916" t="s">
        <v>31</v>
      </c>
      <c r="J916">
        <v>1843</v>
      </c>
      <c r="K916">
        <v>5</v>
      </c>
      <c r="L916" s="4">
        <v>3.8199999999999998E-2</v>
      </c>
      <c r="M916">
        <v>0.09</v>
      </c>
      <c r="N916" s="4">
        <v>7.0402599999999996E-2</v>
      </c>
      <c r="O916" s="4">
        <v>0.16587000000000002</v>
      </c>
    </row>
    <row r="917" spans="2:15">
      <c r="B917" t="s">
        <v>69</v>
      </c>
      <c r="C917" t="s">
        <v>50</v>
      </c>
      <c r="D917" t="s">
        <v>1114</v>
      </c>
      <c r="E917" t="s">
        <v>1115</v>
      </c>
      <c r="F917" t="s">
        <v>11</v>
      </c>
      <c r="G917" t="s">
        <v>58</v>
      </c>
      <c r="H917" t="s">
        <v>177</v>
      </c>
      <c r="I917" t="s">
        <v>31</v>
      </c>
      <c r="J917">
        <v>947</v>
      </c>
      <c r="K917">
        <v>0</v>
      </c>
      <c r="L917" s="4">
        <v>3.8199999999999998E-2</v>
      </c>
      <c r="M917">
        <v>0.09</v>
      </c>
      <c r="N917" s="4">
        <v>3.6175399999999996E-2</v>
      </c>
      <c r="O917" s="4">
        <v>8.5229999999999986E-2</v>
      </c>
    </row>
    <row r="918" spans="2:15">
      <c r="B918" t="s">
        <v>69</v>
      </c>
      <c r="C918" t="s">
        <v>50</v>
      </c>
      <c r="D918" t="s">
        <v>1114</v>
      </c>
      <c r="E918" t="s">
        <v>1115</v>
      </c>
      <c r="F918" t="s">
        <v>11</v>
      </c>
      <c r="G918" t="s">
        <v>58</v>
      </c>
      <c r="H918" t="s">
        <v>177</v>
      </c>
      <c r="I918" t="s">
        <v>31</v>
      </c>
      <c r="J918">
        <v>1392</v>
      </c>
      <c r="K918">
        <v>4</v>
      </c>
      <c r="L918" s="4">
        <v>3.8199999999999998E-2</v>
      </c>
      <c r="M918">
        <v>0.09</v>
      </c>
      <c r="N918" s="4">
        <v>5.3174399999999997E-2</v>
      </c>
      <c r="O918" s="4">
        <v>0.12528</v>
      </c>
    </row>
    <row r="919" spans="2:15">
      <c r="B919" t="s">
        <v>69</v>
      </c>
      <c r="C919" t="s">
        <v>50</v>
      </c>
      <c r="D919" t="s">
        <v>1116</v>
      </c>
      <c r="E919" t="s">
        <v>1117</v>
      </c>
      <c r="F919" t="s">
        <v>11</v>
      </c>
      <c r="G919" t="s">
        <v>58</v>
      </c>
      <c r="H919" t="s">
        <v>177</v>
      </c>
      <c r="I919" t="s">
        <v>31</v>
      </c>
      <c r="J919">
        <v>724</v>
      </c>
      <c r="K919">
        <v>0</v>
      </c>
      <c r="L919" s="4">
        <v>3.8199999999999998E-2</v>
      </c>
      <c r="M919">
        <v>0.09</v>
      </c>
      <c r="N919" s="4">
        <v>2.7656799999999995E-2</v>
      </c>
      <c r="O919" s="4">
        <v>6.5159999999999996E-2</v>
      </c>
    </row>
    <row r="920" spans="2:15">
      <c r="B920" t="s">
        <v>69</v>
      </c>
      <c r="C920" t="s">
        <v>50</v>
      </c>
      <c r="D920" t="s">
        <v>1116</v>
      </c>
      <c r="E920" t="s">
        <v>1117</v>
      </c>
      <c r="F920" t="s">
        <v>11</v>
      </c>
      <c r="G920" t="s">
        <v>58</v>
      </c>
      <c r="H920" t="s">
        <v>177</v>
      </c>
      <c r="I920" t="s">
        <v>31</v>
      </c>
      <c r="J920">
        <v>1368</v>
      </c>
      <c r="K920">
        <v>6</v>
      </c>
      <c r="L920" s="4">
        <v>3.8199999999999998E-2</v>
      </c>
      <c r="M920">
        <v>0.09</v>
      </c>
      <c r="N920" s="4">
        <v>5.2257599999999994E-2</v>
      </c>
      <c r="O920" s="4">
        <v>0.12311999999999999</v>
      </c>
    </row>
    <row r="921" spans="2:15">
      <c r="B921" t="s">
        <v>69</v>
      </c>
      <c r="C921" t="s">
        <v>50</v>
      </c>
      <c r="D921" t="s">
        <v>1118</v>
      </c>
      <c r="E921" t="s">
        <v>1119</v>
      </c>
      <c r="F921" t="s">
        <v>11</v>
      </c>
      <c r="G921" t="s">
        <v>58</v>
      </c>
      <c r="H921" t="s">
        <v>177</v>
      </c>
      <c r="I921" t="s">
        <v>31</v>
      </c>
      <c r="J921">
        <v>725</v>
      </c>
      <c r="K921">
        <v>0</v>
      </c>
      <c r="L921" s="4">
        <v>3.8199999999999998E-2</v>
      </c>
      <c r="M921">
        <v>0.09</v>
      </c>
      <c r="N921" s="4">
        <v>2.7694999999999997E-2</v>
      </c>
      <c r="O921" s="4">
        <v>6.5250000000000002E-2</v>
      </c>
    </row>
    <row r="922" spans="2:15">
      <c r="B922" t="s">
        <v>69</v>
      </c>
      <c r="C922" t="s">
        <v>50</v>
      </c>
      <c r="D922" t="s">
        <v>1118</v>
      </c>
      <c r="E922" t="s">
        <v>1119</v>
      </c>
      <c r="F922" t="s">
        <v>11</v>
      </c>
      <c r="G922" t="s">
        <v>58</v>
      </c>
      <c r="H922" t="s">
        <v>177</v>
      </c>
      <c r="I922" t="s">
        <v>31</v>
      </c>
      <c r="J922">
        <v>1294</v>
      </c>
      <c r="K922">
        <v>2</v>
      </c>
      <c r="L922" s="4">
        <v>3.8199999999999998E-2</v>
      </c>
      <c r="M922">
        <v>0.09</v>
      </c>
      <c r="N922" s="4">
        <v>4.9430799999999997E-2</v>
      </c>
      <c r="O922" s="4">
        <v>0.11645999999999999</v>
      </c>
    </row>
    <row r="923" spans="2:15">
      <c r="B923" t="s">
        <v>69</v>
      </c>
      <c r="C923" t="s">
        <v>50</v>
      </c>
      <c r="D923" t="s">
        <v>1120</v>
      </c>
      <c r="E923" t="s">
        <v>1121</v>
      </c>
      <c r="F923" t="s">
        <v>11</v>
      </c>
      <c r="G923" t="s">
        <v>58</v>
      </c>
      <c r="H923" t="s">
        <v>177</v>
      </c>
      <c r="I923" t="s">
        <v>31</v>
      </c>
      <c r="J923">
        <v>967</v>
      </c>
      <c r="K923">
        <v>0</v>
      </c>
      <c r="L923" s="4">
        <v>3.8199999999999998E-2</v>
      </c>
      <c r="M923">
        <v>0.09</v>
      </c>
      <c r="N923" s="4">
        <v>3.6939399999999997E-2</v>
      </c>
      <c r="O923" s="4">
        <v>8.7029999999999996E-2</v>
      </c>
    </row>
    <row r="924" spans="2:15">
      <c r="B924" t="s">
        <v>69</v>
      </c>
      <c r="C924" t="s">
        <v>50</v>
      </c>
      <c r="D924" t="s">
        <v>1120</v>
      </c>
      <c r="E924" t="s">
        <v>1121</v>
      </c>
      <c r="F924" t="s">
        <v>11</v>
      </c>
      <c r="G924" t="s">
        <v>58</v>
      </c>
      <c r="H924" t="s">
        <v>177</v>
      </c>
      <c r="I924" t="s">
        <v>31</v>
      </c>
      <c r="J924">
        <v>2073</v>
      </c>
      <c r="K924">
        <v>18</v>
      </c>
      <c r="L924" s="4">
        <v>3.8199999999999998E-2</v>
      </c>
      <c r="M924">
        <v>0.09</v>
      </c>
      <c r="N924" s="4">
        <v>7.9188599999999998E-2</v>
      </c>
      <c r="O924" s="4">
        <v>0.18656999999999999</v>
      </c>
    </row>
    <row r="925" spans="2:15">
      <c r="B925" t="s">
        <v>69</v>
      </c>
      <c r="C925" t="s">
        <v>50</v>
      </c>
      <c r="D925" t="s">
        <v>1122</v>
      </c>
      <c r="E925" t="s">
        <v>1123</v>
      </c>
      <c r="F925" t="s">
        <v>11</v>
      </c>
      <c r="G925" t="s">
        <v>58</v>
      </c>
      <c r="H925" t="s">
        <v>177</v>
      </c>
      <c r="I925" t="s">
        <v>31</v>
      </c>
      <c r="J925">
        <v>738</v>
      </c>
      <c r="K925">
        <v>1</v>
      </c>
      <c r="L925" s="4">
        <v>3.8199999999999998E-2</v>
      </c>
      <c r="M925">
        <v>0.09</v>
      </c>
      <c r="N925" s="4">
        <v>2.8191599999999997E-2</v>
      </c>
      <c r="O925" s="4">
        <v>6.6420000000000007E-2</v>
      </c>
    </row>
    <row r="926" spans="2:15">
      <c r="B926" t="s">
        <v>69</v>
      </c>
      <c r="C926" t="s">
        <v>50</v>
      </c>
      <c r="D926" t="s">
        <v>1122</v>
      </c>
      <c r="E926" t="s">
        <v>1123</v>
      </c>
      <c r="F926" t="s">
        <v>11</v>
      </c>
      <c r="G926" t="s">
        <v>58</v>
      </c>
      <c r="H926" t="s">
        <v>177</v>
      </c>
      <c r="I926" t="s">
        <v>31</v>
      </c>
      <c r="J926">
        <v>4233</v>
      </c>
      <c r="K926">
        <v>33</v>
      </c>
      <c r="L926" s="4">
        <v>3.8199999999999998E-2</v>
      </c>
      <c r="M926">
        <v>0.09</v>
      </c>
      <c r="N926" s="4">
        <v>0.16170059999999997</v>
      </c>
      <c r="O926" s="4">
        <v>0.38096999999999998</v>
      </c>
    </row>
    <row r="927" spans="2:15">
      <c r="B927" t="s">
        <v>69</v>
      </c>
      <c r="C927" t="s">
        <v>50</v>
      </c>
      <c r="D927" t="s">
        <v>1124</v>
      </c>
      <c r="E927" t="s">
        <v>1125</v>
      </c>
      <c r="F927" t="s">
        <v>11</v>
      </c>
      <c r="G927" t="s">
        <v>58</v>
      </c>
      <c r="H927" t="s">
        <v>177</v>
      </c>
      <c r="I927" t="s">
        <v>31</v>
      </c>
      <c r="J927">
        <v>925</v>
      </c>
      <c r="K927">
        <v>2</v>
      </c>
      <c r="L927" s="4">
        <v>3.8199999999999998E-2</v>
      </c>
      <c r="M927">
        <v>0.09</v>
      </c>
      <c r="N927" s="4">
        <v>3.5334999999999998E-2</v>
      </c>
      <c r="O927" s="4">
        <v>8.3250000000000005E-2</v>
      </c>
    </row>
    <row r="928" spans="2:15">
      <c r="B928" t="s">
        <v>69</v>
      </c>
      <c r="C928" t="s">
        <v>50</v>
      </c>
      <c r="D928" t="s">
        <v>1124</v>
      </c>
      <c r="E928" t="s">
        <v>1125</v>
      </c>
      <c r="F928" t="s">
        <v>11</v>
      </c>
      <c r="G928" t="s">
        <v>58</v>
      </c>
      <c r="H928" t="s">
        <v>177</v>
      </c>
      <c r="I928" t="s">
        <v>31</v>
      </c>
      <c r="J928">
        <v>3512</v>
      </c>
      <c r="K928">
        <v>6</v>
      </c>
      <c r="L928" s="4">
        <v>3.8199999999999998E-2</v>
      </c>
      <c r="M928">
        <v>0.09</v>
      </c>
      <c r="N928" s="4">
        <v>0.13415840000000001</v>
      </c>
      <c r="O928" s="4">
        <v>0.31607999999999997</v>
      </c>
    </row>
    <row r="929" spans="2:15">
      <c r="B929" t="s">
        <v>69</v>
      </c>
      <c r="C929" t="s">
        <v>50</v>
      </c>
      <c r="D929" t="s">
        <v>1126</v>
      </c>
      <c r="E929" t="s">
        <v>1127</v>
      </c>
      <c r="F929" t="s">
        <v>11</v>
      </c>
      <c r="G929" t="s">
        <v>58</v>
      </c>
      <c r="H929" t="s">
        <v>177</v>
      </c>
      <c r="I929" t="s">
        <v>31</v>
      </c>
      <c r="J929">
        <v>953</v>
      </c>
      <c r="K929">
        <v>0</v>
      </c>
      <c r="L929" s="4">
        <v>3.8199999999999998E-2</v>
      </c>
      <c r="M929">
        <v>0.09</v>
      </c>
      <c r="N929" s="4">
        <v>3.6404599999999995E-2</v>
      </c>
      <c r="O929" s="4">
        <v>8.5769999999999999E-2</v>
      </c>
    </row>
    <row r="930" spans="2:15">
      <c r="B930" t="s">
        <v>69</v>
      </c>
      <c r="C930" t="s">
        <v>50</v>
      </c>
      <c r="D930" t="s">
        <v>1126</v>
      </c>
      <c r="E930" t="s">
        <v>1127</v>
      </c>
      <c r="F930" t="s">
        <v>11</v>
      </c>
      <c r="G930" t="s">
        <v>58</v>
      </c>
      <c r="H930" t="s">
        <v>177</v>
      </c>
      <c r="I930" t="s">
        <v>31</v>
      </c>
      <c r="J930">
        <v>1358</v>
      </c>
      <c r="K930">
        <v>3</v>
      </c>
      <c r="L930" s="4">
        <v>3.8199999999999998E-2</v>
      </c>
      <c r="M930">
        <v>0.09</v>
      </c>
      <c r="N930" s="4">
        <v>5.1875600000000001E-2</v>
      </c>
      <c r="O930" s="4">
        <v>0.12222</v>
      </c>
    </row>
    <row r="931" spans="2:15">
      <c r="B931" t="s">
        <v>69</v>
      </c>
      <c r="C931" t="s">
        <v>50</v>
      </c>
      <c r="D931" t="s">
        <v>1128</v>
      </c>
      <c r="E931" t="s">
        <v>1129</v>
      </c>
      <c r="F931" t="s">
        <v>11</v>
      </c>
      <c r="G931" t="s">
        <v>58</v>
      </c>
      <c r="H931" t="s">
        <v>177</v>
      </c>
      <c r="I931" t="s">
        <v>31</v>
      </c>
      <c r="J931">
        <v>937</v>
      </c>
      <c r="K931">
        <v>0</v>
      </c>
      <c r="L931" s="4">
        <v>3.8199999999999998E-2</v>
      </c>
      <c r="M931">
        <v>0.09</v>
      </c>
      <c r="N931" s="4">
        <v>3.5793399999999996E-2</v>
      </c>
      <c r="O931" s="4">
        <v>8.4330000000000002E-2</v>
      </c>
    </row>
    <row r="932" spans="2:15">
      <c r="B932" t="s">
        <v>69</v>
      </c>
      <c r="C932" t="s">
        <v>50</v>
      </c>
      <c r="D932" t="s">
        <v>1128</v>
      </c>
      <c r="E932" t="s">
        <v>1129</v>
      </c>
      <c r="F932" t="s">
        <v>11</v>
      </c>
      <c r="G932" t="s">
        <v>58</v>
      </c>
      <c r="H932" t="s">
        <v>177</v>
      </c>
      <c r="I932" t="s">
        <v>31</v>
      </c>
      <c r="J932">
        <v>1443</v>
      </c>
      <c r="K932">
        <v>2</v>
      </c>
      <c r="L932" s="4">
        <v>3.8199999999999998E-2</v>
      </c>
      <c r="M932">
        <v>0.09</v>
      </c>
      <c r="N932" s="4">
        <v>5.5122600000000001E-2</v>
      </c>
      <c r="O932" s="4">
        <v>0.12987000000000001</v>
      </c>
    </row>
    <row r="933" spans="2:15">
      <c r="B933" t="s">
        <v>69</v>
      </c>
      <c r="C933" t="s">
        <v>50</v>
      </c>
      <c r="D933" t="s">
        <v>1130</v>
      </c>
      <c r="E933" t="s">
        <v>1131</v>
      </c>
      <c r="F933" t="s">
        <v>11</v>
      </c>
      <c r="G933" t="s">
        <v>58</v>
      </c>
      <c r="H933" t="s">
        <v>177</v>
      </c>
      <c r="I933" t="s">
        <v>31</v>
      </c>
      <c r="J933">
        <v>768</v>
      </c>
      <c r="K933">
        <v>0</v>
      </c>
      <c r="L933" s="4">
        <v>3.8199999999999998E-2</v>
      </c>
      <c r="M933">
        <v>0.09</v>
      </c>
      <c r="N933" s="4">
        <v>2.9337599999999998E-2</v>
      </c>
      <c r="O933" s="4">
        <v>6.9120000000000001E-2</v>
      </c>
    </row>
    <row r="934" spans="2:15">
      <c r="B934" t="s">
        <v>69</v>
      </c>
      <c r="C934" t="s">
        <v>50</v>
      </c>
      <c r="D934" t="s">
        <v>1130</v>
      </c>
      <c r="E934" t="s">
        <v>1131</v>
      </c>
      <c r="F934" t="s">
        <v>11</v>
      </c>
      <c r="G934" t="s">
        <v>58</v>
      </c>
      <c r="H934" t="s">
        <v>177</v>
      </c>
      <c r="I934" t="s">
        <v>31</v>
      </c>
      <c r="J934">
        <v>1741</v>
      </c>
      <c r="K934">
        <v>7</v>
      </c>
      <c r="L934" s="4">
        <v>3.8199999999999998E-2</v>
      </c>
      <c r="M934">
        <v>0.09</v>
      </c>
      <c r="N934" s="4">
        <v>6.6506199999999988E-2</v>
      </c>
      <c r="O934" s="4">
        <v>0.15669</v>
      </c>
    </row>
    <row r="935" spans="2:15">
      <c r="B935" t="s">
        <v>69</v>
      </c>
      <c r="C935" t="s">
        <v>50</v>
      </c>
      <c r="D935" t="s">
        <v>1132</v>
      </c>
      <c r="E935" t="s">
        <v>1133</v>
      </c>
      <c r="F935" t="s">
        <v>11</v>
      </c>
      <c r="G935" t="s">
        <v>58</v>
      </c>
      <c r="H935" t="s">
        <v>177</v>
      </c>
      <c r="I935" t="s">
        <v>31</v>
      </c>
      <c r="J935">
        <v>964</v>
      </c>
      <c r="K935">
        <v>0</v>
      </c>
      <c r="L935" s="4">
        <v>3.8199999999999998E-2</v>
      </c>
      <c r="M935">
        <v>0.09</v>
      </c>
      <c r="N935" s="4">
        <v>3.6824799999999998E-2</v>
      </c>
      <c r="O935" s="4">
        <v>8.675999999999999E-2</v>
      </c>
    </row>
    <row r="936" spans="2:15">
      <c r="B936" t="s">
        <v>69</v>
      </c>
      <c r="C936" t="s">
        <v>50</v>
      </c>
      <c r="D936" t="s">
        <v>1132</v>
      </c>
      <c r="E936" t="s">
        <v>1133</v>
      </c>
      <c r="F936" t="s">
        <v>11</v>
      </c>
      <c r="G936" t="s">
        <v>58</v>
      </c>
      <c r="H936" t="s">
        <v>177</v>
      </c>
      <c r="I936" t="s">
        <v>31</v>
      </c>
      <c r="J936">
        <v>1317</v>
      </c>
      <c r="K936">
        <v>2</v>
      </c>
      <c r="L936" s="4">
        <v>3.8199999999999998E-2</v>
      </c>
      <c r="M936">
        <v>0.09</v>
      </c>
      <c r="N936" s="4">
        <v>5.0309399999999997E-2</v>
      </c>
      <c r="O936" s="4">
        <v>0.11853</v>
      </c>
    </row>
    <row r="937" spans="2:15">
      <c r="B937" t="s">
        <v>69</v>
      </c>
      <c r="C937" t="s">
        <v>50</v>
      </c>
      <c r="D937" t="s">
        <v>1134</v>
      </c>
      <c r="E937" t="s">
        <v>1135</v>
      </c>
      <c r="F937" t="s">
        <v>11</v>
      </c>
      <c r="G937" t="s">
        <v>58</v>
      </c>
      <c r="H937" t="s">
        <v>177</v>
      </c>
      <c r="I937" t="s">
        <v>31</v>
      </c>
      <c r="J937">
        <v>753</v>
      </c>
      <c r="K937">
        <v>0</v>
      </c>
      <c r="L937" s="4">
        <v>3.8199999999999998E-2</v>
      </c>
      <c r="M937">
        <v>0.09</v>
      </c>
      <c r="N937" s="4">
        <v>2.8764599999999998E-2</v>
      </c>
      <c r="O937" s="4">
        <v>6.7769999999999997E-2</v>
      </c>
    </row>
    <row r="938" spans="2:15">
      <c r="B938" t="s">
        <v>69</v>
      </c>
      <c r="C938" t="s">
        <v>50</v>
      </c>
      <c r="D938" t="s">
        <v>1134</v>
      </c>
      <c r="E938" t="s">
        <v>1135</v>
      </c>
      <c r="F938" t="s">
        <v>11</v>
      </c>
      <c r="G938" t="s">
        <v>58</v>
      </c>
      <c r="H938" t="s">
        <v>177</v>
      </c>
      <c r="I938" t="s">
        <v>31</v>
      </c>
      <c r="J938">
        <v>1134</v>
      </c>
      <c r="K938">
        <v>0</v>
      </c>
      <c r="L938" s="4">
        <v>3.8199999999999998E-2</v>
      </c>
      <c r="M938">
        <v>0.09</v>
      </c>
      <c r="N938" s="4">
        <v>4.3318799999999998E-2</v>
      </c>
      <c r="O938" s="4">
        <v>0.10206</v>
      </c>
    </row>
    <row r="939" spans="2:15">
      <c r="B939" t="s">
        <v>69</v>
      </c>
      <c r="C939" t="s">
        <v>50</v>
      </c>
      <c r="D939" t="s">
        <v>1136</v>
      </c>
      <c r="E939" t="s">
        <v>1137</v>
      </c>
      <c r="F939" t="s">
        <v>11</v>
      </c>
      <c r="G939" t="s">
        <v>58</v>
      </c>
      <c r="H939" t="s">
        <v>177</v>
      </c>
      <c r="I939" t="s">
        <v>31</v>
      </c>
      <c r="J939">
        <v>1022</v>
      </c>
      <c r="K939">
        <v>0</v>
      </c>
      <c r="L939" s="4">
        <v>3.8199999999999998E-2</v>
      </c>
      <c r="M939">
        <v>0.09</v>
      </c>
      <c r="N939" s="4">
        <v>3.9040399999999996E-2</v>
      </c>
      <c r="O939" s="4">
        <v>9.1979999999999992E-2</v>
      </c>
    </row>
    <row r="940" spans="2:15">
      <c r="B940" t="s">
        <v>69</v>
      </c>
      <c r="C940" t="s">
        <v>50</v>
      </c>
      <c r="D940" t="s">
        <v>1136</v>
      </c>
      <c r="E940" t="s">
        <v>1137</v>
      </c>
      <c r="F940" t="s">
        <v>11</v>
      </c>
      <c r="G940" t="s">
        <v>58</v>
      </c>
      <c r="H940" t="s">
        <v>177</v>
      </c>
      <c r="I940" t="s">
        <v>31</v>
      </c>
      <c r="J940">
        <v>1271</v>
      </c>
      <c r="K940">
        <v>2</v>
      </c>
      <c r="L940" s="4">
        <v>3.8199999999999998E-2</v>
      </c>
      <c r="M940">
        <v>0.09</v>
      </c>
      <c r="N940" s="4">
        <v>4.8552199999999997E-2</v>
      </c>
      <c r="O940" s="4">
        <v>0.11439000000000001</v>
      </c>
    </row>
    <row r="941" spans="2:15">
      <c r="B941" t="s">
        <v>69</v>
      </c>
      <c r="C941" t="s">
        <v>50</v>
      </c>
      <c r="D941" t="s">
        <v>1138</v>
      </c>
      <c r="E941" t="s">
        <v>1139</v>
      </c>
      <c r="F941" t="s">
        <v>11</v>
      </c>
      <c r="G941" t="s">
        <v>58</v>
      </c>
      <c r="H941" t="s">
        <v>177</v>
      </c>
      <c r="I941" t="s">
        <v>31</v>
      </c>
      <c r="J941">
        <v>978</v>
      </c>
      <c r="K941">
        <v>1</v>
      </c>
      <c r="L941" s="4">
        <v>3.8199999999999998E-2</v>
      </c>
      <c r="M941">
        <v>0.09</v>
      </c>
      <c r="N941" s="4">
        <v>3.73596E-2</v>
      </c>
      <c r="O941" s="4">
        <v>8.8020000000000001E-2</v>
      </c>
    </row>
    <row r="942" spans="2:15">
      <c r="B942" t="s">
        <v>69</v>
      </c>
      <c r="C942" t="s">
        <v>50</v>
      </c>
      <c r="D942" t="s">
        <v>1138</v>
      </c>
      <c r="E942" t="s">
        <v>1139</v>
      </c>
      <c r="F942" t="s">
        <v>11</v>
      </c>
      <c r="G942" t="s">
        <v>58</v>
      </c>
      <c r="H942" t="s">
        <v>177</v>
      </c>
      <c r="I942" t="s">
        <v>31</v>
      </c>
      <c r="J942">
        <v>1353</v>
      </c>
      <c r="K942">
        <v>0</v>
      </c>
      <c r="L942" s="4">
        <v>3.8199999999999998E-2</v>
      </c>
      <c r="M942">
        <v>0.09</v>
      </c>
      <c r="N942" s="4">
        <v>5.1684599999999997E-2</v>
      </c>
      <c r="O942" s="4">
        <v>0.12176999999999999</v>
      </c>
    </row>
    <row r="943" spans="2:15">
      <c r="B943" t="s">
        <v>69</v>
      </c>
      <c r="C943" t="s">
        <v>50</v>
      </c>
      <c r="D943" t="s">
        <v>1140</v>
      </c>
      <c r="E943" t="s">
        <v>1141</v>
      </c>
      <c r="F943" t="s">
        <v>11</v>
      </c>
      <c r="G943" t="s">
        <v>58</v>
      </c>
      <c r="H943" t="s">
        <v>177</v>
      </c>
      <c r="I943" t="s">
        <v>31</v>
      </c>
      <c r="J943">
        <v>690</v>
      </c>
      <c r="K943">
        <v>0</v>
      </c>
      <c r="L943" s="4">
        <v>3.8199999999999998E-2</v>
      </c>
      <c r="M943">
        <v>0.09</v>
      </c>
      <c r="N943" s="4">
        <v>2.6357999999999996E-2</v>
      </c>
      <c r="O943" s="4">
        <v>6.2099999999999995E-2</v>
      </c>
    </row>
    <row r="944" spans="2:15">
      <c r="B944" t="s">
        <v>69</v>
      </c>
      <c r="C944" t="s">
        <v>50</v>
      </c>
      <c r="D944" t="s">
        <v>1140</v>
      </c>
      <c r="E944" t="s">
        <v>1141</v>
      </c>
      <c r="F944" t="s">
        <v>11</v>
      </c>
      <c r="G944" t="s">
        <v>58</v>
      </c>
      <c r="H944" t="s">
        <v>177</v>
      </c>
      <c r="I944" t="s">
        <v>31</v>
      </c>
      <c r="J944">
        <v>1494</v>
      </c>
      <c r="K944">
        <v>4</v>
      </c>
      <c r="L944" s="4">
        <v>3.8199999999999998E-2</v>
      </c>
      <c r="M944">
        <v>0.09</v>
      </c>
      <c r="N944" s="4">
        <v>5.7070799999999998E-2</v>
      </c>
      <c r="O944" s="4">
        <v>0.13446</v>
      </c>
    </row>
    <row r="945" spans="2:15">
      <c r="B945" t="s">
        <v>69</v>
      </c>
      <c r="C945" t="s">
        <v>1142</v>
      </c>
      <c r="D945" t="s">
        <v>1143</v>
      </c>
      <c r="E945" t="s">
        <v>1144</v>
      </c>
      <c r="F945" t="s">
        <v>10</v>
      </c>
      <c r="G945" t="s">
        <v>1143</v>
      </c>
      <c r="H945" t="s">
        <v>1145</v>
      </c>
      <c r="I945" t="s">
        <v>32</v>
      </c>
      <c r="J945">
        <v>0</v>
      </c>
      <c r="K945">
        <v>1</v>
      </c>
      <c r="L945" s="4">
        <v>3.5000000000000001E-3</v>
      </c>
      <c r="M945">
        <v>0.02</v>
      </c>
      <c r="N945" s="4">
        <v>3.5000000000000001E-3</v>
      </c>
      <c r="O945" s="4">
        <v>0.02</v>
      </c>
    </row>
    <row r="946" spans="2:15">
      <c r="B946" t="s">
        <v>69</v>
      </c>
      <c r="C946" t="s">
        <v>62</v>
      </c>
      <c r="D946" t="s">
        <v>1146</v>
      </c>
      <c r="E946" t="s">
        <v>1147</v>
      </c>
      <c r="F946" t="s">
        <v>12</v>
      </c>
      <c r="G946" t="s">
        <v>1146</v>
      </c>
      <c r="H946" t="s">
        <v>1148</v>
      </c>
      <c r="I946" t="s">
        <v>31</v>
      </c>
      <c r="J946">
        <v>3384500</v>
      </c>
      <c r="K946">
        <v>1664</v>
      </c>
      <c r="L946" s="4">
        <v>3.8199999999999998E-2</v>
      </c>
      <c r="M946">
        <v>0.09</v>
      </c>
      <c r="N946" s="4">
        <v>129.28790000000001</v>
      </c>
      <c r="O946" s="4">
        <v>304.60500000000002</v>
      </c>
    </row>
    <row r="947" spans="2:15">
      <c r="B947" t="s">
        <v>69</v>
      </c>
      <c r="C947" t="s">
        <v>62</v>
      </c>
      <c r="D947" t="s">
        <v>1149</v>
      </c>
      <c r="E947" t="s">
        <v>1150</v>
      </c>
      <c r="F947" t="s">
        <v>12</v>
      </c>
      <c r="G947" t="s">
        <v>1149</v>
      </c>
      <c r="H947" t="s">
        <v>1151</v>
      </c>
      <c r="I947" t="s">
        <v>31</v>
      </c>
      <c r="J947">
        <v>1674853</v>
      </c>
      <c r="K947">
        <v>200</v>
      </c>
      <c r="L947" s="4">
        <v>3.8199999999999998E-2</v>
      </c>
      <c r="M947">
        <v>0.09</v>
      </c>
      <c r="N947" s="4">
        <v>63.979384599999996</v>
      </c>
      <c r="O947" s="4">
        <v>150.73676999999998</v>
      </c>
    </row>
    <row r="948" spans="2:15">
      <c r="B948" t="s">
        <v>69</v>
      </c>
      <c r="C948" t="s">
        <v>62</v>
      </c>
      <c r="D948" t="s">
        <v>1152</v>
      </c>
      <c r="E948" t="s">
        <v>1153</v>
      </c>
      <c r="F948" t="s">
        <v>12</v>
      </c>
      <c r="G948" t="s">
        <v>1152</v>
      </c>
      <c r="H948" t="s">
        <v>1154</v>
      </c>
      <c r="I948" t="s">
        <v>31</v>
      </c>
      <c r="J948">
        <v>0</v>
      </c>
      <c r="K948">
        <v>1</v>
      </c>
      <c r="L948" s="4">
        <v>3.8199999999999998E-2</v>
      </c>
      <c r="M948">
        <v>0.09</v>
      </c>
      <c r="N948" s="4">
        <v>0</v>
      </c>
      <c r="O948" s="4">
        <v>0</v>
      </c>
    </row>
    <row r="949" spans="2:15">
      <c r="B949" t="s">
        <v>69</v>
      </c>
      <c r="C949" t="s">
        <v>62</v>
      </c>
      <c r="D949" t="s">
        <v>1155</v>
      </c>
      <c r="E949" t="s">
        <v>1156</v>
      </c>
      <c r="F949" t="s">
        <v>12</v>
      </c>
      <c r="G949" t="s">
        <v>1155</v>
      </c>
      <c r="H949" t="s">
        <v>1157</v>
      </c>
      <c r="I949" t="s">
        <v>31</v>
      </c>
      <c r="J949">
        <v>1</v>
      </c>
      <c r="K949">
        <v>0</v>
      </c>
      <c r="L949" s="4">
        <v>3.8199999999999998E-2</v>
      </c>
      <c r="M949">
        <v>0.09</v>
      </c>
      <c r="N949" s="4">
        <v>3.82E-5</v>
      </c>
      <c r="O949" s="4">
        <v>8.9999999999999992E-5</v>
      </c>
    </row>
    <row r="950" spans="2:15">
      <c r="B950" t="s">
        <v>69</v>
      </c>
      <c r="C950" t="s">
        <v>62</v>
      </c>
      <c r="D950" t="s">
        <v>1158</v>
      </c>
      <c r="E950" t="s">
        <v>1159</v>
      </c>
      <c r="F950" t="s">
        <v>12</v>
      </c>
      <c r="G950" t="s">
        <v>1158</v>
      </c>
      <c r="H950" t="s">
        <v>1160</v>
      </c>
      <c r="I950" t="s">
        <v>31</v>
      </c>
      <c r="J950">
        <v>946804</v>
      </c>
      <c r="K950">
        <v>409</v>
      </c>
      <c r="L950" s="4">
        <v>3.8199999999999998E-2</v>
      </c>
      <c r="M950">
        <v>0.09</v>
      </c>
      <c r="N950" s="4">
        <v>36.167912799999996</v>
      </c>
      <c r="O950" s="4">
        <v>85.212360000000004</v>
      </c>
    </row>
    <row r="951" spans="2:15">
      <c r="B951" t="s">
        <v>69</v>
      </c>
      <c r="C951" t="s">
        <v>53</v>
      </c>
      <c r="D951" t="s">
        <v>1161</v>
      </c>
      <c r="E951" t="s">
        <v>1162</v>
      </c>
      <c r="F951" t="s">
        <v>10</v>
      </c>
      <c r="G951" t="s">
        <v>1161</v>
      </c>
      <c r="H951" t="s">
        <v>1163</v>
      </c>
      <c r="I951" t="s">
        <v>32</v>
      </c>
      <c r="J951">
        <v>1</v>
      </c>
      <c r="K951">
        <v>4</v>
      </c>
      <c r="L951" s="4">
        <v>3.5000000000000001E-3</v>
      </c>
      <c r="M951">
        <v>0.02</v>
      </c>
      <c r="N951" s="4">
        <v>1.4E-2</v>
      </c>
      <c r="O951" s="4">
        <v>0.08</v>
      </c>
    </row>
    <row r="952" spans="2:15">
      <c r="B952" t="s">
        <v>69</v>
      </c>
      <c r="C952" t="s">
        <v>53</v>
      </c>
      <c r="D952" t="s">
        <v>1161</v>
      </c>
      <c r="E952" t="s">
        <v>1162</v>
      </c>
      <c r="F952" t="s">
        <v>10</v>
      </c>
      <c r="G952" t="s">
        <v>1161</v>
      </c>
      <c r="H952" t="s">
        <v>1163</v>
      </c>
      <c r="I952" t="s">
        <v>32</v>
      </c>
      <c r="J952">
        <v>0</v>
      </c>
      <c r="K952">
        <v>2</v>
      </c>
      <c r="L952" s="4">
        <v>3.5000000000000001E-3</v>
      </c>
      <c r="M952">
        <v>0.02</v>
      </c>
      <c r="N952" s="4">
        <v>7.0000000000000001E-3</v>
      </c>
      <c r="O952" s="4">
        <v>0.04</v>
      </c>
    </row>
    <row r="953" spans="2:15">
      <c r="B953" t="s">
        <v>69</v>
      </c>
      <c r="C953" t="s">
        <v>53</v>
      </c>
      <c r="D953" t="s">
        <v>1164</v>
      </c>
      <c r="E953" t="s">
        <v>1165</v>
      </c>
      <c r="F953" t="s">
        <v>10</v>
      </c>
      <c r="G953" t="s">
        <v>1164</v>
      </c>
      <c r="H953" t="s">
        <v>1166</v>
      </c>
      <c r="I953" t="s">
        <v>32</v>
      </c>
      <c r="J953">
        <v>18</v>
      </c>
      <c r="K953">
        <v>3</v>
      </c>
      <c r="L953" s="4">
        <v>3.5000000000000001E-3</v>
      </c>
      <c r="M953">
        <v>0.02</v>
      </c>
      <c r="N953" s="4">
        <v>1.0500000000000001E-2</v>
      </c>
      <c r="O953" s="4">
        <v>0.06</v>
      </c>
    </row>
    <row r="954" spans="2:15">
      <c r="B954" t="s">
        <v>69</v>
      </c>
      <c r="C954" t="s">
        <v>53</v>
      </c>
      <c r="D954" t="s">
        <v>1164</v>
      </c>
      <c r="E954" t="s">
        <v>1165</v>
      </c>
      <c r="F954" t="s">
        <v>10</v>
      </c>
      <c r="G954" t="s">
        <v>1164</v>
      </c>
      <c r="H954" t="s">
        <v>1166</v>
      </c>
      <c r="I954" t="s">
        <v>32</v>
      </c>
      <c r="J954">
        <v>1</v>
      </c>
      <c r="K954">
        <v>0</v>
      </c>
      <c r="L954" s="4">
        <v>3.5000000000000001E-3</v>
      </c>
      <c r="M954">
        <v>0.02</v>
      </c>
      <c r="N954" s="4">
        <v>0</v>
      </c>
      <c r="O954" s="4">
        <v>0</v>
      </c>
    </row>
    <row r="955" spans="2:15">
      <c r="B955" t="s">
        <v>69</v>
      </c>
      <c r="C955" t="s">
        <v>53</v>
      </c>
      <c r="D955" t="s">
        <v>1167</v>
      </c>
      <c r="E955" t="s">
        <v>1168</v>
      </c>
      <c r="F955" t="s">
        <v>10</v>
      </c>
      <c r="G955" t="s">
        <v>1167</v>
      </c>
      <c r="H955" t="s">
        <v>1169</v>
      </c>
      <c r="I955" t="s">
        <v>32</v>
      </c>
      <c r="J955">
        <v>2780869</v>
      </c>
      <c r="K955">
        <v>25033</v>
      </c>
      <c r="L955" s="4">
        <v>3.5000000000000001E-3</v>
      </c>
      <c r="M955">
        <v>0.02</v>
      </c>
      <c r="N955" s="4">
        <v>87.615499999999997</v>
      </c>
      <c r="O955" s="4">
        <v>500.66</v>
      </c>
    </row>
    <row r="956" spans="2:15">
      <c r="B956" t="s">
        <v>69</v>
      </c>
      <c r="C956" t="s">
        <v>53</v>
      </c>
      <c r="D956" t="s">
        <v>1167</v>
      </c>
      <c r="E956" t="s">
        <v>1168</v>
      </c>
      <c r="F956" t="s">
        <v>10</v>
      </c>
      <c r="G956" t="s">
        <v>1167</v>
      </c>
      <c r="H956" t="s">
        <v>1169</v>
      </c>
      <c r="I956" t="s">
        <v>32</v>
      </c>
      <c r="J956">
        <v>406</v>
      </c>
      <c r="K956">
        <v>54</v>
      </c>
      <c r="L956" s="4">
        <v>3.5000000000000001E-3</v>
      </c>
      <c r="M956">
        <v>0.02</v>
      </c>
      <c r="N956" s="4">
        <v>0.189</v>
      </c>
      <c r="O956" s="4">
        <v>1.08</v>
      </c>
    </row>
    <row r="957" spans="2:15">
      <c r="B957" t="s">
        <v>69</v>
      </c>
      <c r="C957" t="s">
        <v>53</v>
      </c>
      <c r="D957" t="s">
        <v>1170</v>
      </c>
      <c r="E957" t="s">
        <v>1171</v>
      </c>
      <c r="F957" t="s">
        <v>10</v>
      </c>
      <c r="G957" t="s">
        <v>1170</v>
      </c>
      <c r="H957" t="s">
        <v>1172</v>
      </c>
      <c r="I957" t="s">
        <v>32</v>
      </c>
      <c r="J957">
        <v>764831</v>
      </c>
      <c r="K957">
        <v>2</v>
      </c>
      <c r="L957" s="4">
        <v>3.5000000000000001E-3</v>
      </c>
      <c r="M957">
        <v>0.02</v>
      </c>
      <c r="N957" s="4">
        <v>7.0000000000000001E-3</v>
      </c>
      <c r="O957" s="4">
        <v>0.04</v>
      </c>
    </row>
    <row r="958" spans="2:15">
      <c r="B958" t="s">
        <v>69</v>
      </c>
      <c r="C958" t="s">
        <v>53</v>
      </c>
      <c r="D958" t="s">
        <v>1173</v>
      </c>
      <c r="E958" t="s">
        <v>1174</v>
      </c>
      <c r="F958" t="s">
        <v>10</v>
      </c>
      <c r="G958" t="s">
        <v>1173</v>
      </c>
      <c r="H958" t="s">
        <v>1175</v>
      </c>
      <c r="I958" t="s">
        <v>32</v>
      </c>
      <c r="J958">
        <v>763839</v>
      </c>
      <c r="K958">
        <v>3</v>
      </c>
      <c r="L958" s="4">
        <v>3.5000000000000001E-3</v>
      </c>
      <c r="M958">
        <v>0.02</v>
      </c>
      <c r="N958" s="4">
        <v>1.0500000000000001E-2</v>
      </c>
      <c r="O958" s="4">
        <v>0.06</v>
      </c>
    </row>
    <row r="959" spans="2:15">
      <c r="B959" t="s">
        <v>69</v>
      </c>
      <c r="C959" t="s">
        <v>53</v>
      </c>
      <c r="D959" t="s">
        <v>1173</v>
      </c>
      <c r="E959" t="s">
        <v>1174</v>
      </c>
      <c r="F959" t="s">
        <v>10</v>
      </c>
      <c r="G959" t="s">
        <v>1173</v>
      </c>
      <c r="H959" t="s">
        <v>1175</v>
      </c>
      <c r="I959" t="s">
        <v>32</v>
      </c>
      <c r="J959">
        <v>2</v>
      </c>
      <c r="K959">
        <v>0</v>
      </c>
      <c r="L959" s="4">
        <v>3.5000000000000001E-3</v>
      </c>
      <c r="M959">
        <v>0.02</v>
      </c>
      <c r="N959" s="4">
        <v>0</v>
      </c>
      <c r="O959" s="4">
        <v>0</v>
      </c>
    </row>
    <row r="960" spans="2:15">
      <c r="B960" t="s">
        <v>69</v>
      </c>
      <c r="C960" t="s">
        <v>53</v>
      </c>
      <c r="D960" t="s">
        <v>1176</v>
      </c>
      <c r="E960" t="s">
        <v>1177</v>
      </c>
      <c r="F960" t="s">
        <v>10</v>
      </c>
      <c r="G960" t="s">
        <v>1176</v>
      </c>
      <c r="H960" t="s">
        <v>1178</v>
      </c>
      <c r="I960" t="s">
        <v>32</v>
      </c>
      <c r="J960">
        <v>25685</v>
      </c>
      <c r="K960">
        <v>2</v>
      </c>
      <c r="L960" s="4">
        <v>3.5000000000000001E-3</v>
      </c>
      <c r="M960">
        <v>0.02</v>
      </c>
      <c r="N960" s="4">
        <v>7.0000000000000001E-3</v>
      </c>
      <c r="O960" s="4">
        <v>0.04</v>
      </c>
    </row>
    <row r="961" spans="2:15">
      <c r="B961" t="s">
        <v>69</v>
      </c>
      <c r="C961" t="s">
        <v>53</v>
      </c>
      <c r="D961" t="s">
        <v>1179</v>
      </c>
      <c r="E961" t="s">
        <v>1180</v>
      </c>
      <c r="F961" t="s">
        <v>10</v>
      </c>
      <c r="G961" t="s">
        <v>1179</v>
      </c>
      <c r="H961" t="s">
        <v>1181</v>
      </c>
      <c r="I961" t="s">
        <v>32</v>
      </c>
      <c r="J961">
        <v>25947</v>
      </c>
      <c r="K961">
        <v>2</v>
      </c>
      <c r="L961" s="4">
        <v>3.5000000000000001E-3</v>
      </c>
      <c r="M961">
        <v>0.02</v>
      </c>
      <c r="N961" s="4">
        <v>7.0000000000000001E-3</v>
      </c>
      <c r="O961" s="4">
        <v>0.04</v>
      </c>
    </row>
    <row r="962" spans="2:15">
      <c r="B962" t="s">
        <v>69</v>
      </c>
      <c r="C962" t="s">
        <v>53</v>
      </c>
      <c r="D962" t="s">
        <v>1182</v>
      </c>
      <c r="E962" t="s">
        <v>1183</v>
      </c>
      <c r="F962" t="s">
        <v>10</v>
      </c>
      <c r="G962" t="s">
        <v>1182</v>
      </c>
      <c r="H962" t="s">
        <v>1184</v>
      </c>
      <c r="I962" t="s">
        <v>32</v>
      </c>
      <c r="J962">
        <v>26122</v>
      </c>
      <c r="K962">
        <v>1</v>
      </c>
      <c r="L962" s="4">
        <v>3.5000000000000001E-3</v>
      </c>
      <c r="M962">
        <v>0.02</v>
      </c>
      <c r="N962" s="4">
        <v>3.5000000000000001E-3</v>
      </c>
      <c r="O962" s="4">
        <v>0.02</v>
      </c>
    </row>
    <row r="963" spans="2:15">
      <c r="B963" t="s">
        <v>69</v>
      </c>
      <c r="C963" t="s">
        <v>53</v>
      </c>
      <c r="D963" t="s">
        <v>1185</v>
      </c>
      <c r="E963" t="s">
        <v>1186</v>
      </c>
      <c r="F963" t="s">
        <v>10</v>
      </c>
      <c r="G963" t="s">
        <v>1185</v>
      </c>
      <c r="H963" t="s">
        <v>1187</v>
      </c>
      <c r="I963" t="s">
        <v>32</v>
      </c>
      <c r="J963">
        <v>26055</v>
      </c>
      <c r="K963">
        <v>2</v>
      </c>
      <c r="L963" s="4">
        <v>3.5000000000000001E-3</v>
      </c>
      <c r="M963">
        <v>0.02</v>
      </c>
      <c r="N963" s="4">
        <v>7.0000000000000001E-3</v>
      </c>
      <c r="O963" s="4">
        <v>0.04</v>
      </c>
    </row>
    <row r="964" spans="2:15">
      <c r="B964" t="s">
        <v>69</v>
      </c>
      <c r="C964" t="s">
        <v>53</v>
      </c>
      <c r="D964" t="s">
        <v>1188</v>
      </c>
      <c r="E964" t="s">
        <v>1189</v>
      </c>
      <c r="F964" t="s">
        <v>10</v>
      </c>
      <c r="G964" t="s">
        <v>1188</v>
      </c>
      <c r="H964" t="s">
        <v>1190</v>
      </c>
      <c r="I964" t="s">
        <v>32</v>
      </c>
      <c r="J964">
        <v>8894</v>
      </c>
      <c r="K964">
        <v>3</v>
      </c>
      <c r="L964" s="4">
        <v>3.5000000000000001E-3</v>
      </c>
      <c r="M964">
        <v>0.02</v>
      </c>
      <c r="N964" s="4">
        <v>1.0500000000000001E-2</v>
      </c>
      <c r="O964" s="4">
        <v>0.06</v>
      </c>
    </row>
    <row r="965" spans="2:15">
      <c r="B965" t="s">
        <v>69</v>
      </c>
      <c r="C965" t="s">
        <v>53</v>
      </c>
      <c r="D965" t="s">
        <v>1191</v>
      </c>
      <c r="E965" t="s">
        <v>1192</v>
      </c>
      <c r="F965" t="s">
        <v>10</v>
      </c>
      <c r="G965" t="s">
        <v>1191</v>
      </c>
      <c r="H965" t="s">
        <v>1193</v>
      </c>
      <c r="I965" t="s">
        <v>32</v>
      </c>
      <c r="J965">
        <v>8706</v>
      </c>
      <c r="K965">
        <v>2</v>
      </c>
      <c r="L965" s="4">
        <v>3.5000000000000001E-3</v>
      </c>
      <c r="M965">
        <v>0.02</v>
      </c>
      <c r="N965" s="4">
        <v>7.0000000000000001E-3</v>
      </c>
      <c r="O965" s="4">
        <v>0.04</v>
      </c>
    </row>
    <row r="966" spans="2:15">
      <c r="B966" t="s">
        <v>69</v>
      </c>
      <c r="C966" t="s">
        <v>53</v>
      </c>
      <c r="D966" t="s">
        <v>1194</v>
      </c>
      <c r="E966" t="s">
        <v>1195</v>
      </c>
      <c r="F966" t="s">
        <v>12</v>
      </c>
      <c r="G966" t="s">
        <v>1194</v>
      </c>
      <c r="H966" t="s">
        <v>1196</v>
      </c>
      <c r="I966" t="s">
        <v>31</v>
      </c>
      <c r="J966">
        <v>1</v>
      </c>
      <c r="K966">
        <v>0</v>
      </c>
      <c r="L966" s="4">
        <v>3.8199999999999998E-2</v>
      </c>
      <c r="M966">
        <v>0.09</v>
      </c>
      <c r="N966" s="4">
        <v>3.82E-5</v>
      </c>
      <c r="O966" s="4">
        <v>8.9999999999999992E-5</v>
      </c>
    </row>
    <row r="967" spans="2:15">
      <c r="B967" t="s">
        <v>69</v>
      </c>
      <c r="C967" t="s">
        <v>53</v>
      </c>
      <c r="D967" t="s">
        <v>1197</v>
      </c>
      <c r="E967" t="s">
        <v>1198</v>
      </c>
      <c r="F967" t="s">
        <v>12</v>
      </c>
      <c r="G967" t="s">
        <v>1197</v>
      </c>
      <c r="H967" t="s">
        <v>1199</v>
      </c>
      <c r="I967" t="s">
        <v>31</v>
      </c>
      <c r="J967">
        <v>3</v>
      </c>
      <c r="K967">
        <v>0</v>
      </c>
      <c r="L967" s="4">
        <v>3.8199999999999998E-2</v>
      </c>
      <c r="M967">
        <v>0.09</v>
      </c>
      <c r="N967" s="4">
        <v>1.1459999999999999E-4</v>
      </c>
      <c r="O967" s="4">
        <v>2.7E-4</v>
      </c>
    </row>
    <row r="968" spans="2:15">
      <c r="B968" t="s">
        <v>69</v>
      </c>
      <c r="C968" t="s">
        <v>53</v>
      </c>
      <c r="D968" t="s">
        <v>1200</v>
      </c>
      <c r="E968" t="s">
        <v>1201</v>
      </c>
      <c r="F968" t="s">
        <v>12</v>
      </c>
      <c r="G968" t="s">
        <v>1200</v>
      </c>
      <c r="H968" t="s">
        <v>1202</v>
      </c>
      <c r="I968" t="s">
        <v>31</v>
      </c>
      <c r="J968">
        <v>1</v>
      </c>
      <c r="K968">
        <v>0</v>
      </c>
      <c r="L968" s="4">
        <v>3.8199999999999998E-2</v>
      </c>
      <c r="M968">
        <v>0.09</v>
      </c>
      <c r="N968" s="4">
        <v>3.82E-5</v>
      </c>
      <c r="O968" s="4">
        <v>8.9999999999999992E-5</v>
      </c>
    </row>
    <row r="969" spans="2:15">
      <c r="B969" t="s">
        <v>69</v>
      </c>
      <c r="C969" t="s">
        <v>1203</v>
      </c>
      <c r="D969" t="s">
        <v>1204</v>
      </c>
      <c r="E969" t="s">
        <v>1205</v>
      </c>
      <c r="F969" t="s">
        <v>10</v>
      </c>
      <c r="G969" t="s">
        <v>1204</v>
      </c>
      <c r="H969" t="s">
        <v>1206</v>
      </c>
      <c r="I969" t="s">
        <v>32</v>
      </c>
      <c r="J969">
        <v>0</v>
      </c>
      <c r="K969">
        <v>1</v>
      </c>
      <c r="L969" s="4">
        <v>3.5000000000000001E-3</v>
      </c>
      <c r="M969">
        <v>0.02</v>
      </c>
      <c r="N969" s="4">
        <v>3.5000000000000001E-3</v>
      </c>
      <c r="O969" s="4">
        <v>0.02</v>
      </c>
    </row>
    <row r="970" spans="2:15">
      <c r="B970" t="s">
        <v>69</v>
      </c>
      <c r="C970" t="s">
        <v>60</v>
      </c>
      <c r="D970" t="s">
        <v>1207</v>
      </c>
      <c r="E970" t="s">
        <v>1208</v>
      </c>
      <c r="F970" t="s">
        <v>10</v>
      </c>
      <c r="G970" t="s">
        <v>1207</v>
      </c>
      <c r="H970" t="s">
        <v>1209</v>
      </c>
      <c r="I970" t="s">
        <v>32</v>
      </c>
      <c r="J970">
        <v>0</v>
      </c>
      <c r="K970">
        <v>1</v>
      </c>
      <c r="L970" s="4">
        <v>3.5000000000000001E-3</v>
      </c>
      <c r="M970">
        <v>0.02</v>
      </c>
      <c r="N970" s="4">
        <v>3.5000000000000001E-3</v>
      </c>
      <c r="O970" s="4">
        <v>0.02</v>
      </c>
    </row>
    <row r="971" spans="2:15">
      <c r="B971" t="s">
        <v>69</v>
      </c>
      <c r="C971" t="s">
        <v>60</v>
      </c>
      <c r="D971" t="s">
        <v>1210</v>
      </c>
      <c r="E971" t="s">
        <v>1211</v>
      </c>
      <c r="F971" t="s">
        <v>10</v>
      </c>
      <c r="G971" t="s">
        <v>1210</v>
      </c>
      <c r="H971" t="s">
        <v>1212</v>
      </c>
      <c r="I971" t="s">
        <v>32</v>
      </c>
      <c r="J971">
        <v>0</v>
      </c>
      <c r="K971">
        <v>289</v>
      </c>
      <c r="L971" s="4">
        <v>3.5000000000000001E-3</v>
      </c>
      <c r="M971">
        <v>0.02</v>
      </c>
      <c r="N971" s="4">
        <v>1.0115000000000001</v>
      </c>
      <c r="O971" s="4">
        <v>5.78</v>
      </c>
    </row>
    <row r="972" spans="2:15">
      <c r="B972" t="s">
        <v>69</v>
      </c>
      <c r="C972" t="s">
        <v>60</v>
      </c>
      <c r="D972" t="s">
        <v>1213</v>
      </c>
      <c r="E972" t="s">
        <v>1214</v>
      </c>
      <c r="F972" t="s">
        <v>10</v>
      </c>
      <c r="G972" t="s">
        <v>1213</v>
      </c>
      <c r="H972" t="s">
        <v>1215</v>
      </c>
      <c r="I972" t="s">
        <v>32</v>
      </c>
      <c r="J972">
        <v>0</v>
      </c>
      <c r="K972">
        <v>56</v>
      </c>
      <c r="L972" s="4">
        <v>3.5000000000000001E-3</v>
      </c>
      <c r="M972">
        <v>0.02</v>
      </c>
      <c r="N972" s="4">
        <v>0.19600000000000001</v>
      </c>
      <c r="O972" s="4">
        <v>1.1200000000000001</v>
      </c>
    </row>
    <row r="973" spans="2:15">
      <c r="B973" t="s">
        <v>69</v>
      </c>
      <c r="C973" t="s">
        <v>60</v>
      </c>
      <c r="D973" t="s">
        <v>1216</v>
      </c>
      <c r="E973" t="s">
        <v>1217</v>
      </c>
      <c r="F973" t="s">
        <v>10</v>
      </c>
      <c r="G973" t="s">
        <v>1216</v>
      </c>
      <c r="H973" t="s">
        <v>1218</v>
      </c>
      <c r="I973" t="s">
        <v>32</v>
      </c>
      <c r="J973">
        <v>0</v>
      </c>
      <c r="K973">
        <v>77</v>
      </c>
      <c r="L973" s="4">
        <v>3.5000000000000001E-3</v>
      </c>
      <c r="M973">
        <v>0.02</v>
      </c>
      <c r="N973" s="4">
        <v>0.26950000000000002</v>
      </c>
      <c r="O973" s="4">
        <v>1.54</v>
      </c>
    </row>
    <row r="974" spans="2:15">
      <c r="B974" t="s">
        <v>69</v>
      </c>
      <c r="C974" t="s">
        <v>60</v>
      </c>
      <c r="D974" t="s">
        <v>1219</v>
      </c>
      <c r="E974" t="s">
        <v>1220</v>
      </c>
      <c r="F974" t="s">
        <v>10</v>
      </c>
      <c r="G974" t="s">
        <v>1219</v>
      </c>
      <c r="H974" t="s">
        <v>1221</v>
      </c>
      <c r="I974" t="s">
        <v>32</v>
      </c>
      <c r="J974">
        <v>0</v>
      </c>
      <c r="K974">
        <v>784</v>
      </c>
      <c r="L974" s="4">
        <v>3.5000000000000001E-3</v>
      </c>
      <c r="M974">
        <v>0.02</v>
      </c>
      <c r="N974" s="4">
        <v>2.7440000000000002</v>
      </c>
      <c r="O974" s="4">
        <v>15.68</v>
      </c>
    </row>
    <row r="975" spans="2:15">
      <c r="B975" t="s">
        <v>69</v>
      </c>
      <c r="C975" t="s">
        <v>48</v>
      </c>
      <c r="D975" t="s">
        <v>1222</v>
      </c>
      <c r="E975" t="s">
        <v>1223</v>
      </c>
      <c r="F975" t="s">
        <v>10</v>
      </c>
      <c r="G975" t="s">
        <v>1222</v>
      </c>
      <c r="H975" t="s">
        <v>1224</v>
      </c>
      <c r="I975" t="s">
        <v>32</v>
      </c>
      <c r="J975">
        <v>0</v>
      </c>
      <c r="K975">
        <v>3</v>
      </c>
      <c r="L975" s="4">
        <v>3.5000000000000001E-3</v>
      </c>
      <c r="M975">
        <v>0.02</v>
      </c>
      <c r="N975" s="4">
        <v>1.0500000000000001E-2</v>
      </c>
      <c r="O975" s="4">
        <v>0.06</v>
      </c>
    </row>
    <row r="976" spans="2:15">
      <c r="B976" t="s">
        <v>69</v>
      </c>
      <c r="C976" t="s">
        <v>48</v>
      </c>
      <c r="D976" t="s">
        <v>1225</v>
      </c>
      <c r="E976" t="s">
        <v>1226</v>
      </c>
      <c r="F976" t="s">
        <v>10</v>
      </c>
      <c r="G976" t="s">
        <v>1225</v>
      </c>
      <c r="H976" t="s">
        <v>1227</v>
      </c>
      <c r="I976" t="s">
        <v>32</v>
      </c>
      <c r="J976">
        <v>0</v>
      </c>
      <c r="K976">
        <v>6</v>
      </c>
      <c r="L976" s="4">
        <v>3.5000000000000001E-3</v>
      </c>
      <c r="M976">
        <v>0.02</v>
      </c>
      <c r="N976" s="4">
        <v>2.1000000000000001E-2</v>
      </c>
      <c r="O976" s="4">
        <v>0.12</v>
      </c>
    </row>
    <row r="977" spans="2:15">
      <c r="B977" t="s">
        <v>69</v>
      </c>
      <c r="C977" t="s">
        <v>48</v>
      </c>
      <c r="D977" t="s">
        <v>1228</v>
      </c>
      <c r="E977" t="s">
        <v>1229</v>
      </c>
      <c r="F977" t="s">
        <v>10</v>
      </c>
      <c r="G977" t="s">
        <v>1230</v>
      </c>
      <c r="H977" t="s">
        <v>1231</v>
      </c>
      <c r="I977" t="s">
        <v>32</v>
      </c>
      <c r="J977">
        <v>0</v>
      </c>
      <c r="K977">
        <v>1</v>
      </c>
      <c r="L977" s="4">
        <v>3.5000000000000001E-3</v>
      </c>
      <c r="M977">
        <v>0.02</v>
      </c>
      <c r="N977" s="4">
        <v>3.5000000000000001E-3</v>
      </c>
      <c r="O977" s="4">
        <v>0.02</v>
      </c>
    </row>
    <row r="978" spans="2:15">
      <c r="B978" t="s">
        <v>1232</v>
      </c>
      <c r="C978" t="s">
        <v>1233</v>
      </c>
      <c r="D978" t="s">
        <v>1234</v>
      </c>
      <c r="E978" t="s">
        <v>1235</v>
      </c>
      <c r="F978" t="s">
        <v>10</v>
      </c>
      <c r="G978" t="s">
        <v>1234</v>
      </c>
      <c r="H978" t="s">
        <v>1236</v>
      </c>
      <c r="I978" t="s">
        <v>32</v>
      </c>
      <c r="J978">
        <v>0</v>
      </c>
      <c r="K978">
        <v>1</v>
      </c>
      <c r="L978" s="4">
        <v>3.5000000000000001E-3</v>
      </c>
      <c r="M978">
        <v>0.02</v>
      </c>
      <c r="N978" s="4">
        <v>3.5000000000000001E-3</v>
      </c>
      <c r="O978" s="4">
        <v>0.02</v>
      </c>
    </row>
    <row r="979" spans="2:15">
      <c r="B979" t="s">
        <v>1232</v>
      </c>
      <c r="C979" t="s">
        <v>48</v>
      </c>
      <c r="D979" t="s">
        <v>1237</v>
      </c>
      <c r="E979" t="s">
        <v>1238</v>
      </c>
      <c r="F979" t="s">
        <v>10</v>
      </c>
      <c r="G979" t="s">
        <v>1237</v>
      </c>
      <c r="H979" t="s">
        <v>1239</v>
      </c>
      <c r="I979" t="s">
        <v>32</v>
      </c>
      <c r="J979">
        <v>0</v>
      </c>
      <c r="K979">
        <v>1</v>
      </c>
      <c r="L979" s="4">
        <v>3.5000000000000001E-3</v>
      </c>
      <c r="M979">
        <v>0.02</v>
      </c>
      <c r="N979" s="4">
        <v>3.5000000000000001E-3</v>
      </c>
      <c r="O979" s="4">
        <v>0.02</v>
      </c>
    </row>
    <row r="980" spans="2:15">
      <c r="B980" t="s">
        <v>1240</v>
      </c>
      <c r="C980" t="s">
        <v>63</v>
      </c>
      <c r="D980" t="s">
        <v>1241</v>
      </c>
      <c r="E980" t="s">
        <v>1242</v>
      </c>
      <c r="F980" t="s">
        <v>12</v>
      </c>
      <c r="G980" t="s">
        <v>1241</v>
      </c>
      <c r="H980" t="s">
        <v>1243</v>
      </c>
      <c r="I980" t="s">
        <v>31</v>
      </c>
      <c r="J980">
        <v>204301</v>
      </c>
      <c r="K980">
        <v>15</v>
      </c>
      <c r="L980" s="4">
        <v>3.8199999999999998E-2</v>
      </c>
      <c r="M980">
        <v>0.09</v>
      </c>
      <c r="N980" s="4">
        <v>7.804298199999999</v>
      </c>
      <c r="O980" s="4">
        <v>18.387090000000001</v>
      </c>
    </row>
    <row r="981" spans="2:15">
      <c r="B981" t="s">
        <v>1240</v>
      </c>
      <c r="C981" t="s">
        <v>63</v>
      </c>
      <c r="D981" t="s">
        <v>1244</v>
      </c>
      <c r="E981" t="s">
        <v>1245</v>
      </c>
      <c r="F981" t="s">
        <v>12</v>
      </c>
      <c r="G981" t="s">
        <v>1244</v>
      </c>
      <c r="H981" t="s">
        <v>1246</v>
      </c>
      <c r="I981" t="s">
        <v>31</v>
      </c>
      <c r="J981">
        <v>79805</v>
      </c>
      <c r="K981">
        <v>4</v>
      </c>
      <c r="L981" s="4">
        <v>3.8199999999999998E-2</v>
      </c>
      <c r="M981">
        <v>0.09</v>
      </c>
      <c r="N981" s="4">
        <v>3.0485509999999998</v>
      </c>
      <c r="O981" s="4">
        <v>7.1824500000000002</v>
      </c>
    </row>
    <row r="982" spans="2:15">
      <c r="B982" t="s">
        <v>1240</v>
      </c>
      <c r="C982" t="s">
        <v>63</v>
      </c>
      <c r="D982" t="s">
        <v>1247</v>
      </c>
      <c r="E982" t="s">
        <v>1248</v>
      </c>
      <c r="F982" t="s">
        <v>12</v>
      </c>
      <c r="G982" t="s">
        <v>1247</v>
      </c>
      <c r="H982" t="s">
        <v>1249</v>
      </c>
      <c r="I982" t="s">
        <v>31</v>
      </c>
      <c r="J982">
        <v>19089</v>
      </c>
      <c r="K982">
        <v>0</v>
      </c>
      <c r="L982" s="4">
        <v>3.8199999999999998E-2</v>
      </c>
      <c r="M982">
        <v>0.09</v>
      </c>
      <c r="N982" s="4">
        <v>0.72919979999999995</v>
      </c>
      <c r="O982" s="4">
        <v>1.71801</v>
      </c>
    </row>
    <row r="983" spans="2:15">
      <c r="B983" t="s">
        <v>1240</v>
      </c>
      <c r="C983" t="s">
        <v>63</v>
      </c>
      <c r="D983" t="s">
        <v>1250</v>
      </c>
      <c r="E983" t="s">
        <v>1251</v>
      </c>
      <c r="F983" t="s">
        <v>12</v>
      </c>
      <c r="G983" t="s">
        <v>1250</v>
      </c>
      <c r="H983" t="s">
        <v>1252</v>
      </c>
      <c r="I983" t="s">
        <v>31</v>
      </c>
      <c r="J983">
        <v>44013</v>
      </c>
      <c r="K983">
        <v>1</v>
      </c>
      <c r="L983" s="4">
        <v>3.8199999999999998E-2</v>
      </c>
      <c r="M983">
        <v>0.09</v>
      </c>
      <c r="N983" s="4">
        <v>1.6812965999999998</v>
      </c>
      <c r="O983" s="4">
        <v>3.9611700000000001</v>
      </c>
    </row>
    <row r="984" spans="2:15">
      <c r="B984" t="s">
        <v>1240</v>
      </c>
      <c r="C984" t="s">
        <v>63</v>
      </c>
      <c r="D984" t="s">
        <v>1253</v>
      </c>
      <c r="E984" t="s">
        <v>1254</v>
      </c>
      <c r="F984" t="s">
        <v>12</v>
      </c>
      <c r="G984" t="s">
        <v>1253</v>
      </c>
      <c r="H984" t="s">
        <v>1255</v>
      </c>
      <c r="I984" t="s">
        <v>31</v>
      </c>
      <c r="J984">
        <v>18435</v>
      </c>
      <c r="K984">
        <v>22</v>
      </c>
      <c r="L984" s="4">
        <v>3.8199999999999998E-2</v>
      </c>
      <c r="M984">
        <v>0.09</v>
      </c>
      <c r="N984" s="4">
        <v>0.70421699999999998</v>
      </c>
      <c r="O984" s="4">
        <v>1.6591499999999999</v>
      </c>
    </row>
    <row r="985" spans="2:15">
      <c r="B985" t="s">
        <v>1240</v>
      </c>
      <c r="C985" t="s">
        <v>63</v>
      </c>
      <c r="D985" t="s">
        <v>1253</v>
      </c>
      <c r="E985" t="s">
        <v>1254</v>
      </c>
      <c r="F985" t="s">
        <v>12</v>
      </c>
      <c r="G985" t="s">
        <v>1253</v>
      </c>
      <c r="H985" t="s">
        <v>1255</v>
      </c>
      <c r="I985" t="s">
        <v>31</v>
      </c>
      <c r="J985">
        <v>355</v>
      </c>
      <c r="K985">
        <v>0</v>
      </c>
      <c r="L985" s="4">
        <v>3.8199999999999998E-2</v>
      </c>
      <c r="M985">
        <v>0.09</v>
      </c>
      <c r="N985" s="4">
        <v>1.3561E-2</v>
      </c>
      <c r="O985" s="4">
        <v>3.1949999999999999E-2</v>
      </c>
    </row>
    <row r="986" spans="2:15">
      <c r="B986" t="s">
        <v>1240</v>
      </c>
      <c r="C986" t="s">
        <v>63</v>
      </c>
      <c r="D986" t="s">
        <v>1256</v>
      </c>
      <c r="E986" t="s">
        <v>1257</v>
      </c>
      <c r="F986" t="s">
        <v>12</v>
      </c>
      <c r="G986" t="s">
        <v>1256</v>
      </c>
      <c r="H986" t="s">
        <v>1258</v>
      </c>
      <c r="I986" t="s">
        <v>31</v>
      </c>
      <c r="J986">
        <v>27176</v>
      </c>
      <c r="K986">
        <v>36</v>
      </c>
      <c r="L986" s="4">
        <v>3.8199999999999998E-2</v>
      </c>
      <c r="M986">
        <v>0.09</v>
      </c>
      <c r="N986" s="4">
        <v>1.0381232</v>
      </c>
      <c r="O986" s="4">
        <v>2.4458399999999996</v>
      </c>
    </row>
    <row r="987" spans="2:15">
      <c r="B987" t="s">
        <v>1240</v>
      </c>
      <c r="C987" t="s">
        <v>63</v>
      </c>
      <c r="D987" t="s">
        <v>1256</v>
      </c>
      <c r="E987" t="s">
        <v>1257</v>
      </c>
      <c r="F987" t="s">
        <v>12</v>
      </c>
      <c r="G987" t="s">
        <v>1256</v>
      </c>
      <c r="H987" t="s">
        <v>1258</v>
      </c>
      <c r="I987" t="s">
        <v>31</v>
      </c>
      <c r="J987">
        <v>361</v>
      </c>
      <c r="K987">
        <v>1</v>
      </c>
      <c r="L987" s="4">
        <v>3.8199999999999998E-2</v>
      </c>
      <c r="M987">
        <v>0.09</v>
      </c>
      <c r="N987" s="4">
        <v>1.3790199999999999E-2</v>
      </c>
      <c r="O987" s="4">
        <v>3.2490000000000005E-2</v>
      </c>
    </row>
    <row r="988" spans="2:15">
      <c r="B988" t="s">
        <v>1240</v>
      </c>
      <c r="C988" t="s">
        <v>63</v>
      </c>
      <c r="D988" t="s">
        <v>1259</v>
      </c>
      <c r="E988" t="s">
        <v>1260</v>
      </c>
      <c r="F988" t="s">
        <v>12</v>
      </c>
      <c r="G988" t="s">
        <v>1259</v>
      </c>
      <c r="H988" t="s">
        <v>1261</v>
      </c>
      <c r="I988" t="s">
        <v>31</v>
      </c>
      <c r="J988">
        <v>78753</v>
      </c>
      <c r="K988">
        <v>90</v>
      </c>
      <c r="L988" s="4">
        <v>3.8199999999999998E-2</v>
      </c>
      <c r="M988">
        <v>0.09</v>
      </c>
      <c r="N988" s="4">
        <v>3.0083645999999997</v>
      </c>
      <c r="O988" s="4">
        <v>7.0877699999999999</v>
      </c>
    </row>
    <row r="989" spans="2:15">
      <c r="B989" t="s">
        <v>1240</v>
      </c>
      <c r="C989" t="s">
        <v>63</v>
      </c>
      <c r="D989" t="s">
        <v>1262</v>
      </c>
      <c r="E989" t="s">
        <v>1263</v>
      </c>
      <c r="F989" t="s">
        <v>12</v>
      </c>
      <c r="G989" t="s">
        <v>1262</v>
      </c>
      <c r="H989" t="s">
        <v>1264</v>
      </c>
      <c r="I989" t="s">
        <v>31</v>
      </c>
      <c r="J989">
        <v>182894</v>
      </c>
      <c r="K989">
        <v>222</v>
      </c>
      <c r="L989" s="4">
        <v>3.8199999999999998E-2</v>
      </c>
      <c r="M989">
        <v>0.09</v>
      </c>
      <c r="N989" s="4">
        <v>6.9865507999999998</v>
      </c>
      <c r="O989" s="4">
        <v>16.460459999999998</v>
      </c>
    </row>
    <row r="990" spans="2:15">
      <c r="B990" t="s">
        <v>1240</v>
      </c>
      <c r="C990" t="s">
        <v>63</v>
      </c>
      <c r="D990" t="s">
        <v>1265</v>
      </c>
      <c r="E990" t="s">
        <v>1266</v>
      </c>
      <c r="F990" t="s">
        <v>12</v>
      </c>
      <c r="G990" t="s">
        <v>1265</v>
      </c>
      <c r="H990" t="s">
        <v>1267</v>
      </c>
      <c r="I990" t="s">
        <v>31</v>
      </c>
      <c r="J990">
        <v>11294</v>
      </c>
      <c r="K990">
        <v>59</v>
      </c>
      <c r="L990" s="4">
        <v>3.8199999999999998E-2</v>
      </c>
      <c r="M990">
        <v>0.09</v>
      </c>
      <c r="N990" s="4">
        <v>0.4314308</v>
      </c>
      <c r="O990" s="4">
        <v>1.0164599999999999</v>
      </c>
    </row>
    <row r="991" spans="2:15">
      <c r="B991" t="s">
        <v>1240</v>
      </c>
      <c r="C991" t="s">
        <v>63</v>
      </c>
      <c r="D991" t="s">
        <v>1265</v>
      </c>
      <c r="E991" t="s">
        <v>1266</v>
      </c>
      <c r="F991" t="s">
        <v>12</v>
      </c>
      <c r="G991" t="s">
        <v>1265</v>
      </c>
      <c r="H991" t="s">
        <v>1267</v>
      </c>
      <c r="I991" t="s">
        <v>31</v>
      </c>
      <c r="J991">
        <v>471</v>
      </c>
      <c r="K991">
        <v>1</v>
      </c>
      <c r="L991" s="4">
        <v>3.8199999999999998E-2</v>
      </c>
      <c r="M991">
        <v>0.09</v>
      </c>
      <c r="N991" s="4">
        <v>1.79922E-2</v>
      </c>
      <c r="O991" s="4">
        <v>4.2389999999999997E-2</v>
      </c>
    </row>
    <row r="992" spans="2:15">
      <c r="B992" t="s">
        <v>1240</v>
      </c>
      <c r="C992" t="s">
        <v>63</v>
      </c>
      <c r="D992" t="s">
        <v>1268</v>
      </c>
      <c r="E992" t="s">
        <v>1269</v>
      </c>
      <c r="F992" t="s">
        <v>12</v>
      </c>
      <c r="G992" t="s">
        <v>1268</v>
      </c>
      <c r="H992" t="s">
        <v>1270</v>
      </c>
      <c r="I992" t="s">
        <v>31</v>
      </c>
      <c r="J992">
        <v>7346</v>
      </c>
      <c r="K992">
        <v>49</v>
      </c>
      <c r="L992" s="4">
        <v>3.8199999999999998E-2</v>
      </c>
      <c r="M992">
        <v>0.09</v>
      </c>
      <c r="N992" s="4">
        <v>0.28061719999999996</v>
      </c>
      <c r="O992" s="4">
        <v>0.66113999999999995</v>
      </c>
    </row>
    <row r="993" spans="2:15">
      <c r="B993" t="s">
        <v>1240</v>
      </c>
      <c r="C993" t="s">
        <v>63</v>
      </c>
      <c r="D993" t="s">
        <v>1268</v>
      </c>
      <c r="E993" t="s">
        <v>1269</v>
      </c>
      <c r="F993" t="s">
        <v>12</v>
      </c>
      <c r="G993" t="s">
        <v>1268</v>
      </c>
      <c r="H993" t="s">
        <v>1270</v>
      </c>
      <c r="I993" t="s">
        <v>31</v>
      </c>
      <c r="J993">
        <v>177</v>
      </c>
      <c r="K993">
        <v>0</v>
      </c>
      <c r="L993" s="4">
        <v>3.8199999999999998E-2</v>
      </c>
      <c r="M993">
        <v>0.09</v>
      </c>
      <c r="N993" s="4">
        <v>6.761399999999999E-3</v>
      </c>
      <c r="O993" s="4">
        <v>1.593E-2</v>
      </c>
    </row>
    <row r="994" spans="2:15">
      <c r="B994" t="s">
        <v>1240</v>
      </c>
      <c r="C994" t="s">
        <v>63</v>
      </c>
      <c r="D994" t="s">
        <v>1271</v>
      </c>
      <c r="E994" t="s">
        <v>1272</v>
      </c>
      <c r="F994" t="s">
        <v>12</v>
      </c>
      <c r="G994" t="s">
        <v>1271</v>
      </c>
      <c r="H994" t="s">
        <v>1273</v>
      </c>
      <c r="I994" t="s">
        <v>31</v>
      </c>
      <c r="J994">
        <v>118805</v>
      </c>
      <c r="K994">
        <v>180</v>
      </c>
      <c r="L994" s="4">
        <v>3.8199999999999998E-2</v>
      </c>
      <c r="M994">
        <v>0.09</v>
      </c>
      <c r="N994" s="4">
        <v>4.5383509999999996</v>
      </c>
      <c r="O994" s="4">
        <v>10.692449999999999</v>
      </c>
    </row>
    <row r="995" spans="2:15">
      <c r="B995" t="s">
        <v>1240</v>
      </c>
      <c r="C995" t="s">
        <v>63</v>
      </c>
      <c r="D995" t="s">
        <v>1271</v>
      </c>
      <c r="E995" t="s">
        <v>1272</v>
      </c>
      <c r="F995" t="s">
        <v>12</v>
      </c>
      <c r="G995" t="s">
        <v>1271</v>
      </c>
      <c r="H995" t="s">
        <v>1273</v>
      </c>
      <c r="I995" t="s">
        <v>31</v>
      </c>
      <c r="J995">
        <v>440</v>
      </c>
      <c r="K995">
        <v>1</v>
      </c>
      <c r="L995" s="4">
        <v>3.8199999999999998E-2</v>
      </c>
      <c r="M995">
        <v>0.09</v>
      </c>
      <c r="N995" s="4">
        <v>1.6808E-2</v>
      </c>
      <c r="O995" s="4">
        <v>3.9600000000000003E-2</v>
      </c>
    </row>
    <row r="996" spans="2:15">
      <c r="B996" t="s">
        <v>1240</v>
      </c>
      <c r="C996" t="s">
        <v>63</v>
      </c>
      <c r="D996" t="s">
        <v>1274</v>
      </c>
      <c r="E996" t="s">
        <v>1275</v>
      </c>
      <c r="F996" t="s">
        <v>12</v>
      </c>
      <c r="G996" t="s">
        <v>1274</v>
      </c>
      <c r="H996" t="s">
        <v>1276</v>
      </c>
      <c r="I996" t="s">
        <v>31</v>
      </c>
      <c r="J996">
        <v>42355</v>
      </c>
      <c r="K996">
        <v>323</v>
      </c>
      <c r="L996" s="4">
        <v>3.8199999999999998E-2</v>
      </c>
      <c r="M996">
        <v>0.09</v>
      </c>
      <c r="N996" s="4">
        <v>1.617961</v>
      </c>
      <c r="O996" s="4">
        <v>3.8119499999999999</v>
      </c>
    </row>
    <row r="997" spans="2:15">
      <c r="B997" t="s">
        <v>1240</v>
      </c>
      <c r="C997" t="s">
        <v>63</v>
      </c>
      <c r="D997" t="s">
        <v>1274</v>
      </c>
      <c r="E997" t="s">
        <v>1275</v>
      </c>
      <c r="F997" t="s">
        <v>12</v>
      </c>
      <c r="G997" t="s">
        <v>1274</v>
      </c>
      <c r="H997" t="s">
        <v>1276</v>
      </c>
      <c r="I997" t="s">
        <v>31</v>
      </c>
      <c r="J997">
        <v>632</v>
      </c>
      <c r="K997">
        <v>3</v>
      </c>
      <c r="L997" s="4">
        <v>3.8199999999999998E-2</v>
      </c>
      <c r="M997">
        <v>0.09</v>
      </c>
      <c r="N997" s="4">
        <v>2.4142399999999998E-2</v>
      </c>
      <c r="O997" s="4">
        <v>5.6879999999999993E-2</v>
      </c>
    </row>
    <row r="998" spans="2:15">
      <c r="B998" t="s">
        <v>1240</v>
      </c>
      <c r="C998" t="s">
        <v>63</v>
      </c>
      <c r="D998" t="s">
        <v>1277</v>
      </c>
      <c r="E998" t="s">
        <v>1278</v>
      </c>
      <c r="F998" t="s">
        <v>12</v>
      </c>
      <c r="G998" t="s">
        <v>1277</v>
      </c>
      <c r="H998" t="s">
        <v>1279</v>
      </c>
      <c r="I998" t="s">
        <v>31</v>
      </c>
      <c r="J998">
        <v>5832</v>
      </c>
      <c r="K998">
        <v>2</v>
      </c>
      <c r="L998" s="4">
        <v>3.8199999999999998E-2</v>
      </c>
      <c r="M998">
        <v>0.09</v>
      </c>
      <c r="N998" s="4">
        <v>0.22278239999999999</v>
      </c>
      <c r="O998" s="4">
        <v>0.52488000000000001</v>
      </c>
    </row>
    <row r="999" spans="2:15">
      <c r="B999" t="s">
        <v>1240</v>
      </c>
      <c r="C999" t="s">
        <v>63</v>
      </c>
      <c r="D999" t="s">
        <v>1277</v>
      </c>
      <c r="E999" t="s">
        <v>1278</v>
      </c>
      <c r="F999" t="s">
        <v>12</v>
      </c>
      <c r="G999" t="s">
        <v>1277</v>
      </c>
      <c r="H999" t="s">
        <v>1279</v>
      </c>
      <c r="I999" t="s">
        <v>31</v>
      </c>
      <c r="J999">
        <v>79</v>
      </c>
      <c r="K999">
        <v>0</v>
      </c>
      <c r="L999" s="4">
        <v>3.8199999999999998E-2</v>
      </c>
      <c r="M999">
        <v>0.09</v>
      </c>
      <c r="N999" s="4">
        <v>3.0177999999999997E-3</v>
      </c>
      <c r="O999" s="4">
        <v>7.1099999999999991E-3</v>
      </c>
    </row>
    <row r="1000" spans="2:15">
      <c r="B1000" t="s">
        <v>1240</v>
      </c>
      <c r="C1000" t="s">
        <v>63</v>
      </c>
      <c r="D1000" t="s">
        <v>1280</v>
      </c>
      <c r="E1000" t="s">
        <v>1281</v>
      </c>
      <c r="F1000" t="s">
        <v>12</v>
      </c>
      <c r="G1000" t="s">
        <v>1280</v>
      </c>
      <c r="H1000" t="s">
        <v>1282</v>
      </c>
      <c r="I1000" t="s">
        <v>31</v>
      </c>
      <c r="J1000">
        <v>12200</v>
      </c>
      <c r="K1000">
        <v>3</v>
      </c>
      <c r="L1000" s="4">
        <v>3.8199999999999998E-2</v>
      </c>
      <c r="M1000">
        <v>0.09</v>
      </c>
      <c r="N1000" s="4">
        <v>0.46603999999999995</v>
      </c>
      <c r="O1000" s="4">
        <v>1.0980000000000001</v>
      </c>
    </row>
    <row r="1001" spans="2:15">
      <c r="B1001" t="s">
        <v>1240</v>
      </c>
      <c r="C1001" t="s">
        <v>63</v>
      </c>
      <c r="D1001" t="s">
        <v>1280</v>
      </c>
      <c r="E1001" t="s">
        <v>1281</v>
      </c>
      <c r="F1001" t="s">
        <v>12</v>
      </c>
      <c r="G1001" t="s">
        <v>1280</v>
      </c>
      <c r="H1001" t="s">
        <v>1282</v>
      </c>
      <c r="I1001" t="s">
        <v>31</v>
      </c>
      <c r="J1001">
        <v>255</v>
      </c>
      <c r="K1001">
        <v>1</v>
      </c>
      <c r="L1001" s="4">
        <v>3.8199999999999998E-2</v>
      </c>
      <c r="M1001">
        <v>0.09</v>
      </c>
      <c r="N1001" s="4">
        <v>9.7409999999999997E-3</v>
      </c>
      <c r="O1001" s="4">
        <v>2.2949999999999998E-2</v>
      </c>
    </row>
    <row r="1002" spans="2:15">
      <c r="B1002" t="s">
        <v>1240</v>
      </c>
      <c r="C1002" t="s">
        <v>63</v>
      </c>
      <c r="D1002" t="s">
        <v>1283</v>
      </c>
      <c r="E1002" t="s">
        <v>1284</v>
      </c>
      <c r="F1002" t="s">
        <v>12</v>
      </c>
      <c r="G1002" t="s">
        <v>1283</v>
      </c>
      <c r="H1002" t="s">
        <v>1285</v>
      </c>
      <c r="I1002" t="s">
        <v>31</v>
      </c>
      <c r="J1002">
        <v>60</v>
      </c>
      <c r="K1002">
        <v>0</v>
      </c>
      <c r="L1002" s="4">
        <v>3.8199999999999998E-2</v>
      </c>
      <c r="M1002">
        <v>0.09</v>
      </c>
      <c r="N1002" s="4">
        <v>2.2919999999999998E-3</v>
      </c>
      <c r="O1002" s="4">
        <v>5.3999999999999994E-3</v>
      </c>
    </row>
    <row r="1003" spans="2:15">
      <c r="B1003" t="s">
        <v>1240</v>
      </c>
      <c r="C1003" t="s">
        <v>63</v>
      </c>
      <c r="D1003" t="s">
        <v>1283</v>
      </c>
      <c r="E1003" t="s">
        <v>1284</v>
      </c>
      <c r="F1003" t="s">
        <v>12</v>
      </c>
      <c r="G1003" t="s">
        <v>1283</v>
      </c>
      <c r="H1003" t="s">
        <v>1285</v>
      </c>
      <c r="I1003" t="s">
        <v>31</v>
      </c>
      <c r="J1003">
        <v>75</v>
      </c>
      <c r="K1003">
        <v>0</v>
      </c>
      <c r="L1003" s="4">
        <v>3.8199999999999998E-2</v>
      </c>
      <c r="M1003">
        <v>0.09</v>
      </c>
      <c r="N1003" s="4">
        <v>2.8649999999999999E-3</v>
      </c>
      <c r="O1003" s="4">
        <v>6.7499999999999999E-3</v>
      </c>
    </row>
    <row r="1004" spans="2:15">
      <c r="B1004" t="s">
        <v>1240</v>
      </c>
      <c r="C1004" t="s">
        <v>63</v>
      </c>
      <c r="D1004" t="s">
        <v>1286</v>
      </c>
      <c r="E1004" t="s">
        <v>1287</v>
      </c>
      <c r="F1004" t="s">
        <v>12</v>
      </c>
      <c r="G1004" t="s">
        <v>1286</v>
      </c>
      <c r="H1004" t="s">
        <v>1288</v>
      </c>
      <c r="I1004" t="s">
        <v>31</v>
      </c>
      <c r="J1004">
        <v>244</v>
      </c>
      <c r="K1004">
        <v>4</v>
      </c>
      <c r="L1004" s="4">
        <v>3.8199999999999998E-2</v>
      </c>
      <c r="M1004">
        <v>0.09</v>
      </c>
      <c r="N1004" s="4">
        <v>9.3208000000000006E-3</v>
      </c>
      <c r="O1004" s="4">
        <v>2.196E-2</v>
      </c>
    </row>
    <row r="1005" spans="2:15">
      <c r="B1005" t="s">
        <v>1240</v>
      </c>
      <c r="C1005" t="s">
        <v>63</v>
      </c>
      <c r="D1005" t="s">
        <v>1286</v>
      </c>
      <c r="E1005" t="s">
        <v>1287</v>
      </c>
      <c r="F1005" t="s">
        <v>12</v>
      </c>
      <c r="G1005" t="s">
        <v>1286</v>
      </c>
      <c r="H1005" t="s">
        <v>1288</v>
      </c>
      <c r="I1005" t="s">
        <v>31</v>
      </c>
      <c r="J1005">
        <v>396</v>
      </c>
      <c r="K1005">
        <v>2</v>
      </c>
      <c r="L1005" s="4">
        <v>3.8199999999999998E-2</v>
      </c>
      <c r="M1005">
        <v>0.09</v>
      </c>
      <c r="N1005" s="4">
        <v>1.5127199999999999E-2</v>
      </c>
      <c r="O1005" s="4">
        <v>3.5639999999999998E-2</v>
      </c>
    </row>
    <row r="1006" spans="2:15">
      <c r="B1006" t="s">
        <v>1240</v>
      </c>
      <c r="C1006" t="s">
        <v>63</v>
      </c>
      <c r="D1006" t="s">
        <v>1289</v>
      </c>
      <c r="E1006" t="s">
        <v>1290</v>
      </c>
      <c r="F1006" t="s">
        <v>12</v>
      </c>
      <c r="G1006" t="s">
        <v>1289</v>
      </c>
      <c r="H1006" t="s">
        <v>1291</v>
      </c>
      <c r="I1006" t="s">
        <v>31</v>
      </c>
      <c r="J1006">
        <v>4584</v>
      </c>
      <c r="K1006">
        <v>3</v>
      </c>
      <c r="L1006" s="4">
        <v>3.8199999999999998E-2</v>
      </c>
      <c r="M1006">
        <v>0.09</v>
      </c>
      <c r="N1006" s="4">
        <v>0.17510880000000001</v>
      </c>
      <c r="O1006" s="4">
        <v>0.41255999999999998</v>
      </c>
    </row>
    <row r="1007" spans="2:15">
      <c r="B1007" t="s">
        <v>1240</v>
      </c>
      <c r="C1007" t="s">
        <v>63</v>
      </c>
      <c r="D1007" t="s">
        <v>1289</v>
      </c>
      <c r="E1007" t="s">
        <v>1290</v>
      </c>
      <c r="F1007" t="s">
        <v>12</v>
      </c>
      <c r="G1007" t="s">
        <v>1289</v>
      </c>
      <c r="H1007" t="s">
        <v>1291</v>
      </c>
      <c r="I1007" t="s">
        <v>31</v>
      </c>
      <c r="J1007">
        <v>191</v>
      </c>
      <c r="K1007">
        <v>0</v>
      </c>
      <c r="L1007" s="4">
        <v>3.8199999999999998E-2</v>
      </c>
      <c r="M1007">
        <v>0.09</v>
      </c>
      <c r="N1007" s="4">
        <v>7.2962000000000001E-3</v>
      </c>
      <c r="O1007" s="4">
        <v>1.7189999999999997E-2</v>
      </c>
    </row>
    <row r="1008" spans="2:15">
      <c r="B1008" t="s">
        <v>1240</v>
      </c>
      <c r="C1008" t="s">
        <v>63</v>
      </c>
      <c r="D1008" t="s">
        <v>1292</v>
      </c>
      <c r="E1008" t="s">
        <v>1293</v>
      </c>
      <c r="F1008" t="s">
        <v>12</v>
      </c>
      <c r="G1008" t="s">
        <v>1292</v>
      </c>
      <c r="H1008" t="s">
        <v>1294</v>
      </c>
      <c r="I1008" t="s">
        <v>31</v>
      </c>
      <c r="J1008">
        <v>2380</v>
      </c>
      <c r="K1008">
        <v>0</v>
      </c>
      <c r="L1008" s="4">
        <v>3.8199999999999998E-2</v>
      </c>
      <c r="M1008">
        <v>0.09</v>
      </c>
      <c r="N1008" s="4">
        <v>9.0915999999999997E-2</v>
      </c>
      <c r="O1008" s="4">
        <v>0.2142</v>
      </c>
    </row>
    <row r="1009" spans="2:15">
      <c r="B1009" t="s">
        <v>1240</v>
      </c>
      <c r="C1009" t="s">
        <v>63</v>
      </c>
      <c r="D1009" t="s">
        <v>1292</v>
      </c>
      <c r="E1009" t="s">
        <v>1293</v>
      </c>
      <c r="F1009" t="s">
        <v>12</v>
      </c>
      <c r="G1009" t="s">
        <v>1292</v>
      </c>
      <c r="H1009" t="s">
        <v>1294</v>
      </c>
      <c r="I1009" t="s">
        <v>31</v>
      </c>
      <c r="J1009">
        <v>160</v>
      </c>
      <c r="K1009">
        <v>2</v>
      </c>
      <c r="L1009" s="4">
        <v>3.8199999999999998E-2</v>
      </c>
      <c r="M1009">
        <v>0.09</v>
      </c>
      <c r="N1009" s="4">
        <v>6.1120000000000002E-3</v>
      </c>
      <c r="O1009" s="4">
        <v>1.4399999999999998E-2</v>
      </c>
    </row>
    <row r="1010" spans="2:15">
      <c r="B1010" t="s">
        <v>1295</v>
      </c>
      <c r="C1010" t="s">
        <v>54</v>
      </c>
      <c r="D1010" t="s">
        <v>1296</v>
      </c>
      <c r="E1010" t="s">
        <v>1297</v>
      </c>
      <c r="F1010" t="s">
        <v>10</v>
      </c>
      <c r="G1010" t="s">
        <v>1296</v>
      </c>
      <c r="H1010" t="s">
        <v>1298</v>
      </c>
      <c r="I1010" t="s">
        <v>32</v>
      </c>
      <c r="J1010">
        <v>0</v>
      </c>
      <c r="K1010">
        <v>2</v>
      </c>
      <c r="L1010" s="4">
        <v>3.5000000000000001E-3</v>
      </c>
      <c r="M1010">
        <v>0.02</v>
      </c>
      <c r="N1010" s="4">
        <v>7.0000000000000001E-3</v>
      </c>
      <c r="O1010" s="4">
        <v>0.04</v>
      </c>
    </row>
    <row r="1011" spans="2:15">
      <c r="B1011" t="s">
        <v>1295</v>
      </c>
      <c r="C1011" t="s">
        <v>54</v>
      </c>
      <c r="D1011" t="s">
        <v>1296</v>
      </c>
      <c r="E1011" t="s">
        <v>1297</v>
      </c>
      <c r="F1011" t="s">
        <v>10</v>
      </c>
      <c r="G1011" t="s">
        <v>1296</v>
      </c>
      <c r="H1011" t="s">
        <v>1298</v>
      </c>
      <c r="I1011" t="s">
        <v>32</v>
      </c>
      <c r="J1011">
        <v>1</v>
      </c>
      <c r="K1011">
        <v>0</v>
      </c>
      <c r="L1011" s="4">
        <v>3.5000000000000001E-3</v>
      </c>
      <c r="M1011">
        <v>0.02</v>
      </c>
      <c r="N1011" s="4">
        <v>0</v>
      </c>
      <c r="O1011" s="4">
        <v>0</v>
      </c>
    </row>
    <row r="1012" spans="2:15">
      <c r="B1012" t="s">
        <v>1295</v>
      </c>
      <c r="C1012" t="s">
        <v>50</v>
      </c>
      <c r="D1012" t="s">
        <v>1299</v>
      </c>
      <c r="E1012" t="s">
        <v>1300</v>
      </c>
      <c r="F1012" t="s">
        <v>12</v>
      </c>
      <c r="G1012" t="s">
        <v>1301</v>
      </c>
      <c r="H1012" t="s">
        <v>1302</v>
      </c>
      <c r="I1012" t="s">
        <v>31</v>
      </c>
      <c r="J1012">
        <v>919</v>
      </c>
      <c r="K1012">
        <v>0</v>
      </c>
      <c r="L1012" s="4">
        <v>3.8199999999999998E-2</v>
      </c>
      <c r="M1012">
        <v>0.09</v>
      </c>
      <c r="N1012" s="4">
        <v>3.5105799999999993E-2</v>
      </c>
      <c r="O1012" s="4">
        <v>8.2709999999999992E-2</v>
      </c>
    </row>
    <row r="1013" spans="2:15">
      <c r="B1013" t="s">
        <v>1295</v>
      </c>
      <c r="C1013" t="s">
        <v>50</v>
      </c>
      <c r="D1013" t="s">
        <v>1303</v>
      </c>
      <c r="E1013" t="s">
        <v>1304</v>
      </c>
      <c r="F1013" t="s">
        <v>12</v>
      </c>
      <c r="G1013" t="s">
        <v>1305</v>
      </c>
      <c r="H1013" t="s">
        <v>1306</v>
      </c>
      <c r="I1013" t="s">
        <v>31</v>
      </c>
      <c r="J1013">
        <v>54350</v>
      </c>
      <c r="K1013">
        <v>198</v>
      </c>
      <c r="L1013" s="4">
        <v>3.8199999999999998E-2</v>
      </c>
      <c r="M1013">
        <v>0.09</v>
      </c>
      <c r="N1013" s="4">
        <v>2.0761700000000003</v>
      </c>
      <c r="O1013" s="4">
        <v>4.8914999999999997</v>
      </c>
    </row>
    <row r="1014" spans="2:15">
      <c r="B1014" t="s">
        <v>1295</v>
      </c>
      <c r="C1014" t="s">
        <v>50</v>
      </c>
      <c r="D1014" t="s">
        <v>1303</v>
      </c>
      <c r="E1014" t="s">
        <v>1304</v>
      </c>
      <c r="F1014" t="s">
        <v>12</v>
      </c>
      <c r="G1014" t="s">
        <v>1305</v>
      </c>
      <c r="H1014" t="s">
        <v>1306</v>
      </c>
      <c r="I1014" t="s">
        <v>31</v>
      </c>
      <c r="J1014">
        <v>20</v>
      </c>
      <c r="K1014">
        <v>0</v>
      </c>
      <c r="L1014" s="4">
        <v>3.8199999999999998E-2</v>
      </c>
      <c r="M1014">
        <v>0.09</v>
      </c>
      <c r="N1014" s="4">
        <v>7.6400000000000003E-4</v>
      </c>
      <c r="O1014" s="4">
        <v>1.7999999999999997E-3</v>
      </c>
    </row>
    <row r="1015" spans="2:15">
      <c r="B1015" t="s">
        <v>1295</v>
      </c>
      <c r="C1015" t="s">
        <v>50</v>
      </c>
      <c r="D1015" t="s">
        <v>1307</v>
      </c>
      <c r="E1015" t="s">
        <v>1308</v>
      </c>
      <c r="F1015" t="s">
        <v>12</v>
      </c>
      <c r="G1015" t="s">
        <v>1309</v>
      </c>
      <c r="H1015" t="s">
        <v>1310</v>
      </c>
      <c r="I1015" t="s">
        <v>31</v>
      </c>
      <c r="J1015">
        <v>7441</v>
      </c>
      <c r="K1015">
        <v>19</v>
      </c>
      <c r="L1015" s="4">
        <v>3.8199999999999998E-2</v>
      </c>
      <c r="M1015">
        <v>0.09</v>
      </c>
      <c r="N1015" s="4">
        <v>0.2842462</v>
      </c>
      <c r="O1015" s="4">
        <v>0.6696899999999999</v>
      </c>
    </row>
    <row r="1016" spans="2:15">
      <c r="B1016" t="s">
        <v>1295</v>
      </c>
      <c r="C1016" t="s">
        <v>50</v>
      </c>
      <c r="D1016" t="s">
        <v>1307</v>
      </c>
      <c r="E1016" t="s">
        <v>1308</v>
      </c>
      <c r="F1016" t="s">
        <v>12</v>
      </c>
      <c r="G1016" t="s">
        <v>1309</v>
      </c>
      <c r="H1016" t="s">
        <v>1310</v>
      </c>
      <c r="I1016" t="s">
        <v>31</v>
      </c>
      <c r="J1016">
        <v>1</v>
      </c>
      <c r="K1016">
        <v>0</v>
      </c>
      <c r="L1016" s="4">
        <v>3.8199999999999998E-2</v>
      </c>
      <c r="M1016">
        <v>0.09</v>
      </c>
      <c r="N1016" s="4">
        <v>3.82E-5</v>
      </c>
      <c r="O1016" s="4">
        <v>8.9999999999999992E-5</v>
      </c>
    </row>
    <row r="1017" spans="2:15">
      <c r="B1017" t="s">
        <v>1295</v>
      </c>
      <c r="C1017" t="s">
        <v>50</v>
      </c>
      <c r="D1017" t="s">
        <v>1311</v>
      </c>
      <c r="E1017" t="s">
        <v>1312</v>
      </c>
      <c r="F1017" t="s">
        <v>12</v>
      </c>
      <c r="G1017" t="s">
        <v>1313</v>
      </c>
      <c r="H1017" t="s">
        <v>1314</v>
      </c>
      <c r="I1017" t="s">
        <v>31</v>
      </c>
      <c r="J1017">
        <v>19603</v>
      </c>
      <c r="K1017">
        <v>39</v>
      </c>
      <c r="L1017" s="4">
        <v>3.8199999999999998E-2</v>
      </c>
      <c r="M1017">
        <v>0.09</v>
      </c>
      <c r="N1017" s="4">
        <v>0.74883459999999991</v>
      </c>
      <c r="O1017" s="4">
        <v>1.76427</v>
      </c>
    </row>
    <row r="1018" spans="2:15">
      <c r="B1018" t="s">
        <v>1295</v>
      </c>
      <c r="C1018" t="s">
        <v>50</v>
      </c>
      <c r="D1018" t="s">
        <v>1311</v>
      </c>
      <c r="E1018" t="s">
        <v>1312</v>
      </c>
      <c r="F1018" t="s">
        <v>12</v>
      </c>
      <c r="G1018" t="s">
        <v>1313</v>
      </c>
      <c r="H1018" t="s">
        <v>1314</v>
      </c>
      <c r="I1018" t="s">
        <v>31</v>
      </c>
      <c r="J1018">
        <v>11</v>
      </c>
      <c r="K1018">
        <v>0</v>
      </c>
      <c r="L1018" s="4">
        <v>3.8199999999999998E-2</v>
      </c>
      <c r="M1018">
        <v>0.09</v>
      </c>
      <c r="N1018" s="4">
        <v>4.2019999999999997E-4</v>
      </c>
      <c r="O1018" s="4">
        <v>9.8999999999999999E-4</v>
      </c>
    </row>
    <row r="1019" spans="2:15">
      <c r="B1019" t="s">
        <v>1295</v>
      </c>
      <c r="C1019" t="s">
        <v>50</v>
      </c>
      <c r="D1019" t="s">
        <v>1315</v>
      </c>
      <c r="E1019" t="s">
        <v>1316</v>
      </c>
      <c r="F1019" t="s">
        <v>12</v>
      </c>
      <c r="G1019" t="s">
        <v>1317</v>
      </c>
      <c r="H1019" t="s">
        <v>1318</v>
      </c>
      <c r="I1019" t="s">
        <v>31</v>
      </c>
      <c r="J1019">
        <v>16903</v>
      </c>
      <c r="K1019">
        <v>35</v>
      </c>
      <c r="L1019" s="4">
        <v>3.8199999999999998E-2</v>
      </c>
      <c r="M1019">
        <v>0.09</v>
      </c>
      <c r="N1019" s="4">
        <v>0.6456945999999999</v>
      </c>
      <c r="O1019" s="4">
        <v>1.5212699999999999</v>
      </c>
    </row>
    <row r="1020" spans="2:15">
      <c r="N1020" s="5"/>
      <c r="O1020" s="5"/>
    </row>
    <row r="1021" spans="2:15">
      <c r="L1021" s="4"/>
      <c r="N1021" s="4"/>
      <c r="O1021" s="4"/>
    </row>
    <row r="1022" spans="2:15">
      <c r="L1022" s="4"/>
      <c r="N1022" s="4"/>
      <c r="O1022" s="4"/>
    </row>
    <row r="1023" spans="2:15">
      <c r="L1023" s="4"/>
      <c r="N1023" s="4"/>
      <c r="O1023" s="4"/>
    </row>
    <row r="1024" spans="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N1846" s="5"/>
      <c r="O1846" s="5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</sheetData>
  <autoFilter ref="A18:O1845" xr:uid="{77595A25-A759-40B4-AE0D-A27FCE2AE26E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2019-03-27T20:30:10Z</dcterms:modified>
</cp:coreProperties>
</file>