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ACB4F526-6865-409A-A78B-87D7687B37FE}" xr6:coauthVersionLast="44" xr6:coauthVersionMax="44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Resumo!$A$18:$O$1065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<sst xmlns="http://schemas.openxmlformats.org/spreadsheetml/2006/main" count="998" uniqueCount="421">
  <si>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</si>
  <si>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</si>
  <si>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</si>
  <si>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</si>
  <si>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</si>
  <si>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</si>
  <si>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</si>
  <si>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</si>
  <si>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</si>
  <si>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</si>
  <si>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</si>
  <si>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</si>
  <si>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</si>
  <si>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</si>
  <si>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</si>
  <si>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</si>
  <si>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</si>
  <si>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</si>
  <si>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</si>
  <si>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</si>
  <si>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</si>
  <si>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</si>
  <si>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</si>
  <si>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</si>
  <si>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</si>
  <si>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</si>
  <si>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</si>
  <si>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</si>
  <si>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</si>
  <si>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</si>
  <si>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</si>
  <si>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AdsMovil</t>
  </si>
  <si>
    <t>Google Brasil</t>
  </si>
  <si>
    <t>Taboola</t>
  </si>
  <si>
    <t>afilio.com.br</t>
  </si>
  <si>
    <t>Receita Almap</t>
  </si>
  <si>
    <t>In-Stream Video</t>
  </si>
  <si>
    <t>almapbbdo:alp_nova-cielo-atualizado:display:awareness:todos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</si>
  <si>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</si>
  <si>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</si>
  <si>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</si>
  <si>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</si>
  <si>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</si>
  <si>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</si>
  <si>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</si>
  <si>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</si>
  <si>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</si>
  <si>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adsmovil:marca:indepedencia:display:cpm:richmedia-interstitial-320x480:aw_ins_nova-cielo-rita:cidp116.2.291:2</t>
  </si>
  <si>
    <t>256564335</t>
  </si>
  <si>
    <t>452313914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</si>
  <si>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</si>
  <si>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</si>
  <si>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</si>
  <si>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</si>
  <si>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</si>
  <si>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</si>
  <si>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verizon:marca:provedor:display:cpc:large-image-1200x627:aw_ins_nova-cielo-pedro:cidp116.2.524:2</t>
  </si>
  <si>
    <t>256564302</t>
  </si>
  <si>
    <t>452313881</t>
  </si>
  <si>
    <t>almapbbdo:alp_nova-cielo-atualizado:display:consideracao:todos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</si>
  <si>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</si>
  <si>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</si>
  <si>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</si>
  <si>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</si>
  <si>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</si>
  <si>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verizon:mobile:look-a-like_e_predictive_audience:native:cpc:large-image-1200x627:seg_ins_mob-pedro:cidp116.2.662:2</t>
  </si>
  <si>
    <t>256514890</t>
  </si>
  <si>
    <t>452382383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</si>
  <si>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</si>
  <si>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</si>
  <si>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</si>
  <si>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</si>
  <si>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Hands</t>
  </si>
  <si>
    <t>In Loco Media</t>
  </si>
  <si>
    <t>almapbbdo:alp_lojas-cielo:display:awareness:todos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</si>
  <si>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</si>
  <si>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</si>
  <si>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</si>
  <si>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hands:marca:spgeolocalizacaoasabc21inauguracao:display:cpm:top-250x50:awa_ins_lojas-cielo:cidp122.2.1:2</t>
  </si>
  <si>
    <t>258182495</t>
  </si>
  <si>
    <t>454297676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</si>
  <si>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</si>
  <si>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</si>
  <si>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</si>
  <si>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</si>
  <si>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</si>
  <si>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</si>
  <si>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</si>
  <si>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</si>
  <si>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</si>
  <si>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</si>
  <si>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info_money:marca:audiencia_do_portal:display:cpm:lightbox-640x480:aw_ins_flash-marcello_taxa-zero:cidp116.2.1422:2</t>
  </si>
  <si>
    <t>257654298</t>
  </si>
  <si>
    <t>453368759</t>
  </si>
  <si>
    <t>adsmovil:marca:rmkt_device_id:display:cpc:standard-banner-300x250:seg_ins_flash-marcello_taxa-zero:cidp116.2.1361:2</t>
  </si>
  <si>
    <t>257225292</t>
  </si>
  <si>
    <t>452921127</t>
  </si>
  <si>
    <t>SeedTag</t>
  </si>
  <si>
    <t>seedtag:marca:lal_as_abc_25__pme_micro_empreendedor_e_autonomos:display:cpm:formato-especial:seg_ins_nova-cielo-2:cidp116.2.831:2</t>
  </si>
  <si>
    <t>256101185</t>
  </si>
  <si>
    <t>452314493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</si>
  <si>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</si>
  <si>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</si>
  <si>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</si>
  <si>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</si>
  <si>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</si>
  <si>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</si>
  <si>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</si>
  <si>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</si>
  <si>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</si>
  <si>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</si>
  <si>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</si>
  <si>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</si>
  <si>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</si>
  <si>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</si>
  <si>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</si>
  <si>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afilio:marca:empreendedorismo:display:cpvisit:arranha-ceu-320x50:seg_ins_flash-marcello_taxa-zero:cidp116.2.1484:2</t>
  </si>
  <si>
    <t>257569117</t>
  </si>
  <si>
    <t>453388742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</si>
  <si>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</si>
  <si>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</si>
  <si>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</si>
  <si>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afilio:marca:negocios:display:cpvisit:arroba-300x250:seg_ins_minizip-rita_taxa-zero:cidp116.2.1371:2</t>
  </si>
  <si>
    <t>257225259</t>
  </si>
  <si>
    <t>452921094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</si>
  <si>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</si>
  <si>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</si>
  <si>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</si>
  <si>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</si>
  <si>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</si>
  <si>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</si>
  <si>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</si>
  <si>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</si>
  <si>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</si>
  <si>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afilio:marca:portais_de_noticias_e_financas:display:cpvisit:super-banner-728x90:seg_ins_flash-marcello_taxa-zero:cidp116.2.1393:2</t>
  </si>
  <si>
    <t>257225289</t>
  </si>
  <si>
    <t>452921124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</si>
  <si>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</si>
  <si>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</si>
  <si>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</si>
  <si>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</si>
  <si>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</si>
  <si>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</si>
  <si>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verizon:marca:decisor:native:cpc:native-627x267:fre_ins_nova-cielo-marcello_taxa-zero:cidp116.2.1324:2</t>
  </si>
  <si>
    <t>257229882</t>
  </si>
  <si>
    <t>453005254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</si>
  <si>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</si>
  <si>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</si>
  <si>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</si>
  <si>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</si>
  <si>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</si>
  <si>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</si>
  <si>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</si>
  <si>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</si>
  <si>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</si>
  <si>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</si>
  <si>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</si>
  <si>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</si>
  <si>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</si>
  <si>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</si>
  <si>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</si>
  <si>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</si>
  <si>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</si>
  <si>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</si>
  <si>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</si>
  <si>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</si>
  <si>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</si>
  <si>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</si>
  <si>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</si>
  <si>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</si>
  <si>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</si>
  <si>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</si>
  <si>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</si>
  <si>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BR OLX</t>
  </si>
  <si>
    <t>olx:marca:audiencia_do_portal:display:patrocinio:native-app-600x600:aw_pre-blackfriday:cidp116.2.1559:2</t>
  </si>
  <si>
    <t>259758824</t>
  </si>
  <si>
    <t>455724356</t>
  </si>
  <si>
    <t>OPL Digital</t>
  </si>
  <si>
    <t>dv_360:marca:as_abc_21__empreendedores:display:cpm:large-mobile-banner-320x100:awa_ins_lojas-cielo:cidp122.2.29:2</t>
  </si>
  <si>
    <t>264237093</t>
  </si>
  <si>
    <t>459151932</t>
  </si>
  <si>
    <t>dv_360:marca:as_abc_21__empreendedores:display:cpm:leaderboard-728x90:awa_ins_lojas-cielo:cidp122.2.31:2</t>
  </si>
  <si>
    <t>264237087</t>
  </si>
  <si>
    <t>459153417</t>
  </si>
  <si>
    <t>dv_360:marca:as_abc_21__empreendedores:display:cpm:mobile-leaderboard-320x50:awa_ins_lojas-cielo:cidp122.2.30:2</t>
  </si>
  <si>
    <t>264237090</t>
  </si>
  <si>
    <t>459285874</t>
  </si>
  <si>
    <t>dv_360:marca:as_abc_21__empreendedores:display:cpm:retangulo-medio-300x250:awa_ins_lojas-cielo:cidp122.2.27:2</t>
  </si>
  <si>
    <t>264233898</t>
  </si>
  <si>
    <t>459285658</t>
  </si>
  <si>
    <t>dv_360:marca:as_abc_21__empreendedores:display:cpm:skyscraper-300x600:awa_ins_lojas-cielo:cidp122.2.28:2</t>
  </si>
  <si>
    <t>264237096</t>
  </si>
  <si>
    <t>459153387</t>
  </si>
  <si>
    <t>hands:marca:as_abc_21__geo_behavior__web_behavior:display:cpm:arroba-300x250:awa_ins_lojas-cielo:cidp122.2.38:2</t>
  </si>
  <si>
    <t>264262194</t>
  </si>
  <si>
    <t>459170333</t>
  </si>
  <si>
    <t>hands:marca:as_abc_21__geo_behavior__web_behavior:display:cpm:interstitial-320x480:awa_ins_lojas-cielo:cidp122.2.39:2</t>
  </si>
  <si>
    <t>264210370</t>
  </si>
  <si>
    <t>459170336</t>
  </si>
  <si>
    <t>hands:marca:as_abc_21__geo_behavior__web_behavior:display:cpm:top-250x50:awa_ins_lojas-cielo:cidp122.2.37:2</t>
  </si>
  <si>
    <t>264210277</t>
  </si>
  <si>
    <t>459152394</t>
  </si>
  <si>
    <t>inloco:marca:as_abc_21___regiao_proxima_as_lojas__40_km:display:cpm:mediumrectangle-900x150:awa_ins_lojas-cielo:cidp122.2.33:2</t>
  </si>
  <si>
    <t>264237084</t>
  </si>
  <si>
    <t>459170330</t>
  </si>
  <si>
    <t>inloco:marca:as_abc_21___regiao_proxima_as_lojas__40_km:display:cpm:native-1200x627:awa_ins_lojas-cielo:cidp122.2.34:2</t>
  </si>
  <si>
    <t>264237081</t>
  </si>
  <si>
    <t>459170327</t>
  </si>
  <si>
    <t>inloco:marca:as_abc_21___regiao_proxima_as_lojas__40_km:display:cpm:smallbanner-960x150:awa_ins_lojas-cielo:cidp122.2.32:2</t>
  </si>
  <si>
    <t>262861817</t>
  </si>
  <si>
    <t>458647663</t>
  </si>
  <si>
    <t>inloco:marca:as_abc_21__retargeting__concorrentes:display:cpm:interstital-960x1440:awa_ins_lojas-cielo:cidp122.2.36:2</t>
  </si>
  <si>
    <t>264237075</t>
  </si>
  <si>
    <t>459170321</t>
  </si>
  <si>
    <t>Waze</t>
  </si>
  <si>
    <t>waze:marca:as_abc_21___localizado_em_cada_loja__40_km:display:cpm:banner-608:awa_ins_lojas-cielo:cidp122.2.25:2</t>
  </si>
  <si>
    <t>263250180</t>
  </si>
  <si>
    <t>458640646</t>
  </si>
  <si>
    <t>opl:marca:campinascircuitocielotransportespublicosepequenoscentroscomerciais:display:cpm:banner-ads-320x50:fre_ins_nova-cielo_rita-minizip:cidp116.2.1612:2</t>
  </si>
  <si>
    <t>262004383</t>
  </si>
  <si>
    <t>457561818</t>
  </si>
  <si>
    <t>almapbbdo:alp_social:display:awareness:todos</t>
  </si>
  <si>
    <t>taboola:marca:ampla:display:cpm:1000x600:5-dicas-dinheiro-natal:cidp119.2.8:2</t>
  </si>
  <si>
    <t>263219550</t>
  </si>
  <si>
    <t>458623513</t>
  </si>
  <si>
    <t>taboola:marca:ampla:display:cpm:1000x600:5-motivos-empreender-internet:cidp119.2.1:2</t>
  </si>
  <si>
    <t>262817504</t>
  </si>
  <si>
    <t>458609041</t>
  </si>
  <si>
    <t>taboola:marca:ampla:display:cpm:1000x600:como-a-arezzo:cidp119.2.2:2</t>
  </si>
  <si>
    <t>263219571</t>
  </si>
  <si>
    <t>458623534</t>
  </si>
  <si>
    <t>taboola:marca:ampla:display:cpm:1000x600:como-aceitar-vale:cidp119.2.5:2</t>
  </si>
  <si>
    <t>263219559</t>
  </si>
  <si>
    <t>458623522</t>
  </si>
  <si>
    <t>taboola:marca:ampla:display:cpm:1000x600:como-criar-um-instagram:cidp119.2.7:2</t>
  </si>
  <si>
    <t>263219553</t>
  </si>
  <si>
    <t>458623516</t>
  </si>
  <si>
    <t>taboola:marca:ampla:display:cpm:1000x600:como-declarar-imposto:cidp119.2.4:2</t>
  </si>
  <si>
    <t>263219562</t>
  </si>
  <si>
    <t>458623525</t>
  </si>
  <si>
    <t>taboola:marca:ampla:display:cpm:1000x600:como-montar-negocio:cidp119.2.10:2</t>
  </si>
  <si>
    <t>263219568</t>
  </si>
  <si>
    <t>458623531</t>
  </si>
  <si>
    <t>taboola:marca:ampla:display:cpm:1000x600:como-profissionalizar:cidp119.2.3:2</t>
  </si>
  <si>
    <t>263219565</t>
  </si>
  <si>
    <t>458623528</t>
  </si>
  <si>
    <t>taboola:marca:ampla:display:cpm:1000x600:como-revender-semi-joias:cidp119.2.6:2</t>
  </si>
  <si>
    <t>263219556</t>
  </si>
  <si>
    <t>458623519</t>
  </si>
  <si>
    <t>taboola:marca:ampla:display:cpm:1000x600:passo-a-passo-pra-revender:cidp119.2.9:2</t>
  </si>
  <si>
    <t>263219547</t>
  </si>
  <si>
    <t>458495337</t>
  </si>
  <si>
    <t>inloco:marca:as_abc_21___regiao_proxima_as_lojas__40_km:display:cpm:interstital-960x1440:awa_ins_lojas-cielo:cidp122.2.44:2</t>
  </si>
  <si>
    <t>264979412</t>
  </si>
  <si>
    <t>460153464</t>
  </si>
  <si>
    <t>inloco:marca:as_abc_21__retargeting__concorrentes:display:cpm:mediumrectangle-900x150:awa_ins_lojas-cielo:cidp122.2.41:2</t>
  </si>
  <si>
    <t>264979421</t>
  </si>
  <si>
    <t>460153455</t>
  </si>
  <si>
    <t>inloco:marca:as_abc_21__retargeting__concorrentes:display:cpm:native-1200x627:awa_ins_lojas-cielo:cidp122.2.42:2</t>
  </si>
  <si>
    <t>264979418</t>
  </si>
  <si>
    <t>460153458</t>
  </si>
  <si>
    <t>inloco:marca:as_abc_21__retargeting__concorrentes:display:cpm:smallbanner-960x150:awa_ins_lojas-cielo:cidp122.2.40:2</t>
  </si>
  <si>
    <t>264979424</t>
  </si>
  <si>
    <t>460153452</t>
  </si>
  <si>
    <t>almapbbdo:alp_bu-empreendedores:display:consideracao:todos</t>
  </si>
  <si>
    <t>dv_360:flash:3rd_party_list-microempreendedores-mei:display:cpm:large_mobile_banner-320x100:cons_ins_empreendedores-produtos:cidp142.2.11:2</t>
  </si>
  <si>
    <t>264967922</t>
  </si>
  <si>
    <t>460186895</t>
  </si>
  <si>
    <t>dv_360:flash:3rd_party_list-microempreendedores-mei:display:cpm:leaderboard-728x90:cons_ins_empreendedores-produtos:cidp142.2.13:2</t>
  </si>
  <si>
    <t>265291459</t>
  </si>
  <si>
    <t>460186913</t>
  </si>
  <si>
    <t>dv_360:flash:3rd_party_list-microempreendedores-mei:display:cpm:mobile_leaderboard-320x50:cons_ins_empreendedores-produtos:cidp142.2.12:2</t>
  </si>
  <si>
    <t>264967919</t>
  </si>
  <si>
    <t>460186892</t>
  </si>
  <si>
    <t>dv_360:flash:3rd_party_list-microempreendedores-mei:display:cpm:retangulo_medio-300x250:cons_ins_empreendedores-produtos:cidp142.2.9:2</t>
  </si>
  <si>
    <t>265291447</t>
  </si>
  <si>
    <t>460186901</t>
  </si>
  <si>
    <t>dv_360:flash:3rd_party_list-microempreendedores-mei:display:cpm:skyscraper-300x600:cons_ins_empreendedores-produtos:cidp142.2.10:2</t>
  </si>
  <si>
    <t>265291444</t>
  </si>
  <si>
    <t>460186898</t>
  </si>
  <si>
    <t>dv_360:zip:3rd_party_list-microempreendedores-mei:display:cpm:large_mobile_banner-320x100:cons_ins_empreendedores-produtos:cidp142.2.3:2</t>
  </si>
  <si>
    <t>265291456</t>
  </si>
  <si>
    <t>460186910</t>
  </si>
  <si>
    <t>dv_360:zip:3rd_party_list-microempreendedores-mei:display:cpm:leaderboard-728x90:cons_ins_empreendedores-produtos:cidp142.2.5:2</t>
  </si>
  <si>
    <t>265291450</t>
  </si>
  <si>
    <t>460186904</t>
  </si>
  <si>
    <t>dv_360:zip:3rd_party_list-microempreendedores-mei:display:cpm:mobile_leaderboard-320x50:cons_ins_empreendedores-produtos:cidp142.2.4:2</t>
  </si>
  <si>
    <t>265291453</t>
  </si>
  <si>
    <t>460186907</t>
  </si>
  <si>
    <t>dv_360:zip:3rd_party_list-microempreendedores-mei:display:cpm:retangulo_medio-300x250:cons_ins_empreendedores-produtos:cidp142.2.1:2</t>
  </si>
  <si>
    <t>264986318</t>
  </si>
  <si>
    <t>460275577</t>
  </si>
  <si>
    <t>dv_360:zip:3rd_party_list-microempreendedores-mei:display:cpm:skyscraper-300x600:cons_ins_empreendedores-produtos:cidp142.2.2:2</t>
  </si>
  <si>
    <t>265291462</t>
  </si>
  <si>
    <t>460186916</t>
  </si>
  <si>
    <t>info_money:marca:audiencia_do_portal:display:cpm:billboard-970x250:aw_ins_mob-pedro_taxa-zero:cidp116.2.1555:2</t>
  </si>
  <si>
    <t>257347850</t>
  </si>
  <si>
    <t>453488870</t>
  </si>
  <si>
    <t>verizon:marca:carreira:display:cpc:large-image-1200x627:aw_ins_nova-cielo-marcello:cidp116.2.556:2</t>
  </si>
  <si>
    <t>256564224</t>
  </si>
  <si>
    <t>452371480</t>
  </si>
  <si>
    <t>almapbbdo:varejo:display:consideracao:todos</t>
  </si>
  <si>
    <t>globo:flash:as_abc_25__segmentado:display:cpm:maxiboard-970x150:cons_ins_varejo-flash:cidp137.2.18:2</t>
  </si>
  <si>
    <t>264367691</t>
  </si>
  <si>
    <t>459658077</t>
  </si>
  <si>
    <t>globo:flash:as_abc_25__segmentado:display:cpm:native_carrossel-400x300:cons_ins_varejo-flash:cidp137.2.21:2</t>
  </si>
  <si>
    <t>264367709</t>
  </si>
  <si>
    <t>459663855</t>
  </si>
  <si>
    <t>globo:flash:as_abc_25__segmentado:display:cpm:pre_roll-1920x1080:cons_ins_varejo-flash:cidp137.2.22:2</t>
  </si>
  <si>
    <t>264720513</t>
  </si>
  <si>
    <t>459659292</t>
  </si>
  <si>
    <t>globo:flash:as_abc_25__segmentado:display:cpm:retangulo_medio_superior-300x250:cons_ins_varejo-flash:cidp137.2.20:2</t>
  </si>
  <si>
    <t>264371909</t>
  </si>
  <si>
    <t>459659277</t>
  </si>
  <si>
    <t>globo:flash:as_abc_25__segmentado:display:cpm:retangulo_mobile-300x250:cons_ins_varejo-flash:cidp137.2.19:2</t>
  </si>
  <si>
    <t>264389252</t>
  </si>
  <si>
    <t>459663714</t>
  </si>
  <si>
    <t>globo:zip:as_abc_25__segmentado:display:cpm:maxiboard-970x150:cons_ins_varejo-zip:cidp137.2.23:2</t>
  </si>
  <si>
    <t>264720516</t>
  </si>
  <si>
    <t>459659301</t>
  </si>
  <si>
    <t>globo:zip:as_abc_25__segmentado:display:cpm:native_carrossel-400x300:cons_ins_varejo-zip:cidp137.2.26:2</t>
  </si>
  <si>
    <t>264711412</t>
  </si>
  <si>
    <t>459807511</t>
  </si>
  <si>
    <t>globo:zip:as_abc_25__segmentado:display:cpm:pre_roll-1920x1080:cons_ins_varejo-zip:cidp137.2.27:2</t>
  </si>
  <si>
    <t>264348500</t>
  </si>
  <si>
    <t>459672731</t>
  </si>
  <si>
    <t>globo:zip:as_abc_25__segmentado:display:cpm:retangulo_medio_superior-300x250:cons_ins_varejo-zip:cidp137.2.25:2</t>
  </si>
  <si>
    <t>264734685</t>
  </si>
  <si>
    <t>459663738</t>
  </si>
  <si>
    <t>globo:zip:as_abc_25__segmentado:display:cpm:retangulo_mobile-300x250:cons_ins_varejo-zip:cidp137.2.24:2</t>
  </si>
  <si>
    <t>264704731</t>
  </si>
  <si>
    <t>459659304</t>
  </si>
  <si>
    <t>dv_360:flash:as_25__remarketing:display:cpm:large_mobile_banner-320x100:cons_ins_varejo-flash:cidp137.2.8:2</t>
  </si>
  <si>
    <t>264734856</t>
  </si>
  <si>
    <t>459693422</t>
  </si>
  <si>
    <t>dv_360:flash:as_25__remarketing:display:cpm:leaderboard-728x90:cons_ins_varejo-flash:cidp137.2.10:2</t>
  </si>
  <si>
    <t>264396746</t>
  </si>
  <si>
    <t>459693425</t>
  </si>
  <si>
    <t>dv_360:flash:as_25__remarketing:display:cpm:mobile_leaderboard-320x50:cons_ins_varejo-flash:cidp137.2.9:2</t>
  </si>
  <si>
    <t>264395819</t>
  </si>
  <si>
    <t>459809947</t>
  </si>
  <si>
    <t>dv_360:flash:as_25__remarketing:display:cpm:retangulo_medio-300x250:cons_ins_varejo-flash:cidp137.2.6:2</t>
  </si>
  <si>
    <t>264734844</t>
  </si>
  <si>
    <t>459693404</t>
  </si>
  <si>
    <t>dv_360:flash:as_25__remarketing:display:cpm:skyscraper-300x600:cons_ins_varejo-flash:cidp137.2.7:2</t>
  </si>
  <si>
    <t>264396737</t>
  </si>
  <si>
    <t>459809935</t>
  </si>
  <si>
    <t>dv_360:zip:as_25__remarketing:display:cpm:large_mobile_banner-320x100:cons_ins_varejo-zip:cidp137.2.3:2</t>
  </si>
  <si>
    <t>264396722</t>
  </si>
  <si>
    <t>459688604</t>
  </si>
  <si>
    <t>dv_360:zip:as_25__remarketing:display:cpm:leaderboard-728x90:cons_ins_varejo-zip:cidp137.2.5:2</t>
  </si>
  <si>
    <t>264405026</t>
  </si>
  <si>
    <t>459808555</t>
  </si>
  <si>
    <t>dv_360:zip:as_25__remarketing:display:cpm:mobile_leaderboard-320x50:cons_ins_varejo-zip:cidp137.2.4:2</t>
  </si>
  <si>
    <t>264733659</t>
  </si>
  <si>
    <t>459808552</t>
  </si>
  <si>
    <t>dv_360:zip:as_25__remarketing:display:cpm:retangulo_medio-300x250:cons_ins_varejo-zip:cidp137.2.1:2</t>
  </si>
  <si>
    <t>264396659</t>
  </si>
  <si>
    <t>459807610</t>
  </si>
  <si>
    <t>dv_360:zip:as_25__remarketing:display:cpm:skyscraper-300x600:cons_ins_varejo-zip:cidp137.2.2:2</t>
  </si>
  <si>
    <t>264711556</t>
  </si>
  <si>
    <t>459811120</t>
  </si>
  <si>
    <t>201906:almapbbdo:manutencao:display:engajamento:verizon:todos</t>
  </si>
  <si>
    <t>alm_cielo_manutencao_verizon_native_jun19</t>
  </si>
  <si>
    <t>250345357</t>
  </si>
  <si>
    <t>446443344</t>
  </si>
  <si>
    <t>201907:almapbbdo:alp_pegn:display:alcance:dcm:todos</t>
  </si>
  <si>
    <t>oct19:300x250:globo.com:pegn:whitelist:abc_as_25-54_anos_segmentado:novacielo-taxazero-marcello:consideracao:alp_pegn:patrocinio</t>
  </si>
  <si>
    <t>257841900</t>
  </si>
  <si>
    <t>453511608</t>
  </si>
  <si>
    <t>ALP_Manutenção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</si>
  <si>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</si>
  <si>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</si>
  <si>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</si>
  <si>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</si>
  <si>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</si>
  <si>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</si>
  <si>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</si>
  <si>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</si>
  <si>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</si>
  <si>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</si>
  <si>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</si>
  <si>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</si>
  <si>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</si>
  <si>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</si>
  <si>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</si>
  <si>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</si>
  <si>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</si>
  <si>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</si>
  <si>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</si>
  <si>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</si>
  <si>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</si>
  <si>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</si>
  <si>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</si>
  <si>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</si>
  <si>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</si>
  <si>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</si>
  <si>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</si>
  <si>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almapbbdo:alp_bau:awareness:todos</t>
  </si>
  <si>
    <t>verizon:flash:lal_as_abc_25__pme_micro_empreendedor_e_autonomos:native:cpc</t>
  </si>
  <si>
    <t>254845036</t>
  </si>
  <si>
    <t>450770469</t>
  </si>
  <si>
    <t>almapbbdo:alp_bau:performance:todos</t>
  </si>
  <si>
    <t>Psafe</t>
  </si>
  <si>
    <t>256312938</t>
  </si>
  <si>
    <t>psafe:mobile:ampla:display:diaria</t>
  </si>
  <si>
    <t>452097437</t>
  </si>
  <si>
    <t>300x250 Default Web Ad</t>
  </si>
  <si>
    <t>460171233</t>
  </si>
  <si>
    <t>verizon:flash:look-a-like_e_predictive_audience:display:cpc:native_ads_-_82x82:cons_ins_varejo-flash:cidp137.2.17:2</t>
  </si>
  <si>
    <t>264639208</t>
  </si>
  <si>
    <t>459593229</t>
  </si>
  <si>
    <t>verizon:flash:look-a-like_e_predictive_audience:display:cpc:video-640x480:cons_ins_varejo-flash:cidp137.2.28:2</t>
  </si>
  <si>
    <t>264389264</t>
  </si>
  <si>
    <t>459663747</t>
  </si>
  <si>
    <t>verizon:zip:look-a-like_e_predictive_audience:display:cpc:native_ads_-_1200x627:cons_ins_varejo-zip:cidp137.2.12:2</t>
  </si>
  <si>
    <t>264701206</t>
  </si>
  <si>
    <t>459642576</t>
  </si>
  <si>
    <t>verizon:zip:look-a-like_e_predictive_audience:display:cpc:video-640x480:cons_ins_varejo-zip:cidp137.2.11:2</t>
  </si>
  <si>
    <t>264701209</t>
  </si>
  <si>
    <t>459642579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</si>
</sst>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16"/>
  <sheetViews>
    <sheetView showGridLines="0" tabSelected="1" workbookViewId="0">
      <selection activeCell="A140" sqref="A140:XFD140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35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22739720</v>
      </c>
      <c r="E4" s="8">
        <f>C4*D4/1000</f>
        <v>2273.9720000000002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2527.5470000000064</v>
      </c>
      <c r="H5" s="8">
        <f>SUM(total_ferramenta_filtrada)</f>
        <v>945.08930000000089</v>
      </c>
    </row>
    <row r="6" spans="1:8">
      <c r="B6" s="7" t="s">
        <v>10</v>
      </c>
      <c r="C6" s="1">
        <v>2.5000000000000001E-2</v>
      </c>
      <c r="D6" s="1">
        <f>SUMIF(adtype_filtrada,$B6,clicks_filtrada)</f>
        <v>10143</v>
      </c>
      <c r="E6" s="8">
        <f>C6*D6</f>
        <v>253.57500000000002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0</v>
      </c>
      <c r="E8" s="8">
        <f>C8*D8/1000</f>
        <v>0</v>
      </c>
      <c r="F8" s="15"/>
    </row>
    <row r="9" spans="1:8">
      <c r="B9" s="6" t="s">
        <v>19</v>
      </c>
      <c r="C9" s="6"/>
      <c r="D9" s="6"/>
      <c r="E9" s="9">
        <f>SUM(E4:E8)</f>
        <v>2527.547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362</v>
      </c>
      <c r="C19" t="s">
        <v>28</v>
      </c>
      <c r="D19" t="s">
        <v>363</v>
      </c>
      <c r="E19" t="s">
        <v>364</v>
      </c>
      <c r="F19" t="s">
        <v>12</v>
      </c>
      <c r="G19" t="s">
        <v>363</v>
      </c>
      <c r="H19" t="s">
        <v>365</v>
      </c>
      <c r="I19" t="s">
        <v>24</v>
      </c>
      <c r="J19">
        <v>67</v>
      </c>
      <c r="K19">
        <v>37</v>
      </c>
      <c r="L19" s="2">
        <v>0.04</v>
      </c>
      <c r="M19">
        <v>0.1</v>
      </c>
      <c r="N19" s="2">
        <v>2.6800000000000001E-3</v>
      </c>
      <c r="O19" s="2">
        <v>6.7000000000000002E-3</v>
      </c>
    </row>
    <row r="20" spans="1:15">
      <c r="B20" t="s">
        <v>366</v>
      </c>
      <c r="C20" t="s">
        <v>29</v>
      </c>
      <c r="D20" t="s">
        <v>367</v>
      </c>
      <c r="E20" t="s">
        <v>368</v>
      </c>
      <c r="F20" t="s">
        <v>12</v>
      </c>
      <c r="G20" t="s">
        <v>367</v>
      </c>
      <c r="H20" t="s">
        <v>369</v>
      </c>
      <c r="I20" t="s">
        <v>30</v>
      </c>
      <c r="J20">
        <v>1</v>
      </c>
      <c r="K20">
        <v>0</v>
      </c>
      <c r="L20" s="2">
        <v>0.04</v>
      </c>
      <c r="M20">
        <v>0.1</v>
      </c>
      <c r="N20" s="2">
        <v>4.0000000000000003E-5</v>
      </c>
      <c r="O20" s="2">
        <v>1E-4</v>
      </c>
    </row>
    <row r="21" spans="1:15">
      <c r="B21" t="s">
        <v>370</v>
      </c>
      <c r="C21" t="s">
        <v>31</v>
      </c>
      <c r="D21" t="s">
        <v>371</v>
      </c>
      <c r="E21" t="s">
        <v>372</v>
      </c>
      <c r="F21" t="s">
        <v>10</v>
      </c>
      <c r="G21" t="s">
        <v>371</v>
      </c>
      <c r="H21" t="s">
        <v>373</v>
      </c>
      <c r="I21" t="s">
        <v>24</v>
      </c>
      <c r="J21">
        <v>0</v>
      </c>
      <c r="K21">
        <v>3</v>
      </c>
      <c r="L21" s="2">
        <v>3.5000000000000001E-3</v>
      </c>
      <c r="M21">
        <v>2.5000000000000001E-2</v>
      </c>
      <c r="N21" s="2">
        <v>1.0500000000000001E-2</v>
      </c>
      <c r="O21" s="2">
        <v>7.5000000000000011E-2</v>
      </c>
    </row>
    <row r="22" spans="1:15">
      <c r="B22" t="s">
        <v>370</v>
      </c>
      <c r="C22" t="s">
        <v>31</v>
      </c>
      <c r="D22" t="s">
        <v>374</v>
      </c>
      <c r="E22" t="s">
        <v>375</v>
      </c>
      <c r="F22" t="s">
        <v>10</v>
      </c>
      <c r="G22" t="s">
        <v>374</v>
      </c>
      <c r="H22" t="s">
        <v>376</v>
      </c>
      <c r="I22" t="s">
        <v>24</v>
      </c>
      <c r="J22">
        <v>0</v>
      </c>
      <c r="K22">
        <v>14</v>
      </c>
      <c r="L22" s="2">
        <v>3.5000000000000001E-3</v>
      </c>
      <c r="M22">
        <v>2.5000000000000001E-2</v>
      </c>
      <c r="N22" s="2">
        <v>4.9000000000000002E-2</v>
      </c>
      <c r="O22" s="2">
        <v>0.35000000000000003</v>
      </c>
    </row>
    <row r="23" spans="1:15">
      <c r="B23" t="s">
        <v>370</v>
      </c>
      <c r="C23" t="s">
        <v>29</v>
      </c>
      <c r="D23" t="s">
        <v>377</v>
      </c>
      <c r="E23" t="s">
        <v>378</v>
      </c>
      <c r="F23" t="s">
        <v>10</v>
      </c>
      <c r="G23" t="s">
        <v>377</v>
      </c>
      <c r="H23" t="s">
        <v>379</v>
      </c>
      <c r="I23" t="s">
        <v>24</v>
      </c>
      <c r="J23">
        <v>0</v>
      </c>
      <c r="K23">
        <v>6</v>
      </c>
      <c r="L23" s="2">
        <v>3.5000000000000001E-3</v>
      </c>
      <c r="M23">
        <v>2.5000000000000001E-2</v>
      </c>
      <c r="N23" s="2">
        <v>2.1000000000000001E-2</v>
      </c>
      <c r="O23" s="2">
        <v>0.15000000000000002</v>
      </c>
    </row>
    <row r="24" spans="1:15">
      <c r="B24" t="s">
        <v>370</v>
      </c>
      <c r="C24" t="s">
        <v>29</v>
      </c>
      <c r="D24" t="s">
        <v>380</v>
      </c>
      <c r="E24" t="s">
        <v>381</v>
      </c>
      <c r="F24" t="s">
        <v>10</v>
      </c>
      <c r="G24" t="s">
        <v>380</v>
      </c>
      <c r="H24" t="s">
        <v>382</v>
      </c>
      <c r="I24" t="s">
        <v>24</v>
      </c>
      <c r="J24">
        <v>0</v>
      </c>
      <c r="K24">
        <v>6</v>
      </c>
      <c r="L24" s="2">
        <v>3.5000000000000001E-3</v>
      </c>
      <c r="M24">
        <v>2.5000000000000001E-2</v>
      </c>
      <c r="N24" s="2">
        <v>2.1000000000000001E-2</v>
      </c>
      <c r="O24" s="2">
        <v>0.15000000000000002</v>
      </c>
    </row>
    <row r="25" spans="1:15">
      <c r="B25" t="s">
        <v>370</v>
      </c>
      <c r="C25" t="s">
        <v>28</v>
      </c>
      <c r="D25" t="s">
        <v>383</v>
      </c>
      <c r="E25" t="s">
        <v>384</v>
      </c>
      <c r="F25" t="s">
        <v>12</v>
      </c>
      <c r="G25" t="s">
        <v>383</v>
      </c>
      <c r="H25" t="s">
        <v>385</v>
      </c>
      <c r="I25" t="s">
        <v>24</v>
      </c>
      <c r="J25">
        <v>1</v>
      </c>
      <c r="K25">
        <v>0</v>
      </c>
      <c r="L25" s="2">
        <v>0.04</v>
      </c>
      <c r="M25">
        <v>0.1</v>
      </c>
      <c r="N25" s="2">
        <v>4.0000000000000003E-5</v>
      </c>
      <c r="O25" s="2">
        <v>1E-4</v>
      </c>
    </row>
    <row r="26" spans="1:15">
      <c r="B26" t="s">
        <v>370</v>
      </c>
      <c r="C26" t="s">
        <v>28</v>
      </c>
      <c r="D26" t="s">
        <v>386</v>
      </c>
      <c r="E26" t="s">
        <v>387</v>
      </c>
      <c r="F26" t="s">
        <v>10</v>
      </c>
      <c r="G26" t="s">
        <v>386</v>
      </c>
      <c r="H26" t="s">
        <v>388</v>
      </c>
      <c r="I26" t="s">
        <v>24</v>
      </c>
      <c r="J26">
        <v>1</v>
      </c>
      <c r="K26">
        <v>2</v>
      </c>
      <c r="L26" s="2">
        <v>3.5000000000000001E-3</v>
      </c>
      <c r="M26">
        <v>2.5000000000000001E-2</v>
      </c>
      <c r="N26" s="2">
        <v>7.0000000000000001E-3</v>
      </c>
      <c r="O26" s="2">
        <v>0.05</v>
      </c>
    </row>
    <row r="27" spans="1:15">
      <c r="B27" t="s">
        <v>370</v>
      </c>
      <c r="C27" t="s">
        <v>28</v>
      </c>
      <c r="D27" t="s">
        <v>389</v>
      </c>
      <c r="E27" t="s">
        <v>390</v>
      </c>
      <c r="F27" t="s">
        <v>12</v>
      </c>
      <c r="G27" t="s">
        <v>389</v>
      </c>
      <c r="H27" t="s">
        <v>391</v>
      </c>
      <c r="I27" t="s">
        <v>24</v>
      </c>
      <c r="J27">
        <v>1</v>
      </c>
      <c r="K27">
        <v>0</v>
      </c>
      <c r="L27" s="2">
        <v>0.04</v>
      </c>
      <c r="M27">
        <v>0.1</v>
      </c>
      <c r="N27" s="2">
        <v>4.0000000000000003E-5</v>
      </c>
      <c r="O27" s="2">
        <v>1E-4</v>
      </c>
    </row>
    <row r="28" spans="1:15">
      <c r="B28" t="s">
        <v>370</v>
      </c>
      <c r="C28" t="s">
        <v>28</v>
      </c>
      <c r="D28" t="s">
        <v>392</v>
      </c>
      <c r="E28" t="s">
        <v>393</v>
      </c>
      <c r="F28" t="s">
        <v>10</v>
      </c>
      <c r="G28" t="s">
        <v>392</v>
      </c>
      <c r="H28" t="s">
        <v>394</v>
      </c>
      <c r="I28" t="s">
        <v>24</v>
      </c>
      <c r="J28">
        <v>0</v>
      </c>
      <c r="K28">
        <v>1</v>
      </c>
      <c r="L28" s="2">
        <v>3.5000000000000001E-3</v>
      </c>
      <c r="M28">
        <v>2.5000000000000001E-2</v>
      </c>
      <c r="N28" s="2">
        <v>3.5000000000000001E-3</v>
      </c>
      <c r="O28" s="2">
        <v>2.5000000000000001E-2</v>
      </c>
    </row>
    <row r="29" spans="1:15">
      <c r="B29" t="s">
        <v>370</v>
      </c>
      <c r="C29" t="s">
        <v>28</v>
      </c>
      <c r="D29" t="s">
        <v>395</v>
      </c>
      <c r="E29" t="s">
        <v>396</v>
      </c>
      <c r="F29" t="s">
        <v>10</v>
      </c>
      <c r="G29" t="s">
        <v>395</v>
      </c>
      <c r="H29" t="s">
        <v>397</v>
      </c>
      <c r="I29" t="s">
        <v>24</v>
      </c>
      <c r="J29">
        <v>0</v>
      </c>
      <c r="K29">
        <v>5</v>
      </c>
      <c r="L29" s="2">
        <v>3.5000000000000001E-3</v>
      </c>
      <c r="M29">
        <v>2.5000000000000001E-2</v>
      </c>
      <c r="N29" s="2">
        <v>1.7500000000000002E-2</v>
      </c>
      <c r="O29" s="2">
        <v>0.125</v>
      </c>
    </row>
    <row r="30" spans="1:15">
      <c r="B30" t="s">
        <v>398</v>
      </c>
      <c r="C30" t="s">
        <v>28</v>
      </c>
      <c r="D30" t="s">
        <v>399</v>
      </c>
      <c r="E30" t="s">
        <v>400</v>
      </c>
      <c r="F30" t="s">
        <v>10</v>
      </c>
      <c r="G30" t="s">
        <v>399</v>
      </c>
      <c r="H30" t="s">
        <v>401</v>
      </c>
      <c r="I30" t="s">
        <v>24</v>
      </c>
      <c r="J30">
        <v>0</v>
      </c>
      <c r="K30">
        <v>2</v>
      </c>
      <c r="L30" s="2">
        <v>3.5000000000000001E-3</v>
      </c>
      <c r="M30">
        <v>2.5000000000000001E-2</v>
      </c>
      <c r="N30" s="2">
        <v>7.0000000000000001E-3</v>
      </c>
      <c r="O30" s="2">
        <v>0.05</v>
      </c>
    </row>
    <row r="31" spans="1:15">
      <c r="B31" t="s">
        <v>402</v>
      </c>
      <c r="C31" t="s">
        <v>403</v>
      </c>
      <c r="D31" t="s">
        <v>402</v>
      </c>
      <c r="E31" t="s">
        <v>404</v>
      </c>
      <c r="F31" t="s">
        <v>10</v>
      </c>
      <c r="G31" t="s">
        <v>405</v>
      </c>
      <c r="H31" t="s">
        <v>406</v>
      </c>
      <c r="I31" t="s">
        <v>24</v>
      </c>
      <c r="J31">
        <v>0</v>
      </c>
      <c r="K31">
        <v>5</v>
      </c>
      <c r="L31" s="2">
        <v>3.5000000000000001E-3</v>
      </c>
      <c r="M31">
        <v>2.5000000000000001E-2</v>
      </c>
      <c r="N31" s="2">
        <v>1.7500000000000002E-2</v>
      </c>
      <c r="O31" s="2">
        <v>0.125</v>
      </c>
    </row>
    <row r="32" spans="1:15">
      <c r="B32" t="s">
        <v>264</v>
      </c>
      <c r="C32" t="s">
        <v>32</v>
      </c>
      <c r="D32" t="s">
        <v>265</v>
      </c>
      <c r="E32" t="s">
        <v>266</v>
      </c>
      <c r="F32" t="s">
        <v>12</v>
      </c>
      <c r="G32" t="s">
        <v>265</v>
      </c>
      <c r="H32" t="s">
        <v>267</v>
      </c>
      <c r="I32" t="s">
        <v>30</v>
      </c>
      <c r="J32">
        <v>31778</v>
      </c>
      <c r="K32">
        <v>179</v>
      </c>
      <c r="L32" s="2">
        <v>0.04</v>
      </c>
      <c r="M32">
        <v>0.1</v>
      </c>
      <c r="N32" s="2">
        <v>1.27112</v>
      </c>
      <c r="O32" s="2">
        <v>3.1778000000000004</v>
      </c>
    </row>
    <row r="33" spans="2:15">
      <c r="B33" t="s">
        <v>264</v>
      </c>
      <c r="C33" t="s">
        <v>32</v>
      </c>
      <c r="D33" t="s">
        <v>268</v>
      </c>
      <c r="E33" t="s">
        <v>269</v>
      </c>
      <c r="F33" t="s">
        <v>12</v>
      </c>
      <c r="G33" t="s">
        <v>268</v>
      </c>
      <c r="H33" t="s">
        <v>270</v>
      </c>
      <c r="I33" t="s">
        <v>30</v>
      </c>
      <c r="J33">
        <v>16334</v>
      </c>
      <c r="K33">
        <v>25</v>
      </c>
      <c r="L33" s="2">
        <v>0.04</v>
      </c>
      <c r="M33">
        <v>0.1</v>
      </c>
      <c r="N33" s="2">
        <v>0.65336000000000005</v>
      </c>
      <c r="O33" s="2">
        <v>1.6334000000000002</v>
      </c>
    </row>
    <row r="34" spans="2:15">
      <c r="B34" t="s">
        <v>264</v>
      </c>
      <c r="C34" t="s">
        <v>32</v>
      </c>
      <c r="D34" t="s">
        <v>271</v>
      </c>
      <c r="E34" t="s">
        <v>272</v>
      </c>
      <c r="F34" t="s">
        <v>12</v>
      </c>
      <c r="G34" t="s">
        <v>271</v>
      </c>
      <c r="H34" t="s">
        <v>273</v>
      </c>
      <c r="I34" t="s">
        <v>30</v>
      </c>
      <c r="J34">
        <v>99162</v>
      </c>
      <c r="K34">
        <v>818</v>
      </c>
      <c r="L34" s="2">
        <v>0.04</v>
      </c>
      <c r="M34">
        <v>0.1</v>
      </c>
      <c r="N34" s="2">
        <v>3.9664800000000002</v>
      </c>
      <c r="O34" s="2">
        <v>9.9161999999999999</v>
      </c>
    </row>
    <row r="35" spans="2:15">
      <c r="B35" t="s">
        <v>264</v>
      </c>
      <c r="C35" t="s">
        <v>32</v>
      </c>
      <c r="D35" t="s">
        <v>274</v>
      </c>
      <c r="E35" t="s">
        <v>275</v>
      </c>
      <c r="F35" t="s">
        <v>12</v>
      </c>
      <c r="G35" t="s">
        <v>274</v>
      </c>
      <c r="H35" t="s">
        <v>276</v>
      </c>
      <c r="I35" t="s">
        <v>30</v>
      </c>
      <c r="J35">
        <v>73827</v>
      </c>
      <c r="K35">
        <v>627</v>
      </c>
      <c r="L35" s="2">
        <v>0.04</v>
      </c>
      <c r="M35">
        <v>0.1</v>
      </c>
      <c r="N35" s="2">
        <v>2.9530799999999999</v>
      </c>
      <c r="O35" s="2">
        <v>7.3827000000000007</v>
      </c>
    </row>
    <row r="36" spans="2:15">
      <c r="B36" t="s">
        <v>264</v>
      </c>
      <c r="C36" t="s">
        <v>32</v>
      </c>
      <c r="D36" t="s">
        <v>277</v>
      </c>
      <c r="E36" t="s">
        <v>278</v>
      </c>
      <c r="F36" t="s">
        <v>12</v>
      </c>
      <c r="G36" t="s">
        <v>277</v>
      </c>
      <c r="H36" t="s">
        <v>279</v>
      </c>
      <c r="I36" t="s">
        <v>30</v>
      </c>
      <c r="J36">
        <v>61288</v>
      </c>
      <c r="K36">
        <v>1764</v>
      </c>
      <c r="L36" s="2">
        <v>0.04</v>
      </c>
      <c r="M36">
        <v>0.1</v>
      </c>
      <c r="N36" s="2">
        <v>2.4515199999999999</v>
      </c>
      <c r="O36" s="2">
        <v>6.1288</v>
      </c>
    </row>
    <row r="37" spans="2:15">
      <c r="B37" t="s">
        <v>264</v>
      </c>
      <c r="C37" t="s">
        <v>32</v>
      </c>
      <c r="D37" t="s">
        <v>280</v>
      </c>
      <c r="E37" t="s">
        <v>281</v>
      </c>
      <c r="F37" t="s">
        <v>12</v>
      </c>
      <c r="G37" t="s">
        <v>280</v>
      </c>
      <c r="H37" t="s">
        <v>282</v>
      </c>
      <c r="I37" t="s">
        <v>30</v>
      </c>
      <c r="J37">
        <v>11950</v>
      </c>
      <c r="K37">
        <v>33</v>
      </c>
      <c r="L37" s="2">
        <v>0.04</v>
      </c>
      <c r="M37">
        <v>0.1</v>
      </c>
      <c r="N37" s="2">
        <v>0.47799999999999998</v>
      </c>
      <c r="O37" s="2">
        <v>1.1950000000000001</v>
      </c>
    </row>
    <row r="38" spans="2:15">
      <c r="B38" t="s">
        <v>264</v>
      </c>
      <c r="C38" t="s">
        <v>32</v>
      </c>
      <c r="D38" t="s">
        <v>283</v>
      </c>
      <c r="E38" t="s">
        <v>284</v>
      </c>
      <c r="F38" t="s">
        <v>12</v>
      </c>
      <c r="G38" t="s">
        <v>283</v>
      </c>
      <c r="H38" t="s">
        <v>285</v>
      </c>
      <c r="I38" t="s">
        <v>30</v>
      </c>
      <c r="J38">
        <v>15757</v>
      </c>
      <c r="K38">
        <v>10</v>
      </c>
      <c r="L38" s="2">
        <v>0.04</v>
      </c>
      <c r="M38">
        <v>0.1</v>
      </c>
      <c r="N38" s="2">
        <v>0.63027999999999995</v>
      </c>
      <c r="O38" s="2">
        <v>1.5757000000000001</v>
      </c>
    </row>
    <row r="39" spans="2:15">
      <c r="B39" t="s">
        <v>264</v>
      </c>
      <c r="C39" t="s">
        <v>32</v>
      </c>
      <c r="D39" t="s">
        <v>286</v>
      </c>
      <c r="E39" t="s">
        <v>287</v>
      </c>
      <c r="F39" t="s">
        <v>12</v>
      </c>
      <c r="G39" t="s">
        <v>286</v>
      </c>
      <c r="H39" t="s">
        <v>288</v>
      </c>
      <c r="I39" t="s">
        <v>30</v>
      </c>
      <c r="J39">
        <v>143821</v>
      </c>
      <c r="K39">
        <v>1185</v>
      </c>
      <c r="L39" s="2">
        <v>0.04</v>
      </c>
      <c r="M39">
        <v>0.1</v>
      </c>
      <c r="N39" s="2">
        <v>5.75284</v>
      </c>
      <c r="O39" s="2">
        <v>14.382100000000001</v>
      </c>
    </row>
    <row r="40" spans="2:15">
      <c r="B40" t="s">
        <v>264</v>
      </c>
      <c r="C40" t="s">
        <v>32</v>
      </c>
      <c r="D40" t="s">
        <v>289</v>
      </c>
      <c r="E40" t="s">
        <v>290</v>
      </c>
      <c r="F40" t="s">
        <v>12</v>
      </c>
      <c r="G40" t="s">
        <v>407</v>
      </c>
      <c r="H40" t="s">
        <v>408</v>
      </c>
      <c r="I40" t="s">
        <v>30</v>
      </c>
      <c r="J40">
        <v>1</v>
      </c>
      <c r="K40">
        <v>0</v>
      </c>
      <c r="L40" s="2">
        <v>0.04</v>
      </c>
      <c r="M40">
        <v>0.1</v>
      </c>
      <c r="N40" s="2">
        <v>4.0000000000000003E-5</v>
      </c>
      <c r="O40" s="2">
        <v>1E-4</v>
      </c>
    </row>
    <row r="41" spans="2:15">
      <c r="B41" t="s">
        <v>264</v>
      </c>
      <c r="C41" t="s">
        <v>32</v>
      </c>
      <c r="D41" t="s">
        <v>289</v>
      </c>
      <c r="E41" t="s">
        <v>290</v>
      </c>
      <c r="F41" t="s">
        <v>12</v>
      </c>
      <c r="G41" t="s">
        <v>289</v>
      </c>
      <c r="H41" t="s">
        <v>291</v>
      </c>
      <c r="I41" t="s">
        <v>30</v>
      </c>
      <c r="J41">
        <v>99203</v>
      </c>
      <c r="K41">
        <v>891</v>
      </c>
      <c r="L41" s="2">
        <v>0.04</v>
      </c>
      <c r="M41">
        <v>0.1</v>
      </c>
      <c r="N41" s="2">
        <v>3.9681199999999999</v>
      </c>
      <c r="O41" s="2">
        <v>9.920300000000001</v>
      </c>
    </row>
    <row r="42" spans="2:15">
      <c r="B42" t="s">
        <v>264</v>
      </c>
      <c r="C42" t="s">
        <v>32</v>
      </c>
      <c r="D42" t="s">
        <v>292</v>
      </c>
      <c r="E42" t="s">
        <v>293</v>
      </c>
      <c r="F42" t="s">
        <v>12</v>
      </c>
      <c r="G42" t="s">
        <v>292</v>
      </c>
      <c r="H42" t="s">
        <v>294</v>
      </c>
      <c r="I42" t="s">
        <v>30</v>
      </c>
      <c r="J42">
        <v>85977</v>
      </c>
      <c r="K42">
        <v>2303</v>
      </c>
      <c r="L42" s="2">
        <v>0.04</v>
      </c>
      <c r="M42">
        <v>0.1</v>
      </c>
      <c r="N42" s="2">
        <v>3.4390800000000001</v>
      </c>
      <c r="O42" s="2">
        <v>8.5977000000000015</v>
      </c>
    </row>
    <row r="43" spans="2:15">
      <c r="B43" t="s">
        <v>74</v>
      </c>
      <c r="C43" t="s">
        <v>32</v>
      </c>
      <c r="D43" t="s">
        <v>178</v>
      </c>
      <c r="E43" t="s">
        <v>179</v>
      </c>
      <c r="F43" t="s">
        <v>12</v>
      </c>
      <c r="G43" t="s">
        <v>178</v>
      </c>
      <c r="H43" t="s">
        <v>180</v>
      </c>
      <c r="I43" t="s">
        <v>30</v>
      </c>
      <c r="J43">
        <v>1117535</v>
      </c>
      <c r="K43">
        <v>5520</v>
      </c>
      <c r="L43" s="2">
        <v>0.04</v>
      </c>
      <c r="M43">
        <v>0.1</v>
      </c>
      <c r="N43" s="2">
        <v>44.7014</v>
      </c>
      <c r="O43" s="2">
        <v>111.7535</v>
      </c>
    </row>
    <row r="44" spans="2:15">
      <c r="B44" t="s">
        <v>74</v>
      </c>
      <c r="C44" t="s">
        <v>32</v>
      </c>
      <c r="D44" t="s">
        <v>181</v>
      </c>
      <c r="E44" t="s">
        <v>182</v>
      </c>
      <c r="F44" t="s">
        <v>12</v>
      </c>
      <c r="G44" t="s">
        <v>181</v>
      </c>
      <c r="H44" t="s">
        <v>183</v>
      </c>
      <c r="I44" t="s">
        <v>30</v>
      </c>
      <c r="J44">
        <v>802127</v>
      </c>
      <c r="K44">
        <v>1024</v>
      </c>
      <c r="L44" s="2">
        <v>0.04</v>
      </c>
      <c r="M44">
        <v>0.1</v>
      </c>
      <c r="N44" s="2">
        <v>32.085080000000005</v>
      </c>
      <c r="O44" s="2">
        <v>80.212700000000012</v>
      </c>
    </row>
    <row r="45" spans="2:15">
      <c r="B45" t="s">
        <v>74</v>
      </c>
      <c r="C45" t="s">
        <v>32</v>
      </c>
      <c r="D45" t="s">
        <v>184</v>
      </c>
      <c r="E45" t="s">
        <v>185</v>
      </c>
      <c r="F45" t="s">
        <v>12</v>
      </c>
      <c r="G45" t="s">
        <v>184</v>
      </c>
      <c r="H45" t="s">
        <v>186</v>
      </c>
      <c r="I45" t="s">
        <v>30</v>
      </c>
      <c r="J45">
        <v>7779684</v>
      </c>
      <c r="K45">
        <v>46325</v>
      </c>
      <c r="L45" s="2">
        <v>0.04</v>
      </c>
      <c r="M45">
        <v>0.1</v>
      </c>
      <c r="N45" s="2">
        <v>311.18736000000001</v>
      </c>
      <c r="O45" s="2">
        <v>777.96839999999997</v>
      </c>
    </row>
    <row r="46" spans="2:15">
      <c r="B46" t="s">
        <v>74</v>
      </c>
      <c r="C46" t="s">
        <v>32</v>
      </c>
      <c r="D46" t="s">
        <v>187</v>
      </c>
      <c r="E46" t="s">
        <v>188</v>
      </c>
      <c r="F46" t="s">
        <v>12</v>
      </c>
      <c r="G46" t="s">
        <v>187</v>
      </c>
      <c r="H46" t="s">
        <v>189</v>
      </c>
      <c r="I46" t="s">
        <v>30</v>
      </c>
      <c r="J46">
        <v>2494025</v>
      </c>
      <c r="K46">
        <v>18132</v>
      </c>
      <c r="L46" s="2">
        <v>0.04</v>
      </c>
      <c r="M46">
        <v>0.1</v>
      </c>
      <c r="N46" s="2">
        <v>99.760999999999996</v>
      </c>
      <c r="O46" s="2">
        <v>249.4025</v>
      </c>
    </row>
    <row r="47" spans="2:15">
      <c r="B47" t="s">
        <v>74</v>
      </c>
      <c r="C47" t="s">
        <v>32</v>
      </c>
      <c r="D47" t="s">
        <v>190</v>
      </c>
      <c r="E47" t="s">
        <v>191</v>
      </c>
      <c r="F47" t="s">
        <v>12</v>
      </c>
      <c r="G47" t="s">
        <v>190</v>
      </c>
      <c r="H47" t="s">
        <v>192</v>
      </c>
      <c r="I47" t="s">
        <v>30</v>
      </c>
      <c r="J47">
        <v>1439618</v>
      </c>
      <c r="K47">
        <v>47239</v>
      </c>
      <c r="L47" s="2">
        <v>0.04</v>
      </c>
      <c r="M47">
        <v>0.1</v>
      </c>
      <c r="N47" s="2">
        <v>57.584720000000004</v>
      </c>
      <c r="O47" s="2">
        <v>143.96180000000001</v>
      </c>
    </row>
    <row r="48" spans="2:15">
      <c r="B48" t="s">
        <v>74</v>
      </c>
      <c r="C48" t="s">
        <v>72</v>
      </c>
      <c r="D48" t="s">
        <v>193</v>
      </c>
      <c r="E48" t="s">
        <v>194</v>
      </c>
      <c r="F48" t="s">
        <v>12</v>
      </c>
      <c r="G48" t="s">
        <v>193</v>
      </c>
      <c r="H48" t="s">
        <v>195</v>
      </c>
      <c r="I48" t="s">
        <v>24</v>
      </c>
      <c r="J48">
        <v>104368</v>
      </c>
      <c r="K48">
        <v>1120</v>
      </c>
      <c r="L48" s="2">
        <v>0.04</v>
      </c>
      <c r="M48">
        <v>0.1</v>
      </c>
      <c r="N48" s="2">
        <v>4.1747200000000007</v>
      </c>
      <c r="O48" s="2">
        <v>10.436800000000002</v>
      </c>
    </row>
    <row r="49" spans="2:15">
      <c r="B49" t="s">
        <v>74</v>
      </c>
      <c r="C49" t="s">
        <v>72</v>
      </c>
      <c r="D49" t="s">
        <v>196</v>
      </c>
      <c r="E49" t="s">
        <v>197</v>
      </c>
      <c r="F49" t="s">
        <v>12</v>
      </c>
      <c r="G49" t="s">
        <v>196</v>
      </c>
      <c r="H49" t="s">
        <v>198</v>
      </c>
      <c r="I49" t="s">
        <v>24</v>
      </c>
      <c r="J49">
        <v>982114</v>
      </c>
      <c r="K49">
        <v>33604</v>
      </c>
      <c r="L49" s="2">
        <v>0.04</v>
      </c>
      <c r="M49">
        <v>0.1</v>
      </c>
      <c r="N49" s="2">
        <v>39.284559999999999</v>
      </c>
      <c r="O49" s="2">
        <v>98.211400000000012</v>
      </c>
    </row>
    <row r="50" spans="2:15">
      <c r="B50" t="s">
        <v>74</v>
      </c>
      <c r="C50" t="s">
        <v>72</v>
      </c>
      <c r="D50" t="s">
        <v>199</v>
      </c>
      <c r="E50" t="s">
        <v>200</v>
      </c>
      <c r="F50" t="s">
        <v>12</v>
      </c>
      <c r="G50" t="s">
        <v>199</v>
      </c>
      <c r="H50" t="s">
        <v>201</v>
      </c>
      <c r="I50" t="s">
        <v>24</v>
      </c>
      <c r="J50">
        <v>525764</v>
      </c>
      <c r="K50">
        <v>3291</v>
      </c>
      <c r="L50" s="2">
        <v>0.04</v>
      </c>
      <c r="M50">
        <v>0.1</v>
      </c>
      <c r="N50" s="2">
        <v>21.030560000000001</v>
      </c>
      <c r="O50" s="2">
        <v>52.5764</v>
      </c>
    </row>
    <row r="51" spans="2:15">
      <c r="B51" t="s">
        <v>74</v>
      </c>
      <c r="C51" t="s">
        <v>72</v>
      </c>
      <c r="D51" t="s">
        <v>75</v>
      </c>
      <c r="E51" t="s">
        <v>76</v>
      </c>
      <c r="F51" t="s">
        <v>12</v>
      </c>
      <c r="G51" t="s">
        <v>75</v>
      </c>
      <c r="H51" t="s">
        <v>77</v>
      </c>
      <c r="I51" t="s">
        <v>24</v>
      </c>
      <c r="J51">
        <v>1</v>
      </c>
      <c r="K51">
        <v>0</v>
      </c>
      <c r="L51" s="2">
        <v>0.04</v>
      </c>
      <c r="M51">
        <v>0.1</v>
      </c>
      <c r="N51" s="2">
        <v>4.0000000000000003E-5</v>
      </c>
      <c r="O51" s="2">
        <v>1E-4</v>
      </c>
    </row>
    <row r="52" spans="2:15">
      <c r="B52" t="s">
        <v>74</v>
      </c>
      <c r="C52" t="s">
        <v>72</v>
      </c>
      <c r="D52" t="s">
        <v>78</v>
      </c>
      <c r="E52" t="s">
        <v>79</v>
      </c>
      <c r="F52" t="s">
        <v>12</v>
      </c>
      <c r="G52" t="s">
        <v>78</v>
      </c>
      <c r="H52" t="s">
        <v>80</v>
      </c>
      <c r="I52" t="s">
        <v>24</v>
      </c>
      <c r="J52">
        <v>2</v>
      </c>
      <c r="K52">
        <v>0</v>
      </c>
      <c r="L52" s="2">
        <v>0.04</v>
      </c>
      <c r="M52">
        <v>0.1</v>
      </c>
      <c r="N52" s="2">
        <v>8.0000000000000007E-5</v>
      </c>
      <c r="O52" s="2">
        <v>2.0000000000000001E-4</v>
      </c>
    </row>
    <row r="53" spans="2:15">
      <c r="B53" t="s">
        <v>74</v>
      </c>
      <c r="C53" t="s">
        <v>73</v>
      </c>
      <c r="D53" t="s">
        <v>252</v>
      </c>
      <c r="E53" t="s">
        <v>253</v>
      </c>
      <c r="F53" t="s">
        <v>10</v>
      </c>
      <c r="G53" t="s">
        <v>252</v>
      </c>
      <c r="H53" t="s">
        <v>254</v>
      </c>
      <c r="I53" t="s">
        <v>24</v>
      </c>
      <c r="J53">
        <v>0</v>
      </c>
      <c r="K53">
        <v>2365</v>
      </c>
      <c r="L53" s="2">
        <v>3.5000000000000001E-3</v>
      </c>
      <c r="M53">
        <v>2.5000000000000001E-2</v>
      </c>
      <c r="N53" s="2">
        <v>8.2774999999999999</v>
      </c>
      <c r="O53" s="2">
        <v>59.125</v>
      </c>
    </row>
    <row r="54" spans="2:15">
      <c r="B54" t="s">
        <v>74</v>
      </c>
      <c r="C54" t="s">
        <v>73</v>
      </c>
      <c r="D54" t="s">
        <v>202</v>
      </c>
      <c r="E54" t="s">
        <v>203</v>
      </c>
      <c r="F54" t="s">
        <v>12</v>
      </c>
      <c r="G54" t="s">
        <v>202</v>
      </c>
      <c r="H54" t="s">
        <v>204</v>
      </c>
      <c r="I54" t="s">
        <v>24</v>
      </c>
      <c r="J54">
        <v>970625</v>
      </c>
      <c r="K54">
        <v>67</v>
      </c>
      <c r="L54" s="2">
        <v>0.04</v>
      </c>
      <c r="M54">
        <v>0.1</v>
      </c>
      <c r="N54" s="2">
        <v>38.825000000000003</v>
      </c>
      <c r="O54" s="2">
        <v>97.0625</v>
      </c>
    </row>
    <row r="55" spans="2:15">
      <c r="B55" t="s">
        <v>74</v>
      </c>
      <c r="C55" t="s">
        <v>73</v>
      </c>
      <c r="D55" t="s">
        <v>205</v>
      </c>
      <c r="E55" t="s">
        <v>206</v>
      </c>
      <c r="F55" t="s">
        <v>10</v>
      </c>
      <c r="G55" t="s">
        <v>205</v>
      </c>
      <c r="H55" t="s">
        <v>207</v>
      </c>
      <c r="I55" t="s">
        <v>24</v>
      </c>
      <c r="J55">
        <v>0</v>
      </c>
      <c r="K55">
        <v>1131</v>
      </c>
      <c r="L55" s="2">
        <v>3.5000000000000001E-3</v>
      </c>
      <c r="M55">
        <v>2.5000000000000001E-2</v>
      </c>
      <c r="N55" s="2">
        <v>3.9584999999999999</v>
      </c>
      <c r="O55" s="2">
        <v>28.275000000000002</v>
      </c>
    </row>
    <row r="56" spans="2:15">
      <c r="B56" t="s">
        <v>74</v>
      </c>
      <c r="C56" t="s">
        <v>73</v>
      </c>
      <c r="D56" t="s">
        <v>208</v>
      </c>
      <c r="E56" t="s">
        <v>209</v>
      </c>
      <c r="F56" t="s">
        <v>12</v>
      </c>
      <c r="G56" t="s">
        <v>208</v>
      </c>
      <c r="H56" t="s">
        <v>210</v>
      </c>
      <c r="I56" t="s">
        <v>24</v>
      </c>
      <c r="J56">
        <v>374002</v>
      </c>
      <c r="K56">
        <v>112</v>
      </c>
      <c r="L56" s="2">
        <v>0.04</v>
      </c>
      <c r="M56">
        <v>0.1</v>
      </c>
      <c r="N56" s="2">
        <v>14.96008</v>
      </c>
      <c r="O56" s="2">
        <v>37.400200000000005</v>
      </c>
    </row>
    <row r="57" spans="2:15">
      <c r="B57" t="s">
        <v>74</v>
      </c>
      <c r="C57" t="s">
        <v>73</v>
      </c>
      <c r="D57" t="s">
        <v>211</v>
      </c>
      <c r="E57" t="s">
        <v>212</v>
      </c>
      <c r="F57" t="s">
        <v>12</v>
      </c>
      <c r="G57" t="s">
        <v>211</v>
      </c>
      <c r="H57" t="s">
        <v>213</v>
      </c>
      <c r="I57" t="s">
        <v>24</v>
      </c>
      <c r="J57">
        <v>237010</v>
      </c>
      <c r="K57">
        <v>323</v>
      </c>
      <c r="L57" s="2">
        <v>0.04</v>
      </c>
      <c r="M57">
        <v>0.1</v>
      </c>
      <c r="N57" s="2">
        <v>9.4803999999999995</v>
      </c>
      <c r="O57" s="2">
        <v>23.701000000000001</v>
      </c>
    </row>
    <row r="58" spans="2:15">
      <c r="B58" t="s">
        <v>74</v>
      </c>
      <c r="C58" t="s">
        <v>73</v>
      </c>
      <c r="D58" t="s">
        <v>255</v>
      </c>
      <c r="E58" t="s">
        <v>256</v>
      </c>
      <c r="F58" t="s">
        <v>10</v>
      </c>
      <c r="G58" t="s">
        <v>255</v>
      </c>
      <c r="H58" t="s">
        <v>257</v>
      </c>
      <c r="I58" t="s">
        <v>24</v>
      </c>
      <c r="J58">
        <v>0</v>
      </c>
      <c r="K58">
        <v>1143</v>
      </c>
      <c r="L58" s="2">
        <v>3.5000000000000001E-3</v>
      </c>
      <c r="M58">
        <v>2.5000000000000001E-2</v>
      </c>
      <c r="N58" s="2">
        <v>4.0004999999999997</v>
      </c>
      <c r="O58" s="2">
        <v>28.575000000000003</v>
      </c>
    </row>
    <row r="59" spans="2:15">
      <c r="B59" t="s">
        <v>74</v>
      </c>
      <c r="C59" t="s">
        <v>73</v>
      </c>
      <c r="D59" t="s">
        <v>258</v>
      </c>
      <c r="E59" t="s">
        <v>259</v>
      </c>
      <c r="F59" t="s">
        <v>10</v>
      </c>
      <c r="G59" t="s">
        <v>258</v>
      </c>
      <c r="H59" t="s">
        <v>260</v>
      </c>
      <c r="I59" t="s">
        <v>24</v>
      </c>
      <c r="J59">
        <v>0</v>
      </c>
      <c r="K59">
        <v>4432</v>
      </c>
      <c r="L59" s="2">
        <v>3.5000000000000001E-3</v>
      </c>
      <c r="M59">
        <v>2.5000000000000001E-2</v>
      </c>
      <c r="N59" s="2">
        <v>15.512</v>
      </c>
      <c r="O59" s="2">
        <v>110.80000000000001</v>
      </c>
    </row>
    <row r="60" spans="2:15">
      <c r="B60" t="s">
        <v>74</v>
      </c>
      <c r="C60" t="s">
        <v>73</v>
      </c>
      <c r="D60" t="s">
        <v>261</v>
      </c>
      <c r="E60" t="s">
        <v>262</v>
      </c>
      <c r="F60" t="s">
        <v>10</v>
      </c>
      <c r="G60" t="s">
        <v>261</v>
      </c>
      <c r="H60" t="s">
        <v>263</v>
      </c>
      <c r="I60" t="s">
        <v>24</v>
      </c>
      <c r="J60">
        <v>0</v>
      </c>
      <c r="K60">
        <v>963</v>
      </c>
      <c r="L60" s="2">
        <v>3.5000000000000001E-3</v>
      </c>
      <c r="M60">
        <v>2.5000000000000001E-2</v>
      </c>
      <c r="N60" s="2">
        <v>3.3705000000000003</v>
      </c>
      <c r="O60" s="2">
        <v>24.075000000000003</v>
      </c>
    </row>
    <row r="61" spans="2:15">
      <c r="B61" t="s">
        <v>74</v>
      </c>
      <c r="C61" t="s">
        <v>214</v>
      </c>
      <c r="D61" t="s">
        <v>215</v>
      </c>
      <c r="E61" t="s">
        <v>216</v>
      </c>
      <c r="F61" t="s">
        <v>12</v>
      </c>
      <c r="G61" t="s">
        <v>215</v>
      </c>
      <c r="H61" t="s">
        <v>217</v>
      </c>
      <c r="I61" t="s">
        <v>24</v>
      </c>
      <c r="J61">
        <v>1616459</v>
      </c>
      <c r="K61">
        <v>417</v>
      </c>
      <c r="L61" s="2">
        <v>0.04</v>
      </c>
      <c r="M61">
        <v>0.1</v>
      </c>
      <c r="N61" s="2">
        <v>64.658360000000002</v>
      </c>
      <c r="O61" s="2">
        <v>161.64590000000001</v>
      </c>
    </row>
    <row r="62" spans="2:15">
      <c r="B62" t="s">
        <v>37</v>
      </c>
      <c r="C62" t="s">
        <v>31</v>
      </c>
      <c r="D62" t="s">
        <v>38</v>
      </c>
      <c r="E62" t="s">
        <v>39</v>
      </c>
      <c r="F62" t="s">
        <v>10</v>
      </c>
      <c r="G62" t="s">
        <v>38</v>
      </c>
      <c r="H62" t="s">
        <v>40</v>
      </c>
      <c r="I62" t="s">
        <v>24</v>
      </c>
      <c r="J62">
        <v>0</v>
      </c>
      <c r="K62">
        <v>2</v>
      </c>
      <c r="L62" s="2">
        <v>3.5000000000000001E-3</v>
      </c>
      <c r="M62">
        <v>2.5000000000000001E-2</v>
      </c>
      <c r="N62" s="2">
        <v>7.0000000000000001E-3</v>
      </c>
      <c r="O62" s="2">
        <v>0.05</v>
      </c>
    </row>
    <row r="63" spans="2:15">
      <c r="B63" t="s">
        <v>37</v>
      </c>
      <c r="C63" t="s">
        <v>31</v>
      </c>
      <c r="D63" t="s">
        <v>41</v>
      </c>
      <c r="E63" t="s">
        <v>42</v>
      </c>
      <c r="F63" t="s">
        <v>12</v>
      </c>
      <c r="G63" t="s">
        <v>41</v>
      </c>
      <c r="H63" t="s">
        <v>43</v>
      </c>
      <c r="I63" t="s">
        <v>24</v>
      </c>
      <c r="J63">
        <v>1</v>
      </c>
      <c r="K63">
        <v>0</v>
      </c>
      <c r="L63" s="2">
        <v>0.04</v>
      </c>
      <c r="M63">
        <v>0.1</v>
      </c>
      <c r="N63" s="2">
        <v>4.0000000000000003E-5</v>
      </c>
      <c r="O63" s="2">
        <v>1E-4</v>
      </c>
    </row>
    <row r="64" spans="2:15">
      <c r="B64" t="s">
        <v>37</v>
      </c>
      <c r="C64" t="s">
        <v>31</v>
      </c>
      <c r="D64" t="s">
        <v>44</v>
      </c>
      <c r="E64" t="s">
        <v>45</v>
      </c>
      <c r="F64" t="s">
        <v>12</v>
      </c>
      <c r="G64" t="s">
        <v>44</v>
      </c>
      <c r="H64" t="s">
        <v>46</v>
      </c>
      <c r="I64" t="s">
        <v>24</v>
      </c>
      <c r="J64">
        <v>1</v>
      </c>
      <c r="K64">
        <v>0</v>
      </c>
      <c r="L64" s="2">
        <v>0.04</v>
      </c>
      <c r="M64">
        <v>0.1</v>
      </c>
      <c r="N64" s="2">
        <v>4.0000000000000003E-5</v>
      </c>
      <c r="O64" s="2">
        <v>1E-4</v>
      </c>
    </row>
    <row r="65" spans="2:15">
      <c r="B65" t="s">
        <v>37</v>
      </c>
      <c r="C65" t="s">
        <v>31</v>
      </c>
      <c r="D65" t="s">
        <v>47</v>
      </c>
      <c r="E65" t="s">
        <v>48</v>
      </c>
      <c r="F65" t="s">
        <v>10</v>
      </c>
      <c r="G65" t="s">
        <v>47</v>
      </c>
      <c r="H65" t="s">
        <v>49</v>
      </c>
      <c r="I65" t="s">
        <v>24</v>
      </c>
      <c r="J65">
        <v>0</v>
      </c>
      <c r="K65">
        <v>1</v>
      </c>
      <c r="L65" s="2">
        <v>3.5000000000000001E-3</v>
      </c>
      <c r="M65">
        <v>2.5000000000000001E-2</v>
      </c>
      <c r="N65" s="2">
        <v>3.5000000000000001E-3</v>
      </c>
      <c r="O65" s="2">
        <v>2.5000000000000001E-2</v>
      </c>
    </row>
    <row r="66" spans="2:15">
      <c r="B66" t="s">
        <v>37</v>
      </c>
      <c r="C66" t="s">
        <v>173</v>
      </c>
      <c r="D66" t="s">
        <v>174</v>
      </c>
      <c r="E66" t="s">
        <v>175</v>
      </c>
      <c r="F66" t="s">
        <v>10</v>
      </c>
      <c r="G66" t="s">
        <v>174</v>
      </c>
      <c r="H66" t="s">
        <v>176</v>
      </c>
      <c r="I66" t="s">
        <v>24</v>
      </c>
      <c r="J66">
        <v>0</v>
      </c>
      <c r="K66">
        <v>1</v>
      </c>
      <c r="L66" s="2">
        <v>3.5000000000000001E-3</v>
      </c>
      <c r="M66">
        <v>2.5000000000000001E-2</v>
      </c>
      <c r="N66" s="2">
        <v>3.5000000000000001E-3</v>
      </c>
      <c r="O66" s="2">
        <v>2.5000000000000001E-2</v>
      </c>
    </row>
    <row r="67" spans="2:15">
      <c r="B67" t="s">
        <v>37</v>
      </c>
      <c r="C67" t="s">
        <v>32</v>
      </c>
      <c r="D67" t="s">
        <v>81</v>
      </c>
      <c r="E67" t="s">
        <v>82</v>
      </c>
      <c r="F67" t="s">
        <v>12</v>
      </c>
      <c r="G67" t="s">
        <v>81</v>
      </c>
      <c r="H67" t="s">
        <v>83</v>
      </c>
      <c r="I67" t="s">
        <v>24</v>
      </c>
      <c r="J67">
        <v>4</v>
      </c>
      <c r="K67">
        <v>0</v>
      </c>
      <c r="L67" s="2">
        <v>0.04</v>
      </c>
      <c r="M67">
        <v>0.1</v>
      </c>
      <c r="N67" s="2">
        <v>1.6000000000000001E-4</v>
      </c>
      <c r="O67" s="2">
        <v>4.0000000000000002E-4</v>
      </c>
    </row>
    <row r="68" spans="2:15">
      <c r="B68" t="s">
        <v>37</v>
      </c>
      <c r="C68" t="s">
        <v>84</v>
      </c>
      <c r="D68" t="s">
        <v>85</v>
      </c>
      <c r="E68" t="s">
        <v>86</v>
      </c>
      <c r="F68" t="s">
        <v>12</v>
      </c>
      <c r="G68" t="s">
        <v>85</v>
      </c>
      <c r="H68" t="s">
        <v>87</v>
      </c>
      <c r="I68" t="s">
        <v>24</v>
      </c>
      <c r="J68">
        <v>1</v>
      </c>
      <c r="K68">
        <v>0</v>
      </c>
      <c r="L68" s="2">
        <v>0.04</v>
      </c>
      <c r="M68">
        <v>0.1</v>
      </c>
      <c r="N68" s="2">
        <v>4.0000000000000003E-5</v>
      </c>
      <c r="O68" s="2">
        <v>1E-4</v>
      </c>
    </row>
    <row r="69" spans="2:15">
      <c r="B69" t="s">
        <v>37</v>
      </c>
      <c r="C69" t="s">
        <v>84</v>
      </c>
      <c r="D69" t="s">
        <v>295</v>
      </c>
      <c r="E69" t="s">
        <v>296</v>
      </c>
      <c r="F69" t="s">
        <v>12</v>
      </c>
      <c r="G69" t="s">
        <v>295</v>
      </c>
      <c r="H69" t="s">
        <v>297</v>
      </c>
      <c r="I69" t="s">
        <v>24</v>
      </c>
      <c r="J69">
        <v>2</v>
      </c>
      <c r="K69">
        <v>0</v>
      </c>
      <c r="L69" s="2">
        <v>0.04</v>
      </c>
      <c r="M69">
        <v>0.1</v>
      </c>
      <c r="N69" s="2">
        <v>8.0000000000000007E-5</v>
      </c>
      <c r="O69" s="2">
        <v>2.0000000000000001E-4</v>
      </c>
    </row>
    <row r="70" spans="2:15">
      <c r="B70" t="s">
        <v>37</v>
      </c>
      <c r="C70" t="s">
        <v>84</v>
      </c>
      <c r="D70" t="s">
        <v>88</v>
      </c>
      <c r="E70" t="s">
        <v>89</v>
      </c>
      <c r="F70" t="s">
        <v>10</v>
      </c>
      <c r="G70" t="s">
        <v>88</v>
      </c>
      <c r="H70" t="s">
        <v>90</v>
      </c>
      <c r="I70" t="s">
        <v>24</v>
      </c>
      <c r="J70">
        <v>0</v>
      </c>
      <c r="K70">
        <v>2</v>
      </c>
      <c r="L70" s="2">
        <v>3.5000000000000001E-3</v>
      </c>
      <c r="M70">
        <v>2.5000000000000001E-2</v>
      </c>
      <c r="N70" s="2">
        <v>7.0000000000000001E-3</v>
      </c>
      <c r="O70" s="2">
        <v>0.05</v>
      </c>
    </row>
    <row r="71" spans="2:15">
      <c r="B71" t="s">
        <v>37</v>
      </c>
      <c r="C71" t="s">
        <v>84</v>
      </c>
      <c r="D71" t="s">
        <v>91</v>
      </c>
      <c r="E71" t="s">
        <v>92</v>
      </c>
      <c r="F71" t="s">
        <v>12</v>
      </c>
      <c r="G71" t="s">
        <v>91</v>
      </c>
      <c r="H71" t="s">
        <v>93</v>
      </c>
      <c r="I71" t="s">
        <v>24</v>
      </c>
      <c r="J71">
        <v>3</v>
      </c>
      <c r="K71">
        <v>0</v>
      </c>
      <c r="L71" s="2">
        <v>0.04</v>
      </c>
      <c r="M71">
        <v>0.1</v>
      </c>
      <c r="N71" s="2">
        <v>1.1999999999999999E-4</v>
      </c>
      <c r="O71" s="2">
        <v>3.0000000000000003E-4</v>
      </c>
    </row>
    <row r="72" spans="2:15">
      <c r="B72" t="s">
        <v>37</v>
      </c>
      <c r="C72" t="s">
        <v>177</v>
      </c>
      <c r="D72" t="s">
        <v>218</v>
      </c>
      <c r="E72" t="s">
        <v>219</v>
      </c>
      <c r="F72" t="s">
        <v>10</v>
      </c>
      <c r="G72" t="s">
        <v>218</v>
      </c>
      <c r="H72" t="s">
        <v>220</v>
      </c>
      <c r="I72" t="s">
        <v>24</v>
      </c>
      <c r="J72">
        <v>0</v>
      </c>
      <c r="K72">
        <v>1</v>
      </c>
      <c r="L72" s="2">
        <v>3.5000000000000001E-3</v>
      </c>
      <c r="M72">
        <v>2.5000000000000001E-2</v>
      </c>
      <c r="N72" s="2">
        <v>3.5000000000000001E-3</v>
      </c>
      <c r="O72" s="2">
        <v>2.5000000000000001E-2</v>
      </c>
    </row>
    <row r="73" spans="2:15">
      <c r="B73" t="s">
        <v>37</v>
      </c>
      <c r="C73" t="s">
        <v>28</v>
      </c>
      <c r="D73" t="s">
        <v>298</v>
      </c>
      <c r="E73" t="s">
        <v>299</v>
      </c>
      <c r="F73" t="s">
        <v>12</v>
      </c>
      <c r="G73" t="s">
        <v>298</v>
      </c>
      <c r="H73" t="s">
        <v>300</v>
      </c>
      <c r="I73" t="s">
        <v>24</v>
      </c>
      <c r="J73">
        <v>2</v>
      </c>
      <c r="K73">
        <v>0</v>
      </c>
      <c r="L73" s="2">
        <v>0.04</v>
      </c>
      <c r="M73">
        <v>0.1</v>
      </c>
      <c r="N73" s="2">
        <v>8.0000000000000007E-5</v>
      </c>
      <c r="O73" s="2">
        <v>2.0000000000000001E-4</v>
      </c>
    </row>
    <row r="74" spans="2:15">
      <c r="B74" t="s">
        <v>37</v>
      </c>
      <c r="C74" t="s">
        <v>28</v>
      </c>
      <c r="D74" t="s">
        <v>50</v>
      </c>
      <c r="E74" t="s">
        <v>51</v>
      </c>
      <c r="F74" t="s">
        <v>12</v>
      </c>
      <c r="G74" t="s">
        <v>50</v>
      </c>
      <c r="H74" t="s">
        <v>52</v>
      </c>
      <c r="I74" t="s">
        <v>24</v>
      </c>
      <c r="J74">
        <v>1</v>
      </c>
      <c r="K74">
        <v>0</v>
      </c>
      <c r="L74" s="2">
        <v>0.04</v>
      </c>
      <c r="M74">
        <v>0.1</v>
      </c>
      <c r="N74" s="2">
        <v>4.0000000000000003E-5</v>
      </c>
      <c r="O74" s="2">
        <v>1E-4</v>
      </c>
    </row>
    <row r="75" spans="2:15">
      <c r="B75" t="s">
        <v>37</v>
      </c>
      <c r="C75" t="s">
        <v>28</v>
      </c>
      <c r="D75" t="s">
        <v>53</v>
      </c>
      <c r="E75" t="s">
        <v>54</v>
      </c>
      <c r="F75" t="s">
        <v>10</v>
      </c>
      <c r="G75" t="s">
        <v>53</v>
      </c>
      <c r="H75" t="s">
        <v>55</v>
      </c>
      <c r="I75" t="s">
        <v>24</v>
      </c>
      <c r="J75">
        <v>1</v>
      </c>
      <c r="K75">
        <v>1</v>
      </c>
      <c r="L75" s="2">
        <v>3.5000000000000001E-3</v>
      </c>
      <c r="M75">
        <v>2.5000000000000001E-2</v>
      </c>
      <c r="N75" s="2">
        <v>3.5000000000000001E-3</v>
      </c>
      <c r="O75" s="2">
        <v>2.5000000000000001E-2</v>
      </c>
    </row>
    <row r="76" spans="2:15">
      <c r="B76" t="s">
        <v>37</v>
      </c>
      <c r="C76" t="s">
        <v>28</v>
      </c>
      <c r="D76" t="s">
        <v>56</v>
      </c>
      <c r="E76" t="s">
        <v>57</v>
      </c>
      <c r="F76" t="s">
        <v>10</v>
      </c>
      <c r="G76" t="s">
        <v>56</v>
      </c>
      <c r="H76" t="s">
        <v>58</v>
      </c>
      <c r="I76" t="s">
        <v>24</v>
      </c>
      <c r="J76">
        <v>0</v>
      </c>
      <c r="K76">
        <v>1</v>
      </c>
      <c r="L76" s="2">
        <v>3.5000000000000001E-3</v>
      </c>
      <c r="M76">
        <v>2.5000000000000001E-2</v>
      </c>
      <c r="N76" s="2">
        <v>3.5000000000000001E-3</v>
      </c>
      <c r="O76" s="2">
        <v>2.5000000000000001E-2</v>
      </c>
    </row>
    <row r="77" spans="2:15">
      <c r="B77" t="s">
        <v>59</v>
      </c>
      <c r="C77" t="s">
        <v>31</v>
      </c>
      <c r="D77" t="s">
        <v>94</v>
      </c>
      <c r="E77" t="s">
        <v>95</v>
      </c>
      <c r="F77" t="s">
        <v>10</v>
      </c>
      <c r="G77" t="s">
        <v>94</v>
      </c>
      <c r="H77" t="s">
        <v>96</v>
      </c>
      <c r="I77" t="s">
        <v>24</v>
      </c>
      <c r="J77">
        <v>0</v>
      </c>
      <c r="K77">
        <v>1</v>
      </c>
      <c r="L77" s="2">
        <v>3.5000000000000001E-3</v>
      </c>
      <c r="M77">
        <v>2.5000000000000001E-2</v>
      </c>
      <c r="N77" s="2">
        <v>3.5000000000000001E-3</v>
      </c>
      <c r="O77" s="2">
        <v>2.5000000000000001E-2</v>
      </c>
    </row>
    <row r="78" spans="2:15">
      <c r="B78" t="s">
        <v>59</v>
      </c>
      <c r="C78" t="s">
        <v>97</v>
      </c>
      <c r="D78" t="s">
        <v>98</v>
      </c>
      <c r="E78" t="s">
        <v>99</v>
      </c>
      <c r="F78" t="s">
        <v>12</v>
      </c>
      <c r="G78" t="s">
        <v>98</v>
      </c>
      <c r="H78" t="s">
        <v>100</v>
      </c>
      <c r="I78" t="s">
        <v>24</v>
      </c>
      <c r="J78">
        <v>1</v>
      </c>
      <c r="K78">
        <v>0</v>
      </c>
      <c r="L78" s="2">
        <v>0.04</v>
      </c>
      <c r="M78">
        <v>0.1</v>
      </c>
      <c r="N78" s="2">
        <v>4.0000000000000003E-5</v>
      </c>
      <c r="O78" s="2">
        <v>1E-4</v>
      </c>
    </row>
    <row r="79" spans="2:15">
      <c r="B79" t="s">
        <v>59</v>
      </c>
      <c r="C79" t="s">
        <v>34</v>
      </c>
      <c r="D79" t="s">
        <v>101</v>
      </c>
      <c r="E79" t="s">
        <v>102</v>
      </c>
      <c r="F79" t="s">
        <v>12</v>
      </c>
      <c r="G79" t="s">
        <v>101</v>
      </c>
      <c r="H79" t="s">
        <v>103</v>
      </c>
      <c r="I79" t="s">
        <v>24</v>
      </c>
      <c r="J79">
        <v>2</v>
      </c>
      <c r="K79">
        <v>0</v>
      </c>
      <c r="L79" s="2">
        <v>0.04</v>
      </c>
      <c r="M79">
        <v>0.1</v>
      </c>
      <c r="N79" s="2">
        <v>8.0000000000000007E-5</v>
      </c>
      <c r="O79" s="2">
        <v>2.0000000000000001E-4</v>
      </c>
    </row>
    <row r="80" spans="2:15">
      <c r="B80" t="s">
        <v>59</v>
      </c>
      <c r="C80" t="s">
        <v>34</v>
      </c>
      <c r="D80" t="s">
        <v>104</v>
      </c>
      <c r="E80" t="s">
        <v>105</v>
      </c>
      <c r="F80" t="s">
        <v>12</v>
      </c>
      <c r="G80" t="s">
        <v>104</v>
      </c>
      <c r="H80" t="s">
        <v>106</v>
      </c>
      <c r="I80" t="s">
        <v>24</v>
      </c>
      <c r="J80">
        <v>2</v>
      </c>
      <c r="K80">
        <v>0</v>
      </c>
      <c r="L80" s="2">
        <v>0.04</v>
      </c>
      <c r="M80">
        <v>0.1</v>
      </c>
      <c r="N80" s="2">
        <v>8.0000000000000007E-5</v>
      </c>
      <c r="O80" s="2">
        <v>2.0000000000000001E-4</v>
      </c>
    </row>
    <row r="81" spans="2:15">
      <c r="B81" t="s">
        <v>59</v>
      </c>
      <c r="C81" t="s">
        <v>34</v>
      </c>
      <c r="D81" t="s">
        <v>107</v>
      </c>
      <c r="E81" t="s">
        <v>108</v>
      </c>
      <c r="F81" t="s">
        <v>12</v>
      </c>
      <c r="G81" t="s">
        <v>107</v>
      </c>
      <c r="H81" t="s">
        <v>109</v>
      </c>
      <c r="I81" t="s">
        <v>24</v>
      </c>
      <c r="J81">
        <v>5</v>
      </c>
      <c r="K81">
        <v>0</v>
      </c>
      <c r="L81" s="2">
        <v>0.04</v>
      </c>
      <c r="M81">
        <v>0.1</v>
      </c>
      <c r="N81" s="2">
        <v>2.0000000000000001E-4</v>
      </c>
      <c r="O81" s="2">
        <v>5.0000000000000001E-4</v>
      </c>
    </row>
    <row r="82" spans="2:15">
      <c r="B82" t="s">
        <v>59</v>
      </c>
      <c r="C82" t="s">
        <v>34</v>
      </c>
      <c r="D82" t="s">
        <v>110</v>
      </c>
      <c r="E82" t="s">
        <v>111</v>
      </c>
      <c r="F82" t="s">
        <v>12</v>
      </c>
      <c r="G82" t="s">
        <v>110</v>
      </c>
      <c r="H82" t="s">
        <v>112</v>
      </c>
      <c r="I82" t="s">
        <v>24</v>
      </c>
      <c r="J82">
        <v>1</v>
      </c>
      <c r="K82">
        <v>0</v>
      </c>
      <c r="L82" s="2">
        <v>0.04</v>
      </c>
      <c r="M82">
        <v>0.1</v>
      </c>
      <c r="N82" s="2">
        <v>4.0000000000000003E-5</v>
      </c>
      <c r="O82" s="2">
        <v>1E-4</v>
      </c>
    </row>
    <row r="83" spans="2:15">
      <c r="B83" t="s">
        <v>59</v>
      </c>
      <c r="C83" t="s">
        <v>34</v>
      </c>
      <c r="D83" t="s">
        <v>113</v>
      </c>
      <c r="E83" t="s">
        <v>114</v>
      </c>
      <c r="F83" t="s">
        <v>12</v>
      </c>
      <c r="G83" t="s">
        <v>113</v>
      </c>
      <c r="H83" t="s">
        <v>115</v>
      </c>
      <c r="I83" t="s">
        <v>24</v>
      </c>
      <c r="J83">
        <v>1</v>
      </c>
      <c r="K83">
        <v>0</v>
      </c>
      <c r="L83" s="2">
        <v>0.04</v>
      </c>
      <c r="M83">
        <v>0.1</v>
      </c>
      <c r="N83" s="2">
        <v>4.0000000000000003E-5</v>
      </c>
      <c r="O83" s="2">
        <v>1E-4</v>
      </c>
    </row>
    <row r="84" spans="2:15">
      <c r="B84" t="s">
        <v>59</v>
      </c>
      <c r="C84" t="s">
        <v>34</v>
      </c>
      <c r="D84" t="s">
        <v>116</v>
      </c>
      <c r="E84" t="s">
        <v>117</v>
      </c>
      <c r="F84" t="s">
        <v>12</v>
      </c>
      <c r="G84" t="s">
        <v>116</v>
      </c>
      <c r="H84" t="s">
        <v>118</v>
      </c>
      <c r="I84" t="s">
        <v>24</v>
      </c>
      <c r="J84">
        <v>1</v>
      </c>
      <c r="K84">
        <v>0</v>
      </c>
      <c r="L84" s="2">
        <v>0.04</v>
      </c>
      <c r="M84">
        <v>0.1</v>
      </c>
      <c r="N84" s="2">
        <v>4.0000000000000003E-5</v>
      </c>
      <c r="O84" s="2">
        <v>1E-4</v>
      </c>
    </row>
    <row r="85" spans="2:15">
      <c r="B85" t="s">
        <v>59</v>
      </c>
      <c r="C85" t="s">
        <v>34</v>
      </c>
      <c r="D85" t="s">
        <v>119</v>
      </c>
      <c r="E85" t="s">
        <v>120</v>
      </c>
      <c r="F85" t="s">
        <v>12</v>
      </c>
      <c r="G85" t="s">
        <v>119</v>
      </c>
      <c r="H85" t="s">
        <v>121</v>
      </c>
      <c r="I85" t="s">
        <v>24</v>
      </c>
      <c r="J85">
        <v>3</v>
      </c>
      <c r="K85">
        <v>0</v>
      </c>
      <c r="L85" s="2">
        <v>0.04</v>
      </c>
      <c r="M85">
        <v>0.1</v>
      </c>
      <c r="N85" s="2">
        <v>1.1999999999999999E-4</v>
      </c>
      <c r="O85" s="2">
        <v>3.0000000000000003E-4</v>
      </c>
    </row>
    <row r="86" spans="2:15">
      <c r="B86" t="s">
        <v>59</v>
      </c>
      <c r="C86" t="s">
        <v>34</v>
      </c>
      <c r="D86" t="s">
        <v>122</v>
      </c>
      <c r="E86" t="s">
        <v>123</v>
      </c>
      <c r="F86" t="s">
        <v>12</v>
      </c>
      <c r="G86" t="s">
        <v>122</v>
      </c>
      <c r="H86" t="s">
        <v>124</v>
      </c>
      <c r="I86" t="s">
        <v>24</v>
      </c>
      <c r="J86">
        <v>5</v>
      </c>
      <c r="K86">
        <v>0</v>
      </c>
      <c r="L86" s="2">
        <v>0.04</v>
      </c>
      <c r="M86">
        <v>0.1</v>
      </c>
      <c r="N86" s="2">
        <v>2.0000000000000001E-4</v>
      </c>
      <c r="O86" s="2">
        <v>5.0000000000000001E-4</v>
      </c>
    </row>
    <row r="87" spans="2:15">
      <c r="B87" t="s">
        <v>59</v>
      </c>
      <c r="C87" t="s">
        <v>34</v>
      </c>
      <c r="D87" t="s">
        <v>125</v>
      </c>
      <c r="E87" t="s">
        <v>126</v>
      </c>
      <c r="F87" t="s">
        <v>12</v>
      </c>
      <c r="G87" t="s">
        <v>125</v>
      </c>
      <c r="H87" t="s">
        <v>127</v>
      </c>
      <c r="I87" t="s">
        <v>24</v>
      </c>
      <c r="J87">
        <v>2</v>
      </c>
      <c r="K87">
        <v>0</v>
      </c>
      <c r="L87" s="2">
        <v>0.04</v>
      </c>
      <c r="M87">
        <v>0.1</v>
      </c>
      <c r="N87" s="2">
        <v>8.0000000000000007E-5</v>
      </c>
      <c r="O87" s="2">
        <v>2.0000000000000001E-4</v>
      </c>
    </row>
    <row r="88" spans="2:15">
      <c r="B88" t="s">
        <v>59</v>
      </c>
      <c r="C88" t="s">
        <v>34</v>
      </c>
      <c r="D88" t="s">
        <v>128</v>
      </c>
      <c r="E88" t="s">
        <v>129</v>
      </c>
      <c r="F88" t="s">
        <v>12</v>
      </c>
      <c r="G88" t="s">
        <v>128</v>
      </c>
      <c r="H88" t="s">
        <v>130</v>
      </c>
      <c r="I88" t="s">
        <v>24</v>
      </c>
      <c r="J88">
        <v>2</v>
      </c>
      <c r="K88">
        <v>0</v>
      </c>
      <c r="L88" s="2">
        <v>0.04</v>
      </c>
      <c r="M88">
        <v>0.1</v>
      </c>
      <c r="N88" s="2">
        <v>8.0000000000000007E-5</v>
      </c>
      <c r="O88" s="2">
        <v>2.0000000000000001E-4</v>
      </c>
    </row>
    <row r="89" spans="2:15">
      <c r="B89" t="s">
        <v>59</v>
      </c>
      <c r="C89" t="s">
        <v>34</v>
      </c>
      <c r="D89" t="s">
        <v>131</v>
      </c>
      <c r="E89" t="s">
        <v>132</v>
      </c>
      <c r="F89" t="s">
        <v>12</v>
      </c>
      <c r="G89" t="s">
        <v>131</v>
      </c>
      <c r="H89" t="s">
        <v>133</v>
      </c>
      <c r="I89" t="s">
        <v>24</v>
      </c>
      <c r="J89">
        <v>1</v>
      </c>
      <c r="K89">
        <v>0</v>
      </c>
      <c r="L89" s="2">
        <v>0.04</v>
      </c>
      <c r="M89">
        <v>0.1</v>
      </c>
      <c r="N89" s="2">
        <v>4.0000000000000003E-5</v>
      </c>
      <c r="O89" s="2">
        <v>1E-4</v>
      </c>
    </row>
    <row r="90" spans="2:15">
      <c r="B90" t="s">
        <v>59</v>
      </c>
      <c r="C90" t="s">
        <v>34</v>
      </c>
      <c r="D90" t="s">
        <v>134</v>
      </c>
      <c r="E90" t="s">
        <v>135</v>
      </c>
      <c r="F90" t="s">
        <v>12</v>
      </c>
      <c r="G90" t="s">
        <v>134</v>
      </c>
      <c r="H90" t="s">
        <v>136</v>
      </c>
      <c r="I90" t="s">
        <v>24</v>
      </c>
      <c r="J90">
        <v>1</v>
      </c>
      <c r="K90">
        <v>0</v>
      </c>
      <c r="L90" s="2">
        <v>0.04</v>
      </c>
      <c r="M90">
        <v>0.1</v>
      </c>
      <c r="N90" s="2">
        <v>4.0000000000000003E-5</v>
      </c>
      <c r="O90" s="2">
        <v>1E-4</v>
      </c>
    </row>
    <row r="91" spans="2:15">
      <c r="B91" t="s">
        <v>60</v>
      </c>
      <c r="C91" t="s">
        <v>28</v>
      </c>
      <c r="D91" t="s">
        <v>137</v>
      </c>
      <c r="E91" t="s">
        <v>138</v>
      </c>
      <c r="F91" t="s">
        <v>12</v>
      </c>
      <c r="G91" t="s">
        <v>137</v>
      </c>
      <c r="H91" t="s">
        <v>139</v>
      </c>
      <c r="I91" t="s">
        <v>24</v>
      </c>
      <c r="J91">
        <v>1</v>
      </c>
      <c r="K91">
        <v>0</v>
      </c>
      <c r="L91" s="2">
        <v>0.04</v>
      </c>
      <c r="M91">
        <v>0.1</v>
      </c>
      <c r="N91" s="2">
        <v>4.0000000000000003E-5</v>
      </c>
      <c r="O91" s="2">
        <v>1E-4</v>
      </c>
    </row>
    <row r="92" spans="2:15">
      <c r="B92" t="s">
        <v>60</v>
      </c>
      <c r="C92" t="s">
        <v>28</v>
      </c>
      <c r="D92" t="s">
        <v>140</v>
      </c>
      <c r="E92" t="s">
        <v>141</v>
      </c>
      <c r="F92" t="s">
        <v>12</v>
      </c>
      <c r="G92" t="s">
        <v>140</v>
      </c>
      <c r="H92" t="s">
        <v>142</v>
      </c>
      <c r="I92" t="s">
        <v>24</v>
      </c>
      <c r="J92">
        <v>3</v>
      </c>
      <c r="K92">
        <v>0</v>
      </c>
      <c r="L92" s="2">
        <v>0.04</v>
      </c>
      <c r="M92">
        <v>0.1</v>
      </c>
      <c r="N92" s="2">
        <v>1.1999999999999999E-4</v>
      </c>
      <c r="O92" s="2">
        <v>3.0000000000000003E-4</v>
      </c>
    </row>
    <row r="93" spans="2:15">
      <c r="B93" t="s">
        <v>60</v>
      </c>
      <c r="C93" t="s">
        <v>28</v>
      </c>
      <c r="D93" t="s">
        <v>143</v>
      </c>
      <c r="E93" t="s">
        <v>144</v>
      </c>
      <c r="F93" t="s">
        <v>12</v>
      </c>
      <c r="G93" t="s">
        <v>143</v>
      </c>
      <c r="H93" t="s">
        <v>145</v>
      </c>
      <c r="I93" t="s">
        <v>24</v>
      </c>
      <c r="J93">
        <v>1</v>
      </c>
      <c r="K93">
        <v>0</v>
      </c>
      <c r="L93" s="2">
        <v>0.04</v>
      </c>
      <c r="M93">
        <v>0.1</v>
      </c>
      <c r="N93" s="2">
        <v>4.0000000000000003E-5</v>
      </c>
      <c r="O93" s="2">
        <v>1E-4</v>
      </c>
    </row>
    <row r="94" spans="2:15">
      <c r="B94" t="s">
        <v>60</v>
      </c>
      <c r="C94" t="s">
        <v>28</v>
      </c>
      <c r="D94" t="s">
        <v>146</v>
      </c>
      <c r="E94" t="s">
        <v>147</v>
      </c>
      <c r="F94" t="s">
        <v>12</v>
      </c>
      <c r="G94" t="s">
        <v>146</v>
      </c>
      <c r="H94" t="s">
        <v>148</v>
      </c>
      <c r="I94" t="s">
        <v>24</v>
      </c>
      <c r="J94">
        <v>1</v>
      </c>
      <c r="K94">
        <v>0</v>
      </c>
      <c r="L94" s="2">
        <v>0.04</v>
      </c>
      <c r="M94">
        <v>0.1</v>
      </c>
      <c r="N94" s="2">
        <v>4.0000000000000003E-5</v>
      </c>
      <c r="O94" s="2">
        <v>1E-4</v>
      </c>
    </row>
    <row r="95" spans="2:15">
      <c r="B95" t="s">
        <v>60</v>
      </c>
      <c r="C95" t="s">
        <v>28</v>
      </c>
      <c r="D95" t="s">
        <v>149</v>
      </c>
      <c r="E95" t="s">
        <v>150</v>
      </c>
      <c r="F95" t="s">
        <v>12</v>
      </c>
      <c r="G95" t="s">
        <v>149</v>
      </c>
      <c r="H95" t="s">
        <v>151</v>
      </c>
      <c r="I95" t="s">
        <v>24</v>
      </c>
      <c r="J95">
        <v>5</v>
      </c>
      <c r="K95">
        <v>4</v>
      </c>
      <c r="L95" s="2">
        <v>0.04</v>
      </c>
      <c r="M95">
        <v>0.1</v>
      </c>
      <c r="N95" s="2">
        <v>2.0000000000000001E-4</v>
      </c>
      <c r="O95" s="2">
        <v>5.0000000000000001E-4</v>
      </c>
    </row>
    <row r="96" spans="2:15">
      <c r="B96" t="s">
        <v>60</v>
      </c>
      <c r="C96" t="s">
        <v>28</v>
      </c>
      <c r="D96" t="s">
        <v>152</v>
      </c>
      <c r="E96" t="s">
        <v>153</v>
      </c>
      <c r="F96" t="s">
        <v>12</v>
      </c>
      <c r="G96" t="s">
        <v>152</v>
      </c>
      <c r="H96" t="s">
        <v>154</v>
      </c>
      <c r="I96" t="s">
        <v>24</v>
      </c>
      <c r="J96">
        <v>2</v>
      </c>
      <c r="K96">
        <v>0</v>
      </c>
      <c r="L96" s="2">
        <v>0.04</v>
      </c>
      <c r="M96">
        <v>0.1</v>
      </c>
      <c r="N96" s="2">
        <v>8.0000000000000007E-5</v>
      </c>
      <c r="O96" s="2">
        <v>2.0000000000000001E-4</v>
      </c>
    </row>
    <row r="97" spans="2:15">
      <c r="B97" t="s">
        <v>60</v>
      </c>
      <c r="C97" t="s">
        <v>28</v>
      </c>
      <c r="D97" t="s">
        <v>155</v>
      </c>
      <c r="E97" t="s">
        <v>156</v>
      </c>
      <c r="F97" t="s">
        <v>12</v>
      </c>
      <c r="G97" t="s">
        <v>155</v>
      </c>
      <c r="H97" t="s">
        <v>157</v>
      </c>
      <c r="I97" t="s">
        <v>24</v>
      </c>
      <c r="J97">
        <v>3</v>
      </c>
      <c r="K97">
        <v>0</v>
      </c>
      <c r="L97" s="2">
        <v>0.04</v>
      </c>
      <c r="M97">
        <v>0.1</v>
      </c>
      <c r="N97" s="2">
        <v>1.1999999999999999E-4</v>
      </c>
      <c r="O97" s="2">
        <v>3.0000000000000003E-4</v>
      </c>
    </row>
    <row r="98" spans="2:15">
      <c r="B98" t="s">
        <v>61</v>
      </c>
      <c r="C98" t="s">
        <v>28</v>
      </c>
      <c r="D98" t="s">
        <v>62</v>
      </c>
      <c r="E98" t="s">
        <v>63</v>
      </c>
      <c r="F98" t="s">
        <v>12</v>
      </c>
      <c r="G98" t="s">
        <v>62</v>
      </c>
      <c r="H98" t="s">
        <v>64</v>
      </c>
      <c r="I98" t="s">
        <v>24</v>
      </c>
      <c r="J98">
        <v>3</v>
      </c>
      <c r="K98">
        <v>0</v>
      </c>
      <c r="L98" s="2">
        <v>0.04</v>
      </c>
      <c r="M98">
        <v>0.1</v>
      </c>
      <c r="N98" s="2">
        <v>1.1999999999999999E-4</v>
      </c>
      <c r="O98" s="2">
        <v>3.0000000000000003E-4</v>
      </c>
    </row>
    <row r="99" spans="2:15">
      <c r="B99" t="s">
        <v>61</v>
      </c>
      <c r="C99" t="s">
        <v>28</v>
      </c>
      <c r="D99" t="s">
        <v>158</v>
      </c>
      <c r="E99" t="s">
        <v>159</v>
      </c>
      <c r="F99" t="s">
        <v>12</v>
      </c>
      <c r="G99" t="s">
        <v>158</v>
      </c>
      <c r="H99" t="s">
        <v>160</v>
      </c>
      <c r="I99" t="s">
        <v>24</v>
      </c>
      <c r="J99">
        <v>3</v>
      </c>
      <c r="K99">
        <v>0</v>
      </c>
      <c r="L99" s="2">
        <v>0.04</v>
      </c>
      <c r="M99">
        <v>0.1</v>
      </c>
      <c r="N99" s="2">
        <v>1.1999999999999999E-4</v>
      </c>
      <c r="O99" s="2">
        <v>3.0000000000000003E-4</v>
      </c>
    </row>
    <row r="100" spans="2:15">
      <c r="B100" t="s">
        <v>61</v>
      </c>
      <c r="C100" t="s">
        <v>28</v>
      </c>
      <c r="D100" t="s">
        <v>161</v>
      </c>
      <c r="E100" t="s">
        <v>162</v>
      </c>
      <c r="F100" t="s">
        <v>10</v>
      </c>
      <c r="G100" t="s">
        <v>161</v>
      </c>
      <c r="H100" t="s">
        <v>163</v>
      </c>
      <c r="I100" t="s">
        <v>24</v>
      </c>
      <c r="J100">
        <v>1</v>
      </c>
      <c r="K100">
        <v>1</v>
      </c>
      <c r="L100" s="2">
        <v>3.5000000000000001E-3</v>
      </c>
      <c r="M100">
        <v>2.5000000000000001E-2</v>
      </c>
      <c r="N100" s="2">
        <v>3.5000000000000001E-3</v>
      </c>
      <c r="O100" s="2">
        <v>2.5000000000000001E-2</v>
      </c>
    </row>
    <row r="101" spans="2:15">
      <c r="B101" t="s">
        <v>61</v>
      </c>
      <c r="C101" t="s">
        <v>28</v>
      </c>
      <c r="D101" t="s">
        <v>164</v>
      </c>
      <c r="E101" t="s">
        <v>165</v>
      </c>
      <c r="F101" t="s">
        <v>12</v>
      </c>
      <c r="G101" t="s">
        <v>164</v>
      </c>
      <c r="H101" t="s">
        <v>166</v>
      </c>
      <c r="I101" t="s">
        <v>24</v>
      </c>
      <c r="J101">
        <v>2</v>
      </c>
      <c r="K101">
        <v>1</v>
      </c>
      <c r="L101" s="2">
        <v>0.04</v>
      </c>
      <c r="M101">
        <v>0.1</v>
      </c>
      <c r="N101" s="2">
        <v>8.0000000000000007E-5</v>
      </c>
      <c r="O101" s="2">
        <v>2.0000000000000001E-4</v>
      </c>
    </row>
    <row r="102" spans="2:15">
      <c r="B102" t="s">
        <v>61</v>
      </c>
      <c r="C102" t="s">
        <v>28</v>
      </c>
      <c r="D102" t="s">
        <v>167</v>
      </c>
      <c r="E102" t="s">
        <v>168</v>
      </c>
      <c r="F102" t="s">
        <v>12</v>
      </c>
      <c r="G102" t="s">
        <v>167</v>
      </c>
      <c r="H102" t="s">
        <v>169</v>
      </c>
      <c r="I102" t="s">
        <v>24</v>
      </c>
      <c r="J102">
        <v>7</v>
      </c>
      <c r="K102">
        <v>2</v>
      </c>
      <c r="L102" s="2">
        <v>0.04</v>
      </c>
      <c r="M102">
        <v>0.1</v>
      </c>
      <c r="N102" s="2">
        <v>2.8000000000000003E-4</v>
      </c>
      <c r="O102" s="2">
        <v>7.000000000000001E-4</v>
      </c>
    </row>
    <row r="103" spans="2:15">
      <c r="B103" t="s">
        <v>61</v>
      </c>
      <c r="C103" t="s">
        <v>28</v>
      </c>
      <c r="D103" t="s">
        <v>65</v>
      </c>
      <c r="E103" t="s">
        <v>66</v>
      </c>
      <c r="F103" t="s">
        <v>12</v>
      </c>
      <c r="G103" t="s">
        <v>65</v>
      </c>
      <c r="H103" t="s">
        <v>67</v>
      </c>
      <c r="I103" t="s">
        <v>24</v>
      </c>
      <c r="J103">
        <v>1</v>
      </c>
      <c r="K103">
        <v>0</v>
      </c>
      <c r="L103" s="2">
        <v>0.04</v>
      </c>
      <c r="M103">
        <v>0.1</v>
      </c>
      <c r="N103" s="2">
        <v>4.0000000000000003E-5</v>
      </c>
      <c r="O103" s="2">
        <v>1E-4</v>
      </c>
    </row>
    <row r="104" spans="2:15">
      <c r="B104" t="s">
        <v>68</v>
      </c>
      <c r="C104" t="s">
        <v>31</v>
      </c>
      <c r="D104" t="s">
        <v>69</v>
      </c>
      <c r="E104" t="s">
        <v>70</v>
      </c>
      <c r="F104" t="s">
        <v>12</v>
      </c>
      <c r="G104" t="s">
        <v>69</v>
      </c>
      <c r="H104" t="s">
        <v>71</v>
      </c>
      <c r="I104" t="s">
        <v>24</v>
      </c>
      <c r="J104">
        <v>10</v>
      </c>
      <c r="K104">
        <v>0</v>
      </c>
      <c r="L104" s="2">
        <v>0.04</v>
      </c>
      <c r="M104">
        <v>0.1</v>
      </c>
      <c r="N104" s="2">
        <v>4.0000000000000002E-4</v>
      </c>
      <c r="O104" s="2">
        <v>1E-3</v>
      </c>
    </row>
    <row r="105" spans="2:15">
      <c r="B105" t="s">
        <v>68</v>
      </c>
      <c r="C105" t="s">
        <v>31</v>
      </c>
      <c r="D105" t="s">
        <v>170</v>
      </c>
      <c r="E105" t="s">
        <v>171</v>
      </c>
      <c r="F105" t="s">
        <v>12</v>
      </c>
      <c r="G105" t="s">
        <v>170</v>
      </c>
      <c r="H105" t="s">
        <v>172</v>
      </c>
      <c r="I105" t="s">
        <v>24</v>
      </c>
      <c r="J105">
        <v>7</v>
      </c>
      <c r="K105">
        <v>1</v>
      </c>
      <c r="L105" s="2">
        <v>0.04</v>
      </c>
      <c r="M105">
        <v>0.1</v>
      </c>
      <c r="N105" s="2">
        <v>2.8000000000000003E-4</v>
      </c>
      <c r="O105" s="2">
        <v>7.000000000000001E-4</v>
      </c>
    </row>
    <row r="106" spans="2:15">
      <c r="B106" t="s">
        <v>221</v>
      </c>
      <c r="C106" t="s">
        <v>33</v>
      </c>
      <c r="D106" t="s">
        <v>222</v>
      </c>
      <c r="E106" t="s">
        <v>223</v>
      </c>
      <c r="F106" t="s">
        <v>10</v>
      </c>
      <c r="G106" t="s">
        <v>222</v>
      </c>
      <c r="H106" t="s">
        <v>224</v>
      </c>
      <c r="I106" t="s">
        <v>24</v>
      </c>
      <c r="J106">
        <v>1</v>
      </c>
      <c r="K106">
        <v>6</v>
      </c>
      <c r="L106" s="2">
        <v>3.5000000000000001E-3</v>
      </c>
      <c r="M106">
        <v>2.5000000000000001E-2</v>
      </c>
      <c r="N106" s="2">
        <v>2.1000000000000001E-2</v>
      </c>
      <c r="O106" s="2">
        <v>0.15000000000000002</v>
      </c>
    </row>
    <row r="107" spans="2:15">
      <c r="B107" t="s">
        <v>221</v>
      </c>
      <c r="C107" t="s">
        <v>33</v>
      </c>
      <c r="D107" t="s">
        <v>225</v>
      </c>
      <c r="E107" t="s">
        <v>226</v>
      </c>
      <c r="F107" t="s">
        <v>10</v>
      </c>
      <c r="G107" t="s">
        <v>225</v>
      </c>
      <c r="H107" t="s">
        <v>227</v>
      </c>
      <c r="I107" t="s">
        <v>24</v>
      </c>
      <c r="J107">
        <v>0</v>
      </c>
      <c r="K107">
        <v>3</v>
      </c>
      <c r="L107" s="2">
        <v>3.5000000000000001E-3</v>
      </c>
      <c r="M107">
        <v>2.5000000000000001E-2</v>
      </c>
      <c r="N107" s="2">
        <v>1.0500000000000001E-2</v>
      </c>
      <c r="O107" s="2">
        <v>7.5000000000000011E-2</v>
      </c>
    </row>
    <row r="108" spans="2:15">
      <c r="B108" t="s">
        <v>221</v>
      </c>
      <c r="C108" t="s">
        <v>33</v>
      </c>
      <c r="D108" t="s">
        <v>228</v>
      </c>
      <c r="E108" t="s">
        <v>229</v>
      </c>
      <c r="F108" t="s">
        <v>10</v>
      </c>
      <c r="G108" t="s">
        <v>228</v>
      </c>
      <c r="H108" t="s">
        <v>230</v>
      </c>
      <c r="I108" t="s">
        <v>24</v>
      </c>
      <c r="J108">
        <v>0</v>
      </c>
      <c r="K108">
        <v>4</v>
      </c>
      <c r="L108" s="2">
        <v>3.5000000000000001E-3</v>
      </c>
      <c r="M108">
        <v>2.5000000000000001E-2</v>
      </c>
      <c r="N108" s="2">
        <v>1.4E-2</v>
      </c>
      <c r="O108" s="2">
        <v>0.1</v>
      </c>
    </row>
    <row r="109" spans="2:15">
      <c r="B109" t="s">
        <v>221</v>
      </c>
      <c r="C109" t="s">
        <v>33</v>
      </c>
      <c r="D109" t="s">
        <v>231</v>
      </c>
      <c r="E109" t="s">
        <v>232</v>
      </c>
      <c r="F109" t="s">
        <v>10</v>
      </c>
      <c r="G109" t="s">
        <v>231</v>
      </c>
      <c r="H109" t="s">
        <v>233</v>
      </c>
      <c r="I109" t="s">
        <v>24</v>
      </c>
      <c r="J109">
        <v>0</v>
      </c>
      <c r="K109">
        <v>1</v>
      </c>
      <c r="L109" s="2">
        <v>3.5000000000000001E-3</v>
      </c>
      <c r="M109">
        <v>2.5000000000000001E-2</v>
      </c>
      <c r="N109" s="2">
        <v>3.5000000000000001E-3</v>
      </c>
      <c r="O109" s="2">
        <v>2.5000000000000001E-2</v>
      </c>
    </row>
    <row r="110" spans="2:15">
      <c r="B110" t="s">
        <v>221</v>
      </c>
      <c r="C110" t="s">
        <v>33</v>
      </c>
      <c r="D110" t="s">
        <v>234</v>
      </c>
      <c r="E110" t="s">
        <v>235</v>
      </c>
      <c r="F110" t="s">
        <v>10</v>
      </c>
      <c r="G110" t="s">
        <v>234</v>
      </c>
      <c r="H110" t="s">
        <v>236</v>
      </c>
      <c r="I110" t="s">
        <v>24</v>
      </c>
      <c r="J110">
        <v>0</v>
      </c>
      <c r="K110">
        <v>4</v>
      </c>
      <c r="L110" s="2">
        <v>3.5000000000000001E-3</v>
      </c>
      <c r="M110">
        <v>2.5000000000000001E-2</v>
      </c>
      <c r="N110" s="2">
        <v>1.4E-2</v>
      </c>
      <c r="O110" s="2">
        <v>0.1</v>
      </c>
    </row>
    <row r="111" spans="2:15">
      <c r="B111" t="s">
        <v>221</v>
      </c>
      <c r="C111" t="s">
        <v>33</v>
      </c>
      <c r="D111" t="s">
        <v>237</v>
      </c>
      <c r="E111" t="s">
        <v>238</v>
      </c>
      <c r="F111" t="s">
        <v>10</v>
      </c>
      <c r="G111" t="s">
        <v>237</v>
      </c>
      <c r="H111" t="s">
        <v>239</v>
      </c>
      <c r="I111" t="s">
        <v>24</v>
      </c>
      <c r="J111">
        <v>0</v>
      </c>
      <c r="K111">
        <v>5</v>
      </c>
      <c r="L111" s="2">
        <v>3.5000000000000001E-3</v>
      </c>
      <c r="M111">
        <v>2.5000000000000001E-2</v>
      </c>
      <c r="N111" s="2">
        <v>1.7500000000000002E-2</v>
      </c>
      <c r="O111" s="2">
        <v>0.125</v>
      </c>
    </row>
    <row r="112" spans="2:15">
      <c r="B112" t="s">
        <v>221</v>
      </c>
      <c r="C112" t="s">
        <v>33</v>
      </c>
      <c r="D112" t="s">
        <v>240</v>
      </c>
      <c r="E112" t="s">
        <v>241</v>
      </c>
      <c r="F112" t="s">
        <v>10</v>
      </c>
      <c r="G112" t="s">
        <v>240</v>
      </c>
      <c r="H112" t="s">
        <v>242</v>
      </c>
      <c r="I112" t="s">
        <v>24</v>
      </c>
      <c r="J112">
        <v>0</v>
      </c>
      <c r="K112">
        <v>3</v>
      </c>
      <c r="L112" s="2">
        <v>3.5000000000000001E-3</v>
      </c>
      <c r="M112">
        <v>2.5000000000000001E-2</v>
      </c>
      <c r="N112" s="2">
        <v>1.0500000000000001E-2</v>
      </c>
      <c r="O112" s="2">
        <v>7.5000000000000011E-2</v>
      </c>
    </row>
    <row r="113" spans="2:15">
      <c r="B113" t="s">
        <v>221</v>
      </c>
      <c r="C113" t="s">
        <v>33</v>
      </c>
      <c r="D113" t="s">
        <v>243</v>
      </c>
      <c r="E113" t="s">
        <v>244</v>
      </c>
      <c r="F113" t="s">
        <v>10</v>
      </c>
      <c r="G113" t="s">
        <v>243</v>
      </c>
      <c r="H113" t="s">
        <v>245</v>
      </c>
      <c r="I113" t="s">
        <v>24</v>
      </c>
      <c r="J113">
        <v>0</v>
      </c>
      <c r="K113">
        <v>1</v>
      </c>
      <c r="L113" s="2">
        <v>3.5000000000000001E-3</v>
      </c>
      <c r="M113">
        <v>2.5000000000000001E-2</v>
      </c>
      <c r="N113" s="2">
        <v>3.5000000000000001E-3</v>
      </c>
      <c r="O113" s="2">
        <v>2.5000000000000001E-2</v>
      </c>
    </row>
    <row r="114" spans="2:15">
      <c r="B114" t="s">
        <v>221</v>
      </c>
      <c r="C114" t="s">
        <v>33</v>
      </c>
      <c r="D114" t="s">
        <v>246</v>
      </c>
      <c r="E114" t="s">
        <v>247</v>
      </c>
      <c r="F114" t="s">
        <v>12</v>
      </c>
      <c r="G114" t="s">
        <v>246</v>
      </c>
      <c r="H114" t="s">
        <v>248</v>
      </c>
      <c r="I114" t="s">
        <v>24</v>
      </c>
      <c r="J114">
        <v>2</v>
      </c>
      <c r="K114">
        <v>1</v>
      </c>
      <c r="L114" s="2">
        <v>0.04</v>
      </c>
      <c r="M114">
        <v>0.1</v>
      </c>
      <c r="N114" s="2">
        <v>8.0000000000000007E-5</v>
      </c>
      <c r="O114" s="2">
        <v>2.0000000000000001E-4</v>
      </c>
    </row>
    <row r="115" spans="2:15">
      <c r="B115" t="s">
        <v>221</v>
      </c>
      <c r="C115" t="s">
        <v>33</v>
      </c>
      <c r="D115" t="s">
        <v>249</v>
      </c>
      <c r="E115" t="s">
        <v>250</v>
      </c>
      <c r="F115" t="s">
        <v>10</v>
      </c>
      <c r="G115" t="s">
        <v>249</v>
      </c>
      <c r="H115" t="s">
        <v>251</v>
      </c>
      <c r="I115" t="s">
        <v>24</v>
      </c>
      <c r="J115">
        <v>0</v>
      </c>
      <c r="K115">
        <v>21</v>
      </c>
      <c r="L115" s="2">
        <v>3.5000000000000001E-3</v>
      </c>
      <c r="M115">
        <v>2.5000000000000001E-2</v>
      </c>
      <c r="N115" s="2">
        <v>7.3499999999999996E-2</v>
      </c>
      <c r="O115" s="2">
        <v>0.52500000000000002</v>
      </c>
    </row>
    <row r="116" spans="2:15">
      <c r="B116" t="s">
        <v>301</v>
      </c>
      <c r="C116" t="s">
        <v>29</v>
      </c>
      <c r="D116" t="s">
        <v>302</v>
      </c>
      <c r="E116" t="s">
        <v>303</v>
      </c>
      <c r="F116" t="s">
        <v>12</v>
      </c>
      <c r="G116" t="s">
        <v>302</v>
      </c>
      <c r="H116" t="s">
        <v>304</v>
      </c>
      <c r="I116" t="s">
        <v>30</v>
      </c>
      <c r="J116">
        <v>57523</v>
      </c>
      <c r="K116">
        <v>13</v>
      </c>
      <c r="L116" s="2">
        <v>0.04</v>
      </c>
      <c r="M116">
        <v>0.1</v>
      </c>
      <c r="N116" s="2">
        <v>2.3009200000000001</v>
      </c>
      <c r="O116" s="2">
        <v>5.7523</v>
      </c>
    </row>
    <row r="117" spans="2:15">
      <c r="B117" t="s">
        <v>301</v>
      </c>
      <c r="C117" t="s">
        <v>29</v>
      </c>
      <c r="D117" t="s">
        <v>305</v>
      </c>
      <c r="E117" t="s">
        <v>306</v>
      </c>
      <c r="F117" t="s">
        <v>10</v>
      </c>
      <c r="G117" t="s">
        <v>305</v>
      </c>
      <c r="H117" t="s">
        <v>307</v>
      </c>
      <c r="I117" t="s">
        <v>24</v>
      </c>
      <c r="J117">
        <v>0</v>
      </c>
      <c r="K117">
        <v>1</v>
      </c>
      <c r="L117" s="2">
        <v>3.5000000000000001E-3</v>
      </c>
      <c r="M117">
        <v>2.5000000000000001E-2</v>
      </c>
      <c r="N117" s="2">
        <v>3.5000000000000001E-3</v>
      </c>
      <c r="O117" s="2">
        <v>2.5000000000000001E-2</v>
      </c>
    </row>
    <row r="118" spans="2:15">
      <c r="B118" t="s">
        <v>301</v>
      </c>
      <c r="C118" t="s">
        <v>29</v>
      </c>
      <c r="D118" t="s">
        <v>308</v>
      </c>
      <c r="E118" t="s">
        <v>309</v>
      </c>
      <c r="F118" t="s">
        <v>12</v>
      </c>
      <c r="G118" t="s">
        <v>308</v>
      </c>
      <c r="H118" t="s">
        <v>310</v>
      </c>
      <c r="I118" t="s">
        <v>36</v>
      </c>
      <c r="J118">
        <v>5623</v>
      </c>
      <c r="K118">
        <v>172</v>
      </c>
      <c r="L118" s="2">
        <v>0.04</v>
      </c>
      <c r="M118">
        <v>0.1</v>
      </c>
      <c r="N118" s="2">
        <v>0.22492000000000001</v>
      </c>
      <c r="O118" s="2">
        <v>0.56230000000000002</v>
      </c>
    </row>
    <row r="119" spans="2:15">
      <c r="B119" t="s">
        <v>301</v>
      </c>
      <c r="C119" t="s">
        <v>29</v>
      </c>
      <c r="D119" t="s">
        <v>311</v>
      </c>
      <c r="E119" t="s">
        <v>312</v>
      </c>
      <c r="F119" t="s">
        <v>12</v>
      </c>
      <c r="G119" t="s">
        <v>311</v>
      </c>
      <c r="H119" t="s">
        <v>313</v>
      </c>
      <c r="I119" t="s">
        <v>30</v>
      </c>
      <c r="J119">
        <v>53060</v>
      </c>
      <c r="K119">
        <v>118</v>
      </c>
      <c r="L119" s="2">
        <v>0.04</v>
      </c>
      <c r="M119">
        <v>0.1</v>
      </c>
      <c r="N119" s="2">
        <v>2.1224000000000003</v>
      </c>
      <c r="O119" s="2">
        <v>5.306</v>
      </c>
    </row>
    <row r="120" spans="2:15">
      <c r="B120" t="s">
        <v>301</v>
      </c>
      <c r="C120" t="s">
        <v>29</v>
      </c>
      <c r="D120" t="s">
        <v>314</v>
      </c>
      <c r="E120" t="s">
        <v>315</v>
      </c>
      <c r="F120" t="s">
        <v>12</v>
      </c>
      <c r="G120" t="s">
        <v>314</v>
      </c>
      <c r="H120" t="s">
        <v>316</v>
      </c>
      <c r="I120" t="s">
        <v>30</v>
      </c>
      <c r="J120">
        <v>48252</v>
      </c>
      <c r="K120">
        <v>85</v>
      </c>
      <c r="L120" s="2">
        <v>0.04</v>
      </c>
      <c r="M120">
        <v>0.1</v>
      </c>
      <c r="N120" s="2">
        <v>1.93008</v>
      </c>
      <c r="O120" s="2">
        <v>4.8251999999999997</v>
      </c>
    </row>
    <row r="121" spans="2:15">
      <c r="B121" t="s">
        <v>301</v>
      </c>
      <c r="C121" t="s">
        <v>29</v>
      </c>
      <c r="D121" t="s">
        <v>317</v>
      </c>
      <c r="E121" t="s">
        <v>318</v>
      </c>
      <c r="F121" t="s">
        <v>12</v>
      </c>
      <c r="G121" t="s">
        <v>317</v>
      </c>
      <c r="H121" t="s">
        <v>319</v>
      </c>
      <c r="I121" t="s">
        <v>30</v>
      </c>
      <c r="J121">
        <v>62085</v>
      </c>
      <c r="K121">
        <v>29</v>
      </c>
      <c r="L121" s="2">
        <v>0.04</v>
      </c>
      <c r="M121">
        <v>0.1</v>
      </c>
      <c r="N121" s="2">
        <v>2.4834000000000001</v>
      </c>
      <c r="O121" s="2">
        <v>6.2084999999999999</v>
      </c>
    </row>
    <row r="122" spans="2:15">
      <c r="B122" t="s">
        <v>301</v>
      </c>
      <c r="C122" t="s">
        <v>29</v>
      </c>
      <c r="D122" t="s">
        <v>320</v>
      </c>
      <c r="E122" t="s">
        <v>321</v>
      </c>
      <c r="F122" t="s">
        <v>10</v>
      </c>
      <c r="G122" t="s">
        <v>320</v>
      </c>
      <c r="H122" t="s">
        <v>322</v>
      </c>
      <c r="I122" t="s">
        <v>24</v>
      </c>
      <c r="J122">
        <v>0</v>
      </c>
      <c r="K122">
        <v>1</v>
      </c>
      <c r="L122" s="2">
        <v>3.5000000000000001E-3</v>
      </c>
      <c r="M122">
        <v>2.5000000000000001E-2</v>
      </c>
      <c r="N122" s="2">
        <v>3.5000000000000001E-3</v>
      </c>
      <c r="O122" s="2">
        <v>2.5000000000000001E-2</v>
      </c>
    </row>
    <row r="123" spans="2:15">
      <c r="B123" t="s">
        <v>301</v>
      </c>
      <c r="C123" t="s">
        <v>29</v>
      </c>
      <c r="D123" t="s">
        <v>323</v>
      </c>
      <c r="E123" t="s">
        <v>324</v>
      </c>
      <c r="F123" t="s">
        <v>12</v>
      </c>
      <c r="G123" t="s">
        <v>323</v>
      </c>
      <c r="H123" t="s">
        <v>325</v>
      </c>
      <c r="I123" t="s">
        <v>36</v>
      </c>
      <c r="J123">
        <v>5642</v>
      </c>
      <c r="K123">
        <v>167</v>
      </c>
      <c r="L123" s="2">
        <v>0.04</v>
      </c>
      <c r="M123">
        <v>0.1</v>
      </c>
      <c r="N123" s="2">
        <v>0.22568000000000002</v>
      </c>
      <c r="O123" s="2">
        <v>0.56420000000000003</v>
      </c>
    </row>
    <row r="124" spans="2:15">
      <c r="B124" t="s">
        <v>301</v>
      </c>
      <c r="C124" t="s">
        <v>29</v>
      </c>
      <c r="D124" t="s">
        <v>326</v>
      </c>
      <c r="E124" t="s">
        <v>327</v>
      </c>
      <c r="F124" t="s">
        <v>12</v>
      </c>
      <c r="G124" t="s">
        <v>326</v>
      </c>
      <c r="H124" t="s">
        <v>328</v>
      </c>
      <c r="I124" t="s">
        <v>30</v>
      </c>
      <c r="J124">
        <v>48812</v>
      </c>
      <c r="K124">
        <v>83</v>
      </c>
      <c r="L124" s="2">
        <v>0.04</v>
      </c>
      <c r="M124">
        <v>0.1</v>
      </c>
      <c r="N124" s="2">
        <v>1.95248</v>
      </c>
      <c r="O124" s="2">
        <v>4.8811999999999998</v>
      </c>
    </row>
    <row r="125" spans="2:15">
      <c r="B125" t="s">
        <v>301</v>
      </c>
      <c r="C125" t="s">
        <v>29</v>
      </c>
      <c r="D125" t="s">
        <v>329</v>
      </c>
      <c r="E125" t="s">
        <v>330</v>
      </c>
      <c r="F125" t="s">
        <v>12</v>
      </c>
      <c r="G125" t="s">
        <v>329</v>
      </c>
      <c r="H125" t="s">
        <v>331</v>
      </c>
      <c r="I125" t="s">
        <v>30</v>
      </c>
      <c r="J125">
        <v>54292</v>
      </c>
      <c r="K125">
        <v>86</v>
      </c>
      <c r="L125" s="2">
        <v>0.04</v>
      </c>
      <c r="M125">
        <v>0.1</v>
      </c>
      <c r="N125" s="2">
        <v>2.1716799999999998</v>
      </c>
      <c r="O125" s="2">
        <v>5.4292000000000007</v>
      </c>
    </row>
    <row r="126" spans="2:15">
      <c r="B126" t="s">
        <v>301</v>
      </c>
      <c r="C126" t="s">
        <v>32</v>
      </c>
      <c r="D126" t="s">
        <v>332</v>
      </c>
      <c r="E126" t="s">
        <v>333</v>
      </c>
      <c r="F126" t="s">
        <v>12</v>
      </c>
      <c r="G126" t="s">
        <v>332</v>
      </c>
      <c r="H126" t="s">
        <v>334</v>
      </c>
      <c r="I126" t="s">
        <v>30</v>
      </c>
      <c r="J126">
        <v>77157</v>
      </c>
      <c r="K126">
        <v>193</v>
      </c>
      <c r="L126" s="2">
        <v>0.04</v>
      </c>
      <c r="M126">
        <v>0.1</v>
      </c>
      <c r="N126" s="2">
        <v>3.0862800000000004</v>
      </c>
      <c r="O126" s="2">
        <v>7.7157000000000009</v>
      </c>
    </row>
    <row r="127" spans="2:15">
      <c r="B127" t="s">
        <v>301</v>
      </c>
      <c r="C127" t="s">
        <v>32</v>
      </c>
      <c r="D127" t="s">
        <v>335</v>
      </c>
      <c r="E127" t="s">
        <v>336</v>
      </c>
      <c r="F127" t="s">
        <v>12</v>
      </c>
      <c r="G127" t="s">
        <v>335</v>
      </c>
      <c r="H127" t="s">
        <v>337</v>
      </c>
      <c r="I127" t="s">
        <v>30</v>
      </c>
      <c r="J127">
        <v>97613</v>
      </c>
      <c r="K127">
        <v>66</v>
      </c>
      <c r="L127" s="2">
        <v>0.04</v>
      </c>
      <c r="M127">
        <v>0.1</v>
      </c>
      <c r="N127" s="2">
        <v>3.9045199999999998</v>
      </c>
      <c r="O127" s="2">
        <v>9.7613000000000003</v>
      </c>
    </row>
    <row r="128" spans="2:15">
      <c r="B128" t="s">
        <v>301</v>
      </c>
      <c r="C128" t="s">
        <v>32</v>
      </c>
      <c r="D128" t="s">
        <v>338</v>
      </c>
      <c r="E128" t="s">
        <v>339</v>
      </c>
      <c r="F128" t="s">
        <v>12</v>
      </c>
      <c r="G128" t="s">
        <v>338</v>
      </c>
      <c r="H128" t="s">
        <v>340</v>
      </c>
      <c r="I128" t="s">
        <v>30</v>
      </c>
      <c r="J128">
        <v>634796</v>
      </c>
      <c r="K128">
        <v>3080</v>
      </c>
      <c r="L128" s="2">
        <v>0.04</v>
      </c>
      <c r="M128">
        <v>0.1</v>
      </c>
      <c r="N128" s="2">
        <v>25.391839999999998</v>
      </c>
      <c r="O128" s="2">
        <v>63.479600000000005</v>
      </c>
    </row>
    <row r="129" spans="2:15">
      <c r="B129" t="s">
        <v>301</v>
      </c>
      <c r="C129" t="s">
        <v>32</v>
      </c>
      <c r="D129" t="s">
        <v>341</v>
      </c>
      <c r="E129" t="s">
        <v>342</v>
      </c>
      <c r="F129" t="s">
        <v>12</v>
      </c>
      <c r="G129" t="s">
        <v>341</v>
      </c>
      <c r="H129" t="s">
        <v>343</v>
      </c>
      <c r="I129" t="s">
        <v>30</v>
      </c>
      <c r="J129">
        <v>710925</v>
      </c>
      <c r="K129">
        <v>3455</v>
      </c>
      <c r="L129" s="2">
        <v>0.04</v>
      </c>
      <c r="M129">
        <v>0.1</v>
      </c>
      <c r="N129" s="2">
        <v>28.437000000000001</v>
      </c>
      <c r="O129" s="2">
        <v>71.092500000000001</v>
      </c>
    </row>
    <row r="130" spans="2:15">
      <c r="B130" t="s">
        <v>301</v>
      </c>
      <c r="C130" t="s">
        <v>32</v>
      </c>
      <c r="D130" t="s">
        <v>344</v>
      </c>
      <c r="E130" t="s">
        <v>345</v>
      </c>
      <c r="F130" t="s">
        <v>12</v>
      </c>
      <c r="G130" t="s">
        <v>344</v>
      </c>
      <c r="H130" t="s">
        <v>346</v>
      </c>
      <c r="I130" t="s">
        <v>30</v>
      </c>
      <c r="J130">
        <v>164359</v>
      </c>
      <c r="K130">
        <v>2516</v>
      </c>
      <c r="L130" s="2">
        <v>0.04</v>
      </c>
      <c r="M130">
        <v>0.1</v>
      </c>
      <c r="N130" s="2">
        <v>6.5743600000000004</v>
      </c>
      <c r="O130" s="2">
        <v>16.4359</v>
      </c>
    </row>
    <row r="131" spans="2:15">
      <c r="B131" t="s">
        <v>301</v>
      </c>
      <c r="C131" t="s">
        <v>32</v>
      </c>
      <c r="D131" t="s">
        <v>347</v>
      </c>
      <c r="E131" t="s">
        <v>348</v>
      </c>
      <c r="F131" t="s">
        <v>12</v>
      </c>
      <c r="G131" t="s">
        <v>347</v>
      </c>
      <c r="H131" t="s">
        <v>349</v>
      </c>
      <c r="I131" t="s">
        <v>30</v>
      </c>
      <c r="J131">
        <v>86846</v>
      </c>
      <c r="K131">
        <v>234</v>
      </c>
      <c r="L131" s="2">
        <v>0.04</v>
      </c>
      <c r="M131">
        <v>0.1</v>
      </c>
      <c r="N131" s="2">
        <v>3.47384</v>
      </c>
      <c r="O131" s="2">
        <v>8.6845999999999997</v>
      </c>
    </row>
    <row r="132" spans="2:15">
      <c r="B132" t="s">
        <v>301</v>
      </c>
      <c r="C132" t="s">
        <v>32</v>
      </c>
      <c r="D132" t="s">
        <v>350</v>
      </c>
      <c r="E132" t="s">
        <v>351</v>
      </c>
      <c r="F132" t="s">
        <v>12</v>
      </c>
      <c r="G132" t="s">
        <v>350</v>
      </c>
      <c r="H132" t="s">
        <v>352</v>
      </c>
      <c r="I132" t="s">
        <v>30</v>
      </c>
      <c r="J132">
        <v>89956</v>
      </c>
      <c r="K132">
        <v>65</v>
      </c>
      <c r="L132" s="2">
        <v>0.04</v>
      </c>
      <c r="M132">
        <v>0.1</v>
      </c>
      <c r="N132" s="2">
        <v>3.5982400000000001</v>
      </c>
      <c r="O132" s="2">
        <v>8.9955999999999996</v>
      </c>
    </row>
    <row r="133" spans="2:15">
      <c r="B133" t="s">
        <v>301</v>
      </c>
      <c r="C133" t="s">
        <v>32</v>
      </c>
      <c r="D133" t="s">
        <v>353</v>
      </c>
      <c r="E133" t="s">
        <v>354</v>
      </c>
      <c r="F133" t="s">
        <v>12</v>
      </c>
      <c r="G133" t="s">
        <v>353</v>
      </c>
      <c r="H133" t="s">
        <v>355</v>
      </c>
      <c r="I133" t="s">
        <v>30</v>
      </c>
      <c r="J133">
        <v>490342</v>
      </c>
      <c r="K133">
        <v>2282</v>
      </c>
      <c r="L133" s="2">
        <v>0.04</v>
      </c>
      <c r="M133">
        <v>0.1</v>
      </c>
      <c r="N133" s="2">
        <v>19.613679999999999</v>
      </c>
      <c r="O133" s="2">
        <v>49.034200000000006</v>
      </c>
    </row>
    <row r="134" spans="2:15">
      <c r="B134" t="s">
        <v>301</v>
      </c>
      <c r="C134" t="s">
        <v>32</v>
      </c>
      <c r="D134" t="s">
        <v>356</v>
      </c>
      <c r="E134" t="s">
        <v>357</v>
      </c>
      <c r="F134" t="s">
        <v>12</v>
      </c>
      <c r="G134" t="s">
        <v>356</v>
      </c>
      <c r="H134" t="s">
        <v>358</v>
      </c>
      <c r="I134" t="s">
        <v>30</v>
      </c>
      <c r="J134">
        <v>789720</v>
      </c>
      <c r="K134">
        <v>3888</v>
      </c>
      <c r="L134" s="2">
        <v>0.04</v>
      </c>
      <c r="M134">
        <v>0.1</v>
      </c>
      <c r="N134" s="2">
        <v>31.588799999999999</v>
      </c>
      <c r="O134" s="2">
        <v>78.971999999999994</v>
      </c>
    </row>
    <row r="135" spans="2:15">
      <c r="B135" t="s">
        <v>301</v>
      </c>
      <c r="C135" t="s">
        <v>32</v>
      </c>
      <c r="D135" t="s">
        <v>359</v>
      </c>
      <c r="E135" t="s">
        <v>360</v>
      </c>
      <c r="F135" t="s">
        <v>12</v>
      </c>
      <c r="G135" t="s">
        <v>359</v>
      </c>
      <c r="H135" t="s">
        <v>361</v>
      </c>
      <c r="I135" t="s">
        <v>30</v>
      </c>
      <c r="J135">
        <v>180122</v>
      </c>
      <c r="K135">
        <v>3293</v>
      </c>
      <c r="L135" s="2">
        <v>0.04</v>
      </c>
      <c r="M135">
        <v>0.1</v>
      </c>
      <c r="N135" s="2">
        <v>7.2048800000000002</v>
      </c>
      <c r="O135" s="2">
        <v>18.0122</v>
      </c>
    </row>
    <row r="136" spans="2:15">
      <c r="B136" t="s">
        <v>301</v>
      </c>
      <c r="C136" t="s">
        <v>28</v>
      </c>
      <c r="D136" t="s">
        <v>409</v>
      </c>
      <c r="E136" t="s">
        <v>410</v>
      </c>
      <c r="F136" t="s">
        <v>10</v>
      </c>
      <c r="G136" t="s">
        <v>409</v>
      </c>
      <c r="H136" t="s">
        <v>411</v>
      </c>
      <c r="I136" t="s">
        <v>24</v>
      </c>
      <c r="J136">
        <v>0</v>
      </c>
      <c r="K136">
        <v>1</v>
      </c>
      <c r="L136" s="2">
        <v>3.5000000000000001E-3</v>
      </c>
      <c r="M136">
        <v>2.5000000000000001E-2</v>
      </c>
      <c r="N136" s="2">
        <v>3.5000000000000001E-3</v>
      </c>
      <c r="O136" s="2">
        <v>2.5000000000000001E-2</v>
      </c>
    </row>
    <row r="137" spans="2:15">
      <c r="B137" t="s">
        <v>301</v>
      </c>
      <c r="C137" t="s">
        <v>28</v>
      </c>
      <c r="D137" t="s">
        <v>412</v>
      </c>
      <c r="E137" t="s">
        <v>413</v>
      </c>
      <c r="F137" t="s">
        <v>10</v>
      </c>
      <c r="G137" t="s">
        <v>412</v>
      </c>
      <c r="H137" t="s">
        <v>414</v>
      </c>
      <c r="I137" t="s">
        <v>24</v>
      </c>
      <c r="J137">
        <v>0</v>
      </c>
      <c r="K137">
        <v>1</v>
      </c>
      <c r="L137" s="2">
        <v>3.5000000000000001E-3</v>
      </c>
      <c r="M137">
        <v>2.5000000000000001E-2</v>
      </c>
      <c r="N137" s="2">
        <v>3.5000000000000001E-3</v>
      </c>
      <c r="O137" s="2">
        <v>2.5000000000000001E-2</v>
      </c>
    </row>
    <row r="138" spans="2:15">
      <c r="B138" t="s">
        <v>301</v>
      </c>
      <c r="C138" t="s">
        <v>28</v>
      </c>
      <c r="D138" t="s">
        <v>415</v>
      </c>
      <c r="E138" t="s">
        <v>416</v>
      </c>
      <c r="F138" t="s">
        <v>10</v>
      </c>
      <c r="G138" t="s">
        <v>415</v>
      </c>
      <c r="H138" t="s">
        <v>417</v>
      </c>
      <c r="I138" t="s">
        <v>24</v>
      </c>
      <c r="J138">
        <v>0</v>
      </c>
      <c r="K138">
        <v>1</v>
      </c>
      <c r="L138" s="2">
        <v>3.5000000000000001E-3</v>
      </c>
      <c r="M138">
        <v>2.5000000000000001E-2</v>
      </c>
      <c r="N138" s="2">
        <v>3.5000000000000001E-3</v>
      </c>
      <c r="O138" s="2">
        <v>2.5000000000000001E-2</v>
      </c>
    </row>
    <row r="139" spans="2:15">
      <c r="B139" t="s">
        <v>301</v>
      </c>
      <c r="C139" t="s">
        <v>28</v>
      </c>
      <c r="D139" t="s">
        <v>418</v>
      </c>
      <c r="E139" t="s">
        <v>419</v>
      </c>
      <c r="F139" t="s">
        <v>10</v>
      </c>
      <c r="G139" t="s">
        <v>418</v>
      </c>
      <c r="H139" t="s">
        <v>420</v>
      </c>
      <c r="I139" t="s">
        <v>24</v>
      </c>
      <c r="J139">
        <v>0</v>
      </c>
      <c r="K139">
        <v>1</v>
      </c>
      <c r="L139" s="2">
        <v>3.5000000000000001E-3</v>
      </c>
      <c r="M139">
        <v>2.5000000000000001E-2</v>
      </c>
      <c r="N139" s="2">
        <v>3.5000000000000001E-3</v>
      </c>
      <c r="O139" s="2">
        <v>2.5000000000000001E-2</v>
      </c>
    </row>
    <row r="140" spans="2:15">
      <c r="L140" s="2"/>
      <c r="N140" s="2"/>
      <c r="O140" s="2"/>
    </row>
    <row r="141" spans="2:15">
      <c r="L141" s="2"/>
      <c r="N141" s="2"/>
      <c r="O141" s="2"/>
    </row>
    <row r="142" spans="2:15">
      <c r="L142" s="2"/>
      <c r="N142" s="2"/>
      <c r="O142" s="2"/>
    </row>
    <row r="143" spans="2:15">
      <c r="L143" s="2"/>
      <c r="N143" s="2"/>
      <c r="O143" s="2"/>
    </row>
    <row r="144" spans="2:15">
      <c r="L144" s="2"/>
      <c r="N144" s="2"/>
      <c r="O144" s="2"/>
    </row>
    <row r="145" spans="12:15">
      <c r="L145" s="2"/>
      <c r="N145" s="2"/>
      <c r="O145" s="2"/>
    </row>
    <row r="146" spans="12:15">
      <c r="L146" s="2"/>
      <c r="N146" s="2"/>
      <c r="O146" s="2"/>
    </row>
    <row r="147" spans="12:15">
      <c r="L147" s="2"/>
      <c r="N147" s="2"/>
      <c r="O147" s="2"/>
    </row>
    <row r="148" spans="12:15">
      <c r="L148" s="2"/>
      <c r="N148" s="2"/>
      <c r="O148" s="2"/>
    </row>
    <row r="149" spans="12:15">
      <c r="L149" s="2"/>
      <c r="N149" s="2"/>
      <c r="O149" s="2"/>
    </row>
    <row r="150" spans="12:15">
      <c r="L150" s="2"/>
      <c r="N150" s="2"/>
      <c r="O150" s="2"/>
    </row>
    <row r="151" spans="12:15">
      <c r="L151" s="2"/>
      <c r="N151" s="2"/>
      <c r="O151" s="2"/>
    </row>
    <row r="152" spans="12:15">
      <c r="L152" s="2"/>
      <c r="N152" s="2"/>
      <c r="O152" s="2"/>
    </row>
    <row r="153" spans="12:15">
      <c r="L153" s="2"/>
      <c r="N153" s="2"/>
      <c r="O153" s="2"/>
    </row>
    <row r="154" spans="12:15">
      <c r="L154" s="2"/>
      <c r="N154" s="2"/>
      <c r="O154" s="2"/>
    </row>
    <row r="155" spans="12:15">
      <c r="L155" s="2"/>
      <c r="N155" s="2"/>
      <c r="O155" s="2"/>
    </row>
    <row r="156" spans="12:15">
      <c r="L156" s="2"/>
      <c r="N156" s="2"/>
      <c r="O156" s="2"/>
    </row>
    <row r="157" spans="12:15">
      <c r="L157" s="2"/>
      <c r="N157" s="2"/>
      <c r="O157" s="2"/>
    </row>
    <row r="158" spans="12:15">
      <c r="L158" s="2"/>
      <c r="N158" s="2"/>
      <c r="O158" s="2"/>
    </row>
    <row r="159" spans="12:15">
      <c r="L159" s="2"/>
      <c r="N159" s="2"/>
      <c r="O159" s="2"/>
    </row>
    <row r="160" spans="1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</sheetData>
  <autoFilter ref="A18:P1065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2020-02-06T17:27:29Z</dcterms:modified>
</cp:coreProperties>
</file>