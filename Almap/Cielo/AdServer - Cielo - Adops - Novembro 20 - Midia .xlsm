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6252BF8D-4BA1-4D2D-AF3E-CB85C6E711A2}" xr6:coauthVersionLast="45" xr6:coauthVersionMax="45" xr10:uidLastSave="{00000000-0000-0000-0000-000000000000}"/>
  <bookViews>
    <workbookView xWindow="-24120" yWindow="-1140" windowWidth="24240" windowHeight="13140" tabRatio="702" xr2:uid="{00000000-000D-0000-FFFF-FFFF00000000}"/>
  </bookViews>
  <sheets>
    <sheet name="Resumo" sheetId="8" r:id="rId1"/>
    <sheet name="Custo por Campanha" sheetId="18" r:id="rId2"/>
  </sheets>
  <definedNames>
    <definedName name="_xlnm._FilterDatabase" localSheetId="0" hidden="1">Resumo!$A$18:$P$1052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8" l="1"/>
  <c r="D8" i="8" l="1"/>
  <c r="E8" i="8" s="1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<sst xmlns="http://schemas.openxmlformats.org/spreadsheetml/2006/main" count="1888" uniqueCount="922">
  <si>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</si>
  <si>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</si>
  <si>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</si>
  <si>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</si>
  <si>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</si>
  <si>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</si>
  <si>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</si>
  <si>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</si>
  <si>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</si>
  <si>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</si>
  <si>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</si>
  <si>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</si>
  <si>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</si>
  <si>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</si>
  <si>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</si>
  <si>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</si>
  <si>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</si>
  <si>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</si>
  <si>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</si>
  <si>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</si>
  <si>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</si>
  <si>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</si>
  <si>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</si>
  <si>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</si>
  <si>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</si>
  <si>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</si>
  <si>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</si>
  <si>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</si>
  <si>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</si>
  <si>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</si>
  <si>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</si>
  <si>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Google Brasil</t>
  </si>
  <si>
    <t>Receita Almap</t>
  </si>
  <si>
    <t>In-Stream Video</t>
  </si>
  <si>
    <t>CNN BR</t>
  </si>
  <si>
    <t>afilio.com.br</t>
  </si>
  <si>
    <t>alp:aquisicao:varejo:awa</t>
  </si>
  <si>
    <t>300x250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</si>
  <si>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</si>
  <si>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</si>
  <si>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</si>
  <si>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</si>
  <si>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alp-cielo_movimenta_comunidade-marca-awa</t>
  </si>
  <si>
    <t>alp-pegn-marca-awa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</si>
  <si>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</si>
  <si>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</si>
  <si>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</si>
  <si>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</si>
  <si>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alp-superlink-marca-awa</t>
  </si>
  <si>
    <t>superlink-marca-verizon-superlink-display-medium_rectangle-sl_luta_diaria-AS25_microempreendedor_medioempreendedor_negocios_vendasonline_donosdenegocios</t>
  </si>
  <si>
    <t>275211564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</si>
  <si>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</si>
  <si>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</si>
  <si>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</si>
  <si>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marca-verizon-superlink-display-skyscraper-160x600-sl_luta_diaria-AS25_microempreendedor_medioempreendedor_negocios_vendasonline_donosdenegocios-cpm</t>
  </si>
  <si>
    <t>469372684</t>
  </si>
  <si>
    <t>superlink-marca-verizon-superlink-native-native-superlink-AS25_microempreendedor_medioempreendedor_negocios_vendasonline_donosdenegocios</t>
  </si>
  <si>
    <t>274736543</t>
  </si>
  <si>
    <t>marca-verizon-superlink-native-native-1200x627-superlink-AS25_microempreendedor_medioempreendedor_negocios_vendasonline_donosdenegocios-cpc</t>
  </si>
  <si>
    <t>469322328</t>
  </si>
  <si>
    <t>superlink-marca-verizon-superlink-native-native-superlink_coronavoucher-AS25_microempreendedor_medioempreendedor_negocios_vendasonline_donosdenegocios</t>
  </si>
  <si>
    <t>276183333</t>
  </si>
  <si>
    <t>marca-verizon-superlink-native-native-1200x627-superlink_coronavoucher-AS25_microempreendedor_medioempreendedor_negocios_vendasonline_donosdenegocios-cpc</t>
  </si>
  <si>
    <t>470337923</t>
  </si>
  <si>
    <t>Default In-stream Landscape Ad</t>
  </si>
  <si>
    <t>469441638</t>
  </si>
  <si>
    <t>superlink-marca-verizon-superlink-native-native-superlink_vendas-AS25_microempreendedor_medioempreendedor_negocios_vendasonline_donosdenegocios</t>
  </si>
  <si>
    <t>277693553</t>
  </si>
  <si>
    <t>marca-verizon-superlink-native-native-1200x627-superlink_vendas-AS25_microempreendedor_medioempreendedor_negocios_vendasonline_donosdenegocios-cpc</t>
  </si>
  <si>
    <t>472074485</t>
  </si>
  <si>
    <t>alp-superlink-marca-cons</t>
  </si>
  <si>
    <t>superlink-marca-verizon-superlink-display-medium_rectangle-luta_diaria-remarketing</t>
  </si>
  <si>
    <t>277001280</t>
  </si>
  <si>
    <t>marca-verizon-superlink-display-medium_rectangle-300x250-luta_diaria-remarketing-cpm</t>
  </si>
  <si>
    <t>471081239</t>
  </si>
  <si>
    <t>superlink-marca-verizon-superlink-native-native-superlink_vendas_loggi-AS25_microempreendedor_medioempreendedor_negocios_vendasonline_donosdenegocios</t>
  </si>
  <si>
    <t>277692728</t>
  </si>
  <si>
    <t>marca-verizon-superlink-native-native-1200x627-superlink_vendas_loggi-AS25_microempreendedor_medioempreendedor_negocios_vendasonline_donosdenegocios-cpc</t>
  </si>
  <si>
    <t>472074200</t>
  </si>
  <si>
    <t>alp-digitalizacao-marca-perf</t>
  </si>
  <si>
    <t>digitalizacao-marca-dv360-marca-display-medium_rectangle-visitas_site_estatico_atendimento_online-base_clientes_digitalizacao</t>
  </si>
  <si>
    <t>280868882</t>
  </si>
  <si>
    <t>digitalizacao-marca-dv360-marca-display-medium_rectangle-visitas_site_estatico_contratacao_produtos-base_clientes_digitalizacao</t>
  </si>
  <si>
    <t>280868879</t>
  </si>
  <si>
    <t>digitalizacao-marca-verizon-marca-display-billboard-visitas_site_animado-base_clientes_digitalizacao</t>
  </si>
  <si>
    <t>280868825</t>
  </si>
  <si>
    <t>digitalizacao-marca-verizon-marca-display-billboard-visitas_site_estatico-base_clientes_digitalizacao</t>
  </si>
  <si>
    <t>280746893</t>
  </si>
  <si>
    <t>digitalizacao-marca-verizon-marca-display-large_mobile_banner-visitas_site_animado-base_clientes_digitalizacao</t>
  </si>
  <si>
    <t>280868831</t>
  </si>
  <si>
    <t>digitalizacao-marca-verizon-marca-display-large_rectangle-visitas_site_animado-base_clientes_digitalizacao</t>
  </si>
  <si>
    <t>280868828</t>
  </si>
  <si>
    <t>digitalizacao-marca-verizon-marca-display-leaderboard-visitas_site_animado-base_clientes_digitalizacao</t>
  </si>
  <si>
    <t>280868942</t>
  </si>
  <si>
    <t>digitalizacao-marca-verizon-marca-display-medium_rectangle-visitas_site_animado-base_clientes_digitalizacao</t>
  </si>
  <si>
    <t>280868936</t>
  </si>
  <si>
    <t>digitalizacao-marca-verizon-marca-display-medium_rectangle-visitas_site_estatico_acesse_agora-base_clientes_digitalizacao</t>
  </si>
  <si>
    <t>280950718</t>
  </si>
  <si>
    <t>digitalizacao-marca-verizon-marca-display-medium_rectangle-visitas_site_estatico_confira-base_clientes_digitalizacao</t>
  </si>
  <si>
    <t>280746896</t>
  </si>
  <si>
    <t>digitalizacao-marca-verizon-marca-native-native-visitas_site_estatico-base_clientes_digitalizacao</t>
  </si>
  <si>
    <t>280746890</t>
  </si>
  <si>
    <t>marca-verizon-marca-native-native-1200x627-visitas_site_estatico-base_clientes_digitalizacao-cpm</t>
  </si>
  <si>
    <t>superlink-marca-dv360_Outbrain-superlink-native-native_rectangle-superlink_vendapelasredessociais-AS25_microempreendedor_medioempreendedor_negocios_vendasonline_donosdenegocios</t>
  </si>
  <si>
    <t>278995598</t>
  </si>
  <si>
    <t>marca-dv360_Outbrain-superlink-native-native_rectangle-1200x627-superlink_vendapelasredessociais-AS25_microempreendedor_medioempreendedor_negocios_vendasonline_donosdenegocios-cpc</t>
  </si>
  <si>
    <t>473258282</t>
  </si>
  <si>
    <t>728x90 Default Web Ad</t>
  </si>
  <si>
    <t>469372642</t>
  </si>
  <si>
    <t>alp-superlink-marca-perf</t>
  </si>
  <si>
    <t>Rakuten</t>
  </si>
  <si>
    <t>superlink-marca-rakuten-superlink-display-skyscraper-sl_vendapelainternet_loggi_boost-as25_empreendedor_varejo_interesses</t>
  </si>
  <si>
    <t>marca-rakuten-superlink-display-skyscraper-160x600-sl_vendapelainternet_loggi_boost-as25_empreendedor_varejo_interesses-cpm</t>
  </si>
  <si>
    <t>superlink-marca-rakuten-superlink-native-native-luta_diaria_loggi_boost_627x627-as25_empreendedor_varejo_interesses</t>
  </si>
  <si>
    <t>280922422</t>
  </si>
  <si>
    <t>marca-rakuten-superlink-native-native-627x627-luta_diaria_loggi_boost_627x627-as25_empreendedor_varejo_interesses-cpm</t>
  </si>
  <si>
    <t>474775067</t>
  </si>
  <si>
    <t>alp-aluguel_maquininha-marca-awa</t>
  </si>
  <si>
    <t>aluguel_maquininha-marca-dv360-marca-display-billboard-aluguel_maquininha_atendimento-base_clientes_serasa_varejo</t>
  </si>
  <si>
    <t>288906883</t>
  </si>
  <si>
    <t>marca-dv360-marca-display-billboard-970x250-aluguel_maquininha_atendimento-base_clientes_serasa_varejo-cpm</t>
  </si>
  <si>
    <t>482430420</t>
  </si>
  <si>
    <t>aluguel_maquininha-marca-dv360-marca-display-billboard-aluguel_maquininha_atendimento-base_elegível_clientes_cielo</t>
  </si>
  <si>
    <t>288906865</t>
  </si>
  <si>
    <t>marca-dv360-marca-display-billboard-970x250-aluguel_maquininha_atendimento-base_elegível_clientes_cielo-cpm</t>
  </si>
  <si>
    <t>482118188</t>
  </si>
  <si>
    <t>aluguel_maquininha-marca-dv360-marca-display-billboard-aluguel_maquininha_black_friday-base_clientes_serasa_varejo</t>
  </si>
  <si>
    <t>288104445</t>
  </si>
  <si>
    <t>marca-dv360-marca-display-billboard-970x250-aluguel_maquininha_black_friday-base_clientes_serasa_varejo-cpm</t>
  </si>
  <si>
    <t>481618525</t>
  </si>
  <si>
    <t>aluguel_maquininha-marca-dv360-marca-display-billboard-aluguel_maquininha_black_friday-base_elegível_clientes_cielo</t>
  </si>
  <si>
    <t>288221647</t>
  </si>
  <si>
    <t>marca-dv360-marca-display-billboard-970x250-aluguel_maquininha_black_friday-base_elegível_clientes_cielo-cpm</t>
  </si>
  <si>
    <t>481618486</t>
  </si>
  <si>
    <t>aluguel_maquininha-marca-dv360-marca-display-billboard-aluguel_maquininha_faturamento-base_clientes_serasa_varejo</t>
  </si>
  <si>
    <t>289381900</t>
  </si>
  <si>
    <t>marca-dv360-marca-display-billboard-970x250-aluguel_maquininha_faturamento-base_clientes_serasa_varejo-cpm</t>
  </si>
  <si>
    <t>482685031</t>
  </si>
  <si>
    <t>aluguel_maquininha-marca-dv360-marca-display-billboard-aluguel_maquininha_faturamento-base_elegível_clientes_cielo</t>
  </si>
  <si>
    <t>289381891</t>
  </si>
  <si>
    <t>marca-dv360-marca-display-billboard-970x250-aluguel_maquininha_faturamento-base_elegível_clientes_cielo-cpm</t>
  </si>
  <si>
    <t>482685022</t>
  </si>
  <si>
    <t>aluguel_maquininha-marca-dv360-marca-display-billboard-aluguel_maquininha_superlink-base_clientes_serasa_varejo</t>
  </si>
  <si>
    <t>289266207</t>
  </si>
  <si>
    <t>marca-dv360-marca-display-billboard-970x250-aluguel_maquininha_superlink-base_clientes_serasa_varejo-cpm</t>
  </si>
  <si>
    <t>482894283</t>
  </si>
  <si>
    <t>aluguel_maquininha-marca-dv360-marca-display-billboard-aluguel_maquininha_superlink-base_elegível_clientes_cielo</t>
  </si>
  <si>
    <t>289266198</t>
  </si>
  <si>
    <t>marca-dv360-marca-display-billboard-970x250-aluguel_maquininha_superlink-base_elegível_clientes_cielo-cpm</t>
  </si>
  <si>
    <t>482894274</t>
  </si>
  <si>
    <t>aluguel_maquininha-marca-dv360-marca-display-halpage-aluguel_maquininha_atendimento-base_elegível_clientes_cielo</t>
  </si>
  <si>
    <t>288906874</t>
  </si>
  <si>
    <t>marca-dv360-marca-display-halpage-300x600-aluguel_maquininha_atendimento-base_elegível_clientes_cielo-cpm</t>
  </si>
  <si>
    <t>482118197</t>
  </si>
  <si>
    <t>aluguel_maquininha-marca-dv360-marca-display-halpage-aluguel_maquininha_black_friday-base_clientes_serasa_varejo</t>
  </si>
  <si>
    <t>288104454</t>
  </si>
  <si>
    <t>marca-dv360-marca-display-halpage-300x600-aluguel_maquininha_black_friday-base_clientes_serasa_varejo-cpm</t>
  </si>
  <si>
    <t>481618516</t>
  </si>
  <si>
    <t>aluguel_maquininha-marca-dv360-marca-display-halpage-aluguel_maquininha_black_friday-base_elegível_clientes_cielo</t>
  </si>
  <si>
    <t>288221656</t>
  </si>
  <si>
    <t>marca-dv360-marca-display-halpage-300x600-aluguel_maquininha_black_friday-base_elegível_clientes_cielo-cpm</t>
  </si>
  <si>
    <t>481618477</t>
  </si>
  <si>
    <t>aluguel_maquininha-marca-dv360-marca-display-halpage-aluguel_maquininha_faturamento-base_clientes_serasa_varejo</t>
  </si>
  <si>
    <t>289381879</t>
  </si>
  <si>
    <t>marca-dv360-marca-display-halpage-300x600-aluguel_maquininha_faturamento-base_clientes_serasa_varejo-cpm</t>
  </si>
  <si>
    <t>482685010</t>
  </si>
  <si>
    <t>aluguel_maquininha-marca-dv360-marca-display-halpage-aluguel_maquininha_faturamento-base_elegível_clientes_cielo</t>
  </si>
  <si>
    <t>289381909</t>
  </si>
  <si>
    <t>marca-dv360-marca-display-halpage-300x600-aluguel_maquininha_faturamento-base_elegível_clientes_cielo-cpm</t>
  </si>
  <si>
    <t>482685040</t>
  </si>
  <si>
    <t>aluguel_maquininha-marca-dv360-marca-display-halpage-aluguel_maquininha_superlink-base_clientes_serasa_varejo</t>
  </si>
  <si>
    <t>289266186</t>
  </si>
  <si>
    <t>marca-dv360-marca-display-halpage-300x600-aluguel_maquininha_superlink-base_clientes_serasa_varejo-cpm</t>
  </si>
  <si>
    <t>482894262</t>
  </si>
  <si>
    <t>aluguel_maquininha-marca-dv360-marca-display-halpage-aluguel_maquininha_superlink-base_elegível_clientes_cielo</t>
  </si>
  <si>
    <t>289266216</t>
  </si>
  <si>
    <t>marca-dv360-marca-display-halpage-300x600-aluguel_maquininha_superlink-base_elegível_clientes_cielo-cpm</t>
  </si>
  <si>
    <t>482894292</t>
  </si>
  <si>
    <t>aluguel_maquininha-marca-dv360-marca-display-leaderboard-aluguel_maquininha_atendimento-base_elegível_clientes_cielo</t>
  </si>
  <si>
    <t>288906868</t>
  </si>
  <si>
    <t>marca-dv360-marca-display-leaderboard-728x90-aluguel_maquininha_atendimento-base_elegível_clientes_cielo-cpm</t>
  </si>
  <si>
    <t>482118191</t>
  </si>
  <si>
    <t>aluguel_maquininha-marca-dv360-marca-display-leaderboard-aluguel_maquininha_black_friday-base_clientes_serasa_varejo</t>
  </si>
  <si>
    <t>288104448</t>
  </si>
  <si>
    <t>marca-dv360-marca-display-leaderboard-728x90-aluguel_maquininha_black_friday-base_clientes_serasa_varejo-cpm</t>
  </si>
  <si>
    <t>481618522</t>
  </si>
  <si>
    <t>aluguel_maquininha-marca-dv360-marca-display-leaderboard-aluguel_maquininha_black_friday-base_elegível_clientes_cielo</t>
  </si>
  <si>
    <t>288221650</t>
  </si>
  <si>
    <t>marca-dv360-marca-display-leaderboard-728x90-aluguel_maquininha_black_friday-base_elegível_clientes_cielo-cpm</t>
  </si>
  <si>
    <t>481618483</t>
  </si>
  <si>
    <t>aluguel_maquininha-marca-dv360-marca-display-leaderboard-aluguel_maquininha_faturamento-base_clientes_serasa_varejo</t>
  </si>
  <si>
    <t>289381906</t>
  </si>
  <si>
    <t>marca-dv360-marca-display-leaderboard-728x90-aluguel_maquininha_faturamento-base_clientes_serasa_varejo-cpm</t>
  </si>
  <si>
    <t>482685037</t>
  </si>
  <si>
    <t>aluguel_maquininha-marca-dv360-marca-display-leaderboard-aluguel_maquininha_faturamento-base_elegível_clientes_cielo</t>
  </si>
  <si>
    <t>289381897</t>
  </si>
  <si>
    <t>marca-dv360-marca-display-leaderboard-728x90-aluguel_maquininha_faturamento-base_elegível_clientes_cielo-cpm</t>
  </si>
  <si>
    <t>482685028</t>
  </si>
  <si>
    <t>aluguel_maquininha-marca-dv360-marca-display-leaderboard-aluguel_maquininha_superlink-base_clientes_serasa_varejo</t>
  </si>
  <si>
    <t>289266213</t>
  </si>
  <si>
    <t>marca-dv360-marca-display-leaderboard-728x90-aluguel_maquininha_superlink-base_clientes_serasa_varejo-cpm</t>
  </si>
  <si>
    <t>482894289</t>
  </si>
  <si>
    <t>aluguel_maquininha-marca-dv360-marca-display-leaderboard-aluguel_maquininha_superlink-base_elegível_clientes_cielo</t>
  </si>
  <si>
    <t>289266204</t>
  </si>
  <si>
    <t>marca-dv360-marca-display-leaderboard-728x90-aluguel_maquininha_superlink-base_elegível_clientes_cielo-cpm</t>
  </si>
  <si>
    <t>482894280</t>
  </si>
  <si>
    <t>aluguel_maquininha-marca-dv360-marca-display-medium_rectangle-aluguel_maquininha_atendimento-base_elegível_clientes_cielo</t>
  </si>
  <si>
    <t>288906871</t>
  </si>
  <si>
    <t>marca-dv360-marca-display-medium_rectangle-300x250-aluguel_maquininha_atendimento-base_elegível_clientes_cielo-cpm</t>
  </si>
  <si>
    <t>482118194</t>
  </si>
  <si>
    <t>aluguel_maquininha-marca-dv360-marca-display-medium_rectangle-aluguel_maquininha_black_friday-base_clientes_serasa_varejo</t>
  </si>
  <si>
    <t>288104451</t>
  </si>
  <si>
    <t>marca-dv360-marca-display-medium_rectangle-300x250-aluguel_maquininha_black_friday-base_clientes_serasa_varejo-cpm</t>
  </si>
  <si>
    <t>481618519</t>
  </si>
  <si>
    <t>aluguel_maquininha-marca-dv360-marca-display-medium_rectangle-aluguel_maquininha_black_friday-base_elegível_clientes_cielo</t>
  </si>
  <si>
    <t>288221653</t>
  </si>
  <si>
    <t>marca-dv360-marca-display-medium_rectangle-300x250-aluguel_maquininha_black_friday-base_elegível_clientes_cielo-cpm</t>
  </si>
  <si>
    <t>481618480</t>
  </si>
  <si>
    <t>aluguel_maquininha-marca-dv360-marca-display-medium_rectangle-aluguel_maquininha_faturamento-base_clientes_serasa_varejo</t>
  </si>
  <si>
    <t>289381876</t>
  </si>
  <si>
    <t>marca-dv360-marca-display-medium_rectangle-300x250-aluguel_maquininha_faturamento-base_clientes_serasa_varejo-cpm</t>
  </si>
  <si>
    <t>482685007</t>
  </si>
  <si>
    <t>aluguel_maquininha-marca-dv360-marca-display-medium_rectangle-aluguel_maquininha_faturamento-base_elegível_clientes_cielo</t>
  </si>
  <si>
    <t>289381903</t>
  </si>
  <si>
    <t>marca-dv360-marca-display-medium_rectangle-300x250-aluguel_maquininha_faturamento-base_elegível_clientes_cielo-cpm</t>
  </si>
  <si>
    <t>482685034</t>
  </si>
  <si>
    <t>aluguel_maquininha-marca-dv360-marca-display-medium_rectangle-aluguel_maquininha_superlink-base_clientes_serasa_varejo</t>
  </si>
  <si>
    <t>289266183</t>
  </si>
  <si>
    <t>marca-dv360-marca-display-medium_rectangle-300x250-aluguel_maquininha_superlink-base_clientes_serasa_varejo-cpm</t>
  </si>
  <si>
    <t>482894259</t>
  </si>
  <si>
    <t>aluguel_maquininha-marca-dv360-marca-display-medium_rectangle-aluguel_maquininha_superlink-base_elegível_clientes_cielo</t>
  </si>
  <si>
    <t>289266210</t>
  </si>
  <si>
    <t>marca-dv360-marca-display-medium_rectangle-300x250-aluguel_maquininha_superlink-base_elegível_clientes_cielo-cpm</t>
  </si>
  <si>
    <t>482894286</t>
  </si>
  <si>
    <t>aluguel_maquininha-marca-dv360-marca-display-mobile-aluguel_maquininha_atendimento-base_clientes_serasa_varejo</t>
  </si>
  <si>
    <t>288906877</t>
  </si>
  <si>
    <t>marca-dv360-marca-display-mobile-320x50-aluguel_maquininha_atendimento-base_clientes_serasa_varejo-cpm</t>
  </si>
  <si>
    <t>482118200</t>
  </si>
  <si>
    <t>aluguel_maquininha-marca-dv360-marca-display-mobile-aluguel_maquininha_atendimento-base_elegível_clientes_cielo</t>
  </si>
  <si>
    <t>288806256</t>
  </si>
  <si>
    <t>marca-dv360-marca-display-mobile-320x50-aluguel_maquininha_atendimento-base_elegível_clientes_cielo-cpm</t>
  </si>
  <si>
    <t>482118182</t>
  </si>
  <si>
    <t>aluguel_maquininha-marca-dv360-marca-display-mobile-aluguel_maquininha_black_friday-base_clientes_serasa_varejo</t>
  </si>
  <si>
    <t>288104439</t>
  </si>
  <si>
    <t>320x50 Default Web Ad</t>
  </si>
  <si>
    <t>481526597</t>
  </si>
  <si>
    <t>marca-dv360-marca-display-mobile-320x50-aluguel_maquininha_black_friday-base_clientes_serasa_varejo-cpm</t>
  </si>
  <si>
    <t>481618531</t>
  </si>
  <si>
    <t>aluguel_maquininha-marca-dv360-marca-display-mobile-aluguel_maquininha_black_friday-base_elegível_clientes_cielo</t>
  </si>
  <si>
    <t>288221641</t>
  </si>
  <si>
    <t>marca-dv360-marca-display-mobile-320x50-aluguel_maquininha_black_friday-base_elegível_clientes_cielo-cpm</t>
  </si>
  <si>
    <t>481618492</t>
  </si>
  <si>
    <t>aluguel_maquininha-marca-dv360-marca-display-mobile-aluguel_maquininha_faturamento-base_clientes_serasa_varejo</t>
  </si>
  <si>
    <t>289381888</t>
  </si>
  <si>
    <t>marca-dv360-marca-display-mobile-320x50-aluguel_maquininha_faturamento-base_clientes_serasa_varejo-cpm</t>
  </si>
  <si>
    <t>482685019</t>
  </si>
  <si>
    <t>aluguel_maquininha-marca-dv360-marca-display-mobile-aluguel_maquininha_faturamento-base_elegível_clientes_cielo</t>
  </si>
  <si>
    <t>289381882</t>
  </si>
  <si>
    <t>marca-dv360-marca-display-mobile-320x50-aluguel_maquininha_faturamento-base_elegível_clientes_cielo-cpm</t>
  </si>
  <si>
    <t>482685013</t>
  </si>
  <si>
    <t>aluguel_maquininha-marca-dv360-marca-display-mobile-aluguel_maquininha_superlink-base_clientes_serasa_varejo</t>
  </si>
  <si>
    <t>289266195</t>
  </si>
  <si>
    <t>marca-dv360-marca-display-mobile-320x50-aluguel_maquininha_superlink-base_clientes_serasa_varejo-cpm</t>
  </si>
  <si>
    <t>482894271</t>
  </si>
  <si>
    <t>aluguel_maquininha-marca-dv360-marca-display-mobile-aluguel_maquininha_superlink-base_elegível_clientes_cielo</t>
  </si>
  <si>
    <t>289266189</t>
  </si>
  <si>
    <t>marca-dv360-marca-display-mobile-320x50-aluguel_maquininha_superlink-base_elegível_clientes_cielo-cpm</t>
  </si>
  <si>
    <t>482894265</t>
  </si>
  <si>
    <t>aluguel_maquininha-marca-dv360-marca-display-skyscraper-aluguel_maquininha_atendimento-base_clientes_serasa_varejo</t>
  </si>
  <si>
    <t>288906880</t>
  </si>
  <si>
    <t>marca-dv360-marca-display-skyscraper-160x600-aluguel_maquininha_atendimento-base_clientes_serasa_varejo-cpm</t>
  </si>
  <si>
    <t>482118203</t>
  </si>
  <si>
    <t>aluguel_maquininha-marca-dv360-marca-display-skyscraper-aluguel_maquininha_atendimento-base_elegível_clientes_cielo</t>
  </si>
  <si>
    <t>288906862</t>
  </si>
  <si>
    <t>marca-dv360-marca-display-skyscraper-160x600-aluguel_maquininha_atendimento-base_elegível_clientes_cielo-cpm</t>
  </si>
  <si>
    <t>482118185</t>
  </si>
  <si>
    <t>aluguel_maquininha-marca-dv360-marca-display-skyscraper-aluguel_maquininha_black_friday-base_clientes_serasa_varejo</t>
  </si>
  <si>
    <t>288104442</t>
  </si>
  <si>
    <t>marca-dv360-marca-display-skyscraper-160x600-aluguel_maquininha_black_friday-base_clientes_serasa_varejo-cpm</t>
  </si>
  <si>
    <t>481618528</t>
  </si>
  <si>
    <t>aluguel_maquininha-marca-dv360-marca-display-skyscraper-aluguel_maquininha_black_friday-base_elegível_clientes_cielo</t>
  </si>
  <si>
    <t>288221644</t>
  </si>
  <si>
    <t>marca-dv360-marca-display-skyscraper-160x600-aluguel_maquininha_black_friday-base_elegível_clientes_cielo-cpm</t>
  </si>
  <si>
    <t>481618489</t>
  </si>
  <si>
    <t>aluguel_maquininha-marca-dv360-marca-display-skyscraper-aluguel_maquininha_faturamento-base_clientes_serasa_varejo</t>
  </si>
  <si>
    <t>289381894</t>
  </si>
  <si>
    <t>marca-dv360-marca-display-skyscraper-160x600-aluguel_maquininha_faturamento-base_clientes_serasa_varejo-cpm</t>
  </si>
  <si>
    <t>482685025</t>
  </si>
  <si>
    <t>aluguel_maquininha-marca-dv360-marca-display-skyscraper-aluguel_maquininha_faturamento-base_elegível_clientes_cielo</t>
  </si>
  <si>
    <t>289381885</t>
  </si>
  <si>
    <t>marca-dv360-marca-display-skyscraper-160x600-aluguel_maquininha_faturamento-base_elegível_clientes_cielo-cpm</t>
  </si>
  <si>
    <t>482685016</t>
  </si>
  <si>
    <t>aluguel_maquininha-marca-dv360-marca-display-skyscraper-aluguel_maquininha_superlink-base_elegível_clientes_cielo</t>
  </si>
  <si>
    <t>289266192</t>
  </si>
  <si>
    <t>marca-dv360-marca-display-skyscraper-160x600-aluguel_maquininha_superlink-base_elegível_clientes_cielo-cpm</t>
  </si>
  <si>
    <t>482894268</t>
  </si>
  <si>
    <t>IstoÉ</t>
  </si>
  <si>
    <t>aluguel_maquininha-marca-istoe-marca-display-billboard-cielo_aluguel_2611-as_25_interesses_varejo</t>
  </si>
  <si>
    <t>288930188</t>
  </si>
  <si>
    <t>marca-istoe-marca-display-billboard-970x250-cielo_aluguel_2611-as_25_interesses_varejo-diaria</t>
  </si>
  <si>
    <t>482496172</t>
  </si>
  <si>
    <t>aluguel_maquininha-marca-verizon-marca-display-billboard-aluguel_maquininha_atendimento-base_clientes_serasa_varejo</t>
  </si>
  <si>
    <t>289257579</t>
  </si>
  <si>
    <t>marca-verizon-marca-display-billboard-970x250-aluguel_maquininha_atendimento-base_clientes_serasa_varejo-cpm</t>
  </si>
  <si>
    <t>482703463</t>
  </si>
  <si>
    <t>aluguel_maquininha-marca-verizon-marca-display-billboard-aluguel_maquininha_atendimento-base_elegível_clientes_cielo</t>
  </si>
  <si>
    <t>288906892</t>
  </si>
  <si>
    <t>marca-verizon-marca-display-billboard-970x250-aluguel_maquininha_atendimento-base_elegível_clientes_cielo-cpm</t>
  </si>
  <si>
    <t>482430429</t>
  </si>
  <si>
    <t>aluguel_maquininha-marca-verizon-marca-display-billboard-aluguel_maquininha_black_friday-base_clientes_serasa_varejo</t>
  </si>
  <si>
    <t>288104463</t>
  </si>
  <si>
    <t>marca-verizon-marca-display-billboard-970x250-aluguel_maquininha_black_friday-base_clientes_serasa_varejo-cpm</t>
  </si>
  <si>
    <t>481618507</t>
  </si>
  <si>
    <t>aluguel_maquininha-marca-verizon-marca-display-billboard-aluguel_maquininha_black_friday-base_elegível_clientes_cielo</t>
  </si>
  <si>
    <t>288221665</t>
  </si>
  <si>
    <t>marca-verizon-marca-display-billboard-970x250-aluguel_maquininha_black_friday-base_elegível_clientes_cielo-cpm</t>
  </si>
  <si>
    <t>481618468</t>
  </si>
  <si>
    <t>aluguel_maquininha-marca-verizon-marca-display-billboard-aluguel_maquininha_superlink-base_clientes_serasa_varejo</t>
  </si>
  <si>
    <t>289133333</t>
  </si>
  <si>
    <t>marca-verizon-marca-display-billboard-970x250-aluguel_maquininha_superlink-base_clientes_serasa_varejo-cpm</t>
  </si>
  <si>
    <t>482901729</t>
  </si>
  <si>
    <t>aluguel_maquininha-marca-verizon-marca-display-billboard-aluguel_maquininha_superlink-base_elegível_clientes_cielo</t>
  </si>
  <si>
    <t>289377184</t>
  </si>
  <si>
    <t>marca-verizon-marca-display-billboard-970x250-aluguel_maquininha_superlink-base_elegível_clientes_cielo-cpm</t>
  </si>
  <si>
    <t>482899026</t>
  </si>
  <si>
    <t>aluguel_maquininha-marca-verizon-marca-display-halpage-aluguel_maquininha_atendimento-base_clientes_serasa_varejo</t>
  </si>
  <si>
    <t>289123061</t>
  </si>
  <si>
    <t>marca-verizon-marca-display-halpage-300x600-aluguel_maquininha_atendimento-base_clientes_serasa_varejo-cpm</t>
  </si>
  <si>
    <t>482703472</t>
  </si>
  <si>
    <t>aluguel_maquininha-marca-verizon-marca-display-halpage-aluguel_maquininha_atendimento-base_elegível_clientes_cielo</t>
  </si>
  <si>
    <t>288906901</t>
  </si>
  <si>
    <t>marca-verizon-marca-display-halpage-300x600-aluguel_maquininha_atendimento-base_elegível_clientes_cielo-cpm</t>
  </si>
  <si>
    <t>482430438</t>
  </si>
  <si>
    <t>aluguel_maquininha-marca-verizon-marca-display-halpage-aluguel_maquininha_black_friday-base_clientes_serasa_varejo</t>
  </si>
  <si>
    <t>288221635</t>
  </si>
  <si>
    <t>marca-verizon-marca-display-halpage-300x600-aluguel_maquininha_black_friday-base_clientes_serasa_varejo-cpm</t>
  </si>
  <si>
    <t>481618498</t>
  </si>
  <si>
    <t>aluguel_maquininha-marca-verizon-marca-display-halpage-aluguel_maquininha_black_friday-base_elegível_clientes_cielo</t>
  </si>
  <si>
    <t>288221674</t>
  </si>
  <si>
    <t>marca-verizon-marca-display-halpage-300x600-aluguel_maquininha_black_friday-base_elegível_clientes_cielo-cpm</t>
  </si>
  <si>
    <t>481618459</t>
  </si>
  <si>
    <t>aluguel_maquininha-marca-verizon-marca-display-halpage-aluguel_maquininha_superlink-base_clientes_serasa_varejo</t>
  </si>
  <si>
    <t>289133342</t>
  </si>
  <si>
    <t>marca-verizon-marca-display-halpage-300x600-aluguel_maquininha_superlink-base_clientes_serasa_varejo-cpm</t>
  </si>
  <si>
    <t>482901738</t>
  </si>
  <si>
    <t>aluguel_maquininha-marca-verizon-marca-display-halpage-aluguel_maquininha_superlink-base_elegível_clientes_cielo</t>
  </si>
  <si>
    <t>289377193</t>
  </si>
  <si>
    <t>marca-verizon-marca-display-halpage-300x600-aluguel_maquininha_superlink-base_elegível_clientes_cielo-cpm</t>
  </si>
  <si>
    <t>482899035</t>
  </si>
  <si>
    <t>aluguel_maquininha-marca-verizon-marca-display-leaderboard-aluguel_maquininha_atendimento-base_clientes_serasa_varejo</t>
  </si>
  <si>
    <t>289257582</t>
  </si>
  <si>
    <t>marca-verizon-marca-display-leaderboard-728x90-aluguel_maquininha_atendimento-base_clientes_serasa_varejo-cpm</t>
  </si>
  <si>
    <t>482703466</t>
  </si>
  <si>
    <t>aluguel_maquininha-marca-verizon-marca-display-leaderboard-aluguel_maquininha_atendimento-base_elegível_clientes_cielo</t>
  </si>
  <si>
    <t>288906895</t>
  </si>
  <si>
    <t>marca-verizon-marca-display-leaderboard-728x90-aluguel_maquininha_atendimento-base_elegível_clientes_cielo-cpm</t>
  </si>
  <si>
    <t>482430432</t>
  </si>
  <si>
    <t>aluguel_maquininha-marca-verizon-marca-display-leaderboard-aluguel_maquininha_black_friday-base_clientes_serasa_varejo</t>
  </si>
  <si>
    <t>288104466</t>
  </si>
  <si>
    <t>481526975</t>
  </si>
  <si>
    <t>marca-verizon-marca-display-leaderboard-728x90-aluguel_maquininha_black_friday-base_clientes_serasa_varejo-cpm</t>
  </si>
  <si>
    <t>481618504</t>
  </si>
  <si>
    <t>aluguel_maquininha-marca-verizon-marca-display-leaderboard-aluguel_maquininha_black_friday-base_elegível_clientes_cielo</t>
  </si>
  <si>
    <t>288221668</t>
  </si>
  <si>
    <t>marca-verizon-marca-display-leaderboard-728x90-aluguel_maquininha_black_friday-base_elegível_clientes_cielo-cpm</t>
  </si>
  <si>
    <t>481618465</t>
  </si>
  <si>
    <t>aluguel_maquininha-marca-verizon-marca-display-leaderboard-aluguel_maquininha_superlink-base_clientes_serasa_varejo</t>
  </si>
  <si>
    <t>289133336</t>
  </si>
  <si>
    <t>marca-verizon-marca-display-leaderboard-728x90-aluguel_maquininha_superlink-base_clientes_serasa_varejo-cpm</t>
  </si>
  <si>
    <t>482901732</t>
  </si>
  <si>
    <t>aluguel_maquininha-marca-verizon-marca-display-leaderboard-aluguel_maquininha_superlink-base_elegível_clientes_cielo</t>
  </si>
  <si>
    <t>289377187</t>
  </si>
  <si>
    <t>marca-verizon-marca-display-leaderboard-728x90-aluguel_maquininha_superlink-base_elegível_clientes_cielo-cpm</t>
  </si>
  <si>
    <t>482899029</t>
  </si>
  <si>
    <t>aluguel_maquininha-marca-verizon-marca-display-medium_rectangle-aluguel_maquininha_atendimento-base_clientes_serasa_varejo</t>
  </si>
  <si>
    <t>289257585</t>
  </si>
  <si>
    <t>marca-verizon-marca-display-medium_rectangle-300x250-aluguel_maquininha_atendimento-base_clientes_serasa_varejo-cpm</t>
  </si>
  <si>
    <t>482703469</t>
  </si>
  <si>
    <t>aluguel_maquininha-marca-verizon-marca-display-medium_rectangle-aluguel_maquininha_atendimento-base_elegível_clientes_cielo</t>
  </si>
  <si>
    <t>288906898</t>
  </si>
  <si>
    <t>marca-verizon-marca-display-medium_rectangle-300x250-aluguel_maquininha_atendimento-base_elegível_clientes_cielo-cpm</t>
  </si>
  <si>
    <t>482430435</t>
  </si>
  <si>
    <t>aluguel_maquininha-marca-verizon-marca-display-medium_rectangle-aluguel_maquininha_black_friday-base_clientes_serasa_varejo</t>
  </si>
  <si>
    <t>288104469</t>
  </si>
  <si>
    <t>marca-verizon-marca-display-medium_rectangle-300x250-aluguel_maquininha_black_friday-base_clientes_serasa_varejo-cpm</t>
  </si>
  <si>
    <t>481618501</t>
  </si>
  <si>
    <t>aluguel_maquininha-marca-verizon-marca-display-medium_rectangle-aluguel_maquininha_black_friday-base_elegível_clientes_cielo</t>
  </si>
  <si>
    <t>288221671</t>
  </si>
  <si>
    <t>marca-verizon-marca-display-medium_rectangle-300x250-aluguel_maquininha_black_friday-base_elegível_clientes_cielo-cpm</t>
  </si>
  <si>
    <t>481618462</t>
  </si>
  <si>
    <t>aluguel_maquininha-marca-verizon-marca-display-medium_rectangle-aluguel_maquininha_superlink-base_clientes_serasa_varejo</t>
  </si>
  <si>
    <t>289133339</t>
  </si>
  <si>
    <t>marca-verizon-marca-display-medium_rectangle-300x250-aluguel_maquininha_superlink-base_clientes_serasa_varejo-cpm</t>
  </si>
  <si>
    <t>482901735</t>
  </si>
  <si>
    <t>aluguel_maquininha-marca-verizon-marca-display-medium_rectangle-aluguel_maquininha_superlink-base_elegível_clientes_cielo</t>
  </si>
  <si>
    <t>289377190</t>
  </si>
  <si>
    <t>marca-verizon-marca-display-medium_rectangle-300x250-aluguel_maquininha_superlink-base_elegível_clientes_cielo-cpm</t>
  </si>
  <si>
    <t>482899032</t>
  </si>
  <si>
    <t>aluguel_maquininha-marca-verizon-marca-display-mobile-aluguel_maquininha_atendimento-base_clientes_serasa_varejo</t>
  </si>
  <si>
    <t>289257573</t>
  </si>
  <si>
    <t>marca-verizon-marca-display-mobile-320x50-aluguel_maquininha_atendimento-base_clientes_serasa_varejo-cpm</t>
  </si>
  <si>
    <t>482703457</t>
  </si>
  <si>
    <t>aluguel_maquininha-marca-verizon-marca-display-mobile-aluguel_maquininha_atendimento-base_elegível_clientes_cielo</t>
  </si>
  <si>
    <t>288906886</t>
  </si>
  <si>
    <t>marca-verizon-marca-display-mobile-320x50-aluguel_maquininha_atendimento-base_elegível_clientes_cielo-cpm</t>
  </si>
  <si>
    <t>482430423</t>
  </si>
  <si>
    <t>aluguel_maquininha-marca-verizon-marca-display-mobile-aluguel_maquininha_black_friday-base_clientes_serasa_varejo</t>
  </si>
  <si>
    <t>288104457</t>
  </si>
  <si>
    <t>marca-verizon-marca-display-mobile-320x50-aluguel_maquininha_black_friday-base_clientes_serasa_varejo-cpm</t>
  </si>
  <si>
    <t>481618513</t>
  </si>
  <si>
    <t>aluguel_maquininha-marca-verizon-marca-display-mobile-aluguel_maquininha_black_friday-base_elegível_clientes_cielo</t>
  </si>
  <si>
    <t>288221659</t>
  </si>
  <si>
    <t>marca-verizon-marca-display-mobile-320x50-aluguel_maquininha_black_friday-base_elegível_clientes_cielo-cpm</t>
  </si>
  <si>
    <t>481618474</t>
  </si>
  <si>
    <t>aluguel_maquininha-marca-verizon-marca-display-mobile-aluguel_maquininha_superlink-base_clientes_serasa_varejo</t>
  </si>
  <si>
    <t>289133327</t>
  </si>
  <si>
    <t>marca-verizon-marca-display-mobile-320x50-aluguel_maquininha_superlink-base_clientes_serasa_varejo-cpm</t>
  </si>
  <si>
    <t>482901723</t>
  </si>
  <si>
    <t>aluguel_maquininha-marca-verizon-marca-display-mobile-aluguel_maquininha_superlink-base_elegível_clientes_cielo</t>
  </si>
  <si>
    <t>289377178</t>
  </si>
  <si>
    <t>marca-verizon-marca-display-mobile-320x50-aluguel_maquininha_superlink-base_elegível_clientes_cielo-cpm</t>
  </si>
  <si>
    <t>482899020</t>
  </si>
  <si>
    <t>aluguel_maquininha-marca-verizon-marca-display-skyscraper-aluguel_maquininha_atendimento-base_clientes_serasa_varejo</t>
  </si>
  <si>
    <t>289257576</t>
  </si>
  <si>
    <t>marca-verizon-marca-display-skyscraper-160x600-aluguel_maquininha_atendimento-base_clientes_serasa_varejo-cpm</t>
  </si>
  <si>
    <t>482703460</t>
  </si>
  <si>
    <t>aluguel_maquininha-marca-verizon-marca-display-skyscraper-aluguel_maquininha_atendimento-base_elegível_clientes_cielo</t>
  </si>
  <si>
    <t>288906889</t>
  </si>
  <si>
    <t>marca-verizon-marca-display-skyscraper-160x600-aluguel_maquininha_atendimento-base_elegível_clientes_cielo-cpm</t>
  </si>
  <si>
    <t>482430426</t>
  </si>
  <si>
    <t>aluguel_maquininha-marca-verizon-marca-display-skyscraper-aluguel_maquininha_black_friday-base_clientes_serasa_varejo</t>
  </si>
  <si>
    <t>288104460</t>
  </si>
  <si>
    <t>marca-verizon-marca-display-skyscraper-160x600-aluguel_maquininha_black_friday-base_clientes_serasa_varejo-cpm</t>
  </si>
  <si>
    <t>481618510</t>
  </si>
  <si>
    <t>aluguel_maquininha-marca-verizon-marca-display-skyscraper-aluguel_maquininha_black_friday-base_elegível_clientes_cielo</t>
  </si>
  <si>
    <t>288221662</t>
  </si>
  <si>
    <t>marca-verizon-marca-display-skyscraper-160x600-aluguel_maquininha_black_friday-base_elegível_clientes_cielo-cpm</t>
  </si>
  <si>
    <t>481618471</t>
  </si>
  <si>
    <t>aluguel_maquininha-marca-verizon-marca-display-skyscraper-aluguel_maquininha_superlink-base_clientes_serasa_varejo</t>
  </si>
  <si>
    <t>289133330</t>
  </si>
  <si>
    <t>marca-verizon-marca-display-skyscraper-160x600-aluguel_maquininha_superlink-base_clientes_serasa_varejo-cpm</t>
  </si>
  <si>
    <t>482901726</t>
  </si>
  <si>
    <t>aluguel_maquininha-marca-verizon-marca-display-skyscraper-aluguel_maquininha_superlink-base_elegível_clientes_cielo</t>
  </si>
  <si>
    <t>289377181</t>
  </si>
  <si>
    <t>marca-verizon-marca-display-skyscraper-160x600-aluguel_maquininha_superlink-base_elegível_clientes_cielo-cpm</t>
  </si>
  <si>
    <t>482899023</t>
  </si>
  <si>
    <t>aluguel_maquininha-marca-verizon-marca-native-native-aluguel_maquininha_atendimento-base_clientes_serasa_varejo</t>
  </si>
  <si>
    <t>288104436</t>
  </si>
  <si>
    <t>marca-verizon-marca-native-native-1200x628-aluguel_maquininha_atendimento-base_clientes_serasa_varejo-cpc</t>
  </si>
  <si>
    <t>481618534</t>
  </si>
  <si>
    <t>aluguel_maquininha-marca-verizon-marca-native-native-aluguel_maquininha_atendimento-base_elegível_clientes_cielo</t>
  </si>
  <si>
    <t>287719928</t>
  </si>
  <si>
    <t>marca-verizon-marca-native-native-1200x628-aluguel_maquininha_atendimento-base_elegível_clientes_cielo-cpc</t>
  </si>
  <si>
    <t>481334989</t>
  </si>
  <si>
    <t>aluguel_maquininha-marca-verizon-marca-native-native-aluguel_maquininha_black_friday-base_clientes_serasa_varejo</t>
  </si>
  <si>
    <t>288221638</t>
  </si>
  <si>
    <t>marca-verizon-marca-native-native-1200x627-aluguel_maquininha_black_friday-base_clientes_serasa_varejo-cpc</t>
  </si>
  <si>
    <t>481618495</t>
  </si>
  <si>
    <t>aluguel_maquininha-marca-verizon-marca-native-native-aluguel_maquininha_superlink-base_clientes_serasa_varejo</t>
  </si>
  <si>
    <t>288104433</t>
  </si>
  <si>
    <t>marca-verizon-marca-native-native-1200x628-aluguel_maquininha_superlink-base_clientes_serasa_varejo-cpc</t>
  </si>
  <si>
    <t>481618537</t>
  </si>
  <si>
    <t>aluguel_maquininha-marca-verizon-marca-native-native-aluguel_maquininha_superlink-base_elegível_clientes_cielo</t>
  </si>
  <si>
    <t>287945473</t>
  </si>
  <si>
    <t>marca-verizon-marca-native-native-1200x628-aluguel_maquininha_superlink-base_elegível_clientes_cielo-cpc</t>
  </si>
  <si>
    <t>481246940</t>
  </si>
  <si>
    <t>alp-aluguel_maquininha-marca-perf</t>
  </si>
  <si>
    <t>aluguel_maquininha-marca-verizon-marca-native-native-aluguel_maquininha_faturamento-base_clientes_serasa_varejo</t>
  </si>
  <si>
    <t>288216643</t>
  </si>
  <si>
    <t>marca-verizon-marca-native-native-1200x628-aluguel_maquininha_faturamento-base_clientes_serasa_varejo-cpc</t>
  </si>
  <si>
    <t>481780029</t>
  </si>
  <si>
    <t>aluguel_maquininha-marca-afilio-marca-display-halpage-aluguel_maquininha_black_friday-base_afiliados_potencial_cliente_varejo</t>
  </si>
  <si>
    <t>288216658</t>
  </si>
  <si>
    <t>marca-afilio-marca-display-halpage-300x600-aluguel_maquininha_black_friday-base_afiliados_potencial_cliente_varejo-cpa</t>
  </si>
  <si>
    <t>481780044</t>
  </si>
  <si>
    <t>aluguel_maquininha-marca-afilio-marca-display-medium_rectangle-aluguel_maquininha_faturamento-base_afiliados_potencial_cliente_varejo</t>
  </si>
  <si>
    <t>288216607</t>
  </si>
  <si>
    <t>marca-afilio-marca-display-medium_rectangle-300x250-aluguel_maquininha_faturamento-base_afiliados_potencial_cliente_varejo-cpm</t>
  </si>
  <si>
    <t>481779993</t>
  </si>
  <si>
    <t>alp-cielo_brf-marca-awa</t>
  </si>
  <si>
    <t>cielo_brf-marca-cnn-marca-display-arroba_banner-cielo_brf-as_25</t>
  </si>
  <si>
    <t>286470322</t>
  </si>
  <si>
    <t>marca-cnn-marca-display-arroba_banner-300x250-cielo_brf-as_25-cpm</t>
  </si>
  <si>
    <t>479935376</t>
  </si>
  <si>
    <t>cielo_brf-marca-cnn-marca-display-billboard-cielo_brf-as_25</t>
  </si>
  <si>
    <t>286382631</t>
  </si>
  <si>
    <t>marca-cnn-marca-display-billboard-970x250-cielo_brf-as_25-cpm</t>
  </si>
  <si>
    <t>479910521</t>
  </si>
  <si>
    <t>cielo_brf-marca-cnn-marca-display-halfpage-cielo_brf-as_25</t>
  </si>
  <si>
    <t>286382640</t>
  </si>
  <si>
    <t>marca-cnn-marca-display-halfpage-300x600-cielo_brf-as_25-cpm</t>
  </si>
  <si>
    <t>479910530</t>
  </si>
  <si>
    <t>cielo_brf-marca-cnn-marca-display-leaderboard-cielo_brf-as_25</t>
  </si>
  <si>
    <t>286382634</t>
  </si>
  <si>
    <t>marca-cnn-marca-display-leaderboard-728x90-cielo_brf-as_25-cpm</t>
  </si>
  <si>
    <t>479910524</t>
  </si>
  <si>
    <t>cielo_brf-marca-cnn-marca-display-mobile-cielo_brf-as_25</t>
  </si>
  <si>
    <t>286382637</t>
  </si>
  <si>
    <t>marca-cnn-marca-display-mobile-320x50-cielo_brf-as_25-cpm</t>
  </si>
  <si>
    <t>479910527</t>
  </si>
  <si>
    <t>alp-cielo_digi-marca-awa</t>
  </si>
  <si>
    <t>cielo_digi-marca-verizon-cielo_digi-display-Billboard-chegoucielodigi-as25_microempreendedor_medioempreendedor_negocios_vendasonline_donosdenegocios</t>
  </si>
  <si>
    <t>285434630</t>
  </si>
  <si>
    <t>marca-verizon-cielo_digi-display-Billboard-970x250-chegoucielodigi-as25_microempreendedor_medioempreendedor_negocios_vendasonline_donosdenegocios-cpm</t>
  </si>
  <si>
    <t>479183579</t>
  </si>
  <si>
    <t>cielo_digi-marca-verizon-cielo_digi-display-Halfpage-chegoucielodigi-as25_microempreendedor_medioempreendedor_negocios_vendasonline_donosdenegocios</t>
  </si>
  <si>
    <t>285434639</t>
  </si>
  <si>
    <t>marca-verizon-cielo_digi-display-Halfpage-300x600-chegoucielodigi-as25_microempreendedor_medioempreendedor_negocios_vendasonline_donosdenegocios-cpm</t>
  </si>
  <si>
    <t>479384124</t>
  </si>
  <si>
    <t>cielo_digi-marca-verizon-cielo_digi-display-Skyscraper-chegoucielodigi-as25_microempreendedor_medioempreendedor_negocios_vendasonline_donosdenegocios</t>
  </si>
  <si>
    <t>285398960</t>
  </si>
  <si>
    <t>marca-verizon-cielo_digi-display-Skyscraper-160x600-chegoucielodigi-as25_microempreendedor_medioempreendedor_negocios_vendasonline_donosdenegocios-cpm</t>
  </si>
  <si>
    <t>479270251</t>
  </si>
  <si>
    <t>cielo_digi-marca-verizon-cielo_digi-display-Super_Leaderboard-chegoucielodigi-as25_microempreendedor_medioempreendedor_negocios_vendasonline_donosdenegocios</t>
  </si>
  <si>
    <t>285434627</t>
  </si>
  <si>
    <t>marca-verizon-cielo_digi-display-Super_Leaderboard-970x90-chegoucielodigi-as25_microempreendedor_medioempreendedor_negocios_vendasonline_donosdenegocios-cpm</t>
  </si>
  <si>
    <t>479183576</t>
  </si>
  <si>
    <t>cielo_digi-marca-verizon-cielo_digi-display-Super_banner-chegoucielodigi-as25_microempreendedor_medioempreendedor_negocios_vendasonline_donosdenegocios</t>
  </si>
  <si>
    <t>285434633</t>
  </si>
  <si>
    <t>marca-verizon-cielo_digi-display-Super_banner-728x90-chegoucielodigi-as25_microempreendedor_medioempreendedor_negocios_vendasonline_donosdenegocios-cpm</t>
  </si>
  <si>
    <t>479183582</t>
  </si>
  <si>
    <t>cielo_digi-marca-verizon-cielo_digi-display-mobile_banner-chegoucielodigi-as25_microempreendedor_medioempreendedor_negocios_vendasonline_donosdenegocios</t>
  </si>
  <si>
    <t>285434636</t>
  </si>
  <si>
    <t>marca-verizon-cielo_digi-display-mobile_banner-320x50-chegoucielodigi-as25_microempreendedor_medioempreendedor_negocios_vendasonline_donosdenegocios-cpm</t>
  </si>
  <si>
    <t>479384121</t>
  </si>
  <si>
    <t>cielo_digi-marca-verizon-cielo_digi-display-retangulo_medio-chegoucielodigi-as25_microempreendedor_medioempreendedor_negocios_vendasonline_donosdenegocios</t>
  </si>
  <si>
    <t>285434642</t>
  </si>
  <si>
    <t>marca-verizon-cielo_digi-display-retangulo_medio-300x250-chegoucielodigi-as25_microempreendedor_medioempreendedor_negocios_vendasonline_donosdenegocios-cpm</t>
  </si>
  <si>
    <t>479384127</t>
  </si>
  <si>
    <t>cielo_digi-marca-verizon-cielo_digi-native-native_stream-chegoucielodigi-as25_microempreendedor_medioempreendedor_negocios_vendasonline_donosdenegocios</t>
  </si>
  <si>
    <t>285930779</t>
  </si>
  <si>
    <t>marca-verizon-cielo_digi-native-native_stream-1200x627-chegoucielodigi-as25_microempreendedor_medioempreendedor_negocios_vendasonline_donosdenegocios-cpc</t>
  </si>
  <si>
    <t>479844087</t>
  </si>
  <si>
    <t>cielo_digi-marca-verizon-cielo_digi-video-pre_roll-videohero_30-as25_microempreendedor_medioempreendedor_negocios_vendasonline_donosdenegocios</t>
  </si>
  <si>
    <t>285434621</t>
  </si>
  <si>
    <t>marca-verizon-cielo_digi-video-pre_roll-1080x1350-videohero_30-as25_microempreendedor_medioempreendedor_negocios_vendasonline_donosdenegocios-cpv</t>
  </si>
  <si>
    <t>479183570</t>
  </si>
  <si>
    <t>alp-cielo_digi-marca-cons</t>
  </si>
  <si>
    <t>cielo_digi-marca-dv360_Outbrain-cielo_digi-display-native_estatico-cielodigi_superlink-as25_microempreendedor_medioempreendedor_negocios_vendasonline_donosdenegocios</t>
  </si>
  <si>
    <t>285437984</t>
  </si>
  <si>
    <t>marca-dv360_Outbrain-cielo_digi-display-native_estatico-627x627-cielodigi_superlink-as25_microempreendedor_medioempreendedor_negocios_vendasonline_donosdenegocios-cpm</t>
  </si>
  <si>
    <t>479386851</t>
  </si>
  <si>
    <t>cielo_digi-marca-dv360_Outbrain-cielo_digi-display-native_highimpact-cielodigi_superlink-as25_microempreendedor_medioempreendedor_negocios_vendasonline_donosdenegocios</t>
  </si>
  <si>
    <t>286085031</t>
  </si>
  <si>
    <t>marca-dv360_Outbrain-cielo_digi-display-native_highimpact-1200x627-cielodigi_superlink-as25_microempreendedor_medioempreendedor_negocios_vendasonline_donosdenegocios-cpm</t>
  </si>
  <si>
    <t>479865459</t>
  </si>
  <si>
    <t>cielo_digi-marca-dv360_Seedtag-cielo_digi-video-pre_roll-videohero_30-as25_microempreendedor_medioempreendedor_negocios_vendasonline_donosdenegocios</t>
  </si>
  <si>
    <t>285431564</t>
  </si>
  <si>
    <t>marca-dv360_Seedtag-cielo_digi-video-pre_roll-1080x1350-videohero_30-as25_microempreendedor_medioempreendedor_negocios_vendasonline_donosdenegocios-cpm</t>
  </si>
  <si>
    <t>479172233</t>
  </si>
  <si>
    <t>cielo_digi-marca-dv360_Smartclip-cielo_digi-video-pre_roll-videohero_30-as25_microempreendedor_medioempreendedor_negocios_vendasonline_donosdenegocios</t>
  </si>
  <si>
    <t>285431555</t>
  </si>
  <si>
    <t>marca-dv360_Smartclip-cielo_digi-video-pre_roll-1080x1350-videohero_30-as25_microempreendedor_medioempreendedor_negocios_vendasonline_donosdenegocios-cpv</t>
  </si>
  <si>
    <t>479172242</t>
  </si>
  <si>
    <t>cielo_digi-marca-dv360_adsmovil-cielo_digi-video-pre_roll-videohero_30-as25_microempreendedor_medioempreendedor_negocios_vendasonline_donosdenegocios</t>
  </si>
  <si>
    <t>285431567</t>
  </si>
  <si>
    <t>marca-dv360_adsmovil-cielo_digi-video-pre_roll-1080x1350-videohero_30-as25_microempreendedor_medioempreendedor_negocios_vendasonline_donosdenegocios-cpm</t>
  </si>
  <si>
    <t>479172230</t>
  </si>
  <si>
    <t>cielo_digi-marca-dv360_globo-cielo_digi-display-native_ads-cielodigi_superlink-as25_microempreendedor_medioempreendedor_negocios_vendasonline_donosdenegocios</t>
  </si>
  <si>
    <t>286085028</t>
  </si>
  <si>
    <t>marca-dv360_globo-cielo_digi-display-native_ads-1200x627-cielodigi_superlink-as25_microempreendedor_medioempreendedor_negocios_vendasonline_donosdenegocios-cpm</t>
  </si>
  <si>
    <t>479865456</t>
  </si>
  <si>
    <t>cielo_digi-marca-dv360_psafe-cielo_digi-video-pre_roll-videohero_30-as25_microempreendedor_medioempreendedor_negocios_vendasonline_donosdenegocios</t>
  </si>
  <si>
    <t>285431561</t>
  </si>
  <si>
    <t>marca-dv360_psafe-cielo_digi-video-pre_roll-1080x1350-videohero_30-as25_microempreendedor_medioempreendedor_negocios_vendasonline_donosdenegocios-cpm</t>
  </si>
  <si>
    <t>479172236</t>
  </si>
  <si>
    <t>cielo_digi-marca-verizon-cielo_digi-display-Billboard-cielodigi_superlink-retargeting</t>
  </si>
  <si>
    <t>288792221</t>
  </si>
  <si>
    <t>marca-verizon-cielo_digi-display-Billboard-970x250-cielodigi_superlink-retargeting-cpm</t>
  </si>
  <si>
    <t>482372767</t>
  </si>
  <si>
    <t>cielo_digi-marca-verizon-cielo_digi-display-Halfpage-cielodigi_superlink-retargeting</t>
  </si>
  <si>
    <t>288792227</t>
  </si>
  <si>
    <t>marca-verizon-cielo_digi-display-Halfpage-300x600-cielodigi_superlink-retargeting-cpm</t>
  </si>
  <si>
    <t>482372773</t>
  </si>
  <si>
    <t>cielo_digi-marca-verizon-cielo_digi-display-Maxiboard-cielodigi_superlink-retargeting</t>
  </si>
  <si>
    <t>288792215</t>
  </si>
  <si>
    <t>marca-verizon-cielo_digi-display-Maxiboard-970x150-cielodigi_superlink-retargeting-cpm</t>
  </si>
  <si>
    <t>482372761</t>
  </si>
  <si>
    <t>cielo_digi-marca-verizon-cielo_digi-display-Skyscraper-cielodigi_superlink-retargeting</t>
  </si>
  <si>
    <t>288964566</t>
  </si>
  <si>
    <t>marca-verizon-cielo_digi-display-Skyscraper-160x600-cielodigi_superlink-retargeting-cpm</t>
  </si>
  <si>
    <t>482290202</t>
  </si>
  <si>
    <t>cielo_digi-marca-verizon-cielo_digi-display-Super_Leaderboard-cielodigi_superlink-retargeting</t>
  </si>
  <si>
    <t>288792218</t>
  </si>
  <si>
    <t>marca-verizon-cielo_digi-display-Super_Leaderboard-970x90-cielodigi_superlink-retargeting-cpm</t>
  </si>
  <si>
    <t>482372764</t>
  </si>
  <si>
    <t>cielo_digi-marca-verizon-cielo_digi-display-mobile_banner-cielodigi_superlink-retargeting</t>
  </si>
  <si>
    <t>288792224</t>
  </si>
  <si>
    <t>482362738</t>
  </si>
  <si>
    <t>marca-verizon-cielo_digi-display-mobile_banner-320x50-cielodigi_superlink-retargeting-cpm</t>
  </si>
  <si>
    <t>482372770</t>
  </si>
  <si>
    <t>cielo_digi-marca-verizon-cielo_digi-display-retangulo_medio-cielodigi_superlink-retargeting</t>
  </si>
  <si>
    <t>288792230</t>
  </si>
  <si>
    <t>marca-verizon-cielo_digi-display-retangulo_medio-300x250-cielodigi_superlink-retargeting-cpm</t>
  </si>
  <si>
    <t>482372776</t>
  </si>
  <si>
    <t>cielo_digi-marca-verizon-cielo_digi-native-native_stream-cielodigi_superlink-as25_microempreendedor_medioempreendedor_negocios_vendasonline_donosdenegocios</t>
  </si>
  <si>
    <t>286039116</t>
  </si>
  <si>
    <t>marca-verizon-cielo_digi-native-native_stream-1200x627-cielodigi_superlink-as25_microempreendedor_medioempreendedor_negocios_vendasonline_donosdenegocios-cpc</t>
  </si>
  <si>
    <t>479728888</t>
  </si>
  <si>
    <t>cielo_digi-marca-verizon-cielo_digi-video-pre_roll-videohero_30-retargeting</t>
  </si>
  <si>
    <t>286039311</t>
  </si>
  <si>
    <t>marca-verizon-cielo_digi-video-pre_roll-1080x1350-videohero_30-retargeting-cpv</t>
  </si>
  <si>
    <t>479728849</t>
  </si>
  <si>
    <t>cielo_movimenta_comunidade-marca-verizon-marca-native-big_native-cielo_movimenta_comunidade_olx_cadastro-as_25_interesses_varejo</t>
  </si>
  <si>
    <t>272850311</t>
  </si>
  <si>
    <t>marca-verizon-marca-native-big_native-1200x627-cielo_movimenta_comunidade_olx_cadastro-as_25_interesses_varejo-cpm</t>
  </si>
  <si>
    <t>467545912</t>
  </si>
  <si>
    <t>alp-cnn-marca-awa</t>
  </si>
  <si>
    <t>cnn-marca-cnn-marca-display-arroba_banner-blackfriday_diaria2110-as_25</t>
  </si>
  <si>
    <t>284899986</t>
  </si>
  <si>
    <t>marca-cnn-marca-display-arroba_banner-300x250-blackfriday_diaria2110-as_25-cpm</t>
  </si>
  <si>
    <t>479076524</t>
  </si>
  <si>
    <t>cnn-marca-cnn-marca-display-arroba_banner-cielo-brf_promodinheiroquevolta_diaria0411-as_25</t>
  </si>
  <si>
    <t>286571249</t>
  </si>
  <si>
    <t>marca-cnn-marca-display-arroba_banner-300x250-cielo-brf_promodinheiroquevolta_diaria0411-as_25-cpm</t>
  </si>
  <si>
    <t>480230270</t>
  </si>
  <si>
    <t>cnn-marca-cnn-marca-display-arroba_banner-cielo-brf_promodinheiroquevolta_diaria2711-as_25</t>
  </si>
  <si>
    <t>289017422</t>
  </si>
  <si>
    <t>marca-cnn-marca-display-arroba_banner-300x250-cielo-brf_promodinheiroquevolta_diaria2711-as_25-cpm</t>
  </si>
  <si>
    <t>482578702</t>
  </si>
  <si>
    <t>cnn-marca-cnn-marca-display-arroba_banner-cielo_alugel_bf-as_25</t>
  </si>
  <si>
    <t>288939146</t>
  </si>
  <si>
    <t>marca-cnn-marca-display-arroba_banner-300x250-cielo_alugel_bf-as_25-cpm</t>
  </si>
  <si>
    <t>482411513</t>
  </si>
  <si>
    <t>cnn-marca-cnn-marca-display-arroba_banner-cielo_bf_institucional-as_25</t>
  </si>
  <si>
    <t>286928756</t>
  </si>
  <si>
    <t>marca-cnn-marca-display-arroba_banner-300x250-cielo_bf_institucional-as_25-cpm</t>
  </si>
  <si>
    <t>480661897</t>
  </si>
  <si>
    <t>cnn-marca-cnn-marca-display-arroba_banner-cielo_bf_produtos-as_25</t>
  </si>
  <si>
    <t>286928735</t>
  </si>
  <si>
    <t>marca-cnn-marca-display-arroba_banner-300x250-cielo_bf_produtos-as_25-cpm</t>
  </si>
  <si>
    <t>480661876</t>
  </si>
  <si>
    <t>cnn-marca-cnn-marca-display-arroba_banner-cielo_digi-as_25</t>
  </si>
  <si>
    <t>284898789</t>
  </si>
  <si>
    <t>marca-cnn-marca-display-arroba_banner-300x250-cielo_digi-as_25-cpm</t>
  </si>
  <si>
    <t>478765323</t>
  </si>
  <si>
    <t>cnn-marca-cnn-marca-display-arroba_banner-cielo_digi_superlink-as_25</t>
  </si>
  <si>
    <t>289241795</t>
  </si>
  <si>
    <t>marca-cnn-marca-display-arroba_banner-300x250-cielo_digi_superlink-as_25-cpm</t>
  </si>
  <si>
    <t>482712719</t>
  </si>
  <si>
    <t>cnn-marca-cnn-marca-display-arroba_banner-cielo_sebrae-as_25</t>
  </si>
  <si>
    <t>286523401</t>
  </si>
  <si>
    <t>marca-cnn-marca-display-arroba_banner-300x250-cielo_sebrae-as_25-cpm</t>
  </si>
  <si>
    <t>480065902</t>
  </si>
  <si>
    <t>cnn-marca-cnn-marca-display-bilboard-cielo_digi-as_25</t>
  </si>
  <si>
    <t>284738906</t>
  </si>
  <si>
    <t>marca-cnn-marca-display-bilboard-970x250-cielo_digi-as_25-cpm</t>
  </si>
  <si>
    <t>478633771</t>
  </si>
  <si>
    <t>cnn-marca-cnn-marca-display-bilboard-cielo_digi_superlink-as_25</t>
  </si>
  <si>
    <t>289241786</t>
  </si>
  <si>
    <t>marca-cnn-marca-display-bilboard-970x250-cielo_digi_superlink-as_25-cpm</t>
  </si>
  <si>
    <t>482712710</t>
  </si>
  <si>
    <t>cnn-marca-cnn-marca-display-billboard-cielo-brf_promodinheiroquevolta_diaria0411-as_25</t>
  </si>
  <si>
    <t>286571240</t>
  </si>
  <si>
    <t>970x250 Default Web Ad</t>
  </si>
  <si>
    <t>478762434</t>
  </si>
  <si>
    <t>marca-cnn-marca-display-billboard-970x250-cielo-brf_promodinheiroquevolta_diaria0411-as_25-cpm</t>
  </si>
  <si>
    <t>480230261</t>
  </si>
  <si>
    <t>cnn-marca-cnn-marca-display-billboard-cielo-brf_promodinheiroquevolta_diaria2711-as_25</t>
  </si>
  <si>
    <t>289017413</t>
  </si>
  <si>
    <t>marca-cnn-marca-display-billboard-970x250-cielo-brf_promodinheiroquevolta_diaria2711-as_25-cpm</t>
  </si>
  <si>
    <t>482578693</t>
  </si>
  <si>
    <t>cnn-marca-cnn-marca-display-billboard-cielo_alugel_bf-as_25</t>
  </si>
  <si>
    <t>288939134</t>
  </si>
  <si>
    <t>marca-cnn-marca-display-billboard-970x250-cielo_alugel_bf-as_25-cpm</t>
  </si>
  <si>
    <t>482411501</t>
  </si>
  <si>
    <t>cnn-marca-cnn-marca-display-billboard-cielo_bf_institucional-as_25</t>
  </si>
  <si>
    <t>286928738</t>
  </si>
  <si>
    <t>marca-cnn-marca-display-billboard-970x250-cielo_bf_institucional-as_25-cpm</t>
  </si>
  <si>
    <t>480661879</t>
  </si>
  <si>
    <t>cnn-marca-cnn-marca-display-billboard-cielo_bf_produtos-as_25</t>
  </si>
  <si>
    <t>286928747</t>
  </si>
  <si>
    <t>marca-cnn-marca-display-billboard-970x250-cielo_bf_produtos-as_25-cpm</t>
  </si>
  <si>
    <t>480661888</t>
  </si>
  <si>
    <t>cnn-marca-cnn-marca-display-billboard-cielo_sebrae-as_25</t>
  </si>
  <si>
    <t>286523389</t>
  </si>
  <si>
    <t>marca-cnn-marca-display-billboard-970x250-cielo_sebrae-as_25-cpm</t>
  </si>
  <si>
    <t>480065890</t>
  </si>
  <si>
    <t>cnn-marca-cnn-marca-display-halfpage-cielo_alugel_bf-as_25</t>
  </si>
  <si>
    <t>288939143</t>
  </si>
  <si>
    <t>marca-cnn-marca-display-halfpage-300x600-cielo_alugel_bf-as_25-cpm</t>
  </si>
  <si>
    <t>482411510</t>
  </si>
  <si>
    <t>cnn-marca-cnn-marca-display-halfpage-cielo_bf_institucional-as_25</t>
  </si>
  <si>
    <t>286928750</t>
  </si>
  <si>
    <t>marca-cnn-marca-display-halfpage-300x600-cielo_bf_institucional-as_25-cpm</t>
  </si>
  <si>
    <t>480661891</t>
  </si>
  <si>
    <t>cnn-marca-cnn-marca-display-halfpage-cielo_bf_produtos-as_25</t>
  </si>
  <si>
    <t>286928732</t>
  </si>
  <si>
    <t>marca-cnn-marca-display-halfpage-300x600-cielo_bf_produtos-as_25-cpm</t>
  </si>
  <si>
    <t>480661873</t>
  </si>
  <si>
    <t>cnn-marca-cnn-marca-display-halfpage-cielo_digi-as_25</t>
  </si>
  <si>
    <t>284899995</t>
  </si>
  <si>
    <t>marca-cnn-marca-display-halfpage-300x600-cielo_digi-as_25-cpm</t>
  </si>
  <si>
    <t>478628644</t>
  </si>
  <si>
    <t>cnn-marca-cnn-marca-display-halfpage-cielo_sebrae-as_25</t>
  </si>
  <si>
    <t>286523398</t>
  </si>
  <si>
    <t>marca-cnn-marca-display-halfpage-300x600-cielo_sebrae-as_25-cpm</t>
  </si>
  <si>
    <t>480065899</t>
  </si>
  <si>
    <t>cnn-marca-cnn-marca-display-leaderboard-cielo-brf_promodinheiroquevolta_diaria0411-as_25</t>
  </si>
  <si>
    <t>286571246</t>
  </si>
  <si>
    <t>marca-cnn-marca-display-leaderboard-728x90-cielo-brf_promodinheiroquevolta_diaria0411-as_25-cpm</t>
  </si>
  <si>
    <t>480230267</t>
  </si>
  <si>
    <t>cnn-marca-cnn-marca-display-leaderboard-cielo-brf_promodinheiroquevolta_diaria2711-as_25</t>
  </si>
  <si>
    <t>289017416</t>
  </si>
  <si>
    <t>marca-cnn-marca-display-leaderboard-728x90-cielo-brf_promodinheiroquevolta_diaria2711-as_25-cpm</t>
  </si>
  <si>
    <t>482578696</t>
  </si>
  <si>
    <t>cnn-marca-cnn-marca-display-leaderboard-cielo_alugel_bf-as_25</t>
  </si>
  <si>
    <t>288939137</t>
  </si>
  <si>
    <t>marca-cnn-marca-display-leaderboard-728x90-cielo_alugel_bf-as_25-cpm</t>
  </si>
  <si>
    <t>482411504</t>
  </si>
  <si>
    <t>cnn-marca-cnn-marca-display-leaderboard-cielo_bf_institucional-as_25</t>
  </si>
  <si>
    <t>286928741</t>
  </si>
  <si>
    <t>marca-cnn-marca-display-leaderboard-728x90-cielo_bf_institucional-as_25-cpm</t>
  </si>
  <si>
    <t>480661882</t>
  </si>
  <si>
    <t>cnn-marca-cnn-marca-display-leaderboard-cielo_bf_produtos-as_25</t>
  </si>
  <si>
    <t>286928753</t>
  </si>
  <si>
    <t>marca-cnn-marca-display-leaderboard-728x90-cielo_bf_produtos-as_25-cpm</t>
  </si>
  <si>
    <t>480661894</t>
  </si>
  <si>
    <t>cnn-marca-cnn-marca-display-leaderboard-cielo_digi-as_25</t>
  </si>
  <si>
    <t>284899989</t>
  </si>
  <si>
    <t>marca-cnn-marca-display-leaderboard-728x90-cielo_digi-as_25-cpm</t>
  </si>
  <si>
    <t>478628638</t>
  </si>
  <si>
    <t>cnn-marca-cnn-marca-display-leaderboard-cielo_sebrae-as_25</t>
  </si>
  <si>
    <t>286523392</t>
  </si>
  <si>
    <t>marca-cnn-marca-display-leaderboard-728x90-cielo_sebrae-as_25-cpm</t>
  </si>
  <si>
    <t>480065893</t>
  </si>
  <si>
    <t>cnn-marca-cnn-marca-display-mobile-cielo-brf_promodinheiroquevolta_diaria0411-as_25</t>
  </si>
  <si>
    <t>286571243</t>
  </si>
  <si>
    <t>478525217</t>
  </si>
  <si>
    <t>marca-cnn-marca-display-mobile-320x50-cielo-brf_promodinheiroquevolta_diaria0411-as_25-cpm</t>
  </si>
  <si>
    <t>480230264</t>
  </si>
  <si>
    <t>cnn-marca-cnn-marca-display-mobile-cielo-brf_promodinheiroquevolta_diaria2711-as_25</t>
  </si>
  <si>
    <t>289017419</t>
  </si>
  <si>
    <t>marca-cnn-marca-display-mobile-320x50-cielo-brf_promodinheiroquevolta_diaria2711-as_25-cpm</t>
  </si>
  <si>
    <t>482578699</t>
  </si>
  <si>
    <t>cnn-marca-cnn-marca-display-mobile-cielo_alugel_bf-as_25</t>
  </si>
  <si>
    <t>288939140</t>
  </si>
  <si>
    <t>marca-cnn-marca-display-mobile-320x50-cielo_alugel_bf-as_25-cpm</t>
  </si>
  <si>
    <t>482411507</t>
  </si>
  <si>
    <t>cnn-marca-cnn-marca-display-mobile-cielo_bf_institucional-as_25</t>
  </si>
  <si>
    <t>286928744</t>
  </si>
  <si>
    <t>marca-cnn-marca-display-mobile-320x50-cielo_bf_institucional-as_25-cpm</t>
  </si>
  <si>
    <t>480661885</t>
  </si>
  <si>
    <t>cnn-marca-cnn-marca-display-mobile-cielo_bf_produtos-as_25</t>
  </si>
  <si>
    <t>286928729</t>
  </si>
  <si>
    <t>marca-cnn-marca-display-mobile-320x50-cielo_bf_produtos-as_25-cpm</t>
  </si>
  <si>
    <t>480661870</t>
  </si>
  <si>
    <t>cnn-marca-cnn-marca-display-mobile-cielo_digi-as_25</t>
  </si>
  <si>
    <t>284899992</t>
  </si>
  <si>
    <t>marca-cnn-marca-display-mobile-320x50-cielo_digi-as_25-cpm</t>
  </si>
  <si>
    <t>478628641</t>
  </si>
  <si>
    <t>cnn-marca-cnn-marca-display-mobile-cielo_digi_superlink-as_25</t>
  </si>
  <si>
    <t>289241789</t>
  </si>
  <si>
    <t>marca-cnn-marca-display-mobile-320x50-cielo_digi_superlink-as_25-cpm</t>
  </si>
  <si>
    <t>482712713</t>
  </si>
  <si>
    <t>cnn-marca-cnn-marca-display-mobile-cielo_sebrae-as_25</t>
  </si>
  <si>
    <t>286523395</t>
  </si>
  <si>
    <t>marca-cnn-marca-display-mobile-320x50-cielo_sebrae-as_25-cpm</t>
  </si>
  <si>
    <t>480065896</t>
  </si>
  <si>
    <t>alp-covid19-marca-awa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</si>
  <si>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</si>
  <si>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</si>
  <si>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</si>
  <si>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</si>
  <si>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digitalizacao-marca-dv360-marca-display-display-app_instal_estatico_ios-base_clientes_digitalizacao</t>
  </si>
  <si>
    <t>280868915</t>
  </si>
  <si>
    <t>475015882</t>
  </si>
  <si>
    <t>280868921</t>
  </si>
  <si>
    <t>474794216</t>
  </si>
  <si>
    <t>280868927</t>
  </si>
  <si>
    <t>320x480 Default Web Ad</t>
  </si>
  <si>
    <t>475082622</t>
  </si>
  <si>
    <t>digitalizacao-marca-dv360-marca-video-video-visitas_site_ganhar_tempo_video15-base_clientes_digitalizacao</t>
  </si>
  <si>
    <t>281241237</t>
  </si>
  <si>
    <t>475100267</t>
  </si>
  <si>
    <t>digitalizacao-marca-dv360-marca-video-video-visitas_site_promocoes_maquina_video15-base_clientes_digitalizacao</t>
  </si>
  <si>
    <t>281241234</t>
  </si>
  <si>
    <t>474795959</t>
  </si>
  <si>
    <t>320x100 Default Web Ad</t>
  </si>
  <si>
    <t>475016728</t>
  </si>
  <si>
    <t>336x280 Default Web Ad</t>
  </si>
  <si>
    <t>475081092</t>
  </si>
  <si>
    <t>475082625</t>
  </si>
  <si>
    <t>474953118</t>
  </si>
  <si>
    <t>pegn-marca-globo-marca-display-billboard-cielo_sebraebf-as_25_interesses</t>
  </si>
  <si>
    <t>286964040</t>
  </si>
  <si>
    <t>480483188</t>
  </si>
  <si>
    <t>pegn-marca-globo-marca-display-carrossel-cielo_aluguel_bf-as_25_interesses</t>
  </si>
  <si>
    <t>289011734</t>
  </si>
  <si>
    <t>marca-globo-marca-display-carrossel-400x300-cielo_aluguel_bf-as_25_interesses-cpm</t>
  </si>
  <si>
    <t>482485157</t>
  </si>
  <si>
    <t>pegn-marca-globo-marca-display-carrossel-cielo_bf_institucional-as_25_interesses</t>
  </si>
  <si>
    <t>287031801</t>
  </si>
  <si>
    <t>marca-globo-marca-display-carrossel-400x300-cielo_bf_institucional-as_25_interesses-cpm</t>
  </si>
  <si>
    <t>480530675</t>
  </si>
  <si>
    <t>pegn-marca-globo-marca-display-carrossel-cielo_bf_produtos-as_25_interesses</t>
  </si>
  <si>
    <t>287031810</t>
  </si>
  <si>
    <t>marca-globo-marca-display-carrossel-400x300-cielo_bf_produtos-as_25_interesses-cpm</t>
  </si>
  <si>
    <t>480530681</t>
  </si>
  <si>
    <t>pegn-marca-globo-marca-display-carrossel-cielo_digi-as_25_interesses</t>
  </si>
  <si>
    <t>285105463</t>
  </si>
  <si>
    <t>marca-globo-marca-display-carrossel-400x300-cielo_digi-as_25_interesses-cpm</t>
  </si>
  <si>
    <t>478692134</t>
  </si>
  <si>
    <t>pegn-marca-globo-marca-display-carrossel-cielo_digi_superlink-as_25_interesses</t>
  </si>
  <si>
    <t>289428363</t>
  </si>
  <si>
    <t>marca-globo-marca-display-carrossel-400x300-cielo_digi_superlink-as_25_interesses-cpm</t>
  </si>
  <si>
    <t>482736482</t>
  </si>
  <si>
    <t>pegn-marca-globo-marca-display-maxiboard-cielo_aluguel_bf-as_25_interesses</t>
  </si>
  <si>
    <t>289242879</t>
  </si>
  <si>
    <t>970x150 Default Web Ad</t>
  </si>
  <si>
    <t>467625211</t>
  </si>
  <si>
    <t>marca-globo-marca-display-maxiboard-970x150-cielo_aluguel_bf-as_25_interesses-cpm</t>
  </si>
  <si>
    <t>482874648</t>
  </si>
  <si>
    <t>pegn-marca-globo-marca-display-maxiboard-cielo_bf_institucional-as_25_interesses</t>
  </si>
  <si>
    <t>287031807</t>
  </si>
  <si>
    <t>marca-globo-marca-display-maxiboard-970x150-cielo_bf_institucional-as_25_interesses-cpm</t>
  </si>
  <si>
    <t>480530678</t>
  </si>
  <si>
    <t>pegn-marca-globo-marca-display-maxiboard-cielo_bf_produtos-as_25_interesses</t>
  </si>
  <si>
    <t>287031792</t>
  </si>
  <si>
    <t>marca-globo-marca-display-maxiboard-970x150-cielo_bf_produtos-as_25_interesses-cpm</t>
  </si>
  <si>
    <t>480530666</t>
  </si>
  <si>
    <t>pegn-marca-globo-marca-display-maxiboard-cielo_digi-as_25_interesses</t>
  </si>
  <si>
    <t>284898169</t>
  </si>
  <si>
    <t>marca-globo-marca-display-maxiboard-970x150-cielo_digi-as_25_interesses-cpm</t>
  </si>
  <si>
    <t>478502708</t>
  </si>
  <si>
    <t>pegn-marca-globo-marca-display-maxiboard-cielo_sebraebf-as_25_interesses</t>
  </si>
  <si>
    <t>286664086</t>
  </si>
  <si>
    <t>pegn-marca-globo-marca-display-medium_rectangle-cielo_aluguel_bf-as_25_interesses</t>
  </si>
  <si>
    <t>287031816</t>
  </si>
  <si>
    <t>marca-globo-marca-display-medium_rectangle-300x250-cielo_aluguel_bf-as_25_interesses-cpm</t>
  </si>
  <si>
    <t>482504770</t>
  </si>
  <si>
    <t>pegn-marca-globo-marca-display-medium_rectangle-cielo_bf_institucional-as_25_interesses</t>
  </si>
  <si>
    <t>287031813</t>
  </si>
  <si>
    <t>marca-globo-marca-display-medium_rectangle-300x250-cielo_bf_institucional-as_25_interesses-cpm</t>
  </si>
  <si>
    <t>480530684</t>
  </si>
  <si>
    <t>pegn-marca-globo-marca-display-medium_rectangle-cielo_bf_produtos-as_25_interesses</t>
  </si>
  <si>
    <t>287031795</t>
  </si>
  <si>
    <t>marca-globo-marca-display-medium_rectangle-300x250-cielo_bf_produtos-as_25_interesses-cpm</t>
  </si>
  <si>
    <t>480530669</t>
  </si>
  <si>
    <t>pegn-marca-globo-marca-display-medium_rectangle-cielo_digi-as_25_interesses</t>
  </si>
  <si>
    <t>284898172</t>
  </si>
  <si>
    <t>marca-globo-marca-display-medium_rectangle-300x250-cielo_digi-as_25_interesses-cpm</t>
  </si>
  <si>
    <t>478502711</t>
  </si>
  <si>
    <t>pegn-marca-globo-marca-display-medium_rectangle-cielo_sebraebf-as_25_interesses</t>
  </si>
  <si>
    <t>286667440</t>
  </si>
  <si>
    <t>marca-globo-marca-display-medium_rectangle-300x250-cielo_sebraebf-as_25_interesses-cpm</t>
  </si>
  <si>
    <t>480215380</t>
  </si>
  <si>
    <t>pegn-marca-globo-marca-display-stick_ad-cielo_aluguel_bf-as_25_interesses</t>
  </si>
  <si>
    <t>287031804</t>
  </si>
  <si>
    <t>467630112</t>
  </si>
  <si>
    <t>marca-globo-marca-display-stick_ad-320x50-cielo_aluguel_bf-as_25_interesses-cpm</t>
  </si>
  <si>
    <t>482702340</t>
  </si>
  <si>
    <t>pegn-marca-globo-marca-display-stick_ad-cielo_bf_institucional-as_25_interesses</t>
  </si>
  <si>
    <t>287031819</t>
  </si>
  <si>
    <t>marca-globo-marca-display-stick_ad-320x50-cielo_bf_institucional-as_25_interesses-cpm</t>
  </si>
  <si>
    <t>480530687</t>
  </si>
  <si>
    <t>pegn-marca-globo-marca-display-stick_ad-cielo_bf_produtos-as_25_interesses</t>
  </si>
  <si>
    <t>287031798</t>
  </si>
  <si>
    <t>marca-globo-marca-display-stick_ad-320x50-cielo_bf_produtos-as_25_interesses-cpm</t>
  </si>
  <si>
    <t>480530672</t>
  </si>
  <si>
    <t>pegn-marca-globo-marca-display-stick_ad-cielo_digi-as_25_interesses</t>
  </si>
  <si>
    <t>284898175</t>
  </si>
  <si>
    <t>marca-globo-marca-display-stick_ad-320x50-cielo_digi-as_25_interesses-cpm</t>
  </si>
  <si>
    <t>478502714</t>
  </si>
  <si>
    <t>pegn-marca-globo-marca-display-stick_ad-cielo_sebraebf-as_25_interesses</t>
  </si>
  <si>
    <t>286472255</t>
  </si>
  <si>
    <t>marca-globo-marca-display-stick_ad-320x50-cielo_sebraebf-as_25_interesses-cpm</t>
  </si>
  <si>
    <t>480215164</t>
  </si>
  <si>
    <t>pegn-marca-globo-marca-video-pre_roll-cielo_bf_institucional-as_25_interesses</t>
  </si>
  <si>
    <t>287026089</t>
  </si>
  <si>
    <t>marca-globo-marca-video-pre_roll-1920x1080-cielo_bf_institucional-as_25_interesses-cpm</t>
  </si>
  <si>
    <t>480756060</t>
  </si>
  <si>
    <t>pegn-marca-globo-marca-video-pre_roll-cielo_bf_produtos-as_25_interesses</t>
  </si>
  <si>
    <t>287026086</t>
  </si>
  <si>
    <t>marca-globo-marca-video-pre_roll-1920x1080-cielo_bf_produtos-as_25_interesses-cpm</t>
  </si>
  <si>
    <t>480756063</t>
  </si>
  <si>
    <t>pegn-marca-globo-marca-video-pre_roll-cielo_digi-as_25_interesses</t>
  </si>
  <si>
    <t>284898166</t>
  </si>
  <si>
    <t>marca-globo-marca-video-pre_roll-1920x1080-cielo_digi-as_25_interesses-cpm</t>
  </si>
  <si>
    <t>478502705</t>
  </si>
  <si>
    <t>superlink-marca-dv360_globo-superlink-display-billboard-sl_vendapelainternet_loggi_boost-as25_empreendedor_varejo_interesses</t>
  </si>
  <si>
    <t>275147495</t>
  </si>
  <si>
    <t>marca-dv360_globo-superlink-display-billboard-970x250-sl_vendapelainternet_loggi_boost-as25_empreendedor_varejo_interesses-cpm</t>
  </si>
  <si>
    <t>469683752</t>
  </si>
  <si>
    <t>superlink-marca-dv360_globo-superlink-display-halfpage-sl_vendapelainternet_loggi_boost-as25_empreendedor_varejo_interesses</t>
  </si>
  <si>
    <t>275146994</t>
  </si>
  <si>
    <t>marca-dv360_globo-superlink-display-halfpage-300x600-sl_vendapelainternet_loggi_boost-as25_empreendedor_varejo_interesses-cpm</t>
  </si>
  <si>
    <t>469763352</t>
  </si>
  <si>
    <t>superlink-marca-dv360_globo-superlink-display-leaderboard-sl_vendapelainternet_loggi_boost-as25_empreendedor_varejo_interesses</t>
  </si>
  <si>
    <t>275438317</t>
  </si>
  <si>
    <t>marca-dv360_globo-superlink-display-leaderboard-728x90-sl_vendapelainternet_loggi_boost-as25_empreendedor_varejo_interesses-cpm</t>
  </si>
  <si>
    <t>469683749</t>
  </si>
  <si>
    <t>superlink-marca-dv360_globo-superlink-display-medium_rectangle-sl_vendapelainternet_loggi_boost-as25_empreendedor_varejo_interesses</t>
  </si>
  <si>
    <t>275148332</t>
  </si>
  <si>
    <t>marca-dv360_globo-superlink-display-medium_rectangle-300x250-sl_vendapelainternet_loggi_boost-as25_empreendedor_varejo_interesses-cpm</t>
  </si>
  <si>
    <t>469767081</t>
  </si>
  <si>
    <t>superlink-marca-dv360_globo-superlink-display-skyscraper-sl_vendapelainternet_loggi_boost-as25_empreendedor_varejo_interesses</t>
  </si>
  <si>
    <t>275148338</t>
  </si>
  <si>
    <t>marca-dv360_globo-superlink-display-skyscraper-160x600-sl_vendapelainternet_loggi_boost-as25_empreendedor_varejo_interesses-cpm</t>
  </si>
  <si>
    <t>469763349</t>
  </si>
  <si>
    <t>superlink-marca-rakuten-superlink-display-billboard-sl_vendapelainternet_loggi_boost-as25_empreendedor_varejo_interesses</t>
  </si>
  <si>
    <t>281253136</t>
  </si>
  <si>
    <t>marca-rakuten-superlink-display-billboard-970x250-sl_vendapelainternet_loggi_boost-as25_empreendedor_varejo_interesses-cpm</t>
  </si>
  <si>
    <t>475254744</t>
  </si>
  <si>
    <t>superlink-marca-rakuten-superlink-display-halfpage-sl_vendapelainternet_loggi_boost-as25_empreendedor_varejo_interesses</t>
  </si>
  <si>
    <t>281253139</t>
  </si>
  <si>
    <t>marca-rakuten-superlink-display-halfpage-300x600-sl_vendapelainternet_loggi_boost-as25_empreendedor_varejo_interesses-cpm</t>
  </si>
  <si>
    <t>475254747</t>
  </si>
  <si>
    <t>superlink-marca-rakuten-superlink-display-leaderboard-sl_vendapelainternet_loggi_boost-as25_empreendedor_varejo_interesses</t>
  </si>
  <si>
    <t>281253142</t>
  </si>
  <si>
    <t>marca-rakuten-superlink-display-leaderboard-728x90-sl_vendapelainternet_loggi_boost-as25_empreendedor_varejo_interesses-cpm</t>
  </si>
  <si>
    <t>475254750</t>
  </si>
  <si>
    <t>superlink-marca-rakuten-superlink-display-medium_rectangle-sl_vendapelainternet_loggi_boost-as25_empreendedor_varejo_interesses</t>
  </si>
  <si>
    <t>281253145</t>
  </si>
  <si>
    <t>marca-rakuten-superlink-display-medium_rectangle-300x250-sl_vendapelainternet_loggi_boost-as25_empreendedor_varejo_interesses-cpm</t>
  </si>
  <si>
    <t>475254753</t>
  </si>
  <si>
    <t>281253133</t>
  </si>
  <si>
    <t>475254741</t>
  </si>
  <si>
    <t>Rótulos de Linha</t>
  </si>
  <si>
    <t>Total Geral</t>
  </si>
  <si>
    <t>Soma de Total Ferramenta</t>
  </si>
  <si>
    <t>Soma de Total 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</si>
</sst>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$&quot;\ * #,##0.00_-;\-&quot;R$&quot;\ * #,##0.00_-;_-&quot;R$&quot;\ * &quot;-&quot;??_-;_-@_-"/>
    <numFmt numFmtId="165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4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21">
    <xf numFmtId="0" fontId="0" fillId="0" borderId="0" xfId="0"/>
    <xf numFmtId="0" fontId="0" fillId="0" borderId="1" xfId="0" applyBorder="1"/>
    <xf numFmtId="2" fontId="0" fillId="0" borderId="0" xfId="0" applyNumberFormat="1"/>
    <xf numFmtId="164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5" fontId="0" fillId="0" borderId="1" xfId="0" applyNumberFormat="1" applyBorder="1"/>
    <xf numFmtId="164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5" fontId="0" fillId="0" borderId="0" xfId="0" applyNumberFormat="1" applyFill="1" applyBorder="1"/>
    <xf numFmtId="164" fontId="23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4"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172.450809606482" createdVersion="6" refreshedVersion="6" minRefreshableVersion="3" recordCount="230" xr:uid="{50E9DEA0-16AF-4280-A735-7A3676630790}">
  <cacheSource type="worksheet">
    <worksheetSource ref="B18:O248" sheet="Resumo"/>
  </cacheSource>
  <cacheFields count="14">
    <cacheField name="Campaign" numFmtId="0">
      <sharedItems count="14">
        <s v="alp-aluguel_maquininha-marca-awa"/>
        <s v="alp-aluguel_maquininha-marca-perf"/>
        <s v="alp-cielo_brf-marca-awa"/>
        <s v="alp-cielo_digi-marca-awa"/>
        <s v="alp-cielo_digi-marca-cons"/>
        <s v="alp-cielo_movimenta_comunidade-marca-awa"/>
        <s v="alp-cnn-marca-awa"/>
        <s v="alp-covid19-marca-awa"/>
        <s v="alp-digitalizacao-marca-perf"/>
        <s v="alp-pegn-marca-awa"/>
        <s v="alp-superlink-marca-awa"/>
        <s v="alp-superlink-marca-cons"/>
        <s v="alp-superlink-marca-perf"/>
        <s v="alp:aquisicao:varejo:awa"/>
      </sharedItems>
    </cacheField>
    <cacheField name="Site (DCM)" numFmtId="0">
      <sharedItems/>
    </cacheField>
    <cacheField name="Placement" numFmtId="0">
      <sharedItems longText="1"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13694503"/>
    </cacheField>
    <cacheField name="Clicks" numFmtId="0">
      <sharedItems containsSemiMixedTypes="0" containsString="0" containsNumber="1" containsInteger="1" minValue="0" maxValue="173866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0" maxValue="8904.3430000000008"/>
    </cacheField>
    <cacheField name="Total AdOps" numFmtId="2">
      <sharedItems containsSemiMixedTypes="0" containsString="0" containsNumber="1" minValue="0" maxValue="4346.65000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">
  <r>
    <x v="0"/>
    <s v="Google Brasil"/>
    <s v="aluguel_maquininha-marca-dv360-marca-display-billboard-aluguel_maquininha_atendimento-base_clientes_serasa_varejo"/>
    <s v="288906883"/>
    <s v="Standard"/>
    <s v="marca-dv360-marca-display-billboard-970x250-aluguel_maquininha_atendimento-base_clientes_serasa_varejo-cpm"/>
    <s v="482430420"/>
    <s v="Display"/>
    <n v="145"/>
    <n v="3"/>
    <n v="0.04"/>
    <n v="0.1"/>
    <n v="5.7999999999999996E-3"/>
    <n v="1.4500000000000001E-2"/>
  </r>
  <r>
    <x v="0"/>
    <s v="Google Brasil"/>
    <s v="aluguel_maquininha-marca-dv360-marca-display-billboard-aluguel_maquininha_atendimento-base_elegível_clientes_cielo"/>
    <s v="288906865"/>
    <s v="Standard"/>
    <s v="marca-dv360-marca-display-billboard-970x250-aluguel_maquininha_atendimento-base_elegível_clientes_cielo-cpm"/>
    <s v="482118188"/>
    <s v="Display"/>
    <n v="16282"/>
    <n v="19"/>
    <n v="0.04"/>
    <n v="0.1"/>
    <n v="0.65127999999999997"/>
    <n v="1.6282000000000001"/>
  </r>
  <r>
    <x v="0"/>
    <s v="Google Brasil"/>
    <s v="aluguel_maquininha-marca-dv360-marca-display-billboard-aluguel_maquininha_black_friday-base_clientes_serasa_varejo"/>
    <s v="288104445"/>
    <s v="Standard"/>
    <s v="marca-dv360-marca-display-billboard-970x250-aluguel_maquininha_black_friday-base_clientes_serasa_varejo-cpm"/>
    <s v="481618525"/>
    <s v="Display"/>
    <n v="12693"/>
    <n v="46"/>
    <n v="0.04"/>
    <n v="0.1"/>
    <n v="0.50772000000000006"/>
    <n v="1.2693000000000001"/>
  </r>
  <r>
    <x v="0"/>
    <s v="Google Brasil"/>
    <s v="aluguel_maquininha-marca-dv360-marca-display-billboard-aluguel_maquininha_black_friday-base_elegível_clientes_cielo"/>
    <s v="288221647"/>
    <s v="Standard"/>
    <s v="marca-dv360-marca-display-billboard-970x250-aluguel_maquininha_black_friday-base_elegível_clientes_cielo-cpm"/>
    <s v="481618486"/>
    <s v="Display"/>
    <n v="21221"/>
    <n v="65"/>
    <n v="0.04"/>
    <n v="0.1"/>
    <n v="0.84884000000000004"/>
    <n v="2.1221000000000001"/>
  </r>
  <r>
    <x v="0"/>
    <s v="Google Brasil"/>
    <s v="aluguel_maquininha-marca-dv360-marca-display-billboard-aluguel_maquininha_faturamento-base_clientes_serasa_varejo"/>
    <s v="289381900"/>
    <s v="Standard"/>
    <s v="marca-dv360-marca-display-billboard-970x250-aluguel_maquininha_faturamento-base_clientes_serasa_varejo-cpm"/>
    <s v="482685031"/>
    <s v="Display"/>
    <n v="49"/>
    <n v="0"/>
    <n v="0.04"/>
    <n v="0.1"/>
    <n v="1.9599999999999999E-3"/>
    <n v="4.9000000000000007E-3"/>
  </r>
  <r>
    <x v="0"/>
    <s v="Google Brasil"/>
    <s v="aluguel_maquininha-marca-dv360-marca-display-billboard-aluguel_maquininha_faturamento-base_elegível_clientes_cielo"/>
    <s v="289381891"/>
    <s v="Standard"/>
    <s v="marca-dv360-marca-display-billboard-970x250-aluguel_maquininha_faturamento-base_elegível_clientes_cielo-cpm"/>
    <s v="482685022"/>
    <s v="Display"/>
    <n v="789"/>
    <n v="7"/>
    <n v="0.04"/>
    <n v="0.1"/>
    <n v="3.1560000000000005E-2"/>
    <n v="7.8900000000000012E-2"/>
  </r>
  <r>
    <x v="0"/>
    <s v="Google Brasil"/>
    <s v="aluguel_maquininha-marca-dv360-marca-display-billboard-aluguel_maquininha_superlink-base_clientes_serasa_varejo"/>
    <s v="289266207"/>
    <s v="Standard"/>
    <s v="marca-dv360-marca-display-billboard-970x250-aluguel_maquininha_superlink-base_clientes_serasa_varejo-cpm"/>
    <s v="482894283"/>
    <s v="Display"/>
    <n v="61"/>
    <n v="2"/>
    <n v="0.04"/>
    <n v="0.1"/>
    <n v="2.4399999999999999E-3"/>
    <n v="6.1000000000000004E-3"/>
  </r>
  <r>
    <x v="0"/>
    <s v="Google Brasil"/>
    <s v="aluguel_maquininha-marca-dv360-marca-display-billboard-aluguel_maquininha_superlink-base_elegível_clientes_cielo"/>
    <s v="289266198"/>
    <s v="Standard"/>
    <s v="marca-dv360-marca-display-billboard-970x250-aluguel_maquininha_superlink-base_elegível_clientes_cielo-cpm"/>
    <s v="482894274"/>
    <s v="Display"/>
    <n v="282"/>
    <n v="2"/>
    <n v="0.04"/>
    <n v="0.1"/>
    <n v="1.128E-2"/>
    <n v="2.8200000000000003E-2"/>
  </r>
  <r>
    <x v="0"/>
    <s v="Google Brasil"/>
    <s v="aluguel_maquininha-marca-dv360-marca-display-halpage-aluguel_maquininha_atendimento-base_elegível_clientes_cielo"/>
    <s v="288906874"/>
    <s v="Standard"/>
    <s v="marca-dv360-marca-display-halpage-300x600-aluguel_maquininha_atendimento-base_elegível_clientes_cielo-cpm"/>
    <s v="482118197"/>
    <s v="Display"/>
    <n v="178718"/>
    <n v="6309"/>
    <n v="0.04"/>
    <n v="0.1"/>
    <n v="7.14872"/>
    <n v="17.8718"/>
  </r>
  <r>
    <x v="0"/>
    <s v="Google Brasil"/>
    <s v="aluguel_maquininha-marca-dv360-marca-display-halpage-aluguel_maquininha_black_friday-base_clientes_serasa_varejo"/>
    <s v="288104454"/>
    <s v="Standard"/>
    <s v="marca-dv360-marca-display-halpage-300x600-aluguel_maquininha_black_friday-base_clientes_serasa_varejo-cpm"/>
    <s v="481618516"/>
    <s v="Display"/>
    <n v="767103"/>
    <n v="40927"/>
    <n v="0.04"/>
    <n v="0.1"/>
    <n v="30.68412"/>
    <n v="76.710300000000004"/>
  </r>
  <r>
    <x v="0"/>
    <s v="Google Brasil"/>
    <s v="aluguel_maquininha-marca-dv360-marca-display-halpage-aluguel_maquininha_black_friday-base_elegível_clientes_cielo"/>
    <s v="288221656"/>
    <s v="Standard"/>
    <s v="marca-dv360-marca-display-halpage-300x600-aluguel_maquininha_black_friday-base_elegível_clientes_cielo-cpm"/>
    <s v="481618477"/>
    <s v="Display"/>
    <n v="598621"/>
    <n v="28294"/>
    <n v="0.04"/>
    <n v="0.1"/>
    <n v="23.944839999999999"/>
    <n v="59.862100000000005"/>
  </r>
  <r>
    <x v="0"/>
    <s v="Google Brasil"/>
    <s v="aluguel_maquininha-marca-dv360-marca-display-halpage-aluguel_maquininha_faturamento-base_clientes_serasa_varejo"/>
    <s v="289381879"/>
    <s v="Standard"/>
    <s v="marca-dv360-marca-display-halpage-300x600-aluguel_maquininha_faturamento-base_clientes_serasa_varejo-cpm"/>
    <s v="482685010"/>
    <s v="Display"/>
    <n v="38486"/>
    <n v="2544"/>
    <n v="0.04"/>
    <n v="0.1"/>
    <n v="1.5394400000000001"/>
    <n v="3.8486000000000002"/>
  </r>
  <r>
    <x v="0"/>
    <s v="Google Brasil"/>
    <s v="aluguel_maquininha-marca-dv360-marca-display-halpage-aluguel_maquininha_faturamento-base_elegível_clientes_cielo"/>
    <s v="289381909"/>
    <s v="Standard"/>
    <s v="marca-dv360-marca-display-halpage-300x600-aluguel_maquininha_faturamento-base_elegível_clientes_cielo-cpm"/>
    <s v="482685040"/>
    <s v="Display"/>
    <n v="43000"/>
    <n v="2496"/>
    <n v="0.04"/>
    <n v="0.1"/>
    <n v="1.72"/>
    <n v="4.3"/>
  </r>
  <r>
    <x v="0"/>
    <s v="Google Brasil"/>
    <s v="aluguel_maquininha-marca-dv360-marca-display-halpage-aluguel_maquininha_superlink-base_clientes_serasa_varejo"/>
    <s v="289266186"/>
    <s v="Standard"/>
    <s v="marca-dv360-marca-display-halpage-300x600-aluguel_maquininha_superlink-base_clientes_serasa_varejo-cpm"/>
    <s v="482894262"/>
    <s v="Display"/>
    <n v="72758"/>
    <n v="4880"/>
    <n v="0.04"/>
    <n v="0.1"/>
    <n v="2.91032"/>
    <n v="7.2758000000000003"/>
  </r>
  <r>
    <x v="0"/>
    <s v="Google Brasil"/>
    <s v="aluguel_maquininha-marca-dv360-marca-display-halpage-aluguel_maquininha_superlink-base_elegível_clientes_cielo"/>
    <s v="289266216"/>
    <s v="Standard"/>
    <s v="marca-dv360-marca-display-halpage-300x600-aluguel_maquininha_superlink-base_elegível_clientes_cielo-cpm"/>
    <s v="482894292"/>
    <s v="Display"/>
    <n v="68220"/>
    <n v="5236"/>
    <n v="0.04"/>
    <n v="0.1"/>
    <n v="2.7288000000000001"/>
    <n v="6.8220000000000001"/>
  </r>
  <r>
    <x v="0"/>
    <s v="Google Brasil"/>
    <s v="aluguel_maquininha-marca-dv360-marca-display-leaderboard-aluguel_maquininha_atendimento-base_elegível_clientes_cielo"/>
    <s v="288906868"/>
    <s v="Standard"/>
    <s v="marca-dv360-marca-display-leaderboard-728x90-aluguel_maquininha_atendimento-base_elegível_clientes_cielo-cpm"/>
    <s v="482118191"/>
    <s v="Display"/>
    <n v="35478"/>
    <n v="38"/>
    <n v="0.04"/>
    <n v="0.1"/>
    <n v="1.4191200000000002"/>
    <n v="3.5478000000000001"/>
  </r>
  <r>
    <x v="0"/>
    <s v="Google Brasil"/>
    <s v="aluguel_maquininha-marca-dv360-marca-display-leaderboard-aluguel_maquininha_black_friday-base_clientes_serasa_varejo"/>
    <s v="288104448"/>
    <s v="Standard"/>
    <s v="marca-dv360-marca-display-leaderboard-728x90-aluguel_maquininha_black_friday-base_clientes_serasa_varejo-cpm"/>
    <s v="481618522"/>
    <s v="Display"/>
    <n v="107500"/>
    <n v="29"/>
    <n v="0.04"/>
    <n v="0.1"/>
    <n v="4.3"/>
    <n v="10.75"/>
  </r>
  <r>
    <x v="0"/>
    <s v="Google Brasil"/>
    <s v="aluguel_maquininha-marca-dv360-marca-display-leaderboard-aluguel_maquininha_black_friday-base_elegível_clientes_cielo"/>
    <s v="288221650"/>
    <s v="Standard"/>
    <s v="marca-dv360-marca-display-leaderboard-728x90-aluguel_maquininha_black_friday-base_elegível_clientes_cielo-cpm"/>
    <s v="481618483"/>
    <s v="Display"/>
    <n v="94725"/>
    <n v="82"/>
    <n v="0.04"/>
    <n v="0.1"/>
    <n v="3.7890000000000001"/>
    <n v="9.4725000000000001"/>
  </r>
  <r>
    <x v="0"/>
    <s v="Google Brasil"/>
    <s v="aluguel_maquininha-marca-dv360-marca-display-leaderboard-aluguel_maquininha_faturamento-base_clientes_serasa_varejo"/>
    <s v="289381906"/>
    <s v="Standard"/>
    <s v="marca-dv360-marca-display-leaderboard-728x90-aluguel_maquininha_faturamento-base_clientes_serasa_varejo-cpm"/>
    <s v="482685037"/>
    <s v="Display"/>
    <n v="50"/>
    <n v="1"/>
    <n v="0.04"/>
    <n v="0.1"/>
    <n v="2E-3"/>
    <n v="5.0000000000000001E-3"/>
  </r>
  <r>
    <x v="0"/>
    <s v="Google Brasil"/>
    <s v="aluguel_maquininha-marca-dv360-marca-display-leaderboard-aluguel_maquininha_faturamento-base_elegível_clientes_cielo"/>
    <s v="289381897"/>
    <s v="Standard"/>
    <s v="marca-dv360-marca-display-leaderboard-728x90-aluguel_maquininha_faturamento-base_elegível_clientes_cielo-cpm"/>
    <s v="482685028"/>
    <s v="Display"/>
    <n v="8833"/>
    <n v="9"/>
    <n v="0.04"/>
    <n v="0.1"/>
    <n v="0.35331999999999997"/>
    <n v="0.88330000000000009"/>
  </r>
  <r>
    <x v="0"/>
    <s v="Google Brasil"/>
    <s v="aluguel_maquininha-marca-dv360-marca-display-leaderboard-aluguel_maquininha_superlink-base_clientes_serasa_varejo"/>
    <s v="289266213"/>
    <s v="Standard"/>
    <s v="marca-dv360-marca-display-leaderboard-728x90-aluguel_maquininha_superlink-base_clientes_serasa_varejo-cpm"/>
    <s v="482894289"/>
    <s v="Display"/>
    <n v="162"/>
    <n v="4"/>
    <n v="0.04"/>
    <n v="0.1"/>
    <n v="6.4800000000000005E-3"/>
    <n v="1.6199999999999999E-2"/>
  </r>
  <r>
    <x v="0"/>
    <s v="Google Brasil"/>
    <s v="aluguel_maquininha-marca-dv360-marca-display-leaderboard-aluguel_maquininha_superlink-base_elegível_clientes_cielo"/>
    <s v="289266204"/>
    <s v="Standard"/>
    <s v="marca-dv360-marca-display-leaderboard-728x90-aluguel_maquininha_superlink-base_elegível_clientes_cielo-cpm"/>
    <s v="482894280"/>
    <s v="Display"/>
    <n v="2317"/>
    <n v="7"/>
    <n v="0.04"/>
    <n v="0.1"/>
    <n v="9.2680000000000012E-2"/>
    <n v="0.23170000000000002"/>
  </r>
  <r>
    <x v="0"/>
    <s v="Google Brasil"/>
    <s v="aluguel_maquininha-marca-dv360-marca-display-medium_rectangle-aluguel_maquininha_atendimento-base_elegível_clientes_cielo"/>
    <s v="288906871"/>
    <s v="Standard"/>
    <s v="marca-dv360-marca-display-medium_rectangle-300x250-aluguel_maquininha_atendimento-base_elegível_clientes_cielo-cpm"/>
    <s v="482118194"/>
    <s v="Display"/>
    <n v="533530"/>
    <n v="1256"/>
    <n v="0.04"/>
    <n v="0.1"/>
    <n v="21.341200000000001"/>
    <n v="53.353000000000002"/>
  </r>
  <r>
    <x v="0"/>
    <s v="Google Brasil"/>
    <s v="aluguel_maquininha-marca-dv360-marca-display-medium_rectangle-aluguel_maquininha_black_friday-base_clientes_serasa_varejo"/>
    <s v="288104451"/>
    <s v="Standard"/>
    <s v="marca-dv360-marca-display-medium_rectangle-300x250-aluguel_maquininha_black_friday-base_clientes_serasa_varejo-cpm"/>
    <s v="481618519"/>
    <s v="Display"/>
    <n v="467582"/>
    <n v="6314"/>
    <n v="0.04"/>
    <n v="0.1"/>
    <n v="18.703279999999999"/>
    <n v="46.758200000000002"/>
  </r>
  <r>
    <x v="0"/>
    <s v="Google Brasil"/>
    <s v="aluguel_maquininha-marca-dv360-marca-display-medium_rectangle-aluguel_maquininha_black_friday-base_elegível_clientes_cielo"/>
    <s v="288221653"/>
    <s v="Standard"/>
    <s v="marca-dv360-marca-display-medium_rectangle-300x250-aluguel_maquininha_black_friday-base_elegível_clientes_cielo-cpm"/>
    <s v="481618480"/>
    <s v="Display"/>
    <n v="1550712"/>
    <n v="6833"/>
    <n v="0.04"/>
    <n v="0.1"/>
    <n v="62.028480000000002"/>
    <n v="155.0712"/>
  </r>
  <r>
    <x v="0"/>
    <s v="Google Brasil"/>
    <s v="aluguel_maquininha-marca-dv360-marca-display-medium_rectangle-aluguel_maquininha_faturamento-base_clientes_serasa_varejo"/>
    <s v="289381876"/>
    <s v="Standard"/>
    <s v="marca-dv360-marca-display-medium_rectangle-300x250-aluguel_maquininha_faturamento-base_clientes_serasa_varejo-cpm"/>
    <s v="482685007"/>
    <s v="Display"/>
    <n v="7038"/>
    <n v="370"/>
    <n v="0.04"/>
    <n v="0.1"/>
    <n v="0.28151999999999999"/>
    <n v="0.70380000000000009"/>
  </r>
  <r>
    <x v="0"/>
    <s v="Google Brasil"/>
    <s v="aluguel_maquininha-marca-dv360-marca-display-medium_rectangle-aluguel_maquininha_faturamento-base_elegível_clientes_cielo"/>
    <s v="289381903"/>
    <s v="Standard"/>
    <s v="marca-dv360-marca-display-medium_rectangle-300x250-aluguel_maquininha_faturamento-base_elegível_clientes_cielo-cpm"/>
    <s v="482685034"/>
    <s v="Display"/>
    <n v="85987"/>
    <n v="511"/>
    <n v="0.04"/>
    <n v="0.1"/>
    <n v="3.4394800000000001"/>
    <n v="8.5987000000000009"/>
  </r>
  <r>
    <x v="0"/>
    <s v="Google Brasil"/>
    <s v="aluguel_maquininha-marca-dv360-marca-display-medium_rectangle-aluguel_maquininha_superlink-base_clientes_serasa_varejo"/>
    <s v="289266183"/>
    <s v="Standard"/>
    <s v="marca-dv360-marca-display-medium_rectangle-300x250-aluguel_maquininha_superlink-base_clientes_serasa_varejo-cpm"/>
    <s v="482894259"/>
    <s v="Display"/>
    <n v="11956"/>
    <n v="710"/>
    <n v="0.04"/>
    <n v="0.1"/>
    <n v="0.47824"/>
    <n v="1.1956000000000002"/>
  </r>
  <r>
    <x v="0"/>
    <s v="Google Brasil"/>
    <s v="aluguel_maquininha-marca-dv360-marca-display-medium_rectangle-aluguel_maquininha_superlink-base_elegível_clientes_cielo"/>
    <s v="289266210"/>
    <s v="Standard"/>
    <s v="marca-dv360-marca-display-medium_rectangle-300x250-aluguel_maquininha_superlink-base_elegível_clientes_cielo-cpm"/>
    <s v="482894286"/>
    <s v="Display"/>
    <n v="22658"/>
    <n v="466"/>
    <n v="0.04"/>
    <n v="0.1"/>
    <n v="0.90632000000000001"/>
    <n v="2.2658"/>
  </r>
  <r>
    <x v="0"/>
    <s v="Google Brasil"/>
    <s v="aluguel_maquininha-marca-dv360-marca-display-mobile-aluguel_maquininha_atendimento-base_clientes_serasa_varejo"/>
    <s v="288906877"/>
    <s v="Standard"/>
    <s v="marca-dv360-marca-display-mobile-320x50-aluguel_maquininha_atendimento-base_clientes_serasa_varejo-cpm"/>
    <s v="482118200"/>
    <s v="Display"/>
    <n v="192510"/>
    <n v="2259"/>
    <n v="0.04"/>
    <n v="0.1"/>
    <n v="7.7004000000000001"/>
    <n v="19.251000000000001"/>
  </r>
  <r>
    <x v="0"/>
    <s v="Google Brasil"/>
    <s v="aluguel_maquininha-marca-dv360-marca-display-mobile-aluguel_maquininha_atendimento-base_elegível_clientes_cielo"/>
    <s v="288806256"/>
    <s v="Standard"/>
    <s v="marca-dv360-marca-display-mobile-320x50-aluguel_maquininha_atendimento-base_elegível_clientes_cielo-cpm"/>
    <s v="482118182"/>
    <s v="Display"/>
    <n v="686713"/>
    <n v="3900"/>
    <n v="0.04"/>
    <n v="0.1"/>
    <n v="27.468520000000002"/>
    <n v="68.671300000000002"/>
  </r>
  <r>
    <x v="0"/>
    <s v="Google Brasil"/>
    <s v="aluguel_maquininha-marca-dv360-marca-display-mobile-aluguel_maquininha_black_friday-base_clientes_serasa_varejo"/>
    <s v="288104439"/>
    <s v="Standard"/>
    <s v="320x50 Default Web Ad"/>
    <s v="481526597"/>
    <s v="Display"/>
    <n v="1"/>
    <n v="0"/>
    <n v="0.04"/>
    <n v="0.1"/>
    <n v="4.0000000000000003E-5"/>
    <n v="1E-4"/>
  </r>
  <r>
    <x v="0"/>
    <s v="Google Brasil"/>
    <s v="aluguel_maquininha-marca-dv360-marca-display-mobile-aluguel_maquininha_black_friday-base_clientes_serasa_varejo"/>
    <s v="288104439"/>
    <s v="Standard"/>
    <s v="marca-dv360-marca-display-mobile-320x50-aluguel_maquininha_black_friday-base_clientes_serasa_varejo-cpm"/>
    <s v="481618531"/>
    <s v="Display"/>
    <n v="1297458"/>
    <n v="9738"/>
    <n v="0.04"/>
    <n v="0.1"/>
    <n v="51.898319999999998"/>
    <n v="129.7458"/>
  </r>
  <r>
    <x v="0"/>
    <s v="Google Brasil"/>
    <s v="aluguel_maquininha-marca-dv360-marca-display-mobile-aluguel_maquininha_black_friday-base_elegível_clientes_cielo"/>
    <s v="288221641"/>
    <s v="Standard"/>
    <s v="320x50 Default Web Ad"/>
    <s v="481526597"/>
    <s v="Display"/>
    <n v="1"/>
    <n v="0"/>
    <n v="0.04"/>
    <n v="0.1"/>
    <n v="4.0000000000000003E-5"/>
    <n v="1E-4"/>
  </r>
  <r>
    <x v="0"/>
    <s v="Google Brasil"/>
    <s v="aluguel_maquininha-marca-dv360-marca-display-mobile-aluguel_maquininha_black_friday-base_elegível_clientes_cielo"/>
    <s v="288221641"/>
    <s v="Standard"/>
    <s v="marca-dv360-marca-display-mobile-320x50-aluguel_maquininha_black_friday-base_elegível_clientes_cielo-cpm"/>
    <s v="481618492"/>
    <s v="Display"/>
    <n v="2196031"/>
    <n v="10809"/>
    <n v="0.04"/>
    <n v="0.1"/>
    <n v="87.841239999999999"/>
    <n v="219.60310000000001"/>
  </r>
  <r>
    <x v="0"/>
    <s v="Google Brasil"/>
    <s v="aluguel_maquininha-marca-dv360-marca-display-mobile-aluguel_maquininha_faturamento-base_clientes_serasa_varejo"/>
    <s v="289381888"/>
    <s v="Standard"/>
    <s v="marca-dv360-marca-display-mobile-320x50-aluguel_maquininha_faturamento-base_clientes_serasa_varejo-cpm"/>
    <s v="482685019"/>
    <s v="Display"/>
    <n v="17617"/>
    <n v="221"/>
    <n v="0.04"/>
    <n v="0.1"/>
    <n v="0.70468000000000008"/>
    <n v="1.7617"/>
  </r>
  <r>
    <x v="0"/>
    <s v="Google Brasil"/>
    <s v="aluguel_maquininha-marca-dv360-marca-display-mobile-aluguel_maquininha_faturamento-base_elegível_clientes_cielo"/>
    <s v="289381882"/>
    <s v="Standard"/>
    <s v="marca-dv360-marca-display-mobile-320x50-aluguel_maquininha_faturamento-base_elegível_clientes_cielo-cpm"/>
    <s v="482685013"/>
    <s v="Display"/>
    <n v="310033"/>
    <n v="1964"/>
    <n v="0.04"/>
    <n v="0.1"/>
    <n v="12.40132"/>
    <n v="31.003300000000003"/>
  </r>
  <r>
    <x v="0"/>
    <s v="Google Brasil"/>
    <s v="aluguel_maquininha-marca-dv360-marca-display-mobile-aluguel_maquininha_superlink-base_clientes_serasa_varejo"/>
    <s v="289266195"/>
    <s v="Standard"/>
    <s v="marca-dv360-marca-display-mobile-320x50-aluguel_maquininha_superlink-base_clientes_serasa_varejo-cpm"/>
    <s v="482894271"/>
    <s v="Display"/>
    <n v="28519"/>
    <n v="473"/>
    <n v="0.04"/>
    <n v="0.1"/>
    <n v="1.14076"/>
    <n v="2.8519000000000001"/>
  </r>
  <r>
    <x v="0"/>
    <s v="Google Brasil"/>
    <s v="aluguel_maquininha-marca-dv360-marca-display-mobile-aluguel_maquininha_superlink-base_elegível_clientes_cielo"/>
    <s v="289266189"/>
    <s v="Standard"/>
    <s v="marca-dv360-marca-display-mobile-320x50-aluguel_maquininha_superlink-base_elegível_clientes_cielo-cpm"/>
    <s v="482894265"/>
    <s v="Display"/>
    <n v="155696"/>
    <n v="477"/>
    <n v="0.04"/>
    <n v="0.1"/>
    <n v="6.2278400000000005"/>
    <n v="15.569600000000001"/>
  </r>
  <r>
    <x v="0"/>
    <s v="Google Brasil"/>
    <s v="aluguel_maquininha-marca-dv360-marca-display-skyscraper-aluguel_maquininha_atendimento-base_clientes_serasa_varejo"/>
    <s v="288906880"/>
    <s v="Standard"/>
    <s v="marca-dv360-marca-display-skyscraper-160x600-aluguel_maquininha_atendimento-base_clientes_serasa_varejo-cpm"/>
    <s v="482118203"/>
    <s v="Display"/>
    <n v="31597"/>
    <n v="1282"/>
    <n v="0.04"/>
    <n v="0.1"/>
    <n v="1.2638800000000001"/>
    <n v="3.1597000000000004"/>
  </r>
  <r>
    <x v="0"/>
    <s v="Google Brasil"/>
    <s v="aluguel_maquininha-marca-dv360-marca-display-skyscraper-aluguel_maquininha_atendimento-base_elegível_clientes_cielo"/>
    <s v="288906862"/>
    <s v="Standard"/>
    <s v="marca-dv360-marca-display-skyscraper-160x600-aluguel_maquininha_atendimento-base_elegível_clientes_cielo-cpm"/>
    <s v="482118185"/>
    <s v="Display"/>
    <n v="13642"/>
    <n v="2"/>
    <n v="0.04"/>
    <n v="0.1"/>
    <n v="0.54568000000000005"/>
    <n v="1.3642000000000001"/>
  </r>
  <r>
    <x v="0"/>
    <s v="Google Brasil"/>
    <s v="aluguel_maquininha-marca-dv360-marca-display-skyscraper-aluguel_maquininha_black_friday-base_clientes_serasa_varejo"/>
    <s v="288104442"/>
    <s v="Standard"/>
    <s v="marca-dv360-marca-display-skyscraper-160x600-aluguel_maquininha_black_friday-base_clientes_serasa_varejo-cpm"/>
    <s v="481618528"/>
    <s v="Display"/>
    <n v="33748"/>
    <n v="5"/>
    <n v="0.04"/>
    <n v="0.1"/>
    <n v="1.34992"/>
    <n v="3.3748"/>
  </r>
  <r>
    <x v="0"/>
    <s v="Google Brasil"/>
    <s v="aluguel_maquininha-marca-dv360-marca-display-skyscraper-aluguel_maquininha_black_friday-base_elegível_clientes_cielo"/>
    <s v="288221644"/>
    <s v="Standard"/>
    <s v="marca-dv360-marca-display-skyscraper-160x600-aluguel_maquininha_black_friday-base_elegível_clientes_cielo-cpm"/>
    <s v="481618489"/>
    <s v="Display"/>
    <n v="36537"/>
    <n v="9"/>
    <n v="0.04"/>
    <n v="0.1"/>
    <n v="1.4614800000000001"/>
    <n v="3.6537000000000002"/>
  </r>
  <r>
    <x v="0"/>
    <s v="Google Brasil"/>
    <s v="aluguel_maquininha-marca-dv360-marca-display-skyscraper-aluguel_maquininha_faturamento-base_clientes_serasa_varejo"/>
    <s v="289381894"/>
    <s v="Standard"/>
    <s v="marca-dv360-marca-display-skyscraper-160x600-aluguel_maquininha_faturamento-base_clientes_serasa_varejo-cpm"/>
    <s v="482685025"/>
    <s v="Display"/>
    <n v="353"/>
    <n v="22"/>
    <n v="0.04"/>
    <n v="0.1"/>
    <n v="1.4120000000000001E-2"/>
    <n v="3.5300000000000005E-2"/>
  </r>
  <r>
    <x v="0"/>
    <s v="Google Brasil"/>
    <s v="aluguel_maquininha-marca-dv360-marca-display-skyscraper-aluguel_maquininha_faturamento-base_elegível_clientes_cielo"/>
    <s v="289381885"/>
    <s v="Standard"/>
    <s v="marca-dv360-marca-display-skyscraper-160x600-aluguel_maquininha_faturamento-base_elegível_clientes_cielo-cpm"/>
    <s v="482685016"/>
    <s v="Display"/>
    <n v="3191"/>
    <n v="1"/>
    <n v="0.04"/>
    <n v="0.1"/>
    <n v="0.12764"/>
    <n v="0.31910000000000005"/>
  </r>
  <r>
    <x v="0"/>
    <s v="Google Brasil"/>
    <s v="aluguel_maquininha-marca-dv360-marca-display-skyscraper-aluguel_maquininha_superlink-base_elegível_clientes_cielo"/>
    <s v="289266192"/>
    <s v="Standard"/>
    <s v="marca-dv360-marca-display-skyscraper-160x600-aluguel_maquininha_superlink-base_elegível_clientes_cielo-cpm"/>
    <s v="482894268"/>
    <s v="Display"/>
    <n v="1302"/>
    <n v="0"/>
    <n v="0.04"/>
    <n v="0.1"/>
    <n v="5.2080000000000001E-2"/>
    <n v="0.13020000000000001"/>
  </r>
  <r>
    <x v="0"/>
    <s v="IstoÉ"/>
    <s v="aluguel_maquininha-marca-istoe-marca-display-billboard-cielo_aluguel_2611-as_25_interesses_varejo"/>
    <s v="288930188"/>
    <s v="Standard"/>
    <s v="marca-istoe-marca-display-billboard-970x250-cielo_aluguel_2611-as_25_interesses_varejo-diaria"/>
    <s v="482496172"/>
    <s v="Display"/>
    <n v="27852"/>
    <n v="11"/>
    <n v="0.04"/>
    <n v="0.1"/>
    <n v="1.11408"/>
    <n v="2.7852000000000001"/>
  </r>
  <r>
    <x v="0"/>
    <s v="Oath - Verizon Media"/>
    <s v="aluguel_maquininha-marca-verizon-marca-display-billboard-aluguel_maquininha_atendimento-base_clientes_serasa_varejo"/>
    <s v="289257579"/>
    <s v="Standard"/>
    <s v="marca-verizon-marca-display-billboard-970x250-aluguel_maquininha_atendimento-base_clientes_serasa_varejo-cpm"/>
    <s v="482703463"/>
    <s v="Display"/>
    <n v="6397"/>
    <n v="8"/>
    <n v="0.04"/>
    <n v="0.1"/>
    <n v="0.25588"/>
    <n v="0.63970000000000005"/>
  </r>
  <r>
    <x v="0"/>
    <s v="Oath - Verizon Media"/>
    <s v="aluguel_maquininha-marca-verizon-marca-display-billboard-aluguel_maquininha_atendimento-base_elegível_clientes_cielo"/>
    <s v="288906892"/>
    <s v="Standard"/>
    <s v="marca-verizon-marca-display-billboard-970x250-aluguel_maquininha_atendimento-base_elegível_clientes_cielo-cpm"/>
    <s v="482430429"/>
    <s v="Display"/>
    <n v="2"/>
    <n v="0"/>
    <n v="0.04"/>
    <n v="0.1"/>
    <n v="8.0000000000000007E-5"/>
    <n v="2.0000000000000001E-4"/>
  </r>
  <r>
    <x v="0"/>
    <s v="Oath - Verizon Media"/>
    <s v="aluguel_maquininha-marca-verizon-marca-display-billboard-aluguel_maquininha_black_friday-base_clientes_serasa_varejo"/>
    <s v="288104463"/>
    <s v="Standard"/>
    <s v="marca-verizon-marca-display-billboard-970x250-aluguel_maquininha_black_friday-base_clientes_serasa_varejo-cpm"/>
    <s v="481618507"/>
    <s v="Display"/>
    <n v="34566"/>
    <n v="19"/>
    <n v="0.04"/>
    <n v="0.1"/>
    <n v="1.3826400000000001"/>
    <n v="3.4566000000000003"/>
  </r>
  <r>
    <x v="0"/>
    <s v="Oath - Verizon Media"/>
    <s v="aluguel_maquininha-marca-verizon-marca-display-billboard-aluguel_maquininha_black_friday-base_elegível_clientes_cielo"/>
    <s v="288221665"/>
    <s v="Standard"/>
    <s v="marca-verizon-marca-display-billboard-970x250-aluguel_maquininha_black_friday-base_elegível_clientes_cielo-cpm"/>
    <s v="481618468"/>
    <s v="Display"/>
    <n v="3"/>
    <n v="1"/>
    <n v="0.04"/>
    <n v="0.1"/>
    <n v="1.1999999999999999E-4"/>
    <n v="3.0000000000000003E-4"/>
  </r>
  <r>
    <x v="0"/>
    <s v="Oath - Verizon Media"/>
    <s v="aluguel_maquininha-marca-verizon-marca-display-billboard-aluguel_maquininha_superlink-base_clientes_serasa_varejo"/>
    <s v="289133333"/>
    <s v="Standard"/>
    <s v="marca-verizon-marca-display-billboard-970x250-aluguel_maquininha_superlink-base_clientes_serasa_varejo-cpm"/>
    <s v="482901729"/>
    <s v="Display"/>
    <n v="6262"/>
    <n v="12"/>
    <n v="0.04"/>
    <n v="0.1"/>
    <n v="0.25048000000000004"/>
    <n v="0.62620000000000009"/>
  </r>
  <r>
    <x v="0"/>
    <s v="Oath - Verizon Media"/>
    <s v="aluguel_maquininha-marca-verizon-marca-display-billboard-aluguel_maquininha_superlink-base_elegível_clientes_cielo"/>
    <s v="289377184"/>
    <s v="Standard"/>
    <s v="marca-verizon-marca-display-billboard-970x250-aluguel_maquininha_superlink-base_elegível_clientes_cielo-cpm"/>
    <s v="482899026"/>
    <s v="Display"/>
    <n v="2"/>
    <n v="1"/>
    <n v="0.04"/>
    <n v="0.1"/>
    <n v="8.0000000000000007E-5"/>
    <n v="2.0000000000000001E-4"/>
  </r>
  <r>
    <x v="0"/>
    <s v="Oath - Verizon Media"/>
    <s v="aluguel_maquininha-marca-verizon-marca-display-halpage-aluguel_maquininha_atendimento-base_clientes_serasa_varejo"/>
    <s v="289123061"/>
    <s v="Standard"/>
    <s v="marca-verizon-marca-display-halpage-300x600-aluguel_maquininha_atendimento-base_clientes_serasa_varejo-cpm"/>
    <s v="482703472"/>
    <s v="Display"/>
    <n v="41814"/>
    <n v="24"/>
    <n v="0.04"/>
    <n v="0.1"/>
    <n v="1.67256"/>
    <n v="4.1814000000000009"/>
  </r>
  <r>
    <x v="0"/>
    <s v="Oath - Verizon Media"/>
    <s v="aluguel_maquininha-marca-verizon-marca-display-halpage-aluguel_maquininha_atendimento-base_elegível_clientes_cielo"/>
    <s v="288906901"/>
    <s v="Standard"/>
    <s v="marca-verizon-marca-display-halpage-300x600-aluguel_maquininha_atendimento-base_elegível_clientes_cielo-cpm"/>
    <s v="482430438"/>
    <s v="Display"/>
    <n v="3"/>
    <n v="1"/>
    <n v="0.04"/>
    <n v="0.1"/>
    <n v="1.1999999999999999E-4"/>
    <n v="3.0000000000000003E-4"/>
  </r>
  <r>
    <x v="0"/>
    <s v="Oath - Verizon Media"/>
    <s v="aluguel_maquininha-marca-verizon-marca-display-halpage-aluguel_maquininha_black_friday-base_clientes_serasa_varejo"/>
    <s v="288221635"/>
    <s v="Standard"/>
    <s v="marca-verizon-marca-display-halpage-300x600-aluguel_maquininha_black_friday-base_clientes_serasa_varejo-cpm"/>
    <s v="481618498"/>
    <s v="Display"/>
    <n v="197566"/>
    <n v="48"/>
    <n v="0.04"/>
    <n v="0.1"/>
    <n v="7.9026399999999999"/>
    <n v="19.756600000000002"/>
  </r>
  <r>
    <x v="0"/>
    <s v="Oath - Verizon Media"/>
    <s v="aluguel_maquininha-marca-verizon-marca-display-halpage-aluguel_maquininha_black_friday-base_elegível_clientes_cielo"/>
    <s v="288221674"/>
    <s v="Standard"/>
    <s v="marca-verizon-marca-display-halpage-300x600-aluguel_maquininha_black_friday-base_elegível_clientes_cielo-cpm"/>
    <s v="481618459"/>
    <s v="Display"/>
    <n v="3"/>
    <n v="1"/>
    <n v="0.04"/>
    <n v="0.1"/>
    <n v="1.1999999999999999E-4"/>
    <n v="3.0000000000000003E-4"/>
  </r>
  <r>
    <x v="0"/>
    <s v="Oath - Verizon Media"/>
    <s v="aluguel_maquininha-marca-verizon-marca-display-halpage-aluguel_maquininha_superlink-base_clientes_serasa_varejo"/>
    <s v="289133342"/>
    <s v="Standard"/>
    <s v="marca-verizon-marca-display-halpage-300x600-aluguel_maquininha_superlink-base_clientes_serasa_varejo-cpm"/>
    <s v="482901738"/>
    <s v="Display"/>
    <n v="40799"/>
    <n v="26"/>
    <n v="0.04"/>
    <n v="0.1"/>
    <n v="1.6319600000000001"/>
    <n v="4.0799000000000003"/>
  </r>
  <r>
    <x v="0"/>
    <s v="Oath - Verizon Media"/>
    <s v="aluguel_maquininha-marca-verizon-marca-display-halpage-aluguel_maquininha_superlink-base_elegível_clientes_cielo"/>
    <s v="289377193"/>
    <s v="Standard"/>
    <s v="marca-verizon-marca-display-halpage-300x600-aluguel_maquininha_superlink-base_elegível_clientes_cielo-cpm"/>
    <s v="482899035"/>
    <s v="Display"/>
    <n v="2"/>
    <n v="0"/>
    <n v="0.04"/>
    <n v="0.1"/>
    <n v="8.0000000000000007E-5"/>
    <n v="2.0000000000000001E-4"/>
  </r>
  <r>
    <x v="0"/>
    <s v="Oath - Verizon Media"/>
    <s v="aluguel_maquininha-marca-verizon-marca-display-leaderboard-aluguel_maquininha_atendimento-base_clientes_serasa_varejo"/>
    <s v="289257582"/>
    <s v="Standard"/>
    <s v="marca-verizon-marca-display-leaderboard-728x90-aluguel_maquininha_atendimento-base_clientes_serasa_varejo-cpm"/>
    <s v="482703466"/>
    <s v="Display"/>
    <n v="208434"/>
    <n v="173"/>
    <n v="0.04"/>
    <n v="0.1"/>
    <n v="8.3373600000000003"/>
    <n v="20.843400000000003"/>
  </r>
  <r>
    <x v="0"/>
    <s v="Oath - Verizon Media"/>
    <s v="aluguel_maquininha-marca-verizon-marca-display-leaderboard-aluguel_maquininha_atendimento-base_elegível_clientes_cielo"/>
    <s v="288906895"/>
    <s v="Standard"/>
    <s v="marca-verizon-marca-display-leaderboard-728x90-aluguel_maquininha_atendimento-base_elegível_clientes_cielo-cpm"/>
    <s v="482430432"/>
    <s v="Display"/>
    <n v="2"/>
    <n v="1"/>
    <n v="0.04"/>
    <n v="0.1"/>
    <n v="8.0000000000000007E-5"/>
    <n v="2.0000000000000001E-4"/>
  </r>
  <r>
    <x v="0"/>
    <s v="Oath - Verizon Media"/>
    <s v="aluguel_maquininha-marca-verizon-marca-display-leaderboard-aluguel_maquininha_black_friday-base_clientes_serasa_varejo"/>
    <s v="288104466"/>
    <s v="Standard"/>
    <s v="728x90 Default Web Ad"/>
    <s v="481526975"/>
    <s v="Display"/>
    <n v="1"/>
    <n v="0"/>
    <n v="0.04"/>
    <n v="0.1"/>
    <n v="4.0000000000000003E-5"/>
    <n v="1E-4"/>
  </r>
  <r>
    <x v="0"/>
    <s v="Oath - Verizon Media"/>
    <s v="aluguel_maquininha-marca-verizon-marca-display-leaderboard-aluguel_maquininha_black_friday-base_clientes_serasa_varejo"/>
    <s v="288104466"/>
    <s v="Standard"/>
    <s v="marca-verizon-marca-display-leaderboard-728x90-aluguel_maquininha_black_friday-base_clientes_serasa_varejo-cpm"/>
    <s v="481618504"/>
    <s v="Display"/>
    <n v="937004"/>
    <n v="470"/>
    <n v="0.04"/>
    <n v="0.1"/>
    <n v="37.480160000000005"/>
    <n v="93.700400000000002"/>
  </r>
  <r>
    <x v="0"/>
    <s v="Oath - Verizon Media"/>
    <s v="aluguel_maquininha-marca-verizon-marca-display-leaderboard-aluguel_maquininha_black_friday-base_elegível_clientes_cielo"/>
    <s v="288221668"/>
    <s v="Standard"/>
    <s v="marca-verizon-marca-display-leaderboard-728x90-aluguel_maquininha_black_friday-base_elegível_clientes_cielo-cpm"/>
    <s v="481618465"/>
    <s v="Display"/>
    <n v="1"/>
    <n v="0"/>
    <n v="0.04"/>
    <n v="0.1"/>
    <n v="4.0000000000000003E-5"/>
    <n v="1E-4"/>
  </r>
  <r>
    <x v="0"/>
    <s v="Oath - Verizon Media"/>
    <s v="aluguel_maquininha-marca-verizon-marca-display-leaderboard-aluguel_maquininha_superlink-base_clientes_serasa_varejo"/>
    <s v="289133336"/>
    <s v="Standard"/>
    <s v="marca-verizon-marca-display-leaderboard-728x90-aluguel_maquininha_superlink-base_clientes_serasa_varejo-cpm"/>
    <s v="482901732"/>
    <s v="Display"/>
    <n v="208446"/>
    <n v="139"/>
    <n v="0.04"/>
    <n v="0.1"/>
    <n v="8.3378399999999999"/>
    <n v="20.844600000000003"/>
  </r>
  <r>
    <x v="0"/>
    <s v="Oath - Verizon Media"/>
    <s v="aluguel_maquininha-marca-verizon-marca-display-leaderboard-aluguel_maquininha_superlink-base_elegível_clientes_cielo"/>
    <s v="289377187"/>
    <s v="Standard"/>
    <s v="marca-verizon-marca-display-leaderboard-728x90-aluguel_maquininha_superlink-base_elegível_clientes_cielo-cpm"/>
    <s v="482899029"/>
    <s v="Display"/>
    <n v="3"/>
    <n v="0"/>
    <n v="0.04"/>
    <n v="0.1"/>
    <n v="1.1999999999999999E-4"/>
    <n v="3.0000000000000003E-4"/>
  </r>
  <r>
    <x v="0"/>
    <s v="Oath - Verizon Media"/>
    <s v="aluguel_maquininha-marca-verizon-marca-display-medium_rectangle-aluguel_maquininha_atendimento-base_clientes_serasa_varejo"/>
    <s v="289257585"/>
    <s v="Standard"/>
    <s v="marca-verizon-marca-display-medium_rectangle-300x250-aluguel_maquininha_atendimento-base_clientes_serasa_varejo-cpm"/>
    <s v="482703469"/>
    <s v="Display"/>
    <n v="479607"/>
    <n v="343"/>
    <n v="0.04"/>
    <n v="0.1"/>
    <n v="19.184279999999998"/>
    <n v="47.960700000000003"/>
  </r>
  <r>
    <x v="0"/>
    <s v="Oath - Verizon Media"/>
    <s v="aluguel_maquininha-marca-verizon-marca-display-medium_rectangle-aluguel_maquininha_atendimento-base_elegível_clientes_cielo"/>
    <s v="288906898"/>
    <s v="Standard"/>
    <s v="marca-verizon-marca-display-medium_rectangle-300x250-aluguel_maquininha_atendimento-base_elegível_clientes_cielo-cpm"/>
    <s v="482430435"/>
    <s v="Display"/>
    <n v="3"/>
    <n v="1"/>
    <n v="0.04"/>
    <n v="0.1"/>
    <n v="1.1999999999999999E-4"/>
    <n v="3.0000000000000003E-4"/>
  </r>
  <r>
    <x v="0"/>
    <s v="Oath - Verizon Media"/>
    <s v="aluguel_maquininha-marca-verizon-marca-display-medium_rectangle-aluguel_maquininha_black_friday-base_clientes_serasa_varejo"/>
    <s v="288104469"/>
    <s v="Standard"/>
    <s v="marca-verizon-marca-display-medium_rectangle-300x250-aluguel_maquininha_black_friday-base_clientes_serasa_varejo-cpm"/>
    <s v="481618501"/>
    <s v="Display"/>
    <n v="1331013"/>
    <n v="621"/>
    <n v="0.04"/>
    <n v="0.1"/>
    <n v="53.240520000000004"/>
    <n v="133.10130000000001"/>
  </r>
  <r>
    <x v="0"/>
    <s v="Oath - Verizon Media"/>
    <s v="aluguel_maquininha-marca-verizon-marca-display-medium_rectangle-aluguel_maquininha_black_friday-base_elegível_clientes_cielo"/>
    <s v="288221671"/>
    <s v="Standard"/>
    <s v="marca-verizon-marca-display-medium_rectangle-300x250-aluguel_maquininha_black_friday-base_elegível_clientes_cielo-cpm"/>
    <s v="481618462"/>
    <s v="Display"/>
    <n v="5"/>
    <n v="0"/>
    <n v="0.04"/>
    <n v="0.1"/>
    <n v="2.0000000000000001E-4"/>
    <n v="5.0000000000000001E-4"/>
  </r>
  <r>
    <x v="0"/>
    <s v="Oath - Verizon Media"/>
    <s v="aluguel_maquininha-marca-verizon-marca-display-medium_rectangle-aluguel_maquininha_superlink-base_clientes_serasa_varejo"/>
    <s v="289133339"/>
    <s v="Standard"/>
    <s v="marca-verizon-marca-display-medium_rectangle-300x250-aluguel_maquininha_superlink-base_clientes_serasa_varejo-cpm"/>
    <s v="482901735"/>
    <s v="Display"/>
    <n v="477407"/>
    <n v="342"/>
    <n v="0.04"/>
    <n v="0.1"/>
    <n v="19.09628"/>
    <n v="47.740700000000004"/>
  </r>
  <r>
    <x v="0"/>
    <s v="Oath - Verizon Media"/>
    <s v="aluguel_maquininha-marca-verizon-marca-display-medium_rectangle-aluguel_maquininha_superlink-base_elegível_clientes_cielo"/>
    <s v="289377190"/>
    <s v="Standard"/>
    <s v="marca-verizon-marca-display-medium_rectangle-300x250-aluguel_maquininha_superlink-base_elegível_clientes_cielo-cpm"/>
    <s v="482899032"/>
    <s v="Display"/>
    <n v="2"/>
    <n v="0"/>
    <n v="0.04"/>
    <n v="0.1"/>
    <n v="8.0000000000000007E-5"/>
    <n v="2.0000000000000001E-4"/>
  </r>
  <r>
    <x v="0"/>
    <s v="Oath - Verizon Media"/>
    <s v="aluguel_maquininha-marca-verizon-marca-display-mobile-aluguel_maquininha_atendimento-base_clientes_serasa_varejo"/>
    <s v="289257573"/>
    <s v="Standard"/>
    <s v="marca-verizon-marca-display-mobile-320x50-aluguel_maquininha_atendimento-base_clientes_serasa_varejo-cpm"/>
    <s v="482703457"/>
    <s v="Display"/>
    <n v="1073829"/>
    <n v="1903"/>
    <n v="0.04"/>
    <n v="0.1"/>
    <n v="42.953160000000004"/>
    <n v="107.38290000000001"/>
  </r>
  <r>
    <x v="0"/>
    <s v="Oath - Verizon Media"/>
    <s v="aluguel_maquininha-marca-verizon-marca-display-mobile-aluguel_maquininha_atendimento-base_elegível_clientes_cielo"/>
    <s v="288906886"/>
    <s v="Standard"/>
    <s v="marca-verizon-marca-display-mobile-320x50-aluguel_maquininha_atendimento-base_elegível_clientes_cielo-cpm"/>
    <s v="482430423"/>
    <s v="Display"/>
    <n v="2"/>
    <n v="0"/>
    <n v="0.04"/>
    <n v="0.1"/>
    <n v="8.0000000000000007E-5"/>
    <n v="2.0000000000000001E-4"/>
  </r>
  <r>
    <x v="0"/>
    <s v="Oath - Verizon Media"/>
    <s v="aluguel_maquininha-marca-verizon-marca-display-mobile-aluguel_maquininha_black_friday-base_clientes_serasa_varejo"/>
    <s v="288104457"/>
    <s v="Standard"/>
    <s v="marca-verizon-marca-display-mobile-320x50-aluguel_maquininha_black_friday-base_clientes_serasa_varejo-cpm"/>
    <s v="481618513"/>
    <s v="Display"/>
    <n v="3282303"/>
    <n v="4757"/>
    <n v="0.04"/>
    <n v="0.1"/>
    <n v="131.29211999999998"/>
    <n v="328.23030000000006"/>
  </r>
  <r>
    <x v="0"/>
    <s v="Oath - Verizon Media"/>
    <s v="aluguel_maquininha-marca-verizon-marca-display-mobile-aluguel_maquininha_black_friday-base_elegível_clientes_cielo"/>
    <s v="288221659"/>
    <s v="Standard"/>
    <s v="marca-verizon-marca-display-mobile-320x50-aluguel_maquininha_black_friday-base_elegível_clientes_cielo-cpm"/>
    <s v="481618474"/>
    <s v="Display"/>
    <n v="5"/>
    <n v="1"/>
    <n v="0.04"/>
    <n v="0.1"/>
    <n v="2.0000000000000001E-4"/>
    <n v="5.0000000000000001E-4"/>
  </r>
  <r>
    <x v="0"/>
    <s v="Oath - Verizon Media"/>
    <s v="aluguel_maquininha-marca-verizon-marca-display-mobile-aluguel_maquininha_superlink-base_clientes_serasa_varejo"/>
    <s v="289133327"/>
    <s v="Standard"/>
    <s v="marca-verizon-marca-display-mobile-320x50-aluguel_maquininha_superlink-base_clientes_serasa_varejo-cpm"/>
    <s v="482901723"/>
    <s v="Display"/>
    <n v="1096396"/>
    <n v="1880"/>
    <n v="0.04"/>
    <n v="0.1"/>
    <n v="43.855840000000001"/>
    <n v="109.6396"/>
  </r>
  <r>
    <x v="0"/>
    <s v="Oath - Verizon Media"/>
    <s v="aluguel_maquininha-marca-verizon-marca-display-mobile-aluguel_maquininha_superlink-base_elegível_clientes_cielo"/>
    <s v="289377178"/>
    <s v="Standard"/>
    <s v="marca-verizon-marca-display-mobile-320x50-aluguel_maquininha_superlink-base_elegível_clientes_cielo-cpm"/>
    <s v="482899020"/>
    <s v="Display"/>
    <n v="2"/>
    <n v="0"/>
    <n v="0.04"/>
    <n v="0.1"/>
    <n v="8.0000000000000007E-5"/>
    <n v="2.0000000000000001E-4"/>
  </r>
  <r>
    <x v="0"/>
    <s v="Oath - Verizon Media"/>
    <s v="aluguel_maquininha-marca-verizon-marca-display-skyscraper-aluguel_maquininha_atendimento-base_clientes_serasa_varejo"/>
    <s v="289257576"/>
    <s v="Standard"/>
    <s v="marca-verizon-marca-display-skyscraper-160x600-aluguel_maquininha_atendimento-base_clientes_serasa_varejo-cpm"/>
    <s v="482703460"/>
    <s v="Display"/>
    <n v="60184"/>
    <n v="38"/>
    <n v="0.04"/>
    <n v="0.1"/>
    <n v="2.4073600000000002"/>
    <n v="6.0184000000000006"/>
  </r>
  <r>
    <x v="0"/>
    <s v="Oath - Verizon Media"/>
    <s v="aluguel_maquininha-marca-verizon-marca-display-skyscraper-aluguel_maquininha_atendimento-base_elegível_clientes_cielo"/>
    <s v="288906889"/>
    <s v="Standard"/>
    <s v="marca-verizon-marca-display-skyscraper-160x600-aluguel_maquininha_atendimento-base_elegível_clientes_cielo-cpm"/>
    <s v="482430426"/>
    <s v="Display"/>
    <n v="3"/>
    <n v="1"/>
    <n v="0.04"/>
    <n v="0.1"/>
    <n v="1.1999999999999999E-4"/>
    <n v="3.0000000000000003E-4"/>
  </r>
  <r>
    <x v="0"/>
    <s v="Oath - Verizon Media"/>
    <s v="aluguel_maquininha-marca-verizon-marca-display-skyscraper-aluguel_maquininha_black_friday-base_clientes_serasa_varejo"/>
    <s v="288104460"/>
    <s v="Standard"/>
    <s v="marca-verizon-marca-display-skyscraper-160x600-aluguel_maquininha_black_friday-base_clientes_serasa_varejo-cpm"/>
    <s v="481618510"/>
    <s v="Display"/>
    <n v="183817"/>
    <n v="58"/>
    <n v="0.04"/>
    <n v="0.1"/>
    <n v="7.3526800000000003"/>
    <n v="18.381700000000002"/>
  </r>
  <r>
    <x v="0"/>
    <s v="Oath - Verizon Media"/>
    <s v="aluguel_maquininha-marca-verizon-marca-display-skyscraper-aluguel_maquininha_black_friday-base_elegível_clientes_cielo"/>
    <s v="288221662"/>
    <s v="Standard"/>
    <s v="marca-verizon-marca-display-skyscraper-160x600-aluguel_maquininha_black_friday-base_elegível_clientes_cielo-cpm"/>
    <s v="481618471"/>
    <s v="Display"/>
    <n v="3"/>
    <n v="0"/>
    <n v="0.04"/>
    <n v="0.1"/>
    <n v="1.1999999999999999E-4"/>
    <n v="3.0000000000000003E-4"/>
  </r>
  <r>
    <x v="0"/>
    <s v="Oath - Verizon Media"/>
    <s v="aluguel_maquininha-marca-verizon-marca-display-skyscraper-aluguel_maquininha_superlink-base_clientes_serasa_varejo"/>
    <s v="289133330"/>
    <s v="Standard"/>
    <s v="marca-verizon-marca-display-skyscraper-160x600-aluguel_maquininha_superlink-base_clientes_serasa_varejo-cpm"/>
    <s v="482901726"/>
    <s v="Display"/>
    <n v="65195"/>
    <n v="24"/>
    <n v="0.04"/>
    <n v="0.1"/>
    <n v="2.6078000000000001"/>
    <n v="6.5194999999999999"/>
  </r>
  <r>
    <x v="0"/>
    <s v="Oath - Verizon Media"/>
    <s v="aluguel_maquininha-marca-verizon-marca-display-skyscraper-aluguel_maquininha_superlink-base_elegível_clientes_cielo"/>
    <s v="289377181"/>
    <s v="Standard"/>
    <s v="marca-verizon-marca-display-skyscraper-160x600-aluguel_maquininha_superlink-base_elegível_clientes_cielo-cpm"/>
    <s v="482899023"/>
    <s v="Display"/>
    <n v="2"/>
    <n v="0"/>
    <n v="0.04"/>
    <n v="0.1"/>
    <n v="8.0000000000000007E-5"/>
    <n v="2.0000000000000001E-4"/>
  </r>
  <r>
    <x v="0"/>
    <s v="Oath - Verizon Media"/>
    <s v="aluguel_maquininha-marca-verizon-marca-native-native-aluguel_maquininha_atendimento-base_clientes_serasa_varejo"/>
    <s v="288104436"/>
    <s v="Standard"/>
    <s v="marca-verizon-marca-native-native-1200x628-aluguel_maquininha_atendimento-base_clientes_serasa_varejo-cpc"/>
    <s v="481618534"/>
    <s v="Tracking"/>
    <n v="667934"/>
    <n v="25171"/>
    <n v="0.04"/>
    <n v="0.1"/>
    <n v="26.717359999999999"/>
    <n v="66.793400000000005"/>
  </r>
  <r>
    <x v="0"/>
    <s v="Oath - Verizon Media"/>
    <s v="aluguel_maquininha-marca-verizon-marca-native-native-aluguel_maquininha_atendimento-base_elegível_clientes_cielo"/>
    <s v="287719928"/>
    <s v="Dynamic Click"/>
    <s v="marca-verizon-marca-native-native-1200x628-aluguel_maquininha_atendimento-base_elegível_clientes_cielo-cpc"/>
    <s v="481334989"/>
    <s v="Tracking"/>
    <n v="0"/>
    <n v="2"/>
    <n v="3.5000000000000001E-3"/>
    <n v="2.5000000000000001E-2"/>
    <n v="7.0000000000000001E-3"/>
    <n v="0.05"/>
  </r>
  <r>
    <x v="0"/>
    <s v="Oath - Verizon Media"/>
    <s v="aluguel_maquininha-marca-verizon-marca-native-native-aluguel_maquininha_black_friday-base_clientes_serasa_varejo"/>
    <s v="288221638"/>
    <s v="Standard"/>
    <s v="marca-verizon-marca-native-native-1200x627-aluguel_maquininha_black_friday-base_clientes_serasa_varejo-cpc"/>
    <s v="481618495"/>
    <s v="Tracking"/>
    <n v="1075152"/>
    <n v="20260"/>
    <n v="0.04"/>
    <n v="0.1"/>
    <n v="43.006080000000004"/>
    <n v="107.51520000000001"/>
  </r>
  <r>
    <x v="0"/>
    <s v="Oath - Verizon Media"/>
    <s v="aluguel_maquininha-marca-verizon-marca-native-native-aluguel_maquininha_superlink-base_clientes_serasa_varejo"/>
    <s v="288104433"/>
    <s v="Standard"/>
    <s v="marca-verizon-marca-native-native-1200x628-aluguel_maquininha_superlink-base_clientes_serasa_varejo-cpc"/>
    <s v="481618537"/>
    <s v="Tracking"/>
    <n v="254562"/>
    <n v="3776"/>
    <n v="0.04"/>
    <n v="0.1"/>
    <n v="10.18248"/>
    <n v="25.456199999999999"/>
  </r>
  <r>
    <x v="0"/>
    <s v="Oath - Verizon Media"/>
    <s v="aluguel_maquininha-marca-verizon-marca-native-native-aluguel_maquininha_superlink-base_elegível_clientes_cielo"/>
    <s v="287945473"/>
    <s v="Standard"/>
    <s v="marca-verizon-marca-native-native-1200x628-aluguel_maquininha_superlink-base_elegível_clientes_cielo-cpc"/>
    <s v="481246940"/>
    <s v="Tracking"/>
    <n v="306328"/>
    <n v="5771"/>
    <n v="0.04"/>
    <n v="0.1"/>
    <n v="12.253120000000001"/>
    <n v="30.632800000000003"/>
  </r>
  <r>
    <x v="1"/>
    <s v="Oath - Verizon Media"/>
    <s v="aluguel_maquininha-marca-verizon-marca-native-native-aluguel_maquininha_faturamento-base_clientes_serasa_varejo"/>
    <s v="288216643"/>
    <s v="Standard"/>
    <s v="marca-verizon-marca-native-native-1200x628-aluguel_maquininha_faturamento-base_clientes_serasa_varejo-cpc"/>
    <s v="481780029"/>
    <s v="Tracking"/>
    <n v="115498"/>
    <n v="2628"/>
    <n v="0.04"/>
    <n v="0.1"/>
    <n v="4.6199200000000005"/>
    <n v="11.549800000000001"/>
  </r>
  <r>
    <x v="1"/>
    <s v="afilio.com.br"/>
    <s v="aluguel_maquininha-marca-afilio-marca-display-halpage-aluguel_maquininha_black_friday-base_afiliados_potencial_cliente_varejo"/>
    <s v="288216658"/>
    <s v="Dynamic Click"/>
    <s v="marca-afilio-marca-display-halpage-300x600-aluguel_maquininha_black_friday-base_afiliados_potencial_cliente_varejo-cpa"/>
    <s v="481780044"/>
    <s v="Tracking"/>
    <n v="3"/>
    <n v="12"/>
    <n v="3.5000000000000001E-3"/>
    <n v="2.5000000000000001E-2"/>
    <n v="4.2000000000000003E-2"/>
    <n v="0.30000000000000004"/>
  </r>
  <r>
    <x v="1"/>
    <s v="afilio.com.br"/>
    <s v="aluguel_maquininha-marca-afilio-marca-display-medium_rectangle-aluguel_maquininha_faturamento-base_afiliados_potencial_cliente_varejo"/>
    <s v="288216607"/>
    <s v="Dynamic Click"/>
    <s v="marca-afilio-marca-display-medium_rectangle-300x250-aluguel_maquininha_faturamento-base_afiliados_potencial_cliente_varejo-cpm"/>
    <s v="481779993"/>
    <s v="Tracking"/>
    <n v="0"/>
    <n v="5"/>
    <n v="3.5000000000000001E-3"/>
    <n v="2.5000000000000001E-2"/>
    <n v="1.7500000000000002E-2"/>
    <n v="0.125"/>
  </r>
  <r>
    <x v="2"/>
    <s v="CNN BR"/>
    <s v="cielo_brf-marca-cnn-marca-display-arroba_banner-cielo_brf-as_25"/>
    <s v="286470322"/>
    <s v="Standard"/>
    <s v="marca-cnn-marca-display-arroba_banner-300x250-cielo_brf-as_25-cpm"/>
    <s v="479935376"/>
    <s v="Display"/>
    <n v="207682"/>
    <n v="307"/>
    <n v="0.04"/>
    <n v="0.1"/>
    <n v="8.3072800000000004"/>
    <n v="20.7682"/>
  </r>
  <r>
    <x v="2"/>
    <s v="CNN BR"/>
    <s v="cielo_brf-marca-cnn-marca-display-billboard-cielo_brf-as_25"/>
    <s v="286382631"/>
    <s v="Standard"/>
    <s v="marca-cnn-marca-display-billboard-970x250-cielo_brf-as_25-cpm"/>
    <s v="479910521"/>
    <s v="Display"/>
    <n v="38969"/>
    <n v="34"/>
    <n v="0.04"/>
    <n v="0.1"/>
    <n v="1.5587599999999999"/>
    <n v="3.8969"/>
  </r>
  <r>
    <x v="2"/>
    <s v="CNN BR"/>
    <s v="cielo_brf-marca-cnn-marca-display-halfpage-cielo_brf-as_25"/>
    <s v="286382640"/>
    <s v="Standard"/>
    <s v="marca-cnn-marca-display-halfpage-300x600-cielo_brf-as_25-cpm"/>
    <s v="479910530"/>
    <s v="Display"/>
    <n v="66548"/>
    <n v="71"/>
    <n v="0.04"/>
    <n v="0.1"/>
    <n v="2.6619200000000003"/>
    <n v="6.6547999999999998"/>
  </r>
  <r>
    <x v="2"/>
    <s v="CNN BR"/>
    <s v="cielo_brf-marca-cnn-marca-display-leaderboard-cielo_brf-as_25"/>
    <s v="286382634"/>
    <s v="Standard"/>
    <s v="marca-cnn-marca-display-leaderboard-728x90-cielo_brf-as_25-cpm"/>
    <s v="479910524"/>
    <s v="Display"/>
    <n v="30206"/>
    <n v="13"/>
    <n v="0.04"/>
    <n v="0.1"/>
    <n v="1.20824"/>
    <n v="3.0206000000000004"/>
  </r>
  <r>
    <x v="2"/>
    <s v="CNN BR"/>
    <s v="cielo_brf-marca-cnn-marca-display-mobile-cielo_brf-as_25"/>
    <s v="286382637"/>
    <s v="Standard"/>
    <s v="marca-cnn-marca-display-mobile-320x50-cielo_brf-as_25-cpm"/>
    <s v="479910527"/>
    <s v="Display"/>
    <n v="495777"/>
    <n v="2064"/>
    <n v="0.04"/>
    <n v="0.1"/>
    <n v="19.83108"/>
    <n v="49.577700000000007"/>
  </r>
  <r>
    <x v="3"/>
    <s v="Oath - Verizon Media"/>
    <s v="cielo_digi-marca-verizon-cielo_digi-display-Billboard-chegoucielodigi-as25_microempreendedor_medioempreendedor_negocios_vendasonline_donosdenegocios"/>
    <s v="285434630"/>
    <s v="Standard"/>
    <s v="marca-verizon-cielo_digi-display-Billboard-970x250-chegoucielodigi-as25_microempreendedor_medioempreendedor_negocios_vendasonline_donosdenegocios-cpm"/>
    <s v="479183579"/>
    <s v="Display"/>
    <n v="17"/>
    <n v="2"/>
    <n v="0.04"/>
    <n v="0.1"/>
    <n v="6.8000000000000005E-4"/>
    <n v="1.7000000000000001E-3"/>
  </r>
  <r>
    <x v="3"/>
    <s v="Oath - Verizon Media"/>
    <s v="cielo_digi-marca-verizon-cielo_digi-display-Halfpage-chegoucielodigi-as25_microempreendedor_medioempreendedor_negocios_vendasonline_donosdenegocios"/>
    <s v="285434639"/>
    <s v="Standard"/>
    <s v="marca-verizon-cielo_digi-display-Halfpage-300x600-chegoucielodigi-as25_microempreendedor_medioempreendedor_negocios_vendasonline_donosdenegocios-cpm"/>
    <s v="479384124"/>
    <s v="Display"/>
    <n v="7"/>
    <n v="0"/>
    <n v="0.04"/>
    <n v="0.1"/>
    <n v="2.8000000000000003E-4"/>
    <n v="7.000000000000001E-4"/>
  </r>
  <r>
    <x v="3"/>
    <s v="Oath - Verizon Media"/>
    <s v="cielo_digi-marca-verizon-cielo_digi-display-Skyscraper-chegoucielodigi-as25_microempreendedor_medioempreendedor_negocios_vendasonline_donosdenegocios"/>
    <s v="285398960"/>
    <s v="Standard"/>
    <s v="marca-verizon-cielo_digi-display-Skyscraper-160x600-chegoucielodigi-as25_microempreendedor_medioempreendedor_negocios_vendasonline_donosdenegocios-cpm"/>
    <s v="479270251"/>
    <s v="Display"/>
    <n v="13"/>
    <n v="1"/>
    <n v="0.04"/>
    <n v="0.1"/>
    <n v="5.2000000000000006E-4"/>
    <n v="1.2999999999999999E-3"/>
  </r>
  <r>
    <x v="3"/>
    <s v="Oath - Verizon Media"/>
    <s v="cielo_digi-marca-verizon-cielo_digi-display-Super_Leaderboard-chegoucielodigi-as25_microempreendedor_medioempreendedor_negocios_vendasonline_donosdenegocios"/>
    <s v="285434627"/>
    <s v="Standard"/>
    <s v="marca-verizon-cielo_digi-display-Super_Leaderboard-970x90-chegoucielodigi-as25_microempreendedor_medioempreendedor_negocios_vendasonline_donosdenegocios-cpm"/>
    <s v="479183576"/>
    <s v="Display"/>
    <n v="4"/>
    <n v="0"/>
    <n v="0.04"/>
    <n v="0.1"/>
    <n v="1.6000000000000001E-4"/>
    <n v="4.0000000000000002E-4"/>
  </r>
  <r>
    <x v="3"/>
    <s v="Oath - Verizon Media"/>
    <s v="cielo_digi-marca-verizon-cielo_digi-display-Super_banner-chegoucielodigi-as25_microempreendedor_medioempreendedor_negocios_vendasonline_donosdenegocios"/>
    <s v="285434633"/>
    <s v="Standard"/>
    <s v="marca-verizon-cielo_digi-display-Super_banner-728x90-chegoucielodigi-as25_microempreendedor_medioempreendedor_negocios_vendasonline_donosdenegocios-cpm"/>
    <s v="479183582"/>
    <s v="Display"/>
    <n v="11"/>
    <n v="1"/>
    <n v="0.04"/>
    <n v="0.1"/>
    <n v="4.4000000000000002E-4"/>
    <n v="1.1000000000000001E-3"/>
  </r>
  <r>
    <x v="3"/>
    <s v="Oath - Verizon Media"/>
    <s v="cielo_digi-marca-verizon-cielo_digi-display-mobile_banner-chegoucielodigi-as25_microempreendedor_medioempreendedor_negocios_vendasonline_donosdenegocios"/>
    <s v="285434636"/>
    <s v="Standard"/>
    <s v="marca-verizon-cielo_digi-display-mobile_banner-320x50-chegoucielodigi-as25_microempreendedor_medioempreendedor_negocios_vendasonline_donosdenegocios-cpm"/>
    <s v="479384121"/>
    <s v="Display"/>
    <n v="37"/>
    <n v="3"/>
    <n v="0.04"/>
    <n v="0.1"/>
    <n v="1.48E-3"/>
    <n v="3.7000000000000002E-3"/>
  </r>
  <r>
    <x v="3"/>
    <s v="Oath - Verizon Media"/>
    <s v="cielo_digi-marca-verizon-cielo_digi-display-retangulo_medio-chegoucielodigi-as25_microempreendedor_medioempreendedor_negocios_vendasonline_donosdenegocios"/>
    <s v="285434642"/>
    <s v="Standard"/>
    <s v="marca-verizon-cielo_digi-display-retangulo_medio-300x250-chegoucielodigi-as25_microempreendedor_medioempreendedor_negocios_vendasonline_donosdenegocios-cpm"/>
    <s v="479384127"/>
    <s v="Display"/>
    <n v="41"/>
    <n v="1"/>
    <n v="0.04"/>
    <n v="0.1"/>
    <n v="1.6400000000000002E-3"/>
    <n v="4.1000000000000003E-3"/>
  </r>
  <r>
    <x v="3"/>
    <s v="Oath - Verizon Media"/>
    <s v="cielo_digi-marca-verizon-cielo_digi-native-native_stream-chegoucielodigi-as25_microempreendedor_medioempreendedor_negocios_vendasonline_donosdenegocios"/>
    <s v="285930779"/>
    <s v="Dynamic Click"/>
    <s v="marca-verizon-cielo_digi-native-native_stream-1200x627-chegoucielodigi-as25_microempreendedor_medioempreendedor_negocios_vendasonline_donosdenegocios-cpc"/>
    <s v="479844087"/>
    <s v="Tracking"/>
    <n v="1969"/>
    <n v="95360"/>
    <n v="3.5000000000000001E-3"/>
    <n v="2.5000000000000001E-2"/>
    <n v="333.76"/>
    <n v="2384"/>
  </r>
  <r>
    <x v="3"/>
    <s v="Oath - Verizon Media"/>
    <s v="cielo_digi-marca-verizon-cielo_digi-video-pre_roll-videohero_30-as25_microempreendedor_medioempreendedor_negocios_vendasonline_donosdenegocios"/>
    <s v="285434621"/>
    <s v="Rich Media display banner"/>
    <s v="marca-verizon-cielo_digi-video-pre_roll-1080x1350-videohero_30-as25_microempreendedor_medioempreendedor_negocios_vendasonline_donosdenegocios-cpv"/>
    <s v="479183570"/>
    <s v="In-Stream Video"/>
    <n v="0"/>
    <n v="3"/>
    <n v="0.6"/>
    <n v="0.35"/>
    <n v="0"/>
    <n v="0"/>
  </r>
  <r>
    <x v="4"/>
    <s v="Google Brasil"/>
    <s v="cielo_digi-marca-dv360_Outbrain-cielo_digi-display-native_estatico-cielodigi_superlink-as25_microempreendedor_medioempreendedor_negocios_vendasonline_donosdenegocios"/>
    <s v="285437984"/>
    <s v="Dynamic Click"/>
    <s v="marca-dv360_Outbrain-cielo_digi-display-native_estatico-627x627-cielodigi_superlink-as25_microempreendedor_medioempreendedor_negocios_vendasonline_donosdenegocios-cpm"/>
    <s v="479386851"/>
    <s v="Tracking"/>
    <n v="0"/>
    <n v="88"/>
    <n v="3.5000000000000001E-3"/>
    <n v="2.5000000000000001E-2"/>
    <n v="0.308"/>
    <n v="2.2000000000000002"/>
  </r>
  <r>
    <x v="4"/>
    <s v="Google Brasil"/>
    <s v="cielo_digi-marca-dv360_Outbrain-cielo_digi-display-native_highimpact-cielodigi_superlink-as25_microempreendedor_medioempreendedor_negocios_vendasonline_donosdenegocios"/>
    <s v="286085031"/>
    <s v="Standard"/>
    <s v="marca-dv360_Outbrain-cielo_digi-display-native_highimpact-1200x627-cielodigi_superlink-as25_microempreendedor_medioempreendedor_negocios_vendasonline_donosdenegocios-cpm"/>
    <s v="479865459"/>
    <s v="Tracking"/>
    <n v="2544098"/>
    <n v="2866"/>
    <n v="3.5000000000000001E-3"/>
    <n v="2.5000000000000001E-2"/>
    <n v="8904.3430000000008"/>
    <n v="254.40980000000002"/>
  </r>
  <r>
    <x v="4"/>
    <s v="Google Brasil"/>
    <s v="cielo_digi-marca-dv360_Seedtag-cielo_digi-video-pre_roll-videohero_30-as25_microempreendedor_medioempreendedor_negocios_vendasonline_donosdenegocios"/>
    <s v="285431564"/>
    <s v="Rich Media display banner"/>
    <s v="marca-dv360_Seedtag-cielo_digi-video-pre_roll-1080x1350-videohero_30-as25_microempreendedor_medioempreendedor_negocios_vendasonline_donosdenegocios-cpm"/>
    <s v="479172233"/>
    <s v="In-Stream Video"/>
    <n v="1116482"/>
    <n v="3941"/>
    <n v="0.6"/>
    <n v="0.35"/>
    <n v="669.88919999999996"/>
    <n v="390.76869999999997"/>
  </r>
  <r>
    <x v="4"/>
    <s v="Google Brasil"/>
    <s v="cielo_digi-marca-dv360_Smartclip-cielo_digi-video-pre_roll-videohero_30-as25_microempreendedor_medioempreendedor_negocios_vendasonline_donosdenegocios"/>
    <s v="285431555"/>
    <s v="Rich Media display banner"/>
    <s v="marca-dv360_Smartclip-cielo_digi-video-pre_roll-1080x1350-videohero_30-as25_microempreendedor_medioempreendedor_negocios_vendasonline_donosdenegocios-cpv"/>
    <s v="479172242"/>
    <s v="In-Stream Video"/>
    <n v="739544"/>
    <n v="2890"/>
    <n v="0.6"/>
    <n v="0.35"/>
    <n v="443.72639999999996"/>
    <n v="258.84039999999999"/>
  </r>
  <r>
    <x v="4"/>
    <s v="Google Brasil"/>
    <s v="cielo_digi-marca-dv360_adsmovil-cielo_digi-video-pre_roll-videohero_30-as25_microempreendedor_medioempreendedor_negocios_vendasonline_donosdenegocios"/>
    <s v="285431567"/>
    <s v="Rich Media display banner"/>
    <s v="marca-dv360_adsmovil-cielo_digi-video-pre_roll-1080x1350-videohero_30-as25_microempreendedor_medioempreendedor_negocios_vendasonline_donosdenegocios-cpm"/>
    <s v="479172230"/>
    <s v="In-Stream Video"/>
    <n v="1"/>
    <n v="2"/>
    <n v="0.6"/>
    <n v="0.35"/>
    <n v="5.9999999999999995E-4"/>
    <n v="3.5E-4"/>
  </r>
  <r>
    <x v="4"/>
    <s v="Google Brasil"/>
    <s v="cielo_digi-marca-dv360_globo-cielo_digi-display-native_ads-cielodigi_superlink-as25_microempreendedor_medioempreendedor_negocios_vendasonline_donosdenegocios"/>
    <s v="286085028"/>
    <s v="Standard"/>
    <s v="marca-dv360_globo-cielo_digi-display-native_ads-1200x627-cielodigi_superlink-as25_microempreendedor_medioempreendedor_negocios_vendasonline_donosdenegocios-cpm"/>
    <s v="479865456"/>
    <s v="Tracking"/>
    <n v="45"/>
    <n v="5"/>
    <n v="0.04"/>
    <n v="0.1"/>
    <n v="1.8E-3"/>
    <n v="4.4999999999999997E-3"/>
  </r>
  <r>
    <x v="4"/>
    <s v="Google Brasil"/>
    <s v="cielo_digi-marca-dv360_psafe-cielo_digi-video-pre_roll-videohero_30-as25_microempreendedor_medioempreendedor_negocios_vendasonline_donosdenegocios"/>
    <s v="285431561"/>
    <s v="Rich Media display banner"/>
    <s v="marca-dv360_psafe-cielo_digi-video-pre_roll-1080x1350-videohero_30-as25_microempreendedor_medioempreendedor_negocios_vendasonline_donosdenegocios-cpm"/>
    <s v="479172236"/>
    <s v="In-Stream Video"/>
    <n v="1"/>
    <n v="0"/>
    <n v="0.6"/>
    <n v="0.35"/>
    <n v="5.9999999999999995E-4"/>
    <n v="3.5E-4"/>
  </r>
  <r>
    <x v="4"/>
    <s v="Oath - Verizon Media"/>
    <s v="cielo_digi-marca-verizon-cielo_digi-display-Billboard-cielodigi_superlink-retargeting"/>
    <s v="288792221"/>
    <s v="Standard"/>
    <s v="marca-verizon-cielo_digi-display-Billboard-970x250-cielodigi_superlink-retargeting-cpm"/>
    <s v="482372767"/>
    <s v="Display"/>
    <n v="27925"/>
    <n v="10"/>
    <n v="0.04"/>
    <n v="0.1"/>
    <n v="1.117"/>
    <n v="2.7925"/>
  </r>
  <r>
    <x v="4"/>
    <s v="Oath - Verizon Media"/>
    <s v="cielo_digi-marca-verizon-cielo_digi-display-Halfpage-cielodigi_superlink-retargeting"/>
    <s v="288792227"/>
    <s v="Standard"/>
    <s v="marca-verizon-cielo_digi-display-Halfpage-300x600-cielodigi_superlink-retargeting-cpm"/>
    <s v="482372773"/>
    <s v="Display"/>
    <n v="578901"/>
    <n v="153"/>
    <n v="0.04"/>
    <n v="0.1"/>
    <n v="23.156040000000001"/>
    <n v="57.890100000000004"/>
  </r>
  <r>
    <x v="4"/>
    <s v="Oath - Verizon Media"/>
    <s v="cielo_digi-marca-verizon-cielo_digi-display-Maxiboard-cielodigi_superlink-retargeting"/>
    <s v="288792215"/>
    <s v="Standard"/>
    <s v="marca-verizon-cielo_digi-display-Maxiboard-970x150-cielodigi_superlink-retargeting-cpm"/>
    <s v="482372761"/>
    <s v="Display"/>
    <n v="2"/>
    <n v="1"/>
    <n v="0.04"/>
    <n v="0.1"/>
    <n v="8.0000000000000007E-5"/>
    <n v="2.0000000000000001E-4"/>
  </r>
  <r>
    <x v="4"/>
    <s v="Oath - Verizon Media"/>
    <s v="cielo_digi-marca-verizon-cielo_digi-display-Skyscraper-cielodigi_superlink-retargeting"/>
    <s v="288964566"/>
    <s v="Standard"/>
    <s v="marca-verizon-cielo_digi-display-Skyscraper-160x600-cielodigi_superlink-retargeting-cpm"/>
    <s v="482290202"/>
    <s v="Display"/>
    <n v="1415185"/>
    <n v="557"/>
    <n v="0.04"/>
    <n v="0.1"/>
    <n v="56.607399999999998"/>
    <n v="141.51849999999999"/>
  </r>
  <r>
    <x v="4"/>
    <s v="Oath - Verizon Media"/>
    <s v="cielo_digi-marca-verizon-cielo_digi-display-Super_Leaderboard-cielodigi_superlink-retargeting"/>
    <s v="288792218"/>
    <s v="Standard"/>
    <s v="marca-verizon-cielo_digi-display-Super_Leaderboard-970x90-cielodigi_superlink-retargeting-cpm"/>
    <s v="482372764"/>
    <s v="Display"/>
    <n v="350690"/>
    <n v="93"/>
    <n v="0.04"/>
    <n v="0.1"/>
    <n v="14.0276"/>
    <n v="35.069000000000003"/>
  </r>
  <r>
    <x v="4"/>
    <s v="Oath - Verizon Media"/>
    <s v="cielo_digi-marca-verizon-cielo_digi-display-mobile_banner-cielodigi_superlink-retargeting"/>
    <s v="288792224"/>
    <s v="Standard"/>
    <s v="320x50 Default Web Ad"/>
    <s v="482362738"/>
    <s v="Display"/>
    <n v="1"/>
    <n v="0"/>
    <n v="0.04"/>
    <n v="0.1"/>
    <n v="4.0000000000000003E-5"/>
    <n v="1E-4"/>
  </r>
  <r>
    <x v="4"/>
    <s v="Oath - Verizon Media"/>
    <s v="cielo_digi-marca-verizon-cielo_digi-display-mobile_banner-cielodigi_superlink-retargeting"/>
    <s v="288792224"/>
    <s v="Standard"/>
    <s v="marca-verizon-cielo_digi-display-mobile_banner-320x50-cielodigi_superlink-retargeting-cpm"/>
    <s v="482372770"/>
    <s v="Display"/>
    <n v="13694503"/>
    <n v="15888"/>
    <n v="0.04"/>
    <n v="0.1"/>
    <n v="547.78012000000001"/>
    <n v="1369.4503"/>
  </r>
  <r>
    <x v="4"/>
    <s v="Oath - Verizon Media"/>
    <s v="cielo_digi-marca-verizon-cielo_digi-display-retangulo_medio-cielodigi_superlink-retargeting"/>
    <s v="288792230"/>
    <s v="Standard"/>
    <s v="marca-verizon-cielo_digi-display-retangulo_medio-300x250-cielodigi_superlink-retargeting-cpm"/>
    <s v="482372776"/>
    <s v="Display"/>
    <n v="1356605"/>
    <n v="259"/>
    <n v="0.04"/>
    <n v="0.1"/>
    <n v="54.264200000000002"/>
    <n v="135.66050000000001"/>
  </r>
  <r>
    <x v="4"/>
    <s v="Oath - Verizon Media"/>
    <s v="cielo_digi-marca-verizon-cielo_digi-native-native_stream-cielodigi_superlink-as25_microempreendedor_medioempreendedor_negocios_vendasonline_donosdenegocios"/>
    <s v="286039116"/>
    <s v="Standard"/>
    <s v="marca-verizon-cielo_digi-native-native_stream-1200x627-cielodigi_superlink-as25_microempreendedor_medioempreendedor_negocios_vendasonline_donosdenegocios-cpc"/>
    <s v="479728888"/>
    <s v="Tracking"/>
    <n v="2860097"/>
    <n v="0"/>
    <n v="0.04"/>
    <n v="0.1"/>
    <n v="114.40388"/>
    <n v="286.00970000000001"/>
  </r>
  <r>
    <x v="4"/>
    <s v="Oath - Verizon Media"/>
    <s v="cielo_digi-marca-verizon-cielo_digi-video-pre_roll-videohero_30-retargeting"/>
    <s v="286039311"/>
    <s v="Rich Media display banner"/>
    <s v="marca-verizon-cielo_digi-video-pre_roll-1080x1350-videohero_30-retargeting-cpv"/>
    <s v="479728849"/>
    <s v="In-Stream Video"/>
    <n v="4871345"/>
    <n v="99746"/>
    <n v="0.6"/>
    <n v="0.35"/>
    <n v="2922.8069999999998"/>
    <n v="1704.97075"/>
  </r>
  <r>
    <x v="5"/>
    <s v="Oath - Verizon Media"/>
    <s v="cielo_movimenta_comunidade-marca-verizon-marca-native-big_native-cielo_movimenta_comunidade_olx_cadastro-as_25_interesses_varejo"/>
    <s v="272850311"/>
    <s v="Dynamic Click"/>
    <s v="marca-verizon-marca-native-big_native-1200x627-cielo_movimenta_comunidade_olx_cadastro-as_25_interesses_varejo-cpm"/>
    <s v="467545912"/>
    <s v="Tracking"/>
    <n v="0"/>
    <n v="1"/>
    <n v="3.5000000000000001E-3"/>
    <n v="2.5000000000000001E-2"/>
    <n v="3.5000000000000001E-3"/>
    <n v="2.5000000000000001E-2"/>
  </r>
  <r>
    <x v="5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2"/>
    <n v="0"/>
    <n v="0.04"/>
    <n v="0.1"/>
    <n v="8.0000000000000007E-5"/>
    <n v="2.0000000000000001E-4"/>
  </r>
  <r>
    <x v="6"/>
    <s v="CNN BR"/>
    <s v="cnn-marca-cnn-marca-display-arroba_banner-blackfriday_diaria2110-as_25"/>
    <s v="284899986"/>
    <s v="Standard"/>
    <s v="marca-cnn-marca-display-arroba_banner-300x250-blackfriday_diaria2110-as_25-cpm"/>
    <s v="479076524"/>
    <s v="Display"/>
    <n v="5"/>
    <n v="4"/>
    <n v="0.04"/>
    <n v="0.1"/>
    <n v="2.0000000000000001E-4"/>
    <n v="5.0000000000000001E-4"/>
  </r>
  <r>
    <x v="6"/>
    <s v="CNN BR"/>
    <s v="cnn-marca-cnn-marca-display-arroba_banner-cielo-brf_promodinheiroquevolta_diaria0411-as_25"/>
    <s v="286571249"/>
    <s v="Standard"/>
    <s v="marca-cnn-marca-display-arroba_banner-300x250-cielo-brf_promodinheiroquevolta_diaria0411-as_25-cpm"/>
    <s v="480230270"/>
    <s v="Display"/>
    <n v="1769458"/>
    <n v="793"/>
    <n v="0.04"/>
    <n v="0.1"/>
    <n v="70.778320000000008"/>
    <n v="176.94580000000002"/>
  </r>
  <r>
    <x v="6"/>
    <s v="CNN BR"/>
    <s v="cnn-marca-cnn-marca-display-arroba_banner-cielo-brf_promodinheiroquevolta_diaria2711-as_25"/>
    <s v="289017422"/>
    <s v="Standard"/>
    <s v="marca-cnn-marca-display-arroba_banner-300x250-cielo-brf_promodinheiroquevolta_diaria2711-as_25-cpm"/>
    <s v="482578702"/>
    <s v="Display"/>
    <n v="465439"/>
    <n v="393"/>
    <n v="0.04"/>
    <n v="0.1"/>
    <n v="18.617560000000001"/>
    <n v="46.543900000000001"/>
  </r>
  <r>
    <x v="6"/>
    <s v="CNN BR"/>
    <s v="cnn-marca-cnn-marca-display-arroba_banner-cielo_alugel_bf-as_25"/>
    <s v="288939146"/>
    <s v="Standard"/>
    <s v="marca-cnn-marca-display-arroba_banner-300x250-cielo_alugel_bf-as_25-cpm"/>
    <s v="482411513"/>
    <s v="Display"/>
    <n v="78343"/>
    <n v="96"/>
    <n v="0.04"/>
    <n v="0.1"/>
    <n v="3.1337200000000003"/>
    <n v="7.8342999999999998"/>
  </r>
  <r>
    <x v="6"/>
    <s v="CNN BR"/>
    <s v="cnn-marca-cnn-marca-display-arroba_banner-cielo_bf_institucional-as_25"/>
    <s v="286928756"/>
    <s v="Standard"/>
    <s v="marca-cnn-marca-display-arroba_banner-300x250-cielo_bf_institucional-as_25-cpm"/>
    <s v="480661897"/>
    <s v="Display"/>
    <n v="200742"/>
    <n v="230"/>
    <n v="0.04"/>
    <n v="0.1"/>
    <n v="8.0296800000000008"/>
    <n v="20.074200000000001"/>
  </r>
  <r>
    <x v="6"/>
    <s v="CNN BR"/>
    <s v="cnn-marca-cnn-marca-display-arroba_banner-cielo_bf_produtos-as_25"/>
    <s v="286928735"/>
    <s v="Standard"/>
    <s v="marca-cnn-marca-display-arroba_banner-300x250-cielo_bf_produtos-as_25-cpm"/>
    <s v="480661876"/>
    <s v="Display"/>
    <n v="7645"/>
    <n v="5"/>
    <n v="0.04"/>
    <n v="0.1"/>
    <n v="0.30580000000000002"/>
    <n v="0.76449999999999996"/>
  </r>
  <r>
    <x v="6"/>
    <s v="CNN BR"/>
    <s v="cnn-marca-cnn-marca-display-arroba_banner-cielo_digi-as_25"/>
    <s v="284898789"/>
    <s v="Standard"/>
    <s v="marca-cnn-marca-display-arroba_banner-300x250-cielo_digi-as_25-cpm"/>
    <s v="478765323"/>
    <s v="Display"/>
    <n v="35139"/>
    <n v="37"/>
    <n v="0.04"/>
    <n v="0.1"/>
    <n v="1.4055599999999999"/>
    <n v="3.5139"/>
  </r>
  <r>
    <x v="6"/>
    <s v="CNN BR"/>
    <s v="cnn-marca-cnn-marca-display-arroba_banner-cielo_digi_superlink-as_25"/>
    <s v="289241795"/>
    <s v="Standard"/>
    <s v="marca-cnn-marca-display-arroba_banner-300x250-cielo_digi_superlink-as_25-cpm"/>
    <s v="482712719"/>
    <s v="Display"/>
    <n v="1"/>
    <n v="1"/>
    <n v="0.04"/>
    <n v="0.1"/>
    <n v="4.0000000000000003E-5"/>
    <n v="1E-4"/>
  </r>
  <r>
    <x v="6"/>
    <s v="CNN BR"/>
    <s v="cnn-marca-cnn-marca-display-arroba_banner-cielo_sebrae-as_25"/>
    <s v="286523401"/>
    <s v="Standard"/>
    <s v="marca-cnn-marca-display-arroba_banner-300x250-cielo_sebrae-as_25-cpm"/>
    <s v="480065902"/>
    <s v="Display"/>
    <n v="92681"/>
    <n v="99"/>
    <n v="0.04"/>
    <n v="0.1"/>
    <n v="3.7072400000000001"/>
    <n v="9.2681000000000004"/>
  </r>
  <r>
    <x v="6"/>
    <s v="CNN BR"/>
    <s v="cnn-marca-cnn-marca-display-bilboard-cielo_digi-as_25"/>
    <s v="284738906"/>
    <s v="Standard"/>
    <s v="marca-cnn-marca-display-bilboard-970x250-cielo_digi-as_25-cpm"/>
    <s v="478633771"/>
    <s v="Display"/>
    <n v="3490"/>
    <n v="2"/>
    <n v="0.04"/>
    <n v="0.1"/>
    <n v="0.1396"/>
    <n v="0.34899999999999998"/>
  </r>
  <r>
    <x v="6"/>
    <s v="CNN BR"/>
    <s v="cnn-marca-cnn-marca-display-bilboard-cielo_digi_superlink-as_25"/>
    <s v="289241786"/>
    <s v="Standard"/>
    <s v="marca-cnn-marca-display-bilboard-970x250-cielo_digi_superlink-as_25-cpm"/>
    <s v="482712710"/>
    <s v="Display"/>
    <n v="1"/>
    <n v="1"/>
    <n v="0.04"/>
    <n v="0.1"/>
    <n v="4.0000000000000003E-5"/>
    <n v="1E-4"/>
  </r>
  <r>
    <x v="6"/>
    <s v="CNN BR"/>
    <s v="cnn-marca-cnn-marca-display-billboard-cielo-brf_promodinheiroquevolta_diaria0411-as_25"/>
    <s v="286571240"/>
    <s v="Standard"/>
    <s v="970x250 Default Web Ad"/>
    <s v="478762434"/>
    <s v="Display"/>
    <n v="13"/>
    <n v="2"/>
    <n v="0.04"/>
    <n v="0.1"/>
    <n v="5.2000000000000006E-4"/>
    <n v="1.2999999999999999E-3"/>
  </r>
  <r>
    <x v="6"/>
    <s v="CNN BR"/>
    <s v="cnn-marca-cnn-marca-display-billboard-cielo-brf_promodinheiroquevolta_diaria0411-as_25"/>
    <s v="286571240"/>
    <s v="Standard"/>
    <s v="marca-cnn-marca-display-billboard-970x250-cielo-brf_promodinheiroquevolta_diaria0411-as_25-cpm"/>
    <s v="480230261"/>
    <s v="Display"/>
    <n v="289643"/>
    <n v="162"/>
    <n v="0.04"/>
    <n v="0.1"/>
    <n v="11.585719999999998"/>
    <n v="28.964300000000001"/>
  </r>
  <r>
    <x v="6"/>
    <s v="CNN BR"/>
    <s v="cnn-marca-cnn-marca-display-billboard-cielo-brf_promodinheiroquevolta_diaria2711-as_25"/>
    <s v="289017413"/>
    <s v="Standard"/>
    <s v="marca-cnn-marca-display-billboard-970x250-cielo-brf_promodinheiroquevolta_diaria2711-as_25-cpm"/>
    <s v="482578693"/>
    <s v="Display"/>
    <n v="102400"/>
    <n v="70"/>
    <n v="0.04"/>
    <n v="0.1"/>
    <n v="4.0960000000000001"/>
    <n v="10.24"/>
  </r>
  <r>
    <x v="6"/>
    <s v="CNN BR"/>
    <s v="cnn-marca-cnn-marca-display-billboard-cielo_alugel_bf-as_25"/>
    <s v="288939134"/>
    <s v="Standard"/>
    <s v="marca-cnn-marca-display-billboard-970x250-cielo_alugel_bf-as_25-cpm"/>
    <s v="482411501"/>
    <s v="Display"/>
    <n v="5393"/>
    <n v="13"/>
    <n v="0.04"/>
    <n v="0.1"/>
    <n v="0.21572"/>
    <n v="0.53930000000000011"/>
  </r>
  <r>
    <x v="6"/>
    <s v="CNN BR"/>
    <s v="cnn-marca-cnn-marca-display-billboard-cielo_bf_institucional-as_25"/>
    <s v="286928738"/>
    <s v="Standard"/>
    <s v="marca-cnn-marca-display-billboard-970x250-cielo_bf_institucional-as_25-cpm"/>
    <s v="480661879"/>
    <s v="Display"/>
    <n v="64519"/>
    <n v="67"/>
    <n v="0.04"/>
    <n v="0.1"/>
    <n v="2.5807600000000002"/>
    <n v="6.4519000000000002"/>
  </r>
  <r>
    <x v="6"/>
    <s v="CNN BR"/>
    <s v="cnn-marca-cnn-marca-display-billboard-cielo_bf_produtos-as_25"/>
    <s v="286928747"/>
    <s v="Standard"/>
    <s v="marca-cnn-marca-display-billboard-970x250-cielo_bf_produtos-as_25-cpm"/>
    <s v="480661888"/>
    <s v="Display"/>
    <n v="49087"/>
    <n v="97"/>
    <n v="0.04"/>
    <n v="0.1"/>
    <n v="1.9634800000000001"/>
    <n v="4.9086999999999996"/>
  </r>
  <r>
    <x v="6"/>
    <s v="CNN BR"/>
    <s v="cnn-marca-cnn-marca-display-billboard-cielo_sebrae-as_25"/>
    <s v="286523389"/>
    <s v="Standard"/>
    <s v="marca-cnn-marca-display-billboard-970x250-cielo_sebrae-as_25-cpm"/>
    <s v="480065890"/>
    <s v="Display"/>
    <n v="9992"/>
    <n v="22"/>
    <n v="0.04"/>
    <n v="0.1"/>
    <n v="0.39967999999999998"/>
    <n v="0.99920000000000009"/>
  </r>
  <r>
    <x v="6"/>
    <s v="CNN BR"/>
    <s v="cnn-marca-cnn-marca-display-halfpage-cielo_alugel_bf-as_25"/>
    <s v="288939143"/>
    <s v="Standard"/>
    <s v="marca-cnn-marca-display-halfpage-300x600-cielo_alugel_bf-as_25-cpm"/>
    <s v="482411510"/>
    <s v="Display"/>
    <n v="5613"/>
    <n v="6"/>
    <n v="0.04"/>
    <n v="0.1"/>
    <n v="0.22452"/>
    <n v="0.56130000000000002"/>
  </r>
  <r>
    <x v="6"/>
    <s v="CNN BR"/>
    <s v="cnn-marca-cnn-marca-display-halfpage-cielo_bf_institucional-as_25"/>
    <s v="286928750"/>
    <s v="Standard"/>
    <s v="marca-cnn-marca-display-halfpage-300x600-cielo_bf_institucional-as_25-cpm"/>
    <s v="480661891"/>
    <s v="Display"/>
    <n v="837"/>
    <n v="1"/>
    <n v="0.04"/>
    <n v="0.1"/>
    <n v="3.3480000000000003E-2"/>
    <n v="8.3699999999999997E-2"/>
  </r>
  <r>
    <x v="6"/>
    <s v="CNN BR"/>
    <s v="cnn-marca-cnn-marca-display-halfpage-cielo_bf_produtos-as_25"/>
    <s v="286928732"/>
    <s v="Standard"/>
    <s v="marca-cnn-marca-display-halfpage-300x600-cielo_bf_produtos-as_25-cpm"/>
    <s v="480661873"/>
    <s v="Display"/>
    <n v="887"/>
    <n v="1"/>
    <n v="0.04"/>
    <n v="0.1"/>
    <n v="3.5480000000000005E-2"/>
    <n v="8.8700000000000001E-2"/>
  </r>
  <r>
    <x v="6"/>
    <s v="CNN BR"/>
    <s v="cnn-marca-cnn-marca-display-halfpage-cielo_digi-as_25"/>
    <s v="284899995"/>
    <s v="Standard"/>
    <s v="marca-cnn-marca-display-halfpage-300x600-cielo_digi-as_25-cpm"/>
    <s v="478628644"/>
    <s v="Display"/>
    <n v="4353"/>
    <n v="3"/>
    <n v="0.04"/>
    <n v="0.1"/>
    <n v="0.17412"/>
    <n v="0.43530000000000002"/>
  </r>
  <r>
    <x v="6"/>
    <s v="CNN BR"/>
    <s v="cnn-marca-cnn-marca-display-halfpage-cielo_sebrae-as_25"/>
    <s v="286523398"/>
    <s v="Standard"/>
    <s v="marca-cnn-marca-display-halfpage-300x600-cielo_sebrae-as_25-cpm"/>
    <s v="480065899"/>
    <s v="Display"/>
    <n v="7892"/>
    <n v="7"/>
    <n v="0.04"/>
    <n v="0.1"/>
    <n v="0.31568000000000002"/>
    <n v="0.78920000000000001"/>
  </r>
  <r>
    <x v="6"/>
    <s v="CNN BR"/>
    <s v="cnn-marca-cnn-marca-display-leaderboard-cielo-brf_promodinheiroquevolta_diaria0411-as_25"/>
    <s v="286571246"/>
    <s v="Standard"/>
    <s v="marca-cnn-marca-display-leaderboard-728x90-cielo-brf_promodinheiroquevolta_diaria0411-as_25-cpm"/>
    <s v="480230267"/>
    <s v="Display"/>
    <n v="144394"/>
    <n v="22"/>
    <n v="0.04"/>
    <n v="0.1"/>
    <n v="5.77576"/>
    <n v="14.439400000000001"/>
  </r>
  <r>
    <x v="6"/>
    <s v="CNN BR"/>
    <s v="cnn-marca-cnn-marca-display-leaderboard-cielo-brf_promodinheiroquevolta_diaria2711-as_25"/>
    <s v="289017416"/>
    <s v="Standard"/>
    <s v="marca-cnn-marca-display-leaderboard-728x90-cielo-brf_promodinheiroquevolta_diaria2711-as_25-cpm"/>
    <s v="482578696"/>
    <s v="Display"/>
    <n v="1"/>
    <n v="1"/>
    <n v="0.04"/>
    <n v="0.1"/>
    <n v="4.0000000000000003E-5"/>
    <n v="1E-4"/>
  </r>
  <r>
    <x v="6"/>
    <s v="CNN BR"/>
    <s v="cnn-marca-cnn-marca-display-leaderboard-cielo_alugel_bf-as_25"/>
    <s v="288939137"/>
    <s v="Standard"/>
    <s v="marca-cnn-marca-display-leaderboard-728x90-cielo_alugel_bf-as_25-cpm"/>
    <s v="482411504"/>
    <s v="Display"/>
    <n v="2228"/>
    <n v="2"/>
    <n v="0.04"/>
    <n v="0.1"/>
    <n v="8.9120000000000005E-2"/>
    <n v="0.2228"/>
  </r>
  <r>
    <x v="6"/>
    <s v="CNN BR"/>
    <s v="cnn-marca-cnn-marca-display-leaderboard-cielo_bf_institucional-as_25"/>
    <s v="286928741"/>
    <s v="Standard"/>
    <s v="marca-cnn-marca-display-leaderboard-728x90-cielo_bf_institucional-as_25-cpm"/>
    <s v="480661882"/>
    <s v="Display"/>
    <n v="315"/>
    <n v="1"/>
    <n v="0.04"/>
    <n v="0.1"/>
    <n v="1.26E-2"/>
    <n v="3.15E-2"/>
  </r>
  <r>
    <x v="6"/>
    <s v="CNN BR"/>
    <s v="cnn-marca-cnn-marca-display-leaderboard-cielo_bf_produtos-as_25"/>
    <s v="286928753"/>
    <s v="Standard"/>
    <s v="marca-cnn-marca-display-leaderboard-728x90-cielo_bf_produtos-as_25-cpm"/>
    <s v="480661894"/>
    <s v="Display"/>
    <n v="298"/>
    <n v="1"/>
    <n v="0.04"/>
    <n v="0.1"/>
    <n v="1.192E-2"/>
    <n v="2.98E-2"/>
  </r>
  <r>
    <x v="6"/>
    <s v="CNN BR"/>
    <s v="cnn-marca-cnn-marca-display-leaderboard-cielo_digi-as_25"/>
    <s v="284899989"/>
    <s v="Standard"/>
    <s v="marca-cnn-marca-display-leaderboard-728x90-cielo_digi-as_25-cpm"/>
    <s v="478628638"/>
    <s v="Display"/>
    <n v="1426"/>
    <n v="0"/>
    <n v="0.04"/>
    <n v="0.1"/>
    <n v="5.704E-2"/>
    <n v="0.1426"/>
  </r>
  <r>
    <x v="6"/>
    <s v="CNN BR"/>
    <s v="cnn-marca-cnn-marca-display-leaderboard-cielo_sebrae-as_25"/>
    <s v="286523392"/>
    <s v="Standard"/>
    <s v="marca-cnn-marca-display-leaderboard-728x90-cielo_sebrae-as_25-cpm"/>
    <s v="480065893"/>
    <s v="Display"/>
    <n v="694"/>
    <n v="0"/>
    <n v="0.04"/>
    <n v="0.1"/>
    <n v="2.776E-2"/>
    <n v="6.9400000000000003E-2"/>
  </r>
  <r>
    <x v="6"/>
    <s v="CNN BR"/>
    <s v="cnn-marca-cnn-marca-display-mobile-cielo-brf_promodinheiroquevolta_diaria0411-as_25"/>
    <s v="286571243"/>
    <s v="Standard"/>
    <s v="320x50 Default Web Ad"/>
    <s v="478525217"/>
    <s v="Display"/>
    <n v="4"/>
    <n v="0"/>
    <n v="0.04"/>
    <n v="0.1"/>
    <n v="1.6000000000000001E-4"/>
    <n v="4.0000000000000002E-4"/>
  </r>
  <r>
    <x v="6"/>
    <s v="CNN BR"/>
    <s v="cnn-marca-cnn-marca-display-mobile-cielo-brf_promodinheiroquevolta_diaria0411-as_25"/>
    <s v="286571243"/>
    <s v="Standard"/>
    <s v="marca-cnn-marca-display-mobile-320x50-cielo-brf_promodinheiroquevolta_diaria0411-as_25-cpm"/>
    <s v="480230264"/>
    <s v="Display"/>
    <n v="802804"/>
    <n v="1299"/>
    <n v="0.04"/>
    <n v="0.1"/>
    <n v="32.112160000000003"/>
    <n v="80.280400000000014"/>
  </r>
  <r>
    <x v="6"/>
    <s v="CNN BR"/>
    <s v="cnn-marca-cnn-marca-display-mobile-cielo-brf_promodinheiroquevolta_diaria2711-as_25"/>
    <s v="289017419"/>
    <s v="Standard"/>
    <s v="marca-cnn-marca-display-mobile-320x50-cielo-brf_promodinheiroquevolta_diaria2711-as_25-cpm"/>
    <s v="482578699"/>
    <s v="Display"/>
    <n v="147754"/>
    <n v="365"/>
    <n v="0.04"/>
    <n v="0.1"/>
    <n v="5.9101599999999994"/>
    <n v="14.775400000000001"/>
  </r>
  <r>
    <x v="6"/>
    <s v="CNN BR"/>
    <s v="cnn-marca-cnn-marca-display-mobile-cielo_alugel_bf-as_25"/>
    <s v="288939140"/>
    <s v="Standard"/>
    <s v="marca-cnn-marca-display-mobile-320x50-cielo_alugel_bf-as_25-cpm"/>
    <s v="482411507"/>
    <s v="Display"/>
    <n v="49010"/>
    <n v="215"/>
    <n v="0.04"/>
    <n v="0.1"/>
    <n v="1.9604000000000001"/>
    <n v="4.9009999999999998"/>
  </r>
  <r>
    <x v="6"/>
    <s v="CNN BR"/>
    <s v="cnn-marca-cnn-marca-display-mobile-cielo_bf_institucional-as_25"/>
    <s v="286928744"/>
    <s v="Standard"/>
    <s v="320x50 Default Web Ad"/>
    <s v="478525217"/>
    <s v="Display"/>
    <n v="1"/>
    <n v="0"/>
    <n v="0.04"/>
    <n v="0.1"/>
    <n v="4.0000000000000003E-5"/>
    <n v="1E-4"/>
  </r>
  <r>
    <x v="6"/>
    <s v="CNN BR"/>
    <s v="cnn-marca-cnn-marca-display-mobile-cielo_bf_institucional-as_25"/>
    <s v="286928744"/>
    <s v="Standard"/>
    <s v="marca-cnn-marca-display-mobile-320x50-cielo_bf_institucional-as_25-cpm"/>
    <s v="480661885"/>
    <s v="Display"/>
    <n v="220290"/>
    <n v="859"/>
    <n v="0.04"/>
    <n v="0.1"/>
    <n v="8.8116000000000003"/>
    <n v="22.029"/>
  </r>
  <r>
    <x v="6"/>
    <s v="CNN BR"/>
    <s v="cnn-marca-cnn-marca-display-mobile-cielo_bf_produtos-as_25"/>
    <s v="286928729"/>
    <s v="Standard"/>
    <s v="320x50 Default Web Ad"/>
    <s v="478525217"/>
    <s v="Display"/>
    <n v="1"/>
    <n v="0"/>
    <n v="0.04"/>
    <n v="0.1"/>
    <n v="4.0000000000000003E-5"/>
    <n v="1E-4"/>
  </r>
  <r>
    <x v="6"/>
    <s v="CNN BR"/>
    <s v="cnn-marca-cnn-marca-display-mobile-cielo_bf_produtos-as_25"/>
    <s v="286928729"/>
    <s v="Standard"/>
    <s v="marca-cnn-marca-display-mobile-320x50-cielo_bf_produtos-as_25-cpm"/>
    <s v="480661870"/>
    <s v="Display"/>
    <n v="134350"/>
    <n v="574"/>
    <n v="0.04"/>
    <n v="0.1"/>
    <n v="5.3739999999999997"/>
    <n v="13.435"/>
  </r>
  <r>
    <x v="6"/>
    <s v="CNN BR"/>
    <s v="cnn-marca-cnn-marca-display-mobile-cielo_digi-as_25"/>
    <s v="284899992"/>
    <s v="Standard"/>
    <s v="marca-cnn-marca-display-mobile-320x50-cielo_digi-as_25-cpm"/>
    <s v="478628641"/>
    <s v="Display"/>
    <n v="19843"/>
    <n v="84"/>
    <n v="0.04"/>
    <n v="0.1"/>
    <n v="0.79371999999999998"/>
    <n v="1.9843000000000002"/>
  </r>
  <r>
    <x v="6"/>
    <s v="CNN BR"/>
    <s v="cnn-marca-cnn-marca-display-mobile-cielo_digi_superlink-as_25"/>
    <s v="289241789"/>
    <s v="Standard"/>
    <s v="marca-cnn-marca-display-mobile-320x50-cielo_digi_superlink-as_25-cpm"/>
    <s v="482712713"/>
    <s v="Display"/>
    <n v="1"/>
    <n v="1"/>
    <n v="0.04"/>
    <n v="0.1"/>
    <n v="4.0000000000000003E-5"/>
    <n v="1E-4"/>
  </r>
  <r>
    <x v="6"/>
    <s v="CNN BR"/>
    <s v="cnn-marca-cnn-marca-display-mobile-cielo_sebrae-as_25"/>
    <s v="286523395"/>
    <s v="Standard"/>
    <s v="marca-cnn-marca-display-mobile-320x50-cielo_sebrae-as_25-cpm"/>
    <s v="480065896"/>
    <s v="Display"/>
    <n v="92281"/>
    <n v="406"/>
    <n v="0.04"/>
    <n v="0.1"/>
    <n v="3.6912400000000001"/>
    <n v="9.2280999999999995"/>
  </r>
  <r>
    <x v="7"/>
    <s v="Oath - Verizon Media"/>
    <s v="covid19-marca-verizon-marca-social_dark-native-institucional_corona-as_25_interesses_varejo"/>
    <s v="271001565"/>
    <s v="Dynamic Click"/>
    <s v="marca-marca-social_dark-native-627x627-institucional_corona-as_25_interesses_varejo-cpm"/>
    <s v="465500034"/>
    <s v="Tracking"/>
    <n v="0"/>
    <n v="1"/>
    <n v="3.5000000000000001E-3"/>
    <n v="2.5000000000000001E-2"/>
    <n v="3.5000000000000001E-3"/>
    <n v="2.5000000000000001E-2"/>
  </r>
  <r>
    <x v="8"/>
    <s v="Google Brasil"/>
    <s v="digitalizacao-marca-dv360-marca-display-display-app_instal_estatico_ios-base_clientes_digitalizacao"/>
    <s v="280868915"/>
    <s v="Standard"/>
    <s v="320x50 Default Web Ad"/>
    <s v="475015882"/>
    <s v="Display"/>
    <n v="3446"/>
    <n v="3"/>
    <n v="0.04"/>
    <n v="0.1"/>
    <n v="0.13783999999999999"/>
    <n v="0.34460000000000002"/>
  </r>
  <r>
    <x v="8"/>
    <s v="Google Brasil"/>
    <s v="digitalizacao-marca-dv360-marca-display-display-app_instal_estatico_ios-base_clientes_digitalizacao"/>
    <s v="280868921"/>
    <s v="Standard"/>
    <s v="300x250 Default Web Ad"/>
    <s v="474794216"/>
    <s v="Display"/>
    <n v="613"/>
    <n v="0"/>
    <n v="0.04"/>
    <n v="0.1"/>
    <n v="2.452E-2"/>
    <n v="6.1300000000000007E-2"/>
  </r>
  <r>
    <x v="8"/>
    <s v="Google Brasil"/>
    <s v="digitalizacao-marca-dv360-marca-display-display-app_instal_estatico_ios-base_clientes_digitalizacao"/>
    <s v="280868927"/>
    <s v="Standard"/>
    <s v="320x480 Default Web Ad"/>
    <s v="475082622"/>
    <s v="Display"/>
    <n v="493"/>
    <n v="6"/>
    <n v="0.04"/>
    <n v="0.1"/>
    <n v="1.9719999999999998E-2"/>
    <n v="4.9300000000000004E-2"/>
  </r>
  <r>
    <x v="8"/>
    <s v="Google Brasil"/>
    <s v="digitalizacao-marca-dv360-marca-display-medium_rectangle-visitas_site_estatico_atendimento_online-base_clientes_digitalizacao"/>
    <s v="280868882"/>
    <s v="Standard"/>
    <s v="300x250 Default Web Ad"/>
    <s v="474794216"/>
    <s v="Display"/>
    <n v="479007"/>
    <n v="541"/>
    <n v="0.04"/>
    <n v="0.1"/>
    <n v="19.16028"/>
    <n v="47.900700000000008"/>
  </r>
  <r>
    <x v="8"/>
    <s v="Google Brasil"/>
    <s v="digitalizacao-marca-dv360-marca-display-medium_rectangle-visitas_site_estatico_contratacao_produtos-base_clientes_digitalizacao"/>
    <s v="280868879"/>
    <s v="Standard"/>
    <s v="300x250 Default Web Ad"/>
    <s v="474794216"/>
    <s v="Display"/>
    <n v="999932"/>
    <n v="1262"/>
    <n v="0.04"/>
    <n v="0.1"/>
    <n v="39.997279999999996"/>
    <n v="99.993200000000016"/>
  </r>
  <r>
    <x v="8"/>
    <s v="Google Brasil"/>
    <s v="digitalizacao-marca-dv360-marca-video-video-visitas_site_ganhar_tempo_video15-base_clientes_digitalizacao"/>
    <s v="281241237"/>
    <s v="Rich Media display banner"/>
    <s v="Default In-stream Landscape Ad"/>
    <s v="475100267"/>
    <s v="In-Stream Video"/>
    <n v="829343"/>
    <n v="1568"/>
    <n v="0.6"/>
    <n v="0.35"/>
    <n v="497.60579999999999"/>
    <n v="290.27004999999997"/>
  </r>
  <r>
    <x v="8"/>
    <s v="Google Brasil"/>
    <s v="digitalizacao-marca-dv360-marca-video-video-visitas_site_promocoes_maquina_video15-base_clientes_digitalizacao"/>
    <s v="281241234"/>
    <s v="Rich Media display banner"/>
    <s v="Default In-stream Landscape Ad"/>
    <s v="475100267"/>
    <s v="In-Stream Video"/>
    <n v="714001"/>
    <n v="1381"/>
    <n v="0.6"/>
    <n v="0.35"/>
    <n v="428.4006"/>
    <n v="249.90034999999997"/>
  </r>
  <r>
    <x v="8"/>
    <s v="Oath - Verizon Media"/>
    <s v="digitalizacao-marca-verizon-marca-display-billboard-visitas_site_animado-base_clientes_digitalizacao"/>
    <s v="280868825"/>
    <s v="Standard"/>
    <s v="970x250 Default Web Ad"/>
    <s v="474795959"/>
    <s v="Display"/>
    <n v="16595"/>
    <n v="9"/>
    <n v="0.04"/>
    <n v="0.1"/>
    <n v="0.66380000000000006"/>
    <n v="1.6595"/>
  </r>
  <r>
    <x v="8"/>
    <s v="Oath - Verizon Media"/>
    <s v="digitalizacao-marca-verizon-marca-display-billboard-visitas_site_estatico-base_clientes_digitalizacao"/>
    <s v="280746893"/>
    <s v="Standard"/>
    <s v="970x250 Default Web Ad"/>
    <s v="474795959"/>
    <s v="Display"/>
    <n v="16432"/>
    <n v="12"/>
    <n v="0.04"/>
    <n v="0.1"/>
    <n v="0.65727999999999998"/>
    <n v="1.6432"/>
  </r>
  <r>
    <x v="8"/>
    <s v="Oath - Verizon Media"/>
    <s v="digitalizacao-marca-verizon-marca-display-large_mobile_banner-visitas_site_animado-base_clientes_digitalizacao"/>
    <s v="280868831"/>
    <s v="Standard"/>
    <s v="320x100 Default Web Ad"/>
    <s v="475016728"/>
    <s v="Display"/>
    <n v="223549"/>
    <n v="436"/>
    <n v="0.04"/>
    <n v="0.1"/>
    <n v="8.9419600000000017"/>
    <n v="22.354900000000001"/>
  </r>
  <r>
    <x v="8"/>
    <s v="Oath - Verizon Media"/>
    <s v="digitalizacao-marca-verizon-marca-display-large_rectangle-visitas_site_animado-base_clientes_digitalizacao"/>
    <s v="280868828"/>
    <s v="Standard"/>
    <s v="336x280 Default Web Ad"/>
    <s v="475081092"/>
    <s v="Display"/>
    <n v="21970"/>
    <n v="21"/>
    <n v="0.04"/>
    <n v="0.1"/>
    <n v="0.87880000000000003"/>
    <n v="2.1970000000000001"/>
  </r>
  <r>
    <x v="8"/>
    <s v="Oath - Verizon Media"/>
    <s v="digitalizacao-marca-verizon-marca-display-leaderboard-visitas_site_animado-base_clientes_digitalizacao"/>
    <s v="280868942"/>
    <s v="Standard"/>
    <s v="728x90 Default Web Ad"/>
    <s v="475082625"/>
    <s v="Display"/>
    <n v="1793164"/>
    <n v="1439"/>
    <n v="0.04"/>
    <n v="0.1"/>
    <n v="71.726559999999992"/>
    <n v="179.31640000000002"/>
  </r>
  <r>
    <x v="8"/>
    <s v="Oath - Verizon Media"/>
    <s v="digitalizacao-marca-verizon-marca-display-medium_rectangle-visitas_site_animado-base_clientes_digitalizacao"/>
    <s v="280868936"/>
    <s v="Standard"/>
    <s v="300x250 Default Web Ad"/>
    <s v="474794216"/>
    <s v="Display"/>
    <n v="1040983"/>
    <n v="216"/>
    <n v="0.04"/>
    <n v="0.1"/>
    <n v="41.639319999999998"/>
    <n v="104.09830000000001"/>
  </r>
  <r>
    <x v="8"/>
    <s v="Oath - Verizon Media"/>
    <s v="digitalizacao-marca-verizon-marca-display-medium_rectangle-visitas_site_estatico_acesse_agora-base_clientes_digitalizacao"/>
    <s v="280950718"/>
    <s v="Standard"/>
    <s v="300x250 Default Web Ad"/>
    <s v="474794216"/>
    <s v="Display"/>
    <n v="1041811"/>
    <n v="258"/>
    <n v="0.04"/>
    <n v="0.1"/>
    <n v="41.672440000000002"/>
    <n v="104.1811"/>
  </r>
  <r>
    <x v="8"/>
    <s v="Oath - Verizon Media"/>
    <s v="digitalizacao-marca-verizon-marca-display-medium_rectangle-visitas_site_estatico_confira-base_clientes_digitalizacao"/>
    <s v="280746896"/>
    <s v="Standard"/>
    <s v="300x250 Default Web Ad"/>
    <s v="474794216"/>
    <s v="Display"/>
    <n v="1045410"/>
    <n v="229"/>
    <n v="0.04"/>
    <n v="0.1"/>
    <n v="41.816400000000002"/>
    <n v="104.541"/>
  </r>
  <r>
    <x v="8"/>
    <s v="Oath - Verizon Media"/>
    <s v="digitalizacao-marca-verizon-marca-native-native-visitas_site_estatico-base_clientes_digitalizacao"/>
    <s v="280746890"/>
    <s v="Dynamic Click"/>
    <s v="marca-verizon-marca-native-native-1200x627-visitas_site_estatico-base_clientes_digitalizacao-cpm"/>
    <s v="474953118"/>
    <s v="Tracking"/>
    <n v="0"/>
    <n v="5322"/>
    <n v="3.5000000000000001E-3"/>
    <n v="2.5000000000000001E-2"/>
    <n v="18.626999999999999"/>
    <n v="133.05000000000001"/>
  </r>
  <r>
    <x v="9"/>
    <s v="BR Globo"/>
    <s v="pegn-marca-globo-marca-display-billboard-cielo_sebraebf-as_25_interesses"/>
    <s v="286964040"/>
    <s v="Standard"/>
    <s v="pegn-marca-globo-marca-display-billboard-cielo_sebraebf-as_25_interesses"/>
    <s v="480483188"/>
    <s v="Display"/>
    <n v="5"/>
    <n v="1"/>
    <n v="0.04"/>
    <n v="0.1"/>
    <n v="2.0000000000000001E-4"/>
    <n v="5.0000000000000001E-4"/>
  </r>
  <r>
    <x v="9"/>
    <s v="BR Globo"/>
    <s v="pegn-marca-globo-marca-display-carrossel-cielo_aluguel_bf-as_25_interesses"/>
    <s v="289011734"/>
    <s v="Standard"/>
    <s v="marca-globo-marca-display-carrossel-400x300-cielo_aluguel_bf-as_25_interesses-cpm"/>
    <s v="482485157"/>
    <s v="Tracking"/>
    <n v="23809"/>
    <n v="62"/>
    <n v="0.04"/>
    <n v="0.1"/>
    <n v="0.95235999999999998"/>
    <n v="2.3809"/>
  </r>
  <r>
    <x v="9"/>
    <s v="BR Globo"/>
    <s v="pegn-marca-globo-marca-display-carrossel-cielo_bf_institucional-as_25_interesses"/>
    <s v="287031801"/>
    <s v="Standard"/>
    <s v="marca-globo-marca-display-carrossel-400x300-cielo_bf_institucional-as_25_interesses-cpm"/>
    <s v="480530675"/>
    <s v="Tracking"/>
    <n v="501550"/>
    <n v="1547"/>
    <n v="0.04"/>
    <n v="0.1"/>
    <n v="20.062000000000001"/>
    <n v="50.155000000000001"/>
  </r>
  <r>
    <x v="9"/>
    <s v="BR Globo"/>
    <s v="pegn-marca-globo-marca-display-carrossel-cielo_bf_produtos-as_25_interesses"/>
    <s v="287031810"/>
    <s v="Standard"/>
    <s v="marca-globo-marca-display-carrossel-400x300-cielo_bf_produtos-as_25_interesses-cpm"/>
    <s v="480530681"/>
    <s v="Tracking"/>
    <n v="236895"/>
    <n v="627"/>
    <n v="0.04"/>
    <n v="0.1"/>
    <n v="9.4758000000000013"/>
    <n v="23.689499999999999"/>
  </r>
  <r>
    <x v="9"/>
    <s v="BR Globo"/>
    <s v="pegn-marca-globo-marca-display-carrossel-cielo_digi-as_25_interesses"/>
    <s v="285105463"/>
    <s v="Standard"/>
    <s v="marca-globo-marca-display-carrossel-400x300-cielo_digi-as_25_interesses-cpm"/>
    <s v="478692134"/>
    <s v="Tracking"/>
    <n v="227671"/>
    <n v="686"/>
    <n v="0.04"/>
    <n v="0.1"/>
    <n v="9.10684"/>
    <n v="22.767100000000003"/>
  </r>
  <r>
    <x v="9"/>
    <s v="BR Globo"/>
    <s v="pegn-marca-globo-marca-display-carrossel-cielo_digi_superlink-as_25_interesses"/>
    <s v="289428363"/>
    <s v="Dynamic Click"/>
    <s v="marca-globo-marca-display-carrossel-400x300-cielo_digi_superlink-as_25_interesses-cpm"/>
    <s v="482736482"/>
    <s v="Tracking"/>
    <n v="0"/>
    <n v="1"/>
    <n v="3.5000000000000001E-3"/>
    <n v="2.5000000000000001E-2"/>
    <n v="3.5000000000000001E-3"/>
    <n v="2.5000000000000001E-2"/>
  </r>
  <r>
    <x v="9"/>
    <s v="BR Globo"/>
    <s v="pegn-marca-globo-marca-display-maxiboard-cielo_aluguel_bf-as_25_interesses"/>
    <s v="289242879"/>
    <s v="Default"/>
    <s v="970x150 Default Web Ad"/>
    <s v="467625211"/>
    <s v="Display"/>
    <n v="1"/>
    <n v="1"/>
    <n v="0.04"/>
    <n v="0.1"/>
    <n v="4.0000000000000003E-5"/>
    <n v="1E-4"/>
  </r>
  <r>
    <x v="9"/>
    <s v="BR Globo"/>
    <s v="pegn-marca-globo-marca-display-maxiboard-cielo_aluguel_bf-as_25_interesses"/>
    <s v="289242879"/>
    <s v="Standard"/>
    <s v="marca-globo-marca-display-maxiboard-970x150-cielo_aluguel_bf-as_25_interesses-cpm"/>
    <s v="482874648"/>
    <s v="Display"/>
    <n v="2348"/>
    <n v="2"/>
    <n v="0.04"/>
    <n v="0.1"/>
    <n v="9.3920000000000003E-2"/>
    <n v="0.23480000000000001"/>
  </r>
  <r>
    <x v="9"/>
    <s v="BR Globo"/>
    <s v="pegn-marca-globo-marca-display-maxiboard-cielo_bf_institucional-as_25_interesses"/>
    <s v="287031807"/>
    <s v="Standard"/>
    <s v="marca-globo-marca-display-maxiboard-970x150-cielo_bf_institucional-as_25_interesses-cpm"/>
    <s v="480530678"/>
    <s v="Display"/>
    <n v="12042"/>
    <n v="7"/>
    <n v="0.04"/>
    <n v="0.1"/>
    <n v="0.48168"/>
    <n v="1.2041999999999999"/>
  </r>
  <r>
    <x v="9"/>
    <s v="BR Globo"/>
    <s v="pegn-marca-globo-marca-display-maxiboard-cielo_bf_produtos-as_25_interesses"/>
    <s v="287031792"/>
    <s v="Standard"/>
    <s v="marca-globo-marca-display-maxiboard-970x150-cielo_bf_produtos-as_25_interesses-cpm"/>
    <s v="480530666"/>
    <s v="Display"/>
    <n v="7896"/>
    <n v="5"/>
    <n v="0.04"/>
    <n v="0.1"/>
    <n v="0.31584000000000001"/>
    <n v="0.78959999999999997"/>
  </r>
  <r>
    <x v="9"/>
    <s v="BR Globo"/>
    <s v="pegn-marca-globo-marca-display-maxiboard-cielo_digi-as_25_interesses"/>
    <s v="284898169"/>
    <s v="Standard"/>
    <s v="marca-globo-marca-display-maxiboard-970x150-cielo_digi-as_25_interesses-cpm"/>
    <s v="478502708"/>
    <s v="Display"/>
    <n v="20229"/>
    <n v="13"/>
    <n v="0.04"/>
    <n v="0.1"/>
    <n v="0.80915999999999999"/>
    <n v="2.0228999999999999"/>
  </r>
  <r>
    <x v="9"/>
    <s v="BR Globo"/>
    <s v="pegn-marca-globo-marca-display-maxiboard-cielo_sebraebf-as_25_interesses"/>
    <s v="286664086"/>
    <s v="Standard"/>
    <s v="970x150 Default Web Ad"/>
    <s v="467625211"/>
    <s v="Display"/>
    <n v="12"/>
    <n v="1"/>
    <n v="0.04"/>
    <n v="0.1"/>
    <n v="4.7999999999999996E-4"/>
    <n v="1.2000000000000001E-3"/>
  </r>
  <r>
    <x v="9"/>
    <s v="BR Globo"/>
    <s v="pegn-marca-globo-marca-display-medium_rectangle-cielo_aluguel_bf-as_25_interesses"/>
    <s v="287031816"/>
    <s v="Standard"/>
    <s v="marca-globo-marca-display-medium_rectangle-300x250-cielo_aluguel_bf-as_25_interesses-cpm"/>
    <s v="482504770"/>
    <s v="Display"/>
    <n v="31547"/>
    <n v="76"/>
    <n v="0.04"/>
    <n v="0.1"/>
    <n v="1.2618800000000001"/>
    <n v="3.1547000000000001"/>
  </r>
  <r>
    <x v="9"/>
    <s v="BR Globo"/>
    <s v="pegn-marca-globo-marca-display-medium_rectangle-cielo_bf_institucional-as_25_interesses"/>
    <s v="287031813"/>
    <s v="Standard"/>
    <s v="marca-globo-marca-display-medium_rectangle-300x250-cielo_bf_institucional-as_25_interesses-cpm"/>
    <s v="480530684"/>
    <s v="Display"/>
    <n v="50509"/>
    <n v="155"/>
    <n v="0.04"/>
    <n v="0.1"/>
    <n v="2.0203600000000002"/>
    <n v="5.0509000000000004"/>
  </r>
  <r>
    <x v="9"/>
    <s v="BR Globo"/>
    <s v="pegn-marca-globo-marca-display-medium_rectangle-cielo_bf_produtos-as_25_interesses"/>
    <s v="287031795"/>
    <s v="Standard"/>
    <s v="marca-globo-marca-display-medium_rectangle-300x250-cielo_bf_produtos-as_25_interesses-cpm"/>
    <s v="480530669"/>
    <s v="Display"/>
    <n v="54557"/>
    <n v="127"/>
    <n v="0.04"/>
    <n v="0.1"/>
    <n v="2.18228"/>
    <n v="5.4557000000000011"/>
  </r>
  <r>
    <x v="9"/>
    <s v="BR Globo"/>
    <s v="pegn-marca-globo-marca-display-medium_rectangle-cielo_digi-as_25_interesses"/>
    <s v="284898172"/>
    <s v="Standard"/>
    <s v="marca-globo-marca-display-medium_rectangle-300x250-cielo_digi-as_25_interesses-cpm"/>
    <s v="478502711"/>
    <s v="Display"/>
    <n v="387375"/>
    <n v="837"/>
    <n v="0.04"/>
    <n v="0.1"/>
    <n v="15.494999999999999"/>
    <n v="38.737499999999997"/>
  </r>
  <r>
    <x v="9"/>
    <s v="BR Globo"/>
    <s v="pegn-marca-globo-marca-display-medium_rectangle-cielo_sebraebf-as_25_interesses"/>
    <s v="286667440"/>
    <s v="Standard"/>
    <s v="marca-globo-marca-display-medium_rectangle-300x250-cielo_sebraebf-as_25_interesses-cpm"/>
    <s v="480215380"/>
    <s v="Display"/>
    <n v="13"/>
    <n v="1"/>
    <n v="0.04"/>
    <n v="0.1"/>
    <n v="5.2000000000000006E-4"/>
    <n v="1.2999999999999999E-3"/>
  </r>
  <r>
    <x v="9"/>
    <s v="BR Globo"/>
    <s v="pegn-marca-globo-marca-display-stick_ad-cielo_aluguel_bf-as_25_interesses"/>
    <s v="287031804"/>
    <s v="Standard"/>
    <s v="320x50 Default Web Ad"/>
    <s v="467630112"/>
    <s v="Display"/>
    <n v="1"/>
    <n v="0"/>
    <n v="0.04"/>
    <n v="0.1"/>
    <n v="4.0000000000000003E-5"/>
    <n v="1E-4"/>
  </r>
  <r>
    <x v="9"/>
    <s v="BR Globo"/>
    <s v="pegn-marca-globo-marca-display-stick_ad-cielo_aluguel_bf-as_25_interesses"/>
    <s v="287031804"/>
    <s v="Standard"/>
    <s v="marca-globo-marca-display-stick_ad-320x50-cielo_aluguel_bf-as_25_interesses-cpm"/>
    <s v="482702340"/>
    <s v="Display"/>
    <n v="518"/>
    <n v="3"/>
    <n v="0.04"/>
    <n v="0.1"/>
    <n v="2.0719999999999999E-2"/>
    <n v="5.1800000000000006E-2"/>
  </r>
  <r>
    <x v="9"/>
    <s v="BR Globo"/>
    <s v="pegn-marca-globo-marca-display-stick_ad-cielo_bf_institucional-as_25_interesses"/>
    <s v="287031819"/>
    <s v="Standard"/>
    <s v="marca-globo-marca-display-stick_ad-320x50-cielo_bf_institucional-as_25_interesses-cpm"/>
    <s v="480530687"/>
    <s v="Display"/>
    <n v="9"/>
    <n v="3"/>
    <n v="0.04"/>
    <n v="0.1"/>
    <n v="3.5999999999999997E-4"/>
    <n v="8.9999999999999998E-4"/>
  </r>
  <r>
    <x v="9"/>
    <s v="BR Globo"/>
    <s v="pegn-marca-globo-marca-display-stick_ad-cielo_bf_produtos-as_25_interesses"/>
    <s v="287031798"/>
    <s v="Standard"/>
    <s v="marca-globo-marca-display-stick_ad-320x50-cielo_bf_produtos-as_25_interesses-cpm"/>
    <s v="480530672"/>
    <s v="Display"/>
    <n v="15"/>
    <n v="1"/>
    <n v="0.04"/>
    <n v="0.1"/>
    <n v="5.9999999999999995E-4"/>
    <n v="1.5E-3"/>
  </r>
  <r>
    <x v="9"/>
    <s v="BR Globo"/>
    <s v="pegn-marca-globo-marca-display-stick_ad-cielo_digi-as_25_interesses"/>
    <s v="284898175"/>
    <s v="Standard"/>
    <s v="marca-globo-marca-display-stick_ad-320x50-cielo_digi-as_25_interesses-cpm"/>
    <s v="478502714"/>
    <s v="Display"/>
    <n v="823"/>
    <n v="2"/>
    <n v="0.04"/>
    <n v="0.1"/>
    <n v="3.2920000000000005E-2"/>
    <n v="8.2300000000000012E-2"/>
  </r>
  <r>
    <x v="9"/>
    <s v="BR Globo"/>
    <s v="pegn-marca-globo-marca-display-stick_ad-cielo_sebraebf-as_25_interesses"/>
    <s v="286472255"/>
    <s v="Standard"/>
    <s v="marca-globo-marca-display-stick_ad-320x50-cielo_sebraebf-as_25_interesses-cpm"/>
    <s v="480215164"/>
    <s v="Display"/>
    <n v="14"/>
    <n v="1"/>
    <n v="0.04"/>
    <n v="0.1"/>
    <n v="5.6000000000000006E-4"/>
    <n v="1.4000000000000002E-3"/>
  </r>
  <r>
    <x v="9"/>
    <s v="BR Globo"/>
    <s v="pegn-marca-globo-marca-video-pre_roll-cielo_bf_institucional-as_25_interesses"/>
    <s v="287026089"/>
    <s v="Rich Media display banner"/>
    <s v="marca-globo-marca-video-pre_roll-1920x1080-cielo_bf_institucional-as_25_interesses-cpm"/>
    <s v="480756060"/>
    <s v="In-Stream Video"/>
    <n v="17816"/>
    <n v="439"/>
    <n v="0.6"/>
    <n v="0.35"/>
    <n v="10.6896"/>
    <n v="6.2355999999999998"/>
  </r>
  <r>
    <x v="9"/>
    <s v="BR Globo"/>
    <s v="pegn-marca-globo-marca-video-pre_roll-cielo_bf_produtos-as_25_interesses"/>
    <s v="287026086"/>
    <s v="Rich Media display banner"/>
    <s v="marca-globo-marca-video-pre_roll-1920x1080-cielo_bf_produtos-as_25_interesses-cpm"/>
    <s v="480756063"/>
    <s v="In-Stream Video"/>
    <n v="9817"/>
    <n v="210"/>
    <n v="0.6"/>
    <n v="0.35"/>
    <n v="5.8902000000000001"/>
    <n v="3.4359499999999996"/>
  </r>
  <r>
    <x v="9"/>
    <s v="BR Globo"/>
    <s v="pegn-marca-globo-marca-video-pre_roll-cielo_digi-as_25_interesses"/>
    <s v="284898166"/>
    <s v="Rich Media display banner"/>
    <s v="marca-globo-marca-video-pre_roll-1920x1080-cielo_digi-as_25_interesses-cpm"/>
    <s v="478502705"/>
    <s v="In-Stream Video"/>
    <n v="8257"/>
    <n v="216"/>
    <n v="0.6"/>
    <n v="0.35"/>
    <n v="4.9542000000000002"/>
    <n v="2.8899499999999998"/>
  </r>
  <r>
    <x v="10"/>
    <s v="Google Brasil"/>
    <s v="superlink-marca-dv360_Outbrain-superlink-native-native_rectangle-superlink_vendapelasredessociais-AS25_microempreendedor_medioempreendedor_negocios_vendasonline_donosdenegocios"/>
    <s v="278995598"/>
    <s v="Standard"/>
    <s v="marca-dv360_Outbrain-superlink-native-native_rectangle-1200x627-superlink_vendapelasredessociais-AS25_microempreendedor_medioempreendedor_negocios_vendasonline_donosdenegocios-cpc"/>
    <s v="473258282"/>
    <s v="Tracking"/>
    <n v="68"/>
    <n v="1"/>
    <n v="0.04"/>
    <n v="0.1"/>
    <n v="2.7200000000000002E-3"/>
    <n v="6.8000000000000005E-3"/>
  </r>
  <r>
    <x v="10"/>
    <s v="Oath - Verizon Media"/>
    <s v="superlink-marca-verizon-superlink-display-medium_rectangle-sl_luta_diaria-AS25_microempreendedor_medioempreendedor_negocios_vendasonline_donosdenegocios"/>
    <s v="275211564"/>
    <s v="Standard"/>
    <s v="300x250 Default Web Ad"/>
    <s v="469441638"/>
    <s v="Display"/>
    <n v="2"/>
    <n v="0"/>
    <n v="0.04"/>
    <n v="0.1"/>
    <n v="8.0000000000000007E-5"/>
    <n v="2.0000000000000001E-4"/>
  </r>
  <r>
    <x v="10"/>
    <s v="Oath - Verizon Media"/>
    <s v="superlink-marca-verizon-superlink-display-skyscraper-sl_luta_diaria-AS25_microempreendedor_medioempreendedor_negocios_vendasonline_donosdenegocios"/>
    <s v="274854467"/>
    <s v="Standard"/>
    <s v="160x600 Default Web Ad"/>
    <s v="469372642"/>
    <s v="Display"/>
    <n v="10"/>
    <n v="0"/>
    <n v="0.04"/>
    <n v="0.1"/>
    <n v="4.0000000000000002E-4"/>
    <n v="1E-3"/>
  </r>
  <r>
    <x v="10"/>
    <s v="Oath - Verizon Media"/>
    <s v="superlink-marca-verizon-superlink-display-skyscraper-sl_luta_diaria-AS25_microempreendedor_medioempreendedor_negocios_vendasonline_donosdenegocios"/>
    <s v="274854467"/>
    <s v="Standard"/>
    <s v="marca-verizon-superlink-display-skyscraper-160x600-sl_luta_diaria-AS25_microempreendedor_medioempreendedor_negocios_vendasonline_donosdenegocios-cpm"/>
    <s v="469372684"/>
    <s v="Display"/>
    <n v="4"/>
    <n v="0"/>
    <n v="0.04"/>
    <n v="0.1"/>
    <n v="1.6000000000000001E-4"/>
    <n v="4.0000000000000002E-4"/>
  </r>
  <r>
    <x v="10"/>
    <s v="Oath - Verizon Media"/>
    <s v="superlink-marca-verizon-superlink-native-native-superlink-AS25_microempreendedor_medioempreendedor_negocios_vendasonline_donosdenegocios"/>
    <s v="274736543"/>
    <s v="Dynamic Click"/>
    <s v="marca-verizon-superlink-native-native-1200x627-superlink-AS25_microempreendedor_medioempreendedor_negocios_vendasonline_donosdenegocios-cpc"/>
    <s v="469322328"/>
    <s v="Tracking"/>
    <n v="0"/>
    <n v="4"/>
    <n v="3.5000000000000001E-3"/>
    <n v="2.5000000000000001E-2"/>
    <n v="1.4E-2"/>
    <n v="0.1"/>
  </r>
  <r>
    <x v="10"/>
    <s v="Oath - Verizon Media"/>
    <s v="superlink-marca-verizon-superlink-native-native-superlink_coronavoucher-AS25_microempreendedor_medioempreendedor_negocios_vendasonline_donosdenegocios"/>
    <s v="276183333"/>
    <s v="Dynamic Click"/>
    <s v="marca-verizon-superlink-native-native-1200x627-superlink_coronavoucher-AS25_microempreendedor_medioempreendedor_negocios_vendasonline_donosdenegocios-cpc"/>
    <s v="470337923"/>
    <s v="Tracking"/>
    <n v="0"/>
    <n v="1"/>
    <n v="3.5000000000000001E-3"/>
    <n v="2.5000000000000001E-2"/>
    <n v="3.5000000000000001E-3"/>
    <n v="2.5000000000000001E-2"/>
  </r>
  <r>
    <x v="10"/>
    <s v="Oath - Verizon Media"/>
    <s v="superlink-marca-verizon-superlink-native-native-superlink_vendas-AS25_microempreendedor_medioempreendedor_negocios_vendasonline_donosdenegocios"/>
    <s v="277693553"/>
    <s v="Dynamic Click"/>
    <s v="marca-verizon-superlink-native-native-1200x627-superlink_vendas-AS25_microempreendedor_medioempreendedor_negocios_vendasonline_donosdenegocios-cpc"/>
    <s v="472074485"/>
    <s v="Tracking"/>
    <n v="1"/>
    <n v="1"/>
    <n v="3.5000000000000001E-3"/>
    <n v="2.5000000000000001E-2"/>
    <n v="3.5000000000000001E-3"/>
    <n v="2.5000000000000001E-2"/>
  </r>
  <r>
    <x v="11"/>
    <s v="Oath - Verizon Media"/>
    <s v="superlink-marca-verizon-superlink-display-medium_rectangle-luta_diaria-remarketing"/>
    <s v="277001280"/>
    <s v="Standard"/>
    <s v="marca-verizon-superlink-display-medium_rectangle-300x250-luta_diaria-remarketing-cpm"/>
    <s v="471081239"/>
    <s v="Display"/>
    <n v="2"/>
    <n v="0"/>
    <n v="0.04"/>
    <n v="0.1"/>
    <n v="8.0000000000000007E-5"/>
    <n v="2.0000000000000001E-4"/>
  </r>
  <r>
    <x v="11"/>
    <s v="Oath - Verizon Media"/>
    <s v="superlink-marca-verizon-superlink-native-native-superlink_vendas_loggi-AS25_microempreendedor_medioempreendedor_negocios_vendasonline_donosdenegocios"/>
    <s v="277692728"/>
    <s v="Standard"/>
    <s v="marca-verizon-superlink-native-native-1200x627-superlink_vendas_loggi-AS25_microempreendedor_medioempreendedor_negocios_vendasonline_donosdenegocios-cpc"/>
    <s v="472074200"/>
    <s v="Tracking"/>
    <n v="1"/>
    <n v="0"/>
    <n v="0.04"/>
    <n v="0.1"/>
    <n v="4.0000000000000003E-5"/>
    <n v="1E-4"/>
  </r>
  <r>
    <x v="12"/>
    <s v="Google Brasil"/>
    <s v="superlink-marca-dv360_globo-superlink-display-billboard-sl_vendapelainternet_loggi_boost-as25_empreendedor_varejo_interesses"/>
    <s v="275147495"/>
    <s v="Standard"/>
    <s v="marca-dv360_globo-superlink-display-billboard-970x250-sl_vendapelainternet_loggi_boost-as25_empreendedor_varejo_interesses-cpm"/>
    <s v="469683752"/>
    <s v="Display"/>
    <n v="1"/>
    <n v="0"/>
    <n v="0.04"/>
    <n v="0.1"/>
    <n v="4.0000000000000003E-5"/>
    <n v="1E-4"/>
  </r>
  <r>
    <x v="12"/>
    <s v="Google Brasil"/>
    <s v="superlink-marca-dv360_globo-superlink-display-halfpage-sl_vendapelainternet_loggi_boost-as25_empreendedor_varejo_interesses"/>
    <s v="275146994"/>
    <s v="Standard"/>
    <s v="marca-dv360_globo-superlink-display-halfpage-300x600-sl_vendapelainternet_loggi_boost-as25_empreendedor_varejo_interesses-cpm"/>
    <s v="469763352"/>
    <s v="Display"/>
    <n v="1"/>
    <n v="0"/>
    <n v="0.04"/>
    <n v="0.1"/>
    <n v="4.0000000000000003E-5"/>
    <n v="1E-4"/>
  </r>
  <r>
    <x v="12"/>
    <s v="Google Brasil"/>
    <s v="superlink-marca-dv360_globo-superlink-display-leaderboard-sl_vendapelainternet_loggi_boost-as25_empreendedor_varejo_interesses"/>
    <s v="275438317"/>
    <s v="Standard"/>
    <s v="marca-dv360_globo-superlink-display-leaderboard-728x90-sl_vendapelainternet_loggi_boost-as25_empreendedor_varejo_interesses-cpm"/>
    <s v="469683749"/>
    <s v="Display"/>
    <n v="1"/>
    <n v="0"/>
    <n v="0.04"/>
    <n v="0.1"/>
    <n v="4.0000000000000003E-5"/>
    <n v="1E-4"/>
  </r>
  <r>
    <x v="12"/>
    <s v="Google Brasil"/>
    <s v="superlink-marca-dv360_globo-superlink-display-medium_rectangle-sl_vendapelainternet_loggi_boost-as25_empreendedor_varejo_interesses"/>
    <s v="275148332"/>
    <s v="Standard"/>
    <s v="marca-dv360_globo-superlink-display-medium_rectangle-300x250-sl_vendapelainternet_loggi_boost-as25_empreendedor_varejo_interesses-cpm"/>
    <s v="469767081"/>
    <s v="Display"/>
    <n v="1"/>
    <n v="0"/>
    <n v="0.04"/>
    <n v="0.1"/>
    <n v="4.0000000000000003E-5"/>
    <n v="1E-4"/>
  </r>
  <r>
    <x v="12"/>
    <s v="Google Brasil"/>
    <s v="superlink-marca-dv360_globo-superlink-display-skyscraper-sl_vendapelainternet_loggi_boost-as25_empreendedor_varejo_interesses"/>
    <s v="275148338"/>
    <s v="Standard"/>
    <s v="marca-dv360_globo-superlink-display-skyscraper-160x600-sl_vendapelainternet_loggi_boost-as25_empreendedor_varejo_interesses-cpm"/>
    <s v="469763349"/>
    <s v="Display"/>
    <n v="1"/>
    <n v="0"/>
    <n v="0.04"/>
    <n v="0.1"/>
    <n v="4.0000000000000003E-5"/>
    <n v="1E-4"/>
  </r>
  <r>
    <x v="12"/>
    <s v="Rakuten"/>
    <s v="superlink-marca-rakuten-superlink-display-billboard-sl_vendapelainternet_loggi_boost-as25_empreendedor_varejo_interesses"/>
    <s v="281253136"/>
    <s v="Dynamic Click"/>
    <s v="marca-rakuten-superlink-display-billboard-970x250-sl_vendapelainternet_loggi_boost-as25_empreendedor_varejo_interesses-cpm"/>
    <s v="475254744"/>
    <s v="Tracking"/>
    <n v="0"/>
    <n v="173866"/>
    <n v="3.5000000000000001E-3"/>
    <n v="2.5000000000000001E-2"/>
    <n v="608.53100000000006"/>
    <n v="4346.6500000000005"/>
  </r>
  <r>
    <x v="12"/>
    <s v="Rakuten"/>
    <s v="superlink-marca-rakuten-superlink-display-halfpage-sl_vendapelainternet_loggi_boost-as25_empreendedor_varejo_interesses"/>
    <s v="281253139"/>
    <s v="Dynamic Click"/>
    <s v="marca-rakuten-superlink-display-halfpage-300x600-sl_vendapelainternet_loggi_boost-as25_empreendedor_varejo_interesses-cpm"/>
    <s v="475254747"/>
    <s v="Tracking"/>
    <n v="0"/>
    <n v="1"/>
    <n v="3.5000000000000001E-3"/>
    <n v="2.5000000000000001E-2"/>
    <n v="3.5000000000000001E-3"/>
    <n v="2.5000000000000001E-2"/>
  </r>
  <r>
    <x v="12"/>
    <s v="Rakuten"/>
    <s v="superlink-marca-rakuten-superlink-display-leaderboard-sl_vendapelainternet_loggi_boost-as25_empreendedor_varejo_interesses"/>
    <s v="281253142"/>
    <s v="Dynamic Click"/>
    <s v="marca-rakuten-superlink-display-leaderboard-728x90-sl_vendapelainternet_loggi_boost-as25_empreendedor_varejo_interesses-cpm"/>
    <s v="475254750"/>
    <s v="Tracking"/>
    <n v="0"/>
    <n v="1"/>
    <n v="3.5000000000000001E-3"/>
    <n v="2.5000000000000001E-2"/>
    <n v="3.5000000000000001E-3"/>
    <n v="2.5000000000000001E-2"/>
  </r>
  <r>
    <x v="12"/>
    <s v="Rakuten"/>
    <s v="superlink-marca-rakuten-superlink-display-medium_rectangle-sl_vendapelainternet_loggi_boost-as25_empreendedor_varejo_interesses"/>
    <s v="281253145"/>
    <s v="Dynamic Click"/>
    <s v="marca-rakuten-superlink-display-medium_rectangle-300x250-sl_vendapelainternet_loggi_boost-as25_empreendedor_varejo_interesses-cpm"/>
    <s v="475254753"/>
    <s v="Tracking"/>
    <n v="0"/>
    <n v="1"/>
    <n v="3.5000000000000001E-3"/>
    <n v="2.5000000000000001E-2"/>
    <n v="3.5000000000000001E-3"/>
    <n v="2.5000000000000001E-2"/>
  </r>
  <r>
    <x v="12"/>
    <s v="Rakuten"/>
    <s v="superlink-marca-rakuten-superlink-display-skyscraper-sl_vendapelainternet_loggi_boost-as25_empreendedor_varejo_interesses"/>
    <s v="281253133"/>
    <s v="Dynamic Click"/>
    <s v="marca-rakuten-superlink-display-skyscraper-160x600-sl_vendapelainternet_loggi_boost-as25_empreendedor_varejo_interesses-cpm"/>
    <s v="475254741"/>
    <s v="Tracking"/>
    <n v="0"/>
    <n v="1"/>
    <n v="3.5000000000000001E-3"/>
    <n v="2.5000000000000001E-2"/>
    <n v="3.5000000000000001E-3"/>
    <n v="2.5000000000000001E-2"/>
  </r>
  <r>
    <x v="12"/>
    <s v="Rakuten"/>
    <s v="superlink-marca-rakuten-superlink-native-native-luta_diaria_loggi_boost_627x627-as25_empreendedor_varejo_interesses"/>
    <s v="280922422"/>
    <s v="Dynamic Click"/>
    <s v="marca-rakuten-superlink-native-native-627x627-luta_diaria_loggi_boost_627x627-as25_empreendedor_varejo_interesses-cpm"/>
    <s v="474775067"/>
    <s v="Tracking"/>
    <n v="0"/>
    <n v="1"/>
    <n v="3.5000000000000001E-3"/>
    <n v="2.5000000000000001E-2"/>
    <n v="3.5000000000000001E-3"/>
    <n v="2.5000000000000001E-2"/>
  </r>
  <r>
    <x v="13"/>
    <s v="Oath - Verizon Media"/>
    <s v="aquisicao_varejo_marca_native_native_1200x627_aw_ins_varejo_voce_&amp;_cielo_stress_AS 25+ | In-Market e Concorrencia: Business Loans, Business Education, Business Financial Services, Business Technology, Payment Processing &amp; Merchant Services OR those who are"/>
    <s v="270202828"/>
    <s v="Dynamic Click"/>
    <s v="varejo_marca_native_native_1200x627_aw_ins_varejo_voce_&amp;_cielo_stress_AS 25+ | In-Market e Concorrencia: Business Loans, Business Education, Business Financial Services, Business Technology, Payment Processing &amp; Merchant Services OR those who are on any o"/>
    <s v="464799974"/>
    <s v="Tracking"/>
    <n v="1"/>
    <n v="1"/>
    <n v="3.5000000000000001E-3"/>
    <n v="2.5000000000000001E-2"/>
    <n v="3.5000000000000001E-3"/>
    <n v="2.500000000000000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CB72F3-73D4-49EA-A82E-20C3C7B3DC59}" name="Tabela dinâmica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8" firstHeaderRow="0" firstDataRow="1" firstDataCol="1"/>
  <pivotFields count="14">
    <pivotField axis="axisRow" showAll="0">
      <items count="15">
        <item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3"/>
  <sheetViews>
    <sheetView showGridLines="0" tabSelected="1" topLeftCell="C1" workbookViewId="0">
      <selection activeCell="C18" sqref="A18:XFD18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7" t="s">
        <v>17</v>
      </c>
      <c r="C3" s="7" t="s">
        <v>20</v>
      </c>
      <c r="D3" s="7" t="s">
        <v>18</v>
      </c>
      <c r="E3" s="7" t="s">
        <v>32</v>
      </c>
      <c r="F3" s="15" t="s">
        <v>27</v>
      </c>
      <c r="G3" s="14" t="s">
        <v>25</v>
      </c>
      <c r="H3" s="14"/>
    </row>
    <row r="4" spans="1:8">
      <c r="B4" s="8" t="s">
        <v>12</v>
      </c>
      <c r="C4" s="1">
        <v>0.1</v>
      </c>
      <c r="D4" s="1">
        <f>SUMIF(adtype_filtrada,$B4,impressoes_filtrada)</f>
        <v>58648288</v>
      </c>
      <c r="E4" s="9">
        <f>(C4*D4)/1000</f>
        <v>5864.8288000000011</v>
      </c>
      <c r="F4" s="16"/>
      <c r="G4" s="13" t="s">
        <v>26</v>
      </c>
      <c r="H4" s="13" t="s">
        <v>27</v>
      </c>
    </row>
    <row r="5" spans="1:8">
      <c r="B5" s="8" t="s">
        <v>11</v>
      </c>
      <c r="C5" s="1">
        <v>0.1</v>
      </c>
      <c r="D5" s="1">
        <f>SUMIF(adtype_filtrada,$B5,impressoes_filtrada)</f>
        <v>1</v>
      </c>
      <c r="E5" s="9">
        <f>C5*D5/1000</f>
        <v>1E-4</v>
      </c>
      <c r="F5" s="16"/>
      <c r="G5" s="9">
        <f>SUM(total_adops_filtrada)</f>
        <v>15638.89134999998</v>
      </c>
      <c r="H5" s="9">
        <f>SUM(total_ferramenta_filtrada)</f>
        <v>17093.819839999993</v>
      </c>
    </row>
    <row r="6" spans="1:8">
      <c r="B6" s="8" t="s">
        <v>10</v>
      </c>
      <c r="C6" s="1">
        <v>2.5000000000000001E-2</v>
      </c>
      <c r="D6" s="1">
        <f>SUMIF(adtype_filtrada,$B6,clicks_filtrada)</f>
        <v>274670</v>
      </c>
      <c r="E6" s="9">
        <f>C6*D6</f>
        <v>6866.75</v>
      </c>
      <c r="F6" s="16"/>
    </row>
    <row r="7" spans="1:8">
      <c r="B7" s="8" t="s">
        <v>22</v>
      </c>
      <c r="C7" s="1">
        <v>7.0000000000000007E-2</v>
      </c>
      <c r="D7" s="1">
        <f>SUMIF(adtype_filtrada,$B7,impressoes_filtrada)</f>
        <v>0</v>
      </c>
      <c r="E7" s="9">
        <f>C7*D7/1000</f>
        <v>0</v>
      </c>
      <c r="F7" s="16"/>
    </row>
    <row r="8" spans="1:8">
      <c r="B8" s="8" t="s">
        <v>23</v>
      </c>
      <c r="C8" s="1">
        <v>0.35</v>
      </c>
      <c r="D8" s="1">
        <f>SUMIF(adtype_filtrada,$B8,impressoes_filtrada)</f>
        <v>8306607</v>
      </c>
      <c r="E8" s="9">
        <f>(C8*D8)/1000</f>
        <v>2907.3124499999999</v>
      </c>
      <c r="F8" s="16"/>
    </row>
    <row r="9" spans="1:8">
      <c r="B9" s="7" t="s">
        <v>19</v>
      </c>
      <c r="C9" s="7"/>
      <c r="D9" s="7"/>
      <c r="E9" s="10">
        <f>SUM(E4:E8)</f>
        <v>15638.89135</v>
      </c>
      <c r="F9" s="17"/>
    </row>
    <row r="13" spans="1:8">
      <c r="A13" s="4"/>
      <c r="B13" s="5" t="s">
        <v>0</v>
      </c>
      <c r="C13" s="5"/>
      <c r="D13" s="5"/>
    </row>
    <row r="14" spans="1:8">
      <c r="A14" s="4"/>
      <c r="B14" s="12"/>
      <c r="C14" s="5"/>
      <c r="D14" s="5"/>
    </row>
    <row r="15" spans="1:8" ht="6.75" customHeight="1">
      <c r="A15" s="4"/>
      <c r="B15" s="5"/>
      <c r="C15" s="5"/>
      <c r="D15" s="5"/>
    </row>
    <row r="18" spans="1:15" ht="45">
      <c r="A18" s="11" t="s">
        <v>21</v>
      </c>
      <c r="B18" s="5" t="s">
        <v>0</v>
      </c>
      <c r="C18" s="5" t="s">
        <v>1</v>
      </c>
      <c r="D18" s="5" t="s">
        <v>2</v>
      </c>
      <c r="E18" s="5" t="s">
        <v>3</v>
      </c>
      <c r="F18" s="5" t="s">
        <v>4</v>
      </c>
      <c r="G18" s="5" t="s">
        <v>5</v>
      </c>
      <c r="H18" s="5" t="s">
        <v>6</v>
      </c>
      <c r="I18" s="5" t="s">
        <v>7</v>
      </c>
      <c r="J18" s="5" t="s">
        <v>8</v>
      </c>
      <c r="K18" s="5" t="s">
        <v>9</v>
      </c>
      <c r="L18" s="6" t="s">
        <v>13</v>
      </c>
      <c r="M18" s="6" t="s">
        <v>14</v>
      </c>
      <c r="N18" s="6" t="s">
        <v>15</v>
      </c>
      <c r="O18" s="6" t="s">
        <v>16</v>
      </c>
    </row>
    <row r="19" spans="1:15">
      <c r="B19" t="s">
        <v>117</v>
      </c>
      <c r="C19" t="s">
        <v>31</v>
      </c>
      <c r="D19" t="s">
        <v>118</v>
      </c>
      <c r="E19" t="s">
        <v>119</v>
      </c>
      <c r="F19" t="s">
        <v>12</v>
      </c>
      <c r="G19" t="s">
        <v>120</v>
      </c>
      <c r="H19" t="s">
        <v>121</v>
      </c>
      <c r="I19" t="s">
        <v>30</v>
      </c>
      <c r="J19">
        <v>145</v>
      </c>
      <c r="K19">
        <v>3</v>
      </c>
      <c r="L19" s="2">
        <v>0.04</v>
      </c>
      <c r="M19">
        <v>0.1</v>
      </c>
      <c r="N19" s="2">
        <v>5.7999999999999996E-3</v>
      </c>
      <c r="O19" s="2">
        <v>1.4500000000000001E-2</v>
      </c>
    </row>
    <row r="20" spans="1:15">
      <c r="B20" t="s">
        <v>117</v>
      </c>
      <c r="C20" t="s">
        <v>31</v>
      </c>
      <c r="D20" t="s">
        <v>122</v>
      </c>
      <c r="E20" t="s">
        <v>123</v>
      </c>
      <c r="F20" t="s">
        <v>12</v>
      </c>
      <c r="G20" t="s">
        <v>124</v>
      </c>
      <c r="H20" t="s">
        <v>125</v>
      </c>
      <c r="I20" t="s">
        <v>30</v>
      </c>
      <c r="J20">
        <v>16282</v>
      </c>
      <c r="K20">
        <v>19</v>
      </c>
      <c r="L20" s="2">
        <v>0.04</v>
      </c>
      <c r="M20">
        <v>0.1</v>
      </c>
      <c r="N20" s="2">
        <v>0.65127999999999997</v>
      </c>
      <c r="O20" s="2">
        <v>1.6282000000000001</v>
      </c>
    </row>
    <row r="21" spans="1:15">
      <c r="B21" t="s">
        <v>117</v>
      </c>
      <c r="C21" t="s">
        <v>31</v>
      </c>
      <c r="D21" t="s">
        <v>126</v>
      </c>
      <c r="E21" t="s">
        <v>127</v>
      </c>
      <c r="F21" t="s">
        <v>12</v>
      </c>
      <c r="G21" t="s">
        <v>128</v>
      </c>
      <c r="H21" t="s">
        <v>129</v>
      </c>
      <c r="I21" t="s">
        <v>30</v>
      </c>
      <c r="J21">
        <v>12693</v>
      </c>
      <c r="K21">
        <v>46</v>
      </c>
      <c r="L21" s="2">
        <v>0.04</v>
      </c>
      <c r="M21">
        <v>0.1</v>
      </c>
      <c r="N21" s="2">
        <v>0.50772000000000006</v>
      </c>
      <c r="O21" s="2">
        <v>1.2693000000000001</v>
      </c>
    </row>
    <row r="22" spans="1:15">
      <c r="B22" t="s">
        <v>117</v>
      </c>
      <c r="C22" t="s">
        <v>31</v>
      </c>
      <c r="D22" t="s">
        <v>130</v>
      </c>
      <c r="E22" t="s">
        <v>131</v>
      </c>
      <c r="F22" t="s">
        <v>12</v>
      </c>
      <c r="G22" t="s">
        <v>132</v>
      </c>
      <c r="H22" t="s">
        <v>133</v>
      </c>
      <c r="I22" t="s">
        <v>30</v>
      </c>
      <c r="J22">
        <v>21221</v>
      </c>
      <c r="K22">
        <v>65</v>
      </c>
      <c r="L22" s="2">
        <v>0.04</v>
      </c>
      <c r="M22">
        <v>0.1</v>
      </c>
      <c r="N22" s="2">
        <v>0.84884000000000004</v>
      </c>
      <c r="O22" s="2">
        <v>2.1221000000000001</v>
      </c>
    </row>
    <row r="23" spans="1:15">
      <c r="B23" t="s">
        <v>117</v>
      </c>
      <c r="C23" t="s">
        <v>31</v>
      </c>
      <c r="D23" t="s">
        <v>134</v>
      </c>
      <c r="E23" t="s">
        <v>135</v>
      </c>
      <c r="F23" t="s">
        <v>12</v>
      </c>
      <c r="G23" t="s">
        <v>136</v>
      </c>
      <c r="H23" t="s">
        <v>137</v>
      </c>
      <c r="I23" t="s">
        <v>30</v>
      </c>
      <c r="J23">
        <v>49</v>
      </c>
      <c r="K23">
        <v>0</v>
      </c>
      <c r="L23" s="2">
        <v>0.04</v>
      </c>
      <c r="M23">
        <v>0.1</v>
      </c>
      <c r="N23" s="2">
        <v>1.9599999999999999E-3</v>
      </c>
      <c r="O23" s="2">
        <v>4.9000000000000007E-3</v>
      </c>
    </row>
    <row r="24" spans="1:15">
      <c r="B24" t="s">
        <v>117</v>
      </c>
      <c r="C24" t="s">
        <v>31</v>
      </c>
      <c r="D24" t="s">
        <v>138</v>
      </c>
      <c r="E24" t="s">
        <v>139</v>
      </c>
      <c r="F24" t="s">
        <v>12</v>
      </c>
      <c r="G24" t="s">
        <v>140</v>
      </c>
      <c r="H24" t="s">
        <v>141</v>
      </c>
      <c r="I24" t="s">
        <v>30</v>
      </c>
      <c r="J24">
        <v>789</v>
      </c>
      <c r="K24">
        <v>7</v>
      </c>
      <c r="L24" s="2">
        <v>0.04</v>
      </c>
      <c r="M24">
        <v>0.1</v>
      </c>
      <c r="N24" s="2">
        <v>3.1560000000000005E-2</v>
      </c>
      <c r="O24" s="2">
        <v>7.8900000000000012E-2</v>
      </c>
    </row>
    <row r="25" spans="1:15">
      <c r="B25" t="s">
        <v>117</v>
      </c>
      <c r="C25" t="s">
        <v>31</v>
      </c>
      <c r="D25" t="s">
        <v>142</v>
      </c>
      <c r="E25" t="s">
        <v>143</v>
      </c>
      <c r="F25" t="s">
        <v>12</v>
      </c>
      <c r="G25" t="s">
        <v>144</v>
      </c>
      <c r="H25" t="s">
        <v>145</v>
      </c>
      <c r="I25" t="s">
        <v>30</v>
      </c>
      <c r="J25">
        <v>61</v>
      </c>
      <c r="K25">
        <v>2</v>
      </c>
      <c r="L25" s="2">
        <v>0.04</v>
      </c>
      <c r="M25">
        <v>0.1</v>
      </c>
      <c r="N25" s="2">
        <v>2.4399999999999999E-3</v>
      </c>
      <c r="O25" s="2">
        <v>6.1000000000000004E-3</v>
      </c>
    </row>
    <row r="26" spans="1:15">
      <c r="B26" t="s">
        <v>117</v>
      </c>
      <c r="C26" t="s">
        <v>31</v>
      </c>
      <c r="D26" t="s">
        <v>146</v>
      </c>
      <c r="E26" t="s">
        <v>147</v>
      </c>
      <c r="F26" t="s">
        <v>12</v>
      </c>
      <c r="G26" t="s">
        <v>148</v>
      </c>
      <c r="H26" t="s">
        <v>149</v>
      </c>
      <c r="I26" t="s">
        <v>30</v>
      </c>
      <c r="J26">
        <v>282</v>
      </c>
      <c r="K26">
        <v>2</v>
      </c>
      <c r="L26" s="2">
        <v>0.04</v>
      </c>
      <c r="M26">
        <v>0.1</v>
      </c>
      <c r="N26" s="2">
        <v>1.128E-2</v>
      </c>
      <c r="O26" s="2">
        <v>2.8200000000000003E-2</v>
      </c>
    </row>
    <row r="27" spans="1:15">
      <c r="B27" t="s">
        <v>117</v>
      </c>
      <c r="C27" t="s">
        <v>31</v>
      </c>
      <c r="D27" t="s">
        <v>150</v>
      </c>
      <c r="E27" t="s">
        <v>151</v>
      </c>
      <c r="F27" t="s">
        <v>12</v>
      </c>
      <c r="G27" t="s">
        <v>152</v>
      </c>
      <c r="H27" t="s">
        <v>153</v>
      </c>
      <c r="I27" t="s">
        <v>30</v>
      </c>
      <c r="J27">
        <v>178718</v>
      </c>
      <c r="K27">
        <v>6309</v>
      </c>
      <c r="L27" s="2">
        <v>0.04</v>
      </c>
      <c r="M27">
        <v>0.1</v>
      </c>
      <c r="N27" s="2">
        <v>7.14872</v>
      </c>
      <c r="O27" s="2">
        <v>17.8718</v>
      </c>
    </row>
    <row r="28" spans="1:15">
      <c r="B28" t="s">
        <v>117</v>
      </c>
      <c r="C28" t="s">
        <v>31</v>
      </c>
      <c r="D28" t="s">
        <v>154</v>
      </c>
      <c r="E28" t="s">
        <v>155</v>
      </c>
      <c r="F28" t="s">
        <v>12</v>
      </c>
      <c r="G28" t="s">
        <v>156</v>
      </c>
      <c r="H28" t="s">
        <v>157</v>
      </c>
      <c r="I28" t="s">
        <v>30</v>
      </c>
      <c r="J28">
        <v>767103</v>
      </c>
      <c r="K28">
        <v>40927</v>
      </c>
      <c r="L28" s="2">
        <v>0.04</v>
      </c>
      <c r="M28">
        <v>0.1</v>
      </c>
      <c r="N28" s="2">
        <v>30.68412</v>
      </c>
      <c r="O28" s="2">
        <v>76.710300000000004</v>
      </c>
    </row>
    <row r="29" spans="1:15">
      <c r="B29" t="s">
        <v>117</v>
      </c>
      <c r="C29" t="s">
        <v>31</v>
      </c>
      <c r="D29" t="s">
        <v>158</v>
      </c>
      <c r="E29" t="s">
        <v>159</v>
      </c>
      <c r="F29" t="s">
        <v>12</v>
      </c>
      <c r="G29" t="s">
        <v>160</v>
      </c>
      <c r="H29" t="s">
        <v>161</v>
      </c>
      <c r="I29" t="s">
        <v>30</v>
      </c>
      <c r="J29">
        <v>598621</v>
      </c>
      <c r="K29">
        <v>28294</v>
      </c>
      <c r="L29" s="2">
        <v>0.04</v>
      </c>
      <c r="M29">
        <v>0.1</v>
      </c>
      <c r="N29" s="2">
        <v>23.944839999999999</v>
      </c>
      <c r="O29" s="2">
        <v>59.862100000000005</v>
      </c>
    </row>
    <row r="30" spans="1:15">
      <c r="B30" t="s">
        <v>117</v>
      </c>
      <c r="C30" t="s">
        <v>31</v>
      </c>
      <c r="D30" t="s">
        <v>162</v>
      </c>
      <c r="E30" t="s">
        <v>163</v>
      </c>
      <c r="F30" t="s">
        <v>12</v>
      </c>
      <c r="G30" t="s">
        <v>164</v>
      </c>
      <c r="H30" t="s">
        <v>165</v>
      </c>
      <c r="I30" t="s">
        <v>30</v>
      </c>
      <c r="J30">
        <v>38486</v>
      </c>
      <c r="K30">
        <v>2544</v>
      </c>
      <c r="L30" s="2">
        <v>0.04</v>
      </c>
      <c r="M30">
        <v>0.1</v>
      </c>
      <c r="N30" s="2">
        <v>1.5394400000000001</v>
      </c>
      <c r="O30" s="2">
        <v>3.8486000000000002</v>
      </c>
    </row>
    <row r="31" spans="1:15">
      <c r="B31" t="s">
        <v>117</v>
      </c>
      <c r="C31" t="s">
        <v>31</v>
      </c>
      <c r="D31" t="s">
        <v>166</v>
      </c>
      <c r="E31" t="s">
        <v>167</v>
      </c>
      <c r="F31" t="s">
        <v>12</v>
      </c>
      <c r="G31" t="s">
        <v>168</v>
      </c>
      <c r="H31" t="s">
        <v>169</v>
      </c>
      <c r="I31" t="s">
        <v>30</v>
      </c>
      <c r="J31">
        <v>43000</v>
      </c>
      <c r="K31">
        <v>2496</v>
      </c>
      <c r="L31" s="2">
        <v>0.04</v>
      </c>
      <c r="M31">
        <v>0.1</v>
      </c>
      <c r="N31" s="2">
        <v>1.72</v>
      </c>
      <c r="O31" s="2">
        <v>4.3</v>
      </c>
    </row>
    <row r="32" spans="1:15">
      <c r="B32" t="s">
        <v>117</v>
      </c>
      <c r="C32" t="s">
        <v>31</v>
      </c>
      <c r="D32" t="s">
        <v>170</v>
      </c>
      <c r="E32" t="s">
        <v>171</v>
      </c>
      <c r="F32" t="s">
        <v>12</v>
      </c>
      <c r="G32" t="s">
        <v>172</v>
      </c>
      <c r="H32" t="s">
        <v>173</v>
      </c>
      <c r="I32" t="s">
        <v>30</v>
      </c>
      <c r="J32">
        <v>72758</v>
      </c>
      <c r="K32">
        <v>4880</v>
      </c>
      <c r="L32" s="2">
        <v>0.04</v>
      </c>
      <c r="M32">
        <v>0.1</v>
      </c>
      <c r="N32" s="2">
        <v>2.91032</v>
      </c>
      <c r="O32" s="2">
        <v>7.2758000000000003</v>
      </c>
    </row>
    <row r="33" spans="2:15">
      <c r="B33" t="s">
        <v>117</v>
      </c>
      <c r="C33" t="s">
        <v>31</v>
      </c>
      <c r="D33" t="s">
        <v>174</v>
      </c>
      <c r="E33" t="s">
        <v>175</v>
      </c>
      <c r="F33" t="s">
        <v>12</v>
      </c>
      <c r="G33" t="s">
        <v>176</v>
      </c>
      <c r="H33" t="s">
        <v>177</v>
      </c>
      <c r="I33" t="s">
        <v>30</v>
      </c>
      <c r="J33">
        <v>68220</v>
      </c>
      <c r="K33">
        <v>5236</v>
      </c>
      <c r="L33" s="2">
        <v>0.04</v>
      </c>
      <c r="M33">
        <v>0.1</v>
      </c>
      <c r="N33" s="2">
        <v>2.7288000000000001</v>
      </c>
      <c r="O33" s="2">
        <v>6.8220000000000001</v>
      </c>
    </row>
    <row r="34" spans="2:15">
      <c r="B34" t="s">
        <v>117</v>
      </c>
      <c r="C34" t="s">
        <v>31</v>
      </c>
      <c r="D34" t="s">
        <v>178</v>
      </c>
      <c r="E34" t="s">
        <v>179</v>
      </c>
      <c r="F34" t="s">
        <v>12</v>
      </c>
      <c r="G34" t="s">
        <v>180</v>
      </c>
      <c r="H34" t="s">
        <v>181</v>
      </c>
      <c r="I34" t="s">
        <v>30</v>
      </c>
      <c r="J34">
        <v>35478</v>
      </c>
      <c r="K34">
        <v>38</v>
      </c>
      <c r="L34" s="2">
        <v>0.04</v>
      </c>
      <c r="M34">
        <v>0.1</v>
      </c>
      <c r="N34" s="2">
        <v>1.4191200000000002</v>
      </c>
      <c r="O34" s="2">
        <v>3.5478000000000001</v>
      </c>
    </row>
    <row r="35" spans="2:15">
      <c r="B35" t="s">
        <v>117</v>
      </c>
      <c r="C35" t="s">
        <v>31</v>
      </c>
      <c r="D35" t="s">
        <v>182</v>
      </c>
      <c r="E35" t="s">
        <v>183</v>
      </c>
      <c r="F35" t="s">
        <v>12</v>
      </c>
      <c r="G35" t="s">
        <v>184</v>
      </c>
      <c r="H35" t="s">
        <v>185</v>
      </c>
      <c r="I35" t="s">
        <v>30</v>
      </c>
      <c r="J35">
        <v>107500</v>
      </c>
      <c r="K35">
        <v>29</v>
      </c>
      <c r="L35" s="2">
        <v>0.04</v>
      </c>
      <c r="M35">
        <v>0.1</v>
      </c>
      <c r="N35" s="2">
        <v>4.3</v>
      </c>
      <c r="O35" s="2">
        <v>10.75</v>
      </c>
    </row>
    <row r="36" spans="2:15">
      <c r="B36" t="s">
        <v>117</v>
      </c>
      <c r="C36" t="s">
        <v>31</v>
      </c>
      <c r="D36" t="s">
        <v>186</v>
      </c>
      <c r="E36" t="s">
        <v>187</v>
      </c>
      <c r="F36" t="s">
        <v>12</v>
      </c>
      <c r="G36" t="s">
        <v>188</v>
      </c>
      <c r="H36" t="s">
        <v>189</v>
      </c>
      <c r="I36" t="s">
        <v>30</v>
      </c>
      <c r="J36">
        <v>94725</v>
      </c>
      <c r="K36">
        <v>82</v>
      </c>
      <c r="L36" s="2">
        <v>0.04</v>
      </c>
      <c r="M36">
        <v>0.1</v>
      </c>
      <c r="N36" s="2">
        <v>3.7890000000000001</v>
      </c>
      <c r="O36" s="2">
        <v>9.4725000000000001</v>
      </c>
    </row>
    <row r="37" spans="2:15">
      <c r="B37" t="s">
        <v>117</v>
      </c>
      <c r="C37" t="s">
        <v>31</v>
      </c>
      <c r="D37" t="s">
        <v>190</v>
      </c>
      <c r="E37" t="s">
        <v>191</v>
      </c>
      <c r="F37" t="s">
        <v>12</v>
      </c>
      <c r="G37" t="s">
        <v>192</v>
      </c>
      <c r="H37" t="s">
        <v>193</v>
      </c>
      <c r="I37" t="s">
        <v>30</v>
      </c>
      <c r="J37">
        <v>50</v>
      </c>
      <c r="K37">
        <v>1</v>
      </c>
      <c r="L37" s="2">
        <v>0.04</v>
      </c>
      <c r="M37">
        <v>0.1</v>
      </c>
      <c r="N37" s="2">
        <v>2E-3</v>
      </c>
      <c r="O37" s="2">
        <v>5.0000000000000001E-3</v>
      </c>
    </row>
    <row r="38" spans="2:15">
      <c r="B38" t="s">
        <v>117</v>
      </c>
      <c r="C38" t="s">
        <v>31</v>
      </c>
      <c r="D38" t="s">
        <v>194</v>
      </c>
      <c r="E38" t="s">
        <v>195</v>
      </c>
      <c r="F38" t="s">
        <v>12</v>
      </c>
      <c r="G38" t="s">
        <v>196</v>
      </c>
      <c r="H38" t="s">
        <v>197</v>
      </c>
      <c r="I38" t="s">
        <v>30</v>
      </c>
      <c r="J38">
        <v>8833</v>
      </c>
      <c r="K38">
        <v>9</v>
      </c>
      <c r="L38" s="2">
        <v>0.04</v>
      </c>
      <c r="M38">
        <v>0.1</v>
      </c>
      <c r="N38" s="2">
        <v>0.35331999999999997</v>
      </c>
      <c r="O38" s="2">
        <v>0.88330000000000009</v>
      </c>
    </row>
    <row r="39" spans="2:15">
      <c r="B39" t="s">
        <v>117</v>
      </c>
      <c r="C39" t="s">
        <v>31</v>
      </c>
      <c r="D39" t="s">
        <v>198</v>
      </c>
      <c r="E39" t="s">
        <v>199</v>
      </c>
      <c r="F39" t="s">
        <v>12</v>
      </c>
      <c r="G39" t="s">
        <v>200</v>
      </c>
      <c r="H39" t="s">
        <v>201</v>
      </c>
      <c r="I39" t="s">
        <v>30</v>
      </c>
      <c r="J39">
        <v>162</v>
      </c>
      <c r="K39">
        <v>4</v>
      </c>
      <c r="L39" s="2">
        <v>0.04</v>
      </c>
      <c r="M39">
        <v>0.1</v>
      </c>
      <c r="N39" s="2">
        <v>6.4800000000000005E-3</v>
      </c>
      <c r="O39" s="2">
        <v>1.6199999999999999E-2</v>
      </c>
    </row>
    <row r="40" spans="2:15">
      <c r="B40" t="s">
        <v>117</v>
      </c>
      <c r="C40" t="s">
        <v>31</v>
      </c>
      <c r="D40" t="s">
        <v>202</v>
      </c>
      <c r="E40" t="s">
        <v>203</v>
      </c>
      <c r="F40" t="s">
        <v>12</v>
      </c>
      <c r="G40" t="s">
        <v>204</v>
      </c>
      <c r="H40" t="s">
        <v>205</v>
      </c>
      <c r="I40" t="s">
        <v>30</v>
      </c>
      <c r="J40">
        <v>2317</v>
      </c>
      <c r="K40">
        <v>7</v>
      </c>
      <c r="L40" s="2">
        <v>0.04</v>
      </c>
      <c r="M40">
        <v>0.1</v>
      </c>
      <c r="N40" s="2">
        <v>9.2680000000000012E-2</v>
      </c>
      <c r="O40" s="2">
        <v>0.23170000000000002</v>
      </c>
    </row>
    <row r="41" spans="2:15">
      <c r="B41" t="s">
        <v>117</v>
      </c>
      <c r="C41" t="s">
        <v>31</v>
      </c>
      <c r="D41" t="s">
        <v>206</v>
      </c>
      <c r="E41" t="s">
        <v>207</v>
      </c>
      <c r="F41" t="s">
        <v>12</v>
      </c>
      <c r="G41" t="s">
        <v>208</v>
      </c>
      <c r="H41" t="s">
        <v>209</v>
      </c>
      <c r="I41" t="s">
        <v>30</v>
      </c>
      <c r="J41">
        <v>533530</v>
      </c>
      <c r="K41">
        <v>1256</v>
      </c>
      <c r="L41" s="2">
        <v>0.04</v>
      </c>
      <c r="M41">
        <v>0.1</v>
      </c>
      <c r="N41" s="2">
        <v>21.341200000000001</v>
      </c>
      <c r="O41" s="2">
        <v>53.353000000000002</v>
      </c>
    </row>
    <row r="42" spans="2:15">
      <c r="B42" t="s">
        <v>117</v>
      </c>
      <c r="C42" t="s">
        <v>31</v>
      </c>
      <c r="D42" t="s">
        <v>210</v>
      </c>
      <c r="E42" t="s">
        <v>211</v>
      </c>
      <c r="F42" t="s">
        <v>12</v>
      </c>
      <c r="G42" t="s">
        <v>212</v>
      </c>
      <c r="H42" t="s">
        <v>213</v>
      </c>
      <c r="I42" t="s">
        <v>30</v>
      </c>
      <c r="J42">
        <v>467582</v>
      </c>
      <c r="K42">
        <v>6314</v>
      </c>
      <c r="L42" s="2">
        <v>0.04</v>
      </c>
      <c r="M42">
        <v>0.1</v>
      </c>
      <c r="N42" s="2">
        <v>18.703279999999999</v>
      </c>
      <c r="O42" s="2">
        <v>46.758200000000002</v>
      </c>
    </row>
    <row r="43" spans="2:15">
      <c r="B43" t="s">
        <v>117</v>
      </c>
      <c r="C43" t="s">
        <v>31</v>
      </c>
      <c r="D43" t="s">
        <v>214</v>
      </c>
      <c r="E43" t="s">
        <v>215</v>
      </c>
      <c r="F43" t="s">
        <v>12</v>
      </c>
      <c r="G43" t="s">
        <v>216</v>
      </c>
      <c r="H43" t="s">
        <v>217</v>
      </c>
      <c r="I43" t="s">
        <v>30</v>
      </c>
      <c r="J43">
        <v>1550712</v>
      </c>
      <c r="K43">
        <v>6833</v>
      </c>
      <c r="L43" s="2">
        <v>0.04</v>
      </c>
      <c r="M43">
        <v>0.1</v>
      </c>
      <c r="N43" s="2">
        <v>62.028480000000002</v>
      </c>
      <c r="O43" s="2">
        <v>155.0712</v>
      </c>
    </row>
    <row r="44" spans="2:15">
      <c r="B44" t="s">
        <v>117</v>
      </c>
      <c r="C44" t="s">
        <v>31</v>
      </c>
      <c r="D44" t="s">
        <v>218</v>
      </c>
      <c r="E44" t="s">
        <v>219</v>
      </c>
      <c r="F44" t="s">
        <v>12</v>
      </c>
      <c r="G44" t="s">
        <v>220</v>
      </c>
      <c r="H44" t="s">
        <v>221</v>
      </c>
      <c r="I44" t="s">
        <v>30</v>
      </c>
      <c r="J44">
        <v>7038</v>
      </c>
      <c r="K44">
        <v>370</v>
      </c>
      <c r="L44" s="2">
        <v>0.04</v>
      </c>
      <c r="M44">
        <v>0.1</v>
      </c>
      <c r="N44" s="2">
        <v>0.28151999999999999</v>
      </c>
      <c r="O44" s="2">
        <v>0.70380000000000009</v>
      </c>
    </row>
    <row r="45" spans="2:15">
      <c r="B45" t="s">
        <v>117</v>
      </c>
      <c r="C45" t="s">
        <v>31</v>
      </c>
      <c r="D45" t="s">
        <v>222</v>
      </c>
      <c r="E45" t="s">
        <v>223</v>
      </c>
      <c r="F45" t="s">
        <v>12</v>
      </c>
      <c r="G45" t="s">
        <v>224</v>
      </c>
      <c r="H45" t="s">
        <v>225</v>
      </c>
      <c r="I45" t="s">
        <v>30</v>
      </c>
      <c r="J45">
        <v>85987</v>
      </c>
      <c r="K45">
        <v>511</v>
      </c>
      <c r="L45" s="2">
        <v>0.04</v>
      </c>
      <c r="M45">
        <v>0.1</v>
      </c>
      <c r="N45" s="2">
        <v>3.4394800000000001</v>
      </c>
      <c r="O45" s="2">
        <v>8.5987000000000009</v>
      </c>
    </row>
    <row r="46" spans="2:15">
      <c r="B46" t="s">
        <v>117</v>
      </c>
      <c r="C46" t="s">
        <v>31</v>
      </c>
      <c r="D46" t="s">
        <v>226</v>
      </c>
      <c r="E46" t="s">
        <v>227</v>
      </c>
      <c r="F46" t="s">
        <v>12</v>
      </c>
      <c r="G46" t="s">
        <v>228</v>
      </c>
      <c r="H46" t="s">
        <v>229</v>
      </c>
      <c r="I46" t="s">
        <v>30</v>
      </c>
      <c r="J46">
        <v>11956</v>
      </c>
      <c r="K46">
        <v>710</v>
      </c>
      <c r="L46" s="2">
        <v>0.04</v>
      </c>
      <c r="M46">
        <v>0.1</v>
      </c>
      <c r="N46" s="2">
        <v>0.47824</v>
      </c>
      <c r="O46" s="2">
        <v>1.1956000000000002</v>
      </c>
    </row>
    <row r="47" spans="2:15">
      <c r="B47" t="s">
        <v>117</v>
      </c>
      <c r="C47" t="s">
        <v>31</v>
      </c>
      <c r="D47" t="s">
        <v>230</v>
      </c>
      <c r="E47" t="s">
        <v>231</v>
      </c>
      <c r="F47" t="s">
        <v>12</v>
      </c>
      <c r="G47" t="s">
        <v>232</v>
      </c>
      <c r="H47" t="s">
        <v>233</v>
      </c>
      <c r="I47" t="s">
        <v>30</v>
      </c>
      <c r="J47">
        <v>22658</v>
      </c>
      <c r="K47">
        <v>466</v>
      </c>
      <c r="L47" s="2">
        <v>0.04</v>
      </c>
      <c r="M47">
        <v>0.1</v>
      </c>
      <c r="N47" s="2">
        <v>0.90632000000000001</v>
      </c>
      <c r="O47" s="2">
        <v>2.2658</v>
      </c>
    </row>
    <row r="48" spans="2:15">
      <c r="B48" t="s">
        <v>117</v>
      </c>
      <c r="C48" t="s">
        <v>31</v>
      </c>
      <c r="D48" t="s">
        <v>234</v>
      </c>
      <c r="E48" t="s">
        <v>235</v>
      </c>
      <c r="F48" t="s">
        <v>12</v>
      </c>
      <c r="G48" t="s">
        <v>236</v>
      </c>
      <c r="H48" t="s">
        <v>237</v>
      </c>
      <c r="I48" t="s">
        <v>30</v>
      </c>
      <c r="J48">
        <v>192510</v>
      </c>
      <c r="K48">
        <v>2259</v>
      </c>
      <c r="L48" s="2">
        <v>0.04</v>
      </c>
      <c r="M48">
        <v>0.1</v>
      </c>
      <c r="N48" s="2">
        <v>7.7004000000000001</v>
      </c>
      <c r="O48" s="2">
        <v>19.251000000000001</v>
      </c>
    </row>
    <row r="49" spans="2:15">
      <c r="B49" t="s">
        <v>117</v>
      </c>
      <c r="C49" t="s">
        <v>31</v>
      </c>
      <c r="D49" t="s">
        <v>238</v>
      </c>
      <c r="E49" t="s">
        <v>239</v>
      </c>
      <c r="F49" t="s">
        <v>12</v>
      </c>
      <c r="G49" t="s">
        <v>240</v>
      </c>
      <c r="H49" t="s">
        <v>241</v>
      </c>
      <c r="I49" t="s">
        <v>30</v>
      </c>
      <c r="J49">
        <v>686713</v>
      </c>
      <c r="K49">
        <v>3900</v>
      </c>
      <c r="L49" s="2">
        <v>0.04</v>
      </c>
      <c r="M49">
        <v>0.1</v>
      </c>
      <c r="N49" s="2">
        <v>27.468520000000002</v>
      </c>
      <c r="O49" s="2">
        <v>68.671300000000002</v>
      </c>
    </row>
    <row r="50" spans="2:15">
      <c r="B50" t="s">
        <v>117</v>
      </c>
      <c r="C50" t="s">
        <v>31</v>
      </c>
      <c r="D50" t="s">
        <v>242</v>
      </c>
      <c r="E50" t="s">
        <v>243</v>
      </c>
      <c r="F50" t="s">
        <v>12</v>
      </c>
      <c r="G50" t="s">
        <v>244</v>
      </c>
      <c r="H50" t="s">
        <v>245</v>
      </c>
      <c r="I50" t="s">
        <v>30</v>
      </c>
      <c r="J50">
        <v>1</v>
      </c>
      <c r="K50">
        <v>0</v>
      </c>
      <c r="L50" s="2">
        <v>0.04</v>
      </c>
      <c r="M50">
        <v>0.1</v>
      </c>
      <c r="N50" s="2">
        <v>4.0000000000000003E-5</v>
      </c>
      <c r="O50" s="2">
        <v>1E-4</v>
      </c>
    </row>
    <row r="51" spans="2:15">
      <c r="B51" t="s">
        <v>117</v>
      </c>
      <c r="C51" t="s">
        <v>31</v>
      </c>
      <c r="D51" t="s">
        <v>242</v>
      </c>
      <c r="E51" t="s">
        <v>243</v>
      </c>
      <c r="F51" t="s">
        <v>12</v>
      </c>
      <c r="G51" t="s">
        <v>246</v>
      </c>
      <c r="H51" t="s">
        <v>247</v>
      </c>
      <c r="I51" t="s">
        <v>30</v>
      </c>
      <c r="J51">
        <v>1297458</v>
      </c>
      <c r="K51">
        <v>9738</v>
      </c>
      <c r="L51" s="2">
        <v>0.04</v>
      </c>
      <c r="M51">
        <v>0.1</v>
      </c>
      <c r="N51" s="2">
        <v>51.898319999999998</v>
      </c>
      <c r="O51" s="2">
        <v>129.7458</v>
      </c>
    </row>
    <row r="52" spans="2:15">
      <c r="B52" t="s">
        <v>117</v>
      </c>
      <c r="C52" t="s">
        <v>31</v>
      </c>
      <c r="D52" t="s">
        <v>248</v>
      </c>
      <c r="E52" t="s">
        <v>249</v>
      </c>
      <c r="F52" t="s">
        <v>12</v>
      </c>
      <c r="G52" t="s">
        <v>244</v>
      </c>
      <c r="H52" t="s">
        <v>245</v>
      </c>
      <c r="I52" t="s">
        <v>30</v>
      </c>
      <c r="J52">
        <v>1</v>
      </c>
      <c r="K52">
        <v>0</v>
      </c>
      <c r="L52" s="2">
        <v>0.04</v>
      </c>
      <c r="M52">
        <v>0.1</v>
      </c>
      <c r="N52" s="2">
        <v>4.0000000000000003E-5</v>
      </c>
      <c r="O52" s="2">
        <v>1E-4</v>
      </c>
    </row>
    <row r="53" spans="2:15">
      <c r="B53" t="s">
        <v>117</v>
      </c>
      <c r="C53" t="s">
        <v>31</v>
      </c>
      <c r="D53" t="s">
        <v>248</v>
      </c>
      <c r="E53" t="s">
        <v>249</v>
      </c>
      <c r="F53" t="s">
        <v>12</v>
      </c>
      <c r="G53" t="s">
        <v>250</v>
      </c>
      <c r="H53" t="s">
        <v>251</v>
      </c>
      <c r="I53" t="s">
        <v>30</v>
      </c>
      <c r="J53">
        <v>2196031</v>
      </c>
      <c r="K53">
        <v>10809</v>
      </c>
      <c r="L53" s="2">
        <v>0.04</v>
      </c>
      <c r="M53">
        <v>0.1</v>
      </c>
      <c r="N53" s="2">
        <v>87.841239999999999</v>
      </c>
      <c r="O53" s="2">
        <v>219.60310000000001</v>
      </c>
    </row>
    <row r="54" spans="2:15">
      <c r="B54" t="s">
        <v>117</v>
      </c>
      <c r="C54" t="s">
        <v>31</v>
      </c>
      <c r="D54" t="s">
        <v>252</v>
      </c>
      <c r="E54" t="s">
        <v>253</v>
      </c>
      <c r="F54" t="s">
        <v>12</v>
      </c>
      <c r="G54" t="s">
        <v>254</v>
      </c>
      <c r="H54" t="s">
        <v>255</v>
      </c>
      <c r="I54" t="s">
        <v>30</v>
      </c>
      <c r="J54">
        <v>17617</v>
      </c>
      <c r="K54">
        <v>221</v>
      </c>
      <c r="L54" s="2">
        <v>0.04</v>
      </c>
      <c r="M54">
        <v>0.1</v>
      </c>
      <c r="N54" s="2">
        <v>0.70468000000000008</v>
      </c>
      <c r="O54" s="2">
        <v>1.7617</v>
      </c>
    </row>
    <row r="55" spans="2:15">
      <c r="B55" t="s">
        <v>117</v>
      </c>
      <c r="C55" t="s">
        <v>31</v>
      </c>
      <c r="D55" t="s">
        <v>256</v>
      </c>
      <c r="E55" t="s">
        <v>257</v>
      </c>
      <c r="F55" t="s">
        <v>12</v>
      </c>
      <c r="G55" t="s">
        <v>258</v>
      </c>
      <c r="H55" t="s">
        <v>259</v>
      </c>
      <c r="I55" t="s">
        <v>30</v>
      </c>
      <c r="J55">
        <v>310033</v>
      </c>
      <c r="K55">
        <v>1964</v>
      </c>
      <c r="L55" s="2">
        <v>0.04</v>
      </c>
      <c r="M55">
        <v>0.1</v>
      </c>
      <c r="N55" s="2">
        <v>12.40132</v>
      </c>
      <c r="O55" s="2">
        <v>31.003300000000003</v>
      </c>
    </row>
    <row r="56" spans="2:15">
      <c r="B56" t="s">
        <v>117</v>
      </c>
      <c r="C56" t="s">
        <v>31</v>
      </c>
      <c r="D56" t="s">
        <v>260</v>
      </c>
      <c r="E56" t="s">
        <v>261</v>
      </c>
      <c r="F56" t="s">
        <v>12</v>
      </c>
      <c r="G56" t="s">
        <v>262</v>
      </c>
      <c r="H56" t="s">
        <v>263</v>
      </c>
      <c r="I56" t="s">
        <v>30</v>
      </c>
      <c r="J56">
        <v>28519</v>
      </c>
      <c r="K56">
        <v>473</v>
      </c>
      <c r="L56" s="2">
        <v>0.04</v>
      </c>
      <c r="M56">
        <v>0.1</v>
      </c>
      <c r="N56" s="2">
        <v>1.14076</v>
      </c>
      <c r="O56" s="2">
        <v>2.8519000000000001</v>
      </c>
    </row>
    <row r="57" spans="2:15">
      <c r="B57" t="s">
        <v>117</v>
      </c>
      <c r="C57" t="s">
        <v>31</v>
      </c>
      <c r="D57" t="s">
        <v>264</v>
      </c>
      <c r="E57" t="s">
        <v>265</v>
      </c>
      <c r="F57" t="s">
        <v>12</v>
      </c>
      <c r="G57" t="s">
        <v>266</v>
      </c>
      <c r="H57" t="s">
        <v>267</v>
      </c>
      <c r="I57" t="s">
        <v>30</v>
      </c>
      <c r="J57">
        <v>155696</v>
      </c>
      <c r="K57">
        <v>477</v>
      </c>
      <c r="L57" s="2">
        <v>0.04</v>
      </c>
      <c r="M57">
        <v>0.1</v>
      </c>
      <c r="N57" s="2">
        <v>6.2278400000000005</v>
      </c>
      <c r="O57" s="2">
        <v>15.569600000000001</v>
      </c>
    </row>
    <row r="58" spans="2:15">
      <c r="B58" t="s">
        <v>117</v>
      </c>
      <c r="C58" t="s">
        <v>31</v>
      </c>
      <c r="D58" t="s">
        <v>268</v>
      </c>
      <c r="E58" t="s">
        <v>269</v>
      </c>
      <c r="F58" t="s">
        <v>12</v>
      </c>
      <c r="G58" t="s">
        <v>270</v>
      </c>
      <c r="H58" t="s">
        <v>271</v>
      </c>
      <c r="I58" t="s">
        <v>30</v>
      </c>
      <c r="J58">
        <v>31597</v>
      </c>
      <c r="K58">
        <v>1282</v>
      </c>
      <c r="L58" s="2">
        <v>0.04</v>
      </c>
      <c r="M58">
        <v>0.1</v>
      </c>
      <c r="N58" s="2">
        <v>1.2638800000000001</v>
      </c>
      <c r="O58" s="2">
        <v>3.1597000000000004</v>
      </c>
    </row>
    <row r="59" spans="2:15">
      <c r="B59" t="s">
        <v>117</v>
      </c>
      <c r="C59" t="s">
        <v>31</v>
      </c>
      <c r="D59" t="s">
        <v>272</v>
      </c>
      <c r="E59" t="s">
        <v>273</v>
      </c>
      <c r="F59" t="s">
        <v>12</v>
      </c>
      <c r="G59" t="s">
        <v>274</v>
      </c>
      <c r="H59" t="s">
        <v>275</v>
      </c>
      <c r="I59" t="s">
        <v>30</v>
      </c>
      <c r="J59">
        <v>13642</v>
      </c>
      <c r="K59">
        <v>2</v>
      </c>
      <c r="L59" s="2">
        <v>0.04</v>
      </c>
      <c r="M59">
        <v>0.1</v>
      </c>
      <c r="N59" s="2">
        <v>0.54568000000000005</v>
      </c>
      <c r="O59" s="2">
        <v>1.3642000000000001</v>
      </c>
    </row>
    <row r="60" spans="2:15">
      <c r="B60" t="s">
        <v>117</v>
      </c>
      <c r="C60" t="s">
        <v>31</v>
      </c>
      <c r="D60" t="s">
        <v>276</v>
      </c>
      <c r="E60" t="s">
        <v>277</v>
      </c>
      <c r="F60" t="s">
        <v>12</v>
      </c>
      <c r="G60" t="s">
        <v>278</v>
      </c>
      <c r="H60" t="s">
        <v>279</v>
      </c>
      <c r="I60" t="s">
        <v>30</v>
      </c>
      <c r="J60">
        <v>33748</v>
      </c>
      <c r="K60">
        <v>5</v>
      </c>
      <c r="L60" s="2">
        <v>0.04</v>
      </c>
      <c r="M60">
        <v>0.1</v>
      </c>
      <c r="N60" s="2">
        <v>1.34992</v>
      </c>
      <c r="O60" s="2">
        <v>3.3748</v>
      </c>
    </row>
    <row r="61" spans="2:15">
      <c r="B61" t="s">
        <v>117</v>
      </c>
      <c r="C61" t="s">
        <v>31</v>
      </c>
      <c r="D61" t="s">
        <v>280</v>
      </c>
      <c r="E61" t="s">
        <v>281</v>
      </c>
      <c r="F61" t="s">
        <v>12</v>
      </c>
      <c r="G61" t="s">
        <v>282</v>
      </c>
      <c r="H61" t="s">
        <v>283</v>
      </c>
      <c r="I61" t="s">
        <v>30</v>
      </c>
      <c r="J61">
        <v>36537</v>
      </c>
      <c r="K61">
        <v>9</v>
      </c>
      <c r="L61" s="2">
        <v>0.04</v>
      </c>
      <c r="M61">
        <v>0.1</v>
      </c>
      <c r="N61" s="2">
        <v>1.4614800000000001</v>
      </c>
      <c r="O61" s="2">
        <v>3.6537000000000002</v>
      </c>
    </row>
    <row r="62" spans="2:15">
      <c r="B62" t="s">
        <v>117</v>
      </c>
      <c r="C62" t="s">
        <v>31</v>
      </c>
      <c r="D62" t="s">
        <v>284</v>
      </c>
      <c r="E62" t="s">
        <v>285</v>
      </c>
      <c r="F62" t="s">
        <v>12</v>
      </c>
      <c r="G62" t="s">
        <v>286</v>
      </c>
      <c r="H62" t="s">
        <v>287</v>
      </c>
      <c r="I62" t="s">
        <v>30</v>
      </c>
      <c r="J62">
        <v>353</v>
      </c>
      <c r="K62">
        <v>22</v>
      </c>
      <c r="L62" s="2">
        <v>0.04</v>
      </c>
      <c r="M62">
        <v>0.1</v>
      </c>
      <c r="N62" s="2">
        <v>1.4120000000000001E-2</v>
      </c>
      <c r="O62" s="2">
        <v>3.5300000000000005E-2</v>
      </c>
    </row>
    <row r="63" spans="2:15">
      <c r="B63" t="s">
        <v>117</v>
      </c>
      <c r="C63" t="s">
        <v>31</v>
      </c>
      <c r="D63" t="s">
        <v>288</v>
      </c>
      <c r="E63" t="s">
        <v>289</v>
      </c>
      <c r="F63" t="s">
        <v>12</v>
      </c>
      <c r="G63" t="s">
        <v>290</v>
      </c>
      <c r="H63" t="s">
        <v>291</v>
      </c>
      <c r="I63" t="s">
        <v>30</v>
      </c>
      <c r="J63">
        <v>3191</v>
      </c>
      <c r="K63">
        <v>1</v>
      </c>
      <c r="L63" s="2">
        <v>0.04</v>
      </c>
      <c r="M63">
        <v>0.1</v>
      </c>
      <c r="N63" s="2">
        <v>0.12764</v>
      </c>
      <c r="O63" s="2">
        <v>0.31910000000000005</v>
      </c>
    </row>
    <row r="64" spans="2:15">
      <c r="B64" t="s">
        <v>117</v>
      </c>
      <c r="C64" t="s">
        <v>31</v>
      </c>
      <c r="D64" t="s">
        <v>292</v>
      </c>
      <c r="E64" t="s">
        <v>293</v>
      </c>
      <c r="F64" t="s">
        <v>12</v>
      </c>
      <c r="G64" t="s">
        <v>294</v>
      </c>
      <c r="H64" t="s">
        <v>295</v>
      </c>
      <c r="I64" t="s">
        <v>30</v>
      </c>
      <c r="J64">
        <v>1302</v>
      </c>
      <c r="K64">
        <v>0</v>
      </c>
      <c r="L64" s="2">
        <v>0.04</v>
      </c>
      <c r="M64">
        <v>0.1</v>
      </c>
      <c r="N64" s="2">
        <v>5.2080000000000001E-2</v>
      </c>
      <c r="O64" s="2">
        <v>0.13020000000000001</v>
      </c>
    </row>
    <row r="65" spans="2:15">
      <c r="B65" t="s">
        <v>117</v>
      </c>
      <c r="C65" t="s">
        <v>296</v>
      </c>
      <c r="D65" t="s">
        <v>297</v>
      </c>
      <c r="E65" t="s">
        <v>298</v>
      </c>
      <c r="F65" t="s">
        <v>12</v>
      </c>
      <c r="G65" t="s">
        <v>299</v>
      </c>
      <c r="H65" t="s">
        <v>300</v>
      </c>
      <c r="I65" t="s">
        <v>30</v>
      </c>
      <c r="J65">
        <v>27852</v>
      </c>
      <c r="K65">
        <v>11</v>
      </c>
      <c r="L65" s="2">
        <v>0.04</v>
      </c>
      <c r="M65">
        <v>0.1</v>
      </c>
      <c r="N65" s="2">
        <v>1.11408</v>
      </c>
      <c r="O65" s="2">
        <v>2.7852000000000001</v>
      </c>
    </row>
    <row r="66" spans="2:15">
      <c r="B66" t="s">
        <v>117</v>
      </c>
      <c r="C66" t="s">
        <v>28</v>
      </c>
      <c r="D66" t="s">
        <v>301</v>
      </c>
      <c r="E66" t="s">
        <v>302</v>
      </c>
      <c r="F66" t="s">
        <v>12</v>
      </c>
      <c r="G66" t="s">
        <v>303</v>
      </c>
      <c r="H66" t="s">
        <v>304</v>
      </c>
      <c r="I66" t="s">
        <v>30</v>
      </c>
      <c r="J66">
        <v>6397</v>
      </c>
      <c r="K66">
        <v>8</v>
      </c>
      <c r="L66" s="2">
        <v>0.04</v>
      </c>
      <c r="M66">
        <v>0.1</v>
      </c>
      <c r="N66" s="2">
        <v>0.25588</v>
      </c>
      <c r="O66" s="2">
        <v>0.63970000000000005</v>
      </c>
    </row>
    <row r="67" spans="2:15">
      <c r="B67" t="s">
        <v>117</v>
      </c>
      <c r="C67" t="s">
        <v>28</v>
      </c>
      <c r="D67" t="s">
        <v>305</v>
      </c>
      <c r="E67" t="s">
        <v>306</v>
      </c>
      <c r="F67" t="s">
        <v>12</v>
      </c>
      <c r="G67" t="s">
        <v>307</v>
      </c>
      <c r="H67" t="s">
        <v>308</v>
      </c>
      <c r="I67" t="s">
        <v>30</v>
      </c>
      <c r="J67">
        <v>2</v>
      </c>
      <c r="K67">
        <v>0</v>
      </c>
      <c r="L67" s="2">
        <v>0.04</v>
      </c>
      <c r="M67">
        <v>0.1</v>
      </c>
      <c r="N67" s="2">
        <v>8.0000000000000007E-5</v>
      </c>
      <c r="O67" s="2">
        <v>2.0000000000000001E-4</v>
      </c>
    </row>
    <row r="68" spans="2:15">
      <c r="B68" t="s">
        <v>117</v>
      </c>
      <c r="C68" t="s">
        <v>28</v>
      </c>
      <c r="D68" t="s">
        <v>309</v>
      </c>
      <c r="E68" t="s">
        <v>310</v>
      </c>
      <c r="F68" t="s">
        <v>12</v>
      </c>
      <c r="G68" t="s">
        <v>311</v>
      </c>
      <c r="H68" t="s">
        <v>312</v>
      </c>
      <c r="I68" t="s">
        <v>30</v>
      </c>
      <c r="J68">
        <v>34566</v>
      </c>
      <c r="K68">
        <v>19</v>
      </c>
      <c r="L68" s="2">
        <v>0.04</v>
      </c>
      <c r="M68">
        <v>0.1</v>
      </c>
      <c r="N68" s="2">
        <v>1.3826400000000001</v>
      </c>
      <c r="O68" s="2">
        <v>3.4566000000000003</v>
      </c>
    </row>
    <row r="69" spans="2:15">
      <c r="B69" t="s">
        <v>117</v>
      </c>
      <c r="C69" t="s">
        <v>28</v>
      </c>
      <c r="D69" t="s">
        <v>313</v>
      </c>
      <c r="E69" t="s">
        <v>314</v>
      </c>
      <c r="F69" t="s">
        <v>12</v>
      </c>
      <c r="G69" t="s">
        <v>315</v>
      </c>
      <c r="H69" t="s">
        <v>316</v>
      </c>
      <c r="I69" t="s">
        <v>30</v>
      </c>
      <c r="J69">
        <v>3</v>
      </c>
      <c r="K69">
        <v>1</v>
      </c>
      <c r="L69" s="2">
        <v>0.04</v>
      </c>
      <c r="M69">
        <v>0.1</v>
      </c>
      <c r="N69" s="2">
        <v>1.1999999999999999E-4</v>
      </c>
      <c r="O69" s="2">
        <v>3.0000000000000003E-4</v>
      </c>
    </row>
    <row r="70" spans="2:15">
      <c r="B70" t="s">
        <v>117</v>
      </c>
      <c r="C70" t="s">
        <v>28</v>
      </c>
      <c r="D70" t="s">
        <v>317</v>
      </c>
      <c r="E70" t="s">
        <v>318</v>
      </c>
      <c r="F70" t="s">
        <v>12</v>
      </c>
      <c r="G70" t="s">
        <v>319</v>
      </c>
      <c r="H70" t="s">
        <v>320</v>
      </c>
      <c r="I70" t="s">
        <v>30</v>
      </c>
      <c r="J70">
        <v>6262</v>
      </c>
      <c r="K70">
        <v>12</v>
      </c>
      <c r="L70" s="2">
        <v>0.04</v>
      </c>
      <c r="M70">
        <v>0.1</v>
      </c>
      <c r="N70" s="2">
        <v>0.25048000000000004</v>
      </c>
      <c r="O70" s="2">
        <v>0.62620000000000009</v>
      </c>
    </row>
    <row r="71" spans="2:15">
      <c r="B71" t="s">
        <v>117</v>
      </c>
      <c r="C71" t="s">
        <v>28</v>
      </c>
      <c r="D71" t="s">
        <v>321</v>
      </c>
      <c r="E71" t="s">
        <v>322</v>
      </c>
      <c r="F71" t="s">
        <v>12</v>
      </c>
      <c r="G71" t="s">
        <v>323</v>
      </c>
      <c r="H71" t="s">
        <v>324</v>
      </c>
      <c r="I71" t="s">
        <v>30</v>
      </c>
      <c r="J71">
        <v>2</v>
      </c>
      <c r="K71">
        <v>1</v>
      </c>
      <c r="L71" s="2">
        <v>0.04</v>
      </c>
      <c r="M71">
        <v>0.1</v>
      </c>
      <c r="N71" s="2">
        <v>8.0000000000000007E-5</v>
      </c>
      <c r="O71" s="2">
        <v>2.0000000000000001E-4</v>
      </c>
    </row>
    <row r="72" spans="2:15">
      <c r="B72" t="s">
        <v>117</v>
      </c>
      <c r="C72" t="s">
        <v>28</v>
      </c>
      <c r="D72" t="s">
        <v>325</v>
      </c>
      <c r="E72" t="s">
        <v>326</v>
      </c>
      <c r="F72" t="s">
        <v>12</v>
      </c>
      <c r="G72" t="s">
        <v>327</v>
      </c>
      <c r="H72" t="s">
        <v>328</v>
      </c>
      <c r="I72" t="s">
        <v>30</v>
      </c>
      <c r="J72">
        <v>41814</v>
      </c>
      <c r="K72">
        <v>24</v>
      </c>
      <c r="L72" s="2">
        <v>0.04</v>
      </c>
      <c r="M72">
        <v>0.1</v>
      </c>
      <c r="N72" s="2">
        <v>1.67256</v>
      </c>
      <c r="O72" s="2">
        <v>4.1814000000000009</v>
      </c>
    </row>
    <row r="73" spans="2:15">
      <c r="B73" t="s">
        <v>117</v>
      </c>
      <c r="C73" t="s">
        <v>28</v>
      </c>
      <c r="D73" t="s">
        <v>329</v>
      </c>
      <c r="E73" t="s">
        <v>330</v>
      </c>
      <c r="F73" t="s">
        <v>12</v>
      </c>
      <c r="G73" t="s">
        <v>331</v>
      </c>
      <c r="H73" t="s">
        <v>332</v>
      </c>
      <c r="I73" t="s">
        <v>30</v>
      </c>
      <c r="J73">
        <v>3</v>
      </c>
      <c r="K73">
        <v>1</v>
      </c>
      <c r="L73" s="2">
        <v>0.04</v>
      </c>
      <c r="M73">
        <v>0.1</v>
      </c>
      <c r="N73" s="2">
        <v>1.1999999999999999E-4</v>
      </c>
      <c r="O73" s="2">
        <v>3.0000000000000003E-4</v>
      </c>
    </row>
    <row r="74" spans="2:15">
      <c r="B74" t="s">
        <v>117</v>
      </c>
      <c r="C74" t="s">
        <v>28</v>
      </c>
      <c r="D74" t="s">
        <v>333</v>
      </c>
      <c r="E74" t="s">
        <v>334</v>
      </c>
      <c r="F74" t="s">
        <v>12</v>
      </c>
      <c r="G74" t="s">
        <v>335</v>
      </c>
      <c r="H74" t="s">
        <v>336</v>
      </c>
      <c r="I74" t="s">
        <v>30</v>
      </c>
      <c r="J74">
        <v>197566</v>
      </c>
      <c r="K74">
        <v>48</v>
      </c>
      <c r="L74" s="2">
        <v>0.04</v>
      </c>
      <c r="M74">
        <v>0.1</v>
      </c>
      <c r="N74" s="2">
        <v>7.9026399999999999</v>
      </c>
      <c r="O74" s="2">
        <v>19.756600000000002</v>
      </c>
    </row>
    <row r="75" spans="2:15">
      <c r="B75" t="s">
        <v>117</v>
      </c>
      <c r="C75" t="s">
        <v>28</v>
      </c>
      <c r="D75" t="s">
        <v>337</v>
      </c>
      <c r="E75" t="s">
        <v>338</v>
      </c>
      <c r="F75" t="s">
        <v>12</v>
      </c>
      <c r="G75" t="s">
        <v>339</v>
      </c>
      <c r="H75" t="s">
        <v>340</v>
      </c>
      <c r="I75" t="s">
        <v>30</v>
      </c>
      <c r="J75">
        <v>3</v>
      </c>
      <c r="K75">
        <v>1</v>
      </c>
      <c r="L75" s="2">
        <v>0.04</v>
      </c>
      <c r="M75">
        <v>0.1</v>
      </c>
      <c r="N75" s="2">
        <v>1.1999999999999999E-4</v>
      </c>
      <c r="O75" s="2">
        <v>3.0000000000000003E-4</v>
      </c>
    </row>
    <row r="76" spans="2:15">
      <c r="B76" t="s">
        <v>117</v>
      </c>
      <c r="C76" t="s">
        <v>28</v>
      </c>
      <c r="D76" t="s">
        <v>341</v>
      </c>
      <c r="E76" t="s">
        <v>342</v>
      </c>
      <c r="F76" t="s">
        <v>12</v>
      </c>
      <c r="G76" t="s">
        <v>343</v>
      </c>
      <c r="H76" t="s">
        <v>344</v>
      </c>
      <c r="I76" t="s">
        <v>30</v>
      </c>
      <c r="J76">
        <v>40799</v>
      </c>
      <c r="K76">
        <v>26</v>
      </c>
      <c r="L76" s="2">
        <v>0.04</v>
      </c>
      <c r="M76">
        <v>0.1</v>
      </c>
      <c r="N76" s="2">
        <v>1.6319600000000001</v>
      </c>
      <c r="O76" s="2">
        <v>4.0799000000000003</v>
      </c>
    </row>
    <row r="77" spans="2:15">
      <c r="B77" t="s">
        <v>117</v>
      </c>
      <c r="C77" t="s">
        <v>28</v>
      </c>
      <c r="D77" t="s">
        <v>345</v>
      </c>
      <c r="E77" t="s">
        <v>346</v>
      </c>
      <c r="F77" t="s">
        <v>12</v>
      </c>
      <c r="G77" t="s">
        <v>347</v>
      </c>
      <c r="H77" t="s">
        <v>348</v>
      </c>
      <c r="I77" t="s">
        <v>30</v>
      </c>
      <c r="J77">
        <v>2</v>
      </c>
      <c r="K77">
        <v>0</v>
      </c>
      <c r="L77" s="2">
        <v>0.04</v>
      </c>
      <c r="M77">
        <v>0.1</v>
      </c>
      <c r="N77" s="2">
        <v>8.0000000000000007E-5</v>
      </c>
      <c r="O77" s="2">
        <v>2.0000000000000001E-4</v>
      </c>
    </row>
    <row r="78" spans="2:15">
      <c r="B78" t="s">
        <v>117</v>
      </c>
      <c r="C78" t="s">
        <v>28</v>
      </c>
      <c r="D78" t="s">
        <v>349</v>
      </c>
      <c r="E78" t="s">
        <v>350</v>
      </c>
      <c r="F78" t="s">
        <v>12</v>
      </c>
      <c r="G78" t="s">
        <v>351</v>
      </c>
      <c r="H78" t="s">
        <v>352</v>
      </c>
      <c r="I78" t="s">
        <v>30</v>
      </c>
      <c r="J78">
        <v>208434</v>
      </c>
      <c r="K78">
        <v>173</v>
      </c>
      <c r="L78" s="2">
        <v>0.04</v>
      </c>
      <c r="M78">
        <v>0.1</v>
      </c>
      <c r="N78" s="2">
        <v>8.3373600000000003</v>
      </c>
      <c r="O78" s="2">
        <v>20.843400000000003</v>
      </c>
    </row>
    <row r="79" spans="2:15">
      <c r="B79" t="s">
        <v>117</v>
      </c>
      <c r="C79" t="s">
        <v>28</v>
      </c>
      <c r="D79" t="s">
        <v>353</v>
      </c>
      <c r="E79" t="s">
        <v>354</v>
      </c>
      <c r="F79" t="s">
        <v>12</v>
      </c>
      <c r="G79" t="s">
        <v>355</v>
      </c>
      <c r="H79" t="s">
        <v>356</v>
      </c>
      <c r="I79" t="s">
        <v>30</v>
      </c>
      <c r="J79">
        <v>2</v>
      </c>
      <c r="K79">
        <v>1</v>
      </c>
      <c r="L79" s="2">
        <v>0.04</v>
      </c>
      <c r="M79">
        <v>0.1</v>
      </c>
      <c r="N79" s="2">
        <v>8.0000000000000007E-5</v>
      </c>
      <c r="O79" s="2">
        <v>2.0000000000000001E-4</v>
      </c>
    </row>
    <row r="80" spans="2:15">
      <c r="B80" t="s">
        <v>117</v>
      </c>
      <c r="C80" t="s">
        <v>28</v>
      </c>
      <c r="D80" t="s">
        <v>357</v>
      </c>
      <c r="E80" t="s">
        <v>358</v>
      </c>
      <c r="F80" t="s">
        <v>12</v>
      </c>
      <c r="G80" t="s">
        <v>107</v>
      </c>
      <c r="H80" t="s">
        <v>359</v>
      </c>
      <c r="I80" t="s">
        <v>30</v>
      </c>
      <c r="J80">
        <v>1</v>
      </c>
      <c r="K80">
        <v>0</v>
      </c>
      <c r="L80" s="2">
        <v>0.04</v>
      </c>
      <c r="M80">
        <v>0.1</v>
      </c>
      <c r="N80" s="2">
        <v>4.0000000000000003E-5</v>
      </c>
      <c r="O80" s="2">
        <v>1E-4</v>
      </c>
    </row>
    <row r="81" spans="2:15">
      <c r="B81" t="s">
        <v>117</v>
      </c>
      <c r="C81" t="s">
        <v>28</v>
      </c>
      <c r="D81" t="s">
        <v>357</v>
      </c>
      <c r="E81" t="s">
        <v>358</v>
      </c>
      <c r="F81" t="s">
        <v>12</v>
      </c>
      <c r="G81" t="s">
        <v>360</v>
      </c>
      <c r="H81" t="s">
        <v>361</v>
      </c>
      <c r="I81" t="s">
        <v>30</v>
      </c>
      <c r="J81">
        <v>937004</v>
      </c>
      <c r="K81">
        <v>470</v>
      </c>
      <c r="L81" s="2">
        <v>0.04</v>
      </c>
      <c r="M81">
        <v>0.1</v>
      </c>
      <c r="N81" s="2">
        <v>37.480160000000005</v>
      </c>
      <c r="O81" s="2">
        <v>93.700400000000002</v>
      </c>
    </row>
    <row r="82" spans="2:15">
      <c r="B82" t="s">
        <v>117</v>
      </c>
      <c r="C82" t="s">
        <v>28</v>
      </c>
      <c r="D82" t="s">
        <v>362</v>
      </c>
      <c r="E82" t="s">
        <v>363</v>
      </c>
      <c r="F82" t="s">
        <v>12</v>
      </c>
      <c r="G82" t="s">
        <v>364</v>
      </c>
      <c r="H82" t="s">
        <v>365</v>
      </c>
      <c r="I82" t="s">
        <v>30</v>
      </c>
      <c r="J82">
        <v>1</v>
      </c>
      <c r="K82">
        <v>0</v>
      </c>
      <c r="L82" s="2">
        <v>0.04</v>
      </c>
      <c r="M82">
        <v>0.1</v>
      </c>
      <c r="N82" s="2">
        <v>4.0000000000000003E-5</v>
      </c>
      <c r="O82" s="2">
        <v>1E-4</v>
      </c>
    </row>
    <row r="83" spans="2:15">
      <c r="B83" t="s">
        <v>117</v>
      </c>
      <c r="C83" t="s">
        <v>28</v>
      </c>
      <c r="D83" t="s">
        <v>366</v>
      </c>
      <c r="E83" t="s">
        <v>367</v>
      </c>
      <c r="F83" t="s">
        <v>12</v>
      </c>
      <c r="G83" t="s">
        <v>368</v>
      </c>
      <c r="H83" t="s">
        <v>369</v>
      </c>
      <c r="I83" t="s">
        <v>30</v>
      </c>
      <c r="J83">
        <v>208446</v>
      </c>
      <c r="K83">
        <v>139</v>
      </c>
      <c r="L83" s="2">
        <v>0.04</v>
      </c>
      <c r="M83">
        <v>0.1</v>
      </c>
      <c r="N83" s="2">
        <v>8.3378399999999999</v>
      </c>
      <c r="O83" s="2">
        <v>20.844600000000003</v>
      </c>
    </row>
    <row r="84" spans="2:15">
      <c r="B84" t="s">
        <v>117</v>
      </c>
      <c r="C84" t="s">
        <v>28</v>
      </c>
      <c r="D84" t="s">
        <v>370</v>
      </c>
      <c r="E84" t="s">
        <v>371</v>
      </c>
      <c r="F84" t="s">
        <v>12</v>
      </c>
      <c r="G84" t="s">
        <v>372</v>
      </c>
      <c r="H84" t="s">
        <v>373</v>
      </c>
      <c r="I84" t="s">
        <v>30</v>
      </c>
      <c r="J84">
        <v>3</v>
      </c>
      <c r="K84">
        <v>0</v>
      </c>
      <c r="L84" s="2">
        <v>0.04</v>
      </c>
      <c r="M84">
        <v>0.1</v>
      </c>
      <c r="N84" s="2">
        <v>1.1999999999999999E-4</v>
      </c>
      <c r="O84" s="2">
        <v>3.0000000000000003E-4</v>
      </c>
    </row>
    <row r="85" spans="2:15">
      <c r="B85" t="s">
        <v>117</v>
      </c>
      <c r="C85" t="s">
        <v>28</v>
      </c>
      <c r="D85" t="s">
        <v>374</v>
      </c>
      <c r="E85" t="s">
        <v>375</v>
      </c>
      <c r="F85" t="s">
        <v>12</v>
      </c>
      <c r="G85" t="s">
        <v>376</v>
      </c>
      <c r="H85" t="s">
        <v>377</v>
      </c>
      <c r="I85" t="s">
        <v>30</v>
      </c>
      <c r="J85">
        <v>479607</v>
      </c>
      <c r="K85">
        <v>343</v>
      </c>
      <c r="L85" s="2">
        <v>0.04</v>
      </c>
      <c r="M85">
        <v>0.1</v>
      </c>
      <c r="N85" s="2">
        <v>19.184279999999998</v>
      </c>
      <c r="O85" s="2">
        <v>47.960700000000003</v>
      </c>
    </row>
    <row r="86" spans="2:15">
      <c r="B86" t="s">
        <v>117</v>
      </c>
      <c r="C86" t="s">
        <v>28</v>
      </c>
      <c r="D86" t="s">
        <v>378</v>
      </c>
      <c r="E86" t="s">
        <v>379</v>
      </c>
      <c r="F86" t="s">
        <v>12</v>
      </c>
      <c r="G86" t="s">
        <v>380</v>
      </c>
      <c r="H86" t="s">
        <v>381</v>
      </c>
      <c r="I86" t="s">
        <v>30</v>
      </c>
      <c r="J86">
        <v>3</v>
      </c>
      <c r="K86">
        <v>1</v>
      </c>
      <c r="L86" s="2">
        <v>0.04</v>
      </c>
      <c r="M86">
        <v>0.1</v>
      </c>
      <c r="N86" s="2">
        <v>1.1999999999999999E-4</v>
      </c>
      <c r="O86" s="2">
        <v>3.0000000000000003E-4</v>
      </c>
    </row>
    <row r="87" spans="2:15">
      <c r="B87" t="s">
        <v>117</v>
      </c>
      <c r="C87" t="s">
        <v>28</v>
      </c>
      <c r="D87" t="s">
        <v>382</v>
      </c>
      <c r="E87" t="s">
        <v>383</v>
      </c>
      <c r="F87" t="s">
        <v>12</v>
      </c>
      <c r="G87" t="s">
        <v>384</v>
      </c>
      <c r="H87" t="s">
        <v>385</v>
      </c>
      <c r="I87" t="s">
        <v>30</v>
      </c>
      <c r="J87">
        <v>1331013</v>
      </c>
      <c r="K87">
        <v>621</v>
      </c>
      <c r="L87" s="2">
        <v>0.04</v>
      </c>
      <c r="M87">
        <v>0.1</v>
      </c>
      <c r="N87" s="2">
        <v>53.240520000000004</v>
      </c>
      <c r="O87" s="2">
        <v>133.10130000000001</v>
      </c>
    </row>
    <row r="88" spans="2:15">
      <c r="B88" t="s">
        <v>117</v>
      </c>
      <c r="C88" t="s">
        <v>28</v>
      </c>
      <c r="D88" t="s">
        <v>386</v>
      </c>
      <c r="E88" t="s">
        <v>387</v>
      </c>
      <c r="F88" t="s">
        <v>12</v>
      </c>
      <c r="G88" t="s">
        <v>388</v>
      </c>
      <c r="H88" t="s">
        <v>389</v>
      </c>
      <c r="I88" t="s">
        <v>30</v>
      </c>
      <c r="J88">
        <v>5</v>
      </c>
      <c r="K88">
        <v>0</v>
      </c>
      <c r="L88" s="2">
        <v>0.04</v>
      </c>
      <c r="M88">
        <v>0.1</v>
      </c>
      <c r="N88" s="2">
        <v>2.0000000000000001E-4</v>
      </c>
      <c r="O88" s="2">
        <v>5.0000000000000001E-4</v>
      </c>
    </row>
    <row r="89" spans="2:15">
      <c r="B89" t="s">
        <v>117</v>
      </c>
      <c r="C89" t="s">
        <v>28</v>
      </c>
      <c r="D89" t="s">
        <v>390</v>
      </c>
      <c r="E89" t="s">
        <v>391</v>
      </c>
      <c r="F89" t="s">
        <v>12</v>
      </c>
      <c r="G89" t="s">
        <v>392</v>
      </c>
      <c r="H89" t="s">
        <v>393</v>
      </c>
      <c r="I89" t="s">
        <v>30</v>
      </c>
      <c r="J89">
        <v>477407</v>
      </c>
      <c r="K89">
        <v>342</v>
      </c>
      <c r="L89" s="2">
        <v>0.04</v>
      </c>
      <c r="M89">
        <v>0.1</v>
      </c>
      <c r="N89" s="2">
        <v>19.09628</v>
      </c>
      <c r="O89" s="2">
        <v>47.740700000000004</v>
      </c>
    </row>
    <row r="90" spans="2:15">
      <c r="B90" t="s">
        <v>117</v>
      </c>
      <c r="C90" t="s">
        <v>28</v>
      </c>
      <c r="D90" t="s">
        <v>394</v>
      </c>
      <c r="E90" t="s">
        <v>395</v>
      </c>
      <c r="F90" t="s">
        <v>12</v>
      </c>
      <c r="G90" t="s">
        <v>396</v>
      </c>
      <c r="H90" t="s">
        <v>397</v>
      </c>
      <c r="I90" t="s">
        <v>30</v>
      </c>
      <c r="J90">
        <v>2</v>
      </c>
      <c r="K90">
        <v>0</v>
      </c>
      <c r="L90" s="2">
        <v>0.04</v>
      </c>
      <c r="M90">
        <v>0.1</v>
      </c>
      <c r="N90" s="2">
        <v>8.0000000000000007E-5</v>
      </c>
      <c r="O90" s="2">
        <v>2.0000000000000001E-4</v>
      </c>
    </row>
    <row r="91" spans="2:15">
      <c r="B91" t="s">
        <v>117</v>
      </c>
      <c r="C91" t="s">
        <v>28</v>
      </c>
      <c r="D91" t="s">
        <v>398</v>
      </c>
      <c r="E91" t="s">
        <v>399</v>
      </c>
      <c r="F91" t="s">
        <v>12</v>
      </c>
      <c r="G91" t="s">
        <v>400</v>
      </c>
      <c r="H91" t="s">
        <v>401</v>
      </c>
      <c r="I91" t="s">
        <v>30</v>
      </c>
      <c r="J91">
        <v>1073829</v>
      </c>
      <c r="K91">
        <v>1903</v>
      </c>
      <c r="L91" s="2">
        <v>0.04</v>
      </c>
      <c r="M91">
        <v>0.1</v>
      </c>
      <c r="N91" s="2">
        <v>42.953160000000004</v>
      </c>
      <c r="O91" s="2">
        <v>107.38290000000001</v>
      </c>
    </row>
    <row r="92" spans="2:15">
      <c r="B92" t="s">
        <v>117</v>
      </c>
      <c r="C92" t="s">
        <v>28</v>
      </c>
      <c r="D92" t="s">
        <v>402</v>
      </c>
      <c r="E92" t="s">
        <v>403</v>
      </c>
      <c r="F92" t="s">
        <v>12</v>
      </c>
      <c r="G92" t="s">
        <v>404</v>
      </c>
      <c r="H92" t="s">
        <v>405</v>
      </c>
      <c r="I92" t="s">
        <v>30</v>
      </c>
      <c r="J92">
        <v>2</v>
      </c>
      <c r="K92">
        <v>0</v>
      </c>
      <c r="L92" s="2">
        <v>0.04</v>
      </c>
      <c r="M92">
        <v>0.1</v>
      </c>
      <c r="N92" s="2">
        <v>8.0000000000000007E-5</v>
      </c>
      <c r="O92" s="2">
        <v>2.0000000000000001E-4</v>
      </c>
    </row>
    <row r="93" spans="2:15">
      <c r="B93" t="s">
        <v>117</v>
      </c>
      <c r="C93" t="s">
        <v>28</v>
      </c>
      <c r="D93" t="s">
        <v>406</v>
      </c>
      <c r="E93" t="s">
        <v>407</v>
      </c>
      <c r="F93" t="s">
        <v>12</v>
      </c>
      <c r="G93" t="s">
        <v>408</v>
      </c>
      <c r="H93" t="s">
        <v>409</v>
      </c>
      <c r="I93" t="s">
        <v>30</v>
      </c>
      <c r="J93">
        <v>3282303</v>
      </c>
      <c r="K93">
        <v>4757</v>
      </c>
      <c r="L93" s="2">
        <v>0.04</v>
      </c>
      <c r="M93">
        <v>0.1</v>
      </c>
      <c r="N93" s="2">
        <v>131.29211999999998</v>
      </c>
      <c r="O93" s="2">
        <v>328.23030000000006</v>
      </c>
    </row>
    <row r="94" spans="2:15">
      <c r="B94" t="s">
        <v>117</v>
      </c>
      <c r="C94" t="s">
        <v>28</v>
      </c>
      <c r="D94" t="s">
        <v>410</v>
      </c>
      <c r="E94" t="s">
        <v>411</v>
      </c>
      <c r="F94" t="s">
        <v>12</v>
      </c>
      <c r="G94" t="s">
        <v>412</v>
      </c>
      <c r="H94" t="s">
        <v>413</v>
      </c>
      <c r="I94" t="s">
        <v>30</v>
      </c>
      <c r="J94">
        <v>5</v>
      </c>
      <c r="K94">
        <v>1</v>
      </c>
      <c r="L94" s="2">
        <v>0.04</v>
      </c>
      <c r="M94">
        <v>0.1</v>
      </c>
      <c r="N94" s="2">
        <v>2.0000000000000001E-4</v>
      </c>
      <c r="O94" s="2">
        <v>5.0000000000000001E-4</v>
      </c>
    </row>
    <row r="95" spans="2:15">
      <c r="B95" t="s">
        <v>117</v>
      </c>
      <c r="C95" t="s">
        <v>28</v>
      </c>
      <c r="D95" t="s">
        <v>414</v>
      </c>
      <c r="E95" t="s">
        <v>415</v>
      </c>
      <c r="F95" t="s">
        <v>12</v>
      </c>
      <c r="G95" t="s">
        <v>416</v>
      </c>
      <c r="H95" t="s">
        <v>417</v>
      </c>
      <c r="I95" t="s">
        <v>30</v>
      </c>
      <c r="J95">
        <v>1096396</v>
      </c>
      <c r="K95">
        <v>1880</v>
      </c>
      <c r="L95" s="2">
        <v>0.04</v>
      </c>
      <c r="M95">
        <v>0.1</v>
      </c>
      <c r="N95" s="2">
        <v>43.855840000000001</v>
      </c>
      <c r="O95" s="2">
        <v>109.6396</v>
      </c>
    </row>
    <row r="96" spans="2:15">
      <c r="B96" t="s">
        <v>117</v>
      </c>
      <c r="C96" t="s">
        <v>28</v>
      </c>
      <c r="D96" t="s">
        <v>418</v>
      </c>
      <c r="E96" t="s">
        <v>419</v>
      </c>
      <c r="F96" t="s">
        <v>12</v>
      </c>
      <c r="G96" t="s">
        <v>420</v>
      </c>
      <c r="H96" t="s">
        <v>421</v>
      </c>
      <c r="I96" t="s">
        <v>30</v>
      </c>
      <c r="J96">
        <v>2</v>
      </c>
      <c r="K96">
        <v>0</v>
      </c>
      <c r="L96" s="2">
        <v>0.04</v>
      </c>
      <c r="M96">
        <v>0.1</v>
      </c>
      <c r="N96" s="2">
        <v>8.0000000000000007E-5</v>
      </c>
      <c r="O96" s="2">
        <v>2.0000000000000001E-4</v>
      </c>
    </row>
    <row r="97" spans="2:15">
      <c r="B97" t="s">
        <v>117</v>
      </c>
      <c r="C97" t="s">
        <v>28</v>
      </c>
      <c r="D97" t="s">
        <v>422</v>
      </c>
      <c r="E97" t="s">
        <v>423</v>
      </c>
      <c r="F97" t="s">
        <v>12</v>
      </c>
      <c r="G97" t="s">
        <v>424</v>
      </c>
      <c r="H97" t="s">
        <v>425</v>
      </c>
      <c r="I97" t="s">
        <v>30</v>
      </c>
      <c r="J97">
        <v>60184</v>
      </c>
      <c r="K97">
        <v>38</v>
      </c>
      <c r="L97" s="2">
        <v>0.04</v>
      </c>
      <c r="M97">
        <v>0.1</v>
      </c>
      <c r="N97" s="2">
        <v>2.4073600000000002</v>
      </c>
      <c r="O97" s="2">
        <v>6.0184000000000006</v>
      </c>
    </row>
    <row r="98" spans="2:15">
      <c r="B98" t="s">
        <v>117</v>
      </c>
      <c r="C98" t="s">
        <v>28</v>
      </c>
      <c r="D98" t="s">
        <v>426</v>
      </c>
      <c r="E98" t="s">
        <v>427</v>
      </c>
      <c r="F98" t="s">
        <v>12</v>
      </c>
      <c r="G98" t="s">
        <v>428</v>
      </c>
      <c r="H98" t="s">
        <v>429</v>
      </c>
      <c r="I98" t="s">
        <v>30</v>
      </c>
      <c r="J98">
        <v>3</v>
      </c>
      <c r="K98">
        <v>1</v>
      </c>
      <c r="L98" s="2">
        <v>0.04</v>
      </c>
      <c r="M98">
        <v>0.1</v>
      </c>
      <c r="N98" s="2">
        <v>1.1999999999999999E-4</v>
      </c>
      <c r="O98" s="2">
        <v>3.0000000000000003E-4</v>
      </c>
    </row>
    <row r="99" spans="2:15">
      <c r="B99" t="s">
        <v>117</v>
      </c>
      <c r="C99" t="s">
        <v>28</v>
      </c>
      <c r="D99" t="s">
        <v>430</v>
      </c>
      <c r="E99" t="s">
        <v>431</v>
      </c>
      <c r="F99" t="s">
        <v>12</v>
      </c>
      <c r="G99" t="s">
        <v>432</v>
      </c>
      <c r="H99" t="s">
        <v>433</v>
      </c>
      <c r="I99" t="s">
        <v>30</v>
      </c>
      <c r="J99">
        <v>183817</v>
      </c>
      <c r="K99">
        <v>58</v>
      </c>
      <c r="L99" s="2">
        <v>0.04</v>
      </c>
      <c r="M99">
        <v>0.1</v>
      </c>
      <c r="N99" s="2">
        <v>7.3526800000000003</v>
      </c>
      <c r="O99" s="2">
        <v>18.381700000000002</v>
      </c>
    </row>
    <row r="100" spans="2:15">
      <c r="B100" t="s">
        <v>117</v>
      </c>
      <c r="C100" t="s">
        <v>28</v>
      </c>
      <c r="D100" t="s">
        <v>434</v>
      </c>
      <c r="E100" t="s">
        <v>435</v>
      </c>
      <c r="F100" t="s">
        <v>12</v>
      </c>
      <c r="G100" t="s">
        <v>436</v>
      </c>
      <c r="H100" t="s">
        <v>437</v>
      </c>
      <c r="I100" t="s">
        <v>30</v>
      </c>
      <c r="J100">
        <v>3</v>
      </c>
      <c r="K100">
        <v>0</v>
      </c>
      <c r="L100" s="2">
        <v>0.04</v>
      </c>
      <c r="M100">
        <v>0.1</v>
      </c>
      <c r="N100" s="2">
        <v>1.1999999999999999E-4</v>
      </c>
      <c r="O100" s="2">
        <v>3.0000000000000003E-4</v>
      </c>
    </row>
    <row r="101" spans="2:15">
      <c r="B101" t="s">
        <v>117</v>
      </c>
      <c r="C101" t="s">
        <v>28</v>
      </c>
      <c r="D101" t="s">
        <v>438</v>
      </c>
      <c r="E101" t="s">
        <v>439</v>
      </c>
      <c r="F101" t="s">
        <v>12</v>
      </c>
      <c r="G101" t="s">
        <v>440</v>
      </c>
      <c r="H101" t="s">
        <v>441</v>
      </c>
      <c r="I101" t="s">
        <v>30</v>
      </c>
      <c r="J101">
        <v>65195</v>
      </c>
      <c r="K101">
        <v>24</v>
      </c>
      <c r="L101" s="2">
        <v>0.04</v>
      </c>
      <c r="M101">
        <v>0.1</v>
      </c>
      <c r="N101" s="2">
        <v>2.6078000000000001</v>
      </c>
      <c r="O101" s="2">
        <v>6.5194999999999999</v>
      </c>
    </row>
    <row r="102" spans="2:15">
      <c r="B102" t="s">
        <v>117</v>
      </c>
      <c r="C102" t="s">
        <v>28</v>
      </c>
      <c r="D102" t="s">
        <v>442</v>
      </c>
      <c r="E102" t="s">
        <v>443</v>
      </c>
      <c r="F102" t="s">
        <v>12</v>
      </c>
      <c r="G102" t="s">
        <v>444</v>
      </c>
      <c r="H102" t="s">
        <v>445</v>
      </c>
      <c r="I102" t="s">
        <v>30</v>
      </c>
      <c r="J102">
        <v>2</v>
      </c>
      <c r="K102">
        <v>0</v>
      </c>
      <c r="L102" s="2">
        <v>0.04</v>
      </c>
      <c r="M102">
        <v>0.1</v>
      </c>
      <c r="N102" s="2">
        <v>8.0000000000000007E-5</v>
      </c>
      <c r="O102" s="2">
        <v>2.0000000000000001E-4</v>
      </c>
    </row>
    <row r="103" spans="2:15">
      <c r="B103" t="s">
        <v>117</v>
      </c>
      <c r="C103" t="s">
        <v>28</v>
      </c>
      <c r="D103" t="s">
        <v>446</v>
      </c>
      <c r="E103" t="s">
        <v>447</v>
      </c>
      <c r="F103" t="s">
        <v>12</v>
      </c>
      <c r="G103" t="s">
        <v>448</v>
      </c>
      <c r="H103" t="s">
        <v>449</v>
      </c>
      <c r="I103" t="s">
        <v>24</v>
      </c>
      <c r="J103">
        <v>667934</v>
      </c>
      <c r="K103">
        <v>25171</v>
      </c>
      <c r="L103" s="2">
        <v>0.04</v>
      </c>
      <c r="M103">
        <v>0.1</v>
      </c>
      <c r="N103" s="2">
        <v>26.717359999999999</v>
      </c>
      <c r="O103" s="2">
        <v>66.793400000000005</v>
      </c>
    </row>
    <row r="104" spans="2:15">
      <c r="B104" t="s">
        <v>117</v>
      </c>
      <c r="C104" t="s">
        <v>28</v>
      </c>
      <c r="D104" t="s">
        <v>450</v>
      </c>
      <c r="E104" t="s">
        <v>451</v>
      </c>
      <c r="F104" t="s">
        <v>10</v>
      </c>
      <c r="G104" t="s">
        <v>452</v>
      </c>
      <c r="H104" t="s">
        <v>453</v>
      </c>
      <c r="I104" t="s">
        <v>24</v>
      </c>
      <c r="J104">
        <v>0</v>
      </c>
      <c r="K104">
        <v>2</v>
      </c>
      <c r="L104" s="2">
        <v>3.5000000000000001E-3</v>
      </c>
      <c r="M104">
        <v>2.5000000000000001E-2</v>
      </c>
      <c r="N104" s="2">
        <v>7.0000000000000001E-3</v>
      </c>
      <c r="O104" s="2">
        <v>0.05</v>
      </c>
    </row>
    <row r="105" spans="2:15">
      <c r="B105" t="s">
        <v>117</v>
      </c>
      <c r="C105" t="s">
        <v>28</v>
      </c>
      <c r="D105" t="s">
        <v>454</v>
      </c>
      <c r="E105" t="s">
        <v>455</v>
      </c>
      <c r="F105" t="s">
        <v>12</v>
      </c>
      <c r="G105" t="s">
        <v>456</v>
      </c>
      <c r="H105" t="s">
        <v>457</v>
      </c>
      <c r="I105" t="s">
        <v>24</v>
      </c>
      <c r="J105">
        <v>1075152</v>
      </c>
      <c r="K105">
        <v>20260</v>
      </c>
      <c r="L105" s="2">
        <v>0.04</v>
      </c>
      <c r="M105">
        <v>0.1</v>
      </c>
      <c r="N105" s="2">
        <v>43.006080000000004</v>
      </c>
      <c r="O105" s="2">
        <v>107.51520000000001</v>
      </c>
    </row>
    <row r="106" spans="2:15">
      <c r="B106" t="s">
        <v>117</v>
      </c>
      <c r="C106" t="s">
        <v>28</v>
      </c>
      <c r="D106" t="s">
        <v>458</v>
      </c>
      <c r="E106" t="s">
        <v>459</v>
      </c>
      <c r="F106" t="s">
        <v>12</v>
      </c>
      <c r="G106" t="s">
        <v>460</v>
      </c>
      <c r="H106" t="s">
        <v>461</v>
      </c>
      <c r="I106" t="s">
        <v>24</v>
      </c>
      <c r="J106">
        <v>254562</v>
      </c>
      <c r="K106">
        <v>3776</v>
      </c>
      <c r="L106" s="2">
        <v>0.04</v>
      </c>
      <c r="M106">
        <v>0.1</v>
      </c>
      <c r="N106" s="2">
        <v>10.18248</v>
      </c>
      <c r="O106" s="2">
        <v>25.456199999999999</v>
      </c>
    </row>
    <row r="107" spans="2:15">
      <c r="B107" t="s">
        <v>117</v>
      </c>
      <c r="C107" t="s">
        <v>28</v>
      </c>
      <c r="D107" t="s">
        <v>462</v>
      </c>
      <c r="E107" t="s">
        <v>463</v>
      </c>
      <c r="F107" t="s">
        <v>12</v>
      </c>
      <c r="G107" t="s">
        <v>464</v>
      </c>
      <c r="H107" t="s">
        <v>465</v>
      </c>
      <c r="I107" t="s">
        <v>24</v>
      </c>
      <c r="J107">
        <v>306328</v>
      </c>
      <c r="K107">
        <v>5771</v>
      </c>
      <c r="L107" s="2">
        <v>0.04</v>
      </c>
      <c r="M107">
        <v>0.1</v>
      </c>
      <c r="N107" s="2">
        <v>12.253120000000001</v>
      </c>
      <c r="O107" s="2">
        <v>30.632800000000003</v>
      </c>
    </row>
    <row r="108" spans="2:15">
      <c r="B108" t="s">
        <v>466</v>
      </c>
      <c r="C108" t="s">
        <v>28</v>
      </c>
      <c r="D108" t="s">
        <v>467</v>
      </c>
      <c r="E108" t="s">
        <v>468</v>
      </c>
      <c r="F108" t="s">
        <v>12</v>
      </c>
      <c r="G108" t="s">
        <v>469</v>
      </c>
      <c r="H108" t="s">
        <v>470</v>
      </c>
      <c r="I108" t="s">
        <v>24</v>
      </c>
      <c r="J108">
        <v>115498</v>
      </c>
      <c r="K108">
        <v>2628</v>
      </c>
      <c r="L108" s="2">
        <v>0.04</v>
      </c>
      <c r="M108">
        <v>0.1</v>
      </c>
      <c r="N108" s="2">
        <v>4.6199200000000005</v>
      </c>
      <c r="O108" s="2">
        <v>11.549800000000001</v>
      </c>
    </row>
    <row r="109" spans="2:15">
      <c r="B109" t="s">
        <v>466</v>
      </c>
      <c r="C109" t="s">
        <v>35</v>
      </c>
      <c r="D109" t="s">
        <v>471</v>
      </c>
      <c r="E109" t="s">
        <v>472</v>
      </c>
      <c r="F109" t="s">
        <v>10</v>
      </c>
      <c r="G109" t="s">
        <v>473</v>
      </c>
      <c r="H109" t="s">
        <v>474</v>
      </c>
      <c r="I109" t="s">
        <v>24</v>
      </c>
      <c r="J109">
        <v>3</v>
      </c>
      <c r="K109">
        <v>12</v>
      </c>
      <c r="L109" s="2">
        <v>3.5000000000000001E-3</v>
      </c>
      <c r="M109">
        <v>2.5000000000000001E-2</v>
      </c>
      <c r="N109" s="2">
        <v>4.2000000000000003E-2</v>
      </c>
      <c r="O109" s="2">
        <v>0.30000000000000004</v>
      </c>
    </row>
    <row r="110" spans="2:15">
      <c r="B110" t="s">
        <v>466</v>
      </c>
      <c r="C110" t="s">
        <v>35</v>
      </c>
      <c r="D110" t="s">
        <v>475</v>
      </c>
      <c r="E110" t="s">
        <v>476</v>
      </c>
      <c r="F110" t="s">
        <v>10</v>
      </c>
      <c r="G110" t="s">
        <v>477</v>
      </c>
      <c r="H110" t="s">
        <v>478</v>
      </c>
      <c r="I110" t="s">
        <v>24</v>
      </c>
      <c r="J110">
        <v>0</v>
      </c>
      <c r="K110">
        <v>5</v>
      </c>
      <c r="L110" s="2">
        <v>3.5000000000000001E-3</v>
      </c>
      <c r="M110">
        <v>2.5000000000000001E-2</v>
      </c>
      <c r="N110" s="2">
        <v>1.7500000000000002E-2</v>
      </c>
      <c r="O110" s="2">
        <v>0.125</v>
      </c>
    </row>
    <row r="111" spans="2:15">
      <c r="B111" t="s">
        <v>479</v>
      </c>
      <c r="C111" t="s">
        <v>34</v>
      </c>
      <c r="D111" t="s">
        <v>480</v>
      </c>
      <c r="E111" t="s">
        <v>481</v>
      </c>
      <c r="F111" t="s">
        <v>12</v>
      </c>
      <c r="G111" t="s">
        <v>482</v>
      </c>
      <c r="H111" t="s">
        <v>483</v>
      </c>
      <c r="I111" t="s">
        <v>30</v>
      </c>
      <c r="J111">
        <v>207682</v>
      </c>
      <c r="K111">
        <v>307</v>
      </c>
      <c r="L111" s="2">
        <v>0.04</v>
      </c>
      <c r="M111">
        <v>0.1</v>
      </c>
      <c r="N111" s="2">
        <v>8.3072800000000004</v>
      </c>
      <c r="O111" s="2">
        <v>20.7682</v>
      </c>
    </row>
    <row r="112" spans="2:15">
      <c r="B112" t="s">
        <v>479</v>
      </c>
      <c r="C112" t="s">
        <v>34</v>
      </c>
      <c r="D112" t="s">
        <v>484</v>
      </c>
      <c r="E112" t="s">
        <v>485</v>
      </c>
      <c r="F112" t="s">
        <v>12</v>
      </c>
      <c r="G112" t="s">
        <v>486</v>
      </c>
      <c r="H112" t="s">
        <v>487</v>
      </c>
      <c r="I112" t="s">
        <v>30</v>
      </c>
      <c r="J112">
        <v>38969</v>
      </c>
      <c r="K112">
        <v>34</v>
      </c>
      <c r="L112" s="2">
        <v>0.04</v>
      </c>
      <c r="M112">
        <v>0.1</v>
      </c>
      <c r="N112" s="2">
        <v>1.5587599999999999</v>
      </c>
      <c r="O112" s="2">
        <v>3.8969</v>
      </c>
    </row>
    <row r="113" spans="2:15">
      <c r="B113" t="s">
        <v>479</v>
      </c>
      <c r="C113" t="s">
        <v>34</v>
      </c>
      <c r="D113" t="s">
        <v>488</v>
      </c>
      <c r="E113" t="s">
        <v>489</v>
      </c>
      <c r="F113" t="s">
        <v>12</v>
      </c>
      <c r="G113" t="s">
        <v>490</v>
      </c>
      <c r="H113" t="s">
        <v>491</v>
      </c>
      <c r="I113" t="s">
        <v>30</v>
      </c>
      <c r="J113">
        <v>66548</v>
      </c>
      <c r="K113">
        <v>71</v>
      </c>
      <c r="L113" s="2">
        <v>0.04</v>
      </c>
      <c r="M113">
        <v>0.1</v>
      </c>
      <c r="N113" s="2">
        <v>2.6619200000000003</v>
      </c>
      <c r="O113" s="2">
        <v>6.6547999999999998</v>
      </c>
    </row>
    <row r="114" spans="2:15">
      <c r="B114" t="s">
        <v>479</v>
      </c>
      <c r="C114" t="s">
        <v>34</v>
      </c>
      <c r="D114" t="s">
        <v>492</v>
      </c>
      <c r="E114" t="s">
        <v>493</v>
      </c>
      <c r="F114" t="s">
        <v>12</v>
      </c>
      <c r="G114" t="s">
        <v>494</v>
      </c>
      <c r="H114" t="s">
        <v>495</v>
      </c>
      <c r="I114" t="s">
        <v>30</v>
      </c>
      <c r="J114">
        <v>30206</v>
      </c>
      <c r="K114">
        <v>13</v>
      </c>
      <c r="L114" s="2">
        <v>0.04</v>
      </c>
      <c r="M114">
        <v>0.1</v>
      </c>
      <c r="N114" s="2">
        <v>1.20824</v>
      </c>
      <c r="O114" s="2">
        <v>3.0206000000000004</v>
      </c>
    </row>
    <row r="115" spans="2:15">
      <c r="B115" t="s">
        <v>479</v>
      </c>
      <c r="C115" t="s">
        <v>34</v>
      </c>
      <c r="D115" t="s">
        <v>496</v>
      </c>
      <c r="E115" t="s">
        <v>497</v>
      </c>
      <c r="F115" t="s">
        <v>12</v>
      </c>
      <c r="G115" t="s">
        <v>498</v>
      </c>
      <c r="H115" t="s">
        <v>499</v>
      </c>
      <c r="I115" t="s">
        <v>30</v>
      </c>
      <c r="J115">
        <v>495777</v>
      </c>
      <c r="K115">
        <v>2064</v>
      </c>
      <c r="L115" s="2">
        <v>0.04</v>
      </c>
      <c r="M115">
        <v>0.1</v>
      </c>
      <c r="N115" s="2">
        <v>19.83108</v>
      </c>
      <c r="O115" s="2">
        <v>49.577700000000007</v>
      </c>
    </row>
    <row r="116" spans="2:15">
      <c r="B116" t="s">
        <v>500</v>
      </c>
      <c r="C116" t="s">
        <v>28</v>
      </c>
      <c r="D116" t="s">
        <v>501</v>
      </c>
      <c r="E116" t="s">
        <v>502</v>
      </c>
      <c r="F116" t="s">
        <v>12</v>
      </c>
      <c r="G116" t="s">
        <v>503</v>
      </c>
      <c r="H116" t="s">
        <v>504</v>
      </c>
      <c r="I116" t="s">
        <v>30</v>
      </c>
      <c r="J116">
        <v>17</v>
      </c>
      <c r="K116">
        <v>2</v>
      </c>
      <c r="L116" s="2">
        <v>0.04</v>
      </c>
      <c r="M116">
        <v>0.1</v>
      </c>
      <c r="N116" s="2">
        <v>6.8000000000000005E-4</v>
      </c>
      <c r="O116" s="2">
        <v>1.7000000000000001E-3</v>
      </c>
    </row>
    <row r="117" spans="2:15">
      <c r="B117" t="s">
        <v>500</v>
      </c>
      <c r="C117" t="s">
        <v>28</v>
      </c>
      <c r="D117" t="s">
        <v>505</v>
      </c>
      <c r="E117" t="s">
        <v>506</v>
      </c>
      <c r="F117" t="s">
        <v>12</v>
      </c>
      <c r="G117" t="s">
        <v>507</v>
      </c>
      <c r="H117" t="s">
        <v>508</v>
      </c>
      <c r="I117" t="s">
        <v>30</v>
      </c>
      <c r="J117">
        <v>7</v>
      </c>
      <c r="K117">
        <v>0</v>
      </c>
      <c r="L117" s="2">
        <v>0.04</v>
      </c>
      <c r="M117">
        <v>0.1</v>
      </c>
      <c r="N117" s="2">
        <v>2.8000000000000003E-4</v>
      </c>
      <c r="O117" s="2">
        <v>7.000000000000001E-4</v>
      </c>
    </row>
    <row r="118" spans="2:15">
      <c r="B118" t="s">
        <v>500</v>
      </c>
      <c r="C118" t="s">
        <v>28</v>
      </c>
      <c r="D118" t="s">
        <v>509</v>
      </c>
      <c r="E118" t="s">
        <v>510</v>
      </c>
      <c r="F118" t="s">
        <v>12</v>
      </c>
      <c r="G118" t="s">
        <v>511</v>
      </c>
      <c r="H118" t="s">
        <v>512</v>
      </c>
      <c r="I118" t="s">
        <v>30</v>
      </c>
      <c r="J118">
        <v>13</v>
      </c>
      <c r="K118">
        <v>1</v>
      </c>
      <c r="L118" s="2">
        <v>0.04</v>
      </c>
      <c r="M118">
        <v>0.1</v>
      </c>
      <c r="N118" s="2">
        <v>5.2000000000000006E-4</v>
      </c>
      <c r="O118" s="2">
        <v>1.2999999999999999E-3</v>
      </c>
    </row>
    <row r="119" spans="2:15">
      <c r="B119" t="s">
        <v>500</v>
      </c>
      <c r="C119" t="s">
        <v>28</v>
      </c>
      <c r="D119" t="s">
        <v>513</v>
      </c>
      <c r="E119" t="s">
        <v>514</v>
      </c>
      <c r="F119" t="s">
        <v>12</v>
      </c>
      <c r="G119" t="s">
        <v>515</v>
      </c>
      <c r="H119" t="s">
        <v>516</v>
      </c>
      <c r="I119" t="s">
        <v>30</v>
      </c>
      <c r="J119">
        <v>4</v>
      </c>
      <c r="K119">
        <v>0</v>
      </c>
      <c r="L119" s="2">
        <v>0.04</v>
      </c>
      <c r="M119">
        <v>0.1</v>
      </c>
      <c r="N119" s="2">
        <v>1.6000000000000001E-4</v>
      </c>
      <c r="O119" s="2">
        <v>4.0000000000000002E-4</v>
      </c>
    </row>
    <row r="120" spans="2:15">
      <c r="B120" t="s">
        <v>500</v>
      </c>
      <c r="C120" t="s">
        <v>28</v>
      </c>
      <c r="D120" t="s">
        <v>517</v>
      </c>
      <c r="E120" t="s">
        <v>518</v>
      </c>
      <c r="F120" t="s">
        <v>12</v>
      </c>
      <c r="G120" t="s">
        <v>519</v>
      </c>
      <c r="H120" t="s">
        <v>520</v>
      </c>
      <c r="I120" t="s">
        <v>30</v>
      </c>
      <c r="J120">
        <v>11</v>
      </c>
      <c r="K120">
        <v>1</v>
      </c>
      <c r="L120" s="2">
        <v>0.04</v>
      </c>
      <c r="M120">
        <v>0.1</v>
      </c>
      <c r="N120" s="2">
        <v>4.4000000000000002E-4</v>
      </c>
      <c r="O120" s="2">
        <v>1.1000000000000001E-3</v>
      </c>
    </row>
    <row r="121" spans="2:15">
      <c r="B121" t="s">
        <v>500</v>
      </c>
      <c r="C121" t="s">
        <v>28</v>
      </c>
      <c r="D121" t="s">
        <v>521</v>
      </c>
      <c r="E121" t="s">
        <v>522</v>
      </c>
      <c r="F121" t="s">
        <v>12</v>
      </c>
      <c r="G121" t="s">
        <v>523</v>
      </c>
      <c r="H121" t="s">
        <v>524</v>
      </c>
      <c r="I121" t="s">
        <v>30</v>
      </c>
      <c r="J121">
        <v>37</v>
      </c>
      <c r="K121">
        <v>3</v>
      </c>
      <c r="L121" s="2">
        <v>0.04</v>
      </c>
      <c r="M121">
        <v>0.1</v>
      </c>
      <c r="N121" s="2">
        <v>1.48E-3</v>
      </c>
      <c r="O121" s="2">
        <v>3.7000000000000002E-3</v>
      </c>
    </row>
    <row r="122" spans="2:15">
      <c r="B122" t="s">
        <v>500</v>
      </c>
      <c r="C122" t="s">
        <v>28</v>
      </c>
      <c r="D122" t="s">
        <v>525</v>
      </c>
      <c r="E122" t="s">
        <v>526</v>
      </c>
      <c r="F122" t="s">
        <v>12</v>
      </c>
      <c r="G122" t="s">
        <v>527</v>
      </c>
      <c r="H122" t="s">
        <v>528</v>
      </c>
      <c r="I122" t="s">
        <v>30</v>
      </c>
      <c r="J122">
        <v>41</v>
      </c>
      <c r="K122">
        <v>1</v>
      </c>
      <c r="L122" s="2">
        <v>0.04</v>
      </c>
      <c r="M122">
        <v>0.1</v>
      </c>
      <c r="N122" s="2">
        <v>1.6400000000000002E-3</v>
      </c>
      <c r="O122" s="2">
        <v>4.1000000000000003E-3</v>
      </c>
    </row>
    <row r="123" spans="2:15">
      <c r="B123" t="s">
        <v>500</v>
      </c>
      <c r="C123" t="s">
        <v>28</v>
      </c>
      <c r="D123" t="s">
        <v>529</v>
      </c>
      <c r="E123" t="s">
        <v>530</v>
      </c>
      <c r="F123" t="s">
        <v>10</v>
      </c>
      <c r="G123" t="s">
        <v>531</v>
      </c>
      <c r="H123" t="s">
        <v>532</v>
      </c>
      <c r="I123" t="s">
        <v>24</v>
      </c>
      <c r="J123">
        <v>1969</v>
      </c>
      <c r="K123">
        <v>95360</v>
      </c>
      <c r="L123" s="2">
        <v>3.5000000000000001E-3</v>
      </c>
      <c r="M123">
        <v>2.5000000000000001E-2</v>
      </c>
      <c r="N123" s="2">
        <v>333.76</v>
      </c>
      <c r="O123" s="2">
        <v>2384</v>
      </c>
    </row>
    <row r="124" spans="2:15">
      <c r="B124" t="s">
        <v>500</v>
      </c>
      <c r="C124" t="s">
        <v>28</v>
      </c>
      <c r="D124" t="s">
        <v>533</v>
      </c>
      <c r="E124" t="s">
        <v>534</v>
      </c>
      <c r="F124" t="s">
        <v>23</v>
      </c>
      <c r="G124" t="s">
        <v>535</v>
      </c>
      <c r="H124" t="s">
        <v>536</v>
      </c>
      <c r="I124" t="s">
        <v>33</v>
      </c>
      <c r="J124">
        <v>0</v>
      </c>
      <c r="K124">
        <v>3</v>
      </c>
      <c r="L124" s="2">
        <v>0.6</v>
      </c>
      <c r="M124">
        <v>0.35</v>
      </c>
      <c r="N124" s="2">
        <v>0</v>
      </c>
      <c r="O124" s="2">
        <v>0</v>
      </c>
    </row>
    <row r="125" spans="2:15">
      <c r="B125" t="s">
        <v>537</v>
      </c>
      <c r="C125" t="s">
        <v>31</v>
      </c>
      <c r="D125" t="s">
        <v>538</v>
      </c>
      <c r="E125" t="s">
        <v>539</v>
      </c>
      <c r="F125" t="s">
        <v>10</v>
      </c>
      <c r="G125" t="s">
        <v>540</v>
      </c>
      <c r="H125" t="s">
        <v>541</v>
      </c>
      <c r="I125" t="s">
        <v>24</v>
      </c>
      <c r="J125">
        <v>0</v>
      </c>
      <c r="K125">
        <v>88</v>
      </c>
      <c r="L125" s="2">
        <v>3.5000000000000001E-3</v>
      </c>
      <c r="M125">
        <v>2.5000000000000001E-2</v>
      </c>
      <c r="N125" s="2">
        <v>0.308</v>
      </c>
      <c r="O125" s="2">
        <v>2.2000000000000002</v>
      </c>
    </row>
    <row r="126" spans="2:15">
      <c r="B126" t="s">
        <v>537</v>
      </c>
      <c r="C126" t="s">
        <v>31</v>
      </c>
      <c r="D126" t="s">
        <v>542</v>
      </c>
      <c r="E126" t="s">
        <v>543</v>
      </c>
      <c r="F126" t="s">
        <v>12</v>
      </c>
      <c r="G126" t="s">
        <v>544</v>
      </c>
      <c r="H126" t="s">
        <v>545</v>
      </c>
      <c r="I126" t="s">
        <v>24</v>
      </c>
      <c r="J126">
        <v>2544098</v>
      </c>
      <c r="K126">
        <v>2866</v>
      </c>
      <c r="L126" s="2">
        <v>3.5000000000000001E-3</v>
      </c>
      <c r="M126">
        <v>2.5000000000000001E-2</v>
      </c>
      <c r="N126" s="2">
        <v>8904.3430000000008</v>
      </c>
      <c r="O126" s="2">
        <v>254.40980000000002</v>
      </c>
    </row>
    <row r="127" spans="2:15">
      <c r="B127" t="s">
        <v>537</v>
      </c>
      <c r="C127" t="s">
        <v>31</v>
      </c>
      <c r="D127" t="s">
        <v>546</v>
      </c>
      <c r="E127" t="s">
        <v>547</v>
      </c>
      <c r="F127" t="s">
        <v>23</v>
      </c>
      <c r="G127" t="s">
        <v>548</v>
      </c>
      <c r="H127" t="s">
        <v>549</v>
      </c>
      <c r="I127" t="s">
        <v>33</v>
      </c>
      <c r="J127">
        <v>1116482</v>
      </c>
      <c r="K127">
        <v>3941</v>
      </c>
      <c r="L127" s="2">
        <v>0.6</v>
      </c>
      <c r="M127">
        <v>0.35</v>
      </c>
      <c r="N127" s="2">
        <v>669.88919999999996</v>
      </c>
      <c r="O127" s="2">
        <v>390.76869999999997</v>
      </c>
    </row>
    <row r="128" spans="2:15">
      <c r="B128" t="s">
        <v>537</v>
      </c>
      <c r="C128" t="s">
        <v>31</v>
      </c>
      <c r="D128" t="s">
        <v>550</v>
      </c>
      <c r="E128" t="s">
        <v>551</v>
      </c>
      <c r="F128" t="s">
        <v>23</v>
      </c>
      <c r="G128" t="s">
        <v>552</v>
      </c>
      <c r="H128" t="s">
        <v>553</v>
      </c>
      <c r="I128" t="s">
        <v>33</v>
      </c>
      <c r="J128">
        <v>739544</v>
      </c>
      <c r="K128">
        <v>2890</v>
      </c>
      <c r="L128" s="2">
        <v>0.6</v>
      </c>
      <c r="M128">
        <v>0.35</v>
      </c>
      <c r="N128" s="2">
        <v>443.72639999999996</v>
      </c>
      <c r="O128" s="2">
        <v>258.84039999999999</v>
      </c>
    </row>
    <row r="129" spans="2:15">
      <c r="B129" t="s">
        <v>537</v>
      </c>
      <c r="C129" t="s">
        <v>31</v>
      </c>
      <c r="D129" t="s">
        <v>554</v>
      </c>
      <c r="E129" t="s">
        <v>555</v>
      </c>
      <c r="F129" t="s">
        <v>23</v>
      </c>
      <c r="G129" t="s">
        <v>556</v>
      </c>
      <c r="H129" t="s">
        <v>557</v>
      </c>
      <c r="I129" t="s">
        <v>33</v>
      </c>
      <c r="J129">
        <v>1</v>
      </c>
      <c r="K129">
        <v>2</v>
      </c>
      <c r="L129" s="2">
        <v>0.6</v>
      </c>
      <c r="M129">
        <v>0.35</v>
      </c>
      <c r="N129" s="2">
        <v>5.9999999999999995E-4</v>
      </c>
      <c r="O129" s="2">
        <v>3.5E-4</v>
      </c>
    </row>
    <row r="130" spans="2:15">
      <c r="B130" t="s">
        <v>537</v>
      </c>
      <c r="C130" t="s">
        <v>31</v>
      </c>
      <c r="D130" t="s">
        <v>558</v>
      </c>
      <c r="E130" t="s">
        <v>559</v>
      </c>
      <c r="F130" t="s">
        <v>12</v>
      </c>
      <c r="G130" t="s">
        <v>560</v>
      </c>
      <c r="H130" t="s">
        <v>561</v>
      </c>
      <c r="I130" t="s">
        <v>24</v>
      </c>
      <c r="J130">
        <v>45</v>
      </c>
      <c r="K130">
        <v>5</v>
      </c>
      <c r="L130" s="2">
        <v>0.04</v>
      </c>
      <c r="M130">
        <v>0.1</v>
      </c>
      <c r="N130" s="2">
        <v>1.8E-3</v>
      </c>
      <c r="O130" s="2">
        <v>4.4999999999999997E-3</v>
      </c>
    </row>
    <row r="131" spans="2:15">
      <c r="B131" t="s">
        <v>537</v>
      </c>
      <c r="C131" t="s">
        <v>31</v>
      </c>
      <c r="D131" t="s">
        <v>562</v>
      </c>
      <c r="E131" t="s">
        <v>563</v>
      </c>
      <c r="F131" t="s">
        <v>23</v>
      </c>
      <c r="G131" t="s">
        <v>564</v>
      </c>
      <c r="H131" t="s">
        <v>565</v>
      </c>
      <c r="I131" t="s">
        <v>33</v>
      </c>
      <c r="J131">
        <v>1</v>
      </c>
      <c r="K131">
        <v>0</v>
      </c>
      <c r="L131" s="2">
        <v>0.6</v>
      </c>
      <c r="M131">
        <v>0.35</v>
      </c>
      <c r="N131" s="2">
        <v>5.9999999999999995E-4</v>
      </c>
      <c r="O131" s="2">
        <v>3.5E-4</v>
      </c>
    </row>
    <row r="132" spans="2:15">
      <c r="B132" t="s">
        <v>537</v>
      </c>
      <c r="C132" t="s">
        <v>28</v>
      </c>
      <c r="D132" t="s">
        <v>566</v>
      </c>
      <c r="E132" t="s">
        <v>567</v>
      </c>
      <c r="F132" t="s">
        <v>12</v>
      </c>
      <c r="G132" t="s">
        <v>568</v>
      </c>
      <c r="H132" t="s">
        <v>569</v>
      </c>
      <c r="I132" t="s">
        <v>30</v>
      </c>
      <c r="J132">
        <v>27925</v>
      </c>
      <c r="K132">
        <v>10</v>
      </c>
      <c r="L132" s="2">
        <v>0.04</v>
      </c>
      <c r="M132">
        <v>0.1</v>
      </c>
      <c r="N132" s="2">
        <v>1.117</v>
      </c>
      <c r="O132" s="2">
        <v>2.7925</v>
      </c>
    </row>
    <row r="133" spans="2:15">
      <c r="B133" t="s">
        <v>537</v>
      </c>
      <c r="C133" t="s">
        <v>28</v>
      </c>
      <c r="D133" t="s">
        <v>570</v>
      </c>
      <c r="E133" t="s">
        <v>571</v>
      </c>
      <c r="F133" t="s">
        <v>12</v>
      </c>
      <c r="G133" t="s">
        <v>572</v>
      </c>
      <c r="H133" t="s">
        <v>573</v>
      </c>
      <c r="I133" t="s">
        <v>30</v>
      </c>
      <c r="J133">
        <v>578901</v>
      </c>
      <c r="K133">
        <v>153</v>
      </c>
      <c r="L133" s="2">
        <v>0.04</v>
      </c>
      <c r="M133">
        <v>0.1</v>
      </c>
      <c r="N133" s="2">
        <v>23.156040000000001</v>
      </c>
      <c r="O133" s="2">
        <v>57.890100000000004</v>
      </c>
    </row>
    <row r="134" spans="2:15">
      <c r="B134" t="s">
        <v>537</v>
      </c>
      <c r="C134" t="s">
        <v>28</v>
      </c>
      <c r="D134" t="s">
        <v>574</v>
      </c>
      <c r="E134" t="s">
        <v>575</v>
      </c>
      <c r="F134" t="s">
        <v>12</v>
      </c>
      <c r="G134" t="s">
        <v>576</v>
      </c>
      <c r="H134" t="s">
        <v>577</v>
      </c>
      <c r="I134" t="s">
        <v>30</v>
      </c>
      <c r="J134">
        <v>2</v>
      </c>
      <c r="K134">
        <v>1</v>
      </c>
      <c r="L134" s="2">
        <v>0.04</v>
      </c>
      <c r="M134">
        <v>0.1</v>
      </c>
      <c r="N134" s="2">
        <v>8.0000000000000007E-5</v>
      </c>
      <c r="O134" s="2">
        <v>2.0000000000000001E-4</v>
      </c>
    </row>
    <row r="135" spans="2:15">
      <c r="B135" t="s">
        <v>537</v>
      </c>
      <c r="C135" t="s">
        <v>28</v>
      </c>
      <c r="D135" t="s">
        <v>578</v>
      </c>
      <c r="E135" t="s">
        <v>579</v>
      </c>
      <c r="F135" t="s">
        <v>12</v>
      </c>
      <c r="G135" t="s">
        <v>580</v>
      </c>
      <c r="H135" t="s">
        <v>581</v>
      </c>
      <c r="I135" t="s">
        <v>30</v>
      </c>
      <c r="J135">
        <v>1415185</v>
      </c>
      <c r="K135">
        <v>557</v>
      </c>
      <c r="L135" s="2">
        <v>0.04</v>
      </c>
      <c r="M135">
        <v>0.1</v>
      </c>
      <c r="N135" s="2">
        <v>56.607399999999998</v>
      </c>
      <c r="O135" s="2">
        <v>141.51849999999999</v>
      </c>
    </row>
    <row r="136" spans="2:15">
      <c r="B136" t="s">
        <v>537</v>
      </c>
      <c r="C136" t="s">
        <v>28</v>
      </c>
      <c r="D136" t="s">
        <v>582</v>
      </c>
      <c r="E136" t="s">
        <v>583</v>
      </c>
      <c r="F136" t="s">
        <v>12</v>
      </c>
      <c r="G136" t="s">
        <v>584</v>
      </c>
      <c r="H136" t="s">
        <v>585</v>
      </c>
      <c r="I136" t="s">
        <v>30</v>
      </c>
      <c r="J136">
        <v>350690</v>
      </c>
      <c r="K136">
        <v>93</v>
      </c>
      <c r="L136" s="2">
        <v>0.04</v>
      </c>
      <c r="M136">
        <v>0.1</v>
      </c>
      <c r="N136" s="2">
        <v>14.0276</v>
      </c>
      <c r="O136" s="2">
        <v>35.069000000000003</v>
      </c>
    </row>
    <row r="137" spans="2:15">
      <c r="B137" t="s">
        <v>537</v>
      </c>
      <c r="C137" t="s">
        <v>28</v>
      </c>
      <c r="D137" t="s">
        <v>586</v>
      </c>
      <c r="E137" t="s">
        <v>587</v>
      </c>
      <c r="F137" t="s">
        <v>12</v>
      </c>
      <c r="G137" t="s">
        <v>244</v>
      </c>
      <c r="H137" t="s">
        <v>588</v>
      </c>
      <c r="I137" t="s">
        <v>30</v>
      </c>
      <c r="J137">
        <v>1</v>
      </c>
      <c r="K137">
        <v>0</v>
      </c>
      <c r="L137" s="2">
        <v>0.04</v>
      </c>
      <c r="M137">
        <v>0.1</v>
      </c>
      <c r="N137" s="2">
        <v>4.0000000000000003E-5</v>
      </c>
      <c r="O137" s="2">
        <v>1E-4</v>
      </c>
    </row>
    <row r="138" spans="2:15">
      <c r="B138" t="s">
        <v>537</v>
      </c>
      <c r="C138" t="s">
        <v>28</v>
      </c>
      <c r="D138" t="s">
        <v>586</v>
      </c>
      <c r="E138" t="s">
        <v>587</v>
      </c>
      <c r="F138" t="s">
        <v>12</v>
      </c>
      <c r="G138" t="s">
        <v>589</v>
      </c>
      <c r="H138" t="s">
        <v>590</v>
      </c>
      <c r="I138" t="s">
        <v>30</v>
      </c>
      <c r="J138">
        <v>13694503</v>
      </c>
      <c r="K138">
        <v>15888</v>
      </c>
      <c r="L138" s="2">
        <v>0.04</v>
      </c>
      <c r="M138">
        <v>0.1</v>
      </c>
      <c r="N138" s="2">
        <v>547.78012000000001</v>
      </c>
      <c r="O138" s="2">
        <v>1369.4503</v>
      </c>
    </row>
    <row r="139" spans="2:15">
      <c r="B139" t="s">
        <v>537</v>
      </c>
      <c r="C139" t="s">
        <v>28</v>
      </c>
      <c r="D139" t="s">
        <v>591</v>
      </c>
      <c r="E139" t="s">
        <v>592</v>
      </c>
      <c r="F139" t="s">
        <v>12</v>
      </c>
      <c r="G139" t="s">
        <v>593</v>
      </c>
      <c r="H139" t="s">
        <v>594</v>
      </c>
      <c r="I139" t="s">
        <v>30</v>
      </c>
      <c r="J139">
        <v>1356605</v>
      </c>
      <c r="K139">
        <v>259</v>
      </c>
      <c r="L139" s="2">
        <v>0.04</v>
      </c>
      <c r="M139">
        <v>0.1</v>
      </c>
      <c r="N139" s="2">
        <v>54.264200000000002</v>
      </c>
      <c r="O139" s="2">
        <v>135.66050000000001</v>
      </c>
    </row>
    <row r="140" spans="2:15">
      <c r="B140" t="s">
        <v>537</v>
      </c>
      <c r="C140" t="s">
        <v>28</v>
      </c>
      <c r="D140" t="s">
        <v>595</v>
      </c>
      <c r="E140" t="s">
        <v>596</v>
      </c>
      <c r="F140" t="s">
        <v>12</v>
      </c>
      <c r="G140" t="s">
        <v>597</v>
      </c>
      <c r="H140" t="s">
        <v>598</v>
      </c>
      <c r="I140" t="s">
        <v>24</v>
      </c>
      <c r="J140">
        <v>2860097</v>
      </c>
      <c r="K140">
        <v>0</v>
      </c>
      <c r="L140" s="2">
        <v>0.04</v>
      </c>
      <c r="M140">
        <v>0.1</v>
      </c>
      <c r="N140" s="2">
        <v>114.40388</v>
      </c>
      <c r="O140" s="2">
        <v>286.00970000000001</v>
      </c>
    </row>
    <row r="141" spans="2:15">
      <c r="B141" t="s">
        <v>537</v>
      </c>
      <c r="C141" t="s">
        <v>28</v>
      </c>
      <c r="D141" t="s">
        <v>599</v>
      </c>
      <c r="E141" t="s">
        <v>600</v>
      </c>
      <c r="F141" t="s">
        <v>23</v>
      </c>
      <c r="G141" t="s">
        <v>601</v>
      </c>
      <c r="H141" t="s">
        <v>602</v>
      </c>
      <c r="I141" t="s">
        <v>33</v>
      </c>
      <c r="J141">
        <v>4871345</v>
      </c>
      <c r="K141">
        <v>99746</v>
      </c>
      <c r="L141" s="2">
        <v>0.6</v>
      </c>
      <c r="M141">
        <v>0.35</v>
      </c>
      <c r="N141" s="2">
        <v>2922.8069999999998</v>
      </c>
      <c r="O141" s="2">
        <v>1704.97075</v>
      </c>
    </row>
    <row r="142" spans="2:15">
      <c r="B142" t="s">
        <v>42</v>
      </c>
      <c r="C142" t="s">
        <v>28</v>
      </c>
      <c r="D142" t="s">
        <v>603</v>
      </c>
      <c r="E142" t="s">
        <v>604</v>
      </c>
      <c r="F142" t="s">
        <v>10</v>
      </c>
      <c r="G142" t="s">
        <v>605</v>
      </c>
      <c r="H142" t="s">
        <v>606</v>
      </c>
      <c r="I142" t="s">
        <v>24</v>
      </c>
      <c r="J142">
        <v>0</v>
      </c>
      <c r="K142">
        <v>1</v>
      </c>
      <c r="L142" s="2">
        <v>3.5000000000000001E-3</v>
      </c>
      <c r="M142">
        <v>2.5000000000000001E-2</v>
      </c>
      <c r="N142" s="2">
        <v>3.5000000000000001E-3</v>
      </c>
      <c r="O142" s="2">
        <v>2.5000000000000001E-2</v>
      </c>
    </row>
    <row r="143" spans="2:15">
      <c r="B143" t="s">
        <v>42</v>
      </c>
      <c r="C143" t="s">
        <v>28</v>
      </c>
      <c r="D143" t="s">
        <v>44</v>
      </c>
      <c r="E143" t="s">
        <v>45</v>
      </c>
      <c r="F143" t="s">
        <v>12</v>
      </c>
      <c r="G143" t="s">
        <v>46</v>
      </c>
      <c r="H143" t="s">
        <v>47</v>
      </c>
      <c r="I143" t="s">
        <v>24</v>
      </c>
      <c r="J143">
        <v>2</v>
      </c>
      <c r="K143">
        <v>0</v>
      </c>
      <c r="L143" s="2">
        <v>0.04</v>
      </c>
      <c r="M143">
        <v>0.1</v>
      </c>
      <c r="N143" s="2">
        <v>8.0000000000000007E-5</v>
      </c>
      <c r="O143" s="2">
        <v>2.0000000000000001E-4</v>
      </c>
    </row>
    <row r="144" spans="2:15">
      <c r="B144" t="s">
        <v>607</v>
      </c>
      <c r="C144" t="s">
        <v>34</v>
      </c>
      <c r="D144" t="s">
        <v>608</v>
      </c>
      <c r="E144" t="s">
        <v>609</v>
      </c>
      <c r="F144" t="s">
        <v>12</v>
      </c>
      <c r="G144" t="s">
        <v>610</v>
      </c>
      <c r="H144" t="s">
        <v>611</v>
      </c>
      <c r="I144" t="s">
        <v>30</v>
      </c>
      <c r="J144">
        <v>5</v>
      </c>
      <c r="K144">
        <v>4</v>
      </c>
      <c r="L144" s="2">
        <v>0.04</v>
      </c>
      <c r="M144">
        <v>0.1</v>
      </c>
      <c r="N144" s="2">
        <v>2.0000000000000001E-4</v>
      </c>
      <c r="O144" s="2">
        <v>5.0000000000000001E-4</v>
      </c>
    </row>
    <row r="145" spans="2:15">
      <c r="B145" t="s">
        <v>607</v>
      </c>
      <c r="C145" t="s">
        <v>34</v>
      </c>
      <c r="D145" t="s">
        <v>612</v>
      </c>
      <c r="E145" t="s">
        <v>613</v>
      </c>
      <c r="F145" t="s">
        <v>12</v>
      </c>
      <c r="G145" t="s">
        <v>614</v>
      </c>
      <c r="H145" t="s">
        <v>615</v>
      </c>
      <c r="I145" t="s">
        <v>30</v>
      </c>
      <c r="J145">
        <v>1769458</v>
      </c>
      <c r="K145">
        <v>793</v>
      </c>
      <c r="L145" s="2">
        <v>0.04</v>
      </c>
      <c r="M145">
        <v>0.1</v>
      </c>
      <c r="N145" s="2">
        <v>70.778320000000008</v>
      </c>
      <c r="O145" s="2">
        <v>176.94580000000002</v>
      </c>
    </row>
    <row r="146" spans="2:15">
      <c r="B146" t="s">
        <v>607</v>
      </c>
      <c r="C146" t="s">
        <v>34</v>
      </c>
      <c r="D146" t="s">
        <v>616</v>
      </c>
      <c r="E146" t="s">
        <v>617</v>
      </c>
      <c r="F146" t="s">
        <v>12</v>
      </c>
      <c r="G146" t="s">
        <v>618</v>
      </c>
      <c r="H146" t="s">
        <v>619</v>
      </c>
      <c r="I146" t="s">
        <v>30</v>
      </c>
      <c r="J146">
        <v>465439</v>
      </c>
      <c r="K146">
        <v>393</v>
      </c>
      <c r="L146" s="2">
        <v>0.04</v>
      </c>
      <c r="M146">
        <v>0.1</v>
      </c>
      <c r="N146" s="2">
        <v>18.617560000000001</v>
      </c>
      <c r="O146" s="2">
        <v>46.543900000000001</v>
      </c>
    </row>
    <row r="147" spans="2:15">
      <c r="B147" t="s">
        <v>607</v>
      </c>
      <c r="C147" t="s">
        <v>34</v>
      </c>
      <c r="D147" t="s">
        <v>620</v>
      </c>
      <c r="E147" t="s">
        <v>621</v>
      </c>
      <c r="F147" t="s">
        <v>12</v>
      </c>
      <c r="G147" t="s">
        <v>622</v>
      </c>
      <c r="H147" t="s">
        <v>623</v>
      </c>
      <c r="I147" t="s">
        <v>30</v>
      </c>
      <c r="J147">
        <v>78343</v>
      </c>
      <c r="K147">
        <v>96</v>
      </c>
      <c r="L147" s="2">
        <v>0.04</v>
      </c>
      <c r="M147">
        <v>0.1</v>
      </c>
      <c r="N147" s="2">
        <v>3.1337200000000003</v>
      </c>
      <c r="O147" s="2">
        <v>7.8342999999999998</v>
      </c>
    </row>
    <row r="148" spans="2:15">
      <c r="B148" t="s">
        <v>607</v>
      </c>
      <c r="C148" t="s">
        <v>34</v>
      </c>
      <c r="D148" t="s">
        <v>624</v>
      </c>
      <c r="E148" t="s">
        <v>625</v>
      </c>
      <c r="F148" t="s">
        <v>12</v>
      </c>
      <c r="G148" t="s">
        <v>626</v>
      </c>
      <c r="H148" t="s">
        <v>627</v>
      </c>
      <c r="I148" t="s">
        <v>30</v>
      </c>
      <c r="J148">
        <v>200742</v>
      </c>
      <c r="K148">
        <v>230</v>
      </c>
      <c r="L148" s="2">
        <v>0.04</v>
      </c>
      <c r="M148">
        <v>0.1</v>
      </c>
      <c r="N148" s="2">
        <v>8.0296800000000008</v>
      </c>
      <c r="O148" s="2">
        <v>20.074200000000001</v>
      </c>
    </row>
    <row r="149" spans="2:15">
      <c r="B149" t="s">
        <v>607</v>
      </c>
      <c r="C149" t="s">
        <v>34</v>
      </c>
      <c r="D149" t="s">
        <v>628</v>
      </c>
      <c r="E149" t="s">
        <v>629</v>
      </c>
      <c r="F149" t="s">
        <v>12</v>
      </c>
      <c r="G149" t="s">
        <v>630</v>
      </c>
      <c r="H149" t="s">
        <v>631</v>
      </c>
      <c r="I149" t="s">
        <v>30</v>
      </c>
      <c r="J149">
        <v>7645</v>
      </c>
      <c r="K149">
        <v>5</v>
      </c>
      <c r="L149" s="2">
        <v>0.04</v>
      </c>
      <c r="M149">
        <v>0.1</v>
      </c>
      <c r="N149" s="2">
        <v>0.30580000000000002</v>
      </c>
      <c r="O149" s="2">
        <v>0.76449999999999996</v>
      </c>
    </row>
    <row r="150" spans="2:15">
      <c r="B150" t="s">
        <v>607</v>
      </c>
      <c r="C150" t="s">
        <v>34</v>
      </c>
      <c r="D150" t="s">
        <v>632</v>
      </c>
      <c r="E150" t="s">
        <v>633</v>
      </c>
      <c r="F150" t="s">
        <v>12</v>
      </c>
      <c r="G150" t="s">
        <v>634</v>
      </c>
      <c r="H150" t="s">
        <v>635</v>
      </c>
      <c r="I150" t="s">
        <v>30</v>
      </c>
      <c r="J150">
        <v>35139</v>
      </c>
      <c r="K150">
        <v>37</v>
      </c>
      <c r="L150" s="2">
        <v>0.04</v>
      </c>
      <c r="M150">
        <v>0.1</v>
      </c>
      <c r="N150" s="2">
        <v>1.4055599999999999</v>
      </c>
      <c r="O150" s="2">
        <v>3.5139</v>
      </c>
    </row>
    <row r="151" spans="2:15">
      <c r="B151" t="s">
        <v>607</v>
      </c>
      <c r="C151" t="s">
        <v>34</v>
      </c>
      <c r="D151" t="s">
        <v>636</v>
      </c>
      <c r="E151" t="s">
        <v>637</v>
      </c>
      <c r="F151" t="s">
        <v>12</v>
      </c>
      <c r="G151" t="s">
        <v>638</v>
      </c>
      <c r="H151" t="s">
        <v>639</v>
      </c>
      <c r="I151" t="s">
        <v>30</v>
      </c>
      <c r="J151">
        <v>1</v>
      </c>
      <c r="K151">
        <v>1</v>
      </c>
      <c r="L151" s="2">
        <v>0.04</v>
      </c>
      <c r="M151">
        <v>0.1</v>
      </c>
      <c r="N151" s="2">
        <v>4.0000000000000003E-5</v>
      </c>
      <c r="O151" s="2">
        <v>1E-4</v>
      </c>
    </row>
    <row r="152" spans="2:15">
      <c r="B152" t="s">
        <v>607</v>
      </c>
      <c r="C152" t="s">
        <v>34</v>
      </c>
      <c r="D152" t="s">
        <v>640</v>
      </c>
      <c r="E152" t="s">
        <v>641</v>
      </c>
      <c r="F152" t="s">
        <v>12</v>
      </c>
      <c r="G152" t="s">
        <v>642</v>
      </c>
      <c r="H152" t="s">
        <v>643</v>
      </c>
      <c r="I152" t="s">
        <v>30</v>
      </c>
      <c r="J152">
        <v>92681</v>
      </c>
      <c r="K152">
        <v>99</v>
      </c>
      <c r="L152" s="2">
        <v>0.04</v>
      </c>
      <c r="M152">
        <v>0.1</v>
      </c>
      <c r="N152" s="2">
        <v>3.7072400000000001</v>
      </c>
      <c r="O152" s="2">
        <v>9.2681000000000004</v>
      </c>
    </row>
    <row r="153" spans="2:15">
      <c r="B153" t="s">
        <v>607</v>
      </c>
      <c r="C153" t="s">
        <v>34</v>
      </c>
      <c r="D153" t="s">
        <v>644</v>
      </c>
      <c r="E153" t="s">
        <v>645</v>
      </c>
      <c r="F153" t="s">
        <v>12</v>
      </c>
      <c r="G153" t="s">
        <v>646</v>
      </c>
      <c r="H153" t="s">
        <v>647</v>
      </c>
      <c r="I153" t="s">
        <v>30</v>
      </c>
      <c r="J153">
        <v>3490</v>
      </c>
      <c r="K153">
        <v>2</v>
      </c>
      <c r="L153" s="2">
        <v>0.04</v>
      </c>
      <c r="M153">
        <v>0.1</v>
      </c>
      <c r="N153" s="2">
        <v>0.1396</v>
      </c>
      <c r="O153" s="2">
        <v>0.34899999999999998</v>
      </c>
    </row>
    <row r="154" spans="2:15">
      <c r="B154" t="s">
        <v>607</v>
      </c>
      <c r="C154" t="s">
        <v>34</v>
      </c>
      <c r="D154" t="s">
        <v>648</v>
      </c>
      <c r="E154" t="s">
        <v>649</v>
      </c>
      <c r="F154" t="s">
        <v>12</v>
      </c>
      <c r="G154" t="s">
        <v>650</v>
      </c>
      <c r="H154" t="s">
        <v>651</v>
      </c>
      <c r="I154" t="s">
        <v>30</v>
      </c>
      <c r="J154">
        <v>1</v>
      </c>
      <c r="K154">
        <v>1</v>
      </c>
      <c r="L154" s="2">
        <v>0.04</v>
      </c>
      <c r="M154">
        <v>0.1</v>
      </c>
      <c r="N154" s="2">
        <v>4.0000000000000003E-5</v>
      </c>
      <c r="O154" s="2">
        <v>1E-4</v>
      </c>
    </row>
    <row r="155" spans="2:15">
      <c r="B155" t="s">
        <v>607</v>
      </c>
      <c r="C155" t="s">
        <v>34</v>
      </c>
      <c r="D155" t="s">
        <v>652</v>
      </c>
      <c r="E155" t="s">
        <v>653</v>
      </c>
      <c r="F155" t="s">
        <v>12</v>
      </c>
      <c r="G155" t="s">
        <v>654</v>
      </c>
      <c r="H155" t="s">
        <v>655</v>
      </c>
      <c r="I155" t="s">
        <v>30</v>
      </c>
      <c r="J155">
        <v>13</v>
      </c>
      <c r="K155">
        <v>2</v>
      </c>
      <c r="L155" s="2">
        <v>0.04</v>
      </c>
      <c r="M155">
        <v>0.1</v>
      </c>
      <c r="N155" s="2">
        <v>5.2000000000000006E-4</v>
      </c>
      <c r="O155" s="2">
        <v>1.2999999999999999E-3</v>
      </c>
    </row>
    <row r="156" spans="2:15">
      <c r="B156" t="s">
        <v>607</v>
      </c>
      <c r="C156" t="s">
        <v>34</v>
      </c>
      <c r="D156" t="s">
        <v>652</v>
      </c>
      <c r="E156" t="s">
        <v>653</v>
      </c>
      <c r="F156" t="s">
        <v>12</v>
      </c>
      <c r="G156" t="s">
        <v>656</v>
      </c>
      <c r="H156" t="s">
        <v>657</v>
      </c>
      <c r="I156" t="s">
        <v>30</v>
      </c>
      <c r="J156">
        <v>289643</v>
      </c>
      <c r="K156">
        <v>162</v>
      </c>
      <c r="L156" s="2">
        <v>0.04</v>
      </c>
      <c r="M156">
        <v>0.1</v>
      </c>
      <c r="N156" s="2">
        <v>11.585719999999998</v>
      </c>
      <c r="O156" s="2">
        <v>28.964300000000001</v>
      </c>
    </row>
    <row r="157" spans="2:15">
      <c r="B157" t="s">
        <v>607</v>
      </c>
      <c r="C157" t="s">
        <v>34</v>
      </c>
      <c r="D157" t="s">
        <v>658</v>
      </c>
      <c r="E157" t="s">
        <v>659</v>
      </c>
      <c r="F157" t="s">
        <v>12</v>
      </c>
      <c r="G157" t="s">
        <v>660</v>
      </c>
      <c r="H157" t="s">
        <v>661</v>
      </c>
      <c r="I157" t="s">
        <v>30</v>
      </c>
      <c r="J157">
        <v>102400</v>
      </c>
      <c r="K157">
        <v>70</v>
      </c>
      <c r="L157" s="2">
        <v>0.04</v>
      </c>
      <c r="M157">
        <v>0.1</v>
      </c>
      <c r="N157" s="2">
        <v>4.0960000000000001</v>
      </c>
      <c r="O157" s="2">
        <v>10.24</v>
      </c>
    </row>
    <row r="158" spans="2:15">
      <c r="B158" t="s">
        <v>607</v>
      </c>
      <c r="C158" t="s">
        <v>34</v>
      </c>
      <c r="D158" t="s">
        <v>662</v>
      </c>
      <c r="E158" t="s">
        <v>663</v>
      </c>
      <c r="F158" t="s">
        <v>12</v>
      </c>
      <c r="G158" t="s">
        <v>664</v>
      </c>
      <c r="H158" t="s">
        <v>665</v>
      </c>
      <c r="I158" t="s">
        <v>30</v>
      </c>
      <c r="J158">
        <v>5393</v>
      </c>
      <c r="K158">
        <v>13</v>
      </c>
      <c r="L158" s="2">
        <v>0.04</v>
      </c>
      <c r="M158">
        <v>0.1</v>
      </c>
      <c r="N158" s="2">
        <v>0.21572</v>
      </c>
      <c r="O158" s="2">
        <v>0.53930000000000011</v>
      </c>
    </row>
    <row r="159" spans="2:15">
      <c r="B159" t="s">
        <v>607</v>
      </c>
      <c r="C159" t="s">
        <v>34</v>
      </c>
      <c r="D159" t="s">
        <v>666</v>
      </c>
      <c r="E159" t="s">
        <v>667</v>
      </c>
      <c r="F159" t="s">
        <v>12</v>
      </c>
      <c r="G159" t="s">
        <v>668</v>
      </c>
      <c r="H159" t="s">
        <v>669</v>
      </c>
      <c r="I159" t="s">
        <v>30</v>
      </c>
      <c r="J159">
        <v>64519</v>
      </c>
      <c r="K159">
        <v>67</v>
      </c>
      <c r="L159" s="2">
        <v>0.04</v>
      </c>
      <c r="M159">
        <v>0.1</v>
      </c>
      <c r="N159" s="2">
        <v>2.5807600000000002</v>
      </c>
      <c r="O159" s="2">
        <v>6.4519000000000002</v>
      </c>
    </row>
    <row r="160" spans="2:15">
      <c r="B160" t="s">
        <v>607</v>
      </c>
      <c r="C160" t="s">
        <v>34</v>
      </c>
      <c r="D160" t="s">
        <v>670</v>
      </c>
      <c r="E160" t="s">
        <v>671</v>
      </c>
      <c r="F160" t="s">
        <v>12</v>
      </c>
      <c r="G160" t="s">
        <v>672</v>
      </c>
      <c r="H160" t="s">
        <v>673</v>
      </c>
      <c r="I160" t="s">
        <v>30</v>
      </c>
      <c r="J160">
        <v>49087</v>
      </c>
      <c r="K160">
        <v>97</v>
      </c>
      <c r="L160" s="2">
        <v>0.04</v>
      </c>
      <c r="M160">
        <v>0.1</v>
      </c>
      <c r="N160" s="2">
        <v>1.9634800000000001</v>
      </c>
      <c r="O160" s="2">
        <v>4.9086999999999996</v>
      </c>
    </row>
    <row r="161" spans="2:15">
      <c r="B161" t="s">
        <v>607</v>
      </c>
      <c r="C161" t="s">
        <v>34</v>
      </c>
      <c r="D161" t="s">
        <v>674</v>
      </c>
      <c r="E161" t="s">
        <v>675</v>
      </c>
      <c r="F161" t="s">
        <v>12</v>
      </c>
      <c r="G161" t="s">
        <v>676</v>
      </c>
      <c r="H161" t="s">
        <v>677</v>
      </c>
      <c r="I161" t="s">
        <v>30</v>
      </c>
      <c r="J161">
        <v>9992</v>
      </c>
      <c r="K161">
        <v>22</v>
      </c>
      <c r="L161" s="2">
        <v>0.04</v>
      </c>
      <c r="M161">
        <v>0.1</v>
      </c>
      <c r="N161" s="2">
        <v>0.39967999999999998</v>
      </c>
      <c r="O161" s="2">
        <v>0.99920000000000009</v>
      </c>
    </row>
    <row r="162" spans="2:15">
      <c r="B162" t="s">
        <v>607</v>
      </c>
      <c r="C162" t="s">
        <v>34</v>
      </c>
      <c r="D162" t="s">
        <v>678</v>
      </c>
      <c r="E162" t="s">
        <v>679</v>
      </c>
      <c r="F162" t="s">
        <v>12</v>
      </c>
      <c r="G162" t="s">
        <v>680</v>
      </c>
      <c r="H162" t="s">
        <v>681</v>
      </c>
      <c r="I162" t="s">
        <v>30</v>
      </c>
      <c r="J162">
        <v>5613</v>
      </c>
      <c r="K162">
        <v>6</v>
      </c>
      <c r="L162" s="2">
        <v>0.04</v>
      </c>
      <c r="M162">
        <v>0.1</v>
      </c>
      <c r="N162" s="2">
        <v>0.22452</v>
      </c>
      <c r="O162" s="2">
        <v>0.56130000000000002</v>
      </c>
    </row>
    <row r="163" spans="2:15">
      <c r="B163" t="s">
        <v>607</v>
      </c>
      <c r="C163" t="s">
        <v>34</v>
      </c>
      <c r="D163" t="s">
        <v>682</v>
      </c>
      <c r="E163" t="s">
        <v>683</v>
      </c>
      <c r="F163" t="s">
        <v>12</v>
      </c>
      <c r="G163" t="s">
        <v>684</v>
      </c>
      <c r="H163" t="s">
        <v>685</v>
      </c>
      <c r="I163" t="s">
        <v>30</v>
      </c>
      <c r="J163">
        <v>837</v>
      </c>
      <c r="K163">
        <v>1</v>
      </c>
      <c r="L163" s="2">
        <v>0.04</v>
      </c>
      <c r="M163">
        <v>0.1</v>
      </c>
      <c r="N163" s="2">
        <v>3.3480000000000003E-2</v>
      </c>
      <c r="O163" s="2">
        <v>8.3699999999999997E-2</v>
      </c>
    </row>
    <row r="164" spans="2:15">
      <c r="B164" t="s">
        <v>607</v>
      </c>
      <c r="C164" t="s">
        <v>34</v>
      </c>
      <c r="D164" t="s">
        <v>686</v>
      </c>
      <c r="E164" t="s">
        <v>687</v>
      </c>
      <c r="F164" t="s">
        <v>12</v>
      </c>
      <c r="G164" t="s">
        <v>688</v>
      </c>
      <c r="H164" t="s">
        <v>689</v>
      </c>
      <c r="I164" t="s">
        <v>30</v>
      </c>
      <c r="J164">
        <v>887</v>
      </c>
      <c r="K164">
        <v>1</v>
      </c>
      <c r="L164" s="2">
        <v>0.04</v>
      </c>
      <c r="M164">
        <v>0.1</v>
      </c>
      <c r="N164" s="2">
        <v>3.5480000000000005E-2</v>
      </c>
      <c r="O164" s="2">
        <v>8.8700000000000001E-2</v>
      </c>
    </row>
    <row r="165" spans="2:15">
      <c r="B165" t="s">
        <v>607</v>
      </c>
      <c r="C165" t="s">
        <v>34</v>
      </c>
      <c r="D165" t="s">
        <v>690</v>
      </c>
      <c r="E165" t="s">
        <v>691</v>
      </c>
      <c r="F165" t="s">
        <v>12</v>
      </c>
      <c r="G165" t="s">
        <v>692</v>
      </c>
      <c r="H165" t="s">
        <v>693</v>
      </c>
      <c r="I165" t="s">
        <v>30</v>
      </c>
      <c r="J165">
        <v>4353</v>
      </c>
      <c r="K165">
        <v>3</v>
      </c>
      <c r="L165" s="2">
        <v>0.04</v>
      </c>
      <c r="M165">
        <v>0.1</v>
      </c>
      <c r="N165" s="2">
        <v>0.17412</v>
      </c>
      <c r="O165" s="2">
        <v>0.43530000000000002</v>
      </c>
    </row>
    <row r="166" spans="2:15">
      <c r="B166" t="s">
        <v>607</v>
      </c>
      <c r="C166" t="s">
        <v>34</v>
      </c>
      <c r="D166" t="s">
        <v>694</v>
      </c>
      <c r="E166" t="s">
        <v>695</v>
      </c>
      <c r="F166" t="s">
        <v>12</v>
      </c>
      <c r="G166" t="s">
        <v>696</v>
      </c>
      <c r="H166" t="s">
        <v>697</v>
      </c>
      <c r="I166" t="s">
        <v>30</v>
      </c>
      <c r="J166">
        <v>7892</v>
      </c>
      <c r="K166">
        <v>7</v>
      </c>
      <c r="L166" s="2">
        <v>0.04</v>
      </c>
      <c r="M166">
        <v>0.1</v>
      </c>
      <c r="N166" s="2">
        <v>0.31568000000000002</v>
      </c>
      <c r="O166" s="2">
        <v>0.78920000000000001</v>
      </c>
    </row>
    <row r="167" spans="2:15">
      <c r="B167" t="s">
        <v>607</v>
      </c>
      <c r="C167" t="s">
        <v>34</v>
      </c>
      <c r="D167" t="s">
        <v>698</v>
      </c>
      <c r="E167" t="s">
        <v>699</v>
      </c>
      <c r="F167" t="s">
        <v>12</v>
      </c>
      <c r="G167" t="s">
        <v>700</v>
      </c>
      <c r="H167" t="s">
        <v>701</v>
      </c>
      <c r="I167" t="s">
        <v>30</v>
      </c>
      <c r="J167">
        <v>144394</v>
      </c>
      <c r="K167">
        <v>22</v>
      </c>
      <c r="L167" s="2">
        <v>0.04</v>
      </c>
      <c r="M167">
        <v>0.1</v>
      </c>
      <c r="N167" s="2">
        <v>5.77576</v>
      </c>
      <c r="O167" s="2">
        <v>14.439400000000001</v>
      </c>
    </row>
    <row r="168" spans="2:15">
      <c r="B168" t="s">
        <v>607</v>
      </c>
      <c r="C168" t="s">
        <v>34</v>
      </c>
      <c r="D168" t="s">
        <v>702</v>
      </c>
      <c r="E168" t="s">
        <v>703</v>
      </c>
      <c r="F168" t="s">
        <v>12</v>
      </c>
      <c r="G168" t="s">
        <v>704</v>
      </c>
      <c r="H168" t="s">
        <v>705</v>
      </c>
      <c r="I168" t="s">
        <v>30</v>
      </c>
      <c r="J168">
        <v>1</v>
      </c>
      <c r="K168">
        <v>1</v>
      </c>
      <c r="L168" s="2">
        <v>0.04</v>
      </c>
      <c r="M168">
        <v>0.1</v>
      </c>
      <c r="N168" s="2">
        <v>4.0000000000000003E-5</v>
      </c>
      <c r="O168" s="2">
        <v>1E-4</v>
      </c>
    </row>
    <row r="169" spans="2:15">
      <c r="B169" t="s">
        <v>607</v>
      </c>
      <c r="C169" t="s">
        <v>34</v>
      </c>
      <c r="D169" t="s">
        <v>706</v>
      </c>
      <c r="E169" t="s">
        <v>707</v>
      </c>
      <c r="F169" t="s">
        <v>12</v>
      </c>
      <c r="G169" t="s">
        <v>708</v>
      </c>
      <c r="H169" t="s">
        <v>709</v>
      </c>
      <c r="I169" t="s">
        <v>30</v>
      </c>
      <c r="J169">
        <v>2228</v>
      </c>
      <c r="K169">
        <v>2</v>
      </c>
      <c r="L169" s="2">
        <v>0.04</v>
      </c>
      <c r="M169">
        <v>0.1</v>
      </c>
      <c r="N169" s="2">
        <v>8.9120000000000005E-2</v>
      </c>
      <c r="O169" s="2">
        <v>0.2228</v>
      </c>
    </row>
    <row r="170" spans="2:15">
      <c r="B170" t="s">
        <v>607</v>
      </c>
      <c r="C170" t="s">
        <v>34</v>
      </c>
      <c r="D170" t="s">
        <v>710</v>
      </c>
      <c r="E170" t="s">
        <v>711</v>
      </c>
      <c r="F170" t="s">
        <v>12</v>
      </c>
      <c r="G170" t="s">
        <v>712</v>
      </c>
      <c r="H170" t="s">
        <v>713</v>
      </c>
      <c r="I170" t="s">
        <v>30</v>
      </c>
      <c r="J170">
        <v>315</v>
      </c>
      <c r="K170">
        <v>1</v>
      </c>
      <c r="L170" s="2">
        <v>0.04</v>
      </c>
      <c r="M170">
        <v>0.1</v>
      </c>
      <c r="N170" s="2">
        <v>1.26E-2</v>
      </c>
      <c r="O170" s="2">
        <v>3.15E-2</v>
      </c>
    </row>
    <row r="171" spans="2:15">
      <c r="B171" t="s">
        <v>607</v>
      </c>
      <c r="C171" t="s">
        <v>34</v>
      </c>
      <c r="D171" t="s">
        <v>714</v>
      </c>
      <c r="E171" t="s">
        <v>715</v>
      </c>
      <c r="F171" t="s">
        <v>12</v>
      </c>
      <c r="G171" t="s">
        <v>716</v>
      </c>
      <c r="H171" t="s">
        <v>717</v>
      </c>
      <c r="I171" t="s">
        <v>30</v>
      </c>
      <c r="J171">
        <v>298</v>
      </c>
      <c r="K171">
        <v>1</v>
      </c>
      <c r="L171" s="2">
        <v>0.04</v>
      </c>
      <c r="M171">
        <v>0.1</v>
      </c>
      <c r="N171" s="2">
        <v>1.192E-2</v>
      </c>
      <c r="O171" s="2">
        <v>2.98E-2</v>
      </c>
    </row>
    <row r="172" spans="2:15">
      <c r="B172" t="s">
        <v>607</v>
      </c>
      <c r="C172" t="s">
        <v>34</v>
      </c>
      <c r="D172" t="s">
        <v>718</v>
      </c>
      <c r="E172" t="s">
        <v>719</v>
      </c>
      <c r="F172" t="s">
        <v>12</v>
      </c>
      <c r="G172" t="s">
        <v>720</v>
      </c>
      <c r="H172" t="s">
        <v>721</v>
      </c>
      <c r="I172" t="s">
        <v>30</v>
      </c>
      <c r="J172">
        <v>1426</v>
      </c>
      <c r="K172">
        <v>0</v>
      </c>
      <c r="L172" s="2">
        <v>0.04</v>
      </c>
      <c r="M172">
        <v>0.1</v>
      </c>
      <c r="N172" s="2">
        <v>5.704E-2</v>
      </c>
      <c r="O172" s="2">
        <v>0.1426</v>
      </c>
    </row>
    <row r="173" spans="2:15">
      <c r="B173" t="s">
        <v>607</v>
      </c>
      <c r="C173" t="s">
        <v>34</v>
      </c>
      <c r="D173" t="s">
        <v>722</v>
      </c>
      <c r="E173" t="s">
        <v>723</v>
      </c>
      <c r="F173" t="s">
        <v>12</v>
      </c>
      <c r="G173" t="s">
        <v>724</v>
      </c>
      <c r="H173" t="s">
        <v>725</v>
      </c>
      <c r="I173" t="s">
        <v>30</v>
      </c>
      <c r="J173">
        <v>694</v>
      </c>
      <c r="K173">
        <v>0</v>
      </c>
      <c r="L173" s="2">
        <v>0.04</v>
      </c>
      <c r="M173">
        <v>0.1</v>
      </c>
      <c r="N173" s="2">
        <v>2.776E-2</v>
      </c>
      <c r="O173" s="2">
        <v>6.9400000000000003E-2</v>
      </c>
    </row>
    <row r="174" spans="2:15">
      <c r="B174" t="s">
        <v>607</v>
      </c>
      <c r="C174" t="s">
        <v>34</v>
      </c>
      <c r="D174" t="s">
        <v>726</v>
      </c>
      <c r="E174" t="s">
        <v>727</v>
      </c>
      <c r="F174" t="s">
        <v>12</v>
      </c>
      <c r="G174" t="s">
        <v>244</v>
      </c>
      <c r="H174" t="s">
        <v>728</v>
      </c>
      <c r="I174" t="s">
        <v>30</v>
      </c>
      <c r="J174">
        <v>4</v>
      </c>
      <c r="K174">
        <v>0</v>
      </c>
      <c r="L174" s="2">
        <v>0.04</v>
      </c>
      <c r="M174">
        <v>0.1</v>
      </c>
      <c r="N174" s="2">
        <v>1.6000000000000001E-4</v>
      </c>
      <c r="O174" s="2">
        <v>4.0000000000000002E-4</v>
      </c>
    </row>
    <row r="175" spans="2:15">
      <c r="B175" t="s">
        <v>607</v>
      </c>
      <c r="C175" t="s">
        <v>34</v>
      </c>
      <c r="D175" t="s">
        <v>726</v>
      </c>
      <c r="E175" t="s">
        <v>727</v>
      </c>
      <c r="F175" t="s">
        <v>12</v>
      </c>
      <c r="G175" t="s">
        <v>729</v>
      </c>
      <c r="H175" t="s">
        <v>730</v>
      </c>
      <c r="I175" t="s">
        <v>30</v>
      </c>
      <c r="J175">
        <v>802804</v>
      </c>
      <c r="K175">
        <v>1299</v>
      </c>
      <c r="L175" s="2">
        <v>0.04</v>
      </c>
      <c r="M175">
        <v>0.1</v>
      </c>
      <c r="N175" s="2">
        <v>32.112160000000003</v>
      </c>
      <c r="O175" s="2">
        <v>80.280400000000014</v>
      </c>
    </row>
    <row r="176" spans="2:15">
      <c r="B176" t="s">
        <v>607</v>
      </c>
      <c r="C176" t="s">
        <v>34</v>
      </c>
      <c r="D176" t="s">
        <v>731</v>
      </c>
      <c r="E176" t="s">
        <v>732</v>
      </c>
      <c r="F176" t="s">
        <v>12</v>
      </c>
      <c r="G176" t="s">
        <v>733</v>
      </c>
      <c r="H176" t="s">
        <v>734</v>
      </c>
      <c r="I176" t="s">
        <v>30</v>
      </c>
      <c r="J176">
        <v>147754</v>
      </c>
      <c r="K176">
        <v>365</v>
      </c>
      <c r="L176" s="2">
        <v>0.04</v>
      </c>
      <c r="M176">
        <v>0.1</v>
      </c>
      <c r="N176" s="2">
        <v>5.9101599999999994</v>
      </c>
      <c r="O176" s="2">
        <v>14.775400000000001</v>
      </c>
    </row>
    <row r="177" spans="2:15">
      <c r="B177" t="s">
        <v>607</v>
      </c>
      <c r="C177" t="s">
        <v>34</v>
      </c>
      <c r="D177" t="s">
        <v>735</v>
      </c>
      <c r="E177" t="s">
        <v>736</v>
      </c>
      <c r="F177" t="s">
        <v>12</v>
      </c>
      <c r="G177" t="s">
        <v>737</v>
      </c>
      <c r="H177" t="s">
        <v>738</v>
      </c>
      <c r="I177" t="s">
        <v>30</v>
      </c>
      <c r="J177">
        <v>49010</v>
      </c>
      <c r="K177">
        <v>215</v>
      </c>
      <c r="L177" s="2">
        <v>0.04</v>
      </c>
      <c r="M177">
        <v>0.1</v>
      </c>
      <c r="N177" s="2">
        <v>1.9604000000000001</v>
      </c>
      <c r="O177" s="2">
        <v>4.9009999999999998</v>
      </c>
    </row>
    <row r="178" spans="2:15">
      <c r="B178" t="s">
        <v>607</v>
      </c>
      <c r="C178" t="s">
        <v>34</v>
      </c>
      <c r="D178" t="s">
        <v>739</v>
      </c>
      <c r="E178" t="s">
        <v>740</v>
      </c>
      <c r="F178" t="s">
        <v>12</v>
      </c>
      <c r="G178" t="s">
        <v>244</v>
      </c>
      <c r="H178" t="s">
        <v>728</v>
      </c>
      <c r="I178" t="s">
        <v>30</v>
      </c>
      <c r="J178">
        <v>1</v>
      </c>
      <c r="K178">
        <v>0</v>
      </c>
      <c r="L178" s="2">
        <v>0.04</v>
      </c>
      <c r="M178">
        <v>0.1</v>
      </c>
      <c r="N178" s="2">
        <v>4.0000000000000003E-5</v>
      </c>
      <c r="O178" s="2">
        <v>1E-4</v>
      </c>
    </row>
    <row r="179" spans="2:15">
      <c r="B179" t="s">
        <v>607</v>
      </c>
      <c r="C179" t="s">
        <v>34</v>
      </c>
      <c r="D179" t="s">
        <v>739</v>
      </c>
      <c r="E179" t="s">
        <v>740</v>
      </c>
      <c r="F179" t="s">
        <v>12</v>
      </c>
      <c r="G179" t="s">
        <v>741</v>
      </c>
      <c r="H179" t="s">
        <v>742</v>
      </c>
      <c r="I179" t="s">
        <v>30</v>
      </c>
      <c r="J179">
        <v>220290</v>
      </c>
      <c r="K179">
        <v>859</v>
      </c>
      <c r="L179" s="2">
        <v>0.04</v>
      </c>
      <c r="M179">
        <v>0.1</v>
      </c>
      <c r="N179" s="2">
        <v>8.8116000000000003</v>
      </c>
      <c r="O179" s="2">
        <v>22.029</v>
      </c>
    </row>
    <row r="180" spans="2:15">
      <c r="B180" t="s">
        <v>607</v>
      </c>
      <c r="C180" t="s">
        <v>34</v>
      </c>
      <c r="D180" t="s">
        <v>743</v>
      </c>
      <c r="E180" t="s">
        <v>744</v>
      </c>
      <c r="F180" t="s">
        <v>12</v>
      </c>
      <c r="G180" t="s">
        <v>244</v>
      </c>
      <c r="H180" t="s">
        <v>728</v>
      </c>
      <c r="I180" t="s">
        <v>30</v>
      </c>
      <c r="J180">
        <v>1</v>
      </c>
      <c r="K180">
        <v>0</v>
      </c>
      <c r="L180" s="2">
        <v>0.04</v>
      </c>
      <c r="M180">
        <v>0.1</v>
      </c>
      <c r="N180" s="2">
        <v>4.0000000000000003E-5</v>
      </c>
      <c r="O180" s="2">
        <v>1E-4</v>
      </c>
    </row>
    <row r="181" spans="2:15">
      <c r="B181" t="s">
        <v>607</v>
      </c>
      <c r="C181" t="s">
        <v>34</v>
      </c>
      <c r="D181" t="s">
        <v>743</v>
      </c>
      <c r="E181" t="s">
        <v>744</v>
      </c>
      <c r="F181" t="s">
        <v>12</v>
      </c>
      <c r="G181" t="s">
        <v>745</v>
      </c>
      <c r="H181" t="s">
        <v>746</v>
      </c>
      <c r="I181" t="s">
        <v>30</v>
      </c>
      <c r="J181">
        <v>134350</v>
      </c>
      <c r="K181">
        <v>574</v>
      </c>
      <c r="L181" s="2">
        <v>0.04</v>
      </c>
      <c r="M181">
        <v>0.1</v>
      </c>
      <c r="N181" s="2">
        <v>5.3739999999999997</v>
      </c>
      <c r="O181" s="2">
        <v>13.435</v>
      </c>
    </row>
    <row r="182" spans="2:15">
      <c r="B182" t="s">
        <v>607</v>
      </c>
      <c r="C182" t="s">
        <v>34</v>
      </c>
      <c r="D182" t="s">
        <v>747</v>
      </c>
      <c r="E182" t="s">
        <v>748</v>
      </c>
      <c r="F182" t="s">
        <v>12</v>
      </c>
      <c r="G182" t="s">
        <v>749</v>
      </c>
      <c r="H182" t="s">
        <v>750</v>
      </c>
      <c r="I182" t="s">
        <v>30</v>
      </c>
      <c r="J182">
        <v>19843</v>
      </c>
      <c r="K182">
        <v>84</v>
      </c>
      <c r="L182" s="2">
        <v>0.04</v>
      </c>
      <c r="M182">
        <v>0.1</v>
      </c>
      <c r="N182" s="2">
        <v>0.79371999999999998</v>
      </c>
      <c r="O182" s="2">
        <v>1.9843000000000002</v>
      </c>
    </row>
    <row r="183" spans="2:15">
      <c r="B183" t="s">
        <v>607</v>
      </c>
      <c r="C183" t="s">
        <v>34</v>
      </c>
      <c r="D183" t="s">
        <v>751</v>
      </c>
      <c r="E183" t="s">
        <v>752</v>
      </c>
      <c r="F183" t="s">
        <v>12</v>
      </c>
      <c r="G183" t="s">
        <v>753</v>
      </c>
      <c r="H183" t="s">
        <v>754</v>
      </c>
      <c r="I183" t="s">
        <v>30</v>
      </c>
      <c r="J183">
        <v>1</v>
      </c>
      <c r="K183">
        <v>1</v>
      </c>
      <c r="L183" s="2">
        <v>0.04</v>
      </c>
      <c r="M183">
        <v>0.1</v>
      </c>
      <c r="N183" s="2">
        <v>4.0000000000000003E-5</v>
      </c>
      <c r="O183" s="2">
        <v>1E-4</v>
      </c>
    </row>
    <row r="184" spans="2:15">
      <c r="B184" t="s">
        <v>607</v>
      </c>
      <c r="C184" t="s">
        <v>34</v>
      </c>
      <c r="D184" t="s">
        <v>755</v>
      </c>
      <c r="E184" t="s">
        <v>756</v>
      </c>
      <c r="F184" t="s">
        <v>12</v>
      </c>
      <c r="G184" t="s">
        <v>757</v>
      </c>
      <c r="H184" t="s">
        <v>758</v>
      </c>
      <c r="I184" t="s">
        <v>30</v>
      </c>
      <c r="J184">
        <v>92281</v>
      </c>
      <c r="K184">
        <v>406</v>
      </c>
      <c r="L184" s="2">
        <v>0.04</v>
      </c>
      <c r="M184">
        <v>0.1</v>
      </c>
      <c r="N184" s="2">
        <v>3.6912400000000001</v>
      </c>
      <c r="O184" s="2">
        <v>9.2280999999999995</v>
      </c>
    </row>
    <row r="185" spans="2:15">
      <c r="B185" t="s">
        <v>759</v>
      </c>
      <c r="C185" t="s">
        <v>28</v>
      </c>
      <c r="D185" t="s">
        <v>760</v>
      </c>
      <c r="E185" t="s">
        <v>761</v>
      </c>
      <c r="F185" t="s">
        <v>10</v>
      </c>
      <c r="G185" t="s">
        <v>762</v>
      </c>
      <c r="H185" t="s">
        <v>763</v>
      </c>
      <c r="I185" t="s">
        <v>24</v>
      </c>
      <c r="J185">
        <v>0</v>
      </c>
      <c r="K185">
        <v>1</v>
      </c>
      <c r="L185" s="2">
        <v>3.5000000000000001E-3</v>
      </c>
      <c r="M185">
        <v>2.5000000000000001E-2</v>
      </c>
      <c r="N185" s="2">
        <v>3.5000000000000001E-3</v>
      </c>
      <c r="O185" s="2">
        <v>2.5000000000000001E-2</v>
      </c>
    </row>
    <row r="186" spans="2:15">
      <c r="B186" t="s">
        <v>79</v>
      </c>
      <c r="C186" t="s">
        <v>31</v>
      </c>
      <c r="D186" t="s">
        <v>764</v>
      </c>
      <c r="E186" t="s">
        <v>765</v>
      </c>
      <c r="F186" t="s">
        <v>12</v>
      </c>
      <c r="G186" t="s">
        <v>244</v>
      </c>
      <c r="H186" t="s">
        <v>766</v>
      </c>
      <c r="I186" t="s">
        <v>30</v>
      </c>
      <c r="J186">
        <v>3446</v>
      </c>
      <c r="K186">
        <v>3</v>
      </c>
      <c r="L186" s="2">
        <v>0.04</v>
      </c>
      <c r="M186">
        <v>0.1</v>
      </c>
      <c r="N186" s="2">
        <v>0.13783999999999999</v>
      </c>
      <c r="O186" s="2">
        <v>0.34460000000000002</v>
      </c>
    </row>
    <row r="187" spans="2:15">
      <c r="B187" t="s">
        <v>79</v>
      </c>
      <c r="C187" t="s">
        <v>31</v>
      </c>
      <c r="D187" t="s">
        <v>764</v>
      </c>
      <c r="E187" t="s">
        <v>767</v>
      </c>
      <c r="F187" t="s">
        <v>12</v>
      </c>
      <c r="G187" t="s">
        <v>37</v>
      </c>
      <c r="H187" t="s">
        <v>768</v>
      </c>
      <c r="I187" t="s">
        <v>30</v>
      </c>
      <c r="J187">
        <v>613</v>
      </c>
      <c r="K187">
        <v>0</v>
      </c>
      <c r="L187" s="2">
        <v>0.04</v>
      </c>
      <c r="M187">
        <v>0.1</v>
      </c>
      <c r="N187" s="2">
        <v>2.452E-2</v>
      </c>
      <c r="O187" s="2">
        <v>6.1300000000000007E-2</v>
      </c>
    </row>
    <row r="188" spans="2:15">
      <c r="B188" t="s">
        <v>79</v>
      </c>
      <c r="C188" t="s">
        <v>31</v>
      </c>
      <c r="D188" t="s">
        <v>764</v>
      </c>
      <c r="E188" t="s">
        <v>769</v>
      </c>
      <c r="F188" t="s">
        <v>12</v>
      </c>
      <c r="G188" t="s">
        <v>770</v>
      </c>
      <c r="H188" t="s">
        <v>771</v>
      </c>
      <c r="I188" t="s">
        <v>30</v>
      </c>
      <c r="J188">
        <v>493</v>
      </c>
      <c r="K188">
        <v>6</v>
      </c>
      <c r="L188" s="2">
        <v>0.04</v>
      </c>
      <c r="M188">
        <v>0.1</v>
      </c>
      <c r="N188" s="2">
        <v>1.9719999999999998E-2</v>
      </c>
      <c r="O188" s="2">
        <v>4.9300000000000004E-2</v>
      </c>
    </row>
    <row r="189" spans="2:15">
      <c r="B189" t="s">
        <v>79</v>
      </c>
      <c r="C189" t="s">
        <v>31</v>
      </c>
      <c r="D189" t="s">
        <v>80</v>
      </c>
      <c r="E189" t="s">
        <v>81</v>
      </c>
      <c r="F189" t="s">
        <v>12</v>
      </c>
      <c r="G189" t="s">
        <v>37</v>
      </c>
      <c r="H189" t="s">
        <v>768</v>
      </c>
      <c r="I189" t="s">
        <v>30</v>
      </c>
      <c r="J189">
        <v>479007</v>
      </c>
      <c r="K189">
        <v>541</v>
      </c>
      <c r="L189" s="2">
        <v>0.04</v>
      </c>
      <c r="M189">
        <v>0.1</v>
      </c>
      <c r="N189" s="2">
        <v>19.16028</v>
      </c>
      <c r="O189" s="2">
        <v>47.900700000000008</v>
      </c>
    </row>
    <row r="190" spans="2:15">
      <c r="B190" t="s">
        <v>79</v>
      </c>
      <c r="C190" t="s">
        <v>31</v>
      </c>
      <c r="D190" t="s">
        <v>82</v>
      </c>
      <c r="E190" t="s">
        <v>83</v>
      </c>
      <c r="F190" t="s">
        <v>12</v>
      </c>
      <c r="G190" t="s">
        <v>37</v>
      </c>
      <c r="H190" t="s">
        <v>768</v>
      </c>
      <c r="I190" t="s">
        <v>30</v>
      </c>
      <c r="J190">
        <v>999932</v>
      </c>
      <c r="K190">
        <v>1262</v>
      </c>
      <c r="L190" s="2">
        <v>0.04</v>
      </c>
      <c r="M190">
        <v>0.1</v>
      </c>
      <c r="N190" s="2">
        <v>39.997279999999996</v>
      </c>
      <c r="O190" s="2">
        <v>99.993200000000016</v>
      </c>
    </row>
    <row r="191" spans="2:15">
      <c r="B191" t="s">
        <v>79</v>
      </c>
      <c r="C191" t="s">
        <v>31</v>
      </c>
      <c r="D191" t="s">
        <v>772</v>
      </c>
      <c r="E191" t="s">
        <v>773</v>
      </c>
      <c r="F191" t="s">
        <v>23</v>
      </c>
      <c r="G191" t="s">
        <v>64</v>
      </c>
      <c r="H191" t="s">
        <v>774</v>
      </c>
      <c r="I191" t="s">
        <v>33</v>
      </c>
      <c r="J191">
        <v>829343</v>
      </c>
      <c r="K191">
        <v>1568</v>
      </c>
      <c r="L191" s="2">
        <v>0.6</v>
      </c>
      <c r="M191">
        <v>0.35</v>
      </c>
      <c r="N191" s="2">
        <v>497.60579999999999</v>
      </c>
      <c r="O191" s="2">
        <v>290.27004999999997</v>
      </c>
    </row>
    <row r="192" spans="2:15">
      <c r="B192" t="s">
        <v>79</v>
      </c>
      <c r="C192" t="s">
        <v>31</v>
      </c>
      <c r="D192" t="s">
        <v>775</v>
      </c>
      <c r="E192" t="s">
        <v>776</v>
      </c>
      <c r="F192" t="s">
        <v>23</v>
      </c>
      <c r="G192" t="s">
        <v>64</v>
      </c>
      <c r="H192" t="s">
        <v>774</v>
      </c>
      <c r="I192" t="s">
        <v>33</v>
      </c>
      <c r="J192">
        <v>714001</v>
      </c>
      <c r="K192">
        <v>1381</v>
      </c>
      <c r="L192" s="2">
        <v>0.6</v>
      </c>
      <c r="M192">
        <v>0.35</v>
      </c>
      <c r="N192" s="2">
        <v>428.4006</v>
      </c>
      <c r="O192" s="2">
        <v>249.90034999999997</v>
      </c>
    </row>
    <row r="193" spans="2:15">
      <c r="B193" t="s">
        <v>79</v>
      </c>
      <c r="C193" t="s">
        <v>28</v>
      </c>
      <c r="D193" t="s">
        <v>84</v>
      </c>
      <c r="E193" t="s">
        <v>85</v>
      </c>
      <c r="F193" t="s">
        <v>12</v>
      </c>
      <c r="G193" t="s">
        <v>654</v>
      </c>
      <c r="H193" t="s">
        <v>777</v>
      </c>
      <c r="I193" t="s">
        <v>30</v>
      </c>
      <c r="J193">
        <v>16595</v>
      </c>
      <c r="K193">
        <v>9</v>
      </c>
      <c r="L193" s="2">
        <v>0.04</v>
      </c>
      <c r="M193">
        <v>0.1</v>
      </c>
      <c r="N193" s="2">
        <v>0.66380000000000006</v>
      </c>
      <c r="O193" s="2">
        <v>1.6595</v>
      </c>
    </row>
    <row r="194" spans="2:15">
      <c r="B194" t="s">
        <v>79</v>
      </c>
      <c r="C194" t="s">
        <v>28</v>
      </c>
      <c r="D194" t="s">
        <v>86</v>
      </c>
      <c r="E194" t="s">
        <v>87</v>
      </c>
      <c r="F194" t="s">
        <v>12</v>
      </c>
      <c r="G194" t="s">
        <v>654</v>
      </c>
      <c r="H194" t="s">
        <v>777</v>
      </c>
      <c r="I194" t="s">
        <v>30</v>
      </c>
      <c r="J194">
        <v>16432</v>
      </c>
      <c r="K194">
        <v>12</v>
      </c>
      <c r="L194" s="2">
        <v>0.04</v>
      </c>
      <c r="M194">
        <v>0.1</v>
      </c>
      <c r="N194" s="2">
        <v>0.65727999999999998</v>
      </c>
      <c r="O194" s="2">
        <v>1.6432</v>
      </c>
    </row>
    <row r="195" spans="2:15">
      <c r="B195" t="s">
        <v>79</v>
      </c>
      <c r="C195" t="s">
        <v>28</v>
      </c>
      <c r="D195" t="s">
        <v>88</v>
      </c>
      <c r="E195" t="s">
        <v>89</v>
      </c>
      <c r="F195" t="s">
        <v>12</v>
      </c>
      <c r="G195" t="s">
        <v>778</v>
      </c>
      <c r="H195" t="s">
        <v>779</v>
      </c>
      <c r="I195" t="s">
        <v>30</v>
      </c>
      <c r="J195">
        <v>223549</v>
      </c>
      <c r="K195">
        <v>436</v>
      </c>
      <c r="L195" s="2">
        <v>0.04</v>
      </c>
      <c r="M195">
        <v>0.1</v>
      </c>
      <c r="N195" s="2">
        <v>8.9419600000000017</v>
      </c>
      <c r="O195" s="2">
        <v>22.354900000000001</v>
      </c>
    </row>
    <row r="196" spans="2:15">
      <c r="B196" t="s">
        <v>79</v>
      </c>
      <c r="C196" t="s">
        <v>28</v>
      </c>
      <c r="D196" t="s">
        <v>90</v>
      </c>
      <c r="E196" t="s">
        <v>91</v>
      </c>
      <c r="F196" t="s">
        <v>12</v>
      </c>
      <c r="G196" t="s">
        <v>780</v>
      </c>
      <c r="H196" t="s">
        <v>781</v>
      </c>
      <c r="I196" t="s">
        <v>30</v>
      </c>
      <c r="J196">
        <v>21970</v>
      </c>
      <c r="K196">
        <v>21</v>
      </c>
      <c r="L196" s="2">
        <v>0.04</v>
      </c>
      <c r="M196">
        <v>0.1</v>
      </c>
      <c r="N196" s="2">
        <v>0.87880000000000003</v>
      </c>
      <c r="O196" s="2">
        <v>2.1970000000000001</v>
      </c>
    </row>
    <row r="197" spans="2:15">
      <c r="B197" t="s">
        <v>79</v>
      </c>
      <c r="C197" t="s">
        <v>28</v>
      </c>
      <c r="D197" t="s">
        <v>92</v>
      </c>
      <c r="E197" t="s">
        <v>93</v>
      </c>
      <c r="F197" t="s">
        <v>12</v>
      </c>
      <c r="G197" t="s">
        <v>107</v>
      </c>
      <c r="H197" t="s">
        <v>782</v>
      </c>
      <c r="I197" t="s">
        <v>30</v>
      </c>
      <c r="J197">
        <v>1793164</v>
      </c>
      <c r="K197">
        <v>1439</v>
      </c>
      <c r="L197" s="2">
        <v>0.04</v>
      </c>
      <c r="M197">
        <v>0.1</v>
      </c>
      <c r="N197" s="2">
        <v>71.726559999999992</v>
      </c>
      <c r="O197" s="2">
        <v>179.31640000000002</v>
      </c>
    </row>
    <row r="198" spans="2:15">
      <c r="B198" t="s">
        <v>79</v>
      </c>
      <c r="C198" t="s">
        <v>28</v>
      </c>
      <c r="D198" t="s">
        <v>94</v>
      </c>
      <c r="E198" t="s">
        <v>95</v>
      </c>
      <c r="F198" t="s">
        <v>12</v>
      </c>
      <c r="G198" t="s">
        <v>37</v>
      </c>
      <c r="H198" t="s">
        <v>768</v>
      </c>
      <c r="I198" t="s">
        <v>30</v>
      </c>
      <c r="J198">
        <v>1040983</v>
      </c>
      <c r="K198">
        <v>216</v>
      </c>
      <c r="L198" s="2">
        <v>0.04</v>
      </c>
      <c r="M198">
        <v>0.1</v>
      </c>
      <c r="N198" s="2">
        <v>41.639319999999998</v>
      </c>
      <c r="O198" s="2">
        <v>104.09830000000001</v>
      </c>
    </row>
    <row r="199" spans="2:15">
      <c r="B199" t="s">
        <v>79</v>
      </c>
      <c r="C199" t="s">
        <v>28</v>
      </c>
      <c r="D199" t="s">
        <v>96</v>
      </c>
      <c r="E199" t="s">
        <v>97</v>
      </c>
      <c r="F199" t="s">
        <v>12</v>
      </c>
      <c r="G199" t="s">
        <v>37</v>
      </c>
      <c r="H199" t="s">
        <v>768</v>
      </c>
      <c r="I199" t="s">
        <v>30</v>
      </c>
      <c r="J199">
        <v>1041811</v>
      </c>
      <c r="K199">
        <v>258</v>
      </c>
      <c r="L199" s="2">
        <v>0.04</v>
      </c>
      <c r="M199">
        <v>0.1</v>
      </c>
      <c r="N199" s="2">
        <v>41.672440000000002</v>
      </c>
      <c r="O199" s="2">
        <v>104.1811</v>
      </c>
    </row>
    <row r="200" spans="2:15">
      <c r="B200" t="s">
        <v>79</v>
      </c>
      <c r="C200" t="s">
        <v>28</v>
      </c>
      <c r="D200" t="s">
        <v>98</v>
      </c>
      <c r="E200" t="s">
        <v>99</v>
      </c>
      <c r="F200" t="s">
        <v>12</v>
      </c>
      <c r="G200" t="s">
        <v>37</v>
      </c>
      <c r="H200" t="s">
        <v>768</v>
      </c>
      <c r="I200" t="s">
        <v>30</v>
      </c>
      <c r="J200">
        <v>1045410</v>
      </c>
      <c r="K200">
        <v>229</v>
      </c>
      <c r="L200" s="2">
        <v>0.04</v>
      </c>
      <c r="M200">
        <v>0.1</v>
      </c>
      <c r="N200" s="2">
        <v>41.816400000000002</v>
      </c>
      <c r="O200" s="2">
        <v>104.541</v>
      </c>
    </row>
    <row r="201" spans="2:15">
      <c r="B201" t="s">
        <v>79</v>
      </c>
      <c r="C201" t="s">
        <v>28</v>
      </c>
      <c r="D201" t="s">
        <v>100</v>
      </c>
      <c r="E201" t="s">
        <v>101</v>
      </c>
      <c r="F201" t="s">
        <v>10</v>
      </c>
      <c r="G201" t="s">
        <v>102</v>
      </c>
      <c r="H201" t="s">
        <v>783</v>
      </c>
      <c r="I201" t="s">
        <v>24</v>
      </c>
      <c r="J201">
        <v>0</v>
      </c>
      <c r="K201">
        <v>5322</v>
      </c>
      <c r="L201" s="2">
        <v>3.5000000000000001E-3</v>
      </c>
      <c r="M201">
        <v>2.5000000000000001E-2</v>
      </c>
      <c r="N201" s="2">
        <v>18.626999999999999</v>
      </c>
      <c r="O201" s="2">
        <v>133.05000000000001</v>
      </c>
    </row>
    <row r="202" spans="2:15">
      <c r="B202" t="s">
        <v>43</v>
      </c>
      <c r="C202" t="s">
        <v>29</v>
      </c>
      <c r="D202" t="s">
        <v>784</v>
      </c>
      <c r="E202" t="s">
        <v>785</v>
      </c>
      <c r="F202" t="s">
        <v>12</v>
      </c>
      <c r="G202" t="s">
        <v>784</v>
      </c>
      <c r="H202" t="s">
        <v>786</v>
      </c>
      <c r="I202" t="s">
        <v>30</v>
      </c>
      <c r="J202">
        <v>5</v>
      </c>
      <c r="K202">
        <v>1</v>
      </c>
      <c r="L202" s="2">
        <v>0.04</v>
      </c>
      <c r="M202">
        <v>0.1</v>
      </c>
      <c r="N202" s="2">
        <v>2.0000000000000001E-4</v>
      </c>
      <c r="O202" s="2">
        <v>5.0000000000000001E-4</v>
      </c>
    </row>
    <row r="203" spans="2:15">
      <c r="B203" t="s">
        <v>43</v>
      </c>
      <c r="C203" t="s">
        <v>29</v>
      </c>
      <c r="D203" t="s">
        <v>787</v>
      </c>
      <c r="E203" t="s">
        <v>788</v>
      </c>
      <c r="F203" t="s">
        <v>12</v>
      </c>
      <c r="G203" t="s">
        <v>789</v>
      </c>
      <c r="H203" t="s">
        <v>790</v>
      </c>
      <c r="I203" t="s">
        <v>24</v>
      </c>
      <c r="J203">
        <v>23809</v>
      </c>
      <c r="K203">
        <v>62</v>
      </c>
      <c r="L203" s="2">
        <v>0.04</v>
      </c>
      <c r="M203">
        <v>0.1</v>
      </c>
      <c r="N203" s="2">
        <v>0.95235999999999998</v>
      </c>
      <c r="O203" s="2">
        <v>2.3809</v>
      </c>
    </row>
    <row r="204" spans="2:15">
      <c r="B204" t="s">
        <v>43</v>
      </c>
      <c r="C204" t="s">
        <v>29</v>
      </c>
      <c r="D204" t="s">
        <v>791</v>
      </c>
      <c r="E204" t="s">
        <v>792</v>
      </c>
      <c r="F204" t="s">
        <v>12</v>
      </c>
      <c r="G204" t="s">
        <v>793</v>
      </c>
      <c r="H204" t="s">
        <v>794</v>
      </c>
      <c r="I204" t="s">
        <v>24</v>
      </c>
      <c r="J204">
        <v>501550</v>
      </c>
      <c r="K204">
        <v>1547</v>
      </c>
      <c r="L204" s="2">
        <v>0.04</v>
      </c>
      <c r="M204">
        <v>0.1</v>
      </c>
      <c r="N204" s="2">
        <v>20.062000000000001</v>
      </c>
      <c r="O204" s="2">
        <v>50.155000000000001</v>
      </c>
    </row>
    <row r="205" spans="2:15">
      <c r="B205" t="s">
        <v>43</v>
      </c>
      <c r="C205" t="s">
        <v>29</v>
      </c>
      <c r="D205" t="s">
        <v>795</v>
      </c>
      <c r="E205" t="s">
        <v>796</v>
      </c>
      <c r="F205" t="s">
        <v>12</v>
      </c>
      <c r="G205" t="s">
        <v>797</v>
      </c>
      <c r="H205" t="s">
        <v>798</v>
      </c>
      <c r="I205" t="s">
        <v>24</v>
      </c>
      <c r="J205">
        <v>236895</v>
      </c>
      <c r="K205">
        <v>627</v>
      </c>
      <c r="L205" s="2">
        <v>0.04</v>
      </c>
      <c r="M205">
        <v>0.1</v>
      </c>
      <c r="N205" s="2">
        <v>9.4758000000000013</v>
      </c>
      <c r="O205" s="2">
        <v>23.689499999999999</v>
      </c>
    </row>
    <row r="206" spans="2:15">
      <c r="B206" t="s">
        <v>43</v>
      </c>
      <c r="C206" t="s">
        <v>29</v>
      </c>
      <c r="D206" t="s">
        <v>799</v>
      </c>
      <c r="E206" t="s">
        <v>800</v>
      </c>
      <c r="F206" t="s">
        <v>12</v>
      </c>
      <c r="G206" t="s">
        <v>801</v>
      </c>
      <c r="H206" t="s">
        <v>802</v>
      </c>
      <c r="I206" t="s">
        <v>24</v>
      </c>
      <c r="J206">
        <v>227671</v>
      </c>
      <c r="K206">
        <v>686</v>
      </c>
      <c r="L206" s="2">
        <v>0.04</v>
      </c>
      <c r="M206">
        <v>0.1</v>
      </c>
      <c r="N206" s="2">
        <v>9.10684</v>
      </c>
      <c r="O206" s="2">
        <v>22.767100000000003</v>
      </c>
    </row>
    <row r="207" spans="2:15">
      <c r="B207" t="s">
        <v>43</v>
      </c>
      <c r="C207" t="s">
        <v>29</v>
      </c>
      <c r="D207" t="s">
        <v>803</v>
      </c>
      <c r="E207" t="s">
        <v>804</v>
      </c>
      <c r="F207" t="s">
        <v>10</v>
      </c>
      <c r="G207" t="s">
        <v>805</v>
      </c>
      <c r="H207" t="s">
        <v>806</v>
      </c>
      <c r="I207" t="s">
        <v>24</v>
      </c>
      <c r="J207">
        <v>0</v>
      </c>
      <c r="K207">
        <v>1</v>
      </c>
      <c r="L207" s="2">
        <v>3.5000000000000001E-3</v>
      </c>
      <c r="M207">
        <v>2.5000000000000001E-2</v>
      </c>
      <c r="N207" s="2">
        <v>3.5000000000000001E-3</v>
      </c>
      <c r="O207" s="2">
        <v>2.5000000000000001E-2</v>
      </c>
    </row>
    <row r="208" spans="2:15">
      <c r="B208" t="s">
        <v>43</v>
      </c>
      <c r="C208" t="s">
        <v>29</v>
      </c>
      <c r="D208" t="s">
        <v>807</v>
      </c>
      <c r="E208" t="s">
        <v>808</v>
      </c>
      <c r="F208" t="s">
        <v>11</v>
      </c>
      <c r="G208" t="s">
        <v>809</v>
      </c>
      <c r="H208" t="s">
        <v>810</v>
      </c>
      <c r="I208" t="s">
        <v>30</v>
      </c>
      <c r="J208">
        <v>1</v>
      </c>
      <c r="K208">
        <v>1</v>
      </c>
      <c r="L208" s="2">
        <v>0.04</v>
      </c>
      <c r="M208">
        <v>0.1</v>
      </c>
      <c r="N208" s="2">
        <v>4.0000000000000003E-5</v>
      </c>
      <c r="O208" s="2">
        <v>1E-4</v>
      </c>
    </row>
    <row r="209" spans="2:15">
      <c r="B209" t="s">
        <v>43</v>
      </c>
      <c r="C209" t="s">
        <v>29</v>
      </c>
      <c r="D209" t="s">
        <v>807</v>
      </c>
      <c r="E209" t="s">
        <v>808</v>
      </c>
      <c r="F209" t="s">
        <v>12</v>
      </c>
      <c r="G209" t="s">
        <v>811</v>
      </c>
      <c r="H209" t="s">
        <v>812</v>
      </c>
      <c r="I209" t="s">
        <v>30</v>
      </c>
      <c r="J209">
        <v>2348</v>
      </c>
      <c r="K209">
        <v>2</v>
      </c>
      <c r="L209" s="2">
        <v>0.04</v>
      </c>
      <c r="M209">
        <v>0.1</v>
      </c>
      <c r="N209" s="2">
        <v>9.3920000000000003E-2</v>
      </c>
      <c r="O209" s="2">
        <v>0.23480000000000001</v>
      </c>
    </row>
    <row r="210" spans="2:15">
      <c r="B210" t="s">
        <v>43</v>
      </c>
      <c r="C210" t="s">
        <v>29</v>
      </c>
      <c r="D210" t="s">
        <v>813</v>
      </c>
      <c r="E210" t="s">
        <v>814</v>
      </c>
      <c r="F210" t="s">
        <v>12</v>
      </c>
      <c r="G210" t="s">
        <v>815</v>
      </c>
      <c r="H210" t="s">
        <v>816</v>
      </c>
      <c r="I210" t="s">
        <v>30</v>
      </c>
      <c r="J210">
        <v>12042</v>
      </c>
      <c r="K210">
        <v>7</v>
      </c>
      <c r="L210" s="2">
        <v>0.04</v>
      </c>
      <c r="M210">
        <v>0.1</v>
      </c>
      <c r="N210" s="2">
        <v>0.48168</v>
      </c>
      <c r="O210" s="2">
        <v>1.2041999999999999</v>
      </c>
    </row>
    <row r="211" spans="2:15">
      <c r="B211" t="s">
        <v>43</v>
      </c>
      <c r="C211" t="s">
        <v>29</v>
      </c>
      <c r="D211" t="s">
        <v>817</v>
      </c>
      <c r="E211" t="s">
        <v>818</v>
      </c>
      <c r="F211" t="s">
        <v>12</v>
      </c>
      <c r="G211" t="s">
        <v>819</v>
      </c>
      <c r="H211" t="s">
        <v>820</v>
      </c>
      <c r="I211" t="s">
        <v>30</v>
      </c>
      <c r="J211">
        <v>7896</v>
      </c>
      <c r="K211">
        <v>5</v>
      </c>
      <c r="L211" s="2">
        <v>0.04</v>
      </c>
      <c r="M211">
        <v>0.1</v>
      </c>
      <c r="N211" s="2">
        <v>0.31584000000000001</v>
      </c>
      <c r="O211" s="2">
        <v>0.78959999999999997</v>
      </c>
    </row>
    <row r="212" spans="2:15">
      <c r="B212" t="s">
        <v>43</v>
      </c>
      <c r="C212" t="s">
        <v>29</v>
      </c>
      <c r="D212" t="s">
        <v>821</v>
      </c>
      <c r="E212" t="s">
        <v>822</v>
      </c>
      <c r="F212" t="s">
        <v>12</v>
      </c>
      <c r="G212" t="s">
        <v>823</v>
      </c>
      <c r="H212" t="s">
        <v>824</v>
      </c>
      <c r="I212" t="s">
        <v>30</v>
      </c>
      <c r="J212">
        <v>20229</v>
      </c>
      <c r="K212">
        <v>13</v>
      </c>
      <c r="L212" s="2">
        <v>0.04</v>
      </c>
      <c r="M212">
        <v>0.1</v>
      </c>
      <c r="N212" s="2">
        <v>0.80915999999999999</v>
      </c>
      <c r="O212" s="2">
        <v>2.0228999999999999</v>
      </c>
    </row>
    <row r="213" spans="2:15">
      <c r="B213" t="s">
        <v>43</v>
      </c>
      <c r="C213" t="s">
        <v>29</v>
      </c>
      <c r="D213" t="s">
        <v>825</v>
      </c>
      <c r="E213" t="s">
        <v>826</v>
      </c>
      <c r="F213" t="s">
        <v>12</v>
      </c>
      <c r="G213" t="s">
        <v>809</v>
      </c>
      <c r="H213" t="s">
        <v>810</v>
      </c>
      <c r="I213" t="s">
        <v>30</v>
      </c>
      <c r="J213">
        <v>12</v>
      </c>
      <c r="K213">
        <v>1</v>
      </c>
      <c r="L213" s="2">
        <v>0.04</v>
      </c>
      <c r="M213">
        <v>0.1</v>
      </c>
      <c r="N213" s="2">
        <v>4.7999999999999996E-4</v>
      </c>
      <c r="O213" s="2">
        <v>1.2000000000000001E-3</v>
      </c>
    </row>
    <row r="214" spans="2:15">
      <c r="B214" t="s">
        <v>43</v>
      </c>
      <c r="C214" t="s">
        <v>29</v>
      </c>
      <c r="D214" t="s">
        <v>827</v>
      </c>
      <c r="E214" t="s">
        <v>828</v>
      </c>
      <c r="F214" t="s">
        <v>12</v>
      </c>
      <c r="G214" t="s">
        <v>829</v>
      </c>
      <c r="H214" t="s">
        <v>830</v>
      </c>
      <c r="I214" t="s">
        <v>30</v>
      </c>
      <c r="J214">
        <v>31547</v>
      </c>
      <c r="K214">
        <v>76</v>
      </c>
      <c r="L214" s="2">
        <v>0.04</v>
      </c>
      <c r="M214">
        <v>0.1</v>
      </c>
      <c r="N214" s="2">
        <v>1.2618800000000001</v>
      </c>
      <c r="O214" s="2">
        <v>3.1547000000000001</v>
      </c>
    </row>
    <row r="215" spans="2:15">
      <c r="B215" t="s">
        <v>43</v>
      </c>
      <c r="C215" t="s">
        <v>29</v>
      </c>
      <c r="D215" t="s">
        <v>831</v>
      </c>
      <c r="E215" t="s">
        <v>832</v>
      </c>
      <c r="F215" t="s">
        <v>12</v>
      </c>
      <c r="G215" t="s">
        <v>833</v>
      </c>
      <c r="H215" t="s">
        <v>834</v>
      </c>
      <c r="I215" t="s">
        <v>30</v>
      </c>
      <c r="J215">
        <v>50509</v>
      </c>
      <c r="K215">
        <v>155</v>
      </c>
      <c r="L215" s="2">
        <v>0.04</v>
      </c>
      <c r="M215">
        <v>0.1</v>
      </c>
      <c r="N215" s="2">
        <v>2.0203600000000002</v>
      </c>
      <c r="O215" s="2">
        <v>5.0509000000000004</v>
      </c>
    </row>
    <row r="216" spans="2:15">
      <c r="B216" t="s">
        <v>43</v>
      </c>
      <c r="C216" t="s">
        <v>29</v>
      </c>
      <c r="D216" t="s">
        <v>835</v>
      </c>
      <c r="E216" t="s">
        <v>836</v>
      </c>
      <c r="F216" t="s">
        <v>12</v>
      </c>
      <c r="G216" t="s">
        <v>837</v>
      </c>
      <c r="H216" t="s">
        <v>838</v>
      </c>
      <c r="I216" t="s">
        <v>30</v>
      </c>
      <c r="J216">
        <v>54557</v>
      </c>
      <c r="K216">
        <v>127</v>
      </c>
      <c r="L216" s="2">
        <v>0.04</v>
      </c>
      <c r="M216">
        <v>0.1</v>
      </c>
      <c r="N216" s="2">
        <v>2.18228</v>
      </c>
      <c r="O216" s="2">
        <v>5.4557000000000011</v>
      </c>
    </row>
    <row r="217" spans="2:15">
      <c r="B217" t="s">
        <v>43</v>
      </c>
      <c r="C217" t="s">
        <v>29</v>
      </c>
      <c r="D217" t="s">
        <v>839</v>
      </c>
      <c r="E217" t="s">
        <v>840</v>
      </c>
      <c r="F217" t="s">
        <v>12</v>
      </c>
      <c r="G217" t="s">
        <v>841</v>
      </c>
      <c r="H217" t="s">
        <v>842</v>
      </c>
      <c r="I217" t="s">
        <v>30</v>
      </c>
      <c r="J217">
        <v>387375</v>
      </c>
      <c r="K217">
        <v>837</v>
      </c>
      <c r="L217" s="2">
        <v>0.04</v>
      </c>
      <c r="M217">
        <v>0.1</v>
      </c>
      <c r="N217" s="2">
        <v>15.494999999999999</v>
      </c>
      <c r="O217" s="2">
        <v>38.737499999999997</v>
      </c>
    </row>
    <row r="218" spans="2:15">
      <c r="B218" t="s">
        <v>43</v>
      </c>
      <c r="C218" t="s">
        <v>29</v>
      </c>
      <c r="D218" t="s">
        <v>843</v>
      </c>
      <c r="E218" t="s">
        <v>844</v>
      </c>
      <c r="F218" t="s">
        <v>12</v>
      </c>
      <c r="G218" t="s">
        <v>845</v>
      </c>
      <c r="H218" t="s">
        <v>846</v>
      </c>
      <c r="I218" t="s">
        <v>30</v>
      </c>
      <c r="J218">
        <v>13</v>
      </c>
      <c r="K218">
        <v>1</v>
      </c>
      <c r="L218" s="2">
        <v>0.04</v>
      </c>
      <c r="M218">
        <v>0.1</v>
      </c>
      <c r="N218" s="2">
        <v>5.2000000000000006E-4</v>
      </c>
      <c r="O218" s="2">
        <v>1.2999999999999999E-3</v>
      </c>
    </row>
    <row r="219" spans="2:15">
      <c r="B219" t="s">
        <v>43</v>
      </c>
      <c r="C219" t="s">
        <v>29</v>
      </c>
      <c r="D219" t="s">
        <v>847</v>
      </c>
      <c r="E219" t="s">
        <v>848</v>
      </c>
      <c r="F219" t="s">
        <v>12</v>
      </c>
      <c r="G219" t="s">
        <v>244</v>
      </c>
      <c r="H219" t="s">
        <v>849</v>
      </c>
      <c r="I219" t="s">
        <v>30</v>
      </c>
      <c r="J219">
        <v>1</v>
      </c>
      <c r="K219">
        <v>0</v>
      </c>
      <c r="L219" s="2">
        <v>0.04</v>
      </c>
      <c r="M219">
        <v>0.1</v>
      </c>
      <c r="N219" s="2">
        <v>4.0000000000000003E-5</v>
      </c>
      <c r="O219" s="2">
        <v>1E-4</v>
      </c>
    </row>
    <row r="220" spans="2:15">
      <c r="B220" t="s">
        <v>43</v>
      </c>
      <c r="C220" t="s">
        <v>29</v>
      </c>
      <c r="D220" t="s">
        <v>847</v>
      </c>
      <c r="E220" t="s">
        <v>848</v>
      </c>
      <c r="F220" t="s">
        <v>12</v>
      </c>
      <c r="G220" t="s">
        <v>850</v>
      </c>
      <c r="H220" t="s">
        <v>851</v>
      </c>
      <c r="I220" t="s">
        <v>30</v>
      </c>
      <c r="J220">
        <v>518</v>
      </c>
      <c r="K220">
        <v>3</v>
      </c>
      <c r="L220" s="2">
        <v>0.04</v>
      </c>
      <c r="M220">
        <v>0.1</v>
      </c>
      <c r="N220" s="2">
        <v>2.0719999999999999E-2</v>
      </c>
      <c r="O220" s="2">
        <v>5.1800000000000006E-2</v>
      </c>
    </row>
    <row r="221" spans="2:15">
      <c r="B221" t="s">
        <v>43</v>
      </c>
      <c r="C221" t="s">
        <v>29</v>
      </c>
      <c r="D221" t="s">
        <v>852</v>
      </c>
      <c r="E221" t="s">
        <v>853</v>
      </c>
      <c r="F221" t="s">
        <v>12</v>
      </c>
      <c r="G221" t="s">
        <v>854</v>
      </c>
      <c r="H221" t="s">
        <v>855</v>
      </c>
      <c r="I221" t="s">
        <v>30</v>
      </c>
      <c r="J221">
        <v>9</v>
      </c>
      <c r="K221">
        <v>3</v>
      </c>
      <c r="L221" s="2">
        <v>0.04</v>
      </c>
      <c r="M221">
        <v>0.1</v>
      </c>
      <c r="N221" s="2">
        <v>3.5999999999999997E-4</v>
      </c>
      <c r="O221" s="2">
        <v>8.9999999999999998E-4</v>
      </c>
    </row>
    <row r="222" spans="2:15">
      <c r="B222" t="s">
        <v>43</v>
      </c>
      <c r="C222" t="s">
        <v>29</v>
      </c>
      <c r="D222" t="s">
        <v>856</v>
      </c>
      <c r="E222" t="s">
        <v>857</v>
      </c>
      <c r="F222" t="s">
        <v>12</v>
      </c>
      <c r="G222" t="s">
        <v>858</v>
      </c>
      <c r="H222" t="s">
        <v>859</v>
      </c>
      <c r="I222" t="s">
        <v>30</v>
      </c>
      <c r="J222">
        <v>15</v>
      </c>
      <c r="K222">
        <v>1</v>
      </c>
      <c r="L222" s="2">
        <v>0.04</v>
      </c>
      <c r="M222">
        <v>0.1</v>
      </c>
      <c r="N222" s="2">
        <v>5.9999999999999995E-4</v>
      </c>
      <c r="O222" s="2">
        <v>1.5E-3</v>
      </c>
    </row>
    <row r="223" spans="2:15">
      <c r="B223" t="s">
        <v>43</v>
      </c>
      <c r="C223" t="s">
        <v>29</v>
      </c>
      <c r="D223" t="s">
        <v>860</v>
      </c>
      <c r="E223" t="s">
        <v>861</v>
      </c>
      <c r="F223" t="s">
        <v>12</v>
      </c>
      <c r="G223" t="s">
        <v>862</v>
      </c>
      <c r="H223" t="s">
        <v>863</v>
      </c>
      <c r="I223" t="s">
        <v>30</v>
      </c>
      <c r="J223">
        <v>823</v>
      </c>
      <c r="K223">
        <v>2</v>
      </c>
      <c r="L223" s="2">
        <v>0.04</v>
      </c>
      <c r="M223">
        <v>0.1</v>
      </c>
      <c r="N223" s="2">
        <v>3.2920000000000005E-2</v>
      </c>
      <c r="O223" s="2">
        <v>8.2300000000000012E-2</v>
      </c>
    </row>
    <row r="224" spans="2:15">
      <c r="B224" t="s">
        <v>43</v>
      </c>
      <c r="C224" t="s">
        <v>29</v>
      </c>
      <c r="D224" t="s">
        <v>864</v>
      </c>
      <c r="E224" t="s">
        <v>865</v>
      </c>
      <c r="F224" t="s">
        <v>12</v>
      </c>
      <c r="G224" t="s">
        <v>866</v>
      </c>
      <c r="H224" t="s">
        <v>867</v>
      </c>
      <c r="I224" t="s">
        <v>30</v>
      </c>
      <c r="J224">
        <v>14</v>
      </c>
      <c r="K224">
        <v>1</v>
      </c>
      <c r="L224" s="2">
        <v>0.04</v>
      </c>
      <c r="M224">
        <v>0.1</v>
      </c>
      <c r="N224" s="2">
        <v>5.6000000000000006E-4</v>
      </c>
      <c r="O224" s="2">
        <v>1.4000000000000002E-3</v>
      </c>
    </row>
    <row r="225" spans="2:15">
      <c r="B225" t="s">
        <v>43</v>
      </c>
      <c r="C225" t="s">
        <v>29</v>
      </c>
      <c r="D225" t="s">
        <v>868</v>
      </c>
      <c r="E225" t="s">
        <v>869</v>
      </c>
      <c r="F225" t="s">
        <v>23</v>
      </c>
      <c r="G225" t="s">
        <v>870</v>
      </c>
      <c r="H225" t="s">
        <v>871</v>
      </c>
      <c r="I225" t="s">
        <v>33</v>
      </c>
      <c r="J225">
        <v>17816</v>
      </c>
      <c r="K225">
        <v>439</v>
      </c>
      <c r="L225" s="2">
        <v>0.6</v>
      </c>
      <c r="M225">
        <v>0.35</v>
      </c>
      <c r="N225" s="2">
        <v>10.6896</v>
      </c>
      <c r="O225" s="2">
        <v>6.2355999999999998</v>
      </c>
    </row>
    <row r="226" spans="2:15">
      <c r="B226" t="s">
        <v>43</v>
      </c>
      <c r="C226" t="s">
        <v>29</v>
      </c>
      <c r="D226" t="s">
        <v>872</v>
      </c>
      <c r="E226" t="s">
        <v>873</v>
      </c>
      <c r="F226" t="s">
        <v>23</v>
      </c>
      <c r="G226" t="s">
        <v>874</v>
      </c>
      <c r="H226" t="s">
        <v>875</v>
      </c>
      <c r="I226" t="s">
        <v>33</v>
      </c>
      <c r="J226">
        <v>9817</v>
      </c>
      <c r="K226">
        <v>210</v>
      </c>
      <c r="L226" s="2">
        <v>0.6</v>
      </c>
      <c r="M226">
        <v>0.35</v>
      </c>
      <c r="N226" s="2">
        <v>5.8902000000000001</v>
      </c>
      <c r="O226" s="2">
        <v>3.4359499999999996</v>
      </c>
    </row>
    <row r="227" spans="2:15">
      <c r="B227" t="s">
        <v>43</v>
      </c>
      <c r="C227" t="s">
        <v>29</v>
      </c>
      <c r="D227" t="s">
        <v>876</v>
      </c>
      <c r="E227" t="s">
        <v>877</v>
      </c>
      <c r="F227" t="s">
        <v>23</v>
      </c>
      <c r="G227" t="s">
        <v>878</v>
      </c>
      <c r="H227" t="s">
        <v>879</v>
      </c>
      <c r="I227" t="s">
        <v>33</v>
      </c>
      <c r="J227">
        <v>8257</v>
      </c>
      <c r="K227">
        <v>216</v>
      </c>
      <c r="L227" s="2">
        <v>0.6</v>
      </c>
      <c r="M227">
        <v>0.35</v>
      </c>
      <c r="N227" s="2">
        <v>4.9542000000000002</v>
      </c>
      <c r="O227" s="2">
        <v>2.8899499999999998</v>
      </c>
    </row>
    <row r="228" spans="2:15">
      <c r="B228" t="s">
        <v>48</v>
      </c>
      <c r="C228" t="s">
        <v>31</v>
      </c>
      <c r="D228" t="s">
        <v>103</v>
      </c>
      <c r="E228" t="s">
        <v>104</v>
      </c>
      <c r="F228" t="s">
        <v>12</v>
      </c>
      <c r="G228" t="s">
        <v>105</v>
      </c>
      <c r="H228" t="s">
        <v>106</v>
      </c>
      <c r="I228" t="s">
        <v>24</v>
      </c>
      <c r="J228">
        <v>68</v>
      </c>
      <c r="K228">
        <v>1</v>
      </c>
      <c r="L228" s="2">
        <v>0.04</v>
      </c>
      <c r="M228">
        <v>0.1</v>
      </c>
      <c r="N228" s="2">
        <v>2.7200000000000002E-3</v>
      </c>
      <c r="O228" s="2">
        <v>6.8000000000000005E-3</v>
      </c>
    </row>
    <row r="229" spans="2:15">
      <c r="B229" t="s">
        <v>48</v>
      </c>
      <c r="C229" t="s">
        <v>28</v>
      </c>
      <c r="D229" t="s">
        <v>49</v>
      </c>
      <c r="E229" t="s">
        <v>50</v>
      </c>
      <c r="F229" t="s">
        <v>12</v>
      </c>
      <c r="G229" t="s">
        <v>37</v>
      </c>
      <c r="H229" t="s">
        <v>65</v>
      </c>
      <c r="I229" t="s">
        <v>30</v>
      </c>
      <c r="J229">
        <v>2</v>
      </c>
      <c r="K229">
        <v>0</v>
      </c>
      <c r="L229" s="2">
        <v>0.04</v>
      </c>
      <c r="M229">
        <v>0.1</v>
      </c>
      <c r="N229" s="2">
        <v>8.0000000000000007E-5</v>
      </c>
      <c r="O229" s="2">
        <v>2.0000000000000001E-4</v>
      </c>
    </row>
    <row r="230" spans="2:15">
      <c r="B230" t="s">
        <v>48</v>
      </c>
      <c r="C230" t="s">
        <v>28</v>
      </c>
      <c r="D230" t="s">
        <v>51</v>
      </c>
      <c r="E230" t="s">
        <v>52</v>
      </c>
      <c r="F230" t="s">
        <v>12</v>
      </c>
      <c r="G230" t="s">
        <v>53</v>
      </c>
      <c r="H230" t="s">
        <v>108</v>
      </c>
      <c r="I230" t="s">
        <v>30</v>
      </c>
      <c r="J230">
        <v>10</v>
      </c>
      <c r="K230">
        <v>0</v>
      </c>
      <c r="L230" s="2">
        <v>0.04</v>
      </c>
      <c r="M230">
        <v>0.1</v>
      </c>
      <c r="N230" s="2">
        <v>4.0000000000000002E-4</v>
      </c>
      <c r="O230" s="2">
        <v>1E-3</v>
      </c>
    </row>
    <row r="231" spans="2:15">
      <c r="B231" t="s">
        <v>48</v>
      </c>
      <c r="C231" t="s">
        <v>28</v>
      </c>
      <c r="D231" t="s">
        <v>51</v>
      </c>
      <c r="E231" t="s">
        <v>52</v>
      </c>
      <c r="F231" t="s">
        <v>12</v>
      </c>
      <c r="G231" t="s">
        <v>54</v>
      </c>
      <c r="H231" t="s">
        <v>55</v>
      </c>
      <c r="I231" t="s">
        <v>30</v>
      </c>
      <c r="J231">
        <v>4</v>
      </c>
      <c r="K231">
        <v>0</v>
      </c>
      <c r="L231" s="2">
        <v>0.04</v>
      </c>
      <c r="M231">
        <v>0.1</v>
      </c>
      <c r="N231" s="2">
        <v>1.6000000000000001E-4</v>
      </c>
      <c r="O231" s="2">
        <v>4.0000000000000002E-4</v>
      </c>
    </row>
    <row r="232" spans="2:15">
      <c r="B232" t="s">
        <v>48</v>
      </c>
      <c r="C232" t="s">
        <v>28</v>
      </c>
      <c r="D232" t="s">
        <v>56</v>
      </c>
      <c r="E232" t="s">
        <v>57</v>
      </c>
      <c r="F232" t="s">
        <v>10</v>
      </c>
      <c r="G232" t="s">
        <v>58</v>
      </c>
      <c r="H232" t="s">
        <v>59</v>
      </c>
      <c r="I232" t="s">
        <v>24</v>
      </c>
      <c r="J232">
        <v>0</v>
      </c>
      <c r="K232">
        <v>4</v>
      </c>
      <c r="L232" s="2">
        <v>3.5000000000000001E-3</v>
      </c>
      <c r="M232">
        <v>2.5000000000000001E-2</v>
      </c>
      <c r="N232" s="2">
        <v>1.4E-2</v>
      </c>
      <c r="O232" s="2">
        <v>0.1</v>
      </c>
    </row>
    <row r="233" spans="2:15">
      <c r="B233" t="s">
        <v>48</v>
      </c>
      <c r="C233" t="s">
        <v>28</v>
      </c>
      <c r="D233" t="s">
        <v>60</v>
      </c>
      <c r="E233" t="s">
        <v>61</v>
      </c>
      <c r="F233" t="s">
        <v>10</v>
      </c>
      <c r="G233" t="s">
        <v>62</v>
      </c>
      <c r="H233" t="s">
        <v>63</v>
      </c>
      <c r="I233" t="s">
        <v>24</v>
      </c>
      <c r="J233">
        <v>0</v>
      </c>
      <c r="K233">
        <v>1</v>
      </c>
      <c r="L233" s="2">
        <v>3.5000000000000001E-3</v>
      </c>
      <c r="M233">
        <v>2.5000000000000001E-2</v>
      </c>
      <c r="N233" s="2">
        <v>3.5000000000000001E-3</v>
      </c>
      <c r="O233" s="2">
        <v>2.5000000000000001E-2</v>
      </c>
    </row>
    <row r="234" spans="2:15">
      <c r="B234" t="s">
        <v>48</v>
      </c>
      <c r="C234" t="s">
        <v>28</v>
      </c>
      <c r="D234" t="s">
        <v>66</v>
      </c>
      <c r="E234" t="s">
        <v>67</v>
      </c>
      <c r="F234" t="s">
        <v>10</v>
      </c>
      <c r="G234" t="s">
        <v>68</v>
      </c>
      <c r="H234" t="s">
        <v>69</v>
      </c>
      <c r="I234" t="s">
        <v>24</v>
      </c>
      <c r="J234">
        <v>1</v>
      </c>
      <c r="K234">
        <v>1</v>
      </c>
      <c r="L234" s="2">
        <v>3.5000000000000001E-3</v>
      </c>
      <c r="M234">
        <v>2.5000000000000001E-2</v>
      </c>
      <c r="N234" s="2">
        <v>3.5000000000000001E-3</v>
      </c>
      <c r="O234" s="2">
        <v>2.5000000000000001E-2</v>
      </c>
    </row>
    <row r="235" spans="2:15">
      <c r="B235" t="s">
        <v>70</v>
      </c>
      <c r="C235" t="s">
        <v>28</v>
      </c>
      <c r="D235" t="s">
        <v>71</v>
      </c>
      <c r="E235" t="s">
        <v>72</v>
      </c>
      <c r="F235" t="s">
        <v>12</v>
      </c>
      <c r="G235" t="s">
        <v>73</v>
      </c>
      <c r="H235" t="s">
        <v>74</v>
      </c>
      <c r="I235" t="s">
        <v>30</v>
      </c>
      <c r="J235">
        <v>2</v>
      </c>
      <c r="K235">
        <v>0</v>
      </c>
      <c r="L235" s="2">
        <v>0.04</v>
      </c>
      <c r="M235">
        <v>0.1</v>
      </c>
      <c r="N235" s="2">
        <v>8.0000000000000007E-5</v>
      </c>
      <c r="O235" s="2">
        <v>2.0000000000000001E-4</v>
      </c>
    </row>
    <row r="236" spans="2:15">
      <c r="B236" t="s">
        <v>70</v>
      </c>
      <c r="C236" t="s">
        <v>28</v>
      </c>
      <c r="D236" t="s">
        <v>75</v>
      </c>
      <c r="E236" t="s">
        <v>76</v>
      </c>
      <c r="F236" t="s">
        <v>12</v>
      </c>
      <c r="G236" t="s">
        <v>77</v>
      </c>
      <c r="H236" t="s">
        <v>78</v>
      </c>
      <c r="I236" t="s">
        <v>24</v>
      </c>
      <c r="J236">
        <v>1</v>
      </c>
      <c r="K236">
        <v>0</v>
      </c>
      <c r="L236" s="2">
        <v>0.04</v>
      </c>
      <c r="M236">
        <v>0.1</v>
      </c>
      <c r="N236" s="2">
        <v>4.0000000000000003E-5</v>
      </c>
      <c r="O236" s="2">
        <v>1E-4</v>
      </c>
    </row>
    <row r="237" spans="2:15">
      <c r="B237" t="s">
        <v>109</v>
      </c>
      <c r="C237" t="s">
        <v>31</v>
      </c>
      <c r="D237" t="s">
        <v>880</v>
      </c>
      <c r="E237" t="s">
        <v>881</v>
      </c>
      <c r="F237" t="s">
        <v>12</v>
      </c>
      <c r="G237" t="s">
        <v>882</v>
      </c>
      <c r="H237" t="s">
        <v>883</v>
      </c>
      <c r="I237" t="s">
        <v>30</v>
      </c>
      <c r="J237">
        <v>1</v>
      </c>
      <c r="K237">
        <v>0</v>
      </c>
      <c r="L237" s="2">
        <v>0.04</v>
      </c>
      <c r="M237">
        <v>0.1</v>
      </c>
      <c r="N237" s="2">
        <v>4.0000000000000003E-5</v>
      </c>
      <c r="O237" s="2">
        <v>1E-4</v>
      </c>
    </row>
    <row r="238" spans="2:15">
      <c r="B238" t="s">
        <v>109</v>
      </c>
      <c r="C238" t="s">
        <v>31</v>
      </c>
      <c r="D238" t="s">
        <v>884</v>
      </c>
      <c r="E238" t="s">
        <v>885</v>
      </c>
      <c r="F238" t="s">
        <v>12</v>
      </c>
      <c r="G238" t="s">
        <v>886</v>
      </c>
      <c r="H238" t="s">
        <v>887</v>
      </c>
      <c r="I238" t="s">
        <v>30</v>
      </c>
      <c r="J238">
        <v>1</v>
      </c>
      <c r="K238">
        <v>0</v>
      </c>
      <c r="L238" s="2">
        <v>0.04</v>
      </c>
      <c r="M238">
        <v>0.1</v>
      </c>
      <c r="N238" s="2">
        <v>4.0000000000000003E-5</v>
      </c>
      <c r="O238" s="2">
        <v>1E-4</v>
      </c>
    </row>
    <row r="239" spans="2:15">
      <c r="B239" t="s">
        <v>109</v>
      </c>
      <c r="C239" t="s">
        <v>31</v>
      </c>
      <c r="D239" t="s">
        <v>888</v>
      </c>
      <c r="E239" t="s">
        <v>889</v>
      </c>
      <c r="F239" t="s">
        <v>12</v>
      </c>
      <c r="G239" t="s">
        <v>890</v>
      </c>
      <c r="H239" t="s">
        <v>891</v>
      </c>
      <c r="I239" t="s">
        <v>30</v>
      </c>
      <c r="J239">
        <v>1</v>
      </c>
      <c r="K239">
        <v>0</v>
      </c>
      <c r="L239" s="2">
        <v>0.04</v>
      </c>
      <c r="M239">
        <v>0.1</v>
      </c>
      <c r="N239" s="2">
        <v>4.0000000000000003E-5</v>
      </c>
      <c r="O239" s="2">
        <v>1E-4</v>
      </c>
    </row>
    <row r="240" spans="2:15">
      <c r="B240" t="s">
        <v>109</v>
      </c>
      <c r="C240" t="s">
        <v>31</v>
      </c>
      <c r="D240" t="s">
        <v>892</v>
      </c>
      <c r="E240" t="s">
        <v>893</v>
      </c>
      <c r="F240" t="s">
        <v>12</v>
      </c>
      <c r="G240" t="s">
        <v>894</v>
      </c>
      <c r="H240" t="s">
        <v>895</v>
      </c>
      <c r="I240" t="s">
        <v>30</v>
      </c>
      <c r="J240">
        <v>1</v>
      </c>
      <c r="K240">
        <v>0</v>
      </c>
      <c r="L240" s="2">
        <v>0.04</v>
      </c>
      <c r="M240">
        <v>0.1</v>
      </c>
      <c r="N240" s="2">
        <v>4.0000000000000003E-5</v>
      </c>
      <c r="O240" s="2">
        <v>1E-4</v>
      </c>
    </row>
    <row r="241" spans="2:15">
      <c r="B241" t="s">
        <v>109</v>
      </c>
      <c r="C241" t="s">
        <v>31</v>
      </c>
      <c r="D241" t="s">
        <v>896</v>
      </c>
      <c r="E241" t="s">
        <v>897</v>
      </c>
      <c r="F241" t="s">
        <v>12</v>
      </c>
      <c r="G241" t="s">
        <v>898</v>
      </c>
      <c r="H241" t="s">
        <v>899</v>
      </c>
      <c r="I241" t="s">
        <v>30</v>
      </c>
      <c r="J241">
        <v>1</v>
      </c>
      <c r="K241">
        <v>0</v>
      </c>
      <c r="L241" s="2">
        <v>0.04</v>
      </c>
      <c r="M241">
        <v>0.1</v>
      </c>
      <c r="N241" s="2">
        <v>4.0000000000000003E-5</v>
      </c>
      <c r="O241" s="2">
        <v>1E-4</v>
      </c>
    </row>
    <row r="242" spans="2:15">
      <c r="B242" t="s">
        <v>109</v>
      </c>
      <c r="C242" t="s">
        <v>110</v>
      </c>
      <c r="D242" t="s">
        <v>900</v>
      </c>
      <c r="E242" t="s">
        <v>901</v>
      </c>
      <c r="F242" t="s">
        <v>10</v>
      </c>
      <c r="G242" t="s">
        <v>902</v>
      </c>
      <c r="H242" t="s">
        <v>903</v>
      </c>
      <c r="I242" t="s">
        <v>24</v>
      </c>
      <c r="J242">
        <v>0</v>
      </c>
      <c r="K242">
        <v>173866</v>
      </c>
      <c r="L242" s="2">
        <v>3.5000000000000001E-3</v>
      </c>
      <c r="M242">
        <v>2.5000000000000001E-2</v>
      </c>
      <c r="N242" s="2">
        <v>608.53100000000006</v>
      </c>
      <c r="O242" s="2">
        <v>4346.6500000000005</v>
      </c>
    </row>
    <row r="243" spans="2:15">
      <c r="B243" t="s">
        <v>109</v>
      </c>
      <c r="C243" t="s">
        <v>110</v>
      </c>
      <c r="D243" t="s">
        <v>904</v>
      </c>
      <c r="E243" t="s">
        <v>905</v>
      </c>
      <c r="F243" t="s">
        <v>10</v>
      </c>
      <c r="G243" t="s">
        <v>906</v>
      </c>
      <c r="H243" t="s">
        <v>907</v>
      </c>
      <c r="I243" t="s">
        <v>24</v>
      </c>
      <c r="J243">
        <v>0</v>
      </c>
      <c r="K243">
        <v>1</v>
      </c>
      <c r="L243" s="2">
        <v>3.5000000000000001E-3</v>
      </c>
      <c r="M243">
        <v>2.5000000000000001E-2</v>
      </c>
      <c r="N243" s="2">
        <v>3.5000000000000001E-3</v>
      </c>
      <c r="O243" s="2">
        <v>2.5000000000000001E-2</v>
      </c>
    </row>
    <row r="244" spans="2:15">
      <c r="B244" t="s">
        <v>109</v>
      </c>
      <c r="C244" t="s">
        <v>110</v>
      </c>
      <c r="D244" t="s">
        <v>908</v>
      </c>
      <c r="E244" t="s">
        <v>909</v>
      </c>
      <c r="F244" t="s">
        <v>10</v>
      </c>
      <c r="G244" t="s">
        <v>910</v>
      </c>
      <c r="H244" t="s">
        <v>911</v>
      </c>
      <c r="I244" t="s">
        <v>24</v>
      </c>
      <c r="J244">
        <v>0</v>
      </c>
      <c r="K244">
        <v>1</v>
      </c>
      <c r="L244" s="2">
        <v>3.5000000000000001E-3</v>
      </c>
      <c r="M244">
        <v>2.5000000000000001E-2</v>
      </c>
      <c r="N244" s="2">
        <v>3.5000000000000001E-3</v>
      </c>
      <c r="O244" s="2">
        <v>2.5000000000000001E-2</v>
      </c>
    </row>
    <row r="245" spans="2:15">
      <c r="B245" t="s">
        <v>109</v>
      </c>
      <c r="C245" t="s">
        <v>110</v>
      </c>
      <c r="D245" t="s">
        <v>912</v>
      </c>
      <c r="E245" t="s">
        <v>913</v>
      </c>
      <c r="F245" t="s">
        <v>10</v>
      </c>
      <c r="G245" t="s">
        <v>914</v>
      </c>
      <c r="H245" t="s">
        <v>915</v>
      </c>
      <c r="I245" t="s">
        <v>24</v>
      </c>
      <c r="J245">
        <v>0</v>
      </c>
      <c r="K245">
        <v>1</v>
      </c>
      <c r="L245" s="2">
        <v>3.5000000000000001E-3</v>
      </c>
      <c r="M245">
        <v>2.5000000000000001E-2</v>
      </c>
      <c r="N245" s="2">
        <v>3.5000000000000001E-3</v>
      </c>
      <c r="O245" s="2">
        <v>2.5000000000000001E-2</v>
      </c>
    </row>
    <row r="246" spans="2:15">
      <c r="B246" t="s">
        <v>109</v>
      </c>
      <c r="C246" t="s">
        <v>110</v>
      </c>
      <c r="D246" t="s">
        <v>111</v>
      </c>
      <c r="E246" t="s">
        <v>916</v>
      </c>
      <c r="F246" t="s">
        <v>10</v>
      </c>
      <c r="G246" t="s">
        <v>112</v>
      </c>
      <c r="H246" t="s">
        <v>917</v>
      </c>
      <c r="I246" t="s">
        <v>24</v>
      </c>
      <c r="J246">
        <v>0</v>
      </c>
      <c r="K246">
        <v>1</v>
      </c>
      <c r="L246" s="2">
        <v>3.5000000000000001E-3</v>
      </c>
      <c r="M246">
        <v>2.5000000000000001E-2</v>
      </c>
      <c r="N246" s="2">
        <v>3.5000000000000001E-3</v>
      </c>
      <c r="O246" s="2">
        <v>2.5000000000000001E-2</v>
      </c>
    </row>
    <row r="247" spans="2:15">
      <c r="B247" t="s">
        <v>109</v>
      </c>
      <c r="C247" t="s">
        <v>110</v>
      </c>
      <c r="D247" t="s">
        <v>113</v>
      </c>
      <c r="E247" t="s">
        <v>114</v>
      </c>
      <c r="F247" t="s">
        <v>10</v>
      </c>
      <c r="G247" t="s">
        <v>115</v>
      </c>
      <c r="H247" t="s">
        <v>116</v>
      </c>
      <c r="I247" t="s">
        <v>24</v>
      </c>
      <c r="J247">
        <v>0</v>
      </c>
      <c r="K247">
        <v>1</v>
      </c>
      <c r="L247" s="2">
        <v>3.5000000000000001E-3</v>
      </c>
      <c r="M247">
        <v>2.5000000000000001E-2</v>
      </c>
      <c r="N247" s="2">
        <v>3.5000000000000001E-3</v>
      </c>
      <c r="O247" s="2">
        <v>2.5000000000000001E-2</v>
      </c>
    </row>
    <row r="248" spans="2:15">
      <c r="B248" t="s">
        <v>36</v>
      </c>
      <c r="C248" t="s">
        <v>28</v>
      </c>
      <c r="D248" t="s">
        <v>38</v>
      </c>
      <c r="E248" t="s">
        <v>39</v>
      </c>
      <c r="F248" t="s">
        <v>10</v>
      </c>
      <c r="G248" t="s">
        <v>40</v>
      </c>
      <c r="H248" t="s">
        <v>41</v>
      </c>
      <c r="I248" t="s">
        <v>24</v>
      </c>
      <c r="J248">
        <v>1</v>
      </c>
      <c r="K248">
        <v>1</v>
      </c>
      <c r="L248" s="2">
        <v>3.5000000000000001E-3</v>
      </c>
      <c r="M248">
        <v>2.5000000000000001E-2</v>
      </c>
      <c r="N248" s="2">
        <v>3.5000000000000001E-3</v>
      </c>
      <c r="O248" s="2">
        <v>2.5000000000000001E-2</v>
      </c>
    </row>
    <row r="249" spans="2:15">
      <c r="L249" s="2"/>
      <c r="N249" s="2"/>
      <c r="O249" s="2"/>
    </row>
    <row r="250" spans="2:15">
      <c r="L250" s="2"/>
      <c r="N250" s="2"/>
      <c r="O250" s="2"/>
    </row>
    <row r="251" spans="2:15">
      <c r="L251" s="2"/>
      <c r="N251" s="2"/>
      <c r="O251" s="2"/>
    </row>
    <row r="252" spans="2:15">
      <c r="L252" s="2"/>
      <c r="N252" s="2"/>
      <c r="O252" s="2"/>
    </row>
    <row r="253" spans="2:15">
      <c r="L253" s="2"/>
      <c r="N253" s="2"/>
      <c r="O253" s="2"/>
    </row>
    <row r="254" spans="2:15">
      <c r="L254" s="2"/>
      <c r="N254" s="2"/>
      <c r="O254" s="2"/>
    </row>
    <row r="255" spans="2:15">
      <c r="L255" s="2"/>
      <c r="N255" s="2"/>
      <c r="O255" s="2"/>
    </row>
    <row r="256" spans="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1:15">
      <c r="L1041" s="2"/>
      <c r="N1041" s="2"/>
      <c r="O1041" s="2"/>
    </row>
    <row r="1042" spans="11:15">
      <c r="L1042" s="2"/>
      <c r="N1042" s="2"/>
      <c r="O1042" s="2"/>
    </row>
    <row r="1043" spans="11:15">
      <c r="L1043" s="2"/>
      <c r="N1043" s="2"/>
      <c r="O1043" s="2"/>
    </row>
    <row r="1044" spans="11:15">
      <c r="L1044" s="2"/>
      <c r="N1044" s="2"/>
      <c r="O1044" s="2"/>
    </row>
    <row r="1045" spans="11:15">
      <c r="L1045" s="2"/>
      <c r="N1045" s="2"/>
      <c r="O1045" s="2"/>
    </row>
    <row r="1046" spans="11:15">
      <c r="L1046" s="2"/>
      <c r="N1046" s="2"/>
      <c r="O1046" s="2"/>
    </row>
    <row r="1047" spans="11:15">
      <c r="L1047" s="2"/>
      <c r="N1047" s="2"/>
      <c r="O1047" s="2"/>
    </row>
    <row r="1048" spans="11:15">
      <c r="L1048" s="2"/>
      <c r="N1048" s="2"/>
      <c r="O1048" s="2"/>
    </row>
    <row r="1049" spans="11:15">
      <c r="L1049" s="2"/>
      <c r="N1049" s="2"/>
      <c r="O1049" s="2"/>
    </row>
    <row r="1050" spans="11:15">
      <c r="L1050" s="2"/>
      <c r="N1050" s="2"/>
      <c r="O1050" s="2"/>
    </row>
    <row r="1051" spans="11:15">
      <c r="L1051" s="2"/>
      <c r="N1051" s="2"/>
      <c r="O1051" s="2"/>
    </row>
    <row r="1052" spans="11:15">
      <c r="L1052" s="2"/>
      <c r="N1052" s="2"/>
      <c r="O1052" s="2"/>
    </row>
    <row r="1053" spans="11:15">
      <c r="L1053" s="2"/>
      <c r="N1053" s="2"/>
      <c r="O1053" s="2"/>
    </row>
    <row r="1054" spans="11:15">
      <c r="L1054" s="2"/>
      <c r="N1054" s="2"/>
      <c r="O1054" s="2"/>
    </row>
    <row r="1055" spans="11:15">
      <c r="K1055" s="3"/>
      <c r="L1055" s="2"/>
      <c r="N1055" s="2"/>
      <c r="O1055" s="2"/>
    </row>
    <row r="1056" spans="11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</sheetData>
  <autoFilter ref="A18:P1052" xr:uid="{B50400E9-2726-47BD-BE2B-D03565512DBA}"/>
  <conditionalFormatting sqref="D18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9A3F-EA73-470B-8F3D-FF748C595DC7}">
  <dimension ref="A3:C18"/>
  <sheetViews>
    <sheetView workbookViewId="0">
      <selection activeCell="B3" sqref="B3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18" t="s">
        <v>918</v>
      </c>
      <c r="B3" t="s">
        <v>920</v>
      </c>
      <c r="C3" t="s">
        <v>921</v>
      </c>
    </row>
    <row r="4" spans="1:3">
      <c r="A4" s="19" t="s">
        <v>36</v>
      </c>
      <c r="B4" s="20">
        <v>3.5000000000000001E-3</v>
      </c>
      <c r="C4" s="20">
        <v>2.5000000000000001E-2</v>
      </c>
    </row>
    <row r="5" spans="1:3">
      <c r="A5" s="19" t="s">
        <v>117</v>
      </c>
      <c r="B5" s="20">
        <v>872.59984000000009</v>
      </c>
      <c r="C5" s="20">
        <v>2181.5320999999994</v>
      </c>
    </row>
    <row r="6" spans="1:3">
      <c r="A6" s="19" t="s">
        <v>466</v>
      </c>
      <c r="B6" s="20">
        <v>4.6794200000000004</v>
      </c>
      <c r="C6" s="20">
        <v>11.974800000000002</v>
      </c>
    </row>
    <row r="7" spans="1:3">
      <c r="A7" s="19" t="s">
        <v>479</v>
      </c>
      <c r="B7" s="20">
        <v>33.567279999999997</v>
      </c>
      <c r="C7" s="20">
        <v>83.918200000000013</v>
      </c>
    </row>
    <row r="8" spans="1:3">
      <c r="A8" s="19" t="s">
        <v>500</v>
      </c>
      <c r="B8" s="20">
        <v>333.76519999999999</v>
      </c>
      <c r="C8" s="20">
        <v>2384.0129999999999</v>
      </c>
    </row>
    <row r="9" spans="1:3">
      <c r="A9" s="19" t="s">
        <v>537</v>
      </c>
      <c r="B9" s="20">
        <v>13752.432959999998</v>
      </c>
      <c r="C9" s="20">
        <v>4639.5857500000002</v>
      </c>
    </row>
    <row r="10" spans="1:3">
      <c r="A10" s="19" t="s">
        <v>42</v>
      </c>
      <c r="B10" s="20">
        <v>3.5800000000000003E-3</v>
      </c>
      <c r="C10" s="20">
        <v>2.52E-2</v>
      </c>
    </row>
    <row r="11" spans="1:3">
      <c r="A11" s="19" t="s">
        <v>607</v>
      </c>
      <c r="B11" s="20">
        <v>192.37072000000006</v>
      </c>
      <c r="C11" s="20">
        <v>480.92679999999996</v>
      </c>
    </row>
    <row r="12" spans="1:3">
      <c r="A12" s="19" t="s">
        <v>759</v>
      </c>
      <c r="B12" s="20">
        <v>3.5000000000000001E-3</v>
      </c>
      <c r="C12" s="20">
        <v>2.5000000000000001E-2</v>
      </c>
    </row>
    <row r="13" spans="1:3">
      <c r="A13" s="19" t="s">
        <v>79</v>
      </c>
      <c r="B13" s="20">
        <v>1211.9695999999999</v>
      </c>
      <c r="C13" s="20">
        <v>1341.5608999999999</v>
      </c>
    </row>
    <row r="14" spans="1:3">
      <c r="A14" s="19" t="s">
        <v>43</v>
      </c>
      <c r="B14" s="20">
        <v>83.851059999999976</v>
      </c>
      <c r="C14" s="20">
        <v>168.37039999999996</v>
      </c>
    </row>
    <row r="15" spans="1:3">
      <c r="A15" s="19" t="s">
        <v>48</v>
      </c>
      <c r="B15" s="20">
        <v>2.436E-2</v>
      </c>
      <c r="C15" s="20">
        <v>0.15840000000000001</v>
      </c>
    </row>
    <row r="16" spans="1:3">
      <c r="A16" s="19" t="s">
        <v>70</v>
      </c>
      <c r="B16" s="20">
        <v>1.2000000000000002E-4</v>
      </c>
      <c r="C16" s="20">
        <v>3.0000000000000003E-4</v>
      </c>
    </row>
    <row r="17" spans="1:3">
      <c r="A17" s="19" t="s">
        <v>109</v>
      </c>
      <c r="B17" s="20">
        <v>608.54870000000017</v>
      </c>
      <c r="C17" s="20">
        <v>4346.7754999999988</v>
      </c>
    </row>
    <row r="18" spans="1:3">
      <c r="A18" s="19" t="s">
        <v>919</v>
      </c>
      <c r="B18" s="20">
        <v>17093.81984</v>
      </c>
      <c r="C18" s="20">
        <v>15638.891349999998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Resumo</vt:lpstr>
      <vt:lpstr>Custo por Campanha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2020-12-07T13:55:02Z</dcterms:modified>
</cp:coreProperties>
</file>