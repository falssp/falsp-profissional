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D93B4032-9DF7-4632-8F75-9916380EA34A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Custo por Campanha" sheetId="18" r:id="rId2"/>
  </sheets>
  <definedNames>
    <definedName name="_xlnm._FilterDatabase" localSheetId="0" hidden="1">Resumo!$A$18:$P$1053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<sst xmlns="http://schemas.openxmlformats.org/spreadsheetml/2006/main" count="1162" uniqueCount="552">
  <si>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</si>
  <si>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</si>
  <si>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</si>
  <si>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</si>
  <si>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</si>
  <si>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</si>
  <si>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</si>
  <si>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</si>
  <si>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</si>
  <si>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</si>
  <si>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</si>
  <si>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</si>
  <si>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</si>
  <si>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</si>
  <si>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</si>
  <si>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</si>
  <si>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</si>
  <si>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</si>
  <si>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</si>
  <si>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</si>
  <si>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</si>
  <si>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</si>
  <si>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</si>
  <si>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</si>
  <si>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</si>
  <si>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</si>
  <si>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</si>
  <si>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</si>
  <si>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</si>
  <si>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</si>
  <si>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</si>
  <si>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</si>
  <si>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</si>
  <si>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</si>
  <si>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alp-cnn-varejo-awa</t>
  </si>
  <si>
    <t>CNN BR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</si>
  <si>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</si>
  <si>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</si>
  <si>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</si>
  <si>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</si>
  <si>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</si>
  <si>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</si>
  <si>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</si>
  <si>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</si>
  <si>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</si>
  <si>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alp-nova_cielo-empreendedores-cons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</si>
  <si>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</si>
  <si>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</si>
  <si>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</si>
  <si>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</si>
  <si>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</si>
  <si>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</si>
  <si>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</si>
  <si>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</si>
  <si>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</si>
  <si>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</si>
  <si>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</si>
  <si>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</si>
  <si>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</si>
  <si>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</si>
  <si>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</si>
  <si>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</si>
  <si>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</si>
  <si>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</si>
  <si>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</si>
  <si>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</si>
  <si>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</si>
  <si>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</si>
  <si>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</si>
  <si>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</si>
  <si>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</si>
  <si>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</si>
  <si>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</si>
  <si>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</si>
  <si>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</si>
  <si>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</si>
  <si>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</si>
  <si>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</si>
  <si>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</si>
  <si>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</si>
  <si>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</si>
  <si>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</si>
  <si>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</si>
  <si>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</si>
  <si>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</si>
  <si>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</si>
  <si>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</si>
  <si>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</si>
  <si>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</si>
  <si>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</si>
  <si>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</si>
  <si>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</si>
  <si>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</si>
  <si>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</si>
  <si>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</si>
  <si>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</si>
  <si>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</si>
  <si>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</si>
  <si>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</si>
  <si>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</si>
  <si>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</si>
  <si>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</si>
  <si>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</si>
  <si>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</si>
  <si>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</si>
  <si>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</si>
  <si>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</si>
  <si>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</si>
  <si>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</si>
  <si>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</si>
  <si>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</si>
  <si>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</si>
  <si>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</si>
  <si>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</si>
  <si>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</si>
  <si>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</si>
  <si>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</si>
  <si>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</si>
  <si>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</si>
  <si>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</si>
  <si>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</si>
  <si>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</si>
  <si>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</si>
  <si>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</si>
  <si>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</si>
  <si>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</si>
  <si>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cnn-varejo-cnn-marca-display-arroba_banner-cnn_cielo_auxilioemergencial_diaria3107-as_25</t>
  </si>
  <si>
    <t>278869618</t>
  </si>
  <si>
    <t>varejo-cnn-marca-display-arroba_banner-300x250-cnn_cielo_auxilioemergencial_diaria3107-as_25-cpm</t>
  </si>
  <si>
    <t>472930863</t>
  </si>
  <si>
    <t>cnn-varejo-cnn-marca-display-leaderboard-cnn_cielo_auxilioemergencial_diaria3107-as_25</t>
  </si>
  <si>
    <t>278897643</t>
  </si>
  <si>
    <t>varejo-cnn-marca-display-leaderboard-728x90-cnn_cielo_auxilioemergencial_diaria3107-as_25-cpm</t>
  </si>
  <si>
    <t>472866707</t>
  </si>
  <si>
    <t>cnn-varejo-cnn-marca-display-mobile-cnn_cielo_auxilioemergencial_diaria3107-as_25</t>
  </si>
  <si>
    <t>278870200</t>
  </si>
  <si>
    <t>varejo-cnn-marca-display-mobile-320x50-cnn_cielo_auxilioemergencial_diaria3107-as_25-cpm</t>
  </si>
  <si>
    <t>472932456</t>
  </si>
  <si>
    <t>empreendedores-empreendedores-dv360-flash-display-halfpage-empreendedores_flash_animada_bau-3rdparty_list_micro_empreendedor_individual_tailtarget_e_mei_retargetly</t>
  </si>
  <si>
    <t>278044468</t>
  </si>
  <si>
    <t>empreendedores-dv360-flash-display-halfpage-300x600-empreendedores_flash_animada_bau-3rdparty_list_micro_empreendedor_individual_tailtarget_e_mei_retargetly-cpm</t>
  </si>
  <si>
    <t>472151857</t>
  </si>
  <si>
    <t>empreendedores-empreendedores-dv360-flash-display-halfpage-empreendedores_flash_animada_bau-affinities_inmarket_empreendedores</t>
  </si>
  <si>
    <t>empreendedores-dv360-flash-display-halfpage-300x600-empreendedores_flash_animada_bau-affinities_inmarket_empreendedores-cpm</t>
  </si>
  <si>
    <t>277872206</t>
  </si>
  <si>
    <t>472323048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</si>
  <si>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</si>
  <si>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</si>
  <si>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</si>
  <si>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</si>
  <si>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</si>
  <si>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</si>
  <si>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</si>
  <si>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</si>
  <si>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</si>
  <si>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</si>
  <si>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</si>
  <si>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</si>
  <si>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empreendedores-empreendedores-dv360-flash-display-leaderboard-empreendedores_flash_animada_bau-3rdparty_list_micro_empreendedor_individual_tailtarget_e_mei_retargetly</t>
  </si>
  <si>
    <t>278044462</t>
  </si>
  <si>
    <t>empreendedores-dv360-flash-display-leaderboard-728x90-empreendedores_flash_animada_bau-3rdparty_list_micro_empreendedor_individual_tailtarget_e_mei_retargetly-cpm</t>
  </si>
  <si>
    <t>472151851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</si>
  <si>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</si>
  <si>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</si>
  <si>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</si>
  <si>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</si>
  <si>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empreendedores-empreendedores-dv360-flash-display-medium_rectangle-empreendedores_flash_animada_bau-3rdparty_list_micro_empreendedor_individual_tailtarget_e_mei_retargetly</t>
  </si>
  <si>
    <t>278044465</t>
  </si>
  <si>
    <t>empreendedores-dv360-flash-display-medium_rectangle-300x250-empreendedores_flash_animada_bau-3rdparty_list_micro_empreendedor_individual_tailtarget_e_mei_retargetly-cpm</t>
  </si>
  <si>
    <t>472151854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</si>
  <si>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</si>
  <si>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</si>
  <si>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</si>
  <si>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</si>
  <si>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</si>
  <si>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</si>
  <si>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</si>
  <si>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</si>
  <si>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</si>
  <si>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</si>
  <si>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</si>
  <si>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</si>
  <si>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</si>
  <si>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</si>
  <si>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</si>
  <si>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</si>
  <si>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278068141</t>
  </si>
  <si>
    <t>472261686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</si>
  <si>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</si>
  <si>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</si>
  <si>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</si>
  <si>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</si>
  <si>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278068138</t>
  </si>
  <si>
    <t>472261683</t>
  </si>
  <si>
    <t>empreendedores-empreendedores-dv360-lio+-display-halfpage-empreendedores_lio_mais-affinities_inmarket_empreendedores</t>
  </si>
  <si>
    <t>277154772</t>
  </si>
  <si>
    <t>empreendedores-dv360-lio+-display-halfpage-300x600-empreendedores_lio_mais-affinities_inmarket_empreendedores-cpm</t>
  </si>
  <si>
    <t>471313221</t>
  </si>
  <si>
    <t>277872239</t>
  </si>
  <si>
    <t>472325181</t>
  </si>
  <si>
    <t>empreendedores-empreendedores-dv360-lio+-display-large_mobile_banner-empreendedores_lio_mais-affinities_inmarket_empreendedores</t>
  </si>
  <si>
    <t>277154757</t>
  </si>
  <si>
    <t>empreendedores-dv360-lio+-display-large_mobile_banner-320x100-empreendedores_lio_mais-affinities_inmarket_empreendedores-cpm</t>
  </si>
  <si>
    <t>471313206</t>
  </si>
  <si>
    <t>277872209</t>
  </si>
  <si>
    <t>472323051</t>
  </si>
  <si>
    <t>empreendedores-empreendedores-dv360-lio+-display-large_rectangle-empreendedores_lio_mais-affinities_inmarket_empreendedores</t>
  </si>
  <si>
    <t>277154763</t>
  </si>
  <si>
    <t>empreendedores-dv360-lio+-display-large_rectangle-336x280-empreendedores_lio_mais-affinities_inmarket_empreendedores-cpm</t>
  </si>
  <si>
    <t>471313212</t>
  </si>
  <si>
    <t>277154778</t>
  </si>
  <si>
    <t>471313227</t>
  </si>
  <si>
    <t>277872221</t>
  </si>
  <si>
    <t>472323063</t>
  </si>
  <si>
    <t>empreendedores-empreendedores-dv360-lio+-display-leaderboard-empreendedores_lio_mais-affinities_inmarket_empreendedores</t>
  </si>
  <si>
    <t>empreendedores-dv360-lio+-display-leaderboard-728x90-empreendedores_lio_mais-affinities_inmarket_empreendedores-cpm</t>
  </si>
  <si>
    <t>277872227</t>
  </si>
  <si>
    <t>472323069</t>
  </si>
  <si>
    <t>empreendedores-empreendedores-dv360-lio+-display-medium_rectangle-empreendedores_lio_mais-affinities_inmarket_empreendedores</t>
  </si>
  <si>
    <t>277154775</t>
  </si>
  <si>
    <t>empreendedores-dv360-lio+-display-medium_rectangle-300x250-empreendedores_lio_mais-affinities_inmarket_empreendedores-cpm</t>
  </si>
  <si>
    <t>471313224</t>
  </si>
  <si>
    <t>277872245</t>
  </si>
  <si>
    <t>472325187</t>
  </si>
  <si>
    <t>empreendedores-empreendedores-dv360-lio+-display-mobile_leaderboard-empreendedores_lio_mais-affinities_inmarket_empreendedores</t>
  </si>
  <si>
    <t>277154769</t>
  </si>
  <si>
    <t>empreendedores-dv360-lio+-display-mobile_leaderboard-320x50-empreendedores_lio_mais-affinities_inmarket_empreendedores-cpm</t>
  </si>
  <si>
    <t>471313218</t>
  </si>
  <si>
    <t>277872233</t>
  </si>
  <si>
    <t>472323075</t>
  </si>
  <si>
    <t>empreendedores-empreendedores-dv360-lio+-display-small_rectangle-empreendedores_lio_mais-affinities_inmarket_empreendedores</t>
  </si>
  <si>
    <t>empreendedores-dv360-lio+-display-small_rectangle-180x150-empreendedores_lio_mais-affinities_inmarket_empreendedores-cpm</t>
  </si>
  <si>
    <t>277872215</t>
  </si>
  <si>
    <t>472323057</t>
  </si>
  <si>
    <t>empreendedores-empreendedores-dv360-lio+-display-wide_skyscraper-empreendedores_lio_mais-affinities_inmarket_empreendedores</t>
  </si>
  <si>
    <t>empreendedores-dv360-lio+-display-wide_skyscraper-160x600-empreendedores_lio_mais-affinities_inmarket_empreendedores-cpm</t>
  </si>
  <si>
    <t>277872251</t>
  </si>
  <si>
    <t>472325193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</si>
  <si>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</si>
  <si>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</si>
  <si>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</si>
  <si>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</si>
  <si>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</si>
  <si>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</si>
  <si>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</si>
  <si>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</si>
  <si>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</si>
  <si>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</si>
  <si>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</si>
  <si>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</si>
  <si>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</si>
  <si>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</si>
  <si>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</si>
  <si>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</si>
  <si>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</si>
  <si>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</si>
  <si>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</si>
  <si>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</si>
  <si>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</si>
  <si>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</si>
  <si>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</si>
  <si>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</si>
  <si>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</si>
  <si>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</si>
  <si>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</si>
  <si>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</si>
  <si>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</si>
  <si>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</si>
  <si>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</si>
  <si>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</si>
  <si>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empreendedores-empreendedores-dv360-zip-display-small_rectangle-empreendedores_zip_animada_bau-3rdparty_list_micro_empreendedor_individual_tailtarget_e_mei_retargetly</t>
  </si>
  <si>
    <t>278044474</t>
  </si>
  <si>
    <t>empreendedores-dv360-zip-display-small_rectangle-180x150-empreendedores_zip_animada_bau-3rdparty_list_micro_empreendedor_individual_tailtarget_e_mei_retargetly-cpm</t>
  </si>
  <si>
    <t>472151863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</si>
  <si>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</si>
  <si>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</si>
  <si>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</si>
  <si>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</si>
  <si>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empreendedores-empreendedores-dv360-zip-display-wide_skyscraper-empreendedores_zip_animada_bau-3rdparty_list_micro_empreendedor_individual_tailtarget_e_mei_retargetly</t>
  </si>
  <si>
    <t>278044471</t>
  </si>
  <si>
    <t>empreendedores-dv360-zip-display-wide_skyscraper-160x600-empreendedores_zip_animada_bau-3rdparty_list_micro_empreendedor_individual_tailtarget_e_mei_retargetly-cpm</t>
  </si>
  <si>
    <t>472151860</t>
  </si>
  <si>
    <t>empreendedores-empreendedores-dv360-zip-display-wide_skyscraper-empreendedores_zip_animada_bau-affinities_inmarket_empreendedores</t>
  </si>
  <si>
    <t>empreendedores-dv360-zip-display-wide_skyscraper-160x600-empreendedores_zip_animada_bau-affinities_inmarket_empreendedores-cpm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</si>
  <si>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</si>
  <si>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</si>
  <si>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</si>
  <si>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</si>
  <si>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empreendedores-empreendedores-verizon-flash-display-mobile_leaderboard-empreendedores_flash_animada_bau-pequeno_empreendedor_look-a-like_ e_predictive audience</t>
  </si>
  <si>
    <t>278044531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</si>
  <si>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</si>
  <si>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</si>
  <si>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</si>
  <si>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</si>
  <si>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</si>
  <si>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</si>
  <si>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</si>
  <si>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</si>
  <si>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</si>
  <si>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</si>
  <si>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</si>
  <si>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</si>
  <si>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</si>
  <si>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</si>
  <si>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</si>
  <si>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</si>
  <si>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</si>
  <si>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</si>
  <si>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</si>
  <si>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</si>
  <si>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</si>
  <si>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</si>
  <si>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empreendedores-empreendedores-verizon-zip-native-native-empreendedores_zip_native_bau-pequeno_empreendedor_look-a-like_ e_predictive audience</t>
  </si>
  <si>
    <t>278708886</t>
  </si>
  <si>
    <t>empreendedores-verizon-zip-native-native-627x627-empreendedores_zip_native_bau-pequeno_empreendedor_look-a-like_ e_predictive audience-cpm</t>
  </si>
  <si>
    <t>472713535</t>
  </si>
  <si>
    <t>pegn-marca-globo-marca-display-carrossel-pegn_cielo_baseig_novaversao-as_25_interesses</t>
  </si>
  <si>
    <t>277224998</t>
  </si>
  <si>
    <t>marca-globo-marca-display-carrossel-400x300-pegn_cielo_baseig_novaversao-as_25_interesses-cpm</t>
  </si>
  <si>
    <t>471607967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</si>
  <si>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</si>
  <si>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</si>
  <si>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</si>
  <si>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</si>
  <si>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pegn-marca-globo-marca-display-maxiboard-pegn_cielo_baseig_novaversao-as_25_interesses</t>
  </si>
  <si>
    <t>277225001</t>
  </si>
  <si>
    <t>marca-globo-marca-display-maxiboard-970x150-pegn_cielo_baseig_novaversao-as_25_interesses-cpm</t>
  </si>
  <si>
    <t>471607970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</si>
  <si>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</si>
  <si>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</si>
  <si>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</si>
  <si>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</si>
  <si>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pegn-marca-globo-marca-display-medium_rectangle-pegn_cielo_baseig_novaversao-as_25_interesses</t>
  </si>
  <si>
    <t>277225004</t>
  </si>
  <si>
    <t>marca-globo-marca-display-medium_rectangle-300x250-pegn_cielo_baseig_novaversao-as_25_interesses-cpm</t>
  </si>
  <si>
    <t>471607973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</si>
  <si>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</si>
  <si>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</si>
  <si>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</si>
  <si>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</si>
  <si>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pegn-marca-globo-marca-display-stick_ad-pegn_cielo_baseig_novaversao-as_25_interesses</t>
  </si>
  <si>
    <t>277225007</t>
  </si>
  <si>
    <t>marca-globo-marca-display-stick_ad-320x50-pegn_cielo_baseig_novaversao-as_25_interesses-cpm</t>
  </si>
  <si>
    <t>471607976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</si>
  <si>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</si>
  <si>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</si>
  <si>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</si>
  <si>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</si>
  <si>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superlink-marca-dv360_Outbrain-superlink-native-native-superlink_vendapelasredessociais-AS25_microempreendedor_medioempreendedor_negocios_vendasonline_donosdenegocios</t>
  </si>
  <si>
    <t>277720724</t>
  </si>
  <si>
    <t>marca-dv360_Outbrain-superlink-native-native-1200x627-superlink_vendapelasredessociais-AS25_microempreendedor_medioempreendedor_negocios_vendasonline_donosdenegocios-cpc</t>
  </si>
  <si>
    <t>472188957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</si>
  <si>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</si>
  <si>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</si>
  <si>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</si>
  <si>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</si>
  <si>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</si>
  <si>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</si>
  <si>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</si>
  <si>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</si>
  <si>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</si>
  <si>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</si>
  <si>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</si>
  <si>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</si>
  <si>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superlink-marca-dv360_Spotify-superlink-video-pre_roll-superlink_video30s-as25_microempreendedor_medioempreendedor_negocios_vendasonline_donosdenegocios</t>
  </si>
  <si>
    <t>276627344</t>
  </si>
  <si>
    <t>marca-dv360_Spotify-superlink-video-pre_roll-1920x1080-superlink_video30s-as25_microempreendedor_medioempreendedor_negocios_vendasonline_donosdenegocios-cpm</t>
  </si>
  <si>
    <t>471083021</t>
  </si>
  <si>
    <t>Default In-stream Landscape Ad</t>
  </si>
  <si>
    <t>470164574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</si>
  <si>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</si>
  <si>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</si>
  <si>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</si>
  <si>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</si>
  <si>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</si>
  <si>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</si>
  <si>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</si>
  <si>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</si>
  <si>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</si>
  <si>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</si>
  <si>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</si>
  <si>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</si>
  <si>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</si>
  <si>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</si>
  <si>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</si>
  <si>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</si>
  <si>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</si>
  <si>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</si>
  <si>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</si>
  <si>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</si>
  <si>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</si>
  <si>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</si>
  <si>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</si>
  <si>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</si>
  <si>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</si>
  <si>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</si>
  <si>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</si>
  <si>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</si>
  <si>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</si>
  <si>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</si>
  <si>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</si>
  <si>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</si>
  <si>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</si>
  <si>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</si>
  <si>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</si>
  <si>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</si>
  <si>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</si>
  <si>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</si>
  <si>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</si>
  <si>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</si>
  <si>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</si>
  <si>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</si>
  <si>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</si>
  <si>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</si>
  <si>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</si>
  <si>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</si>
  <si>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</si>
  <si>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</si>
  <si>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</si>
  <si>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</si>
  <si>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</si>
  <si>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</si>
  <si>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</si>
  <si>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</si>
  <si>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</si>
  <si>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superlink-marca-afilio-superlink-display-halfpage-luta_diaria-as25_microempreendedor_medioempreendedor_negocios_vendasonline_donosdenegocios</t>
  </si>
  <si>
    <t>277004367</t>
  </si>
  <si>
    <t>marca-afilio-superlink-display-halfpage-300x600-luta_diaria-as25_microempreendedor_medioempreendedor_negocios_vendasonline_donosdenegocios-cpvisita</t>
  </si>
  <si>
    <t>471083149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</si>
  <si>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</si>
  <si>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</si>
  <si>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</si>
  <si>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</si>
  <si>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</si>
  <si>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</si>
  <si>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</si>
  <si>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</si>
  <si>
    <t>superlink-marca-afilio-superlink-display-skyscraper-luta_diaria-as25_microempreendedor_medioempreendedor_negocios_vendasonline_donosdenegocios</t>
  </si>
  <si>
    <t>277004370</t>
  </si>
  <si>
    <t>marca-afilio-superlink-display-skyscraper-160x600-luta_diaria-as25_microempreendedor_medioempreendedor_negocios_vendasonline_donosdenegocios-cpvisita</t>
  </si>
  <si>
    <t>471083152</t>
  </si>
  <si>
    <t>cnn-varejo-cnn-marca-display-arroba_banner-cnn_cielo_superlink_diadospais_diaria0908-as_25</t>
  </si>
  <si>
    <t>279368131</t>
  </si>
  <si>
    <t>varejo-cnn-marca-display-arroba_banner-300x250-cnn_cielo_superlink_diadospais_diaria0908-as_25-cpm</t>
  </si>
  <si>
    <t>473424468</t>
  </si>
  <si>
    <t>cnn-varejo-cnn-marca-display-billboard-cnn_cielo_superlink_diadospais_diaria0908-as_25</t>
  </si>
  <si>
    <t>279353793</t>
  </si>
  <si>
    <t>varejo-cnn-marca-display-billboard-970x250-cnn_cielo_superlink_diadospais_diaria0908-as_25-cpm</t>
  </si>
  <si>
    <t>473424561</t>
  </si>
  <si>
    <t>cnn-varejo-cnn-marca-display-leaderboard-cnn_cielo_superlink_diadospais_diaria0908-as_25</t>
  </si>
  <si>
    <t>279355500</t>
  </si>
  <si>
    <t>varejo-cnn-marca-display-leaderboard-728x90-cnn_cielo_superlink_diadospais_diaria0908-as_25-cpm</t>
  </si>
  <si>
    <t>473386081</t>
  </si>
  <si>
    <t>cnn-varejo-cnn-marca-display-mobile-cnn_cielo_superlink_diadospais_diaria0908-as_25</t>
  </si>
  <si>
    <t>279110030</t>
  </si>
  <si>
    <t>varejo-cnn-marca-display-mobile-320x50-cnn_cielo_superlink_diadospais_diaria0908-as_25-cpm</t>
  </si>
  <si>
    <t>473425644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</si>
  <si>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</si>
  <si>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</si>
  <si>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</si>
  <si>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</si>
  <si>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471024417</t>
  </si>
  <si>
    <t>277872242</t>
  </si>
  <si>
    <t>472325184</t>
  </si>
  <si>
    <t>277872224</t>
  </si>
  <si>
    <t>472323066</t>
  </si>
  <si>
    <t>277872218</t>
  </si>
  <si>
    <t>472323060</t>
  </si>
  <si>
    <t>empreendedores-empreendedores-dv360_IG-flash-display-halfpage-empreendedores_flash_animada_bau-as_25_pme_empreendedor_individual</t>
  </si>
  <si>
    <t>279581779</t>
  </si>
  <si>
    <t>empreendedores-dv360_IG-flash-display-halfpage-300x600-empreendedores_flash_animada_bau-as_25_pme_empreendedor_individual-cpm</t>
  </si>
  <si>
    <t>473573302</t>
  </si>
  <si>
    <t>empreendedores-empreendedores-dv360_IG-flash-display-leaderboard-empreendedores_flash_animada_bau-as_25_pme_empreendedor_individual</t>
  </si>
  <si>
    <t>279581773</t>
  </si>
  <si>
    <t>empreendedores-dv360_IG-flash-display-leaderboard-728x90-empreendedores_flash_animada_bau-as_25_pme_empreendedor_individual-cpm</t>
  </si>
  <si>
    <t>473573296</t>
  </si>
  <si>
    <t>empreendedores-empreendedores-dv360_IG-flash-display-medium_rectangle-empreendedores_flash_animada_bau-as_25_pme_empreendedor_individual</t>
  </si>
  <si>
    <t>279581776</t>
  </si>
  <si>
    <t>empreendedores-dv360_IG-flash-display-medium_rectangle-300x250-empreendedores_flash_animada_bau-as_25_pme_empreendedor_individual-cpm</t>
  </si>
  <si>
    <t>473573299</t>
  </si>
  <si>
    <t>empreendedores-empreendedores-dv360_IG-flash-display-mobile_leaderboard-empreendedores_flash_animada_bau-as_25_pme_empreendedor_individual</t>
  </si>
  <si>
    <t>279581770</t>
  </si>
  <si>
    <t>empreendedores-dv360_IG-flash-display-mobile_leaderboard-320x50-empreendedores_flash_animada_bau-as_25_pme_empreendedor_individual-cpm</t>
  </si>
  <si>
    <t>473573293</t>
  </si>
  <si>
    <t>empreendedores-empreendedores-dv360_IG-zip-display-halfpage-empreendedores_zip_animada_bau-as_25_pme_empreendedor_individual</t>
  </si>
  <si>
    <t>279581767</t>
  </si>
  <si>
    <t>empreendedores-dv360_IG-zip-display-halfpage-300x600-empreendedores_zip_animada_bau-as_25_pme_empreendedor_individual-cpm</t>
  </si>
  <si>
    <t>473573290</t>
  </si>
  <si>
    <t>empreendedores-empreendedores-dv360_IG-zip-display-leaderboard-empreendedores_zip_animada_bau-as_25_pme_empreendedor_individual</t>
  </si>
  <si>
    <t>279581761</t>
  </si>
  <si>
    <t>empreendedores-dv360_IG-zip-display-leaderboard-728x90-empreendedores_zip_animada_bau-as_25_pme_empreendedor_individual-cpm</t>
  </si>
  <si>
    <t>473573284</t>
  </si>
  <si>
    <t>empreendedores-empreendedores-dv360_IG-zip-display-medium_rectangle-empreendedores_zip_animada_bau-as_25_pme_empreendedor_individual</t>
  </si>
  <si>
    <t>279581764</t>
  </si>
  <si>
    <t>empreendedores-dv360_IG-zip-display-medium_rectangle-300x250-empreendedores_zip_animada_bau-as_25_pme_empreendedor_individual-cpm</t>
  </si>
  <si>
    <t>473573287</t>
  </si>
  <si>
    <t>empreendedores-empreendedores-dv360_IG-zip-display-mobile_leaderboard-empreendedores_zip_animada_bau-as_25_pme_empreendedor_individual</t>
  </si>
  <si>
    <t>279581758</t>
  </si>
  <si>
    <t>empreendedores-dv360_IG-zip-display-mobile_leaderboard-320x50-empreendedores_zip_animada_bau-as_25_pme_empreendedor_individual-cpm</t>
  </si>
  <si>
    <t>473573281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</si>
  <si>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</si>
  <si>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</si>
  <si>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</si>
  <si>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</si>
  <si>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superlink-marca-dv360_Cazamba-superlink-display-Interstitial-sl_luta_diaria-as25_empreendedor_varejo_interesses</t>
  </si>
  <si>
    <t>279352308</t>
  </si>
  <si>
    <t>marca-dv360_Cazamba-superlink-display-Interstitial-640x960-sl_luta_diaria-as25_empreendedor_varejo_interesses-cpm</t>
  </si>
  <si>
    <t>473341439</t>
  </si>
  <si>
    <t>superlink-marca-dv360_Outbrain-superlink-native-native_highimpact-superlink_vendapelasredessociais-AS25_microempreendedor_medioempreendedor_negocios_vendasonline_donosdenegocios</t>
  </si>
  <si>
    <t>279256134</t>
  </si>
  <si>
    <t>marca-dv360_Outbrain-superlink-native-native_highimpact-1200x627-superlink_vendapelasredessociais-AS25_microempreendedor_medioempreendedor_negocios_vendasonline_donosdenegocios-cpc</t>
  </si>
  <si>
    <t>473287627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</si>
  <si>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</si>
  <si>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</si>
  <si>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</si>
  <si>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</si>
  <si>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superlink-marca-dv360_Taboola-superlink-video-pre_roll-superlink_video30s-as25_microempreendedor_medioempreendedor_negocios_vendasonline_donosdenegocios</t>
  </si>
  <si>
    <t>278996678</t>
  </si>
  <si>
    <t>marca-dv360_Taboola-superlink-video-pre_roll-1920x1080-superlink_video30s-as25_microempreendedor_medioempreendedor_negocios_vendasonline_donosdenegocios-cpm</t>
  </si>
  <si>
    <t>473259998</t>
  </si>
  <si>
    <t>superlink-marca-dv360_antagonista-superlink-display-halfpage-luta_diaria-AS25_microempreendedor_medioempreendedor_negocios_vendasonline_donosdenegocios</t>
  </si>
  <si>
    <t>279171768</t>
  </si>
  <si>
    <t>marca-dv360_antagonista-superlink-display-halfpage-300x600-luta_diaria-AS25_microempreendedor_medioempreendedor_negocios_vendasonline_donosdenegocios-cpm</t>
  </si>
  <si>
    <t>473224374</t>
  </si>
  <si>
    <t>superlink-marca-dv360_antagonista-superlink-display-leaderboard-luta_diaria-AS25_microempreendedor_medioempreendedor_negocios_vendasonline_donosdenegocios</t>
  </si>
  <si>
    <t>279164983</t>
  </si>
  <si>
    <t>728x90 Default Web Ad</t>
  </si>
  <si>
    <t>469359923</t>
  </si>
  <si>
    <t>superlink-comportamental-leaderboard-728x90-superlink-cpm-luta_diaria-tag</t>
  </si>
  <si>
    <t>473152157</t>
  </si>
  <si>
    <t>superlink-marca-dv360_antagonista-superlink-display-medium_rectangle-luta_diaria-AS25_microempreendedor_medioempreendedor_negocios_vendasonline_donosdenegocios</t>
  </si>
  <si>
    <t>278897222</t>
  </si>
  <si>
    <t>superlink-comportamental-medium_rectangle-300x250-superlink-cpm-luta_diaria-tag</t>
  </si>
  <si>
    <t>473217546</t>
  </si>
  <si>
    <t>superlink-marca-dv360_antagonista-superlink-display-skyscraper-luta_diaria-AS25_microempreendedor_medioempreendedor_negocios_vendasonline_donosdenegocios</t>
  </si>
  <si>
    <t>278897225</t>
  </si>
  <si>
    <t>469372642</t>
  </si>
  <si>
    <t>superlink-comportamental-skyscraper-160x600-superlink-cpm-luta_diaria-tag</t>
  </si>
  <si>
    <t>473191306</t>
  </si>
  <si>
    <t>superlink-marca-verizon-superlink-display-skyscraper-superlink_coronavoucher-AS25_microempreendedor_medioempreendedor_negocios_vendasonline_donosdenegocios</t>
  </si>
  <si>
    <t>276183345</t>
  </si>
  <si>
    <t>marca-verizon-superlink-display-skyscraper-160x600-superlink_coronavoucher-AS25_microempreendedor_medioempreendedor_negocios_vendasonline_donosdenegocios-cpm</t>
  </si>
  <si>
    <t>470337935</t>
  </si>
  <si>
    <t>471081212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</si>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</sst>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064.748374074072" createdVersion="6" refreshedVersion="6" minRefreshableVersion="3" recordCount="140" xr:uid="{D2B2EC7D-4256-4344-8AFD-3B2D89D4BA03}">
  <cacheSource type="worksheet">
    <worksheetSource ref="B18:O158" sheet="Resumo"/>
  </cacheSource>
  <cacheFields count="14">
    <cacheField name="Campaign" numFmtId="0">
      <sharedItems count="8">
        <s v="alp-cielo_movimenta_comunidade-marca-awa"/>
        <s v="alp-cnn-varejo-awa"/>
        <s v="alp-empreendedores-empreendedores-cons"/>
        <s v="alp-nova_cielo-empreendedores-cons"/>
        <s v="alp-pegn-marca-awa"/>
        <s v="alp-superlink-marca-awa"/>
        <s v="alp-superlink-marca-cons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3170997"/>
    </cacheField>
    <cacheField name="Clicks" numFmtId="0">
      <sharedItems containsSemiMixedTypes="0" containsString="0" containsNumber="1" containsInteger="1" minValue="0" maxValue="39167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526.83987999999999"/>
    </cacheField>
    <cacheField name="Total AdOps" numFmtId="2">
      <sharedItems containsSemiMixedTypes="0" containsString="0" containsNumber="1" minValue="1E-4" maxValue="1317.0997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s v="Oath - Verizon Media"/>
    <s v="cielo_movimenta_comunidade-marca-verizon-marca-native-native-cielo_movimenta_comunidade_olxmaes_loja-as_25_interesses_varejo_loja"/>
    <s v="273323772"/>
    <s v="Dynamic Click"/>
    <s v="marca-verizon-marca-native-native-1200x627-cielo_movimenta_comunidade_olxmaes_loja-as_25_interesses_varejo_loja-cpm"/>
    <s v="467635835"/>
    <s v="Tracking"/>
    <n v="0"/>
    <n v="3"/>
    <n v="3.5000000000000001E-3"/>
    <n v="2.5000000000000001E-2"/>
    <n v="1.0500000000000001E-2"/>
    <n v="7.5000000000000011E-2"/>
  </r>
  <r>
    <x v="0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0"/>
    <n v="0.04"/>
    <n v="0.1"/>
    <n v="8.0000000000000007E-5"/>
    <n v="2.0000000000000001E-4"/>
  </r>
  <r>
    <x v="1"/>
    <s v="CNN BR"/>
    <s v="cnn-varejo-cnn-marca-display-arroba_banner-cnn_cielo_auxilioemergencial_diaria3107-as_25"/>
    <s v="278869618"/>
    <s v="Standard"/>
    <s v="varejo-cnn-marca-display-arroba_banner-300x250-cnn_cielo_auxilioemergencial_diaria3107-as_25-cpm"/>
    <s v="472930863"/>
    <s v="Display"/>
    <n v="25"/>
    <n v="0"/>
    <n v="0.04"/>
    <n v="0.1"/>
    <n v="1E-3"/>
    <n v="2.5000000000000001E-3"/>
  </r>
  <r>
    <x v="1"/>
    <s v="CNN BR"/>
    <s v="cnn-varejo-cnn-marca-display-arroba_banner-cnn_cielo_superlink_diadospais_diaria0908-as_25"/>
    <s v="279368131"/>
    <s v="Standard"/>
    <s v="varejo-cnn-marca-display-arroba_banner-300x250-cnn_cielo_superlink_diadospais_diaria0908-as_25-cpm"/>
    <s v="473424468"/>
    <s v="Display"/>
    <n v="254372"/>
    <n v="164"/>
    <n v="0.04"/>
    <n v="0.1"/>
    <n v="10.174880000000002"/>
    <n v="25.437200000000001"/>
  </r>
  <r>
    <x v="1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6101"/>
    <n v="2"/>
    <n v="0.04"/>
    <n v="0.1"/>
    <n v="0.24403999999999998"/>
    <n v="0.61009999999999998"/>
  </r>
  <r>
    <x v="1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59444"/>
    <n v="39"/>
    <n v="0.04"/>
    <n v="0.1"/>
    <n v="2.3777600000000003"/>
    <n v="5.9444000000000008"/>
  </r>
  <r>
    <x v="1"/>
    <s v="CNN BR"/>
    <s v="cnn-varejo-cnn-marca-display-billboard-cnn_cielo_superlink_diadospais_diaria0908-as_25"/>
    <s v="279353793"/>
    <s v="Standard"/>
    <s v="varejo-cnn-marca-display-billboard-970x250-cnn_cielo_superlink_diadospais_diaria0908-as_25-cpm"/>
    <s v="473424561"/>
    <s v="Display"/>
    <n v="17370"/>
    <n v="17"/>
    <n v="0.04"/>
    <n v="0.1"/>
    <n v="0.69480000000000008"/>
    <n v="1.7370000000000001"/>
  </r>
  <r>
    <x v="1"/>
    <s v="CNN BR"/>
    <s v="cnn-varejo-cnn-marca-display-leaderboard-cnn_cielo_auxilioemergencial_diaria3107-as_25"/>
    <s v="278897643"/>
    <s v="Standard"/>
    <s v="varejo-cnn-marca-display-leaderboard-728x90-cnn_cielo_auxilioemergencial_diaria3107-as_25-cpm"/>
    <s v="472866707"/>
    <s v="Display"/>
    <n v="1"/>
    <n v="0"/>
    <n v="0.04"/>
    <n v="0.1"/>
    <n v="4.0000000000000003E-5"/>
    <n v="1E-4"/>
  </r>
  <r>
    <x v="1"/>
    <s v="CNN BR"/>
    <s v="cnn-varejo-cnn-marca-display-leaderboard-cnn_cielo_superlink_diadospais_diaria0908-as_25"/>
    <s v="279355500"/>
    <s v="Standard"/>
    <s v="varejo-cnn-marca-display-leaderboard-728x90-cnn_cielo_superlink_diadospais_diaria0908-as_25-cpm"/>
    <s v="473386081"/>
    <s v="Display"/>
    <n v="17428"/>
    <n v="7"/>
    <n v="0.04"/>
    <n v="0.1"/>
    <n v="0.69711999999999996"/>
    <n v="1.7428000000000001"/>
  </r>
  <r>
    <x v="1"/>
    <s v="CNN BR"/>
    <s v="cnn-varejo-cnn-marca-display-mobile-cnn_cielo_auxilioemergencial_diaria3107-as_25"/>
    <s v="278870200"/>
    <s v="Standard"/>
    <s v="varejo-cnn-marca-display-mobile-320x50-cnn_cielo_auxilioemergencial_diaria3107-as_25-cpm"/>
    <s v="472932456"/>
    <s v="Display"/>
    <n v="6"/>
    <n v="8"/>
    <n v="0.04"/>
    <n v="0.1"/>
    <n v="2.3999999999999998E-4"/>
    <n v="6.0000000000000006E-4"/>
  </r>
  <r>
    <x v="1"/>
    <s v="CNN BR"/>
    <s v="cnn-varejo-cnn-marca-display-mobile-cnn_cielo_superlink_diadospais_diaria0908-as_25"/>
    <s v="279110030"/>
    <s v="Standard"/>
    <s v="varejo-cnn-marca-display-mobile-320x50-cnn_cielo_superlink_diadospais_diaria0908-as_25-cpm"/>
    <s v="473425644"/>
    <s v="Display"/>
    <n v="140489"/>
    <n v="326"/>
    <n v="0.04"/>
    <n v="0.1"/>
    <n v="5.6195600000000008"/>
    <n v="14.048900000000001"/>
  </r>
  <r>
    <x v="1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342543"/>
    <n v="945"/>
    <n v="0.04"/>
    <n v="0.1"/>
    <n v="13.701720000000002"/>
    <n v="34.254300000000001"/>
  </r>
  <r>
    <x v="1"/>
    <s v="CNN BR"/>
    <s v="cnn-varejo-cnn-marca-video-mobile-cnn_voce_e_cielo_stress-as_25"/>
    <s v="270712834"/>
    <s v="Standard"/>
    <s v="varejo-cnn-marca-video-mobile-320x50-cnn_voce_e_cielo_stress-as_25-cpm"/>
    <s v="465465557"/>
    <s v="Display"/>
    <n v="1"/>
    <n v="0"/>
    <n v="0.04"/>
    <n v="0.1"/>
    <n v="4.0000000000000003E-5"/>
    <n v="1E-4"/>
  </r>
  <r>
    <x v="2"/>
    <s v="Google Brasil"/>
    <s v="empreendedores-empreendedores-dv360-flash-display-halfpage-empreendedores_flash_animada_bau-3rdparty_list_micro_empreendedor_individual_tailtarget_e_mei_retargetly"/>
    <s v="278044468"/>
    <s v="Standard"/>
    <s v="empreendedores-dv360-flash-display-halfpage-300x600-empreendedores_flash_animada_bau-3rdparty_list_micro_empreendedor_individual_tailtarget_e_mei_retargetly-cpm"/>
    <s v="472151857"/>
    <s v="Display"/>
    <n v="9"/>
    <n v="0"/>
    <n v="0.04"/>
    <n v="0.1"/>
    <n v="3.5999999999999997E-4"/>
    <n v="8.9999999999999998E-4"/>
  </r>
  <r>
    <x v="2"/>
    <s v="Google Brasil"/>
    <s v="empreendedores-empreendedores-dv360-flash-display-halfpage-empreendedores_flash_animada_bau-affinities_inmarket_empreendedores"/>
    <s v="277872206"/>
    <s v="Standard"/>
    <s v="empreendedores-dv360-flash-display-halfpage-300x600-empreendedores_flash_animada_bau-affinities_inmarket_empreendedores-cpm"/>
    <s v="472323048"/>
    <s v="Display"/>
    <n v="132819"/>
    <n v="11800"/>
    <n v="0.04"/>
    <n v="0.1"/>
    <n v="5.3127599999999999"/>
    <n v="13.281900000000002"/>
  </r>
  <r>
    <x v="2"/>
    <s v="Google Brasil"/>
    <s v="empreendedores-empreendedores-dv360-flash-display-large_mobile_banner-empreendedores_flash_animada_bau-affinities_inmarket_empreendedores"/>
    <s v="277872197"/>
    <s v="Standard"/>
    <s v="empreendedores-dv360-flash-display-large_mobile_banner-320x100-empreendedores_flash_animada_bau-affinities_inmarket_empreendedores-cpm"/>
    <s v="472323039"/>
    <s v="Display"/>
    <n v="1073"/>
    <n v="7"/>
    <n v="0.04"/>
    <n v="0.1"/>
    <n v="4.292E-2"/>
    <n v="0.10730000000000001"/>
  </r>
  <r>
    <x v="2"/>
    <s v="Google Brasil"/>
    <s v="empreendedores-empreendedores-dv360-flash-display-large_mobile_banner-empreendedores_flash_animada_bau-affinities_inmarket_empreendedores"/>
    <s v="278068147"/>
    <s v="Standard"/>
    <s v="empreendedores-dv360-flash-display-large_mobile_banner-320x100-empreendedores_flash_animada_bau-affinities_inmarket_empreendedores-cpm"/>
    <s v="472261692"/>
    <s v="Display"/>
    <n v="32"/>
    <n v="1"/>
    <n v="0.04"/>
    <n v="0.1"/>
    <n v="1.2800000000000001E-3"/>
    <n v="3.2000000000000002E-3"/>
  </r>
  <r>
    <x v="2"/>
    <s v="Google Brasil"/>
    <s v="empreendedores-empreendedores-dv360-flash-display-large_rectangle-empreendedores_flash_animada_bau-affinities_inmarket_empreendedores"/>
    <s v="277872191"/>
    <s v="Standard"/>
    <s v="empreendedores-dv360-flash-display-large_rectangle-336x280-empreendedores_flash_animada_bau-affinities_inmarket_empreendedores-cpm"/>
    <s v="472323033"/>
    <s v="Display"/>
    <n v="194519"/>
    <n v="20981"/>
    <n v="0.04"/>
    <n v="0.1"/>
    <n v="7.7807599999999999"/>
    <n v="19.451900000000002"/>
  </r>
  <r>
    <x v="2"/>
    <s v="Google Brasil"/>
    <s v="empreendedores-empreendedores-dv360-flash-display-large_rectangle-empreendedores_flash_animada_bau-affinities_inmarket_empreendedores"/>
    <s v="278068135"/>
    <s v="Standard"/>
    <s v="empreendedores-dv360-flash-display-large_rectangle-336x280-empreendedores_flash_animada_bau-affinities_inmarket_empreendedores-cpm"/>
    <s v="472261680"/>
    <s v="Display"/>
    <n v="83292"/>
    <n v="11763"/>
    <n v="0.04"/>
    <n v="0.1"/>
    <n v="3.3316800000000004"/>
    <n v="8.3292000000000002"/>
  </r>
  <r>
    <x v="2"/>
    <s v="Google Brasil"/>
    <s v="empreendedores-empreendedores-dv360-flash-display-leaderboard-empreendedores_flash_animada_bau-3rdparty_list_micro_empreendedor_individual_tailtarget_e_mei_retargetly"/>
    <s v="278044462"/>
    <s v="Standard"/>
    <s v="empreendedores-dv360-flash-display-leaderboard-728x90-empreendedores_flash_animada_bau-3rdparty_list_micro_empreendedor_individual_tailtarget_e_mei_retargetly-cpm"/>
    <s v="472151851"/>
    <s v="Display"/>
    <n v="195"/>
    <n v="0"/>
    <n v="0.04"/>
    <n v="0.1"/>
    <n v="7.7999999999999996E-3"/>
    <n v="1.95E-2"/>
  </r>
  <r>
    <x v="2"/>
    <s v="Google Brasil"/>
    <s v="empreendedores-empreendedores-dv360-flash-display-leaderboard-empreendedores_flash_animada_bau-affinities_inmarket_empreendedores"/>
    <s v="277872200"/>
    <s v="Standard"/>
    <s v="empreendedores-dv360-flash-display-leaderboard-728x90-empreendedores_flash_animada_bau-affinities_inmarket_empreendedores-cpm"/>
    <s v="472323042"/>
    <s v="Display"/>
    <n v="4309"/>
    <n v="13"/>
    <n v="0.04"/>
    <n v="0.1"/>
    <n v="0.17236000000000001"/>
    <n v="0.43090000000000006"/>
  </r>
  <r>
    <x v="2"/>
    <s v="Google Brasil"/>
    <s v="empreendedores-empreendedores-dv360-flash-display-medium_rectangle-empreendedores_flash_animada_bau-3rdparty_list_micro_empreendedor_individual_tailtarget_e_mei_retargetly"/>
    <s v="278044465"/>
    <s v="Standard"/>
    <s v="empreendedores-dv360-flash-display-medium_rectangle-300x250-empreendedores_flash_animada_bau-3rdparty_list_micro_empreendedor_individual_tailtarget_e_mei_retargetly-cpm"/>
    <s v="472151854"/>
    <s v="Display"/>
    <n v="185"/>
    <n v="1"/>
    <n v="0.04"/>
    <n v="0.1"/>
    <n v="7.4000000000000003E-3"/>
    <n v="1.8499999999999999E-2"/>
  </r>
  <r>
    <x v="2"/>
    <s v="Google Brasil"/>
    <s v="empreendedores-empreendedores-dv360-flash-display-medium_rectangle-empreendedores_flash_animada_bau-affinities_inmarket_empreendedores"/>
    <s v="277872203"/>
    <s v="Standard"/>
    <s v="empreendedores-dv360-flash-display-medium_rectangle-300x250-empreendedores_flash_animada_bau-affinities_inmarket_empreendedores-cpm"/>
    <s v="472323045"/>
    <s v="Display"/>
    <n v="11741"/>
    <n v="780"/>
    <n v="0.04"/>
    <n v="0.1"/>
    <n v="0.46964"/>
    <n v="1.1741000000000001"/>
  </r>
  <r>
    <x v="2"/>
    <s v="Google Brasil"/>
    <s v="empreendedores-empreendedores-dv360-flash-display-medium_rectangle-empreendedores_flash_animada_bau-affinities_inmarket_empreendedores"/>
    <s v="278068153"/>
    <s v="Standard"/>
    <s v="empreendedores-dv360-flash-display-medium_rectangle-300x250-empreendedores_flash_animada_bau-affinities_inmarket_empreendedores-cpm"/>
    <s v="472261698"/>
    <s v="Display"/>
    <n v="5097"/>
    <n v="617"/>
    <n v="0.04"/>
    <n v="0.1"/>
    <n v="0.20388000000000001"/>
    <n v="0.50970000000000004"/>
  </r>
  <r>
    <x v="2"/>
    <s v="Google Brasil"/>
    <s v="empreendedores-empreendedores-dv360-flash-display-mobile_leaderboard-empreendedores_flash_animada_bau-affinities_inmarket_empreendedores"/>
    <s v="277872194"/>
    <s v="Standard"/>
    <s v="empreendedores-dv360-flash-display-mobile_leaderboard-320x50-empreendedores_flash_animada_bau-affinities_inmarket_empreendedores-cpm"/>
    <s v="472323036"/>
    <s v="Display"/>
    <n v="3136"/>
    <n v="20"/>
    <n v="0.04"/>
    <n v="0.1"/>
    <n v="0.12544"/>
    <n v="0.31360000000000005"/>
  </r>
  <r>
    <x v="2"/>
    <s v="Google Brasil"/>
    <s v="empreendedores-empreendedores-dv360-flash-display-mobile_leaderboard-empreendedores_flash_animada_bau-affinities_inmarket_empreendedores"/>
    <s v="278068144"/>
    <s v="Standard"/>
    <s v="empreendedores-dv360-flash-display-mobile_leaderboard-320x50-empreendedores_flash_animada_bau-affinities_inmarket_empreendedores-cpm"/>
    <s v="472261689"/>
    <s v="Display"/>
    <n v="80"/>
    <n v="3"/>
    <n v="0.04"/>
    <n v="0.1"/>
    <n v="3.2000000000000002E-3"/>
    <n v="8.0000000000000002E-3"/>
  </r>
  <r>
    <x v="2"/>
    <s v="Google Brasil"/>
    <s v="empreendedores-empreendedores-dv360-flash-display-small_rectangle-empreendedores_flash_animada_bau-affinities_inmarket_empreendedores"/>
    <s v="277872188"/>
    <s v="Standard"/>
    <s v="empreendedores-dv360-flash-display-small_rectangle-180x150-empreendedores_flash_animada_bau-affinities_inmarket_empreendedores-cpm"/>
    <s v="472323030"/>
    <s v="Display"/>
    <n v="114"/>
    <n v="6"/>
    <n v="0.04"/>
    <n v="0.1"/>
    <n v="4.5600000000000007E-3"/>
    <n v="1.14E-2"/>
  </r>
  <r>
    <x v="2"/>
    <s v="Google Brasil"/>
    <s v="empreendedores-empreendedores-dv360-flash-display-small_rectangle-empreendedores_flash_animada_bau-affinities_inmarket_empreendedores"/>
    <s v="278068141"/>
    <s v="Standard"/>
    <s v="empreendedores-dv360-flash-display-small_rectangle-180x150-empreendedores_flash_animada_bau-affinities_inmarket_empreendedores-cpm"/>
    <s v="472261686"/>
    <s v="Display"/>
    <n v="24"/>
    <n v="3"/>
    <n v="0.04"/>
    <n v="0.1"/>
    <n v="9.5999999999999992E-4"/>
    <n v="2.4000000000000002E-3"/>
  </r>
  <r>
    <x v="2"/>
    <s v="Google Brasil"/>
    <s v="empreendedores-empreendedores-dv360-flash-display-wide_skyscraper-empreendedores_flash_animada_bau-affinities_inmarket_empreendedores"/>
    <s v="277872185"/>
    <s v="Standard"/>
    <s v="empreendedores-dv360-flash-display-wide_skyscraper-160x600-empreendedores_flash_animada_bau-affinities_inmarket_empreendedores-cpm"/>
    <s v="472323027"/>
    <s v="Display"/>
    <n v="748"/>
    <n v="20"/>
    <n v="0.04"/>
    <n v="0.1"/>
    <n v="2.9920000000000002E-2"/>
    <n v="7.4799999999999991E-2"/>
  </r>
  <r>
    <x v="2"/>
    <s v="Google Brasil"/>
    <s v="empreendedores-empreendedores-dv360-flash-display-wide_skyscraper-empreendedores_flash_animada_bau-affinities_inmarket_empreendedores"/>
    <s v="278068138"/>
    <s v="Standard"/>
    <s v="empreendedores-dv360-flash-display-wide_skyscraper-160x600-empreendedores_flash_animada_bau-affinities_inmarket_empreendedores-cpm"/>
    <s v="472261683"/>
    <s v="Display"/>
    <n v="9"/>
    <n v="2"/>
    <n v="0.04"/>
    <n v="0.1"/>
    <n v="3.5999999999999997E-4"/>
    <n v="8.9999999999999998E-4"/>
  </r>
  <r>
    <x v="2"/>
    <s v="Google Brasil"/>
    <s v="empreendedores-empreendedores-dv360-lio+-display-halfpage-empreendedores_lio_mais-affinities_inmarket_empreendedores"/>
    <s v="277154772"/>
    <s v="Standard"/>
    <s v="empreendedores-dv360-lio+-display-halfpage-300x600-empreendedores_lio_mais-affinities_inmarket_empreendedores-cpm"/>
    <s v="471313221"/>
    <s v="Display"/>
    <n v="18183"/>
    <n v="2296"/>
    <n v="0.04"/>
    <n v="0.1"/>
    <n v="0.72732000000000008"/>
    <n v="1.8183000000000002"/>
  </r>
  <r>
    <x v="2"/>
    <s v="Google Brasil"/>
    <s v="empreendedores-empreendedores-dv360-lio+-display-halfpage-empreendedores_lio_mais-affinities_inmarket_empreendedores"/>
    <s v="277872239"/>
    <s v="Standard"/>
    <s v="300x600 Default Web Ad"/>
    <s v="471024417"/>
    <s v="Display"/>
    <n v="1"/>
    <n v="0"/>
    <n v="0.04"/>
    <n v="0.1"/>
    <n v="4.0000000000000003E-5"/>
    <n v="1E-4"/>
  </r>
  <r>
    <x v="2"/>
    <s v="Google Brasil"/>
    <s v="empreendedores-empreendedores-dv360-lio+-display-halfpage-empreendedores_lio_mais-affinities_inmarket_empreendedores"/>
    <s v="277872239"/>
    <s v="Standard"/>
    <s v="empreendedores-dv360-lio+-display-halfpage-300x600-empreendedores_lio_mais-affinities_inmarket_empreendedores-cpm"/>
    <s v="472325181"/>
    <s v="Display"/>
    <n v="22789"/>
    <n v="1901"/>
    <n v="0.04"/>
    <n v="0.1"/>
    <n v="0.91156000000000004"/>
    <n v="2.2789000000000001"/>
  </r>
  <r>
    <x v="2"/>
    <s v="Google Brasil"/>
    <s v="empreendedores-empreendedores-dv360-lio+-display-large_mobile_banner-empreendedores_lio_mais-affinities_inmarket_empreendedores"/>
    <s v="277154757"/>
    <s v="Standard"/>
    <s v="empreendedores-dv360-lio+-display-large_mobile_banner-320x100-empreendedores_lio_mais-affinities_inmarket_empreendedores-cpm"/>
    <s v="471313206"/>
    <s v="Display"/>
    <n v="1"/>
    <n v="0"/>
    <n v="0.04"/>
    <n v="0.1"/>
    <n v="4.0000000000000003E-5"/>
    <n v="1E-4"/>
  </r>
  <r>
    <x v="2"/>
    <s v="Google Brasil"/>
    <s v="empreendedores-empreendedores-dv360-lio+-display-large_mobile_banner-empreendedores_lio_mais-affinities_inmarket_empreendedores"/>
    <s v="277872209"/>
    <s v="Standard"/>
    <s v="empreendedores-dv360-lio+-display-large_mobile_banner-320x100-empreendedores_lio_mais-affinities_inmarket_empreendedores-cpm"/>
    <s v="472323051"/>
    <s v="Display"/>
    <n v="54"/>
    <n v="0"/>
    <n v="0.04"/>
    <n v="0.1"/>
    <n v="2.16E-3"/>
    <n v="5.4000000000000003E-3"/>
  </r>
  <r>
    <x v="2"/>
    <s v="Google Brasil"/>
    <s v="empreendedores-empreendedores-dv360-lio+-display-large_rectangle-empreendedores_lio_mais-affinities_inmarket_empreendedores"/>
    <s v="277154763"/>
    <s v="Standard"/>
    <s v="empreendedores-dv360-lio+-display-large_rectangle-336x280-empreendedores_lio_mais-affinities_inmarket_empreendedores-cpm"/>
    <s v="471313212"/>
    <s v="Display"/>
    <n v="11036"/>
    <n v="1026"/>
    <n v="0.04"/>
    <n v="0.1"/>
    <n v="0.44144"/>
    <n v="1.1036000000000001"/>
  </r>
  <r>
    <x v="2"/>
    <s v="Google Brasil"/>
    <s v="empreendedores-empreendedores-dv360-lio+-display-large_rectangle-empreendedores_lio_mais-affinities_inmarket_empreendedores"/>
    <s v="277154778"/>
    <s v="Standard"/>
    <s v="empreendedores-dv360-lio+-display-large_rectangle-336x280-empreendedores_lio_mais-affinities_inmarket_empreendedores-cpm"/>
    <s v="471313227"/>
    <s v="Display"/>
    <n v="476"/>
    <n v="35"/>
    <n v="0.04"/>
    <n v="0.1"/>
    <n v="1.9039999999999998E-2"/>
    <n v="4.7600000000000003E-2"/>
  </r>
  <r>
    <x v="2"/>
    <s v="Google Brasil"/>
    <s v="empreendedores-empreendedores-dv360-lio+-display-large_rectangle-empreendedores_lio_mais-affinities_inmarket_empreendedores"/>
    <s v="277872221"/>
    <s v="Standard"/>
    <s v="empreendedores-dv360-lio+-display-large_rectangle-336x280-empreendedores_lio_mais-affinities_inmarket_empreendedores-cpm"/>
    <s v="472323063"/>
    <s v="Display"/>
    <n v="24130"/>
    <n v="2283"/>
    <n v="0.04"/>
    <n v="0.1"/>
    <n v="0.96520000000000006"/>
    <n v="2.4129999999999998"/>
  </r>
  <r>
    <x v="2"/>
    <s v="Google Brasil"/>
    <s v="empreendedores-empreendedores-dv360-lio+-display-leaderboard-empreendedores_lio_mais-affinities_inmarket_empreendedores"/>
    <s v="277872227"/>
    <s v="Standard"/>
    <s v="empreendedores-dv360-lio+-display-leaderboard-728x90-empreendedores_lio_mais-affinities_inmarket_empreendedores-cpm"/>
    <s v="472323069"/>
    <s v="Display"/>
    <n v="257"/>
    <n v="3"/>
    <n v="0.04"/>
    <n v="0.1"/>
    <n v="1.0279999999999999E-2"/>
    <n v="2.5700000000000004E-2"/>
  </r>
  <r>
    <x v="2"/>
    <s v="Google Brasil"/>
    <s v="empreendedores-empreendedores-dv360-lio+-display-medium_rectangle-empreendedores_lio_mais-affinities_inmarket_empreendedores"/>
    <s v="277154775"/>
    <s v="Standard"/>
    <s v="empreendedores-dv360-lio+-display-medium_rectangle-300x250-empreendedores_lio_mais-affinities_inmarket_empreendedores-cpm"/>
    <s v="471313224"/>
    <s v="Display"/>
    <n v="530"/>
    <n v="56"/>
    <n v="0.04"/>
    <n v="0.1"/>
    <n v="2.12E-2"/>
    <n v="5.2999999999999999E-2"/>
  </r>
  <r>
    <x v="2"/>
    <s v="Google Brasil"/>
    <s v="empreendedores-empreendedores-dv360-lio+-display-medium_rectangle-empreendedores_lio_mais-affinities_inmarket_empreendedores"/>
    <s v="277872245"/>
    <s v="Standard"/>
    <s v="empreendedores-dv360-lio+-display-medium_rectangle-300x250-empreendedores_lio_mais-affinities_inmarket_empreendedores-cpm"/>
    <s v="472325187"/>
    <s v="Display"/>
    <n v="3320"/>
    <n v="171"/>
    <n v="0.04"/>
    <n v="0.1"/>
    <n v="0.1328"/>
    <n v="0.33200000000000002"/>
  </r>
  <r>
    <x v="2"/>
    <s v="Google Brasil"/>
    <s v="empreendedores-empreendedores-dv360-lio+-display-mobile_leaderboard-empreendedores_lio_mais-affinities_inmarket_empreendedores"/>
    <s v="277154769"/>
    <s v="Standard"/>
    <s v="empreendedores-dv360-lio+-display-mobile_leaderboard-320x50-empreendedores_lio_mais-affinities_inmarket_empreendedores-cpm"/>
    <s v="471313218"/>
    <s v="Display"/>
    <n v="2"/>
    <n v="0"/>
    <n v="0.04"/>
    <n v="0.1"/>
    <n v="8.0000000000000007E-5"/>
    <n v="2.0000000000000001E-4"/>
  </r>
  <r>
    <x v="2"/>
    <s v="Google Brasil"/>
    <s v="empreendedores-empreendedores-dv360-lio+-display-mobile_leaderboard-empreendedores_lio_mais-affinities_inmarket_empreendedores"/>
    <s v="277872233"/>
    <s v="Standard"/>
    <s v="empreendedores-dv360-lio+-display-mobile_leaderboard-320x50-empreendedores_lio_mais-affinities_inmarket_empreendedores-cpm"/>
    <s v="472323075"/>
    <s v="Display"/>
    <n v="535"/>
    <n v="3"/>
    <n v="0.04"/>
    <n v="0.1"/>
    <n v="2.1400000000000002E-2"/>
    <n v="5.3499999999999999E-2"/>
  </r>
  <r>
    <x v="2"/>
    <s v="Google Brasil"/>
    <s v="empreendedores-empreendedores-dv360-lio+-display-small_rectangle-empreendedores_lio_mais-affinities_inmarket_empreendedores"/>
    <s v="277872215"/>
    <s v="Standard"/>
    <s v="empreendedores-dv360-lio+-display-small_rectangle-180x150-empreendedores_lio_mais-affinities_inmarket_empreendedores-cpm"/>
    <s v="472323057"/>
    <s v="Display"/>
    <n v="4"/>
    <n v="0"/>
    <n v="0.04"/>
    <n v="0.1"/>
    <n v="1.6000000000000001E-4"/>
    <n v="4.0000000000000002E-4"/>
  </r>
  <r>
    <x v="2"/>
    <s v="Google Brasil"/>
    <s v="empreendedores-empreendedores-dv360-lio+-display-wide_skyscraper-empreendedores_lio_mais-affinities_inmarket_empreendedores"/>
    <s v="277872251"/>
    <s v="Standard"/>
    <s v="empreendedores-dv360-lio+-display-wide_skyscraper-160x600-empreendedores_lio_mais-affinities_inmarket_empreendedores-cpm"/>
    <s v="472325193"/>
    <s v="Display"/>
    <n v="82"/>
    <n v="3"/>
    <n v="0.04"/>
    <n v="0.1"/>
    <n v="3.2800000000000004E-3"/>
    <n v="8.2000000000000007E-3"/>
  </r>
  <r>
    <x v="2"/>
    <s v="Google Brasil"/>
    <s v="empreendedores-empreendedores-dv360-zip-display-halfpage-empreendedores_zip_animada_bau-affinities_inmarket_empreendedores"/>
    <s v="277872254"/>
    <s v="Standard"/>
    <s v="empreendedores-dv360-zip-display-halfpage-300x600-empreendedores_zip_animada_bau-affinities_inmarket_empreendedores-cpm"/>
    <s v="472325196"/>
    <s v="Display"/>
    <n v="2423"/>
    <n v="188"/>
    <n v="0.04"/>
    <n v="0.1"/>
    <n v="9.6920000000000006E-2"/>
    <n v="0.24230000000000002"/>
  </r>
  <r>
    <x v="2"/>
    <s v="Google Brasil"/>
    <s v="empreendedores-empreendedores-dv360-zip-display-halfpage-empreendedores_zip_animada_bau-affinities_inmarket_empreendedores"/>
    <s v="278044510"/>
    <s v="Standard"/>
    <s v="empreendedores-dv360-zip-display-halfpage-300x600-empreendedores_zip_animada_bau-affinities_inmarket_empreendedores-cpm"/>
    <s v="472151899"/>
    <s v="Display"/>
    <n v="188392"/>
    <n v="28488"/>
    <n v="0.04"/>
    <n v="0.1"/>
    <n v="7.5356800000000002"/>
    <n v="18.839200000000002"/>
  </r>
  <r>
    <x v="2"/>
    <s v="Google Brasil"/>
    <s v="empreendedores-empreendedores-dv360-zip-display-large_mobile_banner-empreendedores_zip_animada_bau-affinities_inmarket_empreendedores"/>
    <s v="277872236"/>
    <s v="Standard"/>
    <s v="empreendedores-dv360-zip-display-large_mobile_banner-320x100-empreendedores_zip_animada_bau-affinities_inmarket_empreendedores-cpm"/>
    <s v="472323078"/>
    <s v="Display"/>
    <n v="3"/>
    <n v="0"/>
    <n v="0.04"/>
    <n v="0.1"/>
    <n v="1.1999999999999999E-4"/>
    <n v="3.0000000000000003E-4"/>
  </r>
  <r>
    <x v="2"/>
    <s v="Google Brasil"/>
    <s v="empreendedores-empreendedores-dv360-zip-display-large_mobile_banner-empreendedores_zip_animada_bau-affinities_inmarket_empreendedores"/>
    <s v="278044501"/>
    <s v="Standard"/>
    <s v="empreendedores-dv360-zip-display-large_mobile_banner-320x100-empreendedores_zip_animada_bau-affinities_inmarket_empreendedores-cpm"/>
    <s v="472151890"/>
    <s v="Display"/>
    <n v="45"/>
    <n v="2"/>
    <n v="0.04"/>
    <n v="0.1"/>
    <n v="1.8E-3"/>
    <n v="4.4999999999999997E-3"/>
  </r>
  <r>
    <x v="2"/>
    <s v="Google Brasil"/>
    <s v="empreendedores-empreendedores-dv360-zip-display-large_rectangle-empreendedores_zip_animada_bau-affinities_inmarket_empreendedores"/>
    <s v="277872212"/>
    <s v="Standard"/>
    <s v="empreendedores-dv360-zip-display-large_rectangle-336x280-empreendedores_zip_animada_bau-affinities_inmarket_empreendedores-cpm"/>
    <s v="472323054"/>
    <s v="Display"/>
    <n v="5163"/>
    <n v="624"/>
    <n v="0.04"/>
    <n v="0.1"/>
    <n v="0.20652000000000001"/>
    <n v="0.51630000000000009"/>
  </r>
  <r>
    <x v="2"/>
    <s v="Google Brasil"/>
    <s v="empreendedores-empreendedores-dv360-zip-display-leaderboard-empreendedores_zip_animada_bau-affinities_inmarket_empreendedores"/>
    <s v="277872242"/>
    <s v="Standard"/>
    <s v="empreendedores-dv360-zip-display-leaderboard-728x90-empreendedores_zip_animada_bau-affinities_inmarket_empreendedores-cpm"/>
    <s v="472325184"/>
    <s v="Display"/>
    <n v="15"/>
    <n v="0"/>
    <n v="0.04"/>
    <n v="0.1"/>
    <n v="5.9999999999999995E-4"/>
    <n v="1.5E-3"/>
  </r>
  <r>
    <x v="2"/>
    <s v="Google Brasil"/>
    <s v="empreendedores-empreendedores-dv360-zip-display-leaderboard-empreendedores_zip_animada_bau-affinities_inmarket_empreendedores"/>
    <s v="278044504"/>
    <s v="Standard"/>
    <s v="empreendedores-dv360-zip-display-leaderboard-728x90-empreendedores_zip_animada_bau-affinities_inmarket_empreendedores-cpm"/>
    <s v="472151893"/>
    <s v="Display"/>
    <n v="3"/>
    <n v="0"/>
    <n v="0.04"/>
    <n v="0.1"/>
    <n v="1.1999999999999999E-4"/>
    <n v="3.0000000000000003E-4"/>
  </r>
  <r>
    <x v="2"/>
    <s v="Google Brasil"/>
    <s v="empreendedores-empreendedores-dv360-zip-display-medium_rectangle-empreendedores_zip_animada_bau-affinities_inmarket_empreendedores"/>
    <s v="277872248"/>
    <s v="Standard"/>
    <s v="empreendedores-dv360-zip-display-medium_rectangle-300x250-empreendedores_zip_animada_bau-affinities_inmarket_empreendedores-cpm"/>
    <s v="472325190"/>
    <s v="Display"/>
    <n v="211"/>
    <n v="20"/>
    <n v="0.04"/>
    <n v="0.1"/>
    <n v="8.4399999999999996E-3"/>
    <n v="2.1100000000000001E-2"/>
  </r>
  <r>
    <x v="2"/>
    <s v="Google Brasil"/>
    <s v="empreendedores-empreendedores-dv360-zip-display-medium_rectangle-empreendedores_zip_animada_bau-affinities_inmarket_empreendedores"/>
    <s v="278044507"/>
    <s v="Standard"/>
    <s v="empreendedores-dv360-zip-display-medium_rectangle-300x250-empreendedores_zip_animada_bau-affinities_inmarket_empreendedores-cpm"/>
    <s v="472151896"/>
    <s v="Display"/>
    <n v="76702"/>
    <n v="9305"/>
    <n v="0.04"/>
    <n v="0.1"/>
    <n v="3.0680800000000001"/>
    <n v="7.6702000000000004"/>
  </r>
  <r>
    <x v="2"/>
    <s v="Google Brasil"/>
    <s v="empreendedores-empreendedores-dv360-zip-display-mobile_leaderboard-empreendedores_zip_animada_bau-affinities_inmarket_empreendedores"/>
    <s v="277872230"/>
    <s v="Standard"/>
    <s v="empreendedores-dv360-zip-display-mobile_leaderboard-320x50-empreendedores_zip_animada_bau-affinities_inmarket_empreendedores-cpm"/>
    <s v="472323072"/>
    <s v="Display"/>
    <n v="12"/>
    <n v="1"/>
    <n v="0.04"/>
    <n v="0.1"/>
    <n v="4.7999999999999996E-4"/>
    <n v="1.2000000000000001E-3"/>
  </r>
  <r>
    <x v="2"/>
    <s v="Google Brasil"/>
    <s v="empreendedores-empreendedores-dv360-zip-display-mobile_leaderboard-empreendedores_zip_animada_bau-affinities_inmarket_empreendedores"/>
    <s v="278044498"/>
    <s v="Standard"/>
    <s v="empreendedores-dv360-zip-display-mobile_leaderboard-320x50-empreendedores_zip_animada_bau-affinities_inmarket_empreendedores-cpm"/>
    <s v="472151887"/>
    <s v="Display"/>
    <n v="80"/>
    <n v="2"/>
    <n v="0.04"/>
    <n v="0.1"/>
    <n v="3.2000000000000002E-3"/>
    <n v="8.0000000000000002E-3"/>
  </r>
  <r>
    <x v="2"/>
    <s v="Google Brasil"/>
    <s v="empreendedores-empreendedores-dv360-zip-display-small_rectangle-empreendedores_zip_animada_bau-3rdparty_list_micro_empreendedor_individual_tailtarget_e_mei_retargetly"/>
    <s v="278044474"/>
    <s v="Standard"/>
    <s v="empreendedores-dv360-zip-display-small_rectangle-180x150-empreendedores_zip_animada_bau-3rdparty_list_micro_empreendedor_individual_tailtarget_e_mei_retargetly-cpm"/>
    <s v="472151863"/>
    <s v="Display"/>
    <n v="5"/>
    <n v="0"/>
    <n v="0.04"/>
    <n v="0.1"/>
    <n v="2.0000000000000001E-4"/>
    <n v="5.0000000000000001E-4"/>
  </r>
  <r>
    <x v="2"/>
    <s v="Google Brasil"/>
    <s v="empreendedores-empreendedores-dv360-zip-display-small_rectangle-empreendedores_zip_animada_bau-affinities_inmarket_empreendedores"/>
    <s v="277872224"/>
    <s v="Standard"/>
    <s v="empreendedores-dv360-zip-display-small_rectangle-180x150-empreendedores_zip_animada_bau-affinities_inmarket_empreendedores-cpm"/>
    <s v="472323066"/>
    <s v="Display"/>
    <n v="3"/>
    <n v="2"/>
    <n v="0.04"/>
    <n v="0.1"/>
    <n v="1.1999999999999999E-4"/>
    <n v="3.0000000000000003E-4"/>
  </r>
  <r>
    <x v="2"/>
    <s v="Google Brasil"/>
    <s v="empreendedores-empreendedores-dv360-zip-display-small_rectangle-empreendedores_zip_animada_bau-affinities_inmarket_empreendedores"/>
    <s v="278044495"/>
    <s v="Standard"/>
    <s v="empreendedores-dv360-zip-display-small_rectangle-180x150-empreendedores_zip_animada_bau-affinities_inmarket_empreendedores-cpm"/>
    <s v="472151884"/>
    <s v="Display"/>
    <n v="3"/>
    <n v="0"/>
    <n v="0.04"/>
    <n v="0.1"/>
    <n v="1.1999999999999999E-4"/>
    <n v="3.0000000000000003E-4"/>
  </r>
  <r>
    <x v="2"/>
    <s v="Google Brasil"/>
    <s v="empreendedores-empreendedores-dv360-zip-display-wide_skyscraper-empreendedores_zip_animada_bau-3rdparty_list_micro_empreendedor_individual_tailtarget_e_mei_retargetly"/>
    <s v="278044471"/>
    <s v="Standard"/>
    <s v="empreendedores-dv360-zip-display-wide_skyscraper-160x600-empreendedores_zip_animada_bau-3rdparty_list_micro_empreendedor_individual_tailtarget_e_mei_retargetly-cpm"/>
    <s v="472151860"/>
    <s v="Display"/>
    <n v="47"/>
    <n v="0"/>
    <n v="0.04"/>
    <n v="0.1"/>
    <n v="1.8800000000000002E-3"/>
    <n v="4.7000000000000002E-3"/>
  </r>
  <r>
    <x v="2"/>
    <s v="Google Brasil"/>
    <s v="empreendedores-empreendedores-dv360-zip-display-wide_skyscraper-empreendedores_zip_animada_bau-affinities_inmarket_empreendedores"/>
    <s v="277872218"/>
    <s v="Standard"/>
    <s v="empreendedores-dv360-zip-display-wide_skyscraper-160x600-empreendedores_zip_animada_bau-affinities_inmarket_empreendedores-cpm"/>
    <s v="472323060"/>
    <s v="Display"/>
    <n v="11"/>
    <n v="0"/>
    <n v="0.04"/>
    <n v="0.1"/>
    <n v="4.4000000000000002E-4"/>
    <n v="1.1000000000000001E-3"/>
  </r>
  <r>
    <x v="2"/>
    <s v="Google Brasil"/>
    <s v="empreendedores-empreendedores-dv360_IG-flash-display-halfpage-empreendedores_flash_animada_bau-as_25_pme_empreendedor_individual"/>
    <s v="279581779"/>
    <s v="Standard"/>
    <s v="empreendedores-dv360_IG-flash-display-halfpage-300x600-empreendedores_flash_animada_bau-as_25_pme_empreendedor_individual-cpm"/>
    <s v="473573302"/>
    <s v="Display"/>
    <n v="2314"/>
    <n v="4"/>
    <n v="0.04"/>
    <n v="0.1"/>
    <n v="9.2560000000000003E-2"/>
    <n v="0.23139999999999999"/>
  </r>
  <r>
    <x v="2"/>
    <s v="Google Brasil"/>
    <s v="empreendedores-empreendedores-dv360_IG-flash-display-leaderboard-empreendedores_flash_animada_bau-as_25_pme_empreendedor_individual"/>
    <s v="279581773"/>
    <s v="Standard"/>
    <s v="empreendedores-dv360_IG-flash-display-leaderboard-728x90-empreendedores_flash_animada_bau-as_25_pme_empreendedor_individual-cpm"/>
    <s v="473573296"/>
    <s v="Display"/>
    <n v="11861"/>
    <n v="2"/>
    <n v="0.04"/>
    <n v="0.1"/>
    <n v="0.47443999999999997"/>
    <n v="1.1861000000000002"/>
  </r>
  <r>
    <x v="2"/>
    <s v="Google Brasil"/>
    <s v="empreendedores-empreendedores-dv360_IG-flash-display-medium_rectangle-empreendedores_flash_animada_bau-as_25_pme_empreendedor_individual"/>
    <s v="279581776"/>
    <s v="Standard"/>
    <s v="empreendedores-dv360_IG-flash-display-medium_rectangle-300x250-empreendedores_flash_animada_bau-as_25_pme_empreendedor_individual-cpm"/>
    <s v="473573299"/>
    <s v="Display"/>
    <n v="62431"/>
    <n v="20"/>
    <n v="0.04"/>
    <n v="0.1"/>
    <n v="2.4972400000000001"/>
    <n v="6.2431000000000001"/>
  </r>
  <r>
    <x v="2"/>
    <s v="Google Brasil"/>
    <s v="empreendedores-empreendedores-dv360_IG-flash-display-mobile_leaderboard-empreendedores_flash_animada_bau-as_25_pme_empreendedor_individual"/>
    <s v="279581770"/>
    <s v="Standard"/>
    <s v="empreendedores-dv360_IG-flash-display-mobile_leaderboard-320x50-empreendedores_flash_animada_bau-as_25_pme_empreendedor_individual-cpm"/>
    <s v="473573293"/>
    <s v="Display"/>
    <n v="49808"/>
    <n v="64"/>
    <n v="0.04"/>
    <n v="0.1"/>
    <n v="1.9923199999999999"/>
    <n v="4.9808000000000003"/>
  </r>
  <r>
    <x v="2"/>
    <s v="Google Brasil"/>
    <s v="empreendedores-empreendedores-dv360_IG-zip-display-halfpage-empreendedores_zip_animada_bau-as_25_pme_empreendedor_individual"/>
    <s v="279581767"/>
    <s v="Standard"/>
    <s v="empreendedores-dv360_IG-zip-display-halfpage-300x600-empreendedores_zip_animada_bau-as_25_pme_empreendedor_individual-cpm"/>
    <s v="473573290"/>
    <s v="Display"/>
    <n v="2178"/>
    <n v="4"/>
    <n v="0.04"/>
    <n v="0.1"/>
    <n v="8.7120000000000003E-2"/>
    <n v="0.21780000000000002"/>
  </r>
  <r>
    <x v="2"/>
    <s v="Google Brasil"/>
    <s v="empreendedores-empreendedores-dv360_IG-zip-display-leaderboard-empreendedores_zip_animada_bau-as_25_pme_empreendedor_individual"/>
    <s v="279581761"/>
    <s v="Standard"/>
    <s v="empreendedores-dv360_IG-zip-display-leaderboard-728x90-empreendedores_zip_animada_bau-as_25_pme_empreendedor_individual-cpm"/>
    <s v="473573284"/>
    <s v="Display"/>
    <n v="11647"/>
    <n v="8"/>
    <n v="0.04"/>
    <n v="0.1"/>
    <n v="0.46588000000000002"/>
    <n v="1.1647000000000001"/>
  </r>
  <r>
    <x v="2"/>
    <s v="Google Brasil"/>
    <s v="empreendedores-empreendedores-dv360_IG-zip-display-medium_rectangle-empreendedores_zip_animada_bau-as_25_pme_empreendedor_individual"/>
    <s v="279581764"/>
    <s v="Standard"/>
    <s v="empreendedores-dv360_IG-zip-display-medium_rectangle-300x250-empreendedores_zip_animada_bau-as_25_pme_empreendedor_individual-cpm"/>
    <s v="473573287"/>
    <s v="Display"/>
    <n v="62422"/>
    <n v="13"/>
    <n v="0.04"/>
    <n v="0.1"/>
    <n v="2.49688"/>
    <n v="6.2422000000000004"/>
  </r>
  <r>
    <x v="2"/>
    <s v="Google Brasil"/>
    <s v="empreendedores-empreendedores-dv360_IG-zip-display-mobile_leaderboard-empreendedores_zip_animada_bau-as_25_pme_empreendedor_individual"/>
    <s v="279581758"/>
    <s v="Standard"/>
    <s v="empreendedores-dv360_IG-zip-display-mobile_leaderboard-320x50-empreendedores_zip_animada_bau-as_25_pme_empreendedor_individual-cpm"/>
    <s v="473573281"/>
    <s v="Display"/>
    <n v="50075"/>
    <n v="79"/>
    <n v="0.04"/>
    <n v="0.1"/>
    <n v="2.0030000000000001"/>
    <n v="5.0075000000000003"/>
  </r>
  <r>
    <x v="2"/>
    <s v="Oath - Verizon Media"/>
    <s v="empreendedores-empreendedores-verizon-flash-display-halfpage-empreendedores_flash_animada_bau-pequeno_empreendedor_look-a-like_ e_predictive audience"/>
    <s v="278044528"/>
    <s v="Standard"/>
    <s v="empreendedores-verizon-flash-display-halfpage-300x600-empreendedores_flash_animada_bau-pequeno_empreendedor_look-a-like_ e_predictive audience-cpm"/>
    <s v="472151917"/>
    <s v="Display"/>
    <n v="47334"/>
    <n v="430"/>
    <n v="0.04"/>
    <n v="0.1"/>
    <n v="1.8933600000000002"/>
    <n v="4.7334000000000005"/>
  </r>
  <r>
    <x v="2"/>
    <s v="Oath - Verizon Media"/>
    <s v="empreendedores-empreendedores-verizon-flash-display-mobile_leaderboard-empreendedores_flash_animada_bau-pequeno_empreendedor_look-a-like_ e_predictive audience"/>
    <s v="278044531"/>
    <s v="Standard"/>
    <s v="empreendedores-verizon-flash-display-mobile_leaderboard-320x50-empreendedores_flash_animada_bau-pequeno_empreendedor_look-a-like_ e_predictive audience-cpm"/>
    <s v="472165721"/>
    <s v="Display"/>
    <n v="411572"/>
    <n v="2251"/>
    <n v="0.04"/>
    <n v="0.1"/>
    <n v="16.462880000000002"/>
    <n v="41.157200000000003"/>
  </r>
  <r>
    <x v="2"/>
    <s v="Oath - Verizon Media"/>
    <s v="empreendedores-empreendedores-verizon-flash-display-wide_skyscraper-empreendedores_flash_animada_bau-pequeno_empreendedor_look-a-like_ e_predictive audience"/>
    <s v="278044525"/>
    <s v="Standard"/>
    <s v="empreendedores-verizon-flash-display-wide_skyscraper-160x600-empreendedores_flash_animada_bau-pequeno_empreendedor_look-a-like_ e_predictive audience-cpm"/>
    <s v="472151914"/>
    <s v="Display"/>
    <n v="65733"/>
    <n v="112"/>
    <n v="0.04"/>
    <n v="0.1"/>
    <n v="2.6293200000000003"/>
    <n v="6.5733000000000006"/>
  </r>
  <r>
    <x v="2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227"/>
    <n v="42"/>
    <n v="0.04"/>
    <n v="0.1"/>
    <n v="9.0799999999999995E-3"/>
    <n v="2.2700000000000001E-2"/>
  </r>
  <r>
    <x v="2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337"/>
    <n v="4"/>
    <n v="0.04"/>
    <n v="0.1"/>
    <n v="1.3480000000000001E-2"/>
    <n v="3.3700000000000001E-2"/>
  </r>
  <r>
    <x v="2"/>
    <s v="Oath - Verizon Media"/>
    <s v="empreendedores-empreendedores-verizon-zip-display-halfpage-empreendedores_zip_animada_bau-pequeno_empreendedor_look-a-like_ e_predictive audience"/>
    <s v="278044519"/>
    <s v="Standard"/>
    <s v="empreendedores-verizon-zip-display-halfpage-300x600-empreendedores_zip_animada_bau-pequeno_empreendedor_look-a-like_ e_predictive audience-cpm"/>
    <s v="472151908"/>
    <s v="Display"/>
    <n v="64148"/>
    <n v="529"/>
    <n v="0.04"/>
    <n v="0.1"/>
    <n v="2.5659200000000002"/>
    <n v="6.4148000000000005"/>
  </r>
  <r>
    <x v="2"/>
    <s v="Oath - Verizon Media"/>
    <s v="empreendedores-empreendedores-verizon-zip-display-leaderboard-empreendedores_zip_animada_bau-pequeno_empreendedor_look-a-like_ e_predictive audience"/>
    <s v="278044513"/>
    <s v="Standard"/>
    <s v="empreendedores-verizon-zip-display-leaderboard-728x90-empreendedores_zip_animada_bau-pequeno_empreendedor_look-a-like_ e_predictive audience-cpm"/>
    <s v="472151902"/>
    <s v="Display"/>
    <n v="122722"/>
    <n v="375"/>
    <n v="0.04"/>
    <n v="0.1"/>
    <n v="4.9088799999999999"/>
    <n v="12.272200000000002"/>
  </r>
  <r>
    <x v="2"/>
    <s v="Oath - Verizon Media"/>
    <s v="empreendedores-empreendedores-verizon-zip-display-mobile_leaderboard-empreendedores_zip_animada_bau-pequeno_empreendedor_look-a-like_ e_predictive audience"/>
    <s v="278044522"/>
    <s v="Standard"/>
    <s v="empreendedores-verizon-zip-display-mobile_leaderboard-320x50-empreendedores_zip_animada_bau-pequeno_empreendedor_look-a-like_ e_predictive audience-cpm"/>
    <s v="472151911"/>
    <s v="Display"/>
    <n v="446240"/>
    <n v="1897"/>
    <n v="0.04"/>
    <n v="0.1"/>
    <n v="17.849600000000002"/>
    <n v="44.624000000000002"/>
  </r>
  <r>
    <x v="2"/>
    <s v="Oath - Verizon Media"/>
    <s v="empreendedores-empreendedores-verizon-zip-display-wide_skyscraper-empreendedores_zip_animada_bau-pequeno_empreendedor_look-a-like_ e_predictive audience"/>
    <s v="278044516"/>
    <s v="Standard"/>
    <s v="empreendedores-verizon-zip-display-wide_skyscraper-160x600-empreendedores_zip_animada_bau-pequeno_empreendedor_look-a-like_ e_predictive audience-cpm"/>
    <s v="472151905"/>
    <s v="Display"/>
    <n v="37108"/>
    <n v="96"/>
    <n v="0.04"/>
    <n v="0.1"/>
    <n v="1.4843199999999999"/>
    <n v="3.7108000000000003"/>
  </r>
  <r>
    <x v="2"/>
    <s v="Oath - Verizon Media"/>
    <s v="empreendedores-empreendedores-verizon-zip-native-native-empreendedores_zip_native_bau-pequeno_empreendedor_look-a-like_ e_predictive audience"/>
    <s v="278708886"/>
    <s v="Standard"/>
    <s v="empreendedores-verizon-zip-native-native-627x627-empreendedores_zip_native_bau-pequeno_empreendedor_look-a-like_ e_predictive audience-cpm"/>
    <s v="472713535"/>
    <s v="Tracking"/>
    <n v="4"/>
    <n v="0"/>
    <n v="0.04"/>
    <n v="0.1"/>
    <n v="1.6000000000000001E-4"/>
    <n v="4.0000000000000002E-4"/>
  </r>
  <r>
    <x v="3"/>
    <s v="Oath - Verizon Media"/>
    <s v="nova_cielo-empreendedores-verizon-flash-native-native-flash_atendimento-pequeno_empreendedor"/>
    <s v="271364845"/>
    <s v="Dynamic Click"/>
    <s v="empreendedores-verizon-flash-native-native-1200x627-flash_atendimento-pequeno_empreendedor-cpm"/>
    <s v="465919428"/>
    <s v="Tracking"/>
    <n v="0"/>
    <n v="1"/>
    <n v="3.5000000000000001E-3"/>
    <n v="2.5000000000000001E-2"/>
    <n v="3.5000000000000001E-3"/>
    <n v="2.5000000000000001E-2"/>
  </r>
  <r>
    <x v="3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98"/>
    <n v="1"/>
    <n v="0.04"/>
    <n v="0.1"/>
    <n v="3.9199999999999999E-3"/>
    <n v="9.8000000000000014E-3"/>
  </r>
  <r>
    <x v="4"/>
    <s v="BR Globo"/>
    <s v="pegn-marca-globo-marca-display-carrossel-pegn_cielo_baseig_novaversao-as_25_interesses"/>
    <s v="277224998"/>
    <s v="Standard"/>
    <s v="marca-globo-marca-display-carrossel-400x300-pegn_cielo_baseig_novaversao-as_25_interesses-cpm"/>
    <s v="471607967"/>
    <s v="Tracking"/>
    <n v="19923"/>
    <n v="82"/>
    <n v="0.04"/>
    <n v="0.1"/>
    <n v="0.79692000000000007"/>
    <n v="1.9923000000000002"/>
  </r>
  <r>
    <x v="4"/>
    <s v="BR Globo"/>
    <s v="pegn-marca-globo-marca-display-carrossel-pegn_cielo_coronavoucher-as_25_interesses"/>
    <s v="276812053"/>
    <s v="Standard"/>
    <s v="marca-globo-marca-display-carrossel-400x300-pegn_cielo_coronavoucher-as_25_interesses-cpm"/>
    <s v="471035097"/>
    <s v="Tracking"/>
    <n v="179284"/>
    <n v="494"/>
    <n v="0.04"/>
    <n v="0.1"/>
    <n v="7.1713600000000008"/>
    <n v="17.9284"/>
  </r>
  <r>
    <x v="4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200307"/>
    <n v="666"/>
    <n v="0.04"/>
    <n v="0.1"/>
    <n v="8.0122800000000005"/>
    <n v="20.0307"/>
  </r>
  <r>
    <x v="4"/>
    <s v="BR Globo"/>
    <s v="pegn-marca-globo-marca-display-maxiboard-pegn_cielo_baseig_novaversao-as_25_interesses"/>
    <s v="277225001"/>
    <s v="Standard"/>
    <s v="marca-globo-marca-display-maxiboard-970x150-pegn_cielo_baseig_novaversao-as_25_interesses-cpm"/>
    <s v="471607970"/>
    <s v="Display"/>
    <n v="14862"/>
    <n v="5"/>
    <n v="0.04"/>
    <n v="0.1"/>
    <n v="0.59448000000000001"/>
    <n v="1.4862"/>
  </r>
  <r>
    <x v="4"/>
    <s v="BR Globo"/>
    <s v="pegn-marca-globo-marca-display-maxiboard-pegn_cielo_coronavoucher-as_25_interesses"/>
    <s v="276487391"/>
    <s v="Standard"/>
    <s v="marca-globo-marca-display-maxiboard-970x150-pegn_cielo_coronavoucher-as_25_interesses-cpm"/>
    <s v="470964913"/>
    <s v="Display"/>
    <n v="98914"/>
    <n v="41"/>
    <n v="0.04"/>
    <n v="0.1"/>
    <n v="3.9565600000000001"/>
    <n v="9.8914000000000009"/>
  </r>
  <r>
    <x v="4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51933"/>
    <n v="18"/>
    <n v="0.04"/>
    <n v="0.1"/>
    <n v="2.0773200000000003"/>
    <n v="5.1932999999999998"/>
  </r>
  <r>
    <x v="4"/>
    <s v="BR Globo"/>
    <s v="pegn-marca-globo-marca-display-medium_rectangle-pegn_cielo_baseig_novaversao-as_25_interesses"/>
    <s v="277225004"/>
    <s v="Standard"/>
    <s v="marca-globo-marca-display-medium_rectangle-300x250-pegn_cielo_baseig_novaversao-as_25_interesses-cpm"/>
    <s v="471607973"/>
    <s v="Display"/>
    <n v="110498"/>
    <n v="239"/>
    <n v="0.04"/>
    <n v="0.1"/>
    <n v="4.4199200000000003"/>
    <n v="11.049800000000001"/>
  </r>
  <r>
    <x v="4"/>
    <s v="BR Globo"/>
    <s v="pegn-marca-globo-marca-display-medium_rectangle-pegn_cielo_coronavoucher-as_25_interesses"/>
    <s v="276487394"/>
    <s v="Standard"/>
    <s v="marca-globo-marca-display-medium_rectangle-300x250-pegn_cielo_coronavoucher-as_25_interesses-cpm"/>
    <s v="470964916"/>
    <s v="Display"/>
    <n v="464810"/>
    <n v="1152"/>
    <n v="0.04"/>
    <n v="0.1"/>
    <n v="18.592400000000001"/>
    <n v="46.481000000000002"/>
  </r>
  <r>
    <x v="4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521213"/>
    <n v="1205"/>
    <n v="0.04"/>
    <n v="0.1"/>
    <n v="20.848520000000001"/>
    <n v="52.121300000000005"/>
  </r>
  <r>
    <x v="4"/>
    <s v="BR Globo"/>
    <s v="pegn-marca-globo-marca-display-stick_ad-pegn_cielo_baseig_novaversao-as_25_interesses"/>
    <s v="277225007"/>
    <s v="Standard"/>
    <s v="marca-globo-marca-display-stick_ad-320x50-pegn_cielo_baseig_novaversao-as_25_interesses-cpm"/>
    <s v="471607976"/>
    <s v="Display"/>
    <n v="745"/>
    <n v="5"/>
    <n v="0.04"/>
    <n v="0.1"/>
    <n v="2.98E-2"/>
    <n v="7.4499999999999997E-2"/>
  </r>
  <r>
    <x v="4"/>
    <s v="BR Globo"/>
    <s v="pegn-marca-globo-marca-display-stick_ad-pegn_cielo_coronavoucher-as_25_interesses"/>
    <s v="276487397"/>
    <s v="Standard"/>
    <s v="marca-globo-marca-display-stick_ad-320x50-pegn_cielo_coronavoucher-as_25_interesses-cpm"/>
    <s v="470964919"/>
    <s v="Display"/>
    <n v="5787"/>
    <n v="15"/>
    <n v="0.04"/>
    <n v="0.1"/>
    <n v="0.23148000000000002"/>
    <n v="0.57869999999999999"/>
  </r>
  <r>
    <x v="4"/>
    <s v="BR Globo"/>
    <s v="pegn-marca-globo-marca-native-carrossel-pegn_cielo_movimenta-as_25_empreendedores"/>
    <s v="271310447"/>
    <s v="Standard"/>
    <s v="marca-globo-marca-native-carrossel-400x300-pegn_cielo_movimenta-as_25_empreendedores-cpm"/>
    <s v="466143799"/>
    <s v="Tracking"/>
    <n v="1"/>
    <n v="0"/>
    <n v="0.04"/>
    <n v="0.1"/>
    <n v="4.0000000000000003E-5"/>
    <n v="1E-4"/>
  </r>
  <r>
    <x v="5"/>
    <s v="Cazamba"/>
    <s v="superlink-marca-cazamba-superlink-display-Widescreen-sl_luta_diaria-as25_empreendedor_varejo_interesses"/>
    <s v="275741510"/>
    <s v="Dynamic Click"/>
    <s v="marca-cazamba-superlink-display-Widescreen-730x50-sl_luta_diaria-as25_empreendedor_varejo_interesses-cpm"/>
    <s v="470275304"/>
    <s v="Tracking"/>
    <n v="1"/>
    <n v="1"/>
    <n v="3.5000000000000001E-3"/>
    <n v="2.5000000000000001E-2"/>
    <n v="3.5000000000000001E-3"/>
    <n v="2.5000000000000001E-2"/>
  </r>
  <r>
    <x v="5"/>
    <s v="Google Brasil"/>
    <s v="superlink-marca-dv360_Cazamba-superlink-display-Interstitial-sl_luta_diaria-as25_empreendedor_varejo_interesses"/>
    <s v="279352308"/>
    <s v="Standard"/>
    <s v="marca-dv360_Cazamba-superlink-display-Interstitial-640x960-sl_luta_diaria-as25_empreendedor_varejo_interesses-cpm"/>
    <s v="473341439"/>
    <s v="Tracking"/>
    <n v="73315"/>
    <n v="574"/>
    <n v="0.04"/>
    <n v="0.1"/>
    <n v="2.9325999999999999"/>
    <n v="7.3315000000000001"/>
  </r>
  <r>
    <x v="5"/>
    <s v="Google Brasil"/>
    <s v="superlink-marca-dv360_Outbrain-superlink-native-native-superlink_vendapelasredessociais-AS25_microempreendedor_medioempreendedor_negocios_vendasonline_donosdenegocios"/>
    <s v="277720724"/>
    <s v="Dynamic Click"/>
    <s v="marca-dv360_Outbrain-superlink-native-native-1200x627-superlink_vendapelasredessociais-AS25_microempreendedor_medioempreendedor_negocios_vendasonline_donosdenegocios-cpc"/>
    <s v="472188957"/>
    <s v="Tracking"/>
    <n v="0"/>
    <n v="26965"/>
    <n v="3.5000000000000001E-3"/>
    <n v="2.5000000000000001E-2"/>
    <n v="94.377499999999998"/>
    <n v="674.125"/>
  </r>
  <r>
    <x v="5"/>
    <s v="Google Brasil"/>
    <s v="superlink-marca-dv360_Outbrain-superlink-native-native_highimpact-superlink_vendapelasredessociais-AS25_microempreendedor_medioempreendedor_negocios_vendasonline_donosdenegocios"/>
    <s v="279256134"/>
    <s v="Dynamic Click"/>
    <s v="marca-dv360_Outbrain-superlink-native-native_highimpact-1200x627-superlink_vendapelasredessociais-AS25_microempreendedor_medioempreendedor_negocios_vendasonline_donosdenegocios-cpc"/>
    <s v="473287627"/>
    <s v="Tracking"/>
    <n v="2"/>
    <n v="3"/>
    <n v="3.5000000000000001E-3"/>
    <n v="2.5000000000000001E-2"/>
    <n v="1.0500000000000001E-2"/>
    <n v="7.5000000000000011E-2"/>
  </r>
  <r>
    <x v="5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2993847"/>
    <n v="4344"/>
    <n v="0.04"/>
    <n v="0.1"/>
    <n v="119.75388000000001"/>
    <n v="299.38470000000001"/>
  </r>
  <r>
    <x v="5"/>
    <s v="Google Brasil"/>
    <s v="superlink-marca-dv360_Roix-superlink-video-pre_roll-superlink_video30s-as25_microempreendedor_medioempreendedor_negocios_vendasonline_donosdenegocios"/>
    <s v="276627353"/>
    <s v="Rich Media display banner"/>
    <s v="marca-dv360_Roix-superlink-video-pre_roll-1920x1080-superlink_video30s-as25_microempreendedor_medioempreendedor_negocios_vendasonline_donosdenegocios-cpm"/>
    <s v="471083030"/>
    <s v="In-Stream Video"/>
    <n v="495982"/>
    <n v="1360"/>
    <n v="0.6"/>
    <n v="0.35"/>
    <n v="297.58920000000001"/>
    <n v="173.59369999999998"/>
  </r>
  <r>
    <x v="5"/>
    <s v="Google Brasil"/>
    <s v="superlink-marca-dv360_Seedtag-superlink-video-pre_roll-superlink_video30s-as25_microempreendedor_medioempreendedor_negocios_vendasonline_donosdenegocios"/>
    <s v="276627347"/>
    <s v="Rich Media display banner"/>
    <s v="marca-dv360_Seedtag-superlink-video-pre_roll-1920x1080-superlink_video30s-as25_microempreendedor_medioempreendedor_negocios_vendasonline_donosdenegocios-cpm"/>
    <s v="471083024"/>
    <s v="In-Stream Video"/>
    <n v="806649"/>
    <n v="2335"/>
    <n v="0.6"/>
    <n v="0.35"/>
    <n v="483.98939999999999"/>
    <n v="282.32714999999996"/>
  </r>
  <r>
    <x v="5"/>
    <s v="Google Brasil"/>
    <s v="superlink-marca-dv360_Smartclip-superlink-video-pre_roll-superlink_video30s-as25_microempreendedor_medioempreendedor_negocios_vendasonline_donosdenegocios"/>
    <s v="276627350"/>
    <s v="Rich Media display banner"/>
    <s v="marca-dv360_Smartclip-superlink-video-pre_roll-1920x1080-superlink_video30s-as25_microempreendedor_medioempreendedor_negocios_vendasonline_donosdenegocios-cpm"/>
    <s v="471083027"/>
    <s v="In-Stream Video"/>
    <n v="564464"/>
    <n v="2564"/>
    <n v="0.6"/>
    <n v="0.35"/>
    <n v="338.67839999999995"/>
    <n v="197.5624"/>
  </r>
  <r>
    <x v="5"/>
    <s v="Google Brasil"/>
    <s v="superlink-marca-dv360_Spotify-superlink-video-pre_roll-superlink_video30s-as25_microempreendedor_medioempreendedor_negocios_vendasonline_donosdenegocios"/>
    <s v="276627344"/>
    <s v="Rich Media display banner"/>
    <s v="marca-dv360_Spotify-superlink-video-pre_roll-1920x1080-superlink_video30s-as25_microempreendedor_medioempreendedor_negocios_vendasonline_donosdenegocios-cpm"/>
    <s v="471083021"/>
    <s v="In-Stream Video"/>
    <n v="351196"/>
    <n v="4315"/>
    <n v="0.6"/>
    <n v="0.35"/>
    <n v="210.7176"/>
    <n v="122.9186"/>
  </r>
  <r>
    <x v="5"/>
    <s v="Google Brasil"/>
    <s v="superlink-marca-dv360_Spotify-superlink-video-pre_roll-superlink_video30s-as25_microempreendedor_medioempreendedor_negocios_vendasonline_donosdenegocios"/>
    <s v="276627344"/>
    <s v="Rich Media display banner"/>
    <s v="Default In-stream Landscape Ad"/>
    <s v="470164574"/>
    <s v="In-Stream Video"/>
    <n v="1"/>
    <n v="0"/>
    <n v="0.6"/>
    <n v="0.35"/>
    <n v="5.9999999999999995E-4"/>
    <n v="3.5E-4"/>
  </r>
  <r>
    <x v="5"/>
    <s v="Google Brasil"/>
    <s v="superlink-marca-dv360_Taboola-superlink-video-pre_roll-superlink_video30s-as25_microempreendedor_medioempreendedor_negocios_vendasonline_donosdenegocios"/>
    <s v="278996678"/>
    <s v="Rich Media display banner"/>
    <s v="marca-dv360_Taboola-superlink-video-pre_roll-1920x1080-superlink_video30s-as25_microempreendedor_medioempreendedor_negocios_vendasonline_donosdenegocios-cpm"/>
    <s v="473259998"/>
    <s v="In-Stream Video"/>
    <n v="266510"/>
    <n v="468"/>
    <n v="0.6"/>
    <n v="0.35"/>
    <n v="159.90600000000001"/>
    <n v="93.278499999999994"/>
  </r>
  <r>
    <x v="5"/>
    <s v="Google Brasil"/>
    <s v="superlink-marca-dv360_antagonista-superlink-display-halfpage-luta_diaria-AS25_microempreendedor_medioempreendedor_negocios_vendasonline_donosdenegocios"/>
    <s v="279171768"/>
    <s v="Standard"/>
    <s v="marca-dv360_antagonista-superlink-display-halfpage-300x600-luta_diaria-AS25_microempreendedor_medioempreendedor_negocios_vendasonline_donosdenegocios-cpm"/>
    <s v="473224374"/>
    <s v="Display"/>
    <n v="468142"/>
    <n v="965"/>
    <n v="0.04"/>
    <n v="0.1"/>
    <n v="18.725680000000001"/>
    <n v="46.814200000000007"/>
  </r>
  <r>
    <x v="5"/>
    <s v="Google Brasil"/>
    <s v="superlink-marca-dv360_antagonista-superlink-display-leaderboard-luta_diaria-AS25_microempreendedor_medioempreendedor_negocios_vendasonline_donosdenegocios"/>
    <s v="279164983"/>
    <s v="Default"/>
    <s v="728x90 Default Web Ad"/>
    <s v="469359923"/>
    <s v="Display"/>
    <n v="1"/>
    <n v="1"/>
    <n v="0.04"/>
    <n v="0.1"/>
    <n v="4.0000000000000003E-5"/>
    <n v="1E-4"/>
  </r>
  <r>
    <x v="5"/>
    <s v="Google Brasil"/>
    <s v="superlink-marca-dv360_antagonista-superlink-display-leaderboard-luta_diaria-AS25_microempreendedor_medioempreendedor_negocios_vendasonline_donosdenegocios"/>
    <s v="279164983"/>
    <s v="Standard"/>
    <s v="superlink-comportamental-leaderboard-728x90-superlink-cpm-luta_diaria-tag"/>
    <s v="473152157"/>
    <s v="Display"/>
    <n v="1"/>
    <n v="0"/>
    <n v="0.04"/>
    <n v="0.1"/>
    <n v="4.0000000000000003E-5"/>
    <n v="1E-4"/>
  </r>
  <r>
    <x v="5"/>
    <s v="Google Brasil"/>
    <s v="superlink-marca-dv360_antagonista-superlink-display-medium_rectangle-luta_diaria-AS25_microempreendedor_medioempreendedor_negocios_vendasonline_donosdenegocios"/>
    <s v="278897222"/>
    <s v="Default"/>
    <s v="300x250 Default Web Ad"/>
    <s v="469441638"/>
    <s v="Display"/>
    <n v="1"/>
    <n v="1"/>
    <n v="0.04"/>
    <n v="0.1"/>
    <n v="4.0000000000000003E-5"/>
    <n v="1E-4"/>
  </r>
  <r>
    <x v="5"/>
    <s v="Google Brasil"/>
    <s v="superlink-marca-dv360_antagonista-superlink-display-medium_rectangle-luta_diaria-AS25_microempreendedor_medioempreendedor_negocios_vendasonline_donosdenegocios"/>
    <s v="278897222"/>
    <s v="Standard"/>
    <s v="superlink-comportamental-medium_rectangle-300x250-superlink-cpm-luta_diaria-tag"/>
    <s v="473217546"/>
    <s v="Display"/>
    <n v="232993"/>
    <n v="36"/>
    <n v="0.04"/>
    <n v="0.1"/>
    <n v="9.3197200000000002"/>
    <n v="23.299300000000002"/>
  </r>
  <r>
    <x v="5"/>
    <s v="Google Brasil"/>
    <s v="superlink-marca-dv360_antagonista-superlink-display-skyscraper-luta_diaria-AS25_microempreendedor_medioempreendedor_negocios_vendasonline_donosdenegocios"/>
    <s v="278897225"/>
    <s v="Standard"/>
    <s v="160x600 Default Web Ad"/>
    <s v="469372642"/>
    <s v="Display"/>
    <n v="2"/>
    <n v="1"/>
    <n v="0.04"/>
    <n v="0.1"/>
    <n v="8.0000000000000007E-5"/>
    <n v="2.0000000000000001E-4"/>
  </r>
  <r>
    <x v="5"/>
    <s v="Google Brasil"/>
    <s v="superlink-marca-dv360_antagonista-superlink-display-skyscraper-luta_diaria-AS25_microempreendedor_medioempreendedor_negocios_vendasonline_donosdenegocios"/>
    <s v="278897225"/>
    <s v="Standard"/>
    <s v="superlink-comportamental-skyscraper-160x600-superlink-cpm-luta_diaria-tag"/>
    <s v="473191306"/>
    <s v="Display"/>
    <n v="485280"/>
    <n v="471"/>
    <n v="0.04"/>
    <n v="0.1"/>
    <n v="19.411200000000001"/>
    <n v="48.527999999999999"/>
  </r>
  <r>
    <x v="5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565098"/>
    <n v="5144"/>
    <n v="0.04"/>
    <n v="0.1"/>
    <n v="22.603920000000002"/>
    <n v="56.509800000000006"/>
  </r>
  <r>
    <x v="5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2972274"/>
    <n v="4992"/>
    <n v="0.04"/>
    <n v="0.1"/>
    <n v="118.89096000000001"/>
    <n v="297.22740000000005"/>
  </r>
  <r>
    <x v="5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852610"/>
    <n v="289"/>
    <n v="0.04"/>
    <n v="0.1"/>
    <n v="34.104399999999998"/>
    <n v="85.260999999999996"/>
  </r>
  <r>
    <x v="5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"/>
    <n v="0"/>
    <n v="0.04"/>
    <n v="0.1"/>
    <n v="4.0000000000000003E-5"/>
    <n v="1E-4"/>
  </r>
  <r>
    <x v="5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1540656"/>
    <n v="2756"/>
    <n v="0.04"/>
    <n v="0.1"/>
    <n v="61.626239999999996"/>
    <n v="154.06560000000002"/>
  </r>
  <r>
    <x v="5"/>
    <s v="Oath - Verizon Media"/>
    <s v="superlink-marca-verizon-superlink-display-skyscraper-superlink_coronavoucher-AS25_microempreendedor_medioempreendedor_negocios_vendasonline_donosdenegocios"/>
    <s v="276183345"/>
    <s v="Standard"/>
    <s v="marca-verizon-superlink-display-skyscraper-160x600-superlink_coronavoucher-AS25_microempreendedor_medioempreendedor_negocios_vendasonline_donosdenegocios-cpm"/>
    <s v="470337935"/>
    <s v="Display"/>
    <n v="1"/>
    <n v="0"/>
    <n v="0.04"/>
    <n v="0.1"/>
    <n v="4.0000000000000003E-5"/>
    <n v="1E-4"/>
  </r>
  <r>
    <x v="5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493480"/>
    <n v="9232"/>
    <n v="0.04"/>
    <n v="0.1"/>
    <n v="19.7392"/>
    <n v="49.347999999999999"/>
  </r>
  <r>
    <x v="5"/>
    <s v="Oath - Verizon Media"/>
    <s v="superlink-marca-verizon-superlink-native-native-superlink_coronavoucher-AS25_microempreendedor_medioempreendedor_negocios_vendasonline_donosdenegocios"/>
    <s v="276183333"/>
    <s v="Standard"/>
    <s v="marca-verizon-superlink-native-native-1200x627-superlink_coronavoucher-AS25_microempreendedor_medioempreendedor_negocios_vendasonline_donosdenegocios-cpc"/>
    <s v="470337923"/>
    <s v="Tracking"/>
    <n v="2"/>
    <n v="1"/>
    <n v="0.04"/>
    <n v="0.1"/>
    <n v="8.0000000000000007E-5"/>
    <n v="2.0000000000000001E-4"/>
  </r>
  <r>
    <x v="5"/>
    <s v="Oath - Verizon Media"/>
    <s v="superlink-marca-verizon-superlink-native-native-superlink_vendas-AS25_microempreendedor_medioempreendedor_negocios_vendasonline_donosdenegocios"/>
    <s v="277693553"/>
    <s v="Standard"/>
    <s v="marca-verizon-superlink-native-native-1200x627-superlink_vendas-AS25_microempreendedor_medioempreendedor_negocios_vendasonline_donosdenegocios-cpc"/>
    <s v="472074485"/>
    <s v="Tracking"/>
    <n v="1163349"/>
    <n v="10533"/>
    <n v="0.04"/>
    <n v="0.1"/>
    <n v="46.53396"/>
    <n v="116.3349"/>
  </r>
  <r>
    <x v="5"/>
    <s v="Oath - Verizon Media"/>
    <s v="superlink-marca-verizon-superlink-video-pre_roll-superlink_video30s-as25_empreendedor_varejo"/>
    <s v="276841577"/>
    <s v="Rich Media display banner"/>
    <s v="marca-verizon-superlink-video-pre_roll-1920x1080-superlink_video30s-as25_empreendedor_varejo-cpm"/>
    <s v="471339312"/>
    <s v="In-Stream Video"/>
    <n v="90666"/>
    <n v="1560"/>
    <n v="0.6"/>
    <n v="0.35"/>
    <n v="54.3996"/>
    <n v="31.7331"/>
  </r>
  <r>
    <x v="5"/>
    <s v="Oath - Verizon Media"/>
    <s v="superlink-marca-verizon-superlink-video-pre_roll-superlink_video30s-remarketing"/>
    <s v="277179312"/>
    <s v="Rich Media display banner"/>
    <s v="marca-verizon-superlink-video-pre_roll-1920x1080-superlink_video30s-remarketing-cpm"/>
    <s v="471340215"/>
    <s v="In-Stream Video"/>
    <n v="702572"/>
    <n v="14619"/>
    <n v="0.6"/>
    <n v="0.35"/>
    <n v="421.54320000000001"/>
    <n v="245.90019999999998"/>
  </r>
  <r>
    <x v="6"/>
    <s v="Google Brasil"/>
    <s v="superlink-marca-dv360-superlink-display-halfpage-luta_diaria-remarketing"/>
    <s v="277526230"/>
    <s v="Standard"/>
    <s v="300x600 Default Web Ad"/>
    <s v="471115150"/>
    <s v="Display"/>
    <n v="6"/>
    <n v="0"/>
    <n v="0.04"/>
    <n v="0.1"/>
    <n v="2.3999999999999998E-4"/>
    <n v="6.0000000000000006E-4"/>
  </r>
  <r>
    <x v="6"/>
    <s v="Google Brasil"/>
    <s v="superlink-marca-dv360-superlink-display-halfpage-luta_diaria-remarketing"/>
    <s v="277526230"/>
    <s v="Standard"/>
    <s v="marca-dv360-superlink-display-halfpage-300x600-luta_diaria-remarketing-cpm"/>
    <s v="471603932"/>
    <s v="Display"/>
    <n v="9424919"/>
    <n v="391672"/>
    <n v="0.04"/>
    <n v="0.1"/>
    <n v="376.99675999999999"/>
    <n v="942.49189999999999"/>
  </r>
  <r>
    <x v="6"/>
    <s v="Google Brasil"/>
    <s v="superlink-marca-dv360-superlink-display-leaderboard-luta_diaria-remarketing"/>
    <s v="277534597"/>
    <s v="Standard"/>
    <s v="marca-dv360-superlink-display-leaderboard-728x90-luta_diaria-remarketing-cpm"/>
    <s v="471713973"/>
    <s v="Display"/>
    <n v="1345909"/>
    <n v="11609"/>
    <n v="0.04"/>
    <n v="0.1"/>
    <n v="53.836359999999999"/>
    <n v="134.5909"/>
  </r>
  <r>
    <x v="6"/>
    <s v="Google Brasil"/>
    <s v="superlink-marca-dv360-superlink-display-medium_rectangle-luta_diaria-remarketing"/>
    <s v="277526233"/>
    <s v="Standard"/>
    <s v="300x250 Default Web Ad"/>
    <s v="471081212"/>
    <s v="Display"/>
    <n v="4"/>
    <n v="0"/>
    <n v="0.04"/>
    <n v="0.1"/>
    <n v="1.6000000000000001E-4"/>
    <n v="4.0000000000000002E-4"/>
  </r>
  <r>
    <x v="6"/>
    <s v="Google Brasil"/>
    <s v="superlink-marca-dv360-superlink-display-medium_rectangle-luta_diaria-remarketing"/>
    <s v="277526233"/>
    <s v="Standard"/>
    <s v="marca-dv360-superlink-display-medium_rectangle-300x250-luta_diaria-remarketing-cpm"/>
    <s v="471603935"/>
    <s v="Display"/>
    <n v="13170997"/>
    <n v="280643"/>
    <n v="0.04"/>
    <n v="0.1"/>
    <n v="526.83987999999999"/>
    <n v="1317.0997000000002"/>
  </r>
  <r>
    <x v="6"/>
    <s v="Google Brasil"/>
    <s v="superlink-marca-dv360-superlink-display-skyscraper-luta_diaria-remarketing"/>
    <s v="277526236"/>
    <s v="Standard"/>
    <s v="marca-dv360-superlink-display-skyscraper-160x600-luta_diaria-remarketing-cpm"/>
    <s v="471603938"/>
    <s v="Display"/>
    <n v="48189"/>
    <n v="501"/>
    <n v="0.04"/>
    <n v="0.1"/>
    <n v="1.9275599999999999"/>
    <n v="4.8189000000000002"/>
  </r>
  <r>
    <x v="6"/>
    <s v="Oath - Verizon Media"/>
    <s v="superlink-marca-verizon-superlink-display-halfpage-luta_diaria-remarketing"/>
    <s v="276653099"/>
    <s v="Standard"/>
    <s v="marca-verizon-superlink-display-halfpage-300x600-luta_diaria-remarketing-cpm"/>
    <s v="471079367"/>
    <s v="Display"/>
    <n v="456271"/>
    <n v="280"/>
    <n v="0.04"/>
    <n v="0.1"/>
    <n v="18.25084"/>
    <n v="45.627100000000006"/>
  </r>
  <r>
    <x v="6"/>
    <s v="Oath - Verizon Media"/>
    <s v="superlink-marca-verizon-superlink-display-leaderboard-luta_diaria-remarketing"/>
    <s v="276653096"/>
    <s v="Standard"/>
    <s v="marca-verizon-superlink-display-leaderboard-728x90-luta_diaria-remarketing-cpm"/>
    <s v="471079364"/>
    <s v="Display"/>
    <n v="1042339"/>
    <n v="1126"/>
    <n v="0.04"/>
    <n v="0.1"/>
    <n v="41.693559999999998"/>
    <n v="104.23390000000001"/>
  </r>
  <r>
    <x v="6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1087020"/>
    <n v="316"/>
    <n v="0.04"/>
    <n v="0.1"/>
    <n v="43.480800000000002"/>
    <n v="108.702"/>
  </r>
  <r>
    <x v="6"/>
    <s v="Oath - Verizon Media"/>
    <s v="superlink-marca-verizon-superlink-display-skyscraper-luta_diaria-remarketing"/>
    <s v="276653102"/>
    <s v="Standard"/>
    <s v="marca-verizon-superlink-display-skyscraper-160x600-luta_diaria-remarketing-cpm"/>
    <s v="471079370"/>
    <s v="Display"/>
    <n v="763913"/>
    <n v="443"/>
    <n v="0.04"/>
    <n v="0.1"/>
    <n v="30.556519999999999"/>
    <n v="76.391300000000001"/>
  </r>
  <r>
    <x v="6"/>
    <s v="Oath - Verizon Media"/>
    <s v="superlink-marca-verizon-superlink-native-native-superlink_entrega-integrada-remarketing"/>
    <s v="277694651"/>
    <s v="Standard"/>
    <s v="marca-verizon-superlink-native-native-1200x627-superlink_entrega-integrada-remarketing-cpc"/>
    <s v="472079209"/>
    <s v="Tracking"/>
    <n v="703"/>
    <n v="10"/>
    <n v="0.04"/>
    <n v="0.1"/>
    <n v="2.8120000000000003E-2"/>
    <n v="7.0300000000000001E-2"/>
  </r>
  <r>
    <x v="6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176000"/>
    <n v="6390"/>
    <n v="0.04"/>
    <n v="0.1"/>
    <n v="7.04"/>
    <n v="17.600000000000001"/>
  </r>
  <r>
    <x v="6"/>
    <s v="afilio.com.br"/>
    <s v="superlink-marca-afilio-superlink-display-halfpage-luta_diaria-as25_microempreendedor_medioempreendedor_negocios_vendasonline_donosdenegocios"/>
    <s v="277004367"/>
    <s v="Standard"/>
    <s v="marca-afilio-superlink-display-halfpage-300x600-luta_diaria-as25_microempreendedor_medioempreendedor_negocios_vendasonline_donosdenegocios-cpvisita"/>
    <s v="471083149"/>
    <s v="Tracking"/>
    <n v="17"/>
    <n v="0"/>
    <n v="0.04"/>
    <n v="0.1"/>
    <n v="6.8000000000000005E-4"/>
    <n v="1.7000000000000001E-3"/>
  </r>
  <r>
    <x v="6"/>
    <s v="afilio.com.br"/>
    <s v="superlink-marca-afilio-superlink-display-leaderboard-luta_diaria-as25_microempreendedor_medioempreendedor_negocios_vendasonline_donosdenegocios"/>
    <s v="277004364"/>
    <s v="Standard"/>
    <s v="marca-afilio-superlink-display-leaderboard-728x90-luta_diaria-as25_microempreendedor_medioempreendedor_negocios_vendasonline_donosdenegocios-cpvisita"/>
    <s v="471083146"/>
    <s v="Tracking"/>
    <n v="367"/>
    <n v="266"/>
    <n v="0.04"/>
    <n v="0.1"/>
    <n v="1.468E-2"/>
    <n v="3.6700000000000003E-2"/>
  </r>
  <r>
    <x v="6"/>
    <s v="afilio.com.br"/>
    <s v="superlink-marca-afilio-superlink-display-medium_rectangle-luta_diaria-as25_microempreendedor_medioempreendedor_negocios_vendasonline_donosdenegocios"/>
    <s v="277002747"/>
    <s v="Standard"/>
    <s v="marca-afilio-superlink-display-medium_rectangle-300x250-luta_diaria-as25_microempreendedor_medioempreendedor_negocios_vendasonline_donosdenegocios-cpvisita"/>
    <s v="471082640"/>
    <s v="Tracking"/>
    <n v="35"/>
    <n v="3"/>
    <n v="0.04"/>
    <n v="0.1"/>
    <n v="1.4000000000000002E-3"/>
    <n v="3.5000000000000001E-3"/>
  </r>
  <r>
    <x v="6"/>
    <s v="afilio.com.br"/>
    <s v="superlink-marca-afilio-superlink-display-skyscraper-luta_diaria-as25_microempreendedor_medioempreendedor_negocios_vendasonline_donosdenegocios"/>
    <s v="277004370"/>
    <s v="Standard"/>
    <s v="marca-afilio-superlink-display-skyscraper-160x600-luta_diaria-as25_microempreendedor_medioempreendedor_negocios_vendasonline_donosdenegocios-cpvisita"/>
    <s v="471083152"/>
    <s v="Tracking"/>
    <n v="33"/>
    <n v="1"/>
    <n v="0.04"/>
    <n v="0.1"/>
    <n v="1.32E-3"/>
    <n v="3.3000000000000004E-3"/>
  </r>
  <r>
    <x v="7"/>
    <s v="Oath - Verizon Media"/>
    <s v="aquisicao-varejo-marca-native-native-voce_e_cielo_azul-as_25-mais_comportamental"/>
    <s v="270479578"/>
    <s v="Dynamic Click"/>
    <s v="varejo-marca-native-native-1200x627-voce_e_cielo_azul-as_25-mais_comportamental-cpm"/>
    <s v="465037878"/>
    <s v="Tracking"/>
    <n v="0"/>
    <n v="1"/>
    <n v="3.5000000000000001E-3"/>
    <n v="2.5000000000000001E-2"/>
    <n v="3.5000000000000001E-3"/>
    <n v="2.5000000000000001E-2"/>
  </r>
  <r>
    <x v="7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1"/>
    <n v="1"/>
    <n v="3.5000000000000001E-3"/>
    <n v="2.5000000000000001E-2"/>
    <n v="3.5000000000000001E-3"/>
    <n v="2.50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AD681-8389-4B93-BC1A-21B522BCA0CF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2" firstHeaderRow="0" firstDataRow="1" firstDataCol="1"/>
  <pivotFields count="14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4"/>
  <sheetViews>
    <sheetView showGridLines="0" tabSelected="1" topLeftCell="B1" workbookViewId="0">
      <selection activeCell="C7" sqref="C7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44103991</v>
      </c>
      <c r="E4" s="9">
        <f>C4*D4/1000</f>
        <v>4410.3991000000005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2</v>
      </c>
      <c r="E5" s="9">
        <f>C5*D5/1000</f>
        <v>2.0000000000000001E-4</v>
      </c>
      <c r="F5" s="16"/>
      <c r="G5" s="9">
        <f>SUM(total_adops_filtrada)</f>
        <v>6232.0883000000003</v>
      </c>
      <c r="H5" s="9">
        <f>SUM(total_ferramenta_filtrada)</f>
        <v>3825.3962199999996</v>
      </c>
    </row>
    <row r="6" spans="1:8">
      <c r="B6" s="8" t="s">
        <v>10</v>
      </c>
      <c r="C6" s="1">
        <v>2.5000000000000001E-2</v>
      </c>
      <c r="D6" s="1">
        <f>SUMIF(adtype_filtrada,$B6,clicks_filtrada)</f>
        <v>26975</v>
      </c>
      <c r="E6" s="9">
        <f>C6*D6</f>
        <v>674.375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3278040</v>
      </c>
      <c r="E8" s="9">
        <f>(C8*D8)/1000</f>
        <v>1147.3140000000001</v>
      </c>
      <c r="F8" s="16"/>
    </row>
    <row r="9" spans="1:8">
      <c r="B9" s="7" t="s">
        <v>19</v>
      </c>
      <c r="C9" s="7"/>
      <c r="D9" s="7"/>
      <c r="E9" s="10">
        <f>SUM(E4:E8)</f>
        <v>6232.0883000000013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44</v>
      </c>
      <c r="C19" t="s">
        <v>28</v>
      </c>
      <c r="D19" t="s">
        <v>55</v>
      </c>
      <c r="E19" t="s">
        <v>56</v>
      </c>
      <c r="F19" t="s">
        <v>10</v>
      </c>
      <c r="G19" t="s">
        <v>57</v>
      </c>
      <c r="H19" t="s">
        <v>58</v>
      </c>
      <c r="I19" t="s">
        <v>24</v>
      </c>
      <c r="J19">
        <v>0</v>
      </c>
      <c r="K19">
        <v>3</v>
      </c>
      <c r="L19" s="2">
        <v>3.5000000000000001E-3</v>
      </c>
      <c r="M19">
        <v>2.5000000000000001E-2</v>
      </c>
      <c r="N19" s="2">
        <v>1.0500000000000001E-2</v>
      </c>
      <c r="O19" s="2">
        <v>7.5000000000000011E-2</v>
      </c>
    </row>
    <row r="20" spans="1:15">
      <c r="B20" t="s">
        <v>44</v>
      </c>
      <c r="C20" t="s">
        <v>28</v>
      </c>
      <c r="D20" t="s">
        <v>59</v>
      </c>
      <c r="E20" t="s">
        <v>60</v>
      </c>
      <c r="F20" t="s">
        <v>12</v>
      </c>
      <c r="G20" t="s">
        <v>61</v>
      </c>
      <c r="H20" t="s">
        <v>62</v>
      </c>
      <c r="I20" t="s">
        <v>24</v>
      </c>
      <c r="J20">
        <v>2</v>
      </c>
      <c r="K20">
        <v>0</v>
      </c>
      <c r="L20" s="2">
        <v>0.04</v>
      </c>
      <c r="M20">
        <v>0.1</v>
      </c>
      <c r="N20" s="2">
        <v>8.0000000000000007E-5</v>
      </c>
      <c r="O20" s="2">
        <v>2.0000000000000001E-4</v>
      </c>
    </row>
    <row r="21" spans="1:15">
      <c r="B21" t="s">
        <v>34</v>
      </c>
      <c r="C21" t="s">
        <v>35</v>
      </c>
      <c r="D21" t="s">
        <v>126</v>
      </c>
      <c r="E21" t="s">
        <v>127</v>
      </c>
      <c r="F21" t="s">
        <v>12</v>
      </c>
      <c r="G21" t="s">
        <v>128</v>
      </c>
      <c r="H21" t="s">
        <v>129</v>
      </c>
      <c r="I21" t="s">
        <v>30</v>
      </c>
      <c r="J21">
        <v>25</v>
      </c>
      <c r="K21">
        <v>0</v>
      </c>
      <c r="L21" s="2">
        <v>0.04</v>
      </c>
      <c r="M21">
        <v>0.1</v>
      </c>
      <c r="N21" s="2">
        <v>1E-3</v>
      </c>
      <c r="O21" s="2">
        <v>2.5000000000000001E-3</v>
      </c>
    </row>
    <row r="22" spans="1:15">
      <c r="B22" t="s">
        <v>34</v>
      </c>
      <c r="C22" t="s">
        <v>35</v>
      </c>
      <c r="D22" t="s">
        <v>441</v>
      </c>
      <c r="E22" t="s">
        <v>442</v>
      </c>
      <c r="F22" t="s">
        <v>12</v>
      </c>
      <c r="G22" t="s">
        <v>443</v>
      </c>
      <c r="H22" t="s">
        <v>444</v>
      </c>
      <c r="I22" t="s">
        <v>30</v>
      </c>
      <c r="J22">
        <v>254372</v>
      </c>
      <c r="K22">
        <v>164</v>
      </c>
      <c r="L22" s="2">
        <v>0.04</v>
      </c>
      <c r="M22">
        <v>0.1</v>
      </c>
      <c r="N22" s="2">
        <v>10.174880000000002</v>
      </c>
      <c r="O22" s="2">
        <v>25.437200000000001</v>
      </c>
    </row>
    <row r="23" spans="1:15">
      <c r="B23" t="s">
        <v>34</v>
      </c>
      <c r="C23" t="s">
        <v>35</v>
      </c>
      <c r="D23" t="s">
        <v>63</v>
      </c>
      <c r="E23" t="s">
        <v>64</v>
      </c>
      <c r="F23" t="s">
        <v>12</v>
      </c>
      <c r="G23" t="s">
        <v>65</v>
      </c>
      <c r="H23" t="s">
        <v>66</v>
      </c>
      <c r="I23" t="s">
        <v>30</v>
      </c>
      <c r="J23">
        <v>6101</v>
      </c>
      <c r="K23">
        <v>2</v>
      </c>
      <c r="L23" s="2">
        <v>0.04</v>
      </c>
      <c r="M23">
        <v>0.1</v>
      </c>
      <c r="N23" s="2">
        <v>0.24403999999999998</v>
      </c>
      <c r="O23" s="2">
        <v>0.61009999999999998</v>
      </c>
    </row>
    <row r="24" spans="1:15">
      <c r="B24" t="s">
        <v>34</v>
      </c>
      <c r="C24" t="s">
        <v>35</v>
      </c>
      <c r="D24" t="s">
        <v>67</v>
      </c>
      <c r="E24" t="s">
        <v>68</v>
      </c>
      <c r="F24" t="s">
        <v>12</v>
      </c>
      <c r="G24" t="s">
        <v>69</v>
      </c>
      <c r="H24" t="s">
        <v>70</v>
      </c>
      <c r="I24" t="s">
        <v>30</v>
      </c>
      <c r="J24">
        <v>59444</v>
      </c>
      <c r="K24">
        <v>39</v>
      </c>
      <c r="L24" s="2">
        <v>0.04</v>
      </c>
      <c r="M24">
        <v>0.1</v>
      </c>
      <c r="N24" s="2">
        <v>2.3777600000000003</v>
      </c>
      <c r="O24" s="2">
        <v>5.9444000000000008</v>
      </c>
    </row>
    <row r="25" spans="1:15">
      <c r="B25" t="s">
        <v>34</v>
      </c>
      <c r="C25" t="s">
        <v>35</v>
      </c>
      <c r="D25" t="s">
        <v>445</v>
      </c>
      <c r="E25" t="s">
        <v>446</v>
      </c>
      <c r="F25" t="s">
        <v>12</v>
      </c>
      <c r="G25" t="s">
        <v>447</v>
      </c>
      <c r="H25" t="s">
        <v>448</v>
      </c>
      <c r="I25" t="s">
        <v>30</v>
      </c>
      <c r="J25">
        <v>17370</v>
      </c>
      <c r="K25">
        <v>17</v>
      </c>
      <c r="L25" s="2">
        <v>0.04</v>
      </c>
      <c r="M25">
        <v>0.1</v>
      </c>
      <c r="N25" s="2">
        <v>0.69480000000000008</v>
      </c>
      <c r="O25" s="2">
        <v>1.7370000000000001</v>
      </c>
    </row>
    <row r="26" spans="1:15">
      <c r="B26" t="s">
        <v>34</v>
      </c>
      <c r="C26" t="s">
        <v>35</v>
      </c>
      <c r="D26" t="s">
        <v>130</v>
      </c>
      <c r="E26" t="s">
        <v>131</v>
      </c>
      <c r="F26" t="s">
        <v>12</v>
      </c>
      <c r="G26" t="s">
        <v>132</v>
      </c>
      <c r="H26" t="s">
        <v>133</v>
      </c>
      <c r="I26" t="s">
        <v>30</v>
      </c>
      <c r="J26">
        <v>1</v>
      </c>
      <c r="K26">
        <v>0</v>
      </c>
      <c r="L26" s="2">
        <v>0.04</v>
      </c>
      <c r="M26">
        <v>0.1</v>
      </c>
      <c r="N26" s="2">
        <v>4.0000000000000003E-5</v>
      </c>
      <c r="O26" s="2">
        <v>1E-4</v>
      </c>
    </row>
    <row r="27" spans="1:15">
      <c r="B27" t="s">
        <v>34</v>
      </c>
      <c r="C27" t="s">
        <v>35</v>
      </c>
      <c r="D27" t="s">
        <v>449</v>
      </c>
      <c r="E27" t="s">
        <v>450</v>
      </c>
      <c r="F27" t="s">
        <v>12</v>
      </c>
      <c r="G27" t="s">
        <v>451</v>
      </c>
      <c r="H27" t="s">
        <v>452</v>
      </c>
      <c r="I27" t="s">
        <v>30</v>
      </c>
      <c r="J27">
        <v>17428</v>
      </c>
      <c r="K27">
        <v>7</v>
      </c>
      <c r="L27" s="2">
        <v>0.04</v>
      </c>
      <c r="M27">
        <v>0.1</v>
      </c>
      <c r="N27" s="2">
        <v>0.69711999999999996</v>
      </c>
      <c r="O27" s="2">
        <v>1.7428000000000001</v>
      </c>
    </row>
    <row r="28" spans="1:15">
      <c r="B28" t="s">
        <v>34</v>
      </c>
      <c r="C28" t="s">
        <v>35</v>
      </c>
      <c r="D28" t="s">
        <v>134</v>
      </c>
      <c r="E28" t="s">
        <v>135</v>
      </c>
      <c r="F28" t="s">
        <v>12</v>
      </c>
      <c r="G28" t="s">
        <v>136</v>
      </c>
      <c r="H28" t="s">
        <v>137</v>
      </c>
      <c r="I28" t="s">
        <v>30</v>
      </c>
      <c r="J28">
        <v>6</v>
      </c>
      <c r="K28">
        <v>8</v>
      </c>
      <c r="L28" s="2">
        <v>0.04</v>
      </c>
      <c r="M28">
        <v>0.1</v>
      </c>
      <c r="N28" s="2">
        <v>2.3999999999999998E-4</v>
      </c>
      <c r="O28" s="2">
        <v>6.0000000000000006E-4</v>
      </c>
    </row>
    <row r="29" spans="1:15">
      <c r="B29" t="s">
        <v>34</v>
      </c>
      <c r="C29" t="s">
        <v>35</v>
      </c>
      <c r="D29" t="s">
        <v>453</v>
      </c>
      <c r="E29" t="s">
        <v>454</v>
      </c>
      <c r="F29" t="s">
        <v>12</v>
      </c>
      <c r="G29" t="s">
        <v>455</v>
      </c>
      <c r="H29" t="s">
        <v>456</v>
      </c>
      <c r="I29" t="s">
        <v>30</v>
      </c>
      <c r="J29">
        <v>140489</v>
      </c>
      <c r="K29">
        <v>326</v>
      </c>
      <c r="L29" s="2">
        <v>0.04</v>
      </c>
      <c r="M29">
        <v>0.1</v>
      </c>
      <c r="N29" s="2">
        <v>5.6195600000000008</v>
      </c>
      <c r="O29" s="2">
        <v>14.048900000000001</v>
      </c>
    </row>
    <row r="30" spans="1:15">
      <c r="B30" t="s">
        <v>34</v>
      </c>
      <c r="C30" t="s">
        <v>35</v>
      </c>
      <c r="D30" t="s">
        <v>71</v>
      </c>
      <c r="E30" t="s">
        <v>72</v>
      </c>
      <c r="F30" t="s">
        <v>12</v>
      </c>
      <c r="G30" t="s">
        <v>73</v>
      </c>
      <c r="H30" t="s">
        <v>74</v>
      </c>
      <c r="I30" t="s">
        <v>30</v>
      </c>
      <c r="J30">
        <v>342543</v>
      </c>
      <c r="K30">
        <v>945</v>
      </c>
      <c r="L30" s="2">
        <v>0.04</v>
      </c>
      <c r="M30">
        <v>0.1</v>
      </c>
      <c r="N30" s="2">
        <v>13.701720000000002</v>
      </c>
      <c r="O30" s="2">
        <v>34.254300000000001</v>
      </c>
    </row>
    <row r="31" spans="1:15">
      <c r="B31" t="s">
        <v>34</v>
      </c>
      <c r="C31" t="s">
        <v>35</v>
      </c>
      <c r="D31" t="s">
        <v>457</v>
      </c>
      <c r="E31" t="s">
        <v>458</v>
      </c>
      <c r="F31" t="s">
        <v>12</v>
      </c>
      <c r="G31" t="s">
        <v>459</v>
      </c>
      <c r="H31" t="s">
        <v>460</v>
      </c>
      <c r="I31" t="s">
        <v>30</v>
      </c>
      <c r="J31">
        <v>1</v>
      </c>
      <c r="K31">
        <v>0</v>
      </c>
      <c r="L31" s="2">
        <v>0.04</v>
      </c>
      <c r="M31">
        <v>0.1</v>
      </c>
      <c r="N31" s="2">
        <v>4.0000000000000003E-5</v>
      </c>
      <c r="O31" s="2">
        <v>1E-4</v>
      </c>
    </row>
    <row r="32" spans="1:15">
      <c r="B32" t="s">
        <v>75</v>
      </c>
      <c r="C32" t="s">
        <v>31</v>
      </c>
      <c r="D32" t="s">
        <v>138</v>
      </c>
      <c r="E32" t="s">
        <v>139</v>
      </c>
      <c r="F32" t="s">
        <v>12</v>
      </c>
      <c r="G32" t="s">
        <v>140</v>
      </c>
      <c r="H32" t="s">
        <v>141</v>
      </c>
      <c r="I32" t="s">
        <v>30</v>
      </c>
      <c r="J32">
        <v>9</v>
      </c>
      <c r="K32">
        <v>0</v>
      </c>
      <c r="L32" s="2">
        <v>0.04</v>
      </c>
      <c r="M32">
        <v>0.1</v>
      </c>
      <c r="N32" s="2">
        <v>3.5999999999999997E-4</v>
      </c>
      <c r="O32" s="2">
        <v>8.9999999999999998E-4</v>
      </c>
    </row>
    <row r="33" spans="2:15">
      <c r="B33" t="s">
        <v>75</v>
      </c>
      <c r="C33" t="s">
        <v>31</v>
      </c>
      <c r="D33" t="s">
        <v>142</v>
      </c>
      <c r="E33" t="s">
        <v>144</v>
      </c>
      <c r="F33" t="s">
        <v>12</v>
      </c>
      <c r="G33" t="s">
        <v>143</v>
      </c>
      <c r="H33" t="s">
        <v>145</v>
      </c>
      <c r="I33" t="s">
        <v>30</v>
      </c>
      <c r="J33">
        <v>132819</v>
      </c>
      <c r="K33">
        <v>11800</v>
      </c>
      <c r="L33" s="2">
        <v>0.04</v>
      </c>
      <c r="M33">
        <v>0.1</v>
      </c>
      <c r="N33" s="2">
        <v>5.3127599999999999</v>
      </c>
      <c r="O33" s="2">
        <v>13.281900000000002</v>
      </c>
    </row>
    <row r="34" spans="2:15">
      <c r="B34" t="s">
        <v>75</v>
      </c>
      <c r="C34" t="s">
        <v>31</v>
      </c>
      <c r="D34" t="s">
        <v>146</v>
      </c>
      <c r="E34" t="s">
        <v>147</v>
      </c>
      <c r="F34" t="s">
        <v>12</v>
      </c>
      <c r="G34" t="s">
        <v>148</v>
      </c>
      <c r="H34" t="s">
        <v>149</v>
      </c>
      <c r="I34" t="s">
        <v>30</v>
      </c>
      <c r="J34">
        <v>1073</v>
      </c>
      <c r="K34">
        <v>7</v>
      </c>
      <c r="L34" s="2">
        <v>0.04</v>
      </c>
      <c r="M34">
        <v>0.1</v>
      </c>
      <c r="N34" s="2">
        <v>4.292E-2</v>
      </c>
      <c r="O34" s="2">
        <v>0.10730000000000001</v>
      </c>
    </row>
    <row r="35" spans="2:15">
      <c r="B35" t="s">
        <v>75</v>
      </c>
      <c r="C35" t="s">
        <v>31</v>
      </c>
      <c r="D35" t="s">
        <v>146</v>
      </c>
      <c r="E35" t="s">
        <v>150</v>
      </c>
      <c r="F35" t="s">
        <v>12</v>
      </c>
      <c r="G35" t="s">
        <v>148</v>
      </c>
      <c r="H35" t="s">
        <v>151</v>
      </c>
      <c r="I35" t="s">
        <v>30</v>
      </c>
      <c r="J35">
        <v>32</v>
      </c>
      <c r="K35">
        <v>1</v>
      </c>
      <c r="L35" s="2">
        <v>0.04</v>
      </c>
      <c r="M35">
        <v>0.1</v>
      </c>
      <c r="N35" s="2">
        <v>1.2800000000000001E-3</v>
      </c>
      <c r="O35" s="2">
        <v>3.2000000000000002E-3</v>
      </c>
    </row>
    <row r="36" spans="2:15">
      <c r="B36" t="s">
        <v>75</v>
      </c>
      <c r="C36" t="s">
        <v>31</v>
      </c>
      <c r="D36" t="s">
        <v>152</v>
      </c>
      <c r="E36" t="s">
        <v>153</v>
      </c>
      <c r="F36" t="s">
        <v>12</v>
      </c>
      <c r="G36" t="s">
        <v>154</v>
      </c>
      <c r="H36" t="s">
        <v>155</v>
      </c>
      <c r="I36" t="s">
        <v>30</v>
      </c>
      <c r="J36">
        <v>194519</v>
      </c>
      <c r="K36">
        <v>20981</v>
      </c>
      <c r="L36" s="2">
        <v>0.04</v>
      </c>
      <c r="M36">
        <v>0.1</v>
      </c>
      <c r="N36" s="2">
        <v>7.7807599999999999</v>
      </c>
      <c r="O36" s="2">
        <v>19.451900000000002</v>
      </c>
    </row>
    <row r="37" spans="2:15">
      <c r="B37" t="s">
        <v>75</v>
      </c>
      <c r="C37" t="s">
        <v>31</v>
      </c>
      <c r="D37" t="s">
        <v>152</v>
      </c>
      <c r="E37" t="s">
        <v>156</v>
      </c>
      <c r="F37" t="s">
        <v>12</v>
      </c>
      <c r="G37" t="s">
        <v>154</v>
      </c>
      <c r="H37" t="s">
        <v>157</v>
      </c>
      <c r="I37" t="s">
        <v>30</v>
      </c>
      <c r="J37">
        <v>83292</v>
      </c>
      <c r="K37">
        <v>11763</v>
      </c>
      <c r="L37" s="2">
        <v>0.04</v>
      </c>
      <c r="M37">
        <v>0.1</v>
      </c>
      <c r="N37" s="2">
        <v>3.3316800000000004</v>
      </c>
      <c r="O37" s="2">
        <v>8.3292000000000002</v>
      </c>
    </row>
    <row r="38" spans="2:15">
      <c r="B38" t="s">
        <v>75</v>
      </c>
      <c r="C38" t="s">
        <v>31</v>
      </c>
      <c r="D38" t="s">
        <v>158</v>
      </c>
      <c r="E38" t="s">
        <v>159</v>
      </c>
      <c r="F38" t="s">
        <v>12</v>
      </c>
      <c r="G38" t="s">
        <v>160</v>
      </c>
      <c r="H38" t="s">
        <v>161</v>
      </c>
      <c r="I38" t="s">
        <v>30</v>
      </c>
      <c r="J38">
        <v>195</v>
      </c>
      <c r="K38">
        <v>0</v>
      </c>
      <c r="L38" s="2">
        <v>0.04</v>
      </c>
      <c r="M38">
        <v>0.1</v>
      </c>
      <c r="N38" s="2">
        <v>7.7999999999999996E-3</v>
      </c>
      <c r="O38" s="2">
        <v>1.95E-2</v>
      </c>
    </row>
    <row r="39" spans="2:15">
      <c r="B39" t="s">
        <v>75</v>
      </c>
      <c r="C39" t="s">
        <v>31</v>
      </c>
      <c r="D39" t="s">
        <v>162</v>
      </c>
      <c r="E39" t="s">
        <v>163</v>
      </c>
      <c r="F39" t="s">
        <v>12</v>
      </c>
      <c r="G39" t="s">
        <v>164</v>
      </c>
      <c r="H39" t="s">
        <v>165</v>
      </c>
      <c r="I39" t="s">
        <v>30</v>
      </c>
      <c r="J39">
        <v>4309</v>
      </c>
      <c r="K39">
        <v>13</v>
      </c>
      <c r="L39" s="2">
        <v>0.04</v>
      </c>
      <c r="M39">
        <v>0.1</v>
      </c>
      <c r="N39" s="2">
        <v>0.17236000000000001</v>
      </c>
      <c r="O39" s="2">
        <v>0.43090000000000006</v>
      </c>
    </row>
    <row r="40" spans="2:15">
      <c r="B40" t="s">
        <v>75</v>
      </c>
      <c r="C40" t="s">
        <v>31</v>
      </c>
      <c r="D40" t="s">
        <v>166</v>
      </c>
      <c r="E40" t="s">
        <v>167</v>
      </c>
      <c r="F40" t="s">
        <v>12</v>
      </c>
      <c r="G40" t="s">
        <v>168</v>
      </c>
      <c r="H40" t="s">
        <v>169</v>
      </c>
      <c r="I40" t="s">
        <v>30</v>
      </c>
      <c r="J40">
        <v>185</v>
      </c>
      <c r="K40">
        <v>1</v>
      </c>
      <c r="L40" s="2">
        <v>0.04</v>
      </c>
      <c r="M40">
        <v>0.1</v>
      </c>
      <c r="N40" s="2">
        <v>7.4000000000000003E-3</v>
      </c>
      <c r="O40" s="2">
        <v>1.8499999999999999E-2</v>
      </c>
    </row>
    <row r="41" spans="2:15">
      <c r="B41" t="s">
        <v>75</v>
      </c>
      <c r="C41" t="s">
        <v>31</v>
      </c>
      <c r="D41" t="s">
        <v>170</v>
      </c>
      <c r="E41" t="s">
        <v>171</v>
      </c>
      <c r="F41" t="s">
        <v>12</v>
      </c>
      <c r="G41" t="s">
        <v>172</v>
      </c>
      <c r="H41" t="s">
        <v>173</v>
      </c>
      <c r="I41" t="s">
        <v>30</v>
      </c>
      <c r="J41">
        <v>11741</v>
      </c>
      <c r="K41">
        <v>780</v>
      </c>
      <c r="L41" s="2">
        <v>0.04</v>
      </c>
      <c r="M41">
        <v>0.1</v>
      </c>
      <c r="N41" s="2">
        <v>0.46964</v>
      </c>
      <c r="O41" s="2">
        <v>1.1741000000000001</v>
      </c>
    </row>
    <row r="42" spans="2:15">
      <c r="B42" t="s">
        <v>75</v>
      </c>
      <c r="C42" t="s">
        <v>31</v>
      </c>
      <c r="D42" t="s">
        <v>170</v>
      </c>
      <c r="E42" t="s">
        <v>174</v>
      </c>
      <c r="F42" t="s">
        <v>12</v>
      </c>
      <c r="G42" t="s">
        <v>172</v>
      </c>
      <c r="H42" t="s">
        <v>175</v>
      </c>
      <c r="I42" t="s">
        <v>30</v>
      </c>
      <c r="J42">
        <v>5097</v>
      </c>
      <c r="K42">
        <v>617</v>
      </c>
      <c r="L42" s="2">
        <v>0.04</v>
      </c>
      <c r="M42">
        <v>0.1</v>
      </c>
      <c r="N42" s="2">
        <v>0.20388000000000001</v>
      </c>
      <c r="O42" s="2">
        <v>0.50970000000000004</v>
      </c>
    </row>
    <row r="43" spans="2:15">
      <c r="B43" t="s">
        <v>75</v>
      </c>
      <c r="C43" t="s">
        <v>31</v>
      </c>
      <c r="D43" t="s">
        <v>176</v>
      </c>
      <c r="E43" t="s">
        <v>177</v>
      </c>
      <c r="F43" t="s">
        <v>12</v>
      </c>
      <c r="G43" t="s">
        <v>178</v>
      </c>
      <c r="H43" t="s">
        <v>179</v>
      </c>
      <c r="I43" t="s">
        <v>30</v>
      </c>
      <c r="J43">
        <v>3136</v>
      </c>
      <c r="K43">
        <v>20</v>
      </c>
      <c r="L43" s="2">
        <v>0.04</v>
      </c>
      <c r="M43">
        <v>0.1</v>
      </c>
      <c r="N43" s="2">
        <v>0.12544</v>
      </c>
      <c r="O43" s="2">
        <v>0.31360000000000005</v>
      </c>
    </row>
    <row r="44" spans="2:15">
      <c r="B44" t="s">
        <v>75</v>
      </c>
      <c r="C44" t="s">
        <v>31</v>
      </c>
      <c r="D44" t="s">
        <v>176</v>
      </c>
      <c r="E44" t="s">
        <v>180</v>
      </c>
      <c r="F44" t="s">
        <v>12</v>
      </c>
      <c r="G44" t="s">
        <v>178</v>
      </c>
      <c r="H44" t="s">
        <v>181</v>
      </c>
      <c r="I44" t="s">
        <v>30</v>
      </c>
      <c r="J44">
        <v>80</v>
      </c>
      <c r="K44">
        <v>3</v>
      </c>
      <c r="L44" s="2">
        <v>0.04</v>
      </c>
      <c r="M44">
        <v>0.1</v>
      </c>
      <c r="N44" s="2">
        <v>3.2000000000000002E-3</v>
      </c>
      <c r="O44" s="2">
        <v>8.0000000000000002E-3</v>
      </c>
    </row>
    <row r="45" spans="2:15">
      <c r="B45" t="s">
        <v>75</v>
      </c>
      <c r="C45" t="s">
        <v>31</v>
      </c>
      <c r="D45" t="s">
        <v>182</v>
      </c>
      <c r="E45" t="s">
        <v>183</v>
      </c>
      <c r="F45" t="s">
        <v>12</v>
      </c>
      <c r="G45" t="s">
        <v>184</v>
      </c>
      <c r="H45" t="s">
        <v>185</v>
      </c>
      <c r="I45" t="s">
        <v>30</v>
      </c>
      <c r="J45">
        <v>114</v>
      </c>
      <c r="K45">
        <v>6</v>
      </c>
      <c r="L45" s="2">
        <v>0.04</v>
      </c>
      <c r="M45">
        <v>0.1</v>
      </c>
      <c r="N45" s="2">
        <v>4.5600000000000007E-3</v>
      </c>
      <c r="O45" s="2">
        <v>1.14E-2</v>
      </c>
    </row>
    <row r="46" spans="2:15">
      <c r="B46" t="s">
        <v>75</v>
      </c>
      <c r="C46" t="s">
        <v>31</v>
      </c>
      <c r="D46" t="s">
        <v>182</v>
      </c>
      <c r="E46" t="s">
        <v>186</v>
      </c>
      <c r="F46" t="s">
        <v>12</v>
      </c>
      <c r="G46" t="s">
        <v>184</v>
      </c>
      <c r="H46" t="s">
        <v>187</v>
      </c>
      <c r="I46" t="s">
        <v>30</v>
      </c>
      <c r="J46">
        <v>24</v>
      </c>
      <c r="K46">
        <v>3</v>
      </c>
      <c r="L46" s="2">
        <v>0.04</v>
      </c>
      <c r="M46">
        <v>0.1</v>
      </c>
      <c r="N46" s="2">
        <v>9.5999999999999992E-4</v>
      </c>
      <c r="O46" s="2">
        <v>2.4000000000000002E-3</v>
      </c>
    </row>
    <row r="47" spans="2:15">
      <c r="B47" t="s">
        <v>75</v>
      </c>
      <c r="C47" t="s">
        <v>31</v>
      </c>
      <c r="D47" t="s">
        <v>188</v>
      </c>
      <c r="E47" t="s">
        <v>189</v>
      </c>
      <c r="F47" t="s">
        <v>12</v>
      </c>
      <c r="G47" t="s">
        <v>190</v>
      </c>
      <c r="H47" t="s">
        <v>191</v>
      </c>
      <c r="I47" t="s">
        <v>30</v>
      </c>
      <c r="J47">
        <v>748</v>
      </c>
      <c r="K47">
        <v>20</v>
      </c>
      <c r="L47" s="2">
        <v>0.04</v>
      </c>
      <c r="M47">
        <v>0.1</v>
      </c>
      <c r="N47" s="2">
        <v>2.9920000000000002E-2</v>
      </c>
      <c r="O47" s="2">
        <v>7.4799999999999991E-2</v>
      </c>
    </row>
    <row r="48" spans="2:15">
      <c r="B48" t="s">
        <v>75</v>
      </c>
      <c r="C48" t="s">
        <v>31</v>
      </c>
      <c r="D48" t="s">
        <v>188</v>
      </c>
      <c r="E48" t="s">
        <v>192</v>
      </c>
      <c r="F48" t="s">
        <v>12</v>
      </c>
      <c r="G48" t="s">
        <v>190</v>
      </c>
      <c r="H48" t="s">
        <v>193</v>
      </c>
      <c r="I48" t="s">
        <v>30</v>
      </c>
      <c r="J48">
        <v>9</v>
      </c>
      <c r="K48">
        <v>2</v>
      </c>
      <c r="L48" s="2">
        <v>0.04</v>
      </c>
      <c r="M48">
        <v>0.1</v>
      </c>
      <c r="N48" s="2">
        <v>3.5999999999999997E-4</v>
      </c>
      <c r="O48" s="2">
        <v>8.9999999999999998E-4</v>
      </c>
    </row>
    <row r="49" spans="2:15">
      <c r="B49" t="s">
        <v>75</v>
      </c>
      <c r="C49" t="s">
        <v>31</v>
      </c>
      <c r="D49" t="s">
        <v>194</v>
      </c>
      <c r="E49" t="s">
        <v>195</v>
      </c>
      <c r="F49" t="s">
        <v>12</v>
      </c>
      <c r="G49" t="s">
        <v>196</v>
      </c>
      <c r="H49" t="s">
        <v>197</v>
      </c>
      <c r="I49" t="s">
        <v>30</v>
      </c>
      <c r="J49">
        <v>18183</v>
      </c>
      <c r="K49">
        <v>2296</v>
      </c>
      <c r="L49" s="2">
        <v>0.04</v>
      </c>
      <c r="M49">
        <v>0.1</v>
      </c>
      <c r="N49" s="2">
        <v>0.72732000000000008</v>
      </c>
      <c r="O49" s="2">
        <v>1.8183000000000002</v>
      </c>
    </row>
    <row r="50" spans="2:15">
      <c r="B50" t="s">
        <v>75</v>
      </c>
      <c r="C50" t="s">
        <v>31</v>
      </c>
      <c r="D50" t="s">
        <v>194</v>
      </c>
      <c r="E50" t="s">
        <v>198</v>
      </c>
      <c r="F50" t="s">
        <v>12</v>
      </c>
      <c r="G50" t="s">
        <v>38</v>
      </c>
      <c r="H50" t="s">
        <v>461</v>
      </c>
      <c r="I50" t="s">
        <v>30</v>
      </c>
      <c r="J50">
        <v>1</v>
      </c>
      <c r="K50">
        <v>0</v>
      </c>
      <c r="L50" s="2">
        <v>0.04</v>
      </c>
      <c r="M50">
        <v>0.1</v>
      </c>
      <c r="N50" s="2">
        <v>4.0000000000000003E-5</v>
      </c>
      <c r="O50" s="2">
        <v>1E-4</v>
      </c>
    </row>
    <row r="51" spans="2:15">
      <c r="B51" t="s">
        <v>75</v>
      </c>
      <c r="C51" t="s">
        <v>31</v>
      </c>
      <c r="D51" t="s">
        <v>194</v>
      </c>
      <c r="E51" t="s">
        <v>198</v>
      </c>
      <c r="F51" t="s">
        <v>12</v>
      </c>
      <c r="G51" t="s">
        <v>196</v>
      </c>
      <c r="H51" t="s">
        <v>199</v>
      </c>
      <c r="I51" t="s">
        <v>30</v>
      </c>
      <c r="J51">
        <v>22789</v>
      </c>
      <c r="K51">
        <v>1901</v>
      </c>
      <c r="L51" s="2">
        <v>0.04</v>
      </c>
      <c r="M51">
        <v>0.1</v>
      </c>
      <c r="N51" s="2">
        <v>0.91156000000000004</v>
      </c>
      <c r="O51" s="2">
        <v>2.2789000000000001</v>
      </c>
    </row>
    <row r="52" spans="2:15">
      <c r="B52" t="s">
        <v>75</v>
      </c>
      <c r="C52" t="s">
        <v>31</v>
      </c>
      <c r="D52" t="s">
        <v>200</v>
      </c>
      <c r="E52" t="s">
        <v>201</v>
      </c>
      <c r="F52" t="s">
        <v>12</v>
      </c>
      <c r="G52" t="s">
        <v>202</v>
      </c>
      <c r="H52" t="s">
        <v>203</v>
      </c>
      <c r="I52" t="s">
        <v>30</v>
      </c>
      <c r="J52">
        <v>1</v>
      </c>
      <c r="K52">
        <v>0</v>
      </c>
      <c r="L52" s="2">
        <v>0.04</v>
      </c>
      <c r="M52">
        <v>0.1</v>
      </c>
      <c r="N52" s="2">
        <v>4.0000000000000003E-5</v>
      </c>
      <c r="O52" s="2">
        <v>1E-4</v>
      </c>
    </row>
    <row r="53" spans="2:15">
      <c r="B53" t="s">
        <v>75</v>
      </c>
      <c r="C53" t="s">
        <v>31</v>
      </c>
      <c r="D53" t="s">
        <v>200</v>
      </c>
      <c r="E53" t="s">
        <v>204</v>
      </c>
      <c r="F53" t="s">
        <v>12</v>
      </c>
      <c r="G53" t="s">
        <v>202</v>
      </c>
      <c r="H53" t="s">
        <v>205</v>
      </c>
      <c r="I53" t="s">
        <v>30</v>
      </c>
      <c r="J53">
        <v>54</v>
      </c>
      <c r="K53">
        <v>0</v>
      </c>
      <c r="L53" s="2">
        <v>0.04</v>
      </c>
      <c r="M53">
        <v>0.1</v>
      </c>
      <c r="N53" s="2">
        <v>2.16E-3</v>
      </c>
      <c r="O53" s="2">
        <v>5.4000000000000003E-3</v>
      </c>
    </row>
    <row r="54" spans="2:15">
      <c r="B54" t="s">
        <v>75</v>
      </c>
      <c r="C54" t="s">
        <v>31</v>
      </c>
      <c r="D54" t="s">
        <v>206</v>
      </c>
      <c r="E54" t="s">
        <v>207</v>
      </c>
      <c r="F54" t="s">
        <v>12</v>
      </c>
      <c r="G54" t="s">
        <v>208</v>
      </c>
      <c r="H54" t="s">
        <v>209</v>
      </c>
      <c r="I54" t="s">
        <v>30</v>
      </c>
      <c r="J54">
        <v>11036</v>
      </c>
      <c r="K54">
        <v>1026</v>
      </c>
      <c r="L54" s="2">
        <v>0.04</v>
      </c>
      <c r="M54">
        <v>0.1</v>
      </c>
      <c r="N54" s="2">
        <v>0.44144</v>
      </c>
      <c r="O54" s="2">
        <v>1.1036000000000001</v>
      </c>
    </row>
    <row r="55" spans="2:15">
      <c r="B55" t="s">
        <v>75</v>
      </c>
      <c r="C55" t="s">
        <v>31</v>
      </c>
      <c r="D55" t="s">
        <v>206</v>
      </c>
      <c r="E55" t="s">
        <v>210</v>
      </c>
      <c r="F55" t="s">
        <v>12</v>
      </c>
      <c r="G55" t="s">
        <v>208</v>
      </c>
      <c r="H55" t="s">
        <v>211</v>
      </c>
      <c r="I55" t="s">
        <v>30</v>
      </c>
      <c r="J55">
        <v>476</v>
      </c>
      <c r="K55">
        <v>35</v>
      </c>
      <c r="L55" s="2">
        <v>0.04</v>
      </c>
      <c r="M55">
        <v>0.1</v>
      </c>
      <c r="N55" s="2">
        <v>1.9039999999999998E-2</v>
      </c>
      <c r="O55" s="2">
        <v>4.7600000000000003E-2</v>
      </c>
    </row>
    <row r="56" spans="2:15">
      <c r="B56" t="s">
        <v>75</v>
      </c>
      <c r="C56" t="s">
        <v>31</v>
      </c>
      <c r="D56" t="s">
        <v>206</v>
      </c>
      <c r="E56" t="s">
        <v>212</v>
      </c>
      <c r="F56" t="s">
        <v>12</v>
      </c>
      <c r="G56" t="s">
        <v>208</v>
      </c>
      <c r="H56" t="s">
        <v>213</v>
      </c>
      <c r="I56" t="s">
        <v>30</v>
      </c>
      <c r="J56">
        <v>24130</v>
      </c>
      <c r="K56">
        <v>2283</v>
      </c>
      <c r="L56" s="2">
        <v>0.04</v>
      </c>
      <c r="M56">
        <v>0.1</v>
      </c>
      <c r="N56" s="2">
        <v>0.96520000000000006</v>
      </c>
      <c r="O56" s="2">
        <v>2.4129999999999998</v>
      </c>
    </row>
    <row r="57" spans="2:15">
      <c r="B57" t="s">
        <v>75</v>
      </c>
      <c r="C57" t="s">
        <v>31</v>
      </c>
      <c r="D57" t="s">
        <v>214</v>
      </c>
      <c r="E57" t="s">
        <v>216</v>
      </c>
      <c r="F57" t="s">
        <v>12</v>
      </c>
      <c r="G57" t="s">
        <v>215</v>
      </c>
      <c r="H57" t="s">
        <v>217</v>
      </c>
      <c r="I57" t="s">
        <v>30</v>
      </c>
      <c r="J57">
        <v>257</v>
      </c>
      <c r="K57">
        <v>3</v>
      </c>
      <c r="L57" s="2">
        <v>0.04</v>
      </c>
      <c r="M57">
        <v>0.1</v>
      </c>
      <c r="N57" s="2">
        <v>1.0279999999999999E-2</v>
      </c>
      <c r="O57" s="2">
        <v>2.5700000000000004E-2</v>
      </c>
    </row>
    <row r="58" spans="2:15">
      <c r="B58" t="s">
        <v>75</v>
      </c>
      <c r="C58" t="s">
        <v>31</v>
      </c>
      <c r="D58" t="s">
        <v>218</v>
      </c>
      <c r="E58" t="s">
        <v>219</v>
      </c>
      <c r="F58" t="s">
        <v>12</v>
      </c>
      <c r="G58" t="s">
        <v>220</v>
      </c>
      <c r="H58" t="s">
        <v>221</v>
      </c>
      <c r="I58" t="s">
        <v>30</v>
      </c>
      <c r="J58">
        <v>530</v>
      </c>
      <c r="K58">
        <v>56</v>
      </c>
      <c r="L58" s="2">
        <v>0.04</v>
      </c>
      <c r="M58">
        <v>0.1</v>
      </c>
      <c r="N58" s="2">
        <v>2.12E-2</v>
      </c>
      <c r="O58" s="2">
        <v>5.2999999999999999E-2</v>
      </c>
    </row>
    <row r="59" spans="2:15">
      <c r="B59" t="s">
        <v>75</v>
      </c>
      <c r="C59" t="s">
        <v>31</v>
      </c>
      <c r="D59" t="s">
        <v>218</v>
      </c>
      <c r="E59" t="s">
        <v>222</v>
      </c>
      <c r="F59" t="s">
        <v>12</v>
      </c>
      <c r="G59" t="s">
        <v>220</v>
      </c>
      <c r="H59" t="s">
        <v>223</v>
      </c>
      <c r="I59" t="s">
        <v>30</v>
      </c>
      <c r="J59">
        <v>3320</v>
      </c>
      <c r="K59">
        <v>171</v>
      </c>
      <c r="L59" s="2">
        <v>0.04</v>
      </c>
      <c r="M59">
        <v>0.1</v>
      </c>
      <c r="N59" s="2">
        <v>0.1328</v>
      </c>
      <c r="O59" s="2">
        <v>0.33200000000000002</v>
      </c>
    </row>
    <row r="60" spans="2:15">
      <c r="B60" t="s">
        <v>75</v>
      </c>
      <c r="C60" t="s">
        <v>31</v>
      </c>
      <c r="D60" t="s">
        <v>224</v>
      </c>
      <c r="E60" t="s">
        <v>225</v>
      </c>
      <c r="F60" t="s">
        <v>12</v>
      </c>
      <c r="G60" t="s">
        <v>226</v>
      </c>
      <c r="H60" t="s">
        <v>227</v>
      </c>
      <c r="I60" t="s">
        <v>30</v>
      </c>
      <c r="J60">
        <v>2</v>
      </c>
      <c r="K60">
        <v>0</v>
      </c>
      <c r="L60" s="2">
        <v>0.04</v>
      </c>
      <c r="M60">
        <v>0.1</v>
      </c>
      <c r="N60" s="2">
        <v>8.0000000000000007E-5</v>
      </c>
      <c r="O60" s="2">
        <v>2.0000000000000001E-4</v>
      </c>
    </row>
    <row r="61" spans="2:15">
      <c r="B61" t="s">
        <v>75</v>
      </c>
      <c r="C61" t="s">
        <v>31</v>
      </c>
      <c r="D61" t="s">
        <v>224</v>
      </c>
      <c r="E61" t="s">
        <v>228</v>
      </c>
      <c r="F61" t="s">
        <v>12</v>
      </c>
      <c r="G61" t="s">
        <v>226</v>
      </c>
      <c r="H61" t="s">
        <v>229</v>
      </c>
      <c r="I61" t="s">
        <v>30</v>
      </c>
      <c r="J61">
        <v>535</v>
      </c>
      <c r="K61">
        <v>3</v>
      </c>
      <c r="L61" s="2">
        <v>0.04</v>
      </c>
      <c r="M61">
        <v>0.1</v>
      </c>
      <c r="N61" s="2">
        <v>2.1400000000000002E-2</v>
      </c>
      <c r="O61" s="2">
        <v>5.3499999999999999E-2</v>
      </c>
    </row>
    <row r="62" spans="2:15">
      <c r="B62" t="s">
        <v>75</v>
      </c>
      <c r="C62" t="s">
        <v>31</v>
      </c>
      <c r="D62" t="s">
        <v>230</v>
      </c>
      <c r="E62" t="s">
        <v>232</v>
      </c>
      <c r="F62" t="s">
        <v>12</v>
      </c>
      <c r="G62" t="s">
        <v>231</v>
      </c>
      <c r="H62" t="s">
        <v>233</v>
      </c>
      <c r="I62" t="s">
        <v>30</v>
      </c>
      <c r="J62">
        <v>4</v>
      </c>
      <c r="K62">
        <v>0</v>
      </c>
      <c r="L62" s="2">
        <v>0.04</v>
      </c>
      <c r="M62">
        <v>0.1</v>
      </c>
      <c r="N62" s="2">
        <v>1.6000000000000001E-4</v>
      </c>
      <c r="O62" s="2">
        <v>4.0000000000000002E-4</v>
      </c>
    </row>
    <row r="63" spans="2:15">
      <c r="B63" t="s">
        <v>75</v>
      </c>
      <c r="C63" t="s">
        <v>31</v>
      </c>
      <c r="D63" t="s">
        <v>234</v>
      </c>
      <c r="E63" t="s">
        <v>236</v>
      </c>
      <c r="F63" t="s">
        <v>12</v>
      </c>
      <c r="G63" t="s">
        <v>235</v>
      </c>
      <c r="H63" t="s">
        <v>237</v>
      </c>
      <c r="I63" t="s">
        <v>30</v>
      </c>
      <c r="J63">
        <v>82</v>
      </c>
      <c r="K63">
        <v>3</v>
      </c>
      <c r="L63" s="2">
        <v>0.04</v>
      </c>
      <c r="M63">
        <v>0.1</v>
      </c>
      <c r="N63" s="2">
        <v>3.2800000000000004E-3</v>
      </c>
      <c r="O63" s="2">
        <v>8.2000000000000007E-3</v>
      </c>
    </row>
    <row r="64" spans="2:15">
      <c r="B64" t="s">
        <v>75</v>
      </c>
      <c r="C64" t="s">
        <v>31</v>
      </c>
      <c r="D64" t="s">
        <v>238</v>
      </c>
      <c r="E64" t="s">
        <v>239</v>
      </c>
      <c r="F64" t="s">
        <v>12</v>
      </c>
      <c r="G64" t="s">
        <v>240</v>
      </c>
      <c r="H64" t="s">
        <v>241</v>
      </c>
      <c r="I64" t="s">
        <v>30</v>
      </c>
      <c r="J64">
        <v>2423</v>
      </c>
      <c r="K64">
        <v>188</v>
      </c>
      <c r="L64" s="2">
        <v>0.04</v>
      </c>
      <c r="M64">
        <v>0.1</v>
      </c>
      <c r="N64" s="2">
        <v>9.6920000000000006E-2</v>
      </c>
      <c r="O64" s="2">
        <v>0.24230000000000002</v>
      </c>
    </row>
    <row r="65" spans="2:15">
      <c r="B65" t="s">
        <v>75</v>
      </c>
      <c r="C65" t="s">
        <v>31</v>
      </c>
      <c r="D65" t="s">
        <v>238</v>
      </c>
      <c r="E65" t="s">
        <v>242</v>
      </c>
      <c r="F65" t="s">
        <v>12</v>
      </c>
      <c r="G65" t="s">
        <v>240</v>
      </c>
      <c r="H65" t="s">
        <v>243</v>
      </c>
      <c r="I65" t="s">
        <v>30</v>
      </c>
      <c r="J65">
        <v>188392</v>
      </c>
      <c r="K65">
        <v>28488</v>
      </c>
      <c r="L65" s="2">
        <v>0.04</v>
      </c>
      <c r="M65">
        <v>0.1</v>
      </c>
      <c r="N65" s="2">
        <v>7.5356800000000002</v>
      </c>
      <c r="O65" s="2">
        <v>18.839200000000002</v>
      </c>
    </row>
    <row r="66" spans="2:15">
      <c r="B66" t="s">
        <v>75</v>
      </c>
      <c r="C66" t="s">
        <v>31</v>
      </c>
      <c r="D66" t="s">
        <v>244</v>
      </c>
      <c r="E66" t="s">
        <v>245</v>
      </c>
      <c r="F66" t="s">
        <v>12</v>
      </c>
      <c r="G66" t="s">
        <v>246</v>
      </c>
      <c r="H66" t="s">
        <v>247</v>
      </c>
      <c r="I66" t="s">
        <v>30</v>
      </c>
      <c r="J66">
        <v>3</v>
      </c>
      <c r="K66">
        <v>0</v>
      </c>
      <c r="L66" s="2">
        <v>0.04</v>
      </c>
      <c r="M66">
        <v>0.1</v>
      </c>
      <c r="N66" s="2">
        <v>1.1999999999999999E-4</v>
      </c>
      <c r="O66" s="2">
        <v>3.0000000000000003E-4</v>
      </c>
    </row>
    <row r="67" spans="2:15">
      <c r="B67" t="s">
        <v>75</v>
      </c>
      <c r="C67" t="s">
        <v>31</v>
      </c>
      <c r="D67" t="s">
        <v>244</v>
      </c>
      <c r="E67" t="s">
        <v>248</v>
      </c>
      <c r="F67" t="s">
        <v>12</v>
      </c>
      <c r="G67" t="s">
        <v>246</v>
      </c>
      <c r="H67" t="s">
        <v>249</v>
      </c>
      <c r="I67" t="s">
        <v>30</v>
      </c>
      <c r="J67">
        <v>45</v>
      </c>
      <c r="K67">
        <v>2</v>
      </c>
      <c r="L67" s="2">
        <v>0.04</v>
      </c>
      <c r="M67">
        <v>0.1</v>
      </c>
      <c r="N67" s="2">
        <v>1.8E-3</v>
      </c>
      <c r="O67" s="2">
        <v>4.4999999999999997E-3</v>
      </c>
    </row>
    <row r="68" spans="2:15">
      <c r="B68" t="s">
        <v>75</v>
      </c>
      <c r="C68" t="s">
        <v>31</v>
      </c>
      <c r="D68" t="s">
        <v>250</v>
      </c>
      <c r="E68" t="s">
        <v>251</v>
      </c>
      <c r="F68" t="s">
        <v>12</v>
      </c>
      <c r="G68" t="s">
        <v>252</v>
      </c>
      <c r="H68" t="s">
        <v>253</v>
      </c>
      <c r="I68" t="s">
        <v>30</v>
      </c>
      <c r="J68">
        <v>5163</v>
      </c>
      <c r="K68">
        <v>624</v>
      </c>
      <c r="L68" s="2">
        <v>0.04</v>
      </c>
      <c r="M68">
        <v>0.1</v>
      </c>
      <c r="N68" s="2">
        <v>0.20652000000000001</v>
      </c>
      <c r="O68" s="2">
        <v>0.51630000000000009</v>
      </c>
    </row>
    <row r="69" spans="2:15">
      <c r="B69" t="s">
        <v>75</v>
      </c>
      <c r="C69" t="s">
        <v>31</v>
      </c>
      <c r="D69" t="s">
        <v>254</v>
      </c>
      <c r="E69" t="s">
        <v>462</v>
      </c>
      <c r="F69" t="s">
        <v>12</v>
      </c>
      <c r="G69" t="s">
        <v>256</v>
      </c>
      <c r="H69" t="s">
        <v>463</v>
      </c>
      <c r="I69" t="s">
        <v>30</v>
      </c>
      <c r="J69">
        <v>15</v>
      </c>
      <c r="K69">
        <v>0</v>
      </c>
      <c r="L69" s="2">
        <v>0.04</v>
      </c>
      <c r="M69">
        <v>0.1</v>
      </c>
      <c r="N69" s="2">
        <v>5.9999999999999995E-4</v>
      </c>
      <c r="O69" s="2">
        <v>1.5E-3</v>
      </c>
    </row>
    <row r="70" spans="2:15">
      <c r="B70" t="s">
        <v>75</v>
      </c>
      <c r="C70" t="s">
        <v>31</v>
      </c>
      <c r="D70" t="s">
        <v>254</v>
      </c>
      <c r="E70" t="s">
        <v>255</v>
      </c>
      <c r="F70" t="s">
        <v>12</v>
      </c>
      <c r="G70" t="s">
        <v>256</v>
      </c>
      <c r="H70" t="s">
        <v>257</v>
      </c>
      <c r="I70" t="s">
        <v>30</v>
      </c>
      <c r="J70">
        <v>3</v>
      </c>
      <c r="K70">
        <v>0</v>
      </c>
      <c r="L70" s="2">
        <v>0.04</v>
      </c>
      <c r="M70">
        <v>0.1</v>
      </c>
      <c r="N70" s="2">
        <v>1.1999999999999999E-4</v>
      </c>
      <c r="O70" s="2">
        <v>3.0000000000000003E-4</v>
      </c>
    </row>
    <row r="71" spans="2:15">
      <c r="B71" t="s">
        <v>75</v>
      </c>
      <c r="C71" t="s">
        <v>31</v>
      </c>
      <c r="D71" t="s">
        <v>258</v>
      </c>
      <c r="E71" t="s">
        <v>259</v>
      </c>
      <c r="F71" t="s">
        <v>12</v>
      </c>
      <c r="G71" t="s">
        <v>260</v>
      </c>
      <c r="H71" t="s">
        <v>261</v>
      </c>
      <c r="I71" t="s">
        <v>30</v>
      </c>
      <c r="J71">
        <v>211</v>
      </c>
      <c r="K71">
        <v>20</v>
      </c>
      <c r="L71" s="2">
        <v>0.04</v>
      </c>
      <c r="M71">
        <v>0.1</v>
      </c>
      <c r="N71" s="2">
        <v>8.4399999999999996E-3</v>
      </c>
      <c r="O71" s="2">
        <v>2.1100000000000001E-2</v>
      </c>
    </row>
    <row r="72" spans="2:15">
      <c r="B72" t="s">
        <v>75</v>
      </c>
      <c r="C72" t="s">
        <v>31</v>
      </c>
      <c r="D72" t="s">
        <v>258</v>
      </c>
      <c r="E72" t="s">
        <v>262</v>
      </c>
      <c r="F72" t="s">
        <v>12</v>
      </c>
      <c r="G72" t="s">
        <v>260</v>
      </c>
      <c r="H72" t="s">
        <v>263</v>
      </c>
      <c r="I72" t="s">
        <v>30</v>
      </c>
      <c r="J72">
        <v>76702</v>
      </c>
      <c r="K72">
        <v>9305</v>
      </c>
      <c r="L72" s="2">
        <v>0.04</v>
      </c>
      <c r="M72">
        <v>0.1</v>
      </c>
      <c r="N72" s="2">
        <v>3.0680800000000001</v>
      </c>
      <c r="O72" s="2">
        <v>7.6702000000000004</v>
      </c>
    </row>
    <row r="73" spans="2:15">
      <c r="B73" t="s">
        <v>75</v>
      </c>
      <c r="C73" t="s">
        <v>31</v>
      </c>
      <c r="D73" t="s">
        <v>264</v>
      </c>
      <c r="E73" t="s">
        <v>265</v>
      </c>
      <c r="F73" t="s">
        <v>12</v>
      </c>
      <c r="G73" t="s">
        <v>266</v>
      </c>
      <c r="H73" t="s">
        <v>267</v>
      </c>
      <c r="I73" t="s">
        <v>30</v>
      </c>
      <c r="J73">
        <v>12</v>
      </c>
      <c r="K73">
        <v>1</v>
      </c>
      <c r="L73" s="2">
        <v>0.04</v>
      </c>
      <c r="M73">
        <v>0.1</v>
      </c>
      <c r="N73" s="2">
        <v>4.7999999999999996E-4</v>
      </c>
      <c r="O73" s="2">
        <v>1.2000000000000001E-3</v>
      </c>
    </row>
    <row r="74" spans="2:15">
      <c r="B74" t="s">
        <v>75</v>
      </c>
      <c r="C74" t="s">
        <v>31</v>
      </c>
      <c r="D74" t="s">
        <v>264</v>
      </c>
      <c r="E74" t="s">
        <v>268</v>
      </c>
      <c r="F74" t="s">
        <v>12</v>
      </c>
      <c r="G74" t="s">
        <v>266</v>
      </c>
      <c r="H74" t="s">
        <v>269</v>
      </c>
      <c r="I74" t="s">
        <v>30</v>
      </c>
      <c r="J74">
        <v>80</v>
      </c>
      <c r="K74">
        <v>2</v>
      </c>
      <c r="L74" s="2">
        <v>0.04</v>
      </c>
      <c r="M74">
        <v>0.1</v>
      </c>
      <c r="N74" s="2">
        <v>3.2000000000000002E-3</v>
      </c>
      <c r="O74" s="2">
        <v>8.0000000000000002E-3</v>
      </c>
    </row>
    <row r="75" spans="2:15">
      <c r="B75" t="s">
        <v>75</v>
      </c>
      <c r="C75" t="s">
        <v>31</v>
      </c>
      <c r="D75" t="s">
        <v>270</v>
      </c>
      <c r="E75" t="s">
        <v>271</v>
      </c>
      <c r="F75" t="s">
        <v>12</v>
      </c>
      <c r="G75" t="s">
        <v>272</v>
      </c>
      <c r="H75" t="s">
        <v>273</v>
      </c>
      <c r="I75" t="s">
        <v>30</v>
      </c>
      <c r="J75">
        <v>5</v>
      </c>
      <c r="K75">
        <v>0</v>
      </c>
      <c r="L75" s="2">
        <v>0.04</v>
      </c>
      <c r="M75">
        <v>0.1</v>
      </c>
      <c r="N75" s="2">
        <v>2.0000000000000001E-4</v>
      </c>
      <c r="O75" s="2">
        <v>5.0000000000000001E-4</v>
      </c>
    </row>
    <row r="76" spans="2:15">
      <c r="B76" t="s">
        <v>75</v>
      </c>
      <c r="C76" t="s">
        <v>31</v>
      </c>
      <c r="D76" t="s">
        <v>274</v>
      </c>
      <c r="E76" t="s">
        <v>464</v>
      </c>
      <c r="F76" t="s">
        <v>12</v>
      </c>
      <c r="G76" t="s">
        <v>276</v>
      </c>
      <c r="H76" t="s">
        <v>465</v>
      </c>
      <c r="I76" t="s">
        <v>30</v>
      </c>
      <c r="J76">
        <v>3</v>
      </c>
      <c r="K76">
        <v>2</v>
      </c>
      <c r="L76" s="2">
        <v>0.04</v>
      </c>
      <c r="M76">
        <v>0.1</v>
      </c>
      <c r="N76" s="2">
        <v>1.1999999999999999E-4</v>
      </c>
      <c r="O76" s="2">
        <v>3.0000000000000003E-4</v>
      </c>
    </row>
    <row r="77" spans="2:15">
      <c r="B77" t="s">
        <v>75</v>
      </c>
      <c r="C77" t="s">
        <v>31</v>
      </c>
      <c r="D77" t="s">
        <v>274</v>
      </c>
      <c r="E77" t="s">
        <v>275</v>
      </c>
      <c r="F77" t="s">
        <v>12</v>
      </c>
      <c r="G77" t="s">
        <v>276</v>
      </c>
      <c r="H77" t="s">
        <v>277</v>
      </c>
      <c r="I77" t="s">
        <v>30</v>
      </c>
      <c r="J77">
        <v>3</v>
      </c>
      <c r="K77">
        <v>0</v>
      </c>
      <c r="L77" s="2">
        <v>0.04</v>
      </c>
      <c r="M77">
        <v>0.1</v>
      </c>
      <c r="N77" s="2">
        <v>1.1999999999999999E-4</v>
      </c>
      <c r="O77" s="2">
        <v>3.0000000000000003E-4</v>
      </c>
    </row>
    <row r="78" spans="2:15">
      <c r="B78" t="s">
        <v>75</v>
      </c>
      <c r="C78" t="s">
        <v>31</v>
      </c>
      <c r="D78" t="s">
        <v>278</v>
      </c>
      <c r="E78" t="s">
        <v>279</v>
      </c>
      <c r="F78" t="s">
        <v>12</v>
      </c>
      <c r="G78" t="s">
        <v>280</v>
      </c>
      <c r="H78" t="s">
        <v>281</v>
      </c>
      <c r="I78" t="s">
        <v>30</v>
      </c>
      <c r="J78">
        <v>47</v>
      </c>
      <c r="K78">
        <v>0</v>
      </c>
      <c r="L78" s="2">
        <v>0.04</v>
      </c>
      <c r="M78">
        <v>0.1</v>
      </c>
      <c r="N78" s="2">
        <v>1.8800000000000002E-3</v>
      </c>
      <c r="O78" s="2">
        <v>4.7000000000000002E-3</v>
      </c>
    </row>
    <row r="79" spans="2:15">
      <c r="B79" t="s">
        <v>75</v>
      </c>
      <c r="C79" t="s">
        <v>31</v>
      </c>
      <c r="D79" t="s">
        <v>282</v>
      </c>
      <c r="E79" t="s">
        <v>466</v>
      </c>
      <c r="F79" t="s">
        <v>12</v>
      </c>
      <c r="G79" t="s">
        <v>283</v>
      </c>
      <c r="H79" t="s">
        <v>467</v>
      </c>
      <c r="I79" t="s">
        <v>30</v>
      </c>
      <c r="J79">
        <v>11</v>
      </c>
      <c r="K79">
        <v>0</v>
      </c>
      <c r="L79" s="2">
        <v>0.04</v>
      </c>
      <c r="M79">
        <v>0.1</v>
      </c>
      <c r="N79" s="2">
        <v>4.4000000000000002E-4</v>
      </c>
      <c r="O79" s="2">
        <v>1.1000000000000001E-3</v>
      </c>
    </row>
    <row r="80" spans="2:15">
      <c r="B80" t="s">
        <v>75</v>
      </c>
      <c r="C80" t="s">
        <v>31</v>
      </c>
      <c r="D80" t="s">
        <v>468</v>
      </c>
      <c r="E80" t="s">
        <v>469</v>
      </c>
      <c r="F80" t="s">
        <v>12</v>
      </c>
      <c r="G80" t="s">
        <v>470</v>
      </c>
      <c r="H80" t="s">
        <v>471</v>
      </c>
      <c r="I80" t="s">
        <v>30</v>
      </c>
      <c r="J80">
        <v>2314</v>
      </c>
      <c r="K80">
        <v>4</v>
      </c>
      <c r="L80" s="2">
        <v>0.04</v>
      </c>
      <c r="M80">
        <v>0.1</v>
      </c>
      <c r="N80" s="2">
        <v>9.2560000000000003E-2</v>
      </c>
      <c r="O80" s="2">
        <v>0.23139999999999999</v>
      </c>
    </row>
    <row r="81" spans="2:15">
      <c r="B81" t="s">
        <v>75</v>
      </c>
      <c r="C81" t="s">
        <v>31</v>
      </c>
      <c r="D81" t="s">
        <v>472</v>
      </c>
      <c r="E81" t="s">
        <v>473</v>
      </c>
      <c r="F81" t="s">
        <v>12</v>
      </c>
      <c r="G81" t="s">
        <v>474</v>
      </c>
      <c r="H81" t="s">
        <v>475</v>
      </c>
      <c r="I81" t="s">
        <v>30</v>
      </c>
      <c r="J81">
        <v>11861</v>
      </c>
      <c r="K81">
        <v>2</v>
      </c>
      <c r="L81" s="2">
        <v>0.04</v>
      </c>
      <c r="M81">
        <v>0.1</v>
      </c>
      <c r="N81" s="2">
        <v>0.47443999999999997</v>
      </c>
      <c r="O81" s="2">
        <v>1.1861000000000002</v>
      </c>
    </row>
    <row r="82" spans="2:15">
      <c r="B82" t="s">
        <v>75</v>
      </c>
      <c r="C82" t="s">
        <v>31</v>
      </c>
      <c r="D82" t="s">
        <v>476</v>
      </c>
      <c r="E82" t="s">
        <v>477</v>
      </c>
      <c r="F82" t="s">
        <v>12</v>
      </c>
      <c r="G82" t="s">
        <v>478</v>
      </c>
      <c r="H82" t="s">
        <v>479</v>
      </c>
      <c r="I82" t="s">
        <v>30</v>
      </c>
      <c r="J82">
        <v>62431</v>
      </c>
      <c r="K82">
        <v>20</v>
      </c>
      <c r="L82" s="2">
        <v>0.04</v>
      </c>
      <c r="M82">
        <v>0.1</v>
      </c>
      <c r="N82" s="2">
        <v>2.4972400000000001</v>
      </c>
      <c r="O82" s="2">
        <v>6.2431000000000001</v>
      </c>
    </row>
    <row r="83" spans="2:15">
      <c r="B83" t="s">
        <v>75</v>
      </c>
      <c r="C83" t="s">
        <v>31</v>
      </c>
      <c r="D83" t="s">
        <v>480</v>
      </c>
      <c r="E83" t="s">
        <v>481</v>
      </c>
      <c r="F83" t="s">
        <v>12</v>
      </c>
      <c r="G83" t="s">
        <v>482</v>
      </c>
      <c r="H83" t="s">
        <v>483</v>
      </c>
      <c r="I83" t="s">
        <v>30</v>
      </c>
      <c r="J83">
        <v>49808</v>
      </c>
      <c r="K83">
        <v>64</v>
      </c>
      <c r="L83" s="2">
        <v>0.04</v>
      </c>
      <c r="M83">
        <v>0.1</v>
      </c>
      <c r="N83" s="2">
        <v>1.9923199999999999</v>
      </c>
      <c r="O83" s="2">
        <v>4.9808000000000003</v>
      </c>
    </row>
    <row r="84" spans="2:15">
      <c r="B84" t="s">
        <v>75</v>
      </c>
      <c r="C84" t="s">
        <v>31</v>
      </c>
      <c r="D84" t="s">
        <v>484</v>
      </c>
      <c r="E84" t="s">
        <v>485</v>
      </c>
      <c r="F84" t="s">
        <v>12</v>
      </c>
      <c r="G84" t="s">
        <v>486</v>
      </c>
      <c r="H84" t="s">
        <v>487</v>
      </c>
      <c r="I84" t="s">
        <v>30</v>
      </c>
      <c r="J84">
        <v>2178</v>
      </c>
      <c r="K84">
        <v>4</v>
      </c>
      <c r="L84" s="2">
        <v>0.04</v>
      </c>
      <c r="M84">
        <v>0.1</v>
      </c>
      <c r="N84" s="2">
        <v>8.7120000000000003E-2</v>
      </c>
      <c r="O84" s="2">
        <v>0.21780000000000002</v>
      </c>
    </row>
    <row r="85" spans="2:15">
      <c r="B85" t="s">
        <v>75</v>
      </c>
      <c r="C85" t="s">
        <v>31</v>
      </c>
      <c r="D85" t="s">
        <v>488</v>
      </c>
      <c r="E85" t="s">
        <v>489</v>
      </c>
      <c r="F85" t="s">
        <v>12</v>
      </c>
      <c r="G85" t="s">
        <v>490</v>
      </c>
      <c r="H85" t="s">
        <v>491</v>
      </c>
      <c r="I85" t="s">
        <v>30</v>
      </c>
      <c r="J85">
        <v>11647</v>
      </c>
      <c r="K85">
        <v>8</v>
      </c>
      <c r="L85" s="2">
        <v>0.04</v>
      </c>
      <c r="M85">
        <v>0.1</v>
      </c>
      <c r="N85" s="2">
        <v>0.46588000000000002</v>
      </c>
      <c r="O85" s="2">
        <v>1.1647000000000001</v>
      </c>
    </row>
    <row r="86" spans="2:15">
      <c r="B86" t="s">
        <v>75</v>
      </c>
      <c r="C86" t="s">
        <v>31</v>
      </c>
      <c r="D86" t="s">
        <v>492</v>
      </c>
      <c r="E86" t="s">
        <v>493</v>
      </c>
      <c r="F86" t="s">
        <v>12</v>
      </c>
      <c r="G86" t="s">
        <v>494</v>
      </c>
      <c r="H86" t="s">
        <v>495</v>
      </c>
      <c r="I86" t="s">
        <v>30</v>
      </c>
      <c r="J86">
        <v>62422</v>
      </c>
      <c r="K86">
        <v>13</v>
      </c>
      <c r="L86" s="2">
        <v>0.04</v>
      </c>
      <c r="M86">
        <v>0.1</v>
      </c>
      <c r="N86" s="2">
        <v>2.49688</v>
      </c>
      <c r="O86" s="2">
        <v>6.2422000000000004</v>
      </c>
    </row>
    <row r="87" spans="2:15">
      <c r="B87" t="s">
        <v>75</v>
      </c>
      <c r="C87" t="s">
        <v>31</v>
      </c>
      <c r="D87" t="s">
        <v>496</v>
      </c>
      <c r="E87" t="s">
        <v>497</v>
      </c>
      <c r="F87" t="s">
        <v>12</v>
      </c>
      <c r="G87" t="s">
        <v>498</v>
      </c>
      <c r="H87" t="s">
        <v>499</v>
      </c>
      <c r="I87" t="s">
        <v>30</v>
      </c>
      <c r="J87">
        <v>50075</v>
      </c>
      <c r="K87">
        <v>79</v>
      </c>
      <c r="L87" s="2">
        <v>0.04</v>
      </c>
      <c r="M87">
        <v>0.1</v>
      </c>
      <c r="N87" s="2">
        <v>2.0030000000000001</v>
      </c>
      <c r="O87" s="2">
        <v>5.0075000000000003</v>
      </c>
    </row>
    <row r="88" spans="2:15">
      <c r="B88" t="s">
        <v>75</v>
      </c>
      <c r="C88" t="s">
        <v>28</v>
      </c>
      <c r="D88" t="s">
        <v>284</v>
      </c>
      <c r="E88" t="s">
        <v>285</v>
      </c>
      <c r="F88" t="s">
        <v>12</v>
      </c>
      <c r="G88" t="s">
        <v>286</v>
      </c>
      <c r="H88" t="s">
        <v>287</v>
      </c>
      <c r="I88" t="s">
        <v>30</v>
      </c>
      <c r="J88">
        <v>47334</v>
      </c>
      <c r="K88">
        <v>430</v>
      </c>
      <c r="L88" s="2">
        <v>0.04</v>
      </c>
      <c r="M88">
        <v>0.1</v>
      </c>
      <c r="N88" s="2">
        <v>1.8933600000000002</v>
      </c>
      <c r="O88" s="2">
        <v>4.7334000000000005</v>
      </c>
    </row>
    <row r="89" spans="2:15">
      <c r="B89" t="s">
        <v>75</v>
      </c>
      <c r="C89" t="s">
        <v>28</v>
      </c>
      <c r="D89" t="s">
        <v>288</v>
      </c>
      <c r="E89" t="s">
        <v>289</v>
      </c>
      <c r="F89" t="s">
        <v>12</v>
      </c>
      <c r="G89" t="s">
        <v>290</v>
      </c>
      <c r="H89" t="s">
        <v>291</v>
      </c>
      <c r="I89" t="s">
        <v>30</v>
      </c>
      <c r="J89">
        <v>411572</v>
      </c>
      <c r="K89">
        <v>2251</v>
      </c>
      <c r="L89" s="2">
        <v>0.04</v>
      </c>
      <c r="M89">
        <v>0.1</v>
      </c>
      <c r="N89" s="2">
        <v>16.462880000000002</v>
      </c>
      <c r="O89" s="2">
        <v>41.157200000000003</v>
      </c>
    </row>
    <row r="90" spans="2:15">
      <c r="B90" t="s">
        <v>75</v>
      </c>
      <c r="C90" t="s">
        <v>28</v>
      </c>
      <c r="D90" t="s">
        <v>292</v>
      </c>
      <c r="E90" t="s">
        <v>293</v>
      </c>
      <c r="F90" t="s">
        <v>12</v>
      </c>
      <c r="G90" t="s">
        <v>294</v>
      </c>
      <c r="H90" t="s">
        <v>295</v>
      </c>
      <c r="I90" t="s">
        <v>30</v>
      </c>
      <c r="J90">
        <v>65733</v>
      </c>
      <c r="K90">
        <v>112</v>
      </c>
      <c r="L90" s="2">
        <v>0.04</v>
      </c>
      <c r="M90">
        <v>0.1</v>
      </c>
      <c r="N90" s="2">
        <v>2.6293200000000003</v>
      </c>
      <c r="O90" s="2">
        <v>6.5733000000000006</v>
      </c>
    </row>
    <row r="91" spans="2:15">
      <c r="B91" t="s">
        <v>75</v>
      </c>
      <c r="C91" t="s">
        <v>28</v>
      </c>
      <c r="D91" t="s">
        <v>76</v>
      </c>
      <c r="E91" t="s">
        <v>77</v>
      </c>
      <c r="F91" t="s">
        <v>12</v>
      </c>
      <c r="G91" t="s">
        <v>78</v>
      </c>
      <c r="H91" t="s">
        <v>79</v>
      </c>
      <c r="I91" t="s">
        <v>24</v>
      </c>
      <c r="J91">
        <v>227</v>
      </c>
      <c r="K91">
        <v>42</v>
      </c>
      <c r="L91" s="2">
        <v>0.04</v>
      </c>
      <c r="M91">
        <v>0.1</v>
      </c>
      <c r="N91" s="2">
        <v>9.0799999999999995E-3</v>
      </c>
      <c r="O91" s="2">
        <v>2.2700000000000001E-2</v>
      </c>
    </row>
    <row r="92" spans="2:15">
      <c r="B92" t="s">
        <v>75</v>
      </c>
      <c r="C92" t="s">
        <v>28</v>
      </c>
      <c r="D92" t="s">
        <v>76</v>
      </c>
      <c r="E92" t="s">
        <v>80</v>
      </c>
      <c r="F92" t="s">
        <v>12</v>
      </c>
      <c r="G92" t="s">
        <v>81</v>
      </c>
      <c r="H92" t="s">
        <v>82</v>
      </c>
      <c r="I92" t="s">
        <v>24</v>
      </c>
      <c r="J92">
        <v>337</v>
      </c>
      <c r="K92">
        <v>4</v>
      </c>
      <c r="L92" s="2">
        <v>0.04</v>
      </c>
      <c r="M92">
        <v>0.1</v>
      </c>
      <c r="N92" s="2">
        <v>1.3480000000000001E-2</v>
      </c>
      <c r="O92" s="2">
        <v>3.3700000000000001E-2</v>
      </c>
    </row>
    <row r="93" spans="2:15">
      <c r="B93" t="s">
        <v>75</v>
      </c>
      <c r="C93" t="s">
        <v>28</v>
      </c>
      <c r="D93" t="s">
        <v>296</v>
      </c>
      <c r="E93" t="s">
        <v>297</v>
      </c>
      <c r="F93" t="s">
        <v>12</v>
      </c>
      <c r="G93" t="s">
        <v>298</v>
      </c>
      <c r="H93" t="s">
        <v>299</v>
      </c>
      <c r="I93" t="s">
        <v>30</v>
      </c>
      <c r="J93">
        <v>64148</v>
      </c>
      <c r="K93">
        <v>529</v>
      </c>
      <c r="L93" s="2">
        <v>0.04</v>
      </c>
      <c r="M93">
        <v>0.1</v>
      </c>
      <c r="N93" s="2">
        <v>2.5659200000000002</v>
      </c>
      <c r="O93" s="2">
        <v>6.4148000000000005</v>
      </c>
    </row>
    <row r="94" spans="2:15">
      <c r="B94" t="s">
        <v>75</v>
      </c>
      <c r="C94" t="s">
        <v>28</v>
      </c>
      <c r="D94" t="s">
        <v>300</v>
      </c>
      <c r="E94" t="s">
        <v>301</v>
      </c>
      <c r="F94" t="s">
        <v>12</v>
      </c>
      <c r="G94" t="s">
        <v>302</v>
      </c>
      <c r="H94" t="s">
        <v>303</v>
      </c>
      <c r="I94" t="s">
        <v>30</v>
      </c>
      <c r="J94">
        <v>122722</v>
      </c>
      <c r="K94">
        <v>375</v>
      </c>
      <c r="L94" s="2">
        <v>0.04</v>
      </c>
      <c r="M94">
        <v>0.1</v>
      </c>
      <c r="N94" s="2">
        <v>4.9088799999999999</v>
      </c>
      <c r="O94" s="2">
        <v>12.272200000000002</v>
      </c>
    </row>
    <row r="95" spans="2:15">
      <c r="B95" t="s">
        <v>75</v>
      </c>
      <c r="C95" t="s">
        <v>28</v>
      </c>
      <c r="D95" t="s">
        <v>304</v>
      </c>
      <c r="E95" t="s">
        <v>305</v>
      </c>
      <c r="F95" t="s">
        <v>12</v>
      </c>
      <c r="G95" t="s">
        <v>306</v>
      </c>
      <c r="H95" t="s">
        <v>307</v>
      </c>
      <c r="I95" t="s">
        <v>30</v>
      </c>
      <c r="J95">
        <v>446240</v>
      </c>
      <c r="K95">
        <v>1897</v>
      </c>
      <c r="L95" s="2">
        <v>0.04</v>
      </c>
      <c r="M95">
        <v>0.1</v>
      </c>
      <c r="N95" s="2">
        <v>17.849600000000002</v>
      </c>
      <c r="O95" s="2">
        <v>44.624000000000002</v>
      </c>
    </row>
    <row r="96" spans="2:15">
      <c r="B96" t="s">
        <v>75</v>
      </c>
      <c r="C96" t="s">
        <v>28</v>
      </c>
      <c r="D96" t="s">
        <v>308</v>
      </c>
      <c r="E96" t="s">
        <v>309</v>
      </c>
      <c r="F96" t="s">
        <v>12</v>
      </c>
      <c r="G96" t="s">
        <v>310</v>
      </c>
      <c r="H96" t="s">
        <v>311</v>
      </c>
      <c r="I96" t="s">
        <v>30</v>
      </c>
      <c r="J96">
        <v>37108</v>
      </c>
      <c r="K96">
        <v>96</v>
      </c>
      <c r="L96" s="2">
        <v>0.04</v>
      </c>
      <c r="M96">
        <v>0.1</v>
      </c>
      <c r="N96" s="2">
        <v>1.4843199999999999</v>
      </c>
      <c r="O96" s="2">
        <v>3.7108000000000003</v>
      </c>
    </row>
    <row r="97" spans="2:15">
      <c r="B97" t="s">
        <v>75</v>
      </c>
      <c r="C97" t="s">
        <v>28</v>
      </c>
      <c r="D97" t="s">
        <v>312</v>
      </c>
      <c r="E97" t="s">
        <v>313</v>
      </c>
      <c r="F97" t="s">
        <v>12</v>
      </c>
      <c r="G97" t="s">
        <v>314</v>
      </c>
      <c r="H97" t="s">
        <v>315</v>
      </c>
      <c r="I97" t="s">
        <v>24</v>
      </c>
      <c r="J97">
        <v>4</v>
      </c>
      <c r="K97">
        <v>0</v>
      </c>
      <c r="L97" s="2">
        <v>0.04</v>
      </c>
      <c r="M97">
        <v>0.1</v>
      </c>
      <c r="N97" s="2">
        <v>1.6000000000000001E-4</v>
      </c>
      <c r="O97" s="2">
        <v>4.0000000000000002E-4</v>
      </c>
    </row>
    <row r="98" spans="2:15">
      <c r="B98" t="s">
        <v>45</v>
      </c>
      <c r="C98" t="s">
        <v>28</v>
      </c>
      <c r="D98" t="s">
        <v>46</v>
      </c>
      <c r="E98" t="s">
        <v>47</v>
      </c>
      <c r="F98" t="s">
        <v>10</v>
      </c>
      <c r="G98" t="s">
        <v>48</v>
      </c>
      <c r="H98" t="s">
        <v>49</v>
      </c>
      <c r="I98" t="s">
        <v>24</v>
      </c>
      <c r="J98">
        <v>0</v>
      </c>
      <c r="K98">
        <v>1</v>
      </c>
      <c r="L98" s="2">
        <v>3.5000000000000001E-3</v>
      </c>
      <c r="M98">
        <v>2.5000000000000001E-2</v>
      </c>
      <c r="N98" s="2">
        <v>3.5000000000000001E-3</v>
      </c>
      <c r="O98" s="2">
        <v>2.5000000000000001E-2</v>
      </c>
    </row>
    <row r="99" spans="2:15">
      <c r="B99" t="s">
        <v>45</v>
      </c>
      <c r="C99" t="s">
        <v>28</v>
      </c>
      <c r="D99" t="s">
        <v>50</v>
      </c>
      <c r="E99" t="s">
        <v>51</v>
      </c>
      <c r="F99" t="s">
        <v>12</v>
      </c>
      <c r="G99" t="s">
        <v>52</v>
      </c>
      <c r="H99" t="s">
        <v>53</v>
      </c>
      <c r="I99" t="s">
        <v>24</v>
      </c>
      <c r="J99">
        <v>98</v>
      </c>
      <c r="K99">
        <v>1</v>
      </c>
      <c r="L99" s="2">
        <v>0.04</v>
      </c>
      <c r="M99">
        <v>0.1</v>
      </c>
      <c r="N99" s="2">
        <v>3.9199999999999999E-3</v>
      </c>
      <c r="O99" s="2">
        <v>9.8000000000000014E-3</v>
      </c>
    </row>
    <row r="100" spans="2:15">
      <c r="B100" t="s">
        <v>54</v>
      </c>
      <c r="C100" t="s">
        <v>29</v>
      </c>
      <c r="D100" t="s">
        <v>316</v>
      </c>
      <c r="E100" t="s">
        <v>317</v>
      </c>
      <c r="F100" t="s">
        <v>12</v>
      </c>
      <c r="G100" t="s">
        <v>318</v>
      </c>
      <c r="H100" t="s">
        <v>319</v>
      </c>
      <c r="I100" t="s">
        <v>24</v>
      </c>
      <c r="J100">
        <v>19923</v>
      </c>
      <c r="K100">
        <v>82</v>
      </c>
      <c r="L100" s="2">
        <v>0.04</v>
      </c>
      <c r="M100">
        <v>0.1</v>
      </c>
      <c r="N100" s="2">
        <v>0.79692000000000007</v>
      </c>
      <c r="O100" s="2">
        <v>1.9923000000000002</v>
      </c>
    </row>
    <row r="101" spans="2:15">
      <c r="B101" t="s">
        <v>54</v>
      </c>
      <c r="C101" t="s">
        <v>29</v>
      </c>
      <c r="D101" t="s">
        <v>320</v>
      </c>
      <c r="E101" t="s">
        <v>321</v>
      </c>
      <c r="F101" t="s">
        <v>12</v>
      </c>
      <c r="G101" t="s">
        <v>322</v>
      </c>
      <c r="H101" t="s">
        <v>323</v>
      </c>
      <c r="I101" t="s">
        <v>24</v>
      </c>
      <c r="J101">
        <v>179284</v>
      </c>
      <c r="K101">
        <v>494</v>
      </c>
      <c r="L101" s="2">
        <v>0.04</v>
      </c>
      <c r="M101">
        <v>0.1</v>
      </c>
      <c r="N101" s="2">
        <v>7.1713600000000008</v>
      </c>
      <c r="O101" s="2">
        <v>17.9284</v>
      </c>
    </row>
    <row r="102" spans="2:15">
      <c r="B102" t="s">
        <v>54</v>
      </c>
      <c r="C102" t="s">
        <v>29</v>
      </c>
      <c r="D102" t="s">
        <v>83</v>
      </c>
      <c r="E102" t="s">
        <v>84</v>
      </c>
      <c r="F102" t="s">
        <v>12</v>
      </c>
      <c r="G102" t="s">
        <v>85</v>
      </c>
      <c r="H102" t="s">
        <v>86</v>
      </c>
      <c r="I102" t="s">
        <v>24</v>
      </c>
      <c r="J102">
        <v>200307</v>
      </c>
      <c r="K102">
        <v>666</v>
      </c>
      <c r="L102" s="2">
        <v>0.04</v>
      </c>
      <c r="M102">
        <v>0.1</v>
      </c>
      <c r="N102" s="2">
        <v>8.0122800000000005</v>
      </c>
      <c r="O102" s="2">
        <v>20.0307</v>
      </c>
    </row>
    <row r="103" spans="2:15">
      <c r="B103" t="s">
        <v>54</v>
      </c>
      <c r="C103" t="s">
        <v>29</v>
      </c>
      <c r="D103" t="s">
        <v>324</v>
      </c>
      <c r="E103" t="s">
        <v>325</v>
      </c>
      <c r="F103" t="s">
        <v>12</v>
      </c>
      <c r="G103" t="s">
        <v>326</v>
      </c>
      <c r="H103" t="s">
        <v>327</v>
      </c>
      <c r="I103" t="s">
        <v>30</v>
      </c>
      <c r="J103">
        <v>14862</v>
      </c>
      <c r="K103">
        <v>5</v>
      </c>
      <c r="L103" s="2">
        <v>0.04</v>
      </c>
      <c r="M103">
        <v>0.1</v>
      </c>
      <c r="N103" s="2">
        <v>0.59448000000000001</v>
      </c>
      <c r="O103" s="2">
        <v>1.4862</v>
      </c>
    </row>
    <row r="104" spans="2:15">
      <c r="B104" t="s">
        <v>54</v>
      </c>
      <c r="C104" t="s">
        <v>29</v>
      </c>
      <c r="D104" t="s">
        <v>328</v>
      </c>
      <c r="E104" t="s">
        <v>329</v>
      </c>
      <c r="F104" t="s">
        <v>12</v>
      </c>
      <c r="G104" t="s">
        <v>330</v>
      </c>
      <c r="H104" t="s">
        <v>331</v>
      </c>
      <c r="I104" t="s">
        <v>30</v>
      </c>
      <c r="J104">
        <v>98914</v>
      </c>
      <c r="K104">
        <v>41</v>
      </c>
      <c r="L104" s="2">
        <v>0.04</v>
      </c>
      <c r="M104">
        <v>0.1</v>
      </c>
      <c r="N104" s="2">
        <v>3.9565600000000001</v>
      </c>
      <c r="O104" s="2">
        <v>9.8914000000000009</v>
      </c>
    </row>
    <row r="105" spans="2:15">
      <c r="B105" t="s">
        <v>54</v>
      </c>
      <c r="C105" t="s">
        <v>29</v>
      </c>
      <c r="D105" t="s">
        <v>87</v>
      </c>
      <c r="E105" t="s">
        <v>88</v>
      </c>
      <c r="F105" t="s">
        <v>12</v>
      </c>
      <c r="G105" t="s">
        <v>89</v>
      </c>
      <c r="H105" t="s">
        <v>90</v>
      </c>
      <c r="I105" t="s">
        <v>30</v>
      </c>
      <c r="J105">
        <v>51933</v>
      </c>
      <c r="K105">
        <v>18</v>
      </c>
      <c r="L105" s="2">
        <v>0.04</v>
      </c>
      <c r="M105">
        <v>0.1</v>
      </c>
      <c r="N105" s="2">
        <v>2.0773200000000003</v>
      </c>
      <c r="O105" s="2">
        <v>5.1932999999999998</v>
      </c>
    </row>
    <row r="106" spans="2:15">
      <c r="B106" t="s">
        <v>54</v>
      </c>
      <c r="C106" t="s">
        <v>29</v>
      </c>
      <c r="D106" t="s">
        <v>332</v>
      </c>
      <c r="E106" t="s">
        <v>333</v>
      </c>
      <c r="F106" t="s">
        <v>12</v>
      </c>
      <c r="G106" t="s">
        <v>334</v>
      </c>
      <c r="H106" t="s">
        <v>335</v>
      </c>
      <c r="I106" t="s">
        <v>30</v>
      </c>
      <c r="J106">
        <v>110498</v>
      </c>
      <c r="K106">
        <v>239</v>
      </c>
      <c r="L106" s="2">
        <v>0.04</v>
      </c>
      <c r="M106">
        <v>0.1</v>
      </c>
      <c r="N106" s="2">
        <v>4.4199200000000003</v>
      </c>
      <c r="O106" s="2">
        <v>11.049800000000001</v>
      </c>
    </row>
    <row r="107" spans="2:15">
      <c r="B107" t="s">
        <v>54</v>
      </c>
      <c r="C107" t="s">
        <v>29</v>
      </c>
      <c r="D107" t="s">
        <v>336</v>
      </c>
      <c r="E107" t="s">
        <v>337</v>
      </c>
      <c r="F107" t="s">
        <v>12</v>
      </c>
      <c r="G107" t="s">
        <v>338</v>
      </c>
      <c r="H107" t="s">
        <v>339</v>
      </c>
      <c r="I107" t="s">
        <v>30</v>
      </c>
      <c r="J107">
        <v>464810</v>
      </c>
      <c r="K107">
        <v>1152</v>
      </c>
      <c r="L107" s="2">
        <v>0.04</v>
      </c>
      <c r="M107">
        <v>0.1</v>
      </c>
      <c r="N107" s="2">
        <v>18.592400000000001</v>
      </c>
      <c r="O107" s="2">
        <v>46.481000000000002</v>
      </c>
    </row>
    <row r="108" spans="2:15">
      <c r="B108" t="s">
        <v>54</v>
      </c>
      <c r="C108" t="s">
        <v>29</v>
      </c>
      <c r="D108" t="s">
        <v>91</v>
      </c>
      <c r="E108" t="s">
        <v>92</v>
      </c>
      <c r="F108" t="s">
        <v>12</v>
      </c>
      <c r="G108" t="s">
        <v>93</v>
      </c>
      <c r="H108" t="s">
        <v>94</v>
      </c>
      <c r="I108" t="s">
        <v>30</v>
      </c>
      <c r="J108">
        <v>521213</v>
      </c>
      <c r="K108">
        <v>1205</v>
      </c>
      <c r="L108" s="2">
        <v>0.04</v>
      </c>
      <c r="M108">
        <v>0.1</v>
      </c>
      <c r="N108" s="2">
        <v>20.848520000000001</v>
      </c>
      <c r="O108" s="2">
        <v>52.121300000000005</v>
      </c>
    </row>
    <row r="109" spans="2:15">
      <c r="B109" t="s">
        <v>54</v>
      </c>
      <c r="C109" t="s">
        <v>29</v>
      </c>
      <c r="D109" t="s">
        <v>340</v>
      </c>
      <c r="E109" t="s">
        <v>341</v>
      </c>
      <c r="F109" t="s">
        <v>12</v>
      </c>
      <c r="G109" t="s">
        <v>342</v>
      </c>
      <c r="H109" t="s">
        <v>343</v>
      </c>
      <c r="I109" t="s">
        <v>30</v>
      </c>
      <c r="J109">
        <v>745</v>
      </c>
      <c r="K109">
        <v>5</v>
      </c>
      <c r="L109" s="2">
        <v>0.04</v>
      </c>
      <c r="M109">
        <v>0.1</v>
      </c>
      <c r="N109" s="2">
        <v>2.98E-2</v>
      </c>
      <c r="O109" s="2">
        <v>7.4499999999999997E-2</v>
      </c>
    </row>
    <row r="110" spans="2:15">
      <c r="B110" t="s">
        <v>54</v>
      </c>
      <c r="C110" t="s">
        <v>29</v>
      </c>
      <c r="D110" t="s">
        <v>344</v>
      </c>
      <c r="E110" t="s">
        <v>345</v>
      </c>
      <c r="F110" t="s">
        <v>12</v>
      </c>
      <c r="G110" t="s">
        <v>346</v>
      </c>
      <c r="H110" t="s">
        <v>347</v>
      </c>
      <c r="I110" t="s">
        <v>30</v>
      </c>
      <c r="J110">
        <v>5787</v>
      </c>
      <c r="K110">
        <v>15</v>
      </c>
      <c r="L110" s="2">
        <v>0.04</v>
      </c>
      <c r="M110">
        <v>0.1</v>
      </c>
      <c r="N110" s="2">
        <v>0.23148000000000002</v>
      </c>
      <c r="O110" s="2">
        <v>0.57869999999999999</v>
      </c>
    </row>
    <row r="111" spans="2:15">
      <c r="B111" t="s">
        <v>54</v>
      </c>
      <c r="C111" t="s">
        <v>29</v>
      </c>
      <c r="D111" t="s">
        <v>500</v>
      </c>
      <c r="E111" t="s">
        <v>501</v>
      </c>
      <c r="F111" t="s">
        <v>12</v>
      </c>
      <c r="G111" t="s">
        <v>502</v>
      </c>
      <c r="H111" t="s">
        <v>503</v>
      </c>
      <c r="I111" t="s">
        <v>24</v>
      </c>
      <c r="J111">
        <v>1</v>
      </c>
      <c r="K111">
        <v>0</v>
      </c>
      <c r="L111" s="2">
        <v>0.04</v>
      </c>
      <c r="M111">
        <v>0.1</v>
      </c>
      <c r="N111" s="2">
        <v>4.0000000000000003E-5</v>
      </c>
      <c r="O111" s="2">
        <v>1E-4</v>
      </c>
    </row>
    <row r="112" spans="2:15">
      <c r="B112" t="s">
        <v>95</v>
      </c>
      <c r="C112" t="s">
        <v>96</v>
      </c>
      <c r="D112" t="s">
        <v>97</v>
      </c>
      <c r="E112" t="s">
        <v>98</v>
      </c>
      <c r="F112" t="s">
        <v>10</v>
      </c>
      <c r="G112" t="s">
        <v>99</v>
      </c>
      <c r="H112" t="s">
        <v>100</v>
      </c>
      <c r="I112" t="s">
        <v>24</v>
      </c>
      <c r="J112">
        <v>1</v>
      </c>
      <c r="K112">
        <v>1</v>
      </c>
      <c r="L112" s="2">
        <v>3.5000000000000001E-3</v>
      </c>
      <c r="M112">
        <v>2.5000000000000001E-2</v>
      </c>
      <c r="N112" s="2">
        <v>3.5000000000000001E-3</v>
      </c>
      <c r="O112" s="2">
        <v>2.5000000000000001E-2</v>
      </c>
    </row>
    <row r="113" spans="2:15">
      <c r="B113" t="s">
        <v>95</v>
      </c>
      <c r="C113" t="s">
        <v>31</v>
      </c>
      <c r="D113" t="s">
        <v>504</v>
      </c>
      <c r="E113" t="s">
        <v>505</v>
      </c>
      <c r="F113" t="s">
        <v>12</v>
      </c>
      <c r="G113" t="s">
        <v>506</v>
      </c>
      <c r="H113" t="s">
        <v>507</v>
      </c>
      <c r="I113" t="s">
        <v>24</v>
      </c>
      <c r="J113">
        <v>73315</v>
      </c>
      <c r="K113">
        <v>574</v>
      </c>
      <c r="L113" s="2">
        <v>0.04</v>
      </c>
      <c r="M113">
        <v>0.1</v>
      </c>
      <c r="N113" s="2">
        <v>2.9325999999999999</v>
      </c>
      <c r="O113" s="2">
        <v>7.3315000000000001</v>
      </c>
    </row>
    <row r="114" spans="2:15">
      <c r="B114" t="s">
        <v>95</v>
      </c>
      <c r="C114" t="s">
        <v>31</v>
      </c>
      <c r="D114" t="s">
        <v>348</v>
      </c>
      <c r="E114" t="s">
        <v>349</v>
      </c>
      <c r="F114" t="s">
        <v>10</v>
      </c>
      <c r="G114" t="s">
        <v>350</v>
      </c>
      <c r="H114" t="s">
        <v>351</v>
      </c>
      <c r="I114" t="s">
        <v>24</v>
      </c>
      <c r="J114">
        <v>0</v>
      </c>
      <c r="K114">
        <v>26965</v>
      </c>
      <c r="L114" s="2">
        <v>3.5000000000000001E-3</v>
      </c>
      <c r="M114">
        <v>2.5000000000000001E-2</v>
      </c>
      <c r="N114" s="2">
        <v>94.377499999999998</v>
      </c>
      <c r="O114" s="2">
        <v>674.125</v>
      </c>
    </row>
    <row r="115" spans="2:15">
      <c r="B115" t="s">
        <v>95</v>
      </c>
      <c r="C115" t="s">
        <v>31</v>
      </c>
      <c r="D115" t="s">
        <v>508</v>
      </c>
      <c r="E115" t="s">
        <v>509</v>
      </c>
      <c r="F115" t="s">
        <v>10</v>
      </c>
      <c r="G115" t="s">
        <v>510</v>
      </c>
      <c r="H115" t="s">
        <v>511</v>
      </c>
      <c r="I115" t="s">
        <v>24</v>
      </c>
      <c r="J115">
        <v>2</v>
      </c>
      <c r="K115">
        <v>3</v>
      </c>
      <c r="L115" s="2">
        <v>3.5000000000000001E-3</v>
      </c>
      <c r="M115">
        <v>2.5000000000000001E-2</v>
      </c>
      <c r="N115" s="2">
        <v>1.0500000000000001E-2</v>
      </c>
      <c r="O115" s="2">
        <v>7.5000000000000011E-2</v>
      </c>
    </row>
    <row r="116" spans="2:15">
      <c r="B116" t="s">
        <v>95</v>
      </c>
      <c r="C116" t="s">
        <v>31</v>
      </c>
      <c r="D116" t="s">
        <v>512</v>
      </c>
      <c r="E116" t="s">
        <v>513</v>
      </c>
      <c r="F116" t="s">
        <v>12</v>
      </c>
      <c r="G116" t="s">
        <v>514</v>
      </c>
      <c r="H116" t="s">
        <v>515</v>
      </c>
      <c r="I116" t="s">
        <v>24</v>
      </c>
      <c r="J116">
        <v>2993847</v>
      </c>
      <c r="K116">
        <v>4344</v>
      </c>
      <c r="L116" s="2">
        <v>0.04</v>
      </c>
      <c r="M116">
        <v>0.1</v>
      </c>
      <c r="N116" s="2">
        <v>119.75388000000001</v>
      </c>
      <c r="O116" s="2">
        <v>299.38470000000001</v>
      </c>
    </row>
    <row r="117" spans="2:15">
      <c r="B117" t="s">
        <v>95</v>
      </c>
      <c r="C117" t="s">
        <v>31</v>
      </c>
      <c r="D117" t="s">
        <v>352</v>
      </c>
      <c r="E117" t="s">
        <v>353</v>
      </c>
      <c r="F117" t="s">
        <v>23</v>
      </c>
      <c r="G117" t="s">
        <v>354</v>
      </c>
      <c r="H117" t="s">
        <v>355</v>
      </c>
      <c r="I117" t="s">
        <v>33</v>
      </c>
      <c r="J117">
        <v>495982</v>
      </c>
      <c r="K117">
        <v>1360</v>
      </c>
      <c r="L117" s="2">
        <v>0.6</v>
      </c>
      <c r="M117">
        <v>0.35</v>
      </c>
      <c r="N117" s="2">
        <v>297.58920000000001</v>
      </c>
      <c r="O117" s="2">
        <v>173.59369999999998</v>
      </c>
    </row>
    <row r="118" spans="2:15">
      <c r="B118" t="s">
        <v>95</v>
      </c>
      <c r="C118" t="s">
        <v>31</v>
      </c>
      <c r="D118" t="s">
        <v>356</v>
      </c>
      <c r="E118" t="s">
        <v>357</v>
      </c>
      <c r="F118" t="s">
        <v>23</v>
      </c>
      <c r="G118" t="s">
        <v>358</v>
      </c>
      <c r="H118" t="s">
        <v>359</v>
      </c>
      <c r="I118" t="s">
        <v>33</v>
      </c>
      <c r="J118">
        <v>806649</v>
      </c>
      <c r="K118">
        <v>2335</v>
      </c>
      <c r="L118" s="2">
        <v>0.6</v>
      </c>
      <c r="M118">
        <v>0.35</v>
      </c>
      <c r="N118" s="2">
        <v>483.98939999999999</v>
      </c>
      <c r="O118" s="2">
        <v>282.32714999999996</v>
      </c>
    </row>
    <row r="119" spans="2:15">
      <c r="B119" t="s">
        <v>95</v>
      </c>
      <c r="C119" t="s">
        <v>31</v>
      </c>
      <c r="D119" t="s">
        <v>360</v>
      </c>
      <c r="E119" t="s">
        <v>361</v>
      </c>
      <c r="F119" t="s">
        <v>23</v>
      </c>
      <c r="G119" t="s">
        <v>362</v>
      </c>
      <c r="H119" t="s">
        <v>363</v>
      </c>
      <c r="I119" t="s">
        <v>33</v>
      </c>
      <c r="J119">
        <v>564464</v>
      </c>
      <c r="K119">
        <v>2564</v>
      </c>
      <c r="L119" s="2">
        <v>0.6</v>
      </c>
      <c r="M119">
        <v>0.35</v>
      </c>
      <c r="N119" s="2">
        <v>338.67839999999995</v>
      </c>
      <c r="O119" s="2">
        <v>197.5624</v>
      </c>
    </row>
    <row r="120" spans="2:15">
      <c r="B120" t="s">
        <v>95</v>
      </c>
      <c r="C120" t="s">
        <v>31</v>
      </c>
      <c r="D120" t="s">
        <v>364</v>
      </c>
      <c r="E120" t="s">
        <v>365</v>
      </c>
      <c r="F120" t="s">
        <v>23</v>
      </c>
      <c r="G120" t="s">
        <v>366</v>
      </c>
      <c r="H120" t="s">
        <v>367</v>
      </c>
      <c r="I120" t="s">
        <v>33</v>
      </c>
      <c r="J120">
        <v>351196</v>
      </c>
      <c r="K120">
        <v>4315</v>
      </c>
      <c r="L120" s="2">
        <v>0.6</v>
      </c>
      <c r="M120">
        <v>0.35</v>
      </c>
      <c r="N120" s="2">
        <v>210.7176</v>
      </c>
      <c r="O120" s="2">
        <v>122.9186</v>
      </c>
    </row>
    <row r="121" spans="2:15">
      <c r="B121" t="s">
        <v>95</v>
      </c>
      <c r="C121" t="s">
        <v>31</v>
      </c>
      <c r="D121" t="s">
        <v>364</v>
      </c>
      <c r="E121" t="s">
        <v>365</v>
      </c>
      <c r="F121" t="s">
        <v>23</v>
      </c>
      <c r="G121" t="s">
        <v>368</v>
      </c>
      <c r="H121" t="s">
        <v>369</v>
      </c>
      <c r="I121" t="s">
        <v>33</v>
      </c>
      <c r="J121">
        <v>1</v>
      </c>
      <c r="K121">
        <v>0</v>
      </c>
      <c r="L121" s="2">
        <v>0.6</v>
      </c>
      <c r="M121">
        <v>0.35</v>
      </c>
      <c r="N121" s="2">
        <v>5.9999999999999995E-4</v>
      </c>
      <c r="O121" s="2">
        <v>3.5E-4</v>
      </c>
    </row>
    <row r="122" spans="2:15">
      <c r="B122" t="s">
        <v>95</v>
      </c>
      <c r="C122" t="s">
        <v>31</v>
      </c>
      <c r="D122" t="s">
        <v>516</v>
      </c>
      <c r="E122" t="s">
        <v>517</v>
      </c>
      <c r="F122" t="s">
        <v>23</v>
      </c>
      <c r="G122" t="s">
        <v>518</v>
      </c>
      <c r="H122" t="s">
        <v>519</v>
      </c>
      <c r="I122" t="s">
        <v>33</v>
      </c>
      <c r="J122">
        <v>266510</v>
      </c>
      <c r="K122">
        <v>468</v>
      </c>
      <c r="L122" s="2">
        <v>0.6</v>
      </c>
      <c r="M122">
        <v>0.35</v>
      </c>
      <c r="N122" s="2">
        <v>159.90600000000001</v>
      </c>
      <c r="O122" s="2">
        <v>93.278499999999994</v>
      </c>
    </row>
    <row r="123" spans="2:15">
      <c r="B123" t="s">
        <v>95</v>
      </c>
      <c r="C123" t="s">
        <v>31</v>
      </c>
      <c r="D123" t="s">
        <v>520</v>
      </c>
      <c r="E123" t="s">
        <v>521</v>
      </c>
      <c r="F123" t="s">
        <v>12</v>
      </c>
      <c r="G123" t="s">
        <v>522</v>
      </c>
      <c r="H123" t="s">
        <v>523</v>
      </c>
      <c r="I123" t="s">
        <v>30</v>
      </c>
      <c r="J123">
        <v>468142</v>
      </c>
      <c r="K123">
        <v>965</v>
      </c>
      <c r="L123" s="2">
        <v>0.04</v>
      </c>
      <c r="M123">
        <v>0.1</v>
      </c>
      <c r="N123" s="2">
        <v>18.725680000000001</v>
      </c>
      <c r="O123" s="2">
        <v>46.814200000000007</v>
      </c>
    </row>
    <row r="124" spans="2:15">
      <c r="B124" t="s">
        <v>95</v>
      </c>
      <c r="C124" t="s">
        <v>31</v>
      </c>
      <c r="D124" t="s">
        <v>524</v>
      </c>
      <c r="E124" t="s">
        <v>525</v>
      </c>
      <c r="F124" t="s">
        <v>11</v>
      </c>
      <c r="G124" t="s">
        <v>526</v>
      </c>
      <c r="H124" t="s">
        <v>527</v>
      </c>
      <c r="I124" t="s">
        <v>30</v>
      </c>
      <c r="J124">
        <v>1</v>
      </c>
      <c r="K124">
        <v>1</v>
      </c>
      <c r="L124" s="2">
        <v>0.04</v>
      </c>
      <c r="M124">
        <v>0.1</v>
      </c>
      <c r="N124" s="2">
        <v>4.0000000000000003E-5</v>
      </c>
      <c r="O124" s="2">
        <v>1E-4</v>
      </c>
    </row>
    <row r="125" spans="2:15">
      <c r="B125" t="s">
        <v>95</v>
      </c>
      <c r="C125" t="s">
        <v>31</v>
      </c>
      <c r="D125" t="s">
        <v>524</v>
      </c>
      <c r="E125" t="s">
        <v>525</v>
      </c>
      <c r="F125" t="s">
        <v>12</v>
      </c>
      <c r="G125" t="s">
        <v>528</v>
      </c>
      <c r="H125" t="s">
        <v>529</v>
      </c>
      <c r="I125" t="s">
        <v>30</v>
      </c>
      <c r="J125">
        <v>1</v>
      </c>
      <c r="K125">
        <v>0</v>
      </c>
      <c r="L125" s="2">
        <v>0.04</v>
      </c>
      <c r="M125">
        <v>0.1</v>
      </c>
      <c r="N125" s="2">
        <v>4.0000000000000003E-5</v>
      </c>
      <c r="O125" s="2">
        <v>1E-4</v>
      </c>
    </row>
    <row r="126" spans="2:15">
      <c r="B126" t="s">
        <v>95</v>
      </c>
      <c r="C126" t="s">
        <v>31</v>
      </c>
      <c r="D126" t="s">
        <v>530</v>
      </c>
      <c r="E126" t="s">
        <v>531</v>
      </c>
      <c r="F126" t="s">
        <v>11</v>
      </c>
      <c r="G126" t="s">
        <v>39</v>
      </c>
      <c r="H126" t="s">
        <v>370</v>
      </c>
      <c r="I126" t="s">
        <v>30</v>
      </c>
      <c r="J126">
        <v>1</v>
      </c>
      <c r="K126">
        <v>1</v>
      </c>
      <c r="L126" s="2">
        <v>0.04</v>
      </c>
      <c r="M126">
        <v>0.1</v>
      </c>
      <c r="N126" s="2">
        <v>4.0000000000000003E-5</v>
      </c>
      <c r="O126" s="2">
        <v>1E-4</v>
      </c>
    </row>
    <row r="127" spans="2:15">
      <c r="B127" t="s">
        <v>95</v>
      </c>
      <c r="C127" t="s">
        <v>31</v>
      </c>
      <c r="D127" t="s">
        <v>530</v>
      </c>
      <c r="E127" t="s">
        <v>531</v>
      </c>
      <c r="F127" t="s">
        <v>12</v>
      </c>
      <c r="G127" t="s">
        <v>532</v>
      </c>
      <c r="H127" t="s">
        <v>533</v>
      </c>
      <c r="I127" t="s">
        <v>30</v>
      </c>
      <c r="J127">
        <v>232993</v>
      </c>
      <c r="K127">
        <v>36</v>
      </c>
      <c r="L127" s="2">
        <v>0.04</v>
      </c>
      <c r="M127">
        <v>0.1</v>
      </c>
      <c r="N127" s="2">
        <v>9.3197200000000002</v>
      </c>
      <c r="O127" s="2">
        <v>23.299300000000002</v>
      </c>
    </row>
    <row r="128" spans="2:15">
      <c r="B128" t="s">
        <v>95</v>
      </c>
      <c r="C128" t="s">
        <v>31</v>
      </c>
      <c r="D128" t="s">
        <v>534</v>
      </c>
      <c r="E128" t="s">
        <v>535</v>
      </c>
      <c r="F128" t="s">
        <v>12</v>
      </c>
      <c r="G128" t="s">
        <v>115</v>
      </c>
      <c r="H128" t="s">
        <v>536</v>
      </c>
      <c r="I128" t="s">
        <v>30</v>
      </c>
      <c r="J128">
        <v>2</v>
      </c>
      <c r="K128">
        <v>1</v>
      </c>
      <c r="L128" s="2">
        <v>0.04</v>
      </c>
      <c r="M128">
        <v>0.1</v>
      </c>
      <c r="N128" s="2">
        <v>8.0000000000000007E-5</v>
      </c>
      <c r="O128" s="2">
        <v>2.0000000000000001E-4</v>
      </c>
    </row>
    <row r="129" spans="2:15">
      <c r="B129" t="s">
        <v>95</v>
      </c>
      <c r="C129" t="s">
        <v>31</v>
      </c>
      <c r="D129" t="s">
        <v>534</v>
      </c>
      <c r="E129" t="s">
        <v>535</v>
      </c>
      <c r="F129" t="s">
        <v>12</v>
      </c>
      <c r="G129" t="s">
        <v>537</v>
      </c>
      <c r="H129" t="s">
        <v>538</v>
      </c>
      <c r="I129" t="s">
        <v>30</v>
      </c>
      <c r="J129">
        <v>485280</v>
      </c>
      <c r="K129">
        <v>471</v>
      </c>
      <c r="L129" s="2">
        <v>0.04</v>
      </c>
      <c r="M129">
        <v>0.1</v>
      </c>
      <c r="N129" s="2">
        <v>19.411200000000001</v>
      </c>
      <c r="O129" s="2">
        <v>48.527999999999999</v>
      </c>
    </row>
    <row r="130" spans="2:15">
      <c r="B130" t="s">
        <v>95</v>
      </c>
      <c r="C130" t="s">
        <v>28</v>
      </c>
      <c r="D130" t="s">
        <v>101</v>
      </c>
      <c r="E130" t="s">
        <v>102</v>
      </c>
      <c r="F130" t="s">
        <v>12</v>
      </c>
      <c r="G130" t="s">
        <v>103</v>
      </c>
      <c r="H130" t="s">
        <v>104</v>
      </c>
      <c r="I130" t="s">
        <v>30</v>
      </c>
      <c r="J130">
        <v>565098</v>
      </c>
      <c r="K130">
        <v>5144</v>
      </c>
      <c r="L130" s="2">
        <v>0.04</v>
      </c>
      <c r="M130">
        <v>0.1</v>
      </c>
      <c r="N130" s="2">
        <v>22.603920000000002</v>
      </c>
      <c r="O130" s="2">
        <v>56.509800000000006</v>
      </c>
    </row>
    <row r="131" spans="2:15">
      <c r="B131" t="s">
        <v>95</v>
      </c>
      <c r="C131" t="s">
        <v>28</v>
      </c>
      <c r="D131" t="s">
        <v>105</v>
      </c>
      <c r="E131" t="s">
        <v>106</v>
      </c>
      <c r="F131" t="s">
        <v>12</v>
      </c>
      <c r="G131" t="s">
        <v>107</v>
      </c>
      <c r="H131" t="s">
        <v>108</v>
      </c>
      <c r="I131" t="s">
        <v>30</v>
      </c>
      <c r="J131">
        <v>2972274</v>
      </c>
      <c r="K131">
        <v>4992</v>
      </c>
      <c r="L131" s="2">
        <v>0.04</v>
      </c>
      <c r="M131">
        <v>0.1</v>
      </c>
      <c r="N131" s="2">
        <v>118.89096000000001</v>
      </c>
      <c r="O131" s="2">
        <v>297.22740000000005</v>
      </c>
    </row>
    <row r="132" spans="2:15">
      <c r="B132" t="s">
        <v>95</v>
      </c>
      <c r="C132" t="s">
        <v>28</v>
      </c>
      <c r="D132" t="s">
        <v>109</v>
      </c>
      <c r="E132" t="s">
        <v>110</v>
      </c>
      <c r="F132" t="s">
        <v>12</v>
      </c>
      <c r="G132" t="s">
        <v>111</v>
      </c>
      <c r="H132" t="s">
        <v>112</v>
      </c>
      <c r="I132" t="s">
        <v>30</v>
      </c>
      <c r="J132">
        <v>852610</v>
      </c>
      <c r="K132">
        <v>289</v>
      </c>
      <c r="L132" s="2">
        <v>0.04</v>
      </c>
      <c r="M132">
        <v>0.1</v>
      </c>
      <c r="N132" s="2">
        <v>34.104399999999998</v>
      </c>
      <c r="O132" s="2">
        <v>85.260999999999996</v>
      </c>
    </row>
    <row r="133" spans="2:15">
      <c r="B133" t="s">
        <v>95</v>
      </c>
      <c r="C133" t="s">
        <v>28</v>
      </c>
      <c r="D133" t="s">
        <v>113</v>
      </c>
      <c r="E133" t="s">
        <v>114</v>
      </c>
      <c r="F133" t="s">
        <v>12</v>
      </c>
      <c r="G133" t="s">
        <v>115</v>
      </c>
      <c r="H133" t="s">
        <v>536</v>
      </c>
      <c r="I133" t="s">
        <v>30</v>
      </c>
      <c r="J133">
        <v>1</v>
      </c>
      <c r="K133">
        <v>0</v>
      </c>
      <c r="L133" s="2">
        <v>0.04</v>
      </c>
      <c r="M133">
        <v>0.1</v>
      </c>
      <c r="N133" s="2">
        <v>4.0000000000000003E-5</v>
      </c>
      <c r="O133" s="2">
        <v>1E-4</v>
      </c>
    </row>
    <row r="134" spans="2:15">
      <c r="B134" t="s">
        <v>95</v>
      </c>
      <c r="C134" t="s">
        <v>28</v>
      </c>
      <c r="D134" t="s">
        <v>113</v>
      </c>
      <c r="E134" t="s">
        <v>114</v>
      </c>
      <c r="F134" t="s">
        <v>12</v>
      </c>
      <c r="G134" t="s">
        <v>116</v>
      </c>
      <c r="H134" t="s">
        <v>117</v>
      </c>
      <c r="I134" t="s">
        <v>30</v>
      </c>
      <c r="J134">
        <v>1540656</v>
      </c>
      <c r="K134">
        <v>2756</v>
      </c>
      <c r="L134" s="2">
        <v>0.04</v>
      </c>
      <c r="M134">
        <v>0.1</v>
      </c>
      <c r="N134" s="2">
        <v>61.626239999999996</v>
      </c>
      <c r="O134" s="2">
        <v>154.06560000000002</v>
      </c>
    </row>
    <row r="135" spans="2:15">
      <c r="B135" t="s">
        <v>95</v>
      </c>
      <c r="C135" t="s">
        <v>28</v>
      </c>
      <c r="D135" t="s">
        <v>539</v>
      </c>
      <c r="E135" t="s">
        <v>540</v>
      </c>
      <c r="F135" t="s">
        <v>12</v>
      </c>
      <c r="G135" t="s">
        <v>541</v>
      </c>
      <c r="H135" t="s">
        <v>542</v>
      </c>
      <c r="I135" t="s">
        <v>30</v>
      </c>
      <c r="J135">
        <v>1</v>
      </c>
      <c r="K135">
        <v>0</v>
      </c>
      <c r="L135" s="2">
        <v>0.04</v>
      </c>
      <c r="M135">
        <v>0.1</v>
      </c>
      <c r="N135" s="2">
        <v>4.0000000000000003E-5</v>
      </c>
      <c r="O135" s="2">
        <v>1E-4</v>
      </c>
    </row>
    <row r="136" spans="2:15">
      <c r="B136" t="s">
        <v>95</v>
      </c>
      <c r="C136" t="s">
        <v>28</v>
      </c>
      <c r="D136" t="s">
        <v>118</v>
      </c>
      <c r="E136" t="s">
        <v>119</v>
      </c>
      <c r="F136" t="s">
        <v>12</v>
      </c>
      <c r="G136" t="s">
        <v>120</v>
      </c>
      <c r="H136" t="s">
        <v>121</v>
      </c>
      <c r="I136" t="s">
        <v>24</v>
      </c>
      <c r="J136">
        <v>493480</v>
      </c>
      <c r="K136">
        <v>9232</v>
      </c>
      <c r="L136" s="2">
        <v>0.04</v>
      </c>
      <c r="M136">
        <v>0.1</v>
      </c>
      <c r="N136" s="2">
        <v>19.7392</v>
      </c>
      <c r="O136" s="2">
        <v>49.347999999999999</v>
      </c>
    </row>
    <row r="137" spans="2:15">
      <c r="B137" t="s">
        <v>95</v>
      </c>
      <c r="C137" t="s">
        <v>28</v>
      </c>
      <c r="D137" t="s">
        <v>122</v>
      </c>
      <c r="E137" t="s">
        <v>123</v>
      </c>
      <c r="F137" t="s">
        <v>12</v>
      </c>
      <c r="G137" t="s">
        <v>124</v>
      </c>
      <c r="H137" t="s">
        <v>125</v>
      </c>
      <c r="I137" t="s">
        <v>24</v>
      </c>
      <c r="J137">
        <v>2</v>
      </c>
      <c r="K137">
        <v>1</v>
      </c>
      <c r="L137" s="2">
        <v>0.04</v>
      </c>
      <c r="M137">
        <v>0.1</v>
      </c>
      <c r="N137" s="2">
        <v>8.0000000000000007E-5</v>
      </c>
      <c r="O137" s="2">
        <v>2.0000000000000001E-4</v>
      </c>
    </row>
    <row r="138" spans="2:15">
      <c r="B138" t="s">
        <v>95</v>
      </c>
      <c r="C138" t="s">
        <v>28</v>
      </c>
      <c r="D138" t="s">
        <v>371</v>
      </c>
      <c r="E138" t="s">
        <v>372</v>
      </c>
      <c r="F138" t="s">
        <v>12</v>
      </c>
      <c r="G138" t="s">
        <v>373</v>
      </c>
      <c r="H138" t="s">
        <v>374</v>
      </c>
      <c r="I138" t="s">
        <v>24</v>
      </c>
      <c r="J138">
        <v>1163349</v>
      </c>
      <c r="K138">
        <v>10533</v>
      </c>
      <c r="L138" s="2">
        <v>0.04</v>
      </c>
      <c r="M138">
        <v>0.1</v>
      </c>
      <c r="N138" s="2">
        <v>46.53396</v>
      </c>
      <c r="O138" s="2">
        <v>116.3349</v>
      </c>
    </row>
    <row r="139" spans="2:15">
      <c r="B139" t="s">
        <v>95</v>
      </c>
      <c r="C139" t="s">
        <v>28</v>
      </c>
      <c r="D139" t="s">
        <v>375</v>
      </c>
      <c r="E139" t="s">
        <v>376</v>
      </c>
      <c r="F139" t="s">
        <v>23</v>
      </c>
      <c r="G139" t="s">
        <v>377</v>
      </c>
      <c r="H139" t="s">
        <v>378</v>
      </c>
      <c r="I139" t="s">
        <v>33</v>
      </c>
      <c r="J139">
        <v>90666</v>
      </c>
      <c r="K139">
        <v>1560</v>
      </c>
      <c r="L139" s="2">
        <v>0.6</v>
      </c>
      <c r="M139">
        <v>0.35</v>
      </c>
      <c r="N139" s="2">
        <v>54.3996</v>
      </c>
      <c r="O139" s="2">
        <v>31.7331</v>
      </c>
    </row>
    <row r="140" spans="2:15">
      <c r="B140" t="s">
        <v>95</v>
      </c>
      <c r="C140" t="s">
        <v>28</v>
      </c>
      <c r="D140" t="s">
        <v>379</v>
      </c>
      <c r="E140" t="s">
        <v>380</v>
      </c>
      <c r="F140" t="s">
        <v>23</v>
      </c>
      <c r="G140" t="s">
        <v>381</v>
      </c>
      <c r="H140" t="s">
        <v>382</v>
      </c>
      <c r="I140" t="s">
        <v>33</v>
      </c>
      <c r="J140">
        <v>702572</v>
      </c>
      <c r="K140">
        <v>14619</v>
      </c>
      <c r="L140" s="2">
        <v>0.6</v>
      </c>
      <c r="M140">
        <v>0.35</v>
      </c>
      <c r="N140" s="2">
        <v>421.54320000000001</v>
      </c>
      <c r="O140" s="2">
        <v>245.90019999999998</v>
      </c>
    </row>
    <row r="141" spans="2:15">
      <c r="B141" t="s">
        <v>383</v>
      </c>
      <c r="C141" t="s">
        <v>31</v>
      </c>
      <c r="D141" t="s">
        <v>384</v>
      </c>
      <c r="E141" t="s">
        <v>385</v>
      </c>
      <c r="F141" t="s">
        <v>12</v>
      </c>
      <c r="G141" t="s">
        <v>38</v>
      </c>
      <c r="H141" t="s">
        <v>386</v>
      </c>
      <c r="I141" t="s">
        <v>30</v>
      </c>
      <c r="J141">
        <v>6</v>
      </c>
      <c r="K141">
        <v>0</v>
      </c>
      <c r="L141" s="2">
        <v>0.04</v>
      </c>
      <c r="M141">
        <v>0.1</v>
      </c>
      <c r="N141" s="2">
        <v>2.3999999999999998E-4</v>
      </c>
      <c r="O141" s="2">
        <v>6.0000000000000006E-4</v>
      </c>
    </row>
    <row r="142" spans="2:15">
      <c r="B142" t="s">
        <v>383</v>
      </c>
      <c r="C142" t="s">
        <v>31</v>
      </c>
      <c r="D142" t="s">
        <v>384</v>
      </c>
      <c r="E142" t="s">
        <v>385</v>
      </c>
      <c r="F142" t="s">
        <v>12</v>
      </c>
      <c r="G142" t="s">
        <v>387</v>
      </c>
      <c r="H142" t="s">
        <v>388</v>
      </c>
      <c r="I142" t="s">
        <v>30</v>
      </c>
      <c r="J142">
        <v>9424919</v>
      </c>
      <c r="K142">
        <v>391672</v>
      </c>
      <c r="L142" s="2">
        <v>0.04</v>
      </c>
      <c r="M142">
        <v>0.1</v>
      </c>
      <c r="N142" s="2">
        <v>376.99675999999999</v>
      </c>
      <c r="O142" s="2">
        <v>942.49189999999999</v>
      </c>
    </row>
    <row r="143" spans="2:15">
      <c r="B143" t="s">
        <v>383</v>
      </c>
      <c r="C143" t="s">
        <v>31</v>
      </c>
      <c r="D143" t="s">
        <v>389</v>
      </c>
      <c r="E143" t="s">
        <v>390</v>
      </c>
      <c r="F143" t="s">
        <v>12</v>
      </c>
      <c r="G143" t="s">
        <v>391</v>
      </c>
      <c r="H143" t="s">
        <v>392</v>
      </c>
      <c r="I143" t="s">
        <v>30</v>
      </c>
      <c r="J143">
        <v>1345909</v>
      </c>
      <c r="K143">
        <v>11609</v>
      </c>
      <c r="L143" s="2">
        <v>0.04</v>
      </c>
      <c r="M143">
        <v>0.1</v>
      </c>
      <c r="N143" s="2">
        <v>53.836359999999999</v>
      </c>
      <c r="O143" s="2">
        <v>134.5909</v>
      </c>
    </row>
    <row r="144" spans="2:15">
      <c r="B144" t="s">
        <v>383</v>
      </c>
      <c r="C144" t="s">
        <v>31</v>
      </c>
      <c r="D144" t="s">
        <v>393</v>
      </c>
      <c r="E144" t="s">
        <v>394</v>
      </c>
      <c r="F144" t="s">
        <v>12</v>
      </c>
      <c r="G144" t="s">
        <v>39</v>
      </c>
      <c r="H144" t="s">
        <v>543</v>
      </c>
      <c r="I144" t="s">
        <v>30</v>
      </c>
      <c r="J144">
        <v>4</v>
      </c>
      <c r="K144">
        <v>0</v>
      </c>
      <c r="L144" s="2">
        <v>0.04</v>
      </c>
      <c r="M144">
        <v>0.1</v>
      </c>
      <c r="N144" s="2">
        <v>1.6000000000000001E-4</v>
      </c>
      <c r="O144" s="2">
        <v>4.0000000000000002E-4</v>
      </c>
    </row>
    <row r="145" spans="2:15">
      <c r="B145" t="s">
        <v>383</v>
      </c>
      <c r="C145" t="s">
        <v>31</v>
      </c>
      <c r="D145" t="s">
        <v>393</v>
      </c>
      <c r="E145" t="s">
        <v>394</v>
      </c>
      <c r="F145" t="s">
        <v>12</v>
      </c>
      <c r="G145" t="s">
        <v>395</v>
      </c>
      <c r="H145" t="s">
        <v>396</v>
      </c>
      <c r="I145" t="s">
        <v>30</v>
      </c>
      <c r="J145">
        <v>13170997</v>
      </c>
      <c r="K145">
        <v>280643</v>
      </c>
      <c r="L145" s="2">
        <v>0.04</v>
      </c>
      <c r="M145">
        <v>0.1</v>
      </c>
      <c r="N145" s="2">
        <v>526.83987999999999</v>
      </c>
      <c r="O145" s="2">
        <v>1317.0997000000002</v>
      </c>
    </row>
    <row r="146" spans="2:15">
      <c r="B146" t="s">
        <v>383</v>
      </c>
      <c r="C146" t="s">
        <v>31</v>
      </c>
      <c r="D146" t="s">
        <v>397</v>
      </c>
      <c r="E146" t="s">
        <v>398</v>
      </c>
      <c r="F146" t="s">
        <v>12</v>
      </c>
      <c r="G146" t="s">
        <v>399</v>
      </c>
      <c r="H146" t="s">
        <v>400</v>
      </c>
      <c r="I146" t="s">
        <v>30</v>
      </c>
      <c r="J146">
        <v>48189</v>
      </c>
      <c r="K146">
        <v>501</v>
      </c>
      <c r="L146" s="2">
        <v>0.04</v>
      </c>
      <c r="M146">
        <v>0.1</v>
      </c>
      <c r="N146" s="2">
        <v>1.9275599999999999</v>
      </c>
      <c r="O146" s="2">
        <v>4.8189000000000002</v>
      </c>
    </row>
    <row r="147" spans="2:15">
      <c r="B147" t="s">
        <v>383</v>
      </c>
      <c r="C147" t="s">
        <v>28</v>
      </c>
      <c r="D147" t="s">
        <v>401</v>
      </c>
      <c r="E147" t="s">
        <v>402</v>
      </c>
      <c r="F147" t="s">
        <v>12</v>
      </c>
      <c r="G147" t="s">
        <v>403</v>
      </c>
      <c r="H147" t="s">
        <v>404</v>
      </c>
      <c r="I147" t="s">
        <v>30</v>
      </c>
      <c r="J147">
        <v>456271</v>
      </c>
      <c r="K147">
        <v>280</v>
      </c>
      <c r="L147" s="2">
        <v>0.04</v>
      </c>
      <c r="M147">
        <v>0.1</v>
      </c>
      <c r="N147" s="2">
        <v>18.25084</v>
      </c>
      <c r="O147" s="2">
        <v>45.627100000000006</v>
      </c>
    </row>
    <row r="148" spans="2:15">
      <c r="B148" t="s">
        <v>383</v>
      </c>
      <c r="C148" t="s">
        <v>28</v>
      </c>
      <c r="D148" t="s">
        <v>405</v>
      </c>
      <c r="E148" t="s">
        <v>406</v>
      </c>
      <c r="F148" t="s">
        <v>12</v>
      </c>
      <c r="G148" t="s">
        <v>407</v>
      </c>
      <c r="H148" t="s">
        <v>408</v>
      </c>
      <c r="I148" t="s">
        <v>30</v>
      </c>
      <c r="J148">
        <v>1042339</v>
      </c>
      <c r="K148">
        <v>1126</v>
      </c>
      <c r="L148" s="2">
        <v>0.04</v>
      </c>
      <c r="M148">
        <v>0.1</v>
      </c>
      <c r="N148" s="2">
        <v>41.693559999999998</v>
      </c>
      <c r="O148" s="2">
        <v>104.23390000000001</v>
      </c>
    </row>
    <row r="149" spans="2:15">
      <c r="B149" t="s">
        <v>383</v>
      </c>
      <c r="C149" t="s">
        <v>28</v>
      </c>
      <c r="D149" t="s">
        <v>409</v>
      </c>
      <c r="E149" t="s">
        <v>410</v>
      </c>
      <c r="F149" t="s">
        <v>12</v>
      </c>
      <c r="G149" t="s">
        <v>411</v>
      </c>
      <c r="H149" t="s">
        <v>412</v>
      </c>
      <c r="I149" t="s">
        <v>30</v>
      </c>
      <c r="J149">
        <v>1087020</v>
      </c>
      <c r="K149">
        <v>316</v>
      </c>
      <c r="L149" s="2">
        <v>0.04</v>
      </c>
      <c r="M149">
        <v>0.1</v>
      </c>
      <c r="N149" s="2">
        <v>43.480800000000002</v>
      </c>
      <c r="O149" s="2">
        <v>108.702</v>
      </c>
    </row>
    <row r="150" spans="2:15">
      <c r="B150" t="s">
        <v>383</v>
      </c>
      <c r="C150" t="s">
        <v>28</v>
      </c>
      <c r="D150" t="s">
        <v>413</v>
      </c>
      <c r="E150" t="s">
        <v>414</v>
      </c>
      <c r="F150" t="s">
        <v>12</v>
      </c>
      <c r="G150" t="s">
        <v>415</v>
      </c>
      <c r="H150" t="s">
        <v>416</v>
      </c>
      <c r="I150" t="s">
        <v>30</v>
      </c>
      <c r="J150">
        <v>763913</v>
      </c>
      <c r="K150">
        <v>443</v>
      </c>
      <c r="L150" s="2">
        <v>0.04</v>
      </c>
      <c r="M150">
        <v>0.1</v>
      </c>
      <c r="N150" s="2">
        <v>30.556519999999999</v>
      </c>
      <c r="O150" s="2">
        <v>76.391300000000001</v>
      </c>
    </row>
    <row r="151" spans="2:15">
      <c r="B151" t="s">
        <v>383</v>
      </c>
      <c r="C151" t="s">
        <v>28</v>
      </c>
      <c r="D151" t="s">
        <v>417</v>
      </c>
      <c r="E151" t="s">
        <v>418</v>
      </c>
      <c r="F151" t="s">
        <v>12</v>
      </c>
      <c r="G151" t="s">
        <v>419</v>
      </c>
      <c r="H151" t="s">
        <v>420</v>
      </c>
      <c r="I151" t="s">
        <v>24</v>
      </c>
      <c r="J151">
        <v>703</v>
      </c>
      <c r="K151">
        <v>10</v>
      </c>
      <c r="L151" s="2">
        <v>0.04</v>
      </c>
      <c r="M151">
        <v>0.1</v>
      </c>
      <c r="N151" s="2">
        <v>2.8120000000000003E-2</v>
      </c>
      <c r="O151" s="2">
        <v>7.0300000000000001E-2</v>
      </c>
    </row>
    <row r="152" spans="2:15">
      <c r="B152" t="s">
        <v>383</v>
      </c>
      <c r="C152" t="s">
        <v>28</v>
      </c>
      <c r="D152" t="s">
        <v>421</v>
      </c>
      <c r="E152" t="s">
        <v>422</v>
      </c>
      <c r="F152" t="s">
        <v>12</v>
      </c>
      <c r="G152" t="s">
        <v>423</v>
      </c>
      <c r="H152" t="s">
        <v>424</v>
      </c>
      <c r="I152" t="s">
        <v>24</v>
      </c>
      <c r="J152">
        <v>176000</v>
      </c>
      <c r="K152">
        <v>6390</v>
      </c>
      <c r="L152" s="2">
        <v>0.04</v>
      </c>
      <c r="M152">
        <v>0.1</v>
      </c>
      <c r="N152" s="2">
        <v>7.04</v>
      </c>
      <c r="O152" s="2">
        <v>17.600000000000001</v>
      </c>
    </row>
    <row r="153" spans="2:15">
      <c r="B153" t="s">
        <v>383</v>
      </c>
      <c r="C153" t="s">
        <v>36</v>
      </c>
      <c r="D153" t="s">
        <v>425</v>
      </c>
      <c r="E153" t="s">
        <v>426</v>
      </c>
      <c r="F153" t="s">
        <v>12</v>
      </c>
      <c r="G153" t="s">
        <v>427</v>
      </c>
      <c r="H153" t="s">
        <v>428</v>
      </c>
      <c r="I153" t="s">
        <v>24</v>
      </c>
      <c r="J153">
        <v>17</v>
      </c>
      <c r="K153">
        <v>0</v>
      </c>
      <c r="L153" s="2">
        <v>0.04</v>
      </c>
      <c r="M153">
        <v>0.1</v>
      </c>
      <c r="N153" s="2">
        <v>6.8000000000000005E-4</v>
      </c>
      <c r="O153" s="2">
        <v>1.7000000000000001E-3</v>
      </c>
    </row>
    <row r="154" spans="2:15">
      <c r="B154" t="s">
        <v>383</v>
      </c>
      <c r="C154" t="s">
        <v>36</v>
      </c>
      <c r="D154" t="s">
        <v>429</v>
      </c>
      <c r="E154" t="s">
        <v>430</v>
      </c>
      <c r="F154" t="s">
        <v>12</v>
      </c>
      <c r="G154" t="s">
        <v>431</v>
      </c>
      <c r="H154" t="s">
        <v>432</v>
      </c>
      <c r="I154" t="s">
        <v>24</v>
      </c>
      <c r="J154">
        <v>367</v>
      </c>
      <c r="K154">
        <v>266</v>
      </c>
      <c r="L154" s="2">
        <v>0.04</v>
      </c>
      <c r="M154">
        <v>0.1</v>
      </c>
      <c r="N154" s="2">
        <v>1.468E-2</v>
      </c>
      <c r="O154" s="2">
        <v>3.6700000000000003E-2</v>
      </c>
    </row>
    <row r="155" spans="2:15">
      <c r="B155" t="s">
        <v>383</v>
      </c>
      <c r="C155" t="s">
        <v>36</v>
      </c>
      <c r="D155" t="s">
        <v>433</v>
      </c>
      <c r="E155" t="s">
        <v>434</v>
      </c>
      <c r="F155" t="s">
        <v>12</v>
      </c>
      <c r="G155" t="s">
        <v>435</v>
      </c>
      <c r="H155" t="s">
        <v>436</v>
      </c>
      <c r="I155" t="s">
        <v>24</v>
      </c>
      <c r="J155">
        <v>35</v>
      </c>
      <c r="K155">
        <v>3</v>
      </c>
      <c r="L155" s="2">
        <v>0.04</v>
      </c>
      <c r="M155">
        <v>0.1</v>
      </c>
      <c r="N155" s="2">
        <v>1.4000000000000002E-3</v>
      </c>
      <c r="O155" s="2">
        <v>3.5000000000000001E-3</v>
      </c>
    </row>
    <row r="156" spans="2:15">
      <c r="B156" t="s">
        <v>383</v>
      </c>
      <c r="C156" t="s">
        <v>36</v>
      </c>
      <c r="D156" t="s">
        <v>437</v>
      </c>
      <c r="E156" t="s">
        <v>438</v>
      </c>
      <c r="F156" t="s">
        <v>12</v>
      </c>
      <c r="G156" t="s">
        <v>439</v>
      </c>
      <c r="H156" t="s">
        <v>440</v>
      </c>
      <c r="I156" t="s">
        <v>24</v>
      </c>
      <c r="J156">
        <v>33</v>
      </c>
      <c r="K156">
        <v>1</v>
      </c>
      <c r="L156" s="2">
        <v>0.04</v>
      </c>
      <c r="M156">
        <v>0.1</v>
      </c>
      <c r="N156" s="2">
        <v>1.32E-3</v>
      </c>
      <c r="O156" s="2">
        <v>3.3000000000000004E-3</v>
      </c>
    </row>
    <row r="157" spans="2:15">
      <c r="B157" t="s">
        <v>37</v>
      </c>
      <c r="C157" t="s">
        <v>28</v>
      </c>
      <c r="D157" t="s">
        <v>544</v>
      </c>
      <c r="E157" t="s">
        <v>545</v>
      </c>
      <c r="F157" t="s">
        <v>10</v>
      </c>
      <c r="G157" t="s">
        <v>546</v>
      </c>
      <c r="H157" t="s">
        <v>547</v>
      </c>
      <c r="I157" t="s">
        <v>24</v>
      </c>
      <c r="J157">
        <v>0</v>
      </c>
      <c r="K157">
        <v>1</v>
      </c>
      <c r="L157" s="2">
        <v>3.5000000000000001E-3</v>
      </c>
      <c r="M157">
        <v>2.5000000000000001E-2</v>
      </c>
      <c r="N157" s="2">
        <v>3.5000000000000001E-3</v>
      </c>
      <c r="O157" s="2">
        <v>2.5000000000000001E-2</v>
      </c>
    </row>
    <row r="158" spans="2:15">
      <c r="B158" t="s">
        <v>37</v>
      </c>
      <c r="C158" t="s">
        <v>28</v>
      </c>
      <c r="D158" t="s">
        <v>40</v>
      </c>
      <c r="E158" t="s">
        <v>41</v>
      </c>
      <c r="F158" t="s">
        <v>10</v>
      </c>
      <c r="G158" t="s">
        <v>42</v>
      </c>
      <c r="H158" t="s">
        <v>43</v>
      </c>
      <c r="I158" t="s">
        <v>24</v>
      </c>
      <c r="J158">
        <v>1</v>
      </c>
      <c r="K158">
        <v>1</v>
      </c>
      <c r="L158" s="2">
        <v>3.5000000000000001E-3</v>
      </c>
      <c r="M158">
        <v>2.5000000000000001E-2</v>
      </c>
      <c r="N158" s="2">
        <v>3.5000000000000001E-3</v>
      </c>
      <c r="O158" s="2">
        <v>2.5000000000000001E-2</v>
      </c>
    </row>
    <row r="159" spans="2:15">
      <c r="L159" s="2"/>
      <c r="N159" s="2"/>
      <c r="O159" s="2"/>
    </row>
    <row r="160" spans="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L1053" s="2"/>
      <c r="N1053" s="2"/>
      <c r="O1053" s="2"/>
    </row>
    <row r="1054" spans="11:15">
      <c r="L1054" s="2"/>
      <c r="N1054" s="2"/>
      <c r="O1054" s="2"/>
    </row>
    <row r="1055" spans="11:15">
      <c r="L1055" s="2"/>
      <c r="N1055" s="2"/>
      <c r="O1055" s="2"/>
    </row>
    <row r="1056" spans="11:15">
      <c r="K1056" s="3"/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</sheetData>
  <autoFilter ref="A18:P1053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8BB3D-23CE-4707-8078-543C2ECAC08E}">
  <dimension ref="A3:C12"/>
  <sheetViews>
    <sheetView workbookViewId="0">
      <selection activeCell="E8" sqref="E8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548</v>
      </c>
      <c r="B3" t="s">
        <v>550</v>
      </c>
      <c r="C3" t="s">
        <v>551</v>
      </c>
    </row>
    <row r="4" spans="1:3">
      <c r="A4" s="19" t="s">
        <v>37</v>
      </c>
      <c r="B4" s="20">
        <v>7.0000000000000001E-3</v>
      </c>
      <c r="C4" s="20">
        <v>0.05</v>
      </c>
    </row>
    <row r="5" spans="1:3">
      <c r="A5" s="19" t="s">
        <v>44</v>
      </c>
      <c r="B5" s="20">
        <v>1.0580000000000001E-2</v>
      </c>
      <c r="C5" s="20">
        <v>7.5200000000000017E-2</v>
      </c>
    </row>
    <row r="6" spans="1:3">
      <c r="A6" s="19" t="s">
        <v>34</v>
      </c>
      <c r="B6" s="20">
        <v>33.511200000000002</v>
      </c>
      <c r="C6" s="20">
        <v>83.77800000000002</v>
      </c>
    </row>
    <row r="7" spans="1:3">
      <c r="A7" s="19" t="s">
        <v>75</v>
      </c>
      <c r="B7" s="20">
        <v>89.602439999999973</v>
      </c>
      <c r="C7" s="20">
        <v>224.0061</v>
      </c>
    </row>
    <row r="8" spans="1:3">
      <c r="A8" s="19" t="s">
        <v>45</v>
      </c>
      <c r="B8" s="20">
        <v>7.4199999999999995E-3</v>
      </c>
      <c r="C8" s="20">
        <v>3.4800000000000005E-2</v>
      </c>
    </row>
    <row r="9" spans="1:3">
      <c r="A9" s="19" t="s">
        <v>54</v>
      </c>
      <c r="B9" s="20">
        <v>66.731080000000006</v>
      </c>
      <c r="C9" s="20">
        <v>166.82769999999999</v>
      </c>
    </row>
    <row r="10" spans="1:3">
      <c r="A10" s="19" t="s">
        <v>95</v>
      </c>
      <c r="B10" s="20">
        <v>2534.8576199999998</v>
      </c>
      <c r="C10" s="20">
        <v>3005.6442999999995</v>
      </c>
    </row>
    <row r="11" spans="1:3">
      <c r="A11" s="19" t="s">
        <v>383</v>
      </c>
      <c r="B11" s="20">
        <v>1100.6688800000004</v>
      </c>
      <c r="C11" s="20">
        <v>2751.6722</v>
      </c>
    </row>
    <row r="12" spans="1:3">
      <c r="A12" s="19" t="s">
        <v>549</v>
      </c>
      <c r="B12" s="20">
        <v>3825.3962200000005</v>
      </c>
      <c r="C12" s="20">
        <v>6232.0882999999994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Custo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2020-08-21T20:58:50Z</dcterms:modified>
</cp:coreProperties>
</file>